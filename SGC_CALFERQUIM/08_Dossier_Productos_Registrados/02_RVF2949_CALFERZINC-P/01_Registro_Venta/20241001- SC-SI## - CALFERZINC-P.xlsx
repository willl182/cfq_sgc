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83E8843A-3D18-4884-A866-9CD9771CF59E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<sst xmlns="http://schemas.openxmlformats.org/spreadsheetml/2006/main" count="95" uniqueCount="47">
  <si>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</si>
  <si>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</si>
  <si>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</si>
  <si>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</si>
  <si>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</si>
  <si>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</si>
  <si>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</si>
  <si>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</si>
  <si>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</si>
  <si>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</si>
  <si>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</si>
  <si>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</si>
  <si>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</si>
  <si>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</si>
  <si>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</si>
  <si>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</si>
  <si>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</si>
  <si>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</si>
  <si>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</si>
  <si>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</si>
  <si>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</si>
  <si>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</si>
  <si>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</si>
  <si>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</si>
  <si>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</si>
  <si>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</si>
  <si>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</si>
  <si>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</si>
  <si>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</si>
  <si>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</si>
  <si>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</si>
  <si>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</si>
  <si>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</si>
  <si>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</si>
  <si>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</si>
  <si>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</si>
  <si>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</si>
  <si>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MANUCHAR</t>
  </si>
  <si>
    <t>CARBONATO DE CALCIO</t>
  </si>
  <si>
    <t>KIESERITA</t>
  </si>
  <si>
    <t>BENTONITA GRIS</t>
  </si>
  <si>
    <t>ATEQUIMICOS</t>
  </si>
  <si>
    <t>AGROCALES</t>
  </si>
  <si>
    <t>FERTICAUCA</t>
  </si>
  <si>
    <t>CALFERZINC P</t>
  </si>
  <si>
    <t>150-011024</t>
  </si>
  <si>
    <t>POLVILLO DE CALFERZINC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</si>
</sst>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B18" sqref="B1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34</v>
      </c>
      <c r="H6" s="81"/>
      <c r="I6" s="81"/>
      <c r="J6" s="81"/>
      <c r="K6" s="81"/>
      <c r="L6" s="81"/>
      <c r="M6" s="82"/>
      <c r="N6" s="80" t="s">
        <v>35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44</v>
      </c>
      <c r="H7" s="79"/>
      <c r="I7" s="79"/>
      <c r="J7" s="79"/>
      <c r="K7" s="79"/>
      <c r="L7" s="79"/>
      <c r="M7" s="79"/>
      <c r="N7" s="63" t="s">
        <v>45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46</v>
      </c>
      <c r="C17" s="44" t="s">
        <v>41</v>
      </c>
      <c r="D17" s="44"/>
      <c r="E17" s="46">
        <v>675</v>
      </c>
      <c r="F17" s="27">
        <f>E17/10</f>
        <v>67.5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42</v>
      </c>
      <c r="D18" s="44" t="s">
        <v>9</v>
      </c>
      <c r="E18" s="46">
        <v>75</v>
      </c>
      <c r="F18" s="27">
        <f t="shared" ref="F18:F31" si="1">E18/10</f>
        <v>7.5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37</v>
      </c>
      <c r="D19" s="44" t="s">
        <v>36</v>
      </c>
      <c r="E19" s="46">
        <v>50</v>
      </c>
      <c r="F19" s="27">
        <f t="shared" si="1"/>
        <v>5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40</v>
      </c>
      <c r="C20" s="44" t="s">
        <v>43</v>
      </c>
      <c r="D20" s="44" t="s">
        <v>36</v>
      </c>
      <c r="E20" s="46">
        <v>200</v>
      </c>
      <c r="F20" s="27">
        <f t="shared" si="1"/>
        <v>20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/>
      <c r="C21" s="44"/>
      <c r="D21" s="44"/>
      <c r="E21" s="46"/>
      <c r="F21" s="27">
        <f t="shared" si="1"/>
        <v>0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POLVILLO DE CALFERZINC</v>
      </c>
      <c r="C35" s="44" t="str">
        <f>C17</f>
        <v>ATEQUIMICOS</v>
      </c>
      <c r="D35" s="44">
        <f>D17</f>
        <v>0</v>
      </c>
      <c r="E35" s="46">
        <f>E17</f>
        <v>675</v>
      </c>
      <c r="F35" s="62">
        <f t="shared" ref="F35:F40" si="2">E35/10</f>
        <v>67.5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CARBONATO DE CALCIO</v>
      </c>
      <c r="C36" s="44" t="str">
        <f t="shared" ref="C36:D49" si="7">C18</f>
        <v>AGROCALES</v>
      </c>
      <c r="D36" s="44" t="str">
        <f t="shared" si="7"/>
        <v>P</v>
      </c>
      <c r="E36" s="46">
        <f t="shared" si="6"/>
        <v>75</v>
      </c>
      <c r="F36" s="46">
        <f t="shared" si="2"/>
        <v>7.5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KIESERITA</v>
      </c>
      <c r="C37" s="44" t="str">
        <f t="shared" si="7"/>
        <v>MANUCHAR</v>
      </c>
      <c r="D37" s="44" t="str">
        <f t="shared" si="7"/>
        <v>G</v>
      </c>
      <c r="E37" s="46">
        <f t="shared" si="6"/>
        <v>50</v>
      </c>
      <c r="F37" s="46">
        <f t="shared" si="2"/>
        <v>5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BENTONITA GRIS</v>
      </c>
      <c r="C38" s="44" t="str">
        <f t="shared" si="7"/>
        <v>FERTICAUCA</v>
      </c>
      <c r="D38" s="44" t="str">
        <f t="shared" si="7"/>
        <v>G</v>
      </c>
      <c r="E38" s="46">
        <f t="shared" si="6"/>
        <v>200</v>
      </c>
      <c r="F38" s="46">
        <f t="shared" si="2"/>
        <v>20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>
        <f t="shared" si="6"/>
        <v>0</v>
      </c>
      <c r="C39" s="44">
        <f t="shared" si="7"/>
        <v>0</v>
      </c>
      <c r="D39" s="44">
        <f t="shared" si="7"/>
        <v>0</v>
      </c>
      <c r="E39" s="46">
        <f t="shared" si="6"/>
        <v>0</v>
      </c>
      <c r="F39" s="46">
        <f t="shared" si="2"/>
        <v>0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2024-11-13T19:22:01Z</dcterms:modified>
</cp:coreProperties>
</file>