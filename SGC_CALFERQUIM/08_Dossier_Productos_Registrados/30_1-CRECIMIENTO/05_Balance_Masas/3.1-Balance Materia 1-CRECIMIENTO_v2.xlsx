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CRECIMIENTO 30-10-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<sst xmlns="http://schemas.openxmlformats.org/spreadsheetml/2006/main" count="74" uniqueCount="73">
  <si>
    <t xml:space="preserve">BALANCE DE MATERIAS PRIMAS</t>
  </si>
  <si>
    <t xml:space="preserve">1-CRECIMIENTO 30 - 10 - 10 </t>
  </si>
  <si>
    <t xml:space="preserve">CALFERQUIM S.A.S</t>
  </si>
  <si>
    <t xml:space="preserve">ELEMENTOS SOLUBLES EN AGUA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</si>
  <si>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</si>
  <si>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</si>
  <si>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</si>
  <si>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</si>
  <si>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</si>
  <si>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</si>
  <si>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</si>
  <si>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</si>
  <si>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r>
      <rPr>
        <b val="true"/>
        <sz val="9"/>
        <color theme="1"/>
        <rFont val="Segoe UI"/>
        <family val="2"/>
        <charset val="1"/>
      </rPr>
      <t xml:space="preserve">Fósforo Asimilable (P</t>
    </r>
    <r>
      <rPr>
        <b val="true"/>
        <vertAlign val="subscript"/>
        <sz val="9"/>
        <color theme="1"/>
        <rFont val="Segoe UI"/>
        <family val="2"/>
        <charset val="1"/>
      </rPr>
      <t xml:space="preserve">2</t>
    </r>
    <r>
      <rPr>
        <b val="true"/>
        <sz val="9"/>
        <color theme="1"/>
        <rFont val="Segoe UI"/>
        <family val="2"/>
        <charset val="1"/>
      </rPr>
      <t xml:space="preserve">O</t>
    </r>
    <r>
      <rPr>
        <b val="true"/>
        <vertAlign val="subscript"/>
        <sz val="9"/>
        <color theme="1"/>
        <rFont val="Segoe UI"/>
        <family val="2"/>
        <charset val="1"/>
      </rPr>
      <t xml:space="preserve">5</t>
    </r>
    <r>
      <rPr>
        <b val="true"/>
        <sz val="9"/>
        <color theme="1"/>
        <rFont val="Segoe UI"/>
        <family val="2"/>
        <charset val="1"/>
      </rPr>
      <t xml:space="preserve">)</t>
    </r>
  </si>
  <si>
    <r>
      <rPr>
        <b val="true"/>
        <sz val="9"/>
        <color theme="1"/>
        <rFont val="Segoe UI"/>
        <family val="2"/>
        <charset val="1"/>
      </rPr>
      <t xml:space="preserve">Potasio Soluble (K</t>
    </r>
    <r>
      <rPr>
        <b val="true"/>
        <vertAlign val="subscript"/>
        <sz val="9"/>
        <color theme="1"/>
        <rFont val="Segoe UI"/>
        <family val="2"/>
        <charset val="1"/>
      </rPr>
      <t xml:space="preserve">2</t>
    </r>
    <r>
      <rPr>
        <b val="true"/>
        <sz val="9"/>
        <color theme="1"/>
        <rFont val="Segoe UI"/>
        <family val="2"/>
        <charset val="1"/>
      </rPr>
      <t xml:space="preserve">O)</t>
    </r>
  </si>
  <si>
    <t xml:space="preserve">Magnesio (MgO)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</si>
  <si>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</si>
  <si>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</si>
  <si>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</si>
  <si>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</si>
  <si>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</si>
  <si>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</si>
  <si>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</si>
  <si>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r>
      <rPr>
        <b val="true"/>
        <sz val="8"/>
        <color theme="1"/>
        <rFont val="Segoe UI"/>
        <family val="2"/>
        <charset val="1"/>
      </rPr>
      <t xml:space="preserve">Silicio (SiO</t>
    </r>
    <r>
      <rPr>
        <b val="true"/>
        <vertAlign val="subscript"/>
        <sz val="8"/>
        <color theme="1"/>
        <rFont val="Segoe UI"/>
        <family val="2"/>
        <charset val="1"/>
      </rPr>
      <t xml:space="preserve">2</t>
    </r>
    <r>
      <rPr>
        <b val="true"/>
        <sz val="8"/>
        <color theme="1"/>
        <rFont val="Segoe UI"/>
        <family val="2"/>
        <charset val="1"/>
      </rPr>
      <t xml:space="preserve">)</t>
    </r>
  </si>
  <si>
    <t xml:space="preserve">Zinc (Zn)</t>
  </si>
  <si>
    <t xml:space="preserve">UREA</t>
  </si>
  <si>
    <t xml:space="preserve">46% N</t>
  </si>
  <si>
    <t xml:space="preserve">FOSFATO DE AMONIO (MAP)</t>
  </si>
  <si>
    <r>
      <rPr>
        <b val="true"/>
        <sz val="8"/>
        <color theme="1"/>
        <rFont val="Segoe UI"/>
        <family val="2"/>
        <charset val="1"/>
      </rPr>
      <t xml:space="preserve">12% N + 61% P</t>
    </r>
    <r>
      <rPr>
        <b val="true"/>
        <vertAlign val="subscript"/>
        <sz val="8"/>
        <color theme="1"/>
        <rFont val="Segoe UI"/>
        <family val="2"/>
        <charset val="1"/>
      </rPr>
      <t xml:space="preserve">2</t>
    </r>
    <r>
      <rPr>
        <b val="true"/>
        <sz val="8"/>
        <color theme="1"/>
        <rFont val="Segoe UI"/>
        <family val="2"/>
        <charset val="1"/>
      </rPr>
      <t xml:space="preserve">O</t>
    </r>
    <r>
      <rPr>
        <b val="true"/>
        <vertAlign val="subscript"/>
        <sz val="8"/>
        <color theme="1"/>
        <rFont val="Segoe UI"/>
        <family val="2"/>
        <charset val="1"/>
      </rPr>
      <t xml:space="preserve">5 </t>
    </r>
  </si>
  <si>
    <t xml:space="preserve">SULFATO DE AMONIO (SAM)</t>
  </si>
  <si>
    <t xml:space="preserve">21% N + 24% S</t>
  </si>
  <si>
    <r>
      <rPr>
        <b val="true"/>
        <sz val="8"/>
        <color theme="1"/>
        <rFont val="Segoe UI"/>
        <family val="2"/>
        <charset val="1"/>
      </rPr>
      <t xml:space="preserve">NITRATO DE POTASIO (KNO</t>
    </r>
    <r>
      <rPr>
        <b val="true"/>
        <vertAlign val="subscript"/>
        <sz val="8"/>
        <color theme="1"/>
        <rFont val="Segoe UI"/>
        <family val="2"/>
        <charset val="1"/>
      </rPr>
      <t xml:space="preserve">3</t>
    </r>
    <r>
      <rPr>
        <b val="true"/>
        <sz val="8"/>
        <color theme="1"/>
        <rFont val="Segoe UI"/>
        <family val="2"/>
        <charset val="1"/>
      </rPr>
      <t xml:space="preserve">) </t>
    </r>
  </si>
  <si>
    <r>
      <rPr>
        <b val="true"/>
        <sz val="8"/>
        <color theme="1"/>
        <rFont val="Segoe UI"/>
        <family val="2"/>
        <charset val="1"/>
      </rPr>
      <t xml:space="preserve">0,7% N-NH</t>
    </r>
    <r>
      <rPr>
        <b val="true"/>
        <vertAlign val="subscript"/>
        <sz val="8"/>
        <color theme="1"/>
        <rFont val="Segoe UI"/>
        <family val="2"/>
        <charset val="1"/>
      </rPr>
      <t xml:space="preserve">4</t>
    </r>
    <r>
      <rPr>
        <b val="true"/>
        <sz val="8"/>
        <color theme="1"/>
        <rFont val="Segoe UI"/>
        <family val="2"/>
        <charset val="1"/>
      </rPr>
      <t xml:space="preserve">+12.9% N-NO</t>
    </r>
    <r>
      <rPr>
        <b val="true"/>
        <vertAlign val="subscript"/>
        <sz val="8"/>
        <color theme="1"/>
        <rFont val="Segoe UI"/>
        <family val="2"/>
        <charset val="1"/>
      </rPr>
      <t xml:space="preserve">3</t>
    </r>
    <r>
      <rPr>
        <b val="true"/>
        <sz val="8"/>
        <color theme="1"/>
        <rFont val="Segoe UI"/>
        <family val="2"/>
        <charset val="1"/>
      </rPr>
      <t xml:space="preserve">+3% P</t>
    </r>
    <r>
      <rPr>
        <b val="true"/>
        <vertAlign val="subscript"/>
        <sz val="8"/>
        <color theme="1"/>
        <rFont val="Segoe UI"/>
        <family val="2"/>
        <charset val="1"/>
      </rPr>
      <t xml:space="preserve">2</t>
    </r>
    <r>
      <rPr>
        <b val="true"/>
        <sz val="8"/>
        <color theme="1"/>
        <rFont val="Segoe UI"/>
        <family val="2"/>
        <charset val="1"/>
      </rPr>
      <t xml:space="preserve">O</t>
    </r>
    <r>
      <rPr>
        <b val="true"/>
        <vertAlign val="subscript"/>
        <sz val="8"/>
        <color theme="1"/>
        <rFont val="Segoe UI"/>
        <family val="2"/>
        <charset val="1"/>
      </rPr>
      <t xml:space="preserve">5</t>
    </r>
    <r>
      <rPr>
        <b val="true"/>
        <sz val="8"/>
        <color theme="1"/>
        <rFont val="Segoe UI"/>
        <family val="2"/>
        <charset val="1"/>
      </rPr>
      <t xml:space="preserve">+43% K</t>
    </r>
    <r>
      <rPr>
        <b val="true"/>
        <vertAlign val="subscript"/>
        <sz val="8"/>
        <color theme="1"/>
        <rFont val="Segoe UI"/>
        <family val="2"/>
        <charset val="1"/>
      </rPr>
      <t xml:space="preserve">2</t>
    </r>
    <r>
      <rPr>
        <b val="true"/>
        <sz val="8"/>
        <color theme="1"/>
        <rFont val="Segoe UI"/>
        <family val="2"/>
        <charset val="1"/>
      </rPr>
      <t xml:space="preserve">O</t>
    </r>
  </si>
  <si>
    <t xml:space="preserve">SULFATO MAGNESIO  </t>
  </si>
  <si>
    <t xml:space="preserve">15% MgO + 12% S</t>
  </si>
  <si>
    <t xml:space="preserve">ACIDO BORICO</t>
  </si>
  <si>
    <t xml:space="preserve">17,5% B</t>
  </si>
  <si>
    <t xml:space="preserve">SULFATO DE COBALTO</t>
  </si>
  <si>
    <t xml:space="preserve">20% Co + 11% S</t>
  </si>
  <si>
    <t xml:space="preserve"> </t>
  </si>
  <si>
    <t xml:space="preserve">SULFATO DE COBRE</t>
  </si>
  <si>
    <t xml:space="preserve">25% Cu + 13% S</t>
  </si>
  <si>
    <t xml:space="preserve">SULFATO DE HIERRO</t>
  </si>
  <si>
    <t xml:space="preserve">20% Fe +12 % S</t>
  </si>
  <si>
    <t xml:space="preserve">SULFATO DE MANGANESO</t>
  </si>
  <si>
    <t xml:space="preserve">31% Mn + 18% S</t>
  </si>
  <si>
    <t xml:space="preserve">MOLIBDATO DE SODIO</t>
  </si>
  <si>
    <t xml:space="preserve">39% Mo</t>
  </si>
  <si>
    <t xml:space="preserve">DIÓXIDO SILICIO </t>
  </si>
  <si>
    <r>
      <rPr>
        <b val="true"/>
        <sz val="8"/>
        <color theme="1"/>
        <rFont val="Segoe UI"/>
        <family val="2"/>
        <charset val="1"/>
      </rPr>
      <t xml:space="preserve">96% SiO</t>
    </r>
    <r>
      <rPr>
        <b val="true"/>
        <vertAlign val="subscript"/>
        <sz val="8"/>
        <color theme="1"/>
        <rFont val="Segoe UI"/>
        <family val="2"/>
        <charset val="1"/>
      </rPr>
      <t xml:space="preserve">2</t>
    </r>
  </si>
  <si>
    <t xml:space="preserve">SULFATO DE ZINC </t>
  </si>
  <si>
    <t xml:space="preserve">35% Zn + 16% S</t>
  </si>
  <si>
    <t xml:space="preserve">ADITIVOS E INERTES</t>
  </si>
  <si>
    <t xml:space="preserve">E.D.T.A</t>
  </si>
  <si>
    <t xml:space="preserve">SUMATORIA</t>
  </si>
  <si>
    <t xml:space="preserve">TOTAL CALFERQUIM S.A.S</t>
  </si>
  <si>
    <t xml:space="preserve">RESULTADOS ANÁLISIS No. CC-34015</t>
  </si>
  <si>
    <t xml:space="preserve">Tolerancia Mínima NTC 1061:2020</t>
  </si>
  <si>
    <t xml:space="preserve">SOLICITUD DE REGISTRO ICA CALFER DESARROLLO 25-10-10</t>
  </si>
  <si>
    <t xml:space="preserve">Tolerancia Máxima NTC 1061:2020</t>
  </si>
  <si>
    <t xml:space="preserve">Tolerancia calculada</t>
  </si>
  <si>
    <r>
      <rPr>
        <b val="true"/>
        <u val="single"/>
        <sz val="11"/>
        <color rgb="FF000000"/>
        <rFont val="Segoe UI"/>
        <family val="2"/>
        <charset val="1"/>
      </rPr>
      <t xml:space="preserve">1) NPK</t>
    </r>
    <r>
      <rPr>
        <b val="true"/>
        <sz val="11"/>
        <color rgb="FF000000"/>
        <rFont val="Segoe UI"/>
        <family val="2"/>
        <charset val="1"/>
      </rPr>
      <t xml:space="preserve"> </t>
    </r>
    <r>
      <rPr>
        <sz val="11"/>
        <color rgb="FF000000"/>
        <rFont val="Segoe UI"/>
        <family val="2"/>
        <charset val="1"/>
      </rPr>
      <t xml:space="preserve">¿El contenido está fuera de rango [4%-32%]?</t>
    </r>
  </si>
  <si>
    <r>
      <rPr>
        <b val="true"/>
        <u val="single"/>
        <sz val="11"/>
        <color rgb="FF000000"/>
        <rFont val="Segoe UI"/>
        <family val="2"/>
        <charset val="1"/>
      </rPr>
      <t xml:space="preserve">2) Secundarios y menores</t>
    </r>
    <r>
      <rPr>
        <b val="true"/>
        <sz val="11"/>
        <color rgb="FF000000"/>
        <rFont val="Segoe UI"/>
        <family val="2"/>
        <charset val="1"/>
      </rPr>
      <t xml:space="preserve"> </t>
    </r>
    <r>
      <rPr>
        <sz val="11"/>
        <color rgb="FF000000"/>
        <rFont val="Segoe UI"/>
        <family val="2"/>
        <charset val="1"/>
      </rPr>
      <t xml:space="preserve">¿La tolerancia supera el 50%?</t>
    </r>
  </si>
  <si>
    <t xml:space="preserve">Tolerancia permitida</t>
  </si>
  <si>
    <t xml:space="preserve">1) NTC 1061:2020 4.1 </t>
  </si>
  <si>
    <t xml:space="preserve">2) NTC 1061:2020 4.2.1 - 4.2.2 </t>
  </si>
  <si>
    <t xml:space="preserve">Cumple con contenidos mínimos de nuetrientes</t>
  </si>
  <si>
    <t xml:space="preserve">&lt;</t>
  </si>
  <si>
    <r>
      <rPr>
        <b val="true"/>
        <u val="single"/>
        <sz val="11"/>
        <color rgb="FF000000"/>
        <rFont val="Segoe UI"/>
        <family val="2"/>
        <charset val="1"/>
      </rPr>
      <t xml:space="preserve">1) NPK</t>
    </r>
    <r>
      <rPr>
        <b val="true"/>
        <sz val="11"/>
        <color rgb="FF000000"/>
        <rFont val="Segoe UI"/>
        <family val="2"/>
        <charset val="1"/>
      </rPr>
      <t xml:space="preserve"> </t>
    </r>
    <r>
      <rPr>
        <sz val="11"/>
        <color rgb="FF000000"/>
        <rFont val="Segoe UI"/>
        <family val="2"/>
        <charset val="1"/>
      </rPr>
      <t xml:space="preserve">(Formula sola o en mezcla con micronutrientes)</t>
    </r>
  </si>
  <si>
    <r>
      <rPr>
        <b val="true"/>
        <u val="single"/>
        <sz val="11"/>
        <color rgb="FF000000"/>
        <rFont val="Segoe UI"/>
        <family val="2"/>
        <charset val="1"/>
      </rPr>
      <t xml:space="preserve">2) Secundarios</t>
    </r>
    <r>
      <rPr>
        <b val="true"/>
        <sz val="11"/>
        <color rgb="FF000000"/>
        <rFont val="Segoe UI"/>
        <family val="2"/>
        <charset val="1"/>
      </rPr>
      <t xml:space="preserve"> </t>
    </r>
    <r>
      <rPr>
        <sz val="11"/>
        <color rgb="FF000000"/>
        <rFont val="Segoe UI"/>
        <family val="2"/>
        <charset val="1"/>
      </rPr>
      <t xml:space="preserve">(Formula UNICAMENTE con Ca, Mg, S)</t>
    </r>
  </si>
  <si>
    <t xml:space="preserve">NA</t>
  </si>
  <si>
    <r>
      <rPr>
        <b val="true"/>
        <u val="single"/>
        <sz val="11"/>
        <color rgb="FF000000"/>
        <rFont val="Segoe UI"/>
        <family val="2"/>
        <charset val="1"/>
      </rPr>
      <t xml:space="preserve">3-a) Micronutrientes:</t>
    </r>
    <r>
      <rPr>
        <sz val="11"/>
        <color rgb="FF000000"/>
        <rFont val="Segoe UI"/>
        <family val="2"/>
        <charset val="1"/>
      </rPr>
      <t xml:space="preserve"> Unicamente micronutrientes</t>
    </r>
  </si>
  <si>
    <r>
      <rPr>
        <b val="true"/>
        <u val="single"/>
        <sz val="11"/>
        <color rgb="FF000000"/>
        <rFont val="Segoe UI"/>
        <family val="2"/>
        <charset val="1"/>
      </rPr>
      <t xml:space="preserve">3-b) Micronutrientes:</t>
    </r>
    <r>
      <rPr>
        <sz val="11"/>
        <color rgb="FF000000"/>
        <rFont val="Segoe UI"/>
        <family val="2"/>
        <charset val="1"/>
      </rPr>
      <t xml:space="preserve"> Mezcla con NPK o secundarios</t>
    </r>
  </si>
  <si>
    <t xml:space="preserve">Resolución ICA 150 de 2003 - Anexo 11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</si>
</sst>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%"/>
    <numFmt numFmtId="168" formatCode="0.00%"/>
    <numFmt numFmtId="169" formatCode="0.000%"/>
    <numFmt numFmtId="170" formatCode="_-* #,##0.00_-;\-* #,##0.00_-;_-* \-??_-;_-@_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Segoe UI"/>
      <family val="2"/>
      <charset val="1"/>
    </font>
    <font>
      <b val="true"/>
      <sz val="8"/>
      <color theme="1"/>
      <name val="Segoe UI"/>
      <family val="2"/>
      <charset val="1"/>
    </font>
    <font>
      <b val="true"/>
      <sz val="9"/>
      <color theme="1"/>
      <name val="Segoe UI"/>
      <family val="2"/>
      <charset val="1"/>
    </font>
    <font>
      <b val="true"/>
      <vertAlign val="subscript"/>
      <sz val="9"/>
      <color theme="1"/>
      <name val="Segoe UI"/>
      <family val="2"/>
      <charset val="1"/>
    </font>
    <font>
      <b val="true"/>
      <vertAlign val="subscript"/>
      <sz val="8"/>
      <color theme="1"/>
      <name val="Segoe UI"/>
      <family val="2"/>
      <charset val="1"/>
    </font>
    <font>
      <sz val="8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b val="true"/>
      <sz val="11"/>
      <color theme="1"/>
      <name val="Segoe UI"/>
      <family val="2"/>
      <charset val="1"/>
    </font>
    <font>
      <sz val="8"/>
      <color rgb="FFFF0000"/>
      <name val="Segoe UI"/>
      <family val="2"/>
      <charset val="1"/>
    </font>
    <font>
      <b val="true"/>
      <sz val="14"/>
      <color theme="1"/>
      <name val="Segoe U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Segoe UI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Segoe U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u val="single"/>
      <sz val="11"/>
      <color rgb="FF000000"/>
      <name val="Segoe UI"/>
      <family val="2"/>
      <charset val="1"/>
    </font>
    <font>
      <b val="true"/>
      <sz val="11"/>
      <color rgb="FF000000"/>
      <name val="Segoe UI"/>
      <family val="2"/>
      <charset val="1"/>
    </font>
    <font>
      <sz val="11"/>
      <color rgb="FF000000"/>
      <name val="Segoe U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3999"/>
        <bgColor rgb="FFBFBFBF"/>
      </patternFill>
    </fill>
    <fill>
      <patternFill patternType="solid">
        <fgColor theme="4" tint="-0.25"/>
        <bgColor rgb="FF0066CC"/>
      </patternFill>
    </fill>
    <fill>
      <patternFill patternType="solid">
        <fgColor theme="9" tint="0.5999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0" tint="-0.25"/>
        <bgColor rgb="FF9DC3E6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6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8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8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5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5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5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3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8" borderId="3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8" borderId="3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3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9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9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9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9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9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1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1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1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1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1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9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9" borderId="3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9" borderId="3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9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9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F99CC"/>
      <rgbColor rgb="FFCC99FF"/>
      <rgbColor rgb="FFFBE5D6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S18" activeCellId="0" sqref="S18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31.29"/>
    <col collapsed="false" customWidth="true" hidden="false" outlineLevel="0" max="2" min="2" style="0" width="19.94"/>
    <col collapsed="false" customWidth="true" hidden="false" outlineLevel="0" max="3" min="3" style="0" width="7.57"/>
    <col collapsed="false" customWidth="true" hidden="false" outlineLevel="0" max="4" min="4" style="0" width="12.43"/>
    <col collapsed="false" customWidth="true" hidden="false" outlineLevel="0" max="5" min="5" style="0" width="11.71"/>
    <col collapsed="false" customWidth="true" hidden="false" outlineLevel="0" max="7" min="7" style="0" width="9.42"/>
    <col collapsed="false" customWidth="true" hidden="false" outlineLevel="0" max="8" min="8" style="0" width="10.85"/>
    <col collapsed="false" customWidth="true" hidden="false" outlineLevel="0" max="9" min="9" style="0" width="13.43"/>
    <col collapsed="false" customWidth="true" hidden="false" outlineLevel="0" max="10" min="10" style="0" width="8.57"/>
    <col collapsed="false" customWidth="true" hidden="false" outlineLevel="0" max="11" min="11" style="0" width="11.29"/>
    <col collapsed="false" customWidth="true" hidden="false" outlineLevel="0" max="12" min="12" style="0" width="7.43"/>
    <col collapsed="false" customWidth="true" hidden="false" outlineLevel="0" max="13" min="13" style="0" width="8"/>
    <col collapsed="false" customWidth="true" hidden="false" outlineLevel="0" max="14" min="14" style="0" width="8.85"/>
    <col collapsed="false" customWidth="true" hidden="false" outlineLevel="0" max="15" min="15" style="0" width="10.14"/>
    <col collapsed="false" customWidth="true" hidden="false" outlineLevel="0" max="16" min="16" style="0" width="9.14"/>
    <col collapsed="false" customWidth="true" hidden="false" outlineLevel="0" max="17" min="17" style="0" width="13"/>
    <col collapsed="false" customWidth="true" hidden="false" outlineLevel="0" max="18" min="18" style="0" width="11.71"/>
    <col collapsed="false" customWidth="true" hidden="false" outlineLevel="0" max="19" min="19" style="0" width="9.42"/>
    <col collapsed="false" customWidth="true" hidden="false" outlineLevel="0" max="20" min="20" style="0" width="7.7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2.0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7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6" t="s">
        <v>3</v>
      </c>
      <c r="L5" s="6"/>
      <c r="M5" s="6"/>
      <c r="N5" s="6"/>
      <c r="O5" s="6"/>
      <c r="P5" s="6"/>
      <c r="Q5" s="6"/>
      <c r="R5" s="6"/>
      <c r="S5" s="6"/>
      <c r="T5" s="6"/>
    </row>
    <row r="6" customFormat="false" ht="32.8" hidden="false" customHeight="false" outlineLevel="0" collapsed="false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2" t="s">
        <v>12</v>
      </c>
      <c r="J6" s="12" t="s">
        <v>13</v>
      </c>
      <c r="K6" s="13" t="s">
        <v>14</v>
      </c>
      <c r="L6" s="13" t="s">
        <v>15</v>
      </c>
      <c r="M6" s="14" t="s">
        <v>16</v>
      </c>
      <c r="N6" s="14" t="s">
        <v>17</v>
      </c>
      <c r="O6" s="13" t="s">
        <v>18</v>
      </c>
      <c r="P6" s="13" t="s">
        <v>19</v>
      </c>
      <c r="Q6" s="13" t="s">
        <v>20</v>
      </c>
      <c r="R6" s="15" t="s">
        <v>21</v>
      </c>
      <c r="S6" s="15" t="s">
        <v>22</v>
      </c>
      <c r="T6" s="16" t="s">
        <v>23</v>
      </c>
    </row>
    <row r="7" customFormat="false" ht="15" hidden="false" customHeight="false" outlineLevel="0" collapsed="false">
      <c r="A7" s="17" t="s">
        <v>24</v>
      </c>
      <c r="B7" s="18" t="s">
        <v>25</v>
      </c>
      <c r="C7" s="19" t="n">
        <v>543.5</v>
      </c>
      <c r="D7" s="20" t="n">
        <v>54.35</v>
      </c>
      <c r="E7" s="21" t="n">
        <v>0.25001</v>
      </c>
      <c r="F7" s="22"/>
      <c r="G7" s="22"/>
      <c r="H7" s="21" t="n">
        <v>0.25001</v>
      </c>
      <c r="I7" s="22"/>
      <c r="J7" s="23"/>
      <c r="K7" s="22"/>
      <c r="L7" s="22"/>
      <c r="M7" s="22"/>
      <c r="N7" s="22"/>
      <c r="O7" s="22"/>
      <c r="P7" s="24"/>
      <c r="Q7" s="22"/>
      <c r="R7" s="24"/>
      <c r="S7" s="22"/>
      <c r="T7" s="22"/>
    </row>
    <row r="8" customFormat="false" ht="15" hidden="false" customHeight="false" outlineLevel="0" collapsed="false">
      <c r="A8" s="17" t="s">
        <v>26</v>
      </c>
      <c r="B8" s="25" t="s">
        <v>27</v>
      </c>
      <c r="C8" s="26" t="n">
        <v>152.5</v>
      </c>
      <c r="D8" s="27" t="n">
        <v>15.25</v>
      </c>
      <c r="E8" s="28" t="n">
        <v>0.0183</v>
      </c>
      <c r="F8" s="28" t="n">
        <v>0.0183</v>
      </c>
      <c r="G8" s="29"/>
      <c r="H8" s="29"/>
      <c r="I8" s="28" t="n">
        <v>0.093025</v>
      </c>
      <c r="J8" s="30"/>
      <c r="K8" s="29"/>
      <c r="L8" s="29"/>
      <c r="M8" s="29"/>
      <c r="N8" s="29"/>
      <c r="O8" s="29"/>
      <c r="P8" s="31"/>
      <c r="Q8" s="29"/>
      <c r="R8" s="31"/>
      <c r="S8" s="29"/>
      <c r="T8" s="29"/>
    </row>
    <row r="9" customFormat="false" ht="15.75" hidden="false" customHeight="true" outlineLevel="0" collapsed="false">
      <c r="A9" s="17" t="s">
        <v>28</v>
      </c>
      <c r="B9" s="25" t="s">
        <v>29</v>
      </c>
      <c r="C9" s="26" t="n">
        <v>0.3</v>
      </c>
      <c r="D9" s="27" t="n">
        <v>0.03</v>
      </c>
      <c r="E9" s="32" t="n">
        <v>6.3E-005</v>
      </c>
      <c r="F9" s="32" t="n">
        <v>6.3E-005</v>
      </c>
      <c r="G9" s="33"/>
      <c r="H9" s="33"/>
      <c r="I9" s="33"/>
      <c r="J9" s="34"/>
      <c r="K9" s="35"/>
      <c r="L9" s="36" t="n">
        <v>7.2E-005</v>
      </c>
      <c r="M9" s="37"/>
      <c r="N9" s="37"/>
      <c r="O9" s="38"/>
      <c r="P9" s="39"/>
      <c r="Q9" s="38"/>
      <c r="R9" s="39"/>
      <c r="S9" s="38"/>
      <c r="T9" s="38"/>
    </row>
    <row r="10" customFormat="false" ht="15.75" hidden="false" customHeight="true" outlineLevel="0" collapsed="false">
      <c r="A10" s="40" t="s">
        <v>30</v>
      </c>
      <c r="B10" s="41" t="s">
        <v>31</v>
      </c>
      <c r="C10" s="26" t="n">
        <v>232.6</v>
      </c>
      <c r="D10" s="27" t="n">
        <v>23.26</v>
      </c>
      <c r="E10" s="32" t="n">
        <v>0.0316336</v>
      </c>
      <c r="F10" s="32" t="n">
        <v>0.0016282</v>
      </c>
      <c r="G10" s="32" t="n">
        <v>0.0300054</v>
      </c>
      <c r="H10" s="33"/>
      <c r="I10" s="42" t="n">
        <v>0.006978</v>
      </c>
      <c r="J10" s="43" t="n">
        <v>0.100018</v>
      </c>
      <c r="K10" s="35"/>
      <c r="L10" s="44"/>
      <c r="M10" s="45"/>
      <c r="N10" s="45"/>
      <c r="O10" s="44"/>
      <c r="P10" s="46"/>
      <c r="Q10" s="44"/>
      <c r="R10" s="46"/>
      <c r="S10" s="44"/>
      <c r="T10" s="44"/>
    </row>
    <row r="11" customFormat="false" ht="15.75" hidden="false" customHeight="true" outlineLevel="0" collapsed="false">
      <c r="A11" s="17" t="s">
        <v>32</v>
      </c>
      <c r="B11" s="25" t="s">
        <v>33</v>
      </c>
      <c r="C11" s="26" t="n">
        <v>40</v>
      </c>
      <c r="D11" s="27" t="n">
        <v>4</v>
      </c>
      <c r="E11" s="33"/>
      <c r="F11" s="33"/>
      <c r="G11" s="33"/>
      <c r="H11" s="33"/>
      <c r="I11" s="33"/>
      <c r="J11" s="47"/>
      <c r="K11" s="48" t="n">
        <v>0.006016</v>
      </c>
      <c r="L11" s="32" t="n">
        <v>0.004888</v>
      </c>
      <c r="M11" s="33"/>
      <c r="N11" s="33"/>
      <c r="O11" s="33"/>
      <c r="P11" s="49"/>
      <c r="Q11" s="33"/>
      <c r="R11" s="49"/>
      <c r="S11" s="33"/>
      <c r="T11" s="33"/>
    </row>
    <row r="12" customFormat="false" ht="15" hidden="false" customHeight="false" outlineLevel="0" collapsed="false">
      <c r="A12" s="50" t="s">
        <v>34</v>
      </c>
      <c r="B12" s="25" t="s">
        <v>35</v>
      </c>
      <c r="C12" s="26" t="n">
        <v>1.2</v>
      </c>
      <c r="D12" s="27" t="n">
        <v>0.12</v>
      </c>
      <c r="E12" s="33"/>
      <c r="F12" s="33"/>
      <c r="G12" s="33"/>
      <c r="H12" s="33"/>
      <c r="I12" s="33"/>
      <c r="J12" s="47"/>
      <c r="K12" s="51"/>
      <c r="L12" s="37"/>
      <c r="M12" s="52" t="n">
        <v>0.00021</v>
      </c>
      <c r="N12" s="53"/>
      <c r="O12" s="53"/>
      <c r="P12" s="54"/>
      <c r="Q12" s="37"/>
      <c r="R12" s="55"/>
      <c r="S12" s="53"/>
      <c r="T12" s="53"/>
    </row>
    <row r="13" customFormat="false" ht="15" hidden="false" customHeight="false" outlineLevel="0" collapsed="false">
      <c r="A13" s="17" t="s">
        <v>36</v>
      </c>
      <c r="B13" s="25" t="s">
        <v>37</v>
      </c>
      <c r="C13" s="26" t="n">
        <v>0.2</v>
      </c>
      <c r="D13" s="27" t="n">
        <v>0.015</v>
      </c>
      <c r="E13" s="33"/>
      <c r="F13" s="33" t="s">
        <v>38</v>
      </c>
      <c r="G13" s="33"/>
      <c r="H13" s="33"/>
      <c r="I13" s="33"/>
      <c r="J13" s="47"/>
      <c r="K13" s="51"/>
      <c r="L13" s="52" t="n">
        <v>1.65E-005</v>
      </c>
      <c r="M13" s="53"/>
      <c r="N13" s="56" t="n">
        <v>3E-005</v>
      </c>
      <c r="O13" s="53"/>
      <c r="P13" s="54"/>
      <c r="Q13" s="37"/>
      <c r="R13" s="55"/>
      <c r="S13" s="53"/>
      <c r="T13" s="53"/>
    </row>
    <row r="14" customFormat="false" ht="15" hidden="false" customHeight="false" outlineLevel="0" collapsed="false">
      <c r="A14" s="17" t="s">
        <v>39</v>
      </c>
      <c r="B14" s="25" t="s">
        <v>40</v>
      </c>
      <c r="C14" s="26" t="n">
        <v>0.8</v>
      </c>
      <c r="D14" s="41" t="n">
        <v>0.08</v>
      </c>
      <c r="E14" s="33"/>
      <c r="F14" s="33"/>
      <c r="G14" s="33"/>
      <c r="H14" s="33"/>
      <c r="I14" s="33"/>
      <c r="J14" s="47"/>
      <c r="K14" s="57"/>
      <c r="L14" s="36" t="n">
        <v>0.000104</v>
      </c>
      <c r="M14" s="37"/>
      <c r="N14" s="37"/>
      <c r="O14" s="52" t="n">
        <v>0.0002</v>
      </c>
      <c r="P14" s="54"/>
      <c r="Q14" s="37"/>
      <c r="R14" s="54"/>
      <c r="S14" s="37"/>
      <c r="T14" s="37"/>
    </row>
    <row r="15" customFormat="false" ht="15" hidden="false" customHeight="false" outlineLevel="0" collapsed="false">
      <c r="A15" s="17" t="s">
        <v>41</v>
      </c>
      <c r="B15" s="25" t="s">
        <v>42</v>
      </c>
      <c r="C15" s="26" t="n">
        <v>2.5</v>
      </c>
      <c r="D15" s="27" t="n">
        <v>0.25</v>
      </c>
      <c r="E15" s="33"/>
      <c r="F15" s="33"/>
      <c r="G15" s="33"/>
      <c r="H15" s="33"/>
      <c r="I15" s="33"/>
      <c r="J15" s="47"/>
      <c r="K15" s="51"/>
      <c r="L15" s="52" t="n">
        <v>0.0003</v>
      </c>
      <c r="M15" s="37"/>
      <c r="N15" s="37"/>
      <c r="O15" s="37"/>
      <c r="P15" s="58" t="n">
        <v>0.0005</v>
      </c>
      <c r="Q15" s="37"/>
      <c r="R15" s="54"/>
      <c r="S15" s="37"/>
      <c r="T15" s="37"/>
    </row>
    <row r="16" customFormat="false" ht="15" hidden="false" customHeight="false" outlineLevel="0" collapsed="false">
      <c r="A16" s="17" t="s">
        <v>43</v>
      </c>
      <c r="B16" s="25" t="s">
        <v>44</v>
      </c>
      <c r="C16" s="26" t="n">
        <v>1.7</v>
      </c>
      <c r="D16" s="41" t="n">
        <v>0.17</v>
      </c>
      <c r="E16" s="33"/>
      <c r="F16" s="33"/>
      <c r="G16" s="33"/>
      <c r="H16" s="33"/>
      <c r="I16" s="33"/>
      <c r="J16" s="47"/>
      <c r="K16" s="51"/>
      <c r="L16" s="52" t="n">
        <v>0.000306</v>
      </c>
      <c r="M16" s="37"/>
      <c r="N16" s="37"/>
      <c r="O16" s="53"/>
      <c r="P16" s="54"/>
      <c r="Q16" s="52" t="n">
        <v>0.000527</v>
      </c>
      <c r="R16" s="55"/>
      <c r="S16" s="53"/>
      <c r="T16" s="53"/>
    </row>
    <row r="17" customFormat="false" ht="15" hidden="false" customHeight="false" outlineLevel="0" collapsed="false">
      <c r="A17" s="17" t="s">
        <v>45</v>
      </c>
      <c r="B17" s="25" t="s">
        <v>46</v>
      </c>
      <c r="C17" s="26" t="n">
        <v>0.13</v>
      </c>
      <c r="D17" s="27" t="n">
        <v>0.013</v>
      </c>
      <c r="E17" s="33"/>
      <c r="F17" s="33"/>
      <c r="G17" s="33"/>
      <c r="H17" s="33"/>
      <c r="I17" s="33"/>
      <c r="J17" s="47"/>
      <c r="K17" s="51"/>
      <c r="L17" s="37"/>
      <c r="M17" s="37"/>
      <c r="N17" s="37"/>
      <c r="O17" s="53"/>
      <c r="P17" s="54"/>
      <c r="Q17" s="37"/>
      <c r="R17" s="59" t="n">
        <v>5.07E-005</v>
      </c>
      <c r="S17" s="53"/>
      <c r="T17" s="53"/>
    </row>
    <row r="18" customFormat="false" ht="15" hidden="false" customHeight="false" outlineLevel="0" collapsed="false">
      <c r="A18" s="60" t="s">
        <v>47</v>
      </c>
      <c r="B18" s="61" t="s">
        <v>48</v>
      </c>
      <c r="C18" s="26" t="n">
        <v>2.9</v>
      </c>
      <c r="D18" s="41" t="n">
        <v>0.29</v>
      </c>
      <c r="E18" s="33"/>
      <c r="F18" s="33"/>
      <c r="G18" s="33"/>
      <c r="H18" s="33"/>
      <c r="I18" s="33"/>
      <c r="J18" s="47"/>
      <c r="K18" s="51"/>
      <c r="L18" s="37"/>
      <c r="M18" s="37"/>
      <c r="N18" s="37"/>
      <c r="O18" s="53"/>
      <c r="P18" s="54"/>
      <c r="Q18" s="37"/>
      <c r="R18" s="55"/>
      <c r="S18" s="52" t="n">
        <v>0.002784</v>
      </c>
      <c r="T18" s="53"/>
    </row>
    <row r="19" customFormat="false" ht="15" hidden="false" customHeight="false" outlineLevel="0" collapsed="false">
      <c r="A19" s="50" t="s">
        <v>49</v>
      </c>
      <c r="B19" s="62" t="s">
        <v>50</v>
      </c>
      <c r="C19" s="63" t="n">
        <v>0.6</v>
      </c>
      <c r="D19" s="64" t="n">
        <v>0.06</v>
      </c>
      <c r="E19" s="33"/>
      <c r="F19" s="33"/>
      <c r="G19" s="33"/>
      <c r="H19" s="33"/>
      <c r="I19" s="33"/>
      <c r="J19" s="47"/>
      <c r="K19" s="51"/>
      <c r="L19" s="52" t="n">
        <v>9.6E-005</v>
      </c>
      <c r="M19" s="37"/>
      <c r="N19" s="37"/>
      <c r="O19" s="53"/>
      <c r="P19" s="54"/>
      <c r="Q19" s="37"/>
      <c r="R19" s="55"/>
      <c r="S19" s="53"/>
      <c r="T19" s="52" t="n">
        <v>0.00021</v>
      </c>
    </row>
    <row r="20" customFormat="false" ht="15" hidden="false" customHeight="false" outlineLevel="0" collapsed="false">
      <c r="A20" s="65" t="s">
        <v>51</v>
      </c>
      <c r="B20" s="65"/>
      <c r="C20" s="66"/>
      <c r="D20" s="67"/>
      <c r="E20" s="33"/>
      <c r="F20" s="33"/>
      <c r="G20" s="33"/>
      <c r="H20" s="33"/>
      <c r="I20" s="33"/>
      <c r="J20" s="47"/>
      <c r="K20" s="51"/>
      <c r="L20" s="45"/>
      <c r="M20" s="45"/>
      <c r="N20" s="45"/>
      <c r="O20" s="45"/>
      <c r="P20" s="68"/>
      <c r="Q20" s="45"/>
      <c r="R20" s="68"/>
      <c r="S20" s="45"/>
      <c r="T20" s="45"/>
    </row>
    <row r="21" customFormat="false" ht="15" hidden="false" customHeight="false" outlineLevel="0" collapsed="false">
      <c r="A21" s="69" t="s">
        <v>52</v>
      </c>
      <c r="B21" s="70"/>
      <c r="C21" s="71" t="n">
        <v>21.07</v>
      </c>
      <c r="D21" s="20" t="n">
        <v>2.112</v>
      </c>
      <c r="E21" s="72"/>
      <c r="F21" s="72"/>
      <c r="G21" s="72"/>
      <c r="H21" s="72"/>
      <c r="I21" s="72"/>
      <c r="J21" s="73"/>
      <c r="K21" s="74"/>
      <c r="L21" s="75"/>
      <c r="M21" s="45"/>
      <c r="N21" s="45"/>
      <c r="O21" s="75"/>
      <c r="P21" s="76"/>
      <c r="Q21" s="75"/>
      <c r="R21" s="76"/>
      <c r="S21" s="75"/>
      <c r="T21" s="75"/>
    </row>
    <row r="22" customFormat="false" ht="15" hidden="false" customHeight="false" outlineLevel="0" collapsed="false">
      <c r="A22" s="77" t="s">
        <v>53</v>
      </c>
      <c r="B22" s="77"/>
      <c r="C22" s="78" t="n">
        <f aca="false">SUM(C7:C21)</f>
        <v>1000</v>
      </c>
      <c r="D22" s="79" t="n">
        <f aca="false">SUM(D7:D21)</f>
        <v>100</v>
      </c>
      <c r="E22" s="80"/>
      <c r="F22" s="80"/>
      <c r="G22" s="80"/>
      <c r="H22" s="80"/>
      <c r="I22" s="80"/>
      <c r="J22" s="81"/>
      <c r="K22" s="82"/>
      <c r="L22" s="82"/>
      <c r="M22" s="82"/>
      <c r="N22" s="82"/>
      <c r="O22" s="82"/>
      <c r="P22" s="76"/>
      <c r="Q22" s="82"/>
      <c r="R22" s="83"/>
      <c r="S22" s="82"/>
      <c r="T22" s="82"/>
    </row>
    <row r="23" customFormat="false" ht="15" hidden="false" customHeight="false" outlineLevel="0" collapsed="false">
      <c r="A23" s="84" t="s">
        <v>54</v>
      </c>
      <c r="B23" s="84"/>
      <c r="C23" s="84"/>
      <c r="D23" s="84"/>
      <c r="E23" s="85" t="n">
        <f aca="false">SUM(E7:E22)</f>
        <v>0.3000066</v>
      </c>
      <c r="F23" s="85" t="n">
        <f aca="false">SUM(F7:F22)</f>
        <v>0.0199912</v>
      </c>
      <c r="G23" s="85" t="n">
        <f aca="false">SUM(G9:G22)</f>
        <v>0.0300054</v>
      </c>
      <c r="H23" s="85" t="n">
        <f aca="false">SUM(H7:H22)</f>
        <v>0.25001</v>
      </c>
      <c r="I23" s="85" t="n">
        <f aca="false">SUM(I7:I22)</f>
        <v>0.100003</v>
      </c>
      <c r="J23" s="85" t="n">
        <f aca="false">SUM(J9:J22)</f>
        <v>0.100018</v>
      </c>
      <c r="K23" s="85" t="n">
        <f aca="false">SUM(K9:K22)</f>
        <v>0.006016</v>
      </c>
      <c r="L23" s="85" t="n">
        <f aca="false">SUM(L7:L22)</f>
        <v>0.0057825</v>
      </c>
      <c r="M23" s="86" t="n">
        <f aca="false">SUM(M9:M22)</f>
        <v>0.00021</v>
      </c>
      <c r="N23" s="87" t="n">
        <f aca="false">SUM(N7:N22)</f>
        <v>3E-005</v>
      </c>
      <c r="O23" s="88" t="n">
        <f aca="false">SUM(O9:O22)</f>
        <v>0.0002</v>
      </c>
      <c r="P23" s="89" t="n">
        <f aca="false">SUM(P9:P22)</f>
        <v>0.0005</v>
      </c>
      <c r="Q23" s="85" t="n">
        <f aca="false">SUM(Q9:Q22)</f>
        <v>0.000527</v>
      </c>
      <c r="R23" s="90" t="n">
        <f aca="false">SUM(R9:R22)</f>
        <v>5.07E-005</v>
      </c>
      <c r="S23" s="85" t="n">
        <f aca="false">SUM(S7:S22)</f>
        <v>0.002784</v>
      </c>
      <c r="T23" s="85" t="n">
        <f aca="false">SUM(T9:T22)</f>
        <v>0.00021</v>
      </c>
    </row>
    <row r="24" customFormat="false" ht="15" hidden="false" customHeight="false" outlineLevel="0" collapsed="false">
      <c r="A24" s="91"/>
      <c r="B24" s="92"/>
      <c r="C24" s="93"/>
      <c r="D24" s="93"/>
      <c r="E24" s="93"/>
      <c r="F24" s="93"/>
      <c r="G24" s="93"/>
      <c r="H24" s="93"/>
      <c r="I24" s="93"/>
      <c r="J24" s="94"/>
      <c r="K24" s="95"/>
      <c r="L24" s="94"/>
      <c r="M24" s="94"/>
      <c r="N24" s="94"/>
      <c r="O24" s="94"/>
      <c r="P24" s="94"/>
      <c r="Q24" s="94"/>
      <c r="R24" s="94"/>
      <c r="S24" s="94"/>
      <c r="T24" s="96"/>
    </row>
    <row r="25" customFormat="false" ht="18" hidden="false" customHeight="true" outlineLevel="0" collapsed="false">
      <c r="A25" s="97" t="s">
        <v>55</v>
      </c>
      <c r="B25" s="97"/>
      <c r="C25" s="97"/>
      <c r="D25" s="97"/>
      <c r="E25" s="98" t="n">
        <v>0.2955</v>
      </c>
      <c r="F25" s="98" t="n">
        <v>0.02</v>
      </c>
      <c r="G25" s="98" t="n">
        <v>0.0314</v>
      </c>
      <c r="H25" s="99" t="n">
        <v>0.2441</v>
      </c>
      <c r="I25" s="98" t="n">
        <v>0.1056</v>
      </c>
      <c r="J25" s="100" t="n">
        <v>0.1046</v>
      </c>
      <c r="K25" s="100" t="n">
        <v>0.0061</v>
      </c>
      <c r="L25" s="100" t="n">
        <v>0.004</v>
      </c>
      <c r="M25" s="100" t="n">
        <v>0.0002</v>
      </c>
      <c r="N25" s="101" t="n">
        <v>3E-005</v>
      </c>
      <c r="O25" s="100" t="n">
        <v>0.0001</v>
      </c>
      <c r="P25" s="100" t="n">
        <v>0.0003</v>
      </c>
      <c r="Q25" s="100" t="n">
        <v>0.0005</v>
      </c>
      <c r="R25" s="101" t="n">
        <v>4E-005</v>
      </c>
      <c r="S25" s="100" t="n">
        <v>0.0028</v>
      </c>
      <c r="T25" s="100" t="n">
        <v>0.0001</v>
      </c>
    </row>
    <row r="26" customFormat="false" ht="18" hidden="false" customHeight="true" outlineLevel="0" collapsed="false">
      <c r="A26" s="102"/>
      <c r="B26" s="102"/>
      <c r="C26" s="102"/>
      <c r="D26" s="102"/>
      <c r="E26" s="103"/>
      <c r="F26" s="103"/>
      <c r="G26" s="103"/>
      <c r="H26" s="104"/>
      <c r="I26" s="103"/>
      <c r="J26" s="105"/>
      <c r="K26" s="105"/>
      <c r="L26" s="105"/>
      <c r="M26" s="105"/>
      <c r="N26" s="106"/>
      <c r="O26" s="105"/>
      <c r="P26" s="105"/>
      <c r="Q26" s="105"/>
      <c r="R26" s="106"/>
      <c r="S26" s="106"/>
      <c r="T26" s="105"/>
    </row>
    <row r="27" customFormat="false" ht="18" hidden="false" customHeight="true" outlineLevel="0" collapsed="false">
      <c r="A27" s="107" t="s">
        <v>56</v>
      </c>
      <c r="B27" s="107"/>
      <c r="C27" s="107"/>
      <c r="D27" s="107"/>
      <c r="E27" s="108" t="n">
        <f aca="false">IF(E35&lt;0.01%,ROUND(E28,5)-ROUND(E35,5),ROUND(E28,4)-ROUND(E35,4))</f>
        <v>0.2856</v>
      </c>
      <c r="F27" s="108" t="n">
        <f aca="false">IF(F35&lt;0.01%,ROUND(F28,5)-ROUND(F35,5),ROUND(F28,4)-ROUND(F35,4))</f>
        <v>0.0119</v>
      </c>
      <c r="G27" s="108" t="n">
        <f aca="false">IF(G35&lt;0.01%,ROUND(G28,5)-ROUND(G35,5),ROUND(G28,4)-ROUND(G35,4))</f>
        <v>0.0219</v>
      </c>
      <c r="H27" s="108" t="n">
        <f aca="false">IF(H35&lt;0.01%,ROUND(H28,5)-ROUND(H35,5),ROUND(H28,4)-ROUND(H35,4))</f>
        <v>0.2363</v>
      </c>
      <c r="I27" s="108" t="n">
        <f aca="false">IF(I35&lt;0.01%,ROUND(I28,5)-ROUND(I35,5),ROUND(I28,4)-ROUND(I35,4))</f>
        <v>0.0898</v>
      </c>
      <c r="J27" s="108" t="n">
        <f aca="false">IF(J35&lt;0.01%,ROUND(J28,5)-ROUND(J35,5),ROUND(J28,4)-ROUND(J35,4))</f>
        <v>0.0891</v>
      </c>
      <c r="K27" s="109" t="n">
        <f aca="false">IF(K35&lt;0.01%,ROUND(K28,5)-ROUND(K35,5),ROUND(K28,4)-ROUND(K35,4))</f>
        <v>0.003</v>
      </c>
      <c r="L27" s="109" t="n">
        <f aca="false">IF(L35&lt;0.01%,ROUND(L28,5)-ROUND(L35,5),ROUND(L28,4)-ROUND(L35,4))</f>
        <v>0.0029</v>
      </c>
      <c r="M27" s="109" t="n">
        <f aca="false">IF(M35&lt;0.01%,ROUND(M28,5)-ROUND(M35,5),ROUND(M28,4)-ROUND(M35,4))</f>
        <v>0.0001</v>
      </c>
      <c r="N27" s="110" t="n">
        <f aca="false">IF(N35&lt;0.01%,ROUND(N28,5)-ROUND(N35,5),ROUND(N28,4)-ROUND(N35,4))</f>
        <v>2E-005</v>
      </c>
      <c r="O27" s="109" t="n">
        <f aca="false">IF(O35&lt;0.01%,ROUND(O28,5)-ROUND(O35,5),ROUND(O28,4)-ROUND(O35,4))</f>
        <v>0.0001</v>
      </c>
      <c r="P27" s="109" t="n">
        <f aca="false">IF(P35&lt;0.01%,ROUND(P28,5)-ROUND(P35,5),ROUND(P28,4)-ROUND(P35,4))</f>
        <v>0.0002</v>
      </c>
      <c r="Q27" s="109" t="n">
        <f aca="false">IF(Q35&lt;0.01%,ROUND(Q28,5)-ROUND(Q35,5),ROUND(Q28,4)-ROUND(Q35,4))</f>
        <v>0.0002</v>
      </c>
      <c r="R27" s="110" t="n">
        <f aca="false">IF(R35&lt;0.01%,ROUND(R28,5)-ROUND(R35,5),ROUND(R28,4)-ROUND(R35,4))</f>
        <v>3E-005</v>
      </c>
      <c r="S27" s="110"/>
      <c r="T27" s="109" t="n">
        <f aca="false">IF(T35&lt;0.01%,ROUND(T28,5)-ROUND(T35,5),ROUND(T28,4)-ROUND(T35,4))</f>
        <v>0.0001</v>
      </c>
    </row>
    <row r="28" customFormat="false" ht="15" hidden="false" customHeight="false" outlineLevel="0" collapsed="false">
      <c r="A28" s="111" t="s">
        <v>57</v>
      </c>
      <c r="B28" s="111"/>
      <c r="C28" s="111"/>
      <c r="D28" s="111"/>
      <c r="E28" s="112" t="n">
        <f aca="false">E23</f>
        <v>0.3000066</v>
      </c>
      <c r="F28" s="113" t="n">
        <f aca="false">F23</f>
        <v>0.0199912</v>
      </c>
      <c r="G28" s="113" t="n">
        <f aca="false">G23</f>
        <v>0.0300054</v>
      </c>
      <c r="H28" s="113" t="n">
        <f aca="false">H23</f>
        <v>0.25001</v>
      </c>
      <c r="I28" s="113" t="n">
        <f aca="false">I23</f>
        <v>0.100003</v>
      </c>
      <c r="J28" s="113" t="n">
        <f aca="false">J23</f>
        <v>0.100018</v>
      </c>
      <c r="K28" s="114" t="n">
        <f aca="false">K23</f>
        <v>0.006016</v>
      </c>
      <c r="L28" s="114" t="n">
        <f aca="false">L23</f>
        <v>0.0057825</v>
      </c>
      <c r="M28" s="114" t="n">
        <f aca="false">M23</f>
        <v>0.00021</v>
      </c>
      <c r="N28" s="115" t="n">
        <f aca="false">N23</f>
        <v>3E-005</v>
      </c>
      <c r="O28" s="114" t="n">
        <f aca="false">O23</f>
        <v>0.0002</v>
      </c>
      <c r="P28" s="114" t="n">
        <f aca="false">P23</f>
        <v>0.0005</v>
      </c>
      <c r="Q28" s="114" t="n">
        <f aca="false">Q23</f>
        <v>0.000527</v>
      </c>
      <c r="R28" s="115" t="n">
        <f aca="false">R23</f>
        <v>5.07E-005</v>
      </c>
      <c r="S28" s="114" t="n">
        <f aca="false">S23</f>
        <v>0.002784</v>
      </c>
      <c r="T28" s="114" t="n">
        <f aca="false">T23</f>
        <v>0.00021</v>
      </c>
    </row>
    <row r="29" customFormat="false" ht="18" hidden="false" customHeight="true" outlineLevel="0" collapsed="false">
      <c r="A29" s="116" t="s">
        <v>58</v>
      </c>
      <c r="B29" s="116"/>
      <c r="C29" s="116"/>
      <c r="D29" s="116"/>
      <c r="E29" s="117" t="n">
        <f aca="false">IF(E35&lt;0.01%,ROUND(E28,5)+ROUND(E35,5),ROUND(E28,4)+ROUND(E35,4))</f>
        <v>0.3144</v>
      </c>
      <c r="F29" s="117" t="n">
        <f aca="false">IF(F35&lt;0.01%,ROUND(F28,5)+ROUND(F35,5),ROUND(F28,4)+ROUND(F35,4))</f>
        <v>0.0281</v>
      </c>
      <c r="G29" s="117" t="n">
        <f aca="false">IF(G35&lt;0.01%,ROUND(G28,5)+ROUND(G35,5),ROUND(G28,4)+ROUND(G35,4))</f>
        <v>0.0381</v>
      </c>
      <c r="H29" s="117" t="n">
        <f aca="false">IF(H35&lt;0.01%,ROUND(H28,5)+ROUND(H35,5),ROUND(H28,4)+ROUND(H35,4))</f>
        <v>0.2637</v>
      </c>
      <c r="I29" s="117" t="n">
        <f aca="false">IF(I35&lt;0.01%,ROUND(I28,5)+ROUND(I35,5),ROUND(I28,4)+ROUND(I35,4))</f>
        <v>0.1102</v>
      </c>
      <c r="J29" s="117" t="n">
        <f aca="false">IF(J35&lt;0.01%,ROUND(J28,5)+ROUND(J35,5),ROUND(J28,4)+ROUND(J35,4))</f>
        <v>0.1109</v>
      </c>
      <c r="K29" s="118" t="n">
        <f aca="false">IF(K35&lt;0.01%,ROUND(K28,5)+ROUND(K35,5),ROUND(K28,4)+ROUND(K35,4))</f>
        <v>0.009</v>
      </c>
      <c r="L29" s="118" t="n">
        <f aca="false">IF(L35&lt;0.01%,ROUND(L28,5)+ROUND(L35,5),ROUND(L28,4)+ROUND(L35,4))</f>
        <v>0.0087</v>
      </c>
      <c r="M29" s="118" t="n">
        <f aca="false">IF(M35&lt;0.01%,ROUND(M28,5)+ROUND(M35,5),ROUND(M28,4)+ROUND(M35,4))</f>
        <v>0.0003</v>
      </c>
      <c r="N29" s="119" t="n">
        <f aca="false">IF(N35&lt;0.01%,ROUND(N28,5)+ROUND(N35,5),ROUND(N28,4)+ROUND(N35,4))</f>
        <v>4E-005</v>
      </c>
      <c r="O29" s="118" t="n">
        <f aca="false">IF(O35&lt;0.01%,ROUND(O28,5)+ROUND(O35,5),ROUND(O28,4)+ROUND(O35,4))</f>
        <v>0.0003</v>
      </c>
      <c r="P29" s="118" t="n">
        <f aca="false">IF(P35&lt;0.01%,ROUND(P28,5)+ROUND(P35,5),ROUND(P28,4)+ROUND(P35,4))</f>
        <v>0.0008</v>
      </c>
      <c r="Q29" s="118" t="n">
        <f aca="false">IF(Q35&lt;0.01%,ROUND(Q28,5)+ROUND(Q35,5),ROUND(Q28,4)+ROUND(Q35,4))</f>
        <v>0.0008</v>
      </c>
      <c r="R29" s="119" t="n">
        <f aca="false">IF(R35&lt;0.01%,ROUND(R28,5)+ROUND(R35,5),ROUND(R28,4)+ROUND(R35,4))</f>
        <v>7E-005</v>
      </c>
      <c r="S29" s="119"/>
      <c r="T29" s="118" t="n">
        <f aca="false">IF(T35&lt;0.01%,ROUND(T28,5)+ROUND(T35,5),ROUND(T28,4)+ROUND(T35,4))</f>
        <v>0.0003</v>
      </c>
    </row>
    <row r="30" customFormat="false" ht="15" hidden="false" customHeight="false" outlineLevel="0" collapsed="false">
      <c r="E30" s="120"/>
      <c r="F30" s="120"/>
      <c r="G30" s="121"/>
      <c r="H30" s="120"/>
      <c r="I30" s="120"/>
      <c r="J30" s="120"/>
      <c r="K30" s="122"/>
      <c r="L30" s="122"/>
      <c r="M30" s="122"/>
      <c r="N30" s="123"/>
      <c r="O30" s="122"/>
      <c r="P30" s="122"/>
      <c r="Q30" s="122"/>
      <c r="R30" s="123"/>
      <c r="S30" s="122"/>
      <c r="T30" s="122"/>
    </row>
    <row r="31" customFormat="false" ht="15" hidden="false" customHeight="false" outlineLevel="0" collapsed="false">
      <c r="E31" s="120"/>
      <c r="F31" s="120"/>
      <c r="G31" s="121"/>
      <c r="H31" s="120"/>
      <c r="I31" s="120"/>
      <c r="J31" s="120"/>
      <c r="K31" s="122"/>
      <c r="L31" s="122"/>
      <c r="M31" s="122"/>
      <c r="N31" s="122"/>
      <c r="O31" s="122"/>
      <c r="P31" s="122"/>
      <c r="Q31" s="122"/>
      <c r="R31" s="122"/>
      <c r="S31" s="122"/>
      <c r="T31" s="122"/>
    </row>
    <row r="32" customFormat="false" ht="15" hidden="false" customHeight="false" outlineLevel="0" collapsed="false">
      <c r="A32" s="124" t="s">
        <v>59</v>
      </c>
      <c r="B32" s="124"/>
      <c r="C32" s="124"/>
      <c r="D32" s="124"/>
      <c r="E32" s="125" t="n">
        <f aca="false">(-0.0005*100*100*E$28*E$28+0.0413*100*E$28+0.6533)/100</f>
        <v>0.014423074577822</v>
      </c>
      <c r="F32" s="126" t="n">
        <f aca="false">(-0.0005*10000*F$28*F$28+0.0413*100*F$28+0.6533)/100</f>
        <v>0.007338654156128</v>
      </c>
      <c r="G32" s="126" t="n">
        <f aca="false">(-0.0005*10000*G$28*G$28+0.0413*100*G$28+0.6533)/100</f>
        <v>0.007727206818542</v>
      </c>
      <c r="H32" s="126" t="n">
        <f aca="false">(-0.0005*10000*H$28*H$28+0.0413*100*H$28+0.6533)/100</f>
        <v>0.013733162995</v>
      </c>
      <c r="I32" s="126" t="n">
        <f aca="false">(-0.0005*10000*I$28*I$28+0.0413*100*I$28+0.6533)/100</f>
        <v>0.01016309389955</v>
      </c>
      <c r="J32" s="126" t="n">
        <f aca="false">(-0.0007*10000*J$28*J$28+0.0769*100*J$28+0.3941)/100</f>
        <v>0.01093213217732</v>
      </c>
      <c r="K32" s="127" t="n">
        <f aca="false">(0.5+0.125*100*K$28)/100</f>
        <v>0.005752</v>
      </c>
      <c r="L32" s="127" t="n">
        <f aca="false">(0.3+0.075*100*L$28)/100</f>
        <v>0.0034336875</v>
      </c>
      <c r="M32" s="127" t="n">
        <f aca="false">(0.005+0.25*100*M$28)/100</f>
        <v>0.0001025</v>
      </c>
      <c r="N32" s="128" t="n">
        <f aca="false">(0.000125+0.375*100*N$28)/100</f>
        <v>1.25E-005</v>
      </c>
      <c r="O32" s="128" t="n">
        <f aca="false">(0.015+0.3*100*O$28)/100</f>
        <v>0.00021</v>
      </c>
      <c r="P32" s="128" t="n">
        <f aca="false">(0.015+0.3*100*P$28)/100</f>
        <v>0.0003</v>
      </c>
      <c r="Q32" s="128" t="n">
        <f aca="false">(0.015+0.3*100*Q$28)/100</f>
        <v>0.0003081</v>
      </c>
      <c r="R32" s="128" t="n">
        <f aca="false">(0.000125+0.375*100*R$28)/100</f>
        <v>2.02625E-005</v>
      </c>
      <c r="S32" s="127"/>
      <c r="T32" s="129" t="n">
        <f aca="false">(0.015+0.3*100*T$28)/100</f>
        <v>0.000213</v>
      </c>
    </row>
    <row r="33" customFormat="false" ht="16.5" hidden="false" customHeight="true" outlineLevel="0" collapsed="false">
      <c r="A33" s="130" t="s">
        <v>60</v>
      </c>
      <c r="B33" s="130"/>
      <c r="C33" s="130"/>
      <c r="D33" s="130"/>
      <c r="E33" s="131" t="str">
        <f aca="false">IF(OR(E28&lt;0.04,E28&gt;0.32),"SI","NO")</f>
        <v>NO</v>
      </c>
      <c r="F33" s="132" t="str">
        <f aca="false">IF(OR(F28&lt;0.04,F28&gt;0.32),"SI","NO")</f>
        <v>SI</v>
      </c>
      <c r="G33" s="133" t="str">
        <f aca="false">IF(OR(G28&lt;0.04,G28&gt;0.32),"SI","NO")</f>
        <v>SI</v>
      </c>
      <c r="H33" s="132" t="str">
        <f aca="false">IF(OR(H28&lt;0.04,H28&gt;0.32),"SI","NO")</f>
        <v>NO</v>
      </c>
      <c r="I33" s="132" t="str">
        <f aca="false">IF(OR(I28&lt;0.04,I28&gt;0.32),"SI","NO")</f>
        <v>NO</v>
      </c>
      <c r="J33" s="134" t="str">
        <f aca="false">IF(OR(J28&lt;0.04,J28&gt;0.32),"SI","NO")</f>
        <v>NO</v>
      </c>
      <c r="K33" s="135"/>
      <c r="L33" s="136"/>
      <c r="M33" s="136"/>
      <c r="N33" s="136"/>
      <c r="O33" s="136"/>
      <c r="P33" s="136"/>
      <c r="Q33" s="136"/>
      <c r="R33" s="136"/>
      <c r="S33" s="136"/>
      <c r="T33" s="137"/>
    </row>
    <row r="34" customFormat="false" ht="17.25" hidden="false" customHeight="true" outlineLevel="0" collapsed="false">
      <c r="A34" s="130" t="s">
        <v>61</v>
      </c>
      <c r="B34" s="130"/>
      <c r="C34" s="130"/>
      <c r="D34" s="130"/>
      <c r="E34" s="138"/>
      <c r="F34" s="138"/>
      <c r="G34" s="139"/>
      <c r="H34" s="138"/>
      <c r="I34" s="138"/>
      <c r="J34" s="140"/>
      <c r="K34" s="141" t="str">
        <f aca="false">IF(K32&gt;K28/2,"SI","NO")</f>
        <v>SI</v>
      </c>
      <c r="L34" s="142" t="str">
        <f aca="false">IF(L32&gt;L28/2,"SI","NO")</f>
        <v>SI</v>
      </c>
      <c r="M34" s="142" t="str">
        <f aca="false">IF(M32&gt;M28/2,"SI","NO")</f>
        <v>NO</v>
      </c>
      <c r="N34" s="143" t="str">
        <f aca="false">IF(N32&gt;N28/2,"SI","NO")</f>
        <v>NO</v>
      </c>
      <c r="O34" s="142" t="str">
        <f aca="false">IF(O32&gt;O28/2,"SI","NO")</f>
        <v>SI</v>
      </c>
      <c r="P34" s="142" t="str">
        <f aca="false">IF(P32&gt;P28/2,"SI","NO")</f>
        <v>SI</v>
      </c>
      <c r="Q34" s="142" t="str">
        <f aca="false">IF(Q32&gt;Q28/2,"SI","NO")</f>
        <v>SI</v>
      </c>
      <c r="R34" s="143" t="str">
        <f aca="false">IF(R32&gt;R28/2,"SI","NO")</f>
        <v>NO</v>
      </c>
      <c r="S34" s="142"/>
      <c r="T34" s="144" t="str">
        <f aca="false">IF(T32&gt;T28/2,"SI","NO")</f>
        <v>SI</v>
      </c>
    </row>
    <row r="35" customFormat="false" ht="15" hidden="false" customHeight="false" outlineLevel="0" collapsed="false">
      <c r="A35" s="145" t="s">
        <v>62</v>
      </c>
      <c r="B35" s="145"/>
      <c r="C35" s="145"/>
      <c r="D35" s="145"/>
      <c r="E35" s="146" t="n">
        <f aca="false">IF(E33="NO",E32,IF(E28&lt;0.04,0.0081,0.0146))</f>
        <v>0.014423074577822</v>
      </c>
      <c r="F35" s="147" t="n">
        <f aca="false">IF(F33="NO",F32,IF(F28&lt;0.04,0.0081,0.0146))</f>
        <v>0.0081</v>
      </c>
      <c r="G35" s="147" t="n">
        <f aca="false">IF(G33="NO",G32,IF(G28&lt;0.04,0.0081,0.0146))</f>
        <v>0.0081</v>
      </c>
      <c r="H35" s="147" t="n">
        <f aca="false">IF(H33="NO",H32,IF(H28&lt;0.04,0.0081,0.0146))</f>
        <v>0.013733162995</v>
      </c>
      <c r="I35" s="147" t="n">
        <f aca="false">IF(I33="NO",I32,IF(I28&lt;0.04,0.0081,0.0146))</f>
        <v>0.01016309389955</v>
      </c>
      <c r="J35" s="147" t="n">
        <f aca="false">IF(J33="NO",J32,IF(J28&lt;0.04,0.0081,0.0146))</f>
        <v>0.01093213217732</v>
      </c>
      <c r="K35" s="148" t="n">
        <f aca="false">IF(K34="SI",K28/2,K32)</f>
        <v>0.003008</v>
      </c>
      <c r="L35" s="148" t="n">
        <f aca="false">IF(L34="SI",L28/2,L32)</f>
        <v>0.00289125</v>
      </c>
      <c r="M35" s="148" t="n">
        <f aca="false">IF(M34="SI",M28/2,M32)</f>
        <v>0.0001025</v>
      </c>
      <c r="N35" s="149" t="n">
        <f aca="false">IF(N34="SI",N28/2,N32)</f>
        <v>1.25E-005</v>
      </c>
      <c r="O35" s="149" t="n">
        <f aca="false">IF(O34="SI",O28/2,O32)</f>
        <v>0.0001</v>
      </c>
      <c r="P35" s="149" t="n">
        <f aca="false">IF(P34="SI",P28/2,P32)</f>
        <v>0.00025</v>
      </c>
      <c r="Q35" s="149" t="n">
        <f aca="false">IF(Q34="SI",Q28/2,Q32)</f>
        <v>0.0002635</v>
      </c>
      <c r="R35" s="149" t="n">
        <f aca="false">IF(R34="SI",R28/2,R32)</f>
        <v>2.02625E-005</v>
      </c>
      <c r="S35" s="150"/>
      <c r="T35" s="151" t="n">
        <f aca="false">IF(T34="SI",T28/2,T32)</f>
        <v>0.000105</v>
      </c>
    </row>
    <row r="36" customFormat="false" ht="15" hidden="false" customHeight="false" outlineLevel="0" collapsed="false">
      <c r="A36" s="152" t="s">
        <v>63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</row>
    <row r="37" customFormat="false" ht="15" hidden="false" customHeight="false" outlineLevel="0" collapsed="false">
      <c r="A37" s="152" t="s">
        <v>64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</row>
    <row r="38" customFormat="false" ht="15" hidden="false" customHeight="false" outlineLevel="0" collapsed="false"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</row>
    <row r="39" customFormat="false" ht="15" hidden="false" customHeight="false" outlineLevel="0" collapsed="false">
      <c r="A39" s="124" t="s">
        <v>65</v>
      </c>
      <c r="B39" s="124"/>
      <c r="C39" s="124"/>
      <c r="D39" s="124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 t="s">
        <v>66</v>
      </c>
    </row>
    <row r="40" customFormat="false" ht="15" hidden="false" customHeight="true" outlineLevel="0" collapsed="false">
      <c r="A40" s="153" t="s">
        <v>67</v>
      </c>
      <c r="B40" s="153"/>
      <c r="C40" s="153"/>
      <c r="D40" s="153"/>
      <c r="E40" s="125" t="n">
        <f aca="false">(-0.0005*100*100*E$28*E$28+0.0413*100*E$28+0.6533)/100</f>
        <v>0.014423074577822</v>
      </c>
      <c r="F40" s="125" t="n">
        <f aca="false">(-0.0005*100*100*F$28*F$28+0.0413*100*F$28+0.6533)/100</f>
        <v>0.007338654156128</v>
      </c>
      <c r="G40" s="126" t="n">
        <f aca="false">(-0.0005*10000*G$28*G$28+0.0413*100*G$28+0.6533)/100</f>
        <v>0.007727206818542</v>
      </c>
      <c r="H40" s="126" t="n">
        <f aca="false">(-0.0005*10000*H$28*H$28+0.0413*100*H$28+0.6533)/100</f>
        <v>0.013733162995</v>
      </c>
      <c r="I40" s="126" t="n">
        <f aca="false">(-0.0005*10000*I$28*I$28+0.0413*100*I$28+0.6533)/100</f>
        <v>0.01016309389955</v>
      </c>
      <c r="J40" s="126" t="n">
        <f aca="false">(-0.0007*10000*J$28*J$28+0.0769*100*J$28+0.3941)/100</f>
        <v>0.01093213217732</v>
      </c>
      <c r="K40" s="135"/>
      <c r="L40" s="137"/>
      <c r="M40" s="136"/>
      <c r="N40" s="136"/>
      <c r="O40" s="136"/>
      <c r="P40" s="136"/>
      <c r="Q40" s="136"/>
      <c r="R40" s="136"/>
      <c r="S40" s="136"/>
      <c r="T40" s="137"/>
    </row>
    <row r="41" customFormat="false" ht="15" hidden="false" customHeight="true" outlineLevel="0" collapsed="false">
      <c r="A41" s="153" t="s">
        <v>68</v>
      </c>
      <c r="B41" s="153"/>
      <c r="C41" s="153"/>
      <c r="D41" s="153"/>
      <c r="E41" s="131" t="str">
        <f aca="false">IF(OR(E36&lt;0.04,E36&gt;0.32),"SI","NO")</f>
        <v>SI</v>
      </c>
      <c r="F41" s="131" t="str">
        <f aca="false">IF(OR(F36&lt;0.04,F36&gt;0.32),"SI","NO")</f>
        <v>SI</v>
      </c>
      <c r="G41" s="132" t="str">
        <f aca="false">IF(OR(G36&lt;0.04,G36&gt;0.32),"SI","NO")</f>
        <v>SI</v>
      </c>
      <c r="H41" s="133" t="str">
        <f aca="false">IF(OR(H36&lt;0.04,H36&gt;0.32),"SI","NO")</f>
        <v>SI</v>
      </c>
      <c r="I41" s="132" t="str">
        <f aca="false">IF(OR(I36&lt;0.04,I36&gt;0.32),"SI","NO")</f>
        <v>SI</v>
      </c>
      <c r="J41" s="134" t="str">
        <f aca="false">IF(OR(J36&lt;0.04,J36&gt;0.32),"SI","NO")</f>
        <v>SI</v>
      </c>
      <c r="K41" s="154" t="s">
        <v>69</v>
      </c>
      <c r="L41" s="155" t="s">
        <v>69</v>
      </c>
      <c r="M41" s="136"/>
      <c r="N41" s="136"/>
      <c r="O41" s="136"/>
      <c r="P41" s="136"/>
      <c r="Q41" s="136"/>
      <c r="R41" s="136"/>
      <c r="S41" s="136"/>
      <c r="T41" s="137"/>
    </row>
    <row r="42" customFormat="false" ht="15" hidden="false" customHeight="true" outlineLevel="0" collapsed="false">
      <c r="A42" s="153" t="s">
        <v>70</v>
      </c>
      <c r="B42" s="153"/>
      <c r="C42" s="153"/>
      <c r="D42" s="153"/>
      <c r="E42" s="138"/>
      <c r="F42" s="138"/>
      <c r="G42" s="138"/>
      <c r="H42" s="139"/>
      <c r="I42" s="138"/>
      <c r="J42" s="140"/>
      <c r="K42" s="135"/>
      <c r="L42" s="137"/>
      <c r="M42" s="131"/>
      <c r="N42" s="131"/>
      <c r="O42" s="131"/>
      <c r="P42" s="131"/>
      <c r="Q42" s="131"/>
      <c r="R42" s="131"/>
      <c r="S42" s="131"/>
      <c r="T42" s="131"/>
    </row>
    <row r="43" customFormat="false" ht="15" hidden="false" customHeight="true" outlineLevel="0" collapsed="false">
      <c r="A43" s="153" t="s">
        <v>71</v>
      </c>
      <c r="B43" s="153"/>
      <c r="C43" s="153"/>
      <c r="D43" s="153"/>
      <c r="E43" s="146" t="n">
        <f aca="false">IF(E41="NO",E40,IF(E36&lt;0.04,0.0081,0.0146))</f>
        <v>0.0081</v>
      </c>
      <c r="F43" s="146" t="n">
        <f aca="false">IF(F41="NO",F40,IF(F36&lt;0.04,0.0081,0.0146))</f>
        <v>0.0081</v>
      </c>
      <c r="G43" s="147" t="n">
        <f aca="false">IF(G41="NO",G40,IF(G36&lt;0.04,0.0081,0.0146))</f>
        <v>0.0081</v>
      </c>
      <c r="H43" s="147" t="n">
        <f aca="false">IF(H41="NO",H40,IF(H36&lt;0.04,0.0081,0.0146))</f>
        <v>0.0081</v>
      </c>
      <c r="I43" s="147" t="n">
        <f aca="false">IF(I41="NO",I40,IF(I36&lt;0.04,0.0081,0.0146))</f>
        <v>0.0081</v>
      </c>
      <c r="J43" s="147" t="n">
        <f aca="false">IF(J41="NO",J40,IF(J36&lt;0.04,0.0069,0.0214))</f>
        <v>0.0069</v>
      </c>
      <c r="K43" s="135"/>
      <c r="L43" s="137"/>
      <c r="M43" s="154" t="str">
        <f aca="false">IF(M28&gt;=0.02%,"SI","NO")</f>
        <v>SI</v>
      </c>
      <c r="N43" s="156" t="str">
        <f aca="false">IF(N28=N23,"SI","NO")</f>
        <v>SI</v>
      </c>
      <c r="O43" s="156" t="str">
        <f aca="false">IF(O28&gt;=0.01%,"SI","NO")</f>
        <v>SI</v>
      </c>
      <c r="P43" s="156" t="str">
        <f aca="false">IF(P28&gt;=0.01%,"SI","NO")</f>
        <v>SI</v>
      </c>
      <c r="Q43" s="156" t="str">
        <f aca="false">IF(Q28&gt;=0.01%,"SI","NO")</f>
        <v>SI</v>
      </c>
      <c r="R43" s="156" t="str">
        <f aca="false">IF(R28&gt;=0.005%,"SI","NO")</f>
        <v>SI</v>
      </c>
      <c r="S43" s="156" t="str">
        <f aca="false">IF(S28&gt;=0.01%,"SI","NO")</f>
        <v>SI</v>
      </c>
      <c r="T43" s="156" t="str">
        <f aca="false">IF(T28&gt;=0.02%,"SI","NO")</f>
        <v>SI</v>
      </c>
    </row>
    <row r="45" customFormat="false" ht="15" hidden="false" customHeight="false" outlineLevel="0" collapsed="false">
      <c r="A45" s="152" t="s">
        <v>72</v>
      </c>
    </row>
  </sheetData>
  <mergeCells count="20">
    <mergeCell ref="A1:T1"/>
    <mergeCell ref="A2:T2"/>
    <mergeCell ref="A3:T3"/>
    <mergeCell ref="K5:T5"/>
    <mergeCell ref="A20:B20"/>
    <mergeCell ref="A22:B22"/>
    <mergeCell ref="A23:D23"/>
    <mergeCell ref="A25:D25"/>
    <mergeCell ref="A27:D27"/>
    <mergeCell ref="A28:D28"/>
    <mergeCell ref="A29:D29"/>
    <mergeCell ref="A32:D32"/>
    <mergeCell ref="A33:D33"/>
    <mergeCell ref="A34:D34"/>
    <mergeCell ref="A35:D35"/>
    <mergeCell ref="A39:D39"/>
    <mergeCell ref="A40:D40"/>
    <mergeCell ref="A41:D41"/>
    <mergeCell ref="A42:D42"/>
    <mergeCell ref="A43:D43"/>
  </mergeCells>
  <printOptions headings="false" gridLines="false" gridLinesSet="true" horizontalCentered="false" verticalCentered="false"/>
  <pageMargins left="0.0784722222222222" right="0" top="1.73194444444444" bottom="0.747916666666667" header="0.511811023622047" footer="0.511811023622047"/>
  <pageSetup paperSize="1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2021-10-20T23:05:00Z</dcterms:created>
  <dc:creator>sony</dc:creator>
  <dc:description/>
  <dc:language>en-US</dc:language>
  <cp:lastModifiedBy/>
  <cp:lastPrinted>2024-05-20T19:23:43Z</cp:lastPrinted>
  <dcterms:modified xsi:type="dcterms:W3CDTF">2026-03-25T10:33:23Z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