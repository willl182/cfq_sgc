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CLEO CAMASI ROJO X KI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  <sz val="10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6" fillId="4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0" fontId="3" fillId="5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6" fillId="6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BALANCE DE MATERIAS PRIMAS</t>
        </is>
      </c>
    </row>
    <row r="2">
      <c r="A2" s="2" t="inlineStr">
        <is>
          <t>NUCLEO CAMASI ROJO X KILO</t>
        </is>
      </c>
    </row>
    <row r="3">
      <c r="A3" s="3" t="inlineStr">
        <is>
          <t>CALFERQUIM S.A.S</t>
        </is>
      </c>
    </row>
    <row r="5">
      <c r="E5" s="4" t="inlineStr">
        <is>
          <t>ELEMENTOS</t>
        </is>
      </c>
    </row>
    <row r="6">
      <c r="A6" s="5" t="inlineStr">
        <is>
          <t>MATERIA PRIMA</t>
        </is>
      </c>
      <c r="B6" s="5" t="inlineStr">
        <is>
          <t>Composición</t>
        </is>
      </c>
      <c r="C6" s="5" t="inlineStr">
        <is>
          <t>Kg/Ton</t>
        </is>
      </c>
      <c r="D6" s="5" t="inlineStr">
        <is>
          <t>%/100 Kg</t>
        </is>
      </c>
      <c r="E6" s="5" t="inlineStr">
        <is>
          <t>Nitrógeno Total (N)</t>
        </is>
      </c>
      <c r="F6" s="5" t="inlineStr">
        <is>
          <t>Nitrógeno Amoniacal (N)</t>
        </is>
      </c>
      <c r="G6" s="5" t="inlineStr">
        <is>
          <t>Nitrógeno Nítrico (N)</t>
        </is>
      </c>
      <c r="H6" s="5" t="inlineStr">
        <is>
          <t>Nitrógeno Ureico (N)</t>
        </is>
      </c>
      <c r="I6" s="5" t="inlineStr">
        <is>
          <t>Fósforo Asimilable (P₂O₅)</t>
        </is>
      </c>
      <c r="J6" s="5" t="inlineStr">
        <is>
          <t>Potasio Soluble (K₂O)</t>
        </is>
      </c>
      <c r="K6" s="5" t="inlineStr">
        <is>
          <t>CaO</t>
        </is>
      </c>
      <c r="L6" s="5" t="inlineStr">
        <is>
          <t>MgO</t>
        </is>
      </c>
      <c r="M6" s="5" t="inlineStr">
        <is>
          <t>Azufre (S)</t>
        </is>
      </c>
      <c r="N6" s="5" t="inlineStr">
        <is>
          <t>Boro (B)</t>
        </is>
      </c>
      <c r="O6" s="5" t="inlineStr">
        <is>
          <t>Cobalto (Co)</t>
        </is>
      </c>
      <c r="P6" s="5" t="inlineStr">
        <is>
          <t>Cobre (Cu)</t>
        </is>
      </c>
      <c r="Q6" s="5" t="inlineStr">
        <is>
          <t>Hierro (Fe)</t>
        </is>
      </c>
      <c r="R6" s="5" t="inlineStr">
        <is>
          <t>Manganeso (Mn)</t>
        </is>
      </c>
      <c r="S6" s="5" t="inlineStr">
        <is>
          <t>Molibdeno (Mo)</t>
        </is>
      </c>
      <c r="T6" s="5" t="inlineStr">
        <is>
          <t>SiO₂</t>
        </is>
      </c>
      <c r="U6" s="5" t="inlineStr">
        <is>
          <t>Zinc (Zn)</t>
        </is>
      </c>
    </row>
    <row r="7">
      <c r="A7" s="6" t="inlineStr">
        <is>
          <t>BENTONITA ROJA X KILO</t>
        </is>
      </c>
      <c r="B7" s="6" t="inlineStr">
        <is>
          <t>1% MgO + 47% SiO₂</t>
        </is>
      </c>
      <c r="C7" s="7" t="n">
        <v>600</v>
      </c>
      <c r="D7" s="8" t="n">
        <v>60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9" t="n">
        <v>0.006</v>
      </c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9" t="n">
        <v>0.282</v>
      </c>
      <c r="U7" s="6" t="inlineStr"/>
    </row>
    <row r="8">
      <c r="A8" s="6" t="inlineStr">
        <is>
          <t>CARBONATO DE CALCIO X KILO</t>
        </is>
      </c>
      <c r="B8" s="6" t="inlineStr">
        <is>
          <t>40% CaO</t>
        </is>
      </c>
      <c r="C8" s="7" t="n">
        <v>350</v>
      </c>
      <c r="D8" s="8" t="n">
        <v>35</v>
      </c>
      <c r="E8" s="6" t="inlineStr"/>
      <c r="F8" s="6" t="inlineStr"/>
      <c r="G8" s="6" t="inlineStr"/>
      <c r="H8" s="6" t="inlineStr"/>
      <c r="I8" s="6" t="inlineStr"/>
      <c r="J8" s="6" t="inlineStr"/>
      <c r="K8" s="9" t="n">
        <v>0.14</v>
      </c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  <row r="9">
      <c r="A9" s="6" t="inlineStr">
        <is>
          <t>KIESERITA EN POLVO X KILO</t>
        </is>
      </c>
      <c r="B9" s="6" t="inlineStr">
        <is>
          <t>25% MgO + 20% S</t>
        </is>
      </c>
      <c r="C9" s="7" t="n">
        <v>50</v>
      </c>
      <c r="D9" s="8" t="n">
        <v>5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9" t="n">
        <v>0.0125</v>
      </c>
      <c r="M9" s="9" t="n">
        <v>0.01</v>
      </c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6" t="inlineStr">
        <is>
          <t>VINAZA X KILO</t>
        </is>
      </c>
      <c r="B10" s="6" t="inlineStr"/>
      <c r="C10" s="7" t="n">
        <v>100</v>
      </c>
      <c r="D10" s="8" t="n">
        <v>10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</row>
    <row r="11">
      <c r="A11" s="10" t="inlineStr">
        <is>
          <t>SUMATORIA</t>
        </is>
      </c>
      <c r="B11" s="11" t="n"/>
      <c r="C11" s="12">
        <f>SUM(C7:C10)</f>
        <v/>
      </c>
      <c r="D11" s="12">
        <f>SUM(D7:D10)</f>
        <v/>
      </c>
      <c r="E11" s="13">
        <f>SUM(E7:E10)</f>
        <v/>
      </c>
      <c r="F11" s="13">
        <f>SUM(F7:F10)</f>
        <v/>
      </c>
      <c r="G11" s="13">
        <f>SUM(G7:G10)</f>
        <v/>
      </c>
      <c r="H11" s="13">
        <f>SUM(H7:H10)</f>
        <v/>
      </c>
      <c r="I11" s="13">
        <f>SUM(I7:I10)</f>
        <v/>
      </c>
      <c r="J11" s="13">
        <f>SUM(J7:J10)</f>
        <v/>
      </c>
      <c r="K11" s="13">
        <f>SUM(K7:K10)</f>
        <v/>
      </c>
      <c r="L11" s="13">
        <f>SUM(L7:L10)</f>
        <v/>
      </c>
      <c r="M11" s="13">
        <f>SUM(M7:M10)</f>
        <v/>
      </c>
      <c r="N11" s="13">
        <f>SUM(N7:N10)</f>
        <v/>
      </c>
      <c r="O11" s="13">
        <f>SUM(O7:O10)</f>
        <v/>
      </c>
      <c r="P11" s="13">
        <f>SUM(P7:P10)</f>
        <v/>
      </c>
      <c r="Q11" s="13">
        <f>SUM(Q7:Q10)</f>
        <v/>
      </c>
      <c r="R11" s="13">
        <f>SUM(R7:R10)</f>
        <v/>
      </c>
      <c r="S11" s="13">
        <f>SUM(S7:S10)</f>
        <v/>
      </c>
      <c r="T11" s="13">
        <f>SUM(T7:T10)</f>
        <v/>
      </c>
      <c r="U11" s="13">
        <f>SUM(U7:U10)</f>
        <v/>
      </c>
    </row>
    <row r="13">
      <c r="A13" s="14" t="inlineStr">
        <is>
          <t>TOTAL CALFERQUIM S.A.S</t>
        </is>
      </c>
      <c r="B13" s="15" t="n"/>
      <c r="C13" s="15" t="n"/>
      <c r="D13" s="15" t="n"/>
      <c r="E13" s="16">
        <f>E11</f>
        <v/>
      </c>
      <c r="F13" s="16">
        <f>F11</f>
        <v/>
      </c>
      <c r="G13" s="16">
        <f>G11</f>
        <v/>
      </c>
      <c r="H13" s="16">
        <f>H11</f>
        <v/>
      </c>
      <c r="I13" s="16">
        <f>I11</f>
        <v/>
      </c>
      <c r="J13" s="16">
        <f>J11</f>
        <v/>
      </c>
      <c r="K13" s="16">
        <f>K11</f>
        <v/>
      </c>
      <c r="L13" s="16">
        <f>L11</f>
        <v/>
      </c>
      <c r="M13" s="16">
        <f>M11</f>
        <v/>
      </c>
      <c r="N13" s="16">
        <f>N11</f>
        <v/>
      </c>
      <c r="O13" s="16">
        <f>O11</f>
        <v/>
      </c>
      <c r="P13" s="16">
        <f>P11</f>
        <v/>
      </c>
      <c r="Q13" s="16">
        <f>Q11</f>
        <v/>
      </c>
      <c r="R13" s="16">
        <f>R11</f>
        <v/>
      </c>
      <c r="S13" s="16">
        <f>S11</f>
        <v/>
      </c>
      <c r="T13" s="16">
        <f>T11</f>
        <v/>
      </c>
      <c r="U13" s="16">
        <f>U11</f>
        <v/>
      </c>
    </row>
    <row r="15">
      <c r="A15" s="17" t="inlineStr">
        <is>
          <t>SOLICITUD DE REGISTRO ICA NUCLEO CAMASI ROJO X KILO</t>
        </is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</row>
  </sheetData>
  <mergeCells count="4">
    <mergeCell ref="A1:U1"/>
    <mergeCell ref="E5:U5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2026-03-18T03:08:13Z</dcterms:created>
  <dcterms:modified xsi:type="dcterms:W3CDTF">2026-03-18T03:08:13Z</dcterms:modified>
</cp:coreProperties>
</file>