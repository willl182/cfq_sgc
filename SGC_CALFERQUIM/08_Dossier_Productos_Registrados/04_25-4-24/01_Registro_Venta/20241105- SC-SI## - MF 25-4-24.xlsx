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3_areas\203.7_orden_produccion\"/>
    </mc:Choice>
  </mc:AlternateContent>
  <xr:revisionPtr revIDLastSave="0" documentId="13_ncr:1_{FD83A200-A30A-4F24-B3DB-96616BC521EF}" xr6:coauthVersionLast="47" xr6:coauthVersionMax="47" xr10:uidLastSave="{00000000-0000-0000-0000-000000000000}"/>
  <bookViews>
    <workbookView xWindow="-120" yWindow="-120" windowWidth="29040" windowHeight="15720" tabRatio="590" xr2:uid="{7C9D0BAB-2AEE-4050-98DF-F88AB49179B9}"/>
  </bookViews>
  <sheets>
    <sheet name="entra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0" i="1" l="1"/>
  <c r="H38" i="1" s="1"/>
  <c r="H19" i="1"/>
  <c r="H18" i="1"/>
  <c r="H17" i="1"/>
  <c r="F20" i="1"/>
  <c r="I38" i="1"/>
  <c r="F17" i="1"/>
  <c r="Q35" i="1" s="1"/>
  <c r="F31" i="1"/>
  <c r="D49" i="1"/>
  <c r="F30" i="1"/>
  <c r="B48" i="1"/>
  <c r="F29" i="1"/>
  <c r="F28" i="1"/>
  <c r="F27" i="1"/>
  <c r="E45" i="1"/>
  <c r="F45" i="1" s="1"/>
  <c r="C45" i="1"/>
  <c r="B45" i="1"/>
  <c r="F26" i="1"/>
  <c r="E43" i="1"/>
  <c r="F43" i="1" s="1"/>
  <c r="C43" i="1"/>
  <c r="B43" i="1"/>
  <c r="F24" i="1"/>
  <c r="D41" i="1"/>
  <c r="F19" i="1"/>
  <c r="E37" i="1"/>
  <c r="F37" i="1" s="1"/>
  <c r="C37" i="1"/>
  <c r="F18" i="1"/>
  <c r="C36" i="1"/>
  <c r="E35" i="1"/>
  <c r="F35" i="1" s="1"/>
  <c r="C35" i="1"/>
  <c r="B35" i="1"/>
  <c r="B37" i="1"/>
  <c r="D48" i="1"/>
  <c r="D47" i="1"/>
  <c r="D46" i="1"/>
  <c r="D45" i="1"/>
  <c r="D44" i="1"/>
  <c r="D43" i="1"/>
  <c r="D42" i="1"/>
  <c r="D40" i="1"/>
  <c r="D39" i="1"/>
  <c r="D38" i="1"/>
  <c r="D37" i="1"/>
  <c r="D36" i="1"/>
  <c r="D35" i="1"/>
  <c r="C38" i="1"/>
  <c r="C39" i="1"/>
  <c r="C40" i="1"/>
  <c r="C41" i="1"/>
  <c r="C42" i="1"/>
  <c r="C44" i="1"/>
  <c r="C46" i="1"/>
  <c r="C47" i="1"/>
  <c r="C48" i="1"/>
  <c r="C49" i="1"/>
  <c r="B50" i="1"/>
  <c r="E38" i="1"/>
  <c r="F38" i="1" s="1"/>
  <c r="E39" i="1"/>
  <c r="F39" i="1" s="1"/>
  <c r="E40" i="1"/>
  <c r="F40" i="1" s="1"/>
  <c r="E41" i="1"/>
  <c r="F41" i="1" s="1"/>
  <c r="E46" i="1"/>
  <c r="F46" i="1" s="1"/>
  <c r="E47" i="1"/>
  <c r="F47" i="1" s="1"/>
  <c r="E48" i="1"/>
  <c r="F48" i="1" s="1"/>
  <c r="E49" i="1"/>
  <c r="F49" i="1" s="1"/>
  <c r="B36" i="1"/>
  <c r="B38" i="1"/>
  <c r="B39" i="1"/>
  <c r="B40" i="1"/>
  <c r="B41" i="1"/>
  <c r="B42" i="1"/>
  <c r="B44" i="1"/>
  <c r="B46" i="1"/>
  <c r="B47" i="1"/>
  <c r="B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Z41" i="1"/>
  <c r="Y41" i="1"/>
  <c r="X41" i="1"/>
  <c r="W41" i="1"/>
  <c r="V41" i="1"/>
  <c r="U41" i="1"/>
  <c r="T41" i="1"/>
  <c r="S41" i="1"/>
  <c r="Q41" i="1"/>
  <c r="P41" i="1"/>
  <c r="O41" i="1"/>
  <c r="N41" i="1"/>
  <c r="M41" i="1"/>
  <c r="L41" i="1"/>
  <c r="K41" i="1"/>
  <c r="J41" i="1"/>
  <c r="I41" i="1"/>
  <c r="H41" i="1"/>
  <c r="G41" i="1"/>
  <c r="R41" i="1"/>
  <c r="Z40" i="1"/>
  <c r="X40" i="1"/>
  <c r="W40" i="1"/>
  <c r="V40" i="1"/>
  <c r="U40" i="1"/>
  <c r="T40" i="1"/>
  <c r="S40" i="1"/>
  <c r="R40" i="1"/>
  <c r="P40" i="1"/>
  <c r="O40" i="1"/>
  <c r="N40" i="1"/>
  <c r="M40" i="1"/>
  <c r="L40" i="1"/>
  <c r="K40" i="1"/>
  <c r="J40" i="1"/>
  <c r="I40" i="1"/>
  <c r="H40" i="1"/>
  <c r="G40" i="1"/>
  <c r="Z39" i="1"/>
  <c r="Y39" i="1"/>
  <c r="W39" i="1"/>
  <c r="V39" i="1"/>
  <c r="U39" i="1"/>
  <c r="T39" i="1"/>
  <c r="S39" i="1"/>
  <c r="R39" i="1"/>
  <c r="Q39" i="1"/>
  <c r="O39" i="1"/>
  <c r="N39" i="1"/>
  <c r="M39" i="1"/>
  <c r="L39" i="1"/>
  <c r="K39" i="1"/>
  <c r="J39" i="1"/>
  <c r="I39" i="1"/>
  <c r="H39" i="1"/>
  <c r="G39" i="1"/>
  <c r="Z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G38" i="1"/>
  <c r="Z37" i="1"/>
  <c r="Y37" i="1"/>
  <c r="X37" i="1"/>
  <c r="W37" i="1"/>
  <c r="V37" i="1"/>
  <c r="U37" i="1"/>
  <c r="T37" i="1"/>
  <c r="S37" i="1"/>
  <c r="R37" i="1"/>
  <c r="O37" i="1"/>
  <c r="M37" i="1"/>
  <c r="L37" i="1"/>
  <c r="K37" i="1"/>
  <c r="J37" i="1"/>
  <c r="I37" i="1"/>
  <c r="G37" i="1"/>
  <c r="Z36" i="1"/>
  <c r="Y36" i="1"/>
  <c r="X36" i="1"/>
  <c r="W36" i="1"/>
  <c r="V36" i="1"/>
  <c r="U36" i="1"/>
  <c r="T36" i="1"/>
  <c r="S36" i="1"/>
  <c r="R36" i="1"/>
  <c r="Q36" i="1"/>
  <c r="P36" i="1"/>
  <c r="O36" i="1"/>
  <c r="M36" i="1"/>
  <c r="L36" i="1"/>
  <c r="K36" i="1"/>
  <c r="J36" i="1"/>
  <c r="I36" i="1"/>
  <c r="H36" i="1"/>
  <c r="G36" i="1"/>
  <c r="Z35" i="1"/>
  <c r="Y35" i="1"/>
  <c r="W35" i="1"/>
  <c r="V35" i="1"/>
  <c r="T35" i="1"/>
  <c r="S35" i="1"/>
  <c r="R35" i="1"/>
  <c r="O35" i="1"/>
  <c r="N35" i="1"/>
  <c r="M35" i="1"/>
  <c r="L35" i="1"/>
  <c r="K35" i="1"/>
  <c r="J35" i="1"/>
  <c r="I35" i="1"/>
  <c r="Y40" i="1"/>
  <c r="P39" i="1"/>
  <c r="Y38" i="1"/>
  <c r="N37" i="1"/>
  <c r="N36" i="1"/>
  <c r="X35" i="1"/>
  <c r="H37" i="1" l="1"/>
  <c r="M10" i="1"/>
  <c r="N10" i="1"/>
  <c r="P35" i="1"/>
  <c r="Z10" i="1"/>
  <c r="L10" i="1"/>
  <c r="I10" i="1"/>
  <c r="J10" i="1"/>
  <c r="R10" i="1"/>
  <c r="K10" i="1"/>
  <c r="S10" i="1"/>
  <c r="T10" i="1"/>
  <c r="V10" i="1"/>
  <c r="W10" i="1"/>
  <c r="O10" i="1"/>
  <c r="Y10" i="1"/>
  <c r="F25" i="1"/>
  <c r="E44" i="1"/>
  <c r="F44" i="1" s="1"/>
  <c r="E36" i="1"/>
  <c r="F36" i="1" s="1"/>
  <c r="E50" i="1"/>
  <c r="E42" i="1"/>
  <c r="F42" i="1" s="1"/>
  <c r="U35" i="1"/>
  <c r="U10" i="1" s="1"/>
  <c r="Q40" i="1"/>
  <c r="P37" i="1"/>
  <c r="Q37" i="1"/>
  <c r="X39" i="1"/>
  <c r="X10" i="1" s="1"/>
  <c r="P10" i="1" l="1"/>
  <c r="Q10" i="1"/>
  <c r="F32" i="1"/>
  <c r="F50" i="1" l="1"/>
  <c r="G35" i="1"/>
  <c r="G10" i="1" s="1"/>
  <c r="H35" i="1" l="1"/>
  <c r="H10" i="1" s="1"/>
</calcChain>
</file>

<file path=xl/sharedStrings.xml><?xml version="1.0" encoding="utf-8"?>
<sst xmlns="http://schemas.openxmlformats.org/spreadsheetml/2006/main" count="94" uniqueCount="47">
  <si>
    <t>MATERIA PRIMA</t>
  </si>
  <si>
    <t>kg / Ton</t>
  </si>
  <si>
    <t>%/100 kg</t>
  </si>
  <si>
    <t>C</t>
  </si>
  <si>
    <t>N</t>
  </si>
  <si>
    <t>N-NH4</t>
  </si>
  <si>
    <t>N-NO3</t>
  </si>
  <si>
    <t>N-org</t>
  </si>
  <si>
    <t>N-ur</t>
  </si>
  <si>
    <t>P</t>
  </si>
  <si>
    <t>K</t>
  </si>
  <si>
    <t>CaO</t>
  </si>
  <si>
    <t>MgO</t>
  </si>
  <si>
    <t>S</t>
  </si>
  <si>
    <t>B</t>
  </si>
  <si>
    <t>Co</t>
  </si>
  <si>
    <t>Cu</t>
  </si>
  <si>
    <t>Fe</t>
  </si>
  <si>
    <t>Mn</t>
  </si>
  <si>
    <t>Mo</t>
  </si>
  <si>
    <t>SiO2</t>
  </si>
  <si>
    <t>Zn</t>
  </si>
  <si>
    <t>Na</t>
  </si>
  <si>
    <t>SUMA</t>
  </si>
  <si>
    <t>##</t>
  </si>
  <si>
    <t>SISTEMA DE GESTION INTEGRAL</t>
  </si>
  <si>
    <t>CODIGO:</t>
  </si>
  <si>
    <t>VERIFICADOR DE FORMULACIONES</t>
  </si>
  <si>
    <t>GRADO</t>
  </si>
  <si>
    <t>ELEMENTO</t>
  </si>
  <si>
    <t>CANTIDAD Y COMPOSICIÓN MATERIAS PRIMAS</t>
  </si>
  <si>
    <t>PROVEEDOR</t>
  </si>
  <si>
    <t>TIPO</t>
  </si>
  <si>
    <t>COMPOSICION PORCENTUAL POR ELEMENTO</t>
  </si>
  <si>
    <t>PRODUCTO</t>
  </si>
  <si>
    <t>LOTE</t>
  </si>
  <si>
    <t>UREA</t>
  </si>
  <si>
    <t>EVOAGRO</t>
  </si>
  <si>
    <t>CALFERQUIM</t>
  </si>
  <si>
    <t>KCL</t>
  </si>
  <si>
    <t>G</t>
  </si>
  <si>
    <t>DAP</t>
  </si>
  <si>
    <t>PRECISAGRO</t>
  </si>
  <si>
    <t>MF 25-4-24</t>
  </si>
  <si>
    <t>NUCLO 4</t>
  </si>
  <si>
    <t>DISAN</t>
  </si>
  <si>
    <t>82-051124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</si>
</sst>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Noto Sans"/>
      <family val="2"/>
    </font>
    <font>
      <sz val="16"/>
      <color theme="1"/>
      <name val="Noto Sans"/>
      <family val="2"/>
    </font>
    <font>
      <b/>
      <sz val="16"/>
      <color theme="1"/>
      <name val="Noto Sans"/>
      <family val="2"/>
    </font>
    <font>
      <b/>
      <sz val="11"/>
      <color theme="1"/>
      <name val="Noto Sans"/>
      <family val="2"/>
    </font>
    <font>
      <sz val="11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DDB6F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8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9" fontId="0" fillId="0" borderId="4" xfId="0" applyNumberForma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0" xfId="0" applyFill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21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3" xfId="0" applyFill="1" applyBorder="1" applyAlignment="1">
      <alignment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9" fontId="0" fillId="0" borderId="29" xfId="0" applyNumberFormat="1" applyBorder="1" applyAlignment="1">
      <alignment horizontal="center" vertical="center"/>
    </xf>
    <xf numFmtId="9" fontId="0" fillId="0" borderId="27" xfId="0" applyNumberFormat="1" applyBorder="1" applyAlignment="1">
      <alignment horizontal="center" vertical="center"/>
    </xf>
    <xf numFmtId="9" fontId="0" fillId="0" borderId="30" xfId="0" applyNumberFormat="1" applyBorder="1" applyAlignment="1">
      <alignment horizontal="center" vertical="center"/>
    </xf>
    <xf numFmtId="9" fontId="0" fillId="0" borderId="26" xfId="0" applyNumberFormat="1" applyBorder="1" applyAlignment="1">
      <alignment horizontal="center" vertical="center"/>
    </xf>
    <xf numFmtId="9" fontId="0" fillId="0" borderId="31" xfId="0" applyNumberForma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3" xfId="0" applyNumberFormat="1" applyBorder="1" applyAlignment="1">
      <alignment horizontal="center" vertical="center"/>
    </xf>
    <xf numFmtId="9" fontId="0" fillId="0" borderId="34" xfId="0" applyNumberFormat="1" applyBorder="1" applyAlignment="1">
      <alignment horizontal="center" vertical="center"/>
    </xf>
    <xf numFmtId="0" fontId="0" fillId="2" borderId="25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2" borderId="25" xfId="0" applyFill="1" applyBorder="1"/>
    <xf numFmtId="0" fontId="0" fillId="2" borderId="0" xfId="0" applyFill="1" applyBorder="1"/>
    <xf numFmtId="0" fontId="0" fillId="2" borderId="3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7" xfId="0" applyFill="1" applyBorder="1" applyAlignment="1">
      <alignment horizontal="center" vertical="center"/>
    </xf>
    <xf numFmtId="9" fontId="0" fillId="2" borderId="0" xfId="0" applyNumberFormat="1" applyFill="1" applyBorder="1"/>
    <xf numFmtId="9" fontId="0" fillId="2" borderId="0" xfId="1" applyFont="1" applyFill="1" applyBorder="1"/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medium">
          <color indexed="64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DDB6F"/>
      <color rgb="FFA1D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331693</xdr:colOff>
      <xdr:row>1</xdr:row>
      <xdr:rowOff>33618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EDCCDFE9-9353-452A-9F5F-AD6394C4A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7193" y="280147"/>
          <a:ext cx="1099458" cy="628612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FCEC19-F738-45BB-9C82-86567A238CDF}" name="Tabla2" displayName="Tabla2" ref="B34:Z49" totalsRowShown="0" headerRowDxfId="28" dataDxfId="26" headerRowBorderDxfId="27" tableBorderDxfId="25">
  <sortState xmlns:xlrd2="http://schemas.microsoft.com/office/spreadsheetml/2017/richdata2" ref="B35:Z49">
    <sortCondition ref="B34:B49"/>
  </sortState>
  <tableColumns count="25">
    <tableColumn id="1" xr3:uid="{81912DD1-92DD-4881-945A-654B9BF3184A}" name="MATERIA PRIMA" dataDxfId="24">
      <calculatedColumnFormula>B17</calculatedColumnFormula>
    </tableColumn>
    <tableColumn id="25" xr3:uid="{884606E3-7CE2-45C3-97BD-6CF08F8EEA9A}" name="PROVEEDOR" dataDxfId="23">
      <calculatedColumnFormula>C17</calculatedColumnFormula>
    </tableColumn>
    <tableColumn id="24" xr3:uid="{D0ACCF2F-C590-4F61-BFF0-DE4F6960D58D}" name="TIPO" dataDxfId="22">
      <calculatedColumnFormula>D17</calculatedColumnFormula>
    </tableColumn>
    <tableColumn id="2" xr3:uid="{AE74D918-DF3F-499C-8E04-946F506AE009}" name="kg / Ton" dataDxfId="21">
      <calculatedColumnFormula>E17</calculatedColumnFormula>
    </tableColumn>
    <tableColumn id="3" xr3:uid="{9F26846A-CE6E-4CFC-8327-03BEDE1F6186}" name="%/100 kg" dataDxfId="20">
      <calculatedColumnFormula>E35/10</calculatedColumnFormula>
    </tableColumn>
    <tableColumn id="4" xr3:uid="{4ABF355D-C14A-4662-A478-F12F186D7982}" name="C" dataDxfId="19">
      <calculatedColumnFormula>IF(G17="","",G17*$F17/$F$32)</calculatedColumnFormula>
    </tableColumn>
    <tableColumn id="5" xr3:uid="{567CCF88-2D3C-480B-BD19-F5F6D1039C60}" name="N" dataDxfId="18">
      <calculatedColumnFormula>IF(H17="","",SUM(I35:L35))</calculatedColumnFormula>
    </tableColumn>
    <tableColumn id="6" xr3:uid="{CCA2EC60-397B-4D2B-A5A8-FD633E13D6ED}" name="N-NH4" dataDxfId="17">
      <calculatedColumnFormula>IF(I17="","",I17*$F17/$F$32)</calculatedColumnFormula>
    </tableColumn>
    <tableColumn id="7" xr3:uid="{CD8D4980-2855-4825-B850-88627A3B5AD0}" name="N-NO3" dataDxfId="16">
      <calculatedColumnFormula>IF(J17="","",J17*$F17/$F$32)</calculatedColumnFormula>
    </tableColumn>
    <tableColumn id="8" xr3:uid="{56B106F1-A054-438D-8908-EB1DE964A89F}" name="N-org" dataDxfId="15">
      <calculatedColumnFormula>IF(K17="","",K17*$F17/$F$32)</calculatedColumnFormula>
    </tableColumn>
    <tableColumn id="9" xr3:uid="{DDFB1EF0-5869-478D-8CE0-CE1192E57980}" name="N-ur" dataDxfId="14">
      <calculatedColumnFormula>IF(L17="","",L17*$F17/$F$32)</calculatedColumnFormula>
    </tableColumn>
    <tableColumn id="10" xr3:uid="{C2148EBA-5086-445E-9A76-4625EF4D7F0B}" name="P" dataDxfId="13">
      <calculatedColumnFormula>IF(M17="","",M17*$F17/$F$32)</calculatedColumnFormula>
    </tableColumn>
    <tableColumn id="11" xr3:uid="{C6702B72-B92E-47C6-8674-8AA34DC5109A}" name="K" dataDxfId="12">
      <calculatedColumnFormula>IF(N17="","",N17*$F17/$F$32)</calculatedColumnFormula>
    </tableColumn>
    <tableColumn id="12" xr3:uid="{98B147E2-3129-4605-966E-0306061FA52F}" name="CaO" dataDxfId="11">
      <calculatedColumnFormula>IF(O17="","",O17*$F17/$F$32)</calculatedColumnFormula>
    </tableColumn>
    <tableColumn id="13" xr3:uid="{597C000A-F1BD-4EC3-8BB1-208C87CA5BCF}" name="MgO" dataDxfId="10">
      <calculatedColumnFormula>IF(P17="","",P17*$F17/$F$32)</calculatedColumnFormula>
    </tableColumn>
    <tableColumn id="14" xr3:uid="{39144FCD-1386-49C1-AB81-3BDF8B053A75}" name="S" dataDxfId="9">
      <calculatedColumnFormula>IF(Q17="","",Q17*$F17/$F$32)</calculatedColumnFormula>
    </tableColumn>
    <tableColumn id="15" xr3:uid="{77CFDAA6-18DB-4633-85DD-0CACCF938731}" name="B" dataDxfId="8">
      <calculatedColumnFormula>IF(R17="","",R17*$F17/$F$32)</calculatedColumnFormula>
    </tableColumn>
    <tableColumn id="16" xr3:uid="{2F8A72EE-86CB-454F-8E6B-187019CAE218}" name="Co" dataDxfId="7">
      <calculatedColumnFormula>IF(S17="","",S17*$F17/$F$32)</calculatedColumnFormula>
    </tableColumn>
    <tableColumn id="17" xr3:uid="{553C86FB-9920-440B-9C30-69E051FC9BEC}" name="Cu" dataDxfId="6">
      <calculatedColumnFormula>IF(T17="","",T17*$F17/$F$32)</calculatedColumnFormula>
    </tableColumn>
    <tableColumn id="18" xr3:uid="{5F5848B1-83A3-42E2-9121-20D37782F611}" name="Fe" dataDxfId="5">
      <calculatedColumnFormula>IF(U17="","",U17*$F17/$F$32)</calculatedColumnFormula>
    </tableColumn>
    <tableColumn id="19" xr3:uid="{B6224F62-519B-4357-B907-E3BDE03BDDE7}" name="Mn" dataDxfId="4">
      <calculatedColumnFormula>IF(V17="","",V17*$F17/$F$32)</calculatedColumnFormula>
    </tableColumn>
    <tableColumn id="20" xr3:uid="{4EEB8055-52E4-48A3-AD84-778B40D7D184}" name="Mo" dataDxfId="3">
      <calculatedColumnFormula>IF(W17="","",W17*$F17/$F$32)</calculatedColumnFormula>
    </tableColumn>
    <tableColumn id="21" xr3:uid="{84F23676-EF56-45DC-AF5E-04130A9E43E2}" name="SiO2" dataDxfId="2">
      <calculatedColumnFormula>IF(X17="","",X17*$F17/$F$32)</calculatedColumnFormula>
    </tableColumn>
    <tableColumn id="22" xr3:uid="{F5E07346-4680-4E5F-B7BE-274A82BAD724}" name="Zn" dataDxfId="1">
      <calculatedColumnFormula>IF(Y17="","",Y17*$F17/$F$32)</calculatedColumnFormula>
    </tableColumn>
    <tableColumn id="23" xr3:uid="{3AC0C550-5041-472C-8AD1-BD81835AA9E9}" name="Na" dataDxfId="0">
      <calculatedColumnFormula>IF(Z17="","",Z17*$F17/$F$32)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66B5-29DE-4F24-9A34-AE93A6998BA2}">
  <dimension ref="A1:AY88"/>
  <sheetViews>
    <sheetView tabSelected="1" zoomScale="85" zoomScaleNormal="85" workbookViewId="0">
      <selection activeCell="N8" sqref="N8"/>
    </sheetView>
  </sheetViews>
  <sheetFormatPr baseColWidth="10" defaultColWidth="8.88671875" defaultRowHeight="19.5" x14ac:dyDescent="0.45"/>
  <cols>
    <col min="1" max="1" width="8.88671875" style="23"/>
    <col min="2" max="2" width="14.44140625" style="2" bestFit="1" customWidth="1"/>
    <col min="3" max="3" width="14.33203125" style="2" bestFit="1" customWidth="1"/>
    <col min="4" max="4" width="8.88671875" style="2" customWidth="1"/>
    <col min="5" max="5" width="10.88671875" style="1" bestFit="1" customWidth="1"/>
    <col min="6" max="6" width="11" style="1" customWidth="1"/>
    <col min="7" max="7" width="9" style="2" bestFit="1" customWidth="1"/>
    <col min="8" max="8" width="10.33203125" style="2" bestFit="1" customWidth="1"/>
    <col min="9" max="13" width="9" style="2" bestFit="1" customWidth="1"/>
    <col min="14" max="14" width="9" style="2" customWidth="1"/>
    <col min="15" max="26" width="9" style="2" bestFit="1" customWidth="1"/>
    <col min="27" max="27" width="8.88671875" style="24"/>
    <col min="28" max="32" width="5.44140625" style="23" customWidth="1"/>
    <col min="33" max="50" width="5.44140625" style="2" customWidth="1"/>
    <col min="51" max="16384" width="8.88671875" style="2"/>
  </cols>
  <sheetData>
    <row r="1" spans="2:27" x14ac:dyDescent="0.4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23"/>
      <c r="X1" s="23"/>
      <c r="Y1" s="23"/>
      <c r="Z1" s="23"/>
    </row>
    <row r="2" spans="2:27" x14ac:dyDescent="0.45">
      <c r="B2" s="23"/>
      <c r="C2" s="23"/>
      <c r="D2" s="23"/>
      <c r="E2" s="6"/>
      <c r="F2" s="7"/>
      <c r="G2" s="8"/>
      <c r="H2" s="68" t="s">
        <v>27</v>
      </c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9"/>
      <c r="U2" s="69" t="s">
        <v>24</v>
      </c>
      <c r="V2" s="70"/>
      <c r="W2" s="23"/>
      <c r="X2" s="23"/>
      <c r="Y2" s="23"/>
      <c r="Z2" s="23"/>
    </row>
    <row r="3" spans="2:27" x14ac:dyDescent="0.45">
      <c r="B3" s="23"/>
      <c r="C3" s="23"/>
      <c r="D3" s="23"/>
      <c r="E3" s="11"/>
      <c r="F3" s="12"/>
      <c r="G3" s="13"/>
      <c r="H3" s="79" t="s">
        <v>25</v>
      </c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14"/>
      <c r="U3" s="69" t="s">
        <v>24</v>
      </c>
      <c r="V3" s="70"/>
      <c r="W3" s="23"/>
      <c r="X3" s="23"/>
      <c r="Y3" s="23"/>
      <c r="Z3" s="23"/>
    </row>
    <row r="4" spans="2:27" x14ac:dyDescent="0.45">
      <c r="B4" s="23"/>
      <c r="C4" s="23"/>
      <c r="D4" s="23"/>
      <c r="E4" s="15"/>
      <c r="F4" s="16"/>
      <c r="G4" s="17"/>
      <c r="H4" s="17" t="s">
        <v>26</v>
      </c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18"/>
      <c r="U4" s="19"/>
      <c r="V4" s="19"/>
      <c r="W4" s="23"/>
      <c r="X4" s="23"/>
      <c r="Y4" s="23"/>
      <c r="Z4" s="23"/>
    </row>
    <row r="5" spans="2:27" ht="20.25" thickBot="1" x14ac:dyDescent="0.5">
      <c r="B5" s="20"/>
      <c r="C5" s="20"/>
      <c r="D5" s="20"/>
      <c r="E5" s="20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10"/>
      <c r="W5" s="23"/>
      <c r="X5" s="23"/>
      <c r="Y5" s="23"/>
      <c r="Z5" s="23"/>
    </row>
    <row r="6" spans="2:27" ht="27.75" customHeight="1" thickBot="1" x14ac:dyDescent="0.5">
      <c r="B6" s="20"/>
      <c r="C6" s="20"/>
      <c r="D6" s="20"/>
      <c r="E6" s="20"/>
      <c r="F6" s="21"/>
      <c r="G6" s="82" t="s">
        <v>34</v>
      </c>
      <c r="H6" s="83"/>
      <c r="I6" s="83"/>
      <c r="J6" s="83"/>
      <c r="K6" s="83"/>
      <c r="L6" s="83"/>
      <c r="M6" s="84"/>
      <c r="N6" s="82" t="s">
        <v>35</v>
      </c>
      <c r="O6" s="83"/>
      <c r="P6" s="83"/>
      <c r="Q6" s="83"/>
      <c r="R6" s="83"/>
      <c r="S6" s="83"/>
      <c r="T6" s="84"/>
      <c r="U6" s="22"/>
      <c r="V6" s="10"/>
      <c r="W6" s="23"/>
      <c r="X6" s="23"/>
      <c r="Y6" s="23"/>
      <c r="Z6" s="23"/>
    </row>
    <row r="7" spans="2:27" ht="27.75" thickBot="1" x14ac:dyDescent="0.5">
      <c r="B7" s="20"/>
      <c r="C7" s="20"/>
      <c r="D7" s="20"/>
      <c r="E7" s="20"/>
      <c r="F7" s="21"/>
      <c r="G7" s="80" t="s">
        <v>43</v>
      </c>
      <c r="H7" s="81"/>
      <c r="I7" s="81"/>
      <c r="J7" s="81"/>
      <c r="K7" s="81"/>
      <c r="L7" s="81"/>
      <c r="M7" s="81"/>
      <c r="N7" s="65" t="s">
        <v>46</v>
      </c>
      <c r="O7" s="66"/>
      <c r="P7" s="66"/>
      <c r="Q7" s="66"/>
      <c r="R7" s="66"/>
      <c r="S7" s="66"/>
      <c r="T7" s="67"/>
      <c r="U7" s="22"/>
      <c r="V7" s="10"/>
      <c r="W7" s="23"/>
      <c r="X7" s="23"/>
      <c r="Y7" s="23"/>
      <c r="Z7" s="23"/>
    </row>
    <row r="8" spans="2:27" ht="20.25" thickBot="1" x14ac:dyDescent="0.5">
      <c r="B8" s="20"/>
      <c r="C8" s="20"/>
      <c r="D8" s="20"/>
      <c r="E8" s="20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2"/>
      <c r="U8" s="22"/>
      <c r="V8" s="10"/>
      <c r="W8" s="23"/>
      <c r="X8" s="23"/>
      <c r="Y8" s="23"/>
      <c r="Z8" s="23"/>
    </row>
    <row r="9" spans="2:27" ht="27" x14ac:dyDescent="0.6">
      <c r="B9" s="73" t="s">
        <v>29</v>
      </c>
      <c r="C9" s="74"/>
      <c r="D9" s="74"/>
      <c r="E9" s="74"/>
      <c r="F9" s="74"/>
      <c r="G9" s="28" t="s">
        <v>3</v>
      </c>
      <c r="H9" s="29" t="s">
        <v>4</v>
      </c>
      <c r="I9" s="29" t="s">
        <v>5</v>
      </c>
      <c r="J9" s="29" t="s">
        <v>6</v>
      </c>
      <c r="K9" s="29" t="s">
        <v>7</v>
      </c>
      <c r="L9" s="29" t="s">
        <v>8</v>
      </c>
      <c r="M9" s="29" t="s">
        <v>9</v>
      </c>
      <c r="N9" s="29" t="s">
        <v>10</v>
      </c>
      <c r="O9" s="29" t="s">
        <v>11</v>
      </c>
      <c r="P9" s="29" t="s">
        <v>12</v>
      </c>
      <c r="Q9" s="29" t="s">
        <v>13</v>
      </c>
      <c r="R9" s="29" t="s">
        <v>14</v>
      </c>
      <c r="S9" s="29" t="s">
        <v>15</v>
      </c>
      <c r="T9" s="29" t="s">
        <v>16</v>
      </c>
      <c r="U9" s="29" t="s">
        <v>17</v>
      </c>
      <c r="V9" s="29" t="s">
        <v>18</v>
      </c>
      <c r="W9" s="29" t="s">
        <v>19</v>
      </c>
      <c r="X9" s="29" t="s">
        <v>20</v>
      </c>
      <c r="Y9" s="29" t="s">
        <v>21</v>
      </c>
      <c r="Z9" s="30" t="s">
        <v>22</v>
      </c>
    </row>
    <row r="10" spans="2:27" ht="27.75" thickBot="1" x14ac:dyDescent="0.65">
      <c r="B10" s="71" t="s">
        <v>28</v>
      </c>
      <c r="C10" s="72"/>
      <c r="D10" s="72"/>
      <c r="E10" s="72"/>
      <c r="F10" s="72"/>
      <c r="G10" s="31">
        <f t="shared" ref="G10:Z10" si="0">SUM(G35:G49)</f>
        <v>0</v>
      </c>
      <c r="H10" s="32">
        <f t="shared" si="0"/>
        <v>0.249</v>
      </c>
      <c r="I10" s="32">
        <f t="shared" si="0"/>
        <v>1.44E-2</v>
      </c>
      <c r="J10" s="32">
        <f t="shared" si="0"/>
        <v>0</v>
      </c>
      <c r="K10" s="32">
        <f t="shared" si="0"/>
        <v>0</v>
      </c>
      <c r="L10" s="32">
        <f t="shared" si="0"/>
        <v>0.2346</v>
      </c>
      <c r="M10" s="32">
        <f t="shared" si="0"/>
        <v>3.6799999999999999E-2</v>
      </c>
      <c r="N10" s="32">
        <f t="shared" si="0"/>
        <v>0.22800000000000001</v>
      </c>
      <c r="O10" s="32">
        <f t="shared" si="0"/>
        <v>0</v>
      </c>
      <c r="P10" s="32">
        <f t="shared" si="0"/>
        <v>0</v>
      </c>
      <c r="Q10" s="32">
        <f t="shared" si="0"/>
        <v>0</v>
      </c>
      <c r="R10" s="32">
        <f t="shared" si="0"/>
        <v>0</v>
      </c>
      <c r="S10" s="32">
        <f t="shared" si="0"/>
        <v>0</v>
      </c>
      <c r="T10" s="32">
        <f t="shared" si="0"/>
        <v>0</v>
      </c>
      <c r="U10" s="32">
        <f t="shared" si="0"/>
        <v>0</v>
      </c>
      <c r="V10" s="32">
        <f t="shared" si="0"/>
        <v>0</v>
      </c>
      <c r="W10" s="32">
        <f t="shared" si="0"/>
        <v>0</v>
      </c>
      <c r="X10" s="32">
        <f t="shared" si="0"/>
        <v>0</v>
      </c>
      <c r="Y10" s="32">
        <f t="shared" si="0"/>
        <v>0</v>
      </c>
      <c r="Z10" s="33">
        <f t="shared" si="0"/>
        <v>0</v>
      </c>
    </row>
    <row r="11" spans="2:27" x14ac:dyDescent="0.45">
      <c r="B11" s="20"/>
      <c r="C11" s="20"/>
      <c r="D11" s="20"/>
      <c r="E11" s="20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2"/>
      <c r="U11" s="22"/>
      <c r="V11" s="10"/>
      <c r="W11" s="23"/>
      <c r="X11" s="23"/>
      <c r="Y11" s="23"/>
      <c r="Z11" s="23"/>
    </row>
    <row r="12" spans="2:27" ht="20.25" thickBot="1" x14ac:dyDescent="0.5">
      <c r="B12" s="20"/>
      <c r="C12" s="20"/>
      <c r="D12" s="20"/>
      <c r="E12" s="20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2"/>
      <c r="U12" s="22"/>
      <c r="V12" s="10"/>
      <c r="W12" s="23"/>
      <c r="X12" s="23"/>
      <c r="Y12" s="23"/>
      <c r="Z12" s="23"/>
    </row>
    <row r="13" spans="2:27" ht="27.75" thickBot="1" x14ac:dyDescent="0.65">
      <c r="B13" s="75" t="s">
        <v>30</v>
      </c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7"/>
    </row>
    <row r="14" spans="2:27" s="23" customFormat="1" ht="27.75" thickBot="1" x14ac:dyDescent="0.65">
      <c r="B14" s="34"/>
      <c r="C14" s="34"/>
      <c r="D14" s="34"/>
      <c r="E14" s="34"/>
      <c r="F14" s="34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24"/>
    </row>
    <row r="15" spans="2:27" ht="27.75" thickBot="1" x14ac:dyDescent="0.5">
      <c r="B15" s="24"/>
      <c r="C15" s="24"/>
      <c r="D15" s="24"/>
      <c r="E15" s="24"/>
      <c r="F15" s="24"/>
      <c r="G15" s="65" t="s">
        <v>33</v>
      </c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7"/>
    </row>
    <row r="16" spans="2:27" ht="20.25" thickBot="1" x14ac:dyDescent="0.5">
      <c r="B16" s="49" t="s">
        <v>0</v>
      </c>
      <c r="C16" s="49" t="s">
        <v>31</v>
      </c>
      <c r="D16" s="49" t="s">
        <v>32</v>
      </c>
      <c r="E16" s="54" t="s">
        <v>1</v>
      </c>
      <c r="F16" s="53" t="s">
        <v>2</v>
      </c>
      <c r="G16" s="51" t="s">
        <v>3</v>
      </c>
      <c r="H16" s="52" t="s">
        <v>4</v>
      </c>
      <c r="I16" s="52" t="s">
        <v>5</v>
      </c>
      <c r="J16" s="52" t="s">
        <v>6</v>
      </c>
      <c r="K16" s="52" t="s">
        <v>7</v>
      </c>
      <c r="L16" s="52" t="s">
        <v>8</v>
      </c>
      <c r="M16" s="52" t="s">
        <v>9</v>
      </c>
      <c r="N16" s="52" t="s">
        <v>10</v>
      </c>
      <c r="O16" s="52" t="s">
        <v>11</v>
      </c>
      <c r="P16" s="52" t="s">
        <v>12</v>
      </c>
      <c r="Q16" s="52" t="s">
        <v>13</v>
      </c>
      <c r="R16" s="52" t="s">
        <v>14</v>
      </c>
      <c r="S16" s="52" t="s">
        <v>15</v>
      </c>
      <c r="T16" s="52" t="s">
        <v>16</v>
      </c>
      <c r="U16" s="52" t="s">
        <v>17</v>
      </c>
      <c r="V16" s="52" t="s">
        <v>18</v>
      </c>
      <c r="W16" s="52" t="s">
        <v>19</v>
      </c>
      <c r="X16" s="52" t="s">
        <v>20</v>
      </c>
      <c r="Y16" s="52" t="s">
        <v>21</v>
      </c>
      <c r="Z16" s="53" t="s">
        <v>22</v>
      </c>
      <c r="AA16" s="25"/>
    </row>
    <row r="17" spans="2:51" x14ac:dyDescent="0.45">
      <c r="B17" s="44" t="s">
        <v>36</v>
      </c>
      <c r="C17" s="44" t="s">
        <v>37</v>
      </c>
      <c r="D17" s="44"/>
      <c r="E17" s="46">
        <v>510</v>
      </c>
      <c r="F17" s="27">
        <f>E17/10</f>
        <v>51</v>
      </c>
      <c r="G17" s="56"/>
      <c r="H17" s="64">
        <f>IF(SUM(I17:L17)=0,"",SUM(I17:L17))</f>
        <v>0.46</v>
      </c>
      <c r="I17" s="57"/>
      <c r="J17" s="57"/>
      <c r="K17" s="57"/>
      <c r="L17" s="63">
        <v>0.46</v>
      </c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8"/>
    </row>
    <row r="18" spans="2:51" x14ac:dyDescent="0.45">
      <c r="B18" s="44" t="s">
        <v>44</v>
      </c>
      <c r="C18" s="44" t="s">
        <v>38</v>
      </c>
      <c r="D18" s="44"/>
      <c r="E18" s="46">
        <v>30</v>
      </c>
      <c r="F18" s="27">
        <f t="shared" ref="F18:F31" si="1">E18/10</f>
        <v>3</v>
      </c>
      <c r="G18" s="56"/>
      <c r="H18" s="64" t="str">
        <f>IF(SUM(I18:L18)=0,"",SUM(I18:L18))</f>
        <v/>
      </c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8"/>
      <c r="AY18" s="4"/>
    </row>
    <row r="19" spans="2:51" x14ac:dyDescent="0.45">
      <c r="B19" s="44" t="s">
        <v>41</v>
      </c>
      <c r="C19" s="44" t="s">
        <v>45</v>
      </c>
      <c r="D19" s="44" t="s">
        <v>40</v>
      </c>
      <c r="E19" s="46">
        <v>80</v>
      </c>
      <c r="F19" s="27">
        <f t="shared" si="1"/>
        <v>8</v>
      </c>
      <c r="G19" s="56"/>
      <c r="H19" s="64">
        <f>IF(SUM(I19:L19)=0,"",SUM(I19:L19))</f>
        <v>0.18</v>
      </c>
      <c r="I19" s="63">
        <v>0.18</v>
      </c>
      <c r="J19" s="57"/>
      <c r="K19" s="57"/>
      <c r="L19" s="57"/>
      <c r="M19" s="63">
        <v>0.46</v>
      </c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8"/>
      <c r="AY19" s="4"/>
    </row>
    <row r="20" spans="2:51" x14ac:dyDescent="0.45">
      <c r="B20" s="44" t="s">
        <v>39</v>
      </c>
      <c r="C20" s="44" t="s">
        <v>42</v>
      </c>
      <c r="D20" s="44" t="s">
        <v>40</v>
      </c>
      <c r="E20" s="46">
        <v>380</v>
      </c>
      <c r="F20" s="27">
        <f t="shared" si="1"/>
        <v>38</v>
      </c>
      <c r="G20" s="56"/>
      <c r="H20" s="64" t="str">
        <f>IF(SUM(I20:L20)=0,"",SUM(I20:L20))</f>
        <v/>
      </c>
      <c r="I20" s="57"/>
      <c r="J20" s="57"/>
      <c r="K20" s="57"/>
      <c r="L20" s="57"/>
      <c r="M20" s="57"/>
      <c r="N20" s="63">
        <v>0.6</v>
      </c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8"/>
      <c r="AY20" s="4"/>
    </row>
    <row r="21" spans="2:51" x14ac:dyDescent="0.45">
      <c r="B21" s="44"/>
      <c r="C21" s="44"/>
      <c r="D21" s="44"/>
      <c r="E21" s="46"/>
      <c r="F21" s="27"/>
      <c r="G21" s="56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8"/>
      <c r="AY21" s="4"/>
    </row>
    <row r="22" spans="2:51" x14ac:dyDescent="0.45">
      <c r="B22" s="44"/>
      <c r="C22" s="44"/>
      <c r="D22" s="44"/>
      <c r="E22" s="46"/>
      <c r="F22" s="27"/>
      <c r="G22" s="56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8"/>
      <c r="AY22" s="4"/>
    </row>
    <row r="23" spans="2:51" x14ac:dyDescent="0.45">
      <c r="B23" s="44"/>
      <c r="C23" s="44"/>
      <c r="D23" s="44"/>
      <c r="E23" s="46"/>
      <c r="F23" s="27"/>
      <c r="G23" s="56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8"/>
      <c r="AY23" s="4"/>
    </row>
    <row r="24" spans="2:51" x14ac:dyDescent="0.45">
      <c r="B24" s="44"/>
      <c r="C24" s="44"/>
      <c r="D24" s="44"/>
      <c r="E24" s="46"/>
      <c r="F24" s="27">
        <f t="shared" si="1"/>
        <v>0</v>
      </c>
      <c r="G24" s="56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8"/>
      <c r="AY24" s="4"/>
    </row>
    <row r="25" spans="2:51" x14ac:dyDescent="0.45">
      <c r="B25" s="44"/>
      <c r="C25" s="44"/>
      <c r="D25" s="44"/>
      <c r="E25" s="46"/>
      <c r="F25" s="27">
        <f t="shared" si="1"/>
        <v>0</v>
      </c>
      <c r="G25" s="56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8"/>
      <c r="AY25" s="4"/>
    </row>
    <row r="26" spans="2:51" x14ac:dyDescent="0.45">
      <c r="B26" s="44"/>
      <c r="C26" s="44"/>
      <c r="D26" s="44"/>
      <c r="E26" s="46"/>
      <c r="F26" s="27">
        <f t="shared" si="1"/>
        <v>0</v>
      </c>
      <c r="G26" s="56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8"/>
      <c r="AY26" s="4"/>
    </row>
    <row r="27" spans="2:51" x14ac:dyDescent="0.45">
      <c r="B27" s="44"/>
      <c r="C27" s="44"/>
      <c r="D27" s="44"/>
      <c r="E27" s="46"/>
      <c r="F27" s="27">
        <f t="shared" si="1"/>
        <v>0</v>
      </c>
      <c r="G27" s="56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8"/>
      <c r="AY27" s="4"/>
    </row>
    <row r="28" spans="2:51" x14ac:dyDescent="0.45">
      <c r="B28" s="44"/>
      <c r="C28" s="44"/>
      <c r="D28" s="44"/>
      <c r="E28" s="46"/>
      <c r="F28" s="27">
        <f t="shared" si="1"/>
        <v>0</v>
      </c>
      <c r="G28" s="56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8"/>
      <c r="AY28" s="4"/>
    </row>
    <row r="29" spans="2:51" x14ac:dyDescent="0.45">
      <c r="B29" s="44"/>
      <c r="C29" s="44"/>
      <c r="D29" s="44"/>
      <c r="E29" s="46"/>
      <c r="F29" s="27">
        <f t="shared" si="1"/>
        <v>0</v>
      </c>
      <c r="G29" s="56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8"/>
      <c r="AY29" s="4"/>
    </row>
    <row r="30" spans="2:51" x14ac:dyDescent="0.45">
      <c r="B30" s="44"/>
      <c r="C30" s="44"/>
      <c r="D30" s="44"/>
      <c r="E30" s="46"/>
      <c r="F30" s="27">
        <f t="shared" si="1"/>
        <v>0</v>
      </c>
      <c r="G30" s="56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8"/>
      <c r="AY30" s="4"/>
    </row>
    <row r="31" spans="2:51" ht="20.25" thickBot="1" x14ac:dyDescent="0.5">
      <c r="B31" s="45"/>
      <c r="C31" s="45"/>
      <c r="D31" s="45"/>
      <c r="E31" s="47"/>
      <c r="F31" s="48">
        <f t="shared" si="1"/>
        <v>0</v>
      </c>
      <c r="G31" s="59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1"/>
      <c r="AY31" s="4"/>
    </row>
    <row r="32" spans="2:51" s="23" customFormat="1" x14ac:dyDescent="0.45">
      <c r="B32" s="23" t="s">
        <v>23</v>
      </c>
      <c r="E32" s="25">
        <v>1000</v>
      </c>
      <c r="F32" s="25">
        <f>$E32/10</f>
        <v>100</v>
      </c>
      <c r="AA32" s="24"/>
      <c r="AY32" s="26"/>
    </row>
    <row r="33" spans="1:51" s="23" customFormat="1" ht="20.25" thickBot="1" x14ac:dyDescent="0.5">
      <c r="E33" s="25"/>
      <c r="F33" s="25"/>
      <c r="AA33" s="24"/>
      <c r="AY33" s="26"/>
    </row>
    <row r="34" spans="1:51" ht="20.25" thickBot="1" x14ac:dyDescent="0.5">
      <c r="B34" s="55" t="s">
        <v>0</v>
      </c>
      <c r="C34" s="49" t="s">
        <v>31</v>
      </c>
      <c r="D34" s="49" t="s">
        <v>32</v>
      </c>
      <c r="E34" s="54" t="s">
        <v>1</v>
      </c>
      <c r="F34" s="50" t="s">
        <v>2</v>
      </c>
      <c r="G34" s="51" t="s">
        <v>3</v>
      </c>
      <c r="H34" s="52" t="s">
        <v>4</v>
      </c>
      <c r="I34" s="52" t="s">
        <v>5</v>
      </c>
      <c r="J34" s="52" t="s">
        <v>6</v>
      </c>
      <c r="K34" s="52" t="s">
        <v>7</v>
      </c>
      <c r="L34" s="52" t="s">
        <v>8</v>
      </c>
      <c r="M34" s="52" t="s">
        <v>9</v>
      </c>
      <c r="N34" s="52" t="s">
        <v>10</v>
      </c>
      <c r="O34" s="52" t="s">
        <v>11</v>
      </c>
      <c r="P34" s="52" t="s">
        <v>12</v>
      </c>
      <c r="Q34" s="52" t="s">
        <v>13</v>
      </c>
      <c r="R34" s="52" t="s">
        <v>14</v>
      </c>
      <c r="S34" s="52" t="s">
        <v>15</v>
      </c>
      <c r="T34" s="52" t="s">
        <v>16</v>
      </c>
      <c r="U34" s="52" t="s">
        <v>17</v>
      </c>
      <c r="V34" s="52" t="s">
        <v>18</v>
      </c>
      <c r="W34" s="52" t="s">
        <v>19</v>
      </c>
      <c r="X34" s="52" t="s">
        <v>20</v>
      </c>
      <c r="Y34" s="52" t="s">
        <v>21</v>
      </c>
      <c r="Z34" s="53" t="s">
        <v>22</v>
      </c>
    </row>
    <row r="35" spans="1:51" customFormat="1" x14ac:dyDescent="0.45">
      <c r="A35" s="24"/>
      <c r="B35" s="22" t="str">
        <f>B17</f>
        <v>UREA</v>
      </c>
      <c r="C35" s="44" t="str">
        <f>C17</f>
        <v>EVOAGRO</v>
      </c>
      <c r="D35" s="44">
        <f>D17</f>
        <v>0</v>
      </c>
      <c r="E35" s="46">
        <f>E17</f>
        <v>510</v>
      </c>
      <c r="F35" s="62">
        <f t="shared" ref="F35:F40" si="2">E35/10</f>
        <v>51</v>
      </c>
      <c r="G35" s="41" t="str">
        <f t="shared" ref="G35:G49" si="3">IF(G17="","",G17*$F17/$F$32)</f>
        <v/>
      </c>
      <c r="H35" s="42">
        <f t="shared" ref="H35:H49" si="4">IF(H17="","",SUM(I35:L35))</f>
        <v>0.2346</v>
      </c>
      <c r="I35" s="42" t="str">
        <f t="shared" ref="I35:Z35" si="5">IF(I17="","",I17*$F17/$F$32)</f>
        <v/>
      </c>
      <c r="J35" s="42" t="str">
        <f t="shared" si="5"/>
        <v/>
      </c>
      <c r="K35" s="42" t="str">
        <f t="shared" si="5"/>
        <v/>
      </c>
      <c r="L35" s="42">
        <f t="shared" si="5"/>
        <v>0.2346</v>
      </c>
      <c r="M35" s="42" t="str">
        <f t="shared" si="5"/>
        <v/>
      </c>
      <c r="N35" s="42" t="str">
        <f t="shared" si="5"/>
        <v/>
      </c>
      <c r="O35" s="42" t="str">
        <f t="shared" si="5"/>
        <v/>
      </c>
      <c r="P35" s="42" t="str">
        <f t="shared" si="5"/>
        <v/>
      </c>
      <c r="Q35" s="42" t="str">
        <f t="shared" si="5"/>
        <v/>
      </c>
      <c r="R35" s="42" t="str">
        <f t="shared" si="5"/>
        <v/>
      </c>
      <c r="S35" s="42" t="str">
        <f t="shared" si="5"/>
        <v/>
      </c>
      <c r="T35" s="42" t="str">
        <f t="shared" si="5"/>
        <v/>
      </c>
      <c r="U35" s="42" t="str">
        <f t="shared" si="5"/>
        <v/>
      </c>
      <c r="V35" s="42" t="str">
        <f t="shared" si="5"/>
        <v/>
      </c>
      <c r="W35" s="42" t="str">
        <f t="shared" si="5"/>
        <v/>
      </c>
      <c r="X35" s="42" t="str">
        <f t="shared" si="5"/>
        <v/>
      </c>
      <c r="Y35" s="42" t="str">
        <f t="shared" si="5"/>
        <v/>
      </c>
      <c r="Z35" s="43" t="str">
        <f t="shared" si="5"/>
        <v/>
      </c>
      <c r="AA35" s="24"/>
      <c r="AB35" s="23"/>
      <c r="AC35" s="23"/>
      <c r="AD35" s="23"/>
      <c r="AE35" s="23"/>
      <c r="AF35" s="23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1:51" customFormat="1" x14ac:dyDescent="0.45">
      <c r="A36" s="24"/>
      <c r="B36" s="22" t="str">
        <f t="shared" ref="B36:E49" si="6">B18</f>
        <v>NUCLO 4</v>
      </c>
      <c r="C36" s="44" t="str">
        <f t="shared" ref="C36:D49" si="7">C18</f>
        <v>CALFERQUIM</v>
      </c>
      <c r="D36" s="44">
        <f t="shared" si="7"/>
        <v>0</v>
      </c>
      <c r="E36" s="46">
        <f t="shared" si="6"/>
        <v>30</v>
      </c>
      <c r="F36" s="46">
        <f t="shared" si="2"/>
        <v>3</v>
      </c>
      <c r="G36" s="36" t="str">
        <f t="shared" si="3"/>
        <v/>
      </c>
      <c r="H36" s="3" t="str">
        <f t="shared" si="4"/>
        <v/>
      </c>
      <c r="I36" s="3" t="str">
        <f t="shared" ref="I36:Z36" si="8">IF(I18="","",I18*$F18/$F$32)</f>
        <v/>
      </c>
      <c r="J36" s="3" t="str">
        <f t="shared" si="8"/>
        <v/>
      </c>
      <c r="K36" s="3" t="str">
        <f t="shared" si="8"/>
        <v/>
      </c>
      <c r="L36" s="3" t="str">
        <f t="shared" si="8"/>
        <v/>
      </c>
      <c r="M36" s="3" t="str">
        <f t="shared" si="8"/>
        <v/>
      </c>
      <c r="N36" s="3" t="str">
        <f t="shared" si="8"/>
        <v/>
      </c>
      <c r="O36" s="3" t="str">
        <f t="shared" si="8"/>
        <v/>
      </c>
      <c r="P36" s="3" t="str">
        <f t="shared" si="8"/>
        <v/>
      </c>
      <c r="Q36" s="3" t="str">
        <f t="shared" si="8"/>
        <v/>
      </c>
      <c r="R36" s="3" t="str">
        <f t="shared" si="8"/>
        <v/>
      </c>
      <c r="S36" s="3" t="str">
        <f t="shared" si="8"/>
        <v/>
      </c>
      <c r="T36" s="3" t="str">
        <f t="shared" si="8"/>
        <v/>
      </c>
      <c r="U36" s="3" t="str">
        <f t="shared" si="8"/>
        <v/>
      </c>
      <c r="V36" s="3" t="str">
        <f t="shared" si="8"/>
        <v/>
      </c>
      <c r="W36" s="3" t="str">
        <f t="shared" si="8"/>
        <v/>
      </c>
      <c r="X36" s="3" t="str">
        <f t="shared" si="8"/>
        <v/>
      </c>
      <c r="Y36" s="3" t="str">
        <f t="shared" si="8"/>
        <v/>
      </c>
      <c r="Z36" s="37" t="str">
        <f t="shared" si="8"/>
        <v/>
      </c>
      <c r="AA36" s="24"/>
      <c r="AB36" s="23"/>
      <c r="AC36" s="23"/>
      <c r="AD36" s="23"/>
      <c r="AE36" s="23"/>
      <c r="AF36" s="23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1:51" customFormat="1" x14ac:dyDescent="0.45">
      <c r="A37" s="24"/>
      <c r="B37" s="22" t="str">
        <f t="shared" si="6"/>
        <v>DAP</v>
      </c>
      <c r="C37" s="44" t="str">
        <f t="shared" si="7"/>
        <v>DISAN</v>
      </c>
      <c r="D37" s="44" t="str">
        <f t="shared" si="7"/>
        <v>G</v>
      </c>
      <c r="E37" s="46">
        <f t="shared" si="6"/>
        <v>80</v>
      </c>
      <c r="F37" s="46">
        <f t="shared" si="2"/>
        <v>8</v>
      </c>
      <c r="G37" s="36" t="str">
        <f t="shared" si="3"/>
        <v/>
      </c>
      <c r="H37" s="3">
        <f t="shared" si="4"/>
        <v>1.44E-2</v>
      </c>
      <c r="I37" s="3">
        <f t="shared" ref="I37:Z37" si="9">IF(I19="","",I19*$F19/$F$32)</f>
        <v>1.44E-2</v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>
        <f t="shared" si="9"/>
        <v>3.6799999999999999E-2</v>
      </c>
      <c r="N37" s="3" t="str">
        <f t="shared" si="9"/>
        <v/>
      </c>
      <c r="O37" s="3" t="str">
        <f t="shared" si="9"/>
        <v/>
      </c>
      <c r="P37" s="3" t="str">
        <f t="shared" si="9"/>
        <v/>
      </c>
      <c r="Q37" s="3" t="str">
        <f t="shared" si="9"/>
        <v/>
      </c>
      <c r="R37" s="3" t="str">
        <f t="shared" si="9"/>
        <v/>
      </c>
      <c r="S37" s="3" t="str">
        <f t="shared" si="9"/>
        <v/>
      </c>
      <c r="T37" s="3" t="str">
        <f t="shared" si="9"/>
        <v/>
      </c>
      <c r="U37" s="3" t="str">
        <f t="shared" si="9"/>
        <v/>
      </c>
      <c r="V37" s="3" t="str">
        <f t="shared" si="9"/>
        <v/>
      </c>
      <c r="W37" s="3" t="str">
        <f t="shared" si="9"/>
        <v/>
      </c>
      <c r="X37" s="3" t="str">
        <f t="shared" si="9"/>
        <v/>
      </c>
      <c r="Y37" s="3" t="str">
        <f t="shared" si="9"/>
        <v/>
      </c>
      <c r="Z37" s="37" t="str">
        <f t="shared" si="9"/>
        <v/>
      </c>
      <c r="AA37" s="24"/>
      <c r="AB37" s="23"/>
      <c r="AC37" s="23"/>
      <c r="AD37" s="23"/>
      <c r="AE37" s="23"/>
      <c r="AF37" s="23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spans="1:51" customFormat="1" x14ac:dyDescent="0.45">
      <c r="A38" s="24"/>
      <c r="B38" s="22" t="str">
        <f t="shared" si="6"/>
        <v>KCL</v>
      </c>
      <c r="C38" s="44" t="str">
        <f t="shared" si="7"/>
        <v>PRECISAGRO</v>
      </c>
      <c r="D38" s="44" t="str">
        <f t="shared" si="7"/>
        <v>G</v>
      </c>
      <c r="E38" s="46">
        <f t="shared" si="6"/>
        <v>380</v>
      </c>
      <c r="F38" s="46">
        <f t="shared" si="2"/>
        <v>38</v>
      </c>
      <c r="G38" s="36" t="str">
        <f t="shared" si="3"/>
        <v/>
      </c>
      <c r="H38" s="3" t="str">
        <f t="shared" si="4"/>
        <v/>
      </c>
      <c r="I38" s="3" t="str">
        <f>IF(I20="","",I20*$F20/$F$32)</f>
        <v/>
      </c>
      <c r="J38" s="3" t="str">
        <f t="shared" ref="J38:Z38" si="10">IF(J20="","",J20*$F20/$F$32)</f>
        <v/>
      </c>
      <c r="K38" s="3" t="str">
        <f t="shared" si="10"/>
        <v/>
      </c>
      <c r="L38" s="3" t="str">
        <f t="shared" si="10"/>
        <v/>
      </c>
      <c r="M38" s="3" t="str">
        <f t="shared" si="10"/>
        <v/>
      </c>
      <c r="N38" s="3">
        <f t="shared" si="10"/>
        <v>0.22800000000000001</v>
      </c>
      <c r="O38" s="3" t="str">
        <f t="shared" si="10"/>
        <v/>
      </c>
      <c r="P38" s="3" t="str">
        <f t="shared" si="10"/>
        <v/>
      </c>
      <c r="Q38" s="3" t="str">
        <f t="shared" si="10"/>
        <v/>
      </c>
      <c r="R38" s="3" t="str">
        <f t="shared" si="10"/>
        <v/>
      </c>
      <c r="S38" s="3" t="str">
        <f t="shared" si="10"/>
        <v/>
      </c>
      <c r="T38" s="3" t="str">
        <f t="shared" si="10"/>
        <v/>
      </c>
      <c r="U38" s="3" t="str">
        <f t="shared" si="10"/>
        <v/>
      </c>
      <c r="V38" s="3" t="str">
        <f t="shared" si="10"/>
        <v/>
      </c>
      <c r="W38" s="3" t="str">
        <f t="shared" si="10"/>
        <v/>
      </c>
      <c r="X38" s="3" t="str">
        <f t="shared" si="10"/>
        <v/>
      </c>
      <c r="Y38" s="3" t="str">
        <f t="shared" si="10"/>
        <v/>
      </c>
      <c r="Z38" s="37" t="str">
        <f t="shared" si="10"/>
        <v/>
      </c>
      <c r="AA38" s="24"/>
      <c r="AB38" s="23"/>
      <c r="AC38" s="23"/>
      <c r="AD38" s="23"/>
      <c r="AE38" s="23"/>
      <c r="AF38" s="23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spans="1:51" customFormat="1" x14ac:dyDescent="0.45">
      <c r="A39" s="24"/>
      <c r="B39" s="22">
        <f t="shared" si="6"/>
        <v>0</v>
      </c>
      <c r="C39" s="44">
        <f t="shared" si="7"/>
        <v>0</v>
      </c>
      <c r="D39" s="44">
        <f t="shared" si="7"/>
        <v>0</v>
      </c>
      <c r="E39" s="46">
        <f t="shared" si="6"/>
        <v>0</v>
      </c>
      <c r="F39" s="46">
        <f t="shared" si="2"/>
        <v>0</v>
      </c>
      <c r="G39" s="36" t="str">
        <f t="shared" si="3"/>
        <v/>
      </c>
      <c r="H39" s="3" t="str">
        <f t="shared" si="4"/>
        <v/>
      </c>
      <c r="I39" s="3" t="str">
        <f t="shared" ref="I39:Z39" si="11">IF(I21="","",I21*$F21/$F$32)</f>
        <v/>
      </c>
      <c r="J39" s="3" t="str">
        <f t="shared" si="11"/>
        <v/>
      </c>
      <c r="K39" s="3" t="str">
        <f t="shared" si="11"/>
        <v/>
      </c>
      <c r="L39" s="3" t="str">
        <f t="shared" si="11"/>
        <v/>
      </c>
      <c r="M39" s="3" t="str">
        <f t="shared" si="11"/>
        <v/>
      </c>
      <c r="N39" s="3" t="str">
        <f t="shared" si="11"/>
        <v/>
      </c>
      <c r="O39" s="3" t="str">
        <f t="shared" si="11"/>
        <v/>
      </c>
      <c r="P39" s="3" t="str">
        <f t="shared" si="11"/>
        <v/>
      </c>
      <c r="Q39" s="3" t="str">
        <f t="shared" si="11"/>
        <v/>
      </c>
      <c r="R39" s="3" t="str">
        <f t="shared" si="11"/>
        <v/>
      </c>
      <c r="S39" s="3" t="str">
        <f t="shared" si="11"/>
        <v/>
      </c>
      <c r="T39" s="3" t="str">
        <f t="shared" si="11"/>
        <v/>
      </c>
      <c r="U39" s="3" t="str">
        <f t="shared" si="11"/>
        <v/>
      </c>
      <c r="V39" s="3" t="str">
        <f t="shared" si="11"/>
        <v/>
      </c>
      <c r="W39" s="3" t="str">
        <f t="shared" si="11"/>
        <v/>
      </c>
      <c r="X39" s="3" t="str">
        <f t="shared" si="11"/>
        <v/>
      </c>
      <c r="Y39" s="3" t="str">
        <f t="shared" si="11"/>
        <v/>
      </c>
      <c r="Z39" s="37" t="str">
        <f t="shared" si="11"/>
        <v/>
      </c>
      <c r="AA39" s="24"/>
      <c r="AB39" s="23"/>
      <c r="AC39" s="23"/>
      <c r="AD39" s="23"/>
      <c r="AE39" s="23"/>
      <c r="AF39" s="23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 customFormat="1" x14ac:dyDescent="0.45">
      <c r="A40" s="24"/>
      <c r="B40" s="22">
        <f t="shared" si="6"/>
        <v>0</v>
      </c>
      <c r="C40" s="44">
        <f t="shared" si="7"/>
        <v>0</v>
      </c>
      <c r="D40" s="44">
        <f t="shared" si="7"/>
        <v>0</v>
      </c>
      <c r="E40" s="46">
        <f t="shared" si="6"/>
        <v>0</v>
      </c>
      <c r="F40" s="46">
        <f t="shared" si="2"/>
        <v>0</v>
      </c>
      <c r="G40" s="36" t="str">
        <f t="shared" si="3"/>
        <v/>
      </c>
      <c r="H40" s="3" t="str">
        <f t="shared" si="4"/>
        <v/>
      </c>
      <c r="I40" s="3" t="str">
        <f t="shared" ref="I40:Z40" si="12">IF(I22="","",I22*$F22/$F$32)</f>
        <v/>
      </c>
      <c r="J40" s="3" t="str">
        <f t="shared" si="12"/>
        <v/>
      </c>
      <c r="K40" s="3" t="str">
        <f t="shared" si="12"/>
        <v/>
      </c>
      <c r="L40" s="3" t="str">
        <f t="shared" si="12"/>
        <v/>
      </c>
      <c r="M40" s="3" t="str">
        <f t="shared" si="12"/>
        <v/>
      </c>
      <c r="N40" s="3" t="str">
        <f t="shared" si="12"/>
        <v/>
      </c>
      <c r="O40" s="3" t="str">
        <f t="shared" si="12"/>
        <v/>
      </c>
      <c r="P40" s="3" t="str">
        <f t="shared" si="12"/>
        <v/>
      </c>
      <c r="Q40" s="3" t="str">
        <f t="shared" si="12"/>
        <v/>
      </c>
      <c r="R40" s="3" t="str">
        <f t="shared" si="12"/>
        <v/>
      </c>
      <c r="S40" s="3" t="str">
        <f t="shared" si="12"/>
        <v/>
      </c>
      <c r="T40" s="3" t="str">
        <f t="shared" si="12"/>
        <v/>
      </c>
      <c r="U40" s="3" t="str">
        <f t="shared" si="12"/>
        <v/>
      </c>
      <c r="V40" s="3" t="str">
        <f t="shared" si="12"/>
        <v/>
      </c>
      <c r="W40" s="3" t="str">
        <f t="shared" si="12"/>
        <v/>
      </c>
      <c r="X40" s="3" t="str">
        <f t="shared" si="12"/>
        <v/>
      </c>
      <c r="Y40" s="3" t="str">
        <f t="shared" si="12"/>
        <v/>
      </c>
      <c r="Z40" s="37" t="str">
        <f t="shared" si="12"/>
        <v/>
      </c>
      <c r="AA40" s="24"/>
      <c r="AB40" s="23"/>
      <c r="AC40" s="23"/>
      <c r="AD40" s="23"/>
      <c r="AE40" s="23"/>
      <c r="AF40" s="23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 customFormat="1" x14ac:dyDescent="0.45">
      <c r="A41" s="24"/>
      <c r="B41" s="22">
        <f t="shared" si="6"/>
        <v>0</v>
      </c>
      <c r="C41" s="44">
        <f t="shared" si="7"/>
        <v>0</v>
      </c>
      <c r="D41" s="44">
        <f t="shared" si="7"/>
        <v>0</v>
      </c>
      <c r="E41" s="46">
        <f t="shared" si="6"/>
        <v>0</v>
      </c>
      <c r="F41" s="46">
        <f t="shared" ref="F41:F49" si="13">E41/10</f>
        <v>0</v>
      </c>
      <c r="G41" s="36" t="str">
        <f t="shared" si="3"/>
        <v/>
      </c>
      <c r="H41" s="3" t="str">
        <f t="shared" si="4"/>
        <v/>
      </c>
      <c r="I41" s="3" t="str">
        <f t="shared" ref="I41:Z41" si="14">IF(I23="","",I23*$F23/$F$32)</f>
        <v/>
      </c>
      <c r="J41" s="3" t="str">
        <f t="shared" si="14"/>
        <v/>
      </c>
      <c r="K41" s="3" t="str">
        <f t="shared" si="14"/>
        <v/>
      </c>
      <c r="L41" s="3" t="str">
        <f t="shared" si="14"/>
        <v/>
      </c>
      <c r="M41" s="3" t="str">
        <f t="shared" si="14"/>
        <v/>
      </c>
      <c r="N41" s="3" t="str">
        <f t="shared" si="14"/>
        <v/>
      </c>
      <c r="O41" s="3" t="str">
        <f t="shared" si="14"/>
        <v/>
      </c>
      <c r="P41" s="3" t="str">
        <f t="shared" si="14"/>
        <v/>
      </c>
      <c r="Q41" s="3" t="str">
        <f t="shared" si="14"/>
        <v/>
      </c>
      <c r="R41" s="3" t="str">
        <f t="shared" si="14"/>
        <v/>
      </c>
      <c r="S41" s="3" t="str">
        <f t="shared" si="14"/>
        <v/>
      </c>
      <c r="T41" s="3" t="str">
        <f t="shared" si="14"/>
        <v/>
      </c>
      <c r="U41" s="3" t="str">
        <f t="shared" si="14"/>
        <v/>
      </c>
      <c r="V41" s="3" t="str">
        <f t="shared" si="14"/>
        <v/>
      </c>
      <c r="W41" s="3" t="str">
        <f t="shared" si="14"/>
        <v/>
      </c>
      <c r="X41" s="3" t="str">
        <f t="shared" si="14"/>
        <v/>
      </c>
      <c r="Y41" s="3" t="str">
        <f t="shared" si="14"/>
        <v/>
      </c>
      <c r="Z41" s="37" t="str">
        <f t="shared" si="14"/>
        <v/>
      </c>
      <c r="AA41" s="24"/>
      <c r="AB41" s="23"/>
      <c r="AC41" s="23"/>
      <c r="AD41" s="23"/>
      <c r="AE41" s="23"/>
      <c r="AF41" s="23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spans="1:51" customFormat="1" x14ac:dyDescent="0.45">
      <c r="A42" s="24"/>
      <c r="B42" s="22">
        <f t="shared" si="6"/>
        <v>0</v>
      </c>
      <c r="C42" s="44">
        <f t="shared" si="7"/>
        <v>0</v>
      </c>
      <c r="D42" s="44">
        <f t="shared" si="7"/>
        <v>0</v>
      </c>
      <c r="E42" s="46">
        <f t="shared" si="6"/>
        <v>0</v>
      </c>
      <c r="F42" s="46">
        <f t="shared" si="13"/>
        <v>0</v>
      </c>
      <c r="G42" s="36" t="str">
        <f t="shared" si="3"/>
        <v/>
      </c>
      <c r="H42" s="3" t="str">
        <f t="shared" si="4"/>
        <v/>
      </c>
      <c r="I42" s="3" t="str">
        <f t="shared" ref="I42:Z42" si="15">IF(I24="","",I24*$F24/$F$32)</f>
        <v/>
      </c>
      <c r="J42" s="3" t="str">
        <f t="shared" si="15"/>
        <v/>
      </c>
      <c r="K42" s="3" t="str">
        <f t="shared" si="15"/>
        <v/>
      </c>
      <c r="L42" s="3" t="str">
        <f t="shared" si="15"/>
        <v/>
      </c>
      <c r="M42" s="3" t="str">
        <f t="shared" si="15"/>
        <v/>
      </c>
      <c r="N42" s="3" t="str">
        <f t="shared" si="15"/>
        <v/>
      </c>
      <c r="O42" s="3" t="str">
        <f t="shared" si="15"/>
        <v/>
      </c>
      <c r="P42" s="3" t="str">
        <f t="shared" si="15"/>
        <v/>
      </c>
      <c r="Q42" s="3" t="str">
        <f t="shared" si="15"/>
        <v/>
      </c>
      <c r="R42" s="3" t="str">
        <f t="shared" si="15"/>
        <v/>
      </c>
      <c r="S42" s="3" t="str">
        <f t="shared" si="15"/>
        <v/>
      </c>
      <c r="T42" s="3" t="str">
        <f t="shared" si="15"/>
        <v/>
      </c>
      <c r="U42" s="3" t="str">
        <f t="shared" si="15"/>
        <v/>
      </c>
      <c r="V42" s="3" t="str">
        <f t="shared" si="15"/>
        <v/>
      </c>
      <c r="W42" s="3" t="str">
        <f t="shared" si="15"/>
        <v/>
      </c>
      <c r="X42" s="3" t="str">
        <f t="shared" si="15"/>
        <v/>
      </c>
      <c r="Y42" s="3" t="str">
        <f t="shared" si="15"/>
        <v/>
      </c>
      <c r="Z42" s="37" t="str">
        <f t="shared" si="15"/>
        <v/>
      </c>
      <c r="AA42" s="24"/>
      <c r="AB42" s="23"/>
      <c r="AC42" s="23"/>
      <c r="AD42" s="23"/>
      <c r="AE42" s="23"/>
      <c r="AF42" s="23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customFormat="1" x14ac:dyDescent="0.45">
      <c r="A43" s="24"/>
      <c r="B43" s="22">
        <f t="shared" si="6"/>
        <v>0</v>
      </c>
      <c r="C43" s="44">
        <f t="shared" si="7"/>
        <v>0</v>
      </c>
      <c r="D43" s="44">
        <f t="shared" si="7"/>
        <v>0</v>
      </c>
      <c r="E43" s="46">
        <f t="shared" si="6"/>
        <v>0</v>
      </c>
      <c r="F43" s="46">
        <f t="shared" si="13"/>
        <v>0</v>
      </c>
      <c r="G43" s="36" t="str">
        <f t="shared" si="3"/>
        <v/>
      </c>
      <c r="H43" s="3" t="str">
        <f t="shared" si="4"/>
        <v/>
      </c>
      <c r="I43" s="3" t="str">
        <f t="shared" ref="I43:Z43" si="16">IF(I25="","",I25*$F25/$F$32)</f>
        <v/>
      </c>
      <c r="J43" s="3" t="str">
        <f t="shared" si="16"/>
        <v/>
      </c>
      <c r="K43" s="3" t="str">
        <f t="shared" si="16"/>
        <v/>
      </c>
      <c r="L43" s="3" t="str">
        <f t="shared" si="16"/>
        <v/>
      </c>
      <c r="M43" s="3" t="str">
        <f t="shared" si="16"/>
        <v/>
      </c>
      <c r="N43" s="3" t="str">
        <f t="shared" si="16"/>
        <v/>
      </c>
      <c r="O43" s="3" t="str">
        <f t="shared" si="16"/>
        <v/>
      </c>
      <c r="P43" s="3" t="str">
        <f t="shared" si="16"/>
        <v/>
      </c>
      <c r="Q43" s="3" t="str">
        <f t="shared" si="16"/>
        <v/>
      </c>
      <c r="R43" s="3" t="str">
        <f t="shared" si="16"/>
        <v/>
      </c>
      <c r="S43" s="3" t="str">
        <f t="shared" si="16"/>
        <v/>
      </c>
      <c r="T43" s="3" t="str">
        <f t="shared" si="16"/>
        <v/>
      </c>
      <c r="U43" s="3" t="str">
        <f t="shared" si="16"/>
        <v/>
      </c>
      <c r="V43" s="3" t="str">
        <f t="shared" si="16"/>
        <v/>
      </c>
      <c r="W43" s="3" t="str">
        <f t="shared" si="16"/>
        <v/>
      </c>
      <c r="X43" s="3" t="str">
        <f t="shared" si="16"/>
        <v/>
      </c>
      <c r="Y43" s="3" t="str">
        <f t="shared" si="16"/>
        <v/>
      </c>
      <c r="Z43" s="37" t="str">
        <f t="shared" si="16"/>
        <v/>
      </c>
      <c r="AA43" s="24"/>
      <c r="AB43" s="23"/>
      <c r="AC43" s="23"/>
      <c r="AD43" s="23"/>
      <c r="AE43" s="23"/>
      <c r="AF43" s="23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1:51" customFormat="1" x14ac:dyDescent="0.45">
      <c r="A44" s="24"/>
      <c r="B44" s="22">
        <f t="shared" si="6"/>
        <v>0</v>
      </c>
      <c r="C44" s="44">
        <f t="shared" si="7"/>
        <v>0</v>
      </c>
      <c r="D44" s="44">
        <f t="shared" si="7"/>
        <v>0</v>
      </c>
      <c r="E44" s="46">
        <f t="shared" si="6"/>
        <v>0</v>
      </c>
      <c r="F44" s="46">
        <f t="shared" si="13"/>
        <v>0</v>
      </c>
      <c r="G44" s="36" t="str">
        <f t="shared" si="3"/>
        <v/>
      </c>
      <c r="H44" s="3" t="str">
        <f t="shared" si="4"/>
        <v/>
      </c>
      <c r="I44" s="3" t="str">
        <f t="shared" ref="I44:Z44" si="17">IF(I26="","",I26*$F26/$F$32)</f>
        <v/>
      </c>
      <c r="J44" s="3" t="str">
        <f t="shared" si="17"/>
        <v/>
      </c>
      <c r="K44" s="3" t="str">
        <f t="shared" si="17"/>
        <v/>
      </c>
      <c r="L44" s="3" t="str">
        <f t="shared" si="17"/>
        <v/>
      </c>
      <c r="M44" s="3" t="str">
        <f t="shared" si="17"/>
        <v/>
      </c>
      <c r="N44" s="3" t="str">
        <f t="shared" si="17"/>
        <v/>
      </c>
      <c r="O44" s="3" t="str">
        <f t="shared" si="17"/>
        <v/>
      </c>
      <c r="P44" s="3" t="str">
        <f t="shared" si="17"/>
        <v/>
      </c>
      <c r="Q44" s="3" t="str">
        <f t="shared" si="17"/>
        <v/>
      </c>
      <c r="R44" s="3" t="str">
        <f t="shared" si="17"/>
        <v/>
      </c>
      <c r="S44" s="3" t="str">
        <f t="shared" si="17"/>
        <v/>
      </c>
      <c r="T44" s="3" t="str">
        <f t="shared" si="17"/>
        <v/>
      </c>
      <c r="U44" s="3" t="str">
        <f t="shared" si="17"/>
        <v/>
      </c>
      <c r="V44" s="3" t="str">
        <f t="shared" si="17"/>
        <v/>
      </c>
      <c r="W44" s="3" t="str">
        <f t="shared" si="17"/>
        <v/>
      </c>
      <c r="X44" s="3" t="str">
        <f t="shared" si="17"/>
        <v/>
      </c>
      <c r="Y44" s="3" t="str">
        <f t="shared" si="17"/>
        <v/>
      </c>
      <c r="Z44" s="37" t="str">
        <f t="shared" si="17"/>
        <v/>
      </c>
      <c r="AA44" s="24"/>
      <c r="AB44" s="23"/>
      <c r="AC44" s="23"/>
      <c r="AD44" s="23"/>
      <c r="AE44" s="23"/>
      <c r="AF44" s="23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1:51" customFormat="1" x14ac:dyDescent="0.45">
      <c r="A45" s="24"/>
      <c r="B45" s="22">
        <f t="shared" si="6"/>
        <v>0</v>
      </c>
      <c r="C45" s="44">
        <f t="shared" si="7"/>
        <v>0</v>
      </c>
      <c r="D45" s="44">
        <f t="shared" si="7"/>
        <v>0</v>
      </c>
      <c r="E45" s="46">
        <f t="shared" si="6"/>
        <v>0</v>
      </c>
      <c r="F45" s="46">
        <f t="shared" si="13"/>
        <v>0</v>
      </c>
      <c r="G45" s="36" t="str">
        <f t="shared" si="3"/>
        <v/>
      </c>
      <c r="H45" s="3" t="str">
        <f t="shared" si="4"/>
        <v/>
      </c>
      <c r="I45" s="3" t="str">
        <f t="shared" ref="I45:Z45" si="18">IF(I27="","",I27*$F27/$F$32)</f>
        <v/>
      </c>
      <c r="J45" s="3" t="str">
        <f t="shared" si="18"/>
        <v/>
      </c>
      <c r="K45" s="3" t="str">
        <f t="shared" si="18"/>
        <v/>
      </c>
      <c r="L45" s="3" t="str">
        <f t="shared" si="18"/>
        <v/>
      </c>
      <c r="M45" s="3" t="str">
        <f t="shared" si="18"/>
        <v/>
      </c>
      <c r="N45" s="3" t="str">
        <f t="shared" si="18"/>
        <v/>
      </c>
      <c r="O45" s="3" t="str">
        <f t="shared" si="18"/>
        <v/>
      </c>
      <c r="P45" s="3" t="str">
        <f t="shared" si="18"/>
        <v/>
      </c>
      <c r="Q45" s="3" t="str">
        <f t="shared" si="18"/>
        <v/>
      </c>
      <c r="R45" s="3" t="str">
        <f t="shared" si="18"/>
        <v/>
      </c>
      <c r="S45" s="3" t="str">
        <f t="shared" si="18"/>
        <v/>
      </c>
      <c r="T45" s="3" t="str">
        <f t="shared" si="18"/>
        <v/>
      </c>
      <c r="U45" s="3" t="str">
        <f t="shared" si="18"/>
        <v/>
      </c>
      <c r="V45" s="3" t="str">
        <f t="shared" si="18"/>
        <v/>
      </c>
      <c r="W45" s="3" t="str">
        <f t="shared" si="18"/>
        <v/>
      </c>
      <c r="X45" s="3" t="str">
        <f t="shared" si="18"/>
        <v/>
      </c>
      <c r="Y45" s="3" t="str">
        <f t="shared" si="18"/>
        <v/>
      </c>
      <c r="Z45" s="37" t="str">
        <f t="shared" si="18"/>
        <v/>
      </c>
      <c r="AA45" s="24"/>
      <c r="AB45" s="23"/>
      <c r="AC45" s="23"/>
      <c r="AD45" s="23"/>
      <c r="AE45" s="23"/>
      <c r="AF45" s="23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spans="1:51" customFormat="1" x14ac:dyDescent="0.45">
      <c r="A46" s="24"/>
      <c r="B46" s="22">
        <f t="shared" si="6"/>
        <v>0</v>
      </c>
      <c r="C46" s="44">
        <f t="shared" si="7"/>
        <v>0</v>
      </c>
      <c r="D46" s="44">
        <f t="shared" si="7"/>
        <v>0</v>
      </c>
      <c r="E46" s="46">
        <f t="shared" si="6"/>
        <v>0</v>
      </c>
      <c r="F46" s="46">
        <f t="shared" si="13"/>
        <v>0</v>
      </c>
      <c r="G46" s="36" t="str">
        <f t="shared" si="3"/>
        <v/>
      </c>
      <c r="H46" s="3" t="str">
        <f t="shared" si="4"/>
        <v/>
      </c>
      <c r="I46" s="3" t="str">
        <f t="shared" ref="I46:Z46" si="19">IF(I28="","",I28*$F28/$F$32)</f>
        <v/>
      </c>
      <c r="J46" s="3" t="str">
        <f t="shared" si="19"/>
        <v/>
      </c>
      <c r="K46" s="3" t="str">
        <f t="shared" si="19"/>
        <v/>
      </c>
      <c r="L46" s="3" t="str">
        <f t="shared" si="19"/>
        <v/>
      </c>
      <c r="M46" s="3" t="str">
        <f t="shared" si="19"/>
        <v/>
      </c>
      <c r="N46" s="3" t="str">
        <f t="shared" si="19"/>
        <v/>
      </c>
      <c r="O46" s="3" t="str">
        <f t="shared" si="19"/>
        <v/>
      </c>
      <c r="P46" s="3" t="str">
        <f t="shared" si="19"/>
        <v/>
      </c>
      <c r="Q46" s="3" t="str">
        <f t="shared" si="19"/>
        <v/>
      </c>
      <c r="R46" s="3" t="str">
        <f t="shared" si="19"/>
        <v/>
      </c>
      <c r="S46" s="3" t="str">
        <f t="shared" si="19"/>
        <v/>
      </c>
      <c r="T46" s="3" t="str">
        <f t="shared" si="19"/>
        <v/>
      </c>
      <c r="U46" s="3" t="str">
        <f t="shared" si="19"/>
        <v/>
      </c>
      <c r="V46" s="3" t="str">
        <f t="shared" si="19"/>
        <v/>
      </c>
      <c r="W46" s="3" t="str">
        <f t="shared" si="19"/>
        <v/>
      </c>
      <c r="X46" s="3" t="str">
        <f t="shared" si="19"/>
        <v/>
      </c>
      <c r="Y46" s="3" t="str">
        <f t="shared" si="19"/>
        <v/>
      </c>
      <c r="Z46" s="37" t="str">
        <f t="shared" si="19"/>
        <v/>
      </c>
      <c r="AA46" s="24"/>
      <c r="AB46" s="23"/>
      <c r="AC46" s="23"/>
      <c r="AD46" s="23"/>
      <c r="AE46" s="23"/>
      <c r="AF46" s="23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customFormat="1" x14ac:dyDescent="0.45">
      <c r="A47" s="24"/>
      <c r="B47" s="22">
        <f t="shared" si="6"/>
        <v>0</v>
      </c>
      <c r="C47" s="44">
        <f t="shared" si="7"/>
        <v>0</v>
      </c>
      <c r="D47" s="44">
        <f t="shared" si="7"/>
        <v>0</v>
      </c>
      <c r="E47" s="46">
        <f t="shared" si="6"/>
        <v>0</v>
      </c>
      <c r="F47" s="46">
        <f t="shared" si="13"/>
        <v>0</v>
      </c>
      <c r="G47" s="36" t="str">
        <f t="shared" si="3"/>
        <v/>
      </c>
      <c r="H47" s="3" t="str">
        <f t="shared" si="4"/>
        <v/>
      </c>
      <c r="I47" s="3" t="str">
        <f t="shared" ref="I47:Z47" si="20">IF(I29="","",I29*$F29/$F$32)</f>
        <v/>
      </c>
      <c r="J47" s="3" t="str">
        <f t="shared" si="20"/>
        <v/>
      </c>
      <c r="K47" s="3" t="str">
        <f t="shared" si="20"/>
        <v/>
      </c>
      <c r="L47" s="3" t="str">
        <f t="shared" si="20"/>
        <v/>
      </c>
      <c r="M47" s="3" t="str">
        <f t="shared" si="20"/>
        <v/>
      </c>
      <c r="N47" s="3" t="str">
        <f t="shared" si="20"/>
        <v/>
      </c>
      <c r="O47" s="3" t="str">
        <f t="shared" si="20"/>
        <v/>
      </c>
      <c r="P47" s="3" t="str">
        <f t="shared" si="20"/>
        <v/>
      </c>
      <c r="Q47" s="3" t="str">
        <f t="shared" si="20"/>
        <v/>
      </c>
      <c r="R47" s="3" t="str">
        <f t="shared" si="20"/>
        <v/>
      </c>
      <c r="S47" s="3" t="str">
        <f t="shared" si="20"/>
        <v/>
      </c>
      <c r="T47" s="3" t="str">
        <f t="shared" si="20"/>
        <v/>
      </c>
      <c r="U47" s="3" t="str">
        <f t="shared" si="20"/>
        <v/>
      </c>
      <c r="V47" s="3" t="str">
        <f t="shared" si="20"/>
        <v/>
      </c>
      <c r="W47" s="3" t="str">
        <f t="shared" si="20"/>
        <v/>
      </c>
      <c r="X47" s="3" t="str">
        <f t="shared" si="20"/>
        <v/>
      </c>
      <c r="Y47" s="3" t="str">
        <f t="shared" si="20"/>
        <v/>
      </c>
      <c r="Z47" s="37" t="str">
        <f t="shared" si="20"/>
        <v/>
      </c>
      <c r="AA47" s="24"/>
      <c r="AB47" s="23"/>
      <c r="AC47" s="23"/>
      <c r="AD47" s="23"/>
      <c r="AE47" s="23"/>
      <c r="AF47" s="23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customFormat="1" x14ac:dyDescent="0.45">
      <c r="A48" s="24"/>
      <c r="B48" s="22">
        <f t="shared" si="6"/>
        <v>0</v>
      </c>
      <c r="C48" s="44">
        <f t="shared" si="7"/>
        <v>0</v>
      </c>
      <c r="D48" s="44">
        <f t="shared" si="7"/>
        <v>0</v>
      </c>
      <c r="E48" s="46">
        <f t="shared" si="6"/>
        <v>0</v>
      </c>
      <c r="F48" s="46">
        <f t="shared" si="13"/>
        <v>0</v>
      </c>
      <c r="G48" s="36" t="str">
        <f t="shared" si="3"/>
        <v/>
      </c>
      <c r="H48" s="3" t="str">
        <f t="shared" si="4"/>
        <v/>
      </c>
      <c r="I48" s="3" t="str">
        <f t="shared" ref="I48:Z48" si="21">IF(I30="","",I30*$F30/$F$32)</f>
        <v/>
      </c>
      <c r="J48" s="3" t="str">
        <f t="shared" si="21"/>
        <v/>
      </c>
      <c r="K48" s="3" t="str">
        <f t="shared" si="21"/>
        <v/>
      </c>
      <c r="L48" s="3" t="str">
        <f t="shared" si="21"/>
        <v/>
      </c>
      <c r="M48" s="3" t="str">
        <f t="shared" si="21"/>
        <v/>
      </c>
      <c r="N48" s="3" t="str">
        <f t="shared" si="21"/>
        <v/>
      </c>
      <c r="O48" s="3" t="str">
        <f t="shared" si="21"/>
        <v/>
      </c>
      <c r="P48" s="3" t="str">
        <f t="shared" si="21"/>
        <v/>
      </c>
      <c r="Q48" s="3" t="str">
        <f t="shared" si="21"/>
        <v/>
      </c>
      <c r="R48" s="3" t="str">
        <f t="shared" si="21"/>
        <v/>
      </c>
      <c r="S48" s="3" t="str">
        <f t="shared" si="21"/>
        <v/>
      </c>
      <c r="T48" s="3" t="str">
        <f t="shared" si="21"/>
        <v/>
      </c>
      <c r="U48" s="3" t="str">
        <f t="shared" si="21"/>
        <v/>
      </c>
      <c r="V48" s="3" t="str">
        <f t="shared" si="21"/>
        <v/>
      </c>
      <c r="W48" s="3" t="str">
        <f t="shared" si="21"/>
        <v/>
      </c>
      <c r="X48" s="3" t="str">
        <f t="shared" si="21"/>
        <v/>
      </c>
      <c r="Y48" s="3" t="str">
        <f t="shared" si="21"/>
        <v/>
      </c>
      <c r="Z48" s="37" t="str">
        <f t="shared" si="21"/>
        <v/>
      </c>
      <c r="AA48" s="24"/>
      <c r="AB48" s="23"/>
      <c r="AC48" s="23"/>
      <c r="AD48" s="23"/>
      <c r="AE48" s="23"/>
      <c r="AF48" s="23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spans="1:51" customFormat="1" ht="20.25" thickBot="1" x14ac:dyDescent="0.5">
      <c r="A49" s="24"/>
      <c r="B49" s="22">
        <f t="shared" si="6"/>
        <v>0</v>
      </c>
      <c r="C49" s="45">
        <f t="shared" si="7"/>
        <v>0</v>
      </c>
      <c r="D49" s="45">
        <f t="shared" si="7"/>
        <v>0</v>
      </c>
      <c r="E49" s="47">
        <f t="shared" si="6"/>
        <v>0</v>
      </c>
      <c r="F49" s="47">
        <f t="shared" si="13"/>
        <v>0</v>
      </c>
      <c r="G49" s="38" t="str">
        <f t="shared" si="3"/>
        <v/>
      </c>
      <c r="H49" s="39" t="str">
        <f t="shared" si="4"/>
        <v/>
      </c>
      <c r="I49" s="39" t="str">
        <f t="shared" ref="I49:Z49" si="22">IF(I31="","",I31*$F31/$F$32)</f>
        <v/>
      </c>
      <c r="J49" s="39" t="str">
        <f t="shared" si="22"/>
        <v/>
      </c>
      <c r="K49" s="39" t="str">
        <f t="shared" si="22"/>
        <v/>
      </c>
      <c r="L49" s="39" t="str">
        <f t="shared" si="22"/>
        <v/>
      </c>
      <c r="M49" s="39" t="str">
        <f t="shared" si="22"/>
        <v/>
      </c>
      <c r="N49" s="39" t="str">
        <f t="shared" si="22"/>
        <v/>
      </c>
      <c r="O49" s="39" t="str">
        <f t="shared" si="22"/>
        <v/>
      </c>
      <c r="P49" s="39" t="str">
        <f t="shared" si="22"/>
        <v/>
      </c>
      <c r="Q49" s="39" t="str">
        <f t="shared" si="22"/>
        <v/>
      </c>
      <c r="R49" s="39" t="str">
        <f t="shared" si="22"/>
        <v/>
      </c>
      <c r="S49" s="39" t="str">
        <f t="shared" si="22"/>
        <v/>
      </c>
      <c r="T49" s="39" t="str">
        <f t="shared" si="22"/>
        <v/>
      </c>
      <c r="U49" s="39" t="str">
        <f t="shared" si="22"/>
        <v/>
      </c>
      <c r="V49" s="39" t="str">
        <f t="shared" si="22"/>
        <v/>
      </c>
      <c r="W49" s="39" t="str">
        <f t="shared" si="22"/>
        <v/>
      </c>
      <c r="X49" s="39" t="str">
        <f t="shared" si="22"/>
        <v/>
      </c>
      <c r="Y49" s="39" t="str">
        <f t="shared" si="22"/>
        <v/>
      </c>
      <c r="Z49" s="40" t="str">
        <f t="shared" si="22"/>
        <v/>
      </c>
      <c r="AA49" s="24"/>
      <c r="AB49" s="23"/>
      <c r="AC49" s="23"/>
      <c r="AD49" s="23"/>
      <c r="AE49" s="23"/>
      <c r="AF49" s="23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spans="1:51" customFormat="1" x14ac:dyDescent="0.45">
      <c r="A50" s="24"/>
      <c r="B50" s="23" t="str">
        <f>B32</f>
        <v>SUMA</v>
      </c>
      <c r="C50" s="23"/>
      <c r="D50" s="23"/>
      <c r="E50" s="23">
        <f>E32</f>
        <v>1000</v>
      </c>
      <c r="F50" s="23">
        <f t="shared" ref="F50" si="23">F32</f>
        <v>100</v>
      </c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4"/>
      <c r="AB50" s="23"/>
      <c r="AC50" s="23"/>
      <c r="AD50" s="23"/>
      <c r="AE50" s="23"/>
      <c r="AF50" s="23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</row>
    <row r="51" spans="1:51" customFormat="1" x14ac:dyDescent="0.45">
      <c r="A51" s="24"/>
      <c r="B51" s="23"/>
      <c r="C51" s="23"/>
      <c r="D51" s="23"/>
      <c r="E51" s="25"/>
      <c r="F51" s="25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4"/>
      <c r="AB51" s="23"/>
      <c r="AC51" s="23"/>
      <c r="AD51" s="23"/>
      <c r="AE51" s="23"/>
      <c r="AF51" s="23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</row>
    <row r="52" spans="1:51" x14ac:dyDescent="0.45">
      <c r="B52" s="23"/>
      <c r="C52" s="23"/>
      <c r="D52" s="23"/>
      <c r="E52" s="25"/>
      <c r="F52" s="25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51" x14ac:dyDescent="0.45">
      <c r="B53" s="23"/>
      <c r="C53" s="23"/>
      <c r="D53" s="23"/>
      <c r="E53" s="25"/>
      <c r="F53" s="25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51" x14ac:dyDescent="0.45">
      <c r="B54" s="23"/>
      <c r="C54" s="23"/>
      <c r="D54" s="23"/>
      <c r="E54" s="25"/>
      <c r="F54" s="25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51" x14ac:dyDescent="0.45">
      <c r="B55" s="23"/>
      <c r="C55" s="23"/>
      <c r="D55" s="23"/>
      <c r="E55" s="25"/>
      <c r="F55" s="25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51" x14ac:dyDescent="0.45">
      <c r="B56" s="23"/>
      <c r="C56" s="23"/>
      <c r="D56" s="23"/>
      <c r="E56" s="25"/>
      <c r="F56" s="25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51" x14ac:dyDescent="0.45">
      <c r="B57" s="23"/>
      <c r="C57" s="23"/>
      <c r="D57" s="23"/>
      <c r="E57" s="25"/>
      <c r="F57" s="25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51" x14ac:dyDescent="0.45">
      <c r="B58" s="23"/>
      <c r="C58" s="23"/>
      <c r="D58" s="23"/>
      <c r="E58" s="25"/>
      <c r="F58" s="25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51" x14ac:dyDescent="0.45">
      <c r="B59" s="23"/>
      <c r="C59" s="23"/>
      <c r="D59" s="23"/>
      <c r="E59" s="25"/>
      <c r="F59" s="25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51" x14ac:dyDescent="0.45">
      <c r="B60" s="23"/>
      <c r="C60" s="23"/>
      <c r="D60" s="23"/>
      <c r="E60" s="25"/>
      <c r="F60" s="25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51" x14ac:dyDescent="0.45">
      <c r="B61" s="23"/>
      <c r="C61" s="23"/>
      <c r="D61" s="23"/>
      <c r="E61" s="25"/>
      <c r="F61" s="25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51" x14ac:dyDescent="0.45">
      <c r="B62" s="23"/>
      <c r="C62" s="23"/>
      <c r="D62" s="23"/>
      <c r="E62" s="25"/>
      <c r="F62" s="25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51" x14ac:dyDescent="0.45">
      <c r="B63" s="23"/>
      <c r="C63" s="23"/>
      <c r="D63" s="23"/>
      <c r="E63" s="25"/>
      <c r="F63" s="25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51" x14ac:dyDescent="0.45">
      <c r="B64" s="23"/>
      <c r="C64" s="23"/>
      <c r="D64" s="23"/>
      <c r="E64" s="25"/>
      <c r="F64" s="25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2:26" x14ac:dyDescent="0.45">
      <c r="B65" s="23"/>
      <c r="C65" s="23"/>
      <c r="D65" s="23"/>
      <c r="E65" s="25"/>
      <c r="F65" s="25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2:26" x14ac:dyDescent="0.45">
      <c r="B66" s="23"/>
      <c r="C66" s="23"/>
      <c r="D66" s="23"/>
      <c r="E66" s="25"/>
      <c r="F66" s="25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2:26" x14ac:dyDescent="0.45">
      <c r="B67" s="23"/>
      <c r="C67" s="23"/>
      <c r="D67" s="23"/>
      <c r="E67" s="25"/>
      <c r="F67" s="25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2:26" x14ac:dyDescent="0.45">
      <c r="B68" s="23"/>
      <c r="C68" s="23"/>
      <c r="D68" s="23"/>
      <c r="E68" s="25"/>
      <c r="F68" s="25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2:26" x14ac:dyDescent="0.45">
      <c r="B69" s="23"/>
      <c r="C69" s="23"/>
      <c r="D69" s="23"/>
      <c r="E69" s="25"/>
      <c r="F69" s="25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2:26" x14ac:dyDescent="0.45">
      <c r="B70" s="23"/>
      <c r="C70" s="23"/>
      <c r="D70" s="23"/>
      <c r="E70" s="25"/>
      <c r="F70" s="25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2:26" x14ac:dyDescent="0.45">
      <c r="B71" s="23"/>
      <c r="C71" s="23"/>
      <c r="D71" s="23"/>
      <c r="E71" s="25"/>
      <c r="F71" s="25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2:26" x14ac:dyDescent="0.45">
      <c r="B72" s="23"/>
      <c r="C72" s="23"/>
      <c r="D72" s="23"/>
      <c r="E72" s="25"/>
      <c r="F72" s="25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2:26" x14ac:dyDescent="0.45">
      <c r="B73" s="23"/>
      <c r="C73" s="23"/>
      <c r="D73" s="23"/>
      <c r="E73" s="25"/>
      <c r="F73" s="25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2:26" x14ac:dyDescent="0.45">
      <c r="B74" s="23"/>
      <c r="C74" s="23"/>
      <c r="D74" s="23"/>
      <c r="E74" s="25"/>
      <c r="F74" s="25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2:26" x14ac:dyDescent="0.45">
      <c r="B75" s="23"/>
      <c r="C75" s="23"/>
      <c r="D75" s="23"/>
      <c r="E75" s="25"/>
      <c r="F75" s="25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2:26" x14ac:dyDescent="0.45">
      <c r="B76" s="23"/>
      <c r="C76" s="23"/>
      <c r="D76" s="23"/>
      <c r="E76" s="25"/>
      <c r="F76" s="25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2:26" x14ac:dyDescent="0.45">
      <c r="B77" s="23"/>
      <c r="C77" s="23"/>
      <c r="D77" s="23"/>
      <c r="E77" s="25"/>
      <c r="F77" s="25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2:26" x14ac:dyDescent="0.45">
      <c r="B78" s="23"/>
      <c r="C78" s="23"/>
      <c r="D78" s="23"/>
      <c r="E78" s="25"/>
      <c r="F78" s="25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2:26" x14ac:dyDescent="0.45">
      <c r="B79" s="23"/>
      <c r="C79" s="23"/>
      <c r="D79" s="23"/>
      <c r="E79" s="25"/>
      <c r="F79" s="25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2:26" x14ac:dyDescent="0.45">
      <c r="B80" s="23"/>
      <c r="C80" s="23"/>
      <c r="D80" s="23"/>
      <c r="E80" s="25"/>
      <c r="F80" s="25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2:26" x14ac:dyDescent="0.45">
      <c r="B81" s="23"/>
      <c r="C81" s="23"/>
      <c r="D81" s="23"/>
      <c r="E81" s="25"/>
      <c r="F81" s="25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2:26" x14ac:dyDescent="0.45">
      <c r="B82" s="23"/>
      <c r="C82" s="23"/>
      <c r="D82" s="23"/>
      <c r="E82" s="25"/>
      <c r="F82" s="25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2:26" x14ac:dyDescent="0.45">
      <c r="B83" s="23"/>
      <c r="C83" s="23"/>
      <c r="D83" s="23"/>
      <c r="E83" s="25"/>
      <c r="F83" s="25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2:26" x14ac:dyDescent="0.45">
      <c r="B84" s="23"/>
      <c r="C84" s="23"/>
      <c r="D84" s="23"/>
      <c r="E84" s="25"/>
      <c r="F84" s="25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2:26" x14ac:dyDescent="0.45">
      <c r="B85" s="23"/>
      <c r="C85" s="23"/>
      <c r="D85" s="23"/>
      <c r="E85" s="25"/>
      <c r="F85" s="25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2:26" x14ac:dyDescent="0.45">
      <c r="B86" s="23"/>
      <c r="C86" s="23"/>
      <c r="D86" s="23"/>
      <c r="E86" s="25"/>
      <c r="F86" s="25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2:26" x14ac:dyDescent="0.45">
      <c r="B87" s="23"/>
      <c r="C87" s="23"/>
      <c r="D87" s="23"/>
      <c r="E87" s="25"/>
      <c r="F87" s="25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2:26" x14ac:dyDescent="0.45">
      <c r="B88" s="23"/>
      <c r="C88" s="23"/>
      <c r="D88" s="23"/>
      <c r="E88" s="25"/>
      <c r="F88" s="25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</sheetData>
  <protectedRanges>
    <protectedRange algorithmName="SHA-512" hashValue="rQoB4BR+oXk48aKn2t6KKo6o2sTFbPhWAA7ryNQmsKojqPaY8N2vnEmk/wqsveIi7YWnyRnhpLWj25c+i47O7w==" saltValue="ZMlTyyp8LFmRTYY7WdXBGQ==" spinCount="100000" sqref="B1:Z4" name="GESTION DOCUMENTAL"/>
    <protectedRange algorithmName="SHA-512" hashValue="wcIVhBhq6imVgAtvjXkt5fYxXsLbL0w5jActKj78/Yu/p5H7SKJV30bpVCHS7a+M4xmSCVQiXpvuuP7zx4QGZg==" saltValue="/1gprdm/ldj5RpZR4enuWA==" spinCount="100000" sqref="B17:Z31" name="COMPOSICION MATERIAS PRIMAS"/>
  </protectedRanges>
  <mergeCells count="13">
    <mergeCell ref="G15:Z15"/>
    <mergeCell ref="H2:S2"/>
    <mergeCell ref="U2:V2"/>
    <mergeCell ref="U3:V3"/>
    <mergeCell ref="B10:F10"/>
    <mergeCell ref="B9:F9"/>
    <mergeCell ref="B13:Z13"/>
    <mergeCell ref="I4:S4"/>
    <mergeCell ref="H3:S3"/>
    <mergeCell ref="G7:M7"/>
    <mergeCell ref="N7:T7"/>
    <mergeCell ref="G6:M6"/>
    <mergeCell ref="N6:T6"/>
  </mergeCells>
  <conditionalFormatting sqref="G36:Z40">
    <cfRule type="cellIs" dxfId="55" priority="37" operator="equal">
      <formula>0</formula>
    </cfRule>
    <cfRule type="containsBlanks" dxfId="54" priority="38">
      <formula>LEN(TRIM(G36))=0</formula>
    </cfRule>
  </conditionalFormatting>
  <conditionalFormatting sqref="G36:Z40">
    <cfRule type="cellIs" dxfId="53" priority="30" operator="equal">
      <formula>0</formula>
    </cfRule>
    <cfRule type="containsBlanks" dxfId="52" priority="31">
      <formula>LEN(TRIM(G36))=0</formula>
    </cfRule>
  </conditionalFormatting>
  <conditionalFormatting sqref="G36:Z40">
    <cfRule type="notContainsBlanks" dxfId="51" priority="29">
      <formula>LEN(TRIM(G36))&gt;0</formula>
    </cfRule>
  </conditionalFormatting>
  <conditionalFormatting sqref="G35">
    <cfRule type="cellIs" dxfId="50" priority="27" operator="equal">
      <formula>0</formula>
    </cfRule>
    <cfRule type="containsBlanks" dxfId="49" priority="28">
      <formula>LEN(TRIM(G35))=0</formula>
    </cfRule>
  </conditionalFormatting>
  <conditionalFormatting sqref="G35">
    <cfRule type="notContainsBlanks" dxfId="48" priority="26">
      <formula>LEN(TRIM(G35))&gt;0</formula>
    </cfRule>
  </conditionalFormatting>
  <conditionalFormatting sqref="H35">
    <cfRule type="cellIs" dxfId="47" priority="24" operator="equal">
      <formula>0</formula>
    </cfRule>
    <cfRule type="containsBlanks" dxfId="46" priority="25">
      <formula>LEN(TRIM(H35))=0</formula>
    </cfRule>
  </conditionalFormatting>
  <conditionalFormatting sqref="H35">
    <cfRule type="notContainsBlanks" dxfId="45" priority="23">
      <formula>LEN(TRIM(H35))&gt;0</formula>
    </cfRule>
  </conditionalFormatting>
  <conditionalFormatting sqref="I35:Z35">
    <cfRule type="cellIs" dxfId="44" priority="21" operator="equal">
      <formula>0</formula>
    </cfRule>
    <cfRule type="containsBlanks" dxfId="43" priority="22">
      <formula>LEN(TRIM(I35))=0</formula>
    </cfRule>
  </conditionalFormatting>
  <conditionalFormatting sqref="I35:Z35">
    <cfRule type="notContainsBlanks" dxfId="42" priority="20">
      <formula>LEN(TRIM(I35))&gt;0</formula>
    </cfRule>
  </conditionalFormatting>
  <conditionalFormatting sqref="G41:Z49">
    <cfRule type="cellIs" dxfId="41" priority="12" operator="equal">
      <formula>0</formula>
    </cfRule>
    <cfRule type="containsBlanks" dxfId="40" priority="13">
      <formula>LEN(TRIM(G41))=0</formula>
    </cfRule>
  </conditionalFormatting>
  <conditionalFormatting sqref="G41:Z49">
    <cfRule type="cellIs" dxfId="39" priority="10" operator="equal">
      <formula>0</formula>
    </cfRule>
    <cfRule type="containsBlanks" dxfId="38" priority="11">
      <formula>LEN(TRIM(G41))=0</formula>
    </cfRule>
  </conditionalFormatting>
  <conditionalFormatting sqref="G41:Z49">
    <cfRule type="notContainsBlanks" dxfId="37" priority="9">
      <formula>LEN(TRIM(G41))&gt;0</formula>
    </cfRule>
  </conditionalFormatting>
  <conditionalFormatting sqref="B35:F49">
    <cfRule type="cellIs" dxfId="36" priority="8" operator="equal">
      <formula>0</formula>
    </cfRule>
  </conditionalFormatting>
  <conditionalFormatting sqref="G9:Z10">
    <cfRule type="cellIs" dxfId="35" priority="7" operator="equal">
      <formula>0</formula>
    </cfRule>
  </conditionalFormatting>
  <conditionalFormatting sqref="C35:C49">
    <cfRule type="cellIs" dxfId="34" priority="6" operator="equal">
      <formula>0</formula>
    </cfRule>
  </conditionalFormatting>
  <conditionalFormatting sqref="D35:D49">
    <cfRule type="cellIs" dxfId="33" priority="5" operator="equal">
      <formula>0</formula>
    </cfRule>
  </conditionalFormatting>
  <conditionalFormatting sqref="B17:F31">
    <cfRule type="cellIs" dxfId="32" priority="4" operator="equal">
      <formula>0</formula>
    </cfRule>
  </conditionalFormatting>
  <conditionalFormatting sqref="C17:C31">
    <cfRule type="cellIs" dxfId="31" priority="3" operator="equal">
      <formula>0</formula>
    </cfRule>
  </conditionalFormatting>
  <conditionalFormatting sqref="D17:D31">
    <cfRule type="cellIs" dxfId="30" priority="2" operator="equal">
      <formula>0</formula>
    </cfRule>
  </conditionalFormatting>
  <conditionalFormatting sqref="G16:Z31">
    <cfRule type="containsBlanks" dxfId="29" priority="1">
      <formula>LEN(TRIM(G16))=0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dcterms:created xsi:type="dcterms:W3CDTF">2024-11-02T13:07:30Z</dcterms:created>
  <dcterms:modified xsi:type="dcterms:W3CDTF">2024-11-13T15:34:29Z</dcterms:modified>
</cp:coreProperties>
</file>