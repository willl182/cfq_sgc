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W:\old_files\1.1_proyectos\1.116_sulfak-50\SULFAK 50 OK\"/>
    </mc:Choice>
  </mc:AlternateContent>
  <xr:revisionPtr revIDLastSave="0" documentId="13_ncr:1_{D52FBE33-BF84-4B95-BCC6-C6F7D3E2F928}" xr6:coauthVersionLast="47" xr6:coauthVersionMax="47" xr10:uidLastSave="{00000000-0000-0000-0000-000000000000}"/>
  <bookViews>
    <workbookView xWindow="-120" yWindow="-120" windowWidth="19695" windowHeight="11760" tabRatio="821" firstSheet="1" activeTab="1" xr2:uid="{00000000-000D-0000-FFFF-FFFF00000000}"/>
  </bookViews>
  <sheets>
    <sheet name="ZueloCa" sheetId="2" state="hidden" r:id="rId1"/>
    <sheet name="sulfa-k_50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8" l="1"/>
  <c r="H9" i="8" s="1"/>
  <c r="D9" i="8"/>
  <c r="D8" i="8"/>
  <c r="D7" i="8"/>
  <c r="E8" i="8" l="1"/>
  <c r="F8" i="8"/>
  <c r="G9" i="8"/>
  <c r="G8" i="8"/>
  <c r="G7" i="8"/>
  <c r="D14" i="8"/>
  <c r="G15" i="8" l="1"/>
  <c r="D12" i="2" l="1"/>
  <c r="D11" i="2"/>
  <c r="D10" i="2"/>
  <c r="D9" i="2"/>
  <c r="D22" i="2"/>
  <c r="D8" i="2"/>
  <c r="C23" i="2"/>
  <c r="D7" i="2"/>
  <c r="D23" i="2" l="1"/>
  <c r="I9" i="2" s="1"/>
  <c r="J12" i="2" l="1"/>
  <c r="J8" i="2"/>
  <c r="K10" i="2"/>
  <c r="L7" i="2"/>
  <c r="S11" i="2"/>
  <c r="S24" i="2" s="1"/>
  <c r="S30" i="2" s="1"/>
  <c r="J7" i="2"/>
  <c r="L10" i="2"/>
  <c r="K8" i="2"/>
  <c r="K11" i="2"/>
  <c r="I24" i="2"/>
  <c r="M12" i="2"/>
  <c r="M24" i="2" s="1"/>
  <c r="M30" i="2" s="1"/>
  <c r="M34" i="2" s="1"/>
  <c r="M36" i="2" s="1"/>
  <c r="M37" i="2" s="1"/>
  <c r="O24" i="2"/>
  <c r="O30" i="2" s="1"/>
  <c r="O34" i="2" s="1"/>
  <c r="O36" i="2" s="1"/>
  <c r="O37" i="2" s="1"/>
  <c r="R24" i="2"/>
  <c r="R30" i="2" s="1"/>
  <c r="R34" i="2" s="1"/>
  <c r="R36" i="2" s="1"/>
  <c r="R37" i="2" s="1"/>
  <c r="N24" i="2"/>
  <c r="N30" i="2" s="1"/>
  <c r="N34" i="2" s="1"/>
  <c r="N36" i="2" s="1"/>
  <c r="N37" i="2" s="1"/>
  <c r="Q24" i="2"/>
  <c r="Q30" i="2" s="1"/>
  <c r="Q34" i="2" s="1"/>
  <c r="Q36" i="2" s="1"/>
  <c r="Q37" i="2" s="1"/>
  <c r="G24" i="2"/>
  <c r="G30" i="2" s="1"/>
  <c r="P24" i="2"/>
  <c r="P30" i="2" s="1"/>
  <c r="P34" i="2" s="1"/>
  <c r="P36" i="2" s="1"/>
  <c r="P37" i="2" s="1"/>
  <c r="T24" i="2"/>
  <c r="T30" i="2" s="1"/>
  <c r="T34" i="2" s="1"/>
  <c r="T36" i="2" s="1"/>
  <c r="T37" i="2" s="1"/>
  <c r="G34" i="2" l="1"/>
  <c r="G35" i="2"/>
  <c r="G37" i="2" s="1"/>
  <c r="O31" i="2"/>
  <c r="O29" i="2"/>
  <c r="R29" i="2"/>
  <c r="R31" i="2"/>
  <c r="Q31" i="2"/>
  <c r="Q29" i="2"/>
  <c r="M29" i="2"/>
  <c r="M31" i="2"/>
  <c r="P29" i="2"/>
  <c r="P31" i="2"/>
  <c r="T31" i="2"/>
  <c r="T29" i="2"/>
  <c r="N29" i="2"/>
  <c r="N31" i="2"/>
  <c r="I30" i="2"/>
  <c r="L24" i="2"/>
  <c r="L30" i="2" s="1"/>
  <c r="L34" i="2" s="1"/>
  <c r="L36" i="2" s="1"/>
  <c r="L37" i="2" s="1"/>
  <c r="K24" i="2"/>
  <c r="K30" i="2" s="1"/>
  <c r="K34" i="2" s="1"/>
  <c r="K36" i="2" s="1"/>
  <c r="K37" i="2" s="1"/>
  <c r="J24" i="2"/>
  <c r="J30" i="2" s="1"/>
  <c r="J34" i="2" s="1"/>
  <c r="J36" i="2" s="1"/>
  <c r="J37" i="2" s="1"/>
  <c r="H24" i="2"/>
  <c r="H30" i="2" s="1"/>
  <c r="E24" i="2"/>
  <c r="E30" i="2" s="1"/>
  <c r="F24" i="2"/>
  <c r="F30" i="2" s="1"/>
  <c r="E35" i="2" l="1"/>
  <c r="E37" i="2" s="1"/>
  <c r="E34" i="2"/>
  <c r="L31" i="2"/>
  <c r="L29" i="2"/>
  <c r="K31" i="2"/>
  <c r="K29" i="2"/>
  <c r="I35" i="2"/>
  <c r="I37" i="2" s="1"/>
  <c r="I34" i="2"/>
  <c r="G31" i="2"/>
  <c r="G29" i="2"/>
  <c r="H35" i="2"/>
  <c r="H37" i="2" s="1"/>
  <c r="H34" i="2"/>
  <c r="F34" i="2"/>
  <c r="F35" i="2"/>
  <c r="F37" i="2" s="1"/>
  <c r="J29" i="2"/>
  <c r="J31" i="2"/>
  <c r="H29" i="2" l="1"/>
  <c r="H31" i="2"/>
  <c r="I29" i="2"/>
  <c r="I31" i="2"/>
  <c r="F31" i="2"/>
  <c r="F29" i="2"/>
  <c r="E31" i="2"/>
  <c r="E29" i="2"/>
</calcChain>
</file>

<file path=xl/sharedStrings.xml><?xml version="1.0" encoding="utf-8"?>
<sst xmlns="http://schemas.openxmlformats.org/spreadsheetml/2006/main" count="80" uniqueCount="66">
  <si>
    <t>BALANCE DE MATERIAS PRIMAS</t>
  </si>
  <si>
    <t xml:space="preserve">CALFER FLORACIÓN 10 - 25 - 10 </t>
  </si>
  <si>
    <t>CALFERQUIM S.A.S</t>
  </si>
  <si>
    <t>ELEMENTOS SOLUBLES EN AGUA</t>
  </si>
  <si>
    <t>MATERIA PRIMA</t>
  </si>
  <si>
    <t>Composición</t>
  </si>
  <si>
    <t>Kg/Ton</t>
  </si>
  <si>
    <t>%/100 Kg</t>
  </si>
  <si>
    <t>Nitrógeno Total (N)</t>
  </si>
  <si>
    <t>Nitrógeno Amoniacal (N)</t>
  </si>
  <si>
    <t>Nitrógeno Nítrico (N)</t>
  </si>
  <si>
    <t>Magnesio (MgO)</t>
  </si>
  <si>
    <t>Azufre (S)</t>
  </si>
  <si>
    <t>Boro (B)</t>
  </si>
  <si>
    <t>Cobalto (Co)</t>
  </si>
  <si>
    <t>Cobre (Cu)</t>
  </si>
  <si>
    <t>Hierro (Fe)</t>
  </si>
  <si>
    <t>Manganeso (Mn)</t>
  </si>
  <si>
    <t>Molibdeno (Mo)</t>
  </si>
  <si>
    <r>
      <t>Silicio (SiO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)</t>
    </r>
  </si>
  <si>
    <t>Zinc (Zn)</t>
  </si>
  <si>
    <t>ADITIVOS E INERTES</t>
  </si>
  <si>
    <t>SUMATORIA</t>
  </si>
  <si>
    <t>TOTAL CALFERQUIM S.A.S</t>
  </si>
  <si>
    <t>Tolerancia Mínima NTC 1061:2020</t>
  </si>
  <si>
    <t>Tolerancia Máxima NTC 1061:2020</t>
  </si>
  <si>
    <t>Tolerancia calculada</t>
  </si>
  <si>
    <r>
      <rPr>
        <b/>
        <sz val="11"/>
        <color rgb="FF000000"/>
        <rFont val="Segoe UI"/>
        <family val="2"/>
      </rPr>
      <t xml:space="preserve">NTC 1061:2020 4.1 </t>
    </r>
    <r>
      <rPr>
        <b/>
        <u/>
        <sz val="11"/>
        <color rgb="FF000000"/>
        <rFont val="Segoe UI"/>
        <family val="2"/>
      </rPr>
      <t>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</t>
    </r>
  </si>
  <si>
    <r>
      <rPr>
        <b/>
        <sz val="11"/>
        <color rgb="FF000000"/>
        <rFont val="Segoe UI"/>
        <family val="2"/>
      </rPr>
      <t xml:space="preserve">NTC 1061:2020 4.2.1 - 4.2.2 </t>
    </r>
    <r>
      <rPr>
        <b/>
        <u/>
        <sz val="11"/>
        <color rgb="FF000000"/>
        <rFont val="Segoe UI"/>
        <family val="2"/>
      </rPr>
      <t>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50%?</t>
    </r>
  </si>
  <si>
    <t>Tolerancia permitida</t>
  </si>
  <si>
    <r>
      <t>Fósforo Asimilable (P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>5</t>
    </r>
    <r>
      <rPr>
        <b/>
        <sz val="8"/>
        <color theme="1"/>
        <rFont val="Segoe UI"/>
        <family val="2"/>
      </rPr>
      <t>)</t>
    </r>
  </si>
  <si>
    <r>
      <t>Potasio Soluble (K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O)</t>
    </r>
  </si>
  <si>
    <t>RESULTADOS ANÁLISIS No. CC-34014</t>
  </si>
  <si>
    <t>SOLICITUD DE REGISTRO ICA CALFER LLENADO 5-15-45</t>
  </si>
  <si>
    <t>SULFATO CALCIO - YESO AGRICOLA</t>
  </si>
  <si>
    <t>26% CaO + 13% S</t>
  </si>
  <si>
    <t>CAL DOLOMITA</t>
  </si>
  <si>
    <t>33% CaO + 14% MgO</t>
  </si>
  <si>
    <t>CLORURO POTASIO (KCL)</t>
  </si>
  <si>
    <t>KIESERITA</t>
  </si>
  <si>
    <t>25% MgO + 20% S</t>
  </si>
  <si>
    <t>SILICATO MAGNESIO</t>
  </si>
  <si>
    <t>39.71% MgO + 41.08% SiO2</t>
  </si>
  <si>
    <t>ULEXITA</t>
  </si>
  <si>
    <t>12% B + 18% CaO</t>
  </si>
  <si>
    <t>CAOLIN</t>
  </si>
  <si>
    <t>60% K</t>
  </si>
  <si>
    <t>Calcio
CaO</t>
  </si>
  <si>
    <r>
      <t>Fósforo Total (P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>5</t>
    </r>
    <r>
      <rPr>
        <b/>
        <sz val="8"/>
        <color theme="1"/>
        <rFont val="Segoe UI"/>
        <family val="2"/>
      </rPr>
      <t>)</t>
    </r>
  </si>
  <si>
    <t>DESVIACIONES</t>
  </si>
  <si>
    <t>&gt;0,12%</t>
  </si>
  <si>
    <t>&gt;0,02%</t>
  </si>
  <si>
    <t>&lt;1,17%</t>
  </si>
  <si>
    <t>&gt;0,41%</t>
  </si>
  <si>
    <t>(%) RANGO TOLERANCIA ICA NTC 1061/2020</t>
  </si>
  <si>
    <t>SULFA-K 50</t>
  </si>
  <si>
    <t>FOSFATO MONOPOTASICO (MKP)</t>
  </si>
  <si>
    <t>SULFATO POTASIO</t>
  </si>
  <si>
    <t>50.1% K2O + 16.9% S</t>
  </si>
  <si>
    <t>34% K2O + 52%P2O5</t>
  </si>
  <si>
    <t>± 1.35</t>
  </si>
  <si>
    <t>± 1,46</t>
  </si>
  <si>
    <t>± 0,81</t>
  </si>
  <si>
    <t>SOLICITUD ETIQUETA REGISTRO ICA SULFAK-50</t>
  </si>
  <si>
    <t>RESULTADOS ANÁLISIS CC-31287</t>
  </si>
  <si>
    <t>60% K2O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</si>
</sst>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%"/>
    <numFmt numFmtId="166" formatCode="0.0"/>
  </numFmts>
  <fonts count="3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Segoe UI"/>
      <family val="2"/>
    </font>
    <font>
      <b/>
      <sz val="8"/>
      <color theme="1"/>
      <name val="Segoe UI"/>
      <family val="2"/>
    </font>
    <font>
      <b/>
      <vertAlign val="subscript"/>
      <sz val="8"/>
      <color theme="1"/>
      <name val="Segoe UI"/>
      <family val="2"/>
    </font>
    <font>
      <sz val="8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2"/>
      <color theme="1"/>
      <name val="Segoe UI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8"/>
      <color rgb="FFFF0000"/>
      <name val="Segoe UI"/>
      <family val="2"/>
    </font>
    <font>
      <b/>
      <sz val="14"/>
      <color theme="1"/>
      <name val="Segoe UI"/>
      <family val="2"/>
    </font>
    <font>
      <b/>
      <sz val="12"/>
      <color theme="1"/>
      <name val="Segoe UI"/>
      <family val="2"/>
    </font>
    <font>
      <sz val="8"/>
      <color theme="1"/>
      <name val="Arial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11"/>
      <color theme="1"/>
      <name val="Segoe UI"/>
      <family val="2"/>
    </font>
    <font>
      <b/>
      <u/>
      <sz val="11"/>
      <color rgb="FF000000"/>
      <name val="Segoe UI"/>
      <family val="2"/>
    </font>
    <font>
      <b/>
      <sz val="9"/>
      <color theme="1"/>
      <name val="Segoe U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0"/>
      <color theme="5" tint="0.79998168889431442"/>
      <name val="Arial"/>
      <family val="2"/>
    </font>
    <font>
      <b/>
      <sz val="8"/>
      <color theme="0"/>
      <name val="Segoe UI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77">
    <xf numFmtId="0" fontId="0" fillId="0" borderId="0" xfId="0"/>
    <xf numFmtId="0" fontId="1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9" fillId="3" borderId="1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 wrapText="1"/>
    </xf>
    <xf numFmtId="2" fontId="5" fillId="6" borderId="5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66" fontId="5" fillId="6" borderId="5" xfId="0" applyNumberFormat="1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166" fontId="5" fillId="6" borderId="12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7" fillId="0" borderId="13" xfId="0" applyFont="1" applyBorder="1"/>
    <xf numFmtId="0" fontId="14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0" fontId="11" fillId="2" borderId="1" xfId="0" applyNumberFormat="1" applyFont="1" applyFill="1" applyBorder="1" applyAlignment="1">
      <alignment horizontal="center" vertical="center"/>
    </xf>
    <xf numFmtId="10" fontId="10" fillId="2" borderId="1" xfId="0" applyNumberFormat="1" applyFont="1" applyFill="1" applyBorder="1" applyAlignment="1">
      <alignment horizontal="center" vertical="center"/>
    </xf>
    <xf numFmtId="165" fontId="10" fillId="2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6" fontId="5" fillId="6" borderId="23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2" fontId="5" fillId="6" borderId="16" xfId="0" applyNumberFormat="1" applyFont="1" applyFill="1" applyBorder="1" applyAlignment="1">
      <alignment horizontal="center" vertical="center"/>
    </xf>
    <xf numFmtId="164" fontId="7" fillId="5" borderId="11" xfId="0" applyNumberFormat="1" applyFont="1" applyFill="1" applyBorder="1" applyAlignment="1">
      <alignment horizontal="left" vertical="center"/>
    </xf>
    <xf numFmtId="2" fontId="5" fillId="0" borderId="7" xfId="0" applyNumberFormat="1" applyFont="1" applyBorder="1" applyAlignment="1">
      <alignment horizontal="center" vertical="center"/>
    </xf>
    <xf numFmtId="2" fontId="5" fillId="0" borderId="24" xfId="0" applyNumberFormat="1" applyFont="1" applyBorder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 wrapText="1"/>
    </xf>
    <xf numFmtId="2" fontId="7" fillId="0" borderId="7" xfId="0" applyNumberFormat="1" applyFont="1" applyBorder="1"/>
    <xf numFmtId="2" fontId="7" fillId="0" borderId="5" xfId="0" applyNumberFormat="1" applyFont="1" applyBorder="1"/>
    <xf numFmtId="2" fontId="7" fillId="0" borderId="10" xfId="0" applyNumberFormat="1" applyFont="1" applyBorder="1"/>
    <xf numFmtId="2" fontId="5" fillId="3" borderId="5" xfId="1" applyNumberFormat="1" applyFont="1" applyFill="1" applyBorder="1" applyAlignment="1">
      <alignment horizontal="center" vertical="center" wrapText="1"/>
    </xf>
    <xf numFmtId="2" fontId="5" fillId="0" borderId="5" xfId="1" applyNumberFormat="1" applyFont="1" applyFill="1" applyBorder="1" applyAlignment="1">
      <alignment horizontal="center" vertical="center" wrapText="1"/>
    </xf>
    <xf numFmtId="2" fontId="5" fillId="0" borderId="6" xfId="1" applyNumberFormat="1" applyFont="1" applyFill="1" applyBorder="1" applyAlignment="1">
      <alignment horizontal="center" vertical="center" wrapText="1"/>
    </xf>
    <xf numFmtId="2" fontId="5" fillId="0" borderId="9" xfId="1" applyNumberFormat="1" applyFont="1" applyFill="1" applyBorder="1" applyAlignment="1">
      <alignment horizontal="center" vertical="center" wrapText="1"/>
    </xf>
    <xf numFmtId="2" fontId="5" fillId="0" borderId="6" xfId="0" applyNumberFormat="1" applyFont="1" applyBorder="1" applyAlignment="1">
      <alignment horizontal="center" vertical="center" wrapText="1"/>
    </xf>
    <xf numFmtId="2" fontId="7" fillId="0" borderId="6" xfId="0" applyNumberFormat="1" applyFont="1" applyBorder="1"/>
    <xf numFmtId="2" fontId="7" fillId="0" borderId="8" xfId="0" applyNumberFormat="1" applyFont="1" applyBorder="1"/>
    <xf numFmtId="2" fontId="5" fillId="0" borderId="5" xfId="0" applyNumberFormat="1" applyFont="1" applyBorder="1" applyAlignment="1">
      <alignment horizontal="center" vertical="center"/>
    </xf>
    <xf numFmtId="2" fontId="5" fillId="0" borderId="19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/>
    </xf>
    <xf numFmtId="2" fontId="5" fillId="0" borderId="9" xfId="0" applyNumberFormat="1" applyFont="1" applyBorder="1" applyAlignment="1">
      <alignment horizontal="center"/>
    </xf>
    <xf numFmtId="2" fontId="8" fillId="0" borderId="11" xfId="0" applyNumberFormat="1" applyFont="1" applyBorder="1"/>
    <xf numFmtId="2" fontId="7" fillId="0" borderId="9" xfId="0" applyNumberFormat="1" applyFont="1" applyBorder="1"/>
    <xf numFmtId="2" fontId="7" fillId="0" borderId="12" xfId="0" applyNumberFormat="1" applyFont="1" applyBorder="1" applyAlignment="1">
      <alignment horizontal="center" vertical="center"/>
    </xf>
    <xf numFmtId="2" fontId="7" fillId="0" borderId="18" xfId="0" applyNumberFormat="1" applyFont="1" applyBorder="1"/>
    <xf numFmtId="2" fontId="7" fillId="0" borderId="12" xfId="0" applyNumberFormat="1" applyFont="1" applyBorder="1"/>
    <xf numFmtId="2" fontId="7" fillId="0" borderId="25" xfId="0" applyNumberFormat="1" applyFont="1" applyBorder="1"/>
    <xf numFmtId="10" fontId="5" fillId="0" borderId="7" xfId="1" applyNumberFormat="1" applyFont="1" applyBorder="1" applyAlignment="1">
      <alignment horizontal="center" vertical="center"/>
    </xf>
    <xf numFmtId="165" fontId="5" fillId="0" borderId="7" xfId="1" applyNumberFormat="1" applyFont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 wrapText="1"/>
    </xf>
    <xf numFmtId="2" fontId="17" fillId="9" borderId="39" xfId="0" applyNumberFormat="1" applyFont="1" applyFill="1" applyBorder="1" applyAlignment="1">
      <alignment vertical="center"/>
    </xf>
    <xf numFmtId="2" fontId="17" fillId="8" borderId="42" xfId="0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0" fontId="11" fillId="2" borderId="0" xfId="0" applyNumberFormat="1" applyFont="1" applyFill="1" applyAlignment="1">
      <alignment horizontal="center" vertical="center"/>
    </xf>
    <xf numFmtId="10" fontId="10" fillId="2" borderId="0" xfId="0" applyNumberFormat="1" applyFont="1" applyFill="1" applyAlignment="1">
      <alignment horizontal="center" vertical="center"/>
    </xf>
    <xf numFmtId="165" fontId="10" fillId="2" borderId="0" xfId="0" applyNumberFormat="1" applyFont="1" applyFill="1" applyAlignment="1">
      <alignment horizontal="center" vertical="center"/>
    </xf>
    <xf numFmtId="10" fontId="23" fillId="7" borderId="38" xfId="1" applyNumberFormat="1" applyFont="1" applyFill="1" applyBorder="1" applyAlignment="1">
      <alignment horizontal="center" vertical="center"/>
    </xf>
    <xf numFmtId="10" fontId="23" fillId="3" borderId="47" xfId="1" applyNumberFormat="1" applyFont="1" applyFill="1" applyBorder="1" applyAlignment="1">
      <alignment horizontal="center" vertical="center"/>
    </xf>
    <xf numFmtId="10" fontId="23" fillId="3" borderId="37" xfId="1" applyNumberFormat="1" applyFont="1" applyFill="1" applyBorder="1" applyAlignment="1">
      <alignment horizontal="center" vertical="center"/>
    </xf>
    <xf numFmtId="10" fontId="23" fillId="7" borderId="40" xfId="1" applyNumberFormat="1" applyFont="1" applyFill="1" applyBorder="1" applyAlignment="1">
      <alignment horizontal="center" vertical="center"/>
    </xf>
    <xf numFmtId="0" fontId="24" fillId="0" borderId="0" xfId="0" applyFont="1"/>
    <xf numFmtId="165" fontId="24" fillId="0" borderId="0" xfId="0" applyNumberFormat="1" applyFont="1"/>
    <xf numFmtId="10" fontId="25" fillId="8" borderId="39" xfId="1" applyNumberFormat="1" applyFont="1" applyFill="1" applyBorder="1" applyAlignment="1">
      <alignment horizontal="center" vertical="center"/>
    </xf>
    <xf numFmtId="10" fontId="25" fillId="8" borderId="38" xfId="1" applyNumberFormat="1" applyFont="1" applyFill="1" applyBorder="1" applyAlignment="1">
      <alignment horizontal="center" vertical="center"/>
    </xf>
    <xf numFmtId="2" fontId="26" fillId="8" borderId="48" xfId="0" applyNumberFormat="1" applyFont="1" applyFill="1" applyBorder="1" applyAlignment="1">
      <alignment horizontal="center" vertical="center"/>
    </xf>
    <xf numFmtId="2" fontId="26" fillId="8" borderId="49" xfId="0" applyNumberFormat="1" applyFont="1" applyFill="1" applyBorder="1" applyAlignment="1">
      <alignment horizontal="center" vertical="center"/>
    </xf>
    <xf numFmtId="165" fontId="26" fillId="8" borderId="49" xfId="0" applyNumberFormat="1" applyFont="1" applyFill="1" applyBorder="1" applyAlignment="1">
      <alignment horizontal="center" vertical="center"/>
    </xf>
    <xf numFmtId="2" fontId="26" fillId="9" borderId="9" xfId="0" applyNumberFormat="1" applyFont="1" applyFill="1" applyBorder="1" applyAlignment="1">
      <alignment vertical="center"/>
    </xf>
    <xf numFmtId="165" fontId="26" fillId="9" borderId="9" xfId="0" applyNumberFormat="1" applyFont="1" applyFill="1" applyBorder="1" applyAlignment="1">
      <alignment vertical="center"/>
    </xf>
    <xf numFmtId="10" fontId="25" fillId="8" borderId="46" xfId="1" applyNumberFormat="1" applyFont="1" applyFill="1" applyBorder="1" applyAlignment="1">
      <alignment horizontal="center" vertical="center"/>
    </xf>
    <xf numFmtId="10" fontId="25" fillId="8" borderId="45" xfId="1" applyNumberFormat="1" applyFont="1" applyFill="1" applyBorder="1" applyAlignment="1">
      <alignment horizontal="center" vertical="center"/>
    </xf>
    <xf numFmtId="10" fontId="27" fillId="8" borderId="38" xfId="1" applyNumberFormat="1" applyFont="1" applyFill="1" applyBorder="1" applyAlignment="1">
      <alignment horizontal="center" vertical="center"/>
    </xf>
    <xf numFmtId="2" fontId="27" fillId="8" borderId="50" xfId="0" applyNumberFormat="1" applyFont="1" applyFill="1" applyBorder="1" applyAlignment="1">
      <alignment horizontal="center" vertical="center"/>
    </xf>
    <xf numFmtId="2" fontId="27" fillId="9" borderId="51" xfId="0" applyNumberFormat="1" applyFont="1" applyFill="1" applyBorder="1" applyAlignment="1">
      <alignment vertical="center"/>
    </xf>
    <xf numFmtId="10" fontId="27" fillId="8" borderId="45" xfId="1" applyNumberFormat="1" applyFont="1" applyFill="1" applyBorder="1" applyAlignment="1">
      <alignment horizontal="center" vertical="center"/>
    </xf>
    <xf numFmtId="10" fontId="28" fillId="7" borderId="38" xfId="1" applyNumberFormat="1" applyFont="1" applyFill="1" applyBorder="1" applyAlignment="1">
      <alignment horizontal="center" vertical="center"/>
    </xf>
    <xf numFmtId="165" fontId="11" fillId="7" borderId="38" xfId="1" applyNumberFormat="1" applyFont="1" applyFill="1" applyBorder="1" applyAlignment="1">
      <alignment horizontal="center" vertical="center"/>
    </xf>
    <xf numFmtId="10" fontId="28" fillId="3" borderId="37" xfId="1" applyNumberFormat="1" applyFont="1" applyFill="1" applyBorder="1" applyAlignment="1">
      <alignment horizontal="center" vertical="center"/>
    </xf>
    <xf numFmtId="165" fontId="28" fillId="3" borderId="37" xfId="1" applyNumberFormat="1" applyFont="1" applyFill="1" applyBorder="1" applyAlignment="1">
      <alignment horizontal="center" vertical="center"/>
    </xf>
    <xf numFmtId="10" fontId="28" fillId="7" borderId="40" xfId="1" applyNumberFormat="1" applyFont="1" applyFill="1" applyBorder="1" applyAlignment="1">
      <alignment horizontal="center" vertical="center"/>
    </xf>
    <xf numFmtId="165" fontId="11" fillId="7" borderId="40" xfId="1" applyNumberFormat="1" applyFont="1" applyFill="1" applyBorder="1" applyAlignment="1">
      <alignment horizontal="center" vertical="center"/>
    </xf>
    <xf numFmtId="165" fontId="0" fillId="0" borderId="0" xfId="0" applyNumberFormat="1"/>
    <xf numFmtId="10" fontId="11" fillId="8" borderId="43" xfId="1" applyNumberFormat="1" applyFont="1" applyFill="1" applyBorder="1" applyAlignment="1">
      <alignment horizontal="center" vertical="center"/>
    </xf>
    <xf numFmtId="165" fontId="11" fillId="8" borderId="43" xfId="1" applyNumberFormat="1" applyFont="1" applyFill="1" applyBorder="1" applyAlignment="1">
      <alignment horizontal="center" vertical="center"/>
    </xf>
    <xf numFmtId="2" fontId="17" fillId="9" borderId="52" xfId="0" applyNumberFormat="1" applyFont="1" applyFill="1" applyBorder="1" applyAlignment="1">
      <alignment vertical="center"/>
    </xf>
    <xf numFmtId="2" fontId="17" fillId="9" borderId="9" xfId="0" applyNumberFormat="1" applyFont="1" applyFill="1" applyBorder="1" applyAlignment="1">
      <alignment vertical="center"/>
    </xf>
    <xf numFmtId="2" fontId="17" fillId="8" borderId="53" xfId="0" applyNumberFormat="1" applyFont="1" applyFill="1" applyBorder="1" applyAlignment="1">
      <alignment horizontal="center" vertical="center"/>
    </xf>
    <xf numFmtId="2" fontId="17" fillId="8" borderId="54" xfId="0" applyNumberFormat="1" applyFont="1" applyFill="1" applyBorder="1" applyAlignment="1">
      <alignment horizontal="center" vertical="center"/>
    </xf>
    <xf numFmtId="165" fontId="17" fillId="8" borderId="54" xfId="0" applyNumberFormat="1" applyFont="1" applyFill="1" applyBorder="1" applyAlignment="1">
      <alignment horizontal="center" vertical="center"/>
    </xf>
    <xf numFmtId="10" fontId="11" fillId="8" borderId="40" xfId="1" applyNumberFormat="1" applyFont="1" applyFill="1" applyBorder="1" applyAlignment="1">
      <alignment horizontal="center" vertical="center"/>
    </xf>
    <xf numFmtId="165" fontId="11" fillId="8" borderId="40" xfId="1" applyNumberFormat="1" applyFont="1" applyFill="1" applyBorder="1" applyAlignment="1">
      <alignment horizontal="center" vertical="center"/>
    </xf>
    <xf numFmtId="2" fontId="11" fillId="8" borderId="40" xfId="0" applyNumberFormat="1" applyFont="1" applyFill="1" applyBorder="1" applyAlignment="1">
      <alignment horizontal="center" vertical="center"/>
    </xf>
    <xf numFmtId="10" fontId="29" fillId="7" borderId="38" xfId="1" applyNumberFormat="1" applyFont="1" applyFill="1" applyBorder="1" applyAlignment="1">
      <alignment horizontal="center" vertical="center"/>
    </xf>
    <xf numFmtId="10" fontId="29" fillId="7" borderId="40" xfId="1" applyNumberFormat="1" applyFont="1" applyFill="1" applyBorder="1" applyAlignment="1">
      <alignment horizontal="center" vertical="center"/>
    </xf>
    <xf numFmtId="10" fontId="11" fillId="7" borderId="38" xfId="1" applyNumberFormat="1" applyFont="1" applyFill="1" applyBorder="1" applyAlignment="1">
      <alignment horizontal="center" vertical="center"/>
    </xf>
    <xf numFmtId="10" fontId="11" fillId="10" borderId="55" xfId="1" applyNumberFormat="1" applyFont="1" applyFill="1" applyBorder="1" applyAlignment="1">
      <alignment horizontal="center" vertical="center"/>
    </xf>
    <xf numFmtId="10" fontId="11" fillId="3" borderId="37" xfId="1" applyNumberFormat="1" applyFont="1" applyFill="1" applyBorder="1" applyAlignment="1">
      <alignment horizontal="center" vertical="center"/>
    </xf>
    <xf numFmtId="10" fontId="11" fillId="7" borderId="40" xfId="1" applyNumberFormat="1" applyFont="1" applyFill="1" applyBorder="1" applyAlignment="1">
      <alignment horizontal="center" vertical="center"/>
    </xf>
    <xf numFmtId="10" fontId="11" fillId="8" borderId="44" xfId="1" applyNumberFormat="1" applyFont="1" applyFill="1" applyBorder="1" applyAlignment="1">
      <alignment horizontal="center" vertical="center"/>
    </xf>
    <xf numFmtId="2" fontId="17" fillId="9" borderId="51" xfId="0" applyNumberFormat="1" applyFont="1" applyFill="1" applyBorder="1" applyAlignment="1">
      <alignment vertical="center"/>
    </xf>
    <xf numFmtId="165" fontId="17" fillId="8" borderId="56" xfId="0" applyNumberFormat="1" applyFont="1" applyFill="1" applyBorder="1" applyAlignment="1">
      <alignment horizontal="center" vertical="center"/>
    </xf>
    <xf numFmtId="10" fontId="11" fillId="8" borderId="41" xfId="1" applyNumberFormat="1" applyFont="1" applyFill="1" applyBorder="1" applyAlignment="1">
      <alignment horizontal="center" vertical="center"/>
    </xf>
    <xf numFmtId="9" fontId="5" fillId="6" borderId="16" xfId="0" applyNumberFormat="1" applyFont="1" applyFill="1" applyBorder="1" applyAlignment="1">
      <alignment horizontal="center" vertical="center" wrapText="1"/>
    </xf>
    <xf numFmtId="10" fontId="8" fillId="2" borderId="1" xfId="0" applyNumberFormat="1" applyFont="1" applyFill="1" applyBorder="1" applyAlignment="1">
      <alignment horizontal="center" vertical="center"/>
    </xf>
    <xf numFmtId="10" fontId="11" fillId="4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center" vertical="center"/>
    </xf>
    <xf numFmtId="10" fontId="30" fillId="10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/>
    </xf>
    <xf numFmtId="0" fontId="9" fillId="8" borderId="27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33" xfId="0" applyFont="1" applyFill="1" applyBorder="1" applyAlignment="1">
      <alignment horizontal="center" vertical="center"/>
    </xf>
    <xf numFmtId="0" fontId="18" fillId="8" borderId="29" xfId="0" applyFont="1" applyFill="1" applyBorder="1" applyAlignment="1">
      <alignment horizontal="center" vertical="center" wrapText="1"/>
    </xf>
    <xf numFmtId="0" fontId="9" fillId="8" borderId="26" xfId="0" applyFont="1" applyFill="1" applyBorder="1" applyAlignment="1">
      <alignment horizontal="center" vertical="center"/>
    </xf>
    <xf numFmtId="0" fontId="9" fillId="8" borderId="32" xfId="0" applyFont="1" applyFill="1" applyBorder="1" applyAlignment="1">
      <alignment horizontal="center" vertical="center"/>
    </xf>
    <xf numFmtId="0" fontId="9" fillId="8" borderId="30" xfId="0" applyFont="1" applyFill="1" applyBorder="1" applyAlignment="1">
      <alignment horizontal="center" vertical="center"/>
    </xf>
    <xf numFmtId="0" fontId="9" fillId="8" borderId="31" xfId="0" applyFont="1" applyFill="1" applyBorder="1" applyAlignment="1">
      <alignment horizontal="center" vertical="center"/>
    </xf>
    <xf numFmtId="0" fontId="9" fillId="8" borderId="3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9" fillId="8" borderId="29" xfId="0" applyFont="1" applyFill="1" applyBorder="1" applyAlignment="1">
      <alignment horizontal="center" vertical="center" wrapText="1"/>
    </xf>
    <xf numFmtId="0" fontId="20" fillId="8" borderId="26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7" borderId="27" xfId="0" applyFont="1" applyFill="1" applyBorder="1" applyAlignment="1">
      <alignment horizontal="center" vertical="center"/>
    </xf>
    <xf numFmtId="0" fontId="9" fillId="7" borderId="28" xfId="0" applyFont="1" applyFill="1" applyBorder="1" applyAlignment="1">
      <alignment horizontal="center" vertical="center"/>
    </xf>
    <xf numFmtId="0" fontId="9" fillId="7" borderId="33" xfId="0" applyFont="1" applyFill="1" applyBorder="1" applyAlignment="1">
      <alignment horizontal="center" vertical="center"/>
    </xf>
    <xf numFmtId="0" fontId="16" fillId="3" borderId="29" xfId="0" applyFont="1" applyFill="1" applyBorder="1" applyAlignment="1">
      <alignment horizontal="center" vertical="center"/>
    </xf>
    <xf numFmtId="0" fontId="16" fillId="3" borderId="26" xfId="0" applyFont="1" applyFill="1" applyBorder="1" applyAlignment="1">
      <alignment horizontal="center" vertical="center"/>
    </xf>
    <xf numFmtId="0" fontId="16" fillId="3" borderId="32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/>
    </xf>
    <xf numFmtId="0" fontId="1" fillId="4" borderId="36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31" fillId="4" borderId="4" xfId="0" applyFont="1" applyFill="1" applyBorder="1" applyAlignment="1">
      <alignment horizontal="center" vertical="center"/>
    </xf>
    <xf numFmtId="0" fontId="31" fillId="4" borderId="2" xfId="0" applyFont="1" applyFill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/>
    </xf>
    <xf numFmtId="0" fontId="30" fillId="10" borderId="4" xfId="0" applyFont="1" applyFill="1" applyBorder="1" applyAlignment="1">
      <alignment horizontal="center" vertical="center"/>
    </xf>
    <xf numFmtId="0" fontId="30" fillId="10" borderId="2" xfId="0" applyFont="1" applyFill="1" applyBorder="1" applyAlignment="1">
      <alignment horizontal="center" vertical="center"/>
    </xf>
    <xf numFmtId="0" fontId="30" fillId="10" borderId="3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/>
    </xf>
    <xf numFmtId="0" fontId="22" fillId="6" borderId="2" xfId="0" applyFont="1" applyFill="1" applyBorder="1" applyAlignment="1">
      <alignment horizontal="center"/>
    </xf>
    <xf numFmtId="0" fontId="22" fillId="6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8">
    <dxf>
      <font>
        <color rgb="FFFFFF00"/>
      </font>
    </dxf>
    <dxf>
      <font>
        <color rgb="FFFFC000"/>
      </font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FF00"/>
      <color rgb="FFFF0000"/>
      <color rgb="FFFE90F6"/>
      <color rgb="FFFC04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F641-E0E2-474B-947C-B5D07184FDF5}">
  <dimension ref="A1:AB37"/>
  <sheetViews>
    <sheetView zoomScale="80" zoomScaleNormal="80" workbookViewId="0">
      <selection activeCell="A39" sqref="A39:XFD43"/>
    </sheetView>
  </sheetViews>
  <sheetFormatPr defaultColWidth="11.42578125" defaultRowHeight="15" x14ac:dyDescent="0.25"/>
  <cols>
    <col min="1" max="1" width="26.140625" customWidth="1"/>
    <col min="2" max="2" width="25.5703125" bestFit="1" customWidth="1"/>
    <col min="3" max="3" width="8.140625" bestFit="1" customWidth="1"/>
    <col min="4" max="4" width="9.42578125" bestFit="1" customWidth="1"/>
    <col min="5" max="5" width="9.28515625" bestFit="1" customWidth="1"/>
    <col min="6" max="6" width="10.5703125" bestFit="1" customWidth="1"/>
    <col min="7" max="7" width="9.5703125" bestFit="1" customWidth="1"/>
    <col min="8" max="8" width="11" bestFit="1" customWidth="1"/>
    <col min="9" max="11" width="8.85546875" bestFit="1" customWidth="1"/>
    <col min="12" max="12" width="8.28515625" bestFit="1" customWidth="1"/>
    <col min="13" max="13" width="7.5703125" bestFit="1" customWidth="1"/>
    <col min="14" max="14" width="8.85546875" bestFit="1" customWidth="1"/>
    <col min="15" max="15" width="7.5703125" bestFit="1" customWidth="1"/>
    <col min="16" max="16" width="8.7109375" bestFit="1" customWidth="1"/>
    <col min="17" max="17" width="9.85546875" bestFit="1" customWidth="1"/>
    <col min="18" max="18" width="9.28515625" bestFit="1" customWidth="1"/>
    <col min="19" max="19" width="7.5703125" bestFit="1" customWidth="1"/>
    <col min="20" max="20" width="9.85546875" bestFit="1" customWidth="1"/>
  </cols>
  <sheetData>
    <row r="1" spans="1:28" ht="18" x14ac:dyDescent="0.25">
      <c r="A1" s="154" t="s">
        <v>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</row>
    <row r="2" spans="1:28" ht="23.25" x14ac:dyDescent="0.35">
      <c r="A2" s="155" t="s">
        <v>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</row>
    <row r="3" spans="1:28" ht="20.25" x14ac:dyDescent="0.3">
      <c r="A3" s="156" t="s">
        <v>2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3"/>
      <c r="B4" s="3"/>
      <c r="C4" s="4"/>
      <c r="D4" s="4"/>
      <c r="E4" s="4"/>
      <c r="F4" s="4"/>
      <c r="G4" s="4"/>
      <c r="H4" s="4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8" ht="16.5" thickBot="1" x14ac:dyDescent="0.3">
      <c r="A5" s="1"/>
      <c r="B5" s="1"/>
      <c r="C5" s="1"/>
      <c r="D5" s="1"/>
      <c r="E5" s="1"/>
      <c r="F5" s="1"/>
      <c r="G5" s="1"/>
      <c r="H5" s="1"/>
      <c r="I5" s="1"/>
      <c r="J5" s="163" t="s">
        <v>3</v>
      </c>
      <c r="K5" s="163"/>
      <c r="L5" s="163"/>
      <c r="M5" s="163"/>
      <c r="N5" s="163"/>
      <c r="O5" s="163"/>
      <c r="P5" s="163"/>
      <c r="Q5" s="163"/>
      <c r="R5" s="163"/>
      <c r="S5" s="163"/>
      <c r="T5" s="164"/>
    </row>
    <row r="6" spans="1:28" ht="35.25" thickBot="1" x14ac:dyDescent="0.3">
      <c r="A6" s="5" t="s">
        <v>4</v>
      </c>
      <c r="B6" s="19" t="s">
        <v>5</v>
      </c>
      <c r="C6" s="6" t="s">
        <v>6</v>
      </c>
      <c r="D6" s="20" t="s">
        <v>7</v>
      </c>
      <c r="E6" s="2" t="s">
        <v>8</v>
      </c>
      <c r="F6" s="2" t="s">
        <v>9</v>
      </c>
      <c r="G6" s="2" t="s">
        <v>10</v>
      </c>
      <c r="H6" s="2" t="s">
        <v>30</v>
      </c>
      <c r="I6" s="2" t="s">
        <v>31</v>
      </c>
      <c r="J6" s="2" t="s">
        <v>47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  <c r="P6" s="2" t="s">
        <v>16</v>
      </c>
      <c r="Q6" s="2" t="s">
        <v>17</v>
      </c>
      <c r="R6" s="18" t="s">
        <v>18</v>
      </c>
      <c r="S6" s="18" t="s">
        <v>19</v>
      </c>
      <c r="T6" s="2" t="s">
        <v>20</v>
      </c>
    </row>
    <row r="7" spans="1:28" ht="15.75" thickBot="1" x14ac:dyDescent="0.3">
      <c r="A7" s="9" t="s">
        <v>34</v>
      </c>
      <c r="B7" s="11" t="s">
        <v>35</v>
      </c>
      <c r="C7" s="21">
        <v>230.8</v>
      </c>
      <c r="D7" s="16">
        <f>C7/10</f>
        <v>23.080000000000002</v>
      </c>
      <c r="E7" s="41"/>
      <c r="F7" s="41"/>
      <c r="G7" s="41"/>
      <c r="H7" s="66"/>
      <c r="I7" s="66"/>
      <c r="J7" s="66">
        <f>0.26*$D7/$D$23</f>
        <v>6.0008000000000006E-2</v>
      </c>
      <c r="K7" s="43"/>
      <c r="L7" s="66">
        <f>0.13*$D7/$D$23</f>
        <v>3.0004000000000003E-2</v>
      </c>
      <c r="M7" s="45"/>
      <c r="N7" s="45"/>
      <c r="O7" s="44"/>
      <c r="P7" s="46"/>
      <c r="Q7" s="44"/>
      <c r="R7" s="46"/>
      <c r="S7" s="44"/>
      <c r="T7" s="44"/>
    </row>
    <row r="8" spans="1:28" ht="15.75" thickBot="1" x14ac:dyDescent="0.3">
      <c r="A8" s="9" t="s">
        <v>36</v>
      </c>
      <c r="B8" s="11" t="s">
        <v>37</v>
      </c>
      <c r="C8" s="21">
        <v>566.70000000000005</v>
      </c>
      <c r="D8" s="16">
        <f>C8/10</f>
        <v>56.67</v>
      </c>
      <c r="E8" s="47"/>
      <c r="F8" s="47"/>
      <c r="G8" s="48"/>
      <c r="H8" s="47"/>
      <c r="I8" s="66"/>
      <c r="J8" s="66">
        <f>0.33*$D8/$D$23</f>
        <v>0.18701100000000001</v>
      </c>
      <c r="K8" s="66">
        <f>0.14*$D8/$D$23</f>
        <v>7.9338000000000006E-2</v>
      </c>
      <c r="L8" s="66"/>
      <c r="M8" s="49"/>
      <c r="N8" s="49"/>
      <c r="O8" s="48"/>
      <c r="P8" s="50"/>
      <c r="Q8" s="48"/>
      <c r="R8" s="50"/>
      <c r="S8" s="48"/>
      <c r="T8" s="48"/>
    </row>
    <row r="9" spans="1:28" ht="15.75" thickBot="1" x14ac:dyDescent="0.3">
      <c r="A9" s="12" t="s">
        <v>38</v>
      </c>
      <c r="B9" s="13" t="s">
        <v>46</v>
      </c>
      <c r="C9" s="21">
        <v>50</v>
      </c>
      <c r="D9" s="16">
        <f t="shared" ref="D9" si="0">C9/10</f>
        <v>5</v>
      </c>
      <c r="E9" s="66"/>
      <c r="F9" s="66"/>
      <c r="G9" s="66"/>
      <c r="H9" s="66"/>
      <c r="I9" s="66">
        <f>0.6*$D9/$D$23</f>
        <v>0.03</v>
      </c>
      <c r="J9" s="66"/>
      <c r="K9" s="51"/>
      <c r="L9" s="58"/>
      <c r="M9" s="45"/>
      <c r="N9" s="45"/>
      <c r="O9" s="52"/>
      <c r="P9" s="53"/>
      <c r="Q9" s="52"/>
      <c r="R9" s="53"/>
      <c r="S9" s="52"/>
      <c r="T9" s="52"/>
    </row>
    <row r="10" spans="1:28" ht="15.75" thickBot="1" x14ac:dyDescent="0.3">
      <c r="A10" s="14" t="s">
        <v>39</v>
      </c>
      <c r="B10" s="11" t="s">
        <v>40</v>
      </c>
      <c r="C10" s="21">
        <v>50</v>
      </c>
      <c r="D10" s="16">
        <f t="shared" ref="D10:D12" si="1">C10/10</f>
        <v>5</v>
      </c>
      <c r="E10" s="54"/>
      <c r="F10" s="54"/>
      <c r="G10" s="54"/>
      <c r="H10" s="54"/>
      <c r="I10" s="55"/>
      <c r="J10" s="42"/>
      <c r="K10" s="66">
        <f>0.25*$D10/$D$23</f>
        <v>1.2500000000000001E-2</v>
      </c>
      <c r="L10" s="66">
        <f>0.2*$D10/$D$23</f>
        <v>0.01</v>
      </c>
      <c r="M10" s="54"/>
      <c r="N10" s="54"/>
      <c r="O10" s="54"/>
      <c r="P10" s="56"/>
      <c r="Q10" s="54"/>
      <c r="R10" s="56"/>
      <c r="S10" s="54"/>
      <c r="T10" s="54"/>
    </row>
    <row r="11" spans="1:28" ht="15.75" thickBot="1" x14ac:dyDescent="0.3">
      <c r="A11" s="9" t="s">
        <v>41</v>
      </c>
      <c r="B11" s="11" t="s">
        <v>42</v>
      </c>
      <c r="C11" s="21">
        <v>20.6</v>
      </c>
      <c r="D11" s="16">
        <f t="shared" si="1"/>
        <v>2.06</v>
      </c>
      <c r="E11" s="54"/>
      <c r="F11" s="54"/>
      <c r="G11" s="54"/>
      <c r="H11" s="54"/>
      <c r="I11" s="55"/>
      <c r="J11" s="55"/>
      <c r="K11" s="66">
        <f>0.3971*$D11/$D$23</f>
        <v>8.18026E-3</v>
      </c>
      <c r="L11" s="58"/>
      <c r="M11" s="66"/>
      <c r="N11" s="58"/>
      <c r="O11" s="58"/>
      <c r="P11" s="59"/>
      <c r="Q11" s="58"/>
      <c r="R11" s="59"/>
      <c r="S11" s="66">
        <f>0.4108*$D11/$D$23</f>
        <v>8.4624799999999997E-3</v>
      </c>
      <c r="T11" s="58"/>
    </row>
    <row r="12" spans="1:28" ht="15.75" thickBot="1" x14ac:dyDescent="0.3">
      <c r="A12" s="9" t="s">
        <v>43</v>
      </c>
      <c r="B12" s="11" t="s">
        <v>44</v>
      </c>
      <c r="C12" s="21">
        <v>16.7</v>
      </c>
      <c r="D12" s="16">
        <f t="shared" si="1"/>
        <v>1.67</v>
      </c>
      <c r="E12" s="54"/>
      <c r="F12" s="54"/>
      <c r="G12" s="54"/>
      <c r="H12" s="54"/>
      <c r="I12" s="55"/>
      <c r="J12" s="66">
        <f>0.18*$D12/$D$23</f>
        <v>3.006E-3</v>
      </c>
      <c r="K12" s="57"/>
      <c r="L12" s="66"/>
      <c r="M12" s="66">
        <f>0.12*$D12/$D$23</f>
        <v>2.0040000000000001E-3</v>
      </c>
      <c r="N12" s="67"/>
      <c r="O12" s="58"/>
      <c r="P12" s="59"/>
      <c r="Q12" s="58"/>
      <c r="R12" s="59"/>
      <c r="S12" s="58"/>
      <c r="T12" s="58"/>
    </row>
    <row r="13" spans="1:28" ht="17.25" thickBot="1" x14ac:dyDescent="0.35">
      <c r="A13" s="9"/>
      <c r="B13" s="11"/>
      <c r="C13" s="21"/>
      <c r="D13" s="16"/>
      <c r="E13" s="54"/>
      <c r="F13" s="54"/>
      <c r="G13" s="54"/>
      <c r="H13" s="54"/>
      <c r="I13" s="55"/>
      <c r="J13" s="69"/>
      <c r="K13" s="60"/>
      <c r="L13" s="66"/>
      <c r="M13" s="58"/>
      <c r="N13" s="58"/>
      <c r="O13" s="66"/>
      <c r="P13" s="59"/>
      <c r="Q13" s="58"/>
      <c r="R13" s="59"/>
      <c r="S13" s="58"/>
      <c r="T13" s="58"/>
    </row>
    <row r="14" spans="1:28" ht="15.75" thickBot="1" x14ac:dyDescent="0.3">
      <c r="A14" s="9"/>
      <c r="B14" s="11"/>
      <c r="C14" s="21"/>
      <c r="D14" s="16"/>
      <c r="E14" s="54"/>
      <c r="F14" s="54"/>
      <c r="G14" s="54"/>
      <c r="H14" s="54"/>
      <c r="I14" s="55"/>
      <c r="J14" s="55"/>
      <c r="K14" s="57"/>
      <c r="L14" s="66"/>
      <c r="M14" s="58"/>
      <c r="N14" s="58"/>
      <c r="O14" s="58"/>
      <c r="P14" s="66"/>
      <c r="Q14" s="58"/>
      <c r="R14" s="59"/>
      <c r="S14" s="58"/>
      <c r="T14" s="58"/>
    </row>
    <row r="15" spans="1:28" ht="15.75" thickBot="1" x14ac:dyDescent="0.3">
      <c r="A15" s="9"/>
      <c r="B15" s="11"/>
      <c r="C15" s="21"/>
      <c r="D15" s="16"/>
      <c r="E15" s="54"/>
      <c r="F15" s="54"/>
      <c r="G15" s="54"/>
      <c r="H15" s="54"/>
      <c r="I15" s="55"/>
      <c r="J15" s="55"/>
      <c r="K15" s="57"/>
      <c r="L15" s="66"/>
      <c r="M15" s="58"/>
      <c r="N15" s="58"/>
      <c r="O15" s="58"/>
      <c r="P15" s="59"/>
      <c r="Q15" s="66"/>
      <c r="R15" s="59"/>
      <c r="S15" s="58"/>
      <c r="T15" s="58"/>
    </row>
    <row r="16" spans="1:28" ht="15.75" thickBot="1" x14ac:dyDescent="0.3">
      <c r="A16" s="9"/>
      <c r="B16" s="11"/>
      <c r="C16" s="21"/>
      <c r="D16" s="16"/>
      <c r="E16" s="54"/>
      <c r="F16" s="54"/>
      <c r="G16" s="54"/>
      <c r="H16" s="54"/>
      <c r="I16" s="55"/>
      <c r="J16" s="55"/>
      <c r="K16" s="57"/>
      <c r="L16" s="58"/>
      <c r="M16" s="58"/>
      <c r="N16" s="58"/>
      <c r="O16" s="58"/>
      <c r="P16" s="59"/>
      <c r="Q16" s="58"/>
      <c r="R16" s="67"/>
      <c r="S16" s="58"/>
      <c r="T16" s="58"/>
    </row>
    <row r="17" spans="1:21" ht="15.75" thickBot="1" x14ac:dyDescent="0.3">
      <c r="A17" s="22"/>
      <c r="B17" s="17"/>
      <c r="C17" s="21"/>
      <c r="D17" s="16"/>
      <c r="E17" s="54"/>
      <c r="F17" s="54"/>
      <c r="G17" s="54"/>
      <c r="H17" s="54"/>
      <c r="I17" s="55"/>
      <c r="J17" s="55"/>
      <c r="K17" s="57"/>
      <c r="L17" s="58"/>
      <c r="M17" s="58"/>
      <c r="N17" s="58"/>
      <c r="O17" s="58"/>
      <c r="P17" s="59"/>
      <c r="Q17" s="58"/>
      <c r="R17" s="59"/>
      <c r="S17" s="66"/>
      <c r="T17" s="58"/>
    </row>
    <row r="18" spans="1:21" ht="15.75" thickBot="1" x14ac:dyDescent="0.3">
      <c r="A18" s="14"/>
      <c r="B18" s="15"/>
      <c r="C18" s="23"/>
      <c r="D18" s="16"/>
      <c r="E18" s="54"/>
      <c r="F18" s="54"/>
      <c r="G18" s="54"/>
      <c r="H18" s="54"/>
      <c r="I18" s="55"/>
      <c r="J18" s="55"/>
      <c r="K18" s="57"/>
      <c r="L18" s="66"/>
      <c r="M18" s="58"/>
      <c r="N18" s="58"/>
      <c r="O18" s="58"/>
      <c r="P18" s="59"/>
      <c r="Q18" s="58"/>
      <c r="R18" s="59"/>
      <c r="S18" s="58"/>
      <c r="T18" s="66"/>
    </row>
    <row r="19" spans="1:21" ht="15.75" thickBot="1" x14ac:dyDescent="0.3">
      <c r="A19" s="141" t="s">
        <v>21</v>
      </c>
      <c r="B19" s="142"/>
      <c r="C19" s="24"/>
      <c r="D19" s="25"/>
      <c r="E19" s="54"/>
      <c r="F19" s="54"/>
      <c r="G19" s="54"/>
      <c r="H19" s="54"/>
      <c r="I19" s="55"/>
      <c r="J19" s="55"/>
      <c r="K19" s="57"/>
      <c r="L19" s="45"/>
      <c r="M19" s="45"/>
      <c r="N19" s="45"/>
      <c r="O19" s="45"/>
      <c r="P19" s="61"/>
      <c r="Q19" s="45"/>
      <c r="R19" s="61"/>
      <c r="S19" s="45"/>
      <c r="T19" s="45"/>
    </row>
    <row r="20" spans="1:21" ht="15.75" thickBot="1" x14ac:dyDescent="0.3">
      <c r="A20" s="72"/>
      <c r="B20" s="73"/>
      <c r="C20" s="24"/>
      <c r="D20" s="25"/>
      <c r="E20" s="41"/>
      <c r="F20" s="41"/>
      <c r="G20" s="41"/>
      <c r="H20" s="41"/>
      <c r="I20" s="42"/>
      <c r="J20" s="42"/>
      <c r="K20" s="43"/>
      <c r="L20" s="44"/>
      <c r="M20" s="45"/>
      <c r="N20" s="45"/>
      <c r="O20" s="44"/>
      <c r="P20" s="46"/>
      <c r="Q20" s="44"/>
      <c r="R20" s="46"/>
      <c r="S20" s="44"/>
      <c r="T20" s="44"/>
    </row>
    <row r="21" spans="1:21" ht="15.75" thickBot="1" x14ac:dyDescent="0.3">
      <c r="A21" s="72"/>
      <c r="B21" s="73"/>
      <c r="C21" s="24"/>
      <c r="D21" s="25"/>
      <c r="E21" s="41"/>
      <c r="F21" s="41"/>
      <c r="G21" s="41"/>
      <c r="H21" s="41"/>
      <c r="I21" s="42"/>
      <c r="J21" s="42"/>
      <c r="K21" s="43"/>
      <c r="L21" s="44"/>
      <c r="M21" s="45"/>
      <c r="N21" s="45"/>
      <c r="O21" s="44"/>
      <c r="P21" s="46"/>
      <c r="Q21" s="44"/>
      <c r="R21" s="46"/>
      <c r="S21" s="44"/>
      <c r="T21" s="44"/>
    </row>
    <row r="22" spans="1:21" ht="15.75" thickBot="1" x14ac:dyDescent="0.3">
      <c r="A22" s="26" t="s">
        <v>45</v>
      </c>
      <c r="B22" s="10"/>
      <c r="C22" s="37">
        <v>65.2</v>
      </c>
      <c r="D22" s="39">
        <f>C22/10</f>
        <v>6.5200000000000005</v>
      </c>
      <c r="E22" s="41"/>
      <c r="F22" s="41"/>
      <c r="G22" s="41"/>
      <c r="H22" s="41"/>
      <c r="I22" s="42"/>
      <c r="J22" s="42"/>
      <c r="K22" s="43"/>
      <c r="L22" s="44"/>
      <c r="M22" s="45"/>
      <c r="N22" s="45"/>
      <c r="O22" s="44"/>
      <c r="P22" s="46"/>
      <c r="Q22" s="44"/>
      <c r="R22" s="46"/>
      <c r="S22" s="44"/>
      <c r="T22" s="44"/>
    </row>
    <row r="23" spans="1:21" ht="15.75" thickBot="1" x14ac:dyDescent="0.3">
      <c r="A23" s="143" t="s">
        <v>22</v>
      </c>
      <c r="B23" s="144"/>
      <c r="C23" s="38">
        <f>SUM(C7:C22)</f>
        <v>1000.0000000000001</v>
      </c>
      <c r="D23" s="40">
        <f>SUM(D7:D22)</f>
        <v>100</v>
      </c>
      <c r="E23" s="62"/>
      <c r="F23" s="62"/>
      <c r="G23" s="62"/>
      <c r="H23" s="62"/>
      <c r="I23" s="63"/>
      <c r="J23" s="63"/>
      <c r="K23" s="64"/>
      <c r="L23" s="64"/>
      <c r="M23" s="64"/>
      <c r="N23" s="64"/>
      <c r="O23" s="64"/>
      <c r="P23" s="46"/>
      <c r="Q23" s="64"/>
      <c r="R23" s="65"/>
      <c r="S23" s="64"/>
      <c r="T23" s="64"/>
    </row>
    <row r="24" spans="1:21" ht="17.25" thickBot="1" x14ac:dyDescent="0.3">
      <c r="A24" s="145" t="s">
        <v>23</v>
      </c>
      <c r="B24" s="146"/>
      <c r="C24" s="146"/>
      <c r="D24" s="147"/>
      <c r="E24" s="8">
        <f t="shared" ref="E24:T24" si="2">SUM(E7:E23)</f>
        <v>0</v>
      </c>
      <c r="F24" s="8">
        <f t="shared" si="2"/>
        <v>0</v>
      </c>
      <c r="G24" s="8">
        <f t="shared" si="2"/>
        <v>0</v>
      </c>
      <c r="H24" s="8">
        <f t="shared" si="2"/>
        <v>0</v>
      </c>
      <c r="I24" s="8">
        <f t="shared" si="2"/>
        <v>0.03</v>
      </c>
      <c r="J24" s="8">
        <f t="shared" si="2"/>
        <v>0.250025</v>
      </c>
      <c r="K24" s="8">
        <f t="shared" si="2"/>
        <v>0.10001826</v>
      </c>
      <c r="L24" s="8">
        <f t="shared" si="2"/>
        <v>4.0004000000000005E-2</v>
      </c>
      <c r="M24" s="8">
        <f t="shared" si="2"/>
        <v>2.0040000000000001E-3</v>
      </c>
      <c r="N24" s="68">
        <f t="shared" si="2"/>
        <v>0</v>
      </c>
      <c r="O24" s="8">
        <f t="shared" si="2"/>
        <v>0</v>
      </c>
      <c r="P24" s="8">
        <f t="shared" si="2"/>
        <v>0</v>
      </c>
      <c r="Q24" s="8">
        <f t="shared" si="2"/>
        <v>0</v>
      </c>
      <c r="R24" s="68">
        <f t="shared" si="2"/>
        <v>0</v>
      </c>
      <c r="S24" s="8">
        <f t="shared" si="2"/>
        <v>8.4624799999999997E-3</v>
      </c>
      <c r="T24" s="8">
        <f t="shared" si="2"/>
        <v>0</v>
      </c>
    </row>
    <row r="25" spans="1:21" ht="15.75" thickBot="1" x14ac:dyDescent="0.3">
      <c r="A25" s="27"/>
      <c r="B25" s="3"/>
      <c r="C25" s="4"/>
      <c r="D25" s="4"/>
      <c r="E25" s="4"/>
      <c r="F25" s="4"/>
      <c r="G25" s="4"/>
      <c r="H25" s="4"/>
      <c r="I25" s="7"/>
      <c r="J25" s="7"/>
      <c r="K25" s="28"/>
      <c r="L25" s="7"/>
      <c r="M25" s="7"/>
      <c r="N25" s="7"/>
      <c r="O25" s="7"/>
      <c r="P25" s="7"/>
      <c r="Q25" s="7"/>
      <c r="R25" s="7"/>
      <c r="S25" s="7"/>
      <c r="T25" s="29"/>
    </row>
    <row r="26" spans="1:21" ht="21" thickBot="1" x14ac:dyDescent="0.3">
      <c r="A26" s="148" t="s">
        <v>32</v>
      </c>
      <c r="B26" s="149"/>
      <c r="C26" s="149"/>
      <c r="D26" s="150"/>
      <c r="E26" s="30">
        <v>4.9200000000000001E-2</v>
      </c>
      <c r="F26" s="30">
        <v>0.18</v>
      </c>
      <c r="G26" s="30">
        <v>4.7399999999999998E-2</v>
      </c>
      <c r="H26" s="30">
        <v>0.1484</v>
      </c>
      <c r="I26" s="31">
        <v>2.9000000000000001E-2</v>
      </c>
      <c r="J26" s="31">
        <v>0.2722</v>
      </c>
      <c r="K26" s="31">
        <v>0.1154</v>
      </c>
      <c r="L26" s="31">
        <v>3.61E-2</v>
      </c>
      <c r="M26" s="31">
        <v>1.9E-3</v>
      </c>
      <c r="N26" s="32">
        <v>2.0000000000000002E-5</v>
      </c>
      <c r="O26" s="31">
        <v>2.0000000000000001E-4</v>
      </c>
      <c r="P26" s="32">
        <v>5.5000000000000003E-4</v>
      </c>
      <c r="Q26" s="32">
        <v>5.5999999999999995E-4</v>
      </c>
      <c r="R26" s="32">
        <v>4.0000000000000003E-5</v>
      </c>
      <c r="S26" s="31">
        <v>3.4700000000000002E-2</v>
      </c>
      <c r="T26" s="31">
        <v>1E-4</v>
      </c>
    </row>
    <row r="27" spans="1:21" ht="20.25" x14ac:dyDescent="0.25">
      <c r="A27" s="74"/>
      <c r="B27" s="74"/>
      <c r="C27" s="74"/>
      <c r="D27" s="74"/>
      <c r="E27" s="75"/>
      <c r="F27" s="75"/>
      <c r="G27" s="75"/>
      <c r="H27" s="75"/>
      <c r="I27" s="76"/>
      <c r="J27" s="76"/>
      <c r="K27" s="76"/>
      <c r="L27" s="76"/>
      <c r="M27" s="76"/>
      <c r="N27" s="77"/>
      <c r="O27" s="76"/>
      <c r="P27" s="77"/>
      <c r="Q27" s="77"/>
      <c r="R27" s="77"/>
      <c r="S27" s="76"/>
      <c r="T27" s="76"/>
    </row>
    <row r="28" spans="1:21" ht="18" thickBot="1" x14ac:dyDescent="0.3">
      <c r="A28" s="33"/>
      <c r="B28" s="33"/>
      <c r="C28" s="33"/>
      <c r="D28" s="33"/>
      <c r="E28" s="34"/>
      <c r="F28" s="34"/>
      <c r="G28" s="34"/>
      <c r="H28" s="34"/>
      <c r="I28" s="35"/>
      <c r="J28" s="35"/>
      <c r="K28" s="35"/>
      <c r="L28" s="35"/>
      <c r="M28" s="35"/>
      <c r="N28" s="36"/>
      <c r="O28" s="35"/>
      <c r="P28" s="35"/>
      <c r="Q28" s="35"/>
      <c r="R28" s="36"/>
      <c r="S28" s="36"/>
      <c r="T28" s="35"/>
    </row>
    <row r="29" spans="1:21" ht="18" customHeight="1" x14ac:dyDescent="0.25">
      <c r="A29" s="157" t="s">
        <v>24</v>
      </c>
      <c r="B29" s="158"/>
      <c r="C29" s="158"/>
      <c r="D29" s="159"/>
      <c r="E29" s="78">
        <f t="shared" ref="E29:J29" si="3">IF(E37&lt;0.01%,ROUND(E30,5)-ROUND(E37,5),ROUND(E30,4)-ROUND(E37,4))</f>
        <v>-8.0999999999999996E-3</v>
      </c>
      <c r="F29" s="78">
        <f t="shared" si="3"/>
        <v>-8.0999999999999996E-3</v>
      </c>
      <c r="G29" s="78">
        <f t="shared" si="3"/>
        <v>-8.0999999999999996E-3</v>
      </c>
      <c r="H29" s="78">
        <f t="shared" si="3"/>
        <v>-8.0999999999999996E-3</v>
      </c>
      <c r="I29" s="78">
        <f t="shared" si="3"/>
        <v>2.1899999999999999E-2</v>
      </c>
      <c r="J29" s="114">
        <f t="shared" si="3"/>
        <v>0.2195</v>
      </c>
      <c r="K29" s="97">
        <f>IF(K37&lt;0.01%,ROUND(K30,5)-ROUND(K37,5),ROUND(K30,4)-ROUND(K37,4))</f>
        <v>8.2500000000000004E-2</v>
      </c>
      <c r="L29" s="97">
        <f>IF(L37&lt;0.01%,ROUND(L30,5)-ROUND(L37,5),ROUND(L30,4)-ROUND(L37,4))</f>
        <v>3.4000000000000002E-2</v>
      </c>
      <c r="M29" s="97">
        <f>IF(M37&lt;0.01%,ROUND(M30,5)-ROUND(M37,5),ROUND(M30,4)-ROUND(M37,4))</f>
        <v>1.4000000000000002E-3</v>
      </c>
      <c r="N29" s="98">
        <f>IF(N37&lt;0.01%,ROUND(N30,5)-ROUND(N37,5),ROUND(N30,4)-ROUND(N37,4))</f>
        <v>0</v>
      </c>
      <c r="O29" s="98">
        <f t="shared" ref="O29:R29" si="4">IF(O37&lt;0.01%,ROUND(O30,5)-ROUND(O37,5),ROUND(O30,4)-ROUND(O37,4))</f>
        <v>0</v>
      </c>
      <c r="P29" s="98">
        <f>IF(P37&lt;0.01%,ROUND(P30,5)-ROUND(P37,5),ROUND(P30,4)-ROUND(P37,4))</f>
        <v>0</v>
      </c>
      <c r="Q29" s="98">
        <f t="shared" si="4"/>
        <v>0</v>
      </c>
      <c r="R29" s="98">
        <f t="shared" si="4"/>
        <v>0</v>
      </c>
      <c r="S29" s="98"/>
      <c r="T29" s="116">
        <f t="shared" ref="T29" si="5">IF(T37&lt;0.01%,ROUND(T30,5)-ROUND(T37,5),ROUND(T30,4)-ROUND(T37,4))</f>
        <v>0</v>
      </c>
      <c r="U29" s="98"/>
    </row>
    <row r="30" spans="1:21" ht="21" customHeight="1" x14ac:dyDescent="0.25">
      <c r="A30" s="160" t="s">
        <v>33</v>
      </c>
      <c r="B30" s="161"/>
      <c r="C30" s="161"/>
      <c r="D30" s="162"/>
      <c r="E30" s="79">
        <f t="shared" ref="E30:T30" si="6">E24</f>
        <v>0</v>
      </c>
      <c r="F30" s="80">
        <f t="shared" si="6"/>
        <v>0</v>
      </c>
      <c r="G30" s="80">
        <f t="shared" si="6"/>
        <v>0</v>
      </c>
      <c r="H30" s="80">
        <f t="shared" si="6"/>
        <v>0</v>
      </c>
      <c r="I30" s="80">
        <f t="shared" si="6"/>
        <v>0.03</v>
      </c>
      <c r="J30" s="99">
        <f t="shared" si="6"/>
        <v>0.250025</v>
      </c>
      <c r="K30" s="99">
        <f t="shared" si="6"/>
        <v>0.10001826</v>
      </c>
      <c r="L30" s="99">
        <f t="shared" si="6"/>
        <v>4.0004000000000005E-2</v>
      </c>
      <c r="M30" s="99">
        <f t="shared" si="6"/>
        <v>2.0040000000000001E-3</v>
      </c>
      <c r="N30" s="100">
        <f t="shared" si="6"/>
        <v>0</v>
      </c>
      <c r="O30" s="100">
        <f t="shared" si="6"/>
        <v>0</v>
      </c>
      <c r="P30" s="100">
        <f t="shared" si="6"/>
        <v>0</v>
      </c>
      <c r="Q30" s="100">
        <f t="shared" si="6"/>
        <v>0</v>
      </c>
      <c r="R30" s="100">
        <f t="shared" si="6"/>
        <v>0</v>
      </c>
      <c r="S30" s="99">
        <f t="shared" si="6"/>
        <v>8.4624799999999997E-3</v>
      </c>
      <c r="T30" s="117">
        <f t="shared" si="6"/>
        <v>0</v>
      </c>
      <c r="U30" s="118">
        <v>6.1000000000000004E-3</v>
      </c>
    </row>
    <row r="31" spans="1:21" ht="18" customHeight="1" thickBot="1" x14ac:dyDescent="0.3">
      <c r="A31" s="138" t="s">
        <v>25</v>
      </c>
      <c r="B31" s="139"/>
      <c r="C31" s="139"/>
      <c r="D31" s="140"/>
      <c r="E31" s="81">
        <f t="shared" ref="E31:J31" si="7">IF(E37&lt;0.01%,ROUND(E30,5)+ROUND(E37,5),ROUND(E30,4)+ROUND(E37,4))</f>
        <v>8.0999999999999996E-3</v>
      </c>
      <c r="F31" s="81">
        <f t="shared" si="7"/>
        <v>8.0999999999999996E-3</v>
      </c>
      <c r="G31" s="81">
        <f t="shared" si="7"/>
        <v>8.0999999999999996E-3</v>
      </c>
      <c r="H31" s="81">
        <f t="shared" si="7"/>
        <v>8.0999999999999996E-3</v>
      </c>
      <c r="I31" s="81">
        <f t="shared" si="7"/>
        <v>3.8099999999999995E-2</v>
      </c>
      <c r="J31" s="115">
        <f t="shared" si="7"/>
        <v>0.28049999999999997</v>
      </c>
      <c r="K31" s="101">
        <f>IF(K37&lt;0.01%,ROUND(K30,5)+ROUND(K37,5),ROUND(K30,4)+ROUND(K37,4))</f>
        <v>0.11750000000000001</v>
      </c>
      <c r="L31" s="101">
        <f>IF(L37&lt;0.01%,ROUND(L30,5)+ROUND(L37,5),ROUND(L30,4)+ROUND(L37,4))</f>
        <v>4.5999999999999999E-2</v>
      </c>
      <c r="M31" s="101">
        <f>IF(M37&lt;0.01%,ROUND(M30,5)+ROUND(M37,5),ROUND(M30,4)+ROUND(M37,4))</f>
        <v>2.5999999999999999E-3</v>
      </c>
      <c r="N31" s="102">
        <f>IF(N37&lt;0.01%,ROUND(N30,5)+ROUND(N37,5),ROUND(N30,4)+ROUND(N37,4))</f>
        <v>0</v>
      </c>
      <c r="O31" s="102">
        <f t="shared" ref="O31:R31" si="8">IF(O37&lt;0.01%,ROUND(O30,5)+ROUND(O37,5),ROUND(O30,4)+ROUND(O37,4))</f>
        <v>0</v>
      </c>
      <c r="P31" s="102">
        <f t="shared" si="8"/>
        <v>0</v>
      </c>
      <c r="Q31" s="102">
        <f t="shared" si="8"/>
        <v>0</v>
      </c>
      <c r="R31" s="102">
        <f t="shared" si="8"/>
        <v>0</v>
      </c>
      <c r="S31" s="102"/>
      <c r="T31" s="119">
        <f t="shared" ref="T31" si="9">IF(T37&lt;0.01%,ROUND(T30,5)+ROUND(T37,5),ROUND(T30,4)+ROUND(T37,4))</f>
        <v>0</v>
      </c>
      <c r="U31" s="102"/>
    </row>
    <row r="32" spans="1:21" x14ac:dyDescent="0.25">
      <c r="E32" s="82"/>
      <c r="F32" s="82"/>
      <c r="G32" s="83"/>
      <c r="H32" s="82"/>
      <c r="I32" s="82"/>
      <c r="N32" s="103"/>
      <c r="R32" s="103"/>
    </row>
    <row r="33" spans="1:21" ht="15.75" thickBot="1" x14ac:dyDescent="0.3">
      <c r="E33" s="82"/>
      <c r="F33" s="82"/>
      <c r="G33" s="83"/>
      <c r="H33" s="82"/>
      <c r="I33" s="82"/>
    </row>
    <row r="34" spans="1:21" ht="17.25" thickBot="1" x14ac:dyDescent="0.3">
      <c r="A34" s="132" t="s">
        <v>26</v>
      </c>
      <c r="B34" s="133"/>
      <c r="C34" s="133"/>
      <c r="D34" s="134"/>
      <c r="E34" s="84">
        <f>(-0.0005*100*100*E$30*E$30+0.0413*100*E$30+0.6533)/100</f>
        <v>6.5329999999999997E-3</v>
      </c>
      <c r="F34" s="85">
        <f>(-0.0005*10000*F$30*F$30+0.0413*100*F$30+0.6533)/100</f>
        <v>6.5329999999999997E-3</v>
      </c>
      <c r="G34" s="85">
        <f>(-0.0005*10000*G$30*G$30+0.0413*100*G$30+0.6533)/100</f>
        <v>6.5329999999999997E-3</v>
      </c>
      <c r="H34" s="85">
        <f>(-0.0005*10000*H$30*H$30+0.0413*100*H$30+0.6533)/100</f>
        <v>6.5329999999999997E-3</v>
      </c>
      <c r="I34" s="93">
        <f>(-0.0007*10000*I$30*I$30+0.0769*100*I$30+0.3941)/100</f>
        <v>6.1850000000000004E-3</v>
      </c>
      <c r="J34" s="104">
        <f>(0.42+0.105*100*J$30)/100</f>
        <v>3.0452624999999997E-2</v>
      </c>
      <c r="K34" s="104">
        <f>(0.5+0.125*100*K$30)/100</f>
        <v>1.7502282500000001E-2</v>
      </c>
      <c r="L34" s="104">
        <f>(0.3+0.075*100*L$30)/100</f>
        <v>6.0003000000000009E-3</v>
      </c>
      <c r="M34" s="104">
        <f>(0.005+0.25*100*M$30)/100</f>
        <v>5.5100000000000006E-4</v>
      </c>
      <c r="N34" s="105">
        <f>(0.000125+0.375*100*N$30)/100</f>
        <v>1.2500000000000001E-6</v>
      </c>
      <c r="O34" s="105">
        <f>(0.015+0.3*100*O$30)/100</f>
        <v>1.4999999999999999E-4</v>
      </c>
      <c r="P34" s="105">
        <f>(0.015+0.3*100*P$30)/100</f>
        <v>1.4999999999999999E-4</v>
      </c>
      <c r="Q34" s="105">
        <f>(0.015+0.3*100*Q$30)/100</f>
        <v>1.4999999999999999E-4</v>
      </c>
      <c r="R34" s="105">
        <f>(0.000125+0.375*100*R$30)/100</f>
        <v>1.2500000000000001E-6</v>
      </c>
      <c r="S34" s="104"/>
      <c r="T34" s="120">
        <f>(0.015+0.3*100*T$30)/100</f>
        <v>1.4999999999999999E-4</v>
      </c>
      <c r="U34" s="104"/>
    </row>
    <row r="35" spans="1:21" ht="16.5" x14ac:dyDescent="0.25">
      <c r="A35" s="135" t="s">
        <v>27</v>
      </c>
      <c r="B35" s="136"/>
      <c r="C35" s="136"/>
      <c r="D35" s="137"/>
      <c r="E35" s="86" t="str">
        <f t="shared" ref="E35:I35" si="10">IF(OR(E30&lt;0.04,E30&gt;0.32),"SI","NO")</f>
        <v>SI</v>
      </c>
      <c r="F35" s="87" t="str">
        <f t="shared" si="10"/>
        <v>SI</v>
      </c>
      <c r="G35" s="88" t="str">
        <f t="shared" si="10"/>
        <v>SI</v>
      </c>
      <c r="H35" s="87" t="str">
        <f t="shared" si="10"/>
        <v>SI</v>
      </c>
      <c r="I35" s="94" t="str">
        <f t="shared" si="10"/>
        <v>SI</v>
      </c>
      <c r="J35" s="70"/>
      <c r="K35" s="106"/>
      <c r="L35" s="107"/>
      <c r="M35" s="107"/>
      <c r="N35" s="107"/>
      <c r="O35" s="107"/>
      <c r="P35" s="107"/>
      <c r="Q35" s="107"/>
      <c r="R35" s="107"/>
      <c r="S35" s="107"/>
      <c r="T35" s="121"/>
      <c r="U35" s="107"/>
    </row>
    <row r="36" spans="1:21" ht="17.25" thickBot="1" x14ac:dyDescent="0.3">
      <c r="A36" s="151" t="s">
        <v>28</v>
      </c>
      <c r="B36" s="152"/>
      <c r="C36" s="152"/>
      <c r="D36" s="153"/>
      <c r="E36" s="89"/>
      <c r="F36" s="89"/>
      <c r="G36" s="90"/>
      <c r="H36" s="89"/>
      <c r="I36" s="95"/>
      <c r="J36" s="71" t="str">
        <f t="shared" ref="J36" si="11">IF(J34&gt;J30*0.5,"SI","NO")</f>
        <v>NO</v>
      </c>
      <c r="K36" s="108" t="str">
        <f t="shared" ref="K36:R36" si="12">IF(K34&gt;K30/2,"SI","NO")</f>
        <v>NO</v>
      </c>
      <c r="L36" s="109" t="str">
        <f t="shared" si="12"/>
        <v>NO</v>
      </c>
      <c r="M36" s="109" t="str">
        <f t="shared" si="12"/>
        <v>NO</v>
      </c>
      <c r="N36" s="110" t="str">
        <f t="shared" si="12"/>
        <v>SI</v>
      </c>
      <c r="O36" s="109" t="str">
        <f t="shared" si="12"/>
        <v>SI</v>
      </c>
      <c r="P36" s="109" t="str">
        <f t="shared" si="12"/>
        <v>SI</v>
      </c>
      <c r="Q36" s="109" t="str">
        <f t="shared" si="12"/>
        <v>SI</v>
      </c>
      <c r="R36" s="110" t="str">
        <f t="shared" si="12"/>
        <v>SI</v>
      </c>
      <c r="S36" s="109"/>
      <c r="T36" s="122" t="str">
        <f>IF(T34&gt;T30/2,"SI","NO")</f>
        <v>SI</v>
      </c>
      <c r="U36" s="109"/>
    </row>
    <row r="37" spans="1:21" ht="17.25" thickBot="1" x14ac:dyDescent="0.3">
      <c r="A37" s="138" t="s">
        <v>29</v>
      </c>
      <c r="B37" s="139"/>
      <c r="C37" s="139"/>
      <c r="D37" s="140"/>
      <c r="E37" s="91">
        <f t="shared" ref="E37:I37" si="13">IF(E35="NO",E34,IF(E30&lt;0.04,0.0081,0.0146))</f>
        <v>8.0999999999999996E-3</v>
      </c>
      <c r="F37" s="92">
        <f t="shared" si="13"/>
        <v>8.0999999999999996E-3</v>
      </c>
      <c r="G37" s="92">
        <f t="shared" si="13"/>
        <v>8.0999999999999996E-3</v>
      </c>
      <c r="H37" s="92">
        <f t="shared" si="13"/>
        <v>8.0999999999999996E-3</v>
      </c>
      <c r="I37" s="96">
        <f t="shared" si="13"/>
        <v>8.0999999999999996E-3</v>
      </c>
      <c r="J37" s="111">
        <f t="shared" ref="J37:R37" si="14">IF(J36="SI",J30/2,J34)</f>
        <v>3.0452624999999997E-2</v>
      </c>
      <c r="K37" s="111">
        <f t="shared" si="14"/>
        <v>1.7502282500000001E-2</v>
      </c>
      <c r="L37" s="111">
        <f t="shared" si="14"/>
        <v>6.0003000000000009E-3</v>
      </c>
      <c r="M37" s="111">
        <f t="shared" si="14"/>
        <v>5.5100000000000006E-4</v>
      </c>
      <c r="N37" s="112">
        <f t="shared" si="14"/>
        <v>0</v>
      </c>
      <c r="O37" s="112">
        <f t="shared" si="14"/>
        <v>0</v>
      </c>
      <c r="P37" s="112">
        <f t="shared" si="14"/>
        <v>0</v>
      </c>
      <c r="Q37" s="112">
        <f t="shared" si="14"/>
        <v>0</v>
      </c>
      <c r="R37" s="112">
        <f t="shared" si="14"/>
        <v>0</v>
      </c>
      <c r="S37" s="113"/>
      <c r="T37" s="123">
        <f>IF(T36="SI",T30/2,T34)</f>
        <v>0</v>
      </c>
      <c r="U37" s="113"/>
    </row>
  </sheetData>
  <mergeCells count="15">
    <mergeCell ref="A1:T1"/>
    <mergeCell ref="A2:T2"/>
    <mergeCell ref="A3:T3"/>
    <mergeCell ref="A29:D29"/>
    <mergeCell ref="A30:D30"/>
    <mergeCell ref="J5:T5"/>
    <mergeCell ref="A34:D34"/>
    <mergeCell ref="A35:D35"/>
    <mergeCell ref="A37:D37"/>
    <mergeCell ref="A31:D31"/>
    <mergeCell ref="A19:B19"/>
    <mergeCell ref="A23:B23"/>
    <mergeCell ref="A24:D24"/>
    <mergeCell ref="A26:D26"/>
    <mergeCell ref="A36:D36"/>
  </mergeCells>
  <conditionalFormatting sqref="E7:T23">
    <cfRule type="containsBlanks" dxfId="7" priority="2">
      <formula>LEN(TRIM(E7))=0</formula>
    </cfRule>
  </conditionalFormatting>
  <conditionalFormatting sqref="E7:T24">
    <cfRule type="notContainsBlanks" dxfId="6" priority="1">
      <formula>LEN(TRIM(E7))&gt;0</formula>
    </cfRule>
  </conditionalFormatting>
  <pageMargins left="0.19685039370078741" right="0" top="1.7322834645669292" bottom="0.74803149606299213" header="0.31496062992125984" footer="0.31496062992125984"/>
  <pageSetup paperSize="9" scale="69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93F4-CE83-42D0-A60C-D8C529B71E04}">
  <dimension ref="A1:N20"/>
  <sheetViews>
    <sheetView tabSelected="1" workbookViewId="0">
      <selection activeCell="B7" sqref="B7"/>
    </sheetView>
  </sheetViews>
  <sheetFormatPr defaultColWidth="11.42578125" defaultRowHeight="15" x14ac:dyDescent="0.25"/>
  <cols>
    <col min="1" max="1" width="26.140625" customWidth="1"/>
    <col min="2" max="2" width="28.42578125" bestFit="1" customWidth="1"/>
    <col min="3" max="3" width="7.7109375" customWidth="1"/>
    <col min="4" max="4" width="9.42578125" bestFit="1" customWidth="1"/>
    <col min="5" max="5" width="11" bestFit="1" customWidth="1"/>
    <col min="6" max="6" width="11" customWidth="1"/>
    <col min="7" max="7" width="12.5703125" customWidth="1"/>
    <col min="8" max="8" width="8.7109375" bestFit="1" customWidth="1"/>
  </cols>
  <sheetData>
    <row r="1" spans="1:14" ht="18" x14ac:dyDescent="0.25">
      <c r="A1" s="154" t="s">
        <v>0</v>
      </c>
      <c r="B1" s="154"/>
      <c r="C1" s="154"/>
      <c r="D1" s="154"/>
      <c r="E1" s="154"/>
      <c r="F1" s="154"/>
      <c r="G1" s="154"/>
      <c r="H1" s="154"/>
    </row>
    <row r="2" spans="1:14" ht="23.25" x14ac:dyDescent="0.35">
      <c r="A2" s="155" t="s">
        <v>55</v>
      </c>
      <c r="B2" s="155"/>
      <c r="C2" s="155"/>
      <c r="D2" s="155"/>
      <c r="E2" s="155"/>
      <c r="F2" s="155"/>
      <c r="G2" s="155"/>
      <c r="H2" s="155"/>
    </row>
    <row r="3" spans="1:14" ht="20.25" x14ac:dyDescent="0.3">
      <c r="A3" s="156" t="s">
        <v>2</v>
      </c>
      <c r="B3" s="156"/>
      <c r="C3" s="156"/>
      <c r="D3" s="156"/>
      <c r="E3" s="156"/>
      <c r="F3" s="156"/>
      <c r="G3" s="156"/>
      <c r="H3" s="156"/>
      <c r="I3" s="1"/>
      <c r="J3" s="1"/>
      <c r="K3" s="1"/>
      <c r="L3" s="1"/>
      <c r="M3" s="1"/>
      <c r="N3" s="1"/>
    </row>
    <row r="4" spans="1:14" x14ac:dyDescent="0.25">
      <c r="A4" s="3"/>
      <c r="B4" s="3"/>
      <c r="C4" s="4"/>
      <c r="D4" s="4"/>
      <c r="E4" s="4"/>
      <c r="F4" s="4"/>
      <c r="G4" s="7"/>
      <c r="H4" s="7"/>
    </row>
    <row r="5" spans="1:14" ht="16.5" thickBot="1" x14ac:dyDescent="0.3">
      <c r="A5" s="1"/>
      <c r="B5" s="1"/>
      <c r="C5" s="1"/>
      <c r="D5" s="1"/>
      <c r="E5" s="1"/>
      <c r="F5" s="1"/>
      <c r="G5" s="1"/>
      <c r="H5" s="131"/>
    </row>
    <row r="6" spans="1:14" ht="35.25" thickBot="1" x14ac:dyDescent="0.3">
      <c r="A6" s="5" t="s">
        <v>4</v>
      </c>
      <c r="B6" s="19" t="s">
        <v>5</v>
      </c>
      <c r="C6" s="6" t="s">
        <v>6</v>
      </c>
      <c r="D6" s="20" t="s">
        <v>7</v>
      </c>
      <c r="E6" s="2" t="s">
        <v>48</v>
      </c>
      <c r="F6" s="2" t="s">
        <v>30</v>
      </c>
      <c r="G6" s="2" t="s">
        <v>31</v>
      </c>
      <c r="H6" s="2" t="s">
        <v>12</v>
      </c>
    </row>
    <row r="7" spans="1:14" ht="15.75" thickBot="1" x14ac:dyDescent="0.3">
      <c r="A7" s="12" t="s">
        <v>38</v>
      </c>
      <c r="B7" s="13" t="s">
        <v>65</v>
      </c>
      <c r="C7" s="21">
        <v>164.5</v>
      </c>
      <c r="D7" s="16">
        <f>C7/10</f>
        <v>16.45</v>
      </c>
      <c r="E7" s="66"/>
      <c r="F7" s="66"/>
      <c r="G7" s="66">
        <f>60%*$C7/$C$14</f>
        <v>9.8699999999999996E-2</v>
      </c>
      <c r="H7" s="66"/>
    </row>
    <row r="8" spans="1:14" ht="21.75" thickBot="1" x14ac:dyDescent="0.3">
      <c r="A8" s="12" t="s">
        <v>56</v>
      </c>
      <c r="B8" s="13" t="s">
        <v>59</v>
      </c>
      <c r="C8" s="21">
        <v>57.7</v>
      </c>
      <c r="D8" s="16">
        <f>C8/10</f>
        <v>5.7700000000000005</v>
      </c>
      <c r="E8" s="66">
        <f>52%*$C8/$C$14</f>
        <v>3.0004000000000003E-2</v>
      </c>
      <c r="F8" s="66">
        <f>52%*$C8/$C$14</f>
        <v>3.0004000000000003E-2</v>
      </c>
      <c r="G8" s="66">
        <f>34%*$C8/$C$14</f>
        <v>1.9618000000000003E-2</v>
      </c>
      <c r="H8" s="66"/>
    </row>
    <row r="9" spans="1:14" ht="15.75" thickBot="1" x14ac:dyDescent="0.3">
      <c r="A9" s="14" t="s">
        <v>57</v>
      </c>
      <c r="B9" s="11" t="s">
        <v>58</v>
      </c>
      <c r="C9" s="21">
        <v>777.8</v>
      </c>
      <c r="D9" s="16">
        <f>C9/10</f>
        <v>77.78</v>
      </c>
      <c r="E9" s="66"/>
      <c r="F9" s="66"/>
      <c r="G9" s="66">
        <f>50.1%*$C9/$C$14</f>
        <v>0.38967779999999996</v>
      </c>
      <c r="H9" s="66">
        <f>16.9%*$C9/$C$14</f>
        <v>0.13144819999999999</v>
      </c>
    </row>
    <row r="10" spans="1:14" ht="15.75" thickBot="1" x14ac:dyDescent="0.3">
      <c r="A10" s="14"/>
      <c r="B10" s="11"/>
      <c r="C10" s="21"/>
      <c r="D10" s="16"/>
      <c r="E10" s="66"/>
      <c r="F10" s="66"/>
      <c r="G10" s="66"/>
      <c r="H10" s="66"/>
    </row>
    <row r="11" spans="1:14" ht="15.75" thickBot="1" x14ac:dyDescent="0.3">
      <c r="A11" s="9"/>
      <c r="B11" s="26"/>
      <c r="C11" s="21"/>
      <c r="D11" s="16"/>
      <c r="E11" s="66"/>
      <c r="F11" s="66"/>
      <c r="G11" s="66"/>
      <c r="H11" s="66"/>
    </row>
    <row r="12" spans="1:14" ht="15.75" thickBot="1" x14ac:dyDescent="0.3">
      <c r="A12" s="141" t="s">
        <v>21</v>
      </c>
      <c r="B12" s="142"/>
      <c r="C12" s="24"/>
      <c r="D12" s="25"/>
      <c r="E12" s="66"/>
      <c r="F12" s="66"/>
      <c r="G12" s="66"/>
      <c r="H12" s="66"/>
    </row>
    <row r="13" spans="1:14" ht="15.75" thickBot="1" x14ac:dyDescent="0.3">
      <c r="A13" s="26"/>
      <c r="B13" s="124"/>
      <c r="C13" s="37"/>
      <c r="D13" s="39"/>
      <c r="E13" s="66"/>
      <c r="F13" s="66"/>
      <c r="G13" s="66"/>
      <c r="H13" s="66"/>
    </row>
    <row r="14" spans="1:14" ht="15.75" thickBot="1" x14ac:dyDescent="0.3">
      <c r="A14" s="143" t="s">
        <v>22</v>
      </c>
      <c r="B14" s="144"/>
      <c r="C14" s="38">
        <f>SUM(C7:C13)</f>
        <v>1000</v>
      </c>
      <c r="D14" s="40">
        <f>SUM(D7:D13)</f>
        <v>100</v>
      </c>
      <c r="E14" s="66"/>
      <c r="F14" s="66"/>
      <c r="G14" s="66"/>
      <c r="H14" s="66"/>
    </row>
    <row r="15" spans="1:14" ht="17.25" thickBot="1" x14ac:dyDescent="0.3">
      <c r="A15" s="145" t="s">
        <v>23</v>
      </c>
      <c r="B15" s="146"/>
      <c r="C15" s="146"/>
      <c r="D15" s="147"/>
      <c r="E15" s="8">
        <v>0.03</v>
      </c>
      <c r="F15" s="8">
        <v>0.03</v>
      </c>
      <c r="G15" s="8">
        <f>SUM(G7:G14)</f>
        <v>0.5079958</v>
      </c>
      <c r="H15" s="8">
        <v>0.14000000000000001</v>
      </c>
    </row>
    <row r="16" spans="1:14" ht="15.75" thickBot="1" x14ac:dyDescent="0.3">
      <c r="A16" s="27"/>
      <c r="B16" s="3"/>
      <c r="C16" s="4"/>
      <c r="D16" s="4"/>
      <c r="E16" s="4"/>
      <c r="F16" s="4"/>
      <c r="G16" s="7"/>
      <c r="H16" s="7"/>
    </row>
    <row r="17" spans="1:8" ht="17.25" thickBot="1" x14ac:dyDescent="0.3">
      <c r="A17" s="165" t="s">
        <v>64</v>
      </c>
      <c r="B17" s="166"/>
      <c r="C17" s="166"/>
      <c r="D17" s="167"/>
      <c r="E17" s="125">
        <v>3.09E-2</v>
      </c>
      <c r="F17" s="125">
        <v>3.0700000000000002E-2</v>
      </c>
      <c r="G17" s="125">
        <v>0.49109999999999998</v>
      </c>
      <c r="H17" s="125">
        <v>0.13239999999999999</v>
      </c>
    </row>
    <row r="18" spans="1:8" ht="18" thickBot="1" x14ac:dyDescent="0.3">
      <c r="A18" s="168" t="s">
        <v>63</v>
      </c>
      <c r="B18" s="169"/>
      <c r="C18" s="169"/>
      <c r="D18" s="170"/>
      <c r="E18" s="126">
        <v>0.03</v>
      </c>
      <c r="F18" s="126">
        <v>0.03</v>
      </c>
      <c r="G18" s="127">
        <v>0.5</v>
      </c>
      <c r="H18" s="127">
        <v>0.14000000000000001</v>
      </c>
    </row>
    <row r="19" spans="1:8" ht="15.75" thickBot="1" x14ac:dyDescent="0.3">
      <c r="A19" s="171" t="s">
        <v>49</v>
      </c>
      <c r="B19" s="172"/>
      <c r="C19" s="172"/>
      <c r="D19" s="173"/>
      <c r="E19" s="128" t="s">
        <v>50</v>
      </c>
      <c r="F19" s="128" t="s">
        <v>51</v>
      </c>
      <c r="G19" s="129" t="s">
        <v>52</v>
      </c>
      <c r="H19" s="129" t="s">
        <v>53</v>
      </c>
    </row>
    <row r="20" spans="1:8" ht="18" thickBot="1" x14ac:dyDescent="0.3">
      <c r="A20" s="174" t="s">
        <v>54</v>
      </c>
      <c r="B20" s="175"/>
      <c r="C20" s="175"/>
      <c r="D20" s="176"/>
      <c r="E20" s="130" t="s">
        <v>62</v>
      </c>
      <c r="F20" s="130" t="s">
        <v>62</v>
      </c>
      <c r="G20" s="130" t="s">
        <v>61</v>
      </c>
      <c r="H20" s="130" t="s">
        <v>60</v>
      </c>
    </row>
  </sheetData>
  <mergeCells count="10">
    <mergeCell ref="A14:B14"/>
    <mergeCell ref="A1:H1"/>
    <mergeCell ref="A2:H2"/>
    <mergeCell ref="A3:H3"/>
    <mergeCell ref="A12:B12"/>
    <mergeCell ref="A15:D15"/>
    <mergeCell ref="A17:D17"/>
    <mergeCell ref="A18:D18"/>
    <mergeCell ref="A19:D19"/>
    <mergeCell ref="A20:D20"/>
  </mergeCells>
  <conditionalFormatting sqref="E7:H14">
    <cfRule type="containsBlanks" dxfId="5" priority="2">
      <formula>LEN(TRIM(E7))=0</formula>
    </cfRule>
    <cfRule type="notContainsBlanks" dxfId="4" priority="3">
      <formula>LEN(TRIM(E7))&gt;0</formula>
    </cfRule>
    <cfRule type="containsBlanks" dxfId="3" priority="4">
      <formula>LEN(TRIM(E7))=0</formula>
    </cfRule>
  </conditionalFormatting>
  <conditionalFormatting sqref="E7:H15">
    <cfRule type="notContainsBlanks" dxfId="2" priority="1">
      <formula>LEN(TRIM(E7))&gt;0</formula>
    </cfRule>
  </conditionalFormatting>
  <conditionalFormatting sqref="E15:H15">
    <cfRule type="cellIs" dxfId="1" priority="6" operator="equal">
      <formula>0</formula>
    </cfRule>
  </conditionalFormatting>
  <conditionalFormatting sqref="E17:H17">
    <cfRule type="cellIs" dxfId="0" priority="5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ZueloCa</vt:lpstr>
      <vt:lpstr>sulfa-k_50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sony</dc:creator>
  <cp:keywords/>
  <dc:description/>
  <cp:lastModifiedBy>Will Salas</cp:lastModifiedBy>
  <cp:revision/>
  <dcterms:created xsi:type="dcterms:W3CDTF">2021-10-20T23:05:00Z</dcterms:created>
  <dcterms:modified xsi:type="dcterms:W3CDTF">2024-07-12T22:43:28Z</dcterms:modified>
  <cp:category/>
  <cp:contentStatus/>
</cp:coreProperties>
</file>