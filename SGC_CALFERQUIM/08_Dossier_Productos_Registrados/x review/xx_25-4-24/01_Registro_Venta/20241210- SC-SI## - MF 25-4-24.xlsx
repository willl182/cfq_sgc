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027D7ABD-B1EF-4AA2-A623-7C6F507EB1A8}" xr6:coauthVersionLast="47" xr6:coauthVersionMax="47" xr10:uidLastSave="{00000000-0000-0000-0000-000000000000}"/>
  <bookViews>
    <workbookView xWindow="-120" yWindow="-120" windowWidth="29040" windowHeight="1644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20" i="1" l="1"/>
  <c r="H38" i="1" s="1"/>
  <c r="H19" i="1"/>
  <c r="H17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I37" i="1" s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 s="1"/>
  <c r="G36" i="1"/>
  <c r="Z35" i="1"/>
  <c r="Y35" i="1"/>
  <c r="W35" i="1"/>
  <c r="V35" i="1"/>
  <c r="T35" i="1"/>
  <c r="S35" i="1"/>
  <c r="R35" i="1"/>
  <c r="O35" i="1"/>
  <c r="N35" i="1"/>
  <c r="M35" i="1"/>
  <c r="K35" i="1"/>
  <c r="J35" i="1"/>
  <c r="I35" i="1"/>
  <c r="Y40" i="1"/>
  <c r="P39" i="1"/>
  <c r="Y38" i="1"/>
  <c r="N37" i="1"/>
  <c r="N36" i="1"/>
  <c r="X35" i="1"/>
  <c r="L35" i="1" l="1"/>
  <c r="L10" i="1" s="1"/>
  <c r="H37" i="1"/>
  <c r="M10" i="1"/>
  <c r="N10" i="1"/>
  <c r="P35" i="1"/>
  <c r="Z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  <c r="H35" i="1" l="1"/>
  <c r="H10" i="1" s="1"/>
</calcChain>
</file>

<file path=xl/sharedStrings.xml><?xml version="1.0" encoding="utf-8"?>
<sst xmlns="http://schemas.openxmlformats.org/spreadsheetml/2006/main" count="96" uniqueCount="47">
  <si>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</si>
  <si>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</si>
  <si>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</si>
  <si>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</si>
  <si>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</si>
  <si>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</si>
  <si>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</si>
  <si>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</si>
  <si>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</si>
  <si>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</si>
  <si>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</si>
  <si>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</si>
  <si>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</si>
  <si>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</si>
  <si>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</si>
  <si>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</si>
  <si>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</si>
  <si>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</si>
  <si>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</si>
  <si>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</si>
  <si>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</si>
  <si>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</si>
  <si>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</si>
  <si>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</si>
  <si>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</si>
  <si>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</si>
  <si>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</si>
  <si>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</si>
  <si>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</si>
  <si>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</si>
  <si>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</si>
  <si>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</si>
  <si>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</si>
  <si>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</si>
  <si>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</si>
  <si>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</si>
  <si>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</si>
  <si>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EVOAGRO</t>
  </si>
  <si>
    <t>CALFERQUIM</t>
  </si>
  <si>
    <t>KCL</t>
  </si>
  <si>
    <t>G</t>
  </si>
  <si>
    <t>PRECISAGRO</t>
  </si>
  <si>
    <t>NUCLEO 4</t>
  </si>
  <si>
    <t>82-101224</t>
  </si>
  <si>
    <t>DAP</t>
  </si>
  <si>
    <t>CIAMSA</t>
  </si>
  <si>
    <t>MF 25-4-24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</si>
</sst>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9" fontId="0" fillId="2" borderId="0" xfId="0" applyNumberFormat="1" applyFill="1" applyBorder="1"/>
    <xf numFmtId="9" fontId="0" fillId="2" borderId="0" xfId="1" applyFont="1" applyFill="1" applyBorder="1"/>
    <xf numFmtId="9" fontId="0" fillId="2" borderId="0" xfId="0" applyNumberFormat="1" applyFill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A4" zoomScale="85" zoomScaleNormal="85" workbookViewId="0">
      <selection activeCell="G8" sqref="G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13" width="9" style="2" bestFit="1" customWidth="1"/>
    <col min="14" max="14" width="9" style="2" customWidth="1"/>
    <col min="15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3" t="s">
        <v>34</v>
      </c>
      <c r="H6" s="84"/>
      <c r="I6" s="84"/>
      <c r="J6" s="84"/>
      <c r="K6" s="84"/>
      <c r="L6" s="84"/>
      <c r="M6" s="85"/>
      <c r="N6" s="83" t="s">
        <v>35</v>
      </c>
      <c r="O6" s="84"/>
      <c r="P6" s="84"/>
      <c r="Q6" s="84"/>
      <c r="R6" s="84"/>
      <c r="S6" s="84"/>
      <c r="T6" s="8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46</v>
      </c>
      <c r="H7" s="82"/>
      <c r="I7" s="82"/>
      <c r="J7" s="82"/>
      <c r="K7" s="82"/>
      <c r="L7" s="82"/>
      <c r="M7" s="82"/>
      <c r="N7" s="66" t="s">
        <v>43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0.2296</v>
      </c>
      <c r="I10" s="32">
        <f t="shared" si="0"/>
        <v>1.7999999999999999E-2</v>
      </c>
      <c r="J10" s="32">
        <f t="shared" si="0"/>
        <v>0</v>
      </c>
      <c r="K10" s="32">
        <f t="shared" si="0"/>
        <v>0</v>
      </c>
      <c r="L10" s="32">
        <f t="shared" si="0"/>
        <v>0.21160000000000001</v>
      </c>
      <c r="M10" s="32">
        <f t="shared" si="0"/>
        <v>4.6000000000000006E-2</v>
      </c>
      <c r="N10" s="32">
        <f t="shared" si="0"/>
        <v>0.21599999999999997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37</v>
      </c>
      <c r="D17" s="44" t="s">
        <v>40</v>
      </c>
      <c r="E17" s="46">
        <v>460</v>
      </c>
      <c r="F17" s="27">
        <f>E17/10</f>
        <v>46</v>
      </c>
      <c r="G17" s="56"/>
      <c r="H17" s="64">
        <f>IF(SUM(I17:L17)=0,"",SUM(I17:L17))</f>
        <v>0.46</v>
      </c>
      <c r="I17" s="57"/>
      <c r="J17" s="57"/>
      <c r="K17" s="57"/>
      <c r="L17" s="63">
        <v>0.46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44</v>
      </c>
      <c r="C18" s="44" t="s">
        <v>45</v>
      </c>
      <c r="D18" s="44" t="s">
        <v>40</v>
      </c>
      <c r="E18" s="46">
        <v>100</v>
      </c>
      <c r="F18" s="27">
        <f t="shared" ref="F18:F31" si="1">E18/10</f>
        <v>10</v>
      </c>
      <c r="G18" s="56"/>
      <c r="H18" s="64">
        <f>IF(SUM(I18:L18)=0,"",SUM(I18:L18))</f>
        <v>0.18</v>
      </c>
      <c r="I18" s="65">
        <v>0.18</v>
      </c>
      <c r="J18" s="24"/>
      <c r="K18" s="24"/>
      <c r="L18" s="24"/>
      <c r="M18" s="65">
        <v>0.46</v>
      </c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38</v>
      </c>
      <c r="D19" s="44" t="s">
        <v>40</v>
      </c>
      <c r="E19" s="46">
        <v>80</v>
      </c>
      <c r="F19" s="27">
        <f t="shared" si="1"/>
        <v>8</v>
      </c>
      <c r="G19" s="56"/>
      <c r="H19" s="64" t="str">
        <f>IF(SUM(I19:L19)=0,"",SUM(I19:L19))</f>
        <v/>
      </c>
      <c r="I19" s="63"/>
      <c r="J19" s="57"/>
      <c r="K19" s="57"/>
      <c r="L19" s="57"/>
      <c r="M19" s="63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39</v>
      </c>
      <c r="C20" s="44" t="s">
        <v>41</v>
      </c>
      <c r="D20" s="44" t="s">
        <v>40</v>
      </c>
      <c r="E20" s="46">
        <v>360</v>
      </c>
      <c r="F20" s="27">
        <f t="shared" si="1"/>
        <v>36</v>
      </c>
      <c r="G20" s="56"/>
      <c r="H20" s="64" t="str">
        <f>IF(SUM(I20:L20)=0,"",SUM(I20:L20))</f>
        <v/>
      </c>
      <c r="I20" s="57"/>
      <c r="J20" s="57"/>
      <c r="K20" s="57"/>
      <c r="L20" s="57"/>
      <c r="M20" s="57"/>
      <c r="N20" s="63">
        <v>0.6</v>
      </c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 t="str">
        <f>D17</f>
        <v>G</v>
      </c>
      <c r="E35" s="46">
        <f>E17</f>
        <v>460</v>
      </c>
      <c r="F35" s="62">
        <f t="shared" ref="F35:F40" si="2">E35/10</f>
        <v>46</v>
      </c>
      <c r="G35" s="41" t="str">
        <f t="shared" ref="G35:G49" si="3">IF(G17="","",G17*$F17/$F$32)</f>
        <v/>
      </c>
      <c r="H35" s="42">
        <f t="shared" ref="H35:H49" si="4">IF(H17="","",SUM(I35:L35))</f>
        <v>0.21160000000000001</v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>
        <f t="shared" si="5"/>
        <v>0.21160000000000001</v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DAP</v>
      </c>
      <c r="C36" s="44" t="str">
        <f t="shared" ref="C36:D49" si="7">C18</f>
        <v>CIAMSA</v>
      </c>
      <c r="D36" s="44" t="str">
        <f t="shared" si="7"/>
        <v>G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>
        <f t="shared" si="4"/>
        <v>1.7999999999999999E-2</v>
      </c>
      <c r="I36" s="3">
        <f t="shared" ref="I36:Z36" si="8">IF(I18="","",I18*$F18/$F$32)</f>
        <v>1.7999999999999999E-2</v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>
        <f t="shared" si="8"/>
        <v>4.6000000000000006E-2</v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NUCLEO 4</v>
      </c>
      <c r="C37" s="44" t="str">
        <f t="shared" si="7"/>
        <v>CALFERQUIM</v>
      </c>
      <c r="D37" s="44" t="str">
        <f t="shared" si="7"/>
        <v>G</v>
      </c>
      <c r="E37" s="46">
        <f t="shared" si="6"/>
        <v>80</v>
      </c>
      <c r="F37" s="46">
        <f t="shared" si="2"/>
        <v>8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PRECISAGRO</v>
      </c>
      <c r="D38" s="44" t="str">
        <f t="shared" si="7"/>
        <v>G</v>
      </c>
      <c r="E38" s="46">
        <f t="shared" si="6"/>
        <v>360</v>
      </c>
      <c r="F38" s="46">
        <f t="shared" si="2"/>
        <v>36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>
        <f t="shared" si="10"/>
        <v>0.21599999999999997</v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17 B19:Z31 B18:G18 N18:Z18" name="COMPOSICION MATERIAS PRIMAS"/>
    <protectedRange algorithmName="SHA-512" hashValue="wcIVhBhq6imVgAtvjXkt5fYxXsLbL0w5jActKj78/Yu/p5H7SKJV30bpVCHS7a+M4xmSCVQiXpvuuP7zx4QGZg==" saltValue="/1gprdm/ldj5RpZR4enuWA==" spinCount="100000" sqref="H18:M18" name="COMPOSICION MATERIAS PRIMAS_1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6" priority="38" operator="equal">
      <formula>0</formula>
    </cfRule>
    <cfRule type="containsBlanks" dxfId="55" priority="39">
      <formula>LEN(TRIM(G36))=0</formula>
    </cfRule>
  </conditionalFormatting>
  <conditionalFormatting sqref="G36:Z40">
    <cfRule type="cellIs" dxfId="54" priority="31" operator="equal">
      <formula>0</formula>
    </cfRule>
    <cfRule type="containsBlanks" dxfId="53" priority="32">
      <formula>LEN(TRIM(G36))=0</formula>
    </cfRule>
  </conditionalFormatting>
  <conditionalFormatting sqref="G36:Z40">
    <cfRule type="notContainsBlanks" dxfId="52" priority="30">
      <formula>LEN(TRIM(G36))&gt;0</formula>
    </cfRule>
  </conditionalFormatting>
  <conditionalFormatting sqref="G35">
    <cfRule type="cellIs" dxfId="51" priority="28" operator="equal">
      <formula>0</formula>
    </cfRule>
    <cfRule type="containsBlanks" dxfId="50" priority="29">
      <formula>LEN(TRIM(G35))=0</formula>
    </cfRule>
  </conditionalFormatting>
  <conditionalFormatting sqref="G35">
    <cfRule type="notContainsBlanks" dxfId="49" priority="27">
      <formula>LEN(TRIM(G35))&gt;0</formula>
    </cfRule>
  </conditionalFormatting>
  <conditionalFormatting sqref="H35">
    <cfRule type="cellIs" dxfId="48" priority="25" operator="equal">
      <formula>0</formula>
    </cfRule>
    <cfRule type="containsBlanks" dxfId="47" priority="26">
      <formula>LEN(TRIM(H35))=0</formula>
    </cfRule>
  </conditionalFormatting>
  <conditionalFormatting sqref="H35">
    <cfRule type="notContainsBlanks" dxfId="46" priority="24">
      <formula>LEN(TRIM(H35))&gt;0</formula>
    </cfRule>
  </conditionalFormatting>
  <conditionalFormatting sqref="I35:Z35">
    <cfRule type="cellIs" dxfId="45" priority="22" operator="equal">
      <formula>0</formula>
    </cfRule>
    <cfRule type="containsBlanks" dxfId="44" priority="23">
      <formula>LEN(TRIM(I35))=0</formula>
    </cfRule>
  </conditionalFormatting>
  <conditionalFormatting sqref="I35:Z35">
    <cfRule type="notContainsBlanks" dxfId="43" priority="21">
      <formula>LEN(TRIM(I35))&gt;0</formula>
    </cfRule>
  </conditionalFormatting>
  <conditionalFormatting sqref="G41:Z49">
    <cfRule type="cellIs" dxfId="42" priority="13" operator="equal">
      <formula>0</formula>
    </cfRule>
    <cfRule type="containsBlanks" dxfId="41" priority="14">
      <formula>LEN(TRIM(G41))=0</formula>
    </cfRule>
  </conditionalFormatting>
  <conditionalFormatting sqref="G41:Z49">
    <cfRule type="cellIs" dxfId="40" priority="11" operator="equal">
      <formula>0</formula>
    </cfRule>
    <cfRule type="containsBlanks" dxfId="39" priority="12">
      <formula>LEN(TRIM(G41))=0</formula>
    </cfRule>
  </conditionalFormatting>
  <conditionalFormatting sqref="G41:Z49">
    <cfRule type="notContainsBlanks" dxfId="38" priority="10">
      <formula>LEN(TRIM(G41))&gt;0</formula>
    </cfRule>
  </conditionalFormatting>
  <conditionalFormatting sqref="B35:F49">
    <cfRule type="cellIs" dxfId="37" priority="9" operator="equal">
      <formula>0</formula>
    </cfRule>
  </conditionalFormatting>
  <conditionalFormatting sqref="G9:Z10">
    <cfRule type="cellIs" dxfId="36" priority="8" operator="equal">
      <formula>0</formula>
    </cfRule>
  </conditionalFormatting>
  <conditionalFormatting sqref="C35:C49">
    <cfRule type="cellIs" dxfId="35" priority="7" operator="equal">
      <formula>0</formula>
    </cfRule>
  </conditionalFormatting>
  <conditionalFormatting sqref="D35:D49">
    <cfRule type="cellIs" dxfId="34" priority="6" operator="equal">
      <formula>0</formula>
    </cfRule>
  </conditionalFormatting>
  <conditionalFormatting sqref="B17:F31">
    <cfRule type="cellIs" dxfId="33" priority="5" operator="equal">
      <formula>0</formula>
    </cfRule>
  </conditionalFormatting>
  <conditionalFormatting sqref="C17:C31">
    <cfRule type="cellIs" dxfId="32" priority="4" operator="equal">
      <formula>0</formula>
    </cfRule>
  </conditionalFormatting>
  <conditionalFormatting sqref="D17:D31">
    <cfRule type="cellIs" dxfId="31" priority="3" operator="equal">
      <formula>0</formula>
    </cfRule>
  </conditionalFormatting>
  <conditionalFormatting sqref="G16:Z17 G19:Z31 G18 N18:Z18">
    <cfRule type="containsBlanks" dxfId="30" priority="2">
      <formula>LEN(TRIM(G16))=0</formula>
    </cfRule>
  </conditionalFormatting>
  <conditionalFormatting sqref="H18:M18">
    <cfRule type="containsBlanks" dxfId="29" priority="1">
      <formula>LEN(TRIM(H18))=0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2024-12-10T18:39:22Z</dcterms:modified>
</cp:coreProperties>
</file>