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LIMAGRAN SN X KI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SILIMAGRAN SN X KILO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ROCA FOSFORICA 26% X KILO</t>
        </is>
      </c>
      <c r="B7" s="6" t="inlineStr">
        <is>
          <t>26% P₂O₅ + 36% CaO</t>
        </is>
      </c>
      <c r="C7" s="7" t="n">
        <v>160</v>
      </c>
      <c r="D7" s="8" t="n">
        <v>16</v>
      </c>
      <c r="E7" s="6" t="inlineStr"/>
      <c r="F7" s="6" t="inlineStr"/>
      <c r="G7" s="6" t="inlineStr"/>
      <c r="H7" s="6" t="inlineStr"/>
      <c r="I7" s="9" t="n">
        <v>0.04160000000000001</v>
      </c>
      <c r="J7" s="6" t="inlineStr"/>
      <c r="K7" s="9" t="n">
        <v>0.0576</v>
      </c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6" t="inlineStr">
        <is>
          <t>BENTONITA GRIS X KILO</t>
        </is>
      </c>
      <c r="B8" s="6" t="inlineStr">
        <is>
          <t>6% CaO + 4% MgO + 57% SiO₂</t>
        </is>
      </c>
      <c r="C8" s="7" t="n">
        <v>20</v>
      </c>
      <c r="D8" s="8" t="n">
        <v>2</v>
      </c>
      <c r="E8" s="6" t="inlineStr"/>
      <c r="F8" s="6" t="inlineStr"/>
      <c r="G8" s="6" t="inlineStr"/>
      <c r="H8" s="6" t="inlineStr"/>
      <c r="I8" s="6" t="inlineStr"/>
      <c r="J8" s="6" t="inlineStr"/>
      <c r="K8" s="9" t="n">
        <v>0.0012</v>
      </c>
      <c r="L8" s="9" t="n">
        <v>0.0008</v>
      </c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9" t="n">
        <v>0.0114</v>
      </c>
      <c r="U8" s="6" t="inlineStr"/>
    </row>
    <row r="9">
      <c r="A9" s="6" t="inlineStr">
        <is>
          <t>KIESERITA EN POLVO X KILO</t>
        </is>
      </c>
      <c r="B9" s="6" t="inlineStr">
        <is>
          <t>25% MgO + 20% S</t>
        </is>
      </c>
      <c r="C9" s="7" t="n">
        <v>70</v>
      </c>
      <c r="D9" s="8" t="n">
        <v>7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9" t="n">
        <v>0.0175</v>
      </c>
      <c r="M9" s="9" t="n">
        <v>0.014</v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VINAZA X KILO</t>
        </is>
      </c>
      <c r="B10" s="6" t="inlineStr"/>
      <c r="C10" s="7" t="n">
        <v>100</v>
      </c>
      <c r="D10" s="8" t="n">
        <v>10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6" t="inlineStr">
        <is>
          <t>SILICATO DE MAGNESIO X KILO</t>
        </is>
      </c>
      <c r="B11" s="6" t="inlineStr">
        <is>
          <t>33.86% MgO + 36.98% SiO₂</t>
        </is>
      </c>
      <c r="C11" s="7" t="n">
        <v>750</v>
      </c>
      <c r="D11" s="8" t="n">
        <v>75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9" t="n">
        <v>0.25395</v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9" t="n">
        <v>0.27735</v>
      </c>
      <c r="U11" s="6" t="inlineStr"/>
    </row>
    <row r="12">
      <c r="A12" s="10" t="inlineStr">
        <is>
          <t>SUMATORIA</t>
        </is>
      </c>
      <c r="B12" s="11" t="n"/>
      <c r="C12" s="12">
        <f>SUM(C7:C11)</f>
        <v/>
      </c>
      <c r="D12" s="12">
        <f>SUM(D7:D11)</f>
        <v/>
      </c>
      <c r="E12" s="13">
        <f>SUM(E7:E11)</f>
        <v/>
      </c>
      <c r="F12" s="13">
        <f>SUM(F7:F11)</f>
        <v/>
      </c>
      <c r="G12" s="13">
        <f>SUM(G7:G11)</f>
        <v/>
      </c>
      <c r="H12" s="13">
        <f>SUM(H7:H11)</f>
        <v/>
      </c>
      <c r="I12" s="13">
        <f>SUM(I7:I11)</f>
        <v/>
      </c>
      <c r="J12" s="13">
        <f>SUM(J7:J11)</f>
        <v/>
      </c>
      <c r="K12" s="13">
        <f>SUM(K7:K11)</f>
        <v/>
      </c>
      <c r="L12" s="13">
        <f>SUM(L7:L11)</f>
        <v/>
      </c>
      <c r="M12" s="13">
        <f>SUM(M7:M11)</f>
        <v/>
      </c>
      <c r="N12" s="13">
        <f>SUM(N7:N11)</f>
        <v/>
      </c>
      <c r="O12" s="13">
        <f>SUM(O7:O11)</f>
        <v/>
      </c>
      <c r="P12" s="13">
        <f>SUM(P7:P11)</f>
        <v/>
      </c>
      <c r="Q12" s="13">
        <f>SUM(Q7:Q11)</f>
        <v/>
      </c>
      <c r="R12" s="13">
        <f>SUM(R7:R11)</f>
        <v/>
      </c>
      <c r="S12" s="13">
        <f>SUM(S7:S11)</f>
        <v/>
      </c>
      <c r="T12" s="13">
        <f>SUM(T7:T11)</f>
        <v/>
      </c>
      <c r="U12" s="13">
        <f>SUM(U7:U11)</f>
        <v/>
      </c>
    </row>
    <row r="14">
      <c r="A14" s="14" t="inlineStr">
        <is>
          <t>TOTAL CALFERQUIM S.A.S</t>
        </is>
      </c>
      <c r="B14" s="15" t="n"/>
      <c r="C14" s="15" t="n"/>
      <c r="D14" s="15" t="n"/>
      <c r="E14" s="16">
        <f>E12</f>
        <v/>
      </c>
      <c r="F14" s="16">
        <f>F12</f>
        <v/>
      </c>
      <c r="G14" s="16">
        <f>G12</f>
        <v/>
      </c>
      <c r="H14" s="16">
        <f>H12</f>
        <v/>
      </c>
      <c r="I14" s="16">
        <f>I12</f>
        <v/>
      </c>
      <c r="J14" s="16">
        <f>J12</f>
        <v/>
      </c>
      <c r="K14" s="16">
        <f>K12</f>
        <v/>
      </c>
      <c r="L14" s="16">
        <f>L12</f>
        <v/>
      </c>
      <c r="M14" s="16">
        <f>M12</f>
        <v/>
      </c>
      <c r="N14" s="16">
        <f>N12</f>
        <v/>
      </c>
      <c r="O14" s="16">
        <f>O12</f>
        <v/>
      </c>
      <c r="P14" s="16">
        <f>P12</f>
        <v/>
      </c>
      <c r="Q14" s="16">
        <f>Q12</f>
        <v/>
      </c>
      <c r="R14" s="16">
        <f>R12</f>
        <v/>
      </c>
      <c r="S14" s="16">
        <f>S12</f>
        <v/>
      </c>
      <c r="T14" s="16">
        <f>T12</f>
        <v/>
      </c>
      <c r="U14" s="16">
        <f>U12</f>
        <v/>
      </c>
    </row>
    <row r="16">
      <c r="A16" s="17" t="inlineStr">
        <is>
          <t>SOLICITUD DE REGISTRO ICA SILIMAGRAN SN X KILO</t>
        </is>
      </c>
      <c r="E16" s="18" t="n"/>
      <c r="F16" s="18" t="n"/>
      <c r="G16" s="18" t="n"/>
      <c r="H16" s="18" t="n"/>
      <c r="I16" s="19" t="n">
        <v>0.05</v>
      </c>
      <c r="J16" s="18" t="n"/>
      <c r="K16" s="18" t="n"/>
      <c r="L16" s="19" t="n">
        <v>0.3</v>
      </c>
      <c r="M16" s="18" t="n"/>
      <c r="N16" s="18" t="n"/>
      <c r="O16" s="18" t="n"/>
      <c r="P16" s="18" t="n"/>
      <c r="Q16" s="18" t="n"/>
      <c r="R16" s="18" t="n"/>
      <c r="S16" s="18" t="n"/>
      <c r="T16" s="19" t="n">
        <v>0.3</v>
      </c>
      <c r="U16" s="18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