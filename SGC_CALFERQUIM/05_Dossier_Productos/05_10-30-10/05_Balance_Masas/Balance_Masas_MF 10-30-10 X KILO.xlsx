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F 10-30-10 X KI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i val="1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0" borderId="1" pivotButton="0" quotePrefix="0" xfId="0"/>
    <xf numFmtId="0" fontId="7" fillId="4" borderId="1" pivotButton="0" quotePrefix="0" xfId="0"/>
    <xf numFmtId="0" fontId="0" fillId="4" borderId="1" pivotButton="0" quotePrefix="0" xfId="0"/>
    <xf numFmtId="164" fontId="7" fillId="4" borderId="1" pivotButton="0" quotePrefix="0" xfId="0"/>
    <xf numFmtId="165" fontId="7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7" fillId="6" borderId="1" pivotButton="0" quotePrefix="0" xfId="0"/>
    <xf numFmtId="165" fontId="0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MF 10-30-10 X KILO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DAP GRANULADO X KILO</t>
        </is>
      </c>
      <c r="B7" s="6" t="inlineStr">
        <is>
          <t>18% N + 46% P₂O₅</t>
        </is>
      </c>
      <c r="C7" s="7" t="n">
        <v>600</v>
      </c>
      <c r="D7" s="8" t="n">
        <v>60</v>
      </c>
      <c r="E7" s="9" t="n">
        <v>0.108</v>
      </c>
      <c r="F7" s="9" t="n">
        <v>0.108</v>
      </c>
      <c r="G7" s="6" t="inlineStr"/>
      <c r="H7" s="6" t="inlineStr"/>
      <c r="I7" s="9" t="n">
        <v>0.276</v>
      </c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6" t="inlineStr">
        <is>
          <t>KCL GRANULADO X KILO</t>
        </is>
      </c>
      <c r="B8" s="6" t="inlineStr">
        <is>
          <t>60% K₂O</t>
        </is>
      </c>
      <c r="C8" s="7" t="n">
        <v>150</v>
      </c>
      <c r="D8" s="8" t="n">
        <v>15</v>
      </c>
      <c r="E8" s="6" t="inlineStr"/>
      <c r="F8" s="6" t="inlineStr"/>
      <c r="G8" s="6" t="inlineStr"/>
      <c r="H8" s="6" t="inlineStr"/>
      <c r="I8" s="6" t="inlineStr"/>
      <c r="J8" s="9" t="n">
        <v>0.09</v>
      </c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6" t="inlineStr">
        <is>
          <t>NUCLEO 4 X KILO</t>
        </is>
      </c>
      <c r="B9" s="6" t="inlineStr">
        <is>
          <t>18% CaO + 18% MgO + 4% S + 14% SiO₂</t>
        </is>
      </c>
      <c r="C9" s="7" t="n">
        <v>250</v>
      </c>
      <c r="D9" s="8" t="n">
        <v>25</v>
      </c>
      <c r="E9" s="6" t="inlineStr"/>
      <c r="F9" s="6" t="inlineStr"/>
      <c r="G9" s="6" t="inlineStr"/>
      <c r="H9" s="6" t="inlineStr"/>
      <c r="I9" s="6" t="inlineStr"/>
      <c r="J9" s="6" t="inlineStr"/>
      <c r="K9" s="9" t="n">
        <v>0.045</v>
      </c>
      <c r="L9" s="9" t="n">
        <v>0.045</v>
      </c>
      <c r="M9" s="9" t="n">
        <v>0.01</v>
      </c>
      <c r="N9" s="6" t="inlineStr"/>
      <c r="O9" s="6" t="inlineStr"/>
      <c r="P9" s="6" t="inlineStr"/>
      <c r="Q9" s="6" t="inlineStr"/>
      <c r="R9" s="6" t="inlineStr"/>
      <c r="S9" s="6" t="inlineStr"/>
      <c r="T9" s="9" t="n">
        <v>0.035</v>
      </c>
      <c r="U9" s="6" t="inlineStr"/>
    </row>
    <row r="10">
      <c r="A10" s="10" t="inlineStr">
        <is>
          <t>EMPAQUES E INERTES</t>
        </is>
      </c>
      <c r="C10" s="6" t="n">
        <v>40</v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</row>
    <row r="11">
      <c r="A11" s="11" t="inlineStr">
        <is>
          <t>SUMATORIA</t>
        </is>
      </c>
      <c r="B11" s="12" t="n"/>
      <c r="C11" s="13">
        <f>SUM(C7:C10)</f>
        <v/>
      </c>
      <c r="D11" s="13">
        <f>SUM(D7:D10)</f>
        <v/>
      </c>
      <c r="E11" s="14">
        <f>SUM(E7:E10)</f>
        <v/>
      </c>
      <c r="F11" s="14">
        <f>SUM(F7:F10)</f>
        <v/>
      </c>
      <c r="G11" s="14">
        <f>SUM(G7:G10)</f>
        <v/>
      </c>
      <c r="H11" s="14">
        <f>SUM(H7:H10)</f>
        <v/>
      </c>
      <c r="I11" s="14">
        <f>SUM(I7:I10)</f>
        <v/>
      </c>
      <c r="J11" s="14">
        <f>SUM(J7:J10)</f>
        <v/>
      </c>
      <c r="K11" s="14">
        <f>SUM(K7:K10)</f>
        <v/>
      </c>
      <c r="L11" s="14">
        <f>SUM(L7:L10)</f>
        <v/>
      </c>
      <c r="M11" s="14">
        <f>SUM(M7:M10)</f>
        <v/>
      </c>
      <c r="N11" s="14">
        <f>SUM(N7:N10)</f>
        <v/>
      </c>
      <c r="O11" s="14">
        <f>SUM(O7:O10)</f>
        <v/>
      </c>
      <c r="P11" s="14">
        <f>SUM(P7:P10)</f>
        <v/>
      </c>
      <c r="Q11" s="14">
        <f>SUM(Q7:Q10)</f>
        <v/>
      </c>
      <c r="R11" s="14">
        <f>SUM(R7:R10)</f>
        <v/>
      </c>
      <c r="S11" s="14">
        <f>SUM(S7:S10)</f>
        <v/>
      </c>
      <c r="T11" s="14">
        <f>SUM(T7:T10)</f>
        <v/>
      </c>
      <c r="U11" s="14">
        <f>SUM(U7:U10)</f>
        <v/>
      </c>
    </row>
    <row r="13">
      <c r="A13" s="15" t="inlineStr">
        <is>
          <t>TOTAL CALFERQUIM S.A.S</t>
        </is>
      </c>
      <c r="B13" s="16" t="n"/>
      <c r="C13" s="16" t="n"/>
      <c r="D13" s="16" t="n"/>
      <c r="E13" s="17">
        <f>E11</f>
        <v/>
      </c>
      <c r="F13" s="17">
        <f>F11</f>
        <v/>
      </c>
      <c r="G13" s="17">
        <f>G11</f>
        <v/>
      </c>
      <c r="H13" s="17">
        <f>H11</f>
        <v/>
      </c>
      <c r="I13" s="17">
        <f>I11</f>
        <v/>
      </c>
      <c r="J13" s="17">
        <f>J11</f>
        <v/>
      </c>
      <c r="K13" s="17">
        <f>K11</f>
        <v/>
      </c>
      <c r="L13" s="17">
        <f>L11</f>
        <v/>
      </c>
      <c r="M13" s="17">
        <f>M11</f>
        <v/>
      </c>
      <c r="N13" s="17">
        <f>N11</f>
        <v/>
      </c>
      <c r="O13" s="17">
        <f>O11</f>
        <v/>
      </c>
      <c r="P13" s="17">
        <f>P11</f>
        <v/>
      </c>
      <c r="Q13" s="17">
        <f>Q11</f>
        <v/>
      </c>
      <c r="R13" s="17">
        <f>R11</f>
        <v/>
      </c>
      <c r="S13" s="17">
        <f>S11</f>
        <v/>
      </c>
      <c r="T13" s="17">
        <f>T11</f>
        <v/>
      </c>
      <c r="U13" s="17">
        <f>U11</f>
        <v/>
      </c>
    </row>
    <row r="15">
      <c r="A15" s="18" t="inlineStr">
        <is>
          <t>SOLICITUD DE REGISTRO ICA MF 10-30-10 X KILO</t>
        </is>
      </c>
      <c r="E15" s="19" t="n">
        <v>0.1</v>
      </c>
      <c r="F15" s="20" t="n"/>
      <c r="G15" s="20" t="n"/>
      <c r="H15" s="20" t="n"/>
      <c r="I15" s="19" t="n">
        <v>0.3</v>
      </c>
      <c r="J15" s="19" t="n">
        <v>0.1</v>
      </c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