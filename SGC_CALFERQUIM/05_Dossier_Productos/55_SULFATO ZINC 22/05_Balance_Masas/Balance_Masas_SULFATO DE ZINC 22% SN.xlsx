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LFATO DE ZINC 22% 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SULFATO DE ZINC 22% SN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SULFATO DE ZINC 35% X KILO</t>
        </is>
      </c>
      <c r="B7" s="6" t="inlineStr">
        <is>
          <t>35% Zn</t>
        </is>
      </c>
      <c r="C7" s="7" t="n">
        <v>675</v>
      </c>
      <c r="D7" s="8" t="n">
        <v>67.5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9" t="n">
        <v>0.23625</v>
      </c>
    </row>
    <row r="8">
      <c r="A8" s="6" t="inlineStr">
        <is>
          <t>CARBONATO DE CALCIO X KILO</t>
        </is>
      </c>
      <c r="B8" s="6" t="inlineStr">
        <is>
          <t>40% CaO</t>
        </is>
      </c>
      <c r="C8" s="7" t="n">
        <v>75</v>
      </c>
      <c r="D8" s="8" t="n">
        <v>7.5</v>
      </c>
      <c r="E8" s="6" t="inlineStr"/>
      <c r="F8" s="6" t="inlineStr"/>
      <c r="G8" s="6" t="inlineStr"/>
      <c r="H8" s="6" t="inlineStr"/>
      <c r="I8" s="6" t="inlineStr"/>
      <c r="J8" s="6" t="inlineStr"/>
      <c r="K8" s="9" t="n">
        <v>0.03</v>
      </c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KIESERITA EN POLVO X KILO</t>
        </is>
      </c>
      <c r="B9" s="6" t="inlineStr">
        <is>
          <t>25% MgO + 20% S</t>
        </is>
      </c>
      <c r="C9" s="7" t="n">
        <v>50</v>
      </c>
      <c r="D9" s="8" t="n">
        <v>5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9" t="n">
        <v>0.0125</v>
      </c>
      <c r="M9" s="9" t="n">
        <v>0.01</v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BENTONITA GRIS X KILO</t>
        </is>
      </c>
      <c r="B10" s="6" t="inlineStr">
        <is>
          <t>6% CaO + 4% MgO + 57% SiO₂</t>
        </is>
      </c>
      <c r="C10" s="7" t="n">
        <v>200</v>
      </c>
      <c r="D10" s="8" t="n">
        <v>20</v>
      </c>
      <c r="E10" s="6" t="inlineStr"/>
      <c r="F10" s="6" t="inlineStr"/>
      <c r="G10" s="6" t="inlineStr"/>
      <c r="H10" s="6" t="inlineStr"/>
      <c r="I10" s="6" t="inlineStr"/>
      <c r="J10" s="6" t="inlineStr"/>
      <c r="K10" s="9" t="n">
        <v>0.012</v>
      </c>
      <c r="L10" s="9" t="n">
        <v>0.008</v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9" t="n">
        <v>0.114</v>
      </c>
      <c r="U10" s="6" t="inlineStr"/>
    </row>
    <row r="11">
      <c r="A11" s="10" t="inlineStr">
        <is>
          <t>SUMATORIA</t>
        </is>
      </c>
      <c r="B11" s="11" t="n"/>
      <c r="C11" s="12">
        <f>SUM(C7:C10)</f>
        <v/>
      </c>
      <c r="D11" s="12">
        <f>SUM(D7:D10)</f>
        <v/>
      </c>
      <c r="E11" s="13">
        <f>SUM(E7:E10)</f>
        <v/>
      </c>
      <c r="F11" s="13">
        <f>SUM(F7:F10)</f>
        <v/>
      </c>
      <c r="G11" s="13">
        <f>SUM(G7:G10)</f>
        <v/>
      </c>
      <c r="H11" s="13">
        <f>SUM(H7:H10)</f>
        <v/>
      </c>
      <c r="I11" s="13">
        <f>SUM(I7:I10)</f>
        <v/>
      </c>
      <c r="J11" s="13">
        <f>SUM(J7:J10)</f>
        <v/>
      </c>
      <c r="K11" s="13">
        <f>SUM(K7:K10)</f>
        <v/>
      </c>
      <c r="L11" s="13">
        <f>SUM(L7:L10)</f>
        <v/>
      </c>
      <c r="M11" s="13">
        <f>SUM(M7:M10)</f>
        <v/>
      </c>
      <c r="N11" s="13">
        <f>SUM(N7:N10)</f>
        <v/>
      </c>
      <c r="O11" s="13">
        <f>SUM(O7:O10)</f>
        <v/>
      </c>
      <c r="P11" s="13">
        <f>SUM(P7:P10)</f>
        <v/>
      </c>
      <c r="Q11" s="13">
        <f>SUM(Q7:Q10)</f>
        <v/>
      </c>
      <c r="R11" s="13">
        <f>SUM(R7:R10)</f>
        <v/>
      </c>
      <c r="S11" s="13">
        <f>SUM(S7:S10)</f>
        <v/>
      </c>
      <c r="T11" s="13">
        <f>SUM(T7:T10)</f>
        <v/>
      </c>
      <c r="U11" s="13">
        <f>SUM(U7:U10)</f>
        <v/>
      </c>
    </row>
    <row r="13">
      <c r="A13" s="14" t="inlineStr">
        <is>
          <t>TOTAL CALFERQUIM S.A.S</t>
        </is>
      </c>
      <c r="B13" s="15" t="n"/>
      <c r="C13" s="15" t="n"/>
      <c r="D13" s="15" t="n"/>
      <c r="E13" s="16">
        <f>E11</f>
        <v/>
      </c>
      <c r="F13" s="16">
        <f>F11</f>
        <v/>
      </c>
      <c r="G13" s="16">
        <f>G11</f>
        <v/>
      </c>
      <c r="H13" s="16">
        <f>H11</f>
        <v/>
      </c>
      <c r="I13" s="16">
        <f>I11</f>
        <v/>
      </c>
      <c r="J13" s="16">
        <f>J11</f>
        <v/>
      </c>
      <c r="K13" s="16">
        <f>K11</f>
        <v/>
      </c>
      <c r="L13" s="16">
        <f>L11</f>
        <v/>
      </c>
      <c r="M13" s="16">
        <f>M11</f>
        <v/>
      </c>
      <c r="N13" s="16">
        <f>N11</f>
        <v/>
      </c>
      <c r="O13" s="16">
        <f>O11</f>
        <v/>
      </c>
      <c r="P13" s="16">
        <f>P11</f>
        <v/>
      </c>
      <c r="Q13" s="16">
        <f>Q11</f>
        <v/>
      </c>
      <c r="R13" s="16">
        <f>R11</f>
        <v/>
      </c>
      <c r="S13" s="16">
        <f>S11</f>
        <v/>
      </c>
      <c r="T13" s="16">
        <f>T11</f>
        <v/>
      </c>
      <c r="U13" s="16">
        <f>U11</f>
        <v/>
      </c>
    </row>
    <row r="15">
      <c r="A15" s="17" t="inlineStr">
        <is>
          <t>SOLICITUD DE REGISTRO ICA SULFATO DE ZINC 22% SN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