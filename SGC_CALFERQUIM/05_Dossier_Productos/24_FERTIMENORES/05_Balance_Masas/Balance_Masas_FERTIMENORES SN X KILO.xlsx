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MENORES SN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165" fontId="0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FERTIMENORES SN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CARBONATO DE CALCIO X KILO</t>
        </is>
      </c>
      <c r="B7" s="6" t="inlineStr">
        <is>
          <t>40% CaO</t>
        </is>
      </c>
      <c r="C7" s="7" t="n">
        <v>100</v>
      </c>
      <c r="D7" s="8" t="n">
        <v>10</v>
      </c>
      <c r="E7" s="6" t="inlineStr"/>
      <c r="F7" s="6" t="inlineStr"/>
      <c r="G7" s="6" t="inlineStr"/>
      <c r="H7" s="6" t="inlineStr"/>
      <c r="I7" s="6" t="inlineStr"/>
      <c r="J7" s="6" t="inlineStr"/>
      <c r="K7" s="9" t="n">
        <v>0.04000000000000001</v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ULEXITA X KILO</t>
        </is>
      </c>
      <c r="B8" s="6" t="inlineStr">
        <is>
          <t>18% CaO + 12% B</t>
        </is>
      </c>
      <c r="C8" s="7" t="n">
        <v>70</v>
      </c>
      <c r="D8" s="8" t="n">
        <v>7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0.0126</v>
      </c>
      <c r="L8" s="6" t="inlineStr"/>
      <c r="M8" s="6" t="inlineStr"/>
      <c r="N8" s="9" t="n">
        <v>0.008400000000000001</v>
      </c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SULFATO DE CALCIO X KILO</t>
        </is>
      </c>
      <c r="B9" s="6" t="inlineStr">
        <is>
          <t>22% CaO + 13% S</t>
        </is>
      </c>
      <c r="C9" s="7" t="n">
        <v>160</v>
      </c>
      <c r="D9" s="8" t="n">
        <v>16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0.0352</v>
      </c>
      <c r="L9" s="6" t="inlineStr"/>
      <c r="M9" s="9" t="n">
        <v>0.0208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ROCA FOSFORICA 26% X KILO</t>
        </is>
      </c>
      <c r="B10" s="6" t="inlineStr">
        <is>
          <t>26% P₂O₅ + 36% CaO</t>
        </is>
      </c>
      <c r="C10" s="7" t="n">
        <v>270</v>
      </c>
      <c r="D10" s="8" t="n">
        <v>27</v>
      </c>
      <c r="E10" s="6" t="inlineStr"/>
      <c r="F10" s="6" t="inlineStr"/>
      <c r="G10" s="6" t="inlineStr"/>
      <c r="H10" s="6" t="inlineStr"/>
      <c r="I10" s="9" t="n">
        <v>0.07020000000000001</v>
      </c>
      <c r="J10" s="6" t="inlineStr"/>
      <c r="K10" s="9" t="n">
        <v>0.09720000000000001</v>
      </c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CAL DOLOMITA X KILO</t>
        </is>
      </c>
      <c r="B11" s="6" t="inlineStr">
        <is>
          <t>34% CaO + 14% MgO</t>
        </is>
      </c>
      <c r="C11" s="7" t="n">
        <v>70</v>
      </c>
      <c r="D11" s="8" t="n">
        <v>7</v>
      </c>
      <c r="E11" s="6" t="inlineStr"/>
      <c r="F11" s="6" t="inlineStr"/>
      <c r="G11" s="6" t="inlineStr"/>
      <c r="H11" s="6" t="inlineStr"/>
      <c r="I11" s="6" t="inlineStr"/>
      <c r="J11" s="6" t="inlineStr"/>
      <c r="K11" s="9" t="n">
        <v>0.02380000000000001</v>
      </c>
      <c r="L11" s="9" t="n">
        <v>0.009800000000000001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</row>
    <row r="12">
      <c r="A12" s="6" t="inlineStr">
        <is>
          <t>SILICATO DE MAGNESIO X KILO</t>
        </is>
      </c>
      <c r="B12" s="6" t="inlineStr">
        <is>
          <t>33.86% MgO + 36.98% SiO₂</t>
        </is>
      </c>
      <c r="C12" s="7" t="n">
        <v>100</v>
      </c>
      <c r="D12" s="8" t="n">
        <v>10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9" t="n">
        <v>0.03386</v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9" t="n">
        <v>0.03698</v>
      </c>
      <c r="U12" s="6" t="inlineStr"/>
    </row>
    <row r="13">
      <c r="A13" s="6" t="inlineStr">
        <is>
          <t>BENTONITA GRIS X KILO</t>
        </is>
      </c>
      <c r="B13" s="6" t="inlineStr">
        <is>
          <t>6% CaO + 4% MgO + 57% SiO₂</t>
        </is>
      </c>
      <c r="C13" s="7" t="n">
        <v>100</v>
      </c>
      <c r="D13" s="8" t="n">
        <v>10</v>
      </c>
      <c r="E13" s="6" t="inlineStr"/>
      <c r="F13" s="6" t="inlineStr"/>
      <c r="G13" s="6" t="inlineStr"/>
      <c r="H13" s="6" t="inlineStr"/>
      <c r="I13" s="6" t="inlineStr"/>
      <c r="J13" s="6" t="inlineStr"/>
      <c r="K13" s="9" t="n">
        <v>0.006</v>
      </c>
      <c r="L13" s="9" t="n">
        <v>0.004</v>
      </c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9" t="n">
        <v>0.057</v>
      </c>
      <c r="U13" s="6" t="inlineStr"/>
    </row>
    <row r="14">
      <c r="A14" s="6" t="inlineStr">
        <is>
          <t>KIESERITA EN POLVO X KILO</t>
        </is>
      </c>
      <c r="B14" s="6" t="inlineStr">
        <is>
          <t>25% MgO + 20% S</t>
        </is>
      </c>
      <c r="C14" s="7" t="n">
        <v>50</v>
      </c>
      <c r="D14" s="8" t="n">
        <v>5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9" t="n">
        <v>0.0125</v>
      </c>
      <c r="M14" s="9" t="n">
        <v>0.01</v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6" t="inlineStr">
        <is>
          <t>VINAZA X KILO</t>
        </is>
      </c>
      <c r="B15" s="6" t="inlineStr"/>
      <c r="C15" s="7" t="n">
        <v>150</v>
      </c>
      <c r="D15" s="8" t="n">
        <v>15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</row>
    <row r="16">
      <c r="A16" s="6" t="inlineStr">
        <is>
          <t>SULFATO DE ZINC 35% X KILO</t>
        </is>
      </c>
      <c r="B16" s="6" t="inlineStr">
        <is>
          <t>35% Zn</t>
        </is>
      </c>
      <c r="C16" s="7" t="n">
        <v>70</v>
      </c>
      <c r="D16" s="8" t="n">
        <v>7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9" t="n">
        <v>0.0245</v>
      </c>
    </row>
    <row r="17">
      <c r="A17" s="6" t="inlineStr">
        <is>
          <t>SULFATO DE COBRE 22% X KILO</t>
        </is>
      </c>
      <c r="B17" s="6" t="inlineStr">
        <is>
          <t>22% Cu</t>
        </is>
      </c>
      <c r="C17" s="7" t="n">
        <v>10</v>
      </c>
      <c r="D17" s="8" t="n">
        <v>1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9" t="n">
        <v>0.0022</v>
      </c>
      <c r="Q17" s="6" t="inlineStr"/>
      <c r="R17" s="6" t="inlineStr"/>
      <c r="S17" s="6" t="inlineStr"/>
      <c r="T17" s="6" t="inlineStr"/>
      <c r="U17" s="6" t="inlineStr"/>
    </row>
    <row r="18">
      <c r="A18" s="10" t="inlineStr">
        <is>
          <t>SUMATORIA</t>
        </is>
      </c>
      <c r="B18" s="11" t="n"/>
      <c r="C18" s="12">
        <f>SUM(C7:C17)</f>
        <v/>
      </c>
      <c r="D18" s="12">
        <f>SUM(D7:D17)</f>
        <v/>
      </c>
      <c r="E18" s="13">
        <f>SUM(E7:E17)</f>
        <v/>
      </c>
      <c r="F18" s="13">
        <f>SUM(F7:F17)</f>
        <v/>
      </c>
      <c r="G18" s="13">
        <f>SUM(G7:G17)</f>
        <v/>
      </c>
      <c r="H18" s="13">
        <f>SUM(H7:H17)</f>
        <v/>
      </c>
      <c r="I18" s="13">
        <f>SUM(I7:I17)</f>
        <v/>
      </c>
      <c r="J18" s="13">
        <f>SUM(J7:J17)</f>
        <v/>
      </c>
      <c r="K18" s="13">
        <f>SUM(K7:K17)</f>
        <v/>
      </c>
      <c r="L18" s="13">
        <f>SUM(L7:L17)</f>
        <v/>
      </c>
      <c r="M18" s="13">
        <f>SUM(M7:M17)</f>
        <v/>
      </c>
      <c r="N18" s="13">
        <f>SUM(N7:N17)</f>
        <v/>
      </c>
      <c r="O18" s="13">
        <f>SUM(O7:O17)</f>
        <v/>
      </c>
      <c r="P18" s="13">
        <f>SUM(P7:P17)</f>
        <v/>
      </c>
      <c r="Q18" s="13">
        <f>SUM(Q7:Q17)</f>
        <v/>
      </c>
      <c r="R18" s="13">
        <f>SUM(R7:R17)</f>
        <v/>
      </c>
      <c r="S18" s="13">
        <f>SUM(S7:S17)</f>
        <v/>
      </c>
      <c r="T18" s="13">
        <f>SUM(T7:T17)</f>
        <v/>
      </c>
      <c r="U18" s="13">
        <f>SUM(U7:U17)</f>
        <v/>
      </c>
    </row>
    <row r="20">
      <c r="A20" s="14" t="inlineStr">
        <is>
          <t>TOTAL CALFERQUIM S.A.S</t>
        </is>
      </c>
      <c r="B20" s="15" t="n"/>
      <c r="C20" s="15" t="n"/>
      <c r="D20" s="15" t="n"/>
      <c r="E20" s="16">
        <f>E18</f>
        <v/>
      </c>
      <c r="F20" s="16">
        <f>F18</f>
        <v/>
      </c>
      <c r="G20" s="16">
        <f>G18</f>
        <v/>
      </c>
      <c r="H20" s="16">
        <f>H18</f>
        <v/>
      </c>
      <c r="I20" s="16">
        <f>I18</f>
        <v/>
      </c>
      <c r="J20" s="16">
        <f>J18</f>
        <v/>
      </c>
      <c r="K20" s="16">
        <f>K18</f>
        <v/>
      </c>
      <c r="L20" s="16">
        <f>L18</f>
        <v/>
      </c>
      <c r="M20" s="16">
        <f>M18</f>
        <v/>
      </c>
      <c r="N20" s="16">
        <f>N18</f>
        <v/>
      </c>
      <c r="O20" s="16">
        <f>O18</f>
        <v/>
      </c>
      <c r="P20" s="16">
        <f>P18</f>
        <v/>
      </c>
      <c r="Q20" s="16">
        <f>Q18</f>
        <v/>
      </c>
      <c r="R20" s="16">
        <f>R18</f>
        <v/>
      </c>
      <c r="S20" s="16">
        <f>S18</f>
        <v/>
      </c>
      <c r="T20" s="16">
        <f>T18</f>
        <v/>
      </c>
      <c r="U20" s="16">
        <f>U18</f>
        <v/>
      </c>
    </row>
    <row r="22">
      <c r="A22" s="17" t="inlineStr">
        <is>
          <t>SOLICITUD DE REGISTRO ICA FERTIMENORES SN X KILO</t>
        </is>
      </c>
      <c r="E22" s="18" t="n">
        <v>0.04</v>
      </c>
      <c r="F22" s="19" t="n"/>
      <c r="G22" s="19" t="n"/>
      <c r="H22" s="19" t="n"/>
      <c r="I22" s="18" t="n">
        <v>0.1</v>
      </c>
      <c r="J22" s="19" t="n"/>
      <c r="K22" s="18" t="n">
        <v>0.13</v>
      </c>
      <c r="L22" s="18" t="n">
        <v>0.07000000000000001</v>
      </c>
      <c r="M22" s="18" t="n">
        <v>0.07000000000000001</v>
      </c>
      <c r="N22" s="18" t="n">
        <v>0.01</v>
      </c>
      <c r="O22" s="18" t="n">
        <v>0.005</v>
      </c>
      <c r="P22" s="19" t="n"/>
      <c r="Q22" s="19" t="n"/>
      <c r="R22" s="19" t="n"/>
      <c r="S22" s="19" t="n"/>
      <c r="T22" s="19" t="n"/>
      <c r="U22" s="18" t="n">
        <v>0.025</v>
      </c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