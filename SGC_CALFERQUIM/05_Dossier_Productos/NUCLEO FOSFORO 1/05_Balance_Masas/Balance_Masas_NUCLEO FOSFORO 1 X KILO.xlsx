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FOSFORO 1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FOSFORO 1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ROCA FOSFORICA 26% X KILO</t>
        </is>
      </c>
      <c r="B7" s="6" t="inlineStr">
        <is>
          <t>26% P₂O₅ + 36% CaO</t>
        </is>
      </c>
      <c r="C7" s="7" t="n">
        <v>750</v>
      </c>
      <c r="D7" s="8" t="n">
        <v>75</v>
      </c>
      <c r="E7" s="6" t="inlineStr"/>
      <c r="F7" s="6" t="inlineStr"/>
      <c r="G7" s="6" t="inlineStr"/>
      <c r="H7" s="6" t="inlineStr"/>
      <c r="I7" s="9" t="n">
        <v>0.195</v>
      </c>
      <c r="J7" s="6" t="inlineStr"/>
      <c r="K7" s="9" t="n">
        <v>0.27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BENTONITA ROJA X KILO</t>
        </is>
      </c>
      <c r="B8" s="6" t="inlineStr">
        <is>
          <t>1% MgO + 47% SiO₂</t>
        </is>
      </c>
      <c r="C8" s="7" t="n">
        <v>100</v>
      </c>
      <c r="D8" s="8" t="n">
        <v>10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0.001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0.047</v>
      </c>
      <c r="U8" s="6" t="inlineStr"/>
    </row>
    <row r="9">
      <c r="A9" s="6" t="inlineStr">
        <is>
          <t>CAL DOLOMITA X KILO</t>
        </is>
      </c>
      <c r="B9" s="6" t="inlineStr">
        <is>
          <t>34% CaO + 14% MgO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0.017</v>
      </c>
      <c r="L9" s="9" t="n">
        <v>0.007000000000000001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KIESERITA EN POLVO X KILO</t>
        </is>
      </c>
      <c r="B10" s="6" t="inlineStr">
        <is>
          <t>25% MgO + 20% S</t>
        </is>
      </c>
      <c r="C10" s="7" t="n">
        <v>50</v>
      </c>
      <c r="D10" s="8" t="n">
        <v>5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9" t="n">
        <v>0.0125</v>
      </c>
      <c r="M10" s="9" t="n">
        <v>0.01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SILICATO DE MAGNESIO X KILO</t>
        </is>
      </c>
      <c r="B11" s="6" t="inlineStr">
        <is>
          <t>33.86% MgO + 36.98% SiO₂</t>
        </is>
      </c>
      <c r="C11" s="7" t="n">
        <v>50</v>
      </c>
      <c r="D11" s="8" t="n">
        <v>5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0.01693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0.01849</v>
      </c>
      <c r="U11" s="6" t="inlineStr"/>
    </row>
    <row r="12">
      <c r="A12" s="6" t="inlineStr">
        <is>
          <t>VINAZA X KILO</t>
        </is>
      </c>
      <c r="B12" s="6" t="inlineStr"/>
      <c r="C12" s="7" t="n">
        <v>100</v>
      </c>
      <c r="D12" s="8" t="n">
        <v>10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10" t="inlineStr">
        <is>
          <t>SUMATORIA</t>
        </is>
      </c>
      <c r="B13" s="11" t="n"/>
      <c r="C13" s="12">
        <f>SUM(C7:C12)</f>
        <v/>
      </c>
      <c r="D13" s="12">
        <f>SUM(D7:D12)</f>
        <v/>
      </c>
      <c r="E13" s="13">
        <f>SUM(E7:E12)</f>
        <v/>
      </c>
      <c r="F13" s="13">
        <f>SUM(F7:F12)</f>
        <v/>
      </c>
      <c r="G13" s="13">
        <f>SUM(G7:G12)</f>
        <v/>
      </c>
      <c r="H13" s="13">
        <f>SUM(H7:H12)</f>
        <v/>
      </c>
      <c r="I13" s="13">
        <f>SUM(I7:I12)</f>
        <v/>
      </c>
      <c r="J13" s="13">
        <f>SUM(J7:J12)</f>
        <v/>
      </c>
      <c r="K13" s="13">
        <f>SUM(K7:K12)</f>
        <v/>
      </c>
      <c r="L13" s="13">
        <f>SUM(L7:L12)</f>
        <v/>
      </c>
      <c r="M13" s="13">
        <f>SUM(M7:M12)</f>
        <v/>
      </c>
      <c r="N13" s="13">
        <f>SUM(N7:N12)</f>
        <v/>
      </c>
      <c r="O13" s="13">
        <f>SUM(O7:O12)</f>
        <v/>
      </c>
      <c r="P13" s="13">
        <f>SUM(P7:P12)</f>
        <v/>
      </c>
      <c r="Q13" s="13">
        <f>SUM(Q7:Q12)</f>
        <v/>
      </c>
      <c r="R13" s="13">
        <f>SUM(R7:R12)</f>
        <v/>
      </c>
      <c r="S13" s="13">
        <f>SUM(S7:S12)</f>
        <v/>
      </c>
      <c r="T13" s="13">
        <f>SUM(T7:T12)</f>
        <v/>
      </c>
      <c r="U13" s="13">
        <f>SUM(U7:U12)</f>
        <v/>
      </c>
    </row>
    <row r="15">
      <c r="A15" s="14" t="inlineStr">
        <is>
          <t>TOTAL CALFERQUIM S.A.S</t>
        </is>
      </c>
      <c r="B15" s="15" t="n"/>
      <c r="C15" s="15" t="n"/>
      <c r="D15" s="15" t="n"/>
      <c r="E15" s="16">
        <f>E13</f>
        <v/>
      </c>
      <c r="F15" s="16">
        <f>F13</f>
        <v/>
      </c>
      <c r="G15" s="16">
        <f>G13</f>
        <v/>
      </c>
      <c r="H15" s="16">
        <f>H13</f>
        <v/>
      </c>
      <c r="I15" s="16">
        <f>I13</f>
        <v/>
      </c>
      <c r="J15" s="16">
        <f>J13</f>
        <v/>
      </c>
      <c r="K15" s="16">
        <f>K13</f>
        <v/>
      </c>
      <c r="L15" s="16">
        <f>L13</f>
        <v/>
      </c>
      <c r="M15" s="16">
        <f>M13</f>
        <v/>
      </c>
      <c r="N15" s="16">
        <f>N13</f>
        <v/>
      </c>
      <c r="O15" s="16">
        <f>O13</f>
        <v/>
      </c>
      <c r="P15" s="16">
        <f>P13</f>
        <v/>
      </c>
      <c r="Q15" s="16">
        <f>Q13</f>
        <v/>
      </c>
      <c r="R15" s="16">
        <f>R13</f>
        <v/>
      </c>
      <c r="S15" s="16">
        <f>S13</f>
        <v/>
      </c>
      <c r="T15" s="16">
        <f>T13</f>
        <v/>
      </c>
      <c r="U15" s="16">
        <f>U13</f>
        <v/>
      </c>
    </row>
    <row r="17">
      <c r="A17" s="17" t="inlineStr">
        <is>
          <t>SOLICITUD DE REGISTRO ICA NUCLEO FOSFORO 1 X KILO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