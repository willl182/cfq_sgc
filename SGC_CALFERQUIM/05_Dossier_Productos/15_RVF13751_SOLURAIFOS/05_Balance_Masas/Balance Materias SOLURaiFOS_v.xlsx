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W:\old_files\1.1_proyectos\1.117_soluraifos\SOLURAIFOS OK\"/>
    </mc:Choice>
  </mc:AlternateContent>
  <xr:revisionPtr revIDLastSave="0" documentId="13_ncr:1_{DB2862A2-6265-4E73-A4C4-0810EA31C875}" xr6:coauthVersionLast="47" xr6:coauthVersionMax="47" xr10:uidLastSave="{00000000-0000-0000-0000-000000000000}"/>
  <bookViews>
    <workbookView xWindow="-120" yWindow="-120" windowWidth="19695" windowHeight="11760" xr2:uid="{00000000-000D-0000-FFFF-FFFF00000000}"/>
  </bookViews>
  <sheets>
    <sheet name="SOLURAIFOS_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H7" i="3"/>
  <c r="F7" i="3"/>
  <c r="I31" i="3"/>
  <c r="H31" i="3"/>
  <c r="F31" i="3"/>
  <c r="E31" i="3"/>
  <c r="I23" i="3"/>
  <c r="H23" i="3"/>
  <c r="H25" i="3" s="1"/>
  <c r="F23" i="3"/>
  <c r="E23" i="3"/>
  <c r="I22" i="3"/>
  <c r="H22" i="3"/>
  <c r="F22" i="3"/>
  <c r="E22" i="3"/>
  <c r="G18" i="3"/>
  <c r="G31" i="3" s="1"/>
  <c r="A18" i="3"/>
  <c r="G12" i="3"/>
  <c r="C11" i="3"/>
  <c r="H12" i="3" s="1"/>
  <c r="D10" i="3"/>
  <c r="D8" i="3"/>
  <c r="D7" i="3"/>
  <c r="D11" i="3" l="1"/>
  <c r="H19" i="3"/>
  <c r="H17" i="3"/>
  <c r="I12" i="3"/>
  <c r="F25" i="3"/>
  <c r="I25" i="3"/>
  <c r="E25" i="3"/>
  <c r="E19" i="3" s="1"/>
  <c r="F19" i="3"/>
  <c r="F17" i="3"/>
  <c r="E17" i="3"/>
  <c r="I19" i="3"/>
  <c r="I17" i="3"/>
  <c r="G23" i="3"/>
  <c r="G25" i="3" s="1"/>
  <c r="G22" i="3"/>
  <c r="F12" i="3" l="1"/>
  <c r="E7" i="3"/>
  <c r="E12" i="3" s="1"/>
  <c r="G19" i="3"/>
  <c r="G17" i="3"/>
</calcChain>
</file>

<file path=xl/sharedStrings.xml><?xml version="1.0" encoding="utf-8"?>
<sst xmlns="http://schemas.openxmlformats.org/spreadsheetml/2006/main" count="34" uniqueCount="34">
  <si>
    <t>MATERIA PRIMA</t>
  </si>
  <si>
    <t>Composición</t>
  </si>
  <si>
    <t>Kg/Ton</t>
  </si>
  <si>
    <t>SUMATORIA</t>
  </si>
  <si>
    <t>%/100 Kg</t>
  </si>
  <si>
    <t>Nitrógeno Total (N)</t>
  </si>
  <si>
    <t>Nitrógeno Amoniacal (N)</t>
  </si>
  <si>
    <t>Nitrógeno Nítrico (N)</t>
  </si>
  <si>
    <t>ADITIVOS E INERTES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</si>
  <si>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</si>
  <si>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FOSFATO DE AMONIO (MAP)</t>
  </si>
  <si>
    <t>RESULTADOS ANÁLISIS No. CC-31284</t>
  </si>
  <si>
    <t>BALANCE DE MATERIAS PRIMAS</t>
  </si>
  <si>
    <t>SOLURAIFOS</t>
  </si>
  <si>
    <t>CALFERQUIM S.A.S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</si>
  <si>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</si>
  <si>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r>
      <t>Potasio Soluble (K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O)</t>
    </r>
  </si>
  <si>
    <t>CLORURO POTASIO (KCL)</t>
  </si>
  <si>
    <t>Dextrosa Monohidradatada</t>
  </si>
  <si>
    <t>TOTAL CALFERQUIM S.A.S</t>
  </si>
  <si>
    <t>Tolerancia Mínima NTC 1061:2020</t>
  </si>
  <si>
    <t>Tolerancia Máxima NTC 1061:2020</t>
  </si>
  <si>
    <t>Tolerancia calculada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</si>
  <si>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</si>
  <si>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</si>
  <si>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Tolerancia permitida</t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</si>
  <si>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</si>
  <si>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</si>
  <si>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</si>
  <si>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</si>
  <si>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</si>
  <si>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</si>
  <si>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</si>
  <si>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60% 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</si>
</sst>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Segoe UI"/>
      <family val="2"/>
    </font>
    <font>
      <sz val="9"/>
      <color theme="1"/>
      <name val="Arial"/>
      <family val="2"/>
    </font>
    <font>
      <sz val="9"/>
      <color theme="5" tint="0.79998168889431442"/>
      <name val="Arial"/>
      <family val="2"/>
    </font>
    <font>
      <sz val="9"/>
      <name val="Arial"/>
      <family val="2"/>
    </font>
    <font>
      <b/>
      <sz val="12"/>
      <color theme="1"/>
      <name val="Segoe UI"/>
      <family val="2"/>
    </font>
    <font>
      <sz val="9"/>
      <color theme="1"/>
      <name val="Calibri"/>
      <family val="2"/>
      <scheme val="minor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9"/>
      <color theme="7" tint="0.79998168889431442"/>
      <name val="Arial"/>
      <family val="2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5" fillId="5" borderId="6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10" fontId="9" fillId="3" borderId="2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5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10" fontId="5" fillId="0" borderId="7" xfId="1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165" fontId="5" fillId="5" borderId="18" xfId="0" applyNumberFormat="1" applyFont="1" applyFill="1" applyBorder="1" applyAlignment="1">
      <alignment horizontal="center" vertical="center"/>
    </xf>
    <xf numFmtId="2" fontId="5" fillId="5" borderId="13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left" vertical="center"/>
    </xf>
    <xf numFmtId="10" fontId="11" fillId="2" borderId="2" xfId="0" applyNumberFormat="1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6" fillId="7" borderId="22" xfId="1" applyNumberFormat="1" applyFont="1" applyFill="1" applyBorder="1" applyAlignment="1">
      <alignment horizontal="center" vertical="center"/>
    </xf>
    <xf numFmtId="10" fontId="16" fillId="7" borderId="23" xfId="1" applyNumberFormat="1" applyFont="1" applyFill="1" applyBorder="1" applyAlignment="1">
      <alignment horizontal="center" vertical="center"/>
    </xf>
    <xf numFmtId="10" fontId="17" fillId="7" borderId="23" xfId="1" applyNumberFormat="1" applyFont="1" applyFill="1" applyBorder="1" applyAlignment="1">
      <alignment horizontal="center" vertical="center"/>
    </xf>
    <xf numFmtId="10" fontId="18" fillId="7" borderId="23" xfId="1" applyNumberFormat="1" applyFont="1" applyFill="1" applyBorder="1" applyAlignment="1">
      <alignment horizontal="center" vertical="center"/>
    </xf>
    <xf numFmtId="10" fontId="16" fillId="3" borderId="27" xfId="1" applyNumberFormat="1" applyFont="1" applyFill="1" applyBorder="1" applyAlignment="1">
      <alignment horizontal="center" vertical="center"/>
    </xf>
    <xf numFmtId="10" fontId="16" fillId="3" borderId="1" xfId="1" applyNumberFormat="1" applyFont="1" applyFill="1" applyBorder="1" applyAlignment="1">
      <alignment horizontal="center" vertical="center"/>
    </xf>
    <xf numFmtId="10" fontId="18" fillId="3" borderId="1" xfId="1" applyNumberFormat="1" applyFont="1" applyFill="1" applyBorder="1" applyAlignment="1">
      <alignment horizontal="center" vertical="center"/>
    </xf>
    <xf numFmtId="10" fontId="16" fillId="7" borderId="31" xfId="1" applyNumberFormat="1" applyFont="1" applyFill="1" applyBorder="1" applyAlignment="1">
      <alignment horizontal="center" vertical="center"/>
    </xf>
    <xf numFmtId="10" fontId="16" fillId="7" borderId="32" xfId="1" applyNumberFormat="1" applyFont="1" applyFill="1" applyBorder="1" applyAlignment="1">
      <alignment horizontal="center" vertical="center"/>
    </xf>
    <xf numFmtId="10" fontId="17" fillId="7" borderId="32" xfId="1" applyNumberFormat="1" applyFont="1" applyFill="1" applyBorder="1" applyAlignment="1">
      <alignment horizontal="center" vertical="center"/>
    </xf>
    <xf numFmtId="10" fontId="18" fillId="7" borderId="32" xfId="1" applyNumberFormat="1" applyFont="1" applyFill="1" applyBorder="1" applyAlignment="1">
      <alignment horizontal="center" vertical="center"/>
    </xf>
    <xf numFmtId="0" fontId="20" fillId="0" borderId="0" xfId="0" applyFont="1"/>
    <xf numFmtId="10" fontId="16" fillId="8" borderId="15" xfId="1" applyNumberFormat="1" applyFont="1" applyFill="1" applyBorder="1" applyAlignment="1">
      <alignment horizontal="center" vertical="center"/>
    </xf>
    <xf numFmtId="10" fontId="16" fillId="8" borderId="36" xfId="1" applyNumberFormat="1" applyFont="1" applyFill="1" applyBorder="1" applyAlignment="1">
      <alignment horizontal="center" vertical="center"/>
    </xf>
    <xf numFmtId="2" fontId="16" fillId="8" borderId="12" xfId="0" applyNumberFormat="1" applyFont="1" applyFill="1" applyBorder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8" borderId="38" xfId="0" applyNumberFormat="1" applyFont="1" applyFill="1" applyBorder="1" applyAlignment="1">
      <alignment horizontal="center" vertical="center"/>
    </xf>
    <xf numFmtId="2" fontId="16" fillId="9" borderId="39" xfId="0" applyNumberFormat="1" applyFont="1" applyFill="1" applyBorder="1" applyAlignment="1">
      <alignment vertical="center"/>
    </xf>
    <xf numFmtId="2" fontId="16" fillId="9" borderId="8" xfId="0" applyNumberFormat="1" applyFont="1" applyFill="1" applyBorder="1" applyAlignment="1">
      <alignment vertical="center"/>
    </xf>
    <xf numFmtId="2" fontId="16" fillId="9" borderId="10" xfId="0" applyNumberFormat="1" applyFont="1" applyFill="1" applyBorder="1" applyAlignment="1">
      <alignment vertical="center"/>
    </xf>
    <xf numFmtId="2" fontId="16" fillId="9" borderId="0" xfId="0" applyNumberFormat="1" applyFont="1" applyFill="1" applyAlignment="1">
      <alignment vertical="center"/>
    </xf>
    <xf numFmtId="10" fontId="16" fillId="8" borderId="31" xfId="1" applyNumberFormat="1" applyFont="1" applyFill="1" applyBorder="1" applyAlignment="1">
      <alignment horizontal="center" vertical="center"/>
    </xf>
    <xf numFmtId="10" fontId="16" fillId="8" borderId="32" xfId="1" applyNumberFormat="1" applyFont="1" applyFill="1" applyBorder="1" applyAlignment="1">
      <alignment horizontal="center" vertical="center"/>
    </xf>
    <xf numFmtId="10" fontId="24" fillId="8" borderId="32" xfId="1" applyNumberFormat="1" applyFont="1" applyFill="1" applyBorder="1" applyAlignment="1">
      <alignment horizontal="center" vertical="center"/>
    </xf>
    <xf numFmtId="0" fontId="25" fillId="0" borderId="0" xfId="0" applyFont="1"/>
    <xf numFmtId="2" fontId="13" fillId="8" borderId="44" xfId="0" applyNumberFormat="1" applyFont="1" applyFill="1" applyBorder="1" applyAlignment="1">
      <alignment horizontal="center" vertical="center"/>
    </xf>
    <xf numFmtId="2" fontId="13" fillId="8" borderId="45" xfId="0" applyNumberFormat="1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21" fillId="8" borderId="37" xfId="0" applyFont="1" applyFill="1" applyBorder="1" applyAlignment="1">
      <alignment horizontal="center" vertical="center" wrapText="1"/>
    </xf>
    <xf numFmtId="0" fontId="23" fillId="8" borderId="37" xfId="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21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color theme="7" tint="0.79998168889431442"/>
      </font>
    </dxf>
    <dxf>
      <font>
        <color rgb="FFFFC000"/>
      </font>
    </dxf>
    <dxf>
      <font>
        <color theme="5" tint="0.79998168889431442"/>
      </font>
    </dxf>
    <dxf>
      <font>
        <color rgb="FFFFFF00"/>
      </font>
    </dxf>
    <dxf>
      <font>
        <color rgb="FFFFC000"/>
      </font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02E0-D703-4764-8B89-76B63DC530D0}">
  <dimension ref="A1:P34"/>
  <sheetViews>
    <sheetView tabSelected="1" zoomScale="70" zoomScaleNormal="70" workbookViewId="0">
      <selection activeCell="B8" sqref="B8"/>
    </sheetView>
  </sheetViews>
  <sheetFormatPr defaultColWidth="11.42578125" defaultRowHeight="15" x14ac:dyDescent="0.25"/>
  <cols>
    <col min="1" max="1" width="26.140625" customWidth="1"/>
    <col min="2" max="2" width="28.42578125" bestFit="1" customWidth="1"/>
    <col min="3" max="3" width="7.7109375" customWidth="1"/>
    <col min="4" max="4" width="9.42578125" bestFit="1" customWidth="1"/>
    <col min="5" max="5" width="9.28515625" bestFit="1" customWidth="1"/>
    <col min="6" max="6" width="10.5703125" bestFit="1" customWidth="1"/>
    <col min="7" max="7" width="9.5703125" bestFit="1" customWidth="1"/>
    <col min="8" max="8" width="11" bestFit="1" customWidth="1"/>
    <col min="9" max="9" width="10.140625" customWidth="1"/>
  </cols>
  <sheetData>
    <row r="1" spans="1:16" ht="18" x14ac:dyDescent="0.25">
      <c r="A1" s="72" t="s">
        <v>12</v>
      </c>
      <c r="B1" s="72"/>
      <c r="C1" s="72"/>
      <c r="D1" s="72"/>
      <c r="E1" s="72"/>
      <c r="F1" s="72"/>
      <c r="G1" s="72"/>
      <c r="H1" s="72"/>
      <c r="I1" s="72"/>
    </row>
    <row r="2" spans="1:16" ht="23.25" x14ac:dyDescent="0.35">
      <c r="A2" s="73" t="s">
        <v>13</v>
      </c>
      <c r="B2" s="73"/>
      <c r="C2" s="73"/>
      <c r="D2" s="73"/>
      <c r="E2" s="73"/>
      <c r="F2" s="73"/>
      <c r="G2" s="73"/>
      <c r="H2" s="73"/>
      <c r="I2" s="73"/>
    </row>
    <row r="3" spans="1:16" ht="20.25" x14ac:dyDescent="0.3">
      <c r="A3" s="74" t="s">
        <v>14</v>
      </c>
      <c r="B3" s="74"/>
      <c r="C3" s="74"/>
      <c r="D3" s="74"/>
      <c r="E3" s="74"/>
      <c r="F3" s="74"/>
      <c r="G3" s="74"/>
      <c r="H3" s="74"/>
      <c r="I3" s="74"/>
      <c r="K3" s="1"/>
      <c r="L3" s="1"/>
      <c r="M3" s="1"/>
      <c r="N3" s="1"/>
      <c r="O3" s="1"/>
      <c r="P3" s="1"/>
    </row>
    <row r="4" spans="1:16" x14ac:dyDescent="0.25">
      <c r="A4" s="3"/>
      <c r="B4" s="3"/>
      <c r="C4" s="4"/>
      <c r="D4" s="4"/>
      <c r="E4" s="4"/>
      <c r="F4" s="4"/>
      <c r="G4" s="4"/>
      <c r="H4" s="4"/>
      <c r="I4" s="5"/>
    </row>
    <row r="5" spans="1:16" ht="16.5" thickBo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16" ht="35.25" thickBot="1" x14ac:dyDescent="0.3">
      <c r="A6" s="9" t="s">
        <v>0</v>
      </c>
      <c r="B6" s="13" t="s">
        <v>1</v>
      </c>
      <c r="C6" s="14" t="s">
        <v>2</v>
      </c>
      <c r="D6" s="15" t="s">
        <v>4</v>
      </c>
      <c r="E6" s="10" t="s">
        <v>5</v>
      </c>
      <c r="F6" s="10" t="s">
        <v>6</v>
      </c>
      <c r="G6" s="10" t="s">
        <v>7</v>
      </c>
      <c r="H6" s="10" t="s">
        <v>15</v>
      </c>
      <c r="I6" s="10" t="s">
        <v>16</v>
      </c>
    </row>
    <row r="7" spans="1:16" ht="15.75" thickBot="1" x14ac:dyDescent="0.3">
      <c r="A7" s="16" t="s">
        <v>10</v>
      </c>
      <c r="B7" s="17" t="s">
        <v>9</v>
      </c>
      <c r="C7" s="8">
        <v>822</v>
      </c>
      <c r="D7" s="6">
        <f>C7/10</f>
        <v>82.2</v>
      </c>
      <c r="E7" s="18">
        <f>SUM(F7:G7)</f>
        <v>9.8640000000000005E-2</v>
      </c>
      <c r="F7" s="18">
        <f>12%*$C7/$C$11</f>
        <v>9.8640000000000005E-2</v>
      </c>
      <c r="G7" s="18"/>
      <c r="H7" s="18">
        <f>61%*$C7/$C$11</f>
        <v>0.50141999999999998</v>
      </c>
      <c r="I7" s="18"/>
    </row>
    <row r="8" spans="1:16" ht="15.75" thickBot="1" x14ac:dyDescent="0.3">
      <c r="A8" s="19" t="s">
        <v>17</v>
      </c>
      <c r="B8" s="2" t="s">
        <v>33</v>
      </c>
      <c r="C8" s="8">
        <v>165</v>
      </c>
      <c r="D8" s="6">
        <f>C8/10</f>
        <v>16.5</v>
      </c>
      <c r="E8" s="18"/>
      <c r="F8" s="18"/>
      <c r="G8" s="18"/>
      <c r="H8" s="18"/>
      <c r="I8" s="18">
        <f>6%*$C8/$C$11</f>
        <v>9.9000000000000008E-3</v>
      </c>
    </row>
    <row r="9" spans="1:16" ht="15.75" thickBot="1" x14ac:dyDescent="0.3">
      <c r="A9" s="75" t="s">
        <v>8</v>
      </c>
      <c r="B9" s="76"/>
      <c r="C9" s="20"/>
      <c r="D9" s="12"/>
      <c r="E9" s="18"/>
      <c r="F9" s="18"/>
      <c r="G9" s="18"/>
      <c r="H9" s="18"/>
      <c r="I9" s="18"/>
    </row>
    <row r="10" spans="1:16" ht="15.75" thickBot="1" x14ac:dyDescent="0.3">
      <c r="A10" s="21" t="s">
        <v>18</v>
      </c>
      <c r="B10" s="22"/>
      <c r="C10" s="23">
        <v>13</v>
      </c>
      <c r="D10" s="24">
        <f>C10/10</f>
        <v>1.3</v>
      </c>
      <c r="E10" s="18"/>
      <c r="F10" s="18"/>
      <c r="G10" s="18"/>
      <c r="H10" s="18"/>
      <c r="I10" s="18"/>
    </row>
    <row r="11" spans="1:16" ht="15.75" thickBot="1" x14ac:dyDescent="0.3">
      <c r="A11" s="77" t="s">
        <v>3</v>
      </c>
      <c r="B11" s="78"/>
      <c r="C11" s="25">
        <f>SUM(C7:C10)</f>
        <v>1000</v>
      </c>
      <c r="D11" s="26">
        <f>SUM(D7:D10)</f>
        <v>100</v>
      </c>
      <c r="E11" s="18"/>
      <c r="F11" s="18"/>
      <c r="G11" s="18"/>
      <c r="H11" s="18"/>
      <c r="I11" s="18"/>
    </row>
    <row r="12" spans="1:16" ht="17.25" thickBot="1" x14ac:dyDescent="0.3">
      <c r="A12" s="79" t="s">
        <v>19</v>
      </c>
      <c r="B12" s="80"/>
      <c r="C12" s="80"/>
      <c r="D12" s="81"/>
      <c r="E12" s="7">
        <f t="shared" ref="E12:I12" si="0">SUM(E7:E11)</f>
        <v>9.8640000000000005E-2</v>
      </c>
      <c r="F12" s="7">
        <f t="shared" si="0"/>
        <v>9.8640000000000005E-2</v>
      </c>
      <c r="G12" s="7">
        <f t="shared" si="0"/>
        <v>0</v>
      </c>
      <c r="H12" s="7">
        <f t="shared" si="0"/>
        <v>0.50141999999999998</v>
      </c>
      <c r="I12" s="7">
        <f t="shared" si="0"/>
        <v>9.9000000000000008E-3</v>
      </c>
    </row>
    <row r="13" spans="1:16" ht="15.75" thickBot="1" x14ac:dyDescent="0.3">
      <c r="A13" s="11"/>
      <c r="B13" s="3"/>
      <c r="C13" s="4"/>
      <c r="D13" s="4"/>
      <c r="E13" s="4"/>
      <c r="F13" s="4"/>
      <c r="G13" s="4"/>
      <c r="H13" s="4"/>
      <c r="I13" s="5"/>
    </row>
    <row r="14" spans="1:16" ht="21" thickBot="1" x14ac:dyDescent="0.3">
      <c r="A14" s="82" t="s">
        <v>11</v>
      </c>
      <c r="B14" s="83"/>
      <c r="C14" s="83"/>
      <c r="D14" s="84"/>
      <c r="E14" s="27">
        <v>9.8299999999999998E-2</v>
      </c>
      <c r="F14" s="27">
        <v>9.8299999999999998E-2</v>
      </c>
      <c r="G14" s="27">
        <v>0</v>
      </c>
      <c r="H14" s="27">
        <v>0.49509999999999998</v>
      </c>
      <c r="I14" s="28">
        <v>0.10630000000000001</v>
      </c>
    </row>
    <row r="16" spans="1:16" ht="17.25" thickBot="1" x14ac:dyDescent="0.3">
      <c r="A16" s="29"/>
      <c r="B16" s="29"/>
      <c r="C16" s="29"/>
      <c r="D16" s="29"/>
      <c r="E16" s="30"/>
      <c r="F16" s="30"/>
      <c r="G16" s="30"/>
      <c r="H16" s="30"/>
      <c r="I16" s="30"/>
    </row>
    <row r="17" spans="1:9" ht="16.5" x14ac:dyDescent="0.25">
      <c r="A17" s="85" t="s">
        <v>20</v>
      </c>
      <c r="B17" s="86"/>
      <c r="C17" s="86"/>
      <c r="D17" s="87"/>
      <c r="E17" s="31">
        <f t="shared" ref="E17:I17" si="1">IF(E25&lt;0.01%,ROUND(E18,5)-ROUND(E25,5),ROUND(E18,4)-ROUND(E25,4))</f>
        <v>8.9800000000000005E-2</v>
      </c>
      <c r="F17" s="32">
        <f t="shared" si="1"/>
        <v>8.9800000000000005E-2</v>
      </c>
      <c r="G17" s="33">
        <f t="shared" si="1"/>
        <v>-8.0999999999999996E-3</v>
      </c>
      <c r="H17" s="32">
        <f t="shared" si="1"/>
        <v>0.4854</v>
      </c>
      <c r="I17" s="34">
        <f t="shared" si="1"/>
        <v>8.9100000000000013E-2</v>
      </c>
    </row>
    <row r="18" spans="1:9" ht="17.25" x14ac:dyDescent="0.25">
      <c r="A18" s="88" t="str">
        <f>_xlfn.CONCAT("SOLICITUD DE REGISTRO ICA: ",A2)</f>
        <v>SOLICITUD DE REGISTRO ICA: SOLURAIFOS</v>
      </c>
      <c r="B18" s="89"/>
      <c r="C18" s="89"/>
      <c r="D18" s="90"/>
      <c r="E18" s="35">
        <v>0.1</v>
      </c>
      <c r="F18" s="36">
        <v>0.1</v>
      </c>
      <c r="G18" s="37">
        <f>G14</f>
        <v>0</v>
      </c>
      <c r="H18" s="36">
        <v>0.5</v>
      </c>
      <c r="I18" s="37">
        <v>0.1</v>
      </c>
    </row>
    <row r="19" spans="1:9" ht="17.25" thickBot="1" x14ac:dyDescent="0.3">
      <c r="A19" s="91" t="s">
        <v>21</v>
      </c>
      <c r="B19" s="92"/>
      <c r="C19" s="92"/>
      <c r="D19" s="93"/>
      <c r="E19" s="38">
        <f t="shared" ref="E19:I19" si="2">IF(E25&lt;0.01%,ROUND(E18,5)+ROUND(E25,5),ROUND(E18,4)+ROUND(E25,4))</f>
        <v>0.11020000000000001</v>
      </c>
      <c r="F19" s="39">
        <f t="shared" si="2"/>
        <v>0.11020000000000001</v>
      </c>
      <c r="G19" s="40">
        <f t="shared" si="2"/>
        <v>8.0999999999999996E-3</v>
      </c>
      <c r="H19" s="39">
        <f t="shared" si="2"/>
        <v>0.51459999999999995</v>
      </c>
      <c r="I19" s="41">
        <f t="shared" si="2"/>
        <v>0.1109</v>
      </c>
    </row>
    <row r="20" spans="1:9" x14ac:dyDescent="0.25">
      <c r="E20" s="42"/>
      <c r="F20" s="42"/>
      <c r="G20" s="42"/>
      <c r="H20" s="42"/>
      <c r="I20" s="42"/>
    </row>
    <row r="21" spans="1:9" ht="15.75" thickBot="1" x14ac:dyDescent="0.3">
      <c r="E21" s="42"/>
      <c r="F21" s="42"/>
      <c r="G21" s="42"/>
      <c r="H21" s="42"/>
      <c r="I21" s="42"/>
    </row>
    <row r="22" spans="1:9" ht="16.5" x14ac:dyDescent="0.25">
      <c r="A22" s="68" t="s">
        <v>22</v>
      </c>
      <c r="B22" s="69"/>
      <c r="C22" s="69"/>
      <c r="D22" s="71"/>
      <c r="E22" s="43">
        <f>IF(E$18=0,"",(-0.0005*10000*E$18*E$18+0.0413*100*E$18+0.6533)/100)</f>
        <v>1.0163000000000002E-2</v>
      </c>
      <c r="F22" s="44">
        <f>IF(F$18=0,"",(-0.0005*10000*F$18*F$18+0.0413*100*F$18+0.6533)/100)</f>
        <v>1.0163000000000002E-2</v>
      </c>
      <c r="G22" s="44" t="str">
        <f>IF(G$18=0,"",(-0.0005*10000*G$18*G$18+0.0413*100*G$18+0.6533)/100)</f>
        <v/>
      </c>
      <c r="H22" s="44">
        <f>IF(H$18=0,"",(-0.0005*10000*H$18*H$18+0.0413*100*H$18+0.6533)/100)</f>
        <v>1.4683000000000003E-2</v>
      </c>
      <c r="I22" s="44">
        <f>IF(I$18=0,"",((-0.0007*10000*I$18*I$18+0.0769*100*I$18+0.3941)/100))</f>
        <v>1.0931000000000001E-2</v>
      </c>
    </row>
    <row r="23" spans="1:9" ht="16.5" x14ac:dyDescent="0.25">
      <c r="A23" s="61" t="s">
        <v>23</v>
      </c>
      <c r="B23" s="59"/>
      <c r="C23" s="59"/>
      <c r="D23" s="60"/>
      <c r="E23" s="45" t="str">
        <f>IF(E18=0,"",IF(OR(E18&lt;0.04,E18&gt;0.32),"SI","NO"))</f>
        <v>NO</v>
      </c>
      <c r="F23" s="46" t="str">
        <f>IF(F18=0,"",IF(OR(F18&lt;0.04,F18&gt;0.32),"SI","NO"))</f>
        <v>NO</v>
      </c>
      <c r="G23" s="46" t="str">
        <f>IF(G18=0,"",IF(OR(G18&lt;0.04,G18&gt;0.32),"SI","NO"))</f>
        <v/>
      </c>
      <c r="H23" s="47" t="str">
        <f>IF(H18=0,"",IF(OR(H18&lt;0.04,H18&gt;0.32),"SI","NO"))</f>
        <v>SI</v>
      </c>
      <c r="I23" s="47" t="str">
        <f>IF(OR(I18&lt;0.04,I18&gt;0.32),"SI","NO")</f>
        <v>NO</v>
      </c>
    </row>
    <row r="24" spans="1:9" ht="16.5" x14ac:dyDescent="0.25">
      <c r="A24" s="62" t="s">
        <v>24</v>
      </c>
      <c r="B24" s="63"/>
      <c r="C24" s="63"/>
      <c r="D24" s="64"/>
      <c r="E24" s="50"/>
      <c r="F24" s="51"/>
      <c r="G24" s="51"/>
      <c r="H24" s="51"/>
      <c r="I24" s="51"/>
    </row>
    <row r="25" spans="1:9" ht="17.25" thickBot="1" x14ac:dyDescent="0.3">
      <c r="A25" s="65" t="s">
        <v>25</v>
      </c>
      <c r="B25" s="66"/>
      <c r="C25" s="66"/>
      <c r="D25" s="67"/>
      <c r="E25" s="52">
        <f>IF(E23="NO",E22,IF(E18&lt;0.04,0.0081,0.0146))</f>
        <v>1.0163000000000002E-2</v>
      </c>
      <c r="F25" s="53">
        <f>IF(F23="NO",F22,IF(F18&lt;0.04,0.0081,0.0146))</f>
        <v>1.0163000000000002E-2</v>
      </c>
      <c r="G25" s="54">
        <f>IF(G23="NO",G22,IF(G18&lt;0.04,0.0081,0.0146))</f>
        <v>8.0999999999999996E-3</v>
      </c>
      <c r="H25" s="53">
        <f>IF(H23="NO",H22,IF(H18&lt;0.04,0.0081,0.0146))</f>
        <v>1.46E-2</v>
      </c>
      <c r="I25" s="53">
        <f>IF(I23="NO",I22,IF(I18&lt;0.04,0.0081,0.0146))</f>
        <v>1.0931000000000001E-2</v>
      </c>
    </row>
    <row r="26" spans="1:9" x14ac:dyDescent="0.25">
      <c r="A26" s="55" t="s">
        <v>26</v>
      </c>
      <c r="E26" s="42"/>
      <c r="F26" s="42"/>
      <c r="G26" s="42"/>
      <c r="H26" s="42"/>
      <c r="I26" s="42"/>
    </row>
    <row r="27" spans="1:9" x14ac:dyDescent="0.25">
      <c r="A27" s="55" t="s">
        <v>27</v>
      </c>
      <c r="E27" s="42"/>
      <c r="F27" s="42"/>
      <c r="G27" s="42"/>
      <c r="H27" s="42"/>
      <c r="I27" s="42"/>
    </row>
    <row r="28" spans="1:9" x14ac:dyDescent="0.25">
      <c r="E28" s="42"/>
      <c r="F28" s="42"/>
      <c r="G28" s="42"/>
      <c r="H28" s="42"/>
      <c r="I28" s="42"/>
    </row>
    <row r="29" spans="1:9" ht="15.75" thickBot="1" x14ac:dyDescent="0.3">
      <c r="E29" s="42"/>
      <c r="F29" s="42"/>
      <c r="G29" s="42"/>
      <c r="H29" s="42"/>
      <c r="I29" s="42"/>
    </row>
    <row r="30" spans="1:9" ht="16.5" x14ac:dyDescent="0.25">
      <c r="A30" s="68" t="s">
        <v>28</v>
      </c>
      <c r="B30" s="69"/>
      <c r="C30" s="69"/>
      <c r="D30" s="70"/>
      <c r="E30" s="42"/>
      <c r="F30" s="42"/>
      <c r="G30" s="42"/>
      <c r="H30" s="42"/>
      <c r="I30" s="42"/>
    </row>
    <row r="31" spans="1:9" ht="16.5" x14ac:dyDescent="0.25">
      <c r="A31" s="61" t="s">
        <v>29</v>
      </c>
      <c r="B31" s="59"/>
      <c r="C31" s="59"/>
      <c r="D31" s="60"/>
      <c r="E31" s="56" t="str">
        <f>IF(E18&gt;=3%,"SI","NO")</f>
        <v>SI</v>
      </c>
      <c r="F31" s="57" t="str">
        <f>IF(F18&gt;=3%,"SI","NO")</f>
        <v>SI</v>
      </c>
      <c r="G31" s="57" t="str">
        <f>IF(G18&gt;=3%,"SI","NO")</f>
        <v>NO</v>
      </c>
      <c r="H31" s="57" t="str">
        <f>IF(H18&gt;=3%,"SI","NO")</f>
        <v>SI</v>
      </c>
      <c r="I31" s="57" t="str">
        <f>IF(I18&gt;=3%,"SI","NO")</f>
        <v>SI</v>
      </c>
    </row>
    <row r="32" spans="1:9" ht="16.5" x14ac:dyDescent="0.25">
      <c r="A32" s="61" t="s">
        <v>30</v>
      </c>
      <c r="B32" s="59"/>
      <c r="C32" s="59"/>
      <c r="D32" s="60"/>
      <c r="E32" s="48"/>
      <c r="F32" s="49"/>
      <c r="G32" s="49"/>
      <c r="H32" s="49"/>
      <c r="I32" s="49"/>
    </row>
    <row r="33" spans="1:9" ht="16.5" x14ac:dyDescent="0.25">
      <c r="A33" s="58" t="s">
        <v>31</v>
      </c>
      <c r="B33" s="59"/>
      <c r="C33" s="59"/>
      <c r="D33" s="60"/>
      <c r="E33" s="48"/>
      <c r="F33" s="49"/>
      <c r="G33" s="49"/>
      <c r="H33" s="49"/>
      <c r="I33" s="49"/>
    </row>
    <row r="34" spans="1:9" ht="16.5" x14ac:dyDescent="0.25">
      <c r="A34" s="58" t="s">
        <v>32</v>
      </c>
      <c r="B34" s="59"/>
      <c r="C34" s="59"/>
      <c r="D34" s="60"/>
      <c r="E34" s="48"/>
      <c r="F34" s="49"/>
      <c r="G34" s="49"/>
      <c r="H34" s="49"/>
      <c r="I34" s="49"/>
    </row>
  </sheetData>
  <mergeCells count="19">
    <mergeCell ref="A22:D22"/>
    <mergeCell ref="A1:I1"/>
    <mergeCell ref="A2:I2"/>
    <mergeCell ref="A3:I3"/>
    <mergeCell ref="A9:B9"/>
    <mergeCell ref="A11:B11"/>
    <mergeCell ref="A12:D12"/>
    <mergeCell ref="A14:D14"/>
    <mergeCell ref="A17:D17"/>
    <mergeCell ref="A18:D18"/>
    <mergeCell ref="A19:D19"/>
    <mergeCell ref="A33:D33"/>
    <mergeCell ref="A34:D34"/>
    <mergeCell ref="A23:D23"/>
    <mergeCell ref="A24:D24"/>
    <mergeCell ref="A25:D25"/>
    <mergeCell ref="A30:D30"/>
    <mergeCell ref="A31:D31"/>
    <mergeCell ref="A32:D32"/>
  </mergeCells>
  <conditionalFormatting sqref="E7:I11">
    <cfRule type="containsBlanks" dxfId="6" priority="7">
      <formula>LEN(TRIM(E7))=0</formula>
    </cfRule>
  </conditionalFormatting>
  <conditionalFormatting sqref="E7:I12">
    <cfRule type="notContainsBlanks" dxfId="5" priority="3">
      <formula>LEN(TRIM(E7))&gt;0</formula>
    </cfRule>
  </conditionalFormatting>
  <conditionalFormatting sqref="E12:I12">
    <cfRule type="cellIs" dxfId="4" priority="2" operator="equal">
      <formula>0</formula>
    </cfRule>
  </conditionalFormatting>
  <conditionalFormatting sqref="E14:I14">
    <cfRule type="cellIs" dxfId="3" priority="1" operator="equal">
      <formula>0</formula>
    </cfRule>
  </conditionalFormatting>
  <conditionalFormatting sqref="E17:I17 E19:I19">
    <cfRule type="cellIs" dxfId="2" priority="5" operator="equal">
      <formula>0</formula>
    </cfRule>
  </conditionalFormatting>
  <conditionalFormatting sqref="E18:I18">
    <cfRule type="cellIs" dxfId="1" priority="6" operator="equal">
      <formula>0</formula>
    </cfRule>
  </conditionalFormatting>
  <conditionalFormatting sqref="E22:I25"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SOLURAIFOS_x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2024-01-29T21:06:19Z</cp:lastPrinted>
  <dcterms:created xsi:type="dcterms:W3CDTF">2021-10-20T23:05:00Z</dcterms:created>
  <dcterms:modified xsi:type="dcterms:W3CDTF">2024-07-12T22:43:59Z</dcterms:modified>
</cp:coreProperties>
</file>