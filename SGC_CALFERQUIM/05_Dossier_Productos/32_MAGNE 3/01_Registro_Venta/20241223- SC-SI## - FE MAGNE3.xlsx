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E8BD5C5-655D-4CDD-8640-5247204B5CB3}" xr6:coauthVersionLast="47" xr6:coauthVersionMax="47" xr10:uidLastSave="{00000000-0000-0000-0000-000000000000}"/>
  <bookViews>
    <workbookView xWindow="-120" yWindow="-120" windowWidth="29040" windowHeight="1644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H20" i="1"/>
  <c r="H38" i="1" s="1"/>
  <c r="H19" i="1"/>
  <c r="H18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J35" i="1"/>
  <c r="I35" i="1"/>
  <c r="Y40" i="1"/>
  <c r="P39" i="1"/>
  <c r="Y38" i="1"/>
  <c r="N37" i="1"/>
  <c r="N36" i="1"/>
  <c r="X35" i="1"/>
  <c r="H37" i="1" l="1"/>
  <c r="M10" i="1"/>
  <c r="N10" i="1"/>
  <c r="P35" i="1"/>
  <c r="Z10" i="1"/>
  <c r="L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<sst xmlns="http://schemas.openxmlformats.org/spreadsheetml/2006/main" count="105" uniqueCount="52">
  <si>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</si>
  <si>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</si>
  <si>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</si>
  <si>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</si>
  <si>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</si>
  <si>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</si>
  <si>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</si>
  <si>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</si>
  <si>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</si>
  <si>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</si>
  <si>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</si>
  <si>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</si>
  <si>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</si>
  <si>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</si>
  <si>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</si>
  <si>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</si>
  <si>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</si>
  <si>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</si>
  <si>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</si>
  <si>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</si>
  <si>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</si>
  <si>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</si>
  <si>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</si>
  <si>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</si>
  <si>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</si>
  <si>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</si>
  <si>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</si>
  <si>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</si>
  <si>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</si>
  <si>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</si>
  <si>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</si>
  <si>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</si>
  <si>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</si>
  <si>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</si>
  <si>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</si>
  <si>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</si>
  <si>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KCL</t>
  </si>
  <si>
    <t>DISAN</t>
  </si>
  <si>
    <t>FE MAGNE3</t>
  </si>
  <si>
    <t>154-231224</t>
  </si>
  <si>
    <t>OXIDO MAGNESIO</t>
  </si>
  <si>
    <t>KIESERITA</t>
  </si>
  <si>
    <t>CARBONATO CALCIO</t>
  </si>
  <si>
    <t>CAOLIN GRIS</t>
  </si>
  <si>
    <t>SLFATO CALCIO</t>
  </si>
  <si>
    <t>SILICATO MAGNESIO</t>
  </si>
  <si>
    <t>ATEQUIMICOS</t>
  </si>
  <si>
    <t>MANUCHAR</t>
  </si>
  <si>
    <t>HELVECIA</t>
  </si>
  <si>
    <t>HENRY CORONADO</t>
  </si>
  <si>
    <t>ANIBAL ARANGO</t>
  </si>
  <si>
    <t>JULIAN SALDARRIAGA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</si>
</sst>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F23" sqref="F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38</v>
      </c>
      <c r="H7" s="81"/>
      <c r="I7" s="81"/>
      <c r="J7" s="81"/>
      <c r="K7" s="81"/>
      <c r="L7" s="81"/>
      <c r="M7" s="81"/>
      <c r="N7" s="65" t="s">
        <v>39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5.5000000000000007E-2</v>
      </c>
      <c r="I10" s="32">
        <f t="shared" si="0"/>
        <v>8.9999999999999993E-3</v>
      </c>
      <c r="J10" s="32">
        <f t="shared" si="0"/>
        <v>0</v>
      </c>
      <c r="K10" s="32">
        <f t="shared" si="0"/>
        <v>0</v>
      </c>
      <c r="L10" s="32">
        <f t="shared" si="0"/>
        <v>4.6000000000000006E-2</v>
      </c>
      <c r="M10" s="32">
        <f t="shared" si="0"/>
        <v>2.3000000000000003E-2</v>
      </c>
      <c r="N10" s="32">
        <f t="shared" si="0"/>
        <v>0.03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46</v>
      </c>
      <c r="D17" s="44" t="s">
        <v>9</v>
      </c>
      <c r="E17" s="46">
        <v>100</v>
      </c>
      <c r="F17" s="27">
        <f>E17/10</f>
        <v>10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47</v>
      </c>
      <c r="D18" s="44" t="s">
        <v>9</v>
      </c>
      <c r="E18" s="46">
        <v>200</v>
      </c>
      <c r="F18" s="27">
        <f t="shared" ref="F18:F31" si="1">E18/10</f>
        <v>20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48</v>
      </c>
      <c r="D19" s="44" t="s">
        <v>9</v>
      </c>
      <c r="E19" s="46">
        <v>50</v>
      </c>
      <c r="F19" s="27">
        <f t="shared" si="1"/>
        <v>5</v>
      </c>
      <c r="G19" s="56"/>
      <c r="H19" s="64">
        <f>IF(SUM(I19:L19)=0,"",SUM(I19:L19))</f>
        <v>0.18</v>
      </c>
      <c r="I19" s="63">
        <v>0.18</v>
      </c>
      <c r="J19" s="57"/>
      <c r="K19" s="57"/>
      <c r="L19" s="57"/>
      <c r="M19" s="63">
        <v>0.46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43</v>
      </c>
      <c r="C20" s="44" t="s">
        <v>49</v>
      </c>
      <c r="D20" s="44" t="s">
        <v>9</v>
      </c>
      <c r="E20" s="46">
        <v>50</v>
      </c>
      <c r="F20" s="27">
        <f t="shared" si="1"/>
        <v>5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>
        <v>0.6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44</v>
      </c>
      <c r="C21" s="44" t="s">
        <v>50</v>
      </c>
      <c r="D21" s="44" t="s">
        <v>9</v>
      </c>
      <c r="E21" s="46">
        <v>150</v>
      </c>
      <c r="F21" s="27">
        <f t="shared" si="1"/>
        <v>15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36</v>
      </c>
      <c r="C22" s="44" t="s">
        <v>37</v>
      </c>
      <c r="D22" s="44" t="s">
        <v>9</v>
      </c>
      <c r="E22" s="46">
        <v>50</v>
      </c>
      <c r="F22" s="27">
        <f t="shared" si="1"/>
        <v>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45</v>
      </c>
      <c r="C23" s="44" t="s">
        <v>51</v>
      </c>
      <c r="D23" s="44" t="s">
        <v>9</v>
      </c>
      <c r="E23" s="46">
        <v>400</v>
      </c>
      <c r="F23" s="27">
        <f t="shared" si="1"/>
        <v>40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OXIDO MAGNESIO</v>
      </c>
      <c r="C35" s="44" t="str">
        <f>C17</f>
        <v>ATEQUIMICOS</v>
      </c>
      <c r="D35" s="44" t="str">
        <f>D17</f>
        <v>P</v>
      </c>
      <c r="E35" s="46">
        <f>E17</f>
        <v>100</v>
      </c>
      <c r="F35" s="62">
        <f t="shared" ref="F35:F40" si="2">E35/10</f>
        <v>10</v>
      </c>
      <c r="G35" s="41" t="str">
        <f t="shared" ref="G35:G49" si="3">IF(G17="","",G17*$F17/$F$32)</f>
        <v/>
      </c>
      <c r="H35" s="42">
        <f t="shared" ref="H35:H49" si="4">IF(H17="","",SUM(I35:L35))</f>
        <v>4.6000000000000006E-2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4.6000000000000006E-2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200</v>
      </c>
      <c r="F36" s="46">
        <f t="shared" si="2"/>
        <v>20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CARBONATO CALCIO</v>
      </c>
      <c r="C37" s="44" t="str">
        <f t="shared" si="7"/>
        <v>HELVECIA</v>
      </c>
      <c r="D37" s="44" t="str">
        <f t="shared" si="7"/>
        <v>P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>
        <f t="shared" si="4"/>
        <v>8.9999999999999993E-3</v>
      </c>
      <c r="I37" s="3">
        <f t="shared" ref="I37:Z37" si="9">IF(I19="","",I19*$F19/$F$32)</f>
        <v>8.9999999999999993E-3</v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>
        <f t="shared" si="9"/>
        <v>2.3000000000000003E-2</v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CAOLIN GRIS</v>
      </c>
      <c r="C38" s="44" t="str">
        <f t="shared" si="7"/>
        <v>HENRY CORONADO</v>
      </c>
      <c r="D38" s="44" t="str">
        <f t="shared" si="7"/>
        <v>P</v>
      </c>
      <c r="E38" s="46">
        <f t="shared" si="6"/>
        <v>50</v>
      </c>
      <c r="F38" s="46">
        <f t="shared" si="2"/>
        <v>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>
        <f t="shared" si="10"/>
        <v>0.03</v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SLFATO CALCIO</v>
      </c>
      <c r="C39" s="44" t="str">
        <f t="shared" si="7"/>
        <v>ANIBAL ARANGO</v>
      </c>
      <c r="D39" s="44" t="str">
        <f t="shared" si="7"/>
        <v>P</v>
      </c>
      <c r="E39" s="46">
        <f t="shared" si="6"/>
        <v>150</v>
      </c>
      <c r="F39" s="46">
        <f t="shared" si="2"/>
        <v>15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KCL</v>
      </c>
      <c r="C40" s="44" t="str">
        <f t="shared" si="7"/>
        <v>DISAN</v>
      </c>
      <c r="D40" s="44" t="str">
        <f t="shared" si="7"/>
        <v>P</v>
      </c>
      <c r="E40" s="46">
        <f t="shared" si="6"/>
        <v>50</v>
      </c>
      <c r="F40" s="46">
        <f t="shared" si="2"/>
        <v>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SILICATO MAGNESIO</v>
      </c>
      <c r="C41" s="44" t="str">
        <f t="shared" si="7"/>
        <v>JULIAN SALDARRIAGA</v>
      </c>
      <c r="D41" s="44" t="str">
        <f t="shared" si="7"/>
        <v>P</v>
      </c>
      <c r="E41" s="46">
        <f t="shared" si="6"/>
        <v>400</v>
      </c>
      <c r="F41" s="46">
        <f t="shared" ref="F41:F49" si="13">E41/10</f>
        <v>40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2024-12-23T13:05:31Z</dcterms:modified>
</cp:coreProperties>
</file>