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2K SN X KI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1"/>
    </font>
    <font>
      <b val="1"/>
      <sz val="10"/>
    </font>
    <font>
      <b val="1"/>
      <color rgb="00FFFFFF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B4C6E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5" fillId="3" borderId="1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  <xf numFmtId="0" fontId="6" fillId="4" borderId="1" pivotButton="0" quotePrefix="0" xfId="0"/>
    <xf numFmtId="0" fontId="0" fillId="4" borderId="1" pivotButton="0" quotePrefix="0" xfId="0"/>
    <xf numFmtId="164" fontId="6" fillId="4" borderId="1" pivotButton="0" quotePrefix="0" xfId="0"/>
    <xf numFmtId="165" fontId="6" fillId="4" borderId="1" pivotButton="0" quotePrefix="0" xfId="0"/>
    <xf numFmtId="0" fontId="3" fillId="5" borderId="1" pivotButton="0" quotePrefix="0" xfId="0"/>
    <xf numFmtId="0" fontId="0" fillId="5" borderId="1" pivotButton="0" quotePrefix="0" xfId="0"/>
    <xf numFmtId="165" fontId="0" fillId="5" borderId="1" pivotButton="0" quotePrefix="0" xfId="0"/>
    <xf numFmtId="0" fontId="6" fillId="6" borderId="1" pivotButton="0" quotePrefix="0" xfId="0"/>
    <xf numFmtId="0" fontId="0" fillId="6" borderId="1" pivotButton="0" quotePrefix="0" xfId="0"/>
    <xf numFmtId="165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BALANCE DE MATERIAS PRIMAS</t>
        </is>
      </c>
    </row>
    <row r="2">
      <c r="A2" s="2" t="inlineStr">
        <is>
          <t>K2K SN X KILO</t>
        </is>
      </c>
    </row>
    <row r="3">
      <c r="A3" s="3" t="inlineStr">
        <is>
          <t>CALFERQUIM S.A.S</t>
        </is>
      </c>
    </row>
    <row r="5">
      <c r="E5" s="4" t="inlineStr">
        <is>
          <t>ELEMENTOS</t>
        </is>
      </c>
    </row>
    <row r="6">
      <c r="A6" s="5" t="inlineStr">
        <is>
          <t>MATERIA PRIMA</t>
        </is>
      </c>
      <c r="B6" s="5" t="inlineStr">
        <is>
          <t>Composición</t>
        </is>
      </c>
      <c r="C6" s="5" t="inlineStr">
        <is>
          <t>Kg/Ton</t>
        </is>
      </c>
      <c r="D6" s="5" t="inlineStr">
        <is>
          <t>%/100 Kg</t>
        </is>
      </c>
      <c r="E6" s="5" t="inlineStr">
        <is>
          <t>Nitrógeno Total (N)</t>
        </is>
      </c>
      <c r="F6" s="5" t="inlineStr">
        <is>
          <t>Nitrógeno Amoniacal (N)</t>
        </is>
      </c>
      <c r="G6" s="5" t="inlineStr">
        <is>
          <t>Nitrógeno Nítrico (N)</t>
        </is>
      </c>
      <c r="H6" s="5" t="inlineStr">
        <is>
          <t>Nitrógeno Ureico (N)</t>
        </is>
      </c>
      <c r="I6" s="5" t="inlineStr">
        <is>
          <t>Fósforo Asimilable (P₂O₅)</t>
        </is>
      </c>
      <c r="J6" s="5" t="inlineStr">
        <is>
          <t>Potasio Soluble (K₂O)</t>
        </is>
      </c>
      <c r="K6" s="5" t="inlineStr">
        <is>
          <t>CaO</t>
        </is>
      </c>
      <c r="L6" s="5" t="inlineStr">
        <is>
          <t>MgO</t>
        </is>
      </c>
      <c r="M6" s="5" t="inlineStr">
        <is>
          <t>Azufre (S)</t>
        </is>
      </c>
      <c r="N6" s="5" t="inlineStr">
        <is>
          <t>Boro (B)</t>
        </is>
      </c>
      <c r="O6" s="5" t="inlineStr">
        <is>
          <t>Cobalto (Co)</t>
        </is>
      </c>
      <c r="P6" s="5" t="inlineStr">
        <is>
          <t>Cobre (Cu)</t>
        </is>
      </c>
      <c r="Q6" s="5" t="inlineStr">
        <is>
          <t>Hierro (Fe)</t>
        </is>
      </c>
      <c r="R6" s="5" t="inlineStr">
        <is>
          <t>Manganeso (Mn)</t>
        </is>
      </c>
      <c r="S6" s="5" t="inlineStr">
        <is>
          <t>Molibdeno (Mo)</t>
        </is>
      </c>
      <c r="T6" s="5" t="inlineStr">
        <is>
          <t>SiO₂</t>
        </is>
      </c>
      <c r="U6" s="5" t="inlineStr">
        <is>
          <t>Zinc (Zn)</t>
        </is>
      </c>
    </row>
    <row r="7">
      <c r="A7" s="6" t="inlineStr">
        <is>
          <t>KIESERITA EN POLVO X KILO</t>
        </is>
      </c>
      <c r="B7" s="6" t="inlineStr">
        <is>
          <t>25% MgO + 20% S</t>
        </is>
      </c>
      <c r="C7" s="7" t="n">
        <v>50</v>
      </c>
      <c r="D7" s="8" t="n">
        <v>5</v>
      </c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9" t="n">
        <v>0.0125</v>
      </c>
      <c r="M7" s="9" t="n">
        <v>0.01</v>
      </c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</row>
    <row r="8">
      <c r="A8" s="6" t="inlineStr">
        <is>
          <t>SULFATO DE CALCIO X KILO</t>
        </is>
      </c>
      <c r="B8" s="6" t="inlineStr">
        <is>
          <t>22% CaO + 13% S</t>
        </is>
      </c>
      <c r="C8" s="7" t="n">
        <v>50</v>
      </c>
      <c r="D8" s="8" t="n">
        <v>5</v>
      </c>
      <c r="E8" s="6" t="inlineStr"/>
      <c r="F8" s="6" t="inlineStr"/>
      <c r="G8" s="6" t="inlineStr"/>
      <c r="H8" s="6" t="inlineStr"/>
      <c r="I8" s="6" t="inlineStr"/>
      <c r="J8" s="6" t="inlineStr"/>
      <c r="K8" s="9" t="n">
        <v>0.011</v>
      </c>
      <c r="L8" s="6" t="inlineStr"/>
      <c r="M8" s="9" t="n">
        <v>0.006500000000000001</v>
      </c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</row>
    <row r="9">
      <c r="A9" s="6" t="inlineStr">
        <is>
          <t>SULFATO DE POTASIO SOLUBLE X KILO</t>
        </is>
      </c>
      <c r="B9" s="6" t="inlineStr">
        <is>
          <t>52% K₂O + 18% S</t>
        </is>
      </c>
      <c r="C9" s="7" t="n">
        <v>120</v>
      </c>
      <c r="D9" s="8" t="n">
        <v>12</v>
      </c>
      <c r="E9" s="6" t="inlineStr"/>
      <c r="F9" s="6" t="inlineStr"/>
      <c r="G9" s="6" t="inlineStr"/>
      <c r="H9" s="6" t="inlineStr"/>
      <c r="I9" s="6" t="inlineStr"/>
      <c r="J9" s="9" t="n">
        <v>0.0624</v>
      </c>
      <c r="K9" s="6" t="inlineStr"/>
      <c r="L9" s="6" t="inlineStr"/>
      <c r="M9" s="9" t="n">
        <v>0.0216</v>
      </c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</row>
    <row r="10">
      <c r="A10" s="6" t="inlineStr">
        <is>
          <t>KCL STANDAR X KILO</t>
        </is>
      </c>
      <c r="B10" s="6" t="inlineStr">
        <is>
          <t>60% K₂O</t>
        </is>
      </c>
      <c r="C10" s="7" t="n">
        <v>400</v>
      </c>
      <c r="D10" s="8" t="n">
        <v>40</v>
      </c>
      <c r="E10" s="6" t="inlineStr"/>
      <c r="F10" s="6" t="inlineStr"/>
      <c r="G10" s="6" t="inlineStr"/>
      <c r="H10" s="6" t="inlineStr"/>
      <c r="I10" s="6" t="inlineStr"/>
      <c r="J10" s="9" t="n">
        <v>0.24</v>
      </c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</row>
    <row r="11">
      <c r="A11" s="6" t="inlineStr">
        <is>
          <t>ABONO ORGANICO A</t>
        </is>
      </c>
      <c r="B11" s="6" t="inlineStr"/>
      <c r="C11" s="7" t="n">
        <v>200</v>
      </c>
      <c r="D11" s="8" t="n">
        <v>20</v>
      </c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</row>
    <row r="12">
      <c r="A12" s="6" t="inlineStr">
        <is>
          <t>VINAZA X KILO</t>
        </is>
      </c>
      <c r="B12" s="6" t="inlineStr"/>
      <c r="C12" s="7" t="n">
        <v>200</v>
      </c>
      <c r="D12" s="8" t="n">
        <v>20</v>
      </c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</row>
    <row r="13">
      <c r="A13" s="6" t="inlineStr">
        <is>
          <t>CARBONATO DE CALCIO X KILO</t>
        </is>
      </c>
      <c r="B13" s="6" t="inlineStr">
        <is>
          <t>40% CaO</t>
        </is>
      </c>
      <c r="C13" s="7" t="n">
        <v>80</v>
      </c>
      <c r="D13" s="8" t="n">
        <v>8</v>
      </c>
      <c r="E13" s="6" t="inlineStr"/>
      <c r="F13" s="6" t="inlineStr"/>
      <c r="G13" s="6" t="inlineStr"/>
      <c r="H13" s="6" t="inlineStr"/>
      <c r="I13" s="6" t="inlineStr"/>
      <c r="J13" s="6" t="inlineStr"/>
      <c r="K13" s="9" t="n">
        <v>0.032</v>
      </c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</row>
    <row r="14">
      <c r="A14" s="6" t="inlineStr">
        <is>
          <t>BENTONITA ROJA X KILO</t>
        </is>
      </c>
      <c r="B14" s="6" t="inlineStr">
        <is>
          <t>1% MgO + 47% SiO₂</t>
        </is>
      </c>
      <c r="C14" s="7" t="n">
        <v>100</v>
      </c>
      <c r="D14" s="8" t="n">
        <v>10</v>
      </c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9" t="n">
        <v>0.001</v>
      </c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9" t="n">
        <v>0.047</v>
      </c>
      <c r="U14" s="6" t="inlineStr"/>
    </row>
    <row r="15">
      <c r="A15" s="10" t="inlineStr">
        <is>
          <t>SUMATORIA</t>
        </is>
      </c>
      <c r="B15" s="11" t="n"/>
      <c r="C15" s="12">
        <f>SUM(C7:C14)</f>
        <v/>
      </c>
      <c r="D15" s="12">
        <f>SUM(D7:D14)</f>
        <v/>
      </c>
      <c r="E15" s="13">
        <f>SUM(E7:E14)</f>
        <v/>
      </c>
      <c r="F15" s="13">
        <f>SUM(F7:F14)</f>
        <v/>
      </c>
      <c r="G15" s="13">
        <f>SUM(G7:G14)</f>
        <v/>
      </c>
      <c r="H15" s="13">
        <f>SUM(H7:H14)</f>
        <v/>
      </c>
      <c r="I15" s="13">
        <f>SUM(I7:I14)</f>
        <v/>
      </c>
      <c r="J15" s="13">
        <f>SUM(J7:J14)</f>
        <v/>
      </c>
      <c r="K15" s="13">
        <f>SUM(K7:K14)</f>
        <v/>
      </c>
      <c r="L15" s="13">
        <f>SUM(L7:L14)</f>
        <v/>
      </c>
      <c r="M15" s="13">
        <f>SUM(M7:M14)</f>
        <v/>
      </c>
      <c r="N15" s="13">
        <f>SUM(N7:N14)</f>
        <v/>
      </c>
      <c r="O15" s="13">
        <f>SUM(O7:O14)</f>
        <v/>
      </c>
      <c r="P15" s="13">
        <f>SUM(P7:P14)</f>
        <v/>
      </c>
      <c r="Q15" s="13">
        <f>SUM(Q7:Q14)</f>
        <v/>
      </c>
      <c r="R15" s="13">
        <f>SUM(R7:R14)</f>
        <v/>
      </c>
      <c r="S15" s="13">
        <f>SUM(S7:S14)</f>
        <v/>
      </c>
      <c r="T15" s="13">
        <f>SUM(T7:T14)</f>
        <v/>
      </c>
      <c r="U15" s="13">
        <f>SUM(U7:U14)</f>
        <v/>
      </c>
    </row>
    <row r="17">
      <c r="A17" s="14" t="inlineStr">
        <is>
          <t>TOTAL CALFERQUIM S.A.S</t>
        </is>
      </c>
      <c r="B17" s="15" t="n"/>
      <c r="C17" s="15" t="n"/>
      <c r="D17" s="15" t="n"/>
      <c r="E17" s="16">
        <f>E15</f>
        <v/>
      </c>
      <c r="F17" s="16">
        <f>F15</f>
        <v/>
      </c>
      <c r="G17" s="16">
        <f>G15</f>
        <v/>
      </c>
      <c r="H17" s="16">
        <f>H15</f>
        <v/>
      </c>
      <c r="I17" s="16">
        <f>I15</f>
        <v/>
      </c>
      <c r="J17" s="16">
        <f>J15</f>
        <v/>
      </c>
      <c r="K17" s="16">
        <f>K15</f>
        <v/>
      </c>
      <c r="L17" s="16">
        <f>L15</f>
        <v/>
      </c>
      <c r="M17" s="16">
        <f>M15</f>
        <v/>
      </c>
      <c r="N17" s="16">
        <f>N15</f>
        <v/>
      </c>
      <c r="O17" s="16">
        <f>O15</f>
        <v/>
      </c>
      <c r="P17" s="16">
        <f>P15</f>
        <v/>
      </c>
      <c r="Q17" s="16">
        <f>Q15</f>
        <v/>
      </c>
      <c r="R17" s="16">
        <f>R15</f>
        <v/>
      </c>
      <c r="S17" s="16">
        <f>S15</f>
        <v/>
      </c>
      <c r="T17" s="16">
        <f>T15</f>
        <v/>
      </c>
      <c r="U17" s="16">
        <f>U15</f>
        <v/>
      </c>
    </row>
    <row r="19">
      <c r="A19" s="17" t="inlineStr">
        <is>
          <t>SOLICITUD DE REGISTRO ICA K2K SN X KILO</t>
        </is>
      </c>
      <c r="E19" s="18" t="n"/>
      <c r="F19" s="18" t="n"/>
      <c r="G19" s="18" t="n"/>
      <c r="H19" s="18" t="n"/>
      <c r="I19" s="18" t="n"/>
      <c r="J19" s="19" t="n">
        <v>0.2876</v>
      </c>
      <c r="K19" s="19" t="n">
        <v>0.0284</v>
      </c>
      <c r="L19" s="18" t="n"/>
      <c r="M19" s="19" t="n">
        <v>0.0342</v>
      </c>
      <c r="N19" s="18" t="n"/>
      <c r="O19" s="18" t="n"/>
      <c r="P19" s="18" t="n"/>
      <c r="Q19" s="18" t="n"/>
      <c r="R19" s="18" t="n"/>
      <c r="S19" s="18" t="n"/>
      <c r="T19" s="19" t="n">
        <v>0.01</v>
      </c>
      <c r="U19" s="18" t="n"/>
    </row>
  </sheetData>
  <mergeCells count="4">
    <mergeCell ref="A1:U1"/>
    <mergeCell ref="E5:U5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2026-03-18T03:08:13Z</dcterms:created>
  <dcterms:modified xsi:type="dcterms:W3CDTF">2026-03-18T03:08:13Z</dcterms:modified>
</cp:coreProperties>
</file>