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 25-4-24 X KI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0" borderId="1" pivotButton="0" quotePrefix="0" xfId="0"/>
    <xf numFmtId="0" fontId="7" fillId="4" borderId="1" pivotButton="0" quotePrefix="0" xfId="0"/>
    <xf numFmtId="0" fontId="0" fillId="4" borderId="1" pivotButton="0" quotePrefix="0" xfId="0"/>
    <xf numFmtId="164" fontId="7" fillId="4" borderId="1" pivotButton="0" quotePrefix="0" xfId="0"/>
    <xf numFmtId="165" fontId="7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7" fillId="6" borderId="1" pivotButton="0" quotePrefix="0" xfId="0"/>
    <xf numFmtId="165" fontId="0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MF 25-4-24 X KILO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UREA X KILO</t>
        </is>
      </c>
      <c r="B7" s="6" t="inlineStr">
        <is>
          <t>46% N</t>
        </is>
      </c>
      <c r="C7" s="7" t="n">
        <v>460</v>
      </c>
      <c r="D7" s="8" t="n">
        <v>46</v>
      </c>
      <c r="E7" s="9" t="n">
        <v>0.2116</v>
      </c>
      <c r="F7" s="6" t="inlineStr"/>
      <c r="G7" s="6" t="inlineStr"/>
      <c r="H7" s="9" t="n">
        <v>0.2116</v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6" t="inlineStr">
        <is>
          <t>DAP GRANULADO X KILO</t>
        </is>
      </c>
      <c r="B8" s="6" t="inlineStr">
        <is>
          <t>18% N + 46% P₂O₅</t>
        </is>
      </c>
      <c r="C8" s="7" t="n">
        <v>80</v>
      </c>
      <c r="D8" s="8" t="n">
        <v>8</v>
      </c>
      <c r="E8" s="9" t="n">
        <v>0.0144</v>
      </c>
      <c r="F8" s="9" t="n">
        <v>0.0144</v>
      </c>
      <c r="G8" s="6" t="inlineStr"/>
      <c r="H8" s="6" t="inlineStr"/>
      <c r="I8" s="9" t="n">
        <v>0.0368</v>
      </c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6" t="inlineStr">
        <is>
          <t>KCL GRANULADO X KILO</t>
        </is>
      </c>
      <c r="B9" s="6" t="inlineStr">
        <is>
          <t>60% K₂O</t>
        </is>
      </c>
      <c r="C9" s="7" t="n">
        <v>360</v>
      </c>
      <c r="D9" s="8" t="n">
        <v>36</v>
      </c>
      <c r="E9" s="6" t="inlineStr"/>
      <c r="F9" s="6" t="inlineStr"/>
      <c r="G9" s="6" t="inlineStr"/>
      <c r="H9" s="6" t="inlineStr"/>
      <c r="I9" s="6" t="inlineStr"/>
      <c r="J9" s="9" t="n">
        <v>0.216</v>
      </c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NUCLEO 4 X KILO</t>
        </is>
      </c>
      <c r="B10" s="6" t="inlineStr">
        <is>
          <t>18% CaO + 18% MgO + 4% S + 14% SiO₂</t>
        </is>
      </c>
      <c r="C10" s="7" t="n">
        <v>100</v>
      </c>
      <c r="D10" s="8" t="n">
        <v>10</v>
      </c>
      <c r="E10" s="6" t="inlineStr"/>
      <c r="F10" s="6" t="inlineStr"/>
      <c r="G10" s="6" t="inlineStr"/>
      <c r="H10" s="6" t="inlineStr"/>
      <c r="I10" s="6" t="inlineStr"/>
      <c r="J10" s="6" t="inlineStr"/>
      <c r="K10" s="9" t="n">
        <v>0.018</v>
      </c>
      <c r="L10" s="9" t="n">
        <v>0.018</v>
      </c>
      <c r="M10" s="9" t="n">
        <v>0.004</v>
      </c>
      <c r="N10" s="6" t="inlineStr"/>
      <c r="O10" s="6" t="inlineStr"/>
      <c r="P10" s="6" t="inlineStr"/>
      <c r="Q10" s="6" t="inlineStr"/>
      <c r="R10" s="6" t="inlineStr"/>
      <c r="S10" s="6" t="inlineStr"/>
      <c r="T10" s="9" t="n">
        <v>0.014</v>
      </c>
      <c r="U10" s="6" t="inlineStr"/>
    </row>
    <row r="11">
      <c r="A11" s="10" t="inlineStr">
        <is>
          <t>EMPAQUES E INERTES</t>
        </is>
      </c>
      <c r="C11" s="6" t="n">
        <v>40</v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11" t="inlineStr">
        <is>
          <t>SUMATORIA</t>
        </is>
      </c>
      <c r="B12" s="12" t="n"/>
      <c r="C12" s="13">
        <f>SUM(C7:C11)</f>
        <v/>
      </c>
      <c r="D12" s="13">
        <f>SUM(D7:D11)</f>
        <v/>
      </c>
      <c r="E12" s="14">
        <f>SUM(E7:E11)</f>
        <v/>
      </c>
      <c r="F12" s="14">
        <f>SUM(F7:F11)</f>
        <v/>
      </c>
      <c r="G12" s="14">
        <f>SUM(G7:G11)</f>
        <v/>
      </c>
      <c r="H12" s="14">
        <f>SUM(H7:H11)</f>
        <v/>
      </c>
      <c r="I12" s="14">
        <f>SUM(I7:I11)</f>
        <v/>
      </c>
      <c r="J12" s="14">
        <f>SUM(J7:J11)</f>
        <v/>
      </c>
      <c r="K12" s="14">
        <f>SUM(K7:K11)</f>
        <v/>
      </c>
      <c r="L12" s="14">
        <f>SUM(L7:L11)</f>
        <v/>
      </c>
      <c r="M12" s="14">
        <f>SUM(M7:M11)</f>
        <v/>
      </c>
      <c r="N12" s="14">
        <f>SUM(N7:N11)</f>
        <v/>
      </c>
      <c r="O12" s="14">
        <f>SUM(O7:O11)</f>
        <v/>
      </c>
      <c r="P12" s="14">
        <f>SUM(P7:P11)</f>
        <v/>
      </c>
      <c r="Q12" s="14">
        <f>SUM(Q7:Q11)</f>
        <v/>
      </c>
      <c r="R12" s="14">
        <f>SUM(R7:R11)</f>
        <v/>
      </c>
      <c r="S12" s="14">
        <f>SUM(S7:S11)</f>
        <v/>
      </c>
      <c r="T12" s="14">
        <f>SUM(T7:T11)</f>
        <v/>
      </c>
      <c r="U12" s="14">
        <f>SUM(U7:U11)</f>
        <v/>
      </c>
    </row>
    <row r="14">
      <c r="A14" s="15" t="inlineStr">
        <is>
          <t>TOTAL CALFERQUIM S.A.S</t>
        </is>
      </c>
      <c r="B14" s="16" t="n"/>
      <c r="C14" s="16" t="n"/>
      <c r="D14" s="16" t="n"/>
      <c r="E14" s="17">
        <f>E12</f>
        <v/>
      </c>
      <c r="F14" s="17">
        <f>F12</f>
        <v/>
      </c>
      <c r="G14" s="17">
        <f>G12</f>
        <v/>
      </c>
      <c r="H14" s="17">
        <f>H12</f>
        <v/>
      </c>
      <c r="I14" s="17">
        <f>I12</f>
        <v/>
      </c>
      <c r="J14" s="17">
        <f>J12</f>
        <v/>
      </c>
      <c r="K14" s="17">
        <f>K12</f>
        <v/>
      </c>
      <c r="L14" s="17">
        <f>L12</f>
        <v/>
      </c>
      <c r="M14" s="17">
        <f>M12</f>
        <v/>
      </c>
      <c r="N14" s="17">
        <f>N12</f>
        <v/>
      </c>
      <c r="O14" s="17">
        <f>O12</f>
        <v/>
      </c>
      <c r="P14" s="17">
        <f>P12</f>
        <v/>
      </c>
      <c r="Q14" s="17">
        <f>Q12</f>
        <v/>
      </c>
      <c r="R14" s="17">
        <f>R12</f>
        <v/>
      </c>
      <c r="S14" s="17">
        <f>S12</f>
        <v/>
      </c>
      <c r="T14" s="17">
        <f>T12</f>
        <v/>
      </c>
      <c r="U14" s="17">
        <f>U12</f>
        <v/>
      </c>
    </row>
    <row r="16">
      <c r="A16" s="18" t="inlineStr">
        <is>
          <t>SOLICITUD DE REGISTRO ICA MF 25-4-24 X KILO</t>
        </is>
      </c>
      <c r="E16" s="19" t="n">
        <v>0.25</v>
      </c>
      <c r="F16" s="20" t="n"/>
      <c r="G16" s="20" t="n"/>
      <c r="H16" s="20" t="n"/>
      <c r="I16" s="19" t="n">
        <v>0.04</v>
      </c>
      <c r="J16" s="19" t="n">
        <v>0.24</v>
      </c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