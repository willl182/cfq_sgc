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EFB08E9A-5EA1-4A85-AE48-445852883092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38" i="1" s="1"/>
  <c r="H19" i="1"/>
  <c r="H18" i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J35" i="1"/>
  <c r="I35" i="1"/>
  <c r="Y40" i="1"/>
  <c r="P39" i="1"/>
  <c r="Y38" i="1"/>
  <c r="N37" i="1"/>
  <c r="N36" i="1"/>
  <c r="X35" i="1"/>
  <c r="H37" i="1" l="1"/>
  <c r="M10" i="1"/>
  <c r="N10" i="1"/>
  <c r="P35" i="1"/>
  <c r="Z10" i="1"/>
  <c r="L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<sst xmlns="http://schemas.openxmlformats.org/spreadsheetml/2006/main" count="94" uniqueCount="47">
  <si>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</si>
  <si>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</si>
  <si>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</si>
  <si>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</si>
  <si>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</si>
  <si>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</si>
  <si>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</si>
  <si>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</si>
  <si>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</si>
  <si>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</si>
  <si>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</si>
  <si>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</si>
  <si>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</si>
  <si>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</si>
  <si>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</si>
  <si>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</si>
  <si>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</si>
  <si>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</si>
  <si>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</si>
  <si>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</si>
  <si>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</si>
  <si>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</si>
  <si>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</si>
  <si>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</si>
  <si>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</si>
  <si>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</si>
  <si>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</si>
  <si>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</si>
  <si>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</si>
  <si>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</si>
  <si>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</si>
  <si>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</si>
  <si>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</si>
  <si>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</si>
  <si>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</si>
  <si>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</si>
  <si>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</si>
  <si>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</si>
  <si>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CALFERQUIM</t>
  </si>
  <si>
    <t>KCL</t>
  </si>
  <si>
    <t>G</t>
  </si>
  <si>
    <t>DAP</t>
  </si>
  <si>
    <t>PRECISAGRO</t>
  </si>
  <si>
    <t>MF 25-4-24</t>
  </si>
  <si>
    <t>NUCLO 4</t>
  </si>
  <si>
    <t>DISAN</t>
  </si>
  <si>
    <t>82-081124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</si>
</sst>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8" t="s">
        <v>27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9"/>
      <c r="U2" s="69" t="s">
        <v>24</v>
      </c>
      <c r="V2" s="70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9" t="s">
        <v>25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14"/>
      <c r="U3" s="69" t="s">
        <v>24</v>
      </c>
      <c r="V3" s="70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2" t="s">
        <v>34</v>
      </c>
      <c r="H6" s="83"/>
      <c r="I6" s="83"/>
      <c r="J6" s="83"/>
      <c r="K6" s="83"/>
      <c r="L6" s="83"/>
      <c r="M6" s="84"/>
      <c r="N6" s="82" t="s">
        <v>35</v>
      </c>
      <c r="O6" s="83"/>
      <c r="P6" s="83"/>
      <c r="Q6" s="83"/>
      <c r="R6" s="83"/>
      <c r="S6" s="83"/>
      <c r="T6" s="84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0" t="s">
        <v>43</v>
      </c>
      <c r="H7" s="81"/>
      <c r="I7" s="81"/>
      <c r="J7" s="81"/>
      <c r="K7" s="81"/>
      <c r="L7" s="81"/>
      <c r="M7" s="81"/>
      <c r="N7" s="65" t="s">
        <v>46</v>
      </c>
      <c r="O7" s="66"/>
      <c r="P7" s="66"/>
      <c r="Q7" s="66"/>
      <c r="R7" s="66"/>
      <c r="S7" s="66"/>
      <c r="T7" s="67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3" t="s">
        <v>29</v>
      </c>
      <c r="C9" s="74"/>
      <c r="D9" s="74"/>
      <c r="E9" s="74"/>
      <c r="F9" s="74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1" t="s">
        <v>28</v>
      </c>
      <c r="C10" s="72"/>
      <c r="D10" s="72"/>
      <c r="E10" s="72"/>
      <c r="F10" s="72"/>
      <c r="G10" s="31">
        <f t="shared" ref="G10:Z10" si="0">SUM(G35:G49)</f>
        <v>0</v>
      </c>
      <c r="H10" s="32">
        <f t="shared" si="0"/>
        <v>0.249</v>
      </c>
      <c r="I10" s="32">
        <f t="shared" si="0"/>
        <v>1.44E-2</v>
      </c>
      <c r="J10" s="32">
        <f t="shared" si="0"/>
        <v>0</v>
      </c>
      <c r="K10" s="32">
        <f t="shared" si="0"/>
        <v>0</v>
      </c>
      <c r="L10" s="32">
        <f t="shared" si="0"/>
        <v>0.2346</v>
      </c>
      <c r="M10" s="32">
        <f t="shared" si="0"/>
        <v>3.6799999999999999E-2</v>
      </c>
      <c r="N10" s="32">
        <f t="shared" si="0"/>
        <v>0.22800000000000001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5" t="s">
        <v>30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7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5" t="s">
        <v>33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510</v>
      </c>
      <c r="F17" s="27">
        <f>E17/10</f>
        <v>51</v>
      </c>
      <c r="G17" s="56"/>
      <c r="H17" s="64">
        <f>IF(SUM(I17:L17)=0,"",SUM(I17:L17))</f>
        <v>0.46</v>
      </c>
      <c r="I17" s="57"/>
      <c r="J17" s="57"/>
      <c r="K17" s="57"/>
      <c r="L17" s="63">
        <v>0.46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44</v>
      </c>
      <c r="C18" s="44" t="s">
        <v>38</v>
      </c>
      <c r="D18" s="44"/>
      <c r="E18" s="46">
        <v>30</v>
      </c>
      <c r="F18" s="27">
        <f t="shared" ref="F18:F31" si="1">E18/10</f>
        <v>3</v>
      </c>
      <c r="G18" s="56"/>
      <c r="H18" s="64" t="str">
        <f>IF(SUM(I18:L18)=0,"",SUM(I18:L18))</f>
        <v/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45</v>
      </c>
      <c r="D19" s="44" t="s">
        <v>40</v>
      </c>
      <c r="E19" s="46">
        <v>80</v>
      </c>
      <c r="F19" s="27">
        <f t="shared" si="1"/>
        <v>8</v>
      </c>
      <c r="G19" s="56"/>
      <c r="H19" s="64">
        <f>IF(SUM(I19:L19)=0,"",SUM(I19:L19))</f>
        <v>0.18</v>
      </c>
      <c r="I19" s="63">
        <v>0.18</v>
      </c>
      <c r="J19" s="57"/>
      <c r="K19" s="57"/>
      <c r="L19" s="57"/>
      <c r="M19" s="63">
        <v>0.46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39</v>
      </c>
      <c r="C20" s="44" t="s">
        <v>42</v>
      </c>
      <c r="D20" s="44" t="s">
        <v>40</v>
      </c>
      <c r="E20" s="46">
        <v>380</v>
      </c>
      <c r="F20" s="27">
        <f t="shared" si="1"/>
        <v>38</v>
      </c>
      <c r="G20" s="56"/>
      <c r="H20" s="64" t="str">
        <f>IF(SUM(I20:L20)=0,"",SUM(I20:L20))</f>
        <v/>
      </c>
      <c r="I20" s="57"/>
      <c r="J20" s="57"/>
      <c r="K20" s="57"/>
      <c r="L20" s="57"/>
      <c r="M20" s="57"/>
      <c r="N20" s="63">
        <v>0.6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510</v>
      </c>
      <c r="F35" s="62">
        <f t="shared" ref="F35:F40" si="2">E35/10</f>
        <v>51</v>
      </c>
      <c r="G35" s="41" t="str">
        <f t="shared" ref="G35:G49" si="3">IF(G17="","",G17*$F17/$F$32)</f>
        <v/>
      </c>
      <c r="H35" s="42">
        <f t="shared" ref="H35:H49" si="4">IF(H17="","",SUM(I35:L35))</f>
        <v>0.2346</v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>
        <f t="shared" si="5"/>
        <v>0.2346</v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30</v>
      </c>
      <c r="F36" s="46">
        <f t="shared" si="2"/>
        <v>3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DISAN</v>
      </c>
      <c r="D37" s="44" t="str">
        <f t="shared" si="7"/>
        <v>G</v>
      </c>
      <c r="E37" s="46">
        <f t="shared" si="6"/>
        <v>80</v>
      </c>
      <c r="F37" s="46">
        <f t="shared" si="2"/>
        <v>8</v>
      </c>
      <c r="G37" s="36" t="str">
        <f t="shared" si="3"/>
        <v/>
      </c>
      <c r="H37" s="3">
        <f t="shared" si="4"/>
        <v>1.44E-2</v>
      </c>
      <c r="I37" s="3">
        <f t="shared" ref="I37:Z37" si="9">IF(I19="","",I19*$F19/$F$32)</f>
        <v>1.44E-2</v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>
        <f t="shared" si="9"/>
        <v>3.6799999999999999E-2</v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PRECISAGRO</v>
      </c>
      <c r="D38" s="44" t="str">
        <f t="shared" si="7"/>
        <v>G</v>
      </c>
      <c r="E38" s="46">
        <f t="shared" si="6"/>
        <v>380</v>
      </c>
      <c r="F38" s="46">
        <f t="shared" si="2"/>
        <v>38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>
        <f t="shared" si="10"/>
        <v>0.22800000000000001</v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2024-11-13T15:53:03Z</dcterms:modified>
</cp:coreProperties>
</file>