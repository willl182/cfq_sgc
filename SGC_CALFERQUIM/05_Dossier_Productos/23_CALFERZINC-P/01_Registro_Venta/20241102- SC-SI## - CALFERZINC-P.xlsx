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F6C72C83-27FE-4EFD-A856-31B2942827C8}" xr6:coauthVersionLast="47" xr6:coauthVersionMax="47" xr10:uidLastSave="{00000000-0000-0000-0000-000000000000}"/>
  <bookViews>
    <workbookView xWindow="-120" yWindow="-120" windowWidth="29040" windowHeight="1644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<sst xmlns="http://schemas.openxmlformats.org/spreadsheetml/2006/main" count="95" uniqueCount="47">
  <si>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</si>
  <si>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</si>
  <si>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</si>
  <si>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</si>
  <si>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</si>
  <si>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</si>
  <si>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</si>
  <si>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</si>
  <si>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</si>
  <si>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</si>
  <si>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</si>
  <si>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</si>
  <si>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</si>
  <si>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</si>
  <si>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</si>
  <si>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</si>
  <si>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</si>
  <si>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</si>
  <si>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</si>
  <si>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</si>
  <si>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</si>
  <si>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</si>
  <si>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</si>
  <si>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</si>
  <si>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</si>
  <si>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</si>
  <si>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</si>
  <si>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</si>
  <si>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</si>
  <si>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</si>
  <si>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</si>
  <si>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</si>
  <si>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</si>
  <si>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</si>
  <si>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</si>
  <si>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</si>
  <si>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G</t>
  </si>
  <si>
    <t>MANUCHAR</t>
  </si>
  <si>
    <t>CARBONATO DE CALCIO</t>
  </si>
  <si>
    <t>KIESERITA</t>
  </si>
  <si>
    <t>SULFATO DE ZINC 22</t>
  </si>
  <si>
    <t>BENTONITA GRIS</t>
  </si>
  <si>
    <t>ATEQUIMICOS</t>
  </si>
  <si>
    <t>AGROCALES</t>
  </si>
  <si>
    <t>FERTICAUCA</t>
  </si>
  <si>
    <t>CALFERZINC P</t>
  </si>
  <si>
    <t>150-021124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</si>
</sst>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sheetPr codeName="Hoja1"/>
  <dimension ref="A1:AY88"/>
  <sheetViews>
    <sheetView tabSelected="1" zoomScale="85" zoomScaleNormal="85" workbookViewId="0">
      <selection activeCell="B17" sqref="B17"/>
    </sheetView>
  </sheetViews>
  <sheetFormatPr baseColWidth="10" defaultColWidth="8.88671875" defaultRowHeight="19.5" x14ac:dyDescent="0.45"/>
  <cols>
    <col min="1" max="1" width="8.88671875" style="23"/>
    <col min="2" max="2" width="20.10937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45</v>
      </c>
      <c r="H7" s="79"/>
      <c r="I7" s="79"/>
      <c r="J7" s="79"/>
      <c r="K7" s="79"/>
      <c r="L7" s="79"/>
      <c r="M7" s="79"/>
      <c r="N7" s="63" t="s">
        <v>46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40</v>
      </c>
      <c r="C17" s="44" t="s">
        <v>42</v>
      </c>
      <c r="D17" s="44"/>
      <c r="E17" s="46">
        <v>675</v>
      </c>
      <c r="F17" s="27">
        <f>E17/10</f>
        <v>67.5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38</v>
      </c>
      <c r="C18" s="44" t="s">
        <v>43</v>
      </c>
      <c r="D18" s="44" t="s">
        <v>9</v>
      </c>
      <c r="E18" s="46">
        <v>75</v>
      </c>
      <c r="F18" s="27">
        <f t="shared" ref="F18:F31" si="1">E18/10</f>
        <v>7.5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39</v>
      </c>
      <c r="C19" s="44" t="s">
        <v>37</v>
      </c>
      <c r="D19" s="44" t="s">
        <v>36</v>
      </c>
      <c r="E19" s="46">
        <v>50</v>
      </c>
      <c r="F19" s="27">
        <f t="shared" si="1"/>
        <v>5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41</v>
      </c>
      <c r="C20" s="44" t="s">
        <v>44</v>
      </c>
      <c r="D20" s="44" t="s">
        <v>36</v>
      </c>
      <c r="E20" s="46">
        <v>200</v>
      </c>
      <c r="F20" s="27">
        <f t="shared" si="1"/>
        <v>20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>
        <f t="shared" si="1"/>
        <v>0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ZINC 22</v>
      </c>
      <c r="C35" s="44" t="str">
        <f>C17</f>
        <v>ATEQUIMICOS</v>
      </c>
      <c r="D35" s="44">
        <f>D17</f>
        <v>0</v>
      </c>
      <c r="E35" s="46">
        <f>E17</f>
        <v>675</v>
      </c>
      <c r="F35" s="62">
        <f t="shared" ref="F35:F40" si="2">E35/10</f>
        <v>67.5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CARBONATO DE CALCIO</v>
      </c>
      <c r="C36" s="44" t="str">
        <f t="shared" ref="C36:D49" si="7">C18</f>
        <v>AGROCALES</v>
      </c>
      <c r="D36" s="44" t="str">
        <f t="shared" si="7"/>
        <v>P</v>
      </c>
      <c r="E36" s="46">
        <f t="shared" si="6"/>
        <v>75</v>
      </c>
      <c r="F36" s="46">
        <f t="shared" si="2"/>
        <v>7.5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KIESERITA</v>
      </c>
      <c r="C37" s="44" t="str">
        <f t="shared" si="7"/>
        <v>MANUCHAR</v>
      </c>
      <c r="D37" s="44" t="str">
        <f t="shared" si="7"/>
        <v>G</v>
      </c>
      <c r="E37" s="46">
        <f t="shared" si="6"/>
        <v>50</v>
      </c>
      <c r="F37" s="46">
        <f t="shared" si="2"/>
        <v>5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BENTONITA GRIS</v>
      </c>
      <c r="C38" s="44" t="str">
        <f t="shared" si="7"/>
        <v>FERTICAUCA</v>
      </c>
      <c r="D38" s="44" t="str">
        <f t="shared" si="7"/>
        <v>G</v>
      </c>
      <c r="E38" s="46">
        <f t="shared" si="6"/>
        <v>200</v>
      </c>
      <c r="F38" s="46">
        <f t="shared" si="2"/>
        <v>20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2025-01-02T21:18:38Z</dcterms:modified>
</cp:coreProperties>
</file>