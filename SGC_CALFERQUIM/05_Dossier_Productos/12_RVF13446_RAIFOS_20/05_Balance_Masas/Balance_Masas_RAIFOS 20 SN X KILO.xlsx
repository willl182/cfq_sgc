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FOS 20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RAIFOS 20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KIESERITA EN POLVO X KILO</t>
        </is>
      </c>
      <c r="B7" s="6" t="inlineStr">
        <is>
          <t>25% MgO + 20% S</t>
        </is>
      </c>
      <c r="C7" s="7" t="n">
        <v>50</v>
      </c>
      <c r="D7" s="8" t="n">
        <v>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0.0125</v>
      </c>
      <c r="M7" s="9" t="n">
        <v>0.01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MAP TECNICO X KILO</t>
        </is>
      </c>
      <c r="B8" s="6" t="inlineStr">
        <is>
          <t>12% N + 61% P₂O₅</t>
        </is>
      </c>
      <c r="C8" s="7" t="n">
        <v>50</v>
      </c>
      <c r="D8" s="8" t="n">
        <v>5</v>
      </c>
      <c r="E8" s="9" t="n">
        <v>0.006</v>
      </c>
      <c r="F8" s="9" t="n">
        <v>0.006</v>
      </c>
      <c r="G8" s="6" t="inlineStr"/>
      <c r="H8" s="6" t="inlineStr"/>
      <c r="I8" s="9" t="n">
        <v>0.0305</v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ROCA FOSFORICA 26% X KILO</t>
        </is>
      </c>
      <c r="B9" s="6" t="inlineStr">
        <is>
          <t>26% P₂O₅ + 36% CaO</t>
        </is>
      </c>
      <c r="C9" s="7" t="n">
        <v>650</v>
      </c>
      <c r="D9" s="8" t="n">
        <v>65</v>
      </c>
      <c r="E9" s="6" t="inlineStr"/>
      <c r="F9" s="6" t="inlineStr"/>
      <c r="G9" s="6" t="inlineStr"/>
      <c r="H9" s="6" t="inlineStr"/>
      <c r="I9" s="9" t="n">
        <v>0.169</v>
      </c>
      <c r="J9" s="6" t="inlineStr"/>
      <c r="K9" s="9" t="n">
        <v>0.234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SILICATO DE MAGNESIO X KILO</t>
        </is>
      </c>
      <c r="B10" s="6" t="inlineStr">
        <is>
          <t>33.86% MgO + 36.98% SiO₂</t>
        </is>
      </c>
      <c r="C10" s="7" t="n">
        <v>90</v>
      </c>
      <c r="D10" s="8" t="n">
        <v>9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9" t="n">
        <v>0.030474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0.03328199999999999</v>
      </c>
      <c r="U10" s="6" t="inlineStr"/>
    </row>
    <row r="11">
      <c r="A11" s="6" t="inlineStr">
        <is>
          <t>LEONARDITA X KILO</t>
        </is>
      </c>
      <c r="B11" s="6" t="inlineStr"/>
      <c r="C11" s="7" t="n">
        <v>100</v>
      </c>
      <c r="D11" s="8" t="n">
        <v>10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6" t="inlineStr">
        <is>
          <t>ABONO ORGANICO A</t>
        </is>
      </c>
      <c r="B12" s="6" t="inlineStr"/>
      <c r="C12" s="7" t="n">
        <v>60</v>
      </c>
      <c r="D12" s="8" t="n">
        <v>6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6" t="inlineStr">
        <is>
          <t>VINAZA X KILO</t>
        </is>
      </c>
      <c r="B13" s="6" t="inlineStr"/>
      <c r="C13" s="7" t="n">
        <v>200</v>
      </c>
      <c r="D13" s="8" t="n">
        <v>20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10" t="inlineStr">
        <is>
          <t>SUMATORIA</t>
        </is>
      </c>
      <c r="B14" s="11" t="n"/>
      <c r="C14" s="12">
        <f>SUM(C7:C13)</f>
        <v/>
      </c>
      <c r="D14" s="12">
        <f>SUM(D7:D13)</f>
        <v/>
      </c>
      <c r="E14" s="13">
        <f>SUM(E7:E13)</f>
        <v/>
      </c>
      <c r="F14" s="13">
        <f>SUM(F7:F13)</f>
        <v/>
      </c>
      <c r="G14" s="13">
        <f>SUM(G7:G13)</f>
        <v/>
      </c>
      <c r="H14" s="13">
        <f>SUM(H7:H13)</f>
        <v/>
      </c>
      <c r="I14" s="13">
        <f>SUM(I7:I13)</f>
        <v/>
      </c>
      <c r="J14" s="13">
        <f>SUM(J7:J13)</f>
        <v/>
      </c>
      <c r="K14" s="13">
        <f>SUM(K7:K13)</f>
        <v/>
      </c>
      <c r="L14" s="13">
        <f>SUM(L7:L13)</f>
        <v/>
      </c>
      <c r="M14" s="13">
        <f>SUM(M7:M13)</f>
        <v/>
      </c>
      <c r="N14" s="13">
        <f>SUM(N7:N13)</f>
        <v/>
      </c>
      <c r="O14" s="13">
        <f>SUM(O7:O13)</f>
        <v/>
      </c>
      <c r="P14" s="13">
        <f>SUM(P7:P13)</f>
        <v/>
      </c>
      <c r="Q14" s="13">
        <f>SUM(Q7:Q13)</f>
        <v/>
      </c>
      <c r="R14" s="13">
        <f>SUM(R7:R13)</f>
        <v/>
      </c>
      <c r="S14" s="13">
        <f>SUM(S7:S13)</f>
        <v/>
      </c>
      <c r="T14" s="13">
        <f>SUM(T7:T13)</f>
        <v/>
      </c>
      <c r="U14" s="13">
        <f>SUM(U7:U13)</f>
        <v/>
      </c>
    </row>
    <row r="16">
      <c r="A16" s="14" t="inlineStr">
        <is>
          <t>TOTAL CALFERQUIM S.A.S</t>
        </is>
      </c>
      <c r="B16" s="15" t="n"/>
      <c r="C16" s="15" t="n"/>
      <c r="D16" s="15" t="n"/>
      <c r="E16" s="16">
        <f>E14</f>
        <v/>
      </c>
      <c r="F16" s="16">
        <f>F14</f>
        <v/>
      </c>
      <c r="G16" s="16">
        <f>G14</f>
        <v/>
      </c>
      <c r="H16" s="16">
        <f>H14</f>
        <v/>
      </c>
      <c r="I16" s="16">
        <f>I14</f>
        <v/>
      </c>
      <c r="J16" s="16">
        <f>J14</f>
        <v/>
      </c>
      <c r="K16" s="16">
        <f>K14</f>
        <v/>
      </c>
      <c r="L16" s="16">
        <f>L14</f>
        <v/>
      </c>
      <c r="M16" s="16">
        <f>M14</f>
        <v/>
      </c>
      <c r="N16" s="16">
        <f>N14</f>
        <v/>
      </c>
      <c r="O16" s="16">
        <f>O14</f>
        <v/>
      </c>
      <c r="P16" s="16">
        <f>P14</f>
        <v/>
      </c>
      <c r="Q16" s="16">
        <f>Q14</f>
        <v/>
      </c>
      <c r="R16" s="16">
        <f>R14</f>
        <v/>
      </c>
      <c r="S16" s="16">
        <f>S14</f>
        <v/>
      </c>
      <c r="T16" s="16">
        <f>T14</f>
        <v/>
      </c>
      <c r="U16" s="16">
        <f>U14</f>
        <v/>
      </c>
    </row>
    <row r="18">
      <c r="A18" s="17" t="inlineStr">
        <is>
          <t>SOLICITUD DE REGISTRO ICA RAIFOS 20 SN X KILO</t>
        </is>
      </c>
      <c r="E18" s="18" t="n"/>
      <c r="F18" s="18" t="n"/>
      <c r="G18" s="18" t="n"/>
      <c r="H18" s="18" t="n"/>
      <c r="I18" s="19" t="n">
        <v>0.2</v>
      </c>
      <c r="J18" s="18" t="n"/>
      <c r="K18" s="19" t="n">
        <v>0.23</v>
      </c>
      <c r="L18" s="19" t="n">
        <v>0.015</v>
      </c>
      <c r="M18" s="19" t="n">
        <v>0.01</v>
      </c>
      <c r="N18" s="18" t="n"/>
      <c r="O18" s="18" t="n"/>
      <c r="P18" s="18" t="n"/>
      <c r="Q18" s="18" t="n"/>
      <c r="R18" s="18" t="n"/>
      <c r="S18" s="18" t="n"/>
      <c r="T18" s="19" t="n">
        <v>0.21</v>
      </c>
      <c r="U18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