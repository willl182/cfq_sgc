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 MAGNE 3 SN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6" fillId="6" borderId="1" pivotButton="0" quotePrefix="0" xfId="0"/>
    <xf numFmtId="0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FE MAGNE 3 SN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CARBONATO DE CALCIO X KILO</t>
        </is>
      </c>
      <c r="B7" s="6" t="inlineStr">
        <is>
          <t>40% CaO</t>
        </is>
      </c>
      <c r="C7" s="7" t="n">
        <v>50</v>
      </c>
      <c r="D7" s="8" t="n">
        <v>5</v>
      </c>
      <c r="E7" s="6" t="inlineStr"/>
      <c r="F7" s="6" t="inlineStr"/>
      <c r="G7" s="6" t="inlineStr"/>
      <c r="H7" s="6" t="inlineStr"/>
      <c r="I7" s="6" t="inlineStr"/>
      <c r="J7" s="6" t="inlineStr"/>
      <c r="K7" s="9" t="n">
        <v>0.02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OXIDO DE MAGNESIO X KILO</t>
        </is>
      </c>
      <c r="B8" s="6" t="inlineStr">
        <is>
          <t>3% CaO + 90% MgO + 5% SiO₂</t>
        </is>
      </c>
      <c r="C8" s="7" t="n">
        <v>100</v>
      </c>
      <c r="D8" s="8" t="n">
        <v>10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0.003</v>
      </c>
      <c r="L8" s="9" t="n">
        <v>0.09000000000000001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9" t="n">
        <v>0.005000000000000001</v>
      </c>
      <c r="U8" s="6" t="inlineStr"/>
    </row>
    <row r="9">
      <c r="A9" s="6" t="inlineStr">
        <is>
          <t>KCL STANDAR X KILO</t>
        </is>
      </c>
      <c r="B9" s="6" t="inlineStr">
        <is>
          <t>60% K₂O</t>
        </is>
      </c>
      <c r="C9" s="7" t="n">
        <v>50</v>
      </c>
      <c r="D9" s="8" t="n">
        <v>5</v>
      </c>
      <c r="E9" s="6" t="inlineStr"/>
      <c r="F9" s="6" t="inlineStr"/>
      <c r="G9" s="6" t="inlineStr"/>
      <c r="H9" s="6" t="inlineStr"/>
      <c r="I9" s="6" t="inlineStr"/>
      <c r="J9" s="9" t="n">
        <v>0.03</v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SULFATO DE CALCIO X KILO</t>
        </is>
      </c>
      <c r="B10" s="6" t="inlineStr">
        <is>
          <t>22% CaO + 13% S</t>
        </is>
      </c>
      <c r="C10" s="7" t="n">
        <v>150</v>
      </c>
      <c r="D10" s="8" t="n">
        <v>15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0.033</v>
      </c>
      <c r="L10" s="6" t="inlineStr"/>
      <c r="M10" s="9" t="n">
        <v>0.0195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BENTONITA GRIS X KILO</t>
        </is>
      </c>
      <c r="B11" s="6" t="inlineStr">
        <is>
          <t>6% CaO + 4% MgO + 57% SiO₂</t>
        </is>
      </c>
      <c r="C11" s="7" t="n">
        <v>50</v>
      </c>
      <c r="D11" s="8" t="n">
        <v>5</v>
      </c>
      <c r="E11" s="6" t="inlineStr"/>
      <c r="F11" s="6" t="inlineStr"/>
      <c r="G11" s="6" t="inlineStr"/>
      <c r="H11" s="6" t="inlineStr"/>
      <c r="I11" s="6" t="inlineStr"/>
      <c r="J11" s="6" t="inlineStr"/>
      <c r="K11" s="9" t="n">
        <v>0.003</v>
      </c>
      <c r="L11" s="9" t="n">
        <v>0.002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0.0285</v>
      </c>
      <c r="U11" s="6" t="inlineStr"/>
    </row>
    <row r="12">
      <c r="A12" s="6" t="inlineStr">
        <is>
          <t>SILICATO DE MAGNESIO X KILO</t>
        </is>
      </c>
      <c r="B12" s="6" t="inlineStr">
        <is>
          <t>33.86% MgO + 36.98% SiO₂</t>
        </is>
      </c>
      <c r="C12" s="7" t="n">
        <v>400</v>
      </c>
      <c r="D12" s="8" t="n">
        <v>40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9" t="n">
        <v>0.13544</v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9" t="n">
        <v>0.14792</v>
      </c>
      <c r="U12" s="6" t="inlineStr"/>
    </row>
    <row r="13">
      <c r="A13" s="6" t="inlineStr">
        <is>
          <t>KIESERITA EN POLVO X KILO</t>
        </is>
      </c>
      <c r="B13" s="6" t="inlineStr">
        <is>
          <t>25% MgO + 20% S</t>
        </is>
      </c>
      <c r="C13" s="7" t="n">
        <v>200</v>
      </c>
      <c r="D13" s="8" t="n">
        <v>20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9" t="n">
        <v>0.05</v>
      </c>
      <c r="M13" s="9" t="n">
        <v>0.04000000000000001</v>
      </c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</row>
    <row r="14">
      <c r="A14" s="6" t="inlineStr">
        <is>
          <t>VINAZA X KILO</t>
        </is>
      </c>
      <c r="B14" s="6" t="inlineStr"/>
      <c r="C14" s="7" t="n">
        <v>100</v>
      </c>
      <c r="D14" s="8" t="n">
        <v>10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10" t="inlineStr">
        <is>
          <t>SUMATORIA</t>
        </is>
      </c>
      <c r="B15" s="11" t="n"/>
      <c r="C15" s="12">
        <f>SUM(C7:C14)</f>
        <v/>
      </c>
      <c r="D15" s="12">
        <f>SUM(D7:D14)</f>
        <v/>
      </c>
      <c r="E15" s="13">
        <f>SUM(E7:E14)</f>
        <v/>
      </c>
      <c r="F15" s="13">
        <f>SUM(F7:F14)</f>
        <v/>
      </c>
      <c r="G15" s="13">
        <f>SUM(G7:G14)</f>
        <v/>
      </c>
      <c r="H15" s="13">
        <f>SUM(H7:H14)</f>
        <v/>
      </c>
      <c r="I15" s="13">
        <f>SUM(I7:I14)</f>
        <v/>
      </c>
      <c r="J15" s="13">
        <f>SUM(J7:J14)</f>
        <v/>
      </c>
      <c r="K15" s="13">
        <f>SUM(K7:K14)</f>
        <v/>
      </c>
      <c r="L15" s="13">
        <f>SUM(L7:L14)</f>
        <v/>
      </c>
      <c r="M15" s="13">
        <f>SUM(M7:M14)</f>
        <v/>
      </c>
      <c r="N15" s="13">
        <f>SUM(N7:N14)</f>
        <v/>
      </c>
      <c r="O15" s="13">
        <f>SUM(O7:O14)</f>
        <v/>
      </c>
      <c r="P15" s="13">
        <f>SUM(P7:P14)</f>
        <v/>
      </c>
      <c r="Q15" s="13">
        <f>SUM(Q7:Q14)</f>
        <v/>
      </c>
      <c r="R15" s="13">
        <f>SUM(R7:R14)</f>
        <v/>
      </c>
      <c r="S15" s="13">
        <f>SUM(S7:S14)</f>
        <v/>
      </c>
      <c r="T15" s="13">
        <f>SUM(T7:T14)</f>
        <v/>
      </c>
      <c r="U15" s="13">
        <f>SUM(U7:U14)</f>
        <v/>
      </c>
    </row>
    <row r="17">
      <c r="A17" s="14" t="inlineStr">
        <is>
          <t>TOTAL CALFERQUIM S.A.S</t>
        </is>
      </c>
      <c r="B17" s="15" t="n"/>
      <c r="C17" s="15" t="n"/>
      <c r="D17" s="15" t="n"/>
      <c r="E17" s="16">
        <f>E15</f>
        <v/>
      </c>
      <c r="F17" s="16">
        <f>F15</f>
        <v/>
      </c>
      <c r="G17" s="16">
        <f>G15</f>
        <v/>
      </c>
      <c r="H17" s="16">
        <f>H15</f>
        <v/>
      </c>
      <c r="I17" s="16">
        <f>I15</f>
        <v/>
      </c>
      <c r="J17" s="16">
        <f>J15</f>
        <v/>
      </c>
      <c r="K17" s="16">
        <f>K15</f>
        <v/>
      </c>
      <c r="L17" s="16">
        <f>L15</f>
        <v/>
      </c>
      <c r="M17" s="16">
        <f>M15</f>
        <v/>
      </c>
      <c r="N17" s="16">
        <f>N15</f>
        <v/>
      </c>
      <c r="O17" s="16">
        <f>O15</f>
        <v/>
      </c>
      <c r="P17" s="16">
        <f>P15</f>
        <v/>
      </c>
      <c r="Q17" s="16">
        <f>Q15</f>
        <v/>
      </c>
      <c r="R17" s="16">
        <f>R15</f>
        <v/>
      </c>
      <c r="S17" s="16">
        <f>S15</f>
        <v/>
      </c>
      <c r="T17" s="16">
        <f>T15</f>
        <v/>
      </c>
      <c r="U17" s="16">
        <f>U15</f>
        <v/>
      </c>
    </row>
    <row r="19">
      <c r="A19" s="17" t="inlineStr">
        <is>
          <t>SOLICITUD DE REGISTRO ICA FE MAGNE 3 SN X KILO</t>
        </is>
      </c>
      <c r="E19" s="18" t="n"/>
      <c r="F19" s="18" t="n"/>
      <c r="G19" s="18" t="n"/>
      <c r="H19" s="18" t="n"/>
      <c r="I19" s="18" t="n"/>
      <c r="J19" s="19" t="n">
        <v>0.03</v>
      </c>
      <c r="K19" s="19" t="n">
        <v>0.045</v>
      </c>
      <c r="L19" s="19" t="n">
        <v>0.27</v>
      </c>
      <c r="M19" s="19" t="n">
        <v>0.055</v>
      </c>
      <c r="N19" s="18" t="n"/>
      <c r="O19" s="18" t="n"/>
      <c r="P19" s="18" t="n"/>
      <c r="Q19" s="18" t="n"/>
      <c r="R19" s="18" t="n"/>
      <c r="S19" s="18" t="n"/>
      <c r="T19" s="19" t="n">
        <v>0.13</v>
      </c>
      <c r="U19" s="18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