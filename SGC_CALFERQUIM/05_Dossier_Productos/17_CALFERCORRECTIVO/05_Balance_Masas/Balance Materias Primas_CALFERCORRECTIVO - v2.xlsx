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2_proyectos\202.3_registros_ica-n\_02-ferticorrectivo\v2\"/>
    </mc:Choice>
  </mc:AlternateContent>
  <xr:revisionPtr revIDLastSave="0" documentId="13_ncr:1_{750C756B-A096-4922-8069-646793C3F6CE}" xr6:coauthVersionLast="47" xr6:coauthVersionMax="47" xr10:uidLastSave="{00000000-0000-0000-0000-000000000000}"/>
  <bookViews>
    <workbookView xWindow="4200" yWindow="4200" windowWidth="14490" windowHeight="11295" xr2:uid="{B4379A8B-BE11-45F9-A9C9-DD7452E97C8D}"/>
  </bookViews>
  <sheets>
    <sheet name="balance materias primas" sheetId="1" r:id="rId1"/>
  </sheets>
  <definedNames>
    <definedName name="_xlnm.Print_Area" localSheetId="0">'balance materias primas'!$A$1:$J$42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<sst xmlns="http://schemas.openxmlformats.org/spreadsheetml/2006/main" count="126" uniqueCount="39">
  <si>
    <t>BALANCE DE MATERIAS PRIMAS</t>
  </si>
  <si>
    <t>SISTEMA DE GESTION INTEGRAL</t>
  </si>
  <si>
    <t>FORMULACION:</t>
  </si>
  <si>
    <t>ADITIVOS</t>
  </si>
  <si>
    <t>SI</t>
  </si>
  <si>
    <t>NO</t>
  </si>
  <si>
    <t>MATERIA PRIMA</t>
  </si>
  <si>
    <t>kg / Ton</t>
  </si>
  <si>
    <t>%/100 kg</t>
  </si>
  <si>
    <t>Magnesio MgO</t>
  </si>
  <si>
    <t>CARBONATO CALCIO - AGROCALES</t>
  </si>
  <si>
    <t/>
  </si>
  <si>
    <t>CERTIFICADO DE ANALISIS</t>
  </si>
  <si>
    <t>CONTENIDOS MINIMOS*1</t>
  </si>
  <si>
    <t>NPK (Formula sola o en mezcla con micronutrientes)</t>
  </si>
  <si>
    <t>Secundarios (Formula UNICAMENTE con Ca, Mg, S)</t>
  </si>
  <si>
    <t>Micronutrientes: Unicamente micronutrientes</t>
  </si>
  <si>
    <t>Micronutrientes: Mezcla con NPK o secundarios</t>
  </si>
  <si>
    <t>*1 Resolución ICA 150 de 2003 ANEXO 11</t>
  </si>
  <si>
    <t>TOLERANCIAS*2</t>
  </si>
  <si>
    <t>Calculo</t>
  </si>
  <si>
    <t>NPK ¿El contenido está fuera de rango [4%-32%]?*3</t>
  </si>
  <si>
    <t>Secundarios y menores ¿La tolerancia supera el 50% o 1.5pp?*4</t>
  </si>
  <si>
    <t>Tolerancia permitida</t>
  </si>
  <si>
    <t>*2 NTC 1061:2020 ALCANCE: no aplica para organicos</t>
  </si>
  <si>
    <t xml:space="preserve">*3 NTC 1061:2020 4.1 </t>
  </si>
  <si>
    <t xml:space="preserve">*4 NTC 1061:2020 4.2.1 - 4.2.2 </t>
  </si>
  <si>
    <t>Tolerancia Mínima NTC</t>
  </si>
  <si>
    <t>Tolerancia Máxima NTC</t>
  </si>
  <si>
    <t>Azufre
 S</t>
  </si>
  <si>
    <t>TOTAL</t>
  </si>
  <si>
    <t>Calcio
CaO</t>
  </si>
  <si>
    <t>Silicio
SiO2</t>
  </si>
  <si>
    <t>SILICATO MAGNESIO - JULIAN SALDARRIAGA</t>
  </si>
  <si>
    <t>SULFATO CALCIO - ANIBAL ARANGO</t>
  </si>
  <si>
    <t>BENTONITA GRIS - DIDIER HOYOS</t>
  </si>
  <si>
    <t>CAL DOLOMITA - BOLIVARIANA MINERALES</t>
  </si>
  <si>
    <t>SOLICITUD DE REGISTRO ICA: CALFERCORRECTIVO</t>
  </si>
  <si>
    <t>CALFERCORRECTIVO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</si>
</sst>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Noto Sans"/>
      <family val="2"/>
    </font>
    <font>
      <sz val="11"/>
      <color theme="1"/>
      <name val="Noto Sans"/>
      <family val="2"/>
    </font>
    <font>
      <b/>
      <sz val="18"/>
      <color theme="1"/>
      <name val="Noto Sans"/>
      <family val="2"/>
    </font>
    <font>
      <b/>
      <sz val="20"/>
      <color theme="1"/>
      <name val="Noto Sans"/>
      <family val="2"/>
    </font>
    <font>
      <b/>
      <sz val="11"/>
      <color theme="1"/>
      <name val="Noto Sans"/>
      <family val="2"/>
    </font>
    <font>
      <sz val="12"/>
      <color theme="1"/>
      <name val="Noto Sans"/>
      <family val="2"/>
    </font>
    <font>
      <sz val="9"/>
      <color theme="1"/>
      <name val="Noto Sans"/>
      <family val="2"/>
    </font>
    <font>
      <b/>
      <sz val="12"/>
      <color theme="1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2" borderId="0" xfId="0" applyFont="1" applyFill="1"/>
    <xf numFmtId="0" fontId="5" fillId="2" borderId="1" xfId="0" applyFont="1" applyFill="1" applyBorder="1"/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64" fontId="5" fillId="2" borderId="0" xfId="1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4" fontId="0" fillId="2" borderId="0" xfId="1" applyNumberFormat="1" applyFont="1" applyFill="1" applyBorder="1" applyAlignment="1">
      <alignment horizontal="center" vertical="center"/>
    </xf>
    <xf numFmtId="0" fontId="0" fillId="2" borderId="7" xfId="0" applyFill="1" applyBorder="1"/>
    <xf numFmtId="0" fontId="0" fillId="2" borderId="8" xfId="0" applyFill="1" applyBorder="1" applyAlignment="1">
      <alignment horizontal="center"/>
    </xf>
    <xf numFmtId="164" fontId="0" fillId="2" borderId="10" xfId="1" applyNumberFormat="1" applyFont="1" applyFill="1" applyBorder="1" applyAlignment="1">
      <alignment horizontal="center" vertical="center"/>
    </xf>
    <xf numFmtId="0" fontId="4" fillId="2" borderId="1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164" fontId="0" fillId="2" borderId="15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0" fillId="2" borderId="20" xfId="0" applyFill="1" applyBorder="1" applyAlignment="1">
      <alignment horizontal="left"/>
    </xf>
    <xf numFmtId="164" fontId="0" fillId="2" borderId="19" xfId="1" applyNumberFormat="1" applyFont="1" applyFill="1" applyBorder="1" applyAlignment="1">
      <alignment horizontal="center" vertical="center"/>
    </xf>
    <xf numFmtId="164" fontId="0" fillId="2" borderId="17" xfId="1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left"/>
    </xf>
    <xf numFmtId="0" fontId="4" fillId="2" borderId="19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64" fontId="2" fillId="3" borderId="0" xfId="1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2" borderId="11" xfId="0" applyFont="1" applyFill="1" applyBorder="1"/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164" fontId="7" fillId="2" borderId="3" xfId="1" applyNumberFormat="1" applyFont="1" applyFill="1" applyBorder="1" applyAlignment="1">
      <alignment horizontal="center" vertical="center"/>
    </xf>
    <xf numFmtId="0" fontId="7" fillId="2" borderId="0" xfId="0" applyFont="1" applyFill="1" applyBorder="1"/>
    <xf numFmtId="0" fontId="7" fillId="2" borderId="0" xfId="0" applyFont="1" applyFill="1" applyBorder="1" applyAlignment="1">
      <alignment horizontal="center"/>
    </xf>
    <xf numFmtId="164" fontId="7" fillId="2" borderId="0" xfId="1" applyNumberFormat="1" applyFon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/>
    </xf>
    <xf numFmtId="164" fontId="2" fillId="3" borderId="17" xfId="0" applyNumberFormat="1" applyFont="1" applyFill="1" applyBorder="1" applyAlignment="1">
      <alignment horizontal="center" vertical="center"/>
    </xf>
    <xf numFmtId="164" fontId="0" fillId="2" borderId="2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left"/>
    </xf>
    <xf numFmtId="164" fontId="5" fillId="2" borderId="4" xfId="0" applyNumberFormat="1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/>
    </xf>
    <xf numFmtId="164" fontId="0" fillId="2" borderId="22" xfId="1" applyNumberFormat="1" applyFont="1" applyFill="1" applyBorder="1" applyAlignment="1">
      <alignment horizontal="center" vertical="center"/>
    </xf>
    <xf numFmtId="164" fontId="7" fillId="2" borderId="4" xfId="1" applyNumberFormat="1" applyFont="1" applyFill="1" applyBorder="1" applyAlignment="1">
      <alignment horizontal="center" vertical="center"/>
    </xf>
    <xf numFmtId="164" fontId="0" fillId="2" borderId="20" xfId="1" applyNumberFormat="1" applyFont="1" applyFill="1" applyBorder="1" applyAlignment="1">
      <alignment horizontal="center" vertical="center"/>
    </xf>
    <xf numFmtId="164" fontId="0" fillId="4" borderId="15" xfId="1" applyNumberFormat="1" applyFont="1" applyFill="1" applyBorder="1" applyAlignment="1">
      <alignment horizontal="center" vertical="center"/>
    </xf>
    <xf numFmtId="164" fontId="0" fillId="4" borderId="16" xfId="1" applyNumberFormat="1" applyFont="1" applyFill="1" applyBorder="1" applyAlignment="1">
      <alignment horizontal="center" vertical="center"/>
    </xf>
    <xf numFmtId="164" fontId="0" fillId="4" borderId="0" xfId="1" applyNumberFormat="1" applyFont="1" applyFill="1" applyBorder="1" applyAlignment="1">
      <alignment horizontal="center" vertical="center"/>
    </xf>
    <xf numFmtId="164" fontId="0" fillId="4" borderId="17" xfId="1" applyNumberFormat="1" applyFont="1" applyFill="1" applyBorder="1" applyAlignment="1">
      <alignment horizontal="center" vertical="center"/>
    </xf>
    <xf numFmtId="164" fontId="0" fillId="4" borderId="17" xfId="0" applyNumberFormat="1" applyFill="1" applyBorder="1" applyAlignment="1">
      <alignment horizontal="center" vertical="center"/>
    </xf>
    <xf numFmtId="10" fontId="0" fillId="4" borderId="20" xfId="0" applyNumberFormat="1" applyFill="1" applyBorder="1" applyAlignment="1">
      <alignment horizontal="center" vertical="center"/>
    </xf>
    <xf numFmtId="0" fontId="0" fillId="2" borderId="23" xfId="0" applyFill="1" applyBorder="1"/>
    <xf numFmtId="0" fontId="0" fillId="2" borderId="10" xfId="0" applyFill="1" applyBorder="1"/>
    <xf numFmtId="0" fontId="0" fillId="2" borderId="10" xfId="0" applyFill="1" applyBorder="1" applyAlignment="1">
      <alignment horizontal="center"/>
    </xf>
    <xf numFmtId="0" fontId="0" fillId="2" borderId="24" xfId="0" applyFill="1" applyBorder="1"/>
    <xf numFmtId="0" fontId="0" fillId="2" borderId="5" xfId="0" applyFill="1" applyBorder="1" applyAlignment="1">
      <alignment vertical="center"/>
    </xf>
    <xf numFmtId="0" fontId="0" fillId="2" borderId="0" xfId="0" applyFill="1" applyBorder="1"/>
    <xf numFmtId="0" fontId="0" fillId="2" borderId="25" xfId="0" applyFill="1" applyBorder="1"/>
    <xf numFmtId="0" fontId="0" fillId="2" borderId="5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/>
    <xf numFmtId="0" fontId="4" fillId="2" borderId="5" xfId="0" applyFont="1" applyFill="1" applyBorder="1"/>
    <xf numFmtId="0" fontId="4" fillId="2" borderId="0" xfId="0" applyFont="1" applyFill="1" applyBorder="1"/>
    <xf numFmtId="0" fontId="4" fillId="2" borderId="25" xfId="0" applyFont="1" applyFill="1" applyBorder="1"/>
    <xf numFmtId="0" fontId="6" fillId="2" borderId="0" xfId="0" applyFont="1" applyFill="1" applyBorder="1" applyAlignment="1">
      <alignment horizontal="left"/>
    </xf>
    <xf numFmtId="0" fontId="0" fillId="2" borderId="9" xfId="0" applyFill="1" applyBorder="1"/>
    <xf numFmtId="0" fontId="0" fillId="2" borderId="26" xfId="0" applyFill="1" applyBorder="1"/>
    <xf numFmtId="0" fontId="0" fillId="2" borderId="26" xfId="0" applyFill="1" applyBorder="1" applyAlignment="1">
      <alignment horizontal="center"/>
    </xf>
    <xf numFmtId="0" fontId="0" fillId="2" borderId="27" xfId="0" applyFill="1" applyBorder="1"/>
    <xf numFmtId="0" fontId="0" fillId="2" borderId="28" xfId="0" applyFill="1" applyBorder="1" applyAlignment="1">
      <alignment horizontal="center"/>
    </xf>
    <xf numFmtId="164" fontId="5" fillId="2" borderId="29" xfId="1" applyNumberFormat="1" applyFont="1" applyFill="1" applyBorder="1" applyAlignment="1">
      <alignment horizontal="center" vertical="center"/>
    </xf>
    <xf numFmtId="164" fontId="5" fillId="2" borderId="15" xfId="1" applyNumberFormat="1" applyFont="1" applyFill="1" applyBorder="1" applyAlignment="1">
      <alignment horizontal="center" vertical="center"/>
    </xf>
    <xf numFmtId="164" fontId="5" fillId="2" borderId="30" xfId="1" applyNumberFormat="1" applyFont="1" applyFill="1" applyBorder="1" applyAlignment="1">
      <alignment horizontal="center" vertical="center"/>
    </xf>
    <xf numFmtId="164" fontId="5" fillId="2" borderId="5" xfId="1" applyNumberFormat="1" applyFont="1" applyFill="1" applyBorder="1" applyAlignment="1">
      <alignment horizontal="center" vertical="center"/>
    </xf>
    <xf numFmtId="164" fontId="5" fillId="2" borderId="25" xfId="1" applyNumberFormat="1" applyFont="1" applyFill="1" applyBorder="1" applyAlignment="1">
      <alignment horizontal="center" vertical="center"/>
    </xf>
    <xf numFmtId="164" fontId="5" fillId="2" borderId="9" xfId="1" applyNumberFormat="1" applyFont="1" applyFill="1" applyBorder="1" applyAlignment="1">
      <alignment horizontal="center" vertical="center"/>
    </xf>
    <xf numFmtId="164" fontId="5" fillId="2" borderId="26" xfId="1" applyNumberFormat="1" applyFont="1" applyFill="1" applyBorder="1" applyAlignment="1">
      <alignment horizontal="center" vertical="center"/>
    </xf>
    <xf numFmtId="164" fontId="5" fillId="2" borderId="27" xfId="1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6"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2684929</xdr:colOff>
      <xdr:row>0</xdr:row>
      <xdr:rowOff>224117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CB150339-D21F-40F6-8789-225A5D2FB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5954" y="224117"/>
          <a:ext cx="1099458" cy="6286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8887-DB1A-423D-9735-74C4CC432178}">
  <sheetPr>
    <pageSetUpPr fitToPage="1"/>
  </sheetPr>
  <dimension ref="A1:J42"/>
  <sheetViews>
    <sheetView tabSelected="1" zoomScale="85" zoomScaleNormal="85" workbookViewId="0">
      <selection activeCell="E31" sqref="E31"/>
    </sheetView>
  </sheetViews>
  <sheetFormatPr baseColWidth="10" defaultColWidth="8.88671875" defaultRowHeight="19.5" x14ac:dyDescent="0.45"/>
  <cols>
    <col min="1" max="1" width="6.77734375" style="1" customWidth="1"/>
    <col min="2" max="2" width="67.109375" style="1" customWidth="1"/>
    <col min="3" max="3" width="9.44140625" style="2" bestFit="1" customWidth="1"/>
    <col min="4" max="4" width="9.77734375" style="2" bestFit="1" customWidth="1"/>
    <col min="5" max="8" width="12.109375" style="2" customWidth="1"/>
    <col min="9" max="16384" width="8.88671875" style="1"/>
  </cols>
  <sheetData>
    <row r="1" spans="1:10" ht="20.25" thickBot="1" x14ac:dyDescent="0.5">
      <c r="A1" s="64"/>
      <c r="B1" s="65"/>
      <c r="C1" s="66"/>
      <c r="D1" s="66"/>
      <c r="E1" s="66"/>
      <c r="F1" s="66"/>
      <c r="G1" s="66"/>
      <c r="H1" s="66"/>
      <c r="I1" s="65"/>
      <c r="J1" s="67"/>
    </row>
    <row r="2" spans="1:10" ht="33.75" x14ac:dyDescent="0.45">
      <c r="A2" s="68"/>
      <c r="B2" s="69"/>
      <c r="C2" s="92" t="s">
        <v>0</v>
      </c>
      <c r="D2" s="93"/>
      <c r="E2" s="93"/>
      <c r="F2" s="93"/>
      <c r="G2" s="93"/>
      <c r="H2" s="94"/>
      <c r="I2" s="69"/>
      <c r="J2" s="70"/>
    </row>
    <row r="3" spans="1:10" ht="34.5" thickBot="1" x14ac:dyDescent="0.5">
      <c r="A3" s="68"/>
      <c r="B3" s="69"/>
      <c r="C3" s="95" t="s">
        <v>1</v>
      </c>
      <c r="D3" s="96"/>
      <c r="E3" s="96"/>
      <c r="F3" s="96"/>
      <c r="G3" s="96"/>
      <c r="H3" s="97"/>
      <c r="I3" s="69"/>
      <c r="J3" s="70"/>
    </row>
    <row r="4" spans="1:10" ht="20.25" thickBot="1" x14ac:dyDescent="0.5">
      <c r="A4" s="71"/>
      <c r="B4" s="72"/>
      <c r="C4" s="72"/>
      <c r="D4" s="72"/>
      <c r="E4" s="72"/>
      <c r="F4" s="72"/>
      <c r="G4" s="72"/>
      <c r="H4" s="73"/>
      <c r="I4" s="69"/>
      <c r="J4" s="70"/>
    </row>
    <row r="5" spans="1:10" ht="34.5" thickBot="1" x14ac:dyDescent="0.5">
      <c r="A5" s="71"/>
      <c r="B5" s="3" t="s">
        <v>2</v>
      </c>
      <c r="C5" s="98" t="s">
        <v>38</v>
      </c>
      <c r="D5" s="99"/>
      <c r="E5" s="99"/>
      <c r="F5" s="99"/>
      <c r="G5" s="99"/>
      <c r="H5" s="100"/>
      <c r="I5" s="69"/>
      <c r="J5" s="70"/>
    </row>
    <row r="6" spans="1:10" ht="20.25" thickBot="1" x14ac:dyDescent="0.5">
      <c r="A6" s="74"/>
      <c r="B6" s="69"/>
      <c r="C6" s="73"/>
      <c r="D6" s="73"/>
      <c r="E6" s="73"/>
      <c r="F6" s="73"/>
      <c r="G6" s="73"/>
      <c r="H6" s="73"/>
      <c r="I6" s="69"/>
      <c r="J6" s="70"/>
    </row>
    <row r="7" spans="1:10" s="4" customFormat="1" ht="41.25" thickBot="1" x14ac:dyDescent="0.5">
      <c r="A7" s="75"/>
      <c r="B7" s="38" t="s">
        <v>6</v>
      </c>
      <c r="C7" s="38" t="s">
        <v>7</v>
      </c>
      <c r="D7" s="38" t="s">
        <v>8</v>
      </c>
      <c r="E7" s="39" t="s">
        <v>31</v>
      </c>
      <c r="F7" s="39" t="s">
        <v>9</v>
      </c>
      <c r="G7" s="39" t="s">
        <v>29</v>
      </c>
      <c r="H7" s="40" t="s">
        <v>32</v>
      </c>
      <c r="I7" s="76"/>
      <c r="J7" s="77"/>
    </row>
    <row r="8" spans="1:10" ht="20.25" x14ac:dyDescent="0.45">
      <c r="A8" s="74"/>
      <c r="B8" s="5" t="s">
        <v>34</v>
      </c>
      <c r="C8" s="6">
        <v>200</v>
      </c>
      <c r="D8" s="7">
        <v>20</v>
      </c>
      <c r="E8" s="84">
        <v>5.2000000000000005E-2</v>
      </c>
      <c r="F8" s="85"/>
      <c r="G8" s="85">
        <v>2.6000000000000002E-2</v>
      </c>
      <c r="H8" s="86"/>
      <c r="I8" s="69"/>
      <c r="J8" s="70"/>
    </row>
    <row r="9" spans="1:10" ht="20.25" x14ac:dyDescent="0.45">
      <c r="A9" s="74"/>
      <c r="B9" s="5" t="s">
        <v>10</v>
      </c>
      <c r="C9" s="6">
        <v>170</v>
      </c>
      <c r="D9" s="7">
        <v>17</v>
      </c>
      <c r="E9" s="87">
        <v>7.4800000000000005E-2</v>
      </c>
      <c r="F9" s="8"/>
      <c r="G9" s="8"/>
      <c r="H9" s="88"/>
      <c r="I9" s="69"/>
      <c r="J9" s="70"/>
    </row>
    <row r="10" spans="1:10" ht="20.25" x14ac:dyDescent="0.45">
      <c r="A10" s="74"/>
      <c r="B10" s="9" t="s">
        <v>36</v>
      </c>
      <c r="C10" s="10">
        <v>100</v>
      </c>
      <c r="D10" s="11">
        <v>10</v>
      </c>
      <c r="E10" s="87">
        <v>3.4000000000000002E-2</v>
      </c>
      <c r="F10" s="8">
        <v>1.4000000000000002E-2</v>
      </c>
      <c r="G10" s="8"/>
      <c r="H10" s="88"/>
      <c r="I10" s="69"/>
      <c r="J10" s="70"/>
    </row>
    <row r="11" spans="1:10" ht="20.25" x14ac:dyDescent="0.45">
      <c r="A11" s="74"/>
      <c r="B11" s="9" t="s">
        <v>33</v>
      </c>
      <c r="C11" s="83">
        <v>350</v>
      </c>
      <c r="D11" s="83">
        <v>35</v>
      </c>
      <c r="E11" s="89"/>
      <c r="F11" s="90">
        <v>0.126</v>
      </c>
      <c r="G11" s="90"/>
      <c r="H11" s="91">
        <v>0.1386</v>
      </c>
      <c r="I11" s="69"/>
      <c r="J11" s="70"/>
    </row>
    <row r="12" spans="1:10" x14ac:dyDescent="0.45">
      <c r="A12" s="74"/>
      <c r="B12" s="13" t="s">
        <v>3</v>
      </c>
      <c r="C12" s="14"/>
      <c r="D12" s="14"/>
      <c r="E12" s="14"/>
      <c r="F12" s="14"/>
      <c r="G12" s="14"/>
      <c r="H12" s="54"/>
      <c r="I12" s="69"/>
      <c r="J12" s="70"/>
    </row>
    <row r="13" spans="1:10" ht="20.25" x14ac:dyDescent="0.45">
      <c r="A13" s="74"/>
      <c r="B13" s="5" t="s">
        <v>35</v>
      </c>
      <c r="C13" s="6">
        <v>180</v>
      </c>
      <c r="D13" s="6">
        <v>18</v>
      </c>
      <c r="E13" s="15"/>
      <c r="F13" s="15"/>
      <c r="G13" s="15"/>
      <c r="H13" s="55"/>
      <c r="I13" s="69"/>
      <c r="J13" s="70"/>
    </row>
    <row r="14" spans="1:10" ht="20.25" thickBot="1" x14ac:dyDescent="0.5">
      <c r="A14" s="74"/>
      <c r="B14" s="9"/>
      <c r="C14" s="10"/>
      <c r="D14" s="10"/>
      <c r="E14" s="12"/>
      <c r="F14" s="12"/>
      <c r="G14" s="12"/>
      <c r="H14" s="33"/>
      <c r="I14" s="69"/>
      <c r="J14" s="70"/>
    </row>
    <row r="15" spans="1:10" ht="21" thickBot="1" x14ac:dyDescent="0.5">
      <c r="A15" s="74"/>
      <c r="B15" s="41" t="s">
        <v>30</v>
      </c>
      <c r="C15" s="42">
        <v>1000</v>
      </c>
      <c r="D15" s="43">
        <v>100</v>
      </c>
      <c r="E15" s="44">
        <v>0.161</v>
      </c>
      <c r="F15" s="44">
        <v>0.14000000000000001</v>
      </c>
      <c r="G15" s="44">
        <v>2.6000000000000002E-2</v>
      </c>
      <c r="H15" s="56">
        <v>0.13900000000000001</v>
      </c>
      <c r="I15" s="69"/>
      <c r="J15" s="70"/>
    </row>
    <row r="16" spans="1:10" ht="20.25" x14ac:dyDescent="0.45">
      <c r="A16" s="74"/>
      <c r="B16" s="45"/>
      <c r="C16" s="46"/>
      <c r="D16" s="46"/>
      <c r="E16" s="47"/>
      <c r="F16" s="47"/>
      <c r="G16" s="47"/>
      <c r="H16" s="47"/>
      <c r="I16" s="69"/>
      <c r="J16" s="70"/>
    </row>
    <row r="17" spans="1:10" ht="20.25" thickBot="1" x14ac:dyDescent="0.5">
      <c r="A17" s="74"/>
      <c r="B17" s="69" t="s">
        <v>11</v>
      </c>
      <c r="C17" s="73" t="s">
        <v>11</v>
      </c>
      <c r="D17" s="73" t="s">
        <v>11</v>
      </c>
      <c r="E17" s="73"/>
      <c r="F17" s="73"/>
      <c r="G17" s="73"/>
      <c r="H17" s="73"/>
      <c r="I17" s="69"/>
      <c r="J17" s="70"/>
    </row>
    <row r="18" spans="1:10" ht="21" thickBot="1" x14ac:dyDescent="0.5">
      <c r="A18" s="74"/>
      <c r="B18" s="16" t="s">
        <v>12</v>
      </c>
      <c r="C18" s="17" t="s">
        <v>11</v>
      </c>
      <c r="D18" s="18" t="s">
        <v>11</v>
      </c>
      <c r="E18" s="19">
        <v>0.17299999999999999</v>
      </c>
      <c r="F18" s="19">
        <v>0.14899999999999999</v>
      </c>
      <c r="G18" s="19">
        <v>2.5999999999999999E-2</v>
      </c>
      <c r="H18" s="53">
        <v>0.249</v>
      </c>
      <c r="I18" s="69"/>
      <c r="J18" s="70"/>
    </row>
    <row r="19" spans="1:10" ht="20.25" thickBot="1" x14ac:dyDescent="0.5">
      <c r="A19" s="74"/>
      <c r="B19" s="69" t="s">
        <v>11</v>
      </c>
      <c r="C19" s="73" t="s">
        <v>11</v>
      </c>
      <c r="D19" s="73" t="s">
        <v>11</v>
      </c>
      <c r="E19" s="73" t="s">
        <v>11</v>
      </c>
      <c r="F19" s="73" t="s">
        <v>11</v>
      </c>
      <c r="G19" s="73" t="s">
        <v>11</v>
      </c>
      <c r="H19" s="73" t="s">
        <v>11</v>
      </c>
      <c r="I19" s="69"/>
      <c r="J19" s="70"/>
    </row>
    <row r="20" spans="1:10" ht="20.25" thickBot="1" x14ac:dyDescent="0.5">
      <c r="A20" s="74"/>
      <c r="B20" s="20" t="s">
        <v>13</v>
      </c>
      <c r="C20" s="21"/>
      <c r="D20" s="22"/>
      <c r="E20" s="72" t="s">
        <v>11</v>
      </c>
      <c r="F20" s="72" t="s">
        <v>11</v>
      </c>
      <c r="G20" s="72" t="s">
        <v>11</v>
      </c>
      <c r="H20" s="72" t="s">
        <v>11</v>
      </c>
      <c r="I20" s="69"/>
      <c r="J20" s="70"/>
    </row>
    <row r="21" spans="1:10" x14ac:dyDescent="0.45">
      <c r="A21" s="74"/>
      <c r="B21" s="23" t="s">
        <v>14</v>
      </c>
      <c r="C21" s="24" t="s">
        <v>11</v>
      </c>
      <c r="D21" s="25" t="s">
        <v>11</v>
      </c>
      <c r="E21" s="58"/>
      <c r="F21" s="58"/>
      <c r="G21" s="58"/>
      <c r="H21" s="59"/>
      <c r="I21" s="69"/>
      <c r="J21" s="70"/>
    </row>
    <row r="22" spans="1:10" x14ac:dyDescent="0.45">
      <c r="A22" s="74"/>
      <c r="B22" s="27" t="s">
        <v>15</v>
      </c>
      <c r="C22" s="52" t="s">
        <v>11</v>
      </c>
      <c r="D22" s="28" t="s">
        <v>11</v>
      </c>
      <c r="E22" s="60"/>
      <c r="F22" s="60"/>
      <c r="G22" s="60"/>
      <c r="H22" s="61"/>
      <c r="I22" s="69"/>
      <c r="J22" s="70"/>
    </row>
    <row r="23" spans="1:10" x14ac:dyDescent="0.45">
      <c r="A23" s="74"/>
      <c r="B23" s="27" t="s">
        <v>16</v>
      </c>
      <c r="C23" s="52" t="s">
        <v>11</v>
      </c>
      <c r="D23" s="28" t="s">
        <v>11</v>
      </c>
      <c r="E23" s="60"/>
      <c r="F23" s="60"/>
      <c r="G23" s="60"/>
      <c r="H23" s="61"/>
      <c r="I23" s="69"/>
      <c r="J23" s="70"/>
    </row>
    <row r="24" spans="1:10" ht="20.25" thickBot="1" x14ac:dyDescent="0.5">
      <c r="A24" s="74"/>
      <c r="B24" s="29" t="s">
        <v>17</v>
      </c>
      <c r="C24" s="30" t="s">
        <v>11</v>
      </c>
      <c r="D24" s="31" t="s">
        <v>11</v>
      </c>
      <c r="E24" s="32" t="s">
        <v>4</v>
      </c>
      <c r="F24" s="32" t="s">
        <v>4</v>
      </c>
      <c r="G24" s="32" t="s">
        <v>4</v>
      </c>
      <c r="H24" s="57" t="s">
        <v>4</v>
      </c>
      <c r="I24" s="69"/>
      <c r="J24" s="70"/>
    </row>
    <row r="25" spans="1:10" x14ac:dyDescent="0.45">
      <c r="A25" s="74"/>
      <c r="B25" s="78" t="s">
        <v>18</v>
      </c>
      <c r="C25" s="78" t="s">
        <v>11</v>
      </c>
      <c r="D25" s="78" t="s">
        <v>11</v>
      </c>
      <c r="E25" s="72" t="s">
        <v>11</v>
      </c>
      <c r="F25" s="72" t="s">
        <v>11</v>
      </c>
      <c r="G25" s="72" t="s">
        <v>11</v>
      </c>
      <c r="H25" s="72" t="s">
        <v>11</v>
      </c>
      <c r="I25" s="69"/>
      <c r="J25" s="70"/>
    </row>
    <row r="26" spans="1:10" ht="20.25" thickBot="1" x14ac:dyDescent="0.5">
      <c r="A26" s="74"/>
      <c r="B26" s="69" t="s">
        <v>11</v>
      </c>
      <c r="C26" s="73" t="s">
        <v>11</v>
      </c>
      <c r="D26" s="73" t="s">
        <v>11</v>
      </c>
      <c r="E26" s="73" t="s">
        <v>11</v>
      </c>
      <c r="F26" s="73" t="s">
        <v>11</v>
      </c>
      <c r="G26" s="73" t="s">
        <v>11</v>
      </c>
      <c r="H26" s="73" t="s">
        <v>11</v>
      </c>
      <c r="I26" s="69"/>
      <c r="J26" s="70"/>
    </row>
    <row r="27" spans="1:10" ht="20.25" thickBot="1" x14ac:dyDescent="0.5">
      <c r="A27" s="74"/>
      <c r="B27" s="20" t="s">
        <v>19</v>
      </c>
      <c r="C27" s="21" t="s">
        <v>11</v>
      </c>
      <c r="D27" s="22" t="s">
        <v>11</v>
      </c>
      <c r="E27" s="72" t="s">
        <v>11</v>
      </c>
      <c r="F27" s="72" t="s">
        <v>11</v>
      </c>
      <c r="G27" s="72" t="s">
        <v>11</v>
      </c>
      <c r="H27" s="72" t="s">
        <v>11</v>
      </c>
      <c r="I27" s="69"/>
      <c r="J27" s="70"/>
    </row>
    <row r="28" spans="1:10" x14ac:dyDescent="0.45">
      <c r="A28" s="74"/>
      <c r="B28" s="23" t="s">
        <v>20</v>
      </c>
      <c r="C28" s="24" t="s">
        <v>11</v>
      </c>
      <c r="D28" s="25" t="s">
        <v>11</v>
      </c>
      <c r="E28" s="26">
        <v>2.2255799999999999E-2</v>
      </c>
      <c r="F28" s="26">
        <v>2.3399999999999997E-2</v>
      </c>
      <c r="G28" s="26">
        <v>4.9499999999999995E-3</v>
      </c>
      <c r="H28" s="59"/>
      <c r="I28" s="69"/>
      <c r="J28" s="70"/>
    </row>
    <row r="29" spans="1:10" x14ac:dyDescent="0.45">
      <c r="A29" s="74"/>
      <c r="B29" s="27" t="s">
        <v>21</v>
      </c>
      <c r="C29" s="52" t="s">
        <v>11</v>
      </c>
      <c r="D29" s="28" t="s">
        <v>11</v>
      </c>
      <c r="E29" s="60"/>
      <c r="F29" s="60"/>
      <c r="G29" s="60"/>
      <c r="H29" s="62"/>
      <c r="I29" s="69"/>
      <c r="J29" s="70"/>
    </row>
    <row r="30" spans="1:10" x14ac:dyDescent="0.45">
      <c r="A30" s="74"/>
      <c r="B30" s="27" t="s">
        <v>22</v>
      </c>
      <c r="C30" s="52" t="s">
        <v>11</v>
      </c>
      <c r="D30" s="28" t="s">
        <v>11</v>
      </c>
      <c r="E30" s="12" t="s">
        <v>4</v>
      </c>
      <c r="F30" s="12" t="s">
        <v>4</v>
      </c>
      <c r="G30" s="12" t="s">
        <v>5</v>
      </c>
      <c r="H30" s="61"/>
      <c r="I30" s="69"/>
      <c r="J30" s="70"/>
    </row>
    <row r="31" spans="1:10" ht="20.25" thickBot="1" x14ac:dyDescent="0.5">
      <c r="A31" s="74"/>
      <c r="B31" s="29" t="s">
        <v>23</v>
      </c>
      <c r="C31" s="30" t="s">
        <v>11</v>
      </c>
      <c r="D31" s="31" t="s">
        <v>11</v>
      </c>
      <c r="E31" s="32">
        <v>1.4999999999999999E-2</v>
      </c>
      <c r="F31" s="32">
        <v>1.4999999999999999E-2</v>
      </c>
      <c r="G31" s="32">
        <v>4.9499999999999995E-3</v>
      </c>
      <c r="H31" s="63"/>
      <c r="I31" s="69"/>
      <c r="J31" s="70"/>
    </row>
    <row r="32" spans="1:10" x14ac:dyDescent="0.45">
      <c r="A32" s="74"/>
      <c r="B32" s="78" t="s">
        <v>24</v>
      </c>
      <c r="C32" s="78" t="s">
        <v>11</v>
      </c>
      <c r="D32" s="78" t="s">
        <v>11</v>
      </c>
      <c r="E32" s="72" t="s">
        <v>11</v>
      </c>
      <c r="F32" s="72" t="s">
        <v>11</v>
      </c>
      <c r="G32" s="72" t="s">
        <v>11</v>
      </c>
      <c r="H32" s="72" t="s">
        <v>11</v>
      </c>
      <c r="I32" s="69"/>
      <c r="J32" s="70"/>
    </row>
    <row r="33" spans="1:10" x14ac:dyDescent="0.45">
      <c r="A33" s="74"/>
      <c r="B33" s="78" t="s">
        <v>25</v>
      </c>
      <c r="C33" s="78" t="s">
        <v>11</v>
      </c>
      <c r="D33" s="78" t="s">
        <v>11</v>
      </c>
      <c r="E33" s="72" t="s">
        <v>11</v>
      </c>
      <c r="F33" s="72" t="s">
        <v>11</v>
      </c>
      <c r="G33" s="72" t="s">
        <v>11</v>
      </c>
      <c r="H33" s="72" t="s">
        <v>11</v>
      </c>
      <c r="I33" s="69"/>
      <c r="J33" s="70"/>
    </row>
    <row r="34" spans="1:10" x14ac:dyDescent="0.45">
      <c r="A34" s="74"/>
      <c r="B34" s="78" t="s">
        <v>26</v>
      </c>
      <c r="C34" s="78" t="s">
        <v>11</v>
      </c>
      <c r="D34" s="78" t="s">
        <v>11</v>
      </c>
      <c r="E34" s="72" t="s">
        <v>11</v>
      </c>
      <c r="F34" s="72" t="s">
        <v>11</v>
      </c>
      <c r="G34" s="72" t="s">
        <v>11</v>
      </c>
      <c r="H34" s="72" t="s">
        <v>11</v>
      </c>
      <c r="I34" s="69"/>
      <c r="J34" s="70"/>
    </row>
    <row r="35" spans="1:10" ht="20.25" thickBot="1" x14ac:dyDescent="0.5">
      <c r="A35" s="74"/>
      <c r="B35" s="69" t="s">
        <v>11</v>
      </c>
      <c r="C35" s="73" t="s">
        <v>11</v>
      </c>
      <c r="D35" s="73" t="s">
        <v>11</v>
      </c>
      <c r="E35" s="72" t="s">
        <v>11</v>
      </c>
      <c r="F35" s="72" t="s">
        <v>11</v>
      </c>
      <c r="G35" s="72" t="s">
        <v>11</v>
      </c>
      <c r="H35" s="72" t="s">
        <v>11</v>
      </c>
      <c r="I35" s="69"/>
      <c r="J35" s="70"/>
    </row>
    <row r="36" spans="1:10" x14ac:dyDescent="0.45">
      <c r="A36" s="74"/>
      <c r="B36" s="20" t="s">
        <v>27</v>
      </c>
      <c r="C36" s="21" t="s">
        <v>11</v>
      </c>
      <c r="D36" s="21" t="s">
        <v>11</v>
      </c>
      <c r="E36" s="26">
        <v>0.14500000000000002</v>
      </c>
      <c r="F36" s="26">
        <v>0.125</v>
      </c>
      <c r="G36" s="26">
        <v>2.0050000000000002E-2</v>
      </c>
      <c r="H36" s="48"/>
      <c r="I36" s="69"/>
      <c r="J36" s="70"/>
    </row>
    <row r="37" spans="1:10" ht="30" x14ac:dyDescent="0.65">
      <c r="A37" s="74"/>
      <c r="B37" s="36" t="s">
        <v>37</v>
      </c>
      <c r="C37" s="49" t="s">
        <v>11</v>
      </c>
      <c r="D37" s="49" t="s">
        <v>11</v>
      </c>
      <c r="E37" s="37">
        <v>0.16</v>
      </c>
      <c r="F37" s="37">
        <v>0.14000000000000001</v>
      </c>
      <c r="G37" s="37">
        <v>2.5000000000000001E-2</v>
      </c>
      <c r="H37" s="50">
        <v>0.14000000000000001</v>
      </c>
      <c r="I37" s="69"/>
      <c r="J37" s="70"/>
    </row>
    <row r="38" spans="1:10" ht="20.25" thickBot="1" x14ac:dyDescent="0.5">
      <c r="A38" s="74"/>
      <c r="B38" s="34" t="s">
        <v>28</v>
      </c>
      <c r="C38" s="35" t="s">
        <v>11</v>
      </c>
      <c r="D38" s="35" t="s">
        <v>11</v>
      </c>
      <c r="E38" s="32">
        <v>0.17499999999999999</v>
      </c>
      <c r="F38" s="32">
        <v>0.15500000000000003</v>
      </c>
      <c r="G38" s="32">
        <v>2.9950000000000001E-2</v>
      </c>
      <c r="H38" s="51" t="s">
        <v>11</v>
      </c>
      <c r="I38" s="69"/>
      <c r="J38" s="70"/>
    </row>
    <row r="39" spans="1:10" x14ac:dyDescent="0.45">
      <c r="A39" s="74"/>
      <c r="B39" s="69"/>
      <c r="C39" s="73"/>
      <c r="D39" s="73"/>
      <c r="E39" s="73"/>
      <c r="F39" s="73"/>
      <c r="G39" s="73"/>
      <c r="H39" s="73"/>
      <c r="I39" s="69"/>
      <c r="J39" s="70"/>
    </row>
    <row r="40" spans="1:10" x14ac:dyDescent="0.45">
      <c r="A40" s="74"/>
      <c r="B40" s="69"/>
      <c r="C40" s="73"/>
      <c r="D40" s="73"/>
      <c r="E40" s="73"/>
      <c r="F40" s="73"/>
      <c r="G40" s="73"/>
      <c r="H40" s="73"/>
      <c r="I40" s="69"/>
      <c r="J40" s="70"/>
    </row>
    <row r="41" spans="1:10" x14ac:dyDescent="0.45">
      <c r="A41" s="74"/>
      <c r="B41" s="69"/>
      <c r="C41" s="73"/>
      <c r="D41" s="73"/>
      <c r="E41" s="73"/>
      <c r="F41" s="73"/>
      <c r="G41" s="73"/>
      <c r="H41" s="73"/>
      <c r="I41" s="69"/>
      <c r="J41" s="70"/>
    </row>
    <row r="42" spans="1:10" x14ac:dyDescent="0.45">
      <c r="A42" s="79"/>
      <c r="B42" s="80"/>
      <c r="C42" s="81"/>
      <c r="D42" s="81"/>
      <c r="E42" s="81"/>
      <c r="F42" s="81"/>
      <c r="G42" s="81"/>
      <c r="H42" s="81"/>
      <c r="I42" s="80"/>
      <c r="J42" s="82"/>
    </row>
  </sheetData>
  <mergeCells count="3">
    <mergeCell ref="C2:H2"/>
    <mergeCell ref="C3:H3"/>
    <mergeCell ref="C5:H5"/>
  </mergeCells>
  <conditionalFormatting sqref="B12:B14 B8:D11">
    <cfRule type="notContainsBlanks" dxfId="5" priority="5">
      <formula>LEN(TRIM(B8))&gt;0</formula>
    </cfRule>
  </conditionalFormatting>
  <conditionalFormatting sqref="B15:D16">
    <cfRule type="notContainsBlanks" dxfId="4" priority="6">
      <formula>LEN(TRIM(B15))&gt;0</formula>
    </cfRule>
  </conditionalFormatting>
  <conditionalFormatting sqref="E13:H14 E8:H11">
    <cfRule type="containsBlanks" dxfId="3" priority="3">
      <formula>LEN(TRIM(E8))=0</formula>
    </cfRule>
    <cfRule type="notContainsBlanks" dxfId="2" priority="4">
      <formula>LEN(TRIM(E8))&gt;0</formula>
    </cfRule>
  </conditionalFormatting>
  <conditionalFormatting sqref="C13">
    <cfRule type="notContainsBlanks" dxfId="1" priority="2">
      <formula>LEN(TRIM(C13))&gt;0</formula>
    </cfRule>
  </conditionalFormatting>
  <conditionalFormatting sqref="D13">
    <cfRule type="notContainsBlanks" dxfId="0" priority="1">
      <formula>LEN(TRIM(D13))&gt;0</formula>
    </cfRule>
  </conditionalFormatting>
  <pageMargins left="0.7" right="0.7" top="0.75" bottom="0.75" header="0.3" footer="0.3"/>
  <pageSetup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balance materias primas</vt:lpstr>
      <vt:lpstr>'balance materias primas'!Área_de_impresión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2024-11-05T16:18:25Z</dcterms:created>
  <dcterms:modified xsi:type="dcterms:W3CDTF">2025-04-10T19:49:59Z</dcterms:modified>
</cp:coreProperties>
</file>