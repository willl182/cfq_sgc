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FERCORRECTIVO X KI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b val="1"/>
      <sz val="10"/>
    </font>
    <font>
      <b val="1"/>
      <color rgb="00FFFFFF"/>
      <sz val="10"/>
    </font>
    <font>
      <i val="1"/>
    </font>
    <font>
      <b val="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  <xf numFmtId="164" fontId="7" fillId="4" borderId="1" pivotButton="0" quotePrefix="0" xfId="0"/>
    <xf numFmtId="165" fontId="7" fillId="4" borderId="1" pivotButton="0" quotePrefix="0" xfId="0"/>
    <xf numFmtId="0" fontId="3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7" fillId="6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BALANCE DE MATERIAS PRIMAS</t>
        </is>
      </c>
    </row>
    <row r="2">
      <c r="A2" s="2" t="inlineStr">
        <is>
          <t>CALFERCORRECTIVO X KILO</t>
        </is>
      </c>
    </row>
    <row r="3">
      <c r="A3" s="3" t="inlineStr">
        <is>
          <t>CALFERQUIM S.A.S</t>
        </is>
      </c>
    </row>
    <row r="5">
      <c r="E5" s="4" t="inlineStr">
        <is>
          <t>ELEMENTOS</t>
        </is>
      </c>
    </row>
    <row r="6">
      <c r="A6" s="5" t="inlineStr">
        <is>
          <t>MATERIA PRIMA</t>
        </is>
      </c>
      <c r="B6" s="5" t="inlineStr">
        <is>
          <t>Composición</t>
        </is>
      </c>
      <c r="C6" s="5" t="inlineStr">
        <is>
          <t>Kg/Ton</t>
        </is>
      </c>
      <c r="D6" s="5" t="inlineStr">
        <is>
          <t>%/100 Kg</t>
        </is>
      </c>
      <c r="E6" s="5" t="inlineStr">
        <is>
          <t>Nitrógeno Total (N)</t>
        </is>
      </c>
      <c r="F6" s="5" t="inlineStr">
        <is>
          <t>Nitrógeno Amoniacal (N)</t>
        </is>
      </c>
      <c r="G6" s="5" t="inlineStr">
        <is>
          <t>Nitrógeno Nítrico (N)</t>
        </is>
      </c>
      <c r="H6" s="5" t="inlineStr">
        <is>
          <t>Nitrógeno Ureico (N)</t>
        </is>
      </c>
      <c r="I6" s="5" t="inlineStr">
        <is>
          <t>Fósforo Asimilable (P₂O₅)</t>
        </is>
      </c>
      <c r="J6" s="5" t="inlineStr">
        <is>
          <t>Potasio Soluble (K₂O)</t>
        </is>
      </c>
      <c r="K6" s="5" t="inlineStr">
        <is>
          <t>CaO</t>
        </is>
      </c>
      <c r="L6" s="5" t="inlineStr">
        <is>
          <t>MgO</t>
        </is>
      </c>
      <c r="M6" s="5" t="inlineStr">
        <is>
          <t>Azufre (S)</t>
        </is>
      </c>
      <c r="N6" s="5" t="inlineStr">
        <is>
          <t>Boro (B)</t>
        </is>
      </c>
      <c r="O6" s="5" t="inlineStr">
        <is>
          <t>Cobalto (Co)</t>
        </is>
      </c>
      <c r="P6" s="5" t="inlineStr">
        <is>
          <t>Cobre (Cu)</t>
        </is>
      </c>
      <c r="Q6" s="5" t="inlineStr">
        <is>
          <t>Hierro (Fe)</t>
        </is>
      </c>
      <c r="R6" s="5" t="inlineStr">
        <is>
          <t>Manganeso (Mn)</t>
        </is>
      </c>
      <c r="S6" s="5" t="inlineStr">
        <is>
          <t>Molibdeno (Mo)</t>
        </is>
      </c>
      <c r="T6" s="5" t="inlineStr">
        <is>
          <t>SiO₂</t>
        </is>
      </c>
      <c r="U6" s="5" t="inlineStr">
        <is>
          <t>Zinc (Zn)</t>
        </is>
      </c>
    </row>
    <row r="7">
      <c r="A7" s="6" t="inlineStr">
        <is>
          <t>ROCA FOSFORICA 26% X KILO</t>
        </is>
      </c>
      <c r="B7" s="6" t="inlineStr">
        <is>
          <t>26% P₂O₅ + 36% CaO</t>
        </is>
      </c>
      <c r="C7" s="7" t="n">
        <v>150</v>
      </c>
      <c r="D7" s="8" t="n">
        <v>15</v>
      </c>
      <c r="E7" s="6" t="inlineStr"/>
      <c r="F7" s="6" t="inlineStr"/>
      <c r="G7" s="6" t="inlineStr"/>
      <c r="H7" s="6" t="inlineStr"/>
      <c r="I7" s="9" t="n">
        <v>0.039</v>
      </c>
      <c r="J7" s="6" t="inlineStr"/>
      <c r="K7" s="9" t="n">
        <v>0.054</v>
      </c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</row>
    <row r="8">
      <c r="A8" s="6" t="inlineStr">
        <is>
          <t>CAL DOLOMITA X KILO</t>
        </is>
      </c>
      <c r="B8" s="6" t="inlineStr">
        <is>
          <t>34% CaO + 14% MgO</t>
        </is>
      </c>
      <c r="C8" s="7" t="n">
        <v>100</v>
      </c>
      <c r="D8" s="8" t="n">
        <v>10</v>
      </c>
      <c r="E8" s="6" t="inlineStr"/>
      <c r="F8" s="6" t="inlineStr"/>
      <c r="G8" s="6" t="inlineStr"/>
      <c r="H8" s="6" t="inlineStr"/>
      <c r="I8" s="6" t="inlineStr"/>
      <c r="J8" s="6" t="inlineStr"/>
      <c r="K8" s="9" t="n">
        <v>0.034</v>
      </c>
      <c r="L8" s="9" t="n">
        <v>0.014</v>
      </c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</row>
    <row r="9">
      <c r="A9" s="6" t="inlineStr">
        <is>
          <t>CARBONATO DE CALCIO X KILO</t>
        </is>
      </c>
      <c r="B9" s="6" t="inlineStr">
        <is>
          <t>40% CaO</t>
        </is>
      </c>
      <c r="C9" s="7" t="n">
        <v>100</v>
      </c>
      <c r="D9" s="8" t="n">
        <v>10</v>
      </c>
      <c r="E9" s="6" t="inlineStr"/>
      <c r="F9" s="6" t="inlineStr"/>
      <c r="G9" s="6" t="inlineStr"/>
      <c r="H9" s="6" t="inlineStr"/>
      <c r="I9" s="6" t="inlineStr"/>
      <c r="J9" s="6" t="inlineStr"/>
      <c r="K9" s="9" t="n">
        <v>0.04000000000000001</v>
      </c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</row>
    <row r="10">
      <c r="A10" s="6" t="inlineStr">
        <is>
          <t>SULFATO DE CALCIO X KILO</t>
        </is>
      </c>
      <c r="B10" s="6" t="inlineStr">
        <is>
          <t>22% CaO + 13% S</t>
        </is>
      </c>
      <c r="C10" s="7" t="n">
        <v>200</v>
      </c>
      <c r="D10" s="8" t="n">
        <v>20</v>
      </c>
      <c r="E10" s="6" t="inlineStr"/>
      <c r="F10" s="6" t="inlineStr"/>
      <c r="G10" s="6" t="inlineStr"/>
      <c r="H10" s="6" t="inlineStr"/>
      <c r="I10" s="6" t="inlineStr"/>
      <c r="J10" s="6" t="inlineStr"/>
      <c r="K10" s="9" t="n">
        <v>0.044</v>
      </c>
      <c r="L10" s="6" t="inlineStr"/>
      <c r="M10" s="9" t="n">
        <v>0.026</v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</row>
    <row r="11">
      <c r="A11" s="6" t="inlineStr">
        <is>
          <t>SILICATO DE MAGNESIO X KILO</t>
        </is>
      </c>
      <c r="B11" s="6" t="inlineStr">
        <is>
          <t>33.86% MgO + 36.98% SiO₂</t>
        </is>
      </c>
      <c r="C11" s="7" t="n">
        <v>350</v>
      </c>
      <c r="D11" s="8" t="n">
        <v>35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9" t="n">
        <v>0.11851</v>
      </c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9" t="n">
        <v>0.12943</v>
      </c>
      <c r="U11" s="6" t="inlineStr"/>
    </row>
    <row r="12">
      <c r="A12" s="6" t="inlineStr">
        <is>
          <t>BENTONITA GRIS X KILO</t>
        </is>
      </c>
      <c r="B12" s="6" t="inlineStr">
        <is>
          <t>6% CaO + 4% MgO + 57% SiO₂</t>
        </is>
      </c>
      <c r="C12" s="7" t="n">
        <v>100</v>
      </c>
      <c r="D12" s="8" t="n">
        <v>10</v>
      </c>
      <c r="E12" s="6" t="inlineStr"/>
      <c r="F12" s="6" t="inlineStr"/>
      <c r="G12" s="6" t="inlineStr"/>
      <c r="H12" s="6" t="inlineStr"/>
      <c r="I12" s="6" t="inlineStr"/>
      <c r="J12" s="6" t="inlineStr"/>
      <c r="K12" s="9" t="n">
        <v>0.006</v>
      </c>
      <c r="L12" s="9" t="n">
        <v>0.004</v>
      </c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9" t="n">
        <v>0.057</v>
      </c>
      <c r="U12" s="6" t="inlineStr"/>
    </row>
    <row r="13">
      <c r="A13" s="10" t="inlineStr">
        <is>
          <t>EMPAQUES E INERTES</t>
        </is>
      </c>
      <c r="C13" s="6" t="n">
        <v>40</v>
      </c>
      <c r="D13" s="6" t="n">
        <v>4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11" t="inlineStr">
        <is>
          <t>SUMATORIA</t>
        </is>
      </c>
      <c r="B14" s="12" t="n"/>
      <c r="C14" s="13">
        <f>SUM(C7:C13)</f>
        <v/>
      </c>
      <c r="D14" s="13">
        <f>SUM(D7:D13)</f>
        <v/>
      </c>
      <c r="E14" s="14">
        <f>SUM(E7:E13)</f>
        <v/>
      </c>
      <c r="F14" s="14">
        <f>SUM(F7:F13)</f>
        <v/>
      </c>
      <c r="G14" s="14">
        <f>SUM(G7:G13)</f>
        <v/>
      </c>
      <c r="H14" s="14">
        <f>SUM(H7:H13)</f>
        <v/>
      </c>
      <c r="I14" s="14">
        <f>SUM(I7:I13)</f>
        <v/>
      </c>
      <c r="J14" s="14">
        <f>SUM(J7:J13)</f>
        <v/>
      </c>
      <c r="K14" s="14">
        <f>SUM(K7:K13)</f>
        <v/>
      </c>
      <c r="L14" s="14">
        <f>SUM(L7:L13)</f>
        <v/>
      </c>
      <c r="M14" s="14">
        <f>SUM(M7:M13)</f>
        <v/>
      </c>
      <c r="N14" s="14">
        <f>SUM(N7:N13)</f>
        <v/>
      </c>
      <c r="O14" s="14">
        <f>SUM(O7:O13)</f>
        <v/>
      </c>
      <c r="P14" s="14">
        <f>SUM(P7:P13)</f>
        <v/>
      </c>
      <c r="Q14" s="14">
        <f>SUM(Q7:Q13)</f>
        <v/>
      </c>
      <c r="R14" s="14">
        <f>SUM(R7:R13)</f>
        <v/>
      </c>
      <c r="S14" s="14">
        <f>SUM(S7:S13)</f>
        <v/>
      </c>
      <c r="T14" s="14">
        <f>SUM(T7:T13)</f>
        <v/>
      </c>
      <c r="U14" s="14">
        <f>SUM(U7:U13)</f>
        <v/>
      </c>
    </row>
    <row r="16">
      <c r="A16" s="15" t="inlineStr">
        <is>
          <t>TOTAL CALFERQUIM S.A.S</t>
        </is>
      </c>
      <c r="B16" s="16" t="n"/>
      <c r="C16" s="16" t="n"/>
      <c r="D16" s="16" t="n"/>
      <c r="E16" s="17">
        <f>E14</f>
        <v/>
      </c>
      <c r="F16" s="17">
        <f>F14</f>
        <v/>
      </c>
      <c r="G16" s="17">
        <f>G14</f>
        <v/>
      </c>
      <c r="H16" s="17">
        <f>H14</f>
        <v/>
      </c>
      <c r="I16" s="17">
        <f>I14</f>
        <v/>
      </c>
      <c r="J16" s="17">
        <f>J14</f>
        <v/>
      </c>
      <c r="K16" s="17">
        <f>K14</f>
        <v/>
      </c>
      <c r="L16" s="17">
        <f>L14</f>
        <v/>
      </c>
      <c r="M16" s="17">
        <f>M14</f>
        <v/>
      </c>
      <c r="N16" s="17">
        <f>N14</f>
        <v/>
      </c>
      <c r="O16" s="17">
        <f>O14</f>
        <v/>
      </c>
      <c r="P16" s="17">
        <f>P14</f>
        <v/>
      </c>
      <c r="Q16" s="17">
        <f>Q14</f>
        <v/>
      </c>
      <c r="R16" s="17">
        <f>R14</f>
        <v/>
      </c>
      <c r="S16" s="17">
        <f>S14</f>
        <v/>
      </c>
      <c r="T16" s="17">
        <f>T14</f>
        <v/>
      </c>
      <c r="U16" s="17">
        <f>U14</f>
        <v/>
      </c>
    </row>
    <row r="18">
      <c r="A18" s="18" t="inlineStr">
        <is>
          <t>SOLICITUD DE REGISTRO ICA CALFERCORRECTIVO X KILO</t>
        </is>
      </c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</row>
  </sheetData>
  <mergeCells count="4">
    <mergeCell ref="A1:U1"/>
    <mergeCell ref="E5:U5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2026-03-18T03:08:13Z</dcterms:created>
  <dcterms:modified xsi:type="dcterms:W3CDTF">2026-03-18T03:08:13Z</dcterms:modified>
</cp:coreProperties>
</file>