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le\Produccion\"/>
    </mc:Choice>
  </mc:AlternateContent>
  <xr:revisionPtr revIDLastSave="0" documentId="8_{90C85F6E-7185-4A6A-834B-E73FC586EA1D}" xr6:coauthVersionLast="47" xr6:coauthVersionMax="47" xr10:uidLastSave="{00000000-0000-0000-0000-000000000000}"/>
  <bookViews>
    <workbookView xWindow="-108" yWindow="-108" windowWidth="23256" windowHeight="12456" xr2:uid="{B843699E-BF84-46D1-9C7B-7963ABE3B50A}"/>
  </bookViews>
  <sheets>
    <sheet name="BD Listas Actualizadas" sheetId="1" r:id="rId1"/>
  </sheets>
  <definedNames>
    <definedName name="SegmentaciónDeDatos_Columna1">#N/A</definedName>
    <definedName name="SegmentaciónDeDatos_ITEM_PADR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1" i="1" l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</calcChain>
</file>

<file path=xl/sharedStrings.xml><?xml version="1.0" encoding="utf-8"?>
<sst xmlns="http://schemas.openxmlformats.org/spreadsheetml/2006/main" count="862" uniqueCount="115">
  <si>
    <t>ITEM PADRE</t>
  </si>
  <si>
    <t>DESC ITEM PADRE</t>
  </si>
  <si>
    <t>ITEM MP</t>
  </si>
  <si>
    <t>DESC ITEM M.P</t>
  </si>
  <si>
    <t xml:space="preserve">LISTA </t>
  </si>
  <si>
    <t>CANTIDAD R</t>
  </si>
  <si>
    <t xml:space="preserve">Revisión </t>
  </si>
  <si>
    <t>Observaciones</t>
  </si>
  <si>
    <t>SILIMAGRAN SN X KILO</t>
  </si>
  <si>
    <t>000290</t>
  </si>
  <si>
    <t>ROCA FOSFORICA 26% X KILO</t>
  </si>
  <si>
    <t>0</t>
  </si>
  <si>
    <t>OK</t>
  </si>
  <si>
    <t>000370</t>
  </si>
  <si>
    <t>BENTONITA GRIS X KILO</t>
  </si>
  <si>
    <t>000074</t>
  </si>
  <si>
    <t>KIESERITA EN POLVO X KILO</t>
  </si>
  <si>
    <t>000214</t>
  </si>
  <si>
    <t>VINAZA X KILO</t>
  </si>
  <si>
    <t>000274</t>
  </si>
  <si>
    <t>SILICATO DE MAGNESIO X KILO</t>
  </si>
  <si>
    <t>NUCLEO CAMASI GRIS X KILO</t>
  </si>
  <si>
    <t>000105</t>
  </si>
  <si>
    <t>CARBONATO DE CALCIO X KILO</t>
  </si>
  <si>
    <t>NUCLEO 4 X KILO</t>
  </si>
  <si>
    <t>000120</t>
  </si>
  <si>
    <t>CAL DOLOMITA X KILO</t>
  </si>
  <si>
    <t>3</t>
  </si>
  <si>
    <t>000005</t>
  </si>
  <si>
    <t>SULFATO DE CALCIO X KILO</t>
  </si>
  <si>
    <t>MF 25-4-24 X KILO</t>
  </si>
  <si>
    <t>000012</t>
  </si>
  <si>
    <t>UREA X KILO</t>
  </si>
  <si>
    <t>000097</t>
  </si>
  <si>
    <t>DAP GRANULADO X KILO</t>
  </si>
  <si>
    <t>000144</t>
  </si>
  <si>
    <t>KCL GRANULADO X KILO</t>
  </si>
  <si>
    <t>000065</t>
  </si>
  <si>
    <t>000241</t>
  </si>
  <si>
    <t>EMPAQUE MF-25-4-24 X KILO</t>
  </si>
  <si>
    <t>000267</t>
  </si>
  <si>
    <t>LINER X 50KG</t>
  </si>
  <si>
    <t>MF 18-18-18 X KILO</t>
  </si>
  <si>
    <t>000243</t>
  </si>
  <si>
    <t>EMPAQUE MF 18-18-18 X KILO</t>
  </si>
  <si>
    <t>MF 17-6-18-2-1 X KILO</t>
  </si>
  <si>
    <t>000237</t>
  </si>
  <si>
    <t>EMPAQUE MF 17-6-18-2 X KILO</t>
  </si>
  <si>
    <t>MF 15-15-15 X KILO</t>
  </si>
  <si>
    <t>000236</t>
  </si>
  <si>
    <t>EMPAQUE MF 15-15-15 X KILO</t>
  </si>
  <si>
    <t>MF 10-30-10 X KILO</t>
  </si>
  <si>
    <t>000244</t>
  </si>
  <si>
    <t>EMPAQUE FORMULACION ESPECIAL X KILO</t>
  </si>
  <si>
    <t>BORO GRANULADO SN X KILO</t>
  </si>
  <si>
    <t>000016</t>
  </si>
  <si>
    <t>ULEXITA X KILO</t>
  </si>
  <si>
    <t>2</t>
  </si>
  <si>
    <t>NUCLEO FERCON X KILO</t>
  </si>
  <si>
    <t>000150</t>
  </si>
  <si>
    <t>CALFERZINC-P SN X KILO</t>
  </si>
  <si>
    <t>FORMULACION ESPECIAL SULFATO DE CALCIO P</t>
  </si>
  <si>
    <t>4</t>
  </si>
  <si>
    <t>000023</t>
  </si>
  <si>
    <t>SULFATO DE ZINC 35% X KILO</t>
  </si>
  <si>
    <t>FE MAGNE 3 SN X KILO</t>
  </si>
  <si>
    <t>000057</t>
  </si>
  <si>
    <t>OXIDO DE MAGNESIO X KILO</t>
  </si>
  <si>
    <t>000143</t>
  </si>
  <si>
    <t>KCL STANDAR X KILO</t>
  </si>
  <si>
    <t>RAIFOS 20 SN X KILO</t>
  </si>
  <si>
    <t>000193</t>
  </si>
  <si>
    <t>MAP TECNICO X KILO</t>
  </si>
  <si>
    <t>000152</t>
  </si>
  <si>
    <t>LEONARDITA X KILO</t>
  </si>
  <si>
    <t>000678</t>
  </si>
  <si>
    <t>ABONO ORGANICO A</t>
  </si>
  <si>
    <t>FERTIMENORES SN X KILO</t>
  </si>
  <si>
    <t>000030</t>
  </si>
  <si>
    <t>SULFATO DE COBRE 22% X KILO</t>
  </si>
  <si>
    <t>K2K SN X KILO</t>
  </si>
  <si>
    <t>000197</t>
  </si>
  <si>
    <t>SULFATO DE POTASIO SOLUBLE X KILO</t>
  </si>
  <si>
    <t>000111</t>
  </si>
  <si>
    <t>BENTONITA ROJA X KILO</t>
  </si>
  <si>
    <t>NUCLEO HIERRO X KILO</t>
  </si>
  <si>
    <t>000171</t>
  </si>
  <si>
    <t>SILICATO DE HIERRO X KILO</t>
  </si>
  <si>
    <t>CALFERCORRECTIVO X KILO</t>
  </si>
  <si>
    <t>000460</t>
  </si>
  <si>
    <t>EMPAQUE CALFERCORRECTIVO X KILO</t>
  </si>
  <si>
    <t>BIOPLANTAS X KILO</t>
  </si>
  <si>
    <t>000204</t>
  </si>
  <si>
    <t>BIOCANECON X KILO</t>
  </si>
  <si>
    <t>000345</t>
  </si>
  <si>
    <t>EMPAQUE BIOPLANTAS X KILO</t>
  </si>
  <si>
    <t>FOSFORO ESPECIAL</t>
  </si>
  <si>
    <t>000110</t>
  </si>
  <si>
    <t>CAOLIN GRIS X KILO</t>
  </si>
  <si>
    <t>PUEDE SER AL 28% NO SE USA 22%</t>
  </si>
  <si>
    <t>NUCLEO CAMASI ROJO X KILO</t>
  </si>
  <si>
    <t>NUCLEO MAGNESIO-SILICIO X KILO</t>
  </si>
  <si>
    <t>1</t>
  </si>
  <si>
    <t>NUCLEO CAMASI YARA SN</t>
  </si>
  <si>
    <t>NUCLEO FOSFORO 1 X KILO</t>
  </si>
  <si>
    <t>NUCLEO FOSFORO 10</t>
  </si>
  <si>
    <t>000075</t>
  </si>
  <si>
    <t>KIESERITA GRA X KILO</t>
  </si>
  <si>
    <t>FORMULACION ESPECIAL SUELO CA POLVO</t>
  </si>
  <si>
    <t>NUCLEO MAGNESIO-S</t>
  </si>
  <si>
    <t>SULFATO DE ZINC 22% SN</t>
  </si>
  <si>
    <t>NUCLEO CALCIO 1</t>
  </si>
  <si>
    <t>FORMULACION ESPECIAL SULFATO DE CALCIO Z</t>
  </si>
  <si>
    <t>POLIPROPILENO- EMPAQUE</t>
  </si>
  <si>
    <t>REVISAR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</si>
</sst>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2867025</xdr:colOff>
      <xdr:row>1</xdr:row>
      <xdr:rowOff>161924</xdr:rowOff>
    </xdr:from>
    <xdr:to>
      <xdr:col>3</xdr:col>
      <xdr:colOff>876300</xdr:colOff>
      <xdr:row>7</xdr:row>
      <xdr:rowOff>57149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olumna1">
              <a:extLst>
                <a:ext uri="{FF2B5EF4-FFF2-40B4-BE49-F238E27FC236}">
                  <a16:creationId xmlns:a16="http://schemas.microsoft.com/office/drawing/2014/main" id="{9F37E629-56D7-443C-B018-2F21EB287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a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9525" y="344804"/>
              <a:ext cx="1773555" cy="992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800100</xdr:colOff>
      <xdr:row>1</xdr:row>
      <xdr:rowOff>133350</xdr:rowOff>
    </xdr:from>
    <xdr:to>
      <xdr:col>1</xdr:col>
      <xdr:colOff>2628900</xdr:colOff>
      <xdr:row>14</xdr:row>
      <xdr:rowOff>180975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ITEM PADRE">
              <a:extLst>
                <a:ext uri="{FF2B5EF4-FFF2-40B4-BE49-F238E27FC236}">
                  <a16:creationId xmlns:a16="http://schemas.microsoft.com/office/drawing/2014/main" id="{CF72B28A-1A49-42A8-825E-E6184A1BE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PAD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2600" y="316230"/>
              <a:ext cx="1828800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lumna1" xr10:uid="{A9C85450-5084-4FB0-B6F4-2E39E69E3AFF}" sourceName="Revisión 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TEM_PADRE" xr10:uid="{2A37C638-0987-4374-8BFE-C178ECCC9D49}" sourceName="ITEM PADRE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umna1" xr10:uid="{36A1B0DA-8AFC-43D1-AA24-85E9BC8598B8}" cache="SegmentaciónDeDatos_Columna1" caption="Revisión " rowHeight="241300"/>
  <slicer name="ITEM PADRE" xr10:uid="{697716A7-AD70-4EBB-A6A2-7083E4479737}" cache="SegmentaciónDeDatos_ITEM_PADRE" caption="ITEM PADRE" startItem="18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ABC1C-D55E-429E-9B06-026CF0BC3763}" name="Tabla13" displayName="Tabla13" ref="A20:H184" totalsRowShown="0">
  <autoFilter ref="A20:H184" xr:uid="{503A9122-1631-47D1-AEBA-E221E192AB5C}"/>
  <tableColumns count="8">
    <tableColumn id="1" xr3:uid="{35B2EF1B-06CB-4873-9BCD-ECE219C773BE}" name="ITEM PADRE"/>
    <tableColumn id="2" xr3:uid="{6C74CB5D-9C62-42B6-A702-2CE6BABBB790}" name="DESC ITEM PADRE"/>
    <tableColumn id="3" xr3:uid="{CBA25D95-DB7B-467C-8507-643AA67884DB}" name="ITEM MP"/>
    <tableColumn id="4" xr3:uid="{E01C0CCE-B2CE-46FA-9673-C9AE4338C5EA}" name="DESC ITEM M.P"/>
    <tableColumn id="5" xr3:uid="{29130F94-B2E1-4774-8776-F1F0675F6161}" name="LISTA "/>
    <tableColumn id="6" xr3:uid="{B071F08D-EC29-4A05-98EC-8F0B3F50C8A3}" name="CANTIDAD R"/>
    <tableColumn id="7" xr3:uid="{6CF425FE-75FF-44A4-8E2E-A79B42C49E69}" name="Revisión "/>
    <tableColumn id="8" xr3:uid="{4362A327-3F74-4A7A-A6ED-77966DF1C019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EA17F3-E420-43E5-82EE-29AE849D4D59}" name="Tabla5" displayName="Tabla5" ref="A189:B219" totalsRowShown="0">
  <autoFilter ref="A189:B219" xr:uid="{9E691D8F-80EA-4D3C-AACC-FDED8123466D}"/>
  <tableColumns count="2">
    <tableColumn id="1" xr3:uid="{8313AF0D-4526-461B-869E-0CB62126AA31}" name="ITEM PADRE"/>
    <tableColumn id="2" xr3:uid="{9F8CB323-3DF9-4C18-A6DD-E78159405261}" name="DESC ITEM PAD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8091-0712-4A5A-BF77-9ABB3D7C272D}">
  <sheetPr codeName="Hoja3">
    <tabColor rgb="FF00B050"/>
  </sheetPr>
  <dimension ref="A20:J221"/>
  <sheetViews>
    <sheetView showGridLines="0" tabSelected="1" workbookViewId="0">
      <pane xSplit="1" ySplit="20" topLeftCell="B21" activePane="bottomRight" state="frozen"/>
      <selection pane="topRight" activeCell="B1" sqref="B1"/>
      <selection pane="bottomLeft" activeCell="A21" sqref="A21"/>
      <selection pane="bottomRight" activeCell="D13" sqref="D13"/>
    </sheetView>
  </sheetViews>
  <sheetFormatPr baseColWidth="10" defaultRowHeight="14.4" x14ac:dyDescent="0.3"/>
  <cols>
    <col min="1" max="1" width="13.88671875" customWidth="1"/>
    <col min="2" max="2" width="44.33203125" bestFit="1" customWidth="1"/>
    <col min="3" max="3" width="10.5546875" customWidth="1"/>
    <col min="4" max="4" width="32.5546875" customWidth="1"/>
    <col min="5" max="5" width="9.33203125" customWidth="1"/>
    <col min="6" max="6" width="8.109375" customWidth="1"/>
    <col min="7" max="7" width="8.88671875" customWidth="1"/>
    <col min="8" max="8" width="18" customWidth="1"/>
  </cols>
  <sheetData>
    <row r="20" spans="1:10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</row>
    <row r="21" spans="1:10" x14ac:dyDescent="0.3">
      <c r="A21">
        <v>35</v>
      </c>
      <c r="B21" t="s">
        <v>8</v>
      </c>
      <c r="C21" t="s">
        <v>9</v>
      </c>
      <c r="D21" t="s">
        <v>10</v>
      </c>
      <c r="E21" t="s">
        <v>11</v>
      </c>
      <c r="F21">
        <v>160</v>
      </c>
      <c r="G21" t="s">
        <v>12</v>
      </c>
      <c r="J21" t="str">
        <f>_xlfn.CONCAT(Tabla13[[#This Row],[ITEM PADRE]],Tabla13[[#This Row],[ITEM MP]],Tabla13[[#This Row],[CANTIDAD R]])</f>
        <v>35000290160</v>
      </c>
    </row>
    <row r="22" spans="1:10" x14ac:dyDescent="0.3">
      <c r="A22">
        <v>35</v>
      </c>
      <c r="B22" t="s">
        <v>8</v>
      </c>
      <c r="C22" t="s">
        <v>13</v>
      </c>
      <c r="D22" t="s">
        <v>14</v>
      </c>
      <c r="E22" t="s">
        <v>11</v>
      </c>
      <c r="F22">
        <v>20</v>
      </c>
      <c r="G22" t="s">
        <v>12</v>
      </c>
      <c r="J22" t="str">
        <f>_xlfn.CONCAT(Tabla13[[#This Row],[ITEM PADRE]],Tabla13[[#This Row],[ITEM MP]],Tabla13[[#This Row],[CANTIDAD R]])</f>
        <v>3500037020</v>
      </c>
    </row>
    <row r="23" spans="1:10" x14ac:dyDescent="0.3">
      <c r="A23">
        <v>35</v>
      </c>
      <c r="B23" t="s">
        <v>8</v>
      </c>
      <c r="C23" t="s">
        <v>15</v>
      </c>
      <c r="D23" t="s">
        <v>16</v>
      </c>
      <c r="E23" t="s">
        <v>11</v>
      </c>
      <c r="F23">
        <v>70</v>
      </c>
      <c r="G23" t="s">
        <v>12</v>
      </c>
      <c r="J23" t="str">
        <f>_xlfn.CONCAT(Tabla13[[#This Row],[ITEM PADRE]],Tabla13[[#This Row],[ITEM MP]],Tabla13[[#This Row],[CANTIDAD R]])</f>
        <v>3500007470</v>
      </c>
    </row>
    <row r="24" spans="1:10" x14ac:dyDescent="0.3">
      <c r="A24">
        <v>35</v>
      </c>
      <c r="B24" t="s">
        <v>8</v>
      </c>
      <c r="C24" t="s">
        <v>17</v>
      </c>
      <c r="D24" t="s">
        <v>18</v>
      </c>
      <c r="E24" t="s">
        <v>11</v>
      </c>
      <c r="F24">
        <v>100</v>
      </c>
      <c r="G24" t="s">
        <v>12</v>
      </c>
      <c r="J24" t="str">
        <f>_xlfn.CONCAT(Tabla13[[#This Row],[ITEM PADRE]],Tabla13[[#This Row],[ITEM MP]],Tabla13[[#This Row],[CANTIDAD R]])</f>
        <v>35000214100</v>
      </c>
    </row>
    <row r="25" spans="1:10" x14ac:dyDescent="0.3">
      <c r="A25">
        <v>35</v>
      </c>
      <c r="B25" t="s">
        <v>8</v>
      </c>
      <c r="C25" t="s">
        <v>19</v>
      </c>
      <c r="D25" t="s">
        <v>20</v>
      </c>
      <c r="E25" t="s">
        <v>11</v>
      </c>
      <c r="F25">
        <v>750</v>
      </c>
      <c r="G25" t="s">
        <v>12</v>
      </c>
      <c r="J25" t="str">
        <f>_xlfn.CONCAT(Tabla13[[#This Row],[ITEM PADRE]],Tabla13[[#This Row],[ITEM MP]],Tabla13[[#This Row],[CANTIDAD R]])</f>
        <v>35000274750</v>
      </c>
    </row>
    <row r="26" spans="1:10" x14ac:dyDescent="0.3">
      <c r="A26">
        <v>62</v>
      </c>
      <c r="B26" t="s">
        <v>21</v>
      </c>
      <c r="C26" t="s">
        <v>17</v>
      </c>
      <c r="D26" t="s">
        <v>18</v>
      </c>
      <c r="E26" t="s">
        <v>11</v>
      </c>
      <c r="F26">
        <v>100</v>
      </c>
      <c r="G26" t="s">
        <v>12</v>
      </c>
      <c r="J26" t="str">
        <f>_xlfn.CONCAT(Tabla13[[#This Row],[ITEM PADRE]],Tabla13[[#This Row],[ITEM MP]],Tabla13[[#This Row],[CANTIDAD R]])</f>
        <v>62000214100</v>
      </c>
    </row>
    <row r="27" spans="1:10" x14ac:dyDescent="0.3">
      <c r="A27">
        <v>62</v>
      </c>
      <c r="B27" t="s">
        <v>21</v>
      </c>
      <c r="C27" t="s">
        <v>22</v>
      </c>
      <c r="D27" t="s">
        <v>23</v>
      </c>
      <c r="E27" t="s">
        <v>11</v>
      </c>
      <c r="F27">
        <v>350</v>
      </c>
      <c r="G27" t="s">
        <v>12</v>
      </c>
      <c r="J27" t="str">
        <f>_xlfn.CONCAT(Tabla13[[#This Row],[ITEM PADRE]],Tabla13[[#This Row],[ITEM MP]],Tabla13[[#This Row],[CANTIDAD R]])</f>
        <v>62000105350</v>
      </c>
    </row>
    <row r="28" spans="1:10" x14ac:dyDescent="0.3">
      <c r="A28">
        <v>62</v>
      </c>
      <c r="B28" t="s">
        <v>21</v>
      </c>
      <c r="C28" t="s">
        <v>15</v>
      </c>
      <c r="D28" t="s">
        <v>16</v>
      </c>
      <c r="E28" t="s">
        <v>11</v>
      </c>
      <c r="F28">
        <v>50</v>
      </c>
      <c r="G28" t="s">
        <v>12</v>
      </c>
      <c r="J28" t="str">
        <f>_xlfn.CONCAT(Tabla13[[#This Row],[ITEM PADRE]],Tabla13[[#This Row],[ITEM MP]],Tabla13[[#This Row],[CANTIDAD R]])</f>
        <v>6200007450</v>
      </c>
    </row>
    <row r="29" spans="1:10" x14ac:dyDescent="0.3">
      <c r="A29">
        <v>62</v>
      </c>
      <c r="B29" t="s">
        <v>21</v>
      </c>
      <c r="C29" t="s">
        <v>13</v>
      </c>
      <c r="D29" t="s">
        <v>14</v>
      </c>
      <c r="E29" t="s">
        <v>11</v>
      </c>
      <c r="F29">
        <v>600</v>
      </c>
      <c r="G29" t="s">
        <v>12</v>
      </c>
      <c r="J29" t="str">
        <f>_xlfn.CONCAT(Tabla13[[#This Row],[ITEM PADRE]],Tabla13[[#This Row],[ITEM MP]],Tabla13[[#This Row],[CANTIDAD R]])</f>
        <v>62000370600</v>
      </c>
    </row>
    <row r="30" spans="1:10" x14ac:dyDescent="0.3">
      <c r="A30">
        <v>65</v>
      </c>
      <c r="B30" t="s">
        <v>24</v>
      </c>
      <c r="C30" t="s">
        <v>25</v>
      </c>
      <c r="D30" t="s">
        <v>26</v>
      </c>
      <c r="E30" t="s">
        <v>27</v>
      </c>
      <c r="F30">
        <v>100</v>
      </c>
      <c r="G30" t="s">
        <v>12</v>
      </c>
      <c r="J30" t="str">
        <f>_xlfn.CONCAT(Tabla13[[#This Row],[ITEM PADRE]],Tabla13[[#This Row],[ITEM MP]],Tabla13[[#This Row],[CANTIDAD R]])</f>
        <v>65000120100</v>
      </c>
    </row>
    <row r="31" spans="1:10" x14ac:dyDescent="0.3">
      <c r="A31">
        <v>65</v>
      </c>
      <c r="B31" t="s">
        <v>24</v>
      </c>
      <c r="C31" t="s">
        <v>19</v>
      </c>
      <c r="D31" t="s">
        <v>20</v>
      </c>
      <c r="E31" t="s">
        <v>27</v>
      </c>
      <c r="F31">
        <v>400</v>
      </c>
      <c r="G31" t="s">
        <v>12</v>
      </c>
      <c r="J31" t="str">
        <f>_xlfn.CONCAT(Tabla13[[#This Row],[ITEM PADRE]],Tabla13[[#This Row],[ITEM MP]],Tabla13[[#This Row],[CANTIDAD R]])</f>
        <v>65000274400</v>
      </c>
    </row>
    <row r="32" spans="1:10" x14ac:dyDescent="0.3">
      <c r="A32">
        <v>65</v>
      </c>
      <c r="B32" t="s">
        <v>24</v>
      </c>
      <c r="C32" t="s">
        <v>22</v>
      </c>
      <c r="D32" t="s">
        <v>23</v>
      </c>
      <c r="E32" t="s">
        <v>27</v>
      </c>
      <c r="F32">
        <v>250</v>
      </c>
      <c r="G32" t="s">
        <v>12</v>
      </c>
      <c r="J32" t="str">
        <f>_xlfn.CONCAT(Tabla13[[#This Row],[ITEM PADRE]],Tabla13[[#This Row],[ITEM MP]],Tabla13[[#This Row],[CANTIDAD R]])</f>
        <v>65000105250</v>
      </c>
    </row>
    <row r="33" spans="1:10" x14ac:dyDescent="0.3">
      <c r="A33">
        <v>65</v>
      </c>
      <c r="B33" t="s">
        <v>24</v>
      </c>
      <c r="C33" t="s">
        <v>28</v>
      </c>
      <c r="D33" t="s">
        <v>29</v>
      </c>
      <c r="E33" t="s">
        <v>27</v>
      </c>
      <c r="F33">
        <v>150</v>
      </c>
      <c r="G33" t="s">
        <v>12</v>
      </c>
      <c r="J33" t="str">
        <f>_xlfn.CONCAT(Tabla13[[#This Row],[ITEM PADRE]],Tabla13[[#This Row],[ITEM MP]],Tabla13[[#This Row],[CANTIDAD R]])</f>
        <v>65000005150</v>
      </c>
    </row>
    <row r="34" spans="1:10" x14ac:dyDescent="0.3">
      <c r="A34">
        <v>65</v>
      </c>
      <c r="B34" t="s">
        <v>24</v>
      </c>
      <c r="C34" t="s">
        <v>15</v>
      </c>
      <c r="D34" t="s">
        <v>16</v>
      </c>
      <c r="E34" t="s">
        <v>27</v>
      </c>
      <c r="F34">
        <v>100</v>
      </c>
      <c r="G34" t="s">
        <v>12</v>
      </c>
      <c r="J34" t="str">
        <f>_xlfn.CONCAT(Tabla13[[#This Row],[ITEM PADRE]],Tabla13[[#This Row],[ITEM MP]],Tabla13[[#This Row],[CANTIDAD R]])</f>
        <v>65000074100</v>
      </c>
    </row>
    <row r="35" spans="1:10" x14ac:dyDescent="0.3">
      <c r="A35">
        <v>82</v>
      </c>
      <c r="B35" t="s">
        <v>30</v>
      </c>
      <c r="C35" t="s">
        <v>31</v>
      </c>
      <c r="D35" t="s">
        <v>32</v>
      </c>
      <c r="E35" t="s">
        <v>11</v>
      </c>
      <c r="F35">
        <v>460</v>
      </c>
      <c r="G35" t="s">
        <v>12</v>
      </c>
      <c r="J35" t="str">
        <f>_xlfn.CONCAT(Tabla13[[#This Row],[ITEM PADRE]],Tabla13[[#This Row],[ITEM MP]],Tabla13[[#This Row],[CANTIDAD R]])</f>
        <v>82000012460</v>
      </c>
    </row>
    <row r="36" spans="1:10" x14ac:dyDescent="0.3">
      <c r="A36">
        <v>82</v>
      </c>
      <c r="B36" t="s">
        <v>30</v>
      </c>
      <c r="C36" t="s">
        <v>33</v>
      </c>
      <c r="D36" t="s">
        <v>34</v>
      </c>
      <c r="E36" t="s">
        <v>11</v>
      </c>
      <c r="F36">
        <v>80</v>
      </c>
      <c r="G36" t="s">
        <v>12</v>
      </c>
      <c r="J36" t="str">
        <f>_xlfn.CONCAT(Tabla13[[#This Row],[ITEM PADRE]],Tabla13[[#This Row],[ITEM MP]],Tabla13[[#This Row],[CANTIDAD R]])</f>
        <v>8200009780</v>
      </c>
    </row>
    <row r="37" spans="1:10" x14ac:dyDescent="0.3">
      <c r="A37">
        <v>82</v>
      </c>
      <c r="B37" t="s">
        <v>30</v>
      </c>
      <c r="C37" t="s">
        <v>35</v>
      </c>
      <c r="D37" t="s">
        <v>36</v>
      </c>
      <c r="E37" t="s">
        <v>11</v>
      </c>
      <c r="F37">
        <v>360</v>
      </c>
      <c r="G37" t="s">
        <v>12</v>
      </c>
      <c r="J37" t="str">
        <f>_xlfn.CONCAT(Tabla13[[#This Row],[ITEM PADRE]],Tabla13[[#This Row],[ITEM MP]],Tabla13[[#This Row],[CANTIDAD R]])</f>
        <v>82000144360</v>
      </c>
    </row>
    <row r="38" spans="1:10" x14ac:dyDescent="0.3">
      <c r="A38">
        <v>82</v>
      </c>
      <c r="B38" t="s">
        <v>30</v>
      </c>
      <c r="C38" t="s">
        <v>37</v>
      </c>
      <c r="D38" t="s">
        <v>24</v>
      </c>
      <c r="E38" t="s">
        <v>11</v>
      </c>
      <c r="F38">
        <v>100</v>
      </c>
      <c r="G38" t="s">
        <v>12</v>
      </c>
      <c r="J38" t="str">
        <f>_xlfn.CONCAT(Tabla13[[#This Row],[ITEM PADRE]],Tabla13[[#This Row],[ITEM MP]],Tabla13[[#This Row],[CANTIDAD R]])</f>
        <v>82000065100</v>
      </c>
    </row>
    <row r="39" spans="1:10" x14ac:dyDescent="0.3">
      <c r="A39">
        <v>82</v>
      </c>
      <c r="B39" t="s">
        <v>30</v>
      </c>
      <c r="C39" t="s">
        <v>38</v>
      </c>
      <c r="D39" t="s">
        <v>39</v>
      </c>
      <c r="E39" t="s">
        <v>11</v>
      </c>
      <c r="F39">
        <v>20</v>
      </c>
      <c r="G39" t="s">
        <v>12</v>
      </c>
      <c r="J39" t="str">
        <f>_xlfn.CONCAT(Tabla13[[#This Row],[ITEM PADRE]],Tabla13[[#This Row],[ITEM MP]],Tabla13[[#This Row],[CANTIDAD R]])</f>
        <v>8200024120</v>
      </c>
    </row>
    <row r="40" spans="1:10" x14ac:dyDescent="0.3">
      <c r="A40">
        <v>82</v>
      </c>
      <c r="B40" t="s">
        <v>30</v>
      </c>
      <c r="C40" t="s">
        <v>40</v>
      </c>
      <c r="D40" t="s">
        <v>41</v>
      </c>
      <c r="E40" t="s">
        <v>11</v>
      </c>
      <c r="F40">
        <v>20</v>
      </c>
      <c r="G40" t="s">
        <v>12</v>
      </c>
      <c r="J40" t="str">
        <f>_xlfn.CONCAT(Tabla13[[#This Row],[ITEM PADRE]],Tabla13[[#This Row],[ITEM MP]],Tabla13[[#This Row],[CANTIDAD R]])</f>
        <v>8200026720</v>
      </c>
    </row>
    <row r="41" spans="1:10" x14ac:dyDescent="0.3">
      <c r="A41">
        <v>83</v>
      </c>
      <c r="B41" t="s">
        <v>42</v>
      </c>
      <c r="C41" t="s">
        <v>31</v>
      </c>
      <c r="D41" t="s">
        <v>32</v>
      </c>
      <c r="E41" t="s">
        <v>11</v>
      </c>
      <c r="F41">
        <v>230</v>
      </c>
      <c r="G41" t="s">
        <v>12</v>
      </c>
      <c r="J41" t="str">
        <f>_xlfn.CONCAT(Tabla13[[#This Row],[ITEM PADRE]],Tabla13[[#This Row],[ITEM MP]],Tabla13[[#This Row],[CANTIDAD R]])</f>
        <v>83000012230</v>
      </c>
    </row>
    <row r="42" spans="1:10" x14ac:dyDescent="0.3">
      <c r="A42">
        <v>83</v>
      </c>
      <c r="B42" t="s">
        <v>42</v>
      </c>
      <c r="C42" t="s">
        <v>33</v>
      </c>
      <c r="D42" t="s">
        <v>34</v>
      </c>
      <c r="E42" t="s">
        <v>11</v>
      </c>
      <c r="F42">
        <v>350</v>
      </c>
      <c r="G42" t="s">
        <v>12</v>
      </c>
      <c r="J42" t="str">
        <f>_xlfn.CONCAT(Tabla13[[#This Row],[ITEM PADRE]],Tabla13[[#This Row],[ITEM MP]],Tabla13[[#This Row],[CANTIDAD R]])</f>
        <v>83000097350</v>
      </c>
    </row>
    <row r="43" spans="1:10" x14ac:dyDescent="0.3">
      <c r="A43">
        <v>83</v>
      </c>
      <c r="B43" t="s">
        <v>42</v>
      </c>
      <c r="C43" t="s">
        <v>35</v>
      </c>
      <c r="D43" t="s">
        <v>36</v>
      </c>
      <c r="E43" t="s">
        <v>11</v>
      </c>
      <c r="F43">
        <v>280</v>
      </c>
      <c r="G43" t="s">
        <v>12</v>
      </c>
      <c r="J43" t="str">
        <f>_xlfn.CONCAT(Tabla13[[#This Row],[ITEM PADRE]],Tabla13[[#This Row],[ITEM MP]],Tabla13[[#This Row],[CANTIDAD R]])</f>
        <v>83000144280</v>
      </c>
    </row>
    <row r="44" spans="1:10" x14ac:dyDescent="0.3">
      <c r="A44">
        <v>83</v>
      </c>
      <c r="B44" t="s">
        <v>42</v>
      </c>
      <c r="C44" t="s">
        <v>37</v>
      </c>
      <c r="D44" t="s">
        <v>24</v>
      </c>
      <c r="E44" t="s">
        <v>11</v>
      </c>
      <c r="F44">
        <v>140</v>
      </c>
      <c r="G44" t="s">
        <v>12</v>
      </c>
      <c r="J44" t="str">
        <f>_xlfn.CONCAT(Tabla13[[#This Row],[ITEM PADRE]],Tabla13[[#This Row],[ITEM MP]],Tabla13[[#This Row],[CANTIDAD R]])</f>
        <v>83000065140</v>
      </c>
    </row>
    <row r="45" spans="1:10" x14ac:dyDescent="0.3">
      <c r="A45">
        <v>83</v>
      </c>
      <c r="B45" t="s">
        <v>42</v>
      </c>
      <c r="C45" t="s">
        <v>43</v>
      </c>
      <c r="D45" t="s">
        <v>44</v>
      </c>
      <c r="E45" t="s">
        <v>11</v>
      </c>
      <c r="F45">
        <v>20</v>
      </c>
      <c r="G45" t="s">
        <v>12</v>
      </c>
      <c r="J45" t="str">
        <f>_xlfn.CONCAT(Tabla13[[#This Row],[ITEM PADRE]],Tabla13[[#This Row],[ITEM MP]],Tabla13[[#This Row],[CANTIDAD R]])</f>
        <v>8300024320</v>
      </c>
    </row>
    <row r="46" spans="1:10" x14ac:dyDescent="0.3">
      <c r="A46">
        <v>83</v>
      </c>
      <c r="B46" t="s">
        <v>42</v>
      </c>
      <c r="C46" t="s">
        <v>40</v>
      </c>
      <c r="D46" t="s">
        <v>41</v>
      </c>
      <c r="E46" t="s">
        <v>11</v>
      </c>
      <c r="F46">
        <v>20</v>
      </c>
      <c r="G46" t="s">
        <v>12</v>
      </c>
      <c r="J46" t="str">
        <f>_xlfn.CONCAT(Tabla13[[#This Row],[ITEM PADRE]],Tabla13[[#This Row],[ITEM MP]],Tabla13[[#This Row],[CANTIDAD R]])</f>
        <v>8300026720</v>
      </c>
    </row>
    <row r="47" spans="1:10" x14ac:dyDescent="0.3">
      <c r="A47">
        <v>84</v>
      </c>
      <c r="B47" t="s">
        <v>45</v>
      </c>
      <c r="C47" t="s">
        <v>31</v>
      </c>
      <c r="D47" t="s">
        <v>32</v>
      </c>
      <c r="E47" t="s">
        <v>11</v>
      </c>
      <c r="F47">
        <v>300</v>
      </c>
      <c r="G47" t="s">
        <v>12</v>
      </c>
      <c r="J47" t="str">
        <f>_xlfn.CONCAT(Tabla13[[#This Row],[ITEM PADRE]],Tabla13[[#This Row],[ITEM MP]],Tabla13[[#This Row],[CANTIDAD R]])</f>
        <v>84000012300</v>
      </c>
    </row>
    <row r="48" spans="1:10" x14ac:dyDescent="0.3">
      <c r="A48">
        <v>84</v>
      </c>
      <c r="B48" t="s">
        <v>45</v>
      </c>
      <c r="C48" t="s">
        <v>33</v>
      </c>
      <c r="D48" t="s">
        <v>34</v>
      </c>
      <c r="E48" t="s">
        <v>11</v>
      </c>
      <c r="F48">
        <v>110</v>
      </c>
      <c r="G48" t="s">
        <v>12</v>
      </c>
      <c r="J48" t="str">
        <f>_xlfn.CONCAT(Tabla13[[#This Row],[ITEM PADRE]],Tabla13[[#This Row],[ITEM MP]],Tabla13[[#This Row],[CANTIDAD R]])</f>
        <v>84000097110</v>
      </c>
    </row>
    <row r="49" spans="1:10" x14ac:dyDescent="0.3">
      <c r="A49">
        <v>84</v>
      </c>
      <c r="B49" t="s">
        <v>45</v>
      </c>
      <c r="C49" t="s">
        <v>35</v>
      </c>
      <c r="D49" t="s">
        <v>36</v>
      </c>
      <c r="E49" t="s">
        <v>11</v>
      </c>
      <c r="F49">
        <v>280</v>
      </c>
      <c r="G49" t="s">
        <v>12</v>
      </c>
      <c r="J49" t="str">
        <f>_xlfn.CONCAT(Tabla13[[#This Row],[ITEM PADRE]],Tabla13[[#This Row],[ITEM MP]],Tabla13[[#This Row],[CANTIDAD R]])</f>
        <v>84000144280</v>
      </c>
    </row>
    <row r="50" spans="1:10" x14ac:dyDescent="0.3">
      <c r="A50">
        <v>84</v>
      </c>
      <c r="B50" t="s">
        <v>45</v>
      </c>
      <c r="C50" t="s">
        <v>37</v>
      </c>
      <c r="D50" t="s">
        <v>24</v>
      </c>
      <c r="E50" t="s">
        <v>11</v>
      </c>
      <c r="F50">
        <v>310</v>
      </c>
      <c r="G50" t="s">
        <v>12</v>
      </c>
      <c r="J50" t="str">
        <f>_xlfn.CONCAT(Tabla13[[#This Row],[ITEM PADRE]],Tabla13[[#This Row],[ITEM MP]],Tabla13[[#This Row],[CANTIDAD R]])</f>
        <v>84000065310</v>
      </c>
    </row>
    <row r="51" spans="1:10" x14ac:dyDescent="0.3">
      <c r="A51">
        <v>84</v>
      </c>
      <c r="B51" t="s">
        <v>45</v>
      </c>
      <c r="C51" t="s">
        <v>46</v>
      </c>
      <c r="D51" t="s">
        <v>47</v>
      </c>
      <c r="E51" t="s">
        <v>11</v>
      </c>
      <c r="F51">
        <v>20</v>
      </c>
      <c r="G51" t="s">
        <v>12</v>
      </c>
      <c r="J51" t="str">
        <f>_xlfn.CONCAT(Tabla13[[#This Row],[ITEM PADRE]],Tabla13[[#This Row],[ITEM MP]],Tabla13[[#This Row],[CANTIDAD R]])</f>
        <v>8400023720</v>
      </c>
    </row>
    <row r="52" spans="1:10" x14ac:dyDescent="0.3">
      <c r="A52">
        <v>84</v>
      </c>
      <c r="B52" t="s">
        <v>45</v>
      </c>
      <c r="C52" t="s">
        <v>40</v>
      </c>
      <c r="D52" t="s">
        <v>41</v>
      </c>
      <c r="E52" t="s">
        <v>11</v>
      </c>
      <c r="F52">
        <v>20</v>
      </c>
      <c r="G52" t="s">
        <v>12</v>
      </c>
      <c r="J52" t="str">
        <f>_xlfn.CONCAT(Tabla13[[#This Row],[ITEM PADRE]],Tabla13[[#This Row],[ITEM MP]],Tabla13[[#This Row],[CANTIDAD R]])</f>
        <v>8400026720</v>
      </c>
    </row>
    <row r="53" spans="1:10" x14ac:dyDescent="0.3">
      <c r="A53">
        <v>85</v>
      </c>
      <c r="B53" t="s">
        <v>48</v>
      </c>
      <c r="C53" t="s">
        <v>31</v>
      </c>
      <c r="D53" t="s">
        <v>32</v>
      </c>
      <c r="E53" t="s">
        <v>11</v>
      </c>
      <c r="F53">
        <v>180</v>
      </c>
      <c r="G53" t="s">
        <v>12</v>
      </c>
      <c r="J53" t="str">
        <f>_xlfn.CONCAT(Tabla13[[#This Row],[ITEM PADRE]],Tabla13[[#This Row],[ITEM MP]],Tabla13[[#This Row],[CANTIDAD R]])</f>
        <v>85000012180</v>
      </c>
    </row>
    <row r="54" spans="1:10" x14ac:dyDescent="0.3">
      <c r="A54">
        <v>85</v>
      </c>
      <c r="B54" t="s">
        <v>48</v>
      </c>
      <c r="C54" t="s">
        <v>33</v>
      </c>
      <c r="D54" t="s">
        <v>34</v>
      </c>
      <c r="E54" t="s">
        <v>11</v>
      </c>
      <c r="F54">
        <v>300</v>
      </c>
      <c r="G54" t="s">
        <v>12</v>
      </c>
      <c r="J54" t="str">
        <f>_xlfn.CONCAT(Tabla13[[#This Row],[ITEM PADRE]],Tabla13[[#This Row],[ITEM MP]],Tabla13[[#This Row],[CANTIDAD R]])</f>
        <v>85000097300</v>
      </c>
    </row>
    <row r="55" spans="1:10" x14ac:dyDescent="0.3">
      <c r="A55">
        <v>85</v>
      </c>
      <c r="B55" t="s">
        <v>48</v>
      </c>
      <c r="C55" t="s">
        <v>35</v>
      </c>
      <c r="D55" t="s">
        <v>36</v>
      </c>
      <c r="E55" t="s">
        <v>11</v>
      </c>
      <c r="F55">
        <v>230</v>
      </c>
      <c r="G55" t="s">
        <v>12</v>
      </c>
      <c r="J55" t="str">
        <f>_xlfn.CONCAT(Tabla13[[#This Row],[ITEM PADRE]],Tabla13[[#This Row],[ITEM MP]],Tabla13[[#This Row],[CANTIDAD R]])</f>
        <v>85000144230</v>
      </c>
    </row>
    <row r="56" spans="1:10" x14ac:dyDescent="0.3">
      <c r="A56">
        <v>85</v>
      </c>
      <c r="B56" t="s">
        <v>48</v>
      </c>
      <c r="C56" t="s">
        <v>37</v>
      </c>
      <c r="D56" t="s">
        <v>24</v>
      </c>
      <c r="E56" t="s">
        <v>11</v>
      </c>
      <c r="F56">
        <v>290</v>
      </c>
      <c r="G56" t="s">
        <v>12</v>
      </c>
      <c r="J56" t="str">
        <f>_xlfn.CONCAT(Tabla13[[#This Row],[ITEM PADRE]],Tabla13[[#This Row],[ITEM MP]],Tabla13[[#This Row],[CANTIDAD R]])</f>
        <v>85000065290</v>
      </c>
    </row>
    <row r="57" spans="1:10" x14ac:dyDescent="0.3">
      <c r="A57">
        <v>85</v>
      </c>
      <c r="B57" t="s">
        <v>48</v>
      </c>
      <c r="C57" t="s">
        <v>49</v>
      </c>
      <c r="D57" t="s">
        <v>50</v>
      </c>
      <c r="E57" t="s">
        <v>11</v>
      </c>
      <c r="F57">
        <v>20</v>
      </c>
      <c r="G57" t="s">
        <v>12</v>
      </c>
      <c r="J57" t="str">
        <f>_xlfn.CONCAT(Tabla13[[#This Row],[ITEM PADRE]],Tabla13[[#This Row],[ITEM MP]],Tabla13[[#This Row],[CANTIDAD R]])</f>
        <v>8500023620</v>
      </c>
    </row>
    <row r="58" spans="1:10" x14ac:dyDescent="0.3">
      <c r="A58">
        <v>85</v>
      </c>
      <c r="B58" t="s">
        <v>48</v>
      </c>
      <c r="C58" t="s">
        <v>40</v>
      </c>
      <c r="D58" t="s">
        <v>41</v>
      </c>
      <c r="E58" t="s">
        <v>11</v>
      </c>
      <c r="F58">
        <v>20</v>
      </c>
      <c r="G58" t="s">
        <v>12</v>
      </c>
      <c r="J58" t="str">
        <f>_xlfn.CONCAT(Tabla13[[#This Row],[ITEM PADRE]],Tabla13[[#This Row],[ITEM MP]],Tabla13[[#This Row],[CANTIDAD R]])</f>
        <v>8500026720</v>
      </c>
    </row>
    <row r="59" spans="1:10" x14ac:dyDescent="0.3">
      <c r="A59">
        <v>86</v>
      </c>
      <c r="B59" t="s">
        <v>51</v>
      </c>
      <c r="C59" t="s">
        <v>33</v>
      </c>
      <c r="D59" t="s">
        <v>34</v>
      </c>
      <c r="E59" t="s">
        <v>11</v>
      </c>
      <c r="F59">
        <v>600</v>
      </c>
      <c r="G59" t="s">
        <v>12</v>
      </c>
      <c r="J59" t="str">
        <f>_xlfn.CONCAT(Tabla13[[#This Row],[ITEM PADRE]],Tabla13[[#This Row],[ITEM MP]],Tabla13[[#This Row],[CANTIDAD R]])</f>
        <v>86000097600</v>
      </c>
    </row>
    <row r="60" spans="1:10" x14ac:dyDescent="0.3">
      <c r="A60">
        <v>86</v>
      </c>
      <c r="B60" t="s">
        <v>51</v>
      </c>
      <c r="C60" t="s">
        <v>35</v>
      </c>
      <c r="D60" t="s">
        <v>36</v>
      </c>
      <c r="E60" t="s">
        <v>11</v>
      </c>
      <c r="F60">
        <v>150</v>
      </c>
      <c r="G60" t="s">
        <v>12</v>
      </c>
      <c r="J60" t="str">
        <f>_xlfn.CONCAT(Tabla13[[#This Row],[ITEM PADRE]],Tabla13[[#This Row],[ITEM MP]],Tabla13[[#This Row],[CANTIDAD R]])</f>
        <v>86000144150</v>
      </c>
    </row>
    <row r="61" spans="1:10" x14ac:dyDescent="0.3">
      <c r="A61">
        <v>86</v>
      </c>
      <c r="B61" t="s">
        <v>51</v>
      </c>
      <c r="C61" t="s">
        <v>37</v>
      </c>
      <c r="D61" t="s">
        <v>24</v>
      </c>
      <c r="E61" t="s">
        <v>11</v>
      </c>
      <c r="F61">
        <v>250</v>
      </c>
      <c r="G61" t="s">
        <v>12</v>
      </c>
      <c r="J61" t="str">
        <f>_xlfn.CONCAT(Tabla13[[#This Row],[ITEM PADRE]],Tabla13[[#This Row],[ITEM MP]],Tabla13[[#This Row],[CANTIDAD R]])</f>
        <v>86000065250</v>
      </c>
    </row>
    <row r="62" spans="1:10" x14ac:dyDescent="0.3">
      <c r="A62">
        <v>86</v>
      </c>
      <c r="B62" t="s">
        <v>51</v>
      </c>
      <c r="C62" t="s">
        <v>52</v>
      </c>
      <c r="D62" t="s">
        <v>53</v>
      </c>
      <c r="E62" t="s">
        <v>11</v>
      </c>
      <c r="F62">
        <v>20</v>
      </c>
      <c r="G62" t="s">
        <v>12</v>
      </c>
      <c r="J62" t="str">
        <f>_xlfn.CONCAT(Tabla13[[#This Row],[ITEM PADRE]],Tabla13[[#This Row],[ITEM MP]],Tabla13[[#This Row],[CANTIDAD R]])</f>
        <v>8600024420</v>
      </c>
    </row>
    <row r="63" spans="1:10" x14ac:dyDescent="0.3">
      <c r="A63">
        <v>86</v>
      </c>
      <c r="B63" t="s">
        <v>51</v>
      </c>
      <c r="C63" t="s">
        <v>40</v>
      </c>
      <c r="D63" t="s">
        <v>41</v>
      </c>
      <c r="E63" t="s">
        <v>11</v>
      </c>
      <c r="F63">
        <v>20</v>
      </c>
      <c r="G63" t="s">
        <v>12</v>
      </c>
      <c r="J63" t="str">
        <f>_xlfn.CONCAT(Tabla13[[#This Row],[ITEM PADRE]],Tabla13[[#This Row],[ITEM MP]],Tabla13[[#This Row],[CANTIDAD R]])</f>
        <v>8600026720</v>
      </c>
    </row>
    <row r="64" spans="1:10" x14ac:dyDescent="0.3">
      <c r="A64">
        <v>123</v>
      </c>
      <c r="B64" t="s">
        <v>54</v>
      </c>
      <c r="C64" t="s">
        <v>55</v>
      </c>
      <c r="D64" t="s">
        <v>56</v>
      </c>
      <c r="E64" t="s">
        <v>57</v>
      </c>
      <c r="F64">
        <v>850</v>
      </c>
      <c r="G64" t="s">
        <v>12</v>
      </c>
      <c r="J64" t="str">
        <f>_xlfn.CONCAT(Tabla13[[#This Row],[ITEM PADRE]],Tabla13[[#This Row],[ITEM MP]],Tabla13[[#This Row],[CANTIDAD R]])</f>
        <v>123000016850</v>
      </c>
    </row>
    <row r="65" spans="1:10" x14ac:dyDescent="0.3">
      <c r="A65">
        <v>123</v>
      </c>
      <c r="B65" t="s">
        <v>54</v>
      </c>
      <c r="C65" t="s">
        <v>22</v>
      </c>
      <c r="D65" t="s">
        <v>23</v>
      </c>
      <c r="E65" t="s">
        <v>57</v>
      </c>
      <c r="F65">
        <v>50</v>
      </c>
      <c r="G65" t="s">
        <v>12</v>
      </c>
      <c r="J65" t="str">
        <f>_xlfn.CONCAT(Tabla13[[#This Row],[ITEM PADRE]],Tabla13[[#This Row],[ITEM MP]],Tabla13[[#This Row],[CANTIDAD R]])</f>
        <v>12300010550</v>
      </c>
    </row>
    <row r="66" spans="1:10" x14ac:dyDescent="0.3">
      <c r="A66">
        <v>123</v>
      </c>
      <c r="B66" t="s">
        <v>54</v>
      </c>
      <c r="C66" t="s">
        <v>17</v>
      </c>
      <c r="D66" t="s">
        <v>18</v>
      </c>
      <c r="E66" t="s">
        <v>57</v>
      </c>
      <c r="F66">
        <v>100</v>
      </c>
      <c r="G66" t="s">
        <v>12</v>
      </c>
      <c r="J66" t="str">
        <f>_xlfn.CONCAT(Tabla13[[#This Row],[ITEM PADRE]],Tabla13[[#This Row],[ITEM MP]],Tabla13[[#This Row],[CANTIDAD R]])</f>
        <v>123000214100</v>
      </c>
    </row>
    <row r="67" spans="1:10" x14ac:dyDescent="0.3">
      <c r="A67">
        <v>123</v>
      </c>
      <c r="B67" t="s">
        <v>54</v>
      </c>
      <c r="C67" t="s">
        <v>15</v>
      </c>
      <c r="D67" t="s">
        <v>16</v>
      </c>
      <c r="E67" t="s">
        <v>57</v>
      </c>
      <c r="F67">
        <v>50</v>
      </c>
      <c r="G67" t="s">
        <v>12</v>
      </c>
      <c r="J67" t="str">
        <f>_xlfn.CONCAT(Tabla13[[#This Row],[ITEM PADRE]],Tabla13[[#This Row],[ITEM MP]],Tabla13[[#This Row],[CANTIDAD R]])</f>
        <v>12300007450</v>
      </c>
    </row>
    <row r="68" spans="1:10" x14ac:dyDescent="0.3">
      <c r="A68">
        <v>123</v>
      </c>
      <c r="B68" t="s">
        <v>54</v>
      </c>
      <c r="C68" t="s">
        <v>19</v>
      </c>
      <c r="D68" t="s">
        <v>20</v>
      </c>
      <c r="E68" t="s">
        <v>57</v>
      </c>
      <c r="F68">
        <v>50</v>
      </c>
      <c r="G68" t="s">
        <v>12</v>
      </c>
      <c r="J68" t="str">
        <f>_xlfn.CONCAT(Tabla13[[#This Row],[ITEM PADRE]],Tabla13[[#This Row],[ITEM MP]],Tabla13[[#This Row],[CANTIDAD R]])</f>
        <v>12300027450</v>
      </c>
    </row>
    <row r="69" spans="1:10" x14ac:dyDescent="0.3">
      <c r="A69">
        <v>140</v>
      </c>
      <c r="B69" t="s">
        <v>58</v>
      </c>
      <c r="C69" t="s">
        <v>37</v>
      </c>
      <c r="D69" t="s">
        <v>24</v>
      </c>
      <c r="E69" t="s">
        <v>11</v>
      </c>
      <c r="F69">
        <v>980</v>
      </c>
      <c r="G69" t="s">
        <v>12</v>
      </c>
      <c r="J69" t="str">
        <f>_xlfn.CONCAT(Tabla13[[#This Row],[ITEM PADRE]],Tabla13[[#This Row],[ITEM MP]],Tabla13[[#This Row],[CANTIDAD R]])</f>
        <v>140000065980</v>
      </c>
    </row>
    <row r="70" spans="1:10" x14ac:dyDescent="0.3">
      <c r="A70">
        <v>140</v>
      </c>
      <c r="B70" t="s">
        <v>58</v>
      </c>
      <c r="C70" t="s">
        <v>59</v>
      </c>
      <c r="D70" t="s">
        <v>60</v>
      </c>
      <c r="E70" t="s">
        <v>11</v>
      </c>
      <c r="F70">
        <v>20</v>
      </c>
      <c r="G70" t="s">
        <v>12</v>
      </c>
      <c r="J70" t="str">
        <f>_xlfn.CONCAT(Tabla13[[#This Row],[ITEM PADRE]],Tabla13[[#This Row],[ITEM MP]],Tabla13[[#This Row],[CANTIDAD R]])</f>
        <v>14000015020</v>
      </c>
    </row>
    <row r="71" spans="1:10" x14ac:dyDescent="0.3">
      <c r="A71">
        <v>141</v>
      </c>
      <c r="B71" t="s">
        <v>61</v>
      </c>
      <c r="C71" t="s">
        <v>28</v>
      </c>
      <c r="D71" t="s">
        <v>29</v>
      </c>
      <c r="E71" t="s">
        <v>62</v>
      </c>
      <c r="F71">
        <v>750</v>
      </c>
      <c r="G71" t="s">
        <v>12</v>
      </c>
      <c r="J71" t="str">
        <f>_xlfn.CONCAT(Tabla13[[#This Row],[ITEM PADRE]],Tabla13[[#This Row],[ITEM MP]],Tabla13[[#This Row],[CANTIDAD R]])</f>
        <v>141000005750</v>
      </c>
    </row>
    <row r="72" spans="1:10" x14ac:dyDescent="0.3">
      <c r="A72">
        <v>141</v>
      </c>
      <c r="B72" t="s">
        <v>61</v>
      </c>
      <c r="C72" t="s">
        <v>15</v>
      </c>
      <c r="D72" t="s">
        <v>16</v>
      </c>
      <c r="E72" t="s">
        <v>62</v>
      </c>
      <c r="F72">
        <v>50</v>
      </c>
      <c r="G72" t="s">
        <v>12</v>
      </c>
      <c r="J72" t="str">
        <f>_xlfn.CONCAT(Tabla13[[#This Row],[ITEM PADRE]],Tabla13[[#This Row],[ITEM MP]],Tabla13[[#This Row],[CANTIDAD R]])</f>
        <v>14100007450</v>
      </c>
    </row>
    <row r="73" spans="1:10" x14ac:dyDescent="0.3">
      <c r="A73">
        <v>141</v>
      </c>
      <c r="B73" t="s">
        <v>61</v>
      </c>
      <c r="C73" t="s">
        <v>22</v>
      </c>
      <c r="D73" t="s">
        <v>23</v>
      </c>
      <c r="E73" t="s">
        <v>62</v>
      </c>
      <c r="F73">
        <v>150</v>
      </c>
      <c r="G73" t="s">
        <v>12</v>
      </c>
      <c r="J73" t="str">
        <f>_xlfn.CONCAT(Tabla13[[#This Row],[ITEM PADRE]],Tabla13[[#This Row],[ITEM MP]],Tabla13[[#This Row],[CANTIDAD R]])</f>
        <v>141000105150</v>
      </c>
    </row>
    <row r="74" spans="1:10" x14ac:dyDescent="0.3">
      <c r="A74">
        <v>141</v>
      </c>
      <c r="B74" t="s">
        <v>61</v>
      </c>
      <c r="C74" t="s">
        <v>13</v>
      </c>
      <c r="D74" t="s">
        <v>14</v>
      </c>
      <c r="E74" t="s">
        <v>62</v>
      </c>
      <c r="F74">
        <v>50</v>
      </c>
      <c r="G74" t="s">
        <v>12</v>
      </c>
      <c r="J74" t="str">
        <f>_xlfn.CONCAT(Tabla13[[#This Row],[ITEM PADRE]],Tabla13[[#This Row],[ITEM MP]],Tabla13[[#This Row],[CANTIDAD R]])</f>
        <v>14100037050</v>
      </c>
    </row>
    <row r="75" spans="1:10" x14ac:dyDescent="0.3">
      <c r="A75">
        <v>150</v>
      </c>
      <c r="B75" t="s">
        <v>60</v>
      </c>
      <c r="C75" t="s">
        <v>63</v>
      </c>
      <c r="D75" t="s">
        <v>64</v>
      </c>
      <c r="E75" t="s">
        <v>11</v>
      </c>
      <c r="F75">
        <v>675</v>
      </c>
      <c r="G75" t="s">
        <v>12</v>
      </c>
      <c r="J75" t="str">
        <f>_xlfn.CONCAT(Tabla13[[#This Row],[ITEM PADRE]],Tabla13[[#This Row],[ITEM MP]],Tabla13[[#This Row],[CANTIDAD R]])</f>
        <v>150000023675</v>
      </c>
    </row>
    <row r="76" spans="1:10" x14ac:dyDescent="0.3">
      <c r="A76">
        <v>150</v>
      </c>
      <c r="B76" t="s">
        <v>60</v>
      </c>
      <c r="C76" t="s">
        <v>22</v>
      </c>
      <c r="D76" t="s">
        <v>23</v>
      </c>
      <c r="E76" t="s">
        <v>11</v>
      </c>
      <c r="F76">
        <v>75</v>
      </c>
      <c r="G76" t="s">
        <v>12</v>
      </c>
      <c r="J76" t="str">
        <f>_xlfn.CONCAT(Tabla13[[#This Row],[ITEM PADRE]],Tabla13[[#This Row],[ITEM MP]],Tabla13[[#This Row],[CANTIDAD R]])</f>
        <v>15000010575</v>
      </c>
    </row>
    <row r="77" spans="1:10" x14ac:dyDescent="0.3">
      <c r="A77">
        <v>150</v>
      </c>
      <c r="B77" t="s">
        <v>60</v>
      </c>
      <c r="C77" t="s">
        <v>15</v>
      </c>
      <c r="D77" t="s">
        <v>16</v>
      </c>
      <c r="E77" t="s">
        <v>11</v>
      </c>
      <c r="F77">
        <v>50</v>
      </c>
      <c r="G77" t="s">
        <v>12</v>
      </c>
      <c r="J77" t="str">
        <f>_xlfn.CONCAT(Tabla13[[#This Row],[ITEM PADRE]],Tabla13[[#This Row],[ITEM MP]],Tabla13[[#This Row],[CANTIDAD R]])</f>
        <v>15000007450</v>
      </c>
    </row>
    <row r="78" spans="1:10" x14ac:dyDescent="0.3">
      <c r="A78">
        <v>150</v>
      </c>
      <c r="B78" t="s">
        <v>60</v>
      </c>
      <c r="C78" t="s">
        <v>13</v>
      </c>
      <c r="D78" t="s">
        <v>14</v>
      </c>
      <c r="E78" t="s">
        <v>11</v>
      </c>
      <c r="F78">
        <v>200</v>
      </c>
      <c r="G78" t="s">
        <v>12</v>
      </c>
      <c r="J78" t="str">
        <f>_xlfn.CONCAT(Tabla13[[#This Row],[ITEM PADRE]],Tabla13[[#This Row],[ITEM MP]],Tabla13[[#This Row],[CANTIDAD R]])</f>
        <v>150000370200</v>
      </c>
    </row>
    <row r="79" spans="1:10" x14ac:dyDescent="0.3">
      <c r="A79">
        <v>154</v>
      </c>
      <c r="B79" t="s">
        <v>65</v>
      </c>
      <c r="C79" t="s">
        <v>22</v>
      </c>
      <c r="D79" t="s">
        <v>23</v>
      </c>
      <c r="E79" t="s">
        <v>11</v>
      </c>
      <c r="F79">
        <v>50</v>
      </c>
      <c r="G79" t="s">
        <v>12</v>
      </c>
      <c r="J79" t="str">
        <f>_xlfn.CONCAT(Tabla13[[#This Row],[ITEM PADRE]],Tabla13[[#This Row],[ITEM MP]],Tabla13[[#This Row],[CANTIDAD R]])</f>
        <v>15400010550</v>
      </c>
    </row>
    <row r="80" spans="1:10" x14ac:dyDescent="0.3">
      <c r="A80">
        <v>154</v>
      </c>
      <c r="B80" t="s">
        <v>65</v>
      </c>
      <c r="C80" t="s">
        <v>66</v>
      </c>
      <c r="D80" t="s">
        <v>67</v>
      </c>
      <c r="E80" t="s">
        <v>11</v>
      </c>
      <c r="F80">
        <v>100</v>
      </c>
      <c r="G80" t="s">
        <v>12</v>
      </c>
      <c r="J80" t="str">
        <f>_xlfn.CONCAT(Tabla13[[#This Row],[ITEM PADRE]],Tabla13[[#This Row],[ITEM MP]],Tabla13[[#This Row],[CANTIDAD R]])</f>
        <v>154000057100</v>
      </c>
    </row>
    <row r="81" spans="1:10" x14ac:dyDescent="0.3">
      <c r="A81">
        <v>154</v>
      </c>
      <c r="B81" t="s">
        <v>65</v>
      </c>
      <c r="C81" t="s">
        <v>68</v>
      </c>
      <c r="D81" t="s">
        <v>69</v>
      </c>
      <c r="E81" t="s">
        <v>11</v>
      </c>
      <c r="F81">
        <v>50</v>
      </c>
      <c r="G81" t="s">
        <v>12</v>
      </c>
      <c r="J81" t="str">
        <f>_xlfn.CONCAT(Tabla13[[#This Row],[ITEM PADRE]],Tabla13[[#This Row],[ITEM MP]],Tabla13[[#This Row],[CANTIDAD R]])</f>
        <v>15400014350</v>
      </c>
    </row>
    <row r="82" spans="1:10" x14ac:dyDescent="0.3">
      <c r="A82">
        <v>154</v>
      </c>
      <c r="B82" t="s">
        <v>65</v>
      </c>
      <c r="C82" t="s">
        <v>28</v>
      </c>
      <c r="D82" t="s">
        <v>29</v>
      </c>
      <c r="E82" t="s">
        <v>11</v>
      </c>
      <c r="F82">
        <v>150</v>
      </c>
      <c r="G82" t="s">
        <v>12</v>
      </c>
      <c r="J82" t="str">
        <f>_xlfn.CONCAT(Tabla13[[#This Row],[ITEM PADRE]],Tabla13[[#This Row],[ITEM MP]],Tabla13[[#This Row],[CANTIDAD R]])</f>
        <v>154000005150</v>
      </c>
    </row>
    <row r="83" spans="1:10" x14ac:dyDescent="0.3">
      <c r="A83">
        <v>154</v>
      </c>
      <c r="B83" t="s">
        <v>65</v>
      </c>
      <c r="C83" t="s">
        <v>13</v>
      </c>
      <c r="D83" t="s">
        <v>14</v>
      </c>
      <c r="E83" t="s">
        <v>11</v>
      </c>
      <c r="F83">
        <v>50</v>
      </c>
      <c r="G83" t="s">
        <v>12</v>
      </c>
      <c r="J83" t="str">
        <f>_xlfn.CONCAT(Tabla13[[#This Row],[ITEM PADRE]],Tabla13[[#This Row],[ITEM MP]],Tabla13[[#This Row],[CANTIDAD R]])</f>
        <v>15400037050</v>
      </c>
    </row>
    <row r="84" spans="1:10" x14ac:dyDescent="0.3">
      <c r="A84">
        <v>154</v>
      </c>
      <c r="B84" t="s">
        <v>65</v>
      </c>
      <c r="C84" t="s">
        <v>19</v>
      </c>
      <c r="D84" t="s">
        <v>20</v>
      </c>
      <c r="E84" t="s">
        <v>11</v>
      </c>
      <c r="F84">
        <v>400</v>
      </c>
      <c r="G84" t="s">
        <v>12</v>
      </c>
      <c r="J84" t="str">
        <f>_xlfn.CONCAT(Tabla13[[#This Row],[ITEM PADRE]],Tabla13[[#This Row],[ITEM MP]],Tabla13[[#This Row],[CANTIDAD R]])</f>
        <v>154000274400</v>
      </c>
    </row>
    <row r="85" spans="1:10" x14ac:dyDescent="0.3">
      <c r="A85">
        <v>154</v>
      </c>
      <c r="B85" t="s">
        <v>65</v>
      </c>
      <c r="C85" t="s">
        <v>15</v>
      </c>
      <c r="D85" t="s">
        <v>16</v>
      </c>
      <c r="E85" t="s">
        <v>11</v>
      </c>
      <c r="F85">
        <v>200</v>
      </c>
      <c r="G85" t="s">
        <v>12</v>
      </c>
      <c r="J85" t="str">
        <f>_xlfn.CONCAT(Tabla13[[#This Row],[ITEM PADRE]],Tabla13[[#This Row],[ITEM MP]],Tabla13[[#This Row],[CANTIDAD R]])</f>
        <v>154000074200</v>
      </c>
    </row>
    <row r="86" spans="1:10" x14ac:dyDescent="0.3">
      <c r="A86">
        <v>154</v>
      </c>
      <c r="B86" t="s">
        <v>65</v>
      </c>
      <c r="C86" t="s">
        <v>17</v>
      </c>
      <c r="D86" t="s">
        <v>18</v>
      </c>
      <c r="E86" t="s">
        <v>11</v>
      </c>
      <c r="F86">
        <v>100</v>
      </c>
      <c r="G86" t="s">
        <v>12</v>
      </c>
      <c r="J86" t="str">
        <f>_xlfn.CONCAT(Tabla13[[#This Row],[ITEM PADRE]],Tabla13[[#This Row],[ITEM MP]],Tabla13[[#This Row],[CANTIDAD R]])</f>
        <v>154000214100</v>
      </c>
    </row>
    <row r="87" spans="1:10" x14ac:dyDescent="0.3">
      <c r="A87">
        <v>155</v>
      </c>
      <c r="B87" t="s">
        <v>70</v>
      </c>
      <c r="C87" t="s">
        <v>15</v>
      </c>
      <c r="D87" t="s">
        <v>16</v>
      </c>
      <c r="E87" t="s">
        <v>27</v>
      </c>
      <c r="F87">
        <v>50</v>
      </c>
      <c r="G87" t="s">
        <v>12</v>
      </c>
      <c r="J87" t="str">
        <f>_xlfn.CONCAT(Tabla13[[#This Row],[ITEM PADRE]],Tabla13[[#This Row],[ITEM MP]],Tabla13[[#This Row],[CANTIDAD R]])</f>
        <v>15500007450</v>
      </c>
    </row>
    <row r="88" spans="1:10" x14ac:dyDescent="0.3">
      <c r="A88">
        <v>155</v>
      </c>
      <c r="B88" t="s">
        <v>70</v>
      </c>
      <c r="C88" t="s">
        <v>71</v>
      </c>
      <c r="D88" t="s">
        <v>72</v>
      </c>
      <c r="E88" t="s">
        <v>27</v>
      </c>
      <c r="F88">
        <v>50</v>
      </c>
      <c r="G88" t="s">
        <v>12</v>
      </c>
      <c r="J88" t="str">
        <f>_xlfn.CONCAT(Tabla13[[#This Row],[ITEM PADRE]],Tabla13[[#This Row],[ITEM MP]],Tabla13[[#This Row],[CANTIDAD R]])</f>
        <v>15500019350</v>
      </c>
    </row>
    <row r="89" spans="1:10" x14ac:dyDescent="0.3">
      <c r="A89">
        <v>155</v>
      </c>
      <c r="B89" t="s">
        <v>70</v>
      </c>
      <c r="C89" t="s">
        <v>9</v>
      </c>
      <c r="D89" t="s">
        <v>10</v>
      </c>
      <c r="E89" t="s">
        <v>27</v>
      </c>
      <c r="F89">
        <v>650</v>
      </c>
      <c r="G89" t="s">
        <v>12</v>
      </c>
      <c r="J89" t="str">
        <f>_xlfn.CONCAT(Tabla13[[#This Row],[ITEM PADRE]],Tabla13[[#This Row],[ITEM MP]],Tabla13[[#This Row],[CANTIDAD R]])</f>
        <v>155000290650</v>
      </c>
    </row>
    <row r="90" spans="1:10" x14ac:dyDescent="0.3">
      <c r="A90">
        <v>155</v>
      </c>
      <c r="B90" t="s">
        <v>70</v>
      </c>
      <c r="C90" t="s">
        <v>19</v>
      </c>
      <c r="D90" t="s">
        <v>20</v>
      </c>
      <c r="E90" t="s">
        <v>27</v>
      </c>
      <c r="F90">
        <v>90</v>
      </c>
      <c r="G90" t="s">
        <v>12</v>
      </c>
      <c r="J90" t="str">
        <f>_xlfn.CONCAT(Tabla13[[#This Row],[ITEM PADRE]],Tabla13[[#This Row],[ITEM MP]],Tabla13[[#This Row],[CANTIDAD R]])</f>
        <v>15500027490</v>
      </c>
    </row>
    <row r="91" spans="1:10" x14ac:dyDescent="0.3">
      <c r="A91">
        <v>155</v>
      </c>
      <c r="B91" t="s">
        <v>70</v>
      </c>
      <c r="C91" t="s">
        <v>73</v>
      </c>
      <c r="D91" t="s">
        <v>74</v>
      </c>
      <c r="E91" t="s">
        <v>27</v>
      </c>
      <c r="F91">
        <v>100</v>
      </c>
      <c r="G91" t="s">
        <v>12</v>
      </c>
      <c r="J91" t="str">
        <f>_xlfn.CONCAT(Tabla13[[#This Row],[ITEM PADRE]],Tabla13[[#This Row],[ITEM MP]],Tabla13[[#This Row],[CANTIDAD R]])</f>
        <v>155000152100</v>
      </c>
    </row>
    <row r="92" spans="1:10" x14ac:dyDescent="0.3">
      <c r="A92">
        <v>155</v>
      </c>
      <c r="B92" t="s">
        <v>70</v>
      </c>
      <c r="C92" t="s">
        <v>75</v>
      </c>
      <c r="D92" t="s">
        <v>76</v>
      </c>
      <c r="E92" t="s">
        <v>27</v>
      </c>
      <c r="F92">
        <v>60</v>
      </c>
      <c r="G92" t="s">
        <v>12</v>
      </c>
      <c r="J92" t="str">
        <f>_xlfn.CONCAT(Tabla13[[#This Row],[ITEM PADRE]],Tabla13[[#This Row],[ITEM MP]],Tabla13[[#This Row],[CANTIDAD R]])</f>
        <v>15500067860</v>
      </c>
    </row>
    <row r="93" spans="1:10" x14ac:dyDescent="0.3">
      <c r="A93">
        <v>155</v>
      </c>
      <c r="B93" t="s">
        <v>70</v>
      </c>
      <c r="C93" t="s">
        <v>17</v>
      </c>
      <c r="D93" t="s">
        <v>18</v>
      </c>
      <c r="E93" t="s">
        <v>27</v>
      </c>
      <c r="F93">
        <v>200</v>
      </c>
      <c r="G93" t="s">
        <v>12</v>
      </c>
      <c r="J93" t="str">
        <f>_xlfn.CONCAT(Tabla13[[#This Row],[ITEM PADRE]],Tabla13[[#This Row],[ITEM MP]],Tabla13[[#This Row],[CANTIDAD R]])</f>
        <v>155000214200</v>
      </c>
    </row>
    <row r="94" spans="1:10" x14ac:dyDescent="0.3">
      <c r="A94">
        <v>161</v>
      </c>
      <c r="B94" t="s">
        <v>77</v>
      </c>
      <c r="C94" t="s">
        <v>22</v>
      </c>
      <c r="D94" t="s">
        <v>23</v>
      </c>
      <c r="E94" t="s">
        <v>11</v>
      </c>
      <c r="F94">
        <v>100</v>
      </c>
      <c r="G94" t="s">
        <v>12</v>
      </c>
      <c r="J94" t="str">
        <f>_xlfn.CONCAT(Tabla13[[#This Row],[ITEM PADRE]],Tabla13[[#This Row],[ITEM MP]],Tabla13[[#This Row],[CANTIDAD R]])</f>
        <v>161000105100</v>
      </c>
    </row>
    <row r="95" spans="1:10" x14ac:dyDescent="0.3">
      <c r="A95">
        <v>161</v>
      </c>
      <c r="B95" t="s">
        <v>77</v>
      </c>
      <c r="C95" t="s">
        <v>55</v>
      </c>
      <c r="D95" t="s">
        <v>56</v>
      </c>
      <c r="E95" t="s">
        <v>11</v>
      </c>
      <c r="F95">
        <v>70</v>
      </c>
      <c r="G95" t="s">
        <v>12</v>
      </c>
      <c r="J95" t="str">
        <f>_xlfn.CONCAT(Tabla13[[#This Row],[ITEM PADRE]],Tabla13[[#This Row],[ITEM MP]],Tabla13[[#This Row],[CANTIDAD R]])</f>
        <v>16100001670</v>
      </c>
    </row>
    <row r="96" spans="1:10" x14ac:dyDescent="0.3">
      <c r="A96">
        <v>161</v>
      </c>
      <c r="B96" t="s">
        <v>77</v>
      </c>
      <c r="C96" t="s">
        <v>28</v>
      </c>
      <c r="D96" t="s">
        <v>29</v>
      </c>
      <c r="E96" t="s">
        <v>11</v>
      </c>
      <c r="F96">
        <v>160</v>
      </c>
      <c r="G96" t="s">
        <v>12</v>
      </c>
      <c r="J96" t="str">
        <f>_xlfn.CONCAT(Tabla13[[#This Row],[ITEM PADRE]],Tabla13[[#This Row],[ITEM MP]],Tabla13[[#This Row],[CANTIDAD R]])</f>
        <v>161000005160</v>
      </c>
    </row>
    <row r="97" spans="1:10" x14ac:dyDescent="0.3">
      <c r="A97">
        <v>161</v>
      </c>
      <c r="B97" t="s">
        <v>77</v>
      </c>
      <c r="C97" t="s">
        <v>9</v>
      </c>
      <c r="D97" t="s">
        <v>10</v>
      </c>
      <c r="E97" t="s">
        <v>11</v>
      </c>
      <c r="F97">
        <v>270</v>
      </c>
      <c r="G97" t="s">
        <v>12</v>
      </c>
      <c r="J97" t="str">
        <f>_xlfn.CONCAT(Tabla13[[#This Row],[ITEM PADRE]],Tabla13[[#This Row],[ITEM MP]],Tabla13[[#This Row],[CANTIDAD R]])</f>
        <v>161000290270</v>
      </c>
    </row>
    <row r="98" spans="1:10" x14ac:dyDescent="0.3">
      <c r="A98">
        <v>161</v>
      </c>
      <c r="B98" t="s">
        <v>77</v>
      </c>
      <c r="C98" t="s">
        <v>25</v>
      </c>
      <c r="D98" t="s">
        <v>26</v>
      </c>
      <c r="E98" t="s">
        <v>11</v>
      </c>
      <c r="F98">
        <v>70</v>
      </c>
      <c r="G98" t="s">
        <v>12</v>
      </c>
      <c r="J98" t="str">
        <f>_xlfn.CONCAT(Tabla13[[#This Row],[ITEM PADRE]],Tabla13[[#This Row],[ITEM MP]],Tabla13[[#This Row],[CANTIDAD R]])</f>
        <v>16100012070</v>
      </c>
    </row>
    <row r="99" spans="1:10" x14ac:dyDescent="0.3">
      <c r="A99">
        <v>161</v>
      </c>
      <c r="B99" t="s">
        <v>77</v>
      </c>
      <c r="C99" t="s">
        <v>19</v>
      </c>
      <c r="D99" t="s">
        <v>20</v>
      </c>
      <c r="E99" t="s">
        <v>11</v>
      </c>
      <c r="F99">
        <v>100</v>
      </c>
      <c r="G99" t="s">
        <v>12</v>
      </c>
      <c r="J99" t="str">
        <f>_xlfn.CONCAT(Tabla13[[#This Row],[ITEM PADRE]],Tabla13[[#This Row],[ITEM MP]],Tabla13[[#This Row],[CANTIDAD R]])</f>
        <v>161000274100</v>
      </c>
    </row>
    <row r="100" spans="1:10" x14ac:dyDescent="0.3">
      <c r="A100">
        <v>161</v>
      </c>
      <c r="B100" t="s">
        <v>77</v>
      </c>
      <c r="C100" t="s">
        <v>13</v>
      </c>
      <c r="D100" t="s">
        <v>14</v>
      </c>
      <c r="E100" t="s">
        <v>11</v>
      </c>
      <c r="F100">
        <v>100</v>
      </c>
      <c r="G100" t="s">
        <v>12</v>
      </c>
      <c r="J100" t="str">
        <f>_xlfn.CONCAT(Tabla13[[#This Row],[ITEM PADRE]],Tabla13[[#This Row],[ITEM MP]],Tabla13[[#This Row],[CANTIDAD R]])</f>
        <v>161000370100</v>
      </c>
    </row>
    <row r="101" spans="1:10" x14ac:dyDescent="0.3">
      <c r="A101">
        <v>161</v>
      </c>
      <c r="B101" t="s">
        <v>77</v>
      </c>
      <c r="C101" t="s">
        <v>15</v>
      </c>
      <c r="D101" t="s">
        <v>16</v>
      </c>
      <c r="E101" t="s">
        <v>11</v>
      </c>
      <c r="F101">
        <v>50</v>
      </c>
      <c r="G101" t="s">
        <v>12</v>
      </c>
      <c r="J101" t="str">
        <f>_xlfn.CONCAT(Tabla13[[#This Row],[ITEM PADRE]],Tabla13[[#This Row],[ITEM MP]],Tabla13[[#This Row],[CANTIDAD R]])</f>
        <v>16100007450</v>
      </c>
    </row>
    <row r="102" spans="1:10" x14ac:dyDescent="0.3">
      <c r="A102">
        <v>161</v>
      </c>
      <c r="B102" t="s">
        <v>77</v>
      </c>
      <c r="C102" t="s">
        <v>17</v>
      </c>
      <c r="D102" t="s">
        <v>18</v>
      </c>
      <c r="E102" t="s">
        <v>11</v>
      </c>
      <c r="F102">
        <v>150</v>
      </c>
      <c r="G102" t="s">
        <v>12</v>
      </c>
      <c r="J102" t="str">
        <f>_xlfn.CONCAT(Tabla13[[#This Row],[ITEM PADRE]],Tabla13[[#This Row],[ITEM MP]],Tabla13[[#This Row],[CANTIDAD R]])</f>
        <v>161000214150</v>
      </c>
    </row>
    <row r="103" spans="1:10" x14ac:dyDescent="0.3">
      <c r="A103">
        <v>161</v>
      </c>
      <c r="B103" t="s">
        <v>77</v>
      </c>
      <c r="C103" t="s">
        <v>63</v>
      </c>
      <c r="D103" t="s">
        <v>64</v>
      </c>
      <c r="E103" t="s">
        <v>11</v>
      </c>
      <c r="F103">
        <v>70</v>
      </c>
      <c r="G103" t="s">
        <v>12</v>
      </c>
      <c r="J103" t="str">
        <f>_xlfn.CONCAT(Tabla13[[#This Row],[ITEM PADRE]],Tabla13[[#This Row],[ITEM MP]],Tabla13[[#This Row],[CANTIDAD R]])</f>
        <v>16100002370</v>
      </c>
    </row>
    <row r="104" spans="1:10" x14ac:dyDescent="0.3">
      <c r="A104">
        <v>161</v>
      </c>
      <c r="B104" t="s">
        <v>77</v>
      </c>
      <c r="C104" t="s">
        <v>78</v>
      </c>
      <c r="D104" t="s">
        <v>79</v>
      </c>
      <c r="E104" t="s">
        <v>11</v>
      </c>
      <c r="F104">
        <v>10</v>
      </c>
      <c r="G104" t="s">
        <v>12</v>
      </c>
      <c r="J104" t="str">
        <f>_xlfn.CONCAT(Tabla13[[#This Row],[ITEM PADRE]],Tabla13[[#This Row],[ITEM MP]],Tabla13[[#This Row],[CANTIDAD R]])</f>
        <v>16100003010</v>
      </c>
    </row>
    <row r="105" spans="1:10" x14ac:dyDescent="0.3">
      <c r="A105">
        <v>300</v>
      </c>
      <c r="B105" t="s">
        <v>80</v>
      </c>
      <c r="C105" t="s">
        <v>15</v>
      </c>
      <c r="D105" t="s">
        <v>16</v>
      </c>
      <c r="E105" t="s">
        <v>62</v>
      </c>
      <c r="F105">
        <v>50</v>
      </c>
      <c r="G105" t="s">
        <v>12</v>
      </c>
      <c r="J105" t="str">
        <f>_xlfn.CONCAT(Tabla13[[#This Row],[ITEM PADRE]],Tabla13[[#This Row],[ITEM MP]],Tabla13[[#This Row],[CANTIDAD R]])</f>
        <v>30000007450</v>
      </c>
    </row>
    <row r="106" spans="1:10" x14ac:dyDescent="0.3">
      <c r="A106">
        <v>300</v>
      </c>
      <c r="B106" t="s">
        <v>80</v>
      </c>
      <c r="C106" t="s">
        <v>28</v>
      </c>
      <c r="D106" t="s">
        <v>29</v>
      </c>
      <c r="E106" t="s">
        <v>62</v>
      </c>
      <c r="F106">
        <v>50</v>
      </c>
      <c r="G106" t="s">
        <v>12</v>
      </c>
      <c r="J106" t="str">
        <f>_xlfn.CONCAT(Tabla13[[#This Row],[ITEM PADRE]],Tabla13[[#This Row],[ITEM MP]],Tabla13[[#This Row],[CANTIDAD R]])</f>
        <v>30000000550</v>
      </c>
    </row>
    <row r="107" spans="1:10" x14ac:dyDescent="0.3">
      <c r="A107">
        <v>300</v>
      </c>
      <c r="B107" t="s">
        <v>80</v>
      </c>
      <c r="C107" t="s">
        <v>81</v>
      </c>
      <c r="D107" t="s">
        <v>82</v>
      </c>
      <c r="E107" t="s">
        <v>62</v>
      </c>
      <c r="F107">
        <v>120</v>
      </c>
      <c r="G107" t="s">
        <v>12</v>
      </c>
      <c r="J107" t="str">
        <f>_xlfn.CONCAT(Tabla13[[#This Row],[ITEM PADRE]],Tabla13[[#This Row],[ITEM MP]],Tabla13[[#This Row],[CANTIDAD R]])</f>
        <v>300000197120</v>
      </c>
    </row>
    <row r="108" spans="1:10" x14ac:dyDescent="0.3">
      <c r="A108">
        <v>300</v>
      </c>
      <c r="B108" t="s">
        <v>80</v>
      </c>
      <c r="C108" t="s">
        <v>68</v>
      </c>
      <c r="D108" t="s">
        <v>69</v>
      </c>
      <c r="E108" t="s">
        <v>62</v>
      </c>
      <c r="F108">
        <v>400</v>
      </c>
      <c r="G108" t="s">
        <v>12</v>
      </c>
      <c r="J108" t="str">
        <f>_xlfn.CONCAT(Tabla13[[#This Row],[ITEM PADRE]],Tabla13[[#This Row],[ITEM MP]],Tabla13[[#This Row],[CANTIDAD R]])</f>
        <v>300000143400</v>
      </c>
    </row>
    <row r="109" spans="1:10" x14ac:dyDescent="0.3">
      <c r="A109">
        <v>300</v>
      </c>
      <c r="B109" t="s">
        <v>80</v>
      </c>
      <c r="C109" t="s">
        <v>75</v>
      </c>
      <c r="D109" t="s">
        <v>76</v>
      </c>
      <c r="E109" t="s">
        <v>62</v>
      </c>
      <c r="F109">
        <v>200</v>
      </c>
      <c r="G109" t="s">
        <v>12</v>
      </c>
      <c r="J109" t="str">
        <f>_xlfn.CONCAT(Tabla13[[#This Row],[ITEM PADRE]],Tabla13[[#This Row],[ITEM MP]],Tabla13[[#This Row],[CANTIDAD R]])</f>
        <v>300000678200</v>
      </c>
    </row>
    <row r="110" spans="1:10" x14ac:dyDescent="0.3">
      <c r="A110">
        <v>300</v>
      </c>
      <c r="B110" t="s">
        <v>80</v>
      </c>
      <c r="C110" t="s">
        <v>17</v>
      </c>
      <c r="D110" t="s">
        <v>18</v>
      </c>
      <c r="E110" t="s">
        <v>62</v>
      </c>
      <c r="F110">
        <v>200</v>
      </c>
      <c r="G110" t="s">
        <v>12</v>
      </c>
      <c r="J110" t="str">
        <f>_xlfn.CONCAT(Tabla13[[#This Row],[ITEM PADRE]],Tabla13[[#This Row],[ITEM MP]],Tabla13[[#This Row],[CANTIDAD R]])</f>
        <v>300000214200</v>
      </c>
    </row>
    <row r="111" spans="1:10" x14ac:dyDescent="0.3">
      <c r="A111">
        <v>300</v>
      </c>
      <c r="B111" t="s">
        <v>80</v>
      </c>
      <c r="C111" t="s">
        <v>22</v>
      </c>
      <c r="D111" t="s">
        <v>23</v>
      </c>
      <c r="E111" t="s">
        <v>62</v>
      </c>
      <c r="F111">
        <v>80</v>
      </c>
      <c r="G111" t="s">
        <v>12</v>
      </c>
      <c r="J111" t="str">
        <f>_xlfn.CONCAT(Tabla13[[#This Row],[ITEM PADRE]],Tabla13[[#This Row],[ITEM MP]],Tabla13[[#This Row],[CANTIDAD R]])</f>
        <v>30000010580</v>
      </c>
    </row>
    <row r="112" spans="1:10" x14ac:dyDescent="0.3">
      <c r="A112">
        <v>300</v>
      </c>
      <c r="B112" t="s">
        <v>80</v>
      </c>
      <c r="C112" t="s">
        <v>83</v>
      </c>
      <c r="D112" t="s">
        <v>84</v>
      </c>
      <c r="E112" t="s">
        <v>62</v>
      </c>
      <c r="F112">
        <v>100</v>
      </c>
      <c r="G112" t="s">
        <v>12</v>
      </c>
      <c r="J112" t="str">
        <f>_xlfn.CONCAT(Tabla13[[#This Row],[ITEM PADRE]],Tabla13[[#This Row],[ITEM MP]],Tabla13[[#This Row],[CANTIDAD R]])</f>
        <v>300000111100</v>
      </c>
    </row>
    <row r="113" spans="1:10" x14ac:dyDescent="0.3">
      <c r="A113">
        <v>302</v>
      </c>
      <c r="B113" t="s">
        <v>85</v>
      </c>
      <c r="C113" t="s">
        <v>15</v>
      </c>
      <c r="D113" t="s">
        <v>16</v>
      </c>
      <c r="E113" t="s">
        <v>11</v>
      </c>
      <c r="F113">
        <v>50</v>
      </c>
      <c r="G113" t="s">
        <v>12</v>
      </c>
      <c r="J113" t="str">
        <f>_xlfn.CONCAT(Tabla13[[#This Row],[ITEM PADRE]],Tabla13[[#This Row],[ITEM MP]],Tabla13[[#This Row],[CANTIDAD R]])</f>
        <v>30200007450</v>
      </c>
    </row>
    <row r="114" spans="1:10" x14ac:dyDescent="0.3">
      <c r="A114">
        <v>302</v>
      </c>
      <c r="B114" t="s">
        <v>85</v>
      </c>
      <c r="C114" t="s">
        <v>22</v>
      </c>
      <c r="D114" t="s">
        <v>23</v>
      </c>
      <c r="E114" t="s">
        <v>11</v>
      </c>
      <c r="F114">
        <v>100</v>
      </c>
      <c r="G114" t="s">
        <v>12</v>
      </c>
      <c r="J114" t="str">
        <f>_xlfn.CONCAT(Tabla13[[#This Row],[ITEM PADRE]],Tabla13[[#This Row],[ITEM MP]],Tabla13[[#This Row],[CANTIDAD R]])</f>
        <v>302000105100</v>
      </c>
    </row>
    <row r="115" spans="1:10" x14ac:dyDescent="0.3">
      <c r="A115">
        <v>302</v>
      </c>
      <c r="B115" t="s">
        <v>85</v>
      </c>
      <c r="C115" t="s">
        <v>86</v>
      </c>
      <c r="D115" t="s">
        <v>87</v>
      </c>
      <c r="E115" t="s">
        <v>11</v>
      </c>
      <c r="F115">
        <v>750</v>
      </c>
      <c r="G115" t="s">
        <v>12</v>
      </c>
      <c r="J115" t="str">
        <f>_xlfn.CONCAT(Tabla13[[#This Row],[ITEM PADRE]],Tabla13[[#This Row],[ITEM MP]],Tabla13[[#This Row],[CANTIDAD R]])</f>
        <v>302000171750</v>
      </c>
    </row>
    <row r="116" spans="1:10" x14ac:dyDescent="0.3">
      <c r="A116">
        <v>302</v>
      </c>
      <c r="B116" t="s">
        <v>85</v>
      </c>
      <c r="C116" t="s">
        <v>83</v>
      </c>
      <c r="D116" t="s">
        <v>84</v>
      </c>
      <c r="E116" t="s">
        <v>11</v>
      </c>
      <c r="F116">
        <v>100</v>
      </c>
      <c r="G116" t="s">
        <v>12</v>
      </c>
      <c r="J116" t="str">
        <f>_xlfn.CONCAT(Tabla13[[#This Row],[ITEM PADRE]],Tabla13[[#This Row],[ITEM MP]],Tabla13[[#This Row],[CANTIDAD R]])</f>
        <v>302000111100</v>
      </c>
    </row>
    <row r="117" spans="1:10" x14ac:dyDescent="0.3">
      <c r="A117">
        <v>302</v>
      </c>
      <c r="B117" t="s">
        <v>85</v>
      </c>
      <c r="C117" t="s">
        <v>17</v>
      </c>
      <c r="D117" t="s">
        <v>18</v>
      </c>
      <c r="E117" t="s">
        <v>11</v>
      </c>
      <c r="F117">
        <v>100</v>
      </c>
      <c r="G117" t="s">
        <v>12</v>
      </c>
      <c r="J117" t="str">
        <f>_xlfn.CONCAT(Tabla13[[#This Row],[ITEM PADRE]],Tabla13[[#This Row],[ITEM MP]],Tabla13[[#This Row],[CANTIDAD R]])</f>
        <v>302000214100</v>
      </c>
    </row>
    <row r="118" spans="1:10" x14ac:dyDescent="0.3">
      <c r="A118">
        <v>311</v>
      </c>
      <c r="B118" t="s">
        <v>88</v>
      </c>
      <c r="C118" t="s">
        <v>9</v>
      </c>
      <c r="D118" t="s">
        <v>10</v>
      </c>
      <c r="E118" t="s">
        <v>11</v>
      </c>
      <c r="F118">
        <v>150</v>
      </c>
      <c r="G118" t="s">
        <v>12</v>
      </c>
      <c r="J118" t="str">
        <f>_xlfn.CONCAT(Tabla13[[#This Row],[ITEM PADRE]],Tabla13[[#This Row],[ITEM MP]],Tabla13[[#This Row],[CANTIDAD R]])</f>
        <v>311000290150</v>
      </c>
    </row>
    <row r="119" spans="1:10" x14ac:dyDescent="0.3">
      <c r="A119">
        <v>311</v>
      </c>
      <c r="B119" t="s">
        <v>88</v>
      </c>
      <c r="C119" t="s">
        <v>25</v>
      </c>
      <c r="D119" t="s">
        <v>26</v>
      </c>
      <c r="E119" t="s">
        <v>11</v>
      </c>
      <c r="F119">
        <v>100</v>
      </c>
      <c r="G119" t="s">
        <v>12</v>
      </c>
      <c r="J119" t="str">
        <f>_xlfn.CONCAT(Tabla13[[#This Row],[ITEM PADRE]],Tabla13[[#This Row],[ITEM MP]],Tabla13[[#This Row],[CANTIDAD R]])</f>
        <v>311000120100</v>
      </c>
    </row>
    <row r="120" spans="1:10" x14ac:dyDescent="0.3">
      <c r="A120">
        <v>311</v>
      </c>
      <c r="B120" t="s">
        <v>88</v>
      </c>
      <c r="C120" t="s">
        <v>22</v>
      </c>
      <c r="D120" t="s">
        <v>23</v>
      </c>
      <c r="E120" t="s">
        <v>11</v>
      </c>
      <c r="F120">
        <v>100</v>
      </c>
      <c r="G120" t="s">
        <v>12</v>
      </c>
      <c r="J120" t="str">
        <f>_xlfn.CONCAT(Tabla13[[#This Row],[ITEM PADRE]],Tabla13[[#This Row],[ITEM MP]],Tabla13[[#This Row],[CANTIDAD R]])</f>
        <v>311000105100</v>
      </c>
    </row>
    <row r="121" spans="1:10" x14ac:dyDescent="0.3">
      <c r="A121">
        <v>311</v>
      </c>
      <c r="B121" t="s">
        <v>88</v>
      </c>
      <c r="C121" t="s">
        <v>28</v>
      </c>
      <c r="D121" t="s">
        <v>29</v>
      </c>
      <c r="E121" t="s">
        <v>11</v>
      </c>
      <c r="F121">
        <v>200</v>
      </c>
      <c r="G121" t="s">
        <v>12</v>
      </c>
      <c r="J121" t="str">
        <f>_xlfn.CONCAT(Tabla13[[#This Row],[ITEM PADRE]],Tabla13[[#This Row],[ITEM MP]],Tabla13[[#This Row],[CANTIDAD R]])</f>
        <v>311000005200</v>
      </c>
    </row>
    <row r="122" spans="1:10" x14ac:dyDescent="0.3">
      <c r="A122">
        <v>311</v>
      </c>
      <c r="B122" t="s">
        <v>88</v>
      </c>
      <c r="C122" t="s">
        <v>19</v>
      </c>
      <c r="D122" t="s">
        <v>20</v>
      </c>
      <c r="E122" t="s">
        <v>11</v>
      </c>
      <c r="F122">
        <v>350</v>
      </c>
      <c r="G122" t="s">
        <v>12</v>
      </c>
      <c r="J122" t="str">
        <f>_xlfn.CONCAT(Tabla13[[#This Row],[ITEM PADRE]],Tabla13[[#This Row],[ITEM MP]],Tabla13[[#This Row],[CANTIDAD R]])</f>
        <v>311000274350</v>
      </c>
    </row>
    <row r="123" spans="1:10" x14ac:dyDescent="0.3">
      <c r="A123">
        <v>311</v>
      </c>
      <c r="B123" t="s">
        <v>88</v>
      </c>
      <c r="C123" t="s">
        <v>40</v>
      </c>
      <c r="D123" t="s">
        <v>41</v>
      </c>
      <c r="E123" t="s">
        <v>11</v>
      </c>
      <c r="F123">
        <v>20</v>
      </c>
      <c r="G123" t="s">
        <v>12</v>
      </c>
      <c r="J123" t="str">
        <f>_xlfn.CONCAT(Tabla13[[#This Row],[ITEM PADRE]],Tabla13[[#This Row],[ITEM MP]],Tabla13[[#This Row],[CANTIDAD R]])</f>
        <v>31100026720</v>
      </c>
    </row>
    <row r="124" spans="1:10" x14ac:dyDescent="0.3">
      <c r="A124">
        <v>311</v>
      </c>
      <c r="B124" t="s">
        <v>88</v>
      </c>
      <c r="C124" t="s">
        <v>13</v>
      </c>
      <c r="D124" t="s">
        <v>14</v>
      </c>
      <c r="E124" t="s">
        <v>11</v>
      </c>
      <c r="F124">
        <v>100</v>
      </c>
      <c r="G124" t="s">
        <v>12</v>
      </c>
      <c r="J124" t="str">
        <f>_xlfn.CONCAT(Tabla13[[#This Row],[ITEM PADRE]],Tabla13[[#This Row],[ITEM MP]],Tabla13[[#This Row],[CANTIDAD R]])</f>
        <v>311000370100</v>
      </c>
    </row>
    <row r="125" spans="1:10" x14ac:dyDescent="0.3">
      <c r="A125">
        <v>311</v>
      </c>
      <c r="B125" t="s">
        <v>88</v>
      </c>
      <c r="C125" t="s">
        <v>89</v>
      </c>
      <c r="D125" t="s">
        <v>90</v>
      </c>
      <c r="E125" t="s">
        <v>11</v>
      </c>
      <c r="F125">
        <v>20</v>
      </c>
      <c r="G125" t="s">
        <v>12</v>
      </c>
      <c r="J125" t="str">
        <f>_xlfn.CONCAT(Tabla13[[#This Row],[ITEM PADRE]],Tabla13[[#This Row],[ITEM MP]],Tabla13[[#This Row],[CANTIDAD R]])</f>
        <v>31100046020</v>
      </c>
    </row>
    <row r="126" spans="1:10" x14ac:dyDescent="0.3">
      <c r="A126">
        <v>393</v>
      </c>
      <c r="B126" t="s">
        <v>91</v>
      </c>
      <c r="C126" t="s">
        <v>92</v>
      </c>
      <c r="D126" t="s">
        <v>93</v>
      </c>
      <c r="E126" t="s">
        <v>11</v>
      </c>
      <c r="F126">
        <v>1000</v>
      </c>
      <c r="G126" t="s">
        <v>12</v>
      </c>
      <c r="J126" t="str">
        <f>_xlfn.CONCAT(Tabla13[[#This Row],[ITEM PADRE]],Tabla13[[#This Row],[ITEM MP]],Tabla13[[#This Row],[CANTIDAD R]])</f>
        <v>3930002041000</v>
      </c>
    </row>
    <row r="127" spans="1:10" x14ac:dyDescent="0.3">
      <c r="A127">
        <v>393</v>
      </c>
      <c r="B127" t="s">
        <v>91</v>
      </c>
      <c r="C127" t="s">
        <v>94</v>
      </c>
      <c r="D127" t="s">
        <v>95</v>
      </c>
      <c r="E127" t="s">
        <v>11</v>
      </c>
      <c r="F127">
        <v>20</v>
      </c>
      <c r="G127" t="s">
        <v>12</v>
      </c>
      <c r="J127" t="str">
        <f>_xlfn.CONCAT(Tabla13[[#This Row],[ITEM PADRE]],Tabla13[[#This Row],[ITEM MP]],Tabla13[[#This Row],[CANTIDAD R]])</f>
        <v>39300034520</v>
      </c>
    </row>
    <row r="128" spans="1:10" x14ac:dyDescent="0.3">
      <c r="A128">
        <v>393</v>
      </c>
      <c r="B128" t="s">
        <v>91</v>
      </c>
      <c r="C128" t="s">
        <v>40</v>
      </c>
      <c r="D128" t="s">
        <v>41</v>
      </c>
      <c r="E128" t="s">
        <v>11</v>
      </c>
      <c r="F128">
        <v>20</v>
      </c>
      <c r="G128" t="s">
        <v>12</v>
      </c>
      <c r="J128" t="str">
        <f>_xlfn.CONCAT(Tabla13[[#This Row],[ITEM PADRE]],Tabla13[[#This Row],[ITEM MP]],Tabla13[[#This Row],[CANTIDAD R]])</f>
        <v>39300026720</v>
      </c>
    </row>
    <row r="129" spans="1:10" x14ac:dyDescent="0.3">
      <c r="A129">
        <v>410</v>
      </c>
      <c r="B129" t="s">
        <v>96</v>
      </c>
      <c r="C129" t="s">
        <v>15</v>
      </c>
      <c r="D129" t="s">
        <v>16</v>
      </c>
      <c r="E129" t="s">
        <v>11</v>
      </c>
      <c r="F129">
        <v>50</v>
      </c>
      <c r="G129" t="s">
        <v>12</v>
      </c>
      <c r="J129" t="str">
        <f>_xlfn.CONCAT(Tabla13[[#This Row],[ITEM PADRE]],Tabla13[[#This Row],[ITEM MP]],Tabla13[[#This Row],[CANTIDAD R]])</f>
        <v>41000007450</v>
      </c>
    </row>
    <row r="130" spans="1:10" x14ac:dyDescent="0.3">
      <c r="A130">
        <v>410</v>
      </c>
      <c r="B130" t="s">
        <v>96</v>
      </c>
      <c r="C130" t="s">
        <v>97</v>
      </c>
      <c r="D130" t="s">
        <v>98</v>
      </c>
      <c r="E130" t="s">
        <v>11</v>
      </c>
      <c r="F130">
        <v>100</v>
      </c>
      <c r="G130" t="s">
        <v>12</v>
      </c>
      <c r="J130" t="str">
        <f>_xlfn.CONCAT(Tabla13[[#This Row],[ITEM PADRE]],Tabla13[[#This Row],[ITEM MP]],Tabla13[[#This Row],[CANTIDAD R]])</f>
        <v>410000110100</v>
      </c>
    </row>
    <row r="131" spans="1:10" x14ac:dyDescent="0.3">
      <c r="A131">
        <v>410</v>
      </c>
      <c r="B131" t="s">
        <v>96</v>
      </c>
      <c r="C131" t="s">
        <v>9</v>
      </c>
      <c r="D131" t="s">
        <v>10</v>
      </c>
      <c r="E131" t="s">
        <v>11</v>
      </c>
      <c r="F131">
        <v>800</v>
      </c>
      <c r="G131" t="s">
        <v>12</v>
      </c>
      <c r="H131" t="s">
        <v>99</v>
      </c>
      <c r="J131" t="str">
        <f>_xlfn.CONCAT(Tabla13[[#This Row],[ITEM PADRE]],Tabla13[[#This Row],[ITEM MP]],Tabla13[[#This Row],[CANTIDAD R]])</f>
        <v>410000290800</v>
      </c>
    </row>
    <row r="132" spans="1:10" x14ac:dyDescent="0.3">
      <c r="A132">
        <v>410</v>
      </c>
      <c r="B132" t="s">
        <v>96</v>
      </c>
      <c r="C132" t="s">
        <v>92</v>
      </c>
      <c r="D132" t="s">
        <v>93</v>
      </c>
      <c r="E132" t="s">
        <v>11</v>
      </c>
      <c r="F132">
        <v>50</v>
      </c>
      <c r="G132" t="s">
        <v>12</v>
      </c>
      <c r="J132" t="str">
        <f>_xlfn.CONCAT(Tabla13[[#This Row],[ITEM PADRE]],Tabla13[[#This Row],[ITEM MP]],Tabla13[[#This Row],[CANTIDAD R]])</f>
        <v>41000020450</v>
      </c>
    </row>
    <row r="133" spans="1:10" x14ac:dyDescent="0.3">
      <c r="A133">
        <v>410</v>
      </c>
      <c r="B133" t="s">
        <v>96</v>
      </c>
      <c r="C133" s="1" t="s">
        <v>17</v>
      </c>
      <c r="D133" t="s">
        <v>18</v>
      </c>
      <c r="E133" t="s">
        <v>11</v>
      </c>
      <c r="F133">
        <v>100</v>
      </c>
      <c r="G133" t="s">
        <v>12</v>
      </c>
      <c r="J133" t="str">
        <f>_xlfn.CONCAT(Tabla13[[#This Row],[ITEM PADRE]],Tabla13[[#This Row],[ITEM MP]],Tabla13[[#This Row],[CANTIDAD R]])</f>
        <v>410000214100</v>
      </c>
    </row>
    <row r="134" spans="1:10" x14ac:dyDescent="0.3">
      <c r="A134">
        <v>452</v>
      </c>
      <c r="B134" t="s">
        <v>100</v>
      </c>
      <c r="C134" t="s">
        <v>83</v>
      </c>
      <c r="D134" t="s">
        <v>84</v>
      </c>
      <c r="E134" t="s">
        <v>11</v>
      </c>
      <c r="F134">
        <v>600</v>
      </c>
      <c r="G134" t="s">
        <v>12</v>
      </c>
      <c r="J134" t="str">
        <f>_xlfn.CONCAT(Tabla13[[#This Row],[ITEM PADRE]],Tabla13[[#This Row],[ITEM MP]],Tabla13[[#This Row],[CANTIDAD R]])</f>
        <v>452000111600</v>
      </c>
    </row>
    <row r="135" spans="1:10" x14ac:dyDescent="0.3">
      <c r="A135">
        <v>452</v>
      </c>
      <c r="B135" t="s">
        <v>100</v>
      </c>
      <c r="C135" t="s">
        <v>22</v>
      </c>
      <c r="D135" t="s">
        <v>23</v>
      </c>
      <c r="E135" t="s">
        <v>11</v>
      </c>
      <c r="F135">
        <v>350</v>
      </c>
      <c r="G135" t="s">
        <v>12</v>
      </c>
      <c r="J135" t="str">
        <f>_xlfn.CONCAT(Tabla13[[#This Row],[ITEM PADRE]],Tabla13[[#This Row],[ITEM MP]],Tabla13[[#This Row],[CANTIDAD R]])</f>
        <v>452000105350</v>
      </c>
    </row>
    <row r="136" spans="1:10" x14ac:dyDescent="0.3">
      <c r="A136">
        <v>452</v>
      </c>
      <c r="B136" t="s">
        <v>100</v>
      </c>
      <c r="C136" t="s">
        <v>15</v>
      </c>
      <c r="D136" t="s">
        <v>16</v>
      </c>
      <c r="E136" t="s">
        <v>11</v>
      </c>
      <c r="F136">
        <v>50</v>
      </c>
      <c r="G136" t="s">
        <v>12</v>
      </c>
      <c r="J136" t="str">
        <f>_xlfn.CONCAT(Tabla13[[#This Row],[ITEM PADRE]],Tabla13[[#This Row],[ITEM MP]],Tabla13[[#This Row],[CANTIDAD R]])</f>
        <v>45200007450</v>
      </c>
    </row>
    <row r="137" spans="1:10" x14ac:dyDescent="0.3">
      <c r="A137">
        <v>452</v>
      </c>
      <c r="B137" t="s">
        <v>100</v>
      </c>
      <c r="C137" t="s">
        <v>17</v>
      </c>
      <c r="D137" t="s">
        <v>18</v>
      </c>
      <c r="E137" t="s">
        <v>11</v>
      </c>
      <c r="F137">
        <v>100</v>
      </c>
      <c r="G137" t="s">
        <v>12</v>
      </c>
      <c r="J137" t="str">
        <f>_xlfn.CONCAT(Tabla13[[#This Row],[ITEM PADRE]],Tabla13[[#This Row],[ITEM MP]],Tabla13[[#This Row],[CANTIDAD R]])</f>
        <v>452000214100</v>
      </c>
    </row>
    <row r="138" spans="1:10" x14ac:dyDescent="0.3">
      <c r="A138">
        <v>558</v>
      </c>
      <c r="B138" t="s">
        <v>101</v>
      </c>
      <c r="C138" t="s">
        <v>19</v>
      </c>
      <c r="D138" t="s">
        <v>20</v>
      </c>
      <c r="E138" t="s">
        <v>102</v>
      </c>
      <c r="F138">
        <v>900</v>
      </c>
      <c r="G138" t="s">
        <v>12</v>
      </c>
      <c r="J138" t="str">
        <f>_xlfn.CONCAT(Tabla13[[#This Row],[ITEM PADRE]],Tabla13[[#This Row],[ITEM MP]],Tabla13[[#This Row],[CANTIDAD R]])</f>
        <v>558000274900</v>
      </c>
    </row>
    <row r="139" spans="1:10" x14ac:dyDescent="0.3">
      <c r="A139">
        <v>558</v>
      </c>
      <c r="B139" t="s">
        <v>101</v>
      </c>
      <c r="C139" s="1" t="s">
        <v>83</v>
      </c>
      <c r="D139" t="s">
        <v>84</v>
      </c>
      <c r="E139" t="s">
        <v>102</v>
      </c>
      <c r="F139">
        <v>50</v>
      </c>
      <c r="G139" t="s">
        <v>12</v>
      </c>
      <c r="J139" t="str">
        <f>_xlfn.CONCAT(Tabla13[[#This Row],[ITEM PADRE]],Tabla13[[#This Row],[ITEM MP]],Tabla13[[#This Row],[CANTIDAD R]])</f>
        <v>55800011150</v>
      </c>
    </row>
    <row r="140" spans="1:10" x14ac:dyDescent="0.3">
      <c r="A140">
        <v>558</v>
      </c>
      <c r="B140" t="s">
        <v>101</v>
      </c>
      <c r="C140" t="s">
        <v>15</v>
      </c>
      <c r="D140" t="s">
        <v>16</v>
      </c>
      <c r="E140" t="s">
        <v>102</v>
      </c>
      <c r="F140">
        <v>50</v>
      </c>
      <c r="G140" t="s">
        <v>12</v>
      </c>
      <c r="J140" t="str">
        <f>_xlfn.CONCAT(Tabla13[[#This Row],[ITEM PADRE]],Tabla13[[#This Row],[ITEM MP]],Tabla13[[#This Row],[CANTIDAD R]])</f>
        <v>55800007450</v>
      </c>
    </row>
    <row r="141" spans="1:10" x14ac:dyDescent="0.3">
      <c r="A141">
        <v>558</v>
      </c>
      <c r="B141" t="s">
        <v>101</v>
      </c>
      <c r="C141" t="s">
        <v>17</v>
      </c>
      <c r="D141" t="s">
        <v>18</v>
      </c>
      <c r="E141" t="s">
        <v>102</v>
      </c>
      <c r="F141">
        <v>100</v>
      </c>
      <c r="G141" t="s">
        <v>12</v>
      </c>
      <c r="J141" t="str">
        <f>_xlfn.CONCAT(Tabla13[[#This Row],[ITEM PADRE]],Tabla13[[#This Row],[ITEM MP]],Tabla13[[#This Row],[CANTIDAD R]])</f>
        <v>558000214100</v>
      </c>
    </row>
    <row r="142" spans="1:10" x14ac:dyDescent="0.3">
      <c r="A142">
        <v>563</v>
      </c>
      <c r="B142" t="s">
        <v>103</v>
      </c>
      <c r="C142" t="s">
        <v>15</v>
      </c>
      <c r="D142" t="s">
        <v>16</v>
      </c>
      <c r="E142" t="s">
        <v>11</v>
      </c>
      <c r="F142">
        <v>50</v>
      </c>
      <c r="G142" t="s">
        <v>12</v>
      </c>
      <c r="J142" t="str">
        <f>_xlfn.CONCAT(Tabla13[[#This Row],[ITEM PADRE]],Tabla13[[#This Row],[ITEM MP]],Tabla13[[#This Row],[CANTIDAD R]])</f>
        <v>56300007450</v>
      </c>
    </row>
    <row r="143" spans="1:10" x14ac:dyDescent="0.3">
      <c r="A143">
        <v>563</v>
      </c>
      <c r="B143" t="s">
        <v>103</v>
      </c>
      <c r="C143" t="s">
        <v>19</v>
      </c>
      <c r="D143" t="s">
        <v>20</v>
      </c>
      <c r="E143" t="s">
        <v>11</v>
      </c>
      <c r="F143">
        <v>100</v>
      </c>
      <c r="G143" t="s">
        <v>12</v>
      </c>
      <c r="J143" t="str">
        <f>_xlfn.CONCAT(Tabla13[[#This Row],[ITEM PADRE]],Tabla13[[#This Row],[ITEM MP]],Tabla13[[#This Row],[CANTIDAD R]])</f>
        <v>563000274100</v>
      </c>
    </row>
    <row r="144" spans="1:10" x14ac:dyDescent="0.3">
      <c r="A144">
        <v>563</v>
      </c>
      <c r="B144" t="s">
        <v>103</v>
      </c>
      <c r="C144" t="s">
        <v>22</v>
      </c>
      <c r="D144" t="s">
        <v>23</v>
      </c>
      <c r="E144" t="s">
        <v>11</v>
      </c>
      <c r="F144">
        <v>600</v>
      </c>
      <c r="G144" t="s">
        <v>12</v>
      </c>
      <c r="J144" t="str">
        <f>_xlfn.CONCAT(Tabla13[[#This Row],[ITEM PADRE]],Tabla13[[#This Row],[ITEM MP]],Tabla13[[#This Row],[CANTIDAD R]])</f>
        <v>563000105600</v>
      </c>
    </row>
    <row r="145" spans="1:10" x14ac:dyDescent="0.3">
      <c r="A145">
        <v>563</v>
      </c>
      <c r="B145" t="s">
        <v>103</v>
      </c>
      <c r="C145" t="s">
        <v>17</v>
      </c>
      <c r="D145" t="s">
        <v>18</v>
      </c>
      <c r="E145" t="s">
        <v>11</v>
      </c>
      <c r="F145">
        <v>50</v>
      </c>
      <c r="G145" t="s">
        <v>12</v>
      </c>
      <c r="J145" t="str">
        <f>_xlfn.CONCAT(Tabla13[[#This Row],[ITEM PADRE]],Tabla13[[#This Row],[ITEM MP]],Tabla13[[#This Row],[CANTIDAD R]])</f>
        <v>56300021450</v>
      </c>
    </row>
    <row r="146" spans="1:10" x14ac:dyDescent="0.3">
      <c r="A146">
        <v>563</v>
      </c>
      <c r="B146" t="s">
        <v>103</v>
      </c>
      <c r="C146" t="s">
        <v>13</v>
      </c>
      <c r="D146" t="s">
        <v>14</v>
      </c>
      <c r="E146" t="s">
        <v>11</v>
      </c>
      <c r="F146">
        <v>250</v>
      </c>
      <c r="G146" t="s">
        <v>12</v>
      </c>
      <c r="J146" t="str">
        <f>_xlfn.CONCAT(Tabla13[[#This Row],[ITEM PADRE]],Tabla13[[#This Row],[ITEM MP]],Tabla13[[#This Row],[CANTIDAD R]])</f>
        <v>563000370250</v>
      </c>
    </row>
    <row r="147" spans="1:10" x14ac:dyDescent="0.3">
      <c r="A147">
        <v>574</v>
      </c>
      <c r="B147" t="s">
        <v>104</v>
      </c>
      <c r="C147" t="s">
        <v>9</v>
      </c>
      <c r="D147" t="s">
        <v>10</v>
      </c>
      <c r="E147" t="s">
        <v>102</v>
      </c>
      <c r="F147">
        <v>750</v>
      </c>
      <c r="G147" t="s">
        <v>12</v>
      </c>
      <c r="J147" t="str">
        <f>_xlfn.CONCAT(Tabla13[[#This Row],[ITEM PADRE]],Tabla13[[#This Row],[ITEM MP]],Tabla13[[#This Row],[CANTIDAD R]])</f>
        <v>574000290750</v>
      </c>
    </row>
    <row r="148" spans="1:10" x14ac:dyDescent="0.3">
      <c r="A148">
        <v>574</v>
      </c>
      <c r="B148" t="s">
        <v>104</v>
      </c>
      <c r="C148" t="s">
        <v>83</v>
      </c>
      <c r="D148" t="s">
        <v>84</v>
      </c>
      <c r="E148" t="s">
        <v>102</v>
      </c>
      <c r="F148">
        <v>100</v>
      </c>
      <c r="G148" t="s">
        <v>12</v>
      </c>
      <c r="J148" t="str">
        <f>_xlfn.CONCAT(Tabla13[[#This Row],[ITEM PADRE]],Tabla13[[#This Row],[ITEM MP]],Tabla13[[#This Row],[CANTIDAD R]])</f>
        <v>574000111100</v>
      </c>
    </row>
    <row r="149" spans="1:10" x14ac:dyDescent="0.3">
      <c r="A149">
        <v>574</v>
      </c>
      <c r="B149" t="s">
        <v>104</v>
      </c>
      <c r="C149" t="s">
        <v>25</v>
      </c>
      <c r="D149" t="s">
        <v>26</v>
      </c>
      <c r="E149" t="s">
        <v>102</v>
      </c>
      <c r="F149">
        <v>50</v>
      </c>
      <c r="G149" t="s">
        <v>12</v>
      </c>
      <c r="J149" t="str">
        <f>_xlfn.CONCAT(Tabla13[[#This Row],[ITEM PADRE]],Tabla13[[#This Row],[ITEM MP]],Tabla13[[#This Row],[CANTIDAD R]])</f>
        <v>57400012050</v>
      </c>
    </row>
    <row r="150" spans="1:10" x14ac:dyDescent="0.3">
      <c r="A150">
        <v>574</v>
      </c>
      <c r="B150" t="s">
        <v>104</v>
      </c>
      <c r="C150" t="s">
        <v>15</v>
      </c>
      <c r="D150" t="s">
        <v>16</v>
      </c>
      <c r="E150" t="s">
        <v>102</v>
      </c>
      <c r="F150">
        <v>50</v>
      </c>
      <c r="G150" t="s">
        <v>12</v>
      </c>
      <c r="J150" t="str">
        <f>_xlfn.CONCAT(Tabla13[[#This Row],[ITEM PADRE]],Tabla13[[#This Row],[ITEM MP]],Tabla13[[#This Row],[CANTIDAD R]])</f>
        <v>57400007450</v>
      </c>
    </row>
    <row r="151" spans="1:10" x14ac:dyDescent="0.3">
      <c r="A151">
        <v>574</v>
      </c>
      <c r="B151" t="s">
        <v>104</v>
      </c>
      <c r="C151" t="s">
        <v>19</v>
      </c>
      <c r="D151" t="s">
        <v>20</v>
      </c>
      <c r="E151" t="s">
        <v>102</v>
      </c>
      <c r="F151">
        <v>50</v>
      </c>
      <c r="G151" t="s">
        <v>12</v>
      </c>
      <c r="J151" t="str">
        <f>_xlfn.CONCAT(Tabla13[[#This Row],[ITEM PADRE]],Tabla13[[#This Row],[ITEM MP]],Tabla13[[#This Row],[CANTIDAD R]])</f>
        <v>57400027450</v>
      </c>
    </row>
    <row r="152" spans="1:10" x14ac:dyDescent="0.3">
      <c r="A152">
        <v>574</v>
      </c>
      <c r="B152" t="s">
        <v>104</v>
      </c>
      <c r="C152" t="s">
        <v>17</v>
      </c>
      <c r="D152" t="s">
        <v>18</v>
      </c>
      <c r="E152" t="s">
        <v>102</v>
      </c>
      <c r="F152">
        <v>100</v>
      </c>
      <c r="G152" t="s">
        <v>12</v>
      </c>
      <c r="J152" t="str">
        <f>_xlfn.CONCAT(Tabla13[[#This Row],[ITEM PADRE]],Tabla13[[#This Row],[ITEM MP]],Tabla13[[#This Row],[CANTIDAD R]])</f>
        <v>574000214100</v>
      </c>
    </row>
    <row r="153" spans="1:10" x14ac:dyDescent="0.3">
      <c r="A153">
        <v>679</v>
      </c>
      <c r="B153" t="s">
        <v>105</v>
      </c>
      <c r="C153" t="s">
        <v>106</v>
      </c>
      <c r="D153" t="s">
        <v>107</v>
      </c>
      <c r="E153" t="s">
        <v>11</v>
      </c>
      <c r="F153">
        <v>50</v>
      </c>
      <c r="G153" t="s">
        <v>12</v>
      </c>
      <c r="J153" t="str">
        <f>_xlfn.CONCAT(Tabla13[[#This Row],[ITEM PADRE]],Tabla13[[#This Row],[ITEM MP]],Tabla13[[#This Row],[CANTIDAD R]])</f>
        <v>67900007550</v>
      </c>
    </row>
    <row r="154" spans="1:10" x14ac:dyDescent="0.3">
      <c r="A154">
        <v>679</v>
      </c>
      <c r="B154" t="s">
        <v>105</v>
      </c>
      <c r="C154" t="s">
        <v>13</v>
      </c>
      <c r="D154" t="s">
        <v>14</v>
      </c>
      <c r="E154" t="s">
        <v>11</v>
      </c>
      <c r="F154">
        <v>50</v>
      </c>
      <c r="G154" t="s">
        <v>12</v>
      </c>
      <c r="J154" t="str">
        <f>_xlfn.CONCAT(Tabla13[[#This Row],[ITEM PADRE]],Tabla13[[#This Row],[ITEM MP]],Tabla13[[#This Row],[CANTIDAD R]])</f>
        <v>67900037050</v>
      </c>
    </row>
    <row r="155" spans="1:10" x14ac:dyDescent="0.3">
      <c r="A155">
        <v>679</v>
      </c>
      <c r="B155" t="s">
        <v>105</v>
      </c>
      <c r="C155" t="s">
        <v>22</v>
      </c>
      <c r="D155" t="s">
        <v>23</v>
      </c>
      <c r="E155" t="s">
        <v>11</v>
      </c>
      <c r="F155">
        <v>150</v>
      </c>
      <c r="G155" t="s">
        <v>12</v>
      </c>
      <c r="J155" t="str">
        <f>_xlfn.CONCAT(Tabla13[[#This Row],[ITEM PADRE]],Tabla13[[#This Row],[ITEM MP]],Tabla13[[#This Row],[CANTIDAD R]])</f>
        <v>679000105150</v>
      </c>
    </row>
    <row r="156" spans="1:10" x14ac:dyDescent="0.3">
      <c r="A156">
        <v>679</v>
      </c>
      <c r="B156" t="s">
        <v>105</v>
      </c>
      <c r="C156" t="s">
        <v>28</v>
      </c>
      <c r="D156" t="s">
        <v>29</v>
      </c>
      <c r="E156" t="s">
        <v>11</v>
      </c>
      <c r="F156">
        <v>300</v>
      </c>
      <c r="G156" t="s">
        <v>12</v>
      </c>
      <c r="J156" t="str">
        <f>_xlfn.CONCAT(Tabla13[[#This Row],[ITEM PADRE]],Tabla13[[#This Row],[ITEM MP]],Tabla13[[#This Row],[CANTIDAD R]])</f>
        <v>679000005300</v>
      </c>
    </row>
    <row r="157" spans="1:10" x14ac:dyDescent="0.3">
      <c r="A157">
        <v>679</v>
      </c>
      <c r="B157" t="s">
        <v>105</v>
      </c>
      <c r="C157" t="s">
        <v>9</v>
      </c>
      <c r="D157" t="s">
        <v>10</v>
      </c>
      <c r="E157" t="s">
        <v>11</v>
      </c>
      <c r="F157">
        <v>450</v>
      </c>
      <c r="G157" t="s">
        <v>12</v>
      </c>
      <c r="J157" t="str">
        <f>_xlfn.CONCAT(Tabla13[[#This Row],[ITEM PADRE]],Tabla13[[#This Row],[ITEM MP]],Tabla13[[#This Row],[CANTIDAD R]])</f>
        <v>679000290450</v>
      </c>
    </row>
    <row r="158" spans="1:10" x14ac:dyDescent="0.3">
      <c r="A158">
        <v>679</v>
      </c>
      <c r="B158" t="s">
        <v>105</v>
      </c>
      <c r="C158" t="s">
        <v>17</v>
      </c>
      <c r="D158" t="s">
        <v>18</v>
      </c>
      <c r="E158" t="s">
        <v>11</v>
      </c>
      <c r="F158">
        <v>100</v>
      </c>
      <c r="G158" t="s">
        <v>12</v>
      </c>
      <c r="J158" t="str">
        <f>_xlfn.CONCAT(Tabla13[[#This Row],[ITEM PADRE]],Tabla13[[#This Row],[ITEM MP]],Tabla13[[#This Row],[CANTIDAD R]])</f>
        <v>679000214100</v>
      </c>
    </row>
    <row r="159" spans="1:10" x14ac:dyDescent="0.3">
      <c r="A159">
        <v>680</v>
      </c>
      <c r="B159" t="s">
        <v>108</v>
      </c>
      <c r="C159" t="s">
        <v>19</v>
      </c>
      <c r="D159" t="s">
        <v>20</v>
      </c>
      <c r="E159" t="s">
        <v>11</v>
      </c>
      <c r="F159">
        <v>50</v>
      </c>
      <c r="G159" t="s">
        <v>12</v>
      </c>
      <c r="J159" t="str">
        <f>_xlfn.CONCAT(Tabla13[[#This Row],[ITEM PADRE]],Tabla13[[#This Row],[ITEM MP]],Tabla13[[#This Row],[CANTIDAD R]])</f>
        <v>68000027450</v>
      </c>
    </row>
    <row r="160" spans="1:10" x14ac:dyDescent="0.3">
      <c r="A160">
        <v>680</v>
      </c>
      <c r="B160" t="s">
        <v>108</v>
      </c>
      <c r="C160" t="s">
        <v>55</v>
      </c>
      <c r="D160" t="s">
        <v>56</v>
      </c>
      <c r="E160" t="s">
        <v>11</v>
      </c>
      <c r="F160">
        <v>25</v>
      </c>
      <c r="G160" t="s">
        <v>12</v>
      </c>
      <c r="J160" t="str">
        <f>_xlfn.CONCAT(Tabla13[[#This Row],[ITEM PADRE]],Tabla13[[#This Row],[ITEM MP]],Tabla13[[#This Row],[CANTIDAD R]])</f>
        <v>68000001625</v>
      </c>
    </row>
    <row r="161" spans="1:10" x14ac:dyDescent="0.3">
      <c r="A161">
        <v>680</v>
      </c>
      <c r="B161" t="s">
        <v>108</v>
      </c>
      <c r="C161" t="s">
        <v>25</v>
      </c>
      <c r="D161" t="s">
        <v>26</v>
      </c>
      <c r="E161" t="s">
        <v>11</v>
      </c>
      <c r="F161">
        <v>550</v>
      </c>
      <c r="G161" t="s">
        <v>12</v>
      </c>
      <c r="J161" t="str">
        <f>_xlfn.CONCAT(Tabla13[[#This Row],[ITEM PADRE]],Tabla13[[#This Row],[ITEM MP]],Tabla13[[#This Row],[CANTIDAD R]])</f>
        <v>680000120550</v>
      </c>
    </row>
    <row r="162" spans="1:10" x14ac:dyDescent="0.3">
      <c r="A162">
        <v>680</v>
      </c>
      <c r="B162" t="s">
        <v>108</v>
      </c>
      <c r="C162" t="s">
        <v>28</v>
      </c>
      <c r="D162" t="s">
        <v>29</v>
      </c>
      <c r="E162" t="s">
        <v>11</v>
      </c>
      <c r="F162">
        <v>200</v>
      </c>
      <c r="G162" t="s">
        <v>12</v>
      </c>
      <c r="J162" t="str">
        <f>_xlfn.CONCAT(Tabla13[[#This Row],[ITEM PADRE]],Tabla13[[#This Row],[ITEM MP]],Tabla13[[#This Row],[CANTIDAD R]])</f>
        <v>680000005200</v>
      </c>
    </row>
    <row r="163" spans="1:10" x14ac:dyDescent="0.3">
      <c r="A163">
        <v>680</v>
      </c>
      <c r="B163" t="s">
        <v>108</v>
      </c>
      <c r="C163" t="s">
        <v>83</v>
      </c>
      <c r="D163" t="s">
        <v>84</v>
      </c>
      <c r="E163" t="s">
        <v>11</v>
      </c>
      <c r="F163">
        <v>50</v>
      </c>
      <c r="G163" t="s">
        <v>12</v>
      </c>
      <c r="J163" t="str">
        <f>_xlfn.CONCAT(Tabla13[[#This Row],[ITEM PADRE]],Tabla13[[#This Row],[ITEM MP]],Tabla13[[#This Row],[CANTIDAD R]])</f>
        <v>68000011150</v>
      </c>
    </row>
    <row r="164" spans="1:10" x14ac:dyDescent="0.3">
      <c r="A164">
        <v>680</v>
      </c>
      <c r="B164" t="s">
        <v>108</v>
      </c>
      <c r="C164" t="s">
        <v>15</v>
      </c>
      <c r="D164" t="s">
        <v>16</v>
      </c>
      <c r="E164" t="s">
        <v>11</v>
      </c>
      <c r="F164">
        <v>50</v>
      </c>
      <c r="G164" t="s">
        <v>12</v>
      </c>
      <c r="J164" t="str">
        <f>_xlfn.CONCAT(Tabla13[[#This Row],[ITEM PADRE]],Tabla13[[#This Row],[ITEM MP]],Tabla13[[#This Row],[CANTIDAD R]])</f>
        <v>68000007450</v>
      </c>
    </row>
    <row r="165" spans="1:10" x14ac:dyDescent="0.3">
      <c r="A165">
        <v>680</v>
      </c>
      <c r="B165" t="s">
        <v>108</v>
      </c>
      <c r="C165" t="s">
        <v>17</v>
      </c>
      <c r="D165" t="s">
        <v>18</v>
      </c>
      <c r="E165" t="s">
        <v>11</v>
      </c>
      <c r="F165">
        <v>200</v>
      </c>
      <c r="G165" t="s">
        <v>12</v>
      </c>
      <c r="J165" t="str">
        <f>_xlfn.CONCAT(Tabla13[[#This Row],[ITEM PADRE]],Tabla13[[#This Row],[ITEM MP]],Tabla13[[#This Row],[CANTIDAD R]])</f>
        <v>680000214200</v>
      </c>
    </row>
    <row r="166" spans="1:10" x14ac:dyDescent="0.3">
      <c r="A166">
        <v>680</v>
      </c>
      <c r="B166" t="s">
        <v>108</v>
      </c>
      <c r="C166" t="s">
        <v>52</v>
      </c>
      <c r="D166" t="s">
        <v>53</v>
      </c>
      <c r="E166" t="s">
        <v>11</v>
      </c>
      <c r="F166">
        <v>20</v>
      </c>
      <c r="G166" t="s">
        <v>12</v>
      </c>
      <c r="J166" t="str">
        <f>_xlfn.CONCAT(Tabla13[[#This Row],[ITEM PADRE]],Tabla13[[#This Row],[ITEM MP]],Tabla13[[#This Row],[CANTIDAD R]])</f>
        <v>68000024420</v>
      </c>
    </row>
    <row r="167" spans="1:10" x14ac:dyDescent="0.3">
      <c r="A167">
        <v>680</v>
      </c>
      <c r="B167" t="s">
        <v>108</v>
      </c>
      <c r="C167" t="s">
        <v>40</v>
      </c>
      <c r="D167" t="s">
        <v>41</v>
      </c>
      <c r="E167" t="s">
        <v>11</v>
      </c>
      <c r="F167">
        <v>20</v>
      </c>
      <c r="G167" t="s">
        <v>12</v>
      </c>
      <c r="J167" t="str">
        <f>_xlfn.CONCAT(Tabla13[[#This Row],[ITEM PADRE]],Tabla13[[#This Row],[ITEM MP]],Tabla13[[#This Row],[CANTIDAD R]])</f>
        <v>68000026720</v>
      </c>
    </row>
    <row r="168" spans="1:10" x14ac:dyDescent="0.3">
      <c r="A168">
        <v>680</v>
      </c>
      <c r="B168" t="s">
        <v>108</v>
      </c>
      <c r="C168" s="1" t="s">
        <v>68</v>
      </c>
      <c r="D168" t="s">
        <v>69</v>
      </c>
      <c r="E168" t="s">
        <v>11</v>
      </c>
      <c r="F168">
        <v>40</v>
      </c>
      <c r="G168" t="s">
        <v>12</v>
      </c>
      <c r="J168" t="str">
        <f>_xlfn.CONCAT(Tabla13[[#This Row],[ITEM PADRE]],Tabla13[[#This Row],[ITEM MP]],Tabla13[[#This Row],[CANTIDAD R]])</f>
        <v>68000014340</v>
      </c>
    </row>
    <row r="169" spans="1:10" x14ac:dyDescent="0.3">
      <c r="A169">
        <v>680</v>
      </c>
      <c r="B169" t="s">
        <v>108</v>
      </c>
      <c r="C169" s="1" t="s">
        <v>22</v>
      </c>
      <c r="D169" t="s">
        <v>23</v>
      </c>
      <c r="E169" t="s">
        <v>11</v>
      </c>
      <c r="F169">
        <v>35</v>
      </c>
      <c r="G169" t="s">
        <v>12</v>
      </c>
      <c r="J169" t="str">
        <f>_xlfn.CONCAT(Tabla13[[#This Row],[ITEM PADRE]],Tabla13[[#This Row],[ITEM MP]],Tabla13[[#This Row],[CANTIDAD R]])</f>
        <v>68000010535</v>
      </c>
    </row>
    <row r="170" spans="1:10" x14ac:dyDescent="0.3">
      <c r="A170">
        <v>803</v>
      </c>
      <c r="B170" t="s">
        <v>109</v>
      </c>
      <c r="C170" t="s">
        <v>28</v>
      </c>
      <c r="D170" t="s">
        <v>29</v>
      </c>
      <c r="E170" t="s">
        <v>11</v>
      </c>
      <c r="F170">
        <v>440</v>
      </c>
      <c r="G170" t="s">
        <v>12</v>
      </c>
      <c r="J170" t="str">
        <f>_xlfn.CONCAT(Tabla13[[#This Row],[ITEM PADRE]],Tabla13[[#This Row],[ITEM MP]],Tabla13[[#This Row],[CANTIDAD R]])</f>
        <v>803000005440</v>
      </c>
    </row>
    <row r="171" spans="1:10" x14ac:dyDescent="0.3">
      <c r="A171">
        <v>803</v>
      </c>
      <c r="B171" t="s">
        <v>109</v>
      </c>
      <c r="C171" t="s">
        <v>15</v>
      </c>
      <c r="D171" t="s">
        <v>16</v>
      </c>
      <c r="E171" t="s">
        <v>11</v>
      </c>
      <c r="F171">
        <v>180</v>
      </c>
      <c r="G171" t="s">
        <v>12</v>
      </c>
      <c r="J171" t="str">
        <f>_xlfn.CONCAT(Tabla13[[#This Row],[ITEM PADRE]],Tabla13[[#This Row],[ITEM MP]],Tabla13[[#This Row],[CANTIDAD R]])</f>
        <v>803000074180</v>
      </c>
    </row>
    <row r="172" spans="1:10" x14ac:dyDescent="0.3">
      <c r="A172">
        <v>803</v>
      </c>
      <c r="B172" t="s">
        <v>109</v>
      </c>
      <c r="C172" t="s">
        <v>83</v>
      </c>
      <c r="D172" t="s">
        <v>84</v>
      </c>
      <c r="E172" t="s">
        <v>11</v>
      </c>
      <c r="F172">
        <v>70</v>
      </c>
      <c r="G172" t="s">
        <v>12</v>
      </c>
      <c r="J172" t="str">
        <f>_xlfn.CONCAT(Tabla13[[#This Row],[ITEM PADRE]],Tabla13[[#This Row],[ITEM MP]],Tabla13[[#This Row],[CANTIDAD R]])</f>
        <v>80300011170</v>
      </c>
    </row>
    <row r="173" spans="1:10" x14ac:dyDescent="0.3">
      <c r="A173">
        <v>803</v>
      </c>
      <c r="B173" t="s">
        <v>109</v>
      </c>
      <c r="C173" t="s">
        <v>19</v>
      </c>
      <c r="D173" t="s">
        <v>20</v>
      </c>
      <c r="E173" t="s">
        <v>11</v>
      </c>
      <c r="F173">
        <v>310</v>
      </c>
      <c r="G173" t="s">
        <v>12</v>
      </c>
      <c r="J173" t="str">
        <f>_xlfn.CONCAT(Tabla13[[#This Row],[ITEM PADRE]],Tabla13[[#This Row],[ITEM MP]],Tabla13[[#This Row],[CANTIDAD R]])</f>
        <v>803000274310</v>
      </c>
    </row>
    <row r="174" spans="1:10" x14ac:dyDescent="0.3">
      <c r="A174">
        <v>803</v>
      </c>
      <c r="B174" t="s">
        <v>109</v>
      </c>
      <c r="C174" s="1" t="s">
        <v>17</v>
      </c>
      <c r="D174" t="s">
        <v>18</v>
      </c>
      <c r="E174" t="s">
        <v>11</v>
      </c>
      <c r="F174">
        <v>100</v>
      </c>
      <c r="G174" t="s">
        <v>12</v>
      </c>
      <c r="J174" t="str">
        <f>_xlfn.CONCAT(Tabla13[[#This Row],[ITEM PADRE]],Tabla13[[#This Row],[ITEM MP]],Tabla13[[#This Row],[CANTIDAD R]])</f>
        <v>803000214100</v>
      </c>
    </row>
    <row r="175" spans="1:10" x14ac:dyDescent="0.3">
      <c r="A175">
        <v>997</v>
      </c>
      <c r="B175" t="s">
        <v>110</v>
      </c>
      <c r="C175" t="s">
        <v>63</v>
      </c>
      <c r="D175" t="s">
        <v>64</v>
      </c>
      <c r="E175" t="s">
        <v>11</v>
      </c>
      <c r="F175">
        <v>675</v>
      </c>
      <c r="G175" t="s">
        <v>12</v>
      </c>
      <c r="J175" t="str">
        <f>_xlfn.CONCAT(Tabla13[[#This Row],[ITEM PADRE]],Tabla13[[#This Row],[ITEM MP]],Tabla13[[#This Row],[CANTIDAD R]])</f>
        <v>997000023675</v>
      </c>
    </row>
    <row r="176" spans="1:10" x14ac:dyDescent="0.3">
      <c r="A176">
        <v>997</v>
      </c>
      <c r="B176" t="s">
        <v>110</v>
      </c>
      <c r="C176" t="s">
        <v>22</v>
      </c>
      <c r="D176" t="s">
        <v>23</v>
      </c>
      <c r="E176" t="s">
        <v>11</v>
      </c>
      <c r="F176">
        <v>75</v>
      </c>
      <c r="G176" t="s">
        <v>12</v>
      </c>
      <c r="J176" t="str">
        <f>_xlfn.CONCAT(Tabla13[[#This Row],[ITEM PADRE]],Tabla13[[#This Row],[ITEM MP]],Tabla13[[#This Row],[CANTIDAD R]])</f>
        <v>99700010575</v>
      </c>
    </row>
    <row r="177" spans="1:10" x14ac:dyDescent="0.3">
      <c r="A177">
        <v>997</v>
      </c>
      <c r="B177" t="s">
        <v>110</v>
      </c>
      <c r="C177" t="s">
        <v>15</v>
      </c>
      <c r="D177" t="s">
        <v>16</v>
      </c>
      <c r="E177" t="s">
        <v>11</v>
      </c>
      <c r="F177">
        <v>50</v>
      </c>
      <c r="G177" t="s">
        <v>12</v>
      </c>
      <c r="J177" t="str">
        <f>_xlfn.CONCAT(Tabla13[[#This Row],[ITEM PADRE]],Tabla13[[#This Row],[ITEM MP]],Tabla13[[#This Row],[CANTIDAD R]])</f>
        <v>99700007450</v>
      </c>
    </row>
    <row r="178" spans="1:10" x14ac:dyDescent="0.3">
      <c r="A178">
        <v>997</v>
      </c>
      <c r="B178" t="s">
        <v>110</v>
      </c>
      <c r="C178" t="s">
        <v>13</v>
      </c>
      <c r="D178" t="s">
        <v>14</v>
      </c>
      <c r="E178" t="s">
        <v>11</v>
      </c>
      <c r="F178">
        <v>200</v>
      </c>
      <c r="G178" t="s">
        <v>12</v>
      </c>
      <c r="J178" t="str">
        <f>_xlfn.CONCAT(Tabla13[[#This Row],[ITEM PADRE]],Tabla13[[#This Row],[ITEM MP]],Tabla13[[#This Row],[CANTIDAD R]])</f>
        <v>997000370200</v>
      </c>
    </row>
    <row r="179" spans="1:10" x14ac:dyDescent="0.3">
      <c r="A179">
        <v>1275</v>
      </c>
      <c r="B179" t="s">
        <v>111</v>
      </c>
      <c r="C179" t="s">
        <v>22</v>
      </c>
      <c r="D179" t="s">
        <v>23</v>
      </c>
      <c r="E179" t="s">
        <v>11</v>
      </c>
      <c r="F179">
        <v>900</v>
      </c>
      <c r="G179" t="s">
        <v>12</v>
      </c>
      <c r="J179" t="str">
        <f>_xlfn.CONCAT(Tabla13[[#This Row],[ITEM PADRE]],Tabla13[[#This Row],[ITEM MP]],Tabla13[[#This Row],[CANTIDAD R]])</f>
        <v>1275000105900</v>
      </c>
    </row>
    <row r="180" spans="1:10" x14ac:dyDescent="0.3">
      <c r="A180">
        <v>1275</v>
      </c>
      <c r="B180" t="s">
        <v>111</v>
      </c>
      <c r="C180" t="s">
        <v>13</v>
      </c>
      <c r="D180" t="s">
        <v>14</v>
      </c>
      <c r="E180" t="s">
        <v>11</v>
      </c>
      <c r="F180">
        <v>50</v>
      </c>
      <c r="G180" t="s">
        <v>12</v>
      </c>
      <c r="J180" t="str">
        <f>_xlfn.CONCAT(Tabla13[[#This Row],[ITEM PADRE]],Tabla13[[#This Row],[ITEM MP]],Tabla13[[#This Row],[CANTIDAD R]])</f>
        <v>127500037050</v>
      </c>
    </row>
    <row r="181" spans="1:10" x14ac:dyDescent="0.3">
      <c r="A181">
        <v>1275</v>
      </c>
      <c r="B181" t="s">
        <v>111</v>
      </c>
      <c r="C181" t="s">
        <v>15</v>
      </c>
      <c r="D181" t="s">
        <v>16</v>
      </c>
      <c r="E181" t="s">
        <v>11</v>
      </c>
      <c r="F181">
        <v>50</v>
      </c>
      <c r="G181" t="s">
        <v>12</v>
      </c>
      <c r="J181" t="str">
        <f>_xlfn.CONCAT(Tabla13[[#This Row],[ITEM PADRE]],Tabla13[[#This Row],[ITEM MP]],Tabla13[[#This Row],[CANTIDAD R]])</f>
        <v>127500007450</v>
      </c>
    </row>
    <row r="182" spans="1:10" x14ac:dyDescent="0.3">
      <c r="A182" s="2">
        <v>213</v>
      </c>
      <c r="B182" s="2" t="s">
        <v>112</v>
      </c>
      <c r="C182" s="2" t="s">
        <v>28</v>
      </c>
      <c r="D182" s="2" t="s">
        <v>41</v>
      </c>
      <c r="E182" s="2" t="s">
        <v>11</v>
      </c>
      <c r="F182" s="2">
        <v>50</v>
      </c>
      <c r="G182" s="2" t="s">
        <v>12</v>
      </c>
      <c r="H182" s="2"/>
      <c r="J182" t="str">
        <f>_xlfn.CONCAT(Tabla13[[#This Row],[ITEM PADRE]],Tabla13[[#This Row],[ITEM MP]],Tabla13[[#This Row],[CANTIDAD R]])</f>
        <v>21300000550</v>
      </c>
    </row>
    <row r="183" spans="1:10" x14ac:dyDescent="0.3">
      <c r="A183" s="2">
        <v>213</v>
      </c>
      <c r="B183" s="2" t="s">
        <v>112</v>
      </c>
      <c r="C183" s="2" t="s">
        <v>28</v>
      </c>
      <c r="D183" s="2" t="s">
        <v>113</v>
      </c>
      <c r="E183" s="2" t="s">
        <v>11</v>
      </c>
      <c r="F183" s="2">
        <v>50</v>
      </c>
      <c r="G183" s="2" t="s">
        <v>12</v>
      </c>
      <c r="H183" s="2" t="s">
        <v>114</v>
      </c>
      <c r="J183" t="str">
        <f>_xlfn.CONCAT(Tabla13[[#This Row],[ITEM PADRE]],Tabla13[[#This Row],[ITEM MP]],Tabla13[[#This Row],[CANTIDAD R]])</f>
        <v>21300000550</v>
      </c>
    </row>
    <row r="184" spans="1:10" x14ac:dyDescent="0.3">
      <c r="A184" s="2">
        <v>213</v>
      </c>
      <c r="B184" s="2" t="s">
        <v>112</v>
      </c>
      <c r="C184" s="2" t="s">
        <v>28</v>
      </c>
      <c r="D184" s="2" t="s">
        <v>29</v>
      </c>
      <c r="E184" s="2" t="s">
        <v>11</v>
      </c>
      <c r="F184" s="2">
        <v>1000</v>
      </c>
      <c r="G184" s="2" t="s">
        <v>12</v>
      </c>
      <c r="H184" s="2"/>
      <c r="J184" t="str">
        <f>_xlfn.CONCAT(Tabla13[[#This Row],[ITEM PADRE]],Tabla13[[#This Row],[ITEM MP]],Tabla13[[#This Row],[CANTIDAD R]])</f>
        <v>2130000051000</v>
      </c>
    </row>
    <row r="189" spans="1:10" x14ac:dyDescent="0.3">
      <c r="A189" t="s">
        <v>0</v>
      </c>
      <c r="B189" t="s">
        <v>1</v>
      </c>
    </row>
    <row r="190" spans="1:10" x14ac:dyDescent="0.3">
      <c r="A190">
        <v>35</v>
      </c>
      <c r="B190" t="s">
        <v>8</v>
      </c>
    </row>
    <row r="191" spans="1:10" x14ac:dyDescent="0.3">
      <c r="A191">
        <v>62</v>
      </c>
      <c r="B191" t="s">
        <v>21</v>
      </c>
    </row>
    <row r="192" spans="1:10" x14ac:dyDescent="0.3">
      <c r="A192">
        <v>65</v>
      </c>
      <c r="B192" t="s">
        <v>24</v>
      </c>
    </row>
    <row r="193" spans="1:2" x14ac:dyDescent="0.3">
      <c r="A193">
        <v>82</v>
      </c>
      <c r="B193" t="s">
        <v>30</v>
      </c>
    </row>
    <row r="194" spans="1:2" x14ac:dyDescent="0.3">
      <c r="A194">
        <v>83</v>
      </c>
      <c r="B194" t="s">
        <v>42</v>
      </c>
    </row>
    <row r="195" spans="1:2" x14ac:dyDescent="0.3">
      <c r="A195">
        <v>84</v>
      </c>
      <c r="B195" t="s">
        <v>45</v>
      </c>
    </row>
    <row r="196" spans="1:2" x14ac:dyDescent="0.3">
      <c r="A196">
        <v>85</v>
      </c>
      <c r="B196" t="s">
        <v>48</v>
      </c>
    </row>
    <row r="197" spans="1:2" x14ac:dyDescent="0.3">
      <c r="A197">
        <v>86</v>
      </c>
      <c r="B197" t="s">
        <v>51</v>
      </c>
    </row>
    <row r="198" spans="1:2" x14ac:dyDescent="0.3">
      <c r="A198">
        <v>123</v>
      </c>
      <c r="B198" t="s">
        <v>54</v>
      </c>
    </row>
    <row r="199" spans="1:2" x14ac:dyDescent="0.3">
      <c r="A199">
        <v>140</v>
      </c>
      <c r="B199" t="s">
        <v>58</v>
      </c>
    </row>
    <row r="200" spans="1:2" x14ac:dyDescent="0.3">
      <c r="A200">
        <v>141</v>
      </c>
      <c r="B200" t="s">
        <v>61</v>
      </c>
    </row>
    <row r="201" spans="1:2" x14ac:dyDescent="0.3">
      <c r="A201">
        <v>150</v>
      </c>
      <c r="B201" t="s">
        <v>60</v>
      </c>
    </row>
    <row r="202" spans="1:2" x14ac:dyDescent="0.3">
      <c r="A202">
        <v>154</v>
      </c>
      <c r="B202" t="s">
        <v>65</v>
      </c>
    </row>
    <row r="203" spans="1:2" x14ac:dyDescent="0.3">
      <c r="A203">
        <v>155</v>
      </c>
      <c r="B203" t="s">
        <v>70</v>
      </c>
    </row>
    <row r="204" spans="1:2" x14ac:dyDescent="0.3">
      <c r="A204">
        <v>161</v>
      </c>
      <c r="B204" t="s">
        <v>77</v>
      </c>
    </row>
    <row r="205" spans="1:2" x14ac:dyDescent="0.3">
      <c r="A205">
        <v>213</v>
      </c>
      <c r="B205" t="s">
        <v>112</v>
      </c>
    </row>
    <row r="206" spans="1:2" x14ac:dyDescent="0.3">
      <c r="A206">
        <v>300</v>
      </c>
      <c r="B206" t="s">
        <v>80</v>
      </c>
    </row>
    <row r="207" spans="1:2" x14ac:dyDescent="0.3">
      <c r="A207">
        <v>302</v>
      </c>
      <c r="B207" t="s">
        <v>85</v>
      </c>
    </row>
    <row r="208" spans="1:2" x14ac:dyDescent="0.3">
      <c r="A208">
        <v>311</v>
      </c>
      <c r="B208" t="s">
        <v>88</v>
      </c>
    </row>
    <row r="209" spans="1:2" x14ac:dyDescent="0.3">
      <c r="A209">
        <v>393</v>
      </c>
      <c r="B209" t="s">
        <v>91</v>
      </c>
    </row>
    <row r="210" spans="1:2" x14ac:dyDescent="0.3">
      <c r="A210">
        <v>410</v>
      </c>
      <c r="B210" t="s">
        <v>96</v>
      </c>
    </row>
    <row r="211" spans="1:2" x14ac:dyDescent="0.3">
      <c r="A211">
        <v>452</v>
      </c>
      <c r="B211" t="s">
        <v>100</v>
      </c>
    </row>
    <row r="212" spans="1:2" x14ac:dyDescent="0.3">
      <c r="A212">
        <v>558</v>
      </c>
      <c r="B212" t="s">
        <v>101</v>
      </c>
    </row>
    <row r="213" spans="1:2" x14ac:dyDescent="0.3">
      <c r="A213">
        <v>563</v>
      </c>
      <c r="B213" t="s">
        <v>103</v>
      </c>
    </row>
    <row r="214" spans="1:2" x14ac:dyDescent="0.3">
      <c r="A214">
        <v>574</v>
      </c>
      <c r="B214" t="s">
        <v>104</v>
      </c>
    </row>
    <row r="215" spans="1:2" x14ac:dyDescent="0.3">
      <c r="A215">
        <v>679</v>
      </c>
      <c r="B215" t="s">
        <v>105</v>
      </c>
    </row>
    <row r="216" spans="1:2" x14ac:dyDescent="0.3">
      <c r="A216">
        <v>680</v>
      </c>
      <c r="B216" t="s">
        <v>108</v>
      </c>
    </row>
    <row r="217" spans="1:2" x14ac:dyDescent="0.3">
      <c r="A217">
        <v>803</v>
      </c>
      <c r="B217" t="s">
        <v>109</v>
      </c>
    </row>
    <row r="218" spans="1:2" x14ac:dyDescent="0.3">
      <c r="A218">
        <v>997</v>
      </c>
      <c r="B218" t="s">
        <v>110</v>
      </c>
    </row>
    <row r="219" spans="1:2" x14ac:dyDescent="0.3">
      <c r="A219">
        <v>1275</v>
      </c>
      <c r="B219" t="s">
        <v>111</v>
      </c>
    </row>
    <row r="221" spans="1:2" x14ac:dyDescent="0.3">
      <c r="A221" s="3">
        <f>COUNT(Tabla5[ITEM PADRE])</f>
        <v>30</v>
      </c>
    </row>
  </sheetData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Listas Actualizadas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2025-12-11T19:11:51Z</dcterms:created>
  <dcterms:modified xsi:type="dcterms:W3CDTF">2025-12-11T19:12:25Z</dcterms:modified>
</cp:coreProperties>
</file>