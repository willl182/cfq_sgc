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" sheetId="1" r:id="rId4"/>
    <sheet state="visible" name="BASE " sheetId="2" r:id="rId5"/>
    <sheet state="visible" name="Control Cambios" sheetId="3" r:id="rId6"/>
  </sheets>
  <definedNames/>
  <calcPr/>
</workbook>
</file>

<file path=xl/sharedStrings.xml><?xml version="1.0" encoding="utf-8"?>
<sst xmlns="http://schemas.openxmlformats.org/spreadsheetml/2006/main" count="171" uniqueCount="152">
  <si>
    <r>
      <rPr>
        <rFont val="Arial"/>
        <b/>
        <color theme="1"/>
        <sz val="14.0"/>
      </rPr>
      <t>ORDEN DE COMPRA</t>
    </r>
    <r>
      <rPr>
        <rFont val="Arial"/>
        <b/>
        <color theme="1"/>
        <sz val="18.0"/>
      </rPr>
      <t xml:space="preserve">
</t>
    </r>
    <r>
      <rPr>
        <rFont val="Arial"/>
        <b/>
        <color theme="1"/>
        <sz val="10.0"/>
      </rPr>
      <t>SISTEMA DE GESTIÓN INTEGRAL</t>
    </r>
  </si>
  <si>
    <t>SC</t>
  </si>
  <si>
    <t>SS</t>
  </si>
  <si>
    <t>CODIGO: RC-SI35</t>
  </si>
  <si>
    <t>VERSIÓN: 0</t>
  </si>
  <si>
    <t>No ORDEN DE COMPRA</t>
  </si>
  <si>
    <t>NOMBRE DEL PROVEEDOR</t>
  </si>
  <si>
    <t>NIT</t>
  </si>
  <si>
    <t>FECHA</t>
  </si>
  <si>
    <t>OC025</t>
  </si>
  <si>
    <t>CALZADO TERRANO S.A.S</t>
  </si>
  <si>
    <t>DETALLE DE PRODUCTOS Y SERVICIOS SOLICITADOS</t>
  </si>
  <si>
    <t>ITEM</t>
  </si>
  <si>
    <t>DESCRIPCIÓN</t>
  </si>
  <si>
    <t>CANTIDAD</t>
  </si>
  <si>
    <t>VALOR UNITARIO</t>
  </si>
  <si>
    <t>VALOR TOTAL</t>
  </si>
  <si>
    <t>FECHA ENTREGA ACORDADA</t>
  </si>
  <si>
    <t>SUBTOTAL</t>
  </si>
  <si>
    <t>DIRECCIÓN DE ENTREGA</t>
  </si>
  <si>
    <t>IVA</t>
  </si>
  <si>
    <t>TOTAL</t>
  </si>
  <si>
    <t>COMERCIAL QUE ATENDIO LA SOLICITUD</t>
  </si>
  <si>
    <t>Cargo</t>
  </si>
  <si>
    <t>Solicitud ejecutada por</t>
  </si>
  <si>
    <t xml:space="preserve"> </t>
  </si>
  <si>
    <t>Ana Karina Gomez</t>
  </si>
  <si>
    <t>_____________________</t>
  </si>
  <si>
    <t>Pagina Web: www.calferquim.com</t>
  </si>
  <si>
    <t>Telefonos: 322 2773866</t>
  </si>
  <si>
    <t>Sede Principal: calle 13 68 26 ofi 308  Centro Comercial Limonar - Cali (Colombia)</t>
  </si>
  <si>
    <r>
      <rPr>
        <rFont val="Arial"/>
        <b/>
        <color theme="1"/>
        <sz val="24.0"/>
      </rPr>
      <t>BASE DE DATOS PROVEEDORES</t>
    </r>
    <r>
      <rPr>
        <rFont val="Arial"/>
        <b/>
        <color theme="1"/>
        <sz val="8.0"/>
      </rPr>
      <t xml:space="preserve">
SISTEMA DE GESTIÓN INTERGRAL</t>
    </r>
  </si>
  <si>
    <t>CODIGO: RC-SI37</t>
  </si>
  <si>
    <t>PROVEEDOR</t>
  </si>
  <si>
    <t>PRODUCTO / SERVICIO</t>
  </si>
  <si>
    <t>CONTACTO</t>
  </si>
  <si>
    <t>CARGO</t>
  </si>
  <si>
    <t xml:space="preserve">DIRECCIÓN </t>
  </si>
  <si>
    <t>TELEFONO</t>
  </si>
  <si>
    <t>COD. SELEECCIÓN</t>
  </si>
  <si>
    <t>EVALUACIÓN PROVEEDORES</t>
  </si>
  <si>
    <t>COLGAS S.A E.S.P</t>
  </si>
  <si>
    <t>890500726-3</t>
  </si>
  <si>
    <t>GAS</t>
  </si>
  <si>
    <t>KELLY JHOANA FIGUEROA</t>
  </si>
  <si>
    <t>FACTURACION</t>
  </si>
  <si>
    <t>DG 92 17 A 42 P 4</t>
  </si>
  <si>
    <t>ESTIBAS DEL SUR</t>
  </si>
  <si>
    <t>94394036-7</t>
  </si>
  <si>
    <t>ESTIBAS</t>
  </si>
  <si>
    <t>DUBERNEY GOMEZ</t>
  </si>
  <si>
    <t>AV.SUR #22-11B</t>
  </si>
  <si>
    <t>OCCIDENTAL DE RODAMIENTOS OCCIROD</t>
  </si>
  <si>
    <t>94310085-8</t>
  </si>
  <si>
    <t>RODAMIENTOS</t>
  </si>
  <si>
    <t>ANGIE RUBIANO</t>
  </si>
  <si>
    <t>ASESSOR COMERCIAL</t>
  </si>
  <si>
    <t>CL 21 14 60</t>
  </si>
  <si>
    <t>321 6458086</t>
  </si>
  <si>
    <t>INTERTEC SAS</t>
  </si>
  <si>
    <t>900200826-1</t>
  </si>
  <si>
    <t>CARTUCHO</t>
  </si>
  <si>
    <t>CARLOS JURADO</t>
  </si>
  <si>
    <t>CL 19A 33 77</t>
  </si>
  <si>
    <t>317 3907722</t>
  </si>
  <si>
    <t>EQUISOL EQUIPOS Y SOLUCIONES S.A.S.</t>
  </si>
  <si>
    <t>900953704-0</t>
  </si>
  <si>
    <t>EQUPOS</t>
  </si>
  <si>
    <t>FELIPE MANCERA</t>
  </si>
  <si>
    <t>DG 43 28 41 IN 104</t>
  </si>
  <si>
    <t>IMPOSEG INDUSTRIAL S.A.S</t>
  </si>
  <si>
    <t>900245878-6</t>
  </si>
  <si>
    <t>EPP</t>
  </si>
  <si>
    <t>CAROLINA GIRALDO MUÑOZ</t>
  </si>
  <si>
    <t>ASISTENTE COMERCIAL</t>
  </si>
  <si>
    <t>AV 2 BIS 34 N 45</t>
  </si>
  <si>
    <t>CALZAUNICO S.A.S</t>
  </si>
  <si>
    <t>901402448-1</t>
  </si>
  <si>
    <t>BOTAS</t>
  </si>
  <si>
    <t>BEATRIZ BALCAZAR</t>
  </si>
  <si>
    <t>ASESOR COMERCIAL</t>
  </si>
  <si>
    <t>CALLE 24 #7 - 17 SAN NICOLAS</t>
  </si>
  <si>
    <t>CBCOL SEGURIDAD INDUSTRIAL S.A.S</t>
  </si>
  <si>
    <t>901755863-8</t>
  </si>
  <si>
    <t>GUANTES</t>
  </si>
  <si>
    <t>BRAYAN DUVAN GOMEZ</t>
  </si>
  <si>
    <t>ASISTENTE ADMINISTRATIVO</t>
  </si>
  <si>
    <t>CR 10a # 54-110 LA BASE</t>
  </si>
  <si>
    <t>DISEÑOS ORIANI S.A.S</t>
  </si>
  <si>
    <t>900705823-6</t>
  </si>
  <si>
    <t xml:space="preserve">DOTACIÓN JEANS </t>
  </si>
  <si>
    <t>CRYSBEL SANCHEZ</t>
  </si>
  <si>
    <t>AUX ADMINISTRATIVA Y CONTABLE</t>
  </si>
  <si>
    <t>CR 1 # 18-42 PILOTO</t>
  </si>
  <si>
    <t>SOLUCIONES INTEGRALES EN CONFECCIÓN S.A.S</t>
  </si>
  <si>
    <t>900930606-8</t>
  </si>
  <si>
    <t>DOTACIÓN CAMISETAS</t>
  </si>
  <si>
    <t>DERIAN RESTREPO</t>
  </si>
  <si>
    <t>EJECUTIVO COMERCIAL</t>
  </si>
  <si>
    <t xml:space="preserve">CALLE 23#35-23 B/CRISTOBAL COLON </t>
  </si>
  <si>
    <t>EPP INDUSTRIAL TULUÁ</t>
  </si>
  <si>
    <t>29875235-4</t>
  </si>
  <si>
    <t xml:space="preserve">EPP </t>
  </si>
  <si>
    <t xml:space="preserve">MARTHA ISABEL CASTRO </t>
  </si>
  <si>
    <t>GERENTE</t>
  </si>
  <si>
    <t>CALLE 34 #31-72 B/VICTORIA TULUÁ</t>
  </si>
  <si>
    <t>ASESORES EN SEGURIDAD Y PROTECCIÓN DE INCENDIOS</t>
  </si>
  <si>
    <t>14797948-8</t>
  </si>
  <si>
    <t>EXTINTORES, BRIGADA, SEÑALIZACIÓN</t>
  </si>
  <si>
    <t>DIEGO FERNANDO LOPEZ</t>
  </si>
  <si>
    <t>CL 5 #22A-58</t>
  </si>
  <si>
    <t>COMECIALIZADORA DOMEQ S.A.S</t>
  </si>
  <si>
    <t>901046363-5</t>
  </si>
  <si>
    <t>TAPABOCAS KN95</t>
  </si>
  <si>
    <t>ERIKA MARÍA CIRO ZAPATA</t>
  </si>
  <si>
    <t>SECRETARIA</t>
  </si>
  <si>
    <t>CALLE 27#34-28</t>
  </si>
  <si>
    <t>CACERES CONSULTORIAS EN ALTURAS Y SEGURIDAD</t>
  </si>
  <si>
    <t>94074343-0</t>
  </si>
  <si>
    <t>ANDAMIO</t>
  </si>
  <si>
    <t>RAFAEL CACERES RAMIREZ</t>
  </si>
  <si>
    <t>CALI VALLE</t>
  </si>
  <si>
    <t>TECNACEL S.A.S</t>
  </si>
  <si>
    <t>830010148-5</t>
  </si>
  <si>
    <t>CURSOS DE TSA</t>
  </si>
  <si>
    <t>PAOLA ANDREA GALVIS</t>
  </si>
  <si>
    <t>AUX. ADMINISTRATIVA</t>
  </si>
  <si>
    <t>CR 76 #65 A 84</t>
  </si>
  <si>
    <t>FERRETERIA EL MEYI S.A.S</t>
  </si>
  <si>
    <t>901065852-6</t>
  </si>
  <si>
    <t>FERRETERÍA</t>
  </si>
  <si>
    <t>WILLIAM ALFONSO SEPULVEDA</t>
  </si>
  <si>
    <t>CL 3 #2-84</t>
  </si>
  <si>
    <t>SEGURIDAD INDUSTRIAL TULUÁ</t>
  </si>
  <si>
    <t>29185529-3</t>
  </si>
  <si>
    <t>BEATRIZ ZAPATA LIBREROS</t>
  </si>
  <si>
    <t>ADMINISTRADORA</t>
  </si>
  <si>
    <t>CR 30 #24-59</t>
  </si>
  <si>
    <t>UNIFORMES FRANCIA</t>
  </si>
  <si>
    <t>31526407-5</t>
  </si>
  <si>
    <t>DOTACIÓN</t>
  </si>
  <si>
    <t>FRANCIA PLAZA MENESES</t>
  </si>
  <si>
    <t>CLL 9 #7-07 LOCAL 7</t>
  </si>
  <si>
    <t>900270177-7</t>
  </si>
  <si>
    <t>JANNER FAJARDO PAJOI</t>
  </si>
  <si>
    <t>VENDEDOR</t>
  </si>
  <si>
    <t>CLL 8 #10-57 ZONA INDUSTRIAL LA POPA</t>
  </si>
  <si>
    <t>CONTROL DE CAMBIOS</t>
  </si>
  <si>
    <t>VERSIÓN</t>
  </si>
  <si>
    <t>DESCRIPCIÓN DE LA ACTUALIZACIÓN</t>
  </si>
  <si>
    <t>FECHA DE ACTUALIZACIÓN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</si>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</sst>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&quot;$&quot;\ * #,##0_-;\-&quot;$&quot;\ * #,##0_-;_-&quot;$&quot;\ * &quot;-&quot;??_-;_-@"/>
    <numFmt numFmtId="166" formatCode="_-&quot;$&quot;\ * #,##0.00_-;\-&quot;$&quot;\ * #,##0.00_-;_-&quot;$&quot;\ * &quot;-&quot;??_-;_-@"/>
  </numFmts>
  <fonts count="33">
    <font>
      <sz val="11.0"/>
      <color theme="1"/>
      <name val="Calibri"/>
      <scheme val="minor"/>
    </font>
    <font>
      <b/>
      <sz val="9.0"/>
      <color theme="1"/>
      <name val="Abadi"/>
    </font>
    <font/>
    <font>
      <b/>
      <sz val="18.0"/>
      <color theme="1"/>
      <name val="Abadi"/>
    </font>
    <font>
      <b/>
      <sz val="9.0"/>
      <color theme="1"/>
      <name val="Arial"/>
    </font>
    <font>
      <color theme="1"/>
      <name val="Calibri"/>
      <scheme val="minor"/>
    </font>
    <font>
      <b/>
      <sz val="8.0"/>
      <color theme="1"/>
      <name val="Bree Serif"/>
    </font>
    <font>
      <b/>
      <sz val="11.0"/>
      <color theme="1"/>
      <name val="Bree Serif"/>
    </font>
    <font>
      <b/>
      <sz val="10.0"/>
      <color theme="1"/>
      <name val="Bree Serif"/>
    </font>
    <font>
      <b/>
      <sz val="8.0"/>
      <color theme="1"/>
      <name val="Overlock"/>
    </font>
    <font>
      <sz val="11.0"/>
      <color theme="1"/>
      <name val="Overlock"/>
    </font>
    <font>
      <b/>
      <sz val="10.0"/>
      <color theme="1"/>
      <name val="Overlock"/>
    </font>
    <font>
      <sz val="11.0"/>
      <color theme="1"/>
      <name val="Calibri"/>
    </font>
    <font>
      <b/>
      <sz val="16.0"/>
      <color rgb="FF171616"/>
      <name val="Bree Serif"/>
    </font>
    <font>
      <b/>
      <sz val="11.0"/>
      <color theme="1"/>
      <name val="Overlock"/>
    </font>
    <font>
      <b/>
      <sz val="11.0"/>
      <color rgb="FF000000"/>
      <name val="Overlock"/>
    </font>
    <font>
      <sz val="16.0"/>
      <color rgb="FF171616"/>
      <name val="Quattrocento Sans"/>
    </font>
    <font>
      <b/>
      <sz val="10.0"/>
      <color theme="1"/>
      <name val="Quattrocento Sans"/>
    </font>
    <font>
      <b/>
      <sz val="14.0"/>
      <color rgb="FFFFE598"/>
      <name val="Overlock"/>
    </font>
    <font>
      <sz val="8.0"/>
      <color theme="1"/>
      <name val="Overlock"/>
    </font>
    <font>
      <b/>
      <sz val="9.0"/>
      <color rgb="FFC5E0B3"/>
      <name val="Overlock"/>
    </font>
    <font>
      <i/>
      <sz val="10.0"/>
      <color theme="1"/>
      <name val="Overlock"/>
    </font>
    <font>
      <b/>
      <sz val="9.0"/>
      <color theme="1"/>
      <name val="Bilbo"/>
    </font>
    <font>
      <sz val="9.0"/>
      <color theme="1"/>
      <name val="Bilbo"/>
    </font>
    <font>
      <b/>
      <sz val="9.0"/>
      <color theme="1"/>
      <name val="Overlock"/>
    </font>
    <font>
      <i/>
      <sz val="9.0"/>
      <color theme="1"/>
      <name val="Overlock"/>
    </font>
    <font>
      <sz val="11.0"/>
      <color theme="1"/>
      <name val="EB Garamond"/>
    </font>
    <font>
      <sz val="12.0"/>
      <color rgb="FFFEF2CB"/>
      <name val="Overlock"/>
    </font>
    <font>
      <sz val="9.0"/>
      <color rgb="FF000000"/>
      <name val="Overlock"/>
    </font>
    <font>
      <sz val="9.0"/>
      <color theme="1"/>
      <name val="Overlock"/>
    </font>
    <font>
      <b/>
      <sz val="14.0"/>
      <color theme="0"/>
      <name val="Abadi"/>
    </font>
    <font>
      <b/>
      <sz val="10.0"/>
      <color theme="1"/>
      <name val="Abadi"/>
    </font>
    <font>
      <sz val="10.0"/>
      <color theme="1"/>
      <name val="Abadi"/>
    </font>
  </fonts>
  <fills count="1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222A35"/>
        <bgColor rgb="FF222A35"/>
      </patternFill>
    </fill>
    <fill>
      <patternFill patternType="solid">
        <fgColor rgb="FF7B7B7B"/>
        <bgColor rgb="FF7B7B7B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2F5496"/>
        <bgColor rgb="FF2F5496"/>
      </patternFill>
    </fill>
    <fill>
      <patternFill patternType="solid">
        <fgColor rgb="FFFBE4D5"/>
        <bgColor rgb="FFFBE4D5"/>
      </patternFill>
    </fill>
    <fill>
      <patternFill patternType="solid">
        <fgColor rgb="FFEFEFEF"/>
        <bgColor rgb="FFEFEFEF"/>
      </patternFill>
    </fill>
    <fill>
      <patternFill patternType="solid">
        <fgColor rgb="FFDADADA"/>
        <bgColor rgb="FFDADADA"/>
      </patternFill>
    </fill>
  </fills>
  <borders count="7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7F7F7F"/>
      </left>
      <top style="thin">
        <color theme="0"/>
      </top>
      <bottom style="thin">
        <color rgb="FF7F7F7F"/>
      </bottom>
    </border>
    <border>
      <top style="thin">
        <color theme="0"/>
      </top>
      <bottom style="thin">
        <color rgb="FF7F7F7F"/>
      </bottom>
    </border>
    <border>
      <right style="thin">
        <color theme="0"/>
      </right>
      <top style="thin">
        <color theme="0"/>
      </top>
      <bottom style="thin">
        <color rgb="FF7F7F7F"/>
      </bottom>
    </border>
    <border>
      <left style="medium">
        <color rgb="FFA8D08D"/>
      </left>
      <top style="medium">
        <color rgb="FFA8D08D"/>
      </top>
      <bottom/>
    </border>
    <border>
      <left style="dotted">
        <color rgb="FFA8D08D"/>
      </left>
      <top style="medium">
        <color rgb="FFA8D08D"/>
      </top>
      <bottom/>
    </border>
    <border>
      <top style="medium">
        <color rgb="FFA8D08D"/>
      </top>
      <bottom/>
    </border>
    <border>
      <right style="dotted">
        <color rgb="FFA8D08D"/>
      </right>
      <top style="medium">
        <color rgb="FFA8D08D"/>
      </top>
      <bottom/>
    </border>
    <border>
      <right style="medium">
        <color rgb="FFA8D08D"/>
      </right>
      <top style="medium">
        <color rgb="FFA8D08D"/>
      </top>
      <bottom/>
    </border>
    <border>
      <left style="medium">
        <color rgb="FFA8D08D"/>
      </left>
    </border>
    <border>
      <left style="dotted">
        <color rgb="FFA8D08D"/>
      </left>
    </border>
    <border>
      <right style="dotted">
        <color rgb="FFA8D08D"/>
      </right>
    </border>
    <border>
      <right style="medium">
        <color rgb="FFA8D08D"/>
      </right>
    </border>
    <border>
      <left style="medium">
        <color rgb="FFA8D08D"/>
      </left>
      <bottom style="medium">
        <color rgb="FFA8D08D"/>
      </bottom>
    </border>
    <border>
      <left style="dotted">
        <color rgb="FFA8D08D"/>
      </left>
      <bottom style="medium">
        <color rgb="FFA8D08D"/>
      </bottom>
    </border>
    <border>
      <bottom style="medium">
        <color rgb="FFA8D08D"/>
      </bottom>
    </border>
    <border>
      <right style="dotted">
        <color rgb="FFA8D08D"/>
      </right>
      <bottom style="medium">
        <color rgb="FFA8D08D"/>
      </bottom>
    </border>
    <border>
      <right style="medium">
        <color rgb="FFA8D08D"/>
      </right>
      <bottom style="medium">
        <color rgb="FFA8D08D"/>
      </bottom>
    </border>
    <border>
      <right style="medium">
        <color rgb="FF7B7B7B"/>
      </right>
    </border>
    <border>
      <left style="medium">
        <color rgb="FF7B7B7B"/>
      </left>
      <top style="medium">
        <color rgb="FF7B7B7B"/>
      </top>
    </border>
    <border>
      <top style="medium">
        <color rgb="FF7B7B7B"/>
      </top>
    </border>
    <border>
      <right style="medium">
        <color rgb="FF7B7B7B"/>
      </right>
      <top style="medium">
        <color rgb="FF7B7B7B"/>
      </top>
    </border>
    <border>
      <left style="medium">
        <color rgb="FF7B7B7B"/>
      </left>
      <bottom style="dotted">
        <color rgb="FF7B7B7B"/>
      </bottom>
    </border>
    <border>
      <bottom style="dotted">
        <color rgb="FF7B7B7B"/>
      </bottom>
    </border>
    <border>
      <right style="medium">
        <color rgb="FF7B7B7B"/>
      </right>
      <bottom style="dotted">
        <color rgb="FF7B7B7B"/>
      </bottom>
    </border>
    <border>
      <left/>
      <top/>
    </border>
    <border>
      <top/>
    </border>
    <border>
      <left/>
    </border>
    <border>
      <left style="medium">
        <color rgb="FF7B7B7B"/>
      </left>
      <top style="dotted">
        <color rgb="FF7B7B7B"/>
      </top>
      <bottom style="medium">
        <color rgb="FF7B7B7B"/>
      </bottom>
    </border>
    <border>
      <top style="dotted">
        <color rgb="FF7B7B7B"/>
      </top>
      <bottom style="medium">
        <color rgb="FF7B7B7B"/>
      </bottom>
    </border>
    <border>
      <right style="medium">
        <color rgb="FF7B7B7B"/>
      </right>
      <top style="dotted">
        <color rgb="FF7B7B7B"/>
      </top>
      <bottom style="medium">
        <color rgb="FF7B7B7B"/>
      </bottom>
    </border>
    <border>
      <left/>
      <right/>
      <top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dotted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right style="hair">
        <color rgb="FF000000"/>
      </right>
    </border>
    <border>
      <left style="medium">
        <color rgb="FF000000"/>
      </lef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vertical="center"/>
    </xf>
    <xf borderId="0" fillId="0" fontId="5" numFmtId="49" xfId="0" applyFont="1" applyNumberFormat="1"/>
    <xf borderId="13" fillId="4" fontId="6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0" fillId="0" fontId="7" numFmtId="0" xfId="0" applyFont="1"/>
    <xf borderId="13" fillId="4" fontId="8" numFmtId="49" xfId="0" applyAlignment="1" applyBorder="1" applyFont="1" applyNumberFormat="1">
      <alignment horizontal="center" vertical="center"/>
    </xf>
    <xf borderId="15" fillId="5" fontId="8" numFmtId="0" xfId="0" applyAlignment="1" applyBorder="1" applyFill="1" applyFont="1">
      <alignment vertical="center"/>
    </xf>
    <xf borderId="13" fillId="4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5" fillId="5" fontId="9" numFmtId="0" xfId="0" applyAlignment="1" applyBorder="1" applyFont="1">
      <alignment horizontal="center" shrinkToFit="0" vertical="center" wrapText="1"/>
    </xf>
    <xf borderId="15" fillId="5" fontId="10" numFmtId="0" xfId="0" applyBorder="1" applyFont="1"/>
    <xf borderId="15" fillId="5" fontId="11" numFmtId="49" xfId="0" applyAlignment="1" applyBorder="1" applyFont="1" applyNumberFormat="1">
      <alignment horizontal="center" vertical="center"/>
    </xf>
    <xf borderId="15" fillId="5" fontId="11" numFmtId="0" xfId="0" applyAlignment="1" applyBorder="1" applyFont="1">
      <alignment horizontal="center" vertical="center"/>
    </xf>
    <xf borderId="15" fillId="5" fontId="11" numFmtId="0" xfId="0" applyAlignment="1" applyBorder="1" applyFont="1">
      <alignment vertical="center"/>
    </xf>
    <xf borderId="0" fillId="0" fontId="10" numFmtId="0" xfId="0" applyFont="1"/>
    <xf borderId="15" fillId="6" fontId="12" numFmtId="0" xfId="0" applyBorder="1" applyFill="1" applyFont="1"/>
    <xf borderId="15" fillId="6" fontId="9" numFmtId="0" xfId="0" applyAlignment="1" applyBorder="1" applyFont="1">
      <alignment horizontal="center" shrinkToFit="0" vertical="center" wrapText="1"/>
    </xf>
    <xf borderId="15" fillId="6" fontId="10" numFmtId="0" xfId="0" applyBorder="1" applyFont="1"/>
    <xf borderId="15" fillId="6" fontId="11" numFmtId="49" xfId="0" applyAlignment="1" applyBorder="1" applyFont="1" applyNumberFormat="1">
      <alignment horizontal="center" vertical="center"/>
    </xf>
    <xf borderId="15" fillId="6" fontId="11" numFmtId="0" xfId="0" applyAlignment="1" applyBorder="1" applyFont="1">
      <alignment horizontal="center" vertical="center"/>
    </xf>
    <xf borderId="15" fillId="6" fontId="11" numFmtId="0" xfId="0" applyAlignment="1" applyBorder="1" applyFont="1">
      <alignment vertical="center"/>
    </xf>
    <xf borderId="16" fillId="6" fontId="13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6" fillId="6" fontId="14" numFmtId="49" xfId="0" applyAlignment="1" applyBorder="1" applyFont="1" applyNumberFormat="1">
      <alignment horizontal="center" readingOrder="0" vertical="center"/>
    </xf>
    <xf borderId="15" fillId="6" fontId="10" numFmtId="0" xfId="0" applyAlignment="1" applyBorder="1" applyFont="1">
      <alignment vertical="center"/>
    </xf>
    <xf borderId="16" fillId="6" fontId="15" numFmtId="4" xfId="0" applyAlignment="1" applyBorder="1" applyFont="1" applyNumberFormat="1">
      <alignment horizontal="center" vertical="center"/>
    </xf>
    <xf borderId="16" fillId="6" fontId="11" numFmtId="164" xfId="0" applyAlignment="1" applyBorder="1" applyFont="1" applyNumberFormat="1">
      <alignment horizontal="center" vertical="center"/>
    </xf>
    <xf borderId="15" fillId="6" fontId="16" numFmtId="0" xfId="0" applyAlignment="1" applyBorder="1" applyFont="1">
      <alignment horizontal="center" vertical="center"/>
    </xf>
    <xf borderId="15" fillId="6" fontId="10" numFmtId="49" xfId="0" applyAlignment="1" applyBorder="1" applyFont="1" applyNumberFormat="1">
      <alignment horizontal="center"/>
    </xf>
    <xf borderId="15" fillId="6" fontId="10" numFmtId="0" xfId="0" applyAlignment="1" applyBorder="1" applyFont="1">
      <alignment horizontal="center"/>
    </xf>
    <xf borderId="15" fillId="6" fontId="17" numFmtId="14" xfId="0" applyAlignment="1" applyBorder="1" applyFont="1" applyNumberFormat="1">
      <alignment horizontal="center" vertical="center"/>
    </xf>
    <xf borderId="15" fillId="6" fontId="17" numFmtId="0" xfId="0" applyAlignment="1" applyBorder="1" applyFont="1">
      <alignment horizontal="center" vertical="center"/>
    </xf>
    <xf borderId="15" fillId="5" fontId="12" numFmtId="0" xfId="0" applyBorder="1" applyFont="1"/>
    <xf borderId="15" fillId="5" fontId="10" numFmtId="49" xfId="0" applyBorder="1" applyFont="1" applyNumberFormat="1"/>
    <xf borderId="13" fillId="7" fontId="18" numFmtId="0" xfId="0" applyAlignment="1" applyBorder="1" applyFill="1" applyFont="1">
      <alignment horizontal="center" vertical="center"/>
    </xf>
    <xf borderId="0" fillId="0" fontId="19" numFmtId="0" xfId="0" applyFont="1"/>
    <xf borderId="0" fillId="0" fontId="19" numFmtId="49" xfId="0" applyFont="1" applyNumberFormat="1"/>
    <xf borderId="19" fillId="8" fontId="20" numFmtId="0" xfId="0" applyAlignment="1" applyBorder="1" applyFill="1" applyFont="1">
      <alignment horizontal="center" vertical="center"/>
    </xf>
    <xf borderId="20" fillId="8" fontId="20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1" fillId="8" fontId="20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19" numFmtId="0" xfId="0" applyBorder="1" applyFont="1"/>
    <xf borderId="25" fillId="0" fontId="19" numFmtId="0" xfId="0" applyBorder="1" applyFont="1"/>
    <xf borderId="26" fillId="0" fontId="19" numFmtId="0" xfId="0" applyBorder="1" applyFont="1"/>
    <xf borderId="27" fillId="0" fontId="19" numFmtId="0" xfId="0" applyBorder="1" applyFont="1"/>
    <xf borderId="24" fillId="0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readingOrder="0" vertical="center"/>
    </xf>
    <xf borderId="26" fillId="0" fontId="2" numFmtId="0" xfId="0" applyBorder="1" applyFont="1"/>
    <xf borderId="0" fillId="0" fontId="19" numFmtId="0" xfId="0" applyAlignment="1" applyFont="1">
      <alignment horizontal="center" readingOrder="0" vertical="center"/>
    </xf>
    <xf borderId="0" fillId="0" fontId="19" numFmtId="165" xfId="0" applyAlignment="1" applyFont="1" applyNumberFormat="1">
      <alignment horizontal="center" readingOrder="0" vertical="center"/>
    </xf>
    <xf borderId="0" fillId="0" fontId="19" numFmtId="166" xfId="0" applyAlignment="1" applyFont="1" applyNumberFormat="1">
      <alignment horizontal="center" vertical="center"/>
    </xf>
    <xf borderId="27" fillId="0" fontId="2" numFmtId="0" xfId="0" applyBorder="1" applyFont="1"/>
    <xf borderId="25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24" fillId="0" fontId="19" numFmtId="0" xfId="0" applyAlignment="1" applyBorder="1" applyFont="1">
      <alignment horizontal="center" readingOrder="0" vertical="center"/>
    </xf>
    <xf borderId="28" fillId="0" fontId="19" numFmtId="0" xfId="0" applyAlignment="1" applyBorder="1" applyFont="1">
      <alignment horizontal="center" readingOrder="0" vertical="center"/>
    </xf>
    <xf borderId="29" fillId="0" fontId="19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30" fillId="0" fontId="19" numFmtId="0" xfId="0" applyAlignment="1" applyBorder="1" applyFont="1">
      <alignment horizontal="center" vertical="center"/>
    </xf>
    <xf borderId="30" fillId="0" fontId="19" numFmtId="165" xfId="0" applyAlignment="1" applyBorder="1" applyFont="1" applyNumberFormat="1">
      <alignment horizontal="center" readingOrder="0" vertical="center"/>
    </xf>
    <xf borderId="30" fillId="0" fontId="19" numFmtId="166" xfId="0" applyAlignment="1" applyBorder="1" applyFont="1" applyNumberFormat="1">
      <alignment horizontal="center" vertical="center"/>
    </xf>
    <xf borderId="32" fillId="0" fontId="2" numFmtId="0" xfId="0" applyBorder="1" applyFont="1"/>
    <xf borderId="13" fillId="6" fontId="9" numFmtId="0" xfId="0" applyAlignment="1" applyBorder="1" applyFont="1">
      <alignment horizontal="center" vertical="center"/>
    </xf>
    <xf borderId="7" fillId="0" fontId="19" numFmtId="14" xfId="0" applyAlignment="1" applyBorder="1" applyFont="1" applyNumberFormat="1">
      <alignment horizontal="center" vertical="center"/>
    </xf>
    <xf borderId="0" fillId="0" fontId="19" numFmtId="0" xfId="0" applyAlignment="1" applyFont="1">
      <alignment horizontal="center"/>
    </xf>
    <xf borderId="0" fillId="0" fontId="9" numFmtId="0" xfId="0" applyAlignment="1" applyFont="1">
      <alignment horizontal="right"/>
    </xf>
    <xf borderId="33" fillId="0" fontId="2" numFmtId="0" xfId="0" applyBorder="1" applyFont="1"/>
    <xf borderId="34" fillId="4" fontId="19" numFmtId="166" xfId="0" applyAlignment="1" applyBorder="1" applyFont="1" applyNumberFormat="1">
      <alignment horizontal="left" vertical="center"/>
    </xf>
    <xf borderId="35" fillId="0" fontId="2" numFmtId="0" xfId="0" applyBorder="1" applyFont="1"/>
    <xf borderId="36" fillId="0" fontId="2" numFmtId="0" xfId="0" applyBorder="1" applyFont="1"/>
    <xf borderId="0" fillId="0" fontId="9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6" fontId="9" numFmtId="0" xfId="0" applyAlignment="1" applyBorder="1" applyFont="1">
      <alignment horizontal="center" readingOrder="0" vertical="center"/>
    </xf>
    <xf borderId="41" fillId="0" fontId="2" numFmtId="0" xfId="0" applyBorder="1" applyFont="1"/>
    <xf borderId="7" fillId="0" fontId="21" numFmtId="0" xfId="0" applyAlignment="1" applyBorder="1" applyFont="1">
      <alignment horizontal="center" vertical="center"/>
    </xf>
    <xf borderId="0" fillId="0" fontId="9" numFmtId="0" xfId="0" applyAlignment="1" applyFont="1">
      <alignment horizontal="right" vertical="center"/>
    </xf>
    <xf borderId="34" fillId="4" fontId="19" numFmtId="165" xfId="0" applyAlignment="1" applyBorder="1" applyFont="1" applyNumberFormat="1">
      <alignment horizontal="left" vertical="center"/>
    </xf>
    <xf borderId="42" fillId="9" fontId="9" numFmtId="0" xfId="0" applyAlignment="1" applyBorder="1" applyFill="1" applyFont="1">
      <alignment horizontal="center" readingOrder="0" vertical="center"/>
    </xf>
    <xf borderId="0" fillId="9" fontId="9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2" fillId="6" fontId="9" numFmtId="0" xfId="0" applyAlignment="1" applyBorder="1" applyFont="1">
      <alignment horizontal="center" readingOrder="0" vertical="center"/>
    </xf>
    <xf borderId="43" fillId="4" fontId="19" numFmtId="166" xfId="0" applyAlignment="1" applyBorder="1" applyFont="1" applyNumberFormat="1">
      <alignment horizontal="left" vertical="center"/>
    </xf>
    <xf borderId="44" fillId="0" fontId="2" numFmtId="0" xfId="0" applyBorder="1" applyFont="1"/>
    <xf borderId="45" fillId="0" fontId="2" numFmtId="0" xfId="0" applyBorder="1" applyFont="1"/>
    <xf borderId="46" fillId="10" fontId="19" numFmtId="0" xfId="0" applyBorder="1" applyFill="1" applyFont="1"/>
    <xf borderId="46" fillId="10" fontId="19" numFmtId="49" xfId="0" applyBorder="1" applyFont="1" applyNumberFormat="1"/>
    <xf borderId="15" fillId="10" fontId="19" numFmtId="0" xfId="0" applyBorder="1" applyFont="1"/>
    <xf borderId="0" fillId="10" fontId="9" numFmtId="0" xfId="0" applyAlignment="1" applyFont="1">
      <alignment horizontal="center" vertical="center"/>
    </xf>
    <xf borderId="7" fillId="11" fontId="22" numFmtId="0" xfId="0" applyAlignment="1" applyBorder="1" applyFill="1" applyFont="1">
      <alignment horizontal="center" vertical="center"/>
    </xf>
    <xf borderId="0" fillId="10" fontId="23" numFmtId="0" xfId="0" applyAlignment="1" applyFont="1">
      <alignment vertical="center"/>
    </xf>
    <xf borderId="0" fillId="10" fontId="24" numFmtId="0" xfId="0" applyAlignment="1" applyFont="1">
      <alignment horizontal="center" readingOrder="0" vertical="center"/>
    </xf>
    <xf borderId="7" fillId="11" fontId="22" numFmtId="0" xfId="0" applyAlignment="1" applyBorder="1" applyFont="1">
      <alignment horizontal="left" vertical="center"/>
    </xf>
    <xf borderId="47" fillId="10" fontId="19" numFmtId="0" xfId="0" applyBorder="1" applyFont="1"/>
    <xf borderId="48" fillId="10" fontId="19" numFmtId="0" xfId="0" applyBorder="1" applyFont="1"/>
    <xf borderId="48" fillId="10" fontId="19" numFmtId="49" xfId="0" applyBorder="1" applyFont="1" applyNumberFormat="1"/>
    <xf borderId="1" fillId="0" fontId="9" numFmtId="0" xfId="0" applyAlignment="1" applyBorder="1" applyFont="1">
      <alignment horizontal="left" readingOrder="0" vertical="center"/>
    </xf>
    <xf borderId="0" fillId="0" fontId="10" numFmtId="49" xfId="0" applyFont="1" applyNumberFormat="1"/>
    <xf borderId="0" fillId="0" fontId="10" numFmtId="0" xfId="0" applyAlignment="1" applyFont="1">
      <alignment readingOrder="0"/>
    </xf>
    <xf borderId="7" fillId="0" fontId="10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26" numFmtId="0" xfId="0" applyAlignment="1" applyFont="1">
      <alignment horizontal="center" readingOrder="0" vertical="center"/>
    </xf>
    <xf borderId="49" fillId="0" fontId="19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51" fillId="0" fontId="2" numFmtId="0" xfId="0" applyBorder="1" applyFont="1"/>
    <xf borderId="10" fillId="0" fontId="19" numFmtId="0" xfId="0" applyAlignment="1" applyBorder="1" applyFont="1">
      <alignment horizontal="center" vertical="center"/>
    </xf>
    <xf borderId="0" fillId="0" fontId="19" numFmtId="4" xfId="0" applyFont="1" applyNumberFormat="1"/>
    <xf borderId="52" fillId="12" fontId="9" numFmtId="0" xfId="0" applyAlignment="1" applyBorder="1" applyFill="1" applyFont="1">
      <alignment horizontal="center" vertical="center"/>
    </xf>
    <xf borderId="53" fillId="0" fontId="2" numFmtId="0" xfId="0" applyBorder="1" applyFont="1"/>
    <xf borderId="54" fillId="12" fontId="9" numFmtId="4" xfId="0" applyAlignment="1" applyBorder="1" applyFont="1" applyNumberFormat="1">
      <alignment horizontal="center" vertical="center"/>
    </xf>
    <xf borderId="54" fillId="12" fontId="9" numFmtId="0" xfId="0" applyAlignment="1" applyBorder="1" applyFont="1">
      <alignment horizontal="center" vertical="center"/>
    </xf>
    <xf borderId="55" fillId="12" fontId="9" numFmtId="0" xfId="0" applyAlignment="1" applyBorder="1" applyFont="1">
      <alignment horizontal="center" vertical="center"/>
    </xf>
    <xf borderId="56" fillId="13" fontId="9" numFmtId="0" xfId="0" applyAlignment="1" applyBorder="1" applyFill="1" applyFont="1">
      <alignment horizontal="center" shrinkToFit="0" vertical="center" wrapText="1"/>
    </xf>
    <xf borderId="57" fillId="14" fontId="27" numFmtId="0" xfId="0" applyAlignment="1" applyBorder="1" applyFill="1" applyFont="1">
      <alignment horizontal="center" vertical="center"/>
    </xf>
    <xf borderId="58" fillId="0" fontId="2" numFmtId="0" xfId="0" applyBorder="1" applyFont="1"/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15" fontId="9" numFmtId="0" xfId="0" applyAlignment="1" applyBorder="1" applyFill="1" applyFont="1">
      <alignment horizontal="center" shrinkToFit="0" vertical="center" wrapText="1"/>
    </xf>
    <xf borderId="15" fillId="11" fontId="9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0" fillId="0" fontId="9" numFmtId="0" xfId="0" applyAlignment="1" applyFont="1">
      <alignment horizontal="center" shrinkToFit="0" vertical="center" wrapText="1"/>
    </xf>
    <xf borderId="5" fillId="16" fontId="28" numFmtId="0" xfId="0" applyAlignment="1" applyBorder="1" applyFill="1" applyFont="1">
      <alignment horizontal="left" readingOrder="0" shrinkToFit="0" vertical="center" wrapText="1"/>
    </xf>
    <xf borderId="62" fillId="0" fontId="28" numFmtId="4" xfId="0" applyAlignment="1" applyBorder="1" applyFont="1" applyNumberFormat="1">
      <alignment horizontal="center" readingOrder="0" shrinkToFit="0" vertical="center" wrapText="1"/>
    </xf>
    <xf borderId="62" fillId="0" fontId="28" numFmtId="0" xfId="0" applyAlignment="1" applyBorder="1" applyFont="1">
      <alignment horizontal="center" readingOrder="0" shrinkToFit="0" vertical="center" wrapText="1"/>
    </xf>
    <xf borderId="6" fillId="0" fontId="28" numFmtId="0" xfId="0" applyAlignment="1" applyBorder="1" applyFont="1">
      <alignment horizontal="center" readingOrder="0" shrinkToFit="0" vertical="center" wrapText="1"/>
    </xf>
    <xf borderId="64" fillId="0" fontId="29" numFmtId="0" xfId="0" applyAlignment="1" applyBorder="1" applyFont="1">
      <alignment horizontal="center" shrinkToFit="0" vertical="center" wrapText="1"/>
    </xf>
    <xf borderId="60" fillId="0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67" fillId="0" fontId="2" numFmtId="0" xfId="0" applyBorder="1" applyFont="1"/>
    <xf borderId="60" fillId="16" fontId="29" numFmtId="0" xfId="0" applyAlignment="1" applyBorder="1" applyFont="1">
      <alignment horizontal="left" readingOrder="0" shrinkToFit="0" vertical="center" wrapText="1"/>
    </xf>
    <xf borderId="62" fillId="0" fontId="29" numFmtId="4" xfId="0" applyAlignment="1" applyBorder="1" applyFont="1" applyNumberFormat="1">
      <alignment horizontal="center" readingOrder="0" shrinkToFit="0" vertical="center" wrapText="1"/>
    </xf>
    <xf borderId="62" fillId="0" fontId="29" numFmtId="0" xfId="0" applyAlignment="1" applyBorder="1" applyFont="1">
      <alignment horizontal="center" readingOrder="0" shrinkToFit="0" vertical="center" wrapText="1"/>
    </xf>
    <xf borderId="63" fillId="0" fontId="29" numFmtId="0" xfId="0" applyAlignment="1" applyBorder="1" applyFont="1">
      <alignment horizontal="center" readingOrder="0" shrinkToFit="0" vertical="center" wrapText="1"/>
    </xf>
    <xf borderId="5" fillId="16" fontId="28" numFmtId="0" xfId="0" applyAlignment="1" applyBorder="1" applyFont="1">
      <alignment horizontal="left" readingOrder="0" vertical="center"/>
    </xf>
    <xf borderId="68" fillId="0" fontId="28" numFmtId="4" xfId="0" applyAlignment="1" applyBorder="1" applyFont="1" applyNumberFormat="1">
      <alignment horizontal="center" readingOrder="0" vertical="center"/>
    </xf>
    <xf borderId="68" fillId="0" fontId="28" numFmtId="0" xfId="0" applyAlignment="1" applyBorder="1" applyFont="1">
      <alignment horizontal="center" readingOrder="0" shrinkToFit="0" vertical="center" wrapText="1"/>
    </xf>
    <xf borderId="68" fillId="0" fontId="28" numFmtId="0" xfId="0" applyAlignment="1" applyBorder="1" applyFont="1">
      <alignment horizontal="center" readingOrder="0" vertical="center"/>
    </xf>
    <xf borderId="6" fillId="0" fontId="28" numFmtId="0" xfId="0" applyAlignment="1" applyBorder="1" applyFont="1">
      <alignment horizontal="center" readingOrder="0" vertical="center"/>
    </xf>
    <xf borderId="60" fillId="16" fontId="29" numFmtId="0" xfId="0" applyAlignment="1" applyBorder="1" applyFont="1">
      <alignment horizontal="left" shrinkToFit="0" vertical="center" wrapText="1"/>
    </xf>
    <xf borderId="62" fillId="0" fontId="29" numFmtId="4" xfId="0" applyAlignment="1" applyBorder="1" applyFont="1" applyNumberFormat="1">
      <alignment horizontal="center" shrinkToFit="0" vertical="center" wrapText="1"/>
    </xf>
    <xf borderId="62" fillId="0" fontId="29" numFmtId="0" xfId="0" applyAlignment="1" applyBorder="1" applyFont="1">
      <alignment horizontal="center" shrinkToFit="0" vertical="center" wrapText="1"/>
    </xf>
    <xf borderId="63" fillId="0" fontId="29" numFmtId="0" xfId="0" applyAlignment="1" applyBorder="1" applyFont="1">
      <alignment horizontal="center" shrinkToFit="0" vertical="center" wrapText="1"/>
    </xf>
    <xf borderId="69" fillId="16" fontId="29" numFmtId="0" xfId="0" applyAlignment="1" applyBorder="1" applyFont="1">
      <alignment horizontal="left" shrinkToFit="0" vertical="center" wrapText="1"/>
    </xf>
    <xf borderId="70" fillId="0" fontId="2" numFmtId="0" xfId="0" applyBorder="1" applyFont="1"/>
    <xf borderId="71" fillId="0" fontId="29" numFmtId="4" xfId="0" applyAlignment="1" applyBorder="1" applyFont="1" applyNumberFormat="1">
      <alignment horizontal="center" shrinkToFit="0" vertical="center" wrapText="1"/>
    </xf>
    <xf borderId="71" fillId="0" fontId="29" numFmtId="0" xfId="0" applyAlignment="1" applyBorder="1" applyFont="1">
      <alignment horizontal="center" shrinkToFit="0" vertical="center" wrapText="1"/>
    </xf>
    <xf borderId="72" fillId="0" fontId="29" numFmtId="0" xfId="0" applyAlignment="1" applyBorder="1" applyFont="1">
      <alignment horizontal="center" shrinkToFit="0" vertical="center" wrapText="1"/>
    </xf>
    <xf borderId="73" fillId="0" fontId="29" numFmtId="0" xfId="0" applyAlignment="1" applyBorder="1" applyFont="1">
      <alignment horizontal="center" shrinkToFit="0" vertical="center" wrapText="1"/>
    </xf>
    <xf borderId="69" fillId="0" fontId="29" numFmtId="0" xfId="0" applyAlignment="1" applyBorder="1" applyFont="1">
      <alignment horizontal="center" shrinkToFit="0" vertical="center" wrapText="1"/>
    </xf>
    <xf borderId="74" fillId="0" fontId="29" numFmtId="0" xfId="0" applyAlignment="1" applyBorder="1" applyFont="1">
      <alignment horizontal="center" shrinkToFit="0" vertical="center" wrapText="1"/>
    </xf>
    <xf borderId="75" fillId="0" fontId="2" numFmtId="0" xfId="0" applyBorder="1" applyFont="1"/>
    <xf borderId="0" fillId="0" fontId="29" numFmtId="4" xfId="0" applyAlignment="1" applyFont="1" applyNumberFormat="1">
      <alignment horizontal="center" shrinkToFit="0" vertical="center" wrapText="1"/>
    </xf>
    <xf borderId="0" fillId="0" fontId="5" numFmtId="4" xfId="0" applyFont="1" applyNumberFormat="1"/>
    <xf borderId="10" fillId="14" fontId="30" numFmtId="0" xfId="0" applyAlignment="1" applyBorder="1" applyFont="1">
      <alignment horizontal="center" shrinkToFit="0" vertical="center" wrapText="1"/>
    </xf>
    <xf borderId="4" fillId="17" fontId="31" numFmtId="0" xfId="0" applyAlignment="1" applyBorder="1" applyFill="1" applyFont="1">
      <alignment horizontal="center"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4" fillId="0" fontId="32" numFmtId="14" xfId="0" applyAlignment="1" applyBorder="1" applyFont="1" applyNumberFormat="1">
      <alignment horizontal="center" shrinkToFit="0" vertical="center" wrapText="1"/>
    </xf>
    <xf borderId="4" fillId="0" fontId="3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38100</xdr:rowOff>
    </xdr:from>
    <xdr:ext cx="9715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6682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6.0"/>
    <col customWidth="1" min="3" max="3" width="5.0"/>
    <col customWidth="1" min="4" max="4" width="4.71"/>
    <col customWidth="1" min="5" max="5" width="0.43"/>
    <col customWidth="1" min="6" max="7" width="4.43"/>
    <col customWidth="1" min="8" max="8" width="0.86"/>
    <col customWidth="1" min="9" max="10" width="4.43"/>
    <col customWidth="1" min="11" max="11" width="9.86"/>
    <col customWidth="1" min="12" max="14" width="4.43"/>
    <col customWidth="1" min="15" max="15" width="4.86"/>
    <col customWidth="1" min="16" max="16" width="0.43"/>
    <col customWidth="1" min="17" max="18" width="4.43"/>
    <col customWidth="1" min="19" max="19" width="6.29"/>
    <col customWidth="1" min="20" max="20" width="0.29"/>
    <col customWidth="1" min="21" max="21" width="4.43"/>
    <col customWidth="1" min="22" max="22" width="5.43"/>
    <col customWidth="1" min="23" max="23" width="3.86"/>
    <col customWidth="1" min="24" max="24" width="0.43"/>
  </cols>
  <sheetData>
    <row r="1" ht="18.75" customHeight="1">
      <c r="B1" s="1"/>
      <c r="C1" s="2"/>
      <c r="D1" s="3"/>
      <c r="E1" s="4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5" t="s">
        <v>1</v>
      </c>
    </row>
    <row r="2" ht="18.0" customHeight="1">
      <c r="B2" s="6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2</v>
      </c>
    </row>
    <row r="3" ht="15.75" customHeight="1">
      <c r="B3" s="8"/>
      <c r="C3" s="9"/>
      <c r="D3" s="10"/>
      <c r="E3" s="12" t="s">
        <v>3</v>
      </c>
      <c r="F3" s="13"/>
      <c r="G3" s="13"/>
      <c r="H3" s="13"/>
      <c r="I3" s="13"/>
      <c r="J3" s="13"/>
      <c r="K3" s="13"/>
      <c r="L3" s="13"/>
      <c r="M3" s="14"/>
      <c r="N3" s="15" t="s">
        <v>4</v>
      </c>
      <c r="O3" s="13"/>
      <c r="P3" s="13"/>
      <c r="Q3" s="13"/>
      <c r="R3" s="13"/>
      <c r="S3" s="13"/>
      <c r="T3" s="13"/>
      <c r="U3" s="13"/>
      <c r="V3" s="13"/>
      <c r="W3" s="14"/>
    </row>
    <row r="4" ht="14.25" customHeight="1">
      <c r="F4" s="16"/>
    </row>
    <row r="5" ht="24.0" customHeight="1">
      <c r="A5" s="17" t="s">
        <v>5</v>
      </c>
      <c r="B5" s="18"/>
      <c r="C5" s="18"/>
      <c r="D5" s="18"/>
      <c r="E5" s="19"/>
      <c r="F5" s="20" t="s">
        <v>6</v>
      </c>
      <c r="G5" s="18"/>
      <c r="H5" s="18"/>
      <c r="I5" s="18"/>
      <c r="J5" s="18"/>
      <c r="K5" s="18"/>
      <c r="L5" s="18"/>
      <c r="M5" s="18"/>
      <c r="N5" s="18"/>
      <c r="O5" s="18"/>
      <c r="P5" s="21"/>
      <c r="Q5" s="22" t="s">
        <v>7</v>
      </c>
      <c r="R5" s="18"/>
      <c r="S5" s="18"/>
      <c r="T5" s="23"/>
      <c r="U5" s="22" t="s">
        <v>8</v>
      </c>
      <c r="V5" s="18"/>
      <c r="W5" s="18"/>
      <c r="X5" s="18"/>
    </row>
    <row r="6" ht="1.5" customHeight="1">
      <c r="B6" s="24"/>
      <c r="C6" s="24"/>
      <c r="D6" s="24"/>
      <c r="E6" s="25"/>
      <c r="F6" s="26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  <c r="U6" s="27"/>
      <c r="V6" s="27"/>
      <c r="W6" s="27"/>
      <c r="X6" s="29"/>
    </row>
    <row r="7" ht="5.25" customHeight="1">
      <c r="A7" s="30"/>
      <c r="B7" s="31"/>
      <c r="C7" s="31"/>
      <c r="D7" s="31"/>
      <c r="E7" s="32"/>
      <c r="F7" s="33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4"/>
      <c r="V7" s="34"/>
      <c r="W7" s="34"/>
      <c r="X7" s="32"/>
    </row>
    <row r="8">
      <c r="A8" s="30"/>
      <c r="B8" s="36" t="s">
        <v>9</v>
      </c>
      <c r="C8" s="37"/>
      <c r="D8" s="38"/>
      <c r="E8" s="32"/>
      <c r="F8" s="39" t="s">
        <v>10</v>
      </c>
      <c r="G8" s="37"/>
      <c r="H8" s="37"/>
      <c r="I8" s="37"/>
      <c r="J8" s="37"/>
      <c r="K8" s="37"/>
      <c r="L8" s="37"/>
      <c r="M8" s="37"/>
      <c r="N8" s="37"/>
      <c r="O8" s="38"/>
      <c r="P8" s="40"/>
      <c r="Q8" s="41" t="str">
        <f>VLOOKUP(F8,'BASE '!A7:I38,3,FALSE)</f>
        <v>900270177-7</v>
      </c>
      <c r="R8" s="37"/>
      <c r="S8" s="38"/>
      <c r="T8" s="32"/>
      <c r="U8" s="42">
        <f>TODAY()</f>
        <v>45594</v>
      </c>
      <c r="V8" s="37"/>
      <c r="W8" s="38"/>
      <c r="X8" s="32"/>
    </row>
    <row r="9" ht="6.0" customHeight="1">
      <c r="A9" s="30"/>
      <c r="B9" s="43"/>
      <c r="C9" s="43"/>
      <c r="D9" s="43"/>
      <c r="E9" s="32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32"/>
      <c r="U9" s="46"/>
      <c r="V9" s="47"/>
      <c r="W9" s="47"/>
      <c r="X9" s="32"/>
    </row>
    <row r="10" ht="4.5" customHeight="1">
      <c r="A10" s="48"/>
      <c r="B10" s="25"/>
      <c r="C10" s="25"/>
      <c r="D10" s="25"/>
      <c r="E10" s="25"/>
      <c r="F10" s="49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ht="24.0" customHeight="1">
      <c r="B11" s="50" t="s">
        <v>11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51"/>
    </row>
    <row r="12" ht="5.25" customHeight="1">
      <c r="B12" s="51"/>
      <c r="C12" s="51"/>
      <c r="D12" s="51"/>
      <c r="E12" s="51"/>
      <c r="F12" s="52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ht="14.25" customHeight="1">
      <c r="B13" s="53" t="s">
        <v>12</v>
      </c>
      <c r="C13" s="54" t="s">
        <v>13</v>
      </c>
      <c r="D13" s="55"/>
      <c r="E13" s="55"/>
      <c r="F13" s="55"/>
      <c r="G13" s="55"/>
      <c r="H13" s="55"/>
      <c r="I13" s="55"/>
      <c r="J13" s="55"/>
      <c r="K13" s="55"/>
      <c r="L13" s="56"/>
      <c r="M13" s="57" t="s">
        <v>14</v>
      </c>
      <c r="N13" s="55"/>
      <c r="O13" s="55"/>
      <c r="P13" s="56"/>
      <c r="Q13" s="57" t="s">
        <v>15</v>
      </c>
      <c r="R13" s="55"/>
      <c r="S13" s="56"/>
      <c r="T13" s="57" t="s">
        <v>16</v>
      </c>
      <c r="U13" s="55"/>
      <c r="V13" s="55"/>
      <c r="W13" s="58"/>
      <c r="X13" s="51"/>
    </row>
    <row r="14" ht="3.0" customHeight="1">
      <c r="B14" s="59"/>
      <c r="C14" s="60"/>
      <c r="D14" s="51"/>
      <c r="E14" s="51"/>
      <c r="F14" s="52"/>
      <c r="G14" s="51"/>
      <c r="H14" s="51"/>
      <c r="I14" s="51"/>
      <c r="J14" s="51"/>
      <c r="K14" s="51"/>
      <c r="L14" s="61"/>
      <c r="M14" s="51"/>
      <c r="N14" s="51"/>
      <c r="O14" s="51"/>
      <c r="P14" s="61"/>
      <c r="Q14" s="51"/>
      <c r="R14" s="51"/>
      <c r="S14" s="61"/>
      <c r="T14" s="51"/>
      <c r="U14" s="51"/>
      <c r="V14" s="51"/>
      <c r="W14" s="62"/>
      <c r="X14" s="51"/>
    </row>
    <row r="15" ht="18.0" customHeight="1">
      <c r="B15" s="63">
        <v>1.0</v>
      </c>
      <c r="C15" s="64"/>
      <c r="L15" s="65"/>
      <c r="M15" s="66"/>
      <c r="P15" s="65"/>
      <c r="Q15" s="67">
        <v>0.0</v>
      </c>
      <c r="S15" s="65"/>
      <c r="T15" s="68">
        <f>Q15*M15</f>
        <v>0</v>
      </c>
      <c r="W15" s="69"/>
      <c r="X15" s="51"/>
    </row>
    <row r="16" ht="18.0" customHeight="1">
      <c r="B16" s="63">
        <v>2.0</v>
      </c>
      <c r="C16" s="70"/>
      <c r="L16" s="65"/>
      <c r="M16" s="71"/>
      <c r="P16" s="65"/>
      <c r="Q16" s="67">
        <v>0.0</v>
      </c>
      <c r="S16" s="65"/>
      <c r="T16" s="68">
        <v>0.0</v>
      </c>
      <c r="W16" s="69"/>
      <c r="X16" s="51"/>
    </row>
    <row r="17" ht="18.0" customHeight="1">
      <c r="B17" s="63">
        <v>3.0</v>
      </c>
      <c r="C17" s="70"/>
      <c r="L17" s="65"/>
      <c r="M17" s="66"/>
      <c r="P17" s="65"/>
      <c r="Q17" s="67">
        <v>0.0</v>
      </c>
      <c r="S17" s="65"/>
      <c r="T17" s="68">
        <f t="shared" ref="T17:T24" si="1">Q17*M17</f>
        <v>0</v>
      </c>
      <c r="W17" s="69"/>
      <c r="X17" s="51"/>
    </row>
    <row r="18" ht="18.0" customHeight="1">
      <c r="B18" s="63">
        <v>4.0</v>
      </c>
      <c r="C18" s="70"/>
      <c r="L18" s="65"/>
      <c r="M18" s="71"/>
      <c r="P18" s="65"/>
      <c r="Q18" s="67">
        <v>0.0</v>
      </c>
      <c r="S18" s="65"/>
      <c r="T18" s="68">
        <f t="shared" si="1"/>
        <v>0</v>
      </c>
      <c r="W18" s="69"/>
      <c r="X18" s="51"/>
    </row>
    <row r="19" ht="18.0" customHeight="1">
      <c r="B19" s="72">
        <v>5.0</v>
      </c>
      <c r="C19" s="70"/>
      <c r="L19" s="65"/>
      <c r="M19" s="71"/>
      <c r="P19" s="65"/>
      <c r="Q19" s="67">
        <v>0.0</v>
      </c>
      <c r="S19" s="65"/>
      <c r="T19" s="68">
        <f t="shared" si="1"/>
        <v>0</v>
      </c>
      <c r="W19" s="69"/>
      <c r="X19" s="51"/>
    </row>
    <row r="20" ht="18.0" customHeight="1">
      <c r="B20" s="72">
        <v>6.0</v>
      </c>
      <c r="C20" s="70"/>
      <c r="L20" s="65"/>
      <c r="M20" s="71"/>
      <c r="P20" s="65"/>
      <c r="Q20" s="67">
        <v>0.0</v>
      </c>
      <c r="S20" s="65"/>
      <c r="T20" s="68">
        <f t="shared" si="1"/>
        <v>0</v>
      </c>
      <c r="W20" s="69"/>
      <c r="X20" s="51"/>
    </row>
    <row r="21" ht="18.0" customHeight="1">
      <c r="B21" s="72">
        <v>7.0</v>
      </c>
      <c r="C21" s="70"/>
      <c r="L21" s="65"/>
      <c r="M21" s="71"/>
      <c r="P21" s="65"/>
      <c r="Q21" s="67">
        <v>0.0</v>
      </c>
      <c r="S21" s="65"/>
      <c r="T21" s="68">
        <f t="shared" si="1"/>
        <v>0</v>
      </c>
      <c r="W21" s="69"/>
      <c r="X21" s="51"/>
    </row>
    <row r="22" ht="18.0" customHeight="1">
      <c r="B22" s="72">
        <v>8.0</v>
      </c>
      <c r="C22" s="70"/>
      <c r="L22" s="65"/>
      <c r="M22" s="71"/>
      <c r="P22" s="65"/>
      <c r="Q22" s="67">
        <v>0.0</v>
      </c>
      <c r="S22" s="65"/>
      <c r="T22" s="68">
        <f t="shared" si="1"/>
        <v>0</v>
      </c>
      <c r="W22" s="69"/>
      <c r="X22" s="51"/>
    </row>
    <row r="23" ht="18.0" customHeight="1">
      <c r="B23" s="72">
        <v>9.0</v>
      </c>
      <c r="C23" s="70"/>
      <c r="L23" s="65"/>
      <c r="M23" s="71"/>
      <c r="P23" s="65"/>
      <c r="Q23" s="67">
        <v>0.0</v>
      </c>
      <c r="S23" s="65"/>
      <c r="T23" s="68">
        <f t="shared" si="1"/>
        <v>0</v>
      </c>
      <c r="W23" s="69"/>
      <c r="X23" s="51"/>
    </row>
    <row r="24" ht="18.0" customHeight="1">
      <c r="B24" s="73">
        <v>10.0</v>
      </c>
      <c r="C24" s="74"/>
      <c r="D24" s="75"/>
      <c r="E24" s="75"/>
      <c r="F24" s="75"/>
      <c r="G24" s="75"/>
      <c r="H24" s="75"/>
      <c r="I24" s="75"/>
      <c r="J24" s="75"/>
      <c r="K24" s="75"/>
      <c r="L24" s="76"/>
      <c r="M24" s="77"/>
      <c r="N24" s="75"/>
      <c r="O24" s="75"/>
      <c r="P24" s="76"/>
      <c r="Q24" s="78">
        <v>0.0</v>
      </c>
      <c r="R24" s="75"/>
      <c r="S24" s="76"/>
      <c r="T24" s="79">
        <f t="shared" si="1"/>
        <v>0</v>
      </c>
      <c r="U24" s="75"/>
      <c r="V24" s="75"/>
      <c r="W24" s="80"/>
      <c r="X24" s="51"/>
    </row>
    <row r="25" ht="6.0" customHeight="1">
      <c r="B25" s="71"/>
      <c r="C25" s="51"/>
      <c r="D25" s="51"/>
      <c r="E25" s="51"/>
      <c r="F25" s="52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5.0" customHeight="1">
      <c r="B26" s="81" t="s">
        <v>17</v>
      </c>
      <c r="C26" s="18"/>
      <c r="D26" s="18"/>
      <c r="E26" s="18"/>
      <c r="F26" s="18"/>
      <c r="G26" s="18"/>
      <c r="H26" s="51"/>
      <c r="I26" s="82"/>
      <c r="J26" s="9"/>
      <c r="K26" s="9"/>
      <c r="L26" s="9"/>
      <c r="M26" s="9"/>
      <c r="N26" s="9"/>
      <c r="O26" s="10"/>
      <c r="P26" s="83"/>
      <c r="Q26" s="84" t="s">
        <v>18</v>
      </c>
      <c r="S26" s="85"/>
      <c r="T26" s="86">
        <f>SUM(T15:W24)</f>
        <v>0</v>
      </c>
      <c r="U26" s="87"/>
      <c r="V26" s="87"/>
      <c r="W26" s="88"/>
      <c r="X26" s="51"/>
    </row>
    <row r="27" ht="2.25" customHeight="1">
      <c r="B27" s="89"/>
      <c r="C27" s="89"/>
      <c r="D27" s="89"/>
      <c r="E27" s="89"/>
      <c r="F27" s="90"/>
      <c r="G27" s="89"/>
      <c r="H27" s="51"/>
      <c r="I27" s="83"/>
      <c r="J27" s="83"/>
      <c r="K27" s="83"/>
      <c r="L27" s="83"/>
      <c r="M27" s="83"/>
      <c r="N27" s="83"/>
      <c r="O27" s="83"/>
      <c r="P27" s="83"/>
      <c r="S27" s="85"/>
      <c r="T27" s="91"/>
      <c r="U27" s="92"/>
      <c r="V27" s="92"/>
      <c r="W27" s="93"/>
      <c r="X27" s="51"/>
    </row>
    <row r="28" ht="14.25" customHeight="1">
      <c r="B28" s="94" t="s">
        <v>19</v>
      </c>
      <c r="C28" s="95"/>
      <c r="D28" s="95"/>
      <c r="E28" s="95"/>
      <c r="F28" s="95"/>
      <c r="G28" s="95"/>
      <c r="H28" s="51"/>
      <c r="I28" s="96"/>
      <c r="J28" s="9"/>
      <c r="K28" s="9"/>
      <c r="L28" s="9"/>
      <c r="M28" s="9"/>
      <c r="N28" s="9"/>
      <c r="O28" s="10"/>
      <c r="P28" s="83"/>
      <c r="Q28" s="97" t="s">
        <v>20</v>
      </c>
      <c r="T28" s="98">
        <f>T26+19%</f>
        <v>0.19</v>
      </c>
      <c r="U28" s="87"/>
      <c r="V28" s="87"/>
      <c r="W28" s="88"/>
      <c r="X28" s="51"/>
    </row>
    <row r="29" ht="3.0" customHeight="1">
      <c r="B29" s="99"/>
      <c r="C29" s="100"/>
      <c r="D29" s="100"/>
      <c r="E29" s="100"/>
      <c r="F29" s="100"/>
      <c r="G29" s="100"/>
      <c r="H29" s="51"/>
      <c r="I29" s="101"/>
      <c r="J29" s="101"/>
      <c r="K29" s="101"/>
      <c r="L29" s="101"/>
      <c r="M29" s="101"/>
      <c r="N29" s="101"/>
      <c r="O29" s="101"/>
      <c r="P29" s="83"/>
      <c r="Q29" s="84"/>
      <c r="R29" s="84"/>
      <c r="S29" s="84"/>
      <c r="T29" s="91"/>
      <c r="U29" s="92"/>
      <c r="V29" s="92"/>
      <c r="W29" s="93"/>
      <c r="X29" s="51"/>
    </row>
    <row r="30" ht="18.0" customHeight="1">
      <c r="B30" s="102"/>
      <c r="H30" s="51"/>
      <c r="I30" s="96"/>
      <c r="J30" s="9"/>
      <c r="K30" s="9"/>
      <c r="L30" s="9"/>
      <c r="M30" s="9"/>
      <c r="N30" s="9"/>
      <c r="O30" s="10"/>
      <c r="P30" s="83"/>
      <c r="Q30" s="97" t="s">
        <v>21</v>
      </c>
      <c r="T30" s="103">
        <f>T26+T28</f>
        <v>0.19</v>
      </c>
      <c r="U30" s="104"/>
      <c r="V30" s="104"/>
      <c r="W30" s="105"/>
      <c r="X30" s="51"/>
    </row>
    <row r="31" ht="6.0" customHeight="1">
      <c r="B31" s="51"/>
      <c r="C31" s="51"/>
      <c r="D31" s="51"/>
      <c r="E31" s="51"/>
      <c r="F31" s="52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6.0" customHeight="1">
      <c r="B32" s="106"/>
      <c r="C32" s="106"/>
      <c r="D32" s="106"/>
      <c r="E32" s="106"/>
      <c r="F32" s="107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8"/>
    </row>
    <row r="33">
      <c r="B33" s="109" t="s">
        <v>22</v>
      </c>
      <c r="K33" s="110" t="str">
        <f>VLOOKUP(F8,'BASE '!A7:I87,5,FALSE)</f>
        <v>JANNER FAJARDO PAJOI</v>
      </c>
      <c r="L33" s="9"/>
      <c r="M33" s="9"/>
      <c r="N33" s="9"/>
      <c r="O33" s="10"/>
      <c r="P33" s="111"/>
      <c r="Q33" s="112" t="s">
        <v>23</v>
      </c>
      <c r="S33" s="113" t="str">
        <f>VLOOKUP(F8,'BASE '!A7:I62,6,FALSE)</f>
        <v>VENDEDOR</v>
      </c>
      <c r="T33" s="9"/>
      <c r="U33" s="9"/>
      <c r="V33" s="9"/>
      <c r="W33" s="10"/>
      <c r="X33" s="114"/>
    </row>
    <row r="34" ht="3.75" customHeight="1">
      <c r="B34" s="115"/>
      <c r="C34" s="115"/>
      <c r="D34" s="115"/>
      <c r="E34" s="115"/>
      <c r="F34" s="116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08"/>
    </row>
    <row r="35" ht="14.25" customHeight="1">
      <c r="B35" s="51"/>
      <c r="C35" s="51"/>
      <c r="D35" s="51"/>
      <c r="E35" s="51"/>
      <c r="F35" s="52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4.25" customHeight="1">
      <c r="B36" s="51"/>
      <c r="C36" s="51"/>
      <c r="D36" s="51"/>
      <c r="E36" s="51"/>
      <c r="F36" s="52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4.25" customHeight="1">
      <c r="B37" s="51"/>
      <c r="C37" s="51"/>
      <c r="D37" s="51"/>
      <c r="E37" s="51"/>
      <c r="F37" s="52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117" t="s">
        <v>24</v>
      </c>
      <c r="R37" s="2"/>
      <c r="S37" s="2"/>
      <c r="T37" s="2"/>
      <c r="U37" s="2"/>
      <c r="V37" s="2"/>
      <c r="W37" s="3"/>
      <c r="X37" s="51"/>
    </row>
    <row r="38" ht="39.0" customHeight="1">
      <c r="B38" s="29"/>
      <c r="C38" s="29"/>
      <c r="D38" s="29"/>
      <c r="E38" s="29"/>
      <c r="F38" s="118"/>
      <c r="G38" s="29"/>
      <c r="H38" s="29"/>
      <c r="I38" s="29"/>
      <c r="J38" s="29"/>
      <c r="K38" s="29"/>
      <c r="L38" s="29"/>
      <c r="M38" s="119" t="s">
        <v>25</v>
      </c>
      <c r="N38" s="29"/>
      <c r="O38" s="29"/>
      <c r="P38" s="29"/>
      <c r="Q38" s="120"/>
      <c r="R38" s="9"/>
      <c r="S38" s="9"/>
      <c r="T38" s="9"/>
      <c r="U38" s="9"/>
      <c r="V38" s="9"/>
      <c r="W38" s="10"/>
      <c r="X38" s="29"/>
    </row>
    <row r="39" ht="14.25" customHeight="1">
      <c r="B39" s="29"/>
      <c r="C39" s="29"/>
      <c r="D39" s="29"/>
      <c r="E39" s="29"/>
      <c r="F39" s="11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121" t="s">
        <v>26</v>
      </c>
      <c r="X39" s="29"/>
    </row>
    <row r="40" ht="81.0" customHeight="1">
      <c r="B40" s="122" t="s">
        <v>27</v>
      </c>
      <c r="X40" s="29"/>
    </row>
    <row r="41" ht="14.25" customHeight="1">
      <c r="B41" s="123" t="s">
        <v>28</v>
      </c>
      <c r="X41" s="29"/>
    </row>
    <row r="42" ht="14.25" customHeight="1">
      <c r="B42" s="123" t="s">
        <v>29</v>
      </c>
      <c r="X42" s="29"/>
    </row>
    <row r="43" ht="14.25" customHeight="1">
      <c r="B43" s="123" t="s">
        <v>30</v>
      </c>
      <c r="X43" s="29"/>
    </row>
  </sheetData>
  <mergeCells count="80">
    <mergeCell ref="C16:L16"/>
    <mergeCell ref="C17:L17"/>
    <mergeCell ref="C18:L18"/>
    <mergeCell ref="C19:L19"/>
    <mergeCell ref="C20:L20"/>
    <mergeCell ref="C21:L21"/>
    <mergeCell ref="C22:L22"/>
    <mergeCell ref="Q26:S27"/>
    <mergeCell ref="Q28:S28"/>
    <mergeCell ref="T28:W29"/>
    <mergeCell ref="Q37:W37"/>
    <mergeCell ref="Q38:W38"/>
    <mergeCell ref="Q39:W39"/>
    <mergeCell ref="C23:L23"/>
    <mergeCell ref="C24:L24"/>
    <mergeCell ref="B26:G26"/>
    <mergeCell ref="I26:O26"/>
    <mergeCell ref="T26:W27"/>
    <mergeCell ref="B28:G28"/>
    <mergeCell ref="I28:O28"/>
    <mergeCell ref="B33:J33"/>
    <mergeCell ref="B40:W40"/>
    <mergeCell ref="B41:W41"/>
    <mergeCell ref="B42:W42"/>
    <mergeCell ref="B43:W43"/>
    <mergeCell ref="B30:G30"/>
    <mergeCell ref="I30:O30"/>
    <mergeCell ref="Q30:S30"/>
    <mergeCell ref="T30:W30"/>
    <mergeCell ref="K33:O33"/>
    <mergeCell ref="Q33:R33"/>
    <mergeCell ref="S33:W33"/>
    <mergeCell ref="B1:D3"/>
    <mergeCell ref="E1:V2"/>
    <mergeCell ref="E3:M3"/>
    <mergeCell ref="N3:W3"/>
    <mergeCell ref="F5:O5"/>
    <mergeCell ref="Q5:S5"/>
    <mergeCell ref="U5:X5"/>
    <mergeCell ref="A5:D5"/>
    <mergeCell ref="B8:D8"/>
    <mergeCell ref="F8:O8"/>
    <mergeCell ref="Q8:S8"/>
    <mergeCell ref="U8:W8"/>
    <mergeCell ref="B11:W11"/>
    <mergeCell ref="C13:L13"/>
    <mergeCell ref="T13:W13"/>
    <mergeCell ref="M13:P13"/>
    <mergeCell ref="Q13:S13"/>
    <mergeCell ref="C15:L15"/>
    <mergeCell ref="M15:P15"/>
    <mergeCell ref="Q15:S15"/>
    <mergeCell ref="T15:W15"/>
    <mergeCell ref="T16:W16"/>
    <mergeCell ref="M16:P16"/>
    <mergeCell ref="Q16:S16"/>
    <mergeCell ref="M17:P17"/>
    <mergeCell ref="Q17:S17"/>
    <mergeCell ref="T17:W17"/>
    <mergeCell ref="Q18:S18"/>
    <mergeCell ref="T18:W18"/>
    <mergeCell ref="M18:P18"/>
    <mergeCell ref="M19:P19"/>
    <mergeCell ref="Q19:S19"/>
    <mergeCell ref="T19:W19"/>
    <mergeCell ref="M20:P20"/>
    <mergeCell ref="Q20:S20"/>
    <mergeCell ref="T20:W20"/>
    <mergeCell ref="Q23:S23"/>
    <mergeCell ref="T23:W23"/>
    <mergeCell ref="M24:P24"/>
    <mergeCell ref="Q24:S24"/>
    <mergeCell ref="T24:W24"/>
    <mergeCell ref="M21:P21"/>
    <mergeCell ref="Q21:S21"/>
    <mergeCell ref="T21:W21"/>
    <mergeCell ref="M22:P22"/>
    <mergeCell ref="Q22:S22"/>
    <mergeCell ref="T22:W22"/>
    <mergeCell ref="M23:P23"/>
  </mergeCells>
  <dataValidations>
    <dataValidation type="list" allowBlank="1" showErrorMessage="1" sqref="F8">
      <formula1>'BASE '!$A$7:$A$670</formula1>
    </dataValidation>
    <dataValidation type="list" allowBlank="1" showErrorMessage="1" sqref="Q39">
      <formula1>"Ana Karina Gomez,Angie Carolina Rodriguez"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3" width="18.86"/>
    <col customWidth="1" min="4" max="4" width="23.14"/>
    <col customWidth="1" min="5" max="5" width="21.57"/>
    <col customWidth="1" min="6" max="6" width="16.57"/>
    <col customWidth="1" min="7" max="7" width="17.14"/>
    <col customWidth="1" min="8" max="8" width="14.57"/>
    <col customWidth="1" min="9" max="9" width="13.86"/>
    <col customWidth="1" min="10" max="10" width="15.57"/>
    <col customWidth="1" min="11" max="11" width="14.57"/>
    <col customWidth="1" min="12" max="12" width="10.43"/>
    <col customWidth="1" min="13" max="13" width="3.43"/>
    <col customWidth="1" min="14" max="27" width="14.57"/>
  </cols>
  <sheetData>
    <row r="1" ht="21.0" customHeight="1">
      <c r="A1" s="124"/>
      <c r="B1" s="125" t="s">
        <v>31</v>
      </c>
      <c r="C1" s="2"/>
      <c r="D1" s="2"/>
      <c r="E1" s="2"/>
      <c r="F1" s="2"/>
      <c r="G1" s="2"/>
      <c r="H1" s="2"/>
      <c r="I1" s="2"/>
      <c r="J1" s="2"/>
      <c r="K1" s="2"/>
      <c r="L1" s="3"/>
      <c r="M1" s="5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21.0" customHeight="1">
      <c r="A2" s="126"/>
      <c r="B2" s="8"/>
      <c r="C2" s="9"/>
      <c r="D2" s="9"/>
      <c r="E2" s="9"/>
      <c r="F2" s="9"/>
      <c r="G2" s="9"/>
      <c r="H2" s="9"/>
      <c r="I2" s="9"/>
      <c r="J2" s="9"/>
      <c r="K2" s="9"/>
      <c r="L2" s="10"/>
      <c r="M2" s="11" t="s">
        <v>2</v>
      </c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16.5" customHeight="1">
      <c r="A3" s="127"/>
      <c r="B3" s="128" t="s">
        <v>32</v>
      </c>
      <c r="C3" s="13"/>
      <c r="D3" s="13"/>
      <c r="E3" s="13"/>
      <c r="F3" s="14"/>
      <c r="G3" s="128" t="s">
        <v>4</v>
      </c>
      <c r="H3" s="13"/>
      <c r="I3" s="13"/>
      <c r="J3" s="13"/>
      <c r="K3" s="13"/>
      <c r="L3" s="13"/>
      <c r="M3" s="14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16.5" customHeight="1">
      <c r="A4" s="51"/>
      <c r="B4" s="51"/>
      <c r="C4" s="129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22.5" customHeight="1">
      <c r="A5" s="130" t="s">
        <v>33</v>
      </c>
      <c r="B5" s="131"/>
      <c r="C5" s="132" t="s">
        <v>7</v>
      </c>
      <c r="D5" s="133" t="s">
        <v>34</v>
      </c>
      <c r="E5" s="133" t="s">
        <v>35</v>
      </c>
      <c r="F5" s="133" t="s">
        <v>36</v>
      </c>
      <c r="G5" s="133" t="s">
        <v>37</v>
      </c>
      <c r="H5" s="134" t="s">
        <v>38</v>
      </c>
      <c r="I5" s="135" t="s">
        <v>39</v>
      </c>
      <c r="J5" s="136" t="s">
        <v>40</v>
      </c>
      <c r="K5" s="137"/>
      <c r="L5" s="137"/>
      <c r="M5" s="138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15.75" customHeight="1">
      <c r="A6" s="139"/>
      <c r="B6" s="140"/>
      <c r="C6" s="141"/>
      <c r="D6" s="141"/>
      <c r="E6" s="141"/>
      <c r="F6" s="141"/>
      <c r="G6" s="141"/>
      <c r="H6" s="142"/>
      <c r="I6" s="143"/>
      <c r="J6" s="144">
        <v>2024.0</v>
      </c>
      <c r="K6" s="145">
        <v>2025.0</v>
      </c>
      <c r="L6" s="146">
        <v>2026.0</v>
      </c>
      <c r="M6" s="147"/>
      <c r="N6" s="148"/>
      <c r="O6" s="89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18.75" customHeight="1">
      <c r="A7" s="149" t="s">
        <v>41</v>
      </c>
      <c r="C7" s="150" t="s">
        <v>42</v>
      </c>
      <c r="D7" s="151" t="s">
        <v>43</v>
      </c>
      <c r="E7" s="151" t="s">
        <v>44</v>
      </c>
      <c r="F7" s="151" t="s">
        <v>45</v>
      </c>
      <c r="G7" s="151" t="s">
        <v>46</v>
      </c>
      <c r="H7" s="152">
        <v>3.205219254E9</v>
      </c>
      <c r="I7" s="153"/>
      <c r="J7" s="154"/>
      <c r="K7" s="155"/>
      <c r="L7" s="155"/>
      <c r="M7" s="156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18.75" customHeight="1">
      <c r="A8" s="149" t="s">
        <v>47</v>
      </c>
      <c r="C8" s="150" t="s">
        <v>48</v>
      </c>
      <c r="D8" s="151" t="s">
        <v>49</v>
      </c>
      <c r="E8" s="151" t="s">
        <v>50</v>
      </c>
      <c r="F8" s="151"/>
      <c r="G8" s="151" t="s">
        <v>51</v>
      </c>
      <c r="H8" s="152">
        <v>3.213045707E9</v>
      </c>
      <c r="I8" s="153"/>
      <c r="J8" s="154"/>
      <c r="K8" s="155"/>
      <c r="L8" s="155"/>
      <c r="M8" s="156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18.75" customHeight="1">
      <c r="A9" s="149" t="s">
        <v>52</v>
      </c>
      <c r="C9" s="150" t="s">
        <v>53</v>
      </c>
      <c r="D9" s="151" t="s">
        <v>54</v>
      </c>
      <c r="E9" s="151" t="s">
        <v>55</v>
      </c>
      <c r="F9" s="151" t="s">
        <v>56</v>
      </c>
      <c r="G9" s="151" t="s">
        <v>57</v>
      </c>
      <c r="H9" s="152" t="s">
        <v>58</v>
      </c>
      <c r="I9" s="153"/>
      <c r="J9" s="154"/>
      <c r="K9" s="155"/>
      <c r="L9" s="155"/>
      <c r="M9" s="156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18.75" customHeight="1">
      <c r="A10" s="149" t="s">
        <v>59</v>
      </c>
      <c r="C10" s="150" t="s">
        <v>60</v>
      </c>
      <c r="D10" s="151" t="s">
        <v>61</v>
      </c>
      <c r="E10" s="151" t="s">
        <v>62</v>
      </c>
      <c r="F10" s="151" t="s">
        <v>56</v>
      </c>
      <c r="G10" s="151" t="s">
        <v>63</v>
      </c>
      <c r="H10" s="152" t="s">
        <v>64</v>
      </c>
      <c r="I10" s="153"/>
      <c r="J10" s="154"/>
      <c r="K10" s="155"/>
      <c r="L10" s="155"/>
      <c r="M10" s="156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18.75" customHeight="1">
      <c r="A11" s="149" t="s">
        <v>65</v>
      </c>
      <c r="C11" s="150" t="s">
        <v>66</v>
      </c>
      <c r="D11" s="151" t="s">
        <v>67</v>
      </c>
      <c r="E11" s="151" t="s">
        <v>68</v>
      </c>
      <c r="F11" s="151" t="s">
        <v>56</v>
      </c>
      <c r="G11" s="151" t="s">
        <v>69</v>
      </c>
      <c r="H11" s="152">
        <v>3.153921228E9</v>
      </c>
      <c r="I11" s="153"/>
      <c r="J11" s="154"/>
      <c r="K11" s="155"/>
      <c r="L11" s="155"/>
      <c r="M11" s="156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22.5" customHeight="1">
      <c r="A12" s="157" t="s">
        <v>70</v>
      </c>
      <c r="B12" s="140"/>
      <c r="C12" s="158" t="s">
        <v>71</v>
      </c>
      <c r="D12" s="159" t="s">
        <v>72</v>
      </c>
      <c r="E12" s="159" t="s">
        <v>73</v>
      </c>
      <c r="F12" s="159" t="s">
        <v>74</v>
      </c>
      <c r="G12" s="159" t="s">
        <v>75</v>
      </c>
      <c r="H12" s="160">
        <v>3.176652057E9</v>
      </c>
      <c r="I12" s="153"/>
      <c r="J12" s="154"/>
      <c r="K12" s="155"/>
      <c r="L12" s="155"/>
      <c r="M12" s="156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22.5" customHeight="1">
      <c r="A13" s="157" t="s">
        <v>76</v>
      </c>
      <c r="B13" s="140"/>
      <c r="C13" s="158" t="s">
        <v>77</v>
      </c>
      <c r="D13" s="159" t="s">
        <v>78</v>
      </c>
      <c r="E13" s="159" t="s">
        <v>79</v>
      </c>
      <c r="F13" s="159" t="s">
        <v>80</v>
      </c>
      <c r="G13" s="159" t="s">
        <v>81</v>
      </c>
      <c r="H13" s="159">
        <v>3.024395677E9</v>
      </c>
      <c r="I13" s="153"/>
      <c r="J13" s="154"/>
      <c r="K13" s="155"/>
      <c r="L13" s="155"/>
      <c r="M13" s="156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23.25" customHeight="1">
      <c r="A14" s="157" t="s">
        <v>82</v>
      </c>
      <c r="B14" s="140"/>
      <c r="C14" s="158" t="s">
        <v>83</v>
      </c>
      <c r="D14" s="159" t="s">
        <v>84</v>
      </c>
      <c r="E14" s="159" t="s">
        <v>85</v>
      </c>
      <c r="F14" s="159" t="s">
        <v>86</v>
      </c>
      <c r="G14" s="159" t="s">
        <v>87</v>
      </c>
      <c r="H14" s="160">
        <v>3.158562017E9</v>
      </c>
      <c r="I14" s="153"/>
      <c r="J14" s="154"/>
      <c r="K14" s="155"/>
      <c r="L14" s="155"/>
      <c r="M14" s="156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23.25" customHeight="1">
      <c r="A15" s="157" t="s">
        <v>88</v>
      </c>
      <c r="B15" s="140"/>
      <c r="C15" s="158" t="s">
        <v>89</v>
      </c>
      <c r="D15" s="159" t="s">
        <v>90</v>
      </c>
      <c r="E15" s="159" t="s">
        <v>91</v>
      </c>
      <c r="F15" s="159" t="s">
        <v>92</v>
      </c>
      <c r="G15" s="159" t="s">
        <v>93</v>
      </c>
      <c r="H15" s="160">
        <v>3.166380019E9</v>
      </c>
      <c r="I15" s="153"/>
      <c r="J15" s="154"/>
      <c r="K15" s="155"/>
      <c r="L15" s="155"/>
      <c r="M15" s="156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21.0" customHeight="1">
      <c r="A16" s="157" t="s">
        <v>94</v>
      </c>
      <c r="B16" s="140"/>
      <c r="C16" s="158" t="s">
        <v>95</v>
      </c>
      <c r="D16" s="159" t="s">
        <v>96</v>
      </c>
      <c r="E16" s="159" t="s">
        <v>97</v>
      </c>
      <c r="F16" s="159" t="s">
        <v>98</v>
      </c>
      <c r="G16" s="159" t="s">
        <v>99</v>
      </c>
      <c r="H16" s="160">
        <v>3.145713424E9</v>
      </c>
      <c r="I16" s="153"/>
      <c r="J16" s="154"/>
      <c r="K16" s="155"/>
      <c r="L16" s="155"/>
      <c r="M16" s="156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ht="24.0" customHeight="1">
      <c r="A17" s="157" t="s">
        <v>100</v>
      </c>
      <c r="B17" s="140"/>
      <c r="C17" s="158" t="s">
        <v>101</v>
      </c>
      <c r="D17" s="159" t="s">
        <v>102</v>
      </c>
      <c r="E17" s="159" t="s">
        <v>103</v>
      </c>
      <c r="F17" s="159" t="s">
        <v>104</v>
      </c>
      <c r="G17" s="159" t="s">
        <v>105</v>
      </c>
      <c r="H17" s="160">
        <v>3.175852934E9</v>
      </c>
      <c r="I17" s="153"/>
      <c r="J17" s="154"/>
      <c r="K17" s="155"/>
      <c r="L17" s="155"/>
      <c r="M17" s="156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ht="22.5" customHeight="1">
      <c r="A18" s="157" t="s">
        <v>106</v>
      </c>
      <c r="B18" s="140"/>
      <c r="C18" s="158" t="s">
        <v>107</v>
      </c>
      <c r="D18" s="159" t="s">
        <v>108</v>
      </c>
      <c r="E18" s="159" t="s">
        <v>109</v>
      </c>
      <c r="F18" s="159" t="s">
        <v>104</v>
      </c>
      <c r="G18" s="159" t="s">
        <v>110</v>
      </c>
      <c r="H18" s="160">
        <v>3.205782777E9</v>
      </c>
      <c r="I18" s="153"/>
      <c r="J18" s="154"/>
      <c r="K18" s="155"/>
      <c r="L18" s="155"/>
      <c r="M18" s="156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ht="25.5" customHeight="1">
      <c r="A19" s="161" t="s">
        <v>106</v>
      </c>
      <c r="B19" s="140"/>
      <c r="C19" s="162" t="s">
        <v>107</v>
      </c>
      <c r="D19" s="163" t="s">
        <v>108</v>
      </c>
      <c r="E19" s="164" t="s">
        <v>109</v>
      </c>
      <c r="F19" s="164" t="s">
        <v>104</v>
      </c>
      <c r="G19" s="164" t="s">
        <v>110</v>
      </c>
      <c r="H19" s="165">
        <v>3.205782777E9</v>
      </c>
      <c r="I19" s="153"/>
      <c r="J19" s="154"/>
      <c r="K19" s="155"/>
      <c r="L19" s="155"/>
      <c r="M19" s="156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ht="18.75" customHeight="1">
      <c r="A20" s="157" t="s">
        <v>111</v>
      </c>
      <c r="B20" s="140"/>
      <c r="C20" s="158" t="s">
        <v>112</v>
      </c>
      <c r="D20" s="159" t="s">
        <v>113</v>
      </c>
      <c r="E20" s="159" t="s">
        <v>114</v>
      </c>
      <c r="F20" s="159" t="s">
        <v>115</v>
      </c>
      <c r="G20" s="159" t="s">
        <v>116</v>
      </c>
      <c r="H20" s="160">
        <v>3.137666095E9</v>
      </c>
      <c r="I20" s="153"/>
      <c r="J20" s="154"/>
      <c r="K20" s="155"/>
      <c r="L20" s="155"/>
      <c r="M20" s="156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ht="18.75" customHeight="1">
      <c r="A21" s="157" t="s">
        <v>117</v>
      </c>
      <c r="B21" s="140"/>
      <c r="C21" s="158" t="s">
        <v>118</v>
      </c>
      <c r="D21" s="159" t="s">
        <v>119</v>
      </c>
      <c r="E21" s="159" t="s">
        <v>120</v>
      </c>
      <c r="F21" s="159" t="s">
        <v>104</v>
      </c>
      <c r="G21" s="159" t="s">
        <v>121</v>
      </c>
      <c r="H21" s="160">
        <v>3.17575249E9</v>
      </c>
      <c r="I21" s="153"/>
      <c r="J21" s="154"/>
      <c r="K21" s="155"/>
      <c r="L21" s="155"/>
      <c r="M21" s="156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ht="18.75" customHeight="1">
      <c r="A22" s="157" t="s">
        <v>122</v>
      </c>
      <c r="B22" s="140"/>
      <c r="C22" s="158" t="s">
        <v>123</v>
      </c>
      <c r="D22" s="159" t="s">
        <v>124</v>
      </c>
      <c r="E22" s="159" t="s">
        <v>125</v>
      </c>
      <c r="F22" s="159" t="s">
        <v>126</v>
      </c>
      <c r="G22" s="159" t="s">
        <v>127</v>
      </c>
      <c r="H22" s="160">
        <v>3.176594379E9</v>
      </c>
      <c r="I22" s="153"/>
      <c r="J22" s="154"/>
      <c r="K22" s="155"/>
      <c r="L22" s="155"/>
      <c r="M22" s="156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ht="18.75" customHeight="1">
      <c r="A23" s="157" t="s">
        <v>128</v>
      </c>
      <c r="B23" s="140"/>
      <c r="C23" s="158" t="s">
        <v>129</v>
      </c>
      <c r="D23" s="159" t="s">
        <v>130</v>
      </c>
      <c r="E23" s="159" t="s">
        <v>131</v>
      </c>
      <c r="F23" s="159" t="s">
        <v>56</v>
      </c>
      <c r="G23" s="159" t="s">
        <v>132</v>
      </c>
      <c r="H23" s="160">
        <v>3.146366456E9</v>
      </c>
      <c r="I23" s="153"/>
      <c r="J23" s="154"/>
      <c r="K23" s="155"/>
      <c r="L23" s="155"/>
      <c r="M23" s="156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ht="18.75" customHeight="1">
      <c r="A24" s="157" t="s">
        <v>133</v>
      </c>
      <c r="B24" s="140"/>
      <c r="C24" s="158" t="s">
        <v>134</v>
      </c>
      <c r="D24" s="159" t="s">
        <v>72</v>
      </c>
      <c r="E24" s="159" t="s">
        <v>135</v>
      </c>
      <c r="F24" s="159" t="s">
        <v>136</v>
      </c>
      <c r="G24" s="159" t="s">
        <v>137</v>
      </c>
      <c r="H24" s="160">
        <v>3.16742194E9</v>
      </c>
      <c r="I24" s="153"/>
      <c r="J24" s="154"/>
      <c r="K24" s="155"/>
      <c r="L24" s="155"/>
      <c r="M24" s="156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18.75" customHeight="1">
      <c r="A25" s="157" t="s">
        <v>138</v>
      </c>
      <c r="B25" s="140"/>
      <c r="C25" s="158" t="s">
        <v>139</v>
      </c>
      <c r="D25" s="159" t="s">
        <v>140</v>
      </c>
      <c r="E25" s="159" t="s">
        <v>141</v>
      </c>
      <c r="F25" s="159" t="s">
        <v>104</v>
      </c>
      <c r="G25" s="159" t="s">
        <v>142</v>
      </c>
      <c r="H25" s="160">
        <v>3.023438336E9</v>
      </c>
      <c r="I25" s="153"/>
      <c r="J25" s="154"/>
      <c r="K25" s="155"/>
      <c r="L25" s="155"/>
      <c r="M25" s="156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18.75" customHeight="1">
      <c r="A26" s="157" t="s">
        <v>10</v>
      </c>
      <c r="B26" s="140"/>
      <c r="C26" s="158" t="s">
        <v>143</v>
      </c>
      <c r="D26" s="159" t="s">
        <v>78</v>
      </c>
      <c r="E26" s="159" t="s">
        <v>144</v>
      </c>
      <c r="F26" s="159" t="s">
        <v>145</v>
      </c>
      <c r="G26" s="159" t="s">
        <v>146</v>
      </c>
      <c r="H26" s="160">
        <v>3.234651959E9</v>
      </c>
      <c r="I26" s="153"/>
      <c r="J26" s="154"/>
      <c r="K26" s="155"/>
      <c r="L26" s="155"/>
      <c r="M26" s="156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18.75" customHeight="1">
      <c r="A27" s="166"/>
      <c r="B27" s="140"/>
      <c r="C27" s="167"/>
      <c r="D27" s="168"/>
      <c r="E27" s="168"/>
      <c r="F27" s="168"/>
      <c r="G27" s="168"/>
      <c r="H27" s="169"/>
      <c r="I27" s="153"/>
      <c r="J27" s="154"/>
      <c r="K27" s="155"/>
      <c r="L27" s="155"/>
      <c r="M27" s="156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18.75" customHeight="1">
      <c r="A28" s="166"/>
      <c r="B28" s="140"/>
      <c r="C28" s="167"/>
      <c r="D28" s="168"/>
      <c r="E28" s="168"/>
      <c r="F28" s="168"/>
      <c r="G28" s="168"/>
      <c r="H28" s="169"/>
      <c r="I28" s="153"/>
      <c r="J28" s="154"/>
      <c r="K28" s="155"/>
      <c r="L28" s="155"/>
      <c r="M28" s="156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18.75" customHeight="1">
      <c r="A29" s="166"/>
      <c r="B29" s="140"/>
      <c r="C29" s="167"/>
      <c r="D29" s="168"/>
      <c r="E29" s="168"/>
      <c r="F29" s="168"/>
      <c r="G29" s="168"/>
      <c r="H29" s="169"/>
      <c r="I29" s="153"/>
      <c r="J29" s="154"/>
      <c r="K29" s="155"/>
      <c r="L29" s="155"/>
      <c r="M29" s="156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18.75" customHeight="1">
      <c r="A30" s="166"/>
      <c r="B30" s="140"/>
      <c r="C30" s="167"/>
      <c r="D30" s="168"/>
      <c r="E30" s="168"/>
      <c r="F30" s="168"/>
      <c r="G30" s="168"/>
      <c r="H30" s="169"/>
      <c r="I30" s="153"/>
      <c r="J30" s="154"/>
      <c r="K30" s="155"/>
      <c r="L30" s="155"/>
      <c r="M30" s="156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18.75" customHeight="1">
      <c r="A31" s="166"/>
      <c r="B31" s="140"/>
      <c r="C31" s="167"/>
      <c r="D31" s="168"/>
      <c r="E31" s="168"/>
      <c r="F31" s="168"/>
      <c r="G31" s="168"/>
      <c r="H31" s="169"/>
      <c r="I31" s="153"/>
      <c r="J31" s="154"/>
      <c r="K31" s="155"/>
      <c r="L31" s="155"/>
      <c r="M31" s="156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18.75" customHeight="1">
      <c r="A32" s="166"/>
      <c r="B32" s="140"/>
      <c r="C32" s="167"/>
      <c r="D32" s="168"/>
      <c r="E32" s="168"/>
      <c r="F32" s="168"/>
      <c r="G32" s="168"/>
      <c r="H32" s="169"/>
      <c r="I32" s="153"/>
      <c r="J32" s="154"/>
      <c r="K32" s="155"/>
      <c r="L32" s="155"/>
      <c r="M32" s="156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18.75" customHeight="1">
      <c r="A33" s="166"/>
      <c r="B33" s="140"/>
      <c r="C33" s="167"/>
      <c r="D33" s="168"/>
      <c r="E33" s="168"/>
      <c r="F33" s="168"/>
      <c r="G33" s="168"/>
      <c r="H33" s="169"/>
      <c r="I33" s="153"/>
      <c r="J33" s="154"/>
      <c r="K33" s="155"/>
      <c r="L33" s="155"/>
      <c r="M33" s="156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18.75" customHeight="1">
      <c r="A34" s="166"/>
      <c r="B34" s="140"/>
      <c r="C34" s="167"/>
      <c r="D34" s="168"/>
      <c r="E34" s="168"/>
      <c r="F34" s="168"/>
      <c r="G34" s="168"/>
      <c r="H34" s="169"/>
      <c r="I34" s="153"/>
      <c r="J34" s="154"/>
      <c r="K34" s="155"/>
      <c r="L34" s="155"/>
      <c r="M34" s="156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18.75" customHeight="1">
      <c r="A35" s="166"/>
      <c r="B35" s="140"/>
      <c r="C35" s="167"/>
      <c r="D35" s="168"/>
      <c r="E35" s="168"/>
      <c r="F35" s="168"/>
      <c r="G35" s="168"/>
      <c r="H35" s="169"/>
      <c r="I35" s="153"/>
      <c r="J35" s="154"/>
      <c r="K35" s="155"/>
      <c r="L35" s="155"/>
      <c r="M35" s="156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18.75" customHeight="1">
      <c r="A36" s="166"/>
      <c r="B36" s="140"/>
      <c r="C36" s="167"/>
      <c r="D36" s="168"/>
      <c r="E36" s="168"/>
      <c r="F36" s="168"/>
      <c r="G36" s="168"/>
      <c r="H36" s="169"/>
      <c r="I36" s="153"/>
      <c r="J36" s="154"/>
      <c r="K36" s="155"/>
      <c r="L36" s="155"/>
      <c r="M36" s="156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18.75" customHeight="1">
      <c r="A37" s="166"/>
      <c r="B37" s="140"/>
      <c r="C37" s="167"/>
      <c r="D37" s="168"/>
      <c r="E37" s="168"/>
      <c r="F37" s="168"/>
      <c r="G37" s="168"/>
      <c r="H37" s="169"/>
      <c r="I37" s="153"/>
      <c r="J37" s="154"/>
      <c r="K37" s="155"/>
      <c r="L37" s="155"/>
      <c r="M37" s="156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18.75" customHeight="1">
      <c r="A38" s="166"/>
      <c r="B38" s="140"/>
      <c r="C38" s="167"/>
      <c r="D38" s="168"/>
      <c r="E38" s="168"/>
      <c r="F38" s="168"/>
      <c r="G38" s="168"/>
      <c r="H38" s="169"/>
      <c r="I38" s="153"/>
      <c r="J38" s="154"/>
      <c r="K38" s="155"/>
      <c r="L38" s="155"/>
      <c r="M38" s="156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8.75" customHeight="1">
      <c r="A39" s="166"/>
      <c r="B39" s="140"/>
      <c r="C39" s="167"/>
      <c r="D39" s="168"/>
      <c r="E39" s="168"/>
      <c r="F39" s="168"/>
      <c r="G39" s="168"/>
      <c r="H39" s="169"/>
      <c r="I39" s="153"/>
      <c r="J39" s="154"/>
      <c r="K39" s="155"/>
      <c r="L39" s="155"/>
      <c r="M39" s="156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8.75" customHeight="1">
      <c r="A40" s="166"/>
      <c r="B40" s="140"/>
      <c r="C40" s="167"/>
      <c r="D40" s="168"/>
      <c r="E40" s="168"/>
      <c r="F40" s="168"/>
      <c r="G40" s="168"/>
      <c r="H40" s="169"/>
      <c r="I40" s="153"/>
      <c r="J40" s="154"/>
      <c r="K40" s="155"/>
      <c r="L40" s="155"/>
      <c r="M40" s="156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18.75" customHeight="1">
      <c r="A41" s="166"/>
      <c r="B41" s="140"/>
      <c r="C41" s="167"/>
      <c r="D41" s="168"/>
      <c r="E41" s="168"/>
      <c r="F41" s="168"/>
      <c r="G41" s="168"/>
      <c r="H41" s="169"/>
      <c r="I41" s="153"/>
      <c r="J41" s="154"/>
      <c r="K41" s="155"/>
      <c r="L41" s="155"/>
      <c r="M41" s="156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18.75" customHeight="1">
      <c r="A42" s="166"/>
      <c r="B42" s="140"/>
      <c r="C42" s="167"/>
      <c r="D42" s="168"/>
      <c r="E42" s="168"/>
      <c r="F42" s="168"/>
      <c r="G42" s="168"/>
      <c r="H42" s="169"/>
      <c r="I42" s="153"/>
      <c r="J42" s="154"/>
      <c r="K42" s="155"/>
      <c r="L42" s="155"/>
      <c r="M42" s="156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18.75" customHeight="1">
      <c r="A43" s="166"/>
      <c r="B43" s="140"/>
      <c r="C43" s="167"/>
      <c r="D43" s="168"/>
      <c r="E43" s="168"/>
      <c r="F43" s="168"/>
      <c r="G43" s="168"/>
      <c r="H43" s="169"/>
      <c r="I43" s="153"/>
      <c r="J43" s="154"/>
      <c r="K43" s="155"/>
      <c r="L43" s="155"/>
      <c r="M43" s="156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18.75" customHeight="1">
      <c r="A44" s="166"/>
      <c r="B44" s="140"/>
      <c r="C44" s="167"/>
      <c r="D44" s="168"/>
      <c r="E44" s="168"/>
      <c r="F44" s="168"/>
      <c r="G44" s="168"/>
      <c r="H44" s="169"/>
      <c r="I44" s="153"/>
      <c r="J44" s="154"/>
      <c r="K44" s="155"/>
      <c r="L44" s="155"/>
      <c r="M44" s="156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18.75" customHeight="1">
      <c r="A45" s="166"/>
      <c r="B45" s="140"/>
      <c r="C45" s="167"/>
      <c r="D45" s="168"/>
      <c r="E45" s="168"/>
      <c r="F45" s="168"/>
      <c r="G45" s="168"/>
      <c r="H45" s="169"/>
      <c r="I45" s="153"/>
      <c r="J45" s="154"/>
      <c r="K45" s="155"/>
      <c r="L45" s="155"/>
      <c r="M45" s="156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18.75" customHeight="1">
      <c r="A46" s="166"/>
      <c r="B46" s="140"/>
      <c r="C46" s="167"/>
      <c r="D46" s="168"/>
      <c r="E46" s="168"/>
      <c r="F46" s="168"/>
      <c r="G46" s="168"/>
      <c r="H46" s="169"/>
      <c r="I46" s="153"/>
      <c r="J46" s="154"/>
      <c r="K46" s="155"/>
      <c r="L46" s="155"/>
      <c r="M46" s="156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8.75" customHeight="1">
      <c r="A47" s="166"/>
      <c r="B47" s="140"/>
      <c r="C47" s="167"/>
      <c r="D47" s="168"/>
      <c r="E47" s="168"/>
      <c r="F47" s="168"/>
      <c r="G47" s="168"/>
      <c r="H47" s="169"/>
      <c r="I47" s="153"/>
      <c r="J47" s="154"/>
      <c r="K47" s="155"/>
      <c r="L47" s="155"/>
      <c r="M47" s="156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18.75" customHeight="1">
      <c r="A48" s="166"/>
      <c r="B48" s="140"/>
      <c r="C48" s="167"/>
      <c r="D48" s="168"/>
      <c r="E48" s="168"/>
      <c r="F48" s="168"/>
      <c r="G48" s="168"/>
      <c r="H48" s="169"/>
      <c r="I48" s="153"/>
      <c r="J48" s="154"/>
      <c r="K48" s="155"/>
      <c r="L48" s="155"/>
      <c r="M48" s="156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18.75" customHeight="1">
      <c r="A49" s="166"/>
      <c r="B49" s="140"/>
      <c r="C49" s="167"/>
      <c r="D49" s="168"/>
      <c r="E49" s="168"/>
      <c r="F49" s="168"/>
      <c r="G49" s="168"/>
      <c r="H49" s="169"/>
      <c r="I49" s="153"/>
      <c r="J49" s="154"/>
      <c r="K49" s="155"/>
      <c r="L49" s="155"/>
      <c r="M49" s="156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18.75" customHeight="1">
      <c r="A50" s="166"/>
      <c r="B50" s="140"/>
      <c r="C50" s="167"/>
      <c r="D50" s="168"/>
      <c r="E50" s="168"/>
      <c r="F50" s="168"/>
      <c r="G50" s="168"/>
      <c r="H50" s="169"/>
      <c r="I50" s="153"/>
      <c r="J50" s="154"/>
      <c r="K50" s="155"/>
      <c r="L50" s="155"/>
      <c r="M50" s="156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18.75" customHeight="1">
      <c r="A51" s="166"/>
      <c r="B51" s="140"/>
      <c r="C51" s="167"/>
      <c r="D51" s="168"/>
      <c r="E51" s="168"/>
      <c r="F51" s="168"/>
      <c r="G51" s="168"/>
      <c r="H51" s="169"/>
      <c r="I51" s="153"/>
      <c r="J51" s="154"/>
      <c r="K51" s="155"/>
      <c r="L51" s="155"/>
      <c r="M51" s="156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18.75" customHeight="1">
      <c r="A52" s="166"/>
      <c r="B52" s="140"/>
      <c r="C52" s="167"/>
      <c r="D52" s="168"/>
      <c r="E52" s="168"/>
      <c r="F52" s="168"/>
      <c r="G52" s="168"/>
      <c r="H52" s="169"/>
      <c r="I52" s="153"/>
      <c r="J52" s="154"/>
      <c r="K52" s="155"/>
      <c r="L52" s="155"/>
      <c r="M52" s="156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18.75" customHeight="1">
      <c r="A53" s="166"/>
      <c r="B53" s="140"/>
      <c r="C53" s="167"/>
      <c r="D53" s="168"/>
      <c r="E53" s="168"/>
      <c r="F53" s="168"/>
      <c r="G53" s="168"/>
      <c r="H53" s="169"/>
      <c r="I53" s="153"/>
      <c r="J53" s="154"/>
      <c r="K53" s="155"/>
      <c r="L53" s="155"/>
      <c r="M53" s="156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18.75" customHeight="1">
      <c r="A54" s="166"/>
      <c r="B54" s="140"/>
      <c r="C54" s="167"/>
      <c r="D54" s="168"/>
      <c r="E54" s="168"/>
      <c r="F54" s="168"/>
      <c r="G54" s="168"/>
      <c r="H54" s="169"/>
      <c r="I54" s="153"/>
      <c r="J54" s="154"/>
      <c r="K54" s="155"/>
      <c r="L54" s="155"/>
      <c r="M54" s="156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18.75" customHeight="1">
      <c r="A55" s="166"/>
      <c r="B55" s="140"/>
      <c r="C55" s="167"/>
      <c r="D55" s="168"/>
      <c r="E55" s="168"/>
      <c r="F55" s="168"/>
      <c r="G55" s="168"/>
      <c r="H55" s="169"/>
      <c r="I55" s="153"/>
      <c r="J55" s="154"/>
      <c r="K55" s="155"/>
      <c r="L55" s="155"/>
      <c r="M55" s="156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18.75" customHeight="1">
      <c r="A56" s="166"/>
      <c r="B56" s="140"/>
      <c r="C56" s="167"/>
      <c r="D56" s="168"/>
      <c r="E56" s="168"/>
      <c r="F56" s="168"/>
      <c r="G56" s="168"/>
      <c r="H56" s="169"/>
      <c r="I56" s="153"/>
      <c r="J56" s="154"/>
      <c r="K56" s="155"/>
      <c r="L56" s="155"/>
      <c r="M56" s="156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18.75" customHeight="1">
      <c r="A57" s="166"/>
      <c r="B57" s="140"/>
      <c r="C57" s="167"/>
      <c r="D57" s="168"/>
      <c r="E57" s="168"/>
      <c r="F57" s="168"/>
      <c r="G57" s="168"/>
      <c r="H57" s="169"/>
      <c r="I57" s="153"/>
      <c r="J57" s="154"/>
      <c r="K57" s="155"/>
      <c r="L57" s="155"/>
      <c r="M57" s="156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8.75" customHeight="1">
      <c r="A58" s="166"/>
      <c r="B58" s="140"/>
      <c r="C58" s="167"/>
      <c r="D58" s="168"/>
      <c r="E58" s="168"/>
      <c r="F58" s="168"/>
      <c r="G58" s="168"/>
      <c r="H58" s="169"/>
      <c r="I58" s="153"/>
      <c r="J58" s="154"/>
      <c r="K58" s="155"/>
      <c r="L58" s="155"/>
      <c r="M58" s="156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8.75" customHeight="1">
      <c r="A59" s="166"/>
      <c r="B59" s="140"/>
      <c r="C59" s="167"/>
      <c r="D59" s="168"/>
      <c r="E59" s="168"/>
      <c r="F59" s="168"/>
      <c r="G59" s="168"/>
      <c r="H59" s="169"/>
      <c r="I59" s="153"/>
      <c r="J59" s="154"/>
      <c r="K59" s="155"/>
      <c r="L59" s="155"/>
      <c r="M59" s="156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18.75" customHeight="1">
      <c r="A60" s="166"/>
      <c r="B60" s="140"/>
      <c r="C60" s="167"/>
      <c r="D60" s="168"/>
      <c r="E60" s="168"/>
      <c r="F60" s="168"/>
      <c r="G60" s="168"/>
      <c r="H60" s="169"/>
      <c r="I60" s="153"/>
      <c r="J60" s="154"/>
      <c r="K60" s="155"/>
      <c r="L60" s="155"/>
      <c r="M60" s="156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18.75" customHeight="1">
      <c r="A61" s="166"/>
      <c r="B61" s="140"/>
      <c r="C61" s="167"/>
      <c r="D61" s="168"/>
      <c r="E61" s="168"/>
      <c r="F61" s="168"/>
      <c r="G61" s="168"/>
      <c r="H61" s="169"/>
      <c r="I61" s="153"/>
      <c r="J61" s="154"/>
      <c r="K61" s="155"/>
      <c r="L61" s="155"/>
      <c r="M61" s="156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18.75" customHeight="1">
      <c r="A62" s="170"/>
      <c r="B62" s="171"/>
      <c r="C62" s="172"/>
      <c r="D62" s="173"/>
      <c r="E62" s="173"/>
      <c r="F62" s="173"/>
      <c r="G62" s="173"/>
      <c r="H62" s="174"/>
      <c r="I62" s="175"/>
      <c r="J62" s="176"/>
      <c r="K62" s="177"/>
      <c r="L62" s="177"/>
      <c r="M62" s="178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10.5" customHeight="1">
      <c r="A63" s="155"/>
      <c r="B63" s="155"/>
      <c r="C63" s="179"/>
      <c r="D63" s="155"/>
      <c r="E63" s="155"/>
      <c r="F63" s="155"/>
      <c r="G63" s="155"/>
      <c r="H63" s="155"/>
      <c r="I63" s="155"/>
      <c r="J63" s="155"/>
      <c r="K63" s="155"/>
      <c r="L63" s="155"/>
      <c r="M63" s="156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10.5" customHeight="1">
      <c r="A64" s="155"/>
      <c r="B64" s="155"/>
      <c r="C64" s="179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10.5" customHeight="1">
      <c r="A65" s="155"/>
      <c r="B65" s="155"/>
      <c r="C65" s="179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10.5" customHeight="1">
      <c r="A66" s="155"/>
      <c r="B66" s="155"/>
      <c r="C66" s="179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10.5" customHeight="1">
      <c r="A67" s="155"/>
      <c r="B67" s="155"/>
      <c r="C67" s="179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10.5" customHeight="1">
      <c r="A68" s="155"/>
      <c r="B68" s="155"/>
      <c r="C68" s="179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10.5" customHeight="1">
      <c r="A69" s="155"/>
      <c r="B69" s="155"/>
      <c r="C69" s="179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10.5" customHeight="1">
      <c r="A70" s="155"/>
      <c r="B70" s="155"/>
      <c r="C70" s="179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10.5" customHeight="1">
      <c r="A71" s="155"/>
      <c r="B71" s="155"/>
      <c r="C71" s="179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10.5" customHeight="1">
      <c r="A72" s="155"/>
      <c r="B72" s="155"/>
      <c r="C72" s="179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10.5" customHeight="1">
      <c r="A73" s="155"/>
      <c r="B73" s="155"/>
      <c r="C73" s="179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10.5" customHeight="1">
      <c r="A74" s="155"/>
      <c r="B74" s="155"/>
      <c r="C74" s="179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10.5" customHeight="1">
      <c r="A75" s="155"/>
      <c r="B75" s="155"/>
      <c r="C75" s="179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10.5" customHeight="1">
      <c r="A76" s="155"/>
      <c r="B76" s="155"/>
      <c r="C76" s="179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10.5" customHeight="1">
      <c r="A77" s="155"/>
      <c r="B77" s="155"/>
      <c r="C77" s="179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10.5" customHeight="1">
      <c r="A78" s="155"/>
      <c r="B78" s="155"/>
      <c r="C78" s="179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10.5" customHeight="1">
      <c r="A79" s="155"/>
      <c r="B79" s="155"/>
      <c r="C79" s="179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10.5" customHeight="1">
      <c r="A80" s="155"/>
      <c r="B80" s="155"/>
      <c r="C80" s="179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10.5" customHeight="1">
      <c r="A81" s="155"/>
      <c r="B81" s="155"/>
      <c r="C81" s="179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10.5" customHeight="1">
      <c r="A82" s="155"/>
      <c r="B82" s="155"/>
      <c r="C82" s="179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10.5" customHeight="1">
      <c r="A83" s="155"/>
      <c r="B83" s="155"/>
      <c r="C83" s="179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10.5" customHeight="1">
      <c r="A84" s="155"/>
      <c r="B84" s="155"/>
      <c r="C84" s="179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10.5" customHeight="1">
      <c r="A85" s="155"/>
      <c r="B85" s="155"/>
      <c r="C85" s="179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10.5" customHeight="1">
      <c r="A86" s="155"/>
      <c r="B86" s="155"/>
      <c r="C86" s="179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10.5" customHeight="1">
      <c r="A87" s="155"/>
      <c r="B87" s="155"/>
      <c r="C87" s="179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0.5" customHeight="1">
      <c r="A88" s="155"/>
      <c r="B88" s="155"/>
      <c r="C88" s="179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0.5" customHeight="1">
      <c r="A89" s="155"/>
      <c r="B89" s="155"/>
      <c r="C89" s="179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0.5" customHeight="1">
      <c r="A90" s="155"/>
      <c r="B90" s="155"/>
      <c r="C90" s="179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0.5" customHeight="1">
      <c r="A91" s="155"/>
      <c r="B91" s="155"/>
      <c r="C91" s="179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0.5" customHeight="1">
      <c r="A92" s="155"/>
      <c r="B92" s="155"/>
      <c r="C92" s="179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0.5" customHeight="1">
      <c r="A93" s="155"/>
      <c r="B93" s="155"/>
      <c r="C93" s="179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0.5" customHeight="1">
      <c r="A94" s="155"/>
      <c r="B94" s="155"/>
      <c r="C94" s="179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0.5" customHeight="1">
      <c r="A95" s="155"/>
      <c r="B95" s="155"/>
      <c r="C95" s="179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0.5" customHeight="1">
      <c r="A96" s="155"/>
      <c r="B96" s="155"/>
      <c r="C96" s="179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0.5" customHeight="1">
      <c r="A97" s="155"/>
      <c r="B97" s="155"/>
      <c r="C97" s="179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0.5" customHeight="1">
      <c r="A98" s="155"/>
      <c r="B98" s="155"/>
      <c r="C98" s="179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0.5" customHeight="1">
      <c r="A99" s="155"/>
      <c r="B99" s="155"/>
      <c r="C99" s="179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0.5" customHeight="1">
      <c r="A100" s="155"/>
      <c r="B100" s="155"/>
      <c r="C100" s="179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0.5" customHeight="1">
      <c r="A101" s="155"/>
      <c r="B101" s="155"/>
      <c r="C101" s="179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0.5" customHeight="1">
      <c r="A102" s="155"/>
      <c r="B102" s="155"/>
      <c r="C102" s="179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0.5" customHeight="1">
      <c r="A103" s="155"/>
      <c r="B103" s="155"/>
      <c r="C103" s="179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0.5" customHeight="1">
      <c r="A104" s="155"/>
      <c r="B104" s="155"/>
      <c r="C104" s="179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0.5" customHeight="1">
      <c r="A105" s="155"/>
      <c r="B105" s="155"/>
      <c r="C105" s="179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0.5" customHeight="1">
      <c r="A106" s="155"/>
      <c r="B106" s="155"/>
      <c r="C106" s="179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0.5" customHeight="1">
      <c r="A107" s="51"/>
      <c r="B107" s="51"/>
      <c r="C107" s="129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0.5" customHeight="1">
      <c r="A108" s="51"/>
      <c r="B108" s="51"/>
      <c r="C108" s="129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0.5" customHeight="1">
      <c r="A109" s="51"/>
      <c r="B109" s="51"/>
      <c r="C109" s="129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0.5" customHeight="1">
      <c r="A110" s="51"/>
      <c r="B110" s="51"/>
      <c r="C110" s="129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10.5" customHeight="1">
      <c r="A111" s="51"/>
      <c r="B111" s="51"/>
      <c r="C111" s="129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10.5" customHeight="1">
      <c r="A112" s="51"/>
      <c r="B112" s="51"/>
      <c r="C112" s="129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10.5" customHeight="1">
      <c r="A113" s="51"/>
      <c r="B113" s="51"/>
      <c r="C113" s="129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10.5" customHeight="1">
      <c r="A114" s="51"/>
      <c r="B114" s="51"/>
      <c r="C114" s="129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10.5" customHeight="1">
      <c r="A115" s="51"/>
      <c r="B115" s="51"/>
      <c r="C115" s="129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10.5" customHeight="1">
      <c r="A116" s="51"/>
      <c r="B116" s="51"/>
      <c r="C116" s="129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10.5" customHeight="1">
      <c r="A117" s="51"/>
      <c r="B117" s="51"/>
      <c r="C117" s="129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10.5" customHeight="1">
      <c r="A118" s="51"/>
      <c r="B118" s="51"/>
      <c r="C118" s="129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10.5" customHeight="1">
      <c r="A119" s="51"/>
      <c r="B119" s="51"/>
      <c r="C119" s="129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10.5" customHeight="1">
      <c r="A120" s="51"/>
      <c r="B120" s="51"/>
      <c r="C120" s="129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10.5" customHeight="1">
      <c r="A121" s="51"/>
      <c r="B121" s="51"/>
      <c r="C121" s="129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10.5" customHeight="1">
      <c r="A122" s="51"/>
      <c r="B122" s="51"/>
      <c r="C122" s="129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10.5" customHeight="1">
      <c r="A123" s="51"/>
      <c r="B123" s="51"/>
      <c r="C123" s="129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10.5" customHeight="1">
      <c r="A124" s="51"/>
      <c r="B124" s="51"/>
      <c r="C124" s="129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10.5" customHeight="1">
      <c r="A125" s="51"/>
      <c r="B125" s="51"/>
      <c r="C125" s="129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10.5" customHeight="1">
      <c r="A126" s="51"/>
      <c r="B126" s="51"/>
      <c r="C126" s="129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10.5" customHeight="1">
      <c r="A127" s="51"/>
      <c r="B127" s="51"/>
      <c r="C127" s="129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10.5" customHeight="1">
      <c r="A128" s="51"/>
      <c r="B128" s="51"/>
      <c r="C128" s="129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10.5" customHeight="1">
      <c r="A129" s="51"/>
      <c r="B129" s="51"/>
      <c r="C129" s="129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10.5" customHeight="1">
      <c r="A130" s="51"/>
      <c r="B130" s="51"/>
      <c r="C130" s="129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10.5" customHeight="1">
      <c r="A131" s="51"/>
      <c r="B131" s="51"/>
      <c r="C131" s="129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10.5" customHeight="1">
      <c r="A132" s="51"/>
      <c r="B132" s="51"/>
      <c r="C132" s="129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10.5" customHeight="1">
      <c r="A133" s="51"/>
      <c r="B133" s="51"/>
      <c r="C133" s="129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10.5" customHeight="1">
      <c r="A134" s="51"/>
      <c r="B134" s="51"/>
      <c r="C134" s="129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10.5" customHeight="1">
      <c r="A135" s="51"/>
      <c r="B135" s="51"/>
      <c r="C135" s="129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10.5" customHeight="1">
      <c r="A136" s="51"/>
      <c r="B136" s="51"/>
      <c r="C136" s="129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10.5" customHeight="1">
      <c r="A137" s="51"/>
      <c r="B137" s="51"/>
      <c r="C137" s="129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10.5" customHeight="1">
      <c r="A138" s="51"/>
      <c r="B138" s="51"/>
      <c r="C138" s="129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10.5" customHeight="1">
      <c r="A139" s="51"/>
      <c r="B139" s="51"/>
      <c r="C139" s="129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10.5" customHeight="1">
      <c r="A140" s="51"/>
      <c r="B140" s="51"/>
      <c r="C140" s="129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10.5" customHeight="1">
      <c r="A141" s="51"/>
      <c r="B141" s="51"/>
      <c r="C141" s="129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10.5" customHeight="1">
      <c r="A142" s="51"/>
      <c r="B142" s="51"/>
      <c r="C142" s="129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10.5" customHeight="1">
      <c r="A143" s="51"/>
      <c r="B143" s="51"/>
      <c r="C143" s="129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10.5" customHeight="1">
      <c r="A144" s="51"/>
      <c r="B144" s="51"/>
      <c r="C144" s="129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10.5" customHeight="1">
      <c r="A145" s="51"/>
      <c r="B145" s="51"/>
      <c r="C145" s="129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10.5" customHeight="1">
      <c r="A146" s="51"/>
      <c r="B146" s="51"/>
      <c r="C146" s="129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10.5" customHeight="1">
      <c r="A147" s="51"/>
      <c r="B147" s="51"/>
      <c r="C147" s="129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10.5" customHeight="1">
      <c r="A148" s="51"/>
      <c r="B148" s="51"/>
      <c r="C148" s="129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10.5" customHeight="1">
      <c r="A149" s="51"/>
      <c r="B149" s="51"/>
      <c r="C149" s="129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10.5" customHeight="1">
      <c r="A150" s="51"/>
      <c r="B150" s="51"/>
      <c r="C150" s="129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10.5" customHeight="1">
      <c r="A151" s="51"/>
      <c r="B151" s="51"/>
      <c r="C151" s="129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10.5" customHeight="1">
      <c r="A152" s="51"/>
      <c r="B152" s="51"/>
      <c r="C152" s="129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10.5" customHeight="1">
      <c r="A153" s="51"/>
      <c r="B153" s="51"/>
      <c r="C153" s="129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10.5" customHeight="1">
      <c r="A154" s="51"/>
      <c r="B154" s="51"/>
      <c r="C154" s="129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10.5" customHeight="1">
      <c r="A155" s="51"/>
      <c r="B155" s="51"/>
      <c r="C155" s="129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10.5" customHeight="1">
      <c r="A156" s="51"/>
      <c r="B156" s="51"/>
      <c r="C156" s="129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10.5" customHeight="1">
      <c r="A157" s="51"/>
      <c r="B157" s="51"/>
      <c r="C157" s="129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10.5" customHeight="1">
      <c r="A158" s="51"/>
      <c r="B158" s="51"/>
      <c r="C158" s="129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10.5" customHeight="1">
      <c r="A159" s="51"/>
      <c r="B159" s="51"/>
      <c r="C159" s="129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10.5" customHeight="1">
      <c r="A160" s="51"/>
      <c r="B160" s="51"/>
      <c r="C160" s="129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10.5" customHeight="1">
      <c r="A161" s="51"/>
      <c r="B161" s="51"/>
      <c r="C161" s="129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0.5" customHeight="1">
      <c r="A162" s="51"/>
      <c r="B162" s="51"/>
      <c r="C162" s="129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0.5" customHeight="1">
      <c r="A163" s="51"/>
      <c r="B163" s="51"/>
      <c r="C163" s="129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0.5" customHeight="1">
      <c r="A164" s="51"/>
      <c r="B164" s="51"/>
      <c r="C164" s="129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0.5" customHeight="1">
      <c r="A165" s="51"/>
      <c r="B165" s="51"/>
      <c r="C165" s="129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0.5" customHeight="1">
      <c r="A166" s="51"/>
      <c r="B166" s="51"/>
      <c r="C166" s="129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0.5" customHeight="1">
      <c r="A167" s="51"/>
      <c r="B167" s="51"/>
      <c r="C167" s="129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0.5" customHeight="1">
      <c r="A168" s="51"/>
      <c r="B168" s="51"/>
      <c r="C168" s="129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0.5" customHeight="1">
      <c r="A169" s="51"/>
      <c r="B169" s="51"/>
      <c r="C169" s="129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0.5" customHeight="1">
      <c r="A170" s="51"/>
      <c r="B170" s="51"/>
      <c r="C170" s="129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0.5" customHeight="1">
      <c r="A171" s="51"/>
      <c r="B171" s="51"/>
      <c r="C171" s="129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0.5" customHeight="1">
      <c r="A172" s="51"/>
      <c r="B172" s="51"/>
      <c r="C172" s="129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0.5" customHeight="1">
      <c r="A173" s="51"/>
      <c r="B173" s="51"/>
      <c r="C173" s="129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0.5" customHeight="1">
      <c r="A174" s="51"/>
      <c r="B174" s="51"/>
      <c r="C174" s="129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0.5" customHeight="1">
      <c r="A175" s="51"/>
      <c r="B175" s="51"/>
      <c r="C175" s="129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0.5" customHeight="1">
      <c r="A176" s="51"/>
      <c r="B176" s="51"/>
      <c r="C176" s="129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0.5" customHeight="1">
      <c r="A177" s="51"/>
      <c r="B177" s="51"/>
      <c r="C177" s="129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0.5" customHeight="1">
      <c r="A178" s="51"/>
      <c r="B178" s="51"/>
      <c r="C178" s="129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0.5" customHeight="1">
      <c r="A179" s="51"/>
      <c r="B179" s="51"/>
      <c r="C179" s="129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0.5" customHeight="1">
      <c r="A180" s="51"/>
      <c r="B180" s="51"/>
      <c r="C180" s="129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0.5" customHeight="1">
      <c r="A181" s="51"/>
      <c r="B181" s="51"/>
      <c r="C181" s="129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0.5" customHeight="1">
      <c r="A182" s="51"/>
      <c r="B182" s="51"/>
      <c r="C182" s="129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0.5" customHeight="1">
      <c r="A183" s="51"/>
      <c r="B183" s="51"/>
      <c r="C183" s="129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0.5" customHeight="1">
      <c r="A184" s="51"/>
      <c r="B184" s="51"/>
      <c r="C184" s="129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0.5" customHeight="1">
      <c r="A185" s="51"/>
      <c r="B185" s="51"/>
      <c r="C185" s="129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0.5" customHeight="1">
      <c r="A186" s="51"/>
      <c r="B186" s="51"/>
      <c r="C186" s="129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0.5" customHeight="1">
      <c r="A187" s="51"/>
      <c r="B187" s="51"/>
      <c r="C187" s="129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0.5" customHeight="1">
      <c r="A188" s="51"/>
      <c r="B188" s="51"/>
      <c r="C188" s="129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0.5" customHeight="1">
      <c r="A189" s="51"/>
      <c r="B189" s="51"/>
      <c r="C189" s="129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0.5" customHeight="1">
      <c r="A190" s="51"/>
      <c r="B190" s="51"/>
      <c r="C190" s="129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0.5" customHeight="1">
      <c r="A191" s="51"/>
      <c r="B191" s="51"/>
      <c r="C191" s="129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0.5" customHeight="1">
      <c r="A192" s="51"/>
      <c r="B192" s="51"/>
      <c r="C192" s="129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0.5" customHeight="1">
      <c r="A193" s="51"/>
      <c r="B193" s="51"/>
      <c r="C193" s="129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0.5" customHeight="1">
      <c r="A194" s="51"/>
      <c r="B194" s="51"/>
      <c r="C194" s="129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0.5" customHeight="1">
      <c r="A195" s="51"/>
      <c r="B195" s="51"/>
      <c r="C195" s="129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0.5" customHeight="1">
      <c r="A196" s="51"/>
      <c r="B196" s="51"/>
      <c r="C196" s="129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0.5" customHeight="1">
      <c r="A197" s="51"/>
      <c r="B197" s="51"/>
      <c r="C197" s="129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0.5" customHeight="1">
      <c r="A198" s="51"/>
      <c r="B198" s="51"/>
      <c r="C198" s="129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0.5" customHeight="1">
      <c r="A199" s="51"/>
      <c r="B199" s="51"/>
      <c r="C199" s="129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10.5" customHeight="1">
      <c r="A200" s="51"/>
      <c r="B200" s="51"/>
      <c r="C200" s="129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10.5" customHeight="1">
      <c r="A201" s="51"/>
      <c r="B201" s="51"/>
      <c r="C201" s="129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10.5" customHeight="1">
      <c r="A202" s="51"/>
      <c r="B202" s="51"/>
      <c r="C202" s="129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10.5" customHeight="1">
      <c r="A203" s="51"/>
      <c r="B203" s="51"/>
      <c r="C203" s="129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10.5" customHeight="1">
      <c r="A204" s="51"/>
      <c r="B204" s="51"/>
      <c r="C204" s="129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10.5" customHeight="1">
      <c r="A205" s="51"/>
      <c r="B205" s="51"/>
      <c r="C205" s="129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10.5" customHeight="1">
      <c r="A206" s="51"/>
      <c r="B206" s="51"/>
      <c r="C206" s="129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10.5" customHeight="1">
      <c r="A207" s="51"/>
      <c r="B207" s="51"/>
      <c r="C207" s="129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10.5" customHeight="1">
      <c r="A208" s="51"/>
      <c r="B208" s="51"/>
      <c r="C208" s="129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10.5" customHeight="1">
      <c r="A209" s="51"/>
      <c r="B209" s="51"/>
      <c r="C209" s="129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10.5" customHeight="1">
      <c r="A210" s="51"/>
      <c r="B210" s="51"/>
      <c r="C210" s="129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10.5" customHeight="1">
      <c r="A211" s="51"/>
      <c r="B211" s="51"/>
      <c r="C211" s="129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10.5" customHeight="1">
      <c r="A212" s="51"/>
      <c r="B212" s="51"/>
      <c r="C212" s="129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10.5" customHeight="1">
      <c r="A213" s="51"/>
      <c r="B213" s="51"/>
      <c r="C213" s="129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10.5" customHeight="1">
      <c r="A214" s="51"/>
      <c r="B214" s="51"/>
      <c r="C214" s="129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10.5" customHeight="1">
      <c r="A215" s="51"/>
      <c r="B215" s="51"/>
      <c r="C215" s="129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10.5" customHeight="1">
      <c r="A216" s="51"/>
      <c r="B216" s="51"/>
      <c r="C216" s="129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10.5" customHeight="1">
      <c r="A217" s="51"/>
      <c r="B217" s="51"/>
      <c r="C217" s="129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10.5" customHeight="1">
      <c r="A218" s="51"/>
      <c r="B218" s="51"/>
      <c r="C218" s="129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10.5" customHeight="1">
      <c r="A219" s="51"/>
      <c r="B219" s="51"/>
      <c r="C219" s="129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15.75" customHeight="1">
      <c r="C220" s="180"/>
    </row>
    <row r="221" ht="15.75" customHeight="1">
      <c r="C221" s="180"/>
    </row>
    <row r="222" ht="15.75" customHeight="1">
      <c r="C222" s="180"/>
    </row>
    <row r="223" ht="15.75" customHeight="1">
      <c r="C223" s="180"/>
    </row>
    <row r="224" ht="15.75" customHeight="1">
      <c r="C224" s="180"/>
    </row>
    <row r="225" ht="15.75" customHeight="1">
      <c r="C225" s="180"/>
    </row>
    <row r="226" ht="15.75" customHeight="1">
      <c r="C226" s="180"/>
    </row>
    <row r="227" ht="15.75" customHeight="1">
      <c r="C227" s="180"/>
    </row>
    <row r="228" ht="15.75" customHeight="1">
      <c r="C228" s="180"/>
    </row>
    <row r="229" ht="15.75" customHeight="1">
      <c r="C229" s="180"/>
    </row>
    <row r="230" ht="15.75" customHeight="1">
      <c r="C230" s="180"/>
    </row>
    <row r="231" ht="15.75" customHeight="1">
      <c r="C231" s="180"/>
    </row>
    <row r="232" ht="15.75" customHeight="1">
      <c r="C232" s="180"/>
    </row>
    <row r="233" ht="15.75" customHeight="1">
      <c r="C233" s="180"/>
    </row>
    <row r="234" ht="15.75" customHeight="1">
      <c r="C234" s="180"/>
    </row>
    <row r="235" ht="15.75" customHeight="1">
      <c r="C235" s="180"/>
    </row>
    <row r="236" ht="15.75" customHeight="1">
      <c r="C236" s="180"/>
    </row>
    <row r="237" ht="15.75" customHeight="1">
      <c r="C237" s="180"/>
    </row>
    <row r="238" ht="15.75" customHeight="1">
      <c r="C238" s="180"/>
    </row>
    <row r="239" ht="15.75" customHeight="1">
      <c r="C239" s="180"/>
    </row>
    <row r="240" ht="15.75" customHeight="1">
      <c r="C240" s="180"/>
    </row>
    <row r="241" ht="15.75" customHeight="1">
      <c r="C241" s="180"/>
    </row>
    <row r="242" ht="15.75" customHeight="1">
      <c r="C242" s="180"/>
    </row>
    <row r="243" ht="15.75" customHeight="1">
      <c r="C243" s="180"/>
    </row>
    <row r="244" ht="15.75" customHeight="1">
      <c r="C244" s="180"/>
    </row>
    <row r="245" ht="15.75" customHeight="1">
      <c r="C245" s="180"/>
    </row>
    <row r="246" ht="15.75" customHeight="1">
      <c r="C246" s="180"/>
    </row>
    <row r="247" ht="15.75" customHeight="1">
      <c r="C247" s="180"/>
    </row>
    <row r="248" ht="15.75" customHeight="1">
      <c r="C248" s="180"/>
    </row>
    <row r="249" ht="15.75" customHeight="1">
      <c r="C249" s="180"/>
    </row>
    <row r="250" ht="15.75" customHeight="1">
      <c r="C250" s="180"/>
    </row>
    <row r="251" ht="15.75" customHeight="1">
      <c r="C251" s="180"/>
    </row>
    <row r="252" ht="15.75" customHeight="1">
      <c r="C252" s="180"/>
    </row>
    <row r="253" ht="15.75" customHeight="1">
      <c r="C253" s="180"/>
    </row>
    <row r="254" ht="15.75" customHeight="1">
      <c r="C254" s="180"/>
    </row>
    <row r="255" ht="15.75" customHeight="1">
      <c r="C255" s="180"/>
    </row>
    <row r="256" ht="15.75" customHeight="1">
      <c r="C256" s="180"/>
    </row>
    <row r="257" ht="15.75" customHeight="1">
      <c r="C257" s="180"/>
    </row>
    <row r="258" ht="15.75" customHeight="1">
      <c r="C258" s="180"/>
    </row>
    <row r="259" ht="15.75" customHeight="1">
      <c r="C259" s="180"/>
    </row>
    <row r="260" ht="15.75" customHeight="1">
      <c r="C260" s="180"/>
    </row>
    <row r="261" ht="15.75" customHeight="1">
      <c r="C261" s="180"/>
    </row>
    <row r="262" ht="15.75" customHeight="1">
      <c r="C262" s="180"/>
    </row>
    <row r="263" ht="15.75" customHeight="1">
      <c r="C263" s="180"/>
    </row>
    <row r="264" ht="15.75" customHeight="1">
      <c r="C264" s="180"/>
    </row>
    <row r="265" ht="15.75" customHeight="1">
      <c r="C265" s="180"/>
    </row>
    <row r="266" ht="15.75" customHeight="1">
      <c r="C266" s="180"/>
    </row>
    <row r="267" ht="15.75" customHeight="1">
      <c r="C267" s="180"/>
    </row>
    <row r="268" ht="15.75" customHeight="1">
      <c r="C268" s="180"/>
    </row>
    <row r="269" ht="15.75" customHeight="1">
      <c r="C269" s="180"/>
    </row>
    <row r="270" ht="15.75" customHeight="1">
      <c r="C270" s="180"/>
    </row>
    <row r="271" ht="15.75" customHeight="1">
      <c r="C271" s="180"/>
    </row>
    <row r="272" ht="15.75" customHeight="1">
      <c r="C272" s="180"/>
    </row>
    <row r="273" ht="15.75" customHeight="1">
      <c r="C273" s="180"/>
    </row>
    <row r="274" ht="15.75" customHeight="1">
      <c r="C274" s="180"/>
    </row>
    <row r="275" ht="15.75" customHeight="1">
      <c r="C275" s="180"/>
    </row>
    <row r="276" ht="15.75" customHeight="1">
      <c r="C276" s="180"/>
    </row>
    <row r="277" ht="15.75" customHeight="1">
      <c r="C277" s="180"/>
    </row>
    <row r="278" ht="15.75" customHeight="1">
      <c r="C278" s="180"/>
    </row>
    <row r="279" ht="15.75" customHeight="1">
      <c r="C279" s="180"/>
    </row>
    <row r="280" ht="15.75" customHeight="1">
      <c r="C280" s="180"/>
    </row>
    <row r="281" ht="15.75" customHeight="1">
      <c r="C281" s="180"/>
    </row>
    <row r="282" ht="15.75" customHeight="1">
      <c r="C282" s="180"/>
    </row>
    <row r="283" ht="15.75" customHeight="1">
      <c r="C283" s="180"/>
    </row>
    <row r="284" ht="15.75" customHeight="1">
      <c r="C284" s="180"/>
    </row>
    <row r="285" ht="15.75" customHeight="1">
      <c r="C285" s="180"/>
    </row>
    <row r="286" ht="15.75" customHeight="1">
      <c r="C286" s="180"/>
    </row>
    <row r="287" ht="15.75" customHeight="1">
      <c r="C287" s="180"/>
    </row>
    <row r="288" ht="15.75" customHeight="1">
      <c r="C288" s="180"/>
    </row>
    <row r="289" ht="15.75" customHeight="1">
      <c r="C289" s="180"/>
    </row>
    <row r="290" ht="15.75" customHeight="1">
      <c r="C290" s="180"/>
    </row>
    <row r="291" ht="15.75" customHeight="1">
      <c r="C291" s="180"/>
    </row>
    <row r="292" ht="15.75" customHeight="1">
      <c r="C292" s="180"/>
    </row>
    <row r="293" ht="15.75" customHeight="1">
      <c r="C293" s="180"/>
    </row>
    <row r="294" ht="15.75" customHeight="1">
      <c r="C294" s="180"/>
    </row>
    <row r="295" ht="15.75" customHeight="1">
      <c r="C295" s="180"/>
    </row>
    <row r="296" ht="15.75" customHeight="1">
      <c r="C296" s="180"/>
    </row>
    <row r="297" ht="15.75" customHeight="1">
      <c r="C297" s="180"/>
    </row>
    <row r="298" ht="15.75" customHeight="1">
      <c r="C298" s="180"/>
    </row>
    <row r="299" ht="15.75" customHeight="1">
      <c r="C299" s="180"/>
    </row>
    <row r="300" ht="15.75" customHeight="1">
      <c r="C300" s="180"/>
    </row>
    <row r="301" ht="15.75" customHeight="1">
      <c r="C301" s="180"/>
    </row>
    <row r="302" ht="15.75" customHeight="1">
      <c r="C302" s="180"/>
    </row>
    <row r="303" ht="15.75" customHeight="1">
      <c r="C303" s="180"/>
    </row>
    <row r="304" ht="15.75" customHeight="1">
      <c r="C304" s="180"/>
    </row>
    <row r="305" ht="15.75" customHeight="1">
      <c r="C305" s="180"/>
    </row>
    <row r="306" ht="15.75" customHeight="1">
      <c r="C306" s="180"/>
    </row>
    <row r="307" ht="15.75" customHeight="1">
      <c r="C307" s="180"/>
    </row>
    <row r="308" ht="15.75" customHeight="1">
      <c r="C308" s="180"/>
    </row>
    <row r="309" ht="15.75" customHeight="1">
      <c r="C309" s="180"/>
    </row>
    <row r="310" ht="15.75" customHeight="1">
      <c r="C310" s="180"/>
    </row>
    <row r="311" ht="15.75" customHeight="1">
      <c r="C311" s="180"/>
    </row>
    <row r="312" ht="15.75" customHeight="1">
      <c r="C312" s="180"/>
    </row>
    <row r="313" ht="15.75" customHeight="1">
      <c r="C313" s="180"/>
    </row>
    <row r="314" ht="15.75" customHeight="1">
      <c r="C314" s="180"/>
    </row>
    <row r="315" ht="15.75" customHeight="1">
      <c r="C315" s="180"/>
    </row>
    <row r="316" ht="15.75" customHeight="1">
      <c r="C316" s="180"/>
    </row>
    <row r="317" ht="15.75" customHeight="1">
      <c r="C317" s="180"/>
    </row>
    <row r="318" ht="15.75" customHeight="1">
      <c r="C318" s="180"/>
    </row>
    <row r="319" ht="15.75" customHeight="1">
      <c r="C319" s="180"/>
    </row>
    <row r="320" ht="15.75" customHeight="1">
      <c r="C320" s="180"/>
    </row>
    <row r="321" ht="15.75" customHeight="1">
      <c r="C321" s="180"/>
    </row>
    <row r="322" ht="15.75" customHeight="1">
      <c r="C322" s="180"/>
    </row>
    <row r="323" ht="15.75" customHeight="1">
      <c r="C323" s="180"/>
    </row>
    <row r="324" ht="15.75" customHeight="1">
      <c r="C324" s="180"/>
    </row>
    <row r="325" ht="15.75" customHeight="1">
      <c r="C325" s="180"/>
    </row>
    <row r="326" ht="15.75" customHeight="1">
      <c r="C326" s="180"/>
    </row>
    <row r="327" ht="15.75" customHeight="1">
      <c r="C327" s="180"/>
    </row>
    <row r="328" ht="15.75" customHeight="1">
      <c r="C328" s="180"/>
    </row>
    <row r="329" ht="15.75" customHeight="1">
      <c r="C329" s="180"/>
    </row>
    <row r="330" ht="15.75" customHeight="1">
      <c r="C330" s="180"/>
    </row>
    <row r="331" ht="15.75" customHeight="1">
      <c r="C331" s="180"/>
    </row>
    <row r="332" ht="15.75" customHeight="1">
      <c r="C332" s="180"/>
    </row>
    <row r="333" ht="15.75" customHeight="1">
      <c r="C333" s="180"/>
    </row>
    <row r="334" ht="15.75" customHeight="1">
      <c r="C334" s="180"/>
    </row>
    <row r="335" ht="15.75" customHeight="1">
      <c r="C335" s="180"/>
    </row>
    <row r="336" ht="15.75" customHeight="1">
      <c r="C336" s="180"/>
    </row>
    <row r="337" ht="15.75" customHeight="1">
      <c r="C337" s="180"/>
    </row>
    <row r="338" ht="15.75" customHeight="1">
      <c r="C338" s="180"/>
    </row>
    <row r="339" ht="15.75" customHeight="1">
      <c r="C339" s="180"/>
    </row>
    <row r="340" ht="15.75" customHeight="1">
      <c r="C340" s="180"/>
    </row>
    <row r="341" ht="15.75" customHeight="1">
      <c r="C341" s="180"/>
    </row>
    <row r="342" ht="15.75" customHeight="1">
      <c r="C342" s="180"/>
    </row>
    <row r="343" ht="15.75" customHeight="1">
      <c r="C343" s="180"/>
    </row>
    <row r="344" ht="15.75" customHeight="1">
      <c r="C344" s="180"/>
    </row>
    <row r="345" ht="15.75" customHeight="1">
      <c r="C345" s="180"/>
    </row>
    <row r="346" ht="15.75" customHeight="1">
      <c r="C346" s="180"/>
    </row>
    <row r="347" ht="15.75" customHeight="1">
      <c r="C347" s="180"/>
    </row>
    <row r="348" ht="15.75" customHeight="1">
      <c r="C348" s="180"/>
    </row>
    <row r="349" ht="15.75" customHeight="1">
      <c r="C349" s="180"/>
    </row>
    <row r="350" ht="15.75" customHeight="1">
      <c r="C350" s="180"/>
    </row>
    <row r="351" ht="15.75" customHeight="1">
      <c r="C351" s="180"/>
    </row>
    <row r="352" ht="15.75" customHeight="1">
      <c r="C352" s="180"/>
    </row>
    <row r="353" ht="15.75" customHeight="1">
      <c r="C353" s="180"/>
    </row>
    <row r="354" ht="15.75" customHeight="1">
      <c r="C354" s="180"/>
    </row>
    <row r="355" ht="15.75" customHeight="1">
      <c r="C355" s="180"/>
    </row>
    <row r="356" ht="15.75" customHeight="1">
      <c r="C356" s="180"/>
    </row>
    <row r="357" ht="15.75" customHeight="1">
      <c r="C357" s="180"/>
    </row>
    <row r="358" ht="15.75" customHeight="1">
      <c r="C358" s="180"/>
    </row>
    <row r="359" ht="15.75" customHeight="1">
      <c r="C359" s="180"/>
    </row>
    <row r="360" ht="15.75" customHeight="1">
      <c r="C360" s="180"/>
    </row>
    <row r="361" ht="15.75" customHeight="1">
      <c r="C361" s="180"/>
    </row>
    <row r="362" ht="15.75" customHeight="1">
      <c r="C362" s="180"/>
    </row>
    <row r="363" ht="15.75" customHeight="1">
      <c r="C363" s="180"/>
    </row>
    <row r="364" ht="15.75" customHeight="1">
      <c r="C364" s="180"/>
    </row>
    <row r="365" ht="15.75" customHeight="1">
      <c r="C365" s="180"/>
    </row>
    <row r="366" ht="15.75" customHeight="1">
      <c r="C366" s="180"/>
    </row>
    <row r="367" ht="15.75" customHeight="1">
      <c r="C367" s="180"/>
    </row>
    <row r="368" ht="15.75" customHeight="1">
      <c r="C368" s="180"/>
    </row>
    <row r="369" ht="15.75" customHeight="1">
      <c r="C369" s="180"/>
    </row>
    <row r="370" ht="15.75" customHeight="1">
      <c r="C370" s="180"/>
    </row>
    <row r="371" ht="15.75" customHeight="1">
      <c r="C371" s="180"/>
    </row>
    <row r="372" ht="15.75" customHeight="1">
      <c r="C372" s="180"/>
    </row>
    <row r="373" ht="15.75" customHeight="1">
      <c r="C373" s="180"/>
    </row>
    <row r="374" ht="15.75" customHeight="1">
      <c r="C374" s="180"/>
    </row>
    <row r="375" ht="15.75" customHeight="1">
      <c r="C375" s="180"/>
    </row>
    <row r="376" ht="15.75" customHeight="1">
      <c r="C376" s="180"/>
    </row>
    <row r="377" ht="15.75" customHeight="1">
      <c r="C377" s="180"/>
    </row>
    <row r="378" ht="15.75" customHeight="1">
      <c r="C378" s="180"/>
    </row>
    <row r="379" ht="15.75" customHeight="1">
      <c r="C379" s="180"/>
    </row>
    <row r="380" ht="15.75" customHeight="1">
      <c r="C380" s="180"/>
    </row>
    <row r="381" ht="15.75" customHeight="1">
      <c r="C381" s="180"/>
    </row>
    <row r="382" ht="15.75" customHeight="1">
      <c r="C382" s="180"/>
    </row>
    <row r="383" ht="15.75" customHeight="1">
      <c r="C383" s="180"/>
    </row>
    <row r="384" ht="15.75" customHeight="1">
      <c r="C384" s="180"/>
    </row>
    <row r="385" ht="15.75" customHeight="1">
      <c r="C385" s="180"/>
    </row>
    <row r="386" ht="15.75" customHeight="1">
      <c r="C386" s="180"/>
    </row>
    <row r="387" ht="15.75" customHeight="1">
      <c r="C387" s="180"/>
    </row>
    <row r="388" ht="15.75" customHeight="1">
      <c r="C388" s="180"/>
    </row>
    <row r="389" ht="15.75" customHeight="1">
      <c r="C389" s="180"/>
    </row>
    <row r="390" ht="15.75" customHeight="1">
      <c r="C390" s="180"/>
    </row>
    <row r="391" ht="15.75" customHeight="1">
      <c r="C391" s="180"/>
    </row>
    <row r="392" ht="15.75" customHeight="1">
      <c r="C392" s="180"/>
    </row>
    <row r="393" ht="15.75" customHeight="1">
      <c r="C393" s="180"/>
    </row>
    <row r="394" ht="15.75" customHeight="1">
      <c r="C394" s="180"/>
    </row>
    <row r="395" ht="15.75" customHeight="1">
      <c r="C395" s="180"/>
    </row>
    <row r="396" ht="15.75" customHeight="1">
      <c r="C396" s="180"/>
    </row>
    <row r="397" ht="15.75" customHeight="1">
      <c r="C397" s="180"/>
    </row>
    <row r="398" ht="15.75" customHeight="1">
      <c r="C398" s="180"/>
    </row>
    <row r="399" ht="15.75" customHeight="1">
      <c r="C399" s="180"/>
    </row>
    <row r="400" ht="15.75" customHeight="1">
      <c r="C400" s="180"/>
    </row>
    <row r="401" ht="15.75" customHeight="1">
      <c r="C401" s="180"/>
    </row>
    <row r="402" ht="15.75" customHeight="1">
      <c r="C402" s="180"/>
    </row>
    <row r="403" ht="15.75" customHeight="1">
      <c r="C403" s="180"/>
    </row>
    <row r="404" ht="15.75" customHeight="1">
      <c r="C404" s="180"/>
    </row>
    <row r="405" ht="15.75" customHeight="1">
      <c r="C405" s="180"/>
    </row>
    <row r="406" ht="15.75" customHeight="1">
      <c r="C406" s="180"/>
    </row>
    <row r="407" ht="15.75" customHeight="1">
      <c r="C407" s="180"/>
    </row>
    <row r="408" ht="15.75" customHeight="1">
      <c r="C408" s="180"/>
    </row>
    <row r="409" ht="15.75" customHeight="1">
      <c r="C409" s="180"/>
    </row>
    <row r="410" ht="15.75" customHeight="1">
      <c r="C410" s="180"/>
    </row>
    <row r="411" ht="15.75" customHeight="1">
      <c r="C411" s="180"/>
    </row>
    <row r="412" ht="15.75" customHeight="1">
      <c r="C412" s="180"/>
    </row>
    <row r="413" ht="15.75" customHeight="1">
      <c r="C413" s="180"/>
    </row>
    <row r="414" ht="15.75" customHeight="1">
      <c r="C414" s="180"/>
    </row>
    <row r="415" ht="15.75" customHeight="1">
      <c r="C415" s="180"/>
    </row>
    <row r="416" ht="15.75" customHeight="1">
      <c r="C416" s="180"/>
    </row>
    <row r="417" ht="15.75" customHeight="1">
      <c r="C417" s="180"/>
    </row>
    <row r="418" ht="15.75" customHeight="1">
      <c r="C418" s="180"/>
    </row>
    <row r="419" ht="15.75" customHeight="1">
      <c r="C419" s="180"/>
    </row>
    <row r="420" ht="15.75" customHeight="1">
      <c r="C420" s="180"/>
    </row>
    <row r="421" ht="15.75" customHeight="1">
      <c r="C421" s="180"/>
    </row>
    <row r="422" ht="15.75" customHeight="1">
      <c r="C422" s="180"/>
    </row>
    <row r="423" ht="15.75" customHeight="1">
      <c r="C423" s="180"/>
    </row>
    <row r="424" ht="15.75" customHeight="1">
      <c r="C424" s="180"/>
    </row>
    <row r="425" ht="15.75" customHeight="1">
      <c r="C425" s="180"/>
    </row>
    <row r="426" ht="15.75" customHeight="1">
      <c r="C426" s="180"/>
    </row>
    <row r="427" ht="15.75" customHeight="1">
      <c r="C427" s="180"/>
    </row>
    <row r="428" ht="15.75" customHeight="1">
      <c r="C428" s="180"/>
    </row>
    <row r="429" ht="15.75" customHeight="1">
      <c r="C429" s="180"/>
    </row>
    <row r="430" ht="15.75" customHeight="1">
      <c r="C430" s="180"/>
    </row>
    <row r="431" ht="15.75" customHeight="1">
      <c r="C431" s="180"/>
    </row>
    <row r="432" ht="15.75" customHeight="1">
      <c r="C432" s="180"/>
    </row>
    <row r="433" ht="15.75" customHeight="1">
      <c r="C433" s="180"/>
    </row>
    <row r="434" ht="15.75" customHeight="1">
      <c r="C434" s="180"/>
    </row>
    <row r="435" ht="15.75" customHeight="1">
      <c r="C435" s="180"/>
    </row>
    <row r="436" ht="15.75" customHeight="1">
      <c r="C436" s="180"/>
    </row>
    <row r="437" ht="15.75" customHeight="1">
      <c r="C437" s="180"/>
    </row>
    <row r="438" ht="15.75" customHeight="1">
      <c r="C438" s="180"/>
    </row>
    <row r="439" ht="15.75" customHeight="1">
      <c r="C439" s="180"/>
    </row>
    <row r="440" ht="15.75" customHeight="1">
      <c r="C440" s="180"/>
    </row>
    <row r="441" ht="15.75" customHeight="1">
      <c r="C441" s="180"/>
    </row>
    <row r="442" ht="15.75" customHeight="1">
      <c r="C442" s="180"/>
    </row>
    <row r="443" ht="15.75" customHeight="1">
      <c r="C443" s="180"/>
    </row>
    <row r="444" ht="15.75" customHeight="1">
      <c r="C444" s="180"/>
    </row>
    <row r="445" ht="15.75" customHeight="1">
      <c r="C445" s="180"/>
    </row>
    <row r="446" ht="15.75" customHeight="1">
      <c r="C446" s="180"/>
    </row>
    <row r="447" ht="15.75" customHeight="1">
      <c r="C447" s="180"/>
    </row>
    <row r="448" ht="15.75" customHeight="1">
      <c r="C448" s="180"/>
    </row>
    <row r="449" ht="15.75" customHeight="1">
      <c r="C449" s="180"/>
    </row>
    <row r="450" ht="15.75" customHeight="1">
      <c r="C450" s="180"/>
    </row>
    <row r="451" ht="15.75" customHeight="1">
      <c r="C451" s="180"/>
    </row>
    <row r="452" ht="15.75" customHeight="1">
      <c r="C452" s="180"/>
    </row>
    <row r="453" ht="15.75" customHeight="1">
      <c r="C453" s="180"/>
    </row>
    <row r="454" ht="15.75" customHeight="1">
      <c r="C454" s="180"/>
    </row>
    <row r="455" ht="15.75" customHeight="1">
      <c r="C455" s="180"/>
    </row>
    <row r="456" ht="15.75" customHeight="1">
      <c r="C456" s="180"/>
    </row>
    <row r="457" ht="15.75" customHeight="1">
      <c r="C457" s="180"/>
    </row>
    <row r="458" ht="15.75" customHeight="1">
      <c r="C458" s="180"/>
    </row>
    <row r="459" ht="15.75" customHeight="1">
      <c r="C459" s="180"/>
    </row>
    <row r="460" ht="15.75" customHeight="1">
      <c r="C460" s="180"/>
    </row>
    <row r="461" ht="15.75" customHeight="1">
      <c r="C461" s="180"/>
    </row>
    <row r="462" ht="15.75" customHeight="1">
      <c r="C462" s="180"/>
    </row>
    <row r="463" ht="15.75" customHeight="1">
      <c r="C463" s="180"/>
    </row>
    <row r="464" ht="15.75" customHeight="1">
      <c r="C464" s="180"/>
    </row>
    <row r="465" ht="15.75" customHeight="1">
      <c r="C465" s="180"/>
    </row>
    <row r="466" ht="15.75" customHeight="1">
      <c r="C466" s="180"/>
    </row>
    <row r="467" ht="15.75" customHeight="1">
      <c r="C467" s="180"/>
    </row>
    <row r="468" ht="15.75" customHeight="1">
      <c r="C468" s="180"/>
    </row>
    <row r="469" ht="15.75" customHeight="1">
      <c r="C469" s="180"/>
    </row>
    <row r="470" ht="15.75" customHeight="1">
      <c r="C470" s="180"/>
    </row>
    <row r="471" ht="15.75" customHeight="1">
      <c r="C471" s="180"/>
    </row>
    <row r="472" ht="15.75" customHeight="1">
      <c r="C472" s="180"/>
    </row>
    <row r="473" ht="15.75" customHeight="1">
      <c r="C473" s="180"/>
    </row>
    <row r="474" ht="15.75" customHeight="1">
      <c r="C474" s="180"/>
    </row>
    <row r="475" ht="15.75" customHeight="1">
      <c r="C475" s="180"/>
    </row>
    <row r="476" ht="15.75" customHeight="1">
      <c r="C476" s="180"/>
    </row>
    <row r="477" ht="15.75" customHeight="1">
      <c r="C477" s="180"/>
    </row>
    <row r="478" ht="15.75" customHeight="1">
      <c r="C478" s="180"/>
    </row>
    <row r="479" ht="15.75" customHeight="1">
      <c r="C479" s="180"/>
    </row>
    <row r="480" ht="15.75" customHeight="1">
      <c r="C480" s="180"/>
    </row>
    <row r="481" ht="15.75" customHeight="1">
      <c r="C481" s="180"/>
    </row>
    <row r="482" ht="15.75" customHeight="1">
      <c r="C482" s="180"/>
    </row>
    <row r="483" ht="15.75" customHeight="1">
      <c r="C483" s="180"/>
    </row>
    <row r="484" ht="15.75" customHeight="1">
      <c r="C484" s="180"/>
    </row>
    <row r="485" ht="15.75" customHeight="1">
      <c r="C485" s="180"/>
    </row>
    <row r="486" ht="15.75" customHeight="1">
      <c r="C486" s="180"/>
    </row>
    <row r="487" ht="15.75" customHeight="1">
      <c r="C487" s="180"/>
    </row>
    <row r="488" ht="15.75" customHeight="1">
      <c r="C488" s="180"/>
    </row>
    <row r="489" ht="15.75" customHeight="1">
      <c r="C489" s="180"/>
    </row>
    <row r="490" ht="15.75" customHeight="1">
      <c r="C490" s="180"/>
    </row>
    <row r="491" ht="15.75" customHeight="1">
      <c r="C491" s="180"/>
    </row>
    <row r="492" ht="15.75" customHeight="1">
      <c r="C492" s="180"/>
    </row>
    <row r="493" ht="15.75" customHeight="1">
      <c r="C493" s="180"/>
    </row>
    <row r="494" ht="15.75" customHeight="1">
      <c r="C494" s="180"/>
    </row>
    <row r="495" ht="15.75" customHeight="1">
      <c r="C495" s="180"/>
    </row>
    <row r="496" ht="15.75" customHeight="1">
      <c r="C496" s="180"/>
    </row>
    <row r="497" ht="15.75" customHeight="1">
      <c r="C497" s="180"/>
    </row>
    <row r="498" ht="15.75" customHeight="1">
      <c r="C498" s="180"/>
    </row>
    <row r="499" ht="15.75" customHeight="1">
      <c r="C499" s="180"/>
    </row>
    <row r="500" ht="15.75" customHeight="1">
      <c r="C500" s="180"/>
    </row>
    <row r="501" ht="15.75" customHeight="1">
      <c r="C501" s="180"/>
    </row>
    <row r="502" ht="15.75" customHeight="1">
      <c r="C502" s="180"/>
    </row>
    <row r="503" ht="15.75" customHeight="1">
      <c r="C503" s="180"/>
    </row>
    <row r="504" ht="15.75" customHeight="1">
      <c r="C504" s="180"/>
    </row>
    <row r="505" ht="15.75" customHeight="1">
      <c r="C505" s="180"/>
    </row>
    <row r="506" ht="15.75" customHeight="1">
      <c r="C506" s="180"/>
    </row>
    <row r="507" ht="15.75" customHeight="1">
      <c r="C507" s="180"/>
    </row>
    <row r="508" ht="15.75" customHeight="1">
      <c r="C508" s="180"/>
    </row>
    <row r="509" ht="15.75" customHeight="1">
      <c r="C509" s="180"/>
    </row>
    <row r="510" ht="15.75" customHeight="1">
      <c r="C510" s="180"/>
    </row>
    <row r="511" ht="15.75" customHeight="1">
      <c r="C511" s="180"/>
    </row>
    <row r="512" ht="15.75" customHeight="1">
      <c r="C512" s="180"/>
    </row>
    <row r="513" ht="15.75" customHeight="1">
      <c r="C513" s="180"/>
    </row>
    <row r="514" ht="15.75" customHeight="1">
      <c r="C514" s="180"/>
    </row>
    <row r="515" ht="15.75" customHeight="1">
      <c r="C515" s="180"/>
    </row>
    <row r="516" ht="15.75" customHeight="1">
      <c r="C516" s="180"/>
    </row>
    <row r="517" ht="15.75" customHeight="1">
      <c r="C517" s="180"/>
    </row>
    <row r="518" ht="15.75" customHeight="1">
      <c r="C518" s="180"/>
    </row>
    <row r="519" ht="15.75" customHeight="1">
      <c r="C519" s="180"/>
    </row>
    <row r="520" ht="15.75" customHeight="1">
      <c r="C520" s="180"/>
    </row>
    <row r="521" ht="15.75" customHeight="1">
      <c r="C521" s="180"/>
    </row>
    <row r="522" ht="15.75" customHeight="1">
      <c r="C522" s="180"/>
    </row>
    <row r="523" ht="15.75" customHeight="1">
      <c r="C523" s="180"/>
    </row>
    <row r="524" ht="15.75" customHeight="1">
      <c r="C524" s="180"/>
    </row>
    <row r="525" ht="15.75" customHeight="1">
      <c r="C525" s="180"/>
    </row>
    <row r="526" ht="15.75" customHeight="1">
      <c r="C526" s="180"/>
    </row>
    <row r="527" ht="15.75" customHeight="1">
      <c r="C527" s="180"/>
    </row>
    <row r="528" ht="15.75" customHeight="1">
      <c r="C528" s="180"/>
    </row>
    <row r="529" ht="15.75" customHeight="1">
      <c r="C529" s="180"/>
    </row>
    <row r="530" ht="15.75" customHeight="1">
      <c r="C530" s="180"/>
    </row>
    <row r="531" ht="15.75" customHeight="1">
      <c r="C531" s="180"/>
    </row>
    <row r="532" ht="15.75" customHeight="1">
      <c r="C532" s="180"/>
    </row>
    <row r="533" ht="15.75" customHeight="1">
      <c r="C533" s="180"/>
    </row>
    <row r="534" ht="15.75" customHeight="1">
      <c r="C534" s="180"/>
    </row>
    <row r="535" ht="15.75" customHeight="1">
      <c r="C535" s="180"/>
    </row>
    <row r="536" ht="15.75" customHeight="1">
      <c r="C536" s="180"/>
    </row>
    <row r="537" ht="15.75" customHeight="1">
      <c r="C537" s="180"/>
    </row>
    <row r="538" ht="15.75" customHeight="1">
      <c r="C538" s="180"/>
    </row>
    <row r="539" ht="15.75" customHeight="1">
      <c r="C539" s="180"/>
    </row>
    <row r="540" ht="15.75" customHeight="1">
      <c r="C540" s="180"/>
    </row>
    <row r="541" ht="15.75" customHeight="1">
      <c r="C541" s="180"/>
    </row>
    <row r="542" ht="15.75" customHeight="1">
      <c r="C542" s="180"/>
    </row>
    <row r="543" ht="15.75" customHeight="1">
      <c r="C543" s="180"/>
    </row>
    <row r="544" ht="15.75" customHeight="1">
      <c r="C544" s="180"/>
    </row>
    <row r="545" ht="15.75" customHeight="1">
      <c r="C545" s="180"/>
    </row>
    <row r="546" ht="15.75" customHeight="1">
      <c r="C546" s="180"/>
    </row>
    <row r="547" ht="15.75" customHeight="1">
      <c r="C547" s="180"/>
    </row>
    <row r="548" ht="15.75" customHeight="1">
      <c r="C548" s="180"/>
    </row>
    <row r="549" ht="15.75" customHeight="1">
      <c r="C549" s="180"/>
    </row>
    <row r="550" ht="15.75" customHeight="1">
      <c r="C550" s="180"/>
    </row>
    <row r="551" ht="15.75" customHeight="1">
      <c r="C551" s="180"/>
    </row>
    <row r="552" ht="15.75" customHeight="1">
      <c r="C552" s="180"/>
    </row>
    <row r="553" ht="15.75" customHeight="1">
      <c r="C553" s="180"/>
    </row>
    <row r="554" ht="15.75" customHeight="1">
      <c r="C554" s="180"/>
    </row>
    <row r="555" ht="15.75" customHeight="1">
      <c r="C555" s="180"/>
    </row>
    <row r="556" ht="15.75" customHeight="1">
      <c r="C556" s="180"/>
    </row>
    <row r="557" ht="15.75" customHeight="1">
      <c r="C557" s="180"/>
    </row>
    <row r="558" ht="15.75" customHeight="1">
      <c r="C558" s="180"/>
    </row>
    <row r="559" ht="15.75" customHeight="1">
      <c r="C559" s="180"/>
    </row>
    <row r="560" ht="15.75" customHeight="1">
      <c r="C560" s="180"/>
    </row>
    <row r="561" ht="15.75" customHeight="1">
      <c r="C561" s="180"/>
    </row>
    <row r="562" ht="15.75" customHeight="1">
      <c r="C562" s="180"/>
    </row>
    <row r="563" ht="15.75" customHeight="1">
      <c r="C563" s="180"/>
    </row>
    <row r="564" ht="15.75" customHeight="1">
      <c r="C564" s="180"/>
    </row>
    <row r="565" ht="15.75" customHeight="1">
      <c r="C565" s="180"/>
    </row>
    <row r="566" ht="15.75" customHeight="1">
      <c r="C566" s="180"/>
    </row>
    <row r="567" ht="15.75" customHeight="1">
      <c r="C567" s="180"/>
    </row>
    <row r="568" ht="15.75" customHeight="1">
      <c r="C568" s="180"/>
    </row>
    <row r="569" ht="15.75" customHeight="1">
      <c r="C569" s="180"/>
    </row>
    <row r="570" ht="15.75" customHeight="1">
      <c r="C570" s="180"/>
    </row>
    <row r="571" ht="15.75" customHeight="1">
      <c r="C571" s="180"/>
    </row>
    <row r="572" ht="15.75" customHeight="1">
      <c r="C572" s="180"/>
    </row>
    <row r="573" ht="15.75" customHeight="1">
      <c r="C573" s="180"/>
    </row>
    <row r="574" ht="15.75" customHeight="1">
      <c r="C574" s="180"/>
    </row>
    <row r="575" ht="15.75" customHeight="1">
      <c r="C575" s="180"/>
    </row>
    <row r="576" ht="15.75" customHeight="1">
      <c r="C576" s="180"/>
    </row>
    <row r="577" ht="15.75" customHeight="1">
      <c r="C577" s="180"/>
    </row>
    <row r="578" ht="15.75" customHeight="1">
      <c r="C578" s="180"/>
    </row>
    <row r="579" ht="15.75" customHeight="1">
      <c r="C579" s="180"/>
    </row>
    <row r="580" ht="15.75" customHeight="1">
      <c r="C580" s="180"/>
    </row>
    <row r="581" ht="15.75" customHeight="1">
      <c r="C581" s="180"/>
    </row>
    <row r="582" ht="15.75" customHeight="1">
      <c r="C582" s="180"/>
    </row>
    <row r="583" ht="15.75" customHeight="1">
      <c r="C583" s="180"/>
    </row>
    <row r="584" ht="15.75" customHeight="1">
      <c r="C584" s="180"/>
    </row>
    <row r="585" ht="15.75" customHeight="1">
      <c r="C585" s="180"/>
    </row>
    <row r="586" ht="15.75" customHeight="1">
      <c r="C586" s="180"/>
    </row>
    <row r="587" ht="15.75" customHeight="1">
      <c r="C587" s="180"/>
    </row>
    <row r="588" ht="15.75" customHeight="1">
      <c r="C588" s="180"/>
    </row>
    <row r="589" ht="15.75" customHeight="1">
      <c r="C589" s="180"/>
    </row>
    <row r="590" ht="15.75" customHeight="1">
      <c r="C590" s="180"/>
    </row>
    <row r="591" ht="15.75" customHeight="1">
      <c r="C591" s="180"/>
    </row>
    <row r="592" ht="15.75" customHeight="1">
      <c r="C592" s="180"/>
    </row>
    <row r="593" ht="15.75" customHeight="1">
      <c r="C593" s="180"/>
    </row>
    <row r="594" ht="15.75" customHeight="1">
      <c r="C594" s="180"/>
    </row>
    <row r="595" ht="15.75" customHeight="1">
      <c r="C595" s="180"/>
    </row>
    <row r="596" ht="15.75" customHeight="1">
      <c r="C596" s="180"/>
    </row>
    <row r="597" ht="15.75" customHeight="1">
      <c r="C597" s="180"/>
    </row>
    <row r="598" ht="15.75" customHeight="1">
      <c r="C598" s="180"/>
    </row>
    <row r="599" ht="15.75" customHeight="1">
      <c r="C599" s="180"/>
    </row>
    <row r="600" ht="15.75" customHeight="1">
      <c r="C600" s="180"/>
    </row>
    <row r="601" ht="15.75" customHeight="1">
      <c r="C601" s="180"/>
    </row>
    <row r="602" ht="15.75" customHeight="1">
      <c r="C602" s="180"/>
    </row>
    <row r="603" ht="15.75" customHeight="1">
      <c r="C603" s="180"/>
    </row>
    <row r="604" ht="15.75" customHeight="1">
      <c r="C604" s="180"/>
    </row>
    <row r="605" ht="15.75" customHeight="1">
      <c r="C605" s="180"/>
    </row>
    <row r="606" ht="15.75" customHeight="1">
      <c r="C606" s="180"/>
    </row>
    <row r="607" ht="15.75" customHeight="1">
      <c r="C607" s="180"/>
    </row>
    <row r="608" ht="15.75" customHeight="1">
      <c r="C608" s="180"/>
    </row>
    <row r="609" ht="15.75" customHeight="1">
      <c r="C609" s="180"/>
    </row>
    <row r="610" ht="15.75" customHeight="1">
      <c r="C610" s="180"/>
    </row>
    <row r="611" ht="15.75" customHeight="1">
      <c r="C611" s="180"/>
    </row>
    <row r="612" ht="15.75" customHeight="1">
      <c r="C612" s="180"/>
    </row>
    <row r="613" ht="15.75" customHeight="1">
      <c r="C613" s="180"/>
    </row>
    <row r="614" ht="15.75" customHeight="1">
      <c r="C614" s="180"/>
    </row>
    <row r="615" ht="15.75" customHeight="1">
      <c r="C615" s="180"/>
    </row>
    <row r="616" ht="15.75" customHeight="1">
      <c r="C616" s="180"/>
    </row>
    <row r="617" ht="15.75" customHeight="1">
      <c r="C617" s="180"/>
    </row>
    <row r="618" ht="15.75" customHeight="1">
      <c r="C618" s="180"/>
    </row>
    <row r="619" ht="15.75" customHeight="1">
      <c r="C619" s="180"/>
    </row>
    <row r="620" ht="15.75" customHeight="1">
      <c r="C620" s="180"/>
    </row>
    <row r="621" ht="15.75" customHeight="1">
      <c r="C621" s="180"/>
    </row>
    <row r="622" ht="15.75" customHeight="1">
      <c r="C622" s="180"/>
    </row>
    <row r="623" ht="15.75" customHeight="1">
      <c r="C623" s="180"/>
    </row>
    <row r="624" ht="15.75" customHeight="1">
      <c r="C624" s="180"/>
    </row>
    <row r="625" ht="15.75" customHeight="1">
      <c r="C625" s="180"/>
    </row>
    <row r="626" ht="15.75" customHeight="1">
      <c r="C626" s="180"/>
    </row>
    <row r="627" ht="15.75" customHeight="1">
      <c r="C627" s="180"/>
    </row>
    <row r="628" ht="15.75" customHeight="1">
      <c r="C628" s="180"/>
    </row>
    <row r="629" ht="15.75" customHeight="1">
      <c r="C629" s="180"/>
    </row>
    <row r="630" ht="15.75" customHeight="1">
      <c r="C630" s="180"/>
    </row>
    <row r="631" ht="15.75" customHeight="1">
      <c r="C631" s="180"/>
    </row>
    <row r="632" ht="15.75" customHeight="1">
      <c r="C632" s="180"/>
    </row>
    <row r="633" ht="15.75" customHeight="1">
      <c r="C633" s="180"/>
    </row>
    <row r="634" ht="15.75" customHeight="1">
      <c r="C634" s="180"/>
    </row>
    <row r="635" ht="15.75" customHeight="1">
      <c r="C635" s="180"/>
    </row>
    <row r="636" ht="15.75" customHeight="1">
      <c r="C636" s="180"/>
    </row>
    <row r="637" ht="15.75" customHeight="1">
      <c r="C637" s="180"/>
    </row>
    <row r="638" ht="15.75" customHeight="1">
      <c r="C638" s="180"/>
    </row>
    <row r="639" ht="15.75" customHeight="1">
      <c r="C639" s="180"/>
    </row>
    <row r="640" ht="15.75" customHeight="1">
      <c r="C640" s="180"/>
    </row>
    <row r="641" ht="15.75" customHeight="1">
      <c r="C641" s="180"/>
    </row>
    <row r="642" ht="15.75" customHeight="1">
      <c r="C642" s="180"/>
    </row>
    <row r="643" ht="15.75" customHeight="1">
      <c r="C643" s="180"/>
    </row>
    <row r="644" ht="15.75" customHeight="1">
      <c r="C644" s="180"/>
    </row>
    <row r="645" ht="15.75" customHeight="1">
      <c r="C645" s="180"/>
    </row>
    <row r="646" ht="15.75" customHeight="1">
      <c r="C646" s="180"/>
    </row>
    <row r="647" ht="15.75" customHeight="1">
      <c r="C647" s="180"/>
    </row>
    <row r="648" ht="15.75" customHeight="1">
      <c r="C648" s="180"/>
    </row>
    <row r="649" ht="15.75" customHeight="1">
      <c r="C649" s="180"/>
    </row>
    <row r="650" ht="15.75" customHeight="1">
      <c r="C650" s="180"/>
    </row>
    <row r="651" ht="15.75" customHeight="1">
      <c r="C651" s="180"/>
    </row>
    <row r="652" ht="15.75" customHeight="1">
      <c r="C652" s="180"/>
    </row>
    <row r="653" ht="15.75" customHeight="1">
      <c r="C653" s="180"/>
    </row>
    <row r="654" ht="15.75" customHeight="1">
      <c r="C654" s="180"/>
    </row>
    <row r="655" ht="15.75" customHeight="1">
      <c r="C655" s="180"/>
    </row>
    <row r="656" ht="15.75" customHeight="1">
      <c r="C656" s="180"/>
    </row>
    <row r="657" ht="15.75" customHeight="1">
      <c r="C657" s="180"/>
    </row>
    <row r="658" ht="15.75" customHeight="1">
      <c r="C658" s="180"/>
    </row>
    <row r="659" ht="15.75" customHeight="1">
      <c r="C659" s="180"/>
    </row>
    <row r="660" ht="15.75" customHeight="1">
      <c r="C660" s="180"/>
    </row>
    <row r="661" ht="15.75" customHeight="1">
      <c r="C661" s="180"/>
    </row>
    <row r="662" ht="15.75" customHeight="1">
      <c r="C662" s="180"/>
    </row>
    <row r="663" ht="15.75" customHeight="1">
      <c r="C663" s="180"/>
    </row>
    <row r="664" ht="15.75" customHeight="1">
      <c r="C664" s="180"/>
    </row>
    <row r="665" ht="15.75" customHeight="1">
      <c r="C665" s="180"/>
    </row>
    <row r="666" ht="15.75" customHeight="1">
      <c r="C666" s="180"/>
    </row>
    <row r="667" ht="15.75" customHeight="1">
      <c r="C667" s="180"/>
    </row>
    <row r="668" ht="15.75" customHeight="1">
      <c r="C668" s="180"/>
    </row>
    <row r="669" ht="15.75" customHeight="1">
      <c r="C669" s="180"/>
    </row>
    <row r="670" ht="15.75" customHeight="1">
      <c r="C670" s="180"/>
    </row>
    <row r="671" ht="15.75" customHeight="1">
      <c r="C671" s="180"/>
    </row>
    <row r="672" ht="15.75" customHeight="1">
      <c r="C672" s="180"/>
    </row>
    <row r="673" ht="15.75" customHeight="1">
      <c r="C673" s="180"/>
    </row>
    <row r="674" ht="15.75" customHeight="1">
      <c r="C674" s="180"/>
    </row>
    <row r="675" ht="15.75" customHeight="1">
      <c r="C675" s="180"/>
    </row>
    <row r="676" ht="15.75" customHeight="1">
      <c r="C676" s="180"/>
    </row>
    <row r="677" ht="15.75" customHeight="1">
      <c r="C677" s="180"/>
    </row>
    <row r="678" ht="15.75" customHeight="1">
      <c r="C678" s="180"/>
    </row>
    <row r="679" ht="15.75" customHeight="1">
      <c r="C679" s="180"/>
    </row>
    <row r="680" ht="15.75" customHeight="1">
      <c r="C680" s="180"/>
    </row>
    <row r="681" ht="15.75" customHeight="1">
      <c r="C681" s="180"/>
    </row>
    <row r="682" ht="15.75" customHeight="1">
      <c r="C682" s="180"/>
    </row>
    <row r="683" ht="15.75" customHeight="1">
      <c r="C683" s="180"/>
    </row>
    <row r="684" ht="15.75" customHeight="1">
      <c r="C684" s="180"/>
    </row>
    <row r="685" ht="15.75" customHeight="1">
      <c r="C685" s="180"/>
    </row>
    <row r="686" ht="15.75" customHeight="1">
      <c r="C686" s="180"/>
    </row>
    <row r="687" ht="15.75" customHeight="1">
      <c r="C687" s="180"/>
    </row>
    <row r="688" ht="15.75" customHeight="1">
      <c r="C688" s="180"/>
    </row>
    <row r="689" ht="15.75" customHeight="1">
      <c r="C689" s="180"/>
    </row>
    <row r="690" ht="15.75" customHeight="1">
      <c r="C690" s="180"/>
    </row>
    <row r="691" ht="15.75" customHeight="1">
      <c r="C691" s="180"/>
    </row>
    <row r="692" ht="15.75" customHeight="1">
      <c r="C692" s="180"/>
    </row>
    <row r="693" ht="15.75" customHeight="1">
      <c r="C693" s="180"/>
    </row>
    <row r="694" ht="15.75" customHeight="1">
      <c r="C694" s="180"/>
    </row>
    <row r="695" ht="15.75" customHeight="1">
      <c r="C695" s="180"/>
    </row>
    <row r="696" ht="15.75" customHeight="1">
      <c r="C696" s="180"/>
    </row>
    <row r="697" ht="15.75" customHeight="1">
      <c r="C697" s="180"/>
    </row>
    <row r="698" ht="15.75" customHeight="1">
      <c r="C698" s="180"/>
    </row>
    <row r="699" ht="15.75" customHeight="1">
      <c r="C699" s="180"/>
    </row>
    <row r="700" ht="15.75" customHeight="1">
      <c r="C700" s="180"/>
    </row>
    <row r="701" ht="15.75" customHeight="1">
      <c r="C701" s="180"/>
    </row>
    <row r="702" ht="15.75" customHeight="1">
      <c r="C702" s="180"/>
    </row>
    <row r="703" ht="15.75" customHeight="1">
      <c r="C703" s="180"/>
    </row>
    <row r="704" ht="15.75" customHeight="1">
      <c r="C704" s="180"/>
    </row>
    <row r="705" ht="15.75" customHeight="1">
      <c r="C705" s="180"/>
    </row>
    <row r="706" ht="15.75" customHeight="1">
      <c r="C706" s="180"/>
    </row>
    <row r="707" ht="15.75" customHeight="1">
      <c r="C707" s="180"/>
    </row>
    <row r="708" ht="15.75" customHeight="1">
      <c r="C708" s="180"/>
    </row>
    <row r="709" ht="15.75" customHeight="1">
      <c r="C709" s="180"/>
    </row>
    <row r="710" ht="15.75" customHeight="1">
      <c r="C710" s="180"/>
    </row>
    <row r="711" ht="15.75" customHeight="1">
      <c r="C711" s="180"/>
    </row>
    <row r="712" ht="15.75" customHeight="1">
      <c r="C712" s="180"/>
    </row>
    <row r="713" ht="15.75" customHeight="1">
      <c r="C713" s="180"/>
    </row>
    <row r="714" ht="15.75" customHeight="1">
      <c r="C714" s="180"/>
    </row>
    <row r="715" ht="15.75" customHeight="1">
      <c r="C715" s="180"/>
    </row>
    <row r="716" ht="15.75" customHeight="1">
      <c r="C716" s="180"/>
    </row>
    <row r="717" ht="15.75" customHeight="1">
      <c r="C717" s="180"/>
    </row>
    <row r="718" ht="15.75" customHeight="1">
      <c r="C718" s="180"/>
    </row>
    <row r="719" ht="15.75" customHeight="1">
      <c r="C719" s="180"/>
    </row>
    <row r="720" ht="15.75" customHeight="1">
      <c r="C720" s="180"/>
    </row>
    <row r="721" ht="15.75" customHeight="1">
      <c r="C721" s="180"/>
    </row>
    <row r="722" ht="15.75" customHeight="1">
      <c r="C722" s="180"/>
    </row>
    <row r="723" ht="15.75" customHeight="1">
      <c r="C723" s="180"/>
    </row>
    <row r="724" ht="15.75" customHeight="1">
      <c r="C724" s="180"/>
    </row>
    <row r="725" ht="15.75" customHeight="1">
      <c r="C725" s="180"/>
    </row>
    <row r="726" ht="15.75" customHeight="1">
      <c r="C726" s="180"/>
    </row>
    <row r="727" ht="15.75" customHeight="1">
      <c r="C727" s="180"/>
    </row>
    <row r="728" ht="15.75" customHeight="1">
      <c r="C728" s="180"/>
    </row>
    <row r="729" ht="15.75" customHeight="1">
      <c r="C729" s="180"/>
    </row>
    <row r="730" ht="15.75" customHeight="1">
      <c r="C730" s="180"/>
    </row>
    <row r="731" ht="15.75" customHeight="1">
      <c r="C731" s="180"/>
    </row>
    <row r="732" ht="15.75" customHeight="1">
      <c r="C732" s="180"/>
    </row>
    <row r="733" ht="15.75" customHeight="1">
      <c r="C733" s="180"/>
    </row>
    <row r="734" ht="15.75" customHeight="1">
      <c r="C734" s="180"/>
    </row>
    <row r="735" ht="15.75" customHeight="1">
      <c r="C735" s="180"/>
    </row>
    <row r="736" ht="15.75" customHeight="1">
      <c r="C736" s="180"/>
    </row>
    <row r="737" ht="15.75" customHeight="1">
      <c r="C737" s="180"/>
    </row>
    <row r="738" ht="15.75" customHeight="1">
      <c r="C738" s="180"/>
    </row>
    <row r="739" ht="15.75" customHeight="1">
      <c r="C739" s="180"/>
    </row>
    <row r="740" ht="15.75" customHeight="1">
      <c r="C740" s="180"/>
    </row>
    <row r="741" ht="15.75" customHeight="1">
      <c r="C741" s="180"/>
    </row>
    <row r="742" ht="15.75" customHeight="1">
      <c r="C742" s="180"/>
    </row>
    <row r="743" ht="15.75" customHeight="1">
      <c r="C743" s="180"/>
    </row>
    <row r="744" ht="15.75" customHeight="1">
      <c r="C744" s="180"/>
    </row>
    <row r="745" ht="15.75" customHeight="1">
      <c r="C745" s="180"/>
    </row>
    <row r="746" ht="15.75" customHeight="1">
      <c r="C746" s="180"/>
    </row>
    <row r="747" ht="15.75" customHeight="1">
      <c r="C747" s="180"/>
    </row>
    <row r="748" ht="15.75" customHeight="1">
      <c r="C748" s="180"/>
    </row>
    <row r="749" ht="15.75" customHeight="1">
      <c r="C749" s="180"/>
    </row>
    <row r="750" ht="15.75" customHeight="1">
      <c r="C750" s="180"/>
    </row>
    <row r="751" ht="15.75" customHeight="1">
      <c r="C751" s="180"/>
    </row>
    <row r="752" ht="15.75" customHeight="1">
      <c r="C752" s="180"/>
    </row>
    <row r="753" ht="15.75" customHeight="1">
      <c r="C753" s="180"/>
    </row>
    <row r="754" ht="15.75" customHeight="1">
      <c r="C754" s="180"/>
    </row>
    <row r="755" ht="15.75" customHeight="1">
      <c r="C755" s="180"/>
    </row>
    <row r="756" ht="15.75" customHeight="1">
      <c r="C756" s="180"/>
    </row>
    <row r="757" ht="15.75" customHeight="1">
      <c r="C757" s="180"/>
    </row>
    <row r="758" ht="15.75" customHeight="1">
      <c r="C758" s="180"/>
    </row>
    <row r="759" ht="15.75" customHeight="1">
      <c r="C759" s="180"/>
    </row>
    <row r="760" ht="15.75" customHeight="1">
      <c r="C760" s="180"/>
    </row>
    <row r="761" ht="15.75" customHeight="1">
      <c r="C761" s="180"/>
    </row>
    <row r="762" ht="15.75" customHeight="1">
      <c r="C762" s="180"/>
    </row>
    <row r="763" ht="15.75" customHeight="1">
      <c r="C763" s="180"/>
    </row>
    <row r="764" ht="15.75" customHeight="1">
      <c r="C764" s="180"/>
    </row>
    <row r="765" ht="15.75" customHeight="1">
      <c r="C765" s="180"/>
    </row>
    <row r="766" ht="15.75" customHeight="1">
      <c r="C766" s="180"/>
    </row>
    <row r="767" ht="15.75" customHeight="1">
      <c r="C767" s="180"/>
    </row>
    <row r="768" ht="15.75" customHeight="1">
      <c r="C768" s="180"/>
    </row>
    <row r="769" ht="15.75" customHeight="1">
      <c r="C769" s="180"/>
    </row>
    <row r="770" ht="15.75" customHeight="1">
      <c r="C770" s="180"/>
    </row>
    <row r="771" ht="15.75" customHeight="1">
      <c r="C771" s="180"/>
    </row>
    <row r="772" ht="15.75" customHeight="1">
      <c r="C772" s="180"/>
    </row>
    <row r="773" ht="15.75" customHeight="1">
      <c r="C773" s="180"/>
    </row>
    <row r="774" ht="15.75" customHeight="1">
      <c r="C774" s="180"/>
    </row>
    <row r="775" ht="15.75" customHeight="1">
      <c r="C775" s="180"/>
    </row>
    <row r="776" ht="15.75" customHeight="1">
      <c r="C776" s="180"/>
    </row>
    <row r="777" ht="15.75" customHeight="1">
      <c r="C777" s="180"/>
    </row>
    <row r="778" ht="15.75" customHeight="1">
      <c r="C778" s="180"/>
    </row>
    <row r="779" ht="15.75" customHeight="1">
      <c r="C779" s="180"/>
    </row>
    <row r="780" ht="15.75" customHeight="1">
      <c r="C780" s="180"/>
    </row>
    <row r="781" ht="15.75" customHeight="1">
      <c r="C781" s="180"/>
    </row>
    <row r="782" ht="15.75" customHeight="1">
      <c r="C782" s="180"/>
    </row>
    <row r="783" ht="15.75" customHeight="1">
      <c r="C783" s="180"/>
    </row>
    <row r="784" ht="15.75" customHeight="1">
      <c r="C784" s="180"/>
    </row>
    <row r="785" ht="15.75" customHeight="1">
      <c r="C785" s="180"/>
    </row>
    <row r="786" ht="15.75" customHeight="1">
      <c r="C786" s="180"/>
    </row>
    <row r="787" ht="15.75" customHeight="1">
      <c r="C787" s="180"/>
    </row>
    <row r="788" ht="15.75" customHeight="1">
      <c r="C788" s="180"/>
    </row>
    <row r="789" ht="15.75" customHeight="1">
      <c r="C789" s="180"/>
    </row>
    <row r="790" ht="15.75" customHeight="1">
      <c r="C790" s="180"/>
    </row>
    <row r="791" ht="15.75" customHeight="1">
      <c r="C791" s="180"/>
    </row>
    <row r="792" ht="15.75" customHeight="1">
      <c r="C792" s="180"/>
    </row>
    <row r="793" ht="15.75" customHeight="1">
      <c r="C793" s="180"/>
    </row>
    <row r="794" ht="15.75" customHeight="1">
      <c r="C794" s="180"/>
    </row>
    <row r="795" ht="15.75" customHeight="1">
      <c r="C795" s="180"/>
    </row>
    <row r="796" ht="15.75" customHeight="1">
      <c r="C796" s="180"/>
    </row>
    <row r="797" ht="15.75" customHeight="1">
      <c r="C797" s="180"/>
    </row>
    <row r="798" ht="15.75" customHeight="1">
      <c r="C798" s="180"/>
    </row>
    <row r="799" ht="15.75" customHeight="1">
      <c r="C799" s="180"/>
    </row>
    <row r="800" ht="15.75" customHeight="1">
      <c r="C800" s="180"/>
    </row>
    <row r="801" ht="15.75" customHeight="1">
      <c r="C801" s="180"/>
    </row>
    <row r="802" ht="15.75" customHeight="1">
      <c r="C802" s="180"/>
    </row>
    <row r="803" ht="15.75" customHeight="1">
      <c r="C803" s="180"/>
    </row>
    <row r="804" ht="15.75" customHeight="1">
      <c r="C804" s="180"/>
    </row>
    <row r="805" ht="15.75" customHeight="1">
      <c r="C805" s="180"/>
    </row>
    <row r="806" ht="15.75" customHeight="1">
      <c r="C806" s="180"/>
    </row>
    <row r="807" ht="15.75" customHeight="1">
      <c r="C807" s="180"/>
    </row>
    <row r="808" ht="15.75" customHeight="1">
      <c r="C808" s="180"/>
    </row>
    <row r="809" ht="15.75" customHeight="1">
      <c r="C809" s="180"/>
    </row>
    <row r="810" ht="15.75" customHeight="1">
      <c r="C810" s="180"/>
    </row>
    <row r="811" ht="15.75" customHeight="1">
      <c r="C811" s="180"/>
    </row>
    <row r="812" ht="15.75" customHeight="1">
      <c r="C812" s="180"/>
    </row>
    <row r="813" ht="15.75" customHeight="1">
      <c r="C813" s="180"/>
    </row>
    <row r="814" ht="15.75" customHeight="1">
      <c r="C814" s="180"/>
    </row>
    <row r="815" ht="15.75" customHeight="1">
      <c r="C815" s="180"/>
    </row>
    <row r="816" ht="15.75" customHeight="1">
      <c r="C816" s="180"/>
    </row>
    <row r="817" ht="15.75" customHeight="1">
      <c r="C817" s="180"/>
    </row>
    <row r="818" ht="15.75" customHeight="1">
      <c r="C818" s="180"/>
    </row>
    <row r="819" ht="15.75" customHeight="1">
      <c r="C819" s="180"/>
    </row>
    <row r="820" ht="15.75" customHeight="1">
      <c r="C820" s="180"/>
    </row>
    <row r="821" ht="15.75" customHeight="1">
      <c r="C821" s="180"/>
    </row>
    <row r="822" ht="15.75" customHeight="1">
      <c r="C822" s="180"/>
    </row>
    <row r="823" ht="15.75" customHeight="1">
      <c r="C823" s="180"/>
    </row>
    <row r="824" ht="15.75" customHeight="1">
      <c r="C824" s="180"/>
    </row>
    <row r="825" ht="15.75" customHeight="1">
      <c r="C825" s="180"/>
    </row>
    <row r="826" ht="15.75" customHeight="1">
      <c r="C826" s="180"/>
    </row>
    <row r="827" ht="15.75" customHeight="1">
      <c r="C827" s="180"/>
    </row>
    <row r="828" ht="15.75" customHeight="1">
      <c r="C828" s="180"/>
    </row>
    <row r="829" ht="15.75" customHeight="1">
      <c r="C829" s="180"/>
    </row>
    <row r="830" ht="15.75" customHeight="1">
      <c r="C830" s="180"/>
    </row>
    <row r="831" ht="15.75" customHeight="1">
      <c r="C831" s="180"/>
    </row>
    <row r="832" ht="15.75" customHeight="1">
      <c r="C832" s="180"/>
    </row>
    <row r="833" ht="15.75" customHeight="1">
      <c r="C833" s="180"/>
    </row>
    <row r="834" ht="15.75" customHeight="1">
      <c r="C834" s="180"/>
    </row>
    <row r="835" ht="15.75" customHeight="1">
      <c r="C835" s="180"/>
    </row>
    <row r="836" ht="15.75" customHeight="1">
      <c r="C836" s="180"/>
    </row>
    <row r="837" ht="15.75" customHeight="1">
      <c r="C837" s="180"/>
    </row>
    <row r="838" ht="15.75" customHeight="1">
      <c r="C838" s="180"/>
    </row>
    <row r="839" ht="15.75" customHeight="1">
      <c r="C839" s="180"/>
    </row>
    <row r="840" ht="15.75" customHeight="1">
      <c r="C840" s="180"/>
    </row>
    <row r="841" ht="15.75" customHeight="1">
      <c r="C841" s="180"/>
    </row>
    <row r="842" ht="15.75" customHeight="1">
      <c r="C842" s="180"/>
    </row>
    <row r="843" ht="15.75" customHeight="1">
      <c r="C843" s="180"/>
    </row>
    <row r="844" ht="15.75" customHeight="1">
      <c r="C844" s="180"/>
    </row>
    <row r="845" ht="15.75" customHeight="1">
      <c r="C845" s="180"/>
    </row>
    <row r="846" ht="15.75" customHeight="1">
      <c r="C846" s="180"/>
    </row>
    <row r="847" ht="15.75" customHeight="1">
      <c r="C847" s="180"/>
    </row>
    <row r="848" ht="15.75" customHeight="1">
      <c r="C848" s="180"/>
    </row>
    <row r="849" ht="15.75" customHeight="1">
      <c r="C849" s="180"/>
    </row>
    <row r="850" ht="15.75" customHeight="1">
      <c r="C850" s="180"/>
    </row>
    <row r="851" ht="15.75" customHeight="1">
      <c r="C851" s="180"/>
    </row>
    <row r="852" ht="15.75" customHeight="1">
      <c r="C852" s="180"/>
    </row>
    <row r="853" ht="15.75" customHeight="1">
      <c r="C853" s="180"/>
    </row>
    <row r="854" ht="15.75" customHeight="1">
      <c r="C854" s="180"/>
    </row>
    <row r="855" ht="15.75" customHeight="1">
      <c r="C855" s="180"/>
    </row>
    <row r="856" ht="15.75" customHeight="1">
      <c r="C856" s="180"/>
    </row>
    <row r="857" ht="15.75" customHeight="1">
      <c r="C857" s="180"/>
    </row>
    <row r="858" ht="15.75" customHeight="1">
      <c r="C858" s="180"/>
    </row>
    <row r="859" ht="15.75" customHeight="1">
      <c r="C859" s="180"/>
    </row>
    <row r="860" ht="15.75" customHeight="1">
      <c r="C860" s="180"/>
    </row>
    <row r="861" ht="15.75" customHeight="1">
      <c r="C861" s="180"/>
    </row>
    <row r="862" ht="15.75" customHeight="1">
      <c r="C862" s="180"/>
    </row>
    <row r="863" ht="15.75" customHeight="1">
      <c r="C863" s="180"/>
    </row>
    <row r="864" ht="15.75" customHeight="1">
      <c r="C864" s="180"/>
    </row>
    <row r="865" ht="15.75" customHeight="1">
      <c r="C865" s="180"/>
    </row>
    <row r="866" ht="15.75" customHeight="1">
      <c r="C866" s="180"/>
    </row>
    <row r="867" ht="15.75" customHeight="1">
      <c r="C867" s="180"/>
    </row>
    <row r="868" ht="15.75" customHeight="1">
      <c r="C868" s="180"/>
    </row>
    <row r="869" ht="15.75" customHeight="1">
      <c r="C869" s="180"/>
    </row>
    <row r="870" ht="15.75" customHeight="1">
      <c r="C870" s="180"/>
    </row>
    <row r="871" ht="15.75" customHeight="1">
      <c r="C871" s="180"/>
    </row>
    <row r="872" ht="15.75" customHeight="1">
      <c r="C872" s="180"/>
    </row>
    <row r="873" ht="15.75" customHeight="1">
      <c r="C873" s="180"/>
    </row>
    <row r="874" ht="15.75" customHeight="1">
      <c r="C874" s="180"/>
    </row>
    <row r="875" ht="15.75" customHeight="1">
      <c r="C875" s="180"/>
    </row>
    <row r="876" ht="15.75" customHeight="1">
      <c r="C876" s="180"/>
    </row>
    <row r="877" ht="15.75" customHeight="1">
      <c r="C877" s="180"/>
    </row>
    <row r="878" ht="15.75" customHeight="1">
      <c r="C878" s="180"/>
    </row>
    <row r="879" ht="15.75" customHeight="1">
      <c r="C879" s="180"/>
    </row>
    <row r="880" ht="15.75" customHeight="1">
      <c r="C880" s="180"/>
    </row>
    <row r="881" ht="15.75" customHeight="1">
      <c r="C881" s="180"/>
    </row>
    <row r="882" ht="15.75" customHeight="1">
      <c r="C882" s="180"/>
    </row>
    <row r="883" ht="15.75" customHeight="1">
      <c r="C883" s="180"/>
    </row>
    <row r="884" ht="15.75" customHeight="1">
      <c r="C884" s="180"/>
    </row>
    <row r="885" ht="15.75" customHeight="1">
      <c r="C885" s="180"/>
    </row>
    <row r="886" ht="15.75" customHeight="1">
      <c r="C886" s="180"/>
    </row>
    <row r="887" ht="15.75" customHeight="1">
      <c r="C887" s="180"/>
    </row>
    <row r="888" ht="15.75" customHeight="1">
      <c r="C888" s="180"/>
    </row>
    <row r="889" ht="15.75" customHeight="1">
      <c r="C889" s="180"/>
    </row>
    <row r="890" ht="15.75" customHeight="1">
      <c r="C890" s="180"/>
    </row>
    <row r="891" ht="15.75" customHeight="1">
      <c r="C891" s="180"/>
    </row>
    <row r="892" ht="15.75" customHeight="1">
      <c r="C892" s="180"/>
    </row>
    <row r="893" ht="15.75" customHeight="1">
      <c r="C893" s="180"/>
    </row>
    <row r="894" ht="15.75" customHeight="1">
      <c r="C894" s="180"/>
    </row>
    <row r="895" ht="15.75" customHeight="1">
      <c r="C895" s="180"/>
    </row>
    <row r="896" ht="15.75" customHeight="1">
      <c r="C896" s="180"/>
    </row>
    <row r="897" ht="15.75" customHeight="1">
      <c r="C897" s="180"/>
    </row>
    <row r="898" ht="15.75" customHeight="1">
      <c r="C898" s="180"/>
    </row>
    <row r="899" ht="15.75" customHeight="1">
      <c r="C899" s="180"/>
    </row>
    <row r="900" ht="15.75" customHeight="1">
      <c r="C900" s="180"/>
    </row>
    <row r="901" ht="15.75" customHeight="1">
      <c r="C901" s="180"/>
    </row>
    <row r="902" ht="15.75" customHeight="1">
      <c r="C902" s="180"/>
    </row>
    <row r="903" ht="15.75" customHeight="1">
      <c r="C903" s="180"/>
    </row>
    <row r="904" ht="15.75" customHeight="1">
      <c r="C904" s="180"/>
    </row>
    <row r="905" ht="15.75" customHeight="1">
      <c r="C905" s="180"/>
    </row>
    <row r="906" ht="15.75" customHeight="1">
      <c r="C906" s="180"/>
    </row>
    <row r="907" ht="15.75" customHeight="1">
      <c r="C907" s="180"/>
    </row>
    <row r="908" ht="15.75" customHeight="1">
      <c r="C908" s="180"/>
    </row>
    <row r="909" ht="15.75" customHeight="1">
      <c r="C909" s="180"/>
    </row>
    <row r="910" ht="15.75" customHeight="1">
      <c r="C910" s="180"/>
    </row>
    <row r="911" ht="15.75" customHeight="1">
      <c r="C911" s="180"/>
    </row>
    <row r="912" ht="15.75" customHeight="1">
      <c r="C912" s="180"/>
    </row>
    <row r="913" ht="15.75" customHeight="1">
      <c r="C913" s="180"/>
    </row>
    <row r="914" ht="15.75" customHeight="1">
      <c r="C914" s="180"/>
    </row>
    <row r="915" ht="15.75" customHeight="1">
      <c r="C915" s="180"/>
    </row>
    <row r="916" ht="15.75" customHeight="1">
      <c r="C916" s="180"/>
    </row>
    <row r="917" ht="15.75" customHeight="1">
      <c r="C917" s="180"/>
    </row>
    <row r="918" ht="15.75" customHeight="1">
      <c r="C918" s="180"/>
    </row>
    <row r="919" ht="15.75" customHeight="1">
      <c r="C919" s="180"/>
    </row>
    <row r="920" ht="15.75" customHeight="1">
      <c r="C920" s="180"/>
    </row>
    <row r="921" ht="15.75" customHeight="1">
      <c r="C921" s="180"/>
    </row>
    <row r="922" ht="15.75" customHeight="1">
      <c r="C922" s="180"/>
    </row>
    <row r="923" ht="15.75" customHeight="1">
      <c r="C923" s="180"/>
    </row>
    <row r="924" ht="15.75" customHeight="1">
      <c r="C924" s="180"/>
    </row>
    <row r="925" ht="15.75" customHeight="1">
      <c r="C925" s="180"/>
    </row>
    <row r="926" ht="15.75" customHeight="1">
      <c r="C926" s="180"/>
    </row>
    <row r="927" ht="15.75" customHeight="1">
      <c r="C927" s="180"/>
    </row>
    <row r="928" ht="15.75" customHeight="1">
      <c r="C928" s="180"/>
    </row>
    <row r="929" ht="15.75" customHeight="1">
      <c r="C929" s="180"/>
    </row>
    <row r="930" ht="15.75" customHeight="1">
      <c r="C930" s="180"/>
    </row>
    <row r="931" ht="15.75" customHeight="1">
      <c r="C931" s="180"/>
    </row>
    <row r="932" ht="15.75" customHeight="1">
      <c r="C932" s="180"/>
    </row>
    <row r="933" ht="15.75" customHeight="1">
      <c r="C933" s="180"/>
    </row>
    <row r="934" ht="15.75" customHeight="1">
      <c r="C934" s="180"/>
    </row>
    <row r="935" ht="15.75" customHeight="1">
      <c r="C935" s="180"/>
    </row>
    <row r="936" ht="15.75" customHeight="1">
      <c r="C936" s="180"/>
    </row>
    <row r="937" ht="15.75" customHeight="1">
      <c r="C937" s="180"/>
    </row>
    <row r="938" ht="15.75" customHeight="1">
      <c r="C938" s="180"/>
    </row>
    <row r="939" ht="15.75" customHeight="1">
      <c r="C939" s="180"/>
    </row>
    <row r="940" ht="15.75" customHeight="1">
      <c r="C940" s="180"/>
    </row>
    <row r="941" ht="15.75" customHeight="1">
      <c r="C941" s="180"/>
    </row>
    <row r="942" ht="15.75" customHeight="1">
      <c r="C942" s="180"/>
    </row>
    <row r="943" ht="15.75" customHeight="1">
      <c r="C943" s="180"/>
    </row>
    <row r="944" ht="15.75" customHeight="1">
      <c r="C944" s="180"/>
    </row>
    <row r="945" ht="15.75" customHeight="1">
      <c r="C945" s="180"/>
    </row>
    <row r="946" ht="15.75" customHeight="1">
      <c r="C946" s="180"/>
    </row>
    <row r="947" ht="15.75" customHeight="1">
      <c r="C947" s="180"/>
    </row>
    <row r="948" ht="15.75" customHeight="1">
      <c r="C948" s="180"/>
    </row>
    <row r="949" ht="15.75" customHeight="1">
      <c r="C949" s="180"/>
    </row>
    <row r="950" ht="15.75" customHeight="1">
      <c r="C950" s="180"/>
    </row>
    <row r="951" ht="15.75" customHeight="1">
      <c r="C951" s="180"/>
    </row>
    <row r="952" ht="15.75" customHeight="1">
      <c r="C952" s="180"/>
    </row>
    <row r="953" ht="15.75" customHeight="1">
      <c r="C953" s="180"/>
    </row>
    <row r="954" ht="15.75" customHeight="1">
      <c r="C954" s="180"/>
    </row>
    <row r="955" ht="15.75" customHeight="1">
      <c r="C955" s="180"/>
    </row>
    <row r="956" ht="15.75" customHeight="1">
      <c r="C956" s="180"/>
    </row>
    <row r="957" ht="15.75" customHeight="1">
      <c r="C957" s="180"/>
    </row>
    <row r="958" ht="15.75" customHeight="1">
      <c r="C958" s="180"/>
    </row>
    <row r="959" ht="15.75" customHeight="1">
      <c r="C959" s="180"/>
    </row>
    <row r="960" ht="15.75" customHeight="1">
      <c r="C960" s="180"/>
    </row>
    <row r="961" ht="15.75" customHeight="1">
      <c r="C961" s="180"/>
    </row>
    <row r="962" ht="15.75" customHeight="1">
      <c r="C962" s="180"/>
    </row>
    <row r="963" ht="15.75" customHeight="1">
      <c r="C963" s="180"/>
    </row>
    <row r="964" ht="15.75" customHeight="1">
      <c r="C964" s="180"/>
    </row>
    <row r="965" ht="15.75" customHeight="1">
      <c r="C965" s="180"/>
    </row>
    <row r="966" ht="15.75" customHeight="1">
      <c r="C966" s="180"/>
    </row>
    <row r="967" ht="15.75" customHeight="1">
      <c r="C967" s="180"/>
    </row>
    <row r="968" ht="15.75" customHeight="1">
      <c r="C968" s="180"/>
    </row>
    <row r="969" ht="15.75" customHeight="1">
      <c r="C969" s="180"/>
    </row>
    <row r="970" ht="15.75" customHeight="1">
      <c r="C970" s="180"/>
    </row>
    <row r="971" ht="15.75" customHeight="1">
      <c r="C971" s="180"/>
    </row>
    <row r="972" ht="15.75" customHeight="1">
      <c r="C972" s="180"/>
    </row>
    <row r="973" ht="15.75" customHeight="1">
      <c r="C973" s="180"/>
    </row>
    <row r="974" ht="15.75" customHeight="1">
      <c r="C974" s="180"/>
    </row>
    <row r="975" ht="15.75" customHeight="1">
      <c r="C975" s="180"/>
    </row>
    <row r="976" ht="15.75" customHeight="1">
      <c r="C976" s="180"/>
    </row>
    <row r="977" ht="15.75" customHeight="1">
      <c r="C977" s="180"/>
    </row>
    <row r="978" ht="15.75" customHeight="1">
      <c r="C978" s="180"/>
    </row>
    <row r="979" ht="15.75" customHeight="1">
      <c r="C979" s="180"/>
    </row>
    <row r="980" ht="15.75" customHeight="1">
      <c r="C980" s="180"/>
    </row>
    <row r="981" ht="15.75" customHeight="1">
      <c r="C981" s="180"/>
    </row>
    <row r="982" ht="15.75" customHeight="1">
      <c r="C982" s="180"/>
    </row>
    <row r="983" ht="15.75" customHeight="1">
      <c r="C983" s="180"/>
    </row>
    <row r="984" ht="15.75" customHeight="1">
      <c r="C984" s="180"/>
    </row>
    <row r="985" ht="15.75" customHeight="1">
      <c r="C985" s="180"/>
    </row>
    <row r="986" ht="15.75" customHeight="1">
      <c r="C986" s="180"/>
    </row>
    <row r="987" ht="15.75" customHeight="1">
      <c r="C987" s="180"/>
    </row>
    <row r="988" ht="15.75" customHeight="1">
      <c r="C988" s="180"/>
    </row>
    <row r="989" ht="15.75" customHeight="1">
      <c r="C989" s="180"/>
    </row>
    <row r="990" ht="15.75" customHeight="1">
      <c r="C990" s="180"/>
    </row>
    <row r="991" ht="15.75" customHeight="1">
      <c r="C991" s="180"/>
    </row>
    <row r="992" ht="15.75" customHeight="1">
      <c r="C992" s="180"/>
    </row>
    <row r="993" ht="15.75" customHeight="1">
      <c r="C993" s="180"/>
    </row>
    <row r="994" ht="15.75" customHeight="1">
      <c r="C994" s="180"/>
    </row>
    <row r="995" ht="15.75" customHeight="1">
      <c r="C995" s="180"/>
    </row>
    <row r="996" ht="15.75" customHeight="1">
      <c r="C996" s="180"/>
    </row>
    <row r="997" ht="15.75" customHeight="1">
      <c r="C997" s="180"/>
    </row>
    <row r="998" ht="15.75" customHeight="1">
      <c r="C998" s="180"/>
    </row>
    <row r="999" ht="15.75" customHeight="1">
      <c r="C999" s="180"/>
    </row>
  </sheetData>
  <mergeCells count="127">
    <mergeCell ref="L18:M18"/>
    <mergeCell ref="L19:M19"/>
    <mergeCell ref="L11:M11"/>
    <mergeCell ref="L12:M12"/>
    <mergeCell ref="L13:M13"/>
    <mergeCell ref="L14:M14"/>
    <mergeCell ref="L15:M15"/>
    <mergeCell ref="L16:M16"/>
    <mergeCell ref="L17:M17"/>
    <mergeCell ref="A21:B21"/>
    <mergeCell ref="A22:B22"/>
    <mergeCell ref="A23:B23"/>
    <mergeCell ref="A24:B24"/>
    <mergeCell ref="A17:B17"/>
    <mergeCell ref="A18:B18"/>
    <mergeCell ref="A19:B19"/>
    <mergeCell ref="A20:B20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60:M60"/>
    <mergeCell ref="L61:M61"/>
    <mergeCell ref="L62:M62"/>
    <mergeCell ref="L63:M63"/>
    <mergeCell ref="L53:M53"/>
    <mergeCell ref="L54:M54"/>
    <mergeCell ref="L55:M55"/>
    <mergeCell ref="L56:M56"/>
    <mergeCell ref="L57:M57"/>
    <mergeCell ref="L58:M58"/>
    <mergeCell ref="L59:M59"/>
    <mergeCell ref="A25:B25"/>
    <mergeCell ref="A26:B26"/>
    <mergeCell ref="A27:B27"/>
    <mergeCell ref="A28:B28"/>
    <mergeCell ref="A29:B29"/>
    <mergeCell ref="A30:B30"/>
    <mergeCell ref="A31:B31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61:B61"/>
    <mergeCell ref="A62:B62"/>
    <mergeCell ref="A54:B54"/>
    <mergeCell ref="A55:B55"/>
    <mergeCell ref="A56:B56"/>
    <mergeCell ref="A57:B57"/>
    <mergeCell ref="A58:B58"/>
    <mergeCell ref="A59:B59"/>
    <mergeCell ref="A60:B60"/>
    <mergeCell ref="E5:E6"/>
    <mergeCell ref="F5:F6"/>
    <mergeCell ref="G5:G6"/>
    <mergeCell ref="H5:H6"/>
    <mergeCell ref="I5:I6"/>
    <mergeCell ref="J5:M5"/>
    <mergeCell ref="L6:M6"/>
    <mergeCell ref="A1:A3"/>
    <mergeCell ref="B1:L2"/>
    <mergeCell ref="B3:F3"/>
    <mergeCell ref="G3:M3"/>
    <mergeCell ref="A5:B6"/>
    <mergeCell ref="C5:C6"/>
    <mergeCell ref="D5:D6"/>
    <mergeCell ref="A7:B7"/>
    <mergeCell ref="L7:M7"/>
    <mergeCell ref="A8:B8"/>
    <mergeCell ref="L8:M8"/>
    <mergeCell ref="A9:B9"/>
    <mergeCell ref="L9:M9"/>
    <mergeCell ref="L10:M10"/>
    <mergeCell ref="A10:B10"/>
    <mergeCell ref="A11:B11"/>
    <mergeCell ref="A12:B12"/>
    <mergeCell ref="A13:B13"/>
    <mergeCell ref="A14:B14"/>
    <mergeCell ref="A15:B15"/>
    <mergeCell ref="A16:B16"/>
    <mergeCell ref="A32:B32"/>
    <mergeCell ref="L32:M32"/>
    <mergeCell ref="L33:M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29"/>
    <col customWidth="1" min="3" max="3" width="15.86"/>
    <col customWidth="1" min="4" max="6" width="10.71"/>
  </cols>
  <sheetData>
    <row r="1" ht="14.25" customHeight="1"/>
    <row r="2" ht="14.25" customHeight="1">
      <c r="A2" s="181" t="s">
        <v>147</v>
      </c>
      <c r="B2" s="13"/>
      <c r="C2" s="14"/>
    </row>
    <row r="3" ht="24.0" customHeight="1">
      <c r="A3" s="182" t="s">
        <v>148</v>
      </c>
      <c r="B3" s="182" t="s">
        <v>149</v>
      </c>
      <c r="C3" s="182" t="s">
        <v>150</v>
      </c>
    </row>
    <row r="4" ht="14.25" customHeight="1">
      <c r="A4" s="183">
        <v>0.0</v>
      </c>
      <c r="B4" s="183" t="s">
        <v>151</v>
      </c>
      <c r="C4" s="184">
        <v>45226.0</v>
      </c>
    </row>
    <row r="5" ht="14.25" customHeight="1">
      <c r="A5" s="185"/>
      <c r="B5" s="185"/>
      <c r="C5" s="185"/>
    </row>
    <row r="6" ht="14.25" customHeight="1">
      <c r="A6" s="185"/>
      <c r="B6" s="185"/>
      <c r="C6" s="185"/>
    </row>
    <row r="7" ht="14.25" customHeight="1">
      <c r="A7" s="185"/>
      <c r="B7" s="185"/>
      <c r="C7" s="185"/>
    </row>
    <row r="8" ht="14.25" customHeight="1">
      <c r="A8" s="185"/>
      <c r="B8" s="185"/>
      <c r="C8" s="185"/>
    </row>
    <row r="9" ht="14.25" customHeight="1">
      <c r="A9" s="185"/>
      <c r="B9" s="185"/>
      <c r="C9" s="185"/>
    </row>
    <row r="10" ht="14.25" customHeight="1">
      <c r="A10" s="185"/>
      <c r="B10" s="185"/>
      <c r="C10" s="18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paperSize="9" orientation="portrait"/>
  <drawing r:id="rId1"/>
</worksheet>
</file>