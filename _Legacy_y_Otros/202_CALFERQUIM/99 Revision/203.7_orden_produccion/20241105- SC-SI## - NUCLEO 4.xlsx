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C80C0773-DB2D-4709-AEDE-AFF360DA9EE3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<sst xmlns="http://schemas.openxmlformats.org/spreadsheetml/2006/main" count="97" uniqueCount="49">
  <si>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</si>
  <si>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</si>
  <si>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</si>
  <si>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</si>
  <si>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</si>
  <si>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</si>
  <si>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</si>
  <si>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</si>
  <si>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</si>
  <si>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</si>
  <si>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</si>
  <si>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</si>
  <si>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</si>
  <si>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</si>
  <si>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</si>
  <si>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</si>
  <si>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</si>
  <si>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</si>
  <si>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</si>
  <si>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</si>
  <si>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</si>
  <si>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</si>
  <si>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</si>
  <si>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</si>
  <si>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</si>
  <si>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</si>
  <si>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</si>
  <si>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</si>
  <si>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</si>
  <si>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</si>
  <si>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</si>
  <si>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</si>
  <si>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</si>
  <si>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</si>
  <si>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BM</t>
  </si>
  <si>
    <t>PRODUCTO</t>
  </si>
  <si>
    <t>LOTE</t>
  </si>
  <si>
    <t>NUCLEO 4</t>
  </si>
  <si>
    <t>G</t>
  </si>
  <si>
    <t>ANIBAL ARANGO</t>
  </si>
  <si>
    <t>MANUCHAR</t>
  </si>
  <si>
    <t>JULIAN SALDARRIAGA</t>
  </si>
  <si>
    <t>SILICATO DE MAGNESIO</t>
  </si>
  <si>
    <t>CAL DOLOMITA</t>
  </si>
  <si>
    <t>SULFATO DE CALCIO</t>
  </si>
  <si>
    <t>CARBONATO DE CALCIO</t>
  </si>
  <si>
    <t>KIESERITA</t>
  </si>
  <si>
    <t>AGROCALES</t>
  </si>
  <si>
    <t>65-051124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</si>
</sst>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Q22" sqref="Q22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35</v>
      </c>
      <c r="H6" s="81"/>
      <c r="I6" s="81"/>
      <c r="J6" s="81"/>
      <c r="K6" s="81"/>
      <c r="L6" s="81"/>
      <c r="M6" s="82"/>
      <c r="N6" s="80" t="s">
        <v>36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37</v>
      </c>
      <c r="H7" s="79"/>
      <c r="I7" s="79"/>
      <c r="J7" s="79"/>
      <c r="K7" s="79"/>
      <c r="L7" s="79"/>
      <c r="M7" s="79"/>
      <c r="N7" s="63" t="s">
        <v>48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44</v>
      </c>
      <c r="C17" s="44" t="s">
        <v>39</v>
      </c>
      <c r="D17" s="44"/>
      <c r="E17" s="46">
        <v>150</v>
      </c>
      <c r="F17" s="27">
        <f>E17/10</f>
        <v>15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40</v>
      </c>
      <c r="D18" s="44" t="s">
        <v>9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34</v>
      </c>
      <c r="D19" s="44" t="s">
        <v>38</v>
      </c>
      <c r="E19" s="46">
        <v>100</v>
      </c>
      <c r="F19" s="27">
        <f t="shared" si="1"/>
        <v>10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41</v>
      </c>
      <c r="D20" s="44" t="s">
        <v>38</v>
      </c>
      <c r="E20" s="46">
        <v>400</v>
      </c>
      <c r="F20" s="27">
        <f t="shared" si="1"/>
        <v>40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45</v>
      </c>
      <c r="C21" s="44" t="s">
        <v>47</v>
      </c>
      <c r="D21" s="44"/>
      <c r="E21" s="46">
        <v>250</v>
      </c>
      <c r="F21" s="27">
        <f t="shared" si="1"/>
        <v>25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150</v>
      </c>
      <c r="F35" s="62">
        <f t="shared" ref="F35:F40" si="2">E35/10</f>
        <v>15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CAL DOLOMITA</v>
      </c>
      <c r="C37" s="44" t="str">
        <f t="shared" si="7"/>
        <v>BM</v>
      </c>
      <c r="D37" s="44" t="str">
        <f t="shared" si="7"/>
        <v>G</v>
      </c>
      <c r="E37" s="46">
        <f t="shared" si="6"/>
        <v>100</v>
      </c>
      <c r="F37" s="46">
        <f t="shared" si="2"/>
        <v>10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 t="str">
        <f t="shared" si="7"/>
        <v>G</v>
      </c>
      <c r="E38" s="46">
        <f t="shared" si="6"/>
        <v>400</v>
      </c>
      <c r="F38" s="46">
        <f t="shared" si="2"/>
        <v>40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CARBONATO DE CALCIO</v>
      </c>
      <c r="C39" s="44" t="str">
        <f t="shared" si="7"/>
        <v>AGROCALES</v>
      </c>
      <c r="D39" s="44">
        <f t="shared" si="7"/>
        <v>0</v>
      </c>
      <c r="E39" s="46">
        <f t="shared" si="6"/>
        <v>250</v>
      </c>
      <c r="F39" s="46">
        <f t="shared" si="2"/>
        <v>25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2024-11-13T15:35:25Z</dcterms:modified>
</cp:coreProperties>
</file>