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CD5B2151-C995-405B-91ED-7492F8B01A57}" xr6:coauthVersionLast="47" xr6:coauthVersionMax="47" xr10:uidLastSave="{00000000-0000-0000-0000-000000000000}"/>
  <bookViews>
    <workbookView xWindow="-120" yWindow="-120" windowWidth="29040" windowHeight="16440" tabRatio="590" activeTab="1" xr2:uid="{7C9D0BAB-2AEE-4050-98DF-F88AB49179B9}"/>
  </bookViews>
  <sheets>
    <sheet name="entrada" sheetId="1" r:id="rId1"/>
    <sheet name="RAIFOS2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" l="1"/>
  <c r="F21" i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<sst xmlns="http://schemas.openxmlformats.org/spreadsheetml/2006/main" count="140" uniqueCount="65">
  <si>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</si>
  <si>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</si>
  <si>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</si>
  <si>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</si>
  <si>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</si>
  <si>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</si>
  <si>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</si>
  <si>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</si>
  <si>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</si>
  <si>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</si>
  <si>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</si>
  <si>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</si>
  <si>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</si>
  <si>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</si>
  <si>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</si>
  <si>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</si>
  <si>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</si>
  <si>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</si>
  <si>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</si>
  <si>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</si>
  <si>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</si>
  <si>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</si>
  <si>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</si>
  <si>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</si>
  <si>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</si>
  <si>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</si>
  <si>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</si>
  <si>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</si>
  <si>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</si>
  <si>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</si>
  <si>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</si>
  <si>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</si>
  <si>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</si>
  <si>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</si>
  <si>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</si>
  <si>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</si>
  <si>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G</t>
  </si>
  <si>
    <t>JULIAN SALDARRIAGA</t>
  </si>
  <si>
    <t>ROCA FOSFORICA</t>
  </si>
  <si>
    <t>SILICATO DE MAGNESIO</t>
  </si>
  <si>
    <t>FOSFATOS HUILA</t>
  </si>
  <si>
    <t>RAIFOS 20</t>
  </si>
  <si>
    <t>155-290724</t>
  </si>
  <si>
    <t>KIESERITA</t>
  </si>
  <si>
    <t>MANUCHAR</t>
  </si>
  <si>
    <t>MAP TECNICO</t>
  </si>
  <si>
    <t>LEONARDITA</t>
  </si>
  <si>
    <t>MANUELITA</t>
  </si>
  <si>
    <t>ATEQUIMICOS</t>
  </si>
  <si>
    <t>BIORGANIK</t>
  </si>
  <si>
    <t>MATERIA_PRIMA</t>
  </si>
  <si>
    <t>RAIFOS20</t>
  </si>
  <si>
    <t>CANTIDAD-TON</t>
  </si>
  <si>
    <t>SULFATO ZINC 22</t>
  </si>
  <si>
    <t>SULFATO DE ZINC AL 35%</t>
  </si>
  <si>
    <t>CARBONATO CALCIO</t>
  </si>
  <si>
    <t>KIESERITA POLVO</t>
  </si>
  <si>
    <t>CAOLIN GRIS</t>
  </si>
  <si>
    <t>AGROCALES</t>
  </si>
  <si>
    <t>HENRY CORONADO</t>
  </si>
  <si>
    <t>ULEXITA</t>
  </si>
  <si>
    <t>FERTICAUCA</t>
  </si>
  <si>
    <t>BENTONITA GRIS</t>
  </si>
  <si>
    <t>BORO GRANULADO</t>
  </si>
  <si>
    <t>SULFATO ZINC 22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</si>
</sst>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23" xfId="0" applyBorder="1"/>
    <xf numFmtId="0" fontId="0" fillId="2" borderId="23" xfId="0" applyFill="1" applyBorder="1" applyAlignment="1">
      <alignment horizontal="center" vertical="center"/>
    </xf>
    <xf numFmtId="0" fontId="0" fillId="2" borderId="38" xfId="0" applyFill="1" applyBorder="1" applyAlignment="1"/>
    <xf numFmtId="0" fontId="0" fillId="2" borderId="39" xfId="0" applyFill="1" applyBorder="1" applyAlignment="1"/>
    <xf numFmtId="0" fontId="0" fillId="2" borderId="40" xfId="0" applyFill="1" applyBorder="1" applyAlignment="1"/>
    <xf numFmtId="0" fontId="3" fillId="2" borderId="23" xfId="0" applyFont="1" applyFill="1" applyBorder="1"/>
    <xf numFmtId="0" fontId="4" fillId="0" borderId="15" xfId="0" applyFont="1" applyBorder="1" applyAlignment="1">
      <alignment horizontal="left"/>
    </xf>
    <xf numFmtId="0" fontId="0" fillId="0" borderId="23" xfId="0" applyBorder="1" applyAlignment="1"/>
    <xf numFmtId="0" fontId="4" fillId="0" borderId="15" xfId="0" applyFont="1" applyBorder="1" applyAlignment="1"/>
    <xf numFmtId="0" fontId="0" fillId="2" borderId="15" xfId="0" applyFill="1" applyBorder="1" applyAlignment="1">
      <alignment vertical="center"/>
    </xf>
  </cellXfs>
  <cellStyles count="1">
    <cellStyle name="Normal" xfId="0" builtinId="0"/>
  </cellStyles>
  <dxfs count="6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66" dataDxfId="64" headerRowBorderDxfId="65" tableBorderDxfId="63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62">
      <calculatedColumnFormula>B17</calculatedColumnFormula>
    </tableColumn>
    <tableColumn id="25" xr3:uid="{884606E3-7CE2-45C3-97BD-6CF08F8EEA9A}" name="PROVEEDOR" dataDxfId="61">
      <calculatedColumnFormula>C17</calculatedColumnFormula>
    </tableColumn>
    <tableColumn id="24" xr3:uid="{D0ACCF2F-C590-4F61-BFF0-DE4F6960D58D}" name="TIPO" dataDxfId="60">
      <calculatedColumnFormula>D17</calculatedColumnFormula>
    </tableColumn>
    <tableColumn id="2" xr3:uid="{AE74D918-DF3F-499C-8E04-946F506AE009}" name="kg / Ton" dataDxfId="59">
      <calculatedColumnFormula>E17</calculatedColumnFormula>
    </tableColumn>
    <tableColumn id="3" xr3:uid="{9F26846A-CE6E-4CFC-8327-03BEDE1F6186}" name="%/100 kg" dataDxfId="58">
      <calculatedColumnFormula>E35/10</calculatedColumnFormula>
    </tableColumn>
    <tableColumn id="4" xr3:uid="{4ABF355D-C14A-4662-A478-F12F186D7982}" name="C" dataDxfId="57">
      <calculatedColumnFormula>IF(G17="","",G17*$F17/$F$32)</calculatedColumnFormula>
    </tableColumn>
    <tableColumn id="5" xr3:uid="{567CCF88-2D3C-480B-BD19-F5F6D1039C60}" name="N" dataDxfId="56">
      <calculatedColumnFormula>IF(H17="","",SUM(I35:L35))</calculatedColumnFormula>
    </tableColumn>
    <tableColumn id="6" xr3:uid="{CCA2EC60-397B-4D2B-A5A8-FD633E13D6ED}" name="N-NH4" dataDxfId="55">
      <calculatedColumnFormula>IF(I17="","",I17*$F17/$F$32)</calculatedColumnFormula>
    </tableColumn>
    <tableColumn id="7" xr3:uid="{CD8D4980-2855-4825-B850-88627A3B5AD0}" name="N-NO3" dataDxfId="54">
      <calculatedColumnFormula>IF(J17="","",J17*$F17/$F$32)</calculatedColumnFormula>
    </tableColumn>
    <tableColumn id="8" xr3:uid="{56B106F1-A054-438D-8908-EB1DE964A89F}" name="N-org" dataDxfId="53">
      <calculatedColumnFormula>IF(K17="","",K17*$F17/$F$32)</calculatedColumnFormula>
    </tableColumn>
    <tableColumn id="9" xr3:uid="{DDFB1EF0-5869-478D-8CE0-CE1192E57980}" name="N-ur" dataDxfId="52">
      <calculatedColumnFormula>IF(L17="","",L17*$F17/$F$32)</calculatedColumnFormula>
    </tableColumn>
    <tableColumn id="10" xr3:uid="{C2148EBA-5086-445E-9A76-4625EF4D7F0B}" name="P" dataDxfId="51">
      <calculatedColumnFormula>IF(M17="","",M17*$F17/$F$32)</calculatedColumnFormula>
    </tableColumn>
    <tableColumn id="11" xr3:uid="{C6702B72-B92E-47C6-8674-8AA34DC5109A}" name="K" dataDxfId="50">
      <calculatedColumnFormula>IF(N17="","",N17*$F17/$F$32)</calculatedColumnFormula>
    </tableColumn>
    <tableColumn id="12" xr3:uid="{98B147E2-3129-4605-966E-0306061FA52F}" name="CaO" dataDxfId="49">
      <calculatedColumnFormula>IF(O17="","",O17*$F17/$F$32)</calculatedColumnFormula>
    </tableColumn>
    <tableColumn id="13" xr3:uid="{597C000A-F1BD-4EC3-8BB1-208C87CA5BCF}" name="MgO" dataDxfId="48">
      <calculatedColumnFormula>IF(P17="","",P17*$F17/$F$32)</calculatedColumnFormula>
    </tableColumn>
    <tableColumn id="14" xr3:uid="{39144FCD-1386-49C1-AB81-3BDF8B053A75}" name="S" dataDxfId="47">
      <calculatedColumnFormula>IF(Q17="","",Q17*$F17/$F$32)</calculatedColumnFormula>
    </tableColumn>
    <tableColumn id="15" xr3:uid="{77CFDAA6-18DB-4633-85DD-0CACCF938731}" name="B" dataDxfId="46">
      <calculatedColumnFormula>IF(R17="","",R17*$F17/$F$32)</calculatedColumnFormula>
    </tableColumn>
    <tableColumn id="16" xr3:uid="{2F8A72EE-86CB-454F-8E6B-187019CAE218}" name="Co" dataDxfId="45">
      <calculatedColumnFormula>IF(S17="","",S17*$F17/$F$32)</calculatedColumnFormula>
    </tableColumn>
    <tableColumn id="17" xr3:uid="{553C86FB-9920-440B-9C30-69E051FC9BEC}" name="Cu" dataDxfId="44">
      <calculatedColumnFormula>IF(T17="","",T17*$F17/$F$32)</calculatedColumnFormula>
    </tableColumn>
    <tableColumn id="18" xr3:uid="{5F5848B1-83A3-42E2-9121-20D37782F611}" name="Fe" dataDxfId="43">
      <calculatedColumnFormula>IF(U17="","",U17*$F17/$F$32)</calculatedColumnFormula>
    </tableColumn>
    <tableColumn id="19" xr3:uid="{B6224F62-519B-4357-B907-E3BDE03BDDE7}" name="Mn" dataDxfId="42">
      <calculatedColumnFormula>IF(V17="","",V17*$F17/$F$32)</calculatedColumnFormula>
    </tableColumn>
    <tableColumn id="20" xr3:uid="{4EEB8055-52E4-48A3-AD84-778B40D7D184}" name="Mo" dataDxfId="41">
      <calculatedColumnFormula>IF(W17="","",W17*$F17/$F$32)</calculatedColumnFormula>
    </tableColumn>
    <tableColumn id="21" xr3:uid="{84F23676-EF56-45DC-AF5E-04130A9E43E2}" name="SiO2" dataDxfId="40">
      <calculatedColumnFormula>IF(X17="","",X17*$F17/$F$32)</calculatedColumnFormula>
    </tableColumn>
    <tableColumn id="22" xr3:uid="{F5E07346-4680-4E5F-B7BE-274A82BAD724}" name="Zn" dataDxfId="39">
      <calculatedColumnFormula>IF(Y17="","",Y17*$F17/$F$32)</calculatedColumnFormula>
    </tableColumn>
    <tableColumn id="23" xr3:uid="{3AC0C550-5041-472C-8AD1-BD81835AA9E9}" name="Na" dataDxfId="38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opLeftCell="B1" zoomScale="85" zoomScaleNormal="85" workbookViewId="0">
      <selection activeCell="B17" sqref="B17:E22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80" t="s">
        <v>27</v>
      </c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9"/>
      <c r="U2" s="81" t="s">
        <v>24</v>
      </c>
      <c r="V2" s="82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1" t="s">
        <v>25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4"/>
      <c r="U3" s="81" t="s">
        <v>24</v>
      </c>
      <c r="V3" s="82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77" t="s">
        <v>34</v>
      </c>
      <c r="H6" s="78"/>
      <c r="I6" s="78"/>
      <c r="J6" s="78"/>
      <c r="K6" s="78"/>
      <c r="L6" s="78"/>
      <c r="M6" s="79"/>
      <c r="N6" s="77" t="s">
        <v>35</v>
      </c>
      <c r="O6" s="78"/>
      <c r="P6" s="78"/>
      <c r="Q6" s="78"/>
      <c r="R6" s="78"/>
      <c r="S6" s="78"/>
      <c r="T6" s="79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2" t="s">
        <v>41</v>
      </c>
      <c r="H7" s="73"/>
      <c r="I7" s="73"/>
      <c r="J7" s="73"/>
      <c r="K7" s="73"/>
      <c r="L7" s="73"/>
      <c r="M7" s="73"/>
      <c r="N7" s="74" t="s">
        <v>42</v>
      </c>
      <c r="O7" s="75"/>
      <c r="P7" s="75"/>
      <c r="Q7" s="75"/>
      <c r="R7" s="75"/>
      <c r="S7" s="75"/>
      <c r="T7" s="76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65" t="s">
        <v>29</v>
      </c>
      <c r="C9" s="66"/>
      <c r="D9" s="66"/>
      <c r="E9" s="66"/>
      <c r="F9" s="66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3" t="s">
        <v>28</v>
      </c>
      <c r="C10" s="64"/>
      <c r="D10" s="64"/>
      <c r="E10" s="64"/>
      <c r="F10" s="64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67" t="s">
        <v>30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9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74" t="s">
        <v>33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6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43</v>
      </c>
      <c r="C17" s="44" t="s">
        <v>44</v>
      </c>
      <c r="D17" s="44" t="s">
        <v>9</v>
      </c>
      <c r="E17" s="46">
        <v>50</v>
      </c>
      <c r="F17" s="27">
        <f>E17/10</f>
        <v>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39</v>
      </c>
      <c r="C18" s="44" t="s">
        <v>37</v>
      </c>
      <c r="D18" s="44" t="s">
        <v>9</v>
      </c>
      <c r="E18" s="46">
        <v>90</v>
      </c>
      <c r="F18" s="27">
        <f t="shared" ref="F18:F31" si="1">E18/10</f>
        <v>9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45</v>
      </c>
      <c r="C19" s="44" t="s">
        <v>48</v>
      </c>
      <c r="D19" s="44" t="s">
        <v>36</v>
      </c>
      <c r="E19" s="46">
        <v>50</v>
      </c>
      <c r="F19" s="27">
        <f t="shared" si="1"/>
        <v>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46</v>
      </c>
      <c r="C20" s="44"/>
      <c r="D20" s="44" t="s">
        <v>36</v>
      </c>
      <c r="E20" s="46">
        <v>100</v>
      </c>
      <c r="F20" s="27">
        <f t="shared" si="1"/>
        <v>10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38</v>
      </c>
      <c r="C21" s="44" t="s">
        <v>40</v>
      </c>
      <c r="D21" s="44"/>
      <c r="E21" s="46">
        <v>650</v>
      </c>
      <c r="F21" s="27">
        <f t="shared" si="1"/>
        <v>65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49</v>
      </c>
      <c r="C22" s="44" t="s">
        <v>47</v>
      </c>
      <c r="D22" s="44"/>
      <c r="E22" s="46">
        <v>60</v>
      </c>
      <c r="F22" s="27">
        <f t="shared" si="1"/>
        <v>6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KIESERITA</v>
      </c>
      <c r="C35" s="44" t="str">
        <f>C17</f>
        <v>MANUCHAR</v>
      </c>
      <c r="D35" s="44" t="str">
        <f>D17</f>
        <v>P</v>
      </c>
      <c r="E35" s="46">
        <f>E17</f>
        <v>50</v>
      </c>
      <c r="F35" s="62">
        <f t="shared" ref="F35:F40" si="2">E35/10</f>
        <v>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SILICATO DE MAGNESIO</v>
      </c>
      <c r="C36" s="44" t="str">
        <f t="shared" ref="C36:D49" si="7">C18</f>
        <v>JULIAN SALDARRIAGA</v>
      </c>
      <c r="D36" s="44" t="str">
        <f t="shared" si="7"/>
        <v>P</v>
      </c>
      <c r="E36" s="46">
        <f t="shared" si="6"/>
        <v>90</v>
      </c>
      <c r="F36" s="46">
        <f t="shared" si="2"/>
        <v>9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MAP TECNICO</v>
      </c>
      <c r="C37" s="44" t="str">
        <f t="shared" si="7"/>
        <v>ATEQUIMICOS</v>
      </c>
      <c r="D37" s="44" t="str">
        <f t="shared" si="7"/>
        <v>G</v>
      </c>
      <c r="E37" s="46">
        <f t="shared" si="6"/>
        <v>50</v>
      </c>
      <c r="F37" s="46">
        <f t="shared" si="2"/>
        <v>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LEONARDITA</v>
      </c>
      <c r="C38" s="44">
        <f t="shared" si="7"/>
        <v>0</v>
      </c>
      <c r="D38" s="44" t="str">
        <f t="shared" si="7"/>
        <v>G</v>
      </c>
      <c r="E38" s="46">
        <f t="shared" si="6"/>
        <v>100</v>
      </c>
      <c r="F38" s="46">
        <f t="shared" si="2"/>
        <v>10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ROCA FOSFORICA</v>
      </c>
      <c r="C39" s="44" t="str">
        <f t="shared" si="7"/>
        <v>FOSFATOS HUILA</v>
      </c>
      <c r="D39" s="44">
        <f t="shared" si="7"/>
        <v>0</v>
      </c>
      <c r="E39" s="46">
        <f t="shared" si="6"/>
        <v>650</v>
      </c>
      <c r="F39" s="46">
        <f t="shared" si="2"/>
        <v>65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BIORGANIK</v>
      </c>
      <c r="C40" s="44" t="str">
        <f t="shared" si="7"/>
        <v>MANUELITA</v>
      </c>
      <c r="D40" s="44">
        <f t="shared" si="7"/>
        <v>0</v>
      </c>
      <c r="E40" s="46">
        <f t="shared" si="6"/>
        <v>60</v>
      </c>
      <c r="F40" s="46">
        <f t="shared" si="2"/>
        <v>6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37" priority="37" operator="equal">
      <formula>0</formula>
    </cfRule>
    <cfRule type="containsBlanks" dxfId="36" priority="38">
      <formula>LEN(TRIM(G36))=0</formula>
    </cfRule>
  </conditionalFormatting>
  <conditionalFormatting sqref="G36:Z40">
    <cfRule type="cellIs" dxfId="35" priority="30" operator="equal">
      <formula>0</formula>
    </cfRule>
    <cfRule type="containsBlanks" dxfId="34" priority="31">
      <formula>LEN(TRIM(G36))=0</formula>
    </cfRule>
  </conditionalFormatting>
  <conditionalFormatting sqref="G36:Z40">
    <cfRule type="notContainsBlanks" dxfId="33" priority="29">
      <formula>LEN(TRIM(G36))&gt;0</formula>
    </cfRule>
  </conditionalFormatting>
  <conditionalFormatting sqref="G35">
    <cfRule type="cellIs" dxfId="32" priority="27" operator="equal">
      <formula>0</formula>
    </cfRule>
    <cfRule type="containsBlanks" dxfId="31" priority="28">
      <formula>LEN(TRIM(G35))=0</formula>
    </cfRule>
  </conditionalFormatting>
  <conditionalFormatting sqref="G35">
    <cfRule type="notContainsBlanks" dxfId="30" priority="26">
      <formula>LEN(TRIM(G35))&gt;0</formula>
    </cfRule>
  </conditionalFormatting>
  <conditionalFormatting sqref="H35">
    <cfRule type="cellIs" dxfId="29" priority="24" operator="equal">
      <formula>0</formula>
    </cfRule>
    <cfRule type="containsBlanks" dxfId="28" priority="25">
      <formula>LEN(TRIM(H35))=0</formula>
    </cfRule>
  </conditionalFormatting>
  <conditionalFormatting sqref="H35">
    <cfRule type="notContainsBlanks" dxfId="27" priority="23">
      <formula>LEN(TRIM(H35))&gt;0</formula>
    </cfRule>
  </conditionalFormatting>
  <conditionalFormatting sqref="I35:Z35">
    <cfRule type="cellIs" dxfId="26" priority="21" operator="equal">
      <formula>0</formula>
    </cfRule>
    <cfRule type="containsBlanks" dxfId="25" priority="22">
      <formula>LEN(TRIM(I35))=0</formula>
    </cfRule>
  </conditionalFormatting>
  <conditionalFormatting sqref="I35:Z35">
    <cfRule type="notContainsBlanks" dxfId="24" priority="20">
      <formula>LEN(TRIM(I35))&gt;0</formula>
    </cfRule>
  </conditionalFormatting>
  <conditionalFormatting sqref="G41:Z49">
    <cfRule type="cellIs" dxfId="23" priority="12" operator="equal">
      <formula>0</formula>
    </cfRule>
    <cfRule type="containsBlanks" dxfId="22" priority="13">
      <formula>LEN(TRIM(G41))=0</formula>
    </cfRule>
  </conditionalFormatting>
  <conditionalFormatting sqref="G41:Z49">
    <cfRule type="cellIs" dxfId="21" priority="10" operator="equal">
      <formula>0</formula>
    </cfRule>
    <cfRule type="containsBlanks" dxfId="20" priority="11">
      <formula>LEN(TRIM(G41))=0</formula>
    </cfRule>
  </conditionalFormatting>
  <conditionalFormatting sqref="G41:Z49">
    <cfRule type="notContainsBlanks" dxfId="19" priority="9">
      <formula>LEN(TRIM(G41))&gt;0</formula>
    </cfRule>
  </conditionalFormatting>
  <conditionalFormatting sqref="B35:F49">
    <cfRule type="cellIs" dxfId="18" priority="8" operator="equal">
      <formula>0</formula>
    </cfRule>
  </conditionalFormatting>
  <conditionalFormatting sqref="G9:Z10">
    <cfRule type="cellIs" dxfId="17" priority="7" operator="equal">
      <formula>0</formula>
    </cfRule>
  </conditionalFormatting>
  <conditionalFormatting sqref="C35:C49">
    <cfRule type="cellIs" dxfId="16" priority="6" operator="equal">
      <formula>0</formula>
    </cfRule>
  </conditionalFormatting>
  <conditionalFormatting sqref="D35:D49">
    <cfRule type="cellIs" dxfId="15" priority="5" operator="equal">
      <formula>0</formula>
    </cfRule>
  </conditionalFormatting>
  <conditionalFormatting sqref="B17:F31">
    <cfRule type="cellIs" dxfId="14" priority="4" operator="equal">
      <formula>0</formula>
    </cfRule>
  </conditionalFormatting>
  <conditionalFormatting sqref="C17:C31">
    <cfRule type="cellIs" dxfId="13" priority="3" operator="equal">
      <formula>0</formula>
    </cfRule>
  </conditionalFormatting>
  <conditionalFormatting sqref="D17:D31">
    <cfRule type="cellIs" dxfId="12" priority="2" operator="equal">
      <formula>0</formula>
    </cfRule>
  </conditionalFormatting>
  <conditionalFormatting sqref="G16:Z31">
    <cfRule type="containsBlanks" dxfId="11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2536-A66D-4C62-987E-3517BD43D43D}">
  <dimension ref="A1:F22"/>
  <sheetViews>
    <sheetView tabSelected="1" workbookViewId="0">
      <selection activeCell="B2" sqref="B2:E19"/>
    </sheetView>
  </sheetViews>
  <sheetFormatPr baseColWidth="10" defaultRowHeight="19.5" x14ac:dyDescent="0.45"/>
  <cols>
    <col min="2" max="2" width="16.6640625" bestFit="1" customWidth="1"/>
    <col min="3" max="3" width="21.44140625" bestFit="1" customWidth="1"/>
    <col min="4" max="4" width="18.21875" bestFit="1" customWidth="1"/>
    <col min="5" max="5" width="14" bestFit="1" customWidth="1"/>
  </cols>
  <sheetData>
    <row r="1" spans="1:6" x14ac:dyDescent="0.45">
      <c r="A1" s="24"/>
      <c r="B1" s="24"/>
      <c r="C1" s="24"/>
      <c r="D1" s="24"/>
      <c r="E1" s="24"/>
      <c r="F1" s="24"/>
    </row>
    <row r="2" spans="1:6" x14ac:dyDescent="0.45">
      <c r="A2" s="24"/>
      <c r="B2" s="88" t="s">
        <v>34</v>
      </c>
      <c r="C2" s="88" t="s">
        <v>50</v>
      </c>
      <c r="D2" s="88" t="s">
        <v>31</v>
      </c>
      <c r="E2" s="88" t="s">
        <v>52</v>
      </c>
      <c r="F2" s="24"/>
    </row>
    <row r="3" spans="1:6" x14ac:dyDescent="0.45">
      <c r="A3" s="24"/>
      <c r="B3" s="85" t="s">
        <v>51</v>
      </c>
      <c r="C3" s="19" t="s">
        <v>43</v>
      </c>
      <c r="D3" s="19" t="s">
        <v>44</v>
      </c>
      <c r="E3" s="84">
        <v>50</v>
      </c>
      <c r="F3" s="24"/>
    </row>
    <row r="4" spans="1:6" x14ac:dyDescent="0.45">
      <c r="A4" s="24"/>
      <c r="B4" s="86"/>
      <c r="C4" s="19" t="s">
        <v>39</v>
      </c>
      <c r="D4" s="19" t="s">
        <v>37</v>
      </c>
      <c r="E4" s="84">
        <v>90</v>
      </c>
      <c r="F4" s="24"/>
    </row>
    <row r="5" spans="1:6" x14ac:dyDescent="0.45">
      <c r="A5" s="24"/>
      <c r="B5" s="86"/>
      <c r="C5" s="19" t="s">
        <v>45</v>
      </c>
      <c r="D5" s="19" t="s">
        <v>48</v>
      </c>
      <c r="E5" s="84">
        <v>50</v>
      </c>
      <c r="F5" s="24"/>
    </row>
    <row r="6" spans="1:6" x14ac:dyDescent="0.45">
      <c r="A6" s="24"/>
      <c r="B6" s="86"/>
      <c r="C6" s="19" t="s">
        <v>46</v>
      </c>
      <c r="D6" s="19"/>
      <c r="E6" s="84">
        <v>100</v>
      </c>
      <c r="F6" s="24"/>
    </row>
    <row r="7" spans="1:6" x14ac:dyDescent="0.45">
      <c r="A7" s="24"/>
      <c r="B7" s="86"/>
      <c r="C7" s="19" t="s">
        <v>38</v>
      </c>
      <c r="D7" s="19" t="s">
        <v>40</v>
      </c>
      <c r="E7" s="84">
        <v>650</v>
      </c>
      <c r="F7" s="24"/>
    </row>
    <row r="8" spans="1:6" x14ac:dyDescent="0.45">
      <c r="A8" s="24"/>
      <c r="B8" s="87"/>
      <c r="C8" s="19" t="s">
        <v>49</v>
      </c>
      <c r="D8" s="19" t="s">
        <v>47</v>
      </c>
      <c r="E8" s="84">
        <v>60</v>
      </c>
      <c r="F8" s="24"/>
    </row>
    <row r="9" spans="1:6" x14ac:dyDescent="0.45">
      <c r="A9" s="24"/>
      <c r="B9" s="85" t="s">
        <v>53</v>
      </c>
      <c r="C9" s="19" t="s">
        <v>54</v>
      </c>
      <c r="D9" s="19" t="s">
        <v>48</v>
      </c>
      <c r="E9" s="84">
        <v>650</v>
      </c>
      <c r="F9" s="24"/>
    </row>
    <row r="10" spans="1:6" x14ac:dyDescent="0.45">
      <c r="A10" s="24"/>
      <c r="B10" s="86"/>
      <c r="C10" s="19" t="s">
        <v>55</v>
      </c>
      <c r="D10" s="19" t="s">
        <v>58</v>
      </c>
      <c r="E10" s="84">
        <v>100</v>
      </c>
      <c r="F10" s="24"/>
    </row>
    <row r="11" spans="1:6" x14ac:dyDescent="0.45">
      <c r="A11" s="24"/>
      <c r="B11" s="86"/>
      <c r="C11" s="19" t="s">
        <v>43</v>
      </c>
      <c r="D11" s="19" t="s">
        <v>44</v>
      </c>
      <c r="E11" s="84">
        <v>50</v>
      </c>
      <c r="F11" s="24"/>
    </row>
    <row r="12" spans="1:6" x14ac:dyDescent="0.45">
      <c r="A12" s="24"/>
      <c r="B12" s="87"/>
      <c r="C12" s="19" t="s">
        <v>57</v>
      </c>
      <c r="D12" s="19" t="s">
        <v>59</v>
      </c>
      <c r="E12" s="84">
        <v>200</v>
      </c>
      <c r="F12" s="24"/>
    </row>
    <row r="13" spans="1:6" x14ac:dyDescent="0.45">
      <c r="A13" s="24"/>
      <c r="B13" s="85" t="s">
        <v>64</v>
      </c>
      <c r="C13" s="92" t="s">
        <v>54</v>
      </c>
      <c r="D13" s="19" t="s">
        <v>48</v>
      </c>
      <c r="E13" s="84">
        <v>675</v>
      </c>
      <c r="F13" s="24"/>
    </row>
    <row r="14" spans="1:6" x14ac:dyDescent="0.45">
      <c r="A14" s="24"/>
      <c r="B14" s="86"/>
      <c r="C14" s="92" t="s">
        <v>55</v>
      </c>
      <c r="D14" s="19" t="s">
        <v>58</v>
      </c>
      <c r="E14" s="84">
        <v>75</v>
      </c>
      <c r="F14" s="24"/>
    </row>
    <row r="15" spans="1:6" x14ac:dyDescent="0.45">
      <c r="A15" s="24"/>
      <c r="B15" s="86"/>
      <c r="C15" s="92" t="s">
        <v>56</v>
      </c>
      <c r="D15" s="19" t="s">
        <v>44</v>
      </c>
      <c r="E15" s="84">
        <v>50</v>
      </c>
      <c r="F15" s="24"/>
    </row>
    <row r="16" spans="1:6" x14ac:dyDescent="0.45">
      <c r="A16" s="24"/>
      <c r="B16" s="86"/>
      <c r="C16" s="92" t="s">
        <v>62</v>
      </c>
      <c r="D16" s="19" t="s">
        <v>61</v>
      </c>
      <c r="E16" s="84">
        <v>200</v>
      </c>
      <c r="F16" s="24"/>
    </row>
    <row r="17" spans="1:6" x14ac:dyDescent="0.45">
      <c r="A17" s="24"/>
      <c r="B17" s="85" t="s">
        <v>63</v>
      </c>
      <c r="C17" s="91" t="s">
        <v>60</v>
      </c>
      <c r="D17" s="90" t="s">
        <v>48</v>
      </c>
      <c r="E17" s="84">
        <v>850</v>
      </c>
      <c r="F17" s="24"/>
    </row>
    <row r="18" spans="1:6" x14ac:dyDescent="0.45">
      <c r="A18" s="24"/>
      <c r="B18" s="86"/>
      <c r="C18" s="89" t="s">
        <v>62</v>
      </c>
      <c r="D18" s="83" t="s">
        <v>61</v>
      </c>
      <c r="E18" s="84">
        <v>100</v>
      </c>
      <c r="F18" s="24"/>
    </row>
    <row r="19" spans="1:6" x14ac:dyDescent="0.45">
      <c r="A19" s="24"/>
      <c r="B19" s="87"/>
      <c r="C19" s="91" t="s">
        <v>43</v>
      </c>
      <c r="D19" s="90" t="s">
        <v>44</v>
      </c>
      <c r="E19" s="84">
        <v>50</v>
      </c>
      <c r="F19" s="24"/>
    </row>
    <row r="20" spans="1:6" x14ac:dyDescent="0.45">
      <c r="A20" s="24"/>
      <c r="B20" s="24"/>
      <c r="C20" s="24"/>
      <c r="D20" s="24"/>
      <c r="E20" s="24"/>
      <c r="F20" s="24"/>
    </row>
    <row r="21" spans="1:6" x14ac:dyDescent="0.45">
      <c r="A21" s="24"/>
      <c r="B21" s="24"/>
      <c r="C21" s="24"/>
      <c r="D21" s="24"/>
      <c r="E21" s="24"/>
      <c r="F21" s="24"/>
    </row>
    <row r="22" spans="1:6" x14ac:dyDescent="0.45">
      <c r="A22" s="24"/>
      <c r="B22" s="24"/>
      <c r="C22" s="24"/>
      <c r="D22" s="24"/>
      <c r="E22" s="24"/>
      <c r="F22" s="24"/>
    </row>
  </sheetData>
  <protectedRanges>
    <protectedRange algorithmName="SHA-512" hashValue="wcIVhBhq6imVgAtvjXkt5fYxXsLbL0w5jActKj78/Yu/p5H7SKJV30bpVCHS7a+M4xmSCVQiXpvuuP7zx4QGZg==" saltValue="/1gprdm/ldj5RpZR4enuWA==" spinCount="100000" sqref="C3:E8" name="COMPOSICION MATERIAS PRIMAS"/>
  </protectedRanges>
  <conditionalFormatting sqref="C3:E8">
    <cfRule type="cellIs" dxfId="10" priority="12" operator="equal">
      <formula>0</formula>
    </cfRule>
  </conditionalFormatting>
  <conditionalFormatting sqref="D3:D8">
    <cfRule type="cellIs" dxfId="9" priority="11" operator="equal">
      <formula>0</formula>
    </cfRule>
  </conditionalFormatting>
  <conditionalFormatting sqref="C9:E9">
    <cfRule type="cellIs" dxfId="8" priority="9" operator="equal">
      <formula>0</formula>
    </cfRule>
  </conditionalFormatting>
  <conditionalFormatting sqref="D9">
    <cfRule type="cellIs" dxfId="7" priority="8" operator="equal">
      <formula>0</formula>
    </cfRule>
  </conditionalFormatting>
  <conditionalFormatting sqref="C10:E11 C12:D12 C16:D16 C13:C15">
    <cfRule type="cellIs" dxfId="6" priority="7" operator="equal">
      <formula>0</formula>
    </cfRule>
  </conditionalFormatting>
  <conditionalFormatting sqref="D10:D12 D16">
    <cfRule type="cellIs" dxfId="5" priority="6" operator="equal">
      <formula>0</formula>
    </cfRule>
  </conditionalFormatting>
  <conditionalFormatting sqref="E12:E19">
    <cfRule type="cellIs" dxfId="4" priority="5" operator="equal">
      <formula>0</formula>
    </cfRule>
  </conditionalFormatting>
  <conditionalFormatting sqref="D13">
    <cfRule type="cellIs" dxfId="3" priority="4" operator="equal">
      <formula>0</formula>
    </cfRule>
  </conditionalFormatting>
  <conditionalFormatting sqref="D13">
    <cfRule type="cellIs" dxfId="2" priority="3" operator="equal">
      <formula>0</formula>
    </cfRule>
  </conditionalFormatting>
  <conditionalFormatting sqref="D14:D15">
    <cfRule type="cellIs" dxfId="1" priority="2" operator="equal">
      <formula>0</formula>
    </cfRule>
  </conditionalFormatting>
  <conditionalFormatting sqref="D14:D15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entrada</vt:lpstr>
      <vt:lpstr>RAIFOS20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2025-04-01T20:55:40Z</dcterms:modified>
</cp:coreProperties>
</file>