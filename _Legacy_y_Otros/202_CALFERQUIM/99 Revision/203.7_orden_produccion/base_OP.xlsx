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D05DDD8F-72E9-4F16-BD49-94D6F1BF0FBF}" xr6:coauthVersionLast="47" xr6:coauthVersionMax="47" xr10:uidLastSave="{00000000-0000-0000-0000-000000000000}"/>
  <bookViews>
    <workbookView xWindow="-120" yWindow="-120" windowWidth="29040" windowHeight="16440" xr2:uid="{E8BAA546-1845-4AA2-8264-DA4E2D16F780}"/>
  </bookViews>
  <sheets>
    <sheet name="NUCLEO CAMASI" sheetId="1" r:id="rId1"/>
  </sheets>
  <externalReferences>
    <externalReference r:id="rId2"/>
  </externalReferences>
  <definedNames>
    <definedName name="_xlnm._FilterDatabase" localSheetId="0" hidden="1">'NUCLEO CAMASI'!$A$10:$L$22</definedName>
    <definedName name="Fertibalance1">#REF!</definedName>
    <definedName name="FertibalanceDefinitivo3">#REF!</definedName>
    <definedName name="fertibance4">#REF!</definedName>
    <definedName name="jghg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U26" i="1" l="1"/>
  <c r="ZG26" i="1"/>
  <c r="YS26" i="1"/>
  <c r="YE26" i="1"/>
  <c r="XQ26" i="1"/>
  <c r="XC26" i="1"/>
  <c r="WO26" i="1"/>
  <c r="WA26" i="1"/>
  <c r="VM26" i="1"/>
  <c r="UY26" i="1"/>
  <c r="UK26" i="1"/>
  <c r="TW26" i="1"/>
  <c r="TI26" i="1"/>
  <c r="SU26" i="1"/>
  <c r="SG26" i="1"/>
  <c r="RS26" i="1"/>
  <c r="RE26" i="1"/>
  <c r="QQ26" i="1"/>
  <c r="QC26" i="1"/>
  <c r="PO26" i="1"/>
  <c r="PA26" i="1"/>
  <c r="OM26" i="1"/>
  <c r="NY26" i="1"/>
  <c r="NK26" i="1"/>
  <c r="MW26" i="1"/>
  <c r="MI26" i="1"/>
  <c r="LU26" i="1"/>
  <c r="LG26" i="1"/>
  <c r="KS26" i="1"/>
  <c r="KE26" i="1"/>
  <c r="JQ26" i="1"/>
  <c r="JC26" i="1"/>
  <c r="IO26" i="1"/>
  <c r="IA26" i="1"/>
  <c r="HM26" i="1"/>
  <c r="GY26" i="1"/>
  <c r="GK26" i="1"/>
  <c r="FW26" i="1"/>
  <c r="FI26" i="1"/>
  <c r="EU26" i="1"/>
  <c r="EG26" i="1"/>
  <c r="DS26" i="1"/>
  <c r="DE26" i="1"/>
  <c r="CQ26" i="1"/>
  <c r="CC26" i="1"/>
  <c r="BO26" i="1"/>
  <c r="BA26" i="1"/>
  <c r="AM26" i="1"/>
  <c r="Y26" i="1"/>
  <c r="K26" i="1"/>
  <c r="ZO24" i="1"/>
  <c r="ZA24" i="1"/>
  <c r="YM24" i="1"/>
  <c r="XY24" i="1"/>
  <c r="XK24" i="1"/>
  <c r="WW24" i="1"/>
  <c r="WI24" i="1"/>
  <c r="VU24" i="1"/>
  <c r="VG24" i="1"/>
  <c r="US24" i="1"/>
  <c r="UE24" i="1"/>
  <c r="TQ24" i="1"/>
  <c r="TC24" i="1"/>
  <c r="SO24" i="1"/>
  <c r="SA24" i="1"/>
  <c r="RM24" i="1"/>
  <c r="QY24" i="1"/>
  <c r="QK24" i="1"/>
  <c r="PW24" i="1"/>
  <c r="PI24" i="1"/>
  <c r="OU24" i="1"/>
  <c r="OG24" i="1"/>
  <c r="NS24" i="1"/>
  <c r="NE24" i="1"/>
  <c r="MQ24" i="1"/>
  <c r="MC24" i="1"/>
  <c r="LO24" i="1"/>
  <c r="LA24" i="1"/>
  <c r="KM24" i="1"/>
  <c r="JY24" i="1"/>
  <c r="JK24" i="1"/>
  <c r="IW24" i="1"/>
  <c r="II24" i="1"/>
  <c r="HU24" i="1"/>
  <c r="HG24" i="1"/>
  <c r="GS24" i="1"/>
  <c r="GE24" i="1"/>
  <c r="FQ24" i="1"/>
  <c r="FC24" i="1"/>
  <c r="EO24" i="1"/>
  <c r="EA24" i="1"/>
  <c r="DM24" i="1"/>
  <c r="CY24" i="1"/>
  <c r="CK24" i="1"/>
  <c r="BW24" i="1"/>
  <c r="BI24" i="1"/>
  <c r="AU24" i="1"/>
  <c r="AG24" i="1"/>
  <c r="S24" i="1"/>
  <c r="E24" i="1"/>
  <c r="CWC23" i="1"/>
  <c r="CVQ23" i="1"/>
  <c r="CVE23" i="1"/>
  <c r="CUS23" i="1"/>
  <c r="CUG23" i="1"/>
  <c r="CTU23" i="1"/>
  <c r="CTI23" i="1"/>
  <c r="CSW23" i="1"/>
  <c r="CSK23" i="1"/>
  <c r="CRY23" i="1"/>
  <c r="CRM23" i="1"/>
  <c r="CRA23" i="1"/>
  <c r="CQO23" i="1"/>
  <c r="CQC23" i="1"/>
  <c r="CPQ23" i="1"/>
  <c r="CPE23" i="1"/>
  <c r="COS23" i="1"/>
  <c r="COG23" i="1"/>
  <c r="CNU23" i="1"/>
  <c r="CNI23" i="1"/>
  <c r="CMW23" i="1"/>
  <c r="CMK23" i="1"/>
  <c r="CLY23" i="1"/>
  <c r="CLM23" i="1"/>
  <c r="CLA23" i="1"/>
  <c r="CKO23" i="1"/>
  <c r="CKC23" i="1"/>
  <c r="CJQ23" i="1"/>
  <c r="CJE23" i="1"/>
  <c r="CIS23" i="1"/>
  <c r="CIG23" i="1"/>
  <c r="CHU23" i="1"/>
  <c r="CHI23" i="1"/>
  <c r="CGW23" i="1"/>
  <c r="CGK23" i="1"/>
  <c r="CFY23" i="1"/>
  <c r="CFM23" i="1"/>
  <c r="CFA23" i="1"/>
  <c r="CEO23" i="1"/>
  <c r="CEC23" i="1"/>
  <c r="CDQ23" i="1"/>
  <c r="CDE23" i="1"/>
  <c r="CCS23" i="1"/>
  <c r="CCG23" i="1"/>
  <c r="CBU23" i="1"/>
  <c r="CBI23" i="1"/>
  <c r="CAW23" i="1"/>
  <c r="CAK23" i="1"/>
  <c r="BZY23" i="1"/>
  <c r="BZM23" i="1"/>
  <c r="BZA23" i="1"/>
  <c r="BYO23" i="1"/>
  <c r="BYC23" i="1"/>
  <c r="BXQ23" i="1"/>
  <c r="BXE23" i="1"/>
  <c r="BWS23" i="1"/>
  <c r="BWG23" i="1"/>
  <c r="BVU23" i="1"/>
  <c r="BVI23" i="1"/>
  <c r="BUW23" i="1"/>
  <c r="BUK23" i="1"/>
  <c r="BTY23" i="1"/>
  <c r="BTM23" i="1"/>
  <c r="BTA23" i="1"/>
  <c r="BSO23" i="1"/>
  <c r="BSC23" i="1"/>
  <c r="BRQ23" i="1"/>
  <c r="BRE23" i="1"/>
  <c r="BQS23" i="1"/>
  <c r="BQG23" i="1"/>
  <c r="BPU23" i="1"/>
  <c r="BPI23" i="1"/>
  <c r="BOW23" i="1"/>
  <c r="BOK23" i="1"/>
  <c r="BNY23" i="1"/>
  <c r="BNM23" i="1"/>
  <c r="BNA23" i="1"/>
  <c r="BMO23" i="1"/>
  <c r="BMC23" i="1"/>
  <c r="BLQ23" i="1"/>
  <c r="BLE23" i="1"/>
  <c r="BKS23" i="1"/>
  <c r="BKG23" i="1"/>
  <c r="BJU23" i="1"/>
  <c r="BJI23" i="1"/>
  <c r="BIW23" i="1"/>
  <c r="BIK23" i="1"/>
  <c r="BHY23" i="1"/>
  <c r="BHM23" i="1"/>
  <c r="BHA23" i="1"/>
  <c r="BGO23" i="1"/>
  <c r="BGC23" i="1"/>
  <c r="BFQ23" i="1"/>
  <c r="BFE23" i="1"/>
  <c r="BES23" i="1"/>
  <c r="BEG23" i="1"/>
  <c r="BDU23" i="1"/>
  <c r="BDI23" i="1"/>
  <c r="BCW23" i="1"/>
  <c r="BCK23" i="1"/>
  <c r="BBY23" i="1"/>
  <c r="BBM23" i="1"/>
  <c r="BBA23" i="1"/>
  <c r="BAO23" i="1"/>
  <c r="BAC23" i="1"/>
  <c r="AZQ23" i="1"/>
  <c r="AZE23" i="1"/>
  <c r="AYS23" i="1"/>
  <c r="AYG23" i="1"/>
  <c r="AXU23" i="1"/>
  <c r="AXI23" i="1"/>
  <c r="AWW23" i="1"/>
  <c r="AWK23" i="1"/>
  <c r="AVY23" i="1"/>
  <c r="AVM23" i="1"/>
  <c r="AVA23" i="1"/>
  <c r="AUO23" i="1"/>
  <c r="AUC23" i="1"/>
  <c r="ATQ23" i="1"/>
  <c r="ATE23" i="1"/>
  <c r="ASS23" i="1"/>
  <c r="ASG23" i="1"/>
  <c r="ARU23" i="1"/>
  <c r="ARI23" i="1"/>
  <c r="AQW23" i="1"/>
  <c r="AQK23" i="1"/>
  <c r="APY23" i="1"/>
  <c r="APM23" i="1"/>
  <c r="APA23" i="1"/>
  <c r="AOO23" i="1"/>
  <c r="AOC23" i="1"/>
  <c r="ANQ23" i="1"/>
  <c r="ANE23" i="1"/>
  <c r="AMS23" i="1"/>
  <c r="AMG23" i="1"/>
  <c r="ALU23" i="1"/>
  <c r="ALI23" i="1"/>
  <c r="AKW23" i="1"/>
  <c r="AKK23" i="1"/>
  <c r="AJY23" i="1"/>
  <c r="AJM23" i="1"/>
  <c r="AJA23" i="1"/>
  <c r="AIO23" i="1"/>
  <c r="AIC23" i="1"/>
  <c r="AHQ23" i="1"/>
  <c r="AHE23" i="1"/>
  <c r="AGS23" i="1"/>
  <c r="AGG23" i="1"/>
  <c r="AFT23" i="1"/>
  <c r="AFG23" i="1"/>
  <c r="AET23" i="1"/>
  <c r="AEG23" i="1"/>
  <c r="ADT23" i="1"/>
  <c r="ADG23" i="1"/>
  <c r="ACT23" i="1"/>
  <c r="ACG23" i="1"/>
  <c r="ABT23" i="1"/>
  <c r="ABG23" i="1"/>
  <c r="AAT23" i="1"/>
  <c r="AAG23" i="1"/>
  <c r="YN23" i="1"/>
  <c r="XZ23" i="1"/>
  <c r="XL23" i="1"/>
  <c r="WX23" i="1"/>
  <c r="WJ23" i="1"/>
  <c r="VV23" i="1"/>
  <c r="VH23" i="1"/>
  <c r="UT23" i="1"/>
  <c r="UF23" i="1"/>
  <c r="TR23" i="1"/>
  <c r="TD23" i="1"/>
  <c r="SP23" i="1"/>
  <c r="SB23" i="1"/>
  <c r="RN23" i="1"/>
  <c r="QZ23" i="1"/>
  <c r="QL23" i="1"/>
  <c r="PX23" i="1"/>
  <c r="PJ23" i="1"/>
  <c r="OV23" i="1"/>
  <c r="YN22" i="1"/>
  <c r="XZ22" i="1"/>
  <c r="XL22" i="1"/>
  <c r="WX22" i="1"/>
  <c r="WJ22" i="1"/>
  <c r="VV22" i="1"/>
  <c r="VH22" i="1"/>
  <c r="UT22" i="1"/>
  <c r="UF22" i="1"/>
  <c r="TR22" i="1"/>
  <c r="TD22" i="1"/>
  <c r="SP22" i="1"/>
  <c r="SB22" i="1"/>
  <c r="RN22" i="1"/>
  <c r="QZ22" i="1"/>
  <c r="QL22" i="1"/>
  <c r="PX22" i="1"/>
  <c r="PJ22" i="1"/>
  <c r="OV22" i="1"/>
  <c r="OH22" i="1"/>
  <c r="NT22" i="1"/>
  <c r="NF22" i="1"/>
  <c r="MR22" i="1"/>
  <c r="MD22" i="1"/>
  <c r="LP22" i="1"/>
  <c r="LB22" i="1"/>
  <c r="KN22" i="1"/>
  <c r="JZ22" i="1"/>
  <c r="JL22" i="1"/>
  <c r="IX22" i="1"/>
  <c r="IJ22" i="1"/>
  <c r="HV22" i="1"/>
  <c r="HH22" i="1"/>
  <c r="GT22" i="1"/>
  <c r="GF22" i="1"/>
  <c r="FR22" i="1"/>
  <c r="FD22" i="1"/>
  <c r="EP22" i="1"/>
  <c r="EB22" i="1"/>
  <c r="DN22" i="1"/>
  <c r="CZ22" i="1"/>
  <c r="CL22" i="1"/>
  <c r="BX22" i="1"/>
  <c r="BJ22" i="1"/>
  <c r="AV22" i="1"/>
  <c r="AH22" i="1"/>
  <c r="T22" i="1"/>
  <c r="F22" i="1"/>
  <c r="YN21" i="1"/>
  <c r="XZ21" i="1"/>
  <c r="XL21" i="1"/>
  <c r="WX21" i="1"/>
  <c r="WJ21" i="1"/>
  <c r="VV21" i="1"/>
  <c r="VH21" i="1"/>
  <c r="UT21" i="1"/>
  <c r="UF21" i="1"/>
  <c r="TR21" i="1"/>
  <c r="TD21" i="1"/>
  <c r="SP21" i="1"/>
  <c r="SB21" i="1"/>
  <c r="RN21" i="1"/>
  <c r="QZ21" i="1"/>
  <c r="QL21" i="1"/>
  <c r="PX21" i="1"/>
  <c r="PJ21" i="1"/>
  <c r="OV21" i="1"/>
  <c r="OH21" i="1"/>
  <c r="NT21" i="1"/>
  <c r="NF21" i="1"/>
  <c r="MR21" i="1"/>
  <c r="MD21" i="1"/>
  <c r="LP21" i="1"/>
  <c r="LB21" i="1"/>
  <c r="KN21" i="1"/>
  <c r="JZ21" i="1"/>
  <c r="JL21" i="1"/>
  <c r="IX21" i="1"/>
  <c r="IJ21" i="1"/>
  <c r="HV21" i="1"/>
  <c r="HH21" i="1"/>
  <c r="GT21" i="1"/>
  <c r="GF21" i="1"/>
  <c r="FR21" i="1"/>
  <c r="FD21" i="1"/>
  <c r="EP21" i="1"/>
  <c r="EB21" i="1"/>
  <c r="DN21" i="1"/>
  <c r="CZ21" i="1"/>
  <c r="CL21" i="1"/>
  <c r="BX21" i="1"/>
  <c r="BJ21" i="1"/>
  <c r="AV21" i="1"/>
  <c r="AH21" i="1"/>
  <c r="T21" i="1"/>
  <c r="F21" i="1"/>
  <c r="CWB20" i="1"/>
  <c r="CVP20" i="1"/>
  <c r="CVD20" i="1"/>
  <c r="CUR20" i="1"/>
  <c r="CUF20" i="1"/>
  <c r="CTT20" i="1"/>
  <c r="CTH20" i="1"/>
  <c r="CSV20" i="1"/>
  <c r="CSJ20" i="1"/>
  <c r="CRX20" i="1"/>
  <c r="CRL20" i="1"/>
  <c r="CQZ20" i="1"/>
  <c r="CQN20" i="1"/>
  <c r="CQB20" i="1"/>
  <c r="CPP20" i="1"/>
  <c r="CPD20" i="1"/>
  <c r="COS20" i="1"/>
  <c r="COR20" i="1"/>
  <c r="COG20" i="1"/>
  <c r="COF20" i="1"/>
  <c r="CNT20" i="1"/>
  <c r="CNU20" i="1" s="1"/>
  <c r="CNH20" i="1"/>
  <c r="CNI20" i="1" s="1"/>
  <c r="CMW20" i="1"/>
  <c r="CMV20" i="1"/>
  <c r="CMK20" i="1"/>
  <c r="CMJ20" i="1"/>
  <c r="CLX20" i="1"/>
  <c r="CLY20" i="1" s="1"/>
  <c r="CLL20" i="1"/>
  <c r="CLM20" i="1" s="1"/>
  <c r="CLA20" i="1"/>
  <c r="CKZ20" i="1"/>
  <c r="CKO20" i="1"/>
  <c r="CKN20" i="1"/>
  <c r="CKB20" i="1"/>
  <c r="CKC20" i="1" s="1"/>
  <c r="CJP20" i="1"/>
  <c r="CJQ20" i="1" s="1"/>
  <c r="CJE20" i="1"/>
  <c r="CJD20" i="1"/>
  <c r="CIS20" i="1"/>
  <c r="CIR20" i="1"/>
  <c r="CIF20" i="1"/>
  <c r="CIG20" i="1" s="1"/>
  <c r="CHT20" i="1"/>
  <c r="CHU20" i="1" s="1"/>
  <c r="CHI20" i="1"/>
  <c r="CHH20" i="1"/>
  <c r="CGW20" i="1"/>
  <c r="CGV20" i="1"/>
  <c r="CGJ20" i="1"/>
  <c r="CGK20" i="1" s="1"/>
  <c r="CFX20" i="1"/>
  <c r="CFY20" i="1" s="1"/>
  <c r="CFM20" i="1"/>
  <c r="CFL20" i="1"/>
  <c r="CFA20" i="1"/>
  <c r="CEZ20" i="1"/>
  <c r="CEN20" i="1"/>
  <c r="CEO20" i="1" s="1"/>
  <c r="CEB20" i="1"/>
  <c r="CEC20" i="1" s="1"/>
  <c r="CDQ20" i="1"/>
  <c r="CDP20" i="1"/>
  <c r="CDE20" i="1"/>
  <c r="CDD20" i="1"/>
  <c r="CCR20" i="1"/>
  <c r="CCS20" i="1" s="1"/>
  <c r="CCF20" i="1"/>
  <c r="CCG20" i="1" s="1"/>
  <c r="CBU20" i="1"/>
  <c r="CBT20" i="1"/>
  <c r="CBI20" i="1"/>
  <c r="CBH20" i="1"/>
  <c r="CAV20" i="1"/>
  <c r="CAW20" i="1" s="1"/>
  <c r="CAJ20" i="1"/>
  <c r="CAK20" i="1" s="1"/>
  <c r="BZY20" i="1"/>
  <c r="BZX20" i="1"/>
  <c r="BZM20" i="1"/>
  <c r="BZL20" i="1"/>
  <c r="BYZ20" i="1"/>
  <c r="BZA20" i="1" s="1"/>
  <c r="BYN20" i="1"/>
  <c r="BYO20" i="1" s="1"/>
  <c r="BYC20" i="1"/>
  <c r="BYB20" i="1"/>
  <c r="BXQ20" i="1"/>
  <c r="BXP20" i="1"/>
  <c r="BXD20" i="1"/>
  <c r="BXE20" i="1" s="1"/>
  <c r="BWR20" i="1"/>
  <c r="BWS20" i="1" s="1"/>
  <c r="BWG20" i="1"/>
  <c r="BWF20" i="1"/>
  <c r="BVU20" i="1"/>
  <c r="BVT20" i="1"/>
  <c r="BVH20" i="1"/>
  <c r="BVI20" i="1" s="1"/>
  <c r="BUV20" i="1"/>
  <c r="BUW20" i="1" s="1"/>
  <c r="BUK20" i="1"/>
  <c r="BUJ20" i="1"/>
  <c r="BTY20" i="1"/>
  <c r="BTX20" i="1"/>
  <c r="BTL20" i="1"/>
  <c r="BTM20" i="1" s="1"/>
  <c r="BSZ20" i="1"/>
  <c r="BTA20" i="1" s="1"/>
  <c r="BSO20" i="1"/>
  <c r="BSN20" i="1"/>
  <c r="BSC20" i="1"/>
  <c r="BSB20" i="1"/>
  <c r="BRP20" i="1"/>
  <c r="BRQ20" i="1" s="1"/>
  <c r="BRD20" i="1"/>
  <c r="BRE20" i="1" s="1"/>
  <c r="BQS20" i="1"/>
  <c r="BQR20" i="1"/>
  <c r="BQG20" i="1"/>
  <c r="BQF20" i="1"/>
  <c r="BPT20" i="1"/>
  <c r="BPU20" i="1" s="1"/>
  <c r="BPH20" i="1"/>
  <c r="BPI20" i="1" s="1"/>
  <c r="BOW20" i="1"/>
  <c r="BOV20" i="1"/>
  <c r="BOK20" i="1"/>
  <c r="BOJ20" i="1"/>
  <c r="BNX20" i="1"/>
  <c r="BNY20" i="1" s="1"/>
  <c r="BNL20" i="1"/>
  <c r="BNM20" i="1" s="1"/>
  <c r="BNA20" i="1"/>
  <c r="BMZ20" i="1"/>
  <c r="BMO20" i="1"/>
  <c r="BMN20" i="1"/>
  <c r="BMB20" i="1"/>
  <c r="BMC20" i="1" s="1"/>
  <c r="BLP20" i="1"/>
  <c r="BLQ20" i="1" s="1"/>
  <c r="BLE20" i="1"/>
  <c r="BLD20" i="1"/>
  <c r="BKS20" i="1"/>
  <c r="BKR20" i="1"/>
  <c r="BKF20" i="1"/>
  <c r="BKG20" i="1" s="1"/>
  <c r="BJT20" i="1"/>
  <c r="BJU20" i="1" s="1"/>
  <c r="BJI20" i="1"/>
  <c r="BJH20" i="1"/>
  <c r="BIW20" i="1"/>
  <c r="BIV20" i="1"/>
  <c r="BIJ20" i="1"/>
  <c r="BIK20" i="1" s="1"/>
  <c r="BHX20" i="1"/>
  <c r="BHY20" i="1" s="1"/>
  <c r="BHM20" i="1"/>
  <c r="BHL20" i="1"/>
  <c r="BHA20" i="1"/>
  <c r="BGZ20" i="1"/>
  <c r="BGN20" i="1"/>
  <c r="BGO20" i="1" s="1"/>
  <c r="BGB20" i="1"/>
  <c r="BGC20" i="1" s="1"/>
  <c r="BFQ20" i="1"/>
  <c r="BFP20" i="1"/>
  <c r="BFE20" i="1"/>
  <c r="BFD20" i="1"/>
  <c r="BER20" i="1"/>
  <c r="BES20" i="1" s="1"/>
  <c r="BEF20" i="1"/>
  <c r="BEG20" i="1" s="1"/>
  <c r="BDU20" i="1"/>
  <c r="BDT20" i="1"/>
  <c r="BDI20" i="1"/>
  <c r="BDH20" i="1"/>
  <c r="BCV20" i="1"/>
  <c r="BCW20" i="1" s="1"/>
  <c r="BCJ20" i="1"/>
  <c r="BCK20" i="1" s="1"/>
  <c r="BBY20" i="1"/>
  <c r="BBX20" i="1"/>
  <c r="BBM20" i="1"/>
  <c r="BBL20" i="1"/>
  <c r="BAZ20" i="1"/>
  <c r="BBA20" i="1" s="1"/>
  <c r="BAN20" i="1"/>
  <c r="BAO20" i="1" s="1"/>
  <c r="BAC20" i="1"/>
  <c r="BAB20" i="1"/>
  <c r="AZQ20" i="1"/>
  <c r="AZP20" i="1"/>
  <c r="AZD20" i="1"/>
  <c r="AZE20" i="1" s="1"/>
  <c r="AYR20" i="1"/>
  <c r="AYS20" i="1" s="1"/>
  <c r="AYG20" i="1"/>
  <c r="AYF20" i="1"/>
  <c r="AXU20" i="1"/>
  <c r="AXT20" i="1"/>
  <c r="AXH20" i="1"/>
  <c r="AXI20" i="1" s="1"/>
  <c r="AWV20" i="1"/>
  <c r="AWW20" i="1" s="1"/>
  <c r="AWK20" i="1"/>
  <c r="AWJ20" i="1"/>
  <c r="AVY20" i="1"/>
  <c r="AVX20" i="1"/>
  <c r="AVL20" i="1"/>
  <c r="AVM20" i="1" s="1"/>
  <c r="AUZ20" i="1"/>
  <c r="AVA20" i="1" s="1"/>
  <c r="AUO20" i="1"/>
  <c r="AUN20" i="1"/>
  <c r="AUC20" i="1"/>
  <c r="AUB20" i="1"/>
  <c r="ATP20" i="1"/>
  <c r="ATQ20" i="1" s="1"/>
  <c r="ATD20" i="1"/>
  <c r="ATE20" i="1" s="1"/>
  <c r="ASS20" i="1"/>
  <c r="ASR20" i="1"/>
  <c r="ASG20" i="1"/>
  <c r="ASF20" i="1"/>
  <c r="ART20" i="1"/>
  <c r="ARU20" i="1" s="1"/>
  <c r="ARH20" i="1"/>
  <c r="ARI20" i="1" s="1"/>
  <c r="AQW20" i="1"/>
  <c r="AQV20" i="1"/>
  <c r="AQK20" i="1"/>
  <c r="AQJ20" i="1"/>
  <c r="APX20" i="1"/>
  <c r="APY20" i="1" s="1"/>
  <c r="APL20" i="1"/>
  <c r="APM20" i="1" s="1"/>
  <c r="APA20" i="1"/>
  <c r="AOZ20" i="1"/>
  <c r="AOO20" i="1"/>
  <c r="AON20" i="1"/>
  <c r="AOB20" i="1"/>
  <c r="AOC20" i="1" s="1"/>
  <c r="ANP20" i="1"/>
  <c r="ANQ20" i="1" s="1"/>
  <c r="ANE20" i="1"/>
  <c r="AND20" i="1"/>
  <c r="AMR20" i="1"/>
  <c r="AMF20" i="1"/>
  <c r="ALT20" i="1"/>
  <c r="ALH20" i="1"/>
  <c r="AKV20" i="1"/>
  <c r="AKJ20" i="1"/>
  <c r="AJX20" i="1"/>
  <c r="AJL20" i="1"/>
  <c r="AIZ20" i="1"/>
  <c r="AIN20" i="1"/>
  <c r="AIB20" i="1"/>
  <c r="AHP20" i="1"/>
  <c r="AHD20" i="1"/>
  <c r="AGR20" i="1"/>
  <c r="AGF20" i="1"/>
  <c r="AFS20" i="1"/>
  <c r="AFF20" i="1"/>
  <c r="AES20" i="1"/>
  <c r="AEF20" i="1"/>
  <c r="ADS20" i="1"/>
  <c r="ADF20" i="1"/>
  <c r="ACS20" i="1"/>
  <c r="ACF20" i="1"/>
  <c r="ABS20" i="1"/>
  <c r="ABF20" i="1"/>
  <c r="AAS20" i="1"/>
  <c r="AAF20" i="1"/>
  <c r="YN20" i="1"/>
  <c r="XZ20" i="1"/>
  <c r="XL20" i="1"/>
  <c r="WX20" i="1"/>
  <c r="WJ20" i="1"/>
  <c r="VV20" i="1"/>
  <c r="VH20" i="1"/>
  <c r="UT20" i="1"/>
  <c r="UF20" i="1"/>
  <c r="TR20" i="1"/>
  <c r="TD20" i="1"/>
  <c r="SP20" i="1"/>
  <c r="SB20" i="1"/>
  <c r="RN20" i="1"/>
  <c r="QZ20" i="1"/>
  <c r="QL20" i="1"/>
  <c r="PX20" i="1"/>
  <c r="PJ20" i="1"/>
  <c r="OV20" i="1"/>
  <c r="OH20" i="1"/>
  <c r="NT20" i="1"/>
  <c r="NF20" i="1"/>
  <c r="MR20" i="1"/>
  <c r="MD20" i="1"/>
  <c r="LP20" i="1"/>
  <c r="LB20" i="1"/>
  <c r="KN20" i="1"/>
  <c r="JZ20" i="1"/>
  <c r="JL20" i="1"/>
  <c r="IX20" i="1"/>
  <c r="IJ20" i="1"/>
  <c r="HV20" i="1"/>
  <c r="HH20" i="1"/>
  <c r="GT20" i="1"/>
  <c r="GF20" i="1"/>
  <c r="FR20" i="1"/>
  <c r="FD20" i="1"/>
  <c r="EP20" i="1"/>
  <c r="EB20" i="1"/>
  <c r="DN20" i="1"/>
  <c r="CZ20" i="1"/>
  <c r="CL20" i="1"/>
  <c r="BX20" i="1"/>
  <c r="BJ20" i="1"/>
  <c r="AV20" i="1"/>
  <c r="AH20" i="1"/>
  <c r="T20" i="1"/>
  <c r="F20" i="1"/>
  <c r="CWE19" i="1"/>
  <c r="CWC19" i="1"/>
  <c r="CVQ19" i="1"/>
  <c r="CVJ19" i="1"/>
  <c r="CVE19" i="1"/>
  <c r="CUS19" i="1"/>
  <c r="CUG19" i="1"/>
  <c r="CTU19" i="1"/>
  <c r="CTI19" i="1"/>
  <c r="CSW19" i="1"/>
  <c r="CSK19" i="1"/>
  <c r="CRY19" i="1"/>
  <c r="CRM19" i="1"/>
  <c r="CRA19" i="1"/>
  <c r="CQO19" i="1"/>
  <c r="CQC19" i="1"/>
  <c r="CPQ19" i="1"/>
  <c r="CPE19" i="1"/>
  <c r="COS19" i="1"/>
  <c r="COG19" i="1"/>
  <c r="CNU19" i="1"/>
  <c r="CNI19" i="1"/>
  <c r="CMW19" i="1"/>
  <c r="CMK19" i="1"/>
  <c r="CLY19" i="1"/>
  <c r="CLM19" i="1"/>
  <c r="CLA19" i="1"/>
  <c r="CKO19" i="1"/>
  <c r="CKC19" i="1"/>
  <c r="CJQ19" i="1"/>
  <c r="CJE19" i="1"/>
  <c r="CIS19" i="1"/>
  <c r="CIG19" i="1"/>
  <c r="CHU19" i="1"/>
  <c r="CHI19" i="1"/>
  <c r="CGW19" i="1"/>
  <c r="CGK19" i="1"/>
  <c r="CFY19" i="1"/>
  <c r="CFM19" i="1"/>
  <c r="CFA19" i="1"/>
  <c r="CEO19" i="1"/>
  <c r="CEC19" i="1"/>
  <c r="CDQ19" i="1"/>
  <c r="CDE19" i="1"/>
  <c r="CCS19" i="1"/>
  <c r="CCG19" i="1"/>
  <c r="CBU19" i="1"/>
  <c r="CBI19" i="1"/>
  <c r="CAW19" i="1"/>
  <c r="CAK19" i="1"/>
  <c r="BZY19" i="1"/>
  <c r="BZM19" i="1"/>
  <c r="BZA19" i="1"/>
  <c r="BYO19" i="1"/>
  <c r="BYC19" i="1"/>
  <c r="BXQ19" i="1"/>
  <c r="BXE19" i="1"/>
  <c r="BWS19" i="1"/>
  <c r="BWG19" i="1"/>
  <c r="BVU19" i="1"/>
  <c r="BVI19" i="1"/>
  <c r="BUW19" i="1"/>
  <c r="BUK19" i="1"/>
  <c r="BTY19" i="1"/>
  <c r="BTM19" i="1"/>
  <c r="BTA19" i="1"/>
  <c r="BSO19" i="1"/>
  <c r="BSC19" i="1"/>
  <c r="BRQ19" i="1"/>
  <c r="BRE19" i="1"/>
  <c r="BQS19" i="1"/>
  <c r="BQG19" i="1"/>
  <c r="BPU19" i="1"/>
  <c r="BPI19" i="1"/>
  <c r="BOW19" i="1"/>
  <c r="BOK19" i="1"/>
  <c r="BNY19" i="1"/>
  <c r="BNM19" i="1"/>
  <c r="BNA19" i="1"/>
  <c r="BMO19" i="1"/>
  <c r="BMC19" i="1"/>
  <c r="BLQ19" i="1"/>
  <c r="BLE19" i="1"/>
  <c r="BKS19" i="1"/>
  <c r="BKG19" i="1"/>
  <c r="BJU19" i="1"/>
  <c r="BJI19" i="1"/>
  <c r="BIW19" i="1"/>
  <c r="BIK19" i="1"/>
  <c r="BHY19" i="1"/>
  <c r="BHM19" i="1"/>
  <c r="BHA19" i="1"/>
  <c r="BGO19" i="1"/>
  <c r="BGC19" i="1"/>
  <c r="BFQ19" i="1"/>
  <c r="BFE19" i="1"/>
  <c r="BES19" i="1"/>
  <c r="BEG19" i="1"/>
  <c r="BDU19" i="1"/>
  <c r="BDI19" i="1"/>
  <c r="BCW19" i="1"/>
  <c r="BCK19" i="1"/>
  <c r="BBY19" i="1"/>
  <c r="BBM19" i="1"/>
  <c r="BBA19" i="1"/>
  <c r="BAO19" i="1"/>
  <c r="BAC19" i="1"/>
  <c r="AZQ19" i="1"/>
  <c r="AZE19" i="1"/>
  <c r="AYS19" i="1"/>
  <c r="AYG19" i="1"/>
  <c r="AXU19" i="1"/>
  <c r="AXI19" i="1"/>
  <c r="AWW19" i="1"/>
  <c r="AWK19" i="1"/>
  <c r="AVY19" i="1"/>
  <c r="AVM19" i="1"/>
  <c r="AVA19" i="1"/>
  <c r="AUO19" i="1"/>
  <c r="AUC19" i="1"/>
  <c r="ATQ19" i="1"/>
  <c r="ATE19" i="1"/>
  <c r="ASS19" i="1"/>
  <c r="ASG19" i="1"/>
  <c r="ARU19" i="1"/>
  <c r="ARI19" i="1"/>
  <c r="AQW19" i="1"/>
  <c r="AQK19" i="1"/>
  <c r="APY19" i="1"/>
  <c r="APM19" i="1"/>
  <c r="APA19" i="1"/>
  <c r="AOO19" i="1"/>
  <c r="AOC19" i="1"/>
  <c r="ANQ19" i="1"/>
  <c r="ANE19" i="1"/>
  <c r="AMS19" i="1"/>
  <c r="AMG19" i="1"/>
  <c r="ALU19" i="1"/>
  <c r="ALI19" i="1"/>
  <c r="AKW19" i="1"/>
  <c r="AKK19" i="1"/>
  <c r="AJY19" i="1"/>
  <c r="AJM19" i="1"/>
  <c r="AJA19" i="1"/>
  <c r="AIO19" i="1"/>
  <c r="AIC19" i="1"/>
  <c r="AHQ19" i="1"/>
  <c r="AHE19" i="1"/>
  <c r="AGS19" i="1"/>
  <c r="AGG19" i="1"/>
  <c r="AFT19" i="1"/>
  <c r="AFG19" i="1"/>
  <c r="AET19" i="1"/>
  <c r="AEG19" i="1"/>
  <c r="ADT19" i="1"/>
  <c r="ADG19" i="1"/>
  <c r="ACT19" i="1"/>
  <c r="ACG19" i="1"/>
  <c r="ABT19" i="1"/>
  <c r="ABG19" i="1"/>
  <c r="AAT19" i="1"/>
  <c r="AAG19" i="1"/>
  <c r="YN19" i="1"/>
  <c r="XZ19" i="1"/>
  <c r="XL19" i="1"/>
  <c r="WX19" i="1"/>
  <c r="WJ19" i="1"/>
  <c r="VV19" i="1"/>
  <c r="VH19" i="1"/>
  <c r="UT19" i="1"/>
  <c r="UF19" i="1"/>
  <c r="TR19" i="1"/>
  <c r="TD19" i="1"/>
  <c r="SP19" i="1"/>
  <c r="SB19" i="1"/>
  <c r="RN19" i="1"/>
  <c r="QZ19" i="1"/>
  <c r="QL19" i="1"/>
  <c r="PX19" i="1"/>
  <c r="PJ19" i="1"/>
  <c r="OV19" i="1"/>
  <c r="OH19" i="1"/>
  <c r="NT19" i="1"/>
  <c r="NF19" i="1"/>
  <c r="MR19" i="1"/>
  <c r="MD19" i="1"/>
  <c r="LP19" i="1"/>
  <c r="LB19" i="1"/>
  <c r="KN19" i="1"/>
  <c r="JZ19" i="1"/>
  <c r="JL19" i="1"/>
  <c r="IX19" i="1"/>
  <c r="IJ19" i="1"/>
  <c r="HV19" i="1"/>
  <c r="HH19" i="1"/>
  <c r="GT19" i="1"/>
  <c r="GF19" i="1"/>
  <c r="FR19" i="1"/>
  <c r="FD19" i="1"/>
  <c r="EP19" i="1"/>
  <c r="EB19" i="1"/>
  <c r="DN19" i="1"/>
  <c r="CZ19" i="1"/>
  <c r="CL19" i="1"/>
  <c r="BX19" i="1"/>
  <c r="BJ19" i="1"/>
  <c r="AV19" i="1"/>
  <c r="AH19" i="1"/>
  <c r="T19" i="1"/>
  <c r="F19" i="1"/>
  <c r="CWE18" i="1"/>
  <c r="CWC18" i="1"/>
  <c r="CVQ18" i="1"/>
  <c r="CVE18" i="1"/>
  <c r="CUS18" i="1"/>
  <c r="CUG18" i="1"/>
  <c r="CTU18" i="1"/>
  <c r="CTI18" i="1"/>
  <c r="CSW18" i="1"/>
  <c r="CSK18" i="1"/>
  <c r="CRY18" i="1"/>
  <c r="CRM18" i="1"/>
  <c r="CRA18" i="1"/>
  <c r="CQO18" i="1"/>
  <c r="CQC18" i="1"/>
  <c r="CPQ18" i="1"/>
  <c r="CPE18" i="1"/>
  <c r="COS18" i="1"/>
  <c r="COG18" i="1"/>
  <c r="CNU18" i="1"/>
  <c r="CNI18" i="1"/>
  <c r="CMW18" i="1"/>
  <c r="CMK18" i="1"/>
  <c r="CLY18" i="1"/>
  <c r="CLM18" i="1"/>
  <c r="CLA18" i="1"/>
  <c r="CKO18" i="1"/>
  <c r="CKC18" i="1"/>
  <c r="CJQ18" i="1"/>
  <c r="CJE18" i="1"/>
  <c r="CIS18" i="1"/>
  <c r="CIG18" i="1"/>
  <c r="CHU18" i="1"/>
  <c r="CHI18" i="1"/>
  <c r="CGW18" i="1"/>
  <c r="CGK18" i="1"/>
  <c r="CFY18" i="1"/>
  <c r="CFM18" i="1"/>
  <c r="CFA18" i="1"/>
  <c r="CEO18" i="1"/>
  <c r="CEC18" i="1"/>
  <c r="CDQ18" i="1"/>
  <c r="CDE18" i="1"/>
  <c r="CCS18" i="1"/>
  <c r="CCG18" i="1"/>
  <c r="CBU18" i="1"/>
  <c r="CBI18" i="1"/>
  <c r="CAW18" i="1"/>
  <c r="CAK18" i="1"/>
  <c r="BZY18" i="1"/>
  <c r="BZM18" i="1"/>
  <c r="BZA18" i="1"/>
  <c r="BYO18" i="1"/>
  <c r="BYC18" i="1"/>
  <c r="BXQ18" i="1"/>
  <c r="BXE18" i="1"/>
  <c r="BWS18" i="1"/>
  <c r="BWG18" i="1"/>
  <c r="BVU18" i="1"/>
  <c r="BVI18" i="1"/>
  <c r="BUW18" i="1"/>
  <c r="BUK18" i="1"/>
  <c r="BTY18" i="1"/>
  <c r="BTM18" i="1"/>
  <c r="BTA18" i="1"/>
  <c r="BSO18" i="1"/>
  <c r="BSC18" i="1"/>
  <c r="BRQ18" i="1"/>
  <c r="BRE18" i="1"/>
  <c r="BQS18" i="1"/>
  <c r="BQG18" i="1"/>
  <c r="BPU18" i="1"/>
  <c r="BPI18" i="1"/>
  <c r="BOW18" i="1"/>
  <c r="BOK18" i="1"/>
  <c r="BNY18" i="1"/>
  <c r="BNM18" i="1"/>
  <c r="BNA18" i="1"/>
  <c r="BMO18" i="1"/>
  <c r="BMC18" i="1"/>
  <c r="BLQ18" i="1"/>
  <c r="BLE18" i="1"/>
  <c r="BKS18" i="1"/>
  <c r="BKG18" i="1"/>
  <c r="BJU18" i="1"/>
  <c r="BJI18" i="1"/>
  <c r="BIW18" i="1"/>
  <c r="BIK18" i="1"/>
  <c r="BHY18" i="1"/>
  <c r="BHM18" i="1"/>
  <c r="BHA18" i="1"/>
  <c r="BGO18" i="1"/>
  <c r="BGC18" i="1"/>
  <c r="BFQ18" i="1"/>
  <c r="BFE18" i="1"/>
  <c r="BES18" i="1"/>
  <c r="BEG18" i="1"/>
  <c r="BDU18" i="1"/>
  <c r="BDI18" i="1"/>
  <c r="BCW18" i="1"/>
  <c r="BCK18" i="1"/>
  <c r="BBY18" i="1"/>
  <c r="BBM18" i="1"/>
  <c r="BBA18" i="1"/>
  <c r="BAO18" i="1"/>
  <c r="BAC18" i="1"/>
  <c r="AZQ18" i="1"/>
  <c r="AZE18" i="1"/>
  <c r="AYS18" i="1"/>
  <c r="AYG18" i="1"/>
  <c r="AXU18" i="1"/>
  <c r="AXI18" i="1"/>
  <c r="AWW18" i="1"/>
  <c r="AWK18" i="1"/>
  <c r="AVY18" i="1"/>
  <c r="AVM18" i="1"/>
  <c r="AVA18" i="1"/>
  <c r="AUO18" i="1"/>
  <c r="AUC18" i="1"/>
  <c r="ATQ18" i="1"/>
  <c r="ATE18" i="1"/>
  <c r="ASS18" i="1"/>
  <c r="ASG18" i="1"/>
  <c r="ARU18" i="1"/>
  <c r="ARI18" i="1"/>
  <c r="AQW18" i="1"/>
  <c r="AQK18" i="1"/>
  <c r="APY18" i="1"/>
  <c r="APM18" i="1"/>
  <c r="APA18" i="1"/>
  <c r="AOO18" i="1"/>
  <c r="AOC18" i="1"/>
  <c r="ANQ18" i="1"/>
  <c r="ANE18" i="1"/>
  <c r="AMS18" i="1"/>
  <c r="AMG18" i="1"/>
  <c r="ALU18" i="1"/>
  <c r="ALI18" i="1"/>
  <c r="AKW18" i="1"/>
  <c r="AKK18" i="1"/>
  <c r="AJY18" i="1"/>
  <c r="AJM18" i="1"/>
  <c r="AJA18" i="1"/>
  <c r="AIO18" i="1"/>
  <c r="AIC18" i="1"/>
  <c r="AHQ18" i="1"/>
  <c r="AHE18" i="1"/>
  <c r="AGS18" i="1"/>
  <c r="AGG18" i="1"/>
  <c r="AFT18" i="1"/>
  <c r="AFG18" i="1"/>
  <c r="AET18" i="1"/>
  <c r="AEG18" i="1"/>
  <c r="ADT18" i="1"/>
  <c r="ADG18" i="1"/>
  <c r="ACT18" i="1"/>
  <c r="ACG18" i="1"/>
  <c r="ABT18" i="1"/>
  <c r="ABG18" i="1"/>
  <c r="AAT18" i="1"/>
  <c r="AAG18" i="1"/>
  <c r="YN18" i="1"/>
  <c r="XZ18" i="1"/>
  <c r="XL18" i="1"/>
  <c r="WX18" i="1"/>
  <c r="WJ18" i="1"/>
  <c r="VV18" i="1"/>
  <c r="VH18" i="1"/>
  <c r="UT18" i="1"/>
  <c r="UF18" i="1"/>
  <c r="TR18" i="1"/>
  <c r="TD18" i="1"/>
  <c r="SP18" i="1"/>
  <c r="SB18" i="1"/>
  <c r="RN18" i="1"/>
  <c r="QZ18" i="1"/>
  <c r="QL18" i="1"/>
  <c r="PX18" i="1"/>
  <c r="PJ18" i="1"/>
  <c r="OV18" i="1"/>
  <c r="OH18" i="1"/>
  <c r="NT18" i="1"/>
  <c r="NF18" i="1"/>
  <c r="MR18" i="1"/>
  <c r="MD18" i="1"/>
  <c r="LP18" i="1"/>
  <c r="LB18" i="1"/>
  <c r="KN18" i="1"/>
  <c r="JZ18" i="1"/>
  <c r="JL18" i="1"/>
  <c r="IX18" i="1"/>
  <c r="IJ18" i="1"/>
  <c r="HV18" i="1"/>
  <c r="HH18" i="1"/>
  <c r="GT18" i="1"/>
  <c r="GF18" i="1"/>
  <c r="FR18" i="1"/>
  <c r="FD18" i="1"/>
  <c r="EP18" i="1"/>
  <c r="EB18" i="1"/>
  <c r="DN18" i="1"/>
  <c r="CZ18" i="1"/>
  <c r="CL18" i="1"/>
  <c r="BX18" i="1"/>
  <c r="BJ18" i="1"/>
  <c r="AV18" i="1"/>
  <c r="AH18" i="1"/>
  <c r="T18" i="1"/>
  <c r="F18" i="1"/>
  <c r="CWE17" i="1"/>
  <c r="CWC17" i="1"/>
  <c r="CVQ17" i="1"/>
  <c r="CVE17" i="1"/>
  <c r="CUS17" i="1"/>
  <c r="CUG17" i="1"/>
  <c r="CTU17" i="1"/>
  <c r="CTI17" i="1"/>
  <c r="CSW17" i="1"/>
  <c r="CSK17" i="1"/>
  <c r="CRY17" i="1"/>
  <c r="CRM17" i="1"/>
  <c r="CRA17" i="1"/>
  <c r="CQO17" i="1"/>
  <c r="CQC17" i="1"/>
  <c r="CPQ17" i="1"/>
  <c r="CPE17" i="1"/>
  <c r="COS17" i="1"/>
  <c r="COG17" i="1"/>
  <c r="CNU17" i="1"/>
  <c r="CNI17" i="1"/>
  <c r="CMW17" i="1"/>
  <c r="CMK17" i="1"/>
  <c r="CLY17" i="1"/>
  <c r="CLM17" i="1"/>
  <c r="CLA17" i="1"/>
  <c r="CKO17" i="1"/>
  <c r="CKC17" i="1"/>
  <c r="CJQ17" i="1"/>
  <c r="CJE17" i="1"/>
  <c r="CIS17" i="1"/>
  <c r="CIG17" i="1"/>
  <c r="CHU17" i="1"/>
  <c r="CHI17" i="1"/>
  <c r="CGW17" i="1"/>
  <c r="CGK17" i="1"/>
  <c r="CFY17" i="1"/>
  <c r="CFM17" i="1"/>
  <c r="CFA17" i="1"/>
  <c r="CEO17" i="1"/>
  <c r="CEC17" i="1"/>
  <c r="CDQ17" i="1"/>
  <c r="CDE17" i="1"/>
  <c r="CCS17" i="1"/>
  <c r="CCG17" i="1"/>
  <c r="CBU17" i="1"/>
  <c r="CBI17" i="1"/>
  <c r="CAW17" i="1"/>
  <c r="CAK17" i="1"/>
  <c r="BZY17" i="1"/>
  <c r="BZM17" i="1"/>
  <c r="BZA17" i="1"/>
  <c r="BYO17" i="1"/>
  <c r="BYC17" i="1"/>
  <c r="BXQ17" i="1"/>
  <c r="BXE17" i="1"/>
  <c r="BWS17" i="1"/>
  <c r="BWG17" i="1"/>
  <c r="BVU17" i="1"/>
  <c r="BVI17" i="1"/>
  <c r="BUW17" i="1"/>
  <c r="BUK17" i="1"/>
  <c r="BTY17" i="1"/>
  <c r="BTM17" i="1"/>
  <c r="BTA17" i="1"/>
  <c r="BSO17" i="1"/>
  <c r="BSC17" i="1"/>
  <c r="BRQ17" i="1"/>
  <c r="BRE17" i="1"/>
  <c r="BQS17" i="1"/>
  <c r="BQG17" i="1"/>
  <c r="BPU17" i="1"/>
  <c r="BPI17" i="1"/>
  <c r="BOW17" i="1"/>
  <c r="BOK17" i="1"/>
  <c r="BNY17" i="1"/>
  <c r="BNM17" i="1"/>
  <c r="BNA17" i="1"/>
  <c r="BMO17" i="1"/>
  <c r="BMC17" i="1"/>
  <c r="BLQ17" i="1"/>
  <c r="BLE17" i="1"/>
  <c r="BKS17" i="1"/>
  <c r="BKG17" i="1"/>
  <c r="BJU17" i="1"/>
  <c r="BJI17" i="1"/>
  <c r="BIW17" i="1"/>
  <c r="BIK17" i="1"/>
  <c r="BHY17" i="1"/>
  <c r="BHM17" i="1"/>
  <c r="BHA17" i="1"/>
  <c r="BGO17" i="1"/>
  <c r="BGC17" i="1"/>
  <c r="BFQ17" i="1"/>
  <c r="BFE17" i="1"/>
  <c r="BES17" i="1"/>
  <c r="BEG17" i="1"/>
  <c r="BDU17" i="1"/>
  <c r="BDI17" i="1"/>
  <c r="BCW17" i="1"/>
  <c r="BCK17" i="1"/>
  <c r="BBY17" i="1"/>
  <c r="BBM17" i="1"/>
  <c r="BBA17" i="1"/>
  <c r="BAO17" i="1"/>
  <c r="BAC17" i="1"/>
  <c r="AZQ17" i="1"/>
  <c r="AZE17" i="1"/>
  <c r="AYS17" i="1"/>
  <c r="AYG17" i="1"/>
  <c r="AXU17" i="1"/>
  <c r="AXI17" i="1"/>
  <c r="AWW17" i="1"/>
  <c r="AWK17" i="1"/>
  <c r="AVY17" i="1"/>
  <c r="AVM17" i="1"/>
  <c r="AVA17" i="1"/>
  <c r="AUO17" i="1"/>
  <c r="AUC17" i="1"/>
  <c r="ATQ17" i="1"/>
  <c r="ATE17" i="1"/>
  <c r="ASS17" i="1"/>
  <c r="ASG17" i="1"/>
  <c r="ARU17" i="1"/>
  <c r="ARI17" i="1"/>
  <c r="AQW17" i="1"/>
  <c r="AQK17" i="1"/>
  <c r="APY17" i="1"/>
  <c r="APM17" i="1"/>
  <c r="APA17" i="1"/>
  <c r="AOO17" i="1"/>
  <c r="AOC17" i="1"/>
  <c r="ANQ17" i="1"/>
  <c r="ANE17" i="1"/>
  <c r="AMS17" i="1"/>
  <c r="AMG17" i="1"/>
  <c r="ALU17" i="1"/>
  <c r="ALI17" i="1"/>
  <c r="AKW17" i="1"/>
  <c r="AKK17" i="1"/>
  <c r="AJY17" i="1"/>
  <c r="AJM17" i="1"/>
  <c r="AJA17" i="1"/>
  <c r="AIO17" i="1"/>
  <c r="AIC17" i="1"/>
  <c r="AHQ17" i="1"/>
  <c r="AHE17" i="1"/>
  <c r="AGS17" i="1"/>
  <c r="AGG17" i="1"/>
  <c r="AFT17" i="1"/>
  <c r="AFG17" i="1"/>
  <c r="AET17" i="1"/>
  <c r="AEG17" i="1"/>
  <c r="ADT17" i="1"/>
  <c r="ADG17" i="1"/>
  <c r="ACT17" i="1"/>
  <c r="ACG17" i="1"/>
  <c r="ABT17" i="1"/>
  <c r="ABG17" i="1"/>
  <c r="AAT17" i="1"/>
  <c r="AAG17" i="1"/>
  <c r="YN17" i="1"/>
  <c r="XZ17" i="1"/>
  <c r="XL17" i="1"/>
  <c r="WX17" i="1"/>
  <c r="WJ17" i="1"/>
  <c r="VV17" i="1"/>
  <c r="VH17" i="1"/>
  <c r="UT17" i="1"/>
  <c r="UF17" i="1"/>
  <c r="TR17" i="1"/>
  <c r="TD17" i="1"/>
  <c r="SP17" i="1"/>
  <c r="SB17" i="1"/>
  <c r="RN17" i="1"/>
  <c r="QZ17" i="1"/>
  <c r="QL17" i="1"/>
  <c r="PX17" i="1"/>
  <c r="PJ17" i="1"/>
  <c r="OV17" i="1"/>
  <c r="OH17" i="1"/>
  <c r="NT17" i="1"/>
  <c r="NF17" i="1"/>
  <c r="MR17" i="1"/>
  <c r="MD17" i="1"/>
  <c r="LP17" i="1"/>
  <c r="LB17" i="1"/>
  <c r="KN17" i="1"/>
  <c r="JZ17" i="1"/>
  <c r="JL17" i="1"/>
  <c r="IX17" i="1"/>
  <c r="IJ17" i="1"/>
  <c r="HV17" i="1"/>
  <c r="HH17" i="1"/>
  <c r="GT17" i="1"/>
  <c r="GF17" i="1"/>
  <c r="FR17" i="1"/>
  <c r="FD17" i="1"/>
  <c r="EP17" i="1"/>
  <c r="EB17" i="1"/>
  <c r="DN17" i="1"/>
  <c r="CZ17" i="1"/>
  <c r="CL17" i="1"/>
  <c r="BX17" i="1"/>
  <c r="BJ17" i="1"/>
  <c r="AV17" i="1"/>
  <c r="AH17" i="1"/>
  <c r="T17" i="1"/>
  <c r="F17" i="1"/>
  <c r="CWE16" i="1"/>
  <c r="CWC16" i="1"/>
  <c r="CVQ16" i="1"/>
  <c r="CVE16" i="1"/>
  <c r="CUS16" i="1"/>
  <c r="CUG16" i="1"/>
  <c r="CTU16" i="1"/>
  <c r="CTI16" i="1"/>
  <c r="CSW16" i="1"/>
  <c r="CSK16" i="1"/>
  <c r="CRY16" i="1"/>
  <c r="CRM16" i="1"/>
  <c r="CRA16" i="1"/>
  <c r="CQO16" i="1"/>
  <c r="CQC16" i="1"/>
  <c r="CPQ16" i="1"/>
  <c r="CPE16" i="1"/>
  <c r="COS16" i="1"/>
  <c r="COG16" i="1"/>
  <c r="CNU16" i="1"/>
  <c r="CNI16" i="1"/>
  <c r="CMW16" i="1"/>
  <c r="CMK16" i="1"/>
  <c r="CLY16" i="1"/>
  <c r="CLM16" i="1"/>
  <c r="CLA16" i="1"/>
  <c r="CKO16" i="1"/>
  <c r="CKC16" i="1"/>
  <c r="CJQ16" i="1"/>
  <c r="CJE16" i="1"/>
  <c r="CIS16" i="1"/>
  <c r="CIG16" i="1"/>
  <c r="CHU16" i="1"/>
  <c r="CHI16" i="1"/>
  <c r="CGW16" i="1"/>
  <c r="CGK16" i="1"/>
  <c r="CFY16" i="1"/>
  <c r="CFM16" i="1"/>
  <c r="CFA16" i="1"/>
  <c r="CEO16" i="1"/>
  <c r="CEC16" i="1"/>
  <c r="CDQ16" i="1"/>
  <c r="CDE16" i="1"/>
  <c r="CCS16" i="1"/>
  <c r="CCG16" i="1"/>
  <c r="CBU16" i="1"/>
  <c r="CBI16" i="1"/>
  <c r="CAW16" i="1"/>
  <c r="CAK16" i="1"/>
  <c r="BZY16" i="1"/>
  <c r="BZM16" i="1"/>
  <c r="BZA16" i="1"/>
  <c r="BYO16" i="1"/>
  <c r="BYC16" i="1"/>
  <c r="BXQ16" i="1"/>
  <c r="BXE16" i="1"/>
  <c r="BWS16" i="1"/>
  <c r="BWG16" i="1"/>
  <c r="BVU16" i="1"/>
  <c r="BVI16" i="1"/>
  <c r="BUW16" i="1"/>
  <c r="BUK16" i="1"/>
  <c r="BTY16" i="1"/>
  <c r="BTM16" i="1"/>
  <c r="BTA16" i="1"/>
  <c r="BSO16" i="1"/>
  <c r="BSC16" i="1"/>
  <c r="BRQ16" i="1"/>
  <c r="BRE16" i="1"/>
  <c r="BQS16" i="1"/>
  <c r="BQG16" i="1"/>
  <c r="BPU16" i="1"/>
  <c r="BPI16" i="1"/>
  <c r="BOW16" i="1"/>
  <c r="BOK16" i="1"/>
  <c r="BNY16" i="1"/>
  <c r="BNM16" i="1"/>
  <c r="BNA16" i="1"/>
  <c r="BMO16" i="1"/>
  <c r="BMC16" i="1"/>
  <c r="BLQ16" i="1"/>
  <c r="BLE16" i="1"/>
  <c r="BKS16" i="1"/>
  <c r="BKG16" i="1"/>
  <c r="BJU16" i="1"/>
  <c r="BJI16" i="1"/>
  <c r="BIW16" i="1"/>
  <c r="BIK16" i="1"/>
  <c r="BHY16" i="1"/>
  <c r="BHM16" i="1"/>
  <c r="BHA16" i="1"/>
  <c r="BGO16" i="1"/>
  <c r="BGC16" i="1"/>
  <c r="BFQ16" i="1"/>
  <c r="BFE16" i="1"/>
  <c r="BES16" i="1"/>
  <c r="BEG16" i="1"/>
  <c r="BDU16" i="1"/>
  <c r="BDI16" i="1"/>
  <c r="BCW16" i="1"/>
  <c r="BCK16" i="1"/>
  <c r="BBY16" i="1"/>
  <c r="BBM16" i="1"/>
  <c r="BBA16" i="1"/>
  <c r="BAO16" i="1"/>
  <c r="BAC16" i="1"/>
  <c r="AZQ16" i="1"/>
  <c r="AZE16" i="1"/>
  <c r="AYS16" i="1"/>
  <c r="AYG16" i="1"/>
  <c r="AXU16" i="1"/>
  <c r="AXI16" i="1"/>
  <c r="AWW16" i="1"/>
  <c r="AWK16" i="1"/>
  <c r="AVY16" i="1"/>
  <c r="AVM16" i="1"/>
  <c r="AVA16" i="1"/>
  <c r="AUO16" i="1"/>
  <c r="AUC16" i="1"/>
  <c r="ATQ16" i="1"/>
  <c r="ATE16" i="1"/>
  <c r="ASS16" i="1"/>
  <c r="ASG16" i="1"/>
  <c r="ARU16" i="1"/>
  <c r="ARI16" i="1"/>
  <c r="AQW16" i="1"/>
  <c r="AQK16" i="1"/>
  <c r="APY16" i="1"/>
  <c r="APM16" i="1"/>
  <c r="APA16" i="1"/>
  <c r="AOO16" i="1"/>
  <c r="AOC16" i="1"/>
  <c r="ANQ16" i="1"/>
  <c r="ANE16" i="1"/>
  <c r="AMS16" i="1"/>
  <c r="AMG16" i="1"/>
  <c r="ALU16" i="1"/>
  <c r="ALI16" i="1"/>
  <c r="AKW16" i="1"/>
  <c r="AKK16" i="1"/>
  <c r="AJY16" i="1"/>
  <c r="AJM16" i="1"/>
  <c r="AJA16" i="1"/>
  <c r="AIO16" i="1"/>
  <c r="AIC16" i="1"/>
  <c r="AHQ16" i="1"/>
  <c r="AHE16" i="1"/>
  <c r="AGS16" i="1"/>
  <c r="AGG16" i="1"/>
  <c r="AFT16" i="1"/>
  <c r="AFG16" i="1"/>
  <c r="AET16" i="1"/>
  <c r="AEG16" i="1"/>
  <c r="ADT16" i="1"/>
  <c r="ADG16" i="1"/>
  <c r="ACT16" i="1"/>
  <c r="ACG16" i="1"/>
  <c r="ABT16" i="1"/>
  <c r="ABG16" i="1"/>
  <c r="AAT16" i="1"/>
  <c r="AAG16" i="1"/>
  <c r="YN16" i="1"/>
  <c r="XZ16" i="1"/>
  <c r="XL16" i="1"/>
  <c r="WX16" i="1"/>
  <c r="WJ16" i="1"/>
  <c r="VV16" i="1"/>
  <c r="VH16" i="1"/>
  <c r="UT16" i="1"/>
  <c r="UF16" i="1"/>
  <c r="TR16" i="1"/>
  <c r="TD16" i="1"/>
  <c r="SP16" i="1"/>
  <c r="SB16" i="1"/>
  <c r="RN16" i="1"/>
  <c r="QZ16" i="1"/>
  <c r="QL16" i="1"/>
  <c r="PX16" i="1"/>
  <c r="PJ16" i="1"/>
  <c r="OV16" i="1"/>
  <c r="OH16" i="1"/>
  <c r="NT16" i="1"/>
  <c r="NF16" i="1"/>
  <c r="MR16" i="1"/>
  <c r="MD16" i="1"/>
  <c r="LP16" i="1"/>
  <c r="LB16" i="1"/>
  <c r="KN16" i="1"/>
  <c r="JZ16" i="1"/>
  <c r="JL16" i="1"/>
  <c r="IX16" i="1"/>
  <c r="IJ16" i="1"/>
  <c r="HV16" i="1"/>
  <c r="HH16" i="1"/>
  <c r="GT16" i="1"/>
  <c r="GF16" i="1"/>
  <c r="FR16" i="1"/>
  <c r="FD16" i="1"/>
  <c r="EP16" i="1"/>
  <c r="EB16" i="1"/>
  <c r="DN16" i="1"/>
  <c r="CZ16" i="1"/>
  <c r="CL16" i="1"/>
  <c r="BX16" i="1"/>
  <c r="BJ16" i="1"/>
  <c r="AV16" i="1"/>
  <c r="AH16" i="1"/>
  <c r="T16" i="1"/>
  <c r="F16" i="1"/>
  <c r="CWE15" i="1"/>
  <c r="CWC15" i="1"/>
  <c r="CVQ15" i="1"/>
  <c r="CVE15" i="1"/>
  <c r="CUS15" i="1"/>
  <c r="CUG15" i="1"/>
  <c r="CTU15" i="1"/>
  <c r="CTI15" i="1"/>
  <c r="CSW15" i="1"/>
  <c r="CSK15" i="1"/>
  <c r="CRY15" i="1"/>
  <c r="CRM15" i="1"/>
  <c r="CRA15" i="1"/>
  <c r="CQO15" i="1"/>
  <c r="CQC15" i="1"/>
  <c r="CPQ15" i="1"/>
  <c r="CPE15" i="1"/>
  <c r="COS15" i="1"/>
  <c r="COG15" i="1"/>
  <c r="CNU15" i="1"/>
  <c r="CNI15" i="1"/>
  <c r="CMW15" i="1"/>
  <c r="CMK15" i="1"/>
  <c r="CLY15" i="1"/>
  <c r="CLM15" i="1"/>
  <c r="CLA15" i="1"/>
  <c r="CKO15" i="1"/>
  <c r="CKC15" i="1"/>
  <c r="CJQ15" i="1"/>
  <c r="CJE15" i="1"/>
  <c r="CIS15" i="1"/>
  <c r="CIG15" i="1"/>
  <c r="CHU15" i="1"/>
  <c r="CHI15" i="1"/>
  <c r="CGW15" i="1"/>
  <c r="CGK15" i="1"/>
  <c r="CFY15" i="1"/>
  <c r="CFM15" i="1"/>
  <c r="CFA15" i="1"/>
  <c r="CEO15" i="1"/>
  <c r="CEC15" i="1"/>
  <c r="CDQ15" i="1"/>
  <c r="CDE15" i="1"/>
  <c r="CCS15" i="1"/>
  <c r="CCG15" i="1"/>
  <c r="CBU15" i="1"/>
  <c r="CBI15" i="1"/>
  <c r="CAW15" i="1"/>
  <c r="CAK15" i="1"/>
  <c r="BZY15" i="1"/>
  <c r="BZM15" i="1"/>
  <c r="BZA15" i="1"/>
  <c r="BYO15" i="1"/>
  <c r="BYC15" i="1"/>
  <c r="BXQ15" i="1"/>
  <c r="BXE15" i="1"/>
  <c r="BWS15" i="1"/>
  <c r="BWG15" i="1"/>
  <c r="BVU15" i="1"/>
  <c r="BVI15" i="1"/>
  <c r="BUW15" i="1"/>
  <c r="BUK15" i="1"/>
  <c r="BTY15" i="1"/>
  <c r="BTM15" i="1"/>
  <c r="BTA15" i="1"/>
  <c r="BSO15" i="1"/>
  <c r="BSC15" i="1"/>
  <c r="BRQ15" i="1"/>
  <c r="BRE15" i="1"/>
  <c r="BQS15" i="1"/>
  <c r="BQG15" i="1"/>
  <c r="BPU15" i="1"/>
  <c r="BPI15" i="1"/>
  <c r="BOW15" i="1"/>
  <c r="BOK15" i="1"/>
  <c r="BNY15" i="1"/>
  <c r="BNM15" i="1"/>
  <c r="BNA15" i="1"/>
  <c r="BMO15" i="1"/>
  <c r="BMC15" i="1"/>
  <c r="BLQ15" i="1"/>
  <c r="BLE15" i="1"/>
  <c r="BKS15" i="1"/>
  <c r="BKG15" i="1"/>
  <c r="BJU15" i="1"/>
  <c r="BJI15" i="1"/>
  <c r="BIW15" i="1"/>
  <c r="BIK15" i="1"/>
  <c r="BHY15" i="1"/>
  <c r="BHM15" i="1"/>
  <c r="BHA15" i="1"/>
  <c r="BGO15" i="1"/>
  <c r="BGC15" i="1"/>
  <c r="BFQ15" i="1"/>
  <c r="BFE15" i="1"/>
  <c r="BES15" i="1"/>
  <c r="BEG15" i="1"/>
  <c r="BDU15" i="1"/>
  <c r="BDI15" i="1"/>
  <c r="BCW15" i="1"/>
  <c r="BCK15" i="1"/>
  <c r="BBY15" i="1"/>
  <c r="BBM15" i="1"/>
  <c r="BBA15" i="1"/>
  <c r="BAO15" i="1"/>
  <c r="BAC15" i="1"/>
  <c r="AZQ15" i="1"/>
  <c r="AZE15" i="1"/>
  <c r="AYS15" i="1"/>
  <c r="AYG15" i="1"/>
  <c r="AXU15" i="1"/>
  <c r="AXI15" i="1"/>
  <c r="AWW15" i="1"/>
  <c r="AWK15" i="1"/>
  <c r="AVY15" i="1"/>
  <c r="AVM15" i="1"/>
  <c r="AVA15" i="1"/>
  <c r="AUO15" i="1"/>
  <c r="AUC15" i="1"/>
  <c r="ATQ15" i="1"/>
  <c r="ATE15" i="1"/>
  <c r="ASS15" i="1"/>
  <c r="ASG15" i="1"/>
  <c r="ARU15" i="1"/>
  <c r="ARI15" i="1"/>
  <c r="AQW15" i="1"/>
  <c r="AQK15" i="1"/>
  <c r="APY15" i="1"/>
  <c r="APM15" i="1"/>
  <c r="APA15" i="1"/>
  <c r="AOO15" i="1"/>
  <c r="AOC15" i="1"/>
  <c r="ANQ15" i="1"/>
  <c r="ANE15" i="1"/>
  <c r="AMS15" i="1"/>
  <c r="AMG15" i="1"/>
  <c r="ALU15" i="1"/>
  <c r="ALI15" i="1"/>
  <c r="AKW15" i="1"/>
  <c r="AKK15" i="1"/>
  <c r="AJY15" i="1"/>
  <c r="AJM15" i="1"/>
  <c r="AJA15" i="1"/>
  <c r="AIO15" i="1"/>
  <c r="AIC15" i="1"/>
  <c r="AHQ15" i="1"/>
  <c r="AHE15" i="1"/>
  <c r="AGS15" i="1"/>
  <c r="AGG15" i="1"/>
  <c r="AFT15" i="1"/>
  <c r="AFG15" i="1"/>
  <c r="AET15" i="1"/>
  <c r="AEG15" i="1"/>
  <c r="ADT15" i="1"/>
  <c r="ADG15" i="1"/>
  <c r="ACT15" i="1"/>
  <c r="ACG15" i="1"/>
  <c r="ABT15" i="1"/>
  <c r="ABG15" i="1"/>
  <c r="AAT15" i="1"/>
  <c r="AAG15" i="1"/>
  <c r="YN15" i="1"/>
  <c r="XZ15" i="1"/>
  <c r="XL15" i="1"/>
  <c r="WX15" i="1"/>
  <c r="WJ15" i="1"/>
  <c r="VV15" i="1"/>
  <c r="VH15" i="1"/>
  <c r="UT15" i="1"/>
  <c r="UF15" i="1"/>
  <c r="TR15" i="1"/>
  <c r="TD15" i="1"/>
  <c r="SP15" i="1"/>
  <c r="SB15" i="1"/>
  <c r="RN15" i="1"/>
  <c r="QZ15" i="1"/>
  <c r="QL15" i="1"/>
  <c r="PX15" i="1"/>
  <c r="PJ15" i="1"/>
  <c r="OV15" i="1"/>
  <c r="OH15" i="1"/>
  <c r="NT15" i="1"/>
  <c r="NF15" i="1"/>
  <c r="MR15" i="1"/>
  <c r="MD15" i="1"/>
  <c r="LP15" i="1"/>
  <c r="LB15" i="1"/>
  <c r="KN15" i="1"/>
  <c r="JZ15" i="1"/>
  <c r="JL15" i="1"/>
  <c r="IX15" i="1"/>
  <c r="IJ15" i="1"/>
  <c r="HV15" i="1"/>
  <c r="HH15" i="1"/>
  <c r="GT15" i="1"/>
  <c r="GF15" i="1"/>
  <c r="FR15" i="1"/>
  <c r="FD15" i="1"/>
  <c r="EP15" i="1"/>
  <c r="EB15" i="1"/>
  <c r="DN15" i="1"/>
  <c r="CZ15" i="1"/>
  <c r="CL15" i="1"/>
  <c r="BX15" i="1"/>
  <c r="BJ15" i="1"/>
  <c r="AV15" i="1"/>
  <c r="AH15" i="1"/>
  <c r="T15" i="1"/>
  <c r="F15" i="1"/>
  <c r="CWE14" i="1"/>
  <c r="CWC14" i="1"/>
  <c r="CVQ14" i="1"/>
  <c r="CVE14" i="1"/>
  <c r="CUS14" i="1"/>
  <c r="CUG14" i="1"/>
  <c r="CTU14" i="1"/>
  <c r="CTI14" i="1"/>
  <c r="CSW14" i="1"/>
  <c r="CSK14" i="1"/>
  <c r="CRY14" i="1"/>
  <c r="CRM14" i="1"/>
  <c r="CRA14" i="1"/>
  <c r="CQO14" i="1"/>
  <c r="CQC14" i="1"/>
  <c r="CPQ14" i="1"/>
  <c r="CPE14" i="1"/>
  <c r="COS14" i="1"/>
  <c r="COG14" i="1"/>
  <c r="CNU14" i="1"/>
  <c r="CNI14" i="1"/>
  <c r="CMW14" i="1"/>
  <c r="CMK14" i="1"/>
  <c r="CLY14" i="1"/>
  <c r="CLM14" i="1"/>
  <c r="CLA14" i="1"/>
  <c r="CKO14" i="1"/>
  <c r="CKC14" i="1"/>
  <c r="CJQ14" i="1"/>
  <c r="CJE14" i="1"/>
  <c r="CIS14" i="1"/>
  <c r="CIG14" i="1"/>
  <c r="CHU14" i="1"/>
  <c r="CHI14" i="1"/>
  <c r="CGW14" i="1"/>
  <c r="CGK14" i="1"/>
  <c r="CFY14" i="1"/>
  <c r="CFM14" i="1"/>
  <c r="CFA14" i="1"/>
  <c r="CEO14" i="1"/>
  <c r="CEC14" i="1"/>
  <c r="CDQ14" i="1"/>
  <c r="CDE14" i="1"/>
  <c r="CCS14" i="1"/>
  <c r="CCG14" i="1"/>
  <c r="CBU14" i="1"/>
  <c r="CBI14" i="1"/>
  <c r="CAW14" i="1"/>
  <c r="CAK14" i="1"/>
  <c r="BZY14" i="1"/>
  <c r="BZM14" i="1"/>
  <c r="BZA14" i="1"/>
  <c r="BYO14" i="1"/>
  <c r="BYC14" i="1"/>
  <c r="BXQ14" i="1"/>
  <c r="BXE14" i="1"/>
  <c r="BWS14" i="1"/>
  <c r="BWG14" i="1"/>
  <c r="BVU14" i="1"/>
  <c r="BVI14" i="1"/>
  <c r="BUW14" i="1"/>
  <c r="BUK14" i="1"/>
  <c r="BTY14" i="1"/>
  <c r="BTM14" i="1"/>
  <c r="BTA14" i="1"/>
  <c r="BSO14" i="1"/>
  <c r="BSC14" i="1"/>
  <c r="BRQ14" i="1"/>
  <c r="BRE14" i="1"/>
  <c r="BQS14" i="1"/>
  <c r="BQG14" i="1"/>
  <c r="BPU14" i="1"/>
  <c r="BPI14" i="1"/>
  <c r="BOW14" i="1"/>
  <c r="BOK14" i="1"/>
  <c r="BNY14" i="1"/>
  <c r="BNM14" i="1"/>
  <c r="BNA14" i="1"/>
  <c r="BMO14" i="1"/>
  <c r="BMC14" i="1"/>
  <c r="BLQ14" i="1"/>
  <c r="BLE14" i="1"/>
  <c r="BKS14" i="1"/>
  <c r="BKG14" i="1"/>
  <c r="BJU14" i="1"/>
  <c r="BJI14" i="1"/>
  <c r="BIW14" i="1"/>
  <c r="BIK14" i="1"/>
  <c r="BHY14" i="1"/>
  <c r="BHM14" i="1"/>
  <c r="BHA14" i="1"/>
  <c r="BGO14" i="1"/>
  <c r="BGC14" i="1"/>
  <c r="BFQ14" i="1"/>
  <c r="BFE14" i="1"/>
  <c r="BES14" i="1"/>
  <c r="BEG14" i="1"/>
  <c r="BDU14" i="1"/>
  <c r="BDI14" i="1"/>
  <c r="BCW14" i="1"/>
  <c r="BCK14" i="1"/>
  <c r="BBY14" i="1"/>
  <c r="BBM14" i="1"/>
  <c r="BBA14" i="1"/>
  <c r="BAO14" i="1"/>
  <c r="BAC14" i="1"/>
  <c r="AZQ14" i="1"/>
  <c r="AZE14" i="1"/>
  <c r="AYS14" i="1"/>
  <c r="AYG14" i="1"/>
  <c r="AXU14" i="1"/>
  <c r="AXI14" i="1"/>
  <c r="AWW14" i="1"/>
  <c r="AWK14" i="1"/>
  <c r="AVY14" i="1"/>
  <c r="AVM14" i="1"/>
  <c r="AVA14" i="1"/>
  <c r="AUO14" i="1"/>
  <c r="AUC14" i="1"/>
  <c r="ATQ14" i="1"/>
  <c r="ATE14" i="1"/>
  <c r="ASS14" i="1"/>
  <c r="ASG14" i="1"/>
  <c r="ARU14" i="1"/>
  <c r="ARI14" i="1"/>
  <c r="AQW14" i="1"/>
  <c r="AQK14" i="1"/>
  <c r="APY14" i="1"/>
  <c r="APM14" i="1"/>
  <c r="APA14" i="1"/>
  <c r="AOO14" i="1"/>
  <c r="AOC14" i="1"/>
  <c r="ANQ14" i="1"/>
  <c r="ANE14" i="1"/>
  <c r="AMS14" i="1"/>
  <c r="AMG14" i="1"/>
  <c r="ALU14" i="1"/>
  <c r="ALI14" i="1"/>
  <c r="AKW14" i="1"/>
  <c r="AKK14" i="1"/>
  <c r="AJY14" i="1"/>
  <c r="AJM14" i="1"/>
  <c r="AJA14" i="1"/>
  <c r="AIO14" i="1"/>
  <c r="AIC14" i="1"/>
  <c r="AHQ14" i="1"/>
  <c r="AHE14" i="1"/>
  <c r="AGS14" i="1"/>
  <c r="AGG14" i="1"/>
  <c r="AFT14" i="1"/>
  <c r="AFG14" i="1"/>
  <c r="AET14" i="1"/>
  <c r="AEG14" i="1"/>
  <c r="ADT14" i="1"/>
  <c r="ADG14" i="1"/>
  <c r="ACT14" i="1"/>
  <c r="ACG14" i="1"/>
  <c r="ABT14" i="1"/>
  <c r="ABG14" i="1"/>
  <c r="AAT14" i="1"/>
  <c r="AAG14" i="1"/>
  <c r="YN14" i="1"/>
  <c r="XZ14" i="1"/>
  <c r="XL14" i="1"/>
  <c r="WX14" i="1"/>
  <c r="WJ14" i="1"/>
  <c r="VV14" i="1"/>
  <c r="VH14" i="1"/>
  <c r="UT14" i="1"/>
  <c r="UF14" i="1"/>
  <c r="TR14" i="1"/>
  <c r="TD14" i="1"/>
  <c r="SP14" i="1"/>
  <c r="SB14" i="1"/>
  <c r="RN14" i="1"/>
  <c r="QZ14" i="1"/>
  <c r="QL14" i="1"/>
  <c r="PX14" i="1"/>
  <c r="PJ14" i="1"/>
  <c r="OV14" i="1"/>
  <c r="OH14" i="1"/>
  <c r="NT14" i="1"/>
  <c r="NF14" i="1"/>
  <c r="MR14" i="1"/>
  <c r="MD14" i="1"/>
  <c r="LP14" i="1"/>
  <c r="LB14" i="1"/>
  <c r="KN14" i="1"/>
  <c r="JZ14" i="1"/>
  <c r="JL14" i="1"/>
  <c r="IX14" i="1"/>
  <c r="IJ14" i="1"/>
  <c r="HV14" i="1"/>
  <c r="HH14" i="1"/>
  <c r="GT14" i="1"/>
  <c r="GF14" i="1"/>
  <c r="FR14" i="1"/>
  <c r="FD14" i="1"/>
  <c r="EP14" i="1"/>
  <c r="EB14" i="1"/>
  <c r="DN14" i="1"/>
  <c r="CZ14" i="1"/>
  <c r="CL14" i="1"/>
  <c r="BX14" i="1"/>
  <c r="BJ14" i="1"/>
  <c r="AV14" i="1"/>
  <c r="AH14" i="1"/>
  <c r="T14" i="1"/>
  <c r="F14" i="1"/>
  <c r="CWE13" i="1"/>
  <c r="CWC13" i="1"/>
  <c r="CVQ13" i="1"/>
  <c r="CVE13" i="1"/>
  <c r="CUS13" i="1"/>
  <c r="CUG13" i="1"/>
  <c r="CTU13" i="1"/>
  <c r="CTI13" i="1"/>
  <c r="CSW13" i="1"/>
  <c r="CSK13" i="1"/>
  <c r="CRY13" i="1"/>
  <c r="CRM13" i="1"/>
  <c r="CRA13" i="1"/>
  <c r="CQO13" i="1"/>
  <c r="CQC13" i="1"/>
  <c r="CPQ13" i="1"/>
  <c r="CPE13" i="1"/>
  <c r="COG13" i="1"/>
  <c r="CNU13" i="1"/>
  <c r="CNI13" i="1"/>
  <c r="CMW13" i="1"/>
  <c r="CMK13" i="1"/>
  <c r="CLY13" i="1"/>
  <c r="CLM13" i="1"/>
  <c r="CLA13" i="1"/>
  <c r="CKO13" i="1"/>
  <c r="CKC13" i="1"/>
  <c r="CJQ13" i="1"/>
  <c r="CJE13" i="1"/>
  <c r="CIS13" i="1"/>
  <c r="CIG13" i="1"/>
  <c r="CHU13" i="1"/>
  <c r="CHI13" i="1"/>
  <c r="CGW13" i="1"/>
  <c r="CGK13" i="1"/>
  <c r="CFY13" i="1"/>
  <c r="CFM13" i="1"/>
  <c r="CFA13" i="1"/>
  <c r="CEO13" i="1"/>
  <c r="CEC13" i="1"/>
  <c r="CDQ13" i="1"/>
  <c r="CDE13" i="1"/>
  <c r="CCS13" i="1"/>
  <c r="CCG13" i="1"/>
  <c r="CBU13" i="1"/>
  <c r="CBI13" i="1"/>
  <c r="CAW13" i="1"/>
  <c r="CAK13" i="1"/>
  <c r="BZY13" i="1"/>
  <c r="BZM13" i="1"/>
  <c r="BZA13" i="1"/>
  <c r="BYO13" i="1"/>
  <c r="BYC13" i="1"/>
  <c r="BXQ13" i="1"/>
  <c r="BXE13" i="1"/>
  <c r="BWS13" i="1"/>
  <c r="BWG13" i="1"/>
  <c r="BVU13" i="1"/>
  <c r="BVI13" i="1"/>
  <c r="BUW13" i="1"/>
  <c r="BUK13" i="1"/>
  <c r="BTY13" i="1"/>
  <c r="BTM13" i="1"/>
  <c r="BTA13" i="1"/>
  <c r="BSO13" i="1"/>
  <c r="BSC13" i="1"/>
  <c r="BRQ13" i="1"/>
  <c r="BRE13" i="1"/>
  <c r="BQS13" i="1"/>
  <c r="BQG13" i="1"/>
  <c r="BPU13" i="1"/>
  <c r="BPI13" i="1"/>
  <c r="BOW13" i="1"/>
  <c r="BOK13" i="1"/>
  <c r="BNY13" i="1"/>
  <c r="BNM13" i="1"/>
  <c r="BNA13" i="1"/>
  <c r="BMO13" i="1"/>
  <c r="BMC13" i="1"/>
  <c r="BLQ13" i="1"/>
  <c r="BLE13" i="1"/>
  <c r="BKS13" i="1"/>
  <c r="BKG13" i="1"/>
  <c r="BJU13" i="1"/>
  <c r="BJI13" i="1"/>
  <c r="BIW13" i="1"/>
  <c r="BIK13" i="1"/>
  <c r="BHY13" i="1"/>
  <c r="BHM13" i="1"/>
  <c r="BHA13" i="1"/>
  <c r="BGO13" i="1"/>
  <c r="BGC13" i="1"/>
  <c r="BFQ13" i="1"/>
  <c r="BFE13" i="1"/>
  <c r="BES13" i="1"/>
  <c r="BEG13" i="1"/>
  <c r="BDU13" i="1"/>
  <c r="BDI13" i="1"/>
  <c r="BCW13" i="1"/>
  <c r="BCK13" i="1"/>
  <c r="BBY13" i="1"/>
  <c r="BBM13" i="1"/>
  <c r="BBA13" i="1"/>
  <c r="BAO13" i="1"/>
  <c r="BAC13" i="1"/>
  <c r="AZQ13" i="1"/>
  <c r="AZE13" i="1"/>
  <c r="AYS13" i="1"/>
  <c r="AYG13" i="1"/>
  <c r="AXU13" i="1"/>
  <c r="AXI13" i="1"/>
  <c r="AWW13" i="1"/>
  <c r="AWK13" i="1"/>
  <c r="AVY13" i="1"/>
  <c r="AVM13" i="1"/>
  <c r="AVA13" i="1"/>
  <c r="AUO13" i="1"/>
  <c r="AUC13" i="1"/>
  <c r="ATQ13" i="1"/>
  <c r="ATE13" i="1"/>
  <c r="ASS13" i="1"/>
  <c r="ASG13" i="1"/>
  <c r="ARU13" i="1"/>
  <c r="ARI13" i="1"/>
  <c r="AQW13" i="1"/>
  <c r="AQK13" i="1"/>
  <c r="APY13" i="1"/>
  <c r="APM13" i="1"/>
  <c r="APA13" i="1"/>
  <c r="AOO13" i="1"/>
  <c r="AOC13" i="1"/>
  <c r="ANQ13" i="1"/>
  <c r="ANE13" i="1"/>
  <c r="AMS13" i="1"/>
  <c r="AMG13" i="1"/>
  <c r="ALU13" i="1"/>
  <c r="ALI13" i="1"/>
  <c r="AKW13" i="1"/>
  <c r="AKK13" i="1"/>
  <c r="AJY13" i="1"/>
  <c r="AJM13" i="1"/>
  <c r="AJA13" i="1"/>
  <c r="AIO13" i="1"/>
  <c r="AIC13" i="1"/>
  <c r="AHQ13" i="1"/>
  <c r="AHE13" i="1"/>
  <c r="AGS13" i="1"/>
  <c r="AGG13" i="1"/>
  <c r="AFT13" i="1"/>
  <c r="AFG13" i="1"/>
  <c r="AET13" i="1"/>
  <c r="AEG13" i="1"/>
  <c r="ADT13" i="1"/>
  <c r="ADG13" i="1"/>
  <c r="ACT13" i="1"/>
  <c r="ACG13" i="1"/>
  <c r="ABT13" i="1"/>
  <c r="ABG13" i="1"/>
  <c r="AAT13" i="1"/>
  <c r="AAG13" i="1"/>
  <c r="ZP13" i="1"/>
  <c r="ZB13" i="1"/>
  <c r="YN13" i="1"/>
  <c r="XZ13" i="1"/>
  <c r="XL13" i="1"/>
  <c r="WX13" i="1"/>
  <c r="WJ13" i="1"/>
  <c r="VV13" i="1"/>
  <c r="VH13" i="1"/>
  <c r="UT13" i="1"/>
  <c r="UF13" i="1"/>
  <c r="TR13" i="1"/>
  <c r="TD13" i="1"/>
  <c r="SP13" i="1"/>
  <c r="SB13" i="1"/>
  <c r="RN13" i="1"/>
  <c r="QZ13" i="1"/>
  <c r="QL13" i="1"/>
  <c r="PX13" i="1"/>
  <c r="PJ13" i="1"/>
  <c r="OV13" i="1"/>
  <c r="OH13" i="1"/>
  <c r="NT13" i="1"/>
  <c r="NF13" i="1"/>
  <c r="MR13" i="1"/>
  <c r="MD13" i="1"/>
  <c r="LP13" i="1"/>
  <c r="LB13" i="1"/>
  <c r="KN13" i="1"/>
  <c r="JZ13" i="1"/>
  <c r="JL13" i="1"/>
  <c r="IX13" i="1"/>
  <c r="IJ13" i="1"/>
  <c r="HV13" i="1"/>
  <c r="HH13" i="1"/>
  <c r="GT13" i="1"/>
  <c r="GF13" i="1"/>
  <c r="FR13" i="1"/>
  <c r="FD13" i="1"/>
  <c r="EP13" i="1"/>
  <c r="EB13" i="1"/>
  <c r="DN13" i="1"/>
  <c r="CZ13" i="1"/>
  <c r="CL13" i="1"/>
  <c r="BX13" i="1"/>
  <c r="BJ13" i="1"/>
  <c r="AV13" i="1"/>
  <c r="AH13" i="1"/>
  <c r="T13" i="1"/>
  <c r="F13" i="1"/>
  <c r="CWE12" i="1"/>
  <c r="CWC12" i="1"/>
  <c r="CWC20" i="1" s="1"/>
  <c r="CWE20" i="1" s="1"/>
  <c r="CVQ12" i="1"/>
  <c r="CVQ20" i="1" s="1"/>
  <c r="CVE12" i="1"/>
  <c r="CVE20" i="1" s="1"/>
  <c r="CUS12" i="1"/>
  <c r="CUS20" i="1" s="1"/>
  <c r="CUG12" i="1"/>
  <c r="CUG20" i="1" s="1"/>
  <c r="CTU12" i="1"/>
  <c r="CTU20" i="1" s="1"/>
  <c r="CTI12" i="1"/>
  <c r="CTI20" i="1" s="1"/>
  <c r="CSW12" i="1"/>
  <c r="CSW20" i="1" s="1"/>
  <c r="CSK12" i="1"/>
  <c r="CSK20" i="1" s="1"/>
  <c r="CRY12" i="1"/>
  <c r="CRY20" i="1" s="1"/>
  <c r="CRM12" i="1"/>
  <c r="CRM20" i="1" s="1"/>
  <c r="CRA12" i="1"/>
  <c r="CRA20" i="1" s="1"/>
  <c r="CQO12" i="1"/>
  <c r="CQO20" i="1" s="1"/>
  <c r="CQC12" i="1"/>
  <c r="CQC20" i="1" s="1"/>
  <c r="CPQ12" i="1"/>
  <c r="CPQ20" i="1" s="1"/>
  <c r="CPE12" i="1"/>
  <c r="CPE20" i="1" s="1"/>
  <c r="COS12" i="1"/>
  <c r="COG12" i="1"/>
  <c r="CNU12" i="1"/>
  <c r="CNI12" i="1"/>
  <c r="CMW12" i="1"/>
  <c r="CMK12" i="1"/>
  <c r="CLY12" i="1"/>
  <c r="CLM12" i="1"/>
  <c r="CLA12" i="1"/>
  <c r="CKO12" i="1"/>
  <c r="CKC12" i="1"/>
  <c r="CJQ12" i="1"/>
  <c r="CJE12" i="1"/>
  <c r="CIS12" i="1"/>
  <c r="CIG12" i="1"/>
  <c r="CHU12" i="1"/>
  <c r="CHI12" i="1"/>
  <c r="CGW12" i="1"/>
  <c r="CGK12" i="1"/>
  <c r="CFY12" i="1"/>
  <c r="CFM12" i="1"/>
  <c r="CFA12" i="1"/>
  <c r="CEO12" i="1"/>
  <c r="CEC12" i="1"/>
  <c r="CDQ12" i="1"/>
  <c r="CDE12" i="1"/>
  <c r="CCS12" i="1"/>
  <c r="CCG12" i="1"/>
  <c r="CBU12" i="1"/>
  <c r="CBI12" i="1"/>
  <c r="CAW12" i="1"/>
  <c r="CAK12" i="1"/>
  <c r="BZY12" i="1"/>
  <c r="BZM12" i="1"/>
  <c r="BZA12" i="1"/>
  <c r="BYO12" i="1"/>
  <c r="BYC12" i="1"/>
  <c r="BXQ12" i="1"/>
  <c r="BXE12" i="1"/>
  <c r="BWS12" i="1"/>
  <c r="BWG12" i="1"/>
  <c r="BVU12" i="1"/>
  <c r="BVI12" i="1"/>
  <c r="BUW12" i="1"/>
  <c r="BUK12" i="1"/>
  <c r="BTY12" i="1"/>
  <c r="BTM12" i="1"/>
  <c r="BTA12" i="1"/>
  <c r="BSO12" i="1"/>
  <c r="BSC12" i="1"/>
  <c r="BRQ12" i="1"/>
  <c r="BRE12" i="1"/>
  <c r="BQS12" i="1"/>
  <c r="BQG12" i="1"/>
  <c r="BPU12" i="1"/>
  <c r="BPI12" i="1"/>
  <c r="BOW12" i="1"/>
  <c r="BOK12" i="1"/>
  <c r="BNY12" i="1"/>
  <c r="BNM12" i="1"/>
  <c r="BNA12" i="1"/>
  <c r="BMO12" i="1"/>
  <c r="BMC12" i="1"/>
  <c r="BLQ12" i="1"/>
  <c r="BLE12" i="1"/>
  <c r="BKS12" i="1"/>
  <c r="BKG12" i="1"/>
  <c r="BJU12" i="1"/>
  <c r="BJI12" i="1"/>
  <c r="BIW12" i="1"/>
  <c r="BIK12" i="1"/>
  <c r="BHY12" i="1"/>
  <c r="BHM12" i="1"/>
  <c r="BHA12" i="1"/>
  <c r="BGO12" i="1"/>
  <c r="BGC12" i="1"/>
  <c r="BFQ12" i="1"/>
  <c r="BFE12" i="1"/>
  <c r="BES12" i="1"/>
  <c r="BEG12" i="1"/>
  <c r="BDU12" i="1"/>
  <c r="BDI12" i="1"/>
  <c r="BCW12" i="1"/>
  <c r="BCK12" i="1"/>
  <c r="BBY12" i="1"/>
  <c r="BBM12" i="1"/>
  <c r="BBA12" i="1"/>
  <c r="BAO12" i="1"/>
  <c r="BAC12" i="1"/>
  <c r="AZQ12" i="1"/>
  <c r="AZE12" i="1"/>
  <c r="AYS12" i="1"/>
  <c r="AYG12" i="1"/>
  <c r="AXU12" i="1"/>
  <c r="AXI12" i="1"/>
  <c r="AWW12" i="1"/>
  <c r="AWK12" i="1"/>
  <c r="AVY12" i="1"/>
  <c r="AVM12" i="1"/>
  <c r="AVA12" i="1"/>
  <c r="AUO12" i="1"/>
  <c r="AUC12" i="1"/>
  <c r="ATQ12" i="1"/>
  <c r="ATE12" i="1"/>
  <c r="ASS12" i="1"/>
  <c r="ASG12" i="1"/>
  <c r="ARU12" i="1"/>
  <c r="ARI12" i="1"/>
  <c r="AQW12" i="1"/>
  <c r="AQK12" i="1"/>
  <c r="APY12" i="1"/>
  <c r="APM12" i="1"/>
  <c r="APA12" i="1"/>
  <c r="AOO12" i="1"/>
  <c r="AOC12" i="1"/>
  <c r="ANQ12" i="1"/>
  <c r="ANE12" i="1"/>
  <c r="AMS12" i="1"/>
  <c r="AMS20" i="1" s="1"/>
  <c r="AMG12" i="1"/>
  <c r="AMG20" i="1" s="1"/>
  <c r="ALU12" i="1"/>
  <c r="ALU20" i="1" s="1"/>
  <c r="ALI12" i="1"/>
  <c r="ALI20" i="1" s="1"/>
  <c r="AKW12" i="1"/>
  <c r="AKW20" i="1" s="1"/>
  <c r="AKK12" i="1"/>
  <c r="AKK20" i="1" s="1"/>
  <c r="AJY12" i="1"/>
  <c r="AJY20" i="1" s="1"/>
  <c r="AJM12" i="1"/>
  <c r="AJM20" i="1" s="1"/>
  <c r="AJA12" i="1"/>
  <c r="AJA20" i="1" s="1"/>
  <c r="AIO12" i="1"/>
  <c r="AIO20" i="1" s="1"/>
  <c r="AIC12" i="1"/>
  <c r="AIC20" i="1" s="1"/>
  <c r="AHQ12" i="1"/>
  <c r="AHQ20" i="1" s="1"/>
  <c r="AHE12" i="1"/>
  <c r="AHE20" i="1" s="1"/>
  <c r="AGS12" i="1"/>
  <c r="AGS20" i="1" s="1"/>
  <c r="AGG12" i="1"/>
  <c r="AGG20" i="1" s="1"/>
  <c r="AFT12" i="1"/>
  <c r="AFT20" i="1" s="1"/>
  <c r="AFG12" i="1"/>
  <c r="AFG20" i="1" s="1"/>
  <c r="AET12" i="1"/>
  <c r="AET20" i="1" s="1"/>
  <c r="AEG12" i="1"/>
  <c r="AEG20" i="1" s="1"/>
  <c r="ADT12" i="1"/>
  <c r="ADT20" i="1" s="1"/>
  <c r="ADG12" i="1"/>
  <c r="ADG20" i="1" s="1"/>
  <c r="ACT12" i="1"/>
  <c r="ACT20" i="1" s="1"/>
  <c r="ACG12" i="1"/>
  <c r="ACG20" i="1" s="1"/>
  <c r="ABT12" i="1"/>
  <c r="ABT20" i="1" s="1"/>
  <c r="ABG12" i="1"/>
  <c r="ABG20" i="1" s="1"/>
  <c r="AAT12" i="1"/>
  <c r="AAT20" i="1" s="1"/>
  <c r="AAG12" i="1"/>
  <c r="AAG20" i="1" s="1"/>
  <c r="ZP12" i="1"/>
  <c r="ZB12" i="1"/>
  <c r="YN12" i="1"/>
  <c r="XZ12" i="1"/>
  <c r="XL12" i="1"/>
  <c r="WX12" i="1"/>
  <c r="WJ12" i="1"/>
  <c r="VV12" i="1"/>
  <c r="VH12" i="1"/>
  <c r="UT12" i="1"/>
  <c r="UF12" i="1"/>
  <c r="TR12" i="1"/>
  <c r="TD12" i="1"/>
  <c r="SP12" i="1"/>
  <c r="SB12" i="1"/>
  <c r="RN12" i="1"/>
  <c r="QZ12" i="1"/>
  <c r="QL12" i="1"/>
  <c r="PX12" i="1"/>
  <c r="PJ12" i="1"/>
  <c r="OV12" i="1"/>
  <c r="OH12" i="1"/>
  <c r="NT12" i="1"/>
  <c r="NF12" i="1"/>
  <c r="MR12" i="1"/>
  <c r="MD12" i="1"/>
  <c r="LP12" i="1"/>
  <c r="LB12" i="1"/>
  <c r="KN12" i="1"/>
  <c r="JZ12" i="1"/>
  <c r="JL12" i="1"/>
  <c r="IX12" i="1"/>
  <c r="IJ12" i="1"/>
  <c r="HV12" i="1"/>
  <c r="HH12" i="1"/>
  <c r="GT12" i="1"/>
  <c r="GF12" i="1"/>
  <c r="FR12" i="1"/>
  <c r="FD12" i="1"/>
  <c r="EP12" i="1"/>
  <c r="EB12" i="1"/>
  <c r="DN12" i="1"/>
  <c r="CZ12" i="1"/>
  <c r="CL12" i="1"/>
  <c r="BX12" i="1"/>
  <c r="BJ12" i="1"/>
  <c r="AV12" i="1"/>
  <c r="AH12" i="1"/>
  <c r="T12" i="1"/>
  <c r="F12" i="1"/>
  <c r="ZP11" i="1"/>
  <c r="ZP24" i="1" s="1"/>
  <c r="ZB11" i="1"/>
  <c r="ZB24" i="1" s="1"/>
  <c r="YN11" i="1"/>
  <c r="YN24" i="1" s="1"/>
  <c r="XZ11" i="1"/>
  <c r="XZ24" i="1" s="1"/>
  <c r="XL11" i="1"/>
  <c r="XL24" i="1" s="1"/>
  <c r="WX11" i="1"/>
  <c r="WX24" i="1" s="1"/>
  <c r="WJ11" i="1"/>
  <c r="WJ24" i="1" s="1"/>
  <c r="VV11" i="1"/>
  <c r="VV24" i="1" s="1"/>
  <c r="VH11" i="1"/>
  <c r="VH24" i="1" s="1"/>
  <c r="UT11" i="1"/>
  <c r="UT24" i="1" s="1"/>
  <c r="UF11" i="1"/>
  <c r="UF24" i="1" s="1"/>
  <c r="TR11" i="1"/>
  <c r="TR24" i="1" s="1"/>
  <c r="TD11" i="1"/>
  <c r="TD24" i="1" s="1"/>
  <c r="SP11" i="1"/>
  <c r="SP24" i="1" s="1"/>
  <c r="SB11" i="1"/>
  <c r="SB24" i="1" s="1"/>
  <c r="RN11" i="1"/>
  <c r="RN24" i="1" s="1"/>
  <c r="QZ11" i="1"/>
  <c r="QZ24" i="1" s="1"/>
  <c r="QL11" i="1"/>
  <c r="QL24" i="1" s="1"/>
  <c r="PX11" i="1"/>
  <c r="PX24" i="1" s="1"/>
  <c r="PJ11" i="1"/>
  <c r="PJ24" i="1" s="1"/>
  <c r="OV11" i="1"/>
  <c r="OV24" i="1" s="1"/>
  <c r="OH11" i="1"/>
  <c r="OH24" i="1" s="1"/>
  <c r="NT11" i="1"/>
  <c r="NT24" i="1" s="1"/>
  <c r="NF11" i="1"/>
  <c r="NF24" i="1" s="1"/>
  <c r="MR11" i="1"/>
  <c r="MR24" i="1" s="1"/>
  <c r="MD11" i="1"/>
  <c r="MD24" i="1" s="1"/>
  <c r="LP11" i="1"/>
  <c r="LP24" i="1" s="1"/>
  <c r="LB11" i="1"/>
  <c r="LB24" i="1" s="1"/>
  <c r="KN11" i="1"/>
  <c r="KN24" i="1" s="1"/>
  <c r="JZ11" i="1"/>
  <c r="JZ24" i="1" s="1"/>
  <c r="JL11" i="1"/>
  <c r="JL24" i="1" s="1"/>
  <c r="IX11" i="1"/>
  <c r="IX24" i="1" s="1"/>
  <c r="IJ11" i="1"/>
  <c r="IJ24" i="1" s="1"/>
  <c r="HV11" i="1"/>
  <c r="HV24" i="1" s="1"/>
  <c r="HH11" i="1"/>
  <c r="HH24" i="1" s="1"/>
  <c r="GT11" i="1"/>
  <c r="GT24" i="1" s="1"/>
  <c r="GF11" i="1"/>
  <c r="GF24" i="1" s="1"/>
  <c r="FR11" i="1"/>
  <c r="FR24" i="1" s="1"/>
  <c r="FD11" i="1"/>
  <c r="FD24" i="1" s="1"/>
  <c r="EP11" i="1"/>
  <c r="EP24" i="1" s="1"/>
  <c r="EB11" i="1"/>
  <c r="EB24" i="1" s="1"/>
  <c r="DN11" i="1"/>
  <c r="DN24" i="1" s="1"/>
  <c r="CZ11" i="1"/>
  <c r="CZ24" i="1" s="1"/>
  <c r="CL11" i="1"/>
  <c r="CL24" i="1" s="1"/>
  <c r="BX11" i="1"/>
  <c r="BX24" i="1" s="1"/>
  <c r="BJ11" i="1"/>
  <c r="BJ24" i="1" s="1"/>
  <c r="AV11" i="1"/>
  <c r="AV24" i="1" s="1"/>
  <c r="AH11" i="1"/>
  <c r="AH24" i="1" s="1"/>
  <c r="T11" i="1"/>
  <c r="T24" i="1" s="1"/>
  <c r="F11" i="1"/>
  <c r="F24" i="1" s="1"/>
  <c r="DS6" i="1"/>
  <c r="DE6" i="1"/>
</calcChain>
</file>

<file path=xl/sharedStrings.xml><?xml version="1.0" encoding="utf-8"?>
<sst xmlns="http://schemas.openxmlformats.org/spreadsheetml/2006/main" count="10329" uniqueCount="108">
  <si>
    <r>
      <t xml:space="preserve">ORDEN DE PRODUCCIÓN
</t>
    </r>
    <r>
      <rPr>
        <b/>
        <sz val="8"/>
        <color theme="1"/>
        <rFont val="Abadi"/>
        <family val="2"/>
      </rPr>
      <t>SISTEMA DE GESTIÓN INTEGRAL</t>
    </r>
  </si>
  <si>
    <t>SC</t>
  </si>
  <si>
    <r>
      <t xml:space="preserve">ORDEN DE PRODUCCIÓN
</t>
    </r>
    <r>
      <rPr>
        <b/>
        <sz val="8"/>
        <color theme="1"/>
        <rFont val="Calibri"/>
        <family val="2"/>
        <scheme val="minor"/>
      </rPr>
      <t>SISTEMA DE GESTIÓN INTEGRAL</t>
    </r>
  </si>
  <si>
    <t>SS</t>
  </si>
  <si>
    <t>CÓDIGO: RC-SI01</t>
  </si>
  <si>
    <t>VERSIÓN: 0</t>
  </si>
  <si>
    <t>PRODUCTO:</t>
  </si>
  <si>
    <t>NUCLEO CAMASI</t>
  </si>
  <si>
    <t>NUMERO DE LOTE:</t>
  </si>
  <si>
    <t>NUCLEO CAMASI ROJO</t>
  </si>
  <si>
    <t xml:space="preserve">NUCLEO CAMASI </t>
  </si>
  <si>
    <t>CAMASI GRIS</t>
  </si>
  <si>
    <t>LOTE No:</t>
  </si>
  <si>
    <t>CAMASI ROJO</t>
  </si>
  <si>
    <t>INICIO DE PRODUCCION:</t>
  </si>
  <si>
    <t>FIN DE PRODUCCION:</t>
  </si>
  <si>
    <t>PORCENTAJE DE RENDIMIENTO:</t>
  </si>
  <si>
    <t>CANTIDAD PRODUCIDA:</t>
  </si>
  <si>
    <t>CANTIDAD A PRODUCIR:</t>
  </si>
  <si>
    <t>1. ADICION Y MEZCLA DE MATERIA PRIMA</t>
  </si>
  <si>
    <t>2. CONSUMO MATERIAL DE EMPAQUE</t>
  </si>
  <si>
    <t>LOTE</t>
  </si>
  <si>
    <t>MATERIA PRIMA MP</t>
  </si>
  <si>
    <t>PESO NETO/Kg</t>
  </si>
  <si>
    <t>PESO TANDA</t>
  </si>
  <si>
    <t>MATERIAL DE EMPAQUE ME</t>
  </si>
  <si>
    <t>CONSUMO</t>
  </si>
  <si>
    <t>KIESERITA</t>
  </si>
  <si>
    <t>KIESERITA G</t>
  </si>
  <si>
    <t>PROVEEDOR</t>
  </si>
  <si>
    <t>CANT. x TM</t>
  </si>
  <si>
    <t>CANT. PEDIDO</t>
  </si>
  <si>
    <t>UM</t>
  </si>
  <si>
    <t>CARBONATO DE CALCIO</t>
  </si>
  <si>
    <t>MANUCHAR</t>
  </si>
  <si>
    <t>Kg</t>
  </si>
  <si>
    <t>KIESERITA P</t>
  </si>
  <si>
    <t>KIESERITA GRA</t>
  </si>
  <si>
    <t>POLVILLO CAMASI</t>
  </si>
  <si>
    <t>KIESERITA POLVO</t>
  </si>
  <si>
    <t>CAOLIN GRIS</t>
  </si>
  <si>
    <t>BENTONITA GRIS</t>
  </si>
  <si>
    <t>BENTONITA ROJA</t>
  </si>
  <si>
    <t>BENTONITA ROJO</t>
  </si>
  <si>
    <t>AGROCALES</t>
  </si>
  <si>
    <t>AGROCALES/HELVECIA</t>
  </si>
  <si>
    <t>.-</t>
  </si>
  <si>
    <t>VINAZA</t>
  </si>
  <si>
    <t>HENRY CORONADO</t>
  </si>
  <si>
    <t>CAOLIN GRIS/BENTONITA G</t>
  </si>
  <si>
    <t>BENTONITA G</t>
  </si>
  <si>
    <t>O</t>
  </si>
  <si>
    <t>EMPAQUE</t>
  </si>
  <si>
    <t>PRESENTACION KG</t>
  </si>
  <si>
    <t>CANTIDAD TOTAL</t>
  </si>
  <si>
    <t>UND</t>
  </si>
  <si>
    <t>BIG BAG</t>
  </si>
  <si>
    <t>CERTIFICACIÓN</t>
  </si>
  <si>
    <t>Big Bag x Ton</t>
  </si>
  <si>
    <t>OBSERVACIONES</t>
  </si>
  <si>
    <t>SACO X 20kg</t>
  </si>
  <si>
    <r>
      <t xml:space="preserve">Yo </t>
    </r>
    <r>
      <rPr>
        <b/>
        <u/>
        <sz val="10"/>
        <color theme="1"/>
        <rFont val="Calibri"/>
        <family val="2"/>
        <scheme val="minor"/>
      </rPr>
      <t>MISAEL ENRIQUE ESTRADA SARMIENTO</t>
    </r>
    <r>
      <rPr>
        <sz val="10"/>
        <color theme="1"/>
        <rFont val="Calibri"/>
        <family val="2"/>
        <scheme val="minor"/>
      </rPr>
      <t xml:space="preserve">, identificado con cédula de ciudadanía N° </t>
    </r>
    <r>
      <rPr>
        <b/>
        <u/>
        <sz val="10"/>
        <color theme="1"/>
        <rFont val="Calibri"/>
        <family val="2"/>
        <scheme val="minor"/>
      </rPr>
      <t>8.637.231</t>
    </r>
    <r>
      <rPr>
        <sz val="10"/>
        <color theme="1"/>
        <rFont val="Calibri"/>
        <family val="2"/>
        <scheme val="minor"/>
      </rPr>
      <t>,</t>
    </r>
  </si>
  <si>
    <t>Yo                                                                                      , identificado con cédula de ciudadanía N°                          ,</t>
  </si>
  <si>
    <t>Yo                                                                               , identificado con cédula de ciudadanía N°                          ,</t>
  </si>
  <si>
    <t>SACO X 40kg</t>
  </si>
  <si>
    <r>
      <t>Tarjeta profesional N°</t>
    </r>
    <r>
      <rPr>
        <b/>
        <u/>
        <sz val="10"/>
        <color theme="1"/>
        <rFont val="Calibri"/>
        <family val="2"/>
        <scheme val="minor"/>
      </rPr>
      <t xml:space="preserve"> 4104</t>
    </r>
    <r>
      <rPr>
        <sz val="10"/>
        <color theme="1"/>
        <rFont val="Calibri"/>
        <family val="2"/>
        <scheme val="minor"/>
      </rPr>
      <t xml:space="preserve"> Expedida por el </t>
    </r>
    <r>
      <rPr>
        <b/>
        <sz val="10"/>
        <color theme="1"/>
        <rFont val="Calibri"/>
        <family val="2"/>
        <scheme val="minor"/>
      </rPr>
      <t>Consejo Profesional de Ingeniería Química de Colombia,</t>
    </r>
  </si>
  <si>
    <r>
      <t>Tarjeta profesional N°</t>
    </r>
    <r>
      <rPr>
        <b/>
        <u/>
        <sz val="10"/>
        <color theme="1"/>
        <rFont val="Calibri"/>
        <family val="2"/>
        <scheme val="minor"/>
      </rPr>
      <t xml:space="preserve">             </t>
    </r>
    <r>
      <rPr>
        <sz val="10"/>
        <color theme="1"/>
        <rFont val="Calibri"/>
        <family val="2"/>
        <scheme val="minor"/>
      </rPr>
      <t xml:space="preserve"> Expedida por el                                                                                                             </t>
    </r>
    <r>
      <rPr>
        <b/>
        <sz val="10"/>
        <color theme="1"/>
        <rFont val="Calibri"/>
        <family val="2"/>
        <scheme val="minor"/>
      </rPr>
      <t>,</t>
    </r>
  </si>
  <si>
    <r>
      <t xml:space="preserve">actuando como </t>
    </r>
    <r>
      <rPr>
        <b/>
        <u/>
        <sz val="10"/>
        <color theme="1"/>
        <rFont val="Calibri"/>
        <family val="2"/>
        <scheme val="minor"/>
      </rPr>
      <t>Director Técnico</t>
    </r>
    <r>
      <rPr>
        <sz val="10"/>
        <color theme="1"/>
        <rFont val="Calibri"/>
        <family val="2"/>
        <scheme val="minor"/>
      </rPr>
      <t xml:space="preserve">, certifico que el Control de Calidad Interno del presente producto, </t>
    </r>
  </si>
  <si>
    <t xml:space="preserve">actuando como                                   , certifico que el Control de Calidad Interno del presente producto, </t>
  </si>
  <si>
    <t xml:space="preserve">actuando como                                   , certifico la formulación del presente producto, </t>
  </si>
  <si>
    <r>
      <t xml:space="preserve">cumple con los parámetros Físicos Químicos registrados ante el </t>
    </r>
    <r>
      <rPr>
        <b/>
        <u/>
        <sz val="10"/>
        <color theme="1"/>
        <rFont val="Calibri"/>
        <family val="2"/>
        <scheme val="minor"/>
      </rPr>
      <t>ICA</t>
    </r>
    <r>
      <rPr>
        <sz val="10"/>
        <color theme="1"/>
        <rFont val="Calibri"/>
        <family val="2"/>
        <scheme val="minor"/>
      </rPr>
      <t>.</t>
    </r>
  </si>
  <si>
    <r>
      <t xml:space="preserve">cumple con los parámetros registrados ante el </t>
    </r>
    <r>
      <rPr>
        <b/>
        <u/>
        <sz val="10"/>
        <color theme="1"/>
        <rFont val="Calibri"/>
        <family val="2"/>
        <scheme val="minor"/>
      </rPr>
      <t>ICA</t>
    </r>
    <r>
      <rPr>
        <sz val="10"/>
        <color theme="1"/>
        <rFont val="Calibri"/>
        <family val="2"/>
        <scheme val="minor"/>
      </rPr>
      <t>.</t>
    </r>
  </si>
  <si>
    <t>ENCARGADO ALISTAMIENTO MP</t>
  </si>
  <si>
    <t>ENCARGADO ALISTAMIENTO ME</t>
  </si>
  <si>
    <t>IVAN MAZO</t>
  </si>
  <si>
    <t>CARLOS ATERTHUA</t>
  </si>
  <si>
    <t>DIRECTOR TECNICO</t>
  </si>
  <si>
    <t>JONATHAN CORTES</t>
  </si>
  <si>
    <t xml:space="preserve"> IVAN MAZO</t>
  </si>
  <si>
    <t>JEFE DE BODEGA</t>
  </si>
  <si>
    <t>JEFE DE PRODUCCIÓN</t>
  </si>
  <si>
    <t xml:space="preserve">                       RESPONSABLES ALISTAMIENTO MP</t>
  </si>
  <si>
    <t>SUPERVISOR DE PRODUCCIÓN</t>
  </si>
  <si>
    <t>3. CERTIFICACION</t>
  </si>
  <si>
    <t>HECTOR MAYOR</t>
  </si>
  <si>
    <t>HECTOR ROJAS</t>
  </si>
  <si>
    <t>JAIRO BETANCURT</t>
  </si>
  <si>
    <t>JAIRO GRANDA</t>
  </si>
  <si>
    <t>RESPONSABLES VACIADO</t>
  </si>
  <si>
    <t>JAIRO G</t>
  </si>
  <si>
    <t xml:space="preserve">JULIAN </t>
  </si>
  <si>
    <t>Yo,</t>
  </si>
  <si>
    <t>, Identificada con cedula de ciudadania N°</t>
  </si>
  <si>
    <t>JEAN PAUL</t>
  </si>
  <si>
    <t>JEAN CARLOS</t>
  </si>
  <si>
    <t>LUIS GARCIA</t>
  </si>
  <si>
    <t>de</t>
  </si>
  <si>
    <t>actuando comojefe de control de calidad certifico</t>
  </si>
  <si>
    <t>JULIAN</t>
  </si>
  <si>
    <t>JULIAN CUARTAS</t>
  </si>
  <si>
    <t>que el producto cumple con las caracteristicas fisicoquimicas registradas ante el ICA.</t>
  </si>
  <si>
    <t xml:space="preserve">               RESPONSABLES ALISTAMIENTO EMPAQUE</t>
  </si>
  <si>
    <t>RESPONSABLES GRANULADO</t>
  </si>
  <si>
    <t>Director Tecnico</t>
  </si>
  <si>
    <t>Auxiliar de Calidad</t>
  </si>
  <si>
    <t>TURNO:    DÍA          NOCHE</t>
  </si>
  <si>
    <t>RESPONSABLE MONTACARGA</t>
  </si>
  <si>
    <t>PLANTA:    1               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</si>
</sst>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badi"/>
      <family val="2"/>
    </font>
    <font>
      <b/>
      <sz val="11"/>
      <color theme="1"/>
      <name val="Abadi"/>
      <family val="2"/>
    </font>
    <font>
      <b/>
      <sz val="8"/>
      <color theme="1"/>
      <name val="Abadi"/>
      <family val="2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badi"/>
      <family val="2"/>
    </font>
    <font>
      <sz val="8"/>
      <color theme="1"/>
      <name val="Abadi"/>
      <family val="2"/>
    </font>
    <font>
      <sz val="9"/>
      <color theme="1"/>
      <name val="Abad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2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15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0" xfId="0" applyFont="1"/>
    <xf numFmtId="0" fontId="6" fillId="0" borderId="2" xfId="0" applyFont="1" applyBorder="1"/>
    <xf numFmtId="0" fontId="6" fillId="0" borderId="3" xfId="0" applyFont="1" applyBorder="1"/>
    <xf numFmtId="0" fontId="0" fillId="0" borderId="4" xfId="0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0" xfId="0" applyFont="1"/>
    <xf numFmtId="0" fontId="1" fillId="0" borderId="8" xfId="0" applyFont="1" applyBorder="1"/>
    <xf numFmtId="0" fontId="6" fillId="0" borderId="9" xfId="0" applyFont="1" applyBorder="1"/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12" xfId="0" applyFont="1" applyBorder="1"/>
    <xf numFmtId="0" fontId="6" fillId="0" borderId="13" xfId="0" applyFont="1" applyBorder="1"/>
    <xf numFmtId="0" fontId="0" fillId="0" borderId="14" xfId="0" applyBorder="1"/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6" fillId="0" borderId="17" xfId="0" applyFont="1" applyBorder="1"/>
    <xf numFmtId="0" fontId="3" fillId="0" borderId="18" xfId="0" applyFont="1" applyBorder="1" applyAlignment="1">
      <alignment horizontal="center"/>
    </xf>
    <xf numFmtId="0" fontId="8" fillId="0" borderId="18" xfId="0" applyFont="1" applyBorder="1"/>
    <xf numFmtId="0" fontId="8" fillId="0" borderId="0" xfId="0" applyFont="1"/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0" fillId="4" borderId="20" xfId="0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14" fontId="3" fillId="0" borderId="15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6" xfId="0" applyNumberFormat="1" applyFont="1" applyBorder="1" applyAlignment="1">
      <alignment horizontal="left"/>
    </xf>
    <xf numFmtId="14" fontId="3" fillId="0" borderId="17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14" fontId="6" fillId="4" borderId="23" xfId="0" applyNumberFormat="1" applyFont="1" applyFill="1" applyBorder="1" applyAlignment="1">
      <alignment horizontal="center"/>
    </xf>
    <xf numFmtId="14" fontId="6" fillId="4" borderId="24" xfId="0" applyNumberFormat="1" applyFont="1" applyFill="1" applyBorder="1" applyAlignment="1">
      <alignment horizontal="center"/>
    </xf>
    <xf numFmtId="0" fontId="3" fillId="0" borderId="1" xfId="1" applyNumberFormat="1" applyFont="1" applyBorder="1" applyAlignment="1">
      <alignment horizontal="left"/>
    </xf>
    <xf numFmtId="0" fontId="3" fillId="0" borderId="15" xfId="1" applyNumberFormat="1" applyFont="1" applyBorder="1" applyAlignment="1">
      <alignment horizontal="left"/>
    </xf>
    <xf numFmtId="0" fontId="3" fillId="0" borderId="16" xfId="1" applyNumberFormat="1" applyFont="1" applyBorder="1" applyAlignment="1">
      <alignment horizontal="left"/>
    </xf>
    <xf numFmtId="0" fontId="3" fillId="0" borderId="17" xfId="1" applyNumberFormat="1" applyFont="1" applyBorder="1" applyAlignment="1">
      <alignment horizontal="left"/>
    </xf>
    <xf numFmtId="0" fontId="1" fillId="4" borderId="16" xfId="0" applyFont="1" applyFill="1" applyBorder="1" applyAlignment="1">
      <alignment horizontal="right"/>
    </xf>
    <xf numFmtId="0" fontId="1" fillId="4" borderId="16" xfId="0" applyFont="1" applyFill="1" applyBorder="1"/>
    <xf numFmtId="0" fontId="1" fillId="4" borderId="17" xfId="0" applyFont="1" applyFill="1" applyBorder="1"/>
    <xf numFmtId="0" fontId="9" fillId="0" borderId="3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8" fillId="0" borderId="0" xfId="0" applyFont="1"/>
    <xf numFmtId="0" fontId="3" fillId="0" borderId="0" xfId="0" applyFont="1" applyAlignment="1">
      <alignment horizontal="left"/>
    </xf>
    <xf numFmtId="0" fontId="3" fillId="6" borderId="0" xfId="0" applyFont="1" applyFill="1"/>
    <xf numFmtId="0" fontId="3" fillId="5" borderId="0" xfId="0" applyFont="1" applyFill="1"/>
    <xf numFmtId="0" fontId="9" fillId="0" borderId="0" xfId="0" applyFont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0" fillId="0" borderId="0" xfId="0"/>
    <xf numFmtId="0" fontId="10" fillId="0" borderId="0" xfId="0" applyFont="1"/>
    <xf numFmtId="0" fontId="10" fillId="0" borderId="13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11" fillId="0" borderId="15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64" fontId="9" fillId="0" borderId="1" xfId="0" applyNumberFormat="1" applyFont="1" applyBorder="1"/>
    <xf numFmtId="2" fontId="9" fillId="0" borderId="1" xfId="0" applyNumberFormat="1" applyFont="1" applyBorder="1"/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12" fillId="0" borderId="9" xfId="0" applyFont="1" applyBorder="1"/>
    <xf numFmtId="0" fontId="12" fillId="8" borderId="15" xfId="0" applyFont="1" applyFill="1" applyBorder="1" applyAlignment="1">
      <alignment horizontal="center"/>
    </xf>
    <xf numFmtId="0" fontId="12" fillId="8" borderId="16" xfId="0" applyFont="1" applyFill="1" applyBorder="1" applyAlignment="1">
      <alignment horizontal="center"/>
    </xf>
    <xf numFmtId="0" fontId="12" fillId="8" borderId="16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12" fillId="0" borderId="0" xfId="0" applyFont="1"/>
    <xf numFmtId="0" fontId="3" fillId="0" borderId="26" xfId="0" applyFont="1" applyBorder="1" applyAlignment="1">
      <alignment horizontal="center" vertical="center"/>
    </xf>
    <xf numFmtId="0" fontId="0" fillId="0" borderId="1" xfId="0" applyBorder="1"/>
    <xf numFmtId="0" fontId="12" fillId="0" borderId="16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11" fillId="0" borderId="17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9" fillId="0" borderId="1" xfId="0" applyFont="1" applyBorder="1"/>
    <xf numFmtId="0" fontId="10" fillId="0" borderId="15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2" fillId="0" borderId="15" xfId="0" applyFont="1" applyBorder="1" applyAlignment="1">
      <alignment horizontal="left"/>
    </xf>
    <xf numFmtId="165" fontId="12" fillId="0" borderId="1" xfId="0" applyNumberFormat="1" applyFont="1" applyBorder="1" applyAlignment="1">
      <alignment horizontal="center"/>
    </xf>
    <xf numFmtId="165" fontId="12" fillId="0" borderId="15" xfId="0" applyNumberFormat="1" applyFont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9" fillId="0" borderId="25" xfId="0" applyFont="1" applyBorder="1"/>
    <xf numFmtId="2" fontId="9" fillId="0" borderId="25" xfId="0" applyNumberFormat="1" applyFont="1" applyBorder="1"/>
    <xf numFmtId="0" fontId="12" fillId="0" borderId="0" xfId="0" applyFont="1" applyAlignment="1">
      <alignment horizontal="left"/>
    </xf>
    <xf numFmtId="165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1" fillId="8" borderId="0" xfId="0" applyFont="1" applyFill="1"/>
    <xf numFmtId="0" fontId="13" fillId="8" borderId="13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1" xfId="0" applyFont="1" applyBorder="1" applyAlignment="1">
      <alignment horizontal="center" vertical="top"/>
    </xf>
    <xf numFmtId="0" fontId="12" fillId="0" borderId="15" xfId="0" applyFont="1" applyBorder="1" applyAlignment="1">
      <alignment horizontal="center" vertical="top"/>
    </xf>
    <xf numFmtId="0" fontId="12" fillId="0" borderId="17" xfId="0" applyFont="1" applyBorder="1" applyAlignment="1">
      <alignment horizontal="center" vertical="top"/>
    </xf>
    <xf numFmtId="0" fontId="10" fillId="0" borderId="1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166" fontId="10" fillId="0" borderId="1" xfId="0" applyNumberFormat="1" applyFont="1" applyBorder="1"/>
    <xf numFmtId="2" fontId="10" fillId="0" borderId="1" xfId="0" applyNumberFormat="1" applyFont="1" applyBorder="1"/>
    <xf numFmtId="164" fontId="10" fillId="0" borderId="1" xfId="0" applyNumberFormat="1" applyFont="1" applyBorder="1"/>
    <xf numFmtId="1" fontId="10" fillId="0" borderId="1" xfId="0" applyNumberFormat="1" applyFont="1" applyBorder="1"/>
    <xf numFmtId="0" fontId="12" fillId="0" borderId="1" xfId="0" applyFont="1" applyBorder="1" applyAlignment="1">
      <alignment horizontal="left"/>
    </xf>
    <xf numFmtId="1" fontId="9" fillId="0" borderId="15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14" fillId="0" borderId="0" xfId="2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15" xfId="2" applyFont="1" applyBorder="1" applyAlignment="1">
      <alignment horizontal="center"/>
    </xf>
    <xf numFmtId="0" fontId="12" fillId="0" borderId="16" xfId="2" applyFont="1" applyBorder="1" applyAlignment="1">
      <alignment horizontal="center"/>
    </xf>
    <xf numFmtId="0" fontId="12" fillId="0" borderId="17" xfId="2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2" applyFont="1" applyAlignment="1">
      <alignment horizontal="center"/>
    </xf>
    <xf numFmtId="0" fontId="9" fillId="0" borderId="3" xfId="0" applyFont="1" applyBorder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16" fillId="0" borderId="13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0" fillId="0" borderId="13" xfId="0" applyBorder="1"/>
    <xf numFmtId="0" fontId="0" fillId="0" borderId="3" xfId="0" applyBorder="1"/>
    <xf numFmtId="0" fontId="3" fillId="0" borderId="13" xfId="0" applyFont="1" applyBorder="1"/>
    <xf numFmtId="0" fontId="3" fillId="0" borderId="3" xfId="0" applyFont="1" applyBorder="1"/>
    <xf numFmtId="0" fontId="16" fillId="0" borderId="0" xfId="0" applyFont="1" applyAlignment="1">
      <alignment horizontal="center"/>
    </xf>
    <xf numFmtId="0" fontId="11" fillId="0" borderId="8" xfId="0" applyFont="1" applyBorder="1"/>
    <xf numFmtId="0" fontId="11" fillId="0" borderId="13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0" fontId="0" fillId="0" borderId="16" xfId="0" applyBorder="1"/>
    <xf numFmtId="0" fontId="10" fillId="0" borderId="8" xfId="0" applyFont="1" applyBorder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9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left"/>
    </xf>
    <xf numFmtId="0" fontId="3" fillId="0" borderId="14" xfId="0" applyFont="1" applyBorder="1"/>
    <xf numFmtId="0" fontId="16" fillId="0" borderId="0" xfId="0" applyFont="1"/>
    <xf numFmtId="0" fontId="16" fillId="0" borderId="0" xfId="0" applyFont="1" applyAlignment="1">
      <alignment horizontal="right"/>
    </xf>
    <xf numFmtId="0" fontId="9" fillId="0" borderId="0" xfId="0" applyFont="1"/>
  </cellXfs>
  <cellStyles count="3">
    <cellStyle name="Normal" xfId="0" builtinId="0"/>
    <cellStyle name="Normal 4" xfId="2" xr:uid="{1C4C6900-80BC-4585-94A5-D72599903F17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38652</xdr:colOff>
      <xdr:row>0</xdr:row>
      <xdr:rowOff>44174</xdr:rowOff>
    </xdr:from>
    <xdr:to>
      <xdr:col>2</xdr:col>
      <xdr:colOff>288742</xdr:colOff>
      <xdr:row>2</xdr:row>
      <xdr:rowOff>194503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7C293F-CEAE-4B93-8E53-F218453E7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52" y="44174"/>
          <a:ext cx="1183540" cy="569429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14</xdr:col>
      <xdr:colOff>38652</xdr:colOff>
      <xdr:row>0</xdr:row>
      <xdr:rowOff>44174</xdr:rowOff>
    </xdr:from>
    <xdr:ext cx="1186025" cy="564459"/>
    <xdr:pic>
      <xdr:nvPicPr>
        <xdr:cNvPr id="3" name="Imagen 2">
          <a:extLst>
            <a:ext uri="{FF2B5EF4-FFF2-40B4-BE49-F238E27FC236}">
              <a16:creationId xmlns:a16="http://schemas.microsoft.com/office/drawing/2014/main" id="{30ADA187-5613-40C2-A8DD-5F8B4F286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0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28</xdr:col>
      <xdr:colOff>38652</xdr:colOff>
      <xdr:row>0</xdr:row>
      <xdr:rowOff>44174</xdr:rowOff>
    </xdr:from>
    <xdr:ext cx="1186025" cy="564459"/>
    <xdr:pic>
      <xdr:nvPicPr>
        <xdr:cNvPr id="4" name="Imagen 3">
          <a:extLst>
            <a:ext uri="{FF2B5EF4-FFF2-40B4-BE49-F238E27FC236}">
              <a16:creationId xmlns:a16="http://schemas.microsoft.com/office/drawing/2014/main" id="{7CD44802-8607-4A6E-A904-C9C9D35EC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14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42</xdr:col>
      <xdr:colOff>38652</xdr:colOff>
      <xdr:row>0</xdr:row>
      <xdr:rowOff>44174</xdr:rowOff>
    </xdr:from>
    <xdr:ext cx="1186025" cy="564459"/>
    <xdr:pic>
      <xdr:nvPicPr>
        <xdr:cNvPr id="5" name="Imagen 4">
          <a:extLst>
            <a:ext uri="{FF2B5EF4-FFF2-40B4-BE49-F238E27FC236}">
              <a16:creationId xmlns:a16="http://schemas.microsoft.com/office/drawing/2014/main" id="{A36CAAEC-4411-4C38-9C6D-2C7650DBB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12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42</xdr:col>
      <xdr:colOff>38652</xdr:colOff>
      <xdr:row>0</xdr:row>
      <xdr:rowOff>44174</xdr:rowOff>
    </xdr:from>
    <xdr:ext cx="1186025" cy="564459"/>
    <xdr:pic>
      <xdr:nvPicPr>
        <xdr:cNvPr id="6" name="Imagen 5">
          <a:extLst>
            <a:ext uri="{FF2B5EF4-FFF2-40B4-BE49-F238E27FC236}">
              <a16:creationId xmlns:a16="http://schemas.microsoft.com/office/drawing/2014/main" id="{56CC64FA-DCD6-4CB2-9C72-F71988CE8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12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56</xdr:col>
      <xdr:colOff>38652</xdr:colOff>
      <xdr:row>0</xdr:row>
      <xdr:rowOff>44174</xdr:rowOff>
    </xdr:from>
    <xdr:ext cx="1186025" cy="564459"/>
    <xdr:pic>
      <xdr:nvPicPr>
        <xdr:cNvPr id="7" name="Imagen 6">
          <a:extLst>
            <a:ext uri="{FF2B5EF4-FFF2-40B4-BE49-F238E27FC236}">
              <a16:creationId xmlns:a16="http://schemas.microsoft.com/office/drawing/2014/main" id="{E08F6DA3-1F12-428A-81FE-AF9856E77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4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56</xdr:col>
      <xdr:colOff>38652</xdr:colOff>
      <xdr:row>0</xdr:row>
      <xdr:rowOff>44174</xdr:rowOff>
    </xdr:from>
    <xdr:ext cx="1186025" cy="564459"/>
    <xdr:pic>
      <xdr:nvPicPr>
        <xdr:cNvPr id="8" name="Imagen 7">
          <a:extLst>
            <a:ext uri="{FF2B5EF4-FFF2-40B4-BE49-F238E27FC236}">
              <a16:creationId xmlns:a16="http://schemas.microsoft.com/office/drawing/2014/main" id="{07EE071B-F79B-464D-965C-E8679C606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04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70</xdr:col>
      <xdr:colOff>38652</xdr:colOff>
      <xdr:row>0</xdr:row>
      <xdr:rowOff>44174</xdr:rowOff>
    </xdr:from>
    <xdr:ext cx="1186025" cy="564459"/>
    <xdr:pic>
      <xdr:nvPicPr>
        <xdr:cNvPr id="9" name="Imagen 8">
          <a:extLst>
            <a:ext uri="{FF2B5EF4-FFF2-40B4-BE49-F238E27FC236}">
              <a16:creationId xmlns:a16="http://schemas.microsoft.com/office/drawing/2014/main" id="{62B08ABE-8487-42DC-86FB-7750B3EEE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95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70</xdr:col>
      <xdr:colOff>38652</xdr:colOff>
      <xdr:row>0</xdr:row>
      <xdr:rowOff>44174</xdr:rowOff>
    </xdr:from>
    <xdr:ext cx="1186025" cy="564459"/>
    <xdr:pic>
      <xdr:nvPicPr>
        <xdr:cNvPr id="10" name="Imagen 9">
          <a:extLst>
            <a:ext uri="{FF2B5EF4-FFF2-40B4-BE49-F238E27FC236}">
              <a16:creationId xmlns:a16="http://schemas.microsoft.com/office/drawing/2014/main" id="{A222ABA9-396A-478B-B758-F8ECC4CAC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95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84</xdr:col>
      <xdr:colOff>38652</xdr:colOff>
      <xdr:row>0</xdr:row>
      <xdr:rowOff>44174</xdr:rowOff>
    </xdr:from>
    <xdr:ext cx="1186025" cy="564459"/>
    <xdr:pic>
      <xdr:nvPicPr>
        <xdr:cNvPr id="11" name="Imagen 10">
          <a:extLst>
            <a:ext uri="{FF2B5EF4-FFF2-40B4-BE49-F238E27FC236}">
              <a16:creationId xmlns:a16="http://schemas.microsoft.com/office/drawing/2014/main" id="{0DA41EE7-EF91-430C-B2E6-5E0A6B300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6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84</xdr:col>
      <xdr:colOff>38652</xdr:colOff>
      <xdr:row>0</xdr:row>
      <xdr:rowOff>44174</xdr:rowOff>
    </xdr:from>
    <xdr:ext cx="1186025" cy="564459"/>
    <xdr:pic>
      <xdr:nvPicPr>
        <xdr:cNvPr id="12" name="Imagen 11">
          <a:extLst>
            <a:ext uri="{FF2B5EF4-FFF2-40B4-BE49-F238E27FC236}">
              <a16:creationId xmlns:a16="http://schemas.microsoft.com/office/drawing/2014/main" id="{30B67D2C-9274-4D48-BA99-F6A12D647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6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98</xdr:col>
      <xdr:colOff>38652</xdr:colOff>
      <xdr:row>0</xdr:row>
      <xdr:rowOff>44174</xdr:rowOff>
    </xdr:from>
    <xdr:ext cx="1186025" cy="564459"/>
    <xdr:pic>
      <xdr:nvPicPr>
        <xdr:cNvPr id="13" name="Imagen 12">
          <a:extLst>
            <a:ext uri="{FF2B5EF4-FFF2-40B4-BE49-F238E27FC236}">
              <a16:creationId xmlns:a16="http://schemas.microsoft.com/office/drawing/2014/main" id="{0DED77AF-D4EF-4C82-8F22-FC004BFA7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78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98</xdr:col>
      <xdr:colOff>38652</xdr:colOff>
      <xdr:row>0</xdr:row>
      <xdr:rowOff>44174</xdr:rowOff>
    </xdr:from>
    <xdr:ext cx="1186025" cy="564459"/>
    <xdr:pic>
      <xdr:nvPicPr>
        <xdr:cNvPr id="14" name="Imagen 13">
          <a:extLst>
            <a:ext uri="{FF2B5EF4-FFF2-40B4-BE49-F238E27FC236}">
              <a16:creationId xmlns:a16="http://schemas.microsoft.com/office/drawing/2014/main" id="{B7DF0F46-710F-4896-B44D-2C585A475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78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112</xdr:col>
      <xdr:colOff>38652</xdr:colOff>
      <xdr:row>0</xdr:row>
      <xdr:rowOff>44174</xdr:rowOff>
    </xdr:from>
    <xdr:ext cx="1186025" cy="564459"/>
    <xdr:pic>
      <xdr:nvPicPr>
        <xdr:cNvPr id="15" name="Imagen 14">
          <a:extLst>
            <a:ext uri="{FF2B5EF4-FFF2-40B4-BE49-F238E27FC236}">
              <a16:creationId xmlns:a16="http://schemas.microsoft.com/office/drawing/2014/main" id="{6108C5EA-FFDF-4B05-A9AB-1DED0321B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69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112</xdr:col>
      <xdr:colOff>38652</xdr:colOff>
      <xdr:row>0</xdr:row>
      <xdr:rowOff>44174</xdr:rowOff>
    </xdr:from>
    <xdr:ext cx="1186025" cy="564459"/>
    <xdr:pic>
      <xdr:nvPicPr>
        <xdr:cNvPr id="16" name="Imagen 15">
          <a:extLst>
            <a:ext uri="{FF2B5EF4-FFF2-40B4-BE49-F238E27FC236}">
              <a16:creationId xmlns:a16="http://schemas.microsoft.com/office/drawing/2014/main" id="{4DE81643-E451-4A30-AA08-CECF3F9A0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69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126</xdr:col>
      <xdr:colOff>38652</xdr:colOff>
      <xdr:row>0</xdr:row>
      <xdr:rowOff>44174</xdr:rowOff>
    </xdr:from>
    <xdr:ext cx="1186025" cy="564459"/>
    <xdr:pic>
      <xdr:nvPicPr>
        <xdr:cNvPr id="17" name="Imagen 16">
          <a:extLst>
            <a:ext uri="{FF2B5EF4-FFF2-40B4-BE49-F238E27FC236}">
              <a16:creationId xmlns:a16="http://schemas.microsoft.com/office/drawing/2014/main" id="{7C5AAF09-8E1B-4060-B73F-E840AC4F6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61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126</xdr:col>
      <xdr:colOff>38652</xdr:colOff>
      <xdr:row>0</xdr:row>
      <xdr:rowOff>44174</xdr:rowOff>
    </xdr:from>
    <xdr:ext cx="1186025" cy="564459"/>
    <xdr:pic>
      <xdr:nvPicPr>
        <xdr:cNvPr id="18" name="Imagen 17">
          <a:extLst>
            <a:ext uri="{FF2B5EF4-FFF2-40B4-BE49-F238E27FC236}">
              <a16:creationId xmlns:a16="http://schemas.microsoft.com/office/drawing/2014/main" id="{0537D703-8573-4ED6-B175-553808A9F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61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140</xdr:col>
      <xdr:colOff>38652</xdr:colOff>
      <xdr:row>0</xdr:row>
      <xdr:rowOff>44174</xdr:rowOff>
    </xdr:from>
    <xdr:ext cx="1186025" cy="564459"/>
    <xdr:pic>
      <xdr:nvPicPr>
        <xdr:cNvPr id="19" name="Imagen 18">
          <a:extLst>
            <a:ext uri="{FF2B5EF4-FFF2-40B4-BE49-F238E27FC236}">
              <a16:creationId xmlns:a16="http://schemas.microsoft.com/office/drawing/2014/main" id="{6E589279-7E62-45B9-BD7A-099FEAC7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524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140</xdr:col>
      <xdr:colOff>38652</xdr:colOff>
      <xdr:row>0</xdr:row>
      <xdr:rowOff>44174</xdr:rowOff>
    </xdr:from>
    <xdr:ext cx="1186025" cy="564459"/>
    <xdr:pic>
      <xdr:nvPicPr>
        <xdr:cNvPr id="20" name="Imagen 19">
          <a:extLst>
            <a:ext uri="{FF2B5EF4-FFF2-40B4-BE49-F238E27FC236}">
              <a16:creationId xmlns:a16="http://schemas.microsoft.com/office/drawing/2014/main" id="{4463BF5A-B3D7-4073-97EA-E5950CB7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524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154</xdr:col>
      <xdr:colOff>38652</xdr:colOff>
      <xdr:row>0</xdr:row>
      <xdr:rowOff>44174</xdr:rowOff>
    </xdr:from>
    <xdr:ext cx="1186025" cy="564459"/>
    <xdr:pic>
      <xdr:nvPicPr>
        <xdr:cNvPr id="21" name="Imagen 20">
          <a:extLst>
            <a:ext uri="{FF2B5EF4-FFF2-40B4-BE49-F238E27FC236}">
              <a16:creationId xmlns:a16="http://schemas.microsoft.com/office/drawing/2014/main" id="{2B7C20DF-3133-4FCF-9B3D-E48BFF819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43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154</xdr:col>
      <xdr:colOff>38652</xdr:colOff>
      <xdr:row>0</xdr:row>
      <xdr:rowOff>44174</xdr:rowOff>
    </xdr:from>
    <xdr:ext cx="1186025" cy="564459"/>
    <xdr:pic>
      <xdr:nvPicPr>
        <xdr:cNvPr id="22" name="Imagen 21">
          <a:extLst>
            <a:ext uri="{FF2B5EF4-FFF2-40B4-BE49-F238E27FC236}">
              <a16:creationId xmlns:a16="http://schemas.microsoft.com/office/drawing/2014/main" id="{E4881379-3B7F-4AF3-8997-78D030B0E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43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168</xdr:col>
      <xdr:colOff>38652</xdr:colOff>
      <xdr:row>0</xdr:row>
      <xdr:rowOff>44174</xdr:rowOff>
    </xdr:from>
    <xdr:ext cx="1186025" cy="564459"/>
    <xdr:pic>
      <xdr:nvPicPr>
        <xdr:cNvPr id="23" name="Imagen 22">
          <a:extLst>
            <a:ext uri="{FF2B5EF4-FFF2-40B4-BE49-F238E27FC236}">
              <a16:creationId xmlns:a16="http://schemas.microsoft.com/office/drawing/2014/main" id="{51CB9B76-3993-40C2-BB1B-C19F11FCD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35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168</xdr:col>
      <xdr:colOff>38652</xdr:colOff>
      <xdr:row>0</xdr:row>
      <xdr:rowOff>44174</xdr:rowOff>
    </xdr:from>
    <xdr:ext cx="1186025" cy="564459"/>
    <xdr:pic>
      <xdr:nvPicPr>
        <xdr:cNvPr id="24" name="Imagen 23">
          <a:extLst>
            <a:ext uri="{FF2B5EF4-FFF2-40B4-BE49-F238E27FC236}">
              <a16:creationId xmlns:a16="http://schemas.microsoft.com/office/drawing/2014/main" id="{09A5A534-0AAA-4B22-B65D-FB3155857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35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182</xdr:col>
      <xdr:colOff>38652</xdr:colOff>
      <xdr:row>0</xdr:row>
      <xdr:rowOff>44174</xdr:rowOff>
    </xdr:from>
    <xdr:ext cx="1186025" cy="564459"/>
    <xdr:pic>
      <xdr:nvPicPr>
        <xdr:cNvPr id="25" name="Imagen 24">
          <a:extLst>
            <a:ext uri="{FF2B5EF4-FFF2-40B4-BE49-F238E27FC236}">
              <a16:creationId xmlns:a16="http://schemas.microsoft.com/office/drawing/2014/main" id="{26017EDF-D8BE-4050-BFE6-8B66FA58A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26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182</xdr:col>
      <xdr:colOff>38652</xdr:colOff>
      <xdr:row>0</xdr:row>
      <xdr:rowOff>44174</xdr:rowOff>
    </xdr:from>
    <xdr:ext cx="1186025" cy="564459"/>
    <xdr:pic>
      <xdr:nvPicPr>
        <xdr:cNvPr id="26" name="Imagen 25">
          <a:extLst>
            <a:ext uri="{FF2B5EF4-FFF2-40B4-BE49-F238E27FC236}">
              <a16:creationId xmlns:a16="http://schemas.microsoft.com/office/drawing/2014/main" id="{0B4E6578-F55B-4B18-8DC7-A5FC355D0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26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196</xdr:col>
      <xdr:colOff>38652</xdr:colOff>
      <xdr:row>0</xdr:row>
      <xdr:rowOff>44174</xdr:rowOff>
    </xdr:from>
    <xdr:ext cx="1186025" cy="564459"/>
    <xdr:pic>
      <xdr:nvPicPr>
        <xdr:cNvPr id="27" name="Imagen 26">
          <a:extLst>
            <a:ext uri="{FF2B5EF4-FFF2-40B4-BE49-F238E27FC236}">
              <a16:creationId xmlns:a16="http://schemas.microsoft.com/office/drawing/2014/main" id="{F117E660-3A84-4BE9-8B9F-BD4C5C3B8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17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196</xdr:col>
      <xdr:colOff>38652</xdr:colOff>
      <xdr:row>0</xdr:row>
      <xdr:rowOff>44174</xdr:rowOff>
    </xdr:from>
    <xdr:ext cx="1186025" cy="564459"/>
    <xdr:pic>
      <xdr:nvPicPr>
        <xdr:cNvPr id="28" name="Imagen 27">
          <a:extLst>
            <a:ext uri="{FF2B5EF4-FFF2-40B4-BE49-F238E27FC236}">
              <a16:creationId xmlns:a16="http://schemas.microsoft.com/office/drawing/2014/main" id="{7E40D9AA-99AB-4EC1-A6B2-336C33F6C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17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210</xdr:col>
      <xdr:colOff>38652</xdr:colOff>
      <xdr:row>0</xdr:row>
      <xdr:rowOff>44174</xdr:rowOff>
    </xdr:from>
    <xdr:ext cx="1186025" cy="564459"/>
    <xdr:pic>
      <xdr:nvPicPr>
        <xdr:cNvPr id="29" name="Imagen 28">
          <a:extLst>
            <a:ext uri="{FF2B5EF4-FFF2-40B4-BE49-F238E27FC236}">
              <a16:creationId xmlns:a16="http://schemas.microsoft.com/office/drawing/2014/main" id="{35BCBCBC-A3AB-42AE-A6B2-5315D8080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09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210</xdr:col>
      <xdr:colOff>38652</xdr:colOff>
      <xdr:row>0</xdr:row>
      <xdr:rowOff>44174</xdr:rowOff>
    </xdr:from>
    <xdr:ext cx="1186025" cy="564459"/>
    <xdr:pic>
      <xdr:nvPicPr>
        <xdr:cNvPr id="30" name="Imagen 29">
          <a:extLst>
            <a:ext uri="{FF2B5EF4-FFF2-40B4-BE49-F238E27FC236}">
              <a16:creationId xmlns:a16="http://schemas.microsoft.com/office/drawing/2014/main" id="{4C8C57AB-39AB-4820-9969-958DF1C28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09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224</xdr:col>
      <xdr:colOff>38652</xdr:colOff>
      <xdr:row>0</xdr:row>
      <xdr:rowOff>44174</xdr:rowOff>
    </xdr:from>
    <xdr:ext cx="1186025" cy="564459"/>
    <xdr:pic>
      <xdr:nvPicPr>
        <xdr:cNvPr id="31" name="Imagen 30">
          <a:extLst>
            <a:ext uri="{FF2B5EF4-FFF2-40B4-BE49-F238E27FC236}">
              <a16:creationId xmlns:a16="http://schemas.microsoft.com/office/drawing/2014/main" id="{CC55B8CE-1AD7-4213-BF1A-693E583F8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00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224</xdr:col>
      <xdr:colOff>38652</xdr:colOff>
      <xdr:row>0</xdr:row>
      <xdr:rowOff>44174</xdr:rowOff>
    </xdr:from>
    <xdr:ext cx="1186025" cy="564459"/>
    <xdr:pic>
      <xdr:nvPicPr>
        <xdr:cNvPr id="32" name="Imagen 31">
          <a:extLst>
            <a:ext uri="{FF2B5EF4-FFF2-40B4-BE49-F238E27FC236}">
              <a16:creationId xmlns:a16="http://schemas.microsoft.com/office/drawing/2014/main" id="{385D2F17-EBBE-4773-8071-97C645A3D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00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238</xdr:col>
      <xdr:colOff>38652</xdr:colOff>
      <xdr:row>0</xdr:row>
      <xdr:rowOff>44174</xdr:rowOff>
    </xdr:from>
    <xdr:ext cx="1186025" cy="564459"/>
    <xdr:pic>
      <xdr:nvPicPr>
        <xdr:cNvPr id="33" name="Imagen 32">
          <a:extLst>
            <a:ext uri="{FF2B5EF4-FFF2-40B4-BE49-F238E27FC236}">
              <a16:creationId xmlns:a16="http://schemas.microsoft.com/office/drawing/2014/main" id="{36AEFFC0-7FBE-42B3-B499-1C46D29D1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92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238</xdr:col>
      <xdr:colOff>38652</xdr:colOff>
      <xdr:row>0</xdr:row>
      <xdr:rowOff>44174</xdr:rowOff>
    </xdr:from>
    <xdr:ext cx="1186025" cy="564459"/>
    <xdr:pic>
      <xdr:nvPicPr>
        <xdr:cNvPr id="34" name="Imagen 33">
          <a:extLst>
            <a:ext uri="{FF2B5EF4-FFF2-40B4-BE49-F238E27FC236}">
              <a16:creationId xmlns:a16="http://schemas.microsoft.com/office/drawing/2014/main" id="{D6C03933-4411-4324-A5B9-05DA8DB01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92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252</xdr:col>
      <xdr:colOff>38652</xdr:colOff>
      <xdr:row>0</xdr:row>
      <xdr:rowOff>44174</xdr:rowOff>
    </xdr:from>
    <xdr:ext cx="1186025" cy="564459"/>
    <xdr:pic>
      <xdr:nvPicPr>
        <xdr:cNvPr id="35" name="Imagen 34">
          <a:extLst>
            <a:ext uri="{FF2B5EF4-FFF2-40B4-BE49-F238E27FC236}">
              <a16:creationId xmlns:a16="http://schemas.microsoft.com/office/drawing/2014/main" id="{1391ED96-0A1B-4C9F-AA55-791E03DEC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4834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252</xdr:col>
      <xdr:colOff>38652</xdr:colOff>
      <xdr:row>0</xdr:row>
      <xdr:rowOff>44174</xdr:rowOff>
    </xdr:from>
    <xdr:ext cx="1186025" cy="564459"/>
    <xdr:pic>
      <xdr:nvPicPr>
        <xdr:cNvPr id="36" name="Imagen 35">
          <a:extLst>
            <a:ext uri="{FF2B5EF4-FFF2-40B4-BE49-F238E27FC236}">
              <a16:creationId xmlns:a16="http://schemas.microsoft.com/office/drawing/2014/main" id="{8D13EB38-0378-4395-80A4-8A235A9A9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4834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266</xdr:col>
      <xdr:colOff>38652</xdr:colOff>
      <xdr:row>0</xdr:row>
      <xdr:rowOff>44174</xdr:rowOff>
    </xdr:from>
    <xdr:ext cx="1186025" cy="564459"/>
    <xdr:pic>
      <xdr:nvPicPr>
        <xdr:cNvPr id="37" name="Imagen 36">
          <a:extLst>
            <a:ext uri="{FF2B5EF4-FFF2-40B4-BE49-F238E27FC236}">
              <a16:creationId xmlns:a16="http://schemas.microsoft.com/office/drawing/2014/main" id="{D72339DC-F28B-42CA-8E2A-18628BC52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674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266</xdr:col>
      <xdr:colOff>38652</xdr:colOff>
      <xdr:row>0</xdr:row>
      <xdr:rowOff>44174</xdr:rowOff>
    </xdr:from>
    <xdr:ext cx="1186025" cy="564459"/>
    <xdr:pic>
      <xdr:nvPicPr>
        <xdr:cNvPr id="38" name="Imagen 37">
          <a:extLst>
            <a:ext uri="{FF2B5EF4-FFF2-40B4-BE49-F238E27FC236}">
              <a16:creationId xmlns:a16="http://schemas.microsoft.com/office/drawing/2014/main" id="{4146636A-687B-4EFA-B7D1-2DAF41508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674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280</xdr:col>
      <xdr:colOff>38652</xdr:colOff>
      <xdr:row>0</xdr:row>
      <xdr:rowOff>44174</xdr:rowOff>
    </xdr:from>
    <xdr:ext cx="1186025" cy="564459"/>
    <xdr:pic>
      <xdr:nvPicPr>
        <xdr:cNvPr id="39" name="Imagen 38">
          <a:extLst>
            <a:ext uri="{FF2B5EF4-FFF2-40B4-BE49-F238E27FC236}">
              <a16:creationId xmlns:a16="http://schemas.microsoft.com/office/drawing/2014/main" id="{61EB6431-28C7-4543-914B-35FDB2BAE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66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280</xdr:col>
      <xdr:colOff>38652</xdr:colOff>
      <xdr:row>0</xdr:row>
      <xdr:rowOff>44174</xdr:rowOff>
    </xdr:from>
    <xdr:ext cx="1186025" cy="564459"/>
    <xdr:pic>
      <xdr:nvPicPr>
        <xdr:cNvPr id="40" name="Imagen 39">
          <a:extLst>
            <a:ext uri="{FF2B5EF4-FFF2-40B4-BE49-F238E27FC236}">
              <a16:creationId xmlns:a16="http://schemas.microsoft.com/office/drawing/2014/main" id="{CC79D000-5418-4215-9911-004B09814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66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294</xdr:col>
      <xdr:colOff>38652</xdr:colOff>
      <xdr:row>0</xdr:row>
      <xdr:rowOff>44174</xdr:rowOff>
    </xdr:from>
    <xdr:ext cx="1186025" cy="564459"/>
    <xdr:pic>
      <xdr:nvPicPr>
        <xdr:cNvPr id="41" name="Imagen 40">
          <a:extLst>
            <a:ext uri="{FF2B5EF4-FFF2-40B4-BE49-F238E27FC236}">
              <a16:creationId xmlns:a16="http://schemas.microsoft.com/office/drawing/2014/main" id="{78DE5972-B44D-463B-92BD-935D600FB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057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294</xdr:col>
      <xdr:colOff>38652</xdr:colOff>
      <xdr:row>0</xdr:row>
      <xdr:rowOff>44174</xdr:rowOff>
    </xdr:from>
    <xdr:ext cx="1186025" cy="564459"/>
    <xdr:pic>
      <xdr:nvPicPr>
        <xdr:cNvPr id="42" name="Imagen 41">
          <a:extLst>
            <a:ext uri="{FF2B5EF4-FFF2-40B4-BE49-F238E27FC236}">
              <a16:creationId xmlns:a16="http://schemas.microsoft.com/office/drawing/2014/main" id="{D1962025-9F00-4391-88FE-821FA15FD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057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308</xdr:col>
      <xdr:colOff>38652</xdr:colOff>
      <xdr:row>0</xdr:row>
      <xdr:rowOff>44174</xdr:rowOff>
    </xdr:from>
    <xdr:ext cx="1186025" cy="564459"/>
    <xdr:pic>
      <xdr:nvPicPr>
        <xdr:cNvPr id="43" name="Imagen 42">
          <a:extLst>
            <a:ext uri="{FF2B5EF4-FFF2-40B4-BE49-F238E27FC236}">
              <a16:creationId xmlns:a16="http://schemas.microsoft.com/office/drawing/2014/main" id="{9A8CADAF-CA7F-4847-8DFD-A241D427F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48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308</xdr:col>
      <xdr:colOff>38652</xdr:colOff>
      <xdr:row>0</xdr:row>
      <xdr:rowOff>44174</xdr:rowOff>
    </xdr:from>
    <xdr:ext cx="1186025" cy="564459"/>
    <xdr:pic>
      <xdr:nvPicPr>
        <xdr:cNvPr id="44" name="Imagen 43">
          <a:extLst>
            <a:ext uri="{FF2B5EF4-FFF2-40B4-BE49-F238E27FC236}">
              <a16:creationId xmlns:a16="http://schemas.microsoft.com/office/drawing/2014/main" id="{92A725D7-92F1-4DF3-AA88-5FEF9A52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248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322</xdr:col>
      <xdr:colOff>38652</xdr:colOff>
      <xdr:row>0</xdr:row>
      <xdr:rowOff>44174</xdr:rowOff>
    </xdr:from>
    <xdr:ext cx="1186025" cy="564459"/>
    <xdr:pic>
      <xdr:nvPicPr>
        <xdr:cNvPr id="45" name="Imagen 44">
          <a:extLst>
            <a:ext uri="{FF2B5EF4-FFF2-40B4-BE49-F238E27FC236}">
              <a16:creationId xmlns:a16="http://schemas.microsoft.com/office/drawing/2014/main" id="{A3325C1B-BE05-4E2A-BDFC-98B05D9D8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440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322</xdr:col>
      <xdr:colOff>38652</xdr:colOff>
      <xdr:row>0</xdr:row>
      <xdr:rowOff>44174</xdr:rowOff>
    </xdr:from>
    <xdr:ext cx="1186025" cy="564459"/>
    <xdr:pic>
      <xdr:nvPicPr>
        <xdr:cNvPr id="46" name="Imagen 45">
          <a:extLst>
            <a:ext uri="{FF2B5EF4-FFF2-40B4-BE49-F238E27FC236}">
              <a16:creationId xmlns:a16="http://schemas.microsoft.com/office/drawing/2014/main" id="{47419587-73C0-4B32-B864-813F645A9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440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336</xdr:col>
      <xdr:colOff>38652</xdr:colOff>
      <xdr:row>0</xdr:row>
      <xdr:rowOff>44174</xdr:rowOff>
    </xdr:from>
    <xdr:ext cx="1186025" cy="564459"/>
    <xdr:pic>
      <xdr:nvPicPr>
        <xdr:cNvPr id="47" name="Imagen 46">
          <a:extLst>
            <a:ext uri="{FF2B5EF4-FFF2-40B4-BE49-F238E27FC236}">
              <a16:creationId xmlns:a16="http://schemas.microsoft.com/office/drawing/2014/main" id="{ADA1B76B-A4AC-446D-941C-EFF36EEE1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631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336</xdr:col>
      <xdr:colOff>38652</xdr:colOff>
      <xdr:row>0</xdr:row>
      <xdr:rowOff>44174</xdr:rowOff>
    </xdr:from>
    <xdr:ext cx="1186025" cy="564459"/>
    <xdr:pic>
      <xdr:nvPicPr>
        <xdr:cNvPr id="48" name="Imagen 47">
          <a:extLst>
            <a:ext uri="{FF2B5EF4-FFF2-40B4-BE49-F238E27FC236}">
              <a16:creationId xmlns:a16="http://schemas.microsoft.com/office/drawing/2014/main" id="{1819990E-BB4E-4499-A228-1F17AF18E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631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350</xdr:col>
      <xdr:colOff>38652</xdr:colOff>
      <xdr:row>0</xdr:row>
      <xdr:rowOff>44174</xdr:rowOff>
    </xdr:from>
    <xdr:ext cx="1186025" cy="564459"/>
    <xdr:pic>
      <xdr:nvPicPr>
        <xdr:cNvPr id="49" name="Imagen 48">
          <a:extLst>
            <a:ext uri="{FF2B5EF4-FFF2-40B4-BE49-F238E27FC236}">
              <a16:creationId xmlns:a16="http://schemas.microsoft.com/office/drawing/2014/main" id="{304DD08C-3FAF-4E59-8AFD-2609FD097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23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350</xdr:col>
      <xdr:colOff>38652</xdr:colOff>
      <xdr:row>0</xdr:row>
      <xdr:rowOff>44174</xdr:rowOff>
    </xdr:from>
    <xdr:ext cx="1186025" cy="564459"/>
    <xdr:pic>
      <xdr:nvPicPr>
        <xdr:cNvPr id="50" name="Imagen 49">
          <a:extLst>
            <a:ext uri="{FF2B5EF4-FFF2-40B4-BE49-F238E27FC236}">
              <a16:creationId xmlns:a16="http://schemas.microsoft.com/office/drawing/2014/main" id="{D8642E46-CAD2-40AD-AE7D-28573CA1B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23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364</xdr:col>
      <xdr:colOff>38652</xdr:colOff>
      <xdr:row>0</xdr:row>
      <xdr:rowOff>44174</xdr:rowOff>
    </xdr:from>
    <xdr:ext cx="1186025" cy="564459"/>
    <xdr:pic>
      <xdr:nvPicPr>
        <xdr:cNvPr id="51" name="Imagen 50">
          <a:extLst>
            <a:ext uri="{FF2B5EF4-FFF2-40B4-BE49-F238E27FC236}">
              <a16:creationId xmlns:a16="http://schemas.microsoft.com/office/drawing/2014/main" id="{721A9A7A-0526-4D7F-B439-5B473748B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0144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364</xdr:col>
      <xdr:colOff>38652</xdr:colOff>
      <xdr:row>0</xdr:row>
      <xdr:rowOff>44174</xdr:rowOff>
    </xdr:from>
    <xdr:ext cx="1186025" cy="564459"/>
    <xdr:pic>
      <xdr:nvPicPr>
        <xdr:cNvPr id="52" name="Imagen 51">
          <a:extLst>
            <a:ext uri="{FF2B5EF4-FFF2-40B4-BE49-F238E27FC236}">
              <a16:creationId xmlns:a16="http://schemas.microsoft.com/office/drawing/2014/main" id="{640F7480-EBB2-4134-9059-5C3316422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0144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378</xdr:col>
      <xdr:colOff>38652</xdr:colOff>
      <xdr:row>0</xdr:row>
      <xdr:rowOff>44174</xdr:rowOff>
    </xdr:from>
    <xdr:ext cx="1186025" cy="564459"/>
    <xdr:pic>
      <xdr:nvPicPr>
        <xdr:cNvPr id="53" name="Imagen 52">
          <a:extLst>
            <a:ext uri="{FF2B5EF4-FFF2-40B4-BE49-F238E27FC236}">
              <a16:creationId xmlns:a16="http://schemas.microsoft.com/office/drawing/2014/main" id="{DC8B1FA3-4C0A-42E6-A976-C5F767C2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205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378</xdr:col>
      <xdr:colOff>38652</xdr:colOff>
      <xdr:row>0</xdr:row>
      <xdr:rowOff>44174</xdr:rowOff>
    </xdr:from>
    <xdr:ext cx="1186025" cy="564459"/>
    <xdr:pic>
      <xdr:nvPicPr>
        <xdr:cNvPr id="54" name="Imagen 53">
          <a:extLst>
            <a:ext uri="{FF2B5EF4-FFF2-40B4-BE49-F238E27FC236}">
              <a16:creationId xmlns:a16="http://schemas.microsoft.com/office/drawing/2014/main" id="{9466A8AC-8B35-42F8-8712-106D8DDC9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205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392</xdr:col>
      <xdr:colOff>38652</xdr:colOff>
      <xdr:row>0</xdr:row>
      <xdr:rowOff>44174</xdr:rowOff>
    </xdr:from>
    <xdr:ext cx="1186025" cy="564459"/>
    <xdr:pic>
      <xdr:nvPicPr>
        <xdr:cNvPr id="55" name="Imagen 54">
          <a:extLst>
            <a:ext uri="{FF2B5EF4-FFF2-40B4-BE49-F238E27FC236}">
              <a16:creationId xmlns:a16="http://schemas.microsoft.com/office/drawing/2014/main" id="{55BA84B4-03FD-4082-8C28-252CBD594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397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392</xdr:col>
      <xdr:colOff>38652</xdr:colOff>
      <xdr:row>0</xdr:row>
      <xdr:rowOff>44174</xdr:rowOff>
    </xdr:from>
    <xdr:ext cx="1186025" cy="564459"/>
    <xdr:pic>
      <xdr:nvPicPr>
        <xdr:cNvPr id="56" name="Imagen 55">
          <a:extLst>
            <a:ext uri="{FF2B5EF4-FFF2-40B4-BE49-F238E27FC236}">
              <a16:creationId xmlns:a16="http://schemas.microsoft.com/office/drawing/2014/main" id="{90DA7BCB-5264-4B15-AC5F-DABA118D9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397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406</xdr:col>
      <xdr:colOff>38652</xdr:colOff>
      <xdr:row>0</xdr:row>
      <xdr:rowOff>44174</xdr:rowOff>
    </xdr:from>
    <xdr:ext cx="1186025" cy="564459"/>
    <xdr:pic>
      <xdr:nvPicPr>
        <xdr:cNvPr id="57" name="Imagen 56">
          <a:extLst>
            <a:ext uri="{FF2B5EF4-FFF2-40B4-BE49-F238E27FC236}">
              <a16:creationId xmlns:a16="http://schemas.microsoft.com/office/drawing/2014/main" id="{94588AAE-5DF0-4C4A-B030-578C7AB5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88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406</xdr:col>
      <xdr:colOff>38652</xdr:colOff>
      <xdr:row>0</xdr:row>
      <xdr:rowOff>44174</xdr:rowOff>
    </xdr:from>
    <xdr:ext cx="1186025" cy="564459"/>
    <xdr:pic>
      <xdr:nvPicPr>
        <xdr:cNvPr id="58" name="Imagen 57">
          <a:extLst>
            <a:ext uri="{FF2B5EF4-FFF2-40B4-BE49-F238E27FC236}">
              <a16:creationId xmlns:a16="http://schemas.microsoft.com/office/drawing/2014/main" id="{781A9EDB-9A30-4DC3-BDAD-D71CBD18D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88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420</xdr:col>
      <xdr:colOff>38652</xdr:colOff>
      <xdr:row>0</xdr:row>
      <xdr:rowOff>44174</xdr:rowOff>
    </xdr:from>
    <xdr:ext cx="1186025" cy="564459"/>
    <xdr:pic>
      <xdr:nvPicPr>
        <xdr:cNvPr id="59" name="Imagen 58">
          <a:extLst>
            <a:ext uri="{FF2B5EF4-FFF2-40B4-BE49-F238E27FC236}">
              <a16:creationId xmlns:a16="http://schemas.microsoft.com/office/drawing/2014/main" id="{98FBB305-62D2-4FF7-96E6-DBD5A3510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779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420</xdr:col>
      <xdr:colOff>38652</xdr:colOff>
      <xdr:row>0</xdr:row>
      <xdr:rowOff>44174</xdr:rowOff>
    </xdr:from>
    <xdr:ext cx="1186025" cy="564459"/>
    <xdr:pic>
      <xdr:nvPicPr>
        <xdr:cNvPr id="60" name="Imagen 59">
          <a:extLst>
            <a:ext uri="{FF2B5EF4-FFF2-40B4-BE49-F238E27FC236}">
              <a16:creationId xmlns:a16="http://schemas.microsoft.com/office/drawing/2014/main" id="{28D1249D-E460-458E-910A-9DCBF4CA2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779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434</xdr:col>
      <xdr:colOff>38652</xdr:colOff>
      <xdr:row>0</xdr:row>
      <xdr:rowOff>44174</xdr:rowOff>
    </xdr:from>
    <xdr:ext cx="1186025" cy="564459"/>
    <xdr:pic>
      <xdr:nvPicPr>
        <xdr:cNvPr id="61" name="Imagen 60">
          <a:extLst>
            <a:ext uri="{FF2B5EF4-FFF2-40B4-BE49-F238E27FC236}">
              <a16:creationId xmlns:a16="http://schemas.microsoft.com/office/drawing/2014/main" id="{E93B8DC1-F897-4500-B9E4-4CB5EC645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971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434</xdr:col>
      <xdr:colOff>38652</xdr:colOff>
      <xdr:row>0</xdr:row>
      <xdr:rowOff>44174</xdr:rowOff>
    </xdr:from>
    <xdr:ext cx="1186025" cy="564459"/>
    <xdr:pic>
      <xdr:nvPicPr>
        <xdr:cNvPr id="62" name="Imagen 61">
          <a:extLst>
            <a:ext uri="{FF2B5EF4-FFF2-40B4-BE49-F238E27FC236}">
              <a16:creationId xmlns:a16="http://schemas.microsoft.com/office/drawing/2014/main" id="{3BEC1A41-8DFC-4B38-80DF-71C1CEC88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971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448</xdr:col>
      <xdr:colOff>38652</xdr:colOff>
      <xdr:row>0</xdr:row>
      <xdr:rowOff>44174</xdr:rowOff>
    </xdr:from>
    <xdr:ext cx="1186025" cy="564459"/>
    <xdr:pic>
      <xdr:nvPicPr>
        <xdr:cNvPr id="63" name="Imagen 62">
          <a:extLst>
            <a:ext uri="{FF2B5EF4-FFF2-40B4-BE49-F238E27FC236}">
              <a16:creationId xmlns:a16="http://schemas.microsoft.com/office/drawing/2014/main" id="{77CBD330-61E9-4E35-BC2F-88B97B120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62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448</xdr:col>
      <xdr:colOff>38652</xdr:colOff>
      <xdr:row>0</xdr:row>
      <xdr:rowOff>44174</xdr:rowOff>
    </xdr:from>
    <xdr:ext cx="1186025" cy="564459"/>
    <xdr:pic>
      <xdr:nvPicPr>
        <xdr:cNvPr id="64" name="Imagen 63">
          <a:extLst>
            <a:ext uri="{FF2B5EF4-FFF2-40B4-BE49-F238E27FC236}">
              <a16:creationId xmlns:a16="http://schemas.microsoft.com/office/drawing/2014/main" id="{AAA8F76C-3AB8-4E8C-8853-411344B7B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162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462</xdr:col>
      <xdr:colOff>38652</xdr:colOff>
      <xdr:row>0</xdr:row>
      <xdr:rowOff>44174</xdr:rowOff>
    </xdr:from>
    <xdr:ext cx="1186025" cy="564459"/>
    <xdr:pic>
      <xdr:nvPicPr>
        <xdr:cNvPr id="65" name="Imagen 64">
          <a:extLst>
            <a:ext uri="{FF2B5EF4-FFF2-40B4-BE49-F238E27FC236}">
              <a16:creationId xmlns:a16="http://schemas.microsoft.com/office/drawing/2014/main" id="{AB1082D3-1802-4928-9C68-348ED648B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354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462</xdr:col>
      <xdr:colOff>38652</xdr:colOff>
      <xdr:row>0</xdr:row>
      <xdr:rowOff>44174</xdr:rowOff>
    </xdr:from>
    <xdr:ext cx="1186025" cy="564459"/>
    <xdr:pic>
      <xdr:nvPicPr>
        <xdr:cNvPr id="66" name="Imagen 65">
          <a:extLst>
            <a:ext uri="{FF2B5EF4-FFF2-40B4-BE49-F238E27FC236}">
              <a16:creationId xmlns:a16="http://schemas.microsoft.com/office/drawing/2014/main" id="{2E496B3C-6354-4933-A677-92F26155C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354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476</xdr:col>
      <xdr:colOff>38652</xdr:colOff>
      <xdr:row>0</xdr:row>
      <xdr:rowOff>44174</xdr:rowOff>
    </xdr:from>
    <xdr:ext cx="1186025" cy="564459"/>
    <xdr:pic>
      <xdr:nvPicPr>
        <xdr:cNvPr id="67" name="Imagen 66">
          <a:extLst>
            <a:ext uri="{FF2B5EF4-FFF2-40B4-BE49-F238E27FC236}">
              <a16:creationId xmlns:a16="http://schemas.microsoft.com/office/drawing/2014/main" id="{E4022820-C4F6-452A-8AAC-7000DC597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5454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476</xdr:col>
      <xdr:colOff>38652</xdr:colOff>
      <xdr:row>0</xdr:row>
      <xdr:rowOff>44174</xdr:rowOff>
    </xdr:from>
    <xdr:ext cx="1186025" cy="564459"/>
    <xdr:pic>
      <xdr:nvPicPr>
        <xdr:cNvPr id="68" name="Imagen 67">
          <a:extLst>
            <a:ext uri="{FF2B5EF4-FFF2-40B4-BE49-F238E27FC236}">
              <a16:creationId xmlns:a16="http://schemas.microsoft.com/office/drawing/2014/main" id="{38F62DC6-8760-48D9-B292-697A5929A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5454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490</xdr:col>
      <xdr:colOff>38652</xdr:colOff>
      <xdr:row>0</xdr:row>
      <xdr:rowOff>44174</xdr:rowOff>
    </xdr:from>
    <xdr:ext cx="1186025" cy="564459"/>
    <xdr:pic>
      <xdr:nvPicPr>
        <xdr:cNvPr id="69" name="Imagen 68">
          <a:extLst>
            <a:ext uri="{FF2B5EF4-FFF2-40B4-BE49-F238E27FC236}">
              <a16:creationId xmlns:a16="http://schemas.microsoft.com/office/drawing/2014/main" id="{E29D145F-4CC8-438F-B662-BD92C349F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736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490</xdr:col>
      <xdr:colOff>38652</xdr:colOff>
      <xdr:row>0</xdr:row>
      <xdr:rowOff>44174</xdr:rowOff>
    </xdr:from>
    <xdr:ext cx="1186025" cy="564459"/>
    <xdr:pic>
      <xdr:nvPicPr>
        <xdr:cNvPr id="70" name="Imagen 69">
          <a:extLst>
            <a:ext uri="{FF2B5EF4-FFF2-40B4-BE49-F238E27FC236}">
              <a16:creationId xmlns:a16="http://schemas.microsoft.com/office/drawing/2014/main" id="{D6B2AD80-FB1D-4415-994E-B956D19A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736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504</xdr:col>
      <xdr:colOff>38652</xdr:colOff>
      <xdr:row>0</xdr:row>
      <xdr:rowOff>44174</xdr:rowOff>
    </xdr:from>
    <xdr:ext cx="1186025" cy="564459"/>
    <xdr:pic>
      <xdr:nvPicPr>
        <xdr:cNvPr id="71" name="Imagen 70">
          <a:extLst>
            <a:ext uri="{FF2B5EF4-FFF2-40B4-BE49-F238E27FC236}">
              <a16:creationId xmlns:a16="http://schemas.microsoft.com/office/drawing/2014/main" id="{1B4E6F81-997A-4B75-9C25-57D48F4F7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928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504</xdr:col>
      <xdr:colOff>38652</xdr:colOff>
      <xdr:row>0</xdr:row>
      <xdr:rowOff>44174</xdr:rowOff>
    </xdr:from>
    <xdr:ext cx="1186025" cy="564459"/>
    <xdr:pic>
      <xdr:nvPicPr>
        <xdr:cNvPr id="72" name="Imagen 71">
          <a:extLst>
            <a:ext uri="{FF2B5EF4-FFF2-40B4-BE49-F238E27FC236}">
              <a16:creationId xmlns:a16="http://schemas.microsoft.com/office/drawing/2014/main" id="{FD786DE7-EC84-4632-ADDD-710F0C530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928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518</xdr:col>
      <xdr:colOff>38652</xdr:colOff>
      <xdr:row>0</xdr:row>
      <xdr:rowOff>44174</xdr:rowOff>
    </xdr:from>
    <xdr:ext cx="1186025" cy="564459"/>
    <xdr:pic>
      <xdr:nvPicPr>
        <xdr:cNvPr id="73" name="Imagen 72">
          <a:extLst>
            <a:ext uri="{FF2B5EF4-FFF2-40B4-BE49-F238E27FC236}">
              <a16:creationId xmlns:a16="http://schemas.microsoft.com/office/drawing/2014/main" id="{DF4D086C-D783-48BF-9A08-A0B181401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119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518</xdr:col>
      <xdr:colOff>38652</xdr:colOff>
      <xdr:row>0</xdr:row>
      <xdr:rowOff>44174</xdr:rowOff>
    </xdr:from>
    <xdr:ext cx="1186025" cy="564459"/>
    <xdr:pic>
      <xdr:nvPicPr>
        <xdr:cNvPr id="74" name="Imagen 73">
          <a:extLst>
            <a:ext uri="{FF2B5EF4-FFF2-40B4-BE49-F238E27FC236}">
              <a16:creationId xmlns:a16="http://schemas.microsoft.com/office/drawing/2014/main" id="{6A44F642-887E-4D0C-AD69-D5369B519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119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532</xdr:col>
      <xdr:colOff>38652</xdr:colOff>
      <xdr:row>0</xdr:row>
      <xdr:rowOff>44174</xdr:rowOff>
    </xdr:from>
    <xdr:ext cx="1186025" cy="564459"/>
    <xdr:pic>
      <xdr:nvPicPr>
        <xdr:cNvPr id="75" name="Imagen 74">
          <a:extLst>
            <a:ext uri="{FF2B5EF4-FFF2-40B4-BE49-F238E27FC236}">
              <a16:creationId xmlns:a16="http://schemas.microsoft.com/office/drawing/2014/main" id="{1699AD3F-712A-4D8E-9BB8-AA99A0660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10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532</xdr:col>
      <xdr:colOff>38652</xdr:colOff>
      <xdr:row>0</xdr:row>
      <xdr:rowOff>44174</xdr:rowOff>
    </xdr:from>
    <xdr:ext cx="1186025" cy="564459"/>
    <xdr:pic>
      <xdr:nvPicPr>
        <xdr:cNvPr id="76" name="Imagen 75">
          <a:extLst>
            <a:ext uri="{FF2B5EF4-FFF2-40B4-BE49-F238E27FC236}">
              <a16:creationId xmlns:a16="http://schemas.microsoft.com/office/drawing/2014/main" id="{4F53884B-5DF2-416A-AE08-4F7AC7E70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10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546</xdr:col>
      <xdr:colOff>38652</xdr:colOff>
      <xdr:row>0</xdr:row>
      <xdr:rowOff>44174</xdr:rowOff>
    </xdr:from>
    <xdr:ext cx="1186025" cy="564459"/>
    <xdr:pic>
      <xdr:nvPicPr>
        <xdr:cNvPr id="77" name="Imagen 76">
          <a:extLst>
            <a:ext uri="{FF2B5EF4-FFF2-40B4-BE49-F238E27FC236}">
              <a16:creationId xmlns:a16="http://schemas.microsoft.com/office/drawing/2014/main" id="{39E9DB25-A5D9-4C16-942E-9C58CAA96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502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546</xdr:col>
      <xdr:colOff>38652</xdr:colOff>
      <xdr:row>0</xdr:row>
      <xdr:rowOff>44174</xdr:rowOff>
    </xdr:from>
    <xdr:ext cx="1186025" cy="564459"/>
    <xdr:pic>
      <xdr:nvPicPr>
        <xdr:cNvPr id="78" name="Imagen 77">
          <a:extLst>
            <a:ext uri="{FF2B5EF4-FFF2-40B4-BE49-F238E27FC236}">
              <a16:creationId xmlns:a16="http://schemas.microsoft.com/office/drawing/2014/main" id="{366E9883-05CC-46F9-88E3-2500DA485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502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560</xdr:col>
      <xdr:colOff>38652</xdr:colOff>
      <xdr:row>0</xdr:row>
      <xdr:rowOff>44174</xdr:rowOff>
    </xdr:from>
    <xdr:ext cx="1186025" cy="564459"/>
    <xdr:pic>
      <xdr:nvPicPr>
        <xdr:cNvPr id="79" name="Imagen 78">
          <a:extLst>
            <a:ext uri="{FF2B5EF4-FFF2-40B4-BE49-F238E27FC236}">
              <a16:creationId xmlns:a16="http://schemas.microsoft.com/office/drawing/2014/main" id="{1ABC5ACD-A48B-474C-9ACC-0BA193F41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693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560</xdr:col>
      <xdr:colOff>38652</xdr:colOff>
      <xdr:row>0</xdr:row>
      <xdr:rowOff>44174</xdr:rowOff>
    </xdr:from>
    <xdr:ext cx="1186025" cy="564459"/>
    <xdr:pic>
      <xdr:nvPicPr>
        <xdr:cNvPr id="80" name="Imagen 79">
          <a:extLst>
            <a:ext uri="{FF2B5EF4-FFF2-40B4-BE49-F238E27FC236}">
              <a16:creationId xmlns:a16="http://schemas.microsoft.com/office/drawing/2014/main" id="{BB1DF12C-E73A-47B5-BBA7-DC682AEB8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693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574</xdr:col>
      <xdr:colOff>38652</xdr:colOff>
      <xdr:row>0</xdr:row>
      <xdr:rowOff>44174</xdr:rowOff>
    </xdr:from>
    <xdr:ext cx="1186025" cy="564459"/>
    <xdr:pic>
      <xdr:nvPicPr>
        <xdr:cNvPr id="81" name="Imagen 80">
          <a:extLst>
            <a:ext uri="{FF2B5EF4-FFF2-40B4-BE49-F238E27FC236}">
              <a16:creationId xmlns:a16="http://schemas.microsoft.com/office/drawing/2014/main" id="{CEF58018-A42E-4D1C-99FF-BC7BF6E0F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885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574</xdr:col>
      <xdr:colOff>38652</xdr:colOff>
      <xdr:row>0</xdr:row>
      <xdr:rowOff>44174</xdr:rowOff>
    </xdr:from>
    <xdr:ext cx="1186025" cy="564459"/>
    <xdr:pic>
      <xdr:nvPicPr>
        <xdr:cNvPr id="82" name="Imagen 81">
          <a:extLst>
            <a:ext uri="{FF2B5EF4-FFF2-40B4-BE49-F238E27FC236}">
              <a16:creationId xmlns:a16="http://schemas.microsoft.com/office/drawing/2014/main" id="{28490230-465B-401A-A5D8-958B8A28B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885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588</xdr:col>
      <xdr:colOff>38652</xdr:colOff>
      <xdr:row>0</xdr:row>
      <xdr:rowOff>44174</xdr:rowOff>
    </xdr:from>
    <xdr:ext cx="1186025" cy="564459"/>
    <xdr:pic>
      <xdr:nvPicPr>
        <xdr:cNvPr id="83" name="Imagen 82">
          <a:extLst>
            <a:ext uri="{FF2B5EF4-FFF2-40B4-BE49-F238E27FC236}">
              <a16:creationId xmlns:a16="http://schemas.microsoft.com/office/drawing/2014/main" id="{D19F49D3-B018-4562-ADE0-73F454913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0764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588</xdr:col>
      <xdr:colOff>38652</xdr:colOff>
      <xdr:row>0</xdr:row>
      <xdr:rowOff>44174</xdr:rowOff>
    </xdr:from>
    <xdr:ext cx="1186025" cy="564459"/>
    <xdr:pic>
      <xdr:nvPicPr>
        <xdr:cNvPr id="84" name="Imagen 83">
          <a:extLst>
            <a:ext uri="{FF2B5EF4-FFF2-40B4-BE49-F238E27FC236}">
              <a16:creationId xmlns:a16="http://schemas.microsoft.com/office/drawing/2014/main" id="{6CDF00DB-8C0B-451C-9734-81EA73815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0764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602</xdr:col>
      <xdr:colOff>38652</xdr:colOff>
      <xdr:row>0</xdr:row>
      <xdr:rowOff>44174</xdr:rowOff>
    </xdr:from>
    <xdr:ext cx="1186025" cy="564459"/>
    <xdr:pic>
      <xdr:nvPicPr>
        <xdr:cNvPr id="85" name="Imagen 84">
          <a:extLst>
            <a:ext uri="{FF2B5EF4-FFF2-40B4-BE49-F238E27FC236}">
              <a16:creationId xmlns:a16="http://schemas.microsoft.com/office/drawing/2014/main" id="{157264DC-08A4-4254-A657-963E97549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267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602</xdr:col>
      <xdr:colOff>38652</xdr:colOff>
      <xdr:row>0</xdr:row>
      <xdr:rowOff>44174</xdr:rowOff>
    </xdr:from>
    <xdr:ext cx="1186025" cy="564459"/>
    <xdr:pic>
      <xdr:nvPicPr>
        <xdr:cNvPr id="86" name="Imagen 85">
          <a:extLst>
            <a:ext uri="{FF2B5EF4-FFF2-40B4-BE49-F238E27FC236}">
              <a16:creationId xmlns:a16="http://schemas.microsoft.com/office/drawing/2014/main" id="{62AD8BA5-5766-43DB-BA6D-0BCE7EE2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2677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616</xdr:col>
      <xdr:colOff>38652</xdr:colOff>
      <xdr:row>0</xdr:row>
      <xdr:rowOff>44174</xdr:rowOff>
    </xdr:from>
    <xdr:ext cx="1186025" cy="564459"/>
    <xdr:pic>
      <xdr:nvPicPr>
        <xdr:cNvPr id="87" name="Imagen 86">
          <a:extLst>
            <a:ext uri="{FF2B5EF4-FFF2-40B4-BE49-F238E27FC236}">
              <a16:creationId xmlns:a16="http://schemas.microsoft.com/office/drawing/2014/main" id="{59CE2310-225E-4EAF-9B15-7DCA9B739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459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616</xdr:col>
      <xdr:colOff>38652</xdr:colOff>
      <xdr:row>0</xdr:row>
      <xdr:rowOff>44174</xdr:rowOff>
    </xdr:from>
    <xdr:ext cx="1186025" cy="564459"/>
    <xdr:pic>
      <xdr:nvPicPr>
        <xdr:cNvPr id="88" name="Imagen 87">
          <a:extLst>
            <a:ext uri="{FF2B5EF4-FFF2-40B4-BE49-F238E27FC236}">
              <a16:creationId xmlns:a16="http://schemas.microsoft.com/office/drawing/2014/main" id="{8D05E766-B429-4DB9-99F9-1F5A94744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4591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630</xdr:col>
      <xdr:colOff>38652</xdr:colOff>
      <xdr:row>0</xdr:row>
      <xdr:rowOff>44174</xdr:rowOff>
    </xdr:from>
    <xdr:ext cx="1186025" cy="564459"/>
    <xdr:pic>
      <xdr:nvPicPr>
        <xdr:cNvPr id="89" name="Imagen 88">
          <a:extLst>
            <a:ext uri="{FF2B5EF4-FFF2-40B4-BE49-F238E27FC236}">
              <a16:creationId xmlns:a16="http://schemas.microsoft.com/office/drawing/2014/main" id="{52397401-1BFA-4D09-AFB2-73628D50F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650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630</xdr:col>
      <xdr:colOff>38652</xdr:colOff>
      <xdr:row>0</xdr:row>
      <xdr:rowOff>44174</xdr:rowOff>
    </xdr:from>
    <xdr:ext cx="1186025" cy="564459"/>
    <xdr:pic>
      <xdr:nvPicPr>
        <xdr:cNvPr id="90" name="Imagen 89">
          <a:extLst>
            <a:ext uri="{FF2B5EF4-FFF2-40B4-BE49-F238E27FC236}">
              <a16:creationId xmlns:a16="http://schemas.microsoft.com/office/drawing/2014/main" id="{6596E881-24EE-400C-8A4D-B2B0EB52A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6505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644</xdr:col>
      <xdr:colOff>38652</xdr:colOff>
      <xdr:row>0</xdr:row>
      <xdr:rowOff>44174</xdr:rowOff>
    </xdr:from>
    <xdr:ext cx="1186025" cy="564459"/>
    <xdr:pic>
      <xdr:nvPicPr>
        <xdr:cNvPr id="91" name="Imagen 90">
          <a:extLst>
            <a:ext uri="{FF2B5EF4-FFF2-40B4-BE49-F238E27FC236}">
              <a16:creationId xmlns:a16="http://schemas.microsoft.com/office/drawing/2014/main" id="{F3DCFBC3-B70B-48D4-B5B5-F6C493F68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841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644</xdr:col>
      <xdr:colOff>38652</xdr:colOff>
      <xdr:row>0</xdr:row>
      <xdr:rowOff>44174</xdr:rowOff>
    </xdr:from>
    <xdr:ext cx="1186025" cy="564459"/>
    <xdr:pic>
      <xdr:nvPicPr>
        <xdr:cNvPr id="92" name="Imagen 91">
          <a:extLst>
            <a:ext uri="{FF2B5EF4-FFF2-40B4-BE49-F238E27FC236}">
              <a16:creationId xmlns:a16="http://schemas.microsoft.com/office/drawing/2014/main" id="{32D58D55-031A-45FF-B1BE-5D53537F0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84190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658</xdr:col>
      <xdr:colOff>38652</xdr:colOff>
      <xdr:row>0</xdr:row>
      <xdr:rowOff>44174</xdr:rowOff>
    </xdr:from>
    <xdr:ext cx="1186025" cy="564459"/>
    <xdr:pic>
      <xdr:nvPicPr>
        <xdr:cNvPr id="93" name="Imagen 92">
          <a:extLst>
            <a:ext uri="{FF2B5EF4-FFF2-40B4-BE49-F238E27FC236}">
              <a16:creationId xmlns:a16="http://schemas.microsoft.com/office/drawing/2014/main" id="{3ED4F21B-0AFC-4597-93F2-99659D4ED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033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658</xdr:col>
      <xdr:colOff>38652</xdr:colOff>
      <xdr:row>0</xdr:row>
      <xdr:rowOff>44174</xdr:rowOff>
    </xdr:from>
    <xdr:ext cx="1186025" cy="564459"/>
    <xdr:pic>
      <xdr:nvPicPr>
        <xdr:cNvPr id="94" name="Imagen 93">
          <a:extLst>
            <a:ext uri="{FF2B5EF4-FFF2-40B4-BE49-F238E27FC236}">
              <a16:creationId xmlns:a16="http://schemas.microsoft.com/office/drawing/2014/main" id="{D14F26EF-9165-43B5-B427-1027FB96D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03327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672</xdr:col>
      <xdr:colOff>38652</xdr:colOff>
      <xdr:row>0</xdr:row>
      <xdr:rowOff>44174</xdr:rowOff>
    </xdr:from>
    <xdr:ext cx="1186025" cy="564459"/>
    <xdr:pic>
      <xdr:nvPicPr>
        <xdr:cNvPr id="95" name="Imagen 94">
          <a:extLst>
            <a:ext uri="{FF2B5EF4-FFF2-40B4-BE49-F238E27FC236}">
              <a16:creationId xmlns:a16="http://schemas.microsoft.com/office/drawing/2014/main" id="{5E546BB6-B322-4BDD-A41A-07EAD9AFD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224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672</xdr:col>
      <xdr:colOff>38652</xdr:colOff>
      <xdr:row>0</xdr:row>
      <xdr:rowOff>44174</xdr:rowOff>
    </xdr:from>
    <xdr:ext cx="1186025" cy="564459"/>
    <xdr:pic>
      <xdr:nvPicPr>
        <xdr:cNvPr id="96" name="Imagen 95">
          <a:extLst>
            <a:ext uri="{FF2B5EF4-FFF2-40B4-BE49-F238E27FC236}">
              <a16:creationId xmlns:a16="http://schemas.microsoft.com/office/drawing/2014/main" id="{21C6A892-B1E3-4D8E-AA9B-F34EF31E4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224652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686</xdr:col>
      <xdr:colOff>38652</xdr:colOff>
      <xdr:row>0</xdr:row>
      <xdr:rowOff>44174</xdr:rowOff>
    </xdr:from>
    <xdr:ext cx="1186025" cy="564459"/>
    <xdr:pic>
      <xdr:nvPicPr>
        <xdr:cNvPr id="97" name="Imagen 96">
          <a:extLst>
            <a:ext uri="{FF2B5EF4-FFF2-40B4-BE49-F238E27FC236}">
              <a16:creationId xmlns:a16="http://schemas.microsoft.com/office/drawing/2014/main" id="{E55205C2-54D9-47BC-9E56-0A0CE330F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16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686</xdr:col>
      <xdr:colOff>38652</xdr:colOff>
      <xdr:row>0</xdr:row>
      <xdr:rowOff>44174</xdr:rowOff>
    </xdr:from>
    <xdr:ext cx="1186025" cy="564459"/>
    <xdr:pic>
      <xdr:nvPicPr>
        <xdr:cNvPr id="98" name="Imagen 97">
          <a:extLst>
            <a:ext uri="{FF2B5EF4-FFF2-40B4-BE49-F238E27FC236}">
              <a16:creationId xmlns:a16="http://schemas.microsoft.com/office/drawing/2014/main" id="{90F4F11C-ADDB-44A4-9581-5FB847966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16027" y="44174"/>
          <a:ext cx="1186025" cy="564459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701</xdr:col>
      <xdr:colOff>41413</xdr:colOff>
      <xdr:row>0</xdr:row>
      <xdr:rowOff>0</xdr:rowOff>
    </xdr:from>
    <xdr:ext cx="1114425" cy="561975"/>
    <xdr:pic>
      <xdr:nvPicPr>
        <xdr:cNvPr id="99" name="image1.png">
          <a:extLst>
            <a:ext uri="{FF2B5EF4-FFF2-40B4-BE49-F238E27FC236}">
              <a16:creationId xmlns:a16="http://schemas.microsoft.com/office/drawing/2014/main" id="{CBD27C59-DE19-496C-92A2-64A2C46D95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3601245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702</xdr:col>
          <xdr:colOff>447675</xdr:colOff>
          <xdr:row>46</xdr:row>
          <xdr:rowOff>142875</xdr:rowOff>
        </xdr:from>
        <xdr:to>
          <xdr:col>703</xdr:col>
          <xdr:colOff>561975</xdr:colOff>
          <xdr:row>48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D19C62A-8E10-4340-BA60-A2C944DC10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703</xdr:col>
          <xdr:colOff>542925</xdr:colOff>
          <xdr:row>46</xdr:row>
          <xdr:rowOff>142875</xdr:rowOff>
        </xdr:from>
        <xdr:to>
          <xdr:col>705</xdr:col>
          <xdr:colOff>95250</xdr:colOff>
          <xdr:row>48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C672555-F717-45BB-92CF-85B67DD51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714</xdr:col>
      <xdr:colOff>41413</xdr:colOff>
      <xdr:row>0</xdr:row>
      <xdr:rowOff>0</xdr:rowOff>
    </xdr:from>
    <xdr:ext cx="1114425" cy="561975"/>
    <xdr:pic>
      <xdr:nvPicPr>
        <xdr:cNvPr id="102" name="image1.png">
          <a:extLst>
            <a:ext uri="{FF2B5EF4-FFF2-40B4-BE49-F238E27FC236}">
              <a16:creationId xmlns:a16="http://schemas.microsoft.com/office/drawing/2014/main" id="{3D028643-67ED-46B0-8A77-00724FC487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3672206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715</xdr:col>
          <xdr:colOff>447675</xdr:colOff>
          <xdr:row>46</xdr:row>
          <xdr:rowOff>142875</xdr:rowOff>
        </xdr:from>
        <xdr:to>
          <xdr:col>716</xdr:col>
          <xdr:colOff>285750</xdr:colOff>
          <xdr:row>48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2204117-B8B6-4FF5-9D80-36BAFC6FCE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716</xdr:col>
          <xdr:colOff>542925</xdr:colOff>
          <xdr:row>46</xdr:row>
          <xdr:rowOff>142875</xdr:rowOff>
        </xdr:from>
        <xdr:to>
          <xdr:col>718</xdr:col>
          <xdr:colOff>0</xdr:colOff>
          <xdr:row>48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22ABAB0A-F6C0-4D1D-9B58-63B9B59662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727</xdr:col>
      <xdr:colOff>41413</xdr:colOff>
      <xdr:row>0</xdr:row>
      <xdr:rowOff>0</xdr:rowOff>
    </xdr:from>
    <xdr:ext cx="1114425" cy="561975"/>
    <xdr:pic>
      <xdr:nvPicPr>
        <xdr:cNvPr id="105" name="image1.png">
          <a:extLst>
            <a:ext uri="{FF2B5EF4-FFF2-40B4-BE49-F238E27FC236}">
              <a16:creationId xmlns:a16="http://schemas.microsoft.com/office/drawing/2014/main" id="{D48BA977-64DC-4C7C-A997-82125DBA06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3745263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728</xdr:col>
          <xdr:colOff>447675</xdr:colOff>
          <xdr:row>46</xdr:row>
          <xdr:rowOff>142875</xdr:rowOff>
        </xdr:from>
        <xdr:to>
          <xdr:col>729</xdr:col>
          <xdr:colOff>285750</xdr:colOff>
          <xdr:row>48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929F9DF8-A9C4-44D2-92DC-D2D577FEAB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729</xdr:col>
          <xdr:colOff>542925</xdr:colOff>
          <xdr:row>46</xdr:row>
          <xdr:rowOff>142875</xdr:rowOff>
        </xdr:from>
        <xdr:to>
          <xdr:col>731</xdr:col>
          <xdr:colOff>0</xdr:colOff>
          <xdr:row>48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03EFEA6-8C11-46DF-8117-491F67C9A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740</xdr:col>
      <xdr:colOff>41413</xdr:colOff>
      <xdr:row>0</xdr:row>
      <xdr:rowOff>0</xdr:rowOff>
    </xdr:from>
    <xdr:ext cx="1114425" cy="561975"/>
    <xdr:pic>
      <xdr:nvPicPr>
        <xdr:cNvPr id="108" name="image1.png">
          <a:extLst>
            <a:ext uri="{FF2B5EF4-FFF2-40B4-BE49-F238E27FC236}">
              <a16:creationId xmlns:a16="http://schemas.microsoft.com/office/drawing/2014/main" id="{5CF26EB3-1C22-4277-A2F8-117CA204B2A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3818319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741</xdr:col>
          <xdr:colOff>447675</xdr:colOff>
          <xdr:row>46</xdr:row>
          <xdr:rowOff>142875</xdr:rowOff>
        </xdr:from>
        <xdr:to>
          <xdr:col>742</xdr:col>
          <xdr:colOff>285750</xdr:colOff>
          <xdr:row>48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6AC48BB7-A470-4221-8EA0-4DE838BFAA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742</xdr:col>
          <xdr:colOff>542925</xdr:colOff>
          <xdr:row>46</xdr:row>
          <xdr:rowOff>142875</xdr:rowOff>
        </xdr:from>
        <xdr:to>
          <xdr:col>744</xdr:col>
          <xdr:colOff>0</xdr:colOff>
          <xdr:row>48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F0BAE54-F7DC-4FF1-B09F-5E05FBA886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753</xdr:col>
      <xdr:colOff>41413</xdr:colOff>
      <xdr:row>0</xdr:row>
      <xdr:rowOff>0</xdr:rowOff>
    </xdr:from>
    <xdr:ext cx="1114425" cy="561975"/>
    <xdr:pic>
      <xdr:nvPicPr>
        <xdr:cNvPr id="111" name="image1.png">
          <a:extLst>
            <a:ext uri="{FF2B5EF4-FFF2-40B4-BE49-F238E27FC236}">
              <a16:creationId xmlns:a16="http://schemas.microsoft.com/office/drawing/2014/main" id="{A01B5CE6-EF7A-4AE2-92D0-EB7BC894DA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3891376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754</xdr:col>
          <xdr:colOff>447675</xdr:colOff>
          <xdr:row>46</xdr:row>
          <xdr:rowOff>142875</xdr:rowOff>
        </xdr:from>
        <xdr:to>
          <xdr:col>755</xdr:col>
          <xdr:colOff>285750</xdr:colOff>
          <xdr:row>48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1AB9984B-394B-4EFB-8C5F-4F5DAC8021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755</xdr:col>
          <xdr:colOff>542925</xdr:colOff>
          <xdr:row>46</xdr:row>
          <xdr:rowOff>142875</xdr:rowOff>
        </xdr:from>
        <xdr:to>
          <xdr:col>757</xdr:col>
          <xdr:colOff>0</xdr:colOff>
          <xdr:row>48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4E8E5B99-E0CA-4682-9DBC-9753398EA2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766</xdr:col>
      <xdr:colOff>41413</xdr:colOff>
      <xdr:row>0</xdr:row>
      <xdr:rowOff>0</xdr:rowOff>
    </xdr:from>
    <xdr:ext cx="1114425" cy="561975"/>
    <xdr:pic>
      <xdr:nvPicPr>
        <xdr:cNvPr id="114" name="image1.png">
          <a:extLst>
            <a:ext uri="{FF2B5EF4-FFF2-40B4-BE49-F238E27FC236}">
              <a16:creationId xmlns:a16="http://schemas.microsoft.com/office/drawing/2014/main" id="{01D58BEF-3271-4A85-92CE-C83B64CCD21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3964433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767</xdr:col>
          <xdr:colOff>447675</xdr:colOff>
          <xdr:row>46</xdr:row>
          <xdr:rowOff>142875</xdr:rowOff>
        </xdr:from>
        <xdr:to>
          <xdr:col>768</xdr:col>
          <xdr:colOff>285750</xdr:colOff>
          <xdr:row>48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B7289228-9522-4009-8D1C-3EB1499779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768</xdr:col>
          <xdr:colOff>542925</xdr:colOff>
          <xdr:row>46</xdr:row>
          <xdr:rowOff>142875</xdr:rowOff>
        </xdr:from>
        <xdr:to>
          <xdr:col>770</xdr:col>
          <xdr:colOff>0</xdr:colOff>
          <xdr:row>48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B06C238A-90FE-436D-99D1-EDBC1A475F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779</xdr:col>
      <xdr:colOff>41413</xdr:colOff>
      <xdr:row>0</xdr:row>
      <xdr:rowOff>0</xdr:rowOff>
    </xdr:from>
    <xdr:ext cx="1114425" cy="561975"/>
    <xdr:pic>
      <xdr:nvPicPr>
        <xdr:cNvPr id="117" name="image1.png">
          <a:extLst>
            <a:ext uri="{FF2B5EF4-FFF2-40B4-BE49-F238E27FC236}">
              <a16:creationId xmlns:a16="http://schemas.microsoft.com/office/drawing/2014/main" id="{F7C26A91-FC75-4F1D-BEAC-EC910B9078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037490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780</xdr:col>
          <xdr:colOff>447675</xdr:colOff>
          <xdr:row>46</xdr:row>
          <xdr:rowOff>142875</xdr:rowOff>
        </xdr:from>
        <xdr:to>
          <xdr:col>781</xdr:col>
          <xdr:colOff>285750</xdr:colOff>
          <xdr:row>48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300F1AC1-3518-4809-811C-76BB449CD2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781</xdr:col>
          <xdr:colOff>542925</xdr:colOff>
          <xdr:row>46</xdr:row>
          <xdr:rowOff>142875</xdr:rowOff>
        </xdr:from>
        <xdr:to>
          <xdr:col>783</xdr:col>
          <xdr:colOff>0</xdr:colOff>
          <xdr:row>48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7CB64E3F-01CD-4E10-ADE7-34F44598B0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792</xdr:col>
      <xdr:colOff>41413</xdr:colOff>
      <xdr:row>0</xdr:row>
      <xdr:rowOff>0</xdr:rowOff>
    </xdr:from>
    <xdr:ext cx="1114425" cy="561975"/>
    <xdr:pic>
      <xdr:nvPicPr>
        <xdr:cNvPr id="120" name="image1.png">
          <a:extLst>
            <a:ext uri="{FF2B5EF4-FFF2-40B4-BE49-F238E27FC236}">
              <a16:creationId xmlns:a16="http://schemas.microsoft.com/office/drawing/2014/main" id="{A072FFF7-AF32-4B9A-8204-F02D96DA96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110546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793</xdr:col>
          <xdr:colOff>447675</xdr:colOff>
          <xdr:row>46</xdr:row>
          <xdr:rowOff>142875</xdr:rowOff>
        </xdr:from>
        <xdr:to>
          <xdr:col>794</xdr:col>
          <xdr:colOff>285750</xdr:colOff>
          <xdr:row>48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96942B54-1D11-47C2-8250-82504A41C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794</xdr:col>
          <xdr:colOff>542925</xdr:colOff>
          <xdr:row>46</xdr:row>
          <xdr:rowOff>142875</xdr:rowOff>
        </xdr:from>
        <xdr:to>
          <xdr:col>796</xdr:col>
          <xdr:colOff>0</xdr:colOff>
          <xdr:row>48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F9683F11-FD45-4DCC-AF82-C0DBE1EC0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805</xdr:col>
      <xdr:colOff>41413</xdr:colOff>
      <xdr:row>0</xdr:row>
      <xdr:rowOff>0</xdr:rowOff>
    </xdr:from>
    <xdr:ext cx="1114425" cy="561975"/>
    <xdr:pic>
      <xdr:nvPicPr>
        <xdr:cNvPr id="123" name="image1.png">
          <a:extLst>
            <a:ext uri="{FF2B5EF4-FFF2-40B4-BE49-F238E27FC236}">
              <a16:creationId xmlns:a16="http://schemas.microsoft.com/office/drawing/2014/main" id="{3D51C48F-3028-4A26-8BEB-B6619B9369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183603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806</xdr:col>
          <xdr:colOff>447675</xdr:colOff>
          <xdr:row>46</xdr:row>
          <xdr:rowOff>142875</xdr:rowOff>
        </xdr:from>
        <xdr:to>
          <xdr:col>807</xdr:col>
          <xdr:colOff>285750</xdr:colOff>
          <xdr:row>48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E1B59517-1EDD-46C8-A512-8F8ADE5A49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807</xdr:col>
          <xdr:colOff>542925</xdr:colOff>
          <xdr:row>46</xdr:row>
          <xdr:rowOff>142875</xdr:rowOff>
        </xdr:from>
        <xdr:to>
          <xdr:col>809</xdr:col>
          <xdr:colOff>0</xdr:colOff>
          <xdr:row>48</xdr:row>
          <xdr:rowOff>19050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F1951108-E34B-42E3-A3CA-296D5055F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818</xdr:col>
      <xdr:colOff>41413</xdr:colOff>
      <xdr:row>0</xdr:row>
      <xdr:rowOff>0</xdr:rowOff>
    </xdr:from>
    <xdr:ext cx="1114425" cy="561975"/>
    <xdr:pic>
      <xdr:nvPicPr>
        <xdr:cNvPr id="126" name="image1.png">
          <a:extLst>
            <a:ext uri="{FF2B5EF4-FFF2-40B4-BE49-F238E27FC236}">
              <a16:creationId xmlns:a16="http://schemas.microsoft.com/office/drawing/2014/main" id="{D85EFC35-7383-4633-ABB4-2C64B92083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256660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819</xdr:col>
          <xdr:colOff>447675</xdr:colOff>
          <xdr:row>46</xdr:row>
          <xdr:rowOff>142875</xdr:rowOff>
        </xdr:from>
        <xdr:to>
          <xdr:col>820</xdr:col>
          <xdr:colOff>285750</xdr:colOff>
          <xdr:row>48</xdr:row>
          <xdr:rowOff>19050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F03B9402-D5DF-422E-BB4D-F7E668C9DD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820</xdr:col>
          <xdr:colOff>542925</xdr:colOff>
          <xdr:row>46</xdr:row>
          <xdr:rowOff>142875</xdr:rowOff>
        </xdr:from>
        <xdr:to>
          <xdr:col>822</xdr:col>
          <xdr:colOff>0</xdr:colOff>
          <xdr:row>48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6D47A8C8-358B-410F-8F50-0FF8C4EF96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831</xdr:col>
      <xdr:colOff>41413</xdr:colOff>
      <xdr:row>0</xdr:row>
      <xdr:rowOff>0</xdr:rowOff>
    </xdr:from>
    <xdr:ext cx="1114425" cy="561975"/>
    <xdr:pic>
      <xdr:nvPicPr>
        <xdr:cNvPr id="129" name="image1.png">
          <a:extLst>
            <a:ext uri="{FF2B5EF4-FFF2-40B4-BE49-F238E27FC236}">
              <a16:creationId xmlns:a16="http://schemas.microsoft.com/office/drawing/2014/main" id="{83277A19-F33C-4902-B062-C08E9DD7D6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329717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832</xdr:col>
          <xdr:colOff>447675</xdr:colOff>
          <xdr:row>46</xdr:row>
          <xdr:rowOff>142875</xdr:rowOff>
        </xdr:from>
        <xdr:to>
          <xdr:col>833</xdr:col>
          <xdr:colOff>285750</xdr:colOff>
          <xdr:row>48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C440F2B9-E58D-499A-8579-C99941A60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833</xdr:col>
          <xdr:colOff>542925</xdr:colOff>
          <xdr:row>46</xdr:row>
          <xdr:rowOff>142875</xdr:rowOff>
        </xdr:from>
        <xdr:to>
          <xdr:col>835</xdr:col>
          <xdr:colOff>0</xdr:colOff>
          <xdr:row>48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E15806CF-C7D9-4212-AD62-45092566C8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844</xdr:col>
      <xdr:colOff>41413</xdr:colOff>
      <xdr:row>0</xdr:row>
      <xdr:rowOff>0</xdr:rowOff>
    </xdr:from>
    <xdr:ext cx="1114425" cy="561975"/>
    <xdr:pic>
      <xdr:nvPicPr>
        <xdr:cNvPr id="132" name="image1.png">
          <a:extLst>
            <a:ext uri="{FF2B5EF4-FFF2-40B4-BE49-F238E27FC236}">
              <a16:creationId xmlns:a16="http://schemas.microsoft.com/office/drawing/2014/main" id="{59BC2478-4828-47EA-9AF6-613D253D90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402773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845</xdr:col>
          <xdr:colOff>447675</xdr:colOff>
          <xdr:row>46</xdr:row>
          <xdr:rowOff>142875</xdr:rowOff>
        </xdr:from>
        <xdr:to>
          <xdr:col>846</xdr:col>
          <xdr:colOff>285750</xdr:colOff>
          <xdr:row>48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CB1DA961-6493-446E-83AA-14ADDBDAFB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846</xdr:col>
          <xdr:colOff>542925</xdr:colOff>
          <xdr:row>46</xdr:row>
          <xdr:rowOff>142875</xdr:rowOff>
        </xdr:from>
        <xdr:to>
          <xdr:col>848</xdr:col>
          <xdr:colOff>0</xdr:colOff>
          <xdr:row>48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71DFEC93-AE31-443A-B468-8D496C6EC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857</xdr:col>
      <xdr:colOff>41413</xdr:colOff>
      <xdr:row>0</xdr:row>
      <xdr:rowOff>0</xdr:rowOff>
    </xdr:from>
    <xdr:ext cx="1114425" cy="561975"/>
    <xdr:pic>
      <xdr:nvPicPr>
        <xdr:cNvPr id="135" name="image1.png">
          <a:extLst>
            <a:ext uri="{FF2B5EF4-FFF2-40B4-BE49-F238E27FC236}">
              <a16:creationId xmlns:a16="http://schemas.microsoft.com/office/drawing/2014/main" id="{D833165D-2FD2-448C-A127-7A8EC5C0DE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478497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858</xdr:col>
          <xdr:colOff>447675</xdr:colOff>
          <xdr:row>46</xdr:row>
          <xdr:rowOff>142875</xdr:rowOff>
        </xdr:from>
        <xdr:to>
          <xdr:col>859</xdr:col>
          <xdr:colOff>285750</xdr:colOff>
          <xdr:row>48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7817476B-A907-4000-B685-1B05CD06ED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859</xdr:col>
          <xdr:colOff>542925</xdr:colOff>
          <xdr:row>46</xdr:row>
          <xdr:rowOff>142875</xdr:rowOff>
        </xdr:from>
        <xdr:to>
          <xdr:col>861</xdr:col>
          <xdr:colOff>0</xdr:colOff>
          <xdr:row>48</xdr:row>
          <xdr:rowOff>19050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93CA2749-AA43-4518-97D0-86FCE6BCE6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869</xdr:col>
      <xdr:colOff>41413</xdr:colOff>
      <xdr:row>0</xdr:row>
      <xdr:rowOff>0</xdr:rowOff>
    </xdr:from>
    <xdr:ext cx="1114425" cy="561975"/>
    <xdr:pic>
      <xdr:nvPicPr>
        <xdr:cNvPr id="138" name="image1.png">
          <a:extLst>
            <a:ext uri="{FF2B5EF4-FFF2-40B4-BE49-F238E27FC236}">
              <a16:creationId xmlns:a16="http://schemas.microsoft.com/office/drawing/2014/main" id="{1F652909-4962-4B50-8D13-10E752C46B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546410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870</xdr:col>
          <xdr:colOff>447675</xdr:colOff>
          <xdr:row>46</xdr:row>
          <xdr:rowOff>142875</xdr:rowOff>
        </xdr:from>
        <xdr:to>
          <xdr:col>871</xdr:col>
          <xdr:colOff>285750</xdr:colOff>
          <xdr:row>48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E94B3F6A-81A3-4849-AD23-96D7E773BB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871</xdr:col>
          <xdr:colOff>542925</xdr:colOff>
          <xdr:row>46</xdr:row>
          <xdr:rowOff>142875</xdr:rowOff>
        </xdr:from>
        <xdr:to>
          <xdr:col>872</xdr:col>
          <xdr:colOff>397565</xdr:colOff>
          <xdr:row>48</xdr:row>
          <xdr:rowOff>19050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C911CCD4-B573-486C-AF08-DE574EE7D0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881</xdr:col>
      <xdr:colOff>41413</xdr:colOff>
      <xdr:row>0</xdr:row>
      <xdr:rowOff>0</xdr:rowOff>
    </xdr:from>
    <xdr:ext cx="1114425" cy="561975"/>
    <xdr:pic>
      <xdr:nvPicPr>
        <xdr:cNvPr id="141" name="image1.png">
          <a:extLst>
            <a:ext uri="{FF2B5EF4-FFF2-40B4-BE49-F238E27FC236}">
              <a16:creationId xmlns:a16="http://schemas.microsoft.com/office/drawing/2014/main" id="{6B0C0CA0-987F-4F88-8CCF-24D65BE3E1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614324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882</xdr:col>
          <xdr:colOff>447675</xdr:colOff>
          <xdr:row>46</xdr:row>
          <xdr:rowOff>142875</xdr:rowOff>
        </xdr:from>
        <xdr:to>
          <xdr:col>883</xdr:col>
          <xdr:colOff>285750</xdr:colOff>
          <xdr:row>48</xdr:row>
          <xdr:rowOff>19050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2A8AC77B-D3F5-4280-86A7-F8016FEE93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883</xdr:col>
          <xdr:colOff>542925</xdr:colOff>
          <xdr:row>46</xdr:row>
          <xdr:rowOff>142875</xdr:rowOff>
        </xdr:from>
        <xdr:to>
          <xdr:col>885</xdr:col>
          <xdr:colOff>0</xdr:colOff>
          <xdr:row>48</xdr:row>
          <xdr:rowOff>19050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5B7B1BDA-3438-4A67-9010-37616851AC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893</xdr:col>
      <xdr:colOff>41413</xdr:colOff>
      <xdr:row>0</xdr:row>
      <xdr:rowOff>0</xdr:rowOff>
    </xdr:from>
    <xdr:ext cx="1114425" cy="561975"/>
    <xdr:pic>
      <xdr:nvPicPr>
        <xdr:cNvPr id="144" name="image1.png">
          <a:extLst>
            <a:ext uri="{FF2B5EF4-FFF2-40B4-BE49-F238E27FC236}">
              <a16:creationId xmlns:a16="http://schemas.microsoft.com/office/drawing/2014/main" id="{DC642CDF-F459-472E-AE70-0937D3E280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682237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894</xdr:col>
          <xdr:colOff>447675</xdr:colOff>
          <xdr:row>46</xdr:row>
          <xdr:rowOff>142875</xdr:rowOff>
        </xdr:from>
        <xdr:to>
          <xdr:col>895</xdr:col>
          <xdr:colOff>285750</xdr:colOff>
          <xdr:row>48</xdr:row>
          <xdr:rowOff>19050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AB9B5EEF-B62C-4C8B-A22F-55DA6D5739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895</xdr:col>
          <xdr:colOff>542925</xdr:colOff>
          <xdr:row>46</xdr:row>
          <xdr:rowOff>142875</xdr:rowOff>
        </xdr:from>
        <xdr:to>
          <xdr:col>897</xdr:col>
          <xdr:colOff>0</xdr:colOff>
          <xdr:row>48</xdr:row>
          <xdr:rowOff>19050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474EAF97-9C8D-4EE3-9127-EACAA54544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905</xdr:col>
      <xdr:colOff>41413</xdr:colOff>
      <xdr:row>0</xdr:row>
      <xdr:rowOff>0</xdr:rowOff>
    </xdr:from>
    <xdr:ext cx="1114425" cy="561975"/>
    <xdr:pic>
      <xdr:nvPicPr>
        <xdr:cNvPr id="147" name="image1.png">
          <a:extLst>
            <a:ext uri="{FF2B5EF4-FFF2-40B4-BE49-F238E27FC236}">
              <a16:creationId xmlns:a16="http://schemas.microsoft.com/office/drawing/2014/main" id="{4DC80778-A39A-487B-8458-FDEA52C7BE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750150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906</xdr:col>
          <xdr:colOff>447675</xdr:colOff>
          <xdr:row>46</xdr:row>
          <xdr:rowOff>142875</xdr:rowOff>
        </xdr:from>
        <xdr:to>
          <xdr:col>907</xdr:col>
          <xdr:colOff>285750</xdr:colOff>
          <xdr:row>48</xdr:row>
          <xdr:rowOff>19050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564D66BD-E012-4943-8673-85A6917955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907</xdr:col>
          <xdr:colOff>542925</xdr:colOff>
          <xdr:row>46</xdr:row>
          <xdr:rowOff>142875</xdr:rowOff>
        </xdr:from>
        <xdr:to>
          <xdr:col>909</xdr:col>
          <xdr:colOff>0</xdr:colOff>
          <xdr:row>48</xdr:row>
          <xdr:rowOff>19050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DB455919-AB2D-49F2-844D-C8FC8CFD1E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917</xdr:col>
      <xdr:colOff>41413</xdr:colOff>
      <xdr:row>0</xdr:row>
      <xdr:rowOff>0</xdr:rowOff>
    </xdr:from>
    <xdr:ext cx="1114425" cy="561975"/>
    <xdr:pic>
      <xdr:nvPicPr>
        <xdr:cNvPr id="150" name="image1.png">
          <a:extLst>
            <a:ext uri="{FF2B5EF4-FFF2-40B4-BE49-F238E27FC236}">
              <a16:creationId xmlns:a16="http://schemas.microsoft.com/office/drawing/2014/main" id="{98E16338-237F-4B1C-952E-87A9514DC5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818063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918</xdr:col>
          <xdr:colOff>447675</xdr:colOff>
          <xdr:row>46</xdr:row>
          <xdr:rowOff>142875</xdr:rowOff>
        </xdr:from>
        <xdr:to>
          <xdr:col>919</xdr:col>
          <xdr:colOff>285750</xdr:colOff>
          <xdr:row>48</xdr:row>
          <xdr:rowOff>19050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5A60E4EA-5A62-4ABC-BD20-544466BD0F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919</xdr:col>
          <xdr:colOff>542925</xdr:colOff>
          <xdr:row>46</xdr:row>
          <xdr:rowOff>142875</xdr:rowOff>
        </xdr:from>
        <xdr:to>
          <xdr:col>921</xdr:col>
          <xdr:colOff>0</xdr:colOff>
          <xdr:row>48</xdr:row>
          <xdr:rowOff>19050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C1407006-18B6-4D3E-B579-C763436C02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929</xdr:col>
      <xdr:colOff>41413</xdr:colOff>
      <xdr:row>0</xdr:row>
      <xdr:rowOff>0</xdr:rowOff>
    </xdr:from>
    <xdr:ext cx="1114425" cy="561975"/>
    <xdr:pic>
      <xdr:nvPicPr>
        <xdr:cNvPr id="153" name="image1.png">
          <a:extLst>
            <a:ext uri="{FF2B5EF4-FFF2-40B4-BE49-F238E27FC236}">
              <a16:creationId xmlns:a16="http://schemas.microsoft.com/office/drawing/2014/main" id="{2D49424B-C9E0-486F-AC7C-A03D19F5BF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885977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930</xdr:col>
          <xdr:colOff>447675</xdr:colOff>
          <xdr:row>46</xdr:row>
          <xdr:rowOff>142875</xdr:rowOff>
        </xdr:from>
        <xdr:to>
          <xdr:col>931</xdr:col>
          <xdr:colOff>285750</xdr:colOff>
          <xdr:row>48</xdr:row>
          <xdr:rowOff>19050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BC61CD9D-87F3-479A-BF93-F7F1CA4D85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931</xdr:col>
          <xdr:colOff>542925</xdr:colOff>
          <xdr:row>46</xdr:row>
          <xdr:rowOff>142875</xdr:rowOff>
        </xdr:from>
        <xdr:to>
          <xdr:col>933</xdr:col>
          <xdr:colOff>0</xdr:colOff>
          <xdr:row>48</xdr:row>
          <xdr:rowOff>19050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B3B288B5-55B4-48D4-89FA-201B5C393D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941</xdr:col>
      <xdr:colOff>41413</xdr:colOff>
      <xdr:row>0</xdr:row>
      <xdr:rowOff>0</xdr:rowOff>
    </xdr:from>
    <xdr:ext cx="1114425" cy="561975"/>
    <xdr:pic>
      <xdr:nvPicPr>
        <xdr:cNvPr id="156" name="image1.png">
          <a:extLst>
            <a:ext uri="{FF2B5EF4-FFF2-40B4-BE49-F238E27FC236}">
              <a16:creationId xmlns:a16="http://schemas.microsoft.com/office/drawing/2014/main" id="{20A6132B-94C4-480A-85C0-5156BBC2A3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4953890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942</xdr:col>
          <xdr:colOff>447675</xdr:colOff>
          <xdr:row>46</xdr:row>
          <xdr:rowOff>142875</xdr:rowOff>
        </xdr:from>
        <xdr:to>
          <xdr:col>943</xdr:col>
          <xdr:colOff>285750</xdr:colOff>
          <xdr:row>48</xdr:row>
          <xdr:rowOff>19050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99C284BE-93F8-4DB3-B043-A06C8D8769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943</xdr:col>
          <xdr:colOff>542925</xdr:colOff>
          <xdr:row>46</xdr:row>
          <xdr:rowOff>142875</xdr:rowOff>
        </xdr:from>
        <xdr:to>
          <xdr:col>945</xdr:col>
          <xdr:colOff>0</xdr:colOff>
          <xdr:row>48</xdr:row>
          <xdr:rowOff>19050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7BAAE6D2-4200-47D2-84A5-A5E89A7006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953</xdr:col>
      <xdr:colOff>41413</xdr:colOff>
      <xdr:row>0</xdr:row>
      <xdr:rowOff>0</xdr:rowOff>
    </xdr:from>
    <xdr:ext cx="1114425" cy="561975"/>
    <xdr:pic>
      <xdr:nvPicPr>
        <xdr:cNvPr id="159" name="image1.png">
          <a:extLst>
            <a:ext uri="{FF2B5EF4-FFF2-40B4-BE49-F238E27FC236}">
              <a16:creationId xmlns:a16="http://schemas.microsoft.com/office/drawing/2014/main" id="{D49162B0-2F62-4C90-8348-56162ABDA2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021803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954</xdr:col>
          <xdr:colOff>447675</xdr:colOff>
          <xdr:row>46</xdr:row>
          <xdr:rowOff>142875</xdr:rowOff>
        </xdr:from>
        <xdr:to>
          <xdr:col>955</xdr:col>
          <xdr:colOff>285750</xdr:colOff>
          <xdr:row>48</xdr:row>
          <xdr:rowOff>19050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6CA4AD7-015B-4226-BEBD-C0F0F93CCE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955</xdr:col>
          <xdr:colOff>542925</xdr:colOff>
          <xdr:row>46</xdr:row>
          <xdr:rowOff>142875</xdr:rowOff>
        </xdr:from>
        <xdr:to>
          <xdr:col>957</xdr:col>
          <xdr:colOff>0</xdr:colOff>
          <xdr:row>48</xdr:row>
          <xdr:rowOff>19050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BC1DC452-E78F-494C-B60E-A2BA5D6676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965</xdr:col>
      <xdr:colOff>41413</xdr:colOff>
      <xdr:row>0</xdr:row>
      <xdr:rowOff>0</xdr:rowOff>
    </xdr:from>
    <xdr:ext cx="1114425" cy="561975"/>
    <xdr:pic>
      <xdr:nvPicPr>
        <xdr:cNvPr id="162" name="image1.png">
          <a:extLst>
            <a:ext uri="{FF2B5EF4-FFF2-40B4-BE49-F238E27FC236}">
              <a16:creationId xmlns:a16="http://schemas.microsoft.com/office/drawing/2014/main" id="{5EF59325-BBE4-4479-85CA-69F916A8D5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089716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966</xdr:col>
          <xdr:colOff>447675</xdr:colOff>
          <xdr:row>46</xdr:row>
          <xdr:rowOff>142875</xdr:rowOff>
        </xdr:from>
        <xdr:to>
          <xdr:col>967</xdr:col>
          <xdr:colOff>285750</xdr:colOff>
          <xdr:row>48</xdr:row>
          <xdr:rowOff>19050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D5C70D19-88A4-44E6-92EA-32B566C7F9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967</xdr:col>
          <xdr:colOff>542925</xdr:colOff>
          <xdr:row>46</xdr:row>
          <xdr:rowOff>142875</xdr:rowOff>
        </xdr:from>
        <xdr:to>
          <xdr:col>969</xdr:col>
          <xdr:colOff>0</xdr:colOff>
          <xdr:row>48</xdr:row>
          <xdr:rowOff>19050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940C96AC-2FF7-4F80-BA0C-C353E43E9E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977</xdr:col>
      <xdr:colOff>41413</xdr:colOff>
      <xdr:row>0</xdr:row>
      <xdr:rowOff>0</xdr:rowOff>
    </xdr:from>
    <xdr:ext cx="1114425" cy="561975"/>
    <xdr:pic>
      <xdr:nvPicPr>
        <xdr:cNvPr id="165" name="image1.png">
          <a:extLst>
            <a:ext uri="{FF2B5EF4-FFF2-40B4-BE49-F238E27FC236}">
              <a16:creationId xmlns:a16="http://schemas.microsoft.com/office/drawing/2014/main" id="{81317C5B-BDE3-406C-8298-51BBE96E42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157630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978</xdr:col>
          <xdr:colOff>447675</xdr:colOff>
          <xdr:row>46</xdr:row>
          <xdr:rowOff>142875</xdr:rowOff>
        </xdr:from>
        <xdr:to>
          <xdr:col>979</xdr:col>
          <xdr:colOff>285750</xdr:colOff>
          <xdr:row>48</xdr:row>
          <xdr:rowOff>19050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40F827D8-3335-4E48-989D-7C274AA90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979</xdr:col>
          <xdr:colOff>542925</xdr:colOff>
          <xdr:row>46</xdr:row>
          <xdr:rowOff>142875</xdr:rowOff>
        </xdr:from>
        <xdr:to>
          <xdr:col>981</xdr:col>
          <xdr:colOff>0</xdr:colOff>
          <xdr:row>48</xdr:row>
          <xdr:rowOff>19050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30893F76-053F-4661-8AF0-0DA65D8ABD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989</xdr:col>
      <xdr:colOff>41413</xdr:colOff>
      <xdr:row>0</xdr:row>
      <xdr:rowOff>0</xdr:rowOff>
    </xdr:from>
    <xdr:ext cx="1114425" cy="561975"/>
    <xdr:pic>
      <xdr:nvPicPr>
        <xdr:cNvPr id="168" name="image1.png">
          <a:extLst>
            <a:ext uri="{FF2B5EF4-FFF2-40B4-BE49-F238E27FC236}">
              <a16:creationId xmlns:a16="http://schemas.microsoft.com/office/drawing/2014/main" id="{BBA2E417-1D81-4F14-A2E8-EB6237271C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225543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990</xdr:col>
          <xdr:colOff>447675</xdr:colOff>
          <xdr:row>46</xdr:row>
          <xdr:rowOff>142875</xdr:rowOff>
        </xdr:from>
        <xdr:to>
          <xdr:col>991</xdr:col>
          <xdr:colOff>285750</xdr:colOff>
          <xdr:row>48</xdr:row>
          <xdr:rowOff>19050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3DA304F9-BE8E-49C7-B82C-5310172CAB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991</xdr:col>
          <xdr:colOff>542925</xdr:colOff>
          <xdr:row>46</xdr:row>
          <xdr:rowOff>142875</xdr:rowOff>
        </xdr:from>
        <xdr:to>
          <xdr:col>993</xdr:col>
          <xdr:colOff>0</xdr:colOff>
          <xdr:row>48</xdr:row>
          <xdr:rowOff>19050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D274C5A3-D62F-4F1B-A3D3-CBC3E73537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1001</xdr:col>
      <xdr:colOff>41413</xdr:colOff>
      <xdr:row>0</xdr:row>
      <xdr:rowOff>0</xdr:rowOff>
    </xdr:from>
    <xdr:ext cx="1114425" cy="561975"/>
    <xdr:pic>
      <xdr:nvPicPr>
        <xdr:cNvPr id="171" name="image1.png">
          <a:extLst>
            <a:ext uri="{FF2B5EF4-FFF2-40B4-BE49-F238E27FC236}">
              <a16:creationId xmlns:a16="http://schemas.microsoft.com/office/drawing/2014/main" id="{9FE102CD-5519-4628-BD52-DD05367C6C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293456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1002</xdr:col>
          <xdr:colOff>447675</xdr:colOff>
          <xdr:row>46</xdr:row>
          <xdr:rowOff>142875</xdr:rowOff>
        </xdr:from>
        <xdr:to>
          <xdr:col>1003</xdr:col>
          <xdr:colOff>285750</xdr:colOff>
          <xdr:row>48</xdr:row>
          <xdr:rowOff>19050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1C3BD76-9636-422C-8544-7396126FDB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1003</xdr:col>
          <xdr:colOff>542925</xdr:colOff>
          <xdr:row>46</xdr:row>
          <xdr:rowOff>142875</xdr:rowOff>
        </xdr:from>
        <xdr:to>
          <xdr:col>1005</xdr:col>
          <xdr:colOff>0</xdr:colOff>
          <xdr:row>48</xdr:row>
          <xdr:rowOff>19050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DFBEB9B4-A3C6-496E-A02F-25ABEBCEBA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1013</xdr:col>
      <xdr:colOff>41413</xdr:colOff>
      <xdr:row>0</xdr:row>
      <xdr:rowOff>0</xdr:rowOff>
    </xdr:from>
    <xdr:ext cx="1114425" cy="561975"/>
    <xdr:pic>
      <xdr:nvPicPr>
        <xdr:cNvPr id="174" name="image1.png">
          <a:extLst>
            <a:ext uri="{FF2B5EF4-FFF2-40B4-BE49-F238E27FC236}">
              <a16:creationId xmlns:a16="http://schemas.microsoft.com/office/drawing/2014/main" id="{4CA221C8-6E65-4D61-9B1F-9C65741BF6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361369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1014</xdr:col>
          <xdr:colOff>447675</xdr:colOff>
          <xdr:row>46</xdr:row>
          <xdr:rowOff>142875</xdr:rowOff>
        </xdr:from>
        <xdr:to>
          <xdr:col>1015</xdr:col>
          <xdr:colOff>285750</xdr:colOff>
          <xdr:row>48</xdr:row>
          <xdr:rowOff>19050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7339254E-82F8-4972-BB85-8E51F5B5A1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1015</xdr:col>
          <xdr:colOff>542925</xdr:colOff>
          <xdr:row>46</xdr:row>
          <xdr:rowOff>142875</xdr:rowOff>
        </xdr:from>
        <xdr:to>
          <xdr:col>1017</xdr:col>
          <xdr:colOff>0</xdr:colOff>
          <xdr:row>48</xdr:row>
          <xdr:rowOff>19050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CC04E4B4-2C9E-4641-827B-6C4CF3B531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1025</xdr:col>
      <xdr:colOff>41413</xdr:colOff>
      <xdr:row>0</xdr:row>
      <xdr:rowOff>0</xdr:rowOff>
    </xdr:from>
    <xdr:ext cx="1114425" cy="561975"/>
    <xdr:pic>
      <xdr:nvPicPr>
        <xdr:cNvPr id="177" name="image1.png">
          <a:extLst>
            <a:ext uri="{FF2B5EF4-FFF2-40B4-BE49-F238E27FC236}">
              <a16:creationId xmlns:a16="http://schemas.microsoft.com/office/drawing/2014/main" id="{691EABED-9B40-4D6E-972E-77ADFD1C9A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429283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1026</xdr:col>
          <xdr:colOff>447675</xdr:colOff>
          <xdr:row>46</xdr:row>
          <xdr:rowOff>142875</xdr:rowOff>
        </xdr:from>
        <xdr:to>
          <xdr:col>1027</xdr:col>
          <xdr:colOff>285750</xdr:colOff>
          <xdr:row>48</xdr:row>
          <xdr:rowOff>19050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3B630C7E-A65C-47E1-B792-FAF6A53D8F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1027</xdr:col>
          <xdr:colOff>542925</xdr:colOff>
          <xdr:row>46</xdr:row>
          <xdr:rowOff>142875</xdr:rowOff>
        </xdr:from>
        <xdr:to>
          <xdr:col>1029</xdr:col>
          <xdr:colOff>0</xdr:colOff>
          <xdr:row>48</xdr:row>
          <xdr:rowOff>19050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1A98A271-D9C3-4CCC-97BC-11584E505B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1037</xdr:col>
      <xdr:colOff>41413</xdr:colOff>
      <xdr:row>0</xdr:row>
      <xdr:rowOff>0</xdr:rowOff>
    </xdr:from>
    <xdr:ext cx="1114425" cy="561975"/>
    <xdr:pic>
      <xdr:nvPicPr>
        <xdr:cNvPr id="180" name="image1.png">
          <a:extLst>
            <a:ext uri="{FF2B5EF4-FFF2-40B4-BE49-F238E27FC236}">
              <a16:creationId xmlns:a16="http://schemas.microsoft.com/office/drawing/2014/main" id="{350C42E5-3141-4A48-848D-0F8F4E0CED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497196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1038</xdr:col>
          <xdr:colOff>447675</xdr:colOff>
          <xdr:row>46</xdr:row>
          <xdr:rowOff>142875</xdr:rowOff>
        </xdr:from>
        <xdr:to>
          <xdr:col>1039</xdr:col>
          <xdr:colOff>285750</xdr:colOff>
          <xdr:row>48</xdr:row>
          <xdr:rowOff>19050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C6A99AE-E537-486D-83EE-7982E0A23B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1039</xdr:col>
          <xdr:colOff>542925</xdr:colOff>
          <xdr:row>46</xdr:row>
          <xdr:rowOff>142875</xdr:rowOff>
        </xdr:from>
        <xdr:to>
          <xdr:col>1041</xdr:col>
          <xdr:colOff>0</xdr:colOff>
          <xdr:row>48</xdr:row>
          <xdr:rowOff>19050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3BF1E79C-F3AC-4B19-A0ED-B46E422587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1049</xdr:col>
      <xdr:colOff>41413</xdr:colOff>
      <xdr:row>0</xdr:row>
      <xdr:rowOff>0</xdr:rowOff>
    </xdr:from>
    <xdr:ext cx="1114425" cy="561975"/>
    <xdr:pic>
      <xdr:nvPicPr>
        <xdr:cNvPr id="183" name="image1.png">
          <a:extLst>
            <a:ext uri="{FF2B5EF4-FFF2-40B4-BE49-F238E27FC236}">
              <a16:creationId xmlns:a16="http://schemas.microsoft.com/office/drawing/2014/main" id="{47DB690D-ECB8-450A-8138-128CCE40D7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565109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1050</xdr:col>
          <xdr:colOff>447675</xdr:colOff>
          <xdr:row>46</xdr:row>
          <xdr:rowOff>142875</xdr:rowOff>
        </xdr:from>
        <xdr:to>
          <xdr:col>1051</xdr:col>
          <xdr:colOff>285750</xdr:colOff>
          <xdr:row>48</xdr:row>
          <xdr:rowOff>19050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81C00FDD-577F-4198-B05B-1A6A8A42B8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1051</xdr:col>
          <xdr:colOff>542925</xdr:colOff>
          <xdr:row>46</xdr:row>
          <xdr:rowOff>142875</xdr:rowOff>
        </xdr:from>
        <xdr:to>
          <xdr:col>1053</xdr:col>
          <xdr:colOff>0</xdr:colOff>
          <xdr:row>48</xdr:row>
          <xdr:rowOff>19050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77C6FF0C-ABD6-4A99-BE4A-E8DE509B2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1061</xdr:col>
      <xdr:colOff>41413</xdr:colOff>
      <xdr:row>0</xdr:row>
      <xdr:rowOff>0</xdr:rowOff>
    </xdr:from>
    <xdr:ext cx="1114425" cy="561975"/>
    <xdr:pic>
      <xdr:nvPicPr>
        <xdr:cNvPr id="186" name="image1.png">
          <a:extLst>
            <a:ext uri="{FF2B5EF4-FFF2-40B4-BE49-F238E27FC236}">
              <a16:creationId xmlns:a16="http://schemas.microsoft.com/office/drawing/2014/main" id="{DCA4E18D-E56B-40D4-A475-14414C3620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633022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1062</xdr:col>
          <xdr:colOff>447675</xdr:colOff>
          <xdr:row>46</xdr:row>
          <xdr:rowOff>142875</xdr:rowOff>
        </xdr:from>
        <xdr:to>
          <xdr:col>1063</xdr:col>
          <xdr:colOff>285750</xdr:colOff>
          <xdr:row>48</xdr:row>
          <xdr:rowOff>19050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9F4941AA-EB65-46DE-9C16-9B9BD7BB5F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1063</xdr:col>
          <xdr:colOff>542925</xdr:colOff>
          <xdr:row>46</xdr:row>
          <xdr:rowOff>142875</xdr:rowOff>
        </xdr:from>
        <xdr:to>
          <xdr:col>1065</xdr:col>
          <xdr:colOff>0</xdr:colOff>
          <xdr:row>48</xdr:row>
          <xdr:rowOff>19050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EC91C331-43DC-4BAD-A9B1-5AD72A5C6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1073</xdr:col>
      <xdr:colOff>41413</xdr:colOff>
      <xdr:row>0</xdr:row>
      <xdr:rowOff>0</xdr:rowOff>
    </xdr:from>
    <xdr:ext cx="1114425" cy="561975"/>
    <xdr:pic>
      <xdr:nvPicPr>
        <xdr:cNvPr id="189" name="image1.png">
          <a:extLst>
            <a:ext uri="{FF2B5EF4-FFF2-40B4-BE49-F238E27FC236}">
              <a16:creationId xmlns:a16="http://schemas.microsoft.com/office/drawing/2014/main" id="{765C8877-51CA-43B3-9775-881A52D737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700936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1074</xdr:col>
          <xdr:colOff>447675</xdr:colOff>
          <xdr:row>46</xdr:row>
          <xdr:rowOff>142875</xdr:rowOff>
        </xdr:from>
        <xdr:to>
          <xdr:col>1075</xdr:col>
          <xdr:colOff>285750</xdr:colOff>
          <xdr:row>48</xdr:row>
          <xdr:rowOff>19050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5DE3CAFA-4848-44AB-AA7A-33A664CD6B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1075</xdr:col>
          <xdr:colOff>542925</xdr:colOff>
          <xdr:row>46</xdr:row>
          <xdr:rowOff>142875</xdr:rowOff>
        </xdr:from>
        <xdr:to>
          <xdr:col>1077</xdr:col>
          <xdr:colOff>0</xdr:colOff>
          <xdr:row>48</xdr:row>
          <xdr:rowOff>19050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E702064B-918B-4A20-A7CF-65F0A4245C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1085</xdr:col>
      <xdr:colOff>41413</xdr:colOff>
      <xdr:row>0</xdr:row>
      <xdr:rowOff>0</xdr:rowOff>
    </xdr:from>
    <xdr:ext cx="1114425" cy="561975"/>
    <xdr:pic>
      <xdr:nvPicPr>
        <xdr:cNvPr id="192" name="image1.png">
          <a:extLst>
            <a:ext uri="{FF2B5EF4-FFF2-40B4-BE49-F238E27FC236}">
              <a16:creationId xmlns:a16="http://schemas.microsoft.com/office/drawing/2014/main" id="{4E64E649-FA77-444F-BB87-B5AD778403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768849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1086</xdr:col>
          <xdr:colOff>447675</xdr:colOff>
          <xdr:row>46</xdr:row>
          <xdr:rowOff>142875</xdr:rowOff>
        </xdr:from>
        <xdr:to>
          <xdr:col>1087</xdr:col>
          <xdr:colOff>285750</xdr:colOff>
          <xdr:row>48</xdr:row>
          <xdr:rowOff>19050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AE58A69C-846D-4007-9D4E-CCEFB3C3A7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1087</xdr:col>
          <xdr:colOff>542925</xdr:colOff>
          <xdr:row>46</xdr:row>
          <xdr:rowOff>142875</xdr:rowOff>
        </xdr:from>
        <xdr:to>
          <xdr:col>1089</xdr:col>
          <xdr:colOff>0</xdr:colOff>
          <xdr:row>48</xdr:row>
          <xdr:rowOff>19050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CC1FAF07-56A8-4E5D-920A-4C95693109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1097</xdr:col>
      <xdr:colOff>41413</xdr:colOff>
      <xdr:row>0</xdr:row>
      <xdr:rowOff>0</xdr:rowOff>
    </xdr:from>
    <xdr:ext cx="1114425" cy="561975"/>
    <xdr:pic>
      <xdr:nvPicPr>
        <xdr:cNvPr id="195" name="image1.png">
          <a:extLst>
            <a:ext uri="{FF2B5EF4-FFF2-40B4-BE49-F238E27FC236}">
              <a16:creationId xmlns:a16="http://schemas.microsoft.com/office/drawing/2014/main" id="{B211B73C-7F23-48C4-943D-3ACBD7C838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836762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1098</xdr:col>
          <xdr:colOff>447675</xdr:colOff>
          <xdr:row>46</xdr:row>
          <xdr:rowOff>142875</xdr:rowOff>
        </xdr:from>
        <xdr:to>
          <xdr:col>1099</xdr:col>
          <xdr:colOff>285750</xdr:colOff>
          <xdr:row>48</xdr:row>
          <xdr:rowOff>19050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9B8FE5D4-AA5B-4464-8A8E-7275B9C53A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1099</xdr:col>
          <xdr:colOff>542925</xdr:colOff>
          <xdr:row>46</xdr:row>
          <xdr:rowOff>142875</xdr:rowOff>
        </xdr:from>
        <xdr:to>
          <xdr:col>1101</xdr:col>
          <xdr:colOff>0</xdr:colOff>
          <xdr:row>48</xdr:row>
          <xdr:rowOff>19050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DE6ADC73-B150-4D14-9119-58F4A51A62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1109</xdr:col>
      <xdr:colOff>41413</xdr:colOff>
      <xdr:row>0</xdr:row>
      <xdr:rowOff>0</xdr:rowOff>
    </xdr:from>
    <xdr:ext cx="1114425" cy="561975"/>
    <xdr:pic>
      <xdr:nvPicPr>
        <xdr:cNvPr id="198" name="image1.png">
          <a:extLst>
            <a:ext uri="{FF2B5EF4-FFF2-40B4-BE49-F238E27FC236}">
              <a16:creationId xmlns:a16="http://schemas.microsoft.com/office/drawing/2014/main" id="{30B93FE8-C722-4E9B-BFA2-EE3D4129E08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904675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1110</xdr:col>
          <xdr:colOff>447675</xdr:colOff>
          <xdr:row>46</xdr:row>
          <xdr:rowOff>142875</xdr:rowOff>
        </xdr:from>
        <xdr:to>
          <xdr:col>1111</xdr:col>
          <xdr:colOff>285750</xdr:colOff>
          <xdr:row>48</xdr:row>
          <xdr:rowOff>19050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AC18034-CC88-463A-8310-B94701491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1111</xdr:col>
          <xdr:colOff>542925</xdr:colOff>
          <xdr:row>46</xdr:row>
          <xdr:rowOff>142875</xdr:rowOff>
        </xdr:from>
        <xdr:to>
          <xdr:col>1113</xdr:col>
          <xdr:colOff>0</xdr:colOff>
          <xdr:row>48</xdr:row>
          <xdr:rowOff>19050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B501D62C-5DCA-4BD7-91EC-C5E195226A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1121</xdr:col>
      <xdr:colOff>41413</xdr:colOff>
      <xdr:row>0</xdr:row>
      <xdr:rowOff>0</xdr:rowOff>
    </xdr:from>
    <xdr:ext cx="1114425" cy="561975"/>
    <xdr:pic>
      <xdr:nvPicPr>
        <xdr:cNvPr id="201" name="image1.png">
          <a:extLst>
            <a:ext uri="{FF2B5EF4-FFF2-40B4-BE49-F238E27FC236}">
              <a16:creationId xmlns:a16="http://schemas.microsoft.com/office/drawing/2014/main" id="{DF09266E-3A83-4DDA-94EE-6D26EF08BA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5972589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1122</xdr:col>
          <xdr:colOff>447675</xdr:colOff>
          <xdr:row>46</xdr:row>
          <xdr:rowOff>142875</xdr:rowOff>
        </xdr:from>
        <xdr:to>
          <xdr:col>1123</xdr:col>
          <xdr:colOff>285750</xdr:colOff>
          <xdr:row>48</xdr:row>
          <xdr:rowOff>19050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A8DE75A0-10E7-4AF2-B260-AD8658FE4A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1123</xdr:col>
          <xdr:colOff>542925</xdr:colOff>
          <xdr:row>46</xdr:row>
          <xdr:rowOff>142875</xdr:rowOff>
        </xdr:from>
        <xdr:to>
          <xdr:col>1125</xdr:col>
          <xdr:colOff>0</xdr:colOff>
          <xdr:row>48</xdr:row>
          <xdr:rowOff>19050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5BAA9486-574D-4B23-9699-FB9E04C044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1133</xdr:col>
      <xdr:colOff>41413</xdr:colOff>
      <xdr:row>0</xdr:row>
      <xdr:rowOff>0</xdr:rowOff>
    </xdr:from>
    <xdr:ext cx="1114425" cy="561975"/>
    <xdr:pic>
      <xdr:nvPicPr>
        <xdr:cNvPr id="204" name="image1.png">
          <a:extLst>
            <a:ext uri="{FF2B5EF4-FFF2-40B4-BE49-F238E27FC236}">
              <a16:creationId xmlns:a16="http://schemas.microsoft.com/office/drawing/2014/main" id="{39E3709A-C28C-4331-9B8E-FE197AB4D1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040502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1134</xdr:col>
          <xdr:colOff>447675</xdr:colOff>
          <xdr:row>46</xdr:row>
          <xdr:rowOff>142875</xdr:rowOff>
        </xdr:from>
        <xdr:to>
          <xdr:col>1135</xdr:col>
          <xdr:colOff>285750</xdr:colOff>
          <xdr:row>48</xdr:row>
          <xdr:rowOff>19050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2DA895D2-592F-42A1-8EE9-F431BEEFDE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1135</xdr:col>
          <xdr:colOff>542925</xdr:colOff>
          <xdr:row>46</xdr:row>
          <xdr:rowOff>142875</xdr:rowOff>
        </xdr:from>
        <xdr:to>
          <xdr:col>1137</xdr:col>
          <xdr:colOff>0</xdr:colOff>
          <xdr:row>48</xdr:row>
          <xdr:rowOff>19050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FD36FB9D-48A1-48D0-B173-6F7D6B318A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1145</xdr:col>
      <xdr:colOff>41413</xdr:colOff>
      <xdr:row>0</xdr:row>
      <xdr:rowOff>0</xdr:rowOff>
    </xdr:from>
    <xdr:ext cx="1114425" cy="561975"/>
    <xdr:pic>
      <xdr:nvPicPr>
        <xdr:cNvPr id="207" name="image1.png">
          <a:extLst>
            <a:ext uri="{FF2B5EF4-FFF2-40B4-BE49-F238E27FC236}">
              <a16:creationId xmlns:a16="http://schemas.microsoft.com/office/drawing/2014/main" id="{9729294D-D11C-4438-B195-91C1B50978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108415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1146</xdr:col>
          <xdr:colOff>447675</xdr:colOff>
          <xdr:row>46</xdr:row>
          <xdr:rowOff>142875</xdr:rowOff>
        </xdr:from>
        <xdr:to>
          <xdr:col>1147</xdr:col>
          <xdr:colOff>285750</xdr:colOff>
          <xdr:row>48</xdr:row>
          <xdr:rowOff>19050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2A4D55D6-BBCB-4196-86E7-F256D5DA6D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1147</xdr:col>
          <xdr:colOff>542925</xdr:colOff>
          <xdr:row>46</xdr:row>
          <xdr:rowOff>142875</xdr:rowOff>
        </xdr:from>
        <xdr:to>
          <xdr:col>1148</xdr:col>
          <xdr:colOff>397565</xdr:colOff>
          <xdr:row>48</xdr:row>
          <xdr:rowOff>19050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8AD3052-F0E3-49CA-A1E0-DEC4E31DDA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1157</xdr:col>
      <xdr:colOff>41413</xdr:colOff>
      <xdr:row>0</xdr:row>
      <xdr:rowOff>0</xdr:rowOff>
    </xdr:from>
    <xdr:ext cx="1114425" cy="561975"/>
    <xdr:pic>
      <xdr:nvPicPr>
        <xdr:cNvPr id="210" name="image1.png">
          <a:extLst>
            <a:ext uri="{FF2B5EF4-FFF2-40B4-BE49-F238E27FC236}">
              <a16:creationId xmlns:a16="http://schemas.microsoft.com/office/drawing/2014/main" id="{A73B3080-CA6C-40BE-B5CB-D8D583D7BA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176328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1158</xdr:col>
          <xdr:colOff>447675</xdr:colOff>
          <xdr:row>46</xdr:row>
          <xdr:rowOff>142875</xdr:rowOff>
        </xdr:from>
        <xdr:to>
          <xdr:col>1159</xdr:col>
          <xdr:colOff>285750</xdr:colOff>
          <xdr:row>48</xdr:row>
          <xdr:rowOff>19050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EE0675DE-2747-4D04-8FE1-2E899E15DD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1159</xdr:col>
          <xdr:colOff>542925</xdr:colOff>
          <xdr:row>46</xdr:row>
          <xdr:rowOff>142875</xdr:rowOff>
        </xdr:from>
        <xdr:to>
          <xdr:col>1161</xdr:col>
          <xdr:colOff>0</xdr:colOff>
          <xdr:row>48</xdr:row>
          <xdr:rowOff>19050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55F56EB3-AC0F-404C-9F0C-39A83F83F4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1169</xdr:col>
      <xdr:colOff>41413</xdr:colOff>
      <xdr:row>0</xdr:row>
      <xdr:rowOff>0</xdr:rowOff>
    </xdr:from>
    <xdr:ext cx="1114425" cy="561975"/>
    <xdr:pic>
      <xdr:nvPicPr>
        <xdr:cNvPr id="213" name="image1.png">
          <a:extLst>
            <a:ext uri="{FF2B5EF4-FFF2-40B4-BE49-F238E27FC236}">
              <a16:creationId xmlns:a16="http://schemas.microsoft.com/office/drawing/2014/main" id="{36BC0427-C995-460C-9862-A86E438464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244242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1170</xdr:col>
          <xdr:colOff>447675</xdr:colOff>
          <xdr:row>46</xdr:row>
          <xdr:rowOff>142875</xdr:rowOff>
        </xdr:from>
        <xdr:to>
          <xdr:col>1171</xdr:col>
          <xdr:colOff>285750</xdr:colOff>
          <xdr:row>48</xdr:row>
          <xdr:rowOff>19050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5E21EB71-0768-4C1F-BE29-895EC8422B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1171</xdr:col>
          <xdr:colOff>542925</xdr:colOff>
          <xdr:row>46</xdr:row>
          <xdr:rowOff>142875</xdr:rowOff>
        </xdr:from>
        <xdr:to>
          <xdr:col>1173</xdr:col>
          <xdr:colOff>0</xdr:colOff>
          <xdr:row>48</xdr:row>
          <xdr:rowOff>19050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557255F8-593E-4AFF-A42D-82F56E1394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1181</xdr:col>
      <xdr:colOff>41413</xdr:colOff>
      <xdr:row>0</xdr:row>
      <xdr:rowOff>0</xdr:rowOff>
    </xdr:from>
    <xdr:ext cx="1114425" cy="561975"/>
    <xdr:pic>
      <xdr:nvPicPr>
        <xdr:cNvPr id="216" name="image1.png">
          <a:extLst>
            <a:ext uri="{FF2B5EF4-FFF2-40B4-BE49-F238E27FC236}">
              <a16:creationId xmlns:a16="http://schemas.microsoft.com/office/drawing/2014/main" id="{C812EAC8-09F7-49E0-8382-6BFC7B144C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312155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1182</xdr:col>
          <xdr:colOff>447675</xdr:colOff>
          <xdr:row>46</xdr:row>
          <xdr:rowOff>142875</xdr:rowOff>
        </xdr:from>
        <xdr:to>
          <xdr:col>1183</xdr:col>
          <xdr:colOff>285750</xdr:colOff>
          <xdr:row>48</xdr:row>
          <xdr:rowOff>19050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EAF46BE5-38E1-4065-8BD3-950A64A23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1183</xdr:col>
          <xdr:colOff>542925</xdr:colOff>
          <xdr:row>46</xdr:row>
          <xdr:rowOff>142875</xdr:rowOff>
        </xdr:from>
        <xdr:to>
          <xdr:col>1185</xdr:col>
          <xdr:colOff>0</xdr:colOff>
          <xdr:row>48</xdr:row>
          <xdr:rowOff>19050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11DF6DB1-F286-4795-9112-073C820FB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1193</xdr:col>
      <xdr:colOff>41413</xdr:colOff>
      <xdr:row>0</xdr:row>
      <xdr:rowOff>0</xdr:rowOff>
    </xdr:from>
    <xdr:ext cx="1114425" cy="561975"/>
    <xdr:pic>
      <xdr:nvPicPr>
        <xdr:cNvPr id="219" name="image1.png">
          <a:extLst>
            <a:ext uri="{FF2B5EF4-FFF2-40B4-BE49-F238E27FC236}">
              <a16:creationId xmlns:a16="http://schemas.microsoft.com/office/drawing/2014/main" id="{C363FF21-796D-463F-A7CF-8C3CE3A7B9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380068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1194</xdr:col>
          <xdr:colOff>447675</xdr:colOff>
          <xdr:row>46</xdr:row>
          <xdr:rowOff>142875</xdr:rowOff>
        </xdr:from>
        <xdr:to>
          <xdr:col>1195</xdr:col>
          <xdr:colOff>285750</xdr:colOff>
          <xdr:row>48</xdr:row>
          <xdr:rowOff>19050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A8DB1029-0A2B-42E9-A1F1-F46A63825E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1195</xdr:col>
          <xdr:colOff>542925</xdr:colOff>
          <xdr:row>46</xdr:row>
          <xdr:rowOff>142875</xdr:rowOff>
        </xdr:from>
        <xdr:to>
          <xdr:col>1197</xdr:col>
          <xdr:colOff>0</xdr:colOff>
          <xdr:row>48</xdr:row>
          <xdr:rowOff>19050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B68E07ED-AB87-4A74-A5A2-6E54092C2C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1205</xdr:col>
      <xdr:colOff>41413</xdr:colOff>
      <xdr:row>0</xdr:row>
      <xdr:rowOff>0</xdr:rowOff>
    </xdr:from>
    <xdr:ext cx="1114425" cy="561975"/>
    <xdr:pic>
      <xdr:nvPicPr>
        <xdr:cNvPr id="222" name="image1.png">
          <a:extLst>
            <a:ext uri="{FF2B5EF4-FFF2-40B4-BE49-F238E27FC236}">
              <a16:creationId xmlns:a16="http://schemas.microsoft.com/office/drawing/2014/main" id="{FA12F4A7-AF7F-4BF7-B558-AEF412267D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447981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1206</xdr:col>
          <xdr:colOff>447675</xdr:colOff>
          <xdr:row>46</xdr:row>
          <xdr:rowOff>142875</xdr:rowOff>
        </xdr:from>
        <xdr:to>
          <xdr:col>1207</xdr:col>
          <xdr:colOff>285750</xdr:colOff>
          <xdr:row>48</xdr:row>
          <xdr:rowOff>19050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3C4261B1-AE79-4A63-9A9D-EF892D2461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1207</xdr:col>
          <xdr:colOff>542925</xdr:colOff>
          <xdr:row>46</xdr:row>
          <xdr:rowOff>142875</xdr:rowOff>
        </xdr:from>
        <xdr:to>
          <xdr:col>1209</xdr:col>
          <xdr:colOff>0</xdr:colOff>
          <xdr:row>48</xdr:row>
          <xdr:rowOff>19050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CE685617-46E6-43FC-BFA3-ADEDCB713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1217</xdr:col>
      <xdr:colOff>41413</xdr:colOff>
      <xdr:row>0</xdr:row>
      <xdr:rowOff>0</xdr:rowOff>
    </xdr:from>
    <xdr:ext cx="1114425" cy="561975"/>
    <xdr:pic>
      <xdr:nvPicPr>
        <xdr:cNvPr id="225" name="image1.png">
          <a:extLst>
            <a:ext uri="{FF2B5EF4-FFF2-40B4-BE49-F238E27FC236}">
              <a16:creationId xmlns:a16="http://schemas.microsoft.com/office/drawing/2014/main" id="{0D96DF56-BCD1-42BD-B1B5-361F67C021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515895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1218</xdr:col>
          <xdr:colOff>447675</xdr:colOff>
          <xdr:row>46</xdr:row>
          <xdr:rowOff>142875</xdr:rowOff>
        </xdr:from>
        <xdr:to>
          <xdr:col>1219</xdr:col>
          <xdr:colOff>285750</xdr:colOff>
          <xdr:row>48</xdr:row>
          <xdr:rowOff>19050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C43B50FB-02C6-4F3B-B354-47F3809346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1219</xdr:col>
          <xdr:colOff>542925</xdr:colOff>
          <xdr:row>46</xdr:row>
          <xdr:rowOff>142875</xdr:rowOff>
        </xdr:from>
        <xdr:to>
          <xdr:col>1221</xdr:col>
          <xdr:colOff>0</xdr:colOff>
          <xdr:row>48</xdr:row>
          <xdr:rowOff>19050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20AE984C-3876-414F-9F9B-E97349F9C3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1229</xdr:col>
      <xdr:colOff>41413</xdr:colOff>
      <xdr:row>0</xdr:row>
      <xdr:rowOff>0</xdr:rowOff>
    </xdr:from>
    <xdr:ext cx="1114425" cy="561975"/>
    <xdr:pic>
      <xdr:nvPicPr>
        <xdr:cNvPr id="228" name="image1.png">
          <a:extLst>
            <a:ext uri="{FF2B5EF4-FFF2-40B4-BE49-F238E27FC236}">
              <a16:creationId xmlns:a16="http://schemas.microsoft.com/office/drawing/2014/main" id="{D2C8EB93-5B00-45DD-ADF2-39BF40BE7F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583808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1230</xdr:col>
          <xdr:colOff>447675</xdr:colOff>
          <xdr:row>46</xdr:row>
          <xdr:rowOff>142875</xdr:rowOff>
        </xdr:from>
        <xdr:to>
          <xdr:col>1231</xdr:col>
          <xdr:colOff>285750</xdr:colOff>
          <xdr:row>48</xdr:row>
          <xdr:rowOff>19050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F471DF22-A871-4111-AC49-685BD7464A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1231</xdr:col>
          <xdr:colOff>542925</xdr:colOff>
          <xdr:row>46</xdr:row>
          <xdr:rowOff>142875</xdr:rowOff>
        </xdr:from>
        <xdr:to>
          <xdr:col>1233</xdr:col>
          <xdr:colOff>0</xdr:colOff>
          <xdr:row>48</xdr:row>
          <xdr:rowOff>19050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96829DD2-0E68-46E1-8E0E-75778CEEB9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1241</xdr:col>
      <xdr:colOff>41413</xdr:colOff>
      <xdr:row>0</xdr:row>
      <xdr:rowOff>0</xdr:rowOff>
    </xdr:from>
    <xdr:ext cx="1114425" cy="561975"/>
    <xdr:pic>
      <xdr:nvPicPr>
        <xdr:cNvPr id="231" name="image1.png">
          <a:extLst>
            <a:ext uri="{FF2B5EF4-FFF2-40B4-BE49-F238E27FC236}">
              <a16:creationId xmlns:a16="http://schemas.microsoft.com/office/drawing/2014/main" id="{61AC2B0E-7639-43A9-8A9C-9303CED40F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651721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1242</xdr:col>
          <xdr:colOff>447675</xdr:colOff>
          <xdr:row>46</xdr:row>
          <xdr:rowOff>142875</xdr:rowOff>
        </xdr:from>
        <xdr:to>
          <xdr:col>1243</xdr:col>
          <xdr:colOff>285750</xdr:colOff>
          <xdr:row>48</xdr:row>
          <xdr:rowOff>19050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9ACC9716-7F94-40B6-B777-D796EF94A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1243</xdr:col>
          <xdr:colOff>542925</xdr:colOff>
          <xdr:row>46</xdr:row>
          <xdr:rowOff>142875</xdr:rowOff>
        </xdr:from>
        <xdr:to>
          <xdr:col>1245</xdr:col>
          <xdr:colOff>0</xdr:colOff>
          <xdr:row>48</xdr:row>
          <xdr:rowOff>19050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96ACC6C0-BD27-49E3-9D4C-ED643DFC86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1253</xdr:col>
      <xdr:colOff>41413</xdr:colOff>
      <xdr:row>0</xdr:row>
      <xdr:rowOff>0</xdr:rowOff>
    </xdr:from>
    <xdr:ext cx="1114425" cy="561975"/>
    <xdr:pic>
      <xdr:nvPicPr>
        <xdr:cNvPr id="234" name="image1.png">
          <a:extLst>
            <a:ext uri="{FF2B5EF4-FFF2-40B4-BE49-F238E27FC236}">
              <a16:creationId xmlns:a16="http://schemas.microsoft.com/office/drawing/2014/main" id="{27EC0AFE-B232-4098-977F-5CB9EBD3C7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719634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1254</xdr:col>
          <xdr:colOff>447675</xdr:colOff>
          <xdr:row>46</xdr:row>
          <xdr:rowOff>142875</xdr:rowOff>
        </xdr:from>
        <xdr:to>
          <xdr:col>1255</xdr:col>
          <xdr:colOff>285750</xdr:colOff>
          <xdr:row>48</xdr:row>
          <xdr:rowOff>19050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9F0FD338-848B-4D72-B740-50DD6EF381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1255</xdr:col>
          <xdr:colOff>542925</xdr:colOff>
          <xdr:row>46</xdr:row>
          <xdr:rowOff>142875</xdr:rowOff>
        </xdr:from>
        <xdr:to>
          <xdr:col>1257</xdr:col>
          <xdr:colOff>0</xdr:colOff>
          <xdr:row>48</xdr:row>
          <xdr:rowOff>19050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2386E22B-EFC8-4046-8988-3742152829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1265</xdr:col>
      <xdr:colOff>41413</xdr:colOff>
      <xdr:row>0</xdr:row>
      <xdr:rowOff>0</xdr:rowOff>
    </xdr:from>
    <xdr:ext cx="1114425" cy="561975"/>
    <xdr:pic>
      <xdr:nvPicPr>
        <xdr:cNvPr id="237" name="image1.png">
          <a:extLst>
            <a:ext uri="{FF2B5EF4-FFF2-40B4-BE49-F238E27FC236}">
              <a16:creationId xmlns:a16="http://schemas.microsoft.com/office/drawing/2014/main" id="{1BED9A10-CB13-4B68-969C-AB21C55967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787548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1266</xdr:col>
          <xdr:colOff>447675</xdr:colOff>
          <xdr:row>46</xdr:row>
          <xdr:rowOff>142875</xdr:rowOff>
        </xdr:from>
        <xdr:to>
          <xdr:col>1267</xdr:col>
          <xdr:colOff>285750</xdr:colOff>
          <xdr:row>48</xdr:row>
          <xdr:rowOff>19050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7BA74E9B-D365-4027-B60F-8AE896070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1267</xdr:col>
          <xdr:colOff>542925</xdr:colOff>
          <xdr:row>46</xdr:row>
          <xdr:rowOff>142875</xdr:rowOff>
        </xdr:from>
        <xdr:to>
          <xdr:col>1269</xdr:col>
          <xdr:colOff>0</xdr:colOff>
          <xdr:row>48</xdr:row>
          <xdr:rowOff>19050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43AF065C-8138-4561-9613-39B617A080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1277</xdr:col>
      <xdr:colOff>41413</xdr:colOff>
      <xdr:row>0</xdr:row>
      <xdr:rowOff>0</xdr:rowOff>
    </xdr:from>
    <xdr:ext cx="1114425" cy="561975"/>
    <xdr:pic>
      <xdr:nvPicPr>
        <xdr:cNvPr id="240" name="image1.png">
          <a:extLst>
            <a:ext uri="{FF2B5EF4-FFF2-40B4-BE49-F238E27FC236}">
              <a16:creationId xmlns:a16="http://schemas.microsoft.com/office/drawing/2014/main" id="{C0885971-6A23-4F54-B17D-82251B4B6C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855461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1278</xdr:col>
          <xdr:colOff>447675</xdr:colOff>
          <xdr:row>46</xdr:row>
          <xdr:rowOff>142875</xdr:rowOff>
        </xdr:from>
        <xdr:to>
          <xdr:col>1279</xdr:col>
          <xdr:colOff>285750</xdr:colOff>
          <xdr:row>48</xdr:row>
          <xdr:rowOff>19050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D6715BE7-C535-4153-839C-8D085FA29D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1279</xdr:col>
          <xdr:colOff>542925</xdr:colOff>
          <xdr:row>46</xdr:row>
          <xdr:rowOff>142875</xdr:rowOff>
        </xdr:from>
        <xdr:to>
          <xdr:col>1281</xdr:col>
          <xdr:colOff>0</xdr:colOff>
          <xdr:row>48</xdr:row>
          <xdr:rowOff>19050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996D6143-3F09-464C-B99E-18B92A1DF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1289</xdr:col>
      <xdr:colOff>41413</xdr:colOff>
      <xdr:row>0</xdr:row>
      <xdr:rowOff>0</xdr:rowOff>
    </xdr:from>
    <xdr:ext cx="1114425" cy="561975"/>
    <xdr:pic>
      <xdr:nvPicPr>
        <xdr:cNvPr id="243" name="image1.png">
          <a:extLst>
            <a:ext uri="{FF2B5EF4-FFF2-40B4-BE49-F238E27FC236}">
              <a16:creationId xmlns:a16="http://schemas.microsoft.com/office/drawing/2014/main" id="{DDCB63F2-5593-47D0-8C46-E8CF026E72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923374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1290</xdr:col>
          <xdr:colOff>447675</xdr:colOff>
          <xdr:row>46</xdr:row>
          <xdr:rowOff>142875</xdr:rowOff>
        </xdr:from>
        <xdr:to>
          <xdr:col>1291</xdr:col>
          <xdr:colOff>285750</xdr:colOff>
          <xdr:row>48</xdr:row>
          <xdr:rowOff>19050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99A5433D-6697-4D43-AC6E-ED21CD9BA5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1291</xdr:col>
          <xdr:colOff>542925</xdr:colOff>
          <xdr:row>46</xdr:row>
          <xdr:rowOff>142875</xdr:rowOff>
        </xdr:from>
        <xdr:to>
          <xdr:col>1293</xdr:col>
          <xdr:colOff>0</xdr:colOff>
          <xdr:row>48</xdr:row>
          <xdr:rowOff>19050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F1A985C5-F876-4FE1-B00A-B1692D552E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1301</xdr:col>
      <xdr:colOff>41413</xdr:colOff>
      <xdr:row>0</xdr:row>
      <xdr:rowOff>0</xdr:rowOff>
    </xdr:from>
    <xdr:ext cx="1114425" cy="561975"/>
    <xdr:pic>
      <xdr:nvPicPr>
        <xdr:cNvPr id="246" name="image1.png">
          <a:extLst>
            <a:ext uri="{FF2B5EF4-FFF2-40B4-BE49-F238E27FC236}">
              <a16:creationId xmlns:a16="http://schemas.microsoft.com/office/drawing/2014/main" id="{023B7DC9-3305-47E9-A9F8-C40065AD29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6991287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1302</xdr:col>
          <xdr:colOff>447675</xdr:colOff>
          <xdr:row>46</xdr:row>
          <xdr:rowOff>142875</xdr:rowOff>
        </xdr:from>
        <xdr:to>
          <xdr:col>1303</xdr:col>
          <xdr:colOff>285750</xdr:colOff>
          <xdr:row>48</xdr:row>
          <xdr:rowOff>19050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F2EF3A4-A124-40D5-BADA-5E1ECDA85A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1303</xdr:col>
          <xdr:colOff>542925</xdr:colOff>
          <xdr:row>46</xdr:row>
          <xdr:rowOff>142875</xdr:rowOff>
        </xdr:from>
        <xdr:to>
          <xdr:col>1305</xdr:col>
          <xdr:colOff>0</xdr:colOff>
          <xdr:row>48</xdr:row>
          <xdr:rowOff>19050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57D16A17-87DB-4B56-9E6E-EBAF97542A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1313</xdr:col>
      <xdr:colOff>41413</xdr:colOff>
      <xdr:row>0</xdr:row>
      <xdr:rowOff>0</xdr:rowOff>
    </xdr:from>
    <xdr:ext cx="1114425" cy="561975"/>
    <xdr:pic>
      <xdr:nvPicPr>
        <xdr:cNvPr id="249" name="image1.png">
          <a:extLst>
            <a:ext uri="{FF2B5EF4-FFF2-40B4-BE49-F238E27FC236}">
              <a16:creationId xmlns:a16="http://schemas.microsoft.com/office/drawing/2014/main" id="{15E43C19-6D4B-4523-BFE2-E7CBE2741B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059201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1314</xdr:col>
          <xdr:colOff>447675</xdr:colOff>
          <xdr:row>46</xdr:row>
          <xdr:rowOff>142875</xdr:rowOff>
        </xdr:from>
        <xdr:to>
          <xdr:col>1315</xdr:col>
          <xdr:colOff>285750</xdr:colOff>
          <xdr:row>48</xdr:row>
          <xdr:rowOff>19050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99A39FFB-10FF-4A4B-AFFB-01EB55B41F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1315</xdr:col>
          <xdr:colOff>542925</xdr:colOff>
          <xdr:row>46</xdr:row>
          <xdr:rowOff>142875</xdr:rowOff>
        </xdr:from>
        <xdr:to>
          <xdr:col>1317</xdr:col>
          <xdr:colOff>0</xdr:colOff>
          <xdr:row>48</xdr:row>
          <xdr:rowOff>19050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71D6FD51-51AD-47DC-A4A6-4115F4DB91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1325</xdr:col>
      <xdr:colOff>41413</xdr:colOff>
      <xdr:row>0</xdr:row>
      <xdr:rowOff>0</xdr:rowOff>
    </xdr:from>
    <xdr:ext cx="1114425" cy="561975"/>
    <xdr:pic>
      <xdr:nvPicPr>
        <xdr:cNvPr id="252" name="image1.png">
          <a:extLst>
            <a:ext uri="{FF2B5EF4-FFF2-40B4-BE49-F238E27FC236}">
              <a16:creationId xmlns:a16="http://schemas.microsoft.com/office/drawing/2014/main" id="{41EDB666-6B5E-4E91-8B1B-3A4F0C36BD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127114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1326</xdr:col>
          <xdr:colOff>447675</xdr:colOff>
          <xdr:row>46</xdr:row>
          <xdr:rowOff>142875</xdr:rowOff>
        </xdr:from>
        <xdr:to>
          <xdr:col>1327</xdr:col>
          <xdr:colOff>285750</xdr:colOff>
          <xdr:row>48</xdr:row>
          <xdr:rowOff>19050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5758A148-B200-4C9D-A52D-7BB2162AA9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1327</xdr:col>
          <xdr:colOff>542925</xdr:colOff>
          <xdr:row>46</xdr:row>
          <xdr:rowOff>142875</xdr:rowOff>
        </xdr:from>
        <xdr:to>
          <xdr:col>1329</xdr:col>
          <xdr:colOff>0</xdr:colOff>
          <xdr:row>48</xdr:row>
          <xdr:rowOff>19050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F84DB394-CAB2-4564-B40B-9718352EB1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1337</xdr:col>
      <xdr:colOff>41413</xdr:colOff>
      <xdr:row>0</xdr:row>
      <xdr:rowOff>0</xdr:rowOff>
    </xdr:from>
    <xdr:ext cx="1114425" cy="561975"/>
    <xdr:pic>
      <xdr:nvPicPr>
        <xdr:cNvPr id="255" name="image1.png">
          <a:extLst>
            <a:ext uri="{FF2B5EF4-FFF2-40B4-BE49-F238E27FC236}">
              <a16:creationId xmlns:a16="http://schemas.microsoft.com/office/drawing/2014/main" id="{A564AEF8-71C1-4DBD-ADBF-E6C4F67619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195027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1338</xdr:col>
          <xdr:colOff>447675</xdr:colOff>
          <xdr:row>46</xdr:row>
          <xdr:rowOff>142875</xdr:rowOff>
        </xdr:from>
        <xdr:to>
          <xdr:col>1339</xdr:col>
          <xdr:colOff>285750</xdr:colOff>
          <xdr:row>48</xdr:row>
          <xdr:rowOff>19050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1E73960D-06E8-47C5-8B85-D0CF48ABF6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1339</xdr:col>
          <xdr:colOff>542925</xdr:colOff>
          <xdr:row>46</xdr:row>
          <xdr:rowOff>142875</xdr:rowOff>
        </xdr:from>
        <xdr:to>
          <xdr:col>1341</xdr:col>
          <xdr:colOff>0</xdr:colOff>
          <xdr:row>48</xdr:row>
          <xdr:rowOff>19050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621AA15A-7A83-48E3-94F6-227563F392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1349</xdr:col>
      <xdr:colOff>41413</xdr:colOff>
      <xdr:row>0</xdr:row>
      <xdr:rowOff>0</xdr:rowOff>
    </xdr:from>
    <xdr:ext cx="1114425" cy="561975"/>
    <xdr:pic>
      <xdr:nvPicPr>
        <xdr:cNvPr id="258" name="image1.png">
          <a:extLst>
            <a:ext uri="{FF2B5EF4-FFF2-40B4-BE49-F238E27FC236}">
              <a16:creationId xmlns:a16="http://schemas.microsoft.com/office/drawing/2014/main" id="{6509BEDC-B1BE-4AC5-9427-975BF7ED5B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262940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1350</xdr:col>
          <xdr:colOff>447675</xdr:colOff>
          <xdr:row>46</xdr:row>
          <xdr:rowOff>142875</xdr:rowOff>
        </xdr:from>
        <xdr:to>
          <xdr:col>1351</xdr:col>
          <xdr:colOff>285750</xdr:colOff>
          <xdr:row>48</xdr:row>
          <xdr:rowOff>19050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4EBE578D-66B4-4D3C-87C9-F62446F7F9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1351</xdr:col>
          <xdr:colOff>542925</xdr:colOff>
          <xdr:row>46</xdr:row>
          <xdr:rowOff>142875</xdr:rowOff>
        </xdr:from>
        <xdr:to>
          <xdr:col>1353</xdr:col>
          <xdr:colOff>0</xdr:colOff>
          <xdr:row>48</xdr:row>
          <xdr:rowOff>19050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171B6647-AADE-4F06-9A5F-690DB1EC2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1361</xdr:col>
      <xdr:colOff>41413</xdr:colOff>
      <xdr:row>0</xdr:row>
      <xdr:rowOff>0</xdr:rowOff>
    </xdr:from>
    <xdr:ext cx="1114425" cy="561975"/>
    <xdr:pic>
      <xdr:nvPicPr>
        <xdr:cNvPr id="261" name="image1.png">
          <a:extLst>
            <a:ext uri="{FF2B5EF4-FFF2-40B4-BE49-F238E27FC236}">
              <a16:creationId xmlns:a16="http://schemas.microsoft.com/office/drawing/2014/main" id="{CB9A28D6-9209-4499-832C-C08DFA6455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330854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1362</xdr:col>
          <xdr:colOff>447675</xdr:colOff>
          <xdr:row>46</xdr:row>
          <xdr:rowOff>142875</xdr:rowOff>
        </xdr:from>
        <xdr:to>
          <xdr:col>1363</xdr:col>
          <xdr:colOff>285750</xdr:colOff>
          <xdr:row>48</xdr:row>
          <xdr:rowOff>19050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FF77B9A4-FBB1-4CEA-87DB-08AD6878D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1363</xdr:col>
          <xdr:colOff>542925</xdr:colOff>
          <xdr:row>46</xdr:row>
          <xdr:rowOff>142875</xdr:rowOff>
        </xdr:from>
        <xdr:to>
          <xdr:col>1365</xdr:col>
          <xdr:colOff>0</xdr:colOff>
          <xdr:row>48</xdr:row>
          <xdr:rowOff>19050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9EC7F18-F716-4B72-BBFE-E4C8C1C6D5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1373</xdr:col>
      <xdr:colOff>41413</xdr:colOff>
      <xdr:row>0</xdr:row>
      <xdr:rowOff>0</xdr:rowOff>
    </xdr:from>
    <xdr:ext cx="1114425" cy="561975"/>
    <xdr:pic>
      <xdr:nvPicPr>
        <xdr:cNvPr id="264" name="image1.png">
          <a:extLst>
            <a:ext uri="{FF2B5EF4-FFF2-40B4-BE49-F238E27FC236}">
              <a16:creationId xmlns:a16="http://schemas.microsoft.com/office/drawing/2014/main" id="{AAA5E166-644A-42D0-A260-3B476A4D87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398767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1374</xdr:col>
          <xdr:colOff>447675</xdr:colOff>
          <xdr:row>46</xdr:row>
          <xdr:rowOff>142875</xdr:rowOff>
        </xdr:from>
        <xdr:to>
          <xdr:col>1375</xdr:col>
          <xdr:colOff>285750</xdr:colOff>
          <xdr:row>48</xdr:row>
          <xdr:rowOff>19050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3897B29D-6761-4C31-A3D1-65C9131BB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1375</xdr:col>
          <xdr:colOff>542925</xdr:colOff>
          <xdr:row>46</xdr:row>
          <xdr:rowOff>142875</xdr:rowOff>
        </xdr:from>
        <xdr:to>
          <xdr:col>1377</xdr:col>
          <xdr:colOff>0</xdr:colOff>
          <xdr:row>48</xdr:row>
          <xdr:rowOff>19050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27B23813-C86B-41BE-B019-891EA3E8B0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1385</xdr:col>
      <xdr:colOff>41413</xdr:colOff>
      <xdr:row>0</xdr:row>
      <xdr:rowOff>0</xdr:rowOff>
    </xdr:from>
    <xdr:ext cx="1114425" cy="561975"/>
    <xdr:pic>
      <xdr:nvPicPr>
        <xdr:cNvPr id="267" name="image1.png">
          <a:extLst>
            <a:ext uri="{FF2B5EF4-FFF2-40B4-BE49-F238E27FC236}">
              <a16:creationId xmlns:a16="http://schemas.microsoft.com/office/drawing/2014/main" id="{9A17D2DE-A1E2-491D-9F1A-4E39819A82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466680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1386</xdr:col>
          <xdr:colOff>447675</xdr:colOff>
          <xdr:row>46</xdr:row>
          <xdr:rowOff>142875</xdr:rowOff>
        </xdr:from>
        <xdr:to>
          <xdr:col>1387</xdr:col>
          <xdr:colOff>285750</xdr:colOff>
          <xdr:row>48</xdr:row>
          <xdr:rowOff>19050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3A83F53F-9969-439C-8886-9D4BD50B9C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1387</xdr:col>
          <xdr:colOff>542925</xdr:colOff>
          <xdr:row>46</xdr:row>
          <xdr:rowOff>142875</xdr:rowOff>
        </xdr:from>
        <xdr:to>
          <xdr:col>1389</xdr:col>
          <xdr:colOff>0</xdr:colOff>
          <xdr:row>48</xdr:row>
          <xdr:rowOff>19050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377A9A9B-BDD3-4FB0-8882-56C21F49C8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1397</xdr:col>
      <xdr:colOff>41413</xdr:colOff>
      <xdr:row>0</xdr:row>
      <xdr:rowOff>0</xdr:rowOff>
    </xdr:from>
    <xdr:ext cx="1114425" cy="561975"/>
    <xdr:pic>
      <xdr:nvPicPr>
        <xdr:cNvPr id="270" name="image1.png">
          <a:extLst>
            <a:ext uri="{FF2B5EF4-FFF2-40B4-BE49-F238E27FC236}">
              <a16:creationId xmlns:a16="http://schemas.microsoft.com/office/drawing/2014/main" id="{204A07B6-8082-4258-92B6-9DB8866F79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534593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1398</xdr:col>
          <xdr:colOff>447675</xdr:colOff>
          <xdr:row>46</xdr:row>
          <xdr:rowOff>142875</xdr:rowOff>
        </xdr:from>
        <xdr:to>
          <xdr:col>1399</xdr:col>
          <xdr:colOff>285750</xdr:colOff>
          <xdr:row>48</xdr:row>
          <xdr:rowOff>19050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AF2EC4D0-77CD-4746-BEE5-B802E22FF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1399</xdr:col>
          <xdr:colOff>542925</xdr:colOff>
          <xdr:row>46</xdr:row>
          <xdr:rowOff>142875</xdr:rowOff>
        </xdr:from>
        <xdr:to>
          <xdr:col>1401</xdr:col>
          <xdr:colOff>0</xdr:colOff>
          <xdr:row>48</xdr:row>
          <xdr:rowOff>19050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158CA641-0D77-466B-AC89-31BCFFA28D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1409</xdr:col>
      <xdr:colOff>41413</xdr:colOff>
      <xdr:row>0</xdr:row>
      <xdr:rowOff>0</xdr:rowOff>
    </xdr:from>
    <xdr:ext cx="1114425" cy="561975"/>
    <xdr:pic>
      <xdr:nvPicPr>
        <xdr:cNvPr id="273" name="image1.png">
          <a:extLst>
            <a:ext uri="{FF2B5EF4-FFF2-40B4-BE49-F238E27FC236}">
              <a16:creationId xmlns:a16="http://schemas.microsoft.com/office/drawing/2014/main" id="{6C5EE78A-80E6-4995-8FF0-589ACF52A2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602507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1410</xdr:col>
          <xdr:colOff>447675</xdr:colOff>
          <xdr:row>46</xdr:row>
          <xdr:rowOff>142875</xdr:rowOff>
        </xdr:from>
        <xdr:to>
          <xdr:col>1411</xdr:col>
          <xdr:colOff>285750</xdr:colOff>
          <xdr:row>48</xdr:row>
          <xdr:rowOff>19050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35814815-C9C7-49D3-96CC-0F574148EB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1411</xdr:col>
          <xdr:colOff>542925</xdr:colOff>
          <xdr:row>46</xdr:row>
          <xdr:rowOff>142875</xdr:rowOff>
        </xdr:from>
        <xdr:to>
          <xdr:col>1413</xdr:col>
          <xdr:colOff>0</xdr:colOff>
          <xdr:row>48</xdr:row>
          <xdr:rowOff>19050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D529ABE8-3DA5-431B-8237-E706D07416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1421</xdr:col>
      <xdr:colOff>41413</xdr:colOff>
      <xdr:row>0</xdr:row>
      <xdr:rowOff>0</xdr:rowOff>
    </xdr:from>
    <xdr:ext cx="1114425" cy="561975"/>
    <xdr:pic>
      <xdr:nvPicPr>
        <xdr:cNvPr id="276" name="image1.png">
          <a:extLst>
            <a:ext uri="{FF2B5EF4-FFF2-40B4-BE49-F238E27FC236}">
              <a16:creationId xmlns:a16="http://schemas.microsoft.com/office/drawing/2014/main" id="{E32ACD93-8E56-4C10-ABFB-2C68242997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670420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1422</xdr:col>
          <xdr:colOff>447675</xdr:colOff>
          <xdr:row>46</xdr:row>
          <xdr:rowOff>142875</xdr:rowOff>
        </xdr:from>
        <xdr:to>
          <xdr:col>1423</xdr:col>
          <xdr:colOff>285750</xdr:colOff>
          <xdr:row>48</xdr:row>
          <xdr:rowOff>19050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93D72A8E-8772-49BF-BBB1-A9A5B5356C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1423</xdr:col>
          <xdr:colOff>542925</xdr:colOff>
          <xdr:row>46</xdr:row>
          <xdr:rowOff>142875</xdr:rowOff>
        </xdr:from>
        <xdr:to>
          <xdr:col>1424</xdr:col>
          <xdr:colOff>397565</xdr:colOff>
          <xdr:row>48</xdr:row>
          <xdr:rowOff>19050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CA51ACD2-06D7-49F5-BC6E-7032E48DA9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1433</xdr:col>
      <xdr:colOff>41413</xdr:colOff>
      <xdr:row>0</xdr:row>
      <xdr:rowOff>0</xdr:rowOff>
    </xdr:from>
    <xdr:ext cx="1114425" cy="561975"/>
    <xdr:pic>
      <xdr:nvPicPr>
        <xdr:cNvPr id="279" name="image1.png">
          <a:extLst>
            <a:ext uri="{FF2B5EF4-FFF2-40B4-BE49-F238E27FC236}">
              <a16:creationId xmlns:a16="http://schemas.microsoft.com/office/drawing/2014/main" id="{D5A5FEFA-4969-4F3C-8427-89C0042A27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738333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1434</xdr:col>
          <xdr:colOff>447675</xdr:colOff>
          <xdr:row>46</xdr:row>
          <xdr:rowOff>142875</xdr:rowOff>
        </xdr:from>
        <xdr:to>
          <xdr:col>1435</xdr:col>
          <xdr:colOff>285750</xdr:colOff>
          <xdr:row>48</xdr:row>
          <xdr:rowOff>19050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4F3DA8E2-29B0-46B4-BF85-7C3CEF00EF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1435</xdr:col>
          <xdr:colOff>542925</xdr:colOff>
          <xdr:row>46</xdr:row>
          <xdr:rowOff>142875</xdr:rowOff>
        </xdr:from>
        <xdr:to>
          <xdr:col>1437</xdr:col>
          <xdr:colOff>0</xdr:colOff>
          <xdr:row>48</xdr:row>
          <xdr:rowOff>19050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D0D43D1F-C02E-4045-9667-6EB8AE9E8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1445</xdr:col>
      <xdr:colOff>41413</xdr:colOff>
      <xdr:row>0</xdr:row>
      <xdr:rowOff>0</xdr:rowOff>
    </xdr:from>
    <xdr:ext cx="1114425" cy="561975"/>
    <xdr:pic>
      <xdr:nvPicPr>
        <xdr:cNvPr id="282" name="image1.png">
          <a:extLst>
            <a:ext uri="{FF2B5EF4-FFF2-40B4-BE49-F238E27FC236}">
              <a16:creationId xmlns:a16="http://schemas.microsoft.com/office/drawing/2014/main" id="{1A6DABD2-8E36-42AD-A376-B829ACAC51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806246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1446</xdr:col>
          <xdr:colOff>447675</xdr:colOff>
          <xdr:row>46</xdr:row>
          <xdr:rowOff>142875</xdr:rowOff>
        </xdr:from>
        <xdr:to>
          <xdr:col>1447</xdr:col>
          <xdr:colOff>285750</xdr:colOff>
          <xdr:row>48</xdr:row>
          <xdr:rowOff>19050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2454D8C-11B7-4332-986D-48ED8FBC13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1447</xdr:col>
          <xdr:colOff>542925</xdr:colOff>
          <xdr:row>46</xdr:row>
          <xdr:rowOff>142875</xdr:rowOff>
        </xdr:from>
        <xdr:to>
          <xdr:col>1449</xdr:col>
          <xdr:colOff>0</xdr:colOff>
          <xdr:row>48</xdr:row>
          <xdr:rowOff>19050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EF8E10BE-ACB5-413C-B389-608C5AF693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1457</xdr:col>
      <xdr:colOff>41413</xdr:colOff>
      <xdr:row>0</xdr:row>
      <xdr:rowOff>0</xdr:rowOff>
    </xdr:from>
    <xdr:ext cx="1114425" cy="561975"/>
    <xdr:pic>
      <xdr:nvPicPr>
        <xdr:cNvPr id="285" name="image1.png">
          <a:extLst>
            <a:ext uri="{FF2B5EF4-FFF2-40B4-BE49-F238E27FC236}">
              <a16:creationId xmlns:a16="http://schemas.microsoft.com/office/drawing/2014/main" id="{BC1AF018-DD11-47E6-8949-FF3AD4FDDE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874160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1458</xdr:col>
          <xdr:colOff>447675</xdr:colOff>
          <xdr:row>46</xdr:row>
          <xdr:rowOff>142875</xdr:rowOff>
        </xdr:from>
        <xdr:to>
          <xdr:col>1459</xdr:col>
          <xdr:colOff>285750</xdr:colOff>
          <xdr:row>48</xdr:row>
          <xdr:rowOff>19050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6AF58476-549A-4739-B285-890123EA30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1459</xdr:col>
          <xdr:colOff>542925</xdr:colOff>
          <xdr:row>46</xdr:row>
          <xdr:rowOff>142875</xdr:rowOff>
        </xdr:from>
        <xdr:to>
          <xdr:col>1461</xdr:col>
          <xdr:colOff>0</xdr:colOff>
          <xdr:row>48</xdr:row>
          <xdr:rowOff>19050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1D6AA714-015C-458E-BED5-16DF2029D9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1469</xdr:col>
      <xdr:colOff>41413</xdr:colOff>
      <xdr:row>0</xdr:row>
      <xdr:rowOff>0</xdr:rowOff>
    </xdr:from>
    <xdr:ext cx="1114425" cy="561975"/>
    <xdr:pic>
      <xdr:nvPicPr>
        <xdr:cNvPr id="288" name="image1.png">
          <a:extLst>
            <a:ext uri="{FF2B5EF4-FFF2-40B4-BE49-F238E27FC236}">
              <a16:creationId xmlns:a16="http://schemas.microsoft.com/office/drawing/2014/main" id="{516829FE-0FFF-443D-B4FA-122EA86CDD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7942073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1470</xdr:col>
          <xdr:colOff>447675</xdr:colOff>
          <xdr:row>46</xdr:row>
          <xdr:rowOff>142875</xdr:rowOff>
        </xdr:from>
        <xdr:to>
          <xdr:col>1471</xdr:col>
          <xdr:colOff>285750</xdr:colOff>
          <xdr:row>48</xdr:row>
          <xdr:rowOff>19050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4169810E-E87A-47B1-AA65-413C87A949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1471</xdr:col>
          <xdr:colOff>542925</xdr:colOff>
          <xdr:row>46</xdr:row>
          <xdr:rowOff>142875</xdr:rowOff>
        </xdr:from>
        <xdr:to>
          <xdr:col>1473</xdr:col>
          <xdr:colOff>0</xdr:colOff>
          <xdr:row>48</xdr:row>
          <xdr:rowOff>19050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935DEFEA-03F9-4883-AE9C-1CFD4E8530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1481</xdr:col>
      <xdr:colOff>41413</xdr:colOff>
      <xdr:row>0</xdr:row>
      <xdr:rowOff>0</xdr:rowOff>
    </xdr:from>
    <xdr:ext cx="1114425" cy="561975"/>
    <xdr:pic>
      <xdr:nvPicPr>
        <xdr:cNvPr id="291" name="image1.png">
          <a:extLst>
            <a:ext uri="{FF2B5EF4-FFF2-40B4-BE49-F238E27FC236}">
              <a16:creationId xmlns:a16="http://schemas.microsoft.com/office/drawing/2014/main" id="{8D0C276E-3A78-40F1-937D-117FB8936F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009986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1482</xdr:col>
          <xdr:colOff>447675</xdr:colOff>
          <xdr:row>46</xdr:row>
          <xdr:rowOff>142875</xdr:rowOff>
        </xdr:from>
        <xdr:to>
          <xdr:col>1483</xdr:col>
          <xdr:colOff>285750</xdr:colOff>
          <xdr:row>48</xdr:row>
          <xdr:rowOff>19050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84D83706-112A-47AF-BA96-CE2547C597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1483</xdr:col>
          <xdr:colOff>542925</xdr:colOff>
          <xdr:row>46</xdr:row>
          <xdr:rowOff>142875</xdr:rowOff>
        </xdr:from>
        <xdr:to>
          <xdr:col>1485</xdr:col>
          <xdr:colOff>0</xdr:colOff>
          <xdr:row>48</xdr:row>
          <xdr:rowOff>19050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3BC7002C-1363-4DE7-B4D0-0350CD0360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1493</xdr:col>
      <xdr:colOff>41413</xdr:colOff>
      <xdr:row>0</xdr:row>
      <xdr:rowOff>0</xdr:rowOff>
    </xdr:from>
    <xdr:ext cx="1114425" cy="561975"/>
    <xdr:pic>
      <xdr:nvPicPr>
        <xdr:cNvPr id="294" name="image1.png">
          <a:extLst>
            <a:ext uri="{FF2B5EF4-FFF2-40B4-BE49-F238E27FC236}">
              <a16:creationId xmlns:a16="http://schemas.microsoft.com/office/drawing/2014/main" id="{A7608628-24AB-4B60-BA75-9563A87C38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077899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1494</xdr:col>
          <xdr:colOff>447675</xdr:colOff>
          <xdr:row>46</xdr:row>
          <xdr:rowOff>142875</xdr:rowOff>
        </xdr:from>
        <xdr:to>
          <xdr:col>1495</xdr:col>
          <xdr:colOff>285750</xdr:colOff>
          <xdr:row>48</xdr:row>
          <xdr:rowOff>19050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99ADD2B4-A7DF-4463-8017-A9786C7403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1495</xdr:col>
          <xdr:colOff>542925</xdr:colOff>
          <xdr:row>46</xdr:row>
          <xdr:rowOff>142875</xdr:rowOff>
        </xdr:from>
        <xdr:to>
          <xdr:col>1497</xdr:col>
          <xdr:colOff>0</xdr:colOff>
          <xdr:row>48</xdr:row>
          <xdr:rowOff>19050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A132CC85-C01B-4C4D-B2FC-107F821519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1505</xdr:col>
      <xdr:colOff>41413</xdr:colOff>
      <xdr:row>0</xdr:row>
      <xdr:rowOff>0</xdr:rowOff>
    </xdr:from>
    <xdr:ext cx="1114425" cy="561975"/>
    <xdr:pic>
      <xdr:nvPicPr>
        <xdr:cNvPr id="297" name="image1.png">
          <a:extLst>
            <a:ext uri="{FF2B5EF4-FFF2-40B4-BE49-F238E27FC236}">
              <a16:creationId xmlns:a16="http://schemas.microsoft.com/office/drawing/2014/main" id="{F1F935F4-BBAE-401B-9634-76FE424043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145813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1506</xdr:col>
          <xdr:colOff>447675</xdr:colOff>
          <xdr:row>46</xdr:row>
          <xdr:rowOff>142875</xdr:rowOff>
        </xdr:from>
        <xdr:to>
          <xdr:col>1507</xdr:col>
          <xdr:colOff>285750</xdr:colOff>
          <xdr:row>48</xdr:row>
          <xdr:rowOff>19050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8666B31E-FC92-435A-8268-A7BBDCDF4E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1507</xdr:col>
          <xdr:colOff>542925</xdr:colOff>
          <xdr:row>46</xdr:row>
          <xdr:rowOff>142875</xdr:rowOff>
        </xdr:from>
        <xdr:to>
          <xdr:col>1509</xdr:col>
          <xdr:colOff>0</xdr:colOff>
          <xdr:row>48</xdr:row>
          <xdr:rowOff>19050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7222F8CC-5540-4D2F-9BF0-B55D62A602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1517</xdr:col>
      <xdr:colOff>41413</xdr:colOff>
      <xdr:row>0</xdr:row>
      <xdr:rowOff>0</xdr:rowOff>
    </xdr:from>
    <xdr:ext cx="1114425" cy="561975"/>
    <xdr:pic>
      <xdr:nvPicPr>
        <xdr:cNvPr id="300" name="image1.png">
          <a:extLst>
            <a:ext uri="{FF2B5EF4-FFF2-40B4-BE49-F238E27FC236}">
              <a16:creationId xmlns:a16="http://schemas.microsoft.com/office/drawing/2014/main" id="{483DFC26-B03C-4249-91A5-6713453331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213726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1518</xdr:col>
          <xdr:colOff>447675</xdr:colOff>
          <xdr:row>46</xdr:row>
          <xdr:rowOff>142875</xdr:rowOff>
        </xdr:from>
        <xdr:to>
          <xdr:col>1519</xdr:col>
          <xdr:colOff>285750</xdr:colOff>
          <xdr:row>48</xdr:row>
          <xdr:rowOff>19050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5996BAD7-012E-491A-8AD8-96689ADA39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1519</xdr:col>
          <xdr:colOff>542925</xdr:colOff>
          <xdr:row>46</xdr:row>
          <xdr:rowOff>142875</xdr:rowOff>
        </xdr:from>
        <xdr:to>
          <xdr:col>1521</xdr:col>
          <xdr:colOff>0</xdr:colOff>
          <xdr:row>48</xdr:row>
          <xdr:rowOff>19050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F73CB189-EB60-41C4-A7A7-D851BE9BE4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1529</xdr:col>
      <xdr:colOff>41413</xdr:colOff>
      <xdr:row>0</xdr:row>
      <xdr:rowOff>0</xdr:rowOff>
    </xdr:from>
    <xdr:ext cx="1114425" cy="561975"/>
    <xdr:pic>
      <xdr:nvPicPr>
        <xdr:cNvPr id="303" name="image1.png">
          <a:extLst>
            <a:ext uri="{FF2B5EF4-FFF2-40B4-BE49-F238E27FC236}">
              <a16:creationId xmlns:a16="http://schemas.microsoft.com/office/drawing/2014/main" id="{7B8432A7-4B69-49AA-BC17-CA985D8DE2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281639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1530</xdr:col>
          <xdr:colOff>447675</xdr:colOff>
          <xdr:row>46</xdr:row>
          <xdr:rowOff>142875</xdr:rowOff>
        </xdr:from>
        <xdr:to>
          <xdr:col>1531</xdr:col>
          <xdr:colOff>285750</xdr:colOff>
          <xdr:row>48</xdr:row>
          <xdr:rowOff>19050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40E13CE0-2E20-4090-9A7D-5144AD6C77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1531</xdr:col>
          <xdr:colOff>542925</xdr:colOff>
          <xdr:row>46</xdr:row>
          <xdr:rowOff>142875</xdr:rowOff>
        </xdr:from>
        <xdr:to>
          <xdr:col>1533</xdr:col>
          <xdr:colOff>0</xdr:colOff>
          <xdr:row>48</xdr:row>
          <xdr:rowOff>19050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D0BC3498-7B7F-4391-94F8-F7C19AF38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1541</xdr:col>
      <xdr:colOff>41413</xdr:colOff>
      <xdr:row>0</xdr:row>
      <xdr:rowOff>0</xdr:rowOff>
    </xdr:from>
    <xdr:ext cx="1114425" cy="561975"/>
    <xdr:pic>
      <xdr:nvPicPr>
        <xdr:cNvPr id="306" name="image1.png">
          <a:extLst>
            <a:ext uri="{FF2B5EF4-FFF2-40B4-BE49-F238E27FC236}">
              <a16:creationId xmlns:a16="http://schemas.microsoft.com/office/drawing/2014/main" id="{3BDAB361-9AF1-483A-B059-FD291B73EE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349552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1542</xdr:col>
          <xdr:colOff>447675</xdr:colOff>
          <xdr:row>46</xdr:row>
          <xdr:rowOff>142875</xdr:rowOff>
        </xdr:from>
        <xdr:to>
          <xdr:col>1543</xdr:col>
          <xdr:colOff>285750</xdr:colOff>
          <xdr:row>48</xdr:row>
          <xdr:rowOff>19050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CB7F0D62-D2AB-467A-ABF7-4A3B7A62C4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1543</xdr:col>
          <xdr:colOff>542925</xdr:colOff>
          <xdr:row>46</xdr:row>
          <xdr:rowOff>142875</xdr:rowOff>
        </xdr:from>
        <xdr:to>
          <xdr:col>1545</xdr:col>
          <xdr:colOff>0</xdr:colOff>
          <xdr:row>48</xdr:row>
          <xdr:rowOff>19050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EF9AB449-5164-4861-AD10-E7B516025C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1553</xdr:col>
      <xdr:colOff>41413</xdr:colOff>
      <xdr:row>0</xdr:row>
      <xdr:rowOff>0</xdr:rowOff>
    </xdr:from>
    <xdr:ext cx="1114425" cy="561975"/>
    <xdr:pic>
      <xdr:nvPicPr>
        <xdr:cNvPr id="309" name="image1.png">
          <a:extLst>
            <a:ext uri="{FF2B5EF4-FFF2-40B4-BE49-F238E27FC236}">
              <a16:creationId xmlns:a16="http://schemas.microsoft.com/office/drawing/2014/main" id="{AC2F3B5D-05FA-404D-A749-5445E7B186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417466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1554</xdr:col>
          <xdr:colOff>447675</xdr:colOff>
          <xdr:row>46</xdr:row>
          <xdr:rowOff>142875</xdr:rowOff>
        </xdr:from>
        <xdr:to>
          <xdr:col>1555</xdr:col>
          <xdr:colOff>285750</xdr:colOff>
          <xdr:row>48</xdr:row>
          <xdr:rowOff>19050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8C62374D-B2D6-453B-9E6E-093E4F2AD6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1555</xdr:col>
          <xdr:colOff>542925</xdr:colOff>
          <xdr:row>46</xdr:row>
          <xdr:rowOff>142875</xdr:rowOff>
        </xdr:from>
        <xdr:to>
          <xdr:col>1557</xdr:col>
          <xdr:colOff>0</xdr:colOff>
          <xdr:row>48</xdr:row>
          <xdr:rowOff>19050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D4758CD1-6FBC-4AF7-857E-D00B448FF6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1565</xdr:col>
      <xdr:colOff>41413</xdr:colOff>
      <xdr:row>0</xdr:row>
      <xdr:rowOff>0</xdr:rowOff>
    </xdr:from>
    <xdr:ext cx="1114425" cy="561975"/>
    <xdr:pic>
      <xdr:nvPicPr>
        <xdr:cNvPr id="312" name="image1.png">
          <a:extLst>
            <a:ext uri="{FF2B5EF4-FFF2-40B4-BE49-F238E27FC236}">
              <a16:creationId xmlns:a16="http://schemas.microsoft.com/office/drawing/2014/main" id="{600787BC-CE74-4384-BF77-94D6F3EC8F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485379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1566</xdr:col>
          <xdr:colOff>447675</xdr:colOff>
          <xdr:row>46</xdr:row>
          <xdr:rowOff>142875</xdr:rowOff>
        </xdr:from>
        <xdr:to>
          <xdr:col>1567</xdr:col>
          <xdr:colOff>285750</xdr:colOff>
          <xdr:row>48</xdr:row>
          <xdr:rowOff>19050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E9FB731D-6D2B-45F9-B6D8-45D4F1E18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1567</xdr:col>
          <xdr:colOff>542925</xdr:colOff>
          <xdr:row>46</xdr:row>
          <xdr:rowOff>142875</xdr:rowOff>
        </xdr:from>
        <xdr:to>
          <xdr:col>1569</xdr:col>
          <xdr:colOff>0</xdr:colOff>
          <xdr:row>48</xdr:row>
          <xdr:rowOff>19050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8C63A5FF-A2A3-489C-AC24-B65540CF08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1577</xdr:col>
      <xdr:colOff>41413</xdr:colOff>
      <xdr:row>0</xdr:row>
      <xdr:rowOff>0</xdr:rowOff>
    </xdr:from>
    <xdr:ext cx="1114425" cy="561975"/>
    <xdr:pic>
      <xdr:nvPicPr>
        <xdr:cNvPr id="315" name="image1.png">
          <a:extLst>
            <a:ext uri="{FF2B5EF4-FFF2-40B4-BE49-F238E27FC236}">
              <a16:creationId xmlns:a16="http://schemas.microsoft.com/office/drawing/2014/main" id="{D3A9EB00-CA07-45BB-93F0-ADEEB7F9F2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553292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1578</xdr:col>
          <xdr:colOff>447675</xdr:colOff>
          <xdr:row>46</xdr:row>
          <xdr:rowOff>142875</xdr:rowOff>
        </xdr:from>
        <xdr:to>
          <xdr:col>1579</xdr:col>
          <xdr:colOff>285750</xdr:colOff>
          <xdr:row>48</xdr:row>
          <xdr:rowOff>19050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9BC0C106-929E-4434-9DDD-412A7DEC2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1579</xdr:col>
          <xdr:colOff>542925</xdr:colOff>
          <xdr:row>46</xdr:row>
          <xdr:rowOff>142875</xdr:rowOff>
        </xdr:from>
        <xdr:to>
          <xdr:col>1581</xdr:col>
          <xdr:colOff>0</xdr:colOff>
          <xdr:row>48</xdr:row>
          <xdr:rowOff>19050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AF047352-C2F5-4198-BBA5-812A89A687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1589</xdr:col>
      <xdr:colOff>41413</xdr:colOff>
      <xdr:row>0</xdr:row>
      <xdr:rowOff>0</xdr:rowOff>
    </xdr:from>
    <xdr:ext cx="1114425" cy="561975"/>
    <xdr:pic>
      <xdr:nvPicPr>
        <xdr:cNvPr id="318" name="image1.png">
          <a:extLst>
            <a:ext uri="{FF2B5EF4-FFF2-40B4-BE49-F238E27FC236}">
              <a16:creationId xmlns:a16="http://schemas.microsoft.com/office/drawing/2014/main" id="{77C998E2-2597-4502-87D5-658A68E335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621205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1590</xdr:col>
          <xdr:colOff>447675</xdr:colOff>
          <xdr:row>46</xdr:row>
          <xdr:rowOff>142875</xdr:rowOff>
        </xdr:from>
        <xdr:to>
          <xdr:col>1591</xdr:col>
          <xdr:colOff>285750</xdr:colOff>
          <xdr:row>48</xdr:row>
          <xdr:rowOff>19050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BC5987B3-F9B1-4A5F-8EC7-FB6AF69DB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1591</xdr:col>
          <xdr:colOff>542925</xdr:colOff>
          <xdr:row>46</xdr:row>
          <xdr:rowOff>142875</xdr:rowOff>
        </xdr:from>
        <xdr:to>
          <xdr:col>1593</xdr:col>
          <xdr:colOff>0</xdr:colOff>
          <xdr:row>48</xdr:row>
          <xdr:rowOff>19050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E4B318F9-3EB1-4851-8209-0D74E07238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1601</xdr:col>
      <xdr:colOff>41413</xdr:colOff>
      <xdr:row>0</xdr:row>
      <xdr:rowOff>0</xdr:rowOff>
    </xdr:from>
    <xdr:ext cx="1114425" cy="561975"/>
    <xdr:pic>
      <xdr:nvPicPr>
        <xdr:cNvPr id="321" name="image1.png">
          <a:extLst>
            <a:ext uri="{FF2B5EF4-FFF2-40B4-BE49-F238E27FC236}">
              <a16:creationId xmlns:a16="http://schemas.microsoft.com/office/drawing/2014/main" id="{3FFEA6DA-2B72-4B94-89F1-CC47A01A07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689119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1602</xdr:col>
          <xdr:colOff>447675</xdr:colOff>
          <xdr:row>46</xdr:row>
          <xdr:rowOff>142875</xdr:rowOff>
        </xdr:from>
        <xdr:to>
          <xdr:col>1603</xdr:col>
          <xdr:colOff>285750</xdr:colOff>
          <xdr:row>48</xdr:row>
          <xdr:rowOff>19050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1F9700EE-C908-4BE9-9162-EED88BC98C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1603</xdr:col>
          <xdr:colOff>542925</xdr:colOff>
          <xdr:row>46</xdr:row>
          <xdr:rowOff>142875</xdr:rowOff>
        </xdr:from>
        <xdr:to>
          <xdr:col>1605</xdr:col>
          <xdr:colOff>0</xdr:colOff>
          <xdr:row>48</xdr:row>
          <xdr:rowOff>19050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C6B302F4-967A-4D01-961C-CECCC2608F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1613</xdr:col>
      <xdr:colOff>41413</xdr:colOff>
      <xdr:row>0</xdr:row>
      <xdr:rowOff>0</xdr:rowOff>
    </xdr:from>
    <xdr:ext cx="1114425" cy="561975"/>
    <xdr:pic>
      <xdr:nvPicPr>
        <xdr:cNvPr id="324" name="image1.png">
          <a:extLst>
            <a:ext uri="{FF2B5EF4-FFF2-40B4-BE49-F238E27FC236}">
              <a16:creationId xmlns:a16="http://schemas.microsoft.com/office/drawing/2014/main" id="{9964C8F1-9347-4D4B-8759-8EAC9E7541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757032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1614</xdr:col>
          <xdr:colOff>447675</xdr:colOff>
          <xdr:row>46</xdr:row>
          <xdr:rowOff>142875</xdr:rowOff>
        </xdr:from>
        <xdr:to>
          <xdr:col>1615</xdr:col>
          <xdr:colOff>285750</xdr:colOff>
          <xdr:row>48</xdr:row>
          <xdr:rowOff>19050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2CACFDF9-70CA-4285-A986-5247AC6010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1615</xdr:col>
          <xdr:colOff>542925</xdr:colOff>
          <xdr:row>46</xdr:row>
          <xdr:rowOff>142875</xdr:rowOff>
        </xdr:from>
        <xdr:to>
          <xdr:col>1617</xdr:col>
          <xdr:colOff>0</xdr:colOff>
          <xdr:row>48</xdr:row>
          <xdr:rowOff>19050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A1D45555-C97A-459C-9AFA-A0290E6F72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1625</xdr:col>
      <xdr:colOff>41413</xdr:colOff>
      <xdr:row>0</xdr:row>
      <xdr:rowOff>0</xdr:rowOff>
    </xdr:from>
    <xdr:ext cx="1114425" cy="561975"/>
    <xdr:pic>
      <xdr:nvPicPr>
        <xdr:cNvPr id="327" name="image1.png">
          <a:extLst>
            <a:ext uri="{FF2B5EF4-FFF2-40B4-BE49-F238E27FC236}">
              <a16:creationId xmlns:a16="http://schemas.microsoft.com/office/drawing/2014/main" id="{D23E8B44-AB07-4858-A175-98D90941C3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824945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1626</xdr:col>
          <xdr:colOff>447675</xdr:colOff>
          <xdr:row>46</xdr:row>
          <xdr:rowOff>142875</xdr:rowOff>
        </xdr:from>
        <xdr:to>
          <xdr:col>1627</xdr:col>
          <xdr:colOff>285750</xdr:colOff>
          <xdr:row>48</xdr:row>
          <xdr:rowOff>19050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7EF39894-536E-422E-B9DD-C4DC7270A6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1627</xdr:col>
          <xdr:colOff>542925</xdr:colOff>
          <xdr:row>46</xdr:row>
          <xdr:rowOff>142875</xdr:rowOff>
        </xdr:from>
        <xdr:to>
          <xdr:col>1629</xdr:col>
          <xdr:colOff>0</xdr:colOff>
          <xdr:row>48</xdr:row>
          <xdr:rowOff>19050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378291A3-36E3-4B1D-AF2B-6D0AB1D9CD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1637</xdr:col>
      <xdr:colOff>41413</xdr:colOff>
      <xdr:row>0</xdr:row>
      <xdr:rowOff>0</xdr:rowOff>
    </xdr:from>
    <xdr:ext cx="1114425" cy="561975"/>
    <xdr:pic>
      <xdr:nvPicPr>
        <xdr:cNvPr id="330" name="image1.png">
          <a:extLst>
            <a:ext uri="{FF2B5EF4-FFF2-40B4-BE49-F238E27FC236}">
              <a16:creationId xmlns:a16="http://schemas.microsoft.com/office/drawing/2014/main" id="{9BB7FC39-829E-40D8-8AB3-E9868404AE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892858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1638</xdr:col>
          <xdr:colOff>447675</xdr:colOff>
          <xdr:row>46</xdr:row>
          <xdr:rowOff>142875</xdr:rowOff>
        </xdr:from>
        <xdr:to>
          <xdr:col>1639</xdr:col>
          <xdr:colOff>285750</xdr:colOff>
          <xdr:row>48</xdr:row>
          <xdr:rowOff>19050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9CD44A8B-152A-4258-95CD-D869F73B79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1639</xdr:col>
          <xdr:colOff>542925</xdr:colOff>
          <xdr:row>46</xdr:row>
          <xdr:rowOff>142875</xdr:rowOff>
        </xdr:from>
        <xdr:to>
          <xdr:col>1641</xdr:col>
          <xdr:colOff>0</xdr:colOff>
          <xdr:row>48</xdr:row>
          <xdr:rowOff>19050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FBAA58AD-0E78-4955-8CC6-412DBD189B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1649</xdr:col>
      <xdr:colOff>41413</xdr:colOff>
      <xdr:row>0</xdr:row>
      <xdr:rowOff>0</xdr:rowOff>
    </xdr:from>
    <xdr:ext cx="1114425" cy="561975"/>
    <xdr:pic>
      <xdr:nvPicPr>
        <xdr:cNvPr id="333" name="image1.png">
          <a:extLst>
            <a:ext uri="{FF2B5EF4-FFF2-40B4-BE49-F238E27FC236}">
              <a16:creationId xmlns:a16="http://schemas.microsoft.com/office/drawing/2014/main" id="{F1160ACD-299C-4AE2-ADE5-DF6C79DFC0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8960772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1650</xdr:col>
          <xdr:colOff>447675</xdr:colOff>
          <xdr:row>46</xdr:row>
          <xdr:rowOff>142875</xdr:rowOff>
        </xdr:from>
        <xdr:to>
          <xdr:col>1651</xdr:col>
          <xdr:colOff>285750</xdr:colOff>
          <xdr:row>48</xdr:row>
          <xdr:rowOff>19050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C6E1419C-14F9-4240-90AD-BA3A76A86E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1651</xdr:col>
          <xdr:colOff>542925</xdr:colOff>
          <xdr:row>46</xdr:row>
          <xdr:rowOff>142875</xdr:rowOff>
        </xdr:from>
        <xdr:to>
          <xdr:col>1653</xdr:col>
          <xdr:colOff>0</xdr:colOff>
          <xdr:row>48</xdr:row>
          <xdr:rowOff>19050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3AE01798-8701-4636-8D16-1D0681F584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1661</xdr:col>
      <xdr:colOff>41413</xdr:colOff>
      <xdr:row>0</xdr:row>
      <xdr:rowOff>0</xdr:rowOff>
    </xdr:from>
    <xdr:ext cx="1114425" cy="561975"/>
    <xdr:pic>
      <xdr:nvPicPr>
        <xdr:cNvPr id="336" name="image1.png">
          <a:extLst>
            <a:ext uri="{FF2B5EF4-FFF2-40B4-BE49-F238E27FC236}">
              <a16:creationId xmlns:a16="http://schemas.microsoft.com/office/drawing/2014/main" id="{BA130970-6677-4380-A79C-0BB3878CF6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028685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1662</xdr:col>
          <xdr:colOff>447675</xdr:colOff>
          <xdr:row>46</xdr:row>
          <xdr:rowOff>142875</xdr:rowOff>
        </xdr:from>
        <xdr:to>
          <xdr:col>1663</xdr:col>
          <xdr:colOff>285750</xdr:colOff>
          <xdr:row>48</xdr:row>
          <xdr:rowOff>19050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53E9F067-8132-4549-972D-855E28E3C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1663</xdr:col>
          <xdr:colOff>542925</xdr:colOff>
          <xdr:row>46</xdr:row>
          <xdr:rowOff>142875</xdr:rowOff>
        </xdr:from>
        <xdr:to>
          <xdr:col>1665</xdr:col>
          <xdr:colOff>0</xdr:colOff>
          <xdr:row>48</xdr:row>
          <xdr:rowOff>19050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E38B90AC-A678-498B-BAE5-7FD213295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1673</xdr:col>
      <xdr:colOff>41413</xdr:colOff>
      <xdr:row>0</xdr:row>
      <xdr:rowOff>0</xdr:rowOff>
    </xdr:from>
    <xdr:ext cx="1114425" cy="561975"/>
    <xdr:pic>
      <xdr:nvPicPr>
        <xdr:cNvPr id="339" name="image1.png">
          <a:extLst>
            <a:ext uri="{FF2B5EF4-FFF2-40B4-BE49-F238E27FC236}">
              <a16:creationId xmlns:a16="http://schemas.microsoft.com/office/drawing/2014/main" id="{136F83FE-4DBC-4345-BB4B-EB02873D3E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096598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1674</xdr:col>
          <xdr:colOff>447675</xdr:colOff>
          <xdr:row>46</xdr:row>
          <xdr:rowOff>142875</xdr:rowOff>
        </xdr:from>
        <xdr:to>
          <xdr:col>1675</xdr:col>
          <xdr:colOff>285750</xdr:colOff>
          <xdr:row>48</xdr:row>
          <xdr:rowOff>19050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947B8B17-95AC-4C50-9018-5DCADF5EDD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1675</xdr:col>
          <xdr:colOff>542925</xdr:colOff>
          <xdr:row>46</xdr:row>
          <xdr:rowOff>142875</xdr:rowOff>
        </xdr:from>
        <xdr:to>
          <xdr:col>1677</xdr:col>
          <xdr:colOff>0</xdr:colOff>
          <xdr:row>48</xdr:row>
          <xdr:rowOff>19050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2B4B2954-9360-45C8-8A1C-6DACDA6AA3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1685</xdr:col>
      <xdr:colOff>41413</xdr:colOff>
      <xdr:row>0</xdr:row>
      <xdr:rowOff>0</xdr:rowOff>
    </xdr:from>
    <xdr:ext cx="1114425" cy="561975"/>
    <xdr:pic>
      <xdr:nvPicPr>
        <xdr:cNvPr id="342" name="image1.png">
          <a:extLst>
            <a:ext uri="{FF2B5EF4-FFF2-40B4-BE49-F238E27FC236}">
              <a16:creationId xmlns:a16="http://schemas.microsoft.com/office/drawing/2014/main" id="{550068AF-AF08-49C9-923E-3BCE121754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164511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1686</xdr:col>
          <xdr:colOff>447675</xdr:colOff>
          <xdr:row>46</xdr:row>
          <xdr:rowOff>142875</xdr:rowOff>
        </xdr:from>
        <xdr:to>
          <xdr:col>1687</xdr:col>
          <xdr:colOff>285750</xdr:colOff>
          <xdr:row>48</xdr:row>
          <xdr:rowOff>19050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8C8F593D-2EBB-4828-918A-8DF306F9E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1687</xdr:col>
          <xdr:colOff>542925</xdr:colOff>
          <xdr:row>46</xdr:row>
          <xdr:rowOff>142875</xdr:rowOff>
        </xdr:from>
        <xdr:to>
          <xdr:col>1689</xdr:col>
          <xdr:colOff>0</xdr:colOff>
          <xdr:row>48</xdr:row>
          <xdr:rowOff>19050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79B34A02-9C2C-4349-8E04-40832F413F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1697</xdr:col>
      <xdr:colOff>41413</xdr:colOff>
      <xdr:row>0</xdr:row>
      <xdr:rowOff>0</xdr:rowOff>
    </xdr:from>
    <xdr:ext cx="1114425" cy="561975"/>
    <xdr:pic>
      <xdr:nvPicPr>
        <xdr:cNvPr id="345" name="image1.png">
          <a:extLst>
            <a:ext uri="{FF2B5EF4-FFF2-40B4-BE49-F238E27FC236}">
              <a16:creationId xmlns:a16="http://schemas.microsoft.com/office/drawing/2014/main" id="{A226FDF0-C9C0-47AA-A798-49597676B2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232425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1698</xdr:col>
          <xdr:colOff>447675</xdr:colOff>
          <xdr:row>46</xdr:row>
          <xdr:rowOff>142875</xdr:rowOff>
        </xdr:from>
        <xdr:to>
          <xdr:col>1699</xdr:col>
          <xdr:colOff>285750</xdr:colOff>
          <xdr:row>48</xdr:row>
          <xdr:rowOff>19050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CB548E22-16B9-4B4C-9ADB-D76D54CA24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1699</xdr:col>
          <xdr:colOff>542925</xdr:colOff>
          <xdr:row>46</xdr:row>
          <xdr:rowOff>142875</xdr:rowOff>
        </xdr:from>
        <xdr:to>
          <xdr:col>1700</xdr:col>
          <xdr:colOff>397565</xdr:colOff>
          <xdr:row>48</xdr:row>
          <xdr:rowOff>19050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DD48C081-6C86-4778-88C0-CDCE6667F9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1709</xdr:col>
      <xdr:colOff>41413</xdr:colOff>
      <xdr:row>0</xdr:row>
      <xdr:rowOff>0</xdr:rowOff>
    </xdr:from>
    <xdr:ext cx="1114425" cy="561975"/>
    <xdr:pic>
      <xdr:nvPicPr>
        <xdr:cNvPr id="348" name="image1.png">
          <a:extLst>
            <a:ext uri="{FF2B5EF4-FFF2-40B4-BE49-F238E27FC236}">
              <a16:creationId xmlns:a16="http://schemas.microsoft.com/office/drawing/2014/main" id="{229FF7B1-A0DA-48D2-BFAD-9E42318619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300338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1710</xdr:col>
          <xdr:colOff>447675</xdr:colOff>
          <xdr:row>46</xdr:row>
          <xdr:rowOff>142875</xdr:rowOff>
        </xdr:from>
        <xdr:to>
          <xdr:col>1711</xdr:col>
          <xdr:colOff>285750</xdr:colOff>
          <xdr:row>48</xdr:row>
          <xdr:rowOff>19050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3DDDE1C1-EC83-4E02-888B-3BF5BBCB0D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1711</xdr:col>
          <xdr:colOff>542925</xdr:colOff>
          <xdr:row>46</xdr:row>
          <xdr:rowOff>142875</xdr:rowOff>
        </xdr:from>
        <xdr:to>
          <xdr:col>1713</xdr:col>
          <xdr:colOff>0</xdr:colOff>
          <xdr:row>48</xdr:row>
          <xdr:rowOff>19050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F4D7D132-A578-4BE5-8810-4A80A44282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1721</xdr:col>
      <xdr:colOff>41413</xdr:colOff>
      <xdr:row>0</xdr:row>
      <xdr:rowOff>0</xdr:rowOff>
    </xdr:from>
    <xdr:ext cx="1114425" cy="561975"/>
    <xdr:pic>
      <xdr:nvPicPr>
        <xdr:cNvPr id="351" name="image1.png">
          <a:extLst>
            <a:ext uri="{FF2B5EF4-FFF2-40B4-BE49-F238E27FC236}">
              <a16:creationId xmlns:a16="http://schemas.microsoft.com/office/drawing/2014/main" id="{2E6117B0-A1B1-4F97-B4ED-63B48FB3F5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368251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1722</xdr:col>
          <xdr:colOff>447675</xdr:colOff>
          <xdr:row>46</xdr:row>
          <xdr:rowOff>142875</xdr:rowOff>
        </xdr:from>
        <xdr:to>
          <xdr:col>1723</xdr:col>
          <xdr:colOff>285750</xdr:colOff>
          <xdr:row>48</xdr:row>
          <xdr:rowOff>19050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65C8AB2D-3D9B-4FFC-BA0C-D1811BF75B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1723</xdr:col>
          <xdr:colOff>542925</xdr:colOff>
          <xdr:row>46</xdr:row>
          <xdr:rowOff>142875</xdr:rowOff>
        </xdr:from>
        <xdr:to>
          <xdr:col>1725</xdr:col>
          <xdr:colOff>0</xdr:colOff>
          <xdr:row>48</xdr:row>
          <xdr:rowOff>19050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90826C2F-BBB2-4195-8CA2-D5FB2411B2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1733</xdr:col>
      <xdr:colOff>41413</xdr:colOff>
      <xdr:row>0</xdr:row>
      <xdr:rowOff>0</xdr:rowOff>
    </xdr:from>
    <xdr:ext cx="1114425" cy="561975"/>
    <xdr:pic>
      <xdr:nvPicPr>
        <xdr:cNvPr id="354" name="image1.png">
          <a:extLst>
            <a:ext uri="{FF2B5EF4-FFF2-40B4-BE49-F238E27FC236}">
              <a16:creationId xmlns:a16="http://schemas.microsoft.com/office/drawing/2014/main" id="{62794C5E-B972-4AE5-9BFE-F26DB7495F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436164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1734</xdr:col>
          <xdr:colOff>447675</xdr:colOff>
          <xdr:row>46</xdr:row>
          <xdr:rowOff>142875</xdr:rowOff>
        </xdr:from>
        <xdr:to>
          <xdr:col>1735</xdr:col>
          <xdr:colOff>285750</xdr:colOff>
          <xdr:row>48</xdr:row>
          <xdr:rowOff>19050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6746EB6F-DE82-4882-A0E5-9C2FF6CFA4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1735</xdr:col>
          <xdr:colOff>542925</xdr:colOff>
          <xdr:row>46</xdr:row>
          <xdr:rowOff>142875</xdr:rowOff>
        </xdr:from>
        <xdr:to>
          <xdr:col>1737</xdr:col>
          <xdr:colOff>0</xdr:colOff>
          <xdr:row>48</xdr:row>
          <xdr:rowOff>19050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A9488A93-4109-4220-A1B6-017DAA61D5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1745</xdr:col>
      <xdr:colOff>41413</xdr:colOff>
      <xdr:row>0</xdr:row>
      <xdr:rowOff>0</xdr:rowOff>
    </xdr:from>
    <xdr:ext cx="1114425" cy="561975"/>
    <xdr:pic>
      <xdr:nvPicPr>
        <xdr:cNvPr id="357" name="image1.png">
          <a:extLst>
            <a:ext uri="{FF2B5EF4-FFF2-40B4-BE49-F238E27FC236}">
              <a16:creationId xmlns:a16="http://schemas.microsoft.com/office/drawing/2014/main" id="{AB340FF2-2039-411B-8905-1B363D2FB3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504078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1746</xdr:col>
          <xdr:colOff>447675</xdr:colOff>
          <xdr:row>46</xdr:row>
          <xdr:rowOff>142875</xdr:rowOff>
        </xdr:from>
        <xdr:to>
          <xdr:col>1747</xdr:col>
          <xdr:colOff>285750</xdr:colOff>
          <xdr:row>48</xdr:row>
          <xdr:rowOff>19050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60207B81-CBB3-4A16-9D9E-EEB310A431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1747</xdr:col>
          <xdr:colOff>542925</xdr:colOff>
          <xdr:row>46</xdr:row>
          <xdr:rowOff>142875</xdr:rowOff>
        </xdr:from>
        <xdr:to>
          <xdr:col>1749</xdr:col>
          <xdr:colOff>0</xdr:colOff>
          <xdr:row>48</xdr:row>
          <xdr:rowOff>19050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D6953D9-F1ED-44D7-8210-26A8B5D1F1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1757</xdr:col>
      <xdr:colOff>41413</xdr:colOff>
      <xdr:row>0</xdr:row>
      <xdr:rowOff>0</xdr:rowOff>
    </xdr:from>
    <xdr:ext cx="1114425" cy="561975"/>
    <xdr:pic>
      <xdr:nvPicPr>
        <xdr:cNvPr id="360" name="image1.png">
          <a:extLst>
            <a:ext uri="{FF2B5EF4-FFF2-40B4-BE49-F238E27FC236}">
              <a16:creationId xmlns:a16="http://schemas.microsoft.com/office/drawing/2014/main" id="{ED607AD4-06B2-45C1-9BD9-6B30B22A38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571991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1758</xdr:col>
          <xdr:colOff>447675</xdr:colOff>
          <xdr:row>46</xdr:row>
          <xdr:rowOff>142875</xdr:rowOff>
        </xdr:from>
        <xdr:to>
          <xdr:col>1759</xdr:col>
          <xdr:colOff>285750</xdr:colOff>
          <xdr:row>48</xdr:row>
          <xdr:rowOff>19050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7AF2D09B-93F7-4B3A-A1F3-7A5869730E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1759</xdr:col>
          <xdr:colOff>542925</xdr:colOff>
          <xdr:row>46</xdr:row>
          <xdr:rowOff>142875</xdr:rowOff>
        </xdr:from>
        <xdr:to>
          <xdr:col>1761</xdr:col>
          <xdr:colOff>0</xdr:colOff>
          <xdr:row>48</xdr:row>
          <xdr:rowOff>19050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96901D69-2CC0-46C2-83C2-997431F620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1769</xdr:col>
      <xdr:colOff>41413</xdr:colOff>
      <xdr:row>0</xdr:row>
      <xdr:rowOff>0</xdr:rowOff>
    </xdr:from>
    <xdr:ext cx="1114425" cy="561975"/>
    <xdr:pic>
      <xdr:nvPicPr>
        <xdr:cNvPr id="363" name="image1.png">
          <a:extLst>
            <a:ext uri="{FF2B5EF4-FFF2-40B4-BE49-F238E27FC236}">
              <a16:creationId xmlns:a16="http://schemas.microsoft.com/office/drawing/2014/main" id="{0FCBB7B0-7786-49C3-A04E-E2945F4392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639904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1770</xdr:col>
          <xdr:colOff>447675</xdr:colOff>
          <xdr:row>46</xdr:row>
          <xdr:rowOff>142875</xdr:rowOff>
        </xdr:from>
        <xdr:to>
          <xdr:col>1771</xdr:col>
          <xdr:colOff>285750</xdr:colOff>
          <xdr:row>48</xdr:row>
          <xdr:rowOff>19050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586FF1C6-1A47-452A-9644-E08424F6D9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1771</xdr:col>
          <xdr:colOff>542925</xdr:colOff>
          <xdr:row>46</xdr:row>
          <xdr:rowOff>142875</xdr:rowOff>
        </xdr:from>
        <xdr:to>
          <xdr:col>1773</xdr:col>
          <xdr:colOff>0</xdr:colOff>
          <xdr:row>48</xdr:row>
          <xdr:rowOff>19050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DA035ABB-C7A6-4838-AE29-D1E2BE3B0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1781</xdr:col>
      <xdr:colOff>41413</xdr:colOff>
      <xdr:row>0</xdr:row>
      <xdr:rowOff>0</xdr:rowOff>
    </xdr:from>
    <xdr:ext cx="1114425" cy="561975"/>
    <xdr:pic>
      <xdr:nvPicPr>
        <xdr:cNvPr id="366" name="image1.png">
          <a:extLst>
            <a:ext uri="{FF2B5EF4-FFF2-40B4-BE49-F238E27FC236}">
              <a16:creationId xmlns:a16="http://schemas.microsoft.com/office/drawing/2014/main" id="{56BE2DA5-AC7C-448E-BD78-876C1D97B9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707817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1782</xdr:col>
          <xdr:colOff>447675</xdr:colOff>
          <xdr:row>46</xdr:row>
          <xdr:rowOff>142875</xdr:rowOff>
        </xdr:from>
        <xdr:to>
          <xdr:col>1783</xdr:col>
          <xdr:colOff>285750</xdr:colOff>
          <xdr:row>48</xdr:row>
          <xdr:rowOff>19050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BB9A4C77-6280-4912-AE8B-C274053A6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1783</xdr:col>
          <xdr:colOff>542925</xdr:colOff>
          <xdr:row>46</xdr:row>
          <xdr:rowOff>142875</xdr:rowOff>
        </xdr:from>
        <xdr:to>
          <xdr:col>1785</xdr:col>
          <xdr:colOff>0</xdr:colOff>
          <xdr:row>48</xdr:row>
          <xdr:rowOff>19050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E391B112-77B2-45A3-B4D1-B2DF2915FF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1793</xdr:col>
      <xdr:colOff>41413</xdr:colOff>
      <xdr:row>0</xdr:row>
      <xdr:rowOff>0</xdr:rowOff>
    </xdr:from>
    <xdr:ext cx="1114425" cy="561975"/>
    <xdr:pic>
      <xdr:nvPicPr>
        <xdr:cNvPr id="369" name="image1.png">
          <a:extLst>
            <a:ext uri="{FF2B5EF4-FFF2-40B4-BE49-F238E27FC236}">
              <a16:creationId xmlns:a16="http://schemas.microsoft.com/office/drawing/2014/main" id="{0389A56C-C778-413B-BA0F-829670CDF6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775731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1794</xdr:col>
          <xdr:colOff>447675</xdr:colOff>
          <xdr:row>46</xdr:row>
          <xdr:rowOff>142875</xdr:rowOff>
        </xdr:from>
        <xdr:to>
          <xdr:col>1795</xdr:col>
          <xdr:colOff>285750</xdr:colOff>
          <xdr:row>48</xdr:row>
          <xdr:rowOff>19050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1DC3E072-C9FA-4D1F-9CB5-9A76035D98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1795</xdr:col>
          <xdr:colOff>542925</xdr:colOff>
          <xdr:row>46</xdr:row>
          <xdr:rowOff>142875</xdr:rowOff>
        </xdr:from>
        <xdr:to>
          <xdr:col>1797</xdr:col>
          <xdr:colOff>0</xdr:colOff>
          <xdr:row>48</xdr:row>
          <xdr:rowOff>19050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4C497CF4-893A-4506-82D5-5A9E72E147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1805</xdr:col>
      <xdr:colOff>41413</xdr:colOff>
      <xdr:row>0</xdr:row>
      <xdr:rowOff>0</xdr:rowOff>
    </xdr:from>
    <xdr:ext cx="1114425" cy="561975"/>
    <xdr:pic>
      <xdr:nvPicPr>
        <xdr:cNvPr id="372" name="image1.png">
          <a:extLst>
            <a:ext uri="{FF2B5EF4-FFF2-40B4-BE49-F238E27FC236}">
              <a16:creationId xmlns:a16="http://schemas.microsoft.com/office/drawing/2014/main" id="{06BCE62B-2B2A-46A7-A093-606AFA6CCF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843644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1806</xdr:col>
          <xdr:colOff>447675</xdr:colOff>
          <xdr:row>46</xdr:row>
          <xdr:rowOff>142875</xdr:rowOff>
        </xdr:from>
        <xdr:to>
          <xdr:col>1807</xdr:col>
          <xdr:colOff>276225</xdr:colOff>
          <xdr:row>48</xdr:row>
          <xdr:rowOff>19050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75AC5C49-924F-423D-A4B1-50EB5975B2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1807</xdr:col>
          <xdr:colOff>542925</xdr:colOff>
          <xdr:row>46</xdr:row>
          <xdr:rowOff>142875</xdr:rowOff>
        </xdr:from>
        <xdr:to>
          <xdr:col>1808</xdr:col>
          <xdr:colOff>381000</xdr:colOff>
          <xdr:row>48</xdr:row>
          <xdr:rowOff>19050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5792839A-D346-41F1-90D0-FCDEA5D114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1817</xdr:col>
      <xdr:colOff>41413</xdr:colOff>
      <xdr:row>0</xdr:row>
      <xdr:rowOff>0</xdr:rowOff>
    </xdr:from>
    <xdr:ext cx="1114425" cy="561975"/>
    <xdr:pic>
      <xdr:nvPicPr>
        <xdr:cNvPr id="375" name="image1.png">
          <a:extLst>
            <a:ext uri="{FF2B5EF4-FFF2-40B4-BE49-F238E27FC236}">
              <a16:creationId xmlns:a16="http://schemas.microsoft.com/office/drawing/2014/main" id="{C548A3FD-9EBA-430C-B60E-499155D398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911557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1818</xdr:col>
          <xdr:colOff>447675</xdr:colOff>
          <xdr:row>46</xdr:row>
          <xdr:rowOff>142875</xdr:rowOff>
        </xdr:from>
        <xdr:to>
          <xdr:col>1819</xdr:col>
          <xdr:colOff>276225</xdr:colOff>
          <xdr:row>48</xdr:row>
          <xdr:rowOff>19050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65D572CD-67F8-4D21-A781-88B056CA99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1819</xdr:col>
          <xdr:colOff>542925</xdr:colOff>
          <xdr:row>46</xdr:row>
          <xdr:rowOff>142875</xdr:rowOff>
        </xdr:from>
        <xdr:to>
          <xdr:col>1820</xdr:col>
          <xdr:colOff>381000</xdr:colOff>
          <xdr:row>48</xdr:row>
          <xdr:rowOff>19050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10DFB925-A678-4E84-9AB9-D439CF0990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1829</xdr:col>
      <xdr:colOff>41413</xdr:colOff>
      <xdr:row>0</xdr:row>
      <xdr:rowOff>0</xdr:rowOff>
    </xdr:from>
    <xdr:ext cx="1114425" cy="561975"/>
    <xdr:pic>
      <xdr:nvPicPr>
        <xdr:cNvPr id="378" name="image1.png">
          <a:extLst>
            <a:ext uri="{FF2B5EF4-FFF2-40B4-BE49-F238E27FC236}">
              <a16:creationId xmlns:a16="http://schemas.microsoft.com/office/drawing/2014/main" id="{EDB92530-FCE5-48E4-9A83-39B744C729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9979470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1830</xdr:col>
          <xdr:colOff>447675</xdr:colOff>
          <xdr:row>46</xdr:row>
          <xdr:rowOff>142875</xdr:rowOff>
        </xdr:from>
        <xdr:to>
          <xdr:col>1831</xdr:col>
          <xdr:colOff>276225</xdr:colOff>
          <xdr:row>48</xdr:row>
          <xdr:rowOff>19050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E7AE6A5E-4803-43C4-8449-E93A94BF17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1831</xdr:col>
          <xdr:colOff>542925</xdr:colOff>
          <xdr:row>46</xdr:row>
          <xdr:rowOff>142875</xdr:rowOff>
        </xdr:from>
        <xdr:to>
          <xdr:col>1832</xdr:col>
          <xdr:colOff>381000</xdr:colOff>
          <xdr:row>48</xdr:row>
          <xdr:rowOff>19050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A8841DAD-586F-45B9-9E34-BEBE810FDE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1841</xdr:col>
      <xdr:colOff>41413</xdr:colOff>
      <xdr:row>0</xdr:row>
      <xdr:rowOff>0</xdr:rowOff>
    </xdr:from>
    <xdr:ext cx="1114425" cy="561975"/>
    <xdr:pic>
      <xdr:nvPicPr>
        <xdr:cNvPr id="381" name="image1.png">
          <a:extLst>
            <a:ext uri="{FF2B5EF4-FFF2-40B4-BE49-F238E27FC236}">
              <a16:creationId xmlns:a16="http://schemas.microsoft.com/office/drawing/2014/main" id="{FF21C012-B13F-4F80-BEBE-C0120BFE4C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047384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1842</xdr:col>
          <xdr:colOff>447675</xdr:colOff>
          <xdr:row>46</xdr:row>
          <xdr:rowOff>142875</xdr:rowOff>
        </xdr:from>
        <xdr:to>
          <xdr:col>1843</xdr:col>
          <xdr:colOff>276225</xdr:colOff>
          <xdr:row>48</xdr:row>
          <xdr:rowOff>19050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FC30AB40-ED53-44E5-B65A-B39F32B220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1843</xdr:col>
          <xdr:colOff>542925</xdr:colOff>
          <xdr:row>46</xdr:row>
          <xdr:rowOff>142875</xdr:rowOff>
        </xdr:from>
        <xdr:to>
          <xdr:col>1844</xdr:col>
          <xdr:colOff>381000</xdr:colOff>
          <xdr:row>48</xdr:row>
          <xdr:rowOff>19050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AB35C684-DF94-40DB-8592-F3A5D3C435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1853</xdr:col>
      <xdr:colOff>41413</xdr:colOff>
      <xdr:row>0</xdr:row>
      <xdr:rowOff>0</xdr:rowOff>
    </xdr:from>
    <xdr:ext cx="1114425" cy="561975"/>
    <xdr:pic>
      <xdr:nvPicPr>
        <xdr:cNvPr id="384" name="image1.png">
          <a:extLst>
            <a:ext uri="{FF2B5EF4-FFF2-40B4-BE49-F238E27FC236}">
              <a16:creationId xmlns:a16="http://schemas.microsoft.com/office/drawing/2014/main" id="{71410283-E8AF-4487-9530-1CEC4905CB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115297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1854</xdr:col>
          <xdr:colOff>447675</xdr:colOff>
          <xdr:row>46</xdr:row>
          <xdr:rowOff>142875</xdr:rowOff>
        </xdr:from>
        <xdr:to>
          <xdr:col>1855</xdr:col>
          <xdr:colOff>276225</xdr:colOff>
          <xdr:row>48</xdr:row>
          <xdr:rowOff>19050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EE997F0B-5AFE-4AEE-8D01-546CB0F97E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1855</xdr:col>
          <xdr:colOff>542925</xdr:colOff>
          <xdr:row>46</xdr:row>
          <xdr:rowOff>142875</xdr:rowOff>
        </xdr:from>
        <xdr:to>
          <xdr:col>1856</xdr:col>
          <xdr:colOff>381000</xdr:colOff>
          <xdr:row>48</xdr:row>
          <xdr:rowOff>19050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7EA3A17F-E6AE-4DBF-A95A-F2A09D84B2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1865</xdr:col>
      <xdr:colOff>41413</xdr:colOff>
      <xdr:row>0</xdr:row>
      <xdr:rowOff>0</xdr:rowOff>
    </xdr:from>
    <xdr:ext cx="1114425" cy="561975"/>
    <xdr:pic>
      <xdr:nvPicPr>
        <xdr:cNvPr id="387" name="image1.png">
          <a:extLst>
            <a:ext uri="{FF2B5EF4-FFF2-40B4-BE49-F238E27FC236}">
              <a16:creationId xmlns:a16="http://schemas.microsoft.com/office/drawing/2014/main" id="{57C0A125-0F24-45C5-A2CF-C873FCF0F1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183210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1866</xdr:col>
          <xdr:colOff>447675</xdr:colOff>
          <xdr:row>46</xdr:row>
          <xdr:rowOff>142875</xdr:rowOff>
        </xdr:from>
        <xdr:to>
          <xdr:col>1867</xdr:col>
          <xdr:colOff>276225</xdr:colOff>
          <xdr:row>48</xdr:row>
          <xdr:rowOff>19050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BC57E47E-2DA7-4B79-841C-93FEC0F858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1867</xdr:col>
          <xdr:colOff>542925</xdr:colOff>
          <xdr:row>46</xdr:row>
          <xdr:rowOff>142875</xdr:rowOff>
        </xdr:from>
        <xdr:to>
          <xdr:col>1868</xdr:col>
          <xdr:colOff>381000</xdr:colOff>
          <xdr:row>48</xdr:row>
          <xdr:rowOff>19050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AD5FCE72-D16F-4E19-AB1E-B02EF854C9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1877</xdr:col>
      <xdr:colOff>41413</xdr:colOff>
      <xdr:row>0</xdr:row>
      <xdr:rowOff>0</xdr:rowOff>
    </xdr:from>
    <xdr:ext cx="1114425" cy="561975"/>
    <xdr:pic>
      <xdr:nvPicPr>
        <xdr:cNvPr id="390" name="image1.png">
          <a:extLst>
            <a:ext uri="{FF2B5EF4-FFF2-40B4-BE49-F238E27FC236}">
              <a16:creationId xmlns:a16="http://schemas.microsoft.com/office/drawing/2014/main" id="{6CB09F1E-8812-4D2A-829C-03C1749059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251123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1878</xdr:col>
          <xdr:colOff>447675</xdr:colOff>
          <xdr:row>46</xdr:row>
          <xdr:rowOff>142875</xdr:rowOff>
        </xdr:from>
        <xdr:to>
          <xdr:col>1879</xdr:col>
          <xdr:colOff>276225</xdr:colOff>
          <xdr:row>48</xdr:row>
          <xdr:rowOff>19050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D8B08E22-2C85-49F0-B177-E716C6BBEC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1879</xdr:col>
          <xdr:colOff>542925</xdr:colOff>
          <xdr:row>46</xdr:row>
          <xdr:rowOff>142875</xdr:rowOff>
        </xdr:from>
        <xdr:to>
          <xdr:col>1880</xdr:col>
          <xdr:colOff>381000</xdr:colOff>
          <xdr:row>48</xdr:row>
          <xdr:rowOff>19050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297A233B-4506-4A35-A52F-B706C0E547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1889</xdr:col>
      <xdr:colOff>41413</xdr:colOff>
      <xdr:row>0</xdr:row>
      <xdr:rowOff>0</xdr:rowOff>
    </xdr:from>
    <xdr:ext cx="1114425" cy="561975"/>
    <xdr:pic>
      <xdr:nvPicPr>
        <xdr:cNvPr id="393" name="image1.png">
          <a:extLst>
            <a:ext uri="{FF2B5EF4-FFF2-40B4-BE49-F238E27FC236}">
              <a16:creationId xmlns:a16="http://schemas.microsoft.com/office/drawing/2014/main" id="{9A9A4F70-85F9-410C-A180-077625FDD9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319037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1890</xdr:col>
          <xdr:colOff>447675</xdr:colOff>
          <xdr:row>46</xdr:row>
          <xdr:rowOff>142875</xdr:rowOff>
        </xdr:from>
        <xdr:to>
          <xdr:col>1891</xdr:col>
          <xdr:colOff>276225</xdr:colOff>
          <xdr:row>48</xdr:row>
          <xdr:rowOff>19050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FD9FCAC4-E280-474B-97A9-5E55F0C4E9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1891</xdr:col>
          <xdr:colOff>542925</xdr:colOff>
          <xdr:row>46</xdr:row>
          <xdr:rowOff>142875</xdr:rowOff>
        </xdr:from>
        <xdr:to>
          <xdr:col>1892</xdr:col>
          <xdr:colOff>381000</xdr:colOff>
          <xdr:row>48</xdr:row>
          <xdr:rowOff>19050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F5FE3BE9-0A6E-47A8-AACA-20A49DFF12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1901</xdr:col>
      <xdr:colOff>41413</xdr:colOff>
      <xdr:row>0</xdr:row>
      <xdr:rowOff>0</xdr:rowOff>
    </xdr:from>
    <xdr:ext cx="1114425" cy="561975"/>
    <xdr:pic>
      <xdr:nvPicPr>
        <xdr:cNvPr id="396" name="image1.png">
          <a:extLst>
            <a:ext uri="{FF2B5EF4-FFF2-40B4-BE49-F238E27FC236}">
              <a16:creationId xmlns:a16="http://schemas.microsoft.com/office/drawing/2014/main" id="{0B4D7852-1D7B-468A-AFF8-DC64F02D09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386950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1902</xdr:col>
          <xdr:colOff>447675</xdr:colOff>
          <xdr:row>46</xdr:row>
          <xdr:rowOff>142875</xdr:rowOff>
        </xdr:from>
        <xdr:to>
          <xdr:col>1903</xdr:col>
          <xdr:colOff>276225</xdr:colOff>
          <xdr:row>48</xdr:row>
          <xdr:rowOff>19050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2BD789E5-EBA2-497B-9E88-2E5EE04B8D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1903</xdr:col>
          <xdr:colOff>542925</xdr:colOff>
          <xdr:row>46</xdr:row>
          <xdr:rowOff>142875</xdr:rowOff>
        </xdr:from>
        <xdr:to>
          <xdr:col>1904</xdr:col>
          <xdr:colOff>381000</xdr:colOff>
          <xdr:row>48</xdr:row>
          <xdr:rowOff>19050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92A0E32C-D998-4867-A993-BCE4B71664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1913</xdr:col>
      <xdr:colOff>41413</xdr:colOff>
      <xdr:row>0</xdr:row>
      <xdr:rowOff>0</xdr:rowOff>
    </xdr:from>
    <xdr:ext cx="1114425" cy="561975"/>
    <xdr:pic>
      <xdr:nvPicPr>
        <xdr:cNvPr id="399" name="image1.png">
          <a:extLst>
            <a:ext uri="{FF2B5EF4-FFF2-40B4-BE49-F238E27FC236}">
              <a16:creationId xmlns:a16="http://schemas.microsoft.com/office/drawing/2014/main" id="{6727AD24-1AB5-4ADC-A039-23DD4F8A61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454863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1914</xdr:col>
          <xdr:colOff>447675</xdr:colOff>
          <xdr:row>46</xdr:row>
          <xdr:rowOff>142875</xdr:rowOff>
        </xdr:from>
        <xdr:to>
          <xdr:col>1915</xdr:col>
          <xdr:colOff>276225</xdr:colOff>
          <xdr:row>48</xdr:row>
          <xdr:rowOff>19050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641B93CE-2CED-42CA-96B6-74F2A6540E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1915</xdr:col>
          <xdr:colOff>542925</xdr:colOff>
          <xdr:row>46</xdr:row>
          <xdr:rowOff>142875</xdr:rowOff>
        </xdr:from>
        <xdr:to>
          <xdr:col>1916</xdr:col>
          <xdr:colOff>381000</xdr:colOff>
          <xdr:row>48</xdr:row>
          <xdr:rowOff>19050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5F52BA95-0C5C-4B28-9DAD-04E9E2B899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1925</xdr:col>
      <xdr:colOff>41413</xdr:colOff>
      <xdr:row>0</xdr:row>
      <xdr:rowOff>0</xdr:rowOff>
    </xdr:from>
    <xdr:ext cx="1114425" cy="561975"/>
    <xdr:pic>
      <xdr:nvPicPr>
        <xdr:cNvPr id="402" name="image1.png">
          <a:extLst>
            <a:ext uri="{FF2B5EF4-FFF2-40B4-BE49-F238E27FC236}">
              <a16:creationId xmlns:a16="http://schemas.microsoft.com/office/drawing/2014/main" id="{7298834E-7549-4A08-AE73-6688EFEDB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522776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1926</xdr:col>
          <xdr:colOff>447675</xdr:colOff>
          <xdr:row>46</xdr:row>
          <xdr:rowOff>142875</xdr:rowOff>
        </xdr:from>
        <xdr:to>
          <xdr:col>1927</xdr:col>
          <xdr:colOff>276225</xdr:colOff>
          <xdr:row>48</xdr:row>
          <xdr:rowOff>19050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D2B27C75-B4FF-42AA-900B-E585C403F4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1927</xdr:col>
          <xdr:colOff>542925</xdr:colOff>
          <xdr:row>46</xdr:row>
          <xdr:rowOff>142875</xdr:rowOff>
        </xdr:from>
        <xdr:to>
          <xdr:col>1928</xdr:col>
          <xdr:colOff>381000</xdr:colOff>
          <xdr:row>48</xdr:row>
          <xdr:rowOff>19050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83D1539E-F274-422C-94D1-02172211CC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1937</xdr:col>
      <xdr:colOff>41413</xdr:colOff>
      <xdr:row>0</xdr:row>
      <xdr:rowOff>0</xdr:rowOff>
    </xdr:from>
    <xdr:ext cx="1114425" cy="561975"/>
    <xdr:pic>
      <xdr:nvPicPr>
        <xdr:cNvPr id="405" name="image1.png">
          <a:extLst>
            <a:ext uri="{FF2B5EF4-FFF2-40B4-BE49-F238E27FC236}">
              <a16:creationId xmlns:a16="http://schemas.microsoft.com/office/drawing/2014/main" id="{9939EA72-C8E5-44E8-8103-1960CDEB5E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590690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1938</xdr:col>
          <xdr:colOff>447675</xdr:colOff>
          <xdr:row>46</xdr:row>
          <xdr:rowOff>142875</xdr:rowOff>
        </xdr:from>
        <xdr:to>
          <xdr:col>1939</xdr:col>
          <xdr:colOff>276225</xdr:colOff>
          <xdr:row>48</xdr:row>
          <xdr:rowOff>19050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C60A558C-4469-4193-A341-653FAC9854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1939</xdr:col>
          <xdr:colOff>542925</xdr:colOff>
          <xdr:row>46</xdr:row>
          <xdr:rowOff>142875</xdr:rowOff>
        </xdr:from>
        <xdr:to>
          <xdr:col>1940</xdr:col>
          <xdr:colOff>381000</xdr:colOff>
          <xdr:row>48</xdr:row>
          <xdr:rowOff>19050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6FE5323D-C684-4B1D-9A4F-8C1942F6DB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1949</xdr:col>
      <xdr:colOff>41413</xdr:colOff>
      <xdr:row>0</xdr:row>
      <xdr:rowOff>0</xdr:rowOff>
    </xdr:from>
    <xdr:ext cx="1114425" cy="561975"/>
    <xdr:pic>
      <xdr:nvPicPr>
        <xdr:cNvPr id="408" name="image1.png">
          <a:extLst>
            <a:ext uri="{FF2B5EF4-FFF2-40B4-BE49-F238E27FC236}">
              <a16:creationId xmlns:a16="http://schemas.microsoft.com/office/drawing/2014/main" id="{89EF8A15-CD67-4593-AB83-D7E4D0C49A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658603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1950</xdr:col>
          <xdr:colOff>447675</xdr:colOff>
          <xdr:row>46</xdr:row>
          <xdr:rowOff>142875</xdr:rowOff>
        </xdr:from>
        <xdr:to>
          <xdr:col>1951</xdr:col>
          <xdr:colOff>276225</xdr:colOff>
          <xdr:row>48</xdr:row>
          <xdr:rowOff>19050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7B64D89D-C203-43E5-8425-4257868CAC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1951</xdr:col>
          <xdr:colOff>542925</xdr:colOff>
          <xdr:row>46</xdr:row>
          <xdr:rowOff>142875</xdr:rowOff>
        </xdr:from>
        <xdr:to>
          <xdr:col>1952</xdr:col>
          <xdr:colOff>381000</xdr:colOff>
          <xdr:row>48</xdr:row>
          <xdr:rowOff>19050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B8077181-27DC-4111-BC5C-AC3ADFB28C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1961</xdr:col>
      <xdr:colOff>41413</xdr:colOff>
      <xdr:row>0</xdr:row>
      <xdr:rowOff>0</xdr:rowOff>
    </xdr:from>
    <xdr:ext cx="1114425" cy="561975"/>
    <xdr:pic>
      <xdr:nvPicPr>
        <xdr:cNvPr id="411" name="image1.png">
          <a:extLst>
            <a:ext uri="{FF2B5EF4-FFF2-40B4-BE49-F238E27FC236}">
              <a16:creationId xmlns:a16="http://schemas.microsoft.com/office/drawing/2014/main" id="{90AE475F-1362-49EE-9C8E-85C3F546D3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726516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1962</xdr:col>
          <xdr:colOff>447675</xdr:colOff>
          <xdr:row>46</xdr:row>
          <xdr:rowOff>142875</xdr:rowOff>
        </xdr:from>
        <xdr:to>
          <xdr:col>1963</xdr:col>
          <xdr:colOff>276225</xdr:colOff>
          <xdr:row>48</xdr:row>
          <xdr:rowOff>19050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77708C45-7417-4363-BF7F-72A9E2112F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1963</xdr:col>
          <xdr:colOff>542925</xdr:colOff>
          <xdr:row>46</xdr:row>
          <xdr:rowOff>142875</xdr:rowOff>
        </xdr:from>
        <xdr:to>
          <xdr:col>1964</xdr:col>
          <xdr:colOff>381000</xdr:colOff>
          <xdr:row>48</xdr:row>
          <xdr:rowOff>19050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44768149-21DD-4AE8-A765-90393DEC3B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1973</xdr:col>
      <xdr:colOff>41413</xdr:colOff>
      <xdr:row>0</xdr:row>
      <xdr:rowOff>0</xdr:rowOff>
    </xdr:from>
    <xdr:ext cx="1114425" cy="561975"/>
    <xdr:pic>
      <xdr:nvPicPr>
        <xdr:cNvPr id="414" name="image1.png">
          <a:extLst>
            <a:ext uri="{FF2B5EF4-FFF2-40B4-BE49-F238E27FC236}">
              <a16:creationId xmlns:a16="http://schemas.microsoft.com/office/drawing/2014/main" id="{03A03B28-6A30-403C-9B5D-BEFFF4941C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794429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1974</xdr:col>
          <xdr:colOff>447675</xdr:colOff>
          <xdr:row>46</xdr:row>
          <xdr:rowOff>142875</xdr:rowOff>
        </xdr:from>
        <xdr:to>
          <xdr:col>1975</xdr:col>
          <xdr:colOff>276225</xdr:colOff>
          <xdr:row>48</xdr:row>
          <xdr:rowOff>19050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F77249A0-D605-4A43-A8AA-BED7C7152B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1975</xdr:col>
          <xdr:colOff>542925</xdr:colOff>
          <xdr:row>46</xdr:row>
          <xdr:rowOff>142875</xdr:rowOff>
        </xdr:from>
        <xdr:to>
          <xdr:col>1976</xdr:col>
          <xdr:colOff>381000</xdr:colOff>
          <xdr:row>48</xdr:row>
          <xdr:rowOff>19050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6884CA9B-5CF7-4210-9C8E-6280270FCC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1985</xdr:col>
      <xdr:colOff>41413</xdr:colOff>
      <xdr:row>0</xdr:row>
      <xdr:rowOff>0</xdr:rowOff>
    </xdr:from>
    <xdr:ext cx="1114425" cy="561975"/>
    <xdr:pic>
      <xdr:nvPicPr>
        <xdr:cNvPr id="417" name="image1.png">
          <a:extLst>
            <a:ext uri="{FF2B5EF4-FFF2-40B4-BE49-F238E27FC236}">
              <a16:creationId xmlns:a16="http://schemas.microsoft.com/office/drawing/2014/main" id="{C90C688D-286A-4970-8197-AA2D3BD0F0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862343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1986</xdr:col>
          <xdr:colOff>447675</xdr:colOff>
          <xdr:row>46</xdr:row>
          <xdr:rowOff>142875</xdr:rowOff>
        </xdr:from>
        <xdr:to>
          <xdr:col>1987</xdr:col>
          <xdr:colOff>276225</xdr:colOff>
          <xdr:row>48</xdr:row>
          <xdr:rowOff>19050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A0D3CAC8-BCD0-40FF-9D99-6716724E9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1987</xdr:col>
          <xdr:colOff>542925</xdr:colOff>
          <xdr:row>46</xdr:row>
          <xdr:rowOff>142875</xdr:rowOff>
        </xdr:from>
        <xdr:to>
          <xdr:col>1988</xdr:col>
          <xdr:colOff>381000</xdr:colOff>
          <xdr:row>48</xdr:row>
          <xdr:rowOff>19050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617F6EAE-D18B-4435-9327-5A93429AE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1997</xdr:col>
      <xdr:colOff>41413</xdr:colOff>
      <xdr:row>0</xdr:row>
      <xdr:rowOff>0</xdr:rowOff>
    </xdr:from>
    <xdr:ext cx="1114425" cy="561975"/>
    <xdr:pic>
      <xdr:nvPicPr>
        <xdr:cNvPr id="420" name="image1.png">
          <a:extLst>
            <a:ext uri="{FF2B5EF4-FFF2-40B4-BE49-F238E27FC236}">
              <a16:creationId xmlns:a16="http://schemas.microsoft.com/office/drawing/2014/main" id="{E6629F1D-A87F-465B-8903-B32E989721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930256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1998</xdr:col>
          <xdr:colOff>447675</xdr:colOff>
          <xdr:row>46</xdr:row>
          <xdr:rowOff>142875</xdr:rowOff>
        </xdr:from>
        <xdr:to>
          <xdr:col>1999</xdr:col>
          <xdr:colOff>276225</xdr:colOff>
          <xdr:row>48</xdr:row>
          <xdr:rowOff>19050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35AF571D-06EE-4677-9443-4E873B415C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1999</xdr:col>
          <xdr:colOff>542925</xdr:colOff>
          <xdr:row>46</xdr:row>
          <xdr:rowOff>142875</xdr:rowOff>
        </xdr:from>
        <xdr:to>
          <xdr:col>2000</xdr:col>
          <xdr:colOff>381000</xdr:colOff>
          <xdr:row>48</xdr:row>
          <xdr:rowOff>19050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FB5E5D81-2DE3-4033-8AC2-51247C9AE6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2009</xdr:col>
      <xdr:colOff>41413</xdr:colOff>
      <xdr:row>0</xdr:row>
      <xdr:rowOff>0</xdr:rowOff>
    </xdr:from>
    <xdr:ext cx="1114425" cy="561975"/>
    <xdr:pic>
      <xdr:nvPicPr>
        <xdr:cNvPr id="423" name="image1.png">
          <a:extLst>
            <a:ext uri="{FF2B5EF4-FFF2-40B4-BE49-F238E27FC236}">
              <a16:creationId xmlns:a16="http://schemas.microsoft.com/office/drawing/2014/main" id="{724FC403-52B5-4DE8-957B-70DBD9FDC4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0998169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2010</xdr:col>
          <xdr:colOff>447675</xdr:colOff>
          <xdr:row>46</xdr:row>
          <xdr:rowOff>142875</xdr:rowOff>
        </xdr:from>
        <xdr:to>
          <xdr:col>2011</xdr:col>
          <xdr:colOff>276225</xdr:colOff>
          <xdr:row>48</xdr:row>
          <xdr:rowOff>19050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D734012F-26EE-456B-8B33-46CACF821C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2011</xdr:col>
          <xdr:colOff>542925</xdr:colOff>
          <xdr:row>46</xdr:row>
          <xdr:rowOff>142875</xdr:rowOff>
        </xdr:from>
        <xdr:to>
          <xdr:col>2012</xdr:col>
          <xdr:colOff>381000</xdr:colOff>
          <xdr:row>48</xdr:row>
          <xdr:rowOff>19050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E8ABC616-7E2C-490F-8104-60C20636DA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2021</xdr:col>
      <xdr:colOff>41413</xdr:colOff>
      <xdr:row>0</xdr:row>
      <xdr:rowOff>0</xdr:rowOff>
    </xdr:from>
    <xdr:ext cx="1114425" cy="561975"/>
    <xdr:pic>
      <xdr:nvPicPr>
        <xdr:cNvPr id="426" name="image1.png">
          <a:extLst>
            <a:ext uri="{FF2B5EF4-FFF2-40B4-BE49-F238E27FC236}">
              <a16:creationId xmlns:a16="http://schemas.microsoft.com/office/drawing/2014/main" id="{42AE65D4-FFF8-403C-957B-280F7A223D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066082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2022</xdr:col>
          <xdr:colOff>447675</xdr:colOff>
          <xdr:row>46</xdr:row>
          <xdr:rowOff>142875</xdr:rowOff>
        </xdr:from>
        <xdr:to>
          <xdr:col>2023</xdr:col>
          <xdr:colOff>276225</xdr:colOff>
          <xdr:row>48</xdr:row>
          <xdr:rowOff>19050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8A558461-9080-493F-91E0-EECC075814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2023</xdr:col>
          <xdr:colOff>542925</xdr:colOff>
          <xdr:row>46</xdr:row>
          <xdr:rowOff>142875</xdr:rowOff>
        </xdr:from>
        <xdr:to>
          <xdr:col>2024</xdr:col>
          <xdr:colOff>381000</xdr:colOff>
          <xdr:row>48</xdr:row>
          <xdr:rowOff>19050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1A1D0035-540A-4AF9-AC13-A2753E1D12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2033</xdr:col>
      <xdr:colOff>41413</xdr:colOff>
      <xdr:row>0</xdr:row>
      <xdr:rowOff>0</xdr:rowOff>
    </xdr:from>
    <xdr:ext cx="1114425" cy="561975"/>
    <xdr:pic>
      <xdr:nvPicPr>
        <xdr:cNvPr id="429" name="image1.png">
          <a:extLst>
            <a:ext uri="{FF2B5EF4-FFF2-40B4-BE49-F238E27FC236}">
              <a16:creationId xmlns:a16="http://schemas.microsoft.com/office/drawing/2014/main" id="{BD5BD22F-CD63-4FDE-BCAC-F8E399085E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133996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2034</xdr:col>
          <xdr:colOff>447675</xdr:colOff>
          <xdr:row>46</xdr:row>
          <xdr:rowOff>142875</xdr:rowOff>
        </xdr:from>
        <xdr:to>
          <xdr:col>2035</xdr:col>
          <xdr:colOff>276225</xdr:colOff>
          <xdr:row>48</xdr:row>
          <xdr:rowOff>19050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258A680C-776A-40BF-BE9B-5BA011629D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2035</xdr:col>
          <xdr:colOff>542925</xdr:colOff>
          <xdr:row>46</xdr:row>
          <xdr:rowOff>142875</xdr:rowOff>
        </xdr:from>
        <xdr:to>
          <xdr:col>2036</xdr:col>
          <xdr:colOff>381000</xdr:colOff>
          <xdr:row>48</xdr:row>
          <xdr:rowOff>19050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92158FD5-C3A9-4129-A21E-54ACFEC038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2045</xdr:col>
      <xdr:colOff>41413</xdr:colOff>
      <xdr:row>0</xdr:row>
      <xdr:rowOff>0</xdr:rowOff>
    </xdr:from>
    <xdr:ext cx="1114425" cy="561975"/>
    <xdr:pic>
      <xdr:nvPicPr>
        <xdr:cNvPr id="432" name="image1.png">
          <a:extLst>
            <a:ext uri="{FF2B5EF4-FFF2-40B4-BE49-F238E27FC236}">
              <a16:creationId xmlns:a16="http://schemas.microsoft.com/office/drawing/2014/main" id="{D5D9DBB4-C33D-45F1-BB6D-C1DFD8AB03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201909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2046</xdr:col>
          <xdr:colOff>447675</xdr:colOff>
          <xdr:row>46</xdr:row>
          <xdr:rowOff>142875</xdr:rowOff>
        </xdr:from>
        <xdr:to>
          <xdr:col>2047</xdr:col>
          <xdr:colOff>276225</xdr:colOff>
          <xdr:row>48</xdr:row>
          <xdr:rowOff>19050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CBE88C35-D22D-4C14-AE4D-ADFA4E9BED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2047</xdr:col>
          <xdr:colOff>542925</xdr:colOff>
          <xdr:row>46</xdr:row>
          <xdr:rowOff>142875</xdr:rowOff>
        </xdr:from>
        <xdr:to>
          <xdr:col>2048</xdr:col>
          <xdr:colOff>381000</xdr:colOff>
          <xdr:row>48</xdr:row>
          <xdr:rowOff>19050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8E0EF661-0559-470E-B757-E313FE4F86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2057</xdr:col>
      <xdr:colOff>41413</xdr:colOff>
      <xdr:row>0</xdr:row>
      <xdr:rowOff>0</xdr:rowOff>
    </xdr:from>
    <xdr:ext cx="1114425" cy="561975"/>
    <xdr:pic>
      <xdr:nvPicPr>
        <xdr:cNvPr id="435" name="image1.png">
          <a:extLst>
            <a:ext uri="{FF2B5EF4-FFF2-40B4-BE49-F238E27FC236}">
              <a16:creationId xmlns:a16="http://schemas.microsoft.com/office/drawing/2014/main" id="{C23E04DD-4D81-4C9A-AD5C-1595B43E14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269822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2058</xdr:col>
          <xdr:colOff>447675</xdr:colOff>
          <xdr:row>46</xdr:row>
          <xdr:rowOff>142875</xdr:rowOff>
        </xdr:from>
        <xdr:to>
          <xdr:col>2059</xdr:col>
          <xdr:colOff>276225</xdr:colOff>
          <xdr:row>48</xdr:row>
          <xdr:rowOff>19050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D98AA33B-324C-49D7-BE4D-794300831E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2059</xdr:col>
          <xdr:colOff>542925</xdr:colOff>
          <xdr:row>46</xdr:row>
          <xdr:rowOff>142875</xdr:rowOff>
        </xdr:from>
        <xdr:to>
          <xdr:col>2061</xdr:col>
          <xdr:colOff>9525</xdr:colOff>
          <xdr:row>48</xdr:row>
          <xdr:rowOff>19050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4812178A-93D4-409E-B367-F5DCE0CD46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2069</xdr:col>
      <xdr:colOff>41413</xdr:colOff>
      <xdr:row>0</xdr:row>
      <xdr:rowOff>0</xdr:rowOff>
    </xdr:from>
    <xdr:ext cx="1114425" cy="561975"/>
    <xdr:pic>
      <xdr:nvPicPr>
        <xdr:cNvPr id="438" name="image1.png">
          <a:extLst>
            <a:ext uri="{FF2B5EF4-FFF2-40B4-BE49-F238E27FC236}">
              <a16:creationId xmlns:a16="http://schemas.microsoft.com/office/drawing/2014/main" id="{F79475CE-ACFE-4D7E-A11F-3187AC46DC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337735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2070</xdr:col>
          <xdr:colOff>447675</xdr:colOff>
          <xdr:row>46</xdr:row>
          <xdr:rowOff>142875</xdr:rowOff>
        </xdr:from>
        <xdr:to>
          <xdr:col>2071</xdr:col>
          <xdr:colOff>276225</xdr:colOff>
          <xdr:row>48</xdr:row>
          <xdr:rowOff>19050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3326B2E7-3BCA-407A-8644-A96DFDECC8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2071</xdr:col>
          <xdr:colOff>542925</xdr:colOff>
          <xdr:row>46</xdr:row>
          <xdr:rowOff>142875</xdr:rowOff>
        </xdr:from>
        <xdr:to>
          <xdr:col>2072</xdr:col>
          <xdr:colOff>381000</xdr:colOff>
          <xdr:row>48</xdr:row>
          <xdr:rowOff>19050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31DD26DD-8E69-4B2B-BB90-7DABEF29ED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2081</xdr:col>
      <xdr:colOff>41413</xdr:colOff>
      <xdr:row>0</xdr:row>
      <xdr:rowOff>0</xdr:rowOff>
    </xdr:from>
    <xdr:ext cx="1114425" cy="561975"/>
    <xdr:pic>
      <xdr:nvPicPr>
        <xdr:cNvPr id="441" name="image1.png">
          <a:extLst>
            <a:ext uri="{FF2B5EF4-FFF2-40B4-BE49-F238E27FC236}">
              <a16:creationId xmlns:a16="http://schemas.microsoft.com/office/drawing/2014/main" id="{B087A22B-B0D2-403A-84F7-C4F5ACB71C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405649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2082</xdr:col>
          <xdr:colOff>447675</xdr:colOff>
          <xdr:row>46</xdr:row>
          <xdr:rowOff>142875</xdr:rowOff>
        </xdr:from>
        <xdr:to>
          <xdr:col>2083</xdr:col>
          <xdr:colOff>276225</xdr:colOff>
          <xdr:row>48</xdr:row>
          <xdr:rowOff>19050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B9541F72-F2F4-4B7A-AD9A-900EE96AD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2083</xdr:col>
          <xdr:colOff>542925</xdr:colOff>
          <xdr:row>46</xdr:row>
          <xdr:rowOff>142875</xdr:rowOff>
        </xdr:from>
        <xdr:to>
          <xdr:col>2084</xdr:col>
          <xdr:colOff>381000</xdr:colOff>
          <xdr:row>48</xdr:row>
          <xdr:rowOff>19050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DA20282E-85F0-43FE-9F1E-68048A71C4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2093</xdr:col>
      <xdr:colOff>41413</xdr:colOff>
      <xdr:row>0</xdr:row>
      <xdr:rowOff>0</xdr:rowOff>
    </xdr:from>
    <xdr:ext cx="1114425" cy="561975"/>
    <xdr:pic>
      <xdr:nvPicPr>
        <xdr:cNvPr id="444" name="image1.png">
          <a:extLst>
            <a:ext uri="{FF2B5EF4-FFF2-40B4-BE49-F238E27FC236}">
              <a16:creationId xmlns:a16="http://schemas.microsoft.com/office/drawing/2014/main" id="{D715F3EB-EBB9-45F9-82FD-6690738EF0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473562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2094</xdr:col>
          <xdr:colOff>447675</xdr:colOff>
          <xdr:row>46</xdr:row>
          <xdr:rowOff>142875</xdr:rowOff>
        </xdr:from>
        <xdr:to>
          <xdr:col>2095</xdr:col>
          <xdr:colOff>276225</xdr:colOff>
          <xdr:row>48</xdr:row>
          <xdr:rowOff>19050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AAD686BC-EAFF-4BFB-A0CB-D3098DDC70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2095</xdr:col>
          <xdr:colOff>542925</xdr:colOff>
          <xdr:row>46</xdr:row>
          <xdr:rowOff>142875</xdr:rowOff>
        </xdr:from>
        <xdr:to>
          <xdr:col>2096</xdr:col>
          <xdr:colOff>381000</xdr:colOff>
          <xdr:row>48</xdr:row>
          <xdr:rowOff>19050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3E241296-B16A-4532-AA39-65B51C6B9E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2105</xdr:col>
      <xdr:colOff>41413</xdr:colOff>
      <xdr:row>0</xdr:row>
      <xdr:rowOff>0</xdr:rowOff>
    </xdr:from>
    <xdr:ext cx="1114425" cy="561975"/>
    <xdr:pic>
      <xdr:nvPicPr>
        <xdr:cNvPr id="447" name="image1.png">
          <a:extLst>
            <a:ext uri="{FF2B5EF4-FFF2-40B4-BE49-F238E27FC236}">
              <a16:creationId xmlns:a16="http://schemas.microsoft.com/office/drawing/2014/main" id="{D088AE7B-FB59-41A4-A256-361BD29503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541475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2106</xdr:col>
          <xdr:colOff>447675</xdr:colOff>
          <xdr:row>46</xdr:row>
          <xdr:rowOff>142875</xdr:rowOff>
        </xdr:from>
        <xdr:to>
          <xdr:col>2107</xdr:col>
          <xdr:colOff>276225</xdr:colOff>
          <xdr:row>48</xdr:row>
          <xdr:rowOff>19050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21BB3832-E228-4662-B1E1-62040A6798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2107</xdr:col>
          <xdr:colOff>542925</xdr:colOff>
          <xdr:row>46</xdr:row>
          <xdr:rowOff>142875</xdr:rowOff>
        </xdr:from>
        <xdr:to>
          <xdr:col>2108</xdr:col>
          <xdr:colOff>381000</xdr:colOff>
          <xdr:row>48</xdr:row>
          <xdr:rowOff>19050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A3659EB0-D432-4585-B47B-AB03565B2C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2117</xdr:col>
      <xdr:colOff>41413</xdr:colOff>
      <xdr:row>0</xdr:row>
      <xdr:rowOff>0</xdr:rowOff>
    </xdr:from>
    <xdr:ext cx="1114425" cy="561975"/>
    <xdr:pic>
      <xdr:nvPicPr>
        <xdr:cNvPr id="450" name="image1.png">
          <a:extLst>
            <a:ext uri="{FF2B5EF4-FFF2-40B4-BE49-F238E27FC236}">
              <a16:creationId xmlns:a16="http://schemas.microsoft.com/office/drawing/2014/main" id="{754AC67D-CCC8-4BD9-98BB-EA6BFDB5EB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609388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2118</xdr:col>
          <xdr:colOff>447675</xdr:colOff>
          <xdr:row>46</xdr:row>
          <xdr:rowOff>142875</xdr:rowOff>
        </xdr:from>
        <xdr:to>
          <xdr:col>2119</xdr:col>
          <xdr:colOff>276225</xdr:colOff>
          <xdr:row>48</xdr:row>
          <xdr:rowOff>19050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4B8BFB7A-D5C6-4C72-83AD-80F5902874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2119</xdr:col>
          <xdr:colOff>542925</xdr:colOff>
          <xdr:row>46</xdr:row>
          <xdr:rowOff>142875</xdr:rowOff>
        </xdr:from>
        <xdr:to>
          <xdr:col>2120</xdr:col>
          <xdr:colOff>381000</xdr:colOff>
          <xdr:row>48</xdr:row>
          <xdr:rowOff>19050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29C52C79-5FD7-4C24-ADF6-2FEA34F56E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2129</xdr:col>
      <xdr:colOff>41413</xdr:colOff>
      <xdr:row>0</xdr:row>
      <xdr:rowOff>0</xdr:rowOff>
    </xdr:from>
    <xdr:ext cx="1114425" cy="561975"/>
    <xdr:pic>
      <xdr:nvPicPr>
        <xdr:cNvPr id="453" name="image1.png">
          <a:extLst>
            <a:ext uri="{FF2B5EF4-FFF2-40B4-BE49-F238E27FC236}">
              <a16:creationId xmlns:a16="http://schemas.microsoft.com/office/drawing/2014/main" id="{2A83040C-0F73-49D6-A2BC-F1A560DCD3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677302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2130</xdr:col>
          <xdr:colOff>447675</xdr:colOff>
          <xdr:row>46</xdr:row>
          <xdr:rowOff>142875</xdr:rowOff>
        </xdr:from>
        <xdr:to>
          <xdr:col>2131</xdr:col>
          <xdr:colOff>276225</xdr:colOff>
          <xdr:row>48</xdr:row>
          <xdr:rowOff>19050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91D16FCC-8F97-4C40-998B-DBC397B8BD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2131</xdr:col>
          <xdr:colOff>542925</xdr:colOff>
          <xdr:row>46</xdr:row>
          <xdr:rowOff>142875</xdr:rowOff>
        </xdr:from>
        <xdr:to>
          <xdr:col>2132</xdr:col>
          <xdr:colOff>381000</xdr:colOff>
          <xdr:row>48</xdr:row>
          <xdr:rowOff>19050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E91BF5F6-D1FE-40BD-B06A-F86F698797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2141</xdr:col>
      <xdr:colOff>41413</xdr:colOff>
      <xdr:row>0</xdr:row>
      <xdr:rowOff>0</xdr:rowOff>
    </xdr:from>
    <xdr:ext cx="1114425" cy="561975"/>
    <xdr:pic>
      <xdr:nvPicPr>
        <xdr:cNvPr id="456" name="image1.png">
          <a:extLst>
            <a:ext uri="{FF2B5EF4-FFF2-40B4-BE49-F238E27FC236}">
              <a16:creationId xmlns:a16="http://schemas.microsoft.com/office/drawing/2014/main" id="{371FAC02-41F3-46CF-9906-E4E8588430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745215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2142</xdr:col>
          <xdr:colOff>447675</xdr:colOff>
          <xdr:row>46</xdr:row>
          <xdr:rowOff>142875</xdr:rowOff>
        </xdr:from>
        <xdr:to>
          <xdr:col>2143</xdr:col>
          <xdr:colOff>276225</xdr:colOff>
          <xdr:row>48</xdr:row>
          <xdr:rowOff>19050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9B4BF58B-3042-46AE-B9FE-25772A99AE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2143</xdr:col>
          <xdr:colOff>542925</xdr:colOff>
          <xdr:row>46</xdr:row>
          <xdr:rowOff>142875</xdr:rowOff>
        </xdr:from>
        <xdr:to>
          <xdr:col>2144</xdr:col>
          <xdr:colOff>381000</xdr:colOff>
          <xdr:row>48</xdr:row>
          <xdr:rowOff>19050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C4AB4D7F-D0FB-4A81-98D1-46CCED2CA4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2153</xdr:col>
      <xdr:colOff>41413</xdr:colOff>
      <xdr:row>0</xdr:row>
      <xdr:rowOff>0</xdr:rowOff>
    </xdr:from>
    <xdr:ext cx="1114425" cy="561975"/>
    <xdr:pic>
      <xdr:nvPicPr>
        <xdr:cNvPr id="459" name="image1.png">
          <a:extLst>
            <a:ext uri="{FF2B5EF4-FFF2-40B4-BE49-F238E27FC236}">
              <a16:creationId xmlns:a16="http://schemas.microsoft.com/office/drawing/2014/main" id="{445C6C47-0BB3-4DDA-8CB9-A271A8DC88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813128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2154</xdr:col>
          <xdr:colOff>447675</xdr:colOff>
          <xdr:row>46</xdr:row>
          <xdr:rowOff>142875</xdr:rowOff>
        </xdr:from>
        <xdr:to>
          <xdr:col>2155</xdr:col>
          <xdr:colOff>276225</xdr:colOff>
          <xdr:row>48</xdr:row>
          <xdr:rowOff>19050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B57D6298-23C5-4F86-83E3-AE9FC1075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2155</xdr:col>
          <xdr:colOff>542925</xdr:colOff>
          <xdr:row>46</xdr:row>
          <xdr:rowOff>142875</xdr:rowOff>
        </xdr:from>
        <xdr:to>
          <xdr:col>2156</xdr:col>
          <xdr:colOff>381000</xdr:colOff>
          <xdr:row>48</xdr:row>
          <xdr:rowOff>19050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2ABBF88A-A628-41D3-9E60-904727E0D4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2165</xdr:col>
      <xdr:colOff>41413</xdr:colOff>
      <xdr:row>0</xdr:row>
      <xdr:rowOff>0</xdr:rowOff>
    </xdr:from>
    <xdr:ext cx="1114425" cy="561975"/>
    <xdr:pic>
      <xdr:nvPicPr>
        <xdr:cNvPr id="462" name="image1.png">
          <a:extLst>
            <a:ext uri="{FF2B5EF4-FFF2-40B4-BE49-F238E27FC236}">
              <a16:creationId xmlns:a16="http://schemas.microsoft.com/office/drawing/2014/main" id="{C63B89F9-C57A-4EFF-A403-DF852A1D83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881041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2166</xdr:col>
          <xdr:colOff>447675</xdr:colOff>
          <xdr:row>46</xdr:row>
          <xdr:rowOff>142875</xdr:rowOff>
        </xdr:from>
        <xdr:to>
          <xdr:col>2167</xdr:col>
          <xdr:colOff>276225</xdr:colOff>
          <xdr:row>48</xdr:row>
          <xdr:rowOff>19050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C9C223A1-2927-40D7-95C6-6FC0FEB802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2167</xdr:col>
          <xdr:colOff>542925</xdr:colOff>
          <xdr:row>46</xdr:row>
          <xdr:rowOff>142875</xdr:rowOff>
        </xdr:from>
        <xdr:to>
          <xdr:col>2168</xdr:col>
          <xdr:colOff>381000</xdr:colOff>
          <xdr:row>48</xdr:row>
          <xdr:rowOff>19050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3F63CFCB-7A9B-4DD5-AD18-0C23E8115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2177</xdr:col>
      <xdr:colOff>41413</xdr:colOff>
      <xdr:row>0</xdr:row>
      <xdr:rowOff>0</xdr:rowOff>
    </xdr:from>
    <xdr:ext cx="1114425" cy="561975"/>
    <xdr:pic>
      <xdr:nvPicPr>
        <xdr:cNvPr id="465" name="image1.png">
          <a:extLst>
            <a:ext uri="{FF2B5EF4-FFF2-40B4-BE49-F238E27FC236}">
              <a16:creationId xmlns:a16="http://schemas.microsoft.com/office/drawing/2014/main" id="{CC129E25-C018-48F4-B395-A6ED6A6F18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1948955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2178</xdr:col>
          <xdr:colOff>447675</xdr:colOff>
          <xdr:row>46</xdr:row>
          <xdr:rowOff>142875</xdr:rowOff>
        </xdr:from>
        <xdr:to>
          <xdr:col>2179</xdr:col>
          <xdr:colOff>276225</xdr:colOff>
          <xdr:row>48</xdr:row>
          <xdr:rowOff>19050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74C65FF0-1BCC-42EB-B41B-13323CE8F1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2179</xdr:col>
          <xdr:colOff>542925</xdr:colOff>
          <xdr:row>46</xdr:row>
          <xdr:rowOff>142875</xdr:rowOff>
        </xdr:from>
        <xdr:to>
          <xdr:col>2180</xdr:col>
          <xdr:colOff>381000</xdr:colOff>
          <xdr:row>48</xdr:row>
          <xdr:rowOff>19050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B67E7C9B-C4E1-48C6-A81D-7845E064C9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2189</xdr:col>
      <xdr:colOff>41413</xdr:colOff>
      <xdr:row>0</xdr:row>
      <xdr:rowOff>0</xdr:rowOff>
    </xdr:from>
    <xdr:ext cx="1114425" cy="561975"/>
    <xdr:pic>
      <xdr:nvPicPr>
        <xdr:cNvPr id="468" name="image1.png">
          <a:extLst>
            <a:ext uri="{FF2B5EF4-FFF2-40B4-BE49-F238E27FC236}">
              <a16:creationId xmlns:a16="http://schemas.microsoft.com/office/drawing/2014/main" id="{5BE4C2B2-B8E0-4AFC-94E3-FCD051CF63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016868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2190</xdr:col>
          <xdr:colOff>447675</xdr:colOff>
          <xdr:row>46</xdr:row>
          <xdr:rowOff>142875</xdr:rowOff>
        </xdr:from>
        <xdr:to>
          <xdr:col>2191</xdr:col>
          <xdr:colOff>276225</xdr:colOff>
          <xdr:row>48</xdr:row>
          <xdr:rowOff>19050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23EFA7B7-1DDE-4A58-9AF5-3823752077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2191</xdr:col>
          <xdr:colOff>542925</xdr:colOff>
          <xdr:row>46</xdr:row>
          <xdr:rowOff>142875</xdr:rowOff>
        </xdr:from>
        <xdr:to>
          <xdr:col>2192</xdr:col>
          <xdr:colOff>381000</xdr:colOff>
          <xdr:row>48</xdr:row>
          <xdr:rowOff>19050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20CD24CA-5266-42C9-97C3-8A211A3397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2201</xdr:col>
      <xdr:colOff>41413</xdr:colOff>
      <xdr:row>0</xdr:row>
      <xdr:rowOff>0</xdr:rowOff>
    </xdr:from>
    <xdr:ext cx="1114425" cy="561975"/>
    <xdr:pic>
      <xdr:nvPicPr>
        <xdr:cNvPr id="471" name="image1.png">
          <a:extLst>
            <a:ext uri="{FF2B5EF4-FFF2-40B4-BE49-F238E27FC236}">
              <a16:creationId xmlns:a16="http://schemas.microsoft.com/office/drawing/2014/main" id="{4BDABD93-72D2-4777-8696-9720699B6B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084781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2202</xdr:col>
          <xdr:colOff>447675</xdr:colOff>
          <xdr:row>46</xdr:row>
          <xdr:rowOff>142875</xdr:rowOff>
        </xdr:from>
        <xdr:to>
          <xdr:col>2203</xdr:col>
          <xdr:colOff>276225</xdr:colOff>
          <xdr:row>48</xdr:row>
          <xdr:rowOff>19050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74BBBA26-D990-4D0C-8FAC-C3A7B43D78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2203</xdr:col>
          <xdr:colOff>542925</xdr:colOff>
          <xdr:row>46</xdr:row>
          <xdr:rowOff>142875</xdr:rowOff>
        </xdr:from>
        <xdr:to>
          <xdr:col>2204</xdr:col>
          <xdr:colOff>381000</xdr:colOff>
          <xdr:row>48</xdr:row>
          <xdr:rowOff>19050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D0A98E76-9520-4B4E-8B2E-A2ACE4E0C6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2213</xdr:col>
      <xdr:colOff>41413</xdr:colOff>
      <xdr:row>0</xdr:row>
      <xdr:rowOff>0</xdr:rowOff>
    </xdr:from>
    <xdr:ext cx="1114425" cy="561975"/>
    <xdr:pic>
      <xdr:nvPicPr>
        <xdr:cNvPr id="474" name="image1.png">
          <a:extLst>
            <a:ext uri="{FF2B5EF4-FFF2-40B4-BE49-F238E27FC236}">
              <a16:creationId xmlns:a16="http://schemas.microsoft.com/office/drawing/2014/main" id="{592A8399-E13E-4C7B-A302-EDB4991BE4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152694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2214</xdr:col>
          <xdr:colOff>447675</xdr:colOff>
          <xdr:row>46</xdr:row>
          <xdr:rowOff>142875</xdr:rowOff>
        </xdr:from>
        <xdr:to>
          <xdr:col>2215</xdr:col>
          <xdr:colOff>276225</xdr:colOff>
          <xdr:row>48</xdr:row>
          <xdr:rowOff>19050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87779957-F8D3-438F-AA28-F7A1345DFC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2215</xdr:col>
          <xdr:colOff>542925</xdr:colOff>
          <xdr:row>46</xdr:row>
          <xdr:rowOff>142875</xdr:rowOff>
        </xdr:from>
        <xdr:to>
          <xdr:col>2216</xdr:col>
          <xdr:colOff>381000</xdr:colOff>
          <xdr:row>48</xdr:row>
          <xdr:rowOff>19050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D8EA969C-D209-4790-9651-94ADBF643C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2225</xdr:col>
      <xdr:colOff>41413</xdr:colOff>
      <xdr:row>0</xdr:row>
      <xdr:rowOff>0</xdr:rowOff>
    </xdr:from>
    <xdr:ext cx="1114425" cy="561975"/>
    <xdr:pic>
      <xdr:nvPicPr>
        <xdr:cNvPr id="477" name="image1.png">
          <a:extLst>
            <a:ext uri="{FF2B5EF4-FFF2-40B4-BE49-F238E27FC236}">
              <a16:creationId xmlns:a16="http://schemas.microsoft.com/office/drawing/2014/main" id="{2ACBFAFA-5D95-45BB-BF3C-B1D6855829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220608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2226</xdr:col>
          <xdr:colOff>447675</xdr:colOff>
          <xdr:row>46</xdr:row>
          <xdr:rowOff>142875</xdr:rowOff>
        </xdr:from>
        <xdr:to>
          <xdr:col>2227</xdr:col>
          <xdr:colOff>276225</xdr:colOff>
          <xdr:row>48</xdr:row>
          <xdr:rowOff>19050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36EA6D86-7C94-47C4-AAFB-03C415410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2227</xdr:col>
          <xdr:colOff>542925</xdr:colOff>
          <xdr:row>46</xdr:row>
          <xdr:rowOff>142875</xdr:rowOff>
        </xdr:from>
        <xdr:to>
          <xdr:col>2228</xdr:col>
          <xdr:colOff>381000</xdr:colOff>
          <xdr:row>48</xdr:row>
          <xdr:rowOff>19050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48754811-9022-4C3B-B374-2A6D41EB4D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2237</xdr:col>
      <xdr:colOff>41413</xdr:colOff>
      <xdr:row>0</xdr:row>
      <xdr:rowOff>0</xdr:rowOff>
    </xdr:from>
    <xdr:ext cx="1114425" cy="561975"/>
    <xdr:pic>
      <xdr:nvPicPr>
        <xdr:cNvPr id="480" name="image1.png">
          <a:extLst>
            <a:ext uri="{FF2B5EF4-FFF2-40B4-BE49-F238E27FC236}">
              <a16:creationId xmlns:a16="http://schemas.microsoft.com/office/drawing/2014/main" id="{CA784747-C05C-4BC8-8CD6-453D427883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288521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2238</xdr:col>
          <xdr:colOff>447675</xdr:colOff>
          <xdr:row>46</xdr:row>
          <xdr:rowOff>142875</xdr:rowOff>
        </xdr:from>
        <xdr:to>
          <xdr:col>2239</xdr:col>
          <xdr:colOff>276225</xdr:colOff>
          <xdr:row>48</xdr:row>
          <xdr:rowOff>19050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ED686689-C831-4501-B110-C3041E73D2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2239</xdr:col>
          <xdr:colOff>542925</xdr:colOff>
          <xdr:row>46</xdr:row>
          <xdr:rowOff>142875</xdr:rowOff>
        </xdr:from>
        <xdr:to>
          <xdr:col>2240</xdr:col>
          <xdr:colOff>381000</xdr:colOff>
          <xdr:row>48</xdr:row>
          <xdr:rowOff>19050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CD8A900D-D2CA-4689-81C4-E6C95FD7A6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2249</xdr:col>
      <xdr:colOff>41413</xdr:colOff>
      <xdr:row>0</xdr:row>
      <xdr:rowOff>0</xdr:rowOff>
    </xdr:from>
    <xdr:ext cx="1114425" cy="561975"/>
    <xdr:pic>
      <xdr:nvPicPr>
        <xdr:cNvPr id="483" name="image1.png">
          <a:extLst>
            <a:ext uri="{FF2B5EF4-FFF2-40B4-BE49-F238E27FC236}">
              <a16:creationId xmlns:a16="http://schemas.microsoft.com/office/drawing/2014/main" id="{5558F281-0D91-4056-ABA5-0696B027DB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356434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2250</xdr:col>
          <xdr:colOff>447675</xdr:colOff>
          <xdr:row>46</xdr:row>
          <xdr:rowOff>142875</xdr:rowOff>
        </xdr:from>
        <xdr:to>
          <xdr:col>2251</xdr:col>
          <xdr:colOff>276225</xdr:colOff>
          <xdr:row>48</xdr:row>
          <xdr:rowOff>19050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4F1D2887-EA6B-4C88-AA5B-6D68FD5871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2251</xdr:col>
          <xdr:colOff>542925</xdr:colOff>
          <xdr:row>46</xdr:row>
          <xdr:rowOff>142875</xdr:rowOff>
        </xdr:from>
        <xdr:to>
          <xdr:col>2252</xdr:col>
          <xdr:colOff>381000</xdr:colOff>
          <xdr:row>48</xdr:row>
          <xdr:rowOff>19050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7CCEE2E4-4059-4D25-A57B-C994F14508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2261</xdr:col>
      <xdr:colOff>41413</xdr:colOff>
      <xdr:row>0</xdr:row>
      <xdr:rowOff>0</xdr:rowOff>
    </xdr:from>
    <xdr:ext cx="1114425" cy="561975"/>
    <xdr:pic>
      <xdr:nvPicPr>
        <xdr:cNvPr id="486" name="image1.png">
          <a:extLst>
            <a:ext uri="{FF2B5EF4-FFF2-40B4-BE49-F238E27FC236}">
              <a16:creationId xmlns:a16="http://schemas.microsoft.com/office/drawing/2014/main" id="{E195CDCA-62EC-4DD2-AF9D-15E072F1F6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424347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2262</xdr:col>
          <xdr:colOff>447675</xdr:colOff>
          <xdr:row>46</xdr:row>
          <xdr:rowOff>142875</xdr:rowOff>
        </xdr:from>
        <xdr:to>
          <xdr:col>2263</xdr:col>
          <xdr:colOff>276225</xdr:colOff>
          <xdr:row>48</xdr:row>
          <xdr:rowOff>19050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E7D3197D-B50F-4AC7-9CCC-58A95B698B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2263</xdr:col>
          <xdr:colOff>542925</xdr:colOff>
          <xdr:row>46</xdr:row>
          <xdr:rowOff>142875</xdr:rowOff>
        </xdr:from>
        <xdr:to>
          <xdr:col>2264</xdr:col>
          <xdr:colOff>381000</xdr:colOff>
          <xdr:row>48</xdr:row>
          <xdr:rowOff>19050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1D6E770D-6D2A-4FBB-8095-FE7C83586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2273</xdr:col>
      <xdr:colOff>41413</xdr:colOff>
      <xdr:row>0</xdr:row>
      <xdr:rowOff>0</xdr:rowOff>
    </xdr:from>
    <xdr:ext cx="1114425" cy="561975"/>
    <xdr:pic>
      <xdr:nvPicPr>
        <xdr:cNvPr id="489" name="image1.png">
          <a:extLst>
            <a:ext uri="{FF2B5EF4-FFF2-40B4-BE49-F238E27FC236}">
              <a16:creationId xmlns:a16="http://schemas.microsoft.com/office/drawing/2014/main" id="{1E826960-0F35-4B02-AF3B-38932402F2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492261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2274</xdr:col>
          <xdr:colOff>447675</xdr:colOff>
          <xdr:row>46</xdr:row>
          <xdr:rowOff>142875</xdr:rowOff>
        </xdr:from>
        <xdr:to>
          <xdr:col>2275</xdr:col>
          <xdr:colOff>276225</xdr:colOff>
          <xdr:row>48</xdr:row>
          <xdr:rowOff>19050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F745C2F5-AB22-45B7-86EE-E1FE368841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2275</xdr:col>
          <xdr:colOff>542925</xdr:colOff>
          <xdr:row>46</xdr:row>
          <xdr:rowOff>142875</xdr:rowOff>
        </xdr:from>
        <xdr:to>
          <xdr:col>2276</xdr:col>
          <xdr:colOff>381000</xdr:colOff>
          <xdr:row>48</xdr:row>
          <xdr:rowOff>19050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3ABE0E0F-164B-4202-BDAD-B63C4BC549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2285</xdr:col>
      <xdr:colOff>41413</xdr:colOff>
      <xdr:row>0</xdr:row>
      <xdr:rowOff>0</xdr:rowOff>
    </xdr:from>
    <xdr:ext cx="1114425" cy="561975"/>
    <xdr:pic>
      <xdr:nvPicPr>
        <xdr:cNvPr id="492" name="image1.png">
          <a:extLst>
            <a:ext uri="{FF2B5EF4-FFF2-40B4-BE49-F238E27FC236}">
              <a16:creationId xmlns:a16="http://schemas.microsoft.com/office/drawing/2014/main" id="{20AE257F-2020-4A29-B5FF-1386AB11AB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560174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2286</xdr:col>
          <xdr:colOff>447675</xdr:colOff>
          <xdr:row>46</xdr:row>
          <xdr:rowOff>142875</xdr:rowOff>
        </xdr:from>
        <xdr:to>
          <xdr:col>2287</xdr:col>
          <xdr:colOff>276225</xdr:colOff>
          <xdr:row>48</xdr:row>
          <xdr:rowOff>19050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323C9A70-5E56-44CE-B663-35C48D8105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2287</xdr:col>
          <xdr:colOff>542925</xdr:colOff>
          <xdr:row>46</xdr:row>
          <xdr:rowOff>142875</xdr:rowOff>
        </xdr:from>
        <xdr:to>
          <xdr:col>2288</xdr:col>
          <xdr:colOff>381000</xdr:colOff>
          <xdr:row>48</xdr:row>
          <xdr:rowOff>19050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C9D2FB75-4565-46F6-9562-4E94BDA4B4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2297</xdr:col>
      <xdr:colOff>41413</xdr:colOff>
      <xdr:row>0</xdr:row>
      <xdr:rowOff>0</xdr:rowOff>
    </xdr:from>
    <xdr:ext cx="1114425" cy="561975"/>
    <xdr:pic>
      <xdr:nvPicPr>
        <xdr:cNvPr id="495" name="image1.png">
          <a:extLst>
            <a:ext uri="{FF2B5EF4-FFF2-40B4-BE49-F238E27FC236}">
              <a16:creationId xmlns:a16="http://schemas.microsoft.com/office/drawing/2014/main" id="{5E801A90-4BE2-42EE-9539-EDE6D1FA1E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628087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2298</xdr:col>
          <xdr:colOff>447675</xdr:colOff>
          <xdr:row>46</xdr:row>
          <xdr:rowOff>142875</xdr:rowOff>
        </xdr:from>
        <xdr:to>
          <xdr:col>2299</xdr:col>
          <xdr:colOff>276225</xdr:colOff>
          <xdr:row>48</xdr:row>
          <xdr:rowOff>19050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E841E265-12F6-4D20-957E-C06A24647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2299</xdr:col>
          <xdr:colOff>542925</xdr:colOff>
          <xdr:row>46</xdr:row>
          <xdr:rowOff>142875</xdr:rowOff>
        </xdr:from>
        <xdr:to>
          <xdr:col>2300</xdr:col>
          <xdr:colOff>381000</xdr:colOff>
          <xdr:row>48</xdr:row>
          <xdr:rowOff>19050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EE80BB6F-19AA-482C-8D3F-9BC9464005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2309</xdr:col>
      <xdr:colOff>41413</xdr:colOff>
      <xdr:row>0</xdr:row>
      <xdr:rowOff>0</xdr:rowOff>
    </xdr:from>
    <xdr:ext cx="1114425" cy="561975"/>
    <xdr:pic>
      <xdr:nvPicPr>
        <xdr:cNvPr id="498" name="image1.png">
          <a:extLst>
            <a:ext uri="{FF2B5EF4-FFF2-40B4-BE49-F238E27FC236}">
              <a16:creationId xmlns:a16="http://schemas.microsoft.com/office/drawing/2014/main" id="{5C9E7807-517C-48A6-AEF4-3D73FD071B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696000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2310</xdr:col>
          <xdr:colOff>447675</xdr:colOff>
          <xdr:row>46</xdr:row>
          <xdr:rowOff>142875</xdr:rowOff>
        </xdr:from>
        <xdr:to>
          <xdr:col>2311</xdr:col>
          <xdr:colOff>276225</xdr:colOff>
          <xdr:row>48</xdr:row>
          <xdr:rowOff>19050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EBDB14A0-809C-4F5F-AA0E-D3F6B6786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2311</xdr:col>
          <xdr:colOff>542925</xdr:colOff>
          <xdr:row>46</xdr:row>
          <xdr:rowOff>142875</xdr:rowOff>
        </xdr:from>
        <xdr:to>
          <xdr:col>2312</xdr:col>
          <xdr:colOff>381000</xdr:colOff>
          <xdr:row>48</xdr:row>
          <xdr:rowOff>19050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FBE77F97-949B-48CD-8979-FCB5E8E327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2321</xdr:col>
      <xdr:colOff>41413</xdr:colOff>
      <xdr:row>0</xdr:row>
      <xdr:rowOff>0</xdr:rowOff>
    </xdr:from>
    <xdr:ext cx="1114425" cy="561975"/>
    <xdr:pic>
      <xdr:nvPicPr>
        <xdr:cNvPr id="501" name="image1.png">
          <a:extLst>
            <a:ext uri="{FF2B5EF4-FFF2-40B4-BE49-F238E27FC236}">
              <a16:creationId xmlns:a16="http://schemas.microsoft.com/office/drawing/2014/main" id="{8A227F4D-6867-4ADE-93E6-E3EB309C38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763914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2322</xdr:col>
          <xdr:colOff>447675</xdr:colOff>
          <xdr:row>46</xdr:row>
          <xdr:rowOff>142875</xdr:rowOff>
        </xdr:from>
        <xdr:to>
          <xdr:col>2323</xdr:col>
          <xdr:colOff>276225</xdr:colOff>
          <xdr:row>48</xdr:row>
          <xdr:rowOff>19050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2B7F3D44-8E1C-4202-8A80-6EFF0A5CBE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2323</xdr:col>
          <xdr:colOff>542925</xdr:colOff>
          <xdr:row>46</xdr:row>
          <xdr:rowOff>142875</xdr:rowOff>
        </xdr:from>
        <xdr:to>
          <xdr:col>2324</xdr:col>
          <xdr:colOff>381000</xdr:colOff>
          <xdr:row>48</xdr:row>
          <xdr:rowOff>19050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7CAEE40C-488A-47DA-A19A-E23E9681BE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2333</xdr:col>
      <xdr:colOff>41413</xdr:colOff>
      <xdr:row>0</xdr:row>
      <xdr:rowOff>0</xdr:rowOff>
    </xdr:from>
    <xdr:ext cx="1114425" cy="561975"/>
    <xdr:pic>
      <xdr:nvPicPr>
        <xdr:cNvPr id="504" name="image1.png">
          <a:extLst>
            <a:ext uri="{FF2B5EF4-FFF2-40B4-BE49-F238E27FC236}">
              <a16:creationId xmlns:a16="http://schemas.microsoft.com/office/drawing/2014/main" id="{1E21108E-0214-4215-9CF5-A34C12D727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831827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2334</xdr:col>
          <xdr:colOff>447675</xdr:colOff>
          <xdr:row>46</xdr:row>
          <xdr:rowOff>142875</xdr:rowOff>
        </xdr:from>
        <xdr:to>
          <xdr:col>2335</xdr:col>
          <xdr:colOff>276225</xdr:colOff>
          <xdr:row>48</xdr:row>
          <xdr:rowOff>19050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48727210-0B11-47D4-AF73-EAEB4CFB23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2335</xdr:col>
          <xdr:colOff>542925</xdr:colOff>
          <xdr:row>46</xdr:row>
          <xdr:rowOff>142875</xdr:rowOff>
        </xdr:from>
        <xdr:to>
          <xdr:col>2336</xdr:col>
          <xdr:colOff>381000</xdr:colOff>
          <xdr:row>48</xdr:row>
          <xdr:rowOff>19050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D62A374F-3033-4486-B81C-64708CCEF4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2345</xdr:col>
      <xdr:colOff>41413</xdr:colOff>
      <xdr:row>0</xdr:row>
      <xdr:rowOff>0</xdr:rowOff>
    </xdr:from>
    <xdr:ext cx="1114425" cy="561975"/>
    <xdr:pic>
      <xdr:nvPicPr>
        <xdr:cNvPr id="507" name="image1.png">
          <a:extLst>
            <a:ext uri="{FF2B5EF4-FFF2-40B4-BE49-F238E27FC236}">
              <a16:creationId xmlns:a16="http://schemas.microsoft.com/office/drawing/2014/main" id="{486B32DA-8E85-4FF9-8B90-8040AA14F2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899740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2346</xdr:col>
          <xdr:colOff>447675</xdr:colOff>
          <xdr:row>46</xdr:row>
          <xdr:rowOff>142875</xdr:rowOff>
        </xdr:from>
        <xdr:to>
          <xdr:col>2347</xdr:col>
          <xdr:colOff>276225</xdr:colOff>
          <xdr:row>48</xdr:row>
          <xdr:rowOff>19050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F370FCAE-164B-42B1-AB52-3F85ACD9F2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2347</xdr:col>
          <xdr:colOff>542925</xdr:colOff>
          <xdr:row>46</xdr:row>
          <xdr:rowOff>142875</xdr:rowOff>
        </xdr:from>
        <xdr:to>
          <xdr:col>2348</xdr:col>
          <xdr:colOff>381000</xdr:colOff>
          <xdr:row>48</xdr:row>
          <xdr:rowOff>19050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861517AE-617B-41AE-8B6D-8A3A7698AC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2357</xdr:col>
      <xdr:colOff>41413</xdr:colOff>
      <xdr:row>0</xdr:row>
      <xdr:rowOff>0</xdr:rowOff>
    </xdr:from>
    <xdr:ext cx="1114425" cy="561975"/>
    <xdr:pic>
      <xdr:nvPicPr>
        <xdr:cNvPr id="510" name="image1.png">
          <a:extLst>
            <a:ext uri="{FF2B5EF4-FFF2-40B4-BE49-F238E27FC236}">
              <a16:creationId xmlns:a16="http://schemas.microsoft.com/office/drawing/2014/main" id="{25F51E2C-4C63-42F3-9120-CFDBCBF97F3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2967653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2358</xdr:col>
          <xdr:colOff>447675</xdr:colOff>
          <xdr:row>46</xdr:row>
          <xdr:rowOff>142875</xdr:rowOff>
        </xdr:from>
        <xdr:to>
          <xdr:col>2359</xdr:col>
          <xdr:colOff>276225</xdr:colOff>
          <xdr:row>48</xdr:row>
          <xdr:rowOff>19050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10717D20-CC4A-4B00-8718-6406F91AB6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2359</xdr:col>
          <xdr:colOff>542925</xdr:colOff>
          <xdr:row>46</xdr:row>
          <xdr:rowOff>142875</xdr:rowOff>
        </xdr:from>
        <xdr:to>
          <xdr:col>2360</xdr:col>
          <xdr:colOff>381000</xdr:colOff>
          <xdr:row>48</xdr:row>
          <xdr:rowOff>19050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23521273-6D02-43F6-9680-9AAC1AA14C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2369</xdr:col>
      <xdr:colOff>41413</xdr:colOff>
      <xdr:row>0</xdr:row>
      <xdr:rowOff>0</xdr:rowOff>
    </xdr:from>
    <xdr:ext cx="1114425" cy="561975"/>
    <xdr:pic>
      <xdr:nvPicPr>
        <xdr:cNvPr id="513" name="image1.png">
          <a:extLst>
            <a:ext uri="{FF2B5EF4-FFF2-40B4-BE49-F238E27FC236}">
              <a16:creationId xmlns:a16="http://schemas.microsoft.com/office/drawing/2014/main" id="{8321594E-A5A1-4F0B-9792-C537163930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035567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2370</xdr:col>
          <xdr:colOff>447675</xdr:colOff>
          <xdr:row>46</xdr:row>
          <xdr:rowOff>142875</xdr:rowOff>
        </xdr:from>
        <xdr:to>
          <xdr:col>2371</xdr:col>
          <xdr:colOff>276225</xdr:colOff>
          <xdr:row>48</xdr:row>
          <xdr:rowOff>19050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855132-CA0F-4736-8511-227701ED7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2371</xdr:col>
          <xdr:colOff>542925</xdr:colOff>
          <xdr:row>46</xdr:row>
          <xdr:rowOff>142875</xdr:rowOff>
        </xdr:from>
        <xdr:to>
          <xdr:col>2372</xdr:col>
          <xdr:colOff>381000</xdr:colOff>
          <xdr:row>48</xdr:row>
          <xdr:rowOff>19050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897859A7-06AE-4815-866E-9DDEBAECB1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2381</xdr:col>
      <xdr:colOff>41413</xdr:colOff>
      <xdr:row>0</xdr:row>
      <xdr:rowOff>0</xdr:rowOff>
    </xdr:from>
    <xdr:ext cx="1114425" cy="561975"/>
    <xdr:pic>
      <xdr:nvPicPr>
        <xdr:cNvPr id="516" name="image1.png">
          <a:extLst>
            <a:ext uri="{FF2B5EF4-FFF2-40B4-BE49-F238E27FC236}">
              <a16:creationId xmlns:a16="http://schemas.microsoft.com/office/drawing/2014/main" id="{DBB3EE88-8677-4CFB-BAE9-77D975383F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103480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2382</xdr:col>
          <xdr:colOff>447675</xdr:colOff>
          <xdr:row>46</xdr:row>
          <xdr:rowOff>142875</xdr:rowOff>
        </xdr:from>
        <xdr:to>
          <xdr:col>2383</xdr:col>
          <xdr:colOff>276225</xdr:colOff>
          <xdr:row>48</xdr:row>
          <xdr:rowOff>19050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13DC28A1-170B-4D16-B8F0-14BBE74929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2383</xdr:col>
          <xdr:colOff>542925</xdr:colOff>
          <xdr:row>46</xdr:row>
          <xdr:rowOff>142875</xdr:rowOff>
        </xdr:from>
        <xdr:to>
          <xdr:col>2384</xdr:col>
          <xdr:colOff>381000</xdr:colOff>
          <xdr:row>48</xdr:row>
          <xdr:rowOff>19050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9369E1CF-88DF-4E7E-992D-99B550C670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2393</xdr:col>
      <xdr:colOff>41413</xdr:colOff>
      <xdr:row>0</xdr:row>
      <xdr:rowOff>0</xdr:rowOff>
    </xdr:from>
    <xdr:ext cx="1114425" cy="561975"/>
    <xdr:pic>
      <xdr:nvPicPr>
        <xdr:cNvPr id="519" name="image1.png">
          <a:extLst>
            <a:ext uri="{FF2B5EF4-FFF2-40B4-BE49-F238E27FC236}">
              <a16:creationId xmlns:a16="http://schemas.microsoft.com/office/drawing/2014/main" id="{9DA0C6AC-6424-4682-84BE-577016FE12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171393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2394</xdr:col>
          <xdr:colOff>447675</xdr:colOff>
          <xdr:row>46</xdr:row>
          <xdr:rowOff>142875</xdr:rowOff>
        </xdr:from>
        <xdr:to>
          <xdr:col>2395</xdr:col>
          <xdr:colOff>276225</xdr:colOff>
          <xdr:row>48</xdr:row>
          <xdr:rowOff>19050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5EDF4499-0230-4C22-8885-E3E70F0878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2395</xdr:col>
          <xdr:colOff>542925</xdr:colOff>
          <xdr:row>46</xdr:row>
          <xdr:rowOff>142875</xdr:rowOff>
        </xdr:from>
        <xdr:to>
          <xdr:col>2396</xdr:col>
          <xdr:colOff>381000</xdr:colOff>
          <xdr:row>48</xdr:row>
          <xdr:rowOff>19050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6D98A364-D626-4778-B6F1-E5795A6FFD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2405</xdr:col>
      <xdr:colOff>41413</xdr:colOff>
      <xdr:row>0</xdr:row>
      <xdr:rowOff>0</xdr:rowOff>
    </xdr:from>
    <xdr:ext cx="1114425" cy="561975"/>
    <xdr:pic>
      <xdr:nvPicPr>
        <xdr:cNvPr id="522" name="image1.png">
          <a:extLst>
            <a:ext uri="{FF2B5EF4-FFF2-40B4-BE49-F238E27FC236}">
              <a16:creationId xmlns:a16="http://schemas.microsoft.com/office/drawing/2014/main" id="{9181893A-609C-4AB9-A929-00BCFEBA71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239306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2406</xdr:col>
          <xdr:colOff>447675</xdr:colOff>
          <xdr:row>46</xdr:row>
          <xdr:rowOff>142875</xdr:rowOff>
        </xdr:from>
        <xdr:to>
          <xdr:col>2407</xdr:col>
          <xdr:colOff>276225</xdr:colOff>
          <xdr:row>48</xdr:row>
          <xdr:rowOff>19050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261FDE8B-4977-454D-94BF-15CC881024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2407</xdr:col>
          <xdr:colOff>542925</xdr:colOff>
          <xdr:row>46</xdr:row>
          <xdr:rowOff>142875</xdr:rowOff>
        </xdr:from>
        <xdr:to>
          <xdr:col>2408</xdr:col>
          <xdr:colOff>381000</xdr:colOff>
          <xdr:row>48</xdr:row>
          <xdr:rowOff>19050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F50FDF5F-B41C-48EB-A59C-88F1F96BAE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2417</xdr:col>
      <xdr:colOff>41413</xdr:colOff>
      <xdr:row>0</xdr:row>
      <xdr:rowOff>0</xdr:rowOff>
    </xdr:from>
    <xdr:ext cx="1114425" cy="561975"/>
    <xdr:pic>
      <xdr:nvPicPr>
        <xdr:cNvPr id="525" name="image1.png">
          <a:extLst>
            <a:ext uri="{FF2B5EF4-FFF2-40B4-BE49-F238E27FC236}">
              <a16:creationId xmlns:a16="http://schemas.microsoft.com/office/drawing/2014/main" id="{F878FEDE-B51A-42B4-A246-9198934E89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307220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2418</xdr:col>
          <xdr:colOff>447675</xdr:colOff>
          <xdr:row>46</xdr:row>
          <xdr:rowOff>142875</xdr:rowOff>
        </xdr:from>
        <xdr:to>
          <xdr:col>2419</xdr:col>
          <xdr:colOff>276225</xdr:colOff>
          <xdr:row>48</xdr:row>
          <xdr:rowOff>19050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97952318-BBEC-4C86-B039-AC6177C69C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2419</xdr:col>
          <xdr:colOff>542925</xdr:colOff>
          <xdr:row>46</xdr:row>
          <xdr:rowOff>142875</xdr:rowOff>
        </xdr:from>
        <xdr:to>
          <xdr:col>2420</xdr:col>
          <xdr:colOff>381000</xdr:colOff>
          <xdr:row>48</xdr:row>
          <xdr:rowOff>19050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1E7283CB-8EC2-416F-8534-5AD1B89F3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2429</xdr:col>
      <xdr:colOff>41413</xdr:colOff>
      <xdr:row>0</xdr:row>
      <xdr:rowOff>0</xdr:rowOff>
    </xdr:from>
    <xdr:ext cx="1114425" cy="561975"/>
    <xdr:pic>
      <xdr:nvPicPr>
        <xdr:cNvPr id="528" name="image1.png">
          <a:extLst>
            <a:ext uri="{FF2B5EF4-FFF2-40B4-BE49-F238E27FC236}">
              <a16:creationId xmlns:a16="http://schemas.microsoft.com/office/drawing/2014/main" id="{CB388DAF-5CB0-4B57-85BA-A3B0A96012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375133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2430</xdr:col>
          <xdr:colOff>447675</xdr:colOff>
          <xdr:row>46</xdr:row>
          <xdr:rowOff>142875</xdr:rowOff>
        </xdr:from>
        <xdr:to>
          <xdr:col>2431</xdr:col>
          <xdr:colOff>276225</xdr:colOff>
          <xdr:row>48</xdr:row>
          <xdr:rowOff>19050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B65EA464-552E-4B4E-8BF6-3FBDF73B1E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2431</xdr:col>
          <xdr:colOff>542925</xdr:colOff>
          <xdr:row>46</xdr:row>
          <xdr:rowOff>142875</xdr:rowOff>
        </xdr:from>
        <xdr:to>
          <xdr:col>2432</xdr:col>
          <xdr:colOff>381000</xdr:colOff>
          <xdr:row>48</xdr:row>
          <xdr:rowOff>19050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2D7D521C-2AFA-447B-AABE-F56162384A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2441</xdr:col>
      <xdr:colOff>41413</xdr:colOff>
      <xdr:row>0</xdr:row>
      <xdr:rowOff>0</xdr:rowOff>
    </xdr:from>
    <xdr:ext cx="1114425" cy="561975"/>
    <xdr:pic>
      <xdr:nvPicPr>
        <xdr:cNvPr id="531" name="image1.png">
          <a:extLst>
            <a:ext uri="{FF2B5EF4-FFF2-40B4-BE49-F238E27FC236}">
              <a16:creationId xmlns:a16="http://schemas.microsoft.com/office/drawing/2014/main" id="{02394FE6-F869-478C-8FD5-43851CAE37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443046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2442</xdr:col>
          <xdr:colOff>447675</xdr:colOff>
          <xdr:row>46</xdr:row>
          <xdr:rowOff>142875</xdr:rowOff>
        </xdr:from>
        <xdr:to>
          <xdr:col>2443</xdr:col>
          <xdr:colOff>276225</xdr:colOff>
          <xdr:row>48</xdr:row>
          <xdr:rowOff>19050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E8AF2541-96D4-4945-8E3F-88BDDEDA97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2443</xdr:col>
          <xdr:colOff>542925</xdr:colOff>
          <xdr:row>46</xdr:row>
          <xdr:rowOff>142875</xdr:rowOff>
        </xdr:from>
        <xdr:to>
          <xdr:col>2444</xdr:col>
          <xdr:colOff>381000</xdr:colOff>
          <xdr:row>48</xdr:row>
          <xdr:rowOff>19050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6074C2F8-F3A8-471B-92EE-431A02F1A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2453</xdr:col>
      <xdr:colOff>41413</xdr:colOff>
      <xdr:row>0</xdr:row>
      <xdr:rowOff>0</xdr:rowOff>
    </xdr:from>
    <xdr:ext cx="1114425" cy="561975"/>
    <xdr:pic>
      <xdr:nvPicPr>
        <xdr:cNvPr id="534" name="image1.png">
          <a:extLst>
            <a:ext uri="{FF2B5EF4-FFF2-40B4-BE49-F238E27FC236}">
              <a16:creationId xmlns:a16="http://schemas.microsoft.com/office/drawing/2014/main" id="{900CC37A-5054-46D8-9D32-150169502D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510959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2454</xdr:col>
          <xdr:colOff>447675</xdr:colOff>
          <xdr:row>46</xdr:row>
          <xdr:rowOff>142875</xdr:rowOff>
        </xdr:from>
        <xdr:to>
          <xdr:col>2455</xdr:col>
          <xdr:colOff>276225</xdr:colOff>
          <xdr:row>48</xdr:row>
          <xdr:rowOff>19050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D60FBAF2-2ABC-4DB7-9028-228714B5DF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2455</xdr:col>
          <xdr:colOff>542925</xdr:colOff>
          <xdr:row>46</xdr:row>
          <xdr:rowOff>142875</xdr:rowOff>
        </xdr:from>
        <xdr:to>
          <xdr:col>2456</xdr:col>
          <xdr:colOff>381000</xdr:colOff>
          <xdr:row>48</xdr:row>
          <xdr:rowOff>19050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E8E035CC-4BA6-47EC-AB72-1ABA1AEA2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2465</xdr:col>
      <xdr:colOff>41413</xdr:colOff>
      <xdr:row>0</xdr:row>
      <xdr:rowOff>0</xdr:rowOff>
    </xdr:from>
    <xdr:ext cx="1114425" cy="561975"/>
    <xdr:pic>
      <xdr:nvPicPr>
        <xdr:cNvPr id="537" name="image1.png">
          <a:extLst>
            <a:ext uri="{FF2B5EF4-FFF2-40B4-BE49-F238E27FC236}">
              <a16:creationId xmlns:a16="http://schemas.microsoft.com/office/drawing/2014/main" id="{44940850-DF92-44D8-8781-116E2659E1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578873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2466</xdr:col>
          <xdr:colOff>447675</xdr:colOff>
          <xdr:row>46</xdr:row>
          <xdr:rowOff>142875</xdr:rowOff>
        </xdr:from>
        <xdr:to>
          <xdr:col>2467</xdr:col>
          <xdr:colOff>276225</xdr:colOff>
          <xdr:row>48</xdr:row>
          <xdr:rowOff>19050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957C89A7-7294-418C-B3A4-249499A022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2467</xdr:col>
          <xdr:colOff>542925</xdr:colOff>
          <xdr:row>46</xdr:row>
          <xdr:rowOff>142875</xdr:rowOff>
        </xdr:from>
        <xdr:to>
          <xdr:col>2468</xdr:col>
          <xdr:colOff>381000</xdr:colOff>
          <xdr:row>48</xdr:row>
          <xdr:rowOff>19050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52D3BC6A-DDF2-4FDC-9C3E-0BAE7EAAF0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2477</xdr:col>
      <xdr:colOff>41413</xdr:colOff>
      <xdr:row>0</xdr:row>
      <xdr:rowOff>0</xdr:rowOff>
    </xdr:from>
    <xdr:ext cx="1114425" cy="561975"/>
    <xdr:pic>
      <xdr:nvPicPr>
        <xdr:cNvPr id="540" name="image1.png">
          <a:extLst>
            <a:ext uri="{FF2B5EF4-FFF2-40B4-BE49-F238E27FC236}">
              <a16:creationId xmlns:a16="http://schemas.microsoft.com/office/drawing/2014/main" id="{9E27ED12-6A0A-42A3-8AAB-BFCF0348CF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646786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2478</xdr:col>
          <xdr:colOff>447675</xdr:colOff>
          <xdr:row>46</xdr:row>
          <xdr:rowOff>142875</xdr:rowOff>
        </xdr:from>
        <xdr:to>
          <xdr:col>2479</xdr:col>
          <xdr:colOff>276225</xdr:colOff>
          <xdr:row>48</xdr:row>
          <xdr:rowOff>19050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1DB73FB6-0B06-4392-BB2B-1373A77271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2479</xdr:col>
          <xdr:colOff>542925</xdr:colOff>
          <xdr:row>46</xdr:row>
          <xdr:rowOff>142875</xdr:rowOff>
        </xdr:from>
        <xdr:to>
          <xdr:col>2480</xdr:col>
          <xdr:colOff>381000</xdr:colOff>
          <xdr:row>48</xdr:row>
          <xdr:rowOff>19050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C1FE683F-5B4C-4CE4-A9AD-923A1BB299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2489</xdr:col>
      <xdr:colOff>41413</xdr:colOff>
      <xdr:row>0</xdr:row>
      <xdr:rowOff>0</xdr:rowOff>
    </xdr:from>
    <xdr:ext cx="1114425" cy="561975"/>
    <xdr:pic>
      <xdr:nvPicPr>
        <xdr:cNvPr id="543" name="image1.png">
          <a:extLst>
            <a:ext uri="{FF2B5EF4-FFF2-40B4-BE49-F238E27FC236}">
              <a16:creationId xmlns:a16="http://schemas.microsoft.com/office/drawing/2014/main" id="{9B1657AD-D879-466A-931F-59D9EF8B8B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714699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2490</xdr:col>
          <xdr:colOff>447675</xdr:colOff>
          <xdr:row>46</xdr:row>
          <xdr:rowOff>142875</xdr:rowOff>
        </xdr:from>
        <xdr:to>
          <xdr:col>2491</xdr:col>
          <xdr:colOff>276225</xdr:colOff>
          <xdr:row>48</xdr:row>
          <xdr:rowOff>19050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7B2087F-2710-4840-9D6E-47E5DC728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2491</xdr:col>
          <xdr:colOff>542925</xdr:colOff>
          <xdr:row>46</xdr:row>
          <xdr:rowOff>142875</xdr:rowOff>
        </xdr:from>
        <xdr:to>
          <xdr:col>2492</xdr:col>
          <xdr:colOff>381000</xdr:colOff>
          <xdr:row>48</xdr:row>
          <xdr:rowOff>19050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F0D6A9C1-961D-4DFF-8E19-695320CCC1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2501</xdr:col>
      <xdr:colOff>41413</xdr:colOff>
      <xdr:row>0</xdr:row>
      <xdr:rowOff>0</xdr:rowOff>
    </xdr:from>
    <xdr:ext cx="1114425" cy="561975"/>
    <xdr:pic>
      <xdr:nvPicPr>
        <xdr:cNvPr id="546" name="image1.png">
          <a:extLst>
            <a:ext uri="{FF2B5EF4-FFF2-40B4-BE49-F238E27FC236}">
              <a16:creationId xmlns:a16="http://schemas.microsoft.com/office/drawing/2014/main" id="{F207A85F-8C61-4937-AFDA-6B68BFEB3F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782612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2502</xdr:col>
          <xdr:colOff>447675</xdr:colOff>
          <xdr:row>46</xdr:row>
          <xdr:rowOff>142875</xdr:rowOff>
        </xdr:from>
        <xdr:to>
          <xdr:col>2503</xdr:col>
          <xdr:colOff>276225</xdr:colOff>
          <xdr:row>48</xdr:row>
          <xdr:rowOff>19050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79AC0184-A02E-454A-A84A-B10F677F73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2503</xdr:col>
          <xdr:colOff>542925</xdr:colOff>
          <xdr:row>46</xdr:row>
          <xdr:rowOff>142875</xdr:rowOff>
        </xdr:from>
        <xdr:to>
          <xdr:col>2504</xdr:col>
          <xdr:colOff>381000</xdr:colOff>
          <xdr:row>48</xdr:row>
          <xdr:rowOff>19050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92C08821-FA6D-4F38-B12B-6AE6EC43A7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2513</xdr:col>
      <xdr:colOff>41413</xdr:colOff>
      <xdr:row>0</xdr:row>
      <xdr:rowOff>0</xdr:rowOff>
    </xdr:from>
    <xdr:ext cx="1114425" cy="561975"/>
    <xdr:pic>
      <xdr:nvPicPr>
        <xdr:cNvPr id="549" name="image1.png">
          <a:extLst>
            <a:ext uri="{FF2B5EF4-FFF2-40B4-BE49-F238E27FC236}">
              <a16:creationId xmlns:a16="http://schemas.microsoft.com/office/drawing/2014/main" id="{E287405E-BBED-4806-81BF-6C811E6B2D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850526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2514</xdr:col>
          <xdr:colOff>447675</xdr:colOff>
          <xdr:row>46</xdr:row>
          <xdr:rowOff>142875</xdr:rowOff>
        </xdr:from>
        <xdr:to>
          <xdr:col>2515</xdr:col>
          <xdr:colOff>276225</xdr:colOff>
          <xdr:row>48</xdr:row>
          <xdr:rowOff>19050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9FCBEDA0-3291-468E-B416-0E64F5E0B7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2515</xdr:col>
          <xdr:colOff>542925</xdr:colOff>
          <xdr:row>46</xdr:row>
          <xdr:rowOff>142875</xdr:rowOff>
        </xdr:from>
        <xdr:to>
          <xdr:col>2516</xdr:col>
          <xdr:colOff>381000</xdr:colOff>
          <xdr:row>48</xdr:row>
          <xdr:rowOff>19050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BCC481E6-3F7C-4D7D-BAF3-964449789D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2525</xdr:col>
      <xdr:colOff>41413</xdr:colOff>
      <xdr:row>0</xdr:row>
      <xdr:rowOff>0</xdr:rowOff>
    </xdr:from>
    <xdr:ext cx="1114425" cy="561975"/>
    <xdr:pic>
      <xdr:nvPicPr>
        <xdr:cNvPr id="552" name="image1.png">
          <a:extLst>
            <a:ext uri="{FF2B5EF4-FFF2-40B4-BE49-F238E27FC236}">
              <a16:creationId xmlns:a16="http://schemas.microsoft.com/office/drawing/2014/main" id="{838AC91B-B5D5-48D4-A8DB-6B442C77B3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918439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2526</xdr:col>
          <xdr:colOff>447675</xdr:colOff>
          <xdr:row>46</xdr:row>
          <xdr:rowOff>142875</xdr:rowOff>
        </xdr:from>
        <xdr:to>
          <xdr:col>2527</xdr:col>
          <xdr:colOff>276225</xdr:colOff>
          <xdr:row>48</xdr:row>
          <xdr:rowOff>19050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8F243BF3-BA3D-424F-A557-2F2234F64C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2527</xdr:col>
          <xdr:colOff>542925</xdr:colOff>
          <xdr:row>46</xdr:row>
          <xdr:rowOff>142875</xdr:rowOff>
        </xdr:from>
        <xdr:to>
          <xdr:col>2528</xdr:col>
          <xdr:colOff>381000</xdr:colOff>
          <xdr:row>48</xdr:row>
          <xdr:rowOff>19050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3D3F97ED-6098-4363-B2B4-1AB84B9959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2537</xdr:col>
      <xdr:colOff>41413</xdr:colOff>
      <xdr:row>0</xdr:row>
      <xdr:rowOff>0</xdr:rowOff>
    </xdr:from>
    <xdr:ext cx="1114425" cy="561975"/>
    <xdr:pic>
      <xdr:nvPicPr>
        <xdr:cNvPr id="555" name="image1.png">
          <a:extLst>
            <a:ext uri="{FF2B5EF4-FFF2-40B4-BE49-F238E27FC236}">
              <a16:creationId xmlns:a16="http://schemas.microsoft.com/office/drawing/2014/main" id="{1950A52D-0329-4283-A00B-834D397736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3986352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2538</xdr:col>
          <xdr:colOff>447675</xdr:colOff>
          <xdr:row>46</xdr:row>
          <xdr:rowOff>142875</xdr:rowOff>
        </xdr:from>
        <xdr:to>
          <xdr:col>2539</xdr:col>
          <xdr:colOff>276225</xdr:colOff>
          <xdr:row>48</xdr:row>
          <xdr:rowOff>19050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73B5D416-171A-4D6E-858D-6BACB37F8A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2539</xdr:col>
          <xdr:colOff>542925</xdr:colOff>
          <xdr:row>46</xdr:row>
          <xdr:rowOff>142875</xdr:rowOff>
        </xdr:from>
        <xdr:to>
          <xdr:col>2540</xdr:col>
          <xdr:colOff>381000</xdr:colOff>
          <xdr:row>48</xdr:row>
          <xdr:rowOff>19050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D61217EF-68BF-4804-BC85-2E34BD3E47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2549</xdr:col>
      <xdr:colOff>41413</xdr:colOff>
      <xdr:row>0</xdr:row>
      <xdr:rowOff>0</xdr:rowOff>
    </xdr:from>
    <xdr:ext cx="1114425" cy="561975"/>
    <xdr:pic>
      <xdr:nvPicPr>
        <xdr:cNvPr id="558" name="image1.png">
          <a:extLst>
            <a:ext uri="{FF2B5EF4-FFF2-40B4-BE49-F238E27FC236}">
              <a16:creationId xmlns:a16="http://schemas.microsoft.com/office/drawing/2014/main" id="{45752652-A8B0-48E3-9B3E-4E547BE28D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4054265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2550</xdr:col>
          <xdr:colOff>447675</xdr:colOff>
          <xdr:row>46</xdr:row>
          <xdr:rowOff>142875</xdr:rowOff>
        </xdr:from>
        <xdr:to>
          <xdr:col>2551</xdr:col>
          <xdr:colOff>276225</xdr:colOff>
          <xdr:row>48</xdr:row>
          <xdr:rowOff>19050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6813CA56-C1CE-4CD1-8C39-C69DED30CC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2551</xdr:col>
          <xdr:colOff>542925</xdr:colOff>
          <xdr:row>46</xdr:row>
          <xdr:rowOff>142875</xdr:rowOff>
        </xdr:from>
        <xdr:to>
          <xdr:col>2552</xdr:col>
          <xdr:colOff>381000</xdr:colOff>
          <xdr:row>48</xdr:row>
          <xdr:rowOff>19050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D2AFC392-BEAF-4214-9A8D-C0CB330025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2561</xdr:col>
      <xdr:colOff>41413</xdr:colOff>
      <xdr:row>0</xdr:row>
      <xdr:rowOff>0</xdr:rowOff>
    </xdr:from>
    <xdr:ext cx="1114425" cy="561975"/>
    <xdr:pic>
      <xdr:nvPicPr>
        <xdr:cNvPr id="561" name="image1.png">
          <a:extLst>
            <a:ext uri="{FF2B5EF4-FFF2-40B4-BE49-F238E27FC236}">
              <a16:creationId xmlns:a16="http://schemas.microsoft.com/office/drawing/2014/main" id="{26E81B21-B49E-44AB-B6EF-43258866A2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4122179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2562</xdr:col>
          <xdr:colOff>447675</xdr:colOff>
          <xdr:row>46</xdr:row>
          <xdr:rowOff>142875</xdr:rowOff>
        </xdr:from>
        <xdr:to>
          <xdr:col>2563</xdr:col>
          <xdr:colOff>276225</xdr:colOff>
          <xdr:row>48</xdr:row>
          <xdr:rowOff>19050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D14DDF92-55B7-4FCE-B138-764DAB2CC7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2563</xdr:col>
          <xdr:colOff>542925</xdr:colOff>
          <xdr:row>46</xdr:row>
          <xdr:rowOff>142875</xdr:rowOff>
        </xdr:from>
        <xdr:to>
          <xdr:col>2564</xdr:col>
          <xdr:colOff>381000</xdr:colOff>
          <xdr:row>48</xdr:row>
          <xdr:rowOff>19050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ED1AABF-7017-4A7A-88B4-939DA953B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2573</xdr:col>
      <xdr:colOff>41413</xdr:colOff>
      <xdr:row>0</xdr:row>
      <xdr:rowOff>0</xdr:rowOff>
    </xdr:from>
    <xdr:ext cx="1114425" cy="561975"/>
    <xdr:pic>
      <xdr:nvPicPr>
        <xdr:cNvPr id="564" name="image1.png">
          <a:extLst>
            <a:ext uri="{FF2B5EF4-FFF2-40B4-BE49-F238E27FC236}">
              <a16:creationId xmlns:a16="http://schemas.microsoft.com/office/drawing/2014/main" id="{3D644DA8-B8CE-4B29-B8A0-5D4A04661E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4190092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2574</xdr:col>
          <xdr:colOff>447675</xdr:colOff>
          <xdr:row>46</xdr:row>
          <xdr:rowOff>142875</xdr:rowOff>
        </xdr:from>
        <xdr:to>
          <xdr:col>2575</xdr:col>
          <xdr:colOff>276225</xdr:colOff>
          <xdr:row>48</xdr:row>
          <xdr:rowOff>19050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E4715B62-230E-4D30-9745-5FF14989D6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2575</xdr:col>
          <xdr:colOff>542925</xdr:colOff>
          <xdr:row>46</xdr:row>
          <xdr:rowOff>142875</xdr:rowOff>
        </xdr:from>
        <xdr:to>
          <xdr:col>2576</xdr:col>
          <xdr:colOff>381000</xdr:colOff>
          <xdr:row>48</xdr:row>
          <xdr:rowOff>19050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2F64ADA0-84F8-4373-B4C1-CC9CA506F9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2585</xdr:col>
      <xdr:colOff>41413</xdr:colOff>
      <xdr:row>0</xdr:row>
      <xdr:rowOff>0</xdr:rowOff>
    </xdr:from>
    <xdr:ext cx="1114425" cy="561975"/>
    <xdr:pic>
      <xdr:nvPicPr>
        <xdr:cNvPr id="567" name="image1.png">
          <a:extLst>
            <a:ext uri="{FF2B5EF4-FFF2-40B4-BE49-F238E27FC236}">
              <a16:creationId xmlns:a16="http://schemas.microsoft.com/office/drawing/2014/main" id="{D50B3F77-0187-48F2-A77B-D27B8C039F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42580056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2586</xdr:col>
          <xdr:colOff>447675</xdr:colOff>
          <xdr:row>46</xdr:row>
          <xdr:rowOff>142875</xdr:rowOff>
        </xdr:from>
        <xdr:to>
          <xdr:col>2587</xdr:col>
          <xdr:colOff>276225</xdr:colOff>
          <xdr:row>48</xdr:row>
          <xdr:rowOff>19050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EA97E5AC-19A9-4EC5-9806-A261C07579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2587</xdr:col>
          <xdr:colOff>542925</xdr:colOff>
          <xdr:row>46</xdr:row>
          <xdr:rowOff>142875</xdr:rowOff>
        </xdr:from>
        <xdr:to>
          <xdr:col>2588</xdr:col>
          <xdr:colOff>381000</xdr:colOff>
          <xdr:row>48</xdr:row>
          <xdr:rowOff>19050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63315C34-CE07-4BAA-BD64-76DD18DE8B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2597</xdr:col>
      <xdr:colOff>41413</xdr:colOff>
      <xdr:row>0</xdr:row>
      <xdr:rowOff>0</xdr:rowOff>
    </xdr:from>
    <xdr:ext cx="1114425" cy="561975"/>
    <xdr:pic>
      <xdr:nvPicPr>
        <xdr:cNvPr id="570" name="image1.png">
          <a:extLst>
            <a:ext uri="{FF2B5EF4-FFF2-40B4-BE49-F238E27FC236}">
              <a16:creationId xmlns:a16="http://schemas.microsoft.com/office/drawing/2014/main" id="{30D384EF-9834-4063-AC30-03D80FD1FC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43259188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2598</xdr:col>
          <xdr:colOff>447675</xdr:colOff>
          <xdr:row>46</xdr:row>
          <xdr:rowOff>142875</xdr:rowOff>
        </xdr:from>
        <xdr:to>
          <xdr:col>2599</xdr:col>
          <xdr:colOff>276225</xdr:colOff>
          <xdr:row>48</xdr:row>
          <xdr:rowOff>19050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446563A-1E56-4CE4-9FAA-FB6C7BD2E9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2599</xdr:col>
          <xdr:colOff>542925</xdr:colOff>
          <xdr:row>46</xdr:row>
          <xdr:rowOff>142875</xdr:rowOff>
        </xdr:from>
        <xdr:to>
          <xdr:col>2600</xdr:col>
          <xdr:colOff>381000</xdr:colOff>
          <xdr:row>48</xdr:row>
          <xdr:rowOff>19050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190B3D31-2300-4A54-A504-524F2ADE2C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2609</xdr:col>
      <xdr:colOff>41413</xdr:colOff>
      <xdr:row>0</xdr:row>
      <xdr:rowOff>0</xdr:rowOff>
    </xdr:from>
    <xdr:ext cx="1114425" cy="561975"/>
    <xdr:pic>
      <xdr:nvPicPr>
        <xdr:cNvPr id="573" name="image1.png">
          <a:extLst>
            <a:ext uri="{FF2B5EF4-FFF2-40B4-BE49-F238E27FC236}">
              <a16:creationId xmlns:a16="http://schemas.microsoft.com/office/drawing/2014/main" id="{5E74F8AD-C5FC-46EB-AA24-00F5DC3320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439383213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2610</xdr:col>
          <xdr:colOff>447675</xdr:colOff>
          <xdr:row>46</xdr:row>
          <xdr:rowOff>142875</xdr:rowOff>
        </xdr:from>
        <xdr:to>
          <xdr:col>2611</xdr:col>
          <xdr:colOff>276225</xdr:colOff>
          <xdr:row>48</xdr:row>
          <xdr:rowOff>19050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64089DB4-D85F-462D-B560-920D0FAE9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2611</xdr:col>
          <xdr:colOff>542925</xdr:colOff>
          <xdr:row>46</xdr:row>
          <xdr:rowOff>142875</xdr:rowOff>
        </xdr:from>
        <xdr:to>
          <xdr:col>2612</xdr:col>
          <xdr:colOff>381000</xdr:colOff>
          <xdr:row>48</xdr:row>
          <xdr:rowOff>19050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C07CB38F-85F2-4C7B-A37E-4911B1278A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2621</xdr:col>
      <xdr:colOff>41413</xdr:colOff>
      <xdr:row>0</xdr:row>
      <xdr:rowOff>0</xdr:rowOff>
    </xdr:from>
    <xdr:ext cx="1114425" cy="561975"/>
    <xdr:pic>
      <xdr:nvPicPr>
        <xdr:cNvPr id="576" name="image1.png">
          <a:extLst>
            <a:ext uri="{FF2B5EF4-FFF2-40B4-BE49-F238E27FC236}">
              <a16:creationId xmlns:a16="http://schemas.microsoft.com/office/drawing/2014/main" id="{F894E6E9-5478-4E4A-8D0A-C1ACD17A6F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</a:blip>
        <a:stretch>
          <a:fillRect/>
        </a:stretch>
      </xdr:blipFill>
      <xdr:spPr>
        <a:xfrm>
          <a:off x="1446174538" y="0"/>
          <a:ext cx="1114425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2622</xdr:col>
          <xdr:colOff>447675</xdr:colOff>
          <xdr:row>46</xdr:row>
          <xdr:rowOff>142875</xdr:rowOff>
        </xdr:from>
        <xdr:to>
          <xdr:col>2623</xdr:col>
          <xdr:colOff>276225</xdr:colOff>
          <xdr:row>48</xdr:row>
          <xdr:rowOff>19050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220147B8-05AF-40C7-9F50-F1BE9894B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2623</xdr:col>
          <xdr:colOff>542925</xdr:colOff>
          <xdr:row>46</xdr:row>
          <xdr:rowOff>142875</xdr:rowOff>
        </xdr:from>
        <xdr:to>
          <xdr:col>2624</xdr:col>
          <xdr:colOff>381000</xdr:colOff>
          <xdr:row>48</xdr:row>
          <xdr:rowOff>19050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C5D37248-3EF5-45F0-9BCE-F53B9786E1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2622</xdr:col>
          <xdr:colOff>447675</xdr:colOff>
          <xdr:row>47</xdr:row>
          <xdr:rowOff>142875</xdr:rowOff>
        </xdr:from>
        <xdr:ext cx="333789" cy="213692"/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DB163AE3-DC8E-43C7-8640-06FAD90B88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2623</xdr:col>
          <xdr:colOff>542925</xdr:colOff>
          <xdr:row>47</xdr:row>
          <xdr:rowOff>142875</xdr:rowOff>
        </xdr:from>
        <xdr:ext cx="525531" cy="213692"/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9CFBA489-B6AF-4A44-80DF-492361894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RDENES%20DE%20PRODUCCION%20COMPLETAS%20IV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F 25N-17P-1K "/>
      <sheetName val="MF 25N-5P-1"/>
      <sheetName val=" MF 24N-3P-12K+EM"/>
      <sheetName val="MFE 4N-9P-0K"/>
      <sheetName val="MF 28N-1P-12K+EM X KILO    "/>
      <sheetName val="MF 22N-0P-19K"/>
      <sheetName val="ABONO ORGANICO"/>
      <sheetName val="ARENA DE GATO"/>
      <sheetName val="BIOPLANTAS"/>
      <sheetName val="BORO GRANULADO"/>
      <sheetName val="CARBONITRO"/>
      <sheetName val="CALFERZINC P-F VIEJA"/>
      <sheetName val="CALFERZINC P NUEVA"/>
      <sheetName val="ENMIENDA CASA"/>
      <sheetName val="FE MAGNE 3"/>
      <sheetName val="FERTICORRECTIVO"/>
      <sheetName val="FERTIMENORES"/>
      <sheetName val="FOSFORO ESPECIAL"/>
      <sheetName val="FOSFORITA NEIVA"/>
      <sheetName val="FOSFORITA HUILA "/>
      <sheetName val="HDA TASHIRO SUERTE 2 "/>
      <sheetName val="K2K"/>
      <sheetName val="MEZCLA EN POLVO"/>
      <sheetName val="MEZCLA NITROFERT"/>
      <sheetName val="MICRON C"/>
      <sheetName val="MICRON C-S"/>
      <sheetName val="NITROORGANIC"/>
      <sheetName val="NUCLEO CAMASI"/>
      <sheetName val="NUCLEO CAMASI ROJO"/>
      <sheetName val="NUCLEO CAMASI YARA"/>
      <sheetName val="NUCLEO FERCON"/>
      <sheetName val="NUCLEO FOSFORO 10 PRECISAGRO"/>
      <sheetName val="NUCLEO FOSFORO 1"/>
      <sheetName val="NUCLEO FOSFORO 2"/>
      <sheetName val="NUCLEO HIERRO"/>
      <sheetName val="NUCLEO MAGNESIO"/>
      <sheetName val="NUCLEO  SILICIO"/>
      <sheetName val="NUCLEO 4"/>
      <sheetName val="NUCLEO 50"/>
      <sheetName val="PRUEBA SAM ESTANDAR"/>
      <sheetName val="RAIFOS 20"/>
      <sheetName val="SILIMAGRAN"/>
      <sheetName val="SUELO CA"/>
      <sheetName val="SULFATO DE CALCIO PRECISAGRO"/>
      <sheetName val=" SULFATO DE CALCIO Z F.E"/>
      <sheetName val="SULFATO DE MANGANESO"/>
      <sheetName val="SULFATO DE ZINC AL 31%"/>
      <sheetName val="MFE HDA LA MARGARITA"/>
      <sheetName val="MFE 13N-15P-10K"/>
      <sheetName val="MFE 28N-4P-9K"/>
      <sheetName val="MF 25N-4P-17K - 1Ca"/>
      <sheetName val="MFE 21-7-8 "/>
      <sheetName val="MF 25-4-24"/>
      <sheetName val="MF 15-15-15"/>
      <sheetName val="MF-18-18-18"/>
      <sheetName val="MF 17-6-18-2-1"/>
      <sheetName val="21-5-10-6S-EM+1CO-15"/>
      <sheetName val="MFE KASTRO FERTICOMPLETO-18"/>
      <sheetName val="22N-3P-13K-4S+MENORES-16"/>
      <sheetName val="13N-4P-22K+MENORES"/>
      <sheetName val="22N-3P-13K-4S+MENORES-16 (2)"/>
      <sheetName val="MF 25-5-0"/>
      <sheetName val="32N-0P-6K-1Mg"/>
      <sheetName val="MF 14-3-19-7"/>
      <sheetName val="MF 31-8-8-2"/>
      <sheetName val="MF 12-24-12"/>
      <sheetName val="25-15-0"/>
      <sheetName val="32N-1P-6K"/>
      <sheetName val="27-15-0-5"/>
      <sheetName val="MF 19N-3K-1P+MENORES"/>
      <sheetName val="MF 3N-10P-2K-10Ca"/>
      <sheetName val="MF 10N-6P-2K-10Ca"/>
      <sheetName val="MF 6N-9P-6K-15Ca"/>
      <sheetName val="MF 3N-10P-2K"/>
      <sheetName val="MF KASTRO FERTICOMPLETO"/>
      <sheetName val="MF 10N-15P-20K-6Ca-"/>
      <sheetName val="MF 22N-6P-7Ca"/>
      <sheetName val="MF 23N-3P-20K"/>
      <sheetName val="MF 38N-10K"/>
      <sheetName val="MF 28N-0P-6K"/>
      <sheetName val="MF 17-8-11+EM"/>
      <sheetName val="MF 17-6-18-6"/>
      <sheetName val="MF 10-20-20"/>
      <sheetName val="MF 16N-3P-14K-3Ca"/>
      <sheetName val="MF 10N-24P-4K-9Ca"/>
      <sheetName val="MF 10N-10P-20K-5Ca"/>
      <sheetName val="0-15-15"/>
      <sheetName val="25N-13P-12K-2Ca"/>
      <sheetName val="20N-4P-18K"/>
      <sheetName val="18N-9P-29K"/>
      <sheetName val="F.E 12-24-12+menores "/>
      <sheetName val="13N-26P-6K-4Ca"/>
      <sheetName val="21N-2P-8K-2Ca"/>
      <sheetName val="mf 30-0-20"/>
      <sheetName val="23N-5P-10K-3Ca"/>
      <sheetName val="MF 13N-7P-12K-11Ca"/>
      <sheetName val="MF 10N-20P-30K-0Ca"/>
      <sheetName val="MF 18N-18P-18K-1Ca  "/>
      <sheetName val="MF 25N-13P-12K-2Ca"/>
      <sheetName val="MF 29N-15P-5K-1Ca"/>
      <sheetName val="MF 26N-6P-2K-6Ca"/>
      <sheetName val="MF 28N-0P-12K-2Ca "/>
      <sheetName val="MF 32N-1P-12K+EM "/>
      <sheetName val="MF 37N-2Ca-2Mg-1s"/>
      <sheetName val="MF 14N-4P-23K-4Ca"/>
      <sheetName val="MF 8N-15P-23K-5Ca"/>
      <sheetName val="MF 10N-28P-6K-6Ca"/>
      <sheetName val="MF 24N-0P-2K-9Ca"/>
      <sheetName val="MF 27N-4P-3K-5Ca"/>
      <sheetName val="MF 9N-12P-24K-7Ca"/>
      <sheetName val="MF 31-0-20+TMC"/>
      <sheetName val="MF 24N-4P-11K"/>
      <sheetName val="MF 31 0 20"/>
      <sheetName val="MF 19N-3P-18K"/>
      <sheetName val="MF 27N-1P-12K-2Ca"/>
      <sheetName val="MF 18N-18P-18K-1Ca (2)"/>
      <sheetName val="MF 8N-20P-12K-8Ca 5Mg"/>
      <sheetName val="MF 25N-1P-13K-2Ca"/>
      <sheetName val="MF 22N-6P-3K-7Ca"/>
      <sheetName val="MF 19N-5P-9K-5Ca"/>
      <sheetName val="MF 20N-6P-0K"/>
      <sheetName val="MF 15N-4P-23K"/>
      <sheetName val="MF 10N-9P-30K-0Ca"/>
      <sheetName val="MF 10N-20P-28K-1Ca "/>
      <sheetName val="MF 30N-8P-0K-5Ca"/>
      <sheetName val="MF 21N-5P-9K-3Ca"/>
      <sheetName val=" MF 28N-5P-6K-1Ca"/>
      <sheetName val="MF 14N-3P-19K"/>
      <sheetName val="MF 24N-5P-6K"/>
      <sheetName val="MF 26N-9P-9K"/>
      <sheetName val="MF 33N-5P-12K"/>
      <sheetName val="MF 17N-4P-23K-4Ca"/>
      <sheetName val="MF 17N-5P-7K"/>
      <sheetName val="MF 8N-20P-12K-8Ca "/>
      <sheetName val="MF 27N-9K-10S"/>
      <sheetName val="MF 10-30-10"/>
      <sheetName val="MF 13N-36-10K"/>
      <sheetName val="MF 13N-26P-10K"/>
      <sheetName val="MF 10N-20P-28K"/>
      <sheetName val="MF 30N-12K-2CA"/>
      <sheetName val="MF 25N-7P-2K"/>
      <sheetName val="MF 10N-15P-29K-1Ca"/>
      <sheetName val="MF 12N-30P-10K"/>
      <sheetName val="MF 25-10-18"/>
      <sheetName val="MF 23N-5P-6K "/>
      <sheetName val="MF 23N-6P-8K-8Ca"/>
      <sheetName val="MF 25N-4P-11K"/>
      <sheetName val="MF 8N-17P-34K"/>
      <sheetName val="MF 30N-8P-0K-5Ca "/>
      <sheetName val=" MFE 13N-36P-10K+EM "/>
      <sheetName val="MF 22N-4P-8K-2Ca"/>
      <sheetName val="MF 26N-5P-11K"/>
      <sheetName val="MF 28N-0P-12K "/>
      <sheetName val="MF 26N-1P-11K "/>
      <sheetName val="MF 14-4-24 "/>
      <sheetName val="MF 16-16-16"/>
      <sheetName val="MF 25N-17P-1K"/>
      <sheetName val="MF 31N-6P-11K-4S"/>
      <sheetName val="MF 29N-10P-10K-4S"/>
      <sheetName val="MF 22N-0P-25K-3S"/>
      <sheetName val="MF 37N-0P-11K-"/>
      <sheetName val="MF 22N-5P-13K"/>
      <sheetName val="MF 22N-0P-3K"/>
      <sheetName val="MF 29N-0P-16K-4S "/>
      <sheetName val="MF 20N-0P-30K-3S  "/>
      <sheetName val="MF 24N-3P-12K-4Ca"/>
      <sheetName val="MFE 24N-3P-12K-4Ca-1Mg"/>
      <sheetName val="MF 25N-5P-12K-2Ca"/>
      <sheetName val="MF 27N-3P-3K-6Ca"/>
      <sheetName val="MF 30N-11P-10K-4S"/>
      <sheetName val="MF 11N-29P-12K "/>
      <sheetName val="MF 11N-24P-9K-6CA "/>
      <sheetName val="MF 7N-14P-29K"/>
      <sheetName val="MF 26-6-2-6"/>
      <sheetName val="MFE 28N-5P-15K"/>
      <sheetName val="MFE 26N-0P-9K"/>
      <sheetName val="MFE 8N-60P-24K "/>
      <sheetName val="MFE 30N-0P-12K-1Ca"/>
      <sheetName val="MF 23N-9P-11K-4S"/>
      <sheetName val="MF 21N-4P-11K-4Ca "/>
      <sheetName val="MF 28N-14P-10K-3S"/>
      <sheetName val="MFE 25N-2P-11K-4S "/>
      <sheetName val="MFE 22N-3P-0K"/>
      <sheetName val="MFE 19N-4P-10K"/>
      <sheetName val="MFE 25-6-13"/>
      <sheetName val="MFE 10-9-18"/>
      <sheetName val="MFE 24-4-10 (HDA GRANADA)"/>
      <sheetName val="MFE 26-20K-4S"/>
      <sheetName val="MFE 24-9K-12S"/>
      <sheetName val="MFE 23-4K-9S "/>
      <sheetName val="MFE 10-6K-16S "/>
      <sheetName val="MFE 15N-12K-20S "/>
      <sheetName val="MFE 19N-4K-18S"/>
      <sheetName val="MFE 26N-11-6K"/>
      <sheetName val="MFE 31N-6P-7K-4S"/>
      <sheetName val="MFE 30N-11P-6K-3S"/>
      <sheetName val="MFE 28N-14P-6K-3S"/>
      <sheetName val="MFE 13N-6P-6K"/>
      <sheetName val="MFE 15N-21P-1K"/>
      <sheetName val="MFE 6N-6P-3K "/>
      <sheetName val="MF 28N-4P-15K "/>
      <sheetName val="MF 10N-11P-29K"/>
      <sheetName val="MF 12N-25P-9K "/>
      <sheetName val="MF 28N-5P-0K"/>
      <sheetName val="MF 28N-5P-9K "/>
      <sheetName val="MFE 27N-6P-13K "/>
      <sheetName val="MFE 22N-7P-12K  "/>
      <sheetName val="MFE 29N-10P-6K "/>
      <sheetName val="MFE 27N-8P-9K "/>
      <sheetName val="MFE 24N-9P-7K"/>
      <sheetName val="MF 16N-26P-12K"/>
      <sheetName val="MFE 24N-6P-7K "/>
      <sheetName val="MF 28N-1P-8K"/>
      <sheetName val="MF 23N-6P-8K"/>
      <sheetName val="MF 26N-7P-6K "/>
      <sheetName val="MFE 28N-24K "/>
      <sheetName val="MFE 15N-20P-24K "/>
      <sheetName val="MFE 5N-8P-29K"/>
      <sheetName val="MFE 27N-18P-5K "/>
      <sheetName val="MF 13N-26P-6K  "/>
      <sheetName val="MFE 25N-4P-14K  "/>
      <sheetName val="MFE 25N-0P-8K"/>
      <sheetName val="MFE 27N-0P-14K "/>
      <sheetName val="MF 20N-8P-10K"/>
      <sheetName val="MF 21N-9P-9K"/>
      <sheetName val="MFE 22N-6P-7K"/>
      <sheetName val="MFE 22N-9P-9K "/>
      <sheetName val="MFE 22N-10P-10K "/>
      <sheetName val="MFE 15N-9P-20K"/>
      <sheetName val="MFE 24N-4P-2K"/>
      <sheetName val="MFE 10N-24P-14K "/>
      <sheetName val="MF 27N-3P-12K"/>
      <sheetName val="MFE 22N-3P-3K "/>
      <sheetName val="MFE 18N-2P-0K"/>
      <sheetName val="MFE 25N-8P-14K "/>
      <sheetName val="MFE 25N-8P-16K "/>
      <sheetName val="MFE 11N-25P-9K "/>
      <sheetName val="MF 27N-1P-8K  "/>
      <sheetName val="MF 25N-7P-7K "/>
      <sheetName val="MFE 23N-4P-16K  "/>
      <sheetName val="MFE 24N-2P-9K  "/>
      <sheetName val="MFE 11N-9P-18K "/>
      <sheetName val="MFE 7N-8P-30K "/>
      <sheetName val="MFE 22N-6P-3K "/>
      <sheetName val="MFE 16N-21P-5K "/>
      <sheetName val="MFE 23N-1P-18K "/>
      <sheetName val="MFE 10N-9P-30K "/>
      <sheetName val="MFE 31N-5P-0K "/>
      <sheetName val="MEZCLA BORO+ZINC"/>
      <sheetName val="MFE 19N-25P-6K"/>
      <sheetName val="MF 30N-9P-0K-5C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71" Type="http://schemas.openxmlformats.org/officeDocument/2006/relationships/ctrlProp" Target="../ctrlProps/ctrlProp268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17" Type="http://schemas.openxmlformats.org/officeDocument/2006/relationships/ctrlProp" Target="../ctrlProps/ctrlProp314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1" Type="http://schemas.openxmlformats.org/officeDocument/2006/relationships/ctrlProp" Target="../ctrlProps/ctrlProp248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318" Type="http://schemas.openxmlformats.org/officeDocument/2006/relationships/ctrlProp" Target="../ctrlProps/ctrlProp315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19" Type="http://schemas.openxmlformats.org/officeDocument/2006/relationships/ctrlProp" Target="../ctrlProps/ctrlProp316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320" Type="http://schemas.openxmlformats.org/officeDocument/2006/relationships/ctrlProp" Target="../ctrlProps/ctrlProp317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348D-9EC3-4F81-A9B3-AB722199996A}">
  <sheetPr codeName="Hoja7"/>
  <dimension ref="A1:CWE1003"/>
  <sheetViews>
    <sheetView showGridLines="0" tabSelected="1" showWhiteSpace="0" view="pageLayout" topLeftCell="CVU16" zoomScale="115" zoomScaleNormal="100" zoomScalePageLayoutView="115" workbookViewId="0">
      <selection activeCell="CWH3" sqref="CWH3"/>
    </sheetView>
  </sheetViews>
  <sheetFormatPr baseColWidth="10" defaultColWidth="10.85546875" defaultRowHeight="15" x14ac:dyDescent="0.25"/>
  <cols>
    <col min="1" max="1" width="7.140625" style="4" customWidth="1"/>
    <col min="2" max="2" width="5.85546875" style="4" customWidth="1"/>
    <col min="3" max="3" width="4.5703125" style="4" customWidth="1"/>
    <col min="4" max="4" width="8.140625" style="4" customWidth="1"/>
    <col min="5" max="5" width="6.85546875" style="4" customWidth="1"/>
    <col min="6" max="6" width="9.42578125" style="4" customWidth="1"/>
    <col min="7" max="7" width="1" style="4" customWidth="1"/>
    <col min="8" max="8" width="1.140625" style="4" customWidth="1"/>
    <col min="9" max="9" width="7" style="4" customWidth="1"/>
    <col min="10" max="10" width="10.5703125" style="4" customWidth="1"/>
    <col min="11" max="11" width="7.7109375" style="4" customWidth="1"/>
    <col min="12" max="12" width="9" style="4" customWidth="1"/>
    <col min="13" max="14" width="10.85546875" style="4"/>
    <col min="15" max="15" width="7.140625" style="4" customWidth="1"/>
    <col min="16" max="16" width="5.85546875" style="4" customWidth="1"/>
    <col min="17" max="17" width="4.5703125" style="4" customWidth="1"/>
    <col min="18" max="18" width="8.140625" style="4" customWidth="1"/>
    <col min="19" max="19" width="6.85546875" style="4" customWidth="1"/>
    <col min="20" max="20" width="9.42578125" style="4" customWidth="1"/>
    <col min="21" max="21" width="1" style="4" customWidth="1"/>
    <col min="22" max="22" width="1.140625" style="4" customWidth="1"/>
    <col min="23" max="23" width="7" style="4" customWidth="1"/>
    <col min="24" max="24" width="10.5703125" style="4" customWidth="1"/>
    <col min="25" max="25" width="7.7109375" style="4" customWidth="1"/>
    <col min="26" max="26" width="9" style="4" customWidth="1"/>
    <col min="27" max="28" width="10.85546875" style="4"/>
    <col min="29" max="29" width="7.140625" style="4" customWidth="1"/>
    <col min="30" max="30" width="5.85546875" style="4" customWidth="1"/>
    <col min="31" max="31" width="4.5703125" style="4" customWidth="1"/>
    <col min="32" max="32" width="8.140625" style="4" customWidth="1"/>
    <col min="33" max="33" width="6.85546875" style="4" customWidth="1"/>
    <col min="34" max="34" width="9.42578125" style="4" customWidth="1"/>
    <col min="35" max="35" width="1" style="4" customWidth="1"/>
    <col min="36" max="36" width="1.140625" style="4" customWidth="1"/>
    <col min="37" max="37" width="7" style="4" customWidth="1"/>
    <col min="38" max="38" width="10.5703125" style="4" customWidth="1"/>
    <col min="39" max="39" width="7.7109375" style="4" customWidth="1"/>
    <col min="40" max="40" width="9" style="4" customWidth="1"/>
    <col min="41" max="42" width="10.85546875" style="4"/>
    <col min="43" max="43" width="7.140625" style="4" customWidth="1"/>
    <col min="44" max="44" width="5.85546875" style="4" customWidth="1"/>
    <col min="45" max="45" width="4.5703125" style="4" customWidth="1"/>
    <col min="46" max="46" width="8.140625" style="4" customWidth="1"/>
    <col min="47" max="47" width="6.85546875" style="4" customWidth="1"/>
    <col min="48" max="48" width="9.42578125" style="4" customWidth="1"/>
    <col min="49" max="49" width="1" style="4" customWidth="1"/>
    <col min="50" max="50" width="1.140625" style="4" customWidth="1"/>
    <col min="51" max="51" width="7" style="4" customWidth="1"/>
    <col min="52" max="52" width="10.5703125" style="4" customWidth="1"/>
    <col min="53" max="53" width="7.7109375" style="4" customWidth="1"/>
    <col min="54" max="54" width="9" style="4" customWidth="1"/>
    <col min="55" max="56" width="10.85546875" style="4"/>
    <col min="57" max="57" width="7.140625" style="4" customWidth="1"/>
    <col min="58" max="58" width="5.85546875" style="4" customWidth="1"/>
    <col min="59" max="59" width="4.5703125" style="4" customWidth="1"/>
    <col min="60" max="60" width="8.140625" style="4" customWidth="1"/>
    <col min="61" max="61" width="6.85546875" style="4" customWidth="1"/>
    <col min="62" max="62" width="9.42578125" style="4" customWidth="1"/>
    <col min="63" max="63" width="1" style="4" customWidth="1"/>
    <col min="64" max="64" width="1.140625" style="4" customWidth="1"/>
    <col min="65" max="65" width="7" style="4" customWidth="1"/>
    <col min="66" max="66" width="10.5703125" style="4" customWidth="1"/>
    <col min="67" max="67" width="7.7109375" style="4" customWidth="1"/>
    <col min="68" max="68" width="9" style="4" customWidth="1"/>
    <col min="69" max="70" width="10.85546875" style="4"/>
    <col min="71" max="71" width="7.140625" style="4" customWidth="1"/>
    <col min="72" max="72" width="5.85546875" style="4" customWidth="1"/>
    <col min="73" max="73" width="4.5703125" style="4" customWidth="1"/>
    <col min="74" max="74" width="8.140625" style="4" customWidth="1"/>
    <col min="75" max="75" width="6.85546875" style="4" customWidth="1"/>
    <col min="76" max="76" width="9.42578125" style="4" customWidth="1"/>
    <col min="77" max="77" width="1" style="4" customWidth="1"/>
    <col min="78" max="78" width="1.140625" style="4" customWidth="1"/>
    <col min="79" max="79" width="7" style="4" customWidth="1"/>
    <col min="80" max="80" width="10.5703125" style="4" customWidth="1"/>
    <col min="81" max="81" width="7.7109375" style="4" customWidth="1"/>
    <col min="82" max="82" width="9" style="4" customWidth="1"/>
    <col min="83" max="84" width="10.85546875" style="4"/>
    <col min="85" max="85" width="7.140625" style="4" customWidth="1"/>
    <col min="86" max="86" width="5.85546875" style="4" customWidth="1"/>
    <col min="87" max="87" width="4.5703125" style="4" customWidth="1"/>
    <col min="88" max="88" width="8.140625" style="4" customWidth="1"/>
    <col min="89" max="89" width="6.85546875" style="4" customWidth="1"/>
    <col min="90" max="90" width="9.42578125" style="4" customWidth="1"/>
    <col min="91" max="91" width="1" style="4" customWidth="1"/>
    <col min="92" max="92" width="1.140625" style="4" customWidth="1"/>
    <col min="93" max="93" width="7" style="4" customWidth="1"/>
    <col min="94" max="94" width="10.5703125" style="4" customWidth="1"/>
    <col min="95" max="95" width="7.7109375" style="4" customWidth="1"/>
    <col min="96" max="96" width="9" style="4" customWidth="1"/>
    <col min="97" max="98" width="10.85546875" style="4"/>
    <col min="99" max="99" width="7.140625" style="4" customWidth="1"/>
    <col min="100" max="100" width="5.85546875" style="4" customWidth="1"/>
    <col min="101" max="101" width="4.5703125" style="4" customWidth="1"/>
    <col min="102" max="102" width="8.140625" style="4" customWidth="1"/>
    <col min="103" max="103" width="6.85546875" style="4" customWidth="1"/>
    <col min="104" max="104" width="9.42578125" style="4" customWidth="1"/>
    <col min="105" max="105" width="1" style="4" customWidth="1"/>
    <col min="106" max="106" width="1.140625" style="4" customWidth="1"/>
    <col min="107" max="107" width="7" style="4" customWidth="1"/>
    <col min="108" max="108" width="10.5703125" style="4" customWidth="1"/>
    <col min="109" max="109" width="7.7109375" style="4" customWidth="1"/>
    <col min="110" max="110" width="9" style="4" customWidth="1"/>
    <col min="111" max="112" width="10.85546875" style="4"/>
    <col min="113" max="113" width="7.140625" style="4" customWidth="1"/>
    <col min="114" max="114" width="5.85546875" style="4" customWidth="1"/>
    <col min="115" max="115" width="4.5703125" style="4" customWidth="1"/>
    <col min="116" max="116" width="8.140625" style="4" customWidth="1"/>
    <col min="117" max="117" width="6.85546875" style="4" customWidth="1"/>
    <col min="118" max="118" width="9.42578125" style="4" customWidth="1"/>
    <col min="119" max="119" width="1" style="4" customWidth="1"/>
    <col min="120" max="120" width="1.140625" style="4" customWidth="1"/>
    <col min="121" max="121" width="7" style="4" customWidth="1"/>
    <col min="122" max="122" width="10.5703125" style="4" customWidth="1"/>
    <col min="123" max="123" width="7.7109375" style="4" customWidth="1"/>
    <col min="124" max="124" width="9" style="4" customWidth="1"/>
    <col min="125" max="126" width="10.85546875" style="4"/>
    <col min="127" max="127" width="7.140625" style="4" customWidth="1"/>
    <col min="128" max="128" width="5.85546875" style="4" customWidth="1"/>
    <col min="129" max="129" width="4.5703125" style="4" customWidth="1"/>
    <col min="130" max="130" width="8.140625" style="4" customWidth="1"/>
    <col min="131" max="131" width="6.85546875" style="4" customWidth="1"/>
    <col min="132" max="132" width="9.42578125" style="4" customWidth="1"/>
    <col min="133" max="133" width="1" style="4" customWidth="1"/>
    <col min="134" max="134" width="1.140625" style="4" customWidth="1"/>
    <col min="135" max="135" width="7" style="4" customWidth="1"/>
    <col min="136" max="136" width="10.5703125" style="4" customWidth="1"/>
    <col min="137" max="137" width="7.7109375" style="4" customWidth="1"/>
    <col min="138" max="138" width="9" style="4" customWidth="1"/>
    <col min="139" max="140" width="10.85546875" style="4"/>
    <col min="141" max="141" width="7.140625" style="4" customWidth="1"/>
    <col min="142" max="142" width="5.85546875" style="4" customWidth="1"/>
    <col min="143" max="143" width="4.5703125" style="4" customWidth="1"/>
    <col min="144" max="144" width="8.140625" style="4" customWidth="1"/>
    <col min="145" max="145" width="6.85546875" style="4" customWidth="1"/>
    <col min="146" max="146" width="9.42578125" style="4" customWidth="1"/>
    <col min="147" max="147" width="1" style="4" customWidth="1"/>
    <col min="148" max="148" width="1.140625" style="4" customWidth="1"/>
    <col min="149" max="149" width="7" style="4" customWidth="1"/>
    <col min="150" max="150" width="10.5703125" style="4" customWidth="1"/>
    <col min="151" max="151" width="7.7109375" style="4" customWidth="1"/>
    <col min="152" max="152" width="9" style="4" customWidth="1"/>
    <col min="153" max="154" width="10.85546875" style="4"/>
    <col min="155" max="155" width="7.140625" style="4" customWidth="1"/>
    <col min="156" max="156" width="5.85546875" style="4" customWidth="1"/>
    <col min="157" max="157" width="4.5703125" style="4" customWidth="1"/>
    <col min="158" max="158" width="8.140625" style="4" customWidth="1"/>
    <col min="159" max="159" width="6.85546875" style="4" customWidth="1"/>
    <col min="160" max="160" width="9.42578125" style="4" customWidth="1"/>
    <col min="161" max="161" width="1" style="4" customWidth="1"/>
    <col min="162" max="162" width="1.140625" style="4" customWidth="1"/>
    <col min="163" max="163" width="7" style="4" customWidth="1"/>
    <col min="164" max="164" width="10.5703125" style="4" customWidth="1"/>
    <col min="165" max="165" width="7.7109375" style="4" customWidth="1"/>
    <col min="166" max="166" width="9" style="4" customWidth="1"/>
    <col min="167" max="168" width="10.85546875" style="4"/>
    <col min="169" max="169" width="7.140625" style="4" customWidth="1"/>
    <col min="170" max="170" width="5.85546875" style="4" customWidth="1"/>
    <col min="171" max="171" width="4.5703125" style="4" customWidth="1"/>
    <col min="172" max="172" width="8.140625" style="4" customWidth="1"/>
    <col min="173" max="173" width="6.85546875" style="4" customWidth="1"/>
    <col min="174" max="174" width="9.42578125" style="4" customWidth="1"/>
    <col min="175" max="175" width="1" style="4" customWidth="1"/>
    <col min="176" max="176" width="1.140625" style="4" customWidth="1"/>
    <col min="177" max="177" width="7" style="4" customWidth="1"/>
    <col min="178" max="178" width="10.5703125" style="4" customWidth="1"/>
    <col min="179" max="179" width="7.7109375" style="4" customWidth="1"/>
    <col min="180" max="180" width="9" style="4" customWidth="1"/>
    <col min="181" max="182" width="10.85546875" style="4"/>
    <col min="183" max="183" width="7.140625" style="4" customWidth="1"/>
    <col min="184" max="184" width="5.85546875" style="4" customWidth="1"/>
    <col min="185" max="185" width="4.5703125" style="4" customWidth="1"/>
    <col min="186" max="186" width="8.140625" style="4" customWidth="1"/>
    <col min="187" max="187" width="6.85546875" style="4" customWidth="1"/>
    <col min="188" max="188" width="9.42578125" style="4" customWidth="1"/>
    <col min="189" max="189" width="1" style="4" customWidth="1"/>
    <col min="190" max="190" width="1.140625" style="4" customWidth="1"/>
    <col min="191" max="191" width="7" style="4" customWidth="1"/>
    <col min="192" max="192" width="10.5703125" style="4" customWidth="1"/>
    <col min="193" max="193" width="7.7109375" style="4" customWidth="1"/>
    <col min="194" max="194" width="9" style="4" customWidth="1"/>
    <col min="195" max="196" width="10.85546875" style="4"/>
    <col min="197" max="197" width="7.140625" style="4" customWidth="1"/>
    <col min="198" max="198" width="5.85546875" style="4" customWidth="1"/>
    <col min="199" max="199" width="4.5703125" style="4" customWidth="1"/>
    <col min="200" max="200" width="8.140625" style="4" customWidth="1"/>
    <col min="201" max="201" width="6.85546875" style="4" customWidth="1"/>
    <col min="202" max="202" width="9.42578125" style="4" customWidth="1"/>
    <col min="203" max="203" width="1" style="4" customWidth="1"/>
    <col min="204" max="204" width="1.140625" style="4" customWidth="1"/>
    <col min="205" max="205" width="7" style="4" customWidth="1"/>
    <col min="206" max="206" width="10.5703125" style="4" customWidth="1"/>
    <col min="207" max="207" width="7.7109375" style="4" customWidth="1"/>
    <col min="208" max="208" width="9" style="4" customWidth="1"/>
    <col min="209" max="210" width="10.85546875" style="4"/>
    <col min="211" max="211" width="7.140625" style="4" customWidth="1"/>
    <col min="212" max="212" width="5.85546875" style="4" customWidth="1"/>
    <col min="213" max="213" width="4.5703125" style="4" customWidth="1"/>
    <col min="214" max="214" width="8.140625" style="4" customWidth="1"/>
    <col min="215" max="215" width="6.85546875" style="4" customWidth="1"/>
    <col min="216" max="216" width="9.42578125" style="4" customWidth="1"/>
    <col min="217" max="217" width="1" style="4" customWidth="1"/>
    <col min="218" max="218" width="1.140625" style="4" customWidth="1"/>
    <col min="219" max="219" width="7" style="4" customWidth="1"/>
    <col min="220" max="220" width="10.5703125" style="4" customWidth="1"/>
    <col min="221" max="221" width="7.7109375" style="4" customWidth="1"/>
    <col min="222" max="222" width="9" style="4" customWidth="1"/>
    <col min="223" max="224" width="10.85546875" style="4"/>
    <col min="225" max="225" width="7.140625" style="4" customWidth="1"/>
    <col min="226" max="226" width="5.85546875" style="4" customWidth="1"/>
    <col min="227" max="227" width="4.5703125" style="4" customWidth="1"/>
    <col min="228" max="228" width="8.140625" style="4" customWidth="1"/>
    <col min="229" max="229" width="6.85546875" style="4" customWidth="1"/>
    <col min="230" max="230" width="9.42578125" style="4" customWidth="1"/>
    <col min="231" max="231" width="1" style="4" customWidth="1"/>
    <col min="232" max="232" width="1.140625" style="4" customWidth="1"/>
    <col min="233" max="233" width="7" style="4" customWidth="1"/>
    <col min="234" max="234" width="10.5703125" style="4" customWidth="1"/>
    <col min="235" max="235" width="7.7109375" style="4" customWidth="1"/>
    <col min="236" max="236" width="9" style="4" customWidth="1"/>
    <col min="237" max="238" width="10.85546875" style="4"/>
    <col min="239" max="239" width="7.140625" style="4" customWidth="1"/>
    <col min="240" max="240" width="5.85546875" style="4" customWidth="1"/>
    <col min="241" max="241" width="4.5703125" style="4" customWidth="1"/>
    <col min="242" max="242" width="8.140625" style="4" customWidth="1"/>
    <col min="243" max="243" width="6.85546875" style="4" customWidth="1"/>
    <col min="244" max="244" width="9.42578125" style="4" customWidth="1"/>
    <col min="245" max="245" width="1" style="4" customWidth="1"/>
    <col min="246" max="246" width="1.140625" style="4" customWidth="1"/>
    <col min="247" max="247" width="7" style="4" customWidth="1"/>
    <col min="248" max="248" width="10.5703125" style="4" customWidth="1"/>
    <col min="249" max="249" width="7.7109375" style="4" customWidth="1"/>
    <col min="250" max="250" width="9" style="4" customWidth="1"/>
    <col min="251" max="252" width="10.85546875" style="4"/>
    <col min="253" max="253" width="7.140625" style="4" customWidth="1"/>
    <col min="254" max="254" width="5.85546875" style="4" customWidth="1"/>
    <col min="255" max="255" width="4.5703125" style="4" customWidth="1"/>
    <col min="256" max="256" width="8.140625" style="4" customWidth="1"/>
    <col min="257" max="257" width="6.85546875" style="4" customWidth="1"/>
    <col min="258" max="258" width="9.42578125" style="4" customWidth="1"/>
    <col min="259" max="259" width="1" style="4" customWidth="1"/>
    <col min="260" max="260" width="1.140625" style="4" customWidth="1"/>
    <col min="261" max="261" width="7" style="4" customWidth="1"/>
    <col min="262" max="262" width="10.5703125" style="4" customWidth="1"/>
    <col min="263" max="263" width="7.7109375" style="4" customWidth="1"/>
    <col min="264" max="264" width="9" style="4" customWidth="1"/>
    <col min="265" max="266" width="10.85546875" style="4"/>
    <col min="267" max="267" width="7.140625" style="4" customWidth="1"/>
    <col min="268" max="268" width="5.85546875" style="4" customWidth="1"/>
    <col min="269" max="269" width="4.5703125" style="4" customWidth="1"/>
    <col min="270" max="270" width="8.140625" style="4" customWidth="1"/>
    <col min="271" max="271" width="6.85546875" style="4" customWidth="1"/>
    <col min="272" max="272" width="9.42578125" style="4" customWidth="1"/>
    <col min="273" max="273" width="1" style="4" customWidth="1"/>
    <col min="274" max="274" width="1.140625" style="4" customWidth="1"/>
    <col min="275" max="275" width="7" style="4" customWidth="1"/>
    <col min="276" max="276" width="10.5703125" style="4" customWidth="1"/>
    <col min="277" max="277" width="7.7109375" style="4" customWidth="1"/>
    <col min="278" max="278" width="9" style="4" customWidth="1"/>
    <col min="279" max="280" width="10.85546875" style="4"/>
    <col min="281" max="281" width="7.140625" style="4" customWidth="1"/>
    <col min="282" max="282" width="5.85546875" style="4" customWidth="1"/>
    <col min="283" max="283" width="4.5703125" style="4" customWidth="1"/>
    <col min="284" max="284" width="8.140625" style="4" customWidth="1"/>
    <col min="285" max="285" width="6.85546875" style="4" customWidth="1"/>
    <col min="286" max="286" width="9.42578125" style="4" customWidth="1"/>
    <col min="287" max="287" width="1" style="4" customWidth="1"/>
    <col min="288" max="288" width="1.140625" style="4" customWidth="1"/>
    <col min="289" max="289" width="7" style="4" customWidth="1"/>
    <col min="290" max="290" width="10.5703125" style="4" customWidth="1"/>
    <col min="291" max="291" width="7.7109375" style="4" customWidth="1"/>
    <col min="292" max="292" width="9" style="4" customWidth="1"/>
    <col min="293" max="294" width="10.85546875" style="4"/>
    <col min="295" max="295" width="7.140625" style="4" customWidth="1"/>
    <col min="296" max="296" width="5.85546875" style="4" customWidth="1"/>
    <col min="297" max="297" width="4.5703125" style="4" customWidth="1"/>
    <col min="298" max="298" width="8.140625" style="4" customWidth="1"/>
    <col min="299" max="299" width="6.85546875" style="4" customWidth="1"/>
    <col min="300" max="300" width="9.42578125" style="4" customWidth="1"/>
    <col min="301" max="301" width="1" style="4" customWidth="1"/>
    <col min="302" max="302" width="1.140625" style="4" customWidth="1"/>
    <col min="303" max="303" width="7" style="4" customWidth="1"/>
    <col min="304" max="304" width="10.5703125" style="4" customWidth="1"/>
    <col min="305" max="305" width="7.7109375" style="4" customWidth="1"/>
    <col min="306" max="306" width="9" style="4" customWidth="1"/>
    <col min="307" max="308" width="10.85546875" style="4"/>
    <col min="309" max="309" width="7.140625" style="4" customWidth="1"/>
    <col min="310" max="310" width="5.85546875" style="4" customWidth="1"/>
    <col min="311" max="311" width="4.5703125" style="4" customWidth="1"/>
    <col min="312" max="312" width="8.140625" style="4" customWidth="1"/>
    <col min="313" max="313" width="6.85546875" style="4" customWidth="1"/>
    <col min="314" max="314" width="9.42578125" style="4" customWidth="1"/>
    <col min="315" max="315" width="1" style="4" customWidth="1"/>
    <col min="316" max="316" width="1.140625" style="4" customWidth="1"/>
    <col min="317" max="317" width="7" style="4" customWidth="1"/>
    <col min="318" max="318" width="10.5703125" style="4" customWidth="1"/>
    <col min="319" max="319" width="7.7109375" style="4" customWidth="1"/>
    <col min="320" max="320" width="9" style="4" customWidth="1"/>
    <col min="321" max="322" width="10.85546875" style="4"/>
    <col min="323" max="323" width="7.140625" style="4" customWidth="1"/>
    <col min="324" max="324" width="5.85546875" style="4" customWidth="1"/>
    <col min="325" max="325" width="4.5703125" style="4" customWidth="1"/>
    <col min="326" max="326" width="8.140625" style="4" customWidth="1"/>
    <col min="327" max="327" width="6.85546875" style="4" customWidth="1"/>
    <col min="328" max="328" width="9.42578125" style="4" customWidth="1"/>
    <col min="329" max="329" width="1" style="4" customWidth="1"/>
    <col min="330" max="330" width="1.140625" style="4" customWidth="1"/>
    <col min="331" max="331" width="7" style="4" customWidth="1"/>
    <col min="332" max="332" width="10.5703125" style="4" customWidth="1"/>
    <col min="333" max="333" width="7.7109375" style="4" customWidth="1"/>
    <col min="334" max="334" width="9" style="4" customWidth="1"/>
    <col min="335" max="336" width="10.85546875" style="4"/>
    <col min="337" max="337" width="7.140625" style="4" customWidth="1"/>
    <col min="338" max="338" width="5.85546875" style="4" customWidth="1"/>
    <col min="339" max="339" width="4.5703125" style="4" customWidth="1"/>
    <col min="340" max="340" width="8.140625" style="4" customWidth="1"/>
    <col min="341" max="341" width="6.85546875" style="4" customWidth="1"/>
    <col min="342" max="342" width="9.42578125" style="4" customWidth="1"/>
    <col min="343" max="343" width="1" style="4" customWidth="1"/>
    <col min="344" max="344" width="1.140625" style="4" customWidth="1"/>
    <col min="345" max="345" width="7" style="4" customWidth="1"/>
    <col min="346" max="346" width="10.5703125" style="4" customWidth="1"/>
    <col min="347" max="347" width="7.7109375" style="4" customWidth="1"/>
    <col min="348" max="348" width="9" style="4" customWidth="1"/>
    <col min="349" max="350" width="10.85546875" style="4"/>
    <col min="351" max="351" width="7.140625" style="4" customWidth="1"/>
    <col min="352" max="352" width="5.85546875" style="4" customWidth="1"/>
    <col min="353" max="353" width="4.5703125" style="4" customWidth="1"/>
    <col min="354" max="354" width="8.140625" style="4" customWidth="1"/>
    <col min="355" max="355" width="6.85546875" style="4" customWidth="1"/>
    <col min="356" max="356" width="9.42578125" style="4" customWidth="1"/>
    <col min="357" max="357" width="1" style="4" customWidth="1"/>
    <col min="358" max="358" width="1.140625" style="4" customWidth="1"/>
    <col min="359" max="359" width="7" style="4" customWidth="1"/>
    <col min="360" max="360" width="10.5703125" style="4" customWidth="1"/>
    <col min="361" max="361" width="7.7109375" style="4" customWidth="1"/>
    <col min="362" max="362" width="9" style="4" customWidth="1"/>
    <col min="363" max="364" width="10.85546875" style="4"/>
    <col min="365" max="365" width="7.140625" style="4" customWidth="1"/>
    <col min="366" max="366" width="5.85546875" style="4" customWidth="1"/>
    <col min="367" max="367" width="4.5703125" style="4" customWidth="1"/>
    <col min="368" max="368" width="8.140625" style="4" customWidth="1"/>
    <col min="369" max="369" width="6.85546875" style="4" customWidth="1"/>
    <col min="370" max="370" width="9.42578125" style="4" customWidth="1"/>
    <col min="371" max="371" width="1" style="4" customWidth="1"/>
    <col min="372" max="372" width="1.140625" style="4" customWidth="1"/>
    <col min="373" max="373" width="7" style="4" customWidth="1"/>
    <col min="374" max="374" width="10.5703125" style="4" customWidth="1"/>
    <col min="375" max="375" width="7.7109375" style="4" customWidth="1"/>
    <col min="376" max="376" width="9" style="4" customWidth="1"/>
    <col min="377" max="378" width="10.85546875" style="4"/>
    <col min="379" max="379" width="7.140625" style="4" customWidth="1"/>
    <col min="380" max="380" width="5.85546875" style="4" customWidth="1"/>
    <col min="381" max="381" width="4.5703125" style="4" customWidth="1"/>
    <col min="382" max="382" width="8.140625" style="4" customWidth="1"/>
    <col min="383" max="383" width="6.85546875" style="4" customWidth="1"/>
    <col min="384" max="384" width="9.42578125" style="4" customWidth="1"/>
    <col min="385" max="385" width="1" style="4" customWidth="1"/>
    <col min="386" max="386" width="1.140625" style="4" customWidth="1"/>
    <col min="387" max="387" width="7" style="4" customWidth="1"/>
    <col min="388" max="388" width="10.5703125" style="4" customWidth="1"/>
    <col min="389" max="389" width="7.7109375" style="4" customWidth="1"/>
    <col min="390" max="390" width="9" style="4" customWidth="1"/>
    <col min="391" max="392" width="10.85546875" style="4"/>
    <col min="393" max="393" width="7.140625" style="4" customWidth="1"/>
    <col min="394" max="394" width="5.85546875" style="4" customWidth="1"/>
    <col min="395" max="395" width="4.5703125" style="4" customWidth="1"/>
    <col min="396" max="396" width="8.140625" style="4" customWidth="1"/>
    <col min="397" max="397" width="6.85546875" style="4" customWidth="1"/>
    <col min="398" max="398" width="9.42578125" style="4" customWidth="1"/>
    <col min="399" max="399" width="1" style="4" customWidth="1"/>
    <col min="400" max="400" width="1.140625" style="4" customWidth="1"/>
    <col min="401" max="401" width="7" style="4" customWidth="1"/>
    <col min="402" max="402" width="10.5703125" style="4" customWidth="1"/>
    <col min="403" max="403" width="7.7109375" style="4" customWidth="1"/>
    <col min="404" max="404" width="9" style="4" customWidth="1"/>
    <col min="405" max="406" width="10.85546875" style="4"/>
    <col min="407" max="407" width="7.140625" style="4" customWidth="1"/>
    <col min="408" max="408" width="5.85546875" style="4" customWidth="1"/>
    <col min="409" max="409" width="4.5703125" style="4" customWidth="1"/>
    <col min="410" max="410" width="8.140625" style="4" customWidth="1"/>
    <col min="411" max="411" width="6.85546875" style="4" customWidth="1"/>
    <col min="412" max="412" width="9.42578125" style="4" customWidth="1"/>
    <col min="413" max="413" width="1" style="4" customWidth="1"/>
    <col min="414" max="414" width="1.140625" style="4" customWidth="1"/>
    <col min="415" max="415" width="7" style="4" customWidth="1"/>
    <col min="416" max="416" width="10.5703125" style="4" customWidth="1"/>
    <col min="417" max="417" width="7.7109375" style="4" customWidth="1"/>
    <col min="418" max="418" width="9" style="4" customWidth="1"/>
    <col min="419" max="420" width="10.85546875" style="4"/>
    <col min="421" max="421" width="7.140625" style="4" customWidth="1"/>
    <col min="422" max="422" width="5.85546875" style="4" customWidth="1"/>
    <col min="423" max="423" width="4.5703125" style="4" customWidth="1"/>
    <col min="424" max="424" width="8.140625" style="4" customWidth="1"/>
    <col min="425" max="425" width="6.85546875" style="4" customWidth="1"/>
    <col min="426" max="426" width="9.42578125" style="4" customWidth="1"/>
    <col min="427" max="427" width="1" style="4" customWidth="1"/>
    <col min="428" max="428" width="1.140625" style="4" customWidth="1"/>
    <col min="429" max="429" width="7" style="4" customWidth="1"/>
    <col min="430" max="430" width="10.5703125" style="4" customWidth="1"/>
    <col min="431" max="431" width="7.7109375" style="4" customWidth="1"/>
    <col min="432" max="432" width="9" style="4" customWidth="1"/>
    <col min="433" max="434" width="10.85546875" style="4"/>
    <col min="435" max="435" width="7.140625" style="4" customWidth="1"/>
    <col min="436" max="436" width="5.85546875" style="4" customWidth="1"/>
    <col min="437" max="437" width="4.5703125" style="4" customWidth="1"/>
    <col min="438" max="438" width="8.140625" style="4" customWidth="1"/>
    <col min="439" max="439" width="6.85546875" style="4" customWidth="1"/>
    <col min="440" max="440" width="9.42578125" style="4" customWidth="1"/>
    <col min="441" max="441" width="1" style="4" customWidth="1"/>
    <col min="442" max="442" width="1.140625" style="4" customWidth="1"/>
    <col min="443" max="443" width="7" style="4" customWidth="1"/>
    <col min="444" max="444" width="10.5703125" style="4" customWidth="1"/>
    <col min="445" max="445" width="7.7109375" style="4" customWidth="1"/>
    <col min="446" max="446" width="9" style="4" customWidth="1"/>
    <col min="447" max="448" width="10.85546875" style="4"/>
    <col min="449" max="449" width="7.140625" style="4" customWidth="1"/>
    <col min="450" max="450" width="5.85546875" style="4" customWidth="1"/>
    <col min="451" max="451" width="4.5703125" style="4" customWidth="1"/>
    <col min="452" max="452" width="8.140625" style="4" customWidth="1"/>
    <col min="453" max="453" width="6.85546875" style="4" customWidth="1"/>
    <col min="454" max="454" width="9.42578125" style="4" customWidth="1"/>
    <col min="455" max="455" width="1" style="4" customWidth="1"/>
    <col min="456" max="456" width="1.140625" style="4" customWidth="1"/>
    <col min="457" max="457" width="7" style="4" customWidth="1"/>
    <col min="458" max="458" width="10.5703125" style="4" customWidth="1"/>
    <col min="459" max="459" width="7.7109375" style="4" customWidth="1"/>
    <col min="460" max="460" width="9" style="4" customWidth="1"/>
    <col min="461" max="462" width="10.85546875" style="4"/>
    <col min="463" max="463" width="7.140625" style="4" customWidth="1"/>
    <col min="464" max="464" width="5.85546875" style="4" customWidth="1"/>
    <col min="465" max="465" width="4.5703125" style="4" customWidth="1"/>
    <col min="466" max="466" width="8.140625" style="4" customWidth="1"/>
    <col min="467" max="467" width="6.85546875" style="4" customWidth="1"/>
    <col min="468" max="468" width="9.42578125" style="4" customWidth="1"/>
    <col min="469" max="469" width="1" style="4" customWidth="1"/>
    <col min="470" max="470" width="1.140625" style="4" customWidth="1"/>
    <col min="471" max="471" width="7" style="4" customWidth="1"/>
    <col min="472" max="472" width="10.5703125" style="4" customWidth="1"/>
    <col min="473" max="473" width="7.7109375" style="4" customWidth="1"/>
    <col min="474" max="474" width="9" style="4" customWidth="1"/>
    <col min="475" max="476" width="10.85546875" style="4"/>
    <col min="477" max="477" width="7.140625" style="4" customWidth="1"/>
    <col min="478" max="478" width="5.85546875" style="4" customWidth="1"/>
    <col min="479" max="479" width="4.5703125" style="4" customWidth="1"/>
    <col min="480" max="480" width="8.140625" style="4" customWidth="1"/>
    <col min="481" max="481" width="6.85546875" style="4" customWidth="1"/>
    <col min="482" max="482" width="9.42578125" style="4" customWidth="1"/>
    <col min="483" max="483" width="1" style="4" customWidth="1"/>
    <col min="484" max="484" width="1.140625" style="4" customWidth="1"/>
    <col min="485" max="485" width="7" style="4" customWidth="1"/>
    <col min="486" max="486" width="10.5703125" style="4" customWidth="1"/>
    <col min="487" max="487" width="7.7109375" style="4" customWidth="1"/>
    <col min="488" max="488" width="9" style="4" customWidth="1"/>
    <col min="489" max="490" width="10.85546875" style="4"/>
    <col min="491" max="491" width="7.140625" style="4" customWidth="1"/>
    <col min="492" max="492" width="5.85546875" style="4" customWidth="1"/>
    <col min="493" max="493" width="4.5703125" style="4" customWidth="1"/>
    <col min="494" max="494" width="8.140625" style="4" customWidth="1"/>
    <col min="495" max="495" width="6.85546875" style="4" customWidth="1"/>
    <col min="496" max="496" width="9.42578125" style="4" customWidth="1"/>
    <col min="497" max="497" width="1" style="4" customWidth="1"/>
    <col min="498" max="498" width="1.140625" style="4" customWidth="1"/>
    <col min="499" max="499" width="7" style="4" customWidth="1"/>
    <col min="500" max="500" width="10.5703125" style="4" customWidth="1"/>
    <col min="501" max="501" width="7.7109375" style="4" customWidth="1"/>
    <col min="502" max="502" width="9" style="4" customWidth="1"/>
    <col min="503" max="504" width="10.85546875" style="4"/>
    <col min="505" max="505" width="7.140625" style="4" customWidth="1"/>
    <col min="506" max="506" width="5.85546875" style="4" customWidth="1"/>
    <col min="507" max="507" width="4.5703125" style="4" customWidth="1"/>
    <col min="508" max="508" width="8.140625" style="4" customWidth="1"/>
    <col min="509" max="509" width="6.85546875" style="4" customWidth="1"/>
    <col min="510" max="510" width="9.42578125" style="4" customWidth="1"/>
    <col min="511" max="511" width="1" style="4" customWidth="1"/>
    <col min="512" max="512" width="1.140625" style="4" customWidth="1"/>
    <col min="513" max="513" width="7" style="4" customWidth="1"/>
    <col min="514" max="514" width="10.5703125" style="4" customWidth="1"/>
    <col min="515" max="515" width="7.7109375" style="4" customWidth="1"/>
    <col min="516" max="516" width="9" style="4" customWidth="1"/>
    <col min="517" max="518" width="10.85546875" style="4"/>
    <col min="519" max="519" width="7.140625" style="4" customWidth="1"/>
    <col min="520" max="520" width="5.85546875" style="4" customWidth="1"/>
    <col min="521" max="521" width="4.5703125" style="4" customWidth="1"/>
    <col min="522" max="522" width="8.140625" style="4" customWidth="1"/>
    <col min="523" max="523" width="6.85546875" style="4" customWidth="1"/>
    <col min="524" max="524" width="9.42578125" style="4" customWidth="1"/>
    <col min="525" max="525" width="1" style="4" customWidth="1"/>
    <col min="526" max="526" width="1.140625" style="4" customWidth="1"/>
    <col min="527" max="527" width="7" style="4" customWidth="1"/>
    <col min="528" max="528" width="10.5703125" style="4" customWidth="1"/>
    <col min="529" max="529" width="7.7109375" style="4" customWidth="1"/>
    <col min="530" max="530" width="9" style="4" customWidth="1"/>
    <col min="531" max="532" width="10.85546875" style="4"/>
    <col min="533" max="533" width="7.140625" style="4" customWidth="1"/>
    <col min="534" max="534" width="5.85546875" style="4" customWidth="1"/>
    <col min="535" max="535" width="4.5703125" style="4" customWidth="1"/>
    <col min="536" max="536" width="8.140625" style="4" customWidth="1"/>
    <col min="537" max="537" width="6.85546875" style="4" customWidth="1"/>
    <col min="538" max="538" width="9.42578125" style="4" customWidth="1"/>
    <col min="539" max="539" width="1" style="4" customWidth="1"/>
    <col min="540" max="540" width="1.140625" style="4" customWidth="1"/>
    <col min="541" max="541" width="7" style="4" customWidth="1"/>
    <col min="542" max="542" width="10.5703125" style="4" customWidth="1"/>
    <col min="543" max="543" width="7.7109375" style="4" customWidth="1"/>
    <col min="544" max="544" width="9" style="4" customWidth="1"/>
    <col min="545" max="546" width="10.85546875" style="4"/>
    <col min="547" max="547" width="7.140625" style="4" customWidth="1"/>
    <col min="548" max="548" width="5.85546875" style="4" customWidth="1"/>
    <col min="549" max="549" width="4.5703125" style="4" customWidth="1"/>
    <col min="550" max="550" width="8.140625" style="4" customWidth="1"/>
    <col min="551" max="551" width="6.85546875" style="4" customWidth="1"/>
    <col min="552" max="552" width="9.42578125" style="4" customWidth="1"/>
    <col min="553" max="553" width="1" style="4" customWidth="1"/>
    <col min="554" max="554" width="1.140625" style="4" customWidth="1"/>
    <col min="555" max="555" width="7" style="4" customWidth="1"/>
    <col min="556" max="556" width="10.5703125" style="4" customWidth="1"/>
    <col min="557" max="557" width="7.7109375" style="4" customWidth="1"/>
    <col min="558" max="558" width="9" style="4" customWidth="1"/>
    <col min="559" max="560" width="10.85546875" style="4"/>
    <col min="561" max="561" width="7.140625" style="4" customWidth="1"/>
    <col min="562" max="562" width="5.85546875" style="4" customWidth="1"/>
    <col min="563" max="563" width="4.5703125" style="4" customWidth="1"/>
    <col min="564" max="564" width="8.140625" style="4" customWidth="1"/>
    <col min="565" max="565" width="6.85546875" style="4" customWidth="1"/>
    <col min="566" max="566" width="9.42578125" style="4" customWidth="1"/>
    <col min="567" max="567" width="1" style="4" customWidth="1"/>
    <col min="568" max="568" width="1.140625" style="4" customWidth="1"/>
    <col min="569" max="569" width="7" style="4" customWidth="1"/>
    <col min="570" max="570" width="10.5703125" style="4" customWidth="1"/>
    <col min="571" max="571" width="7.7109375" style="4" customWidth="1"/>
    <col min="572" max="572" width="9" style="4" customWidth="1"/>
    <col min="573" max="574" width="10.85546875" style="4"/>
    <col min="575" max="575" width="7.140625" style="4" customWidth="1"/>
    <col min="576" max="576" width="5.85546875" style="4" customWidth="1"/>
    <col min="577" max="577" width="4.5703125" style="4" customWidth="1"/>
    <col min="578" max="578" width="8.140625" style="4" customWidth="1"/>
    <col min="579" max="579" width="6.85546875" style="4" customWidth="1"/>
    <col min="580" max="580" width="9.42578125" style="4" customWidth="1"/>
    <col min="581" max="581" width="1" style="4" customWidth="1"/>
    <col min="582" max="582" width="1.140625" style="4" customWidth="1"/>
    <col min="583" max="583" width="7" style="4" customWidth="1"/>
    <col min="584" max="584" width="10.5703125" style="4" customWidth="1"/>
    <col min="585" max="585" width="7.7109375" style="4" customWidth="1"/>
    <col min="586" max="586" width="9" style="4" customWidth="1"/>
    <col min="587" max="588" width="10.85546875" style="4"/>
    <col min="589" max="589" width="7.140625" style="4" customWidth="1"/>
    <col min="590" max="590" width="5.85546875" style="4" customWidth="1"/>
    <col min="591" max="591" width="4.5703125" style="4" customWidth="1"/>
    <col min="592" max="592" width="8.140625" style="4" customWidth="1"/>
    <col min="593" max="593" width="6.85546875" style="4" customWidth="1"/>
    <col min="594" max="594" width="9.42578125" style="4" customWidth="1"/>
    <col min="595" max="595" width="1" style="4" customWidth="1"/>
    <col min="596" max="596" width="1.140625" style="4" customWidth="1"/>
    <col min="597" max="597" width="7" style="4" customWidth="1"/>
    <col min="598" max="598" width="10.5703125" style="4" customWidth="1"/>
    <col min="599" max="599" width="7.7109375" style="4" customWidth="1"/>
    <col min="600" max="600" width="9" style="4" customWidth="1"/>
    <col min="601" max="602" width="10.85546875" style="4"/>
    <col min="603" max="603" width="7.140625" style="4" customWidth="1"/>
    <col min="604" max="604" width="5.85546875" style="4" customWidth="1"/>
    <col min="605" max="605" width="4.5703125" style="4" customWidth="1"/>
    <col min="606" max="606" width="8.140625" style="4" customWidth="1"/>
    <col min="607" max="607" width="6.85546875" style="4" customWidth="1"/>
    <col min="608" max="608" width="9.42578125" style="4" customWidth="1"/>
    <col min="609" max="609" width="1" style="4" customWidth="1"/>
    <col min="610" max="610" width="1.140625" style="4" customWidth="1"/>
    <col min="611" max="611" width="7" style="4" customWidth="1"/>
    <col min="612" max="612" width="10.5703125" style="4" customWidth="1"/>
    <col min="613" max="613" width="7.7109375" style="4" customWidth="1"/>
    <col min="614" max="614" width="9" style="4" customWidth="1"/>
    <col min="615" max="616" width="10.85546875" style="4"/>
    <col min="617" max="617" width="7.140625" style="4" customWidth="1"/>
    <col min="618" max="618" width="5.85546875" style="4" customWidth="1"/>
    <col min="619" max="619" width="4.5703125" style="4" customWidth="1"/>
    <col min="620" max="620" width="8.140625" style="4" customWidth="1"/>
    <col min="621" max="621" width="6.85546875" style="4" customWidth="1"/>
    <col min="622" max="622" width="9.42578125" style="4" customWidth="1"/>
    <col min="623" max="623" width="1" style="4" customWidth="1"/>
    <col min="624" max="624" width="1.140625" style="4" customWidth="1"/>
    <col min="625" max="625" width="7" style="4" customWidth="1"/>
    <col min="626" max="626" width="10.5703125" style="4" customWidth="1"/>
    <col min="627" max="627" width="7.7109375" style="4" customWidth="1"/>
    <col min="628" max="628" width="9" style="4" customWidth="1"/>
    <col min="629" max="630" width="10.85546875" style="4"/>
    <col min="631" max="631" width="7.140625" style="4" customWidth="1"/>
    <col min="632" max="632" width="5.85546875" style="4" customWidth="1"/>
    <col min="633" max="633" width="4.5703125" style="4" customWidth="1"/>
    <col min="634" max="634" width="8.140625" style="4" customWidth="1"/>
    <col min="635" max="635" width="6.85546875" style="4" customWidth="1"/>
    <col min="636" max="636" width="9.42578125" style="4" customWidth="1"/>
    <col min="637" max="637" width="1" style="4" customWidth="1"/>
    <col min="638" max="638" width="1.140625" style="4" customWidth="1"/>
    <col min="639" max="639" width="7" style="4" customWidth="1"/>
    <col min="640" max="640" width="10.5703125" style="4" customWidth="1"/>
    <col min="641" max="641" width="7.7109375" style="4" customWidth="1"/>
    <col min="642" max="642" width="9" style="4" customWidth="1"/>
    <col min="643" max="644" width="10.85546875" style="4"/>
    <col min="645" max="645" width="7.140625" style="4" customWidth="1"/>
    <col min="646" max="646" width="5.85546875" style="4" customWidth="1"/>
    <col min="647" max="647" width="4.5703125" style="4" customWidth="1"/>
    <col min="648" max="648" width="8.140625" style="4" customWidth="1"/>
    <col min="649" max="649" width="6.85546875" style="4" customWidth="1"/>
    <col min="650" max="650" width="9.42578125" style="4" customWidth="1"/>
    <col min="651" max="651" width="1" style="4" customWidth="1"/>
    <col min="652" max="652" width="1.140625" style="4" customWidth="1"/>
    <col min="653" max="653" width="7" style="4" customWidth="1"/>
    <col min="654" max="654" width="10.5703125" style="4" customWidth="1"/>
    <col min="655" max="655" width="7.7109375" style="4" customWidth="1"/>
    <col min="656" max="656" width="9" style="4" customWidth="1"/>
    <col min="657" max="658" width="10.85546875" style="4"/>
    <col min="659" max="659" width="7.140625" style="4" customWidth="1"/>
    <col min="660" max="660" width="5.85546875" style="4" customWidth="1"/>
    <col min="661" max="661" width="4.5703125" style="4" customWidth="1"/>
    <col min="662" max="662" width="8.140625" style="4" customWidth="1"/>
    <col min="663" max="663" width="6.85546875" style="4" customWidth="1"/>
    <col min="664" max="664" width="9.42578125" style="4" customWidth="1"/>
    <col min="665" max="665" width="1" style="4" customWidth="1"/>
    <col min="666" max="666" width="1.140625" style="4" customWidth="1"/>
    <col min="667" max="667" width="7" style="4" customWidth="1"/>
    <col min="668" max="668" width="10.5703125" style="4" customWidth="1"/>
    <col min="669" max="669" width="7.7109375" style="4" customWidth="1"/>
    <col min="670" max="670" width="9" style="4" customWidth="1"/>
    <col min="671" max="672" width="10.85546875" style="4"/>
    <col min="673" max="673" width="7.140625" style="4" customWidth="1"/>
    <col min="674" max="674" width="5.85546875" style="4" customWidth="1"/>
    <col min="675" max="675" width="4.5703125" style="4" customWidth="1"/>
    <col min="676" max="676" width="8.140625" style="4" customWidth="1"/>
    <col min="677" max="677" width="6.85546875" style="4" customWidth="1"/>
    <col min="678" max="678" width="9.42578125" style="4" customWidth="1"/>
    <col min="679" max="679" width="1" style="4" customWidth="1"/>
    <col min="680" max="680" width="1.140625" style="4" customWidth="1"/>
    <col min="681" max="681" width="7" style="4" customWidth="1"/>
    <col min="682" max="682" width="10.5703125" style="4" customWidth="1"/>
    <col min="683" max="683" width="7.7109375" style="4" customWidth="1"/>
    <col min="684" max="684" width="9" style="4" customWidth="1"/>
    <col min="685" max="686" width="10.85546875" style="4"/>
    <col min="687" max="687" width="7.140625" style="4" customWidth="1"/>
    <col min="688" max="688" width="5.85546875" style="4" customWidth="1"/>
    <col min="689" max="689" width="4.5703125" style="4" customWidth="1"/>
    <col min="690" max="690" width="8.140625" style="4" customWidth="1"/>
    <col min="691" max="691" width="6.85546875" style="4" customWidth="1"/>
    <col min="692" max="692" width="9.42578125" style="4" customWidth="1"/>
    <col min="693" max="693" width="1" style="4" customWidth="1"/>
    <col min="694" max="694" width="1.140625" style="4" customWidth="1"/>
    <col min="695" max="695" width="7" style="4" customWidth="1"/>
    <col min="696" max="696" width="10.5703125" style="4" customWidth="1"/>
    <col min="697" max="697" width="7.7109375" style="4" customWidth="1"/>
    <col min="698" max="698" width="9" style="4" customWidth="1"/>
    <col min="699" max="700" width="10.85546875" style="4"/>
    <col min="701" max="701" width="7.140625" customWidth="1"/>
    <col min="702" max="702" width="3.28515625" customWidth="1"/>
    <col min="703" max="703" width="7" customWidth="1"/>
    <col min="704" max="704" width="9.5703125" customWidth="1"/>
    <col min="705" max="705" width="5.5703125" customWidth="1"/>
    <col min="706" max="706" width="9.28515625" customWidth="1"/>
    <col min="707" max="707" width="4.7109375" customWidth="1"/>
    <col min="708" max="708" width="10.5703125" customWidth="1"/>
    <col min="709" max="709" width="7" customWidth="1"/>
    <col min="710" max="710" width="8.140625" customWidth="1"/>
    <col min="711" max="711" width="7.85546875" customWidth="1"/>
    <col min="712" max="712" width="8" customWidth="1"/>
    <col min="713" max="713" width="10.85546875" style="4"/>
    <col min="714" max="714" width="7.140625" customWidth="1"/>
    <col min="715" max="715" width="3.28515625" customWidth="1"/>
    <col min="716" max="716" width="7" customWidth="1"/>
    <col min="717" max="717" width="9.5703125" customWidth="1"/>
    <col min="718" max="718" width="5.5703125" customWidth="1"/>
    <col min="719" max="719" width="9.28515625" customWidth="1"/>
    <col min="720" max="720" width="4.7109375" customWidth="1"/>
    <col min="721" max="721" width="10.5703125" customWidth="1"/>
    <col min="722" max="722" width="7" customWidth="1"/>
    <col min="723" max="723" width="8.140625" customWidth="1"/>
    <col min="724" max="724" width="7.85546875" customWidth="1"/>
    <col min="725" max="726" width="10.85546875" style="4"/>
    <col min="727" max="727" width="7.140625" customWidth="1"/>
    <col min="728" max="728" width="3.28515625" customWidth="1"/>
    <col min="729" max="729" width="7" customWidth="1"/>
    <col min="730" max="730" width="9.5703125" customWidth="1"/>
    <col min="731" max="731" width="5.5703125" customWidth="1"/>
    <col min="732" max="732" width="9.28515625" customWidth="1"/>
    <col min="733" max="733" width="4.7109375" customWidth="1"/>
    <col min="734" max="734" width="10.5703125" customWidth="1"/>
    <col min="735" max="735" width="7" customWidth="1"/>
    <col min="736" max="736" width="8.140625" customWidth="1"/>
    <col min="737" max="737" width="7.85546875" customWidth="1"/>
    <col min="738" max="739" width="10.85546875" style="4"/>
    <col min="740" max="740" width="7.140625" customWidth="1"/>
    <col min="741" max="741" width="3.28515625" customWidth="1"/>
    <col min="742" max="742" width="7" customWidth="1"/>
    <col min="743" max="743" width="9.5703125" customWidth="1"/>
    <col min="744" max="744" width="5.5703125" customWidth="1"/>
    <col min="745" max="745" width="9.28515625" customWidth="1"/>
    <col min="746" max="746" width="4.7109375" customWidth="1"/>
    <col min="747" max="747" width="10.5703125" customWidth="1"/>
    <col min="748" max="748" width="7" customWidth="1"/>
    <col min="749" max="749" width="8.140625" customWidth="1"/>
    <col min="750" max="750" width="7.85546875" customWidth="1"/>
    <col min="751" max="752" width="10.85546875" style="4"/>
    <col min="753" max="753" width="7.140625" customWidth="1"/>
    <col min="754" max="754" width="3.28515625" customWidth="1"/>
    <col min="755" max="755" width="7" customWidth="1"/>
    <col min="756" max="756" width="9.5703125" customWidth="1"/>
    <col min="757" max="757" width="5.5703125" customWidth="1"/>
    <col min="758" max="758" width="9.28515625" customWidth="1"/>
    <col min="759" max="759" width="4.7109375" customWidth="1"/>
    <col min="760" max="760" width="10.5703125" customWidth="1"/>
    <col min="761" max="761" width="7" customWidth="1"/>
    <col min="762" max="762" width="8.140625" customWidth="1"/>
    <col min="763" max="763" width="7.85546875" customWidth="1"/>
    <col min="764" max="765" width="10.85546875" style="4"/>
    <col min="766" max="766" width="7.140625" customWidth="1"/>
    <col min="767" max="767" width="3.28515625" customWidth="1"/>
    <col min="768" max="768" width="7" customWidth="1"/>
    <col min="769" max="769" width="9.5703125" customWidth="1"/>
    <col min="770" max="770" width="5.5703125" customWidth="1"/>
    <col min="771" max="771" width="9.28515625" customWidth="1"/>
    <col min="772" max="772" width="4.7109375" customWidth="1"/>
    <col min="773" max="773" width="10.5703125" customWidth="1"/>
    <col min="774" max="774" width="7" customWidth="1"/>
    <col min="775" max="775" width="8.140625" customWidth="1"/>
    <col min="776" max="776" width="7.85546875" customWidth="1"/>
    <col min="777" max="778" width="10.85546875" style="4"/>
    <col min="779" max="779" width="7.140625" customWidth="1"/>
    <col min="780" max="780" width="3.28515625" customWidth="1"/>
    <col min="781" max="781" width="7" customWidth="1"/>
    <col min="782" max="782" width="9.5703125" customWidth="1"/>
    <col min="783" max="783" width="5.5703125" customWidth="1"/>
    <col min="784" max="784" width="9.28515625" customWidth="1"/>
    <col min="785" max="785" width="4.7109375" customWidth="1"/>
    <col min="786" max="786" width="10.5703125" customWidth="1"/>
    <col min="787" max="787" width="7" customWidth="1"/>
    <col min="788" max="788" width="8.140625" customWidth="1"/>
    <col min="789" max="789" width="7.85546875" customWidth="1"/>
    <col min="790" max="791" width="10.85546875" style="4"/>
    <col min="792" max="792" width="7.140625" customWidth="1"/>
    <col min="793" max="793" width="3.28515625" customWidth="1"/>
    <col min="794" max="794" width="7" customWidth="1"/>
    <col min="795" max="795" width="9.5703125" customWidth="1"/>
    <col min="796" max="796" width="5.5703125" customWidth="1"/>
    <col min="797" max="797" width="9.28515625" customWidth="1"/>
    <col min="798" max="798" width="4.7109375" customWidth="1"/>
    <col min="799" max="799" width="10.5703125" customWidth="1"/>
    <col min="800" max="800" width="7" customWidth="1"/>
    <col min="801" max="801" width="8.140625" customWidth="1"/>
    <col min="802" max="802" width="7.85546875" customWidth="1"/>
    <col min="803" max="804" width="10.85546875" style="4"/>
    <col min="805" max="805" width="7.140625" customWidth="1"/>
    <col min="806" max="806" width="3.28515625" customWidth="1"/>
    <col min="807" max="807" width="7" customWidth="1"/>
    <col min="808" max="808" width="9.5703125" customWidth="1"/>
    <col min="809" max="809" width="5.5703125" customWidth="1"/>
    <col min="810" max="810" width="9.28515625" customWidth="1"/>
    <col min="811" max="811" width="4.7109375" customWidth="1"/>
    <col min="812" max="812" width="10.5703125" customWidth="1"/>
    <col min="813" max="813" width="7" customWidth="1"/>
    <col min="814" max="814" width="8.140625" customWidth="1"/>
    <col min="815" max="815" width="7.85546875" customWidth="1"/>
    <col min="816" max="817" width="10.85546875" style="4"/>
    <col min="818" max="818" width="7.140625" customWidth="1"/>
    <col min="819" max="819" width="3.28515625" customWidth="1"/>
    <col min="820" max="820" width="7" customWidth="1"/>
    <col min="821" max="821" width="9.5703125" customWidth="1"/>
    <col min="822" max="822" width="5.5703125" customWidth="1"/>
    <col min="823" max="823" width="9.28515625" customWidth="1"/>
    <col min="824" max="824" width="4.7109375" customWidth="1"/>
    <col min="825" max="825" width="10.5703125" customWidth="1"/>
    <col min="826" max="826" width="7" customWidth="1"/>
    <col min="827" max="827" width="8.140625" customWidth="1"/>
    <col min="828" max="828" width="7.85546875" customWidth="1"/>
    <col min="829" max="830" width="10.85546875" style="4"/>
    <col min="831" max="831" width="7.140625" customWidth="1"/>
    <col min="832" max="832" width="3.28515625" customWidth="1"/>
    <col min="833" max="833" width="7" customWidth="1"/>
    <col min="834" max="834" width="9.5703125" customWidth="1"/>
    <col min="835" max="835" width="5.5703125" customWidth="1"/>
    <col min="836" max="836" width="9.28515625" customWidth="1"/>
    <col min="837" max="837" width="4.7109375" customWidth="1"/>
    <col min="838" max="838" width="10.5703125" customWidth="1"/>
    <col min="839" max="839" width="7" customWidth="1"/>
    <col min="840" max="840" width="8.140625" customWidth="1"/>
    <col min="841" max="841" width="7.85546875" customWidth="1"/>
    <col min="842" max="843" width="10.85546875" style="4"/>
    <col min="844" max="844" width="7.140625" customWidth="1"/>
    <col min="845" max="845" width="3.28515625" customWidth="1"/>
    <col min="846" max="846" width="7" customWidth="1"/>
    <col min="847" max="847" width="9.5703125" customWidth="1"/>
    <col min="848" max="848" width="5.5703125" customWidth="1"/>
    <col min="849" max="849" width="9.28515625" customWidth="1"/>
    <col min="850" max="850" width="4.7109375" customWidth="1"/>
    <col min="851" max="851" width="10.5703125" customWidth="1"/>
    <col min="852" max="852" width="7" customWidth="1"/>
    <col min="853" max="853" width="8.140625" customWidth="1"/>
    <col min="854" max="854" width="7.85546875" customWidth="1"/>
    <col min="855" max="857" width="10.85546875" style="4"/>
    <col min="858" max="858" width="3.28515625" customWidth="1"/>
    <col min="859" max="859" width="7" customWidth="1"/>
    <col min="860" max="860" width="9.5703125" customWidth="1"/>
    <col min="861" max="861" width="5.5703125" customWidth="1"/>
    <col min="862" max="862" width="9.28515625" customWidth="1"/>
    <col min="863" max="863" width="4.7109375" customWidth="1"/>
    <col min="864" max="864" width="10.5703125" customWidth="1"/>
    <col min="865" max="865" width="7" customWidth="1"/>
    <col min="866" max="866" width="8.140625" customWidth="1"/>
    <col min="867" max="867" width="7.85546875" customWidth="1"/>
    <col min="868" max="869" width="10.85546875" style="4"/>
    <col min="870" max="870" width="3.28515625" customWidth="1"/>
    <col min="871" max="871" width="7" customWidth="1"/>
    <col min="872" max="872" width="9.5703125" customWidth="1"/>
    <col min="873" max="873" width="5.5703125" customWidth="1"/>
    <col min="874" max="874" width="9.28515625" customWidth="1"/>
    <col min="875" max="875" width="4.7109375" customWidth="1"/>
    <col min="876" max="876" width="10.5703125" customWidth="1"/>
    <col min="877" max="877" width="7" customWidth="1"/>
    <col min="878" max="878" width="8.140625" customWidth="1"/>
    <col min="879" max="879" width="7.85546875" customWidth="1"/>
    <col min="880" max="881" width="10.85546875" style="4"/>
    <col min="882" max="882" width="3.28515625" customWidth="1"/>
    <col min="883" max="883" width="7" customWidth="1"/>
    <col min="884" max="884" width="9.5703125" customWidth="1"/>
    <col min="885" max="885" width="5.5703125" customWidth="1"/>
    <col min="886" max="886" width="9.28515625" customWidth="1"/>
    <col min="887" max="887" width="4.7109375" customWidth="1"/>
    <col min="888" max="888" width="10.5703125" customWidth="1"/>
    <col min="889" max="889" width="7" customWidth="1"/>
    <col min="890" max="890" width="8.140625" customWidth="1"/>
    <col min="891" max="891" width="7.85546875" customWidth="1"/>
    <col min="892" max="893" width="10.85546875" style="4"/>
    <col min="894" max="894" width="3.28515625" customWidth="1"/>
    <col min="895" max="895" width="7" customWidth="1"/>
    <col min="896" max="896" width="9.5703125" customWidth="1"/>
    <col min="897" max="897" width="5.5703125" customWidth="1"/>
    <col min="898" max="898" width="9.28515625" customWidth="1"/>
    <col min="899" max="899" width="4.7109375" customWidth="1"/>
    <col min="900" max="900" width="10.5703125" customWidth="1"/>
    <col min="901" max="901" width="7" customWidth="1"/>
    <col min="902" max="902" width="8.140625" customWidth="1"/>
    <col min="903" max="903" width="7.85546875" customWidth="1"/>
    <col min="904" max="905" width="10.85546875" style="4"/>
    <col min="906" max="906" width="3.28515625" customWidth="1"/>
    <col min="907" max="907" width="7" customWidth="1"/>
    <col min="908" max="908" width="9.5703125" customWidth="1"/>
    <col min="909" max="909" width="5.5703125" customWidth="1"/>
    <col min="910" max="910" width="9.28515625" customWidth="1"/>
    <col min="911" max="911" width="4.7109375" customWidth="1"/>
    <col min="912" max="912" width="10.5703125" customWidth="1"/>
    <col min="913" max="913" width="7" customWidth="1"/>
    <col min="914" max="914" width="8.140625" customWidth="1"/>
    <col min="915" max="915" width="7.85546875" customWidth="1"/>
    <col min="916" max="917" width="10.85546875" style="4"/>
    <col min="918" max="918" width="3.28515625" customWidth="1"/>
    <col min="919" max="919" width="7" customWidth="1"/>
    <col min="920" max="920" width="9.5703125" customWidth="1"/>
    <col min="921" max="921" width="5.5703125" customWidth="1"/>
    <col min="922" max="922" width="9.28515625" customWidth="1"/>
    <col min="923" max="923" width="4.7109375" customWidth="1"/>
    <col min="924" max="924" width="10.5703125" customWidth="1"/>
    <col min="925" max="925" width="7" customWidth="1"/>
    <col min="926" max="926" width="8.140625" customWidth="1"/>
    <col min="927" max="927" width="7.85546875" customWidth="1"/>
    <col min="928" max="929" width="10.85546875" style="4"/>
    <col min="930" max="930" width="3.28515625" customWidth="1"/>
    <col min="931" max="931" width="7" customWidth="1"/>
    <col min="932" max="932" width="9.5703125" customWidth="1"/>
    <col min="933" max="933" width="5.5703125" customWidth="1"/>
    <col min="934" max="934" width="9.28515625" customWidth="1"/>
    <col min="935" max="935" width="4.7109375" customWidth="1"/>
    <col min="936" max="936" width="10.5703125" customWidth="1"/>
    <col min="937" max="937" width="7" customWidth="1"/>
    <col min="938" max="938" width="8.140625" customWidth="1"/>
    <col min="939" max="939" width="7.85546875" customWidth="1"/>
    <col min="940" max="941" width="10.85546875" style="4"/>
    <col min="942" max="942" width="3.28515625" customWidth="1"/>
    <col min="943" max="943" width="7" customWidth="1"/>
    <col min="944" max="944" width="9.5703125" customWidth="1"/>
    <col min="945" max="945" width="5.5703125" customWidth="1"/>
    <col min="946" max="946" width="9.28515625" customWidth="1"/>
    <col min="947" max="947" width="4.7109375" customWidth="1"/>
    <col min="948" max="948" width="10.5703125" customWidth="1"/>
    <col min="949" max="949" width="7" customWidth="1"/>
    <col min="950" max="950" width="8.140625" customWidth="1"/>
    <col min="951" max="951" width="7.85546875" customWidth="1"/>
    <col min="952" max="953" width="10.85546875" style="4"/>
    <col min="954" max="954" width="3.28515625" customWidth="1"/>
    <col min="955" max="955" width="7" customWidth="1"/>
    <col min="956" max="956" width="9.5703125" customWidth="1"/>
    <col min="957" max="957" width="5.5703125" customWidth="1"/>
    <col min="958" max="958" width="9.28515625" customWidth="1"/>
    <col min="959" max="959" width="4.7109375" customWidth="1"/>
    <col min="960" max="960" width="10.5703125" customWidth="1"/>
    <col min="961" max="961" width="7" customWidth="1"/>
    <col min="962" max="962" width="8.140625" customWidth="1"/>
    <col min="963" max="963" width="7.85546875" customWidth="1"/>
    <col min="964" max="965" width="10.85546875" style="4"/>
    <col min="966" max="966" width="3.28515625" customWidth="1"/>
    <col min="967" max="967" width="7" customWidth="1"/>
    <col min="968" max="968" width="9.5703125" customWidth="1"/>
    <col min="969" max="969" width="5.5703125" customWidth="1"/>
    <col min="970" max="970" width="9.28515625" customWidth="1"/>
    <col min="971" max="971" width="4.7109375" customWidth="1"/>
    <col min="972" max="972" width="10.5703125" customWidth="1"/>
    <col min="973" max="973" width="7" customWidth="1"/>
    <col min="974" max="974" width="8.140625" customWidth="1"/>
    <col min="975" max="975" width="7.85546875" customWidth="1"/>
    <col min="976" max="977" width="10.85546875" style="4"/>
    <col min="978" max="978" width="3.28515625" customWidth="1"/>
    <col min="979" max="979" width="7" customWidth="1"/>
    <col min="980" max="980" width="9.5703125" customWidth="1"/>
    <col min="981" max="981" width="5.5703125" customWidth="1"/>
    <col min="982" max="982" width="9.28515625" customWidth="1"/>
    <col min="983" max="983" width="4.7109375" customWidth="1"/>
    <col min="984" max="984" width="10.5703125" customWidth="1"/>
    <col min="985" max="985" width="7" customWidth="1"/>
    <col min="986" max="986" width="8.140625" customWidth="1"/>
    <col min="987" max="987" width="7.85546875" customWidth="1"/>
    <col min="988" max="989" width="10.85546875" style="4"/>
    <col min="990" max="990" width="3.28515625" customWidth="1"/>
    <col min="991" max="991" width="7" customWidth="1"/>
    <col min="992" max="992" width="9.5703125" customWidth="1"/>
    <col min="993" max="993" width="5.5703125" customWidth="1"/>
    <col min="994" max="994" width="9.28515625" customWidth="1"/>
    <col min="995" max="995" width="4.7109375" customWidth="1"/>
    <col min="996" max="996" width="10.5703125" customWidth="1"/>
    <col min="997" max="997" width="7" customWidth="1"/>
    <col min="998" max="998" width="8.140625" customWidth="1"/>
    <col min="999" max="999" width="7.85546875" customWidth="1"/>
    <col min="1000" max="1001" width="10.85546875" style="4"/>
    <col min="1002" max="1002" width="3.28515625" customWidth="1"/>
    <col min="1003" max="1003" width="7" customWidth="1"/>
    <col min="1004" max="1004" width="9.5703125" customWidth="1"/>
    <col min="1005" max="1005" width="5.5703125" customWidth="1"/>
    <col min="1006" max="1006" width="9.28515625" customWidth="1"/>
    <col min="1007" max="1007" width="4.7109375" customWidth="1"/>
    <col min="1008" max="1008" width="10.5703125" customWidth="1"/>
    <col min="1009" max="1009" width="7" customWidth="1"/>
    <col min="1010" max="1010" width="8.140625" customWidth="1"/>
    <col min="1011" max="1011" width="7.85546875" customWidth="1"/>
    <col min="1012" max="1013" width="10.85546875" style="4"/>
    <col min="1014" max="1014" width="3.28515625" customWidth="1"/>
    <col min="1015" max="1015" width="7" customWidth="1"/>
    <col min="1016" max="1016" width="9.5703125" customWidth="1"/>
    <col min="1017" max="1017" width="5.5703125" customWidth="1"/>
    <col min="1018" max="1018" width="9.28515625" customWidth="1"/>
    <col min="1019" max="1019" width="4.7109375" customWidth="1"/>
    <col min="1020" max="1020" width="10.5703125" customWidth="1"/>
    <col min="1021" max="1021" width="7" customWidth="1"/>
    <col min="1022" max="1022" width="8.140625" customWidth="1"/>
    <col min="1023" max="1023" width="7.85546875" customWidth="1"/>
    <col min="1024" max="1025" width="10.85546875" style="4"/>
    <col min="1026" max="1026" width="3.28515625" customWidth="1"/>
    <col min="1027" max="1027" width="7" customWidth="1"/>
    <col min="1028" max="1028" width="9.5703125" customWidth="1"/>
    <col min="1029" max="1029" width="5.5703125" customWidth="1"/>
    <col min="1030" max="1030" width="9.28515625" customWidth="1"/>
    <col min="1031" max="1031" width="4.7109375" customWidth="1"/>
    <col min="1032" max="1032" width="10.5703125" customWidth="1"/>
    <col min="1033" max="1033" width="7" customWidth="1"/>
    <col min="1034" max="1034" width="8.140625" customWidth="1"/>
    <col min="1035" max="1035" width="7.85546875" customWidth="1"/>
    <col min="1036" max="1037" width="10.85546875" style="4"/>
    <col min="1038" max="1038" width="3.28515625" customWidth="1"/>
    <col min="1039" max="1039" width="7" customWidth="1"/>
    <col min="1040" max="1040" width="9.5703125" customWidth="1"/>
    <col min="1041" max="1041" width="5.5703125" customWidth="1"/>
    <col min="1042" max="1042" width="9.28515625" customWidth="1"/>
    <col min="1043" max="1043" width="4.7109375" customWidth="1"/>
    <col min="1044" max="1044" width="10.5703125" customWidth="1"/>
    <col min="1045" max="1045" width="7" customWidth="1"/>
    <col min="1046" max="1046" width="8.140625" customWidth="1"/>
    <col min="1047" max="1047" width="7.85546875" customWidth="1"/>
    <col min="1048" max="1049" width="10.85546875" style="4"/>
    <col min="1050" max="1050" width="3.28515625" customWidth="1"/>
    <col min="1051" max="1051" width="7" customWidth="1"/>
    <col min="1052" max="1052" width="9.5703125" customWidth="1"/>
    <col min="1053" max="1053" width="5.5703125" customWidth="1"/>
    <col min="1054" max="1054" width="9.28515625" customWidth="1"/>
    <col min="1055" max="1055" width="4.7109375" customWidth="1"/>
    <col min="1056" max="1056" width="10.5703125" customWidth="1"/>
    <col min="1057" max="1057" width="7" customWidth="1"/>
    <col min="1058" max="1058" width="8.140625" customWidth="1"/>
    <col min="1059" max="1059" width="7.85546875" customWidth="1"/>
    <col min="1060" max="1061" width="10.85546875" style="4"/>
    <col min="1062" max="1062" width="3.28515625" customWidth="1"/>
    <col min="1063" max="1063" width="7" customWidth="1"/>
    <col min="1064" max="1064" width="9.5703125" customWidth="1"/>
    <col min="1065" max="1065" width="5.5703125" customWidth="1"/>
    <col min="1066" max="1066" width="9.28515625" customWidth="1"/>
    <col min="1067" max="1067" width="4.7109375" customWidth="1"/>
    <col min="1068" max="1068" width="10.5703125" customWidth="1"/>
    <col min="1069" max="1069" width="7" customWidth="1"/>
    <col min="1070" max="1070" width="8.140625" customWidth="1"/>
    <col min="1071" max="1071" width="7.85546875" customWidth="1"/>
    <col min="1072" max="1073" width="10.85546875" style="4"/>
    <col min="1074" max="1074" width="3.28515625" customWidth="1"/>
    <col min="1075" max="1075" width="7" customWidth="1"/>
    <col min="1076" max="1076" width="9.5703125" customWidth="1"/>
    <col min="1077" max="1077" width="5.5703125" customWidth="1"/>
    <col min="1078" max="1078" width="9.28515625" customWidth="1"/>
    <col min="1079" max="1079" width="4.7109375" customWidth="1"/>
    <col min="1080" max="1080" width="10.5703125" customWidth="1"/>
    <col min="1081" max="1081" width="7" customWidth="1"/>
    <col min="1082" max="1082" width="8.140625" customWidth="1"/>
    <col min="1083" max="1083" width="7.85546875" customWidth="1"/>
    <col min="1084" max="1085" width="10.85546875" style="4"/>
    <col min="1086" max="1086" width="3.28515625" customWidth="1"/>
    <col min="1087" max="1087" width="7" customWidth="1"/>
    <col min="1088" max="1088" width="9.5703125" customWidth="1"/>
    <col min="1089" max="1089" width="5.5703125" customWidth="1"/>
    <col min="1090" max="1090" width="9.28515625" customWidth="1"/>
    <col min="1091" max="1091" width="4.7109375" customWidth="1"/>
    <col min="1092" max="1092" width="10.5703125" customWidth="1"/>
    <col min="1093" max="1093" width="7" customWidth="1"/>
    <col min="1094" max="1094" width="8.140625" customWidth="1"/>
    <col min="1095" max="1095" width="7.85546875" customWidth="1"/>
    <col min="1096" max="1097" width="10.85546875" style="4"/>
    <col min="1098" max="1098" width="3.28515625" customWidth="1"/>
    <col min="1099" max="1099" width="7" customWidth="1"/>
    <col min="1100" max="1100" width="9.5703125" customWidth="1"/>
    <col min="1101" max="1101" width="5.5703125" customWidth="1"/>
    <col min="1102" max="1102" width="9.28515625" customWidth="1"/>
    <col min="1103" max="1103" width="4.7109375" customWidth="1"/>
    <col min="1104" max="1104" width="10.5703125" customWidth="1"/>
    <col min="1105" max="1105" width="7" customWidth="1"/>
    <col min="1106" max="1106" width="8.140625" customWidth="1"/>
    <col min="1107" max="1107" width="7.85546875" customWidth="1"/>
    <col min="1108" max="1109" width="10.85546875" style="4"/>
    <col min="1110" max="1110" width="3.28515625" customWidth="1"/>
    <col min="1111" max="1111" width="7" customWidth="1"/>
    <col min="1112" max="1112" width="9.5703125" customWidth="1"/>
    <col min="1113" max="1113" width="5.5703125" customWidth="1"/>
    <col min="1114" max="1114" width="9.28515625" customWidth="1"/>
    <col min="1115" max="1115" width="4.7109375" customWidth="1"/>
    <col min="1116" max="1116" width="10.5703125" customWidth="1"/>
    <col min="1117" max="1117" width="7" customWidth="1"/>
    <col min="1118" max="1118" width="8.140625" customWidth="1"/>
    <col min="1119" max="1119" width="7.85546875" customWidth="1"/>
    <col min="1120" max="1121" width="10.85546875" style="4"/>
    <col min="1122" max="1122" width="3.28515625" customWidth="1"/>
    <col min="1123" max="1123" width="7" customWidth="1"/>
    <col min="1124" max="1124" width="9.5703125" customWidth="1"/>
    <col min="1125" max="1125" width="5.5703125" customWidth="1"/>
    <col min="1126" max="1126" width="9.28515625" customWidth="1"/>
    <col min="1127" max="1127" width="4.7109375" customWidth="1"/>
    <col min="1128" max="1128" width="10.5703125" customWidth="1"/>
    <col min="1129" max="1129" width="7" customWidth="1"/>
    <col min="1130" max="1130" width="8.140625" customWidth="1"/>
    <col min="1131" max="1131" width="7.85546875" customWidth="1"/>
    <col min="1132" max="1133" width="10.85546875" style="4"/>
    <col min="1134" max="1134" width="3.28515625" customWidth="1"/>
    <col min="1135" max="1135" width="7" customWidth="1"/>
    <col min="1136" max="1136" width="9.5703125" customWidth="1"/>
    <col min="1137" max="1137" width="5.5703125" customWidth="1"/>
    <col min="1138" max="1138" width="9.28515625" customWidth="1"/>
    <col min="1139" max="1139" width="4.7109375" customWidth="1"/>
    <col min="1140" max="1140" width="10.5703125" customWidth="1"/>
    <col min="1141" max="1141" width="7" customWidth="1"/>
    <col min="1142" max="1142" width="8.140625" customWidth="1"/>
    <col min="1143" max="1143" width="7.85546875" customWidth="1"/>
    <col min="1144" max="1145" width="10.85546875" style="4"/>
    <col min="1146" max="1146" width="3.28515625" customWidth="1"/>
    <col min="1147" max="1147" width="7" customWidth="1"/>
    <col min="1148" max="1148" width="9.5703125" customWidth="1"/>
    <col min="1149" max="1149" width="5.5703125" customWidth="1"/>
    <col min="1150" max="1150" width="9.28515625" customWidth="1"/>
    <col min="1151" max="1151" width="4.7109375" customWidth="1"/>
    <col min="1152" max="1152" width="10.5703125" customWidth="1"/>
    <col min="1153" max="1153" width="7" customWidth="1"/>
    <col min="1154" max="1154" width="8.140625" customWidth="1"/>
    <col min="1155" max="1155" width="7.85546875" customWidth="1"/>
    <col min="1156" max="1157" width="10.85546875" style="4"/>
    <col min="1158" max="1158" width="3.28515625" customWidth="1"/>
    <col min="1159" max="1159" width="7" customWidth="1"/>
    <col min="1160" max="1160" width="9.5703125" customWidth="1"/>
    <col min="1161" max="1161" width="5.5703125" customWidth="1"/>
    <col min="1162" max="1162" width="9.28515625" customWidth="1"/>
    <col min="1163" max="1163" width="4.7109375" customWidth="1"/>
    <col min="1164" max="1164" width="10.5703125" customWidth="1"/>
    <col min="1165" max="1165" width="7" customWidth="1"/>
    <col min="1166" max="1166" width="8.140625" customWidth="1"/>
    <col min="1167" max="1167" width="7.85546875" customWidth="1"/>
    <col min="1168" max="1169" width="10.85546875" style="4"/>
    <col min="1170" max="1170" width="3.28515625" customWidth="1"/>
    <col min="1171" max="1171" width="7" customWidth="1"/>
    <col min="1172" max="1172" width="9.5703125" customWidth="1"/>
    <col min="1173" max="1173" width="5.5703125" customWidth="1"/>
    <col min="1174" max="1174" width="9.28515625" customWidth="1"/>
    <col min="1175" max="1175" width="4.7109375" customWidth="1"/>
    <col min="1176" max="1176" width="10.5703125" customWidth="1"/>
    <col min="1177" max="1177" width="7" customWidth="1"/>
    <col min="1178" max="1178" width="8.140625" customWidth="1"/>
    <col min="1179" max="1179" width="7.85546875" customWidth="1"/>
    <col min="1180" max="1181" width="10.85546875" style="4"/>
    <col min="1182" max="1182" width="3.28515625" customWidth="1"/>
    <col min="1183" max="1183" width="7" customWidth="1"/>
    <col min="1184" max="1184" width="9.5703125" customWidth="1"/>
    <col min="1185" max="1185" width="5.5703125" customWidth="1"/>
    <col min="1186" max="1186" width="9.28515625" customWidth="1"/>
    <col min="1187" max="1187" width="4.7109375" customWidth="1"/>
    <col min="1188" max="1188" width="10.5703125" customWidth="1"/>
    <col min="1189" max="1189" width="7" customWidth="1"/>
    <col min="1190" max="1190" width="8.140625" customWidth="1"/>
    <col min="1191" max="1191" width="7.85546875" customWidth="1"/>
    <col min="1192" max="1193" width="10.85546875" style="4"/>
    <col min="1194" max="1194" width="3.28515625" customWidth="1"/>
    <col min="1195" max="1195" width="7" customWidth="1"/>
    <col min="1196" max="1196" width="9.5703125" customWidth="1"/>
    <col min="1197" max="1197" width="5.5703125" customWidth="1"/>
    <col min="1198" max="1198" width="9.28515625" customWidth="1"/>
    <col min="1199" max="1199" width="4.7109375" customWidth="1"/>
    <col min="1200" max="1200" width="10.5703125" customWidth="1"/>
    <col min="1201" max="1201" width="7" customWidth="1"/>
    <col min="1202" max="1202" width="8.140625" customWidth="1"/>
    <col min="1203" max="1203" width="7.85546875" customWidth="1"/>
    <col min="1204" max="1205" width="10.85546875" style="4"/>
    <col min="1206" max="1206" width="3.28515625" customWidth="1"/>
    <col min="1207" max="1207" width="7" customWidth="1"/>
    <col min="1208" max="1208" width="9.5703125" customWidth="1"/>
    <col min="1209" max="1209" width="5.5703125" customWidth="1"/>
    <col min="1210" max="1210" width="9.28515625" customWidth="1"/>
    <col min="1211" max="1211" width="4.7109375" customWidth="1"/>
    <col min="1212" max="1212" width="10.5703125" customWidth="1"/>
    <col min="1213" max="1213" width="7" customWidth="1"/>
    <col min="1214" max="1214" width="8.140625" customWidth="1"/>
    <col min="1215" max="1215" width="7.85546875" customWidth="1"/>
    <col min="1216" max="1217" width="10.85546875" style="4"/>
    <col min="1218" max="1218" width="3.28515625" customWidth="1"/>
    <col min="1219" max="1219" width="7" customWidth="1"/>
    <col min="1220" max="1220" width="9.5703125" customWidth="1"/>
    <col min="1221" max="1221" width="5.5703125" customWidth="1"/>
    <col min="1222" max="1222" width="9.28515625" customWidth="1"/>
    <col min="1223" max="1223" width="4.7109375" customWidth="1"/>
    <col min="1224" max="1224" width="10.5703125" customWidth="1"/>
    <col min="1225" max="1225" width="7" customWidth="1"/>
    <col min="1226" max="1226" width="8.140625" customWidth="1"/>
    <col min="1227" max="1227" width="7.85546875" customWidth="1"/>
    <col min="1228" max="1229" width="10.85546875" style="4"/>
    <col min="1230" max="1230" width="3.28515625" customWidth="1"/>
    <col min="1231" max="1231" width="7" customWidth="1"/>
    <col min="1232" max="1232" width="9.5703125" customWidth="1"/>
    <col min="1233" max="1233" width="5.5703125" customWidth="1"/>
    <col min="1234" max="1234" width="9.28515625" customWidth="1"/>
    <col min="1235" max="1235" width="4.7109375" customWidth="1"/>
    <col min="1236" max="1236" width="10.5703125" customWidth="1"/>
    <col min="1237" max="1237" width="7" customWidth="1"/>
    <col min="1238" max="1238" width="8.140625" customWidth="1"/>
    <col min="1239" max="1239" width="7.85546875" customWidth="1"/>
    <col min="1240" max="1241" width="10.85546875" style="4"/>
    <col min="1242" max="1242" width="3.28515625" customWidth="1"/>
    <col min="1243" max="1243" width="7" customWidth="1"/>
    <col min="1244" max="1244" width="9.5703125" customWidth="1"/>
    <col min="1245" max="1245" width="5.5703125" customWidth="1"/>
    <col min="1246" max="1246" width="9.28515625" customWidth="1"/>
    <col min="1247" max="1247" width="4.7109375" customWidth="1"/>
    <col min="1248" max="1248" width="10.5703125" customWidth="1"/>
    <col min="1249" max="1249" width="7" customWidth="1"/>
    <col min="1250" max="1250" width="8.140625" customWidth="1"/>
    <col min="1251" max="1251" width="7.85546875" customWidth="1"/>
    <col min="1252" max="1253" width="10.85546875" style="4"/>
    <col min="1254" max="1254" width="3.28515625" customWidth="1"/>
    <col min="1255" max="1255" width="7" customWidth="1"/>
    <col min="1256" max="1256" width="9.5703125" customWidth="1"/>
    <col min="1257" max="1257" width="5.5703125" customWidth="1"/>
    <col min="1258" max="1258" width="9.28515625" customWidth="1"/>
    <col min="1259" max="1259" width="4.7109375" customWidth="1"/>
    <col min="1260" max="1260" width="10.5703125" customWidth="1"/>
    <col min="1261" max="1261" width="7" customWidth="1"/>
    <col min="1262" max="1262" width="8.140625" customWidth="1"/>
    <col min="1263" max="1263" width="7.85546875" customWidth="1"/>
    <col min="1264" max="1265" width="10.85546875" style="4"/>
    <col min="1266" max="1266" width="3.28515625" customWidth="1"/>
    <col min="1267" max="1267" width="7" customWidth="1"/>
    <col min="1268" max="1268" width="9.5703125" customWidth="1"/>
    <col min="1269" max="1269" width="5.5703125" customWidth="1"/>
    <col min="1270" max="1270" width="9.28515625" customWidth="1"/>
    <col min="1271" max="1271" width="4.7109375" customWidth="1"/>
    <col min="1272" max="1272" width="10.5703125" customWidth="1"/>
    <col min="1273" max="1273" width="7" customWidth="1"/>
    <col min="1274" max="1274" width="8.140625" customWidth="1"/>
    <col min="1275" max="1275" width="7.85546875" customWidth="1"/>
    <col min="1276" max="1277" width="10.85546875" style="4"/>
    <col min="1278" max="1278" width="3.28515625" customWidth="1"/>
    <col min="1279" max="1279" width="7" customWidth="1"/>
    <col min="1280" max="1280" width="9.5703125" customWidth="1"/>
    <col min="1281" max="1281" width="5.5703125" customWidth="1"/>
    <col min="1282" max="1282" width="9.28515625" customWidth="1"/>
    <col min="1283" max="1283" width="4.7109375" customWidth="1"/>
    <col min="1284" max="1284" width="10.5703125" customWidth="1"/>
    <col min="1285" max="1285" width="7" customWidth="1"/>
    <col min="1286" max="1286" width="8.140625" customWidth="1"/>
    <col min="1287" max="1287" width="7.85546875" customWidth="1"/>
    <col min="1288" max="1289" width="10.85546875" style="4"/>
    <col min="1290" max="1290" width="3.28515625" customWidth="1"/>
    <col min="1291" max="1291" width="7" customWidth="1"/>
    <col min="1292" max="1292" width="9.5703125" customWidth="1"/>
    <col min="1293" max="1293" width="5.5703125" customWidth="1"/>
    <col min="1294" max="1294" width="9.28515625" customWidth="1"/>
    <col min="1295" max="1295" width="4.7109375" customWidth="1"/>
    <col min="1296" max="1296" width="10.5703125" customWidth="1"/>
    <col min="1297" max="1297" width="7" customWidth="1"/>
    <col min="1298" max="1298" width="8.140625" customWidth="1"/>
    <col min="1299" max="1299" width="7.85546875" customWidth="1"/>
    <col min="1300" max="1301" width="10.85546875" style="4"/>
    <col min="1302" max="1302" width="3.28515625" customWidth="1"/>
    <col min="1303" max="1303" width="7" customWidth="1"/>
    <col min="1304" max="1304" width="9.5703125" customWidth="1"/>
    <col min="1305" max="1305" width="5.5703125" customWidth="1"/>
    <col min="1306" max="1306" width="9.28515625" customWidth="1"/>
    <col min="1307" max="1307" width="4.7109375" customWidth="1"/>
    <col min="1308" max="1308" width="10.5703125" customWidth="1"/>
    <col min="1309" max="1309" width="7" customWidth="1"/>
    <col min="1310" max="1310" width="8.140625" customWidth="1"/>
    <col min="1311" max="1311" width="7.85546875" customWidth="1"/>
    <col min="1312" max="1313" width="10.85546875" style="4"/>
    <col min="1314" max="1314" width="3.28515625" customWidth="1"/>
    <col min="1315" max="1315" width="7" customWidth="1"/>
    <col min="1316" max="1316" width="9.5703125" customWidth="1"/>
    <col min="1317" max="1317" width="5.5703125" customWidth="1"/>
    <col min="1318" max="1318" width="9.28515625" customWidth="1"/>
    <col min="1319" max="1319" width="4.7109375" customWidth="1"/>
    <col min="1320" max="1320" width="10.5703125" customWidth="1"/>
    <col min="1321" max="1321" width="7" customWidth="1"/>
    <col min="1322" max="1322" width="8.140625" customWidth="1"/>
    <col min="1323" max="1323" width="7.85546875" customWidth="1"/>
    <col min="1324" max="1325" width="10.85546875" style="4"/>
    <col min="1326" max="1326" width="3.28515625" customWidth="1"/>
    <col min="1327" max="1327" width="7" customWidth="1"/>
    <col min="1328" max="1328" width="9.5703125" customWidth="1"/>
    <col min="1329" max="1329" width="5.5703125" customWidth="1"/>
    <col min="1330" max="1330" width="9.28515625" customWidth="1"/>
    <col min="1331" max="1331" width="4.7109375" customWidth="1"/>
    <col min="1332" max="1332" width="10.5703125" customWidth="1"/>
    <col min="1333" max="1333" width="7" customWidth="1"/>
    <col min="1334" max="1334" width="8.140625" customWidth="1"/>
    <col min="1335" max="1335" width="7.85546875" customWidth="1"/>
    <col min="1336" max="1337" width="10.85546875" style="4"/>
    <col min="1338" max="1338" width="3.28515625" customWidth="1"/>
    <col min="1339" max="1339" width="7" customWidth="1"/>
    <col min="1340" max="1340" width="9.5703125" customWidth="1"/>
    <col min="1341" max="1341" width="5.5703125" customWidth="1"/>
    <col min="1342" max="1342" width="9.28515625" customWidth="1"/>
    <col min="1343" max="1343" width="4.7109375" customWidth="1"/>
    <col min="1344" max="1344" width="10.5703125" customWidth="1"/>
    <col min="1345" max="1345" width="7" customWidth="1"/>
    <col min="1346" max="1346" width="8.140625" customWidth="1"/>
    <col min="1347" max="1347" width="7.85546875" customWidth="1"/>
    <col min="1348" max="1349" width="10.85546875" style="4"/>
    <col min="1350" max="1350" width="3.28515625" customWidth="1"/>
    <col min="1351" max="1351" width="7" customWidth="1"/>
    <col min="1352" max="1352" width="9.5703125" customWidth="1"/>
    <col min="1353" max="1353" width="5.5703125" customWidth="1"/>
    <col min="1354" max="1354" width="9.28515625" customWidth="1"/>
    <col min="1355" max="1355" width="4.7109375" customWidth="1"/>
    <col min="1356" max="1356" width="10.5703125" customWidth="1"/>
    <col min="1357" max="1357" width="7" customWidth="1"/>
    <col min="1358" max="1358" width="8.140625" customWidth="1"/>
    <col min="1359" max="1359" width="7.85546875" customWidth="1"/>
    <col min="1360" max="1361" width="10.85546875" style="4"/>
    <col min="1362" max="1362" width="3.28515625" customWidth="1"/>
    <col min="1363" max="1363" width="7" customWidth="1"/>
    <col min="1364" max="1364" width="9.5703125" customWidth="1"/>
    <col min="1365" max="1365" width="5.5703125" customWidth="1"/>
    <col min="1366" max="1366" width="9.28515625" customWidth="1"/>
    <col min="1367" max="1367" width="4.7109375" customWidth="1"/>
    <col min="1368" max="1368" width="10.5703125" customWidth="1"/>
    <col min="1369" max="1369" width="7" customWidth="1"/>
    <col min="1370" max="1370" width="8.140625" customWidth="1"/>
    <col min="1371" max="1371" width="7.85546875" customWidth="1"/>
    <col min="1372" max="1373" width="10.85546875" style="4"/>
    <col min="1374" max="1374" width="3.28515625" customWidth="1"/>
    <col min="1375" max="1375" width="7" customWidth="1"/>
    <col min="1376" max="1376" width="9.5703125" customWidth="1"/>
    <col min="1377" max="1377" width="5.5703125" customWidth="1"/>
    <col min="1378" max="1378" width="9.28515625" customWidth="1"/>
    <col min="1379" max="1379" width="4.7109375" customWidth="1"/>
    <col min="1380" max="1380" width="10.5703125" customWidth="1"/>
    <col min="1381" max="1381" width="7" customWidth="1"/>
    <col min="1382" max="1382" width="8.140625" customWidth="1"/>
    <col min="1383" max="1383" width="7.85546875" customWidth="1"/>
    <col min="1384" max="1385" width="10.85546875" style="4"/>
    <col min="1386" max="1386" width="3.28515625" customWidth="1"/>
    <col min="1387" max="1387" width="7" customWidth="1"/>
    <col min="1388" max="1388" width="9.5703125" customWidth="1"/>
    <col min="1389" max="1389" width="5.5703125" customWidth="1"/>
    <col min="1390" max="1390" width="9.28515625" customWidth="1"/>
    <col min="1391" max="1391" width="4.7109375" customWidth="1"/>
    <col min="1392" max="1392" width="10.5703125" customWidth="1"/>
    <col min="1393" max="1393" width="7" customWidth="1"/>
    <col min="1394" max="1394" width="8.140625" customWidth="1"/>
    <col min="1395" max="1395" width="7.85546875" customWidth="1"/>
    <col min="1396" max="1397" width="10.85546875" style="4"/>
    <col min="1398" max="1398" width="3.28515625" customWidth="1"/>
    <col min="1399" max="1399" width="7" customWidth="1"/>
    <col min="1400" max="1400" width="9.5703125" customWidth="1"/>
    <col min="1401" max="1401" width="5.5703125" customWidth="1"/>
    <col min="1402" max="1402" width="9.28515625" customWidth="1"/>
    <col min="1403" max="1403" width="4.7109375" customWidth="1"/>
    <col min="1404" max="1404" width="10.5703125" customWidth="1"/>
    <col min="1405" max="1405" width="7" customWidth="1"/>
    <col min="1406" max="1406" width="8.140625" customWidth="1"/>
    <col min="1407" max="1407" width="7.85546875" customWidth="1"/>
    <col min="1408" max="1409" width="10.85546875" style="4"/>
    <col min="1410" max="1410" width="3.28515625" customWidth="1"/>
    <col min="1411" max="1411" width="7" customWidth="1"/>
    <col min="1412" max="1412" width="9.5703125" customWidth="1"/>
    <col min="1413" max="1413" width="5.5703125" customWidth="1"/>
    <col min="1414" max="1414" width="9.28515625" customWidth="1"/>
    <col min="1415" max="1415" width="4.7109375" customWidth="1"/>
    <col min="1416" max="1416" width="10.5703125" customWidth="1"/>
    <col min="1417" max="1417" width="7" customWidth="1"/>
    <col min="1418" max="1418" width="8.140625" customWidth="1"/>
    <col min="1419" max="1419" width="7.85546875" customWidth="1"/>
    <col min="1420" max="1421" width="10.85546875" style="4"/>
    <col min="1422" max="1422" width="3.28515625" customWidth="1"/>
    <col min="1423" max="1423" width="7" customWidth="1"/>
    <col min="1424" max="1424" width="9.5703125" customWidth="1"/>
    <col min="1425" max="1425" width="5.5703125" customWidth="1"/>
    <col min="1426" max="1426" width="9.28515625" customWidth="1"/>
    <col min="1427" max="1427" width="4.7109375" customWidth="1"/>
    <col min="1428" max="1428" width="10.5703125" customWidth="1"/>
    <col min="1429" max="1429" width="7" customWidth="1"/>
    <col min="1430" max="1430" width="8.140625" customWidth="1"/>
    <col min="1431" max="1431" width="7.85546875" customWidth="1"/>
    <col min="1432" max="1433" width="10.85546875" style="4"/>
    <col min="1434" max="1434" width="3.28515625" customWidth="1"/>
    <col min="1435" max="1435" width="7" customWidth="1"/>
    <col min="1436" max="1436" width="9.5703125" customWidth="1"/>
    <col min="1437" max="1437" width="5.5703125" customWidth="1"/>
    <col min="1438" max="1438" width="9.28515625" customWidth="1"/>
    <col min="1439" max="1439" width="4.7109375" customWidth="1"/>
    <col min="1440" max="1440" width="10.5703125" customWidth="1"/>
    <col min="1441" max="1441" width="7" customWidth="1"/>
    <col min="1442" max="1442" width="8.140625" customWidth="1"/>
    <col min="1443" max="1443" width="7.85546875" customWidth="1"/>
    <col min="1444" max="1445" width="10.85546875" style="4"/>
    <col min="1446" max="1446" width="3.28515625" customWidth="1"/>
    <col min="1447" max="1447" width="7" customWidth="1"/>
    <col min="1448" max="1448" width="9.5703125" customWidth="1"/>
    <col min="1449" max="1449" width="5.5703125" customWidth="1"/>
    <col min="1450" max="1450" width="9.28515625" customWidth="1"/>
    <col min="1451" max="1451" width="4.7109375" customWidth="1"/>
    <col min="1452" max="1452" width="10.5703125" customWidth="1"/>
    <col min="1453" max="1453" width="7" customWidth="1"/>
    <col min="1454" max="1454" width="8.140625" customWidth="1"/>
    <col min="1455" max="1455" width="7.85546875" customWidth="1"/>
    <col min="1456" max="1457" width="10.85546875" style="4"/>
    <col min="1458" max="1458" width="3.28515625" customWidth="1"/>
    <col min="1459" max="1459" width="7" customWidth="1"/>
    <col min="1460" max="1460" width="9.5703125" customWidth="1"/>
    <col min="1461" max="1461" width="5.5703125" customWidth="1"/>
    <col min="1462" max="1462" width="9.28515625" customWidth="1"/>
    <col min="1463" max="1463" width="4.7109375" customWidth="1"/>
    <col min="1464" max="1464" width="10.5703125" customWidth="1"/>
    <col min="1465" max="1465" width="7" customWidth="1"/>
    <col min="1466" max="1466" width="8.140625" customWidth="1"/>
    <col min="1467" max="1467" width="7.85546875" customWidth="1"/>
    <col min="1468" max="1469" width="10.85546875" style="4"/>
    <col min="1470" max="1470" width="3.28515625" customWidth="1"/>
    <col min="1471" max="1471" width="7" customWidth="1"/>
    <col min="1472" max="1472" width="9.5703125" customWidth="1"/>
    <col min="1473" max="1473" width="5.5703125" customWidth="1"/>
    <col min="1474" max="1474" width="9.28515625" customWidth="1"/>
    <col min="1475" max="1475" width="4.7109375" customWidth="1"/>
    <col min="1476" max="1476" width="10.5703125" customWidth="1"/>
    <col min="1477" max="1477" width="7" customWidth="1"/>
    <col min="1478" max="1478" width="8.140625" customWidth="1"/>
    <col min="1479" max="1479" width="7.85546875" customWidth="1"/>
    <col min="1480" max="1481" width="10.85546875" style="4"/>
    <col min="1482" max="1482" width="3.28515625" customWidth="1"/>
    <col min="1483" max="1483" width="7" customWidth="1"/>
    <col min="1484" max="1484" width="9.5703125" customWidth="1"/>
    <col min="1485" max="1485" width="5.5703125" customWidth="1"/>
    <col min="1486" max="1486" width="9.28515625" customWidth="1"/>
    <col min="1487" max="1487" width="4.7109375" customWidth="1"/>
    <col min="1488" max="1488" width="10.5703125" customWidth="1"/>
    <col min="1489" max="1489" width="7" customWidth="1"/>
    <col min="1490" max="1490" width="8.140625" customWidth="1"/>
    <col min="1491" max="1491" width="7.85546875" customWidth="1"/>
    <col min="1492" max="1493" width="10.85546875" style="4"/>
    <col min="1494" max="1494" width="3.28515625" customWidth="1"/>
    <col min="1495" max="1495" width="7" customWidth="1"/>
    <col min="1496" max="1496" width="9.5703125" customWidth="1"/>
    <col min="1497" max="1497" width="5.5703125" customWidth="1"/>
    <col min="1498" max="1498" width="9.28515625" customWidth="1"/>
    <col min="1499" max="1499" width="4.7109375" customWidth="1"/>
    <col min="1500" max="1500" width="10.5703125" customWidth="1"/>
    <col min="1501" max="1501" width="7" customWidth="1"/>
    <col min="1502" max="1502" width="8.140625" customWidth="1"/>
    <col min="1503" max="1503" width="7.85546875" customWidth="1"/>
    <col min="1504" max="1505" width="10.85546875" style="4"/>
    <col min="1506" max="1506" width="3.28515625" customWidth="1"/>
    <col min="1507" max="1507" width="7" customWidth="1"/>
    <col min="1508" max="1508" width="9.5703125" customWidth="1"/>
    <col min="1509" max="1509" width="5.5703125" customWidth="1"/>
    <col min="1510" max="1510" width="9.28515625" customWidth="1"/>
    <col min="1511" max="1511" width="4.7109375" customWidth="1"/>
    <col min="1512" max="1512" width="10.5703125" customWidth="1"/>
    <col min="1513" max="1513" width="7" customWidth="1"/>
    <col min="1514" max="1514" width="8.140625" customWidth="1"/>
    <col min="1515" max="1515" width="7.85546875" customWidth="1"/>
    <col min="1516" max="1517" width="10.85546875" style="4"/>
    <col min="1518" max="1518" width="3.28515625" customWidth="1"/>
    <col min="1519" max="1519" width="7" customWidth="1"/>
    <col min="1520" max="1520" width="9.5703125" customWidth="1"/>
    <col min="1521" max="1521" width="5.5703125" customWidth="1"/>
    <col min="1522" max="1522" width="9.28515625" customWidth="1"/>
    <col min="1523" max="1523" width="4.7109375" customWidth="1"/>
    <col min="1524" max="1524" width="10.5703125" customWidth="1"/>
    <col min="1525" max="1525" width="7" customWidth="1"/>
    <col min="1526" max="1526" width="8.140625" customWidth="1"/>
    <col min="1527" max="1527" width="7.85546875" customWidth="1"/>
    <col min="1528" max="1529" width="10.85546875" style="4"/>
    <col min="1530" max="1530" width="3.28515625" customWidth="1"/>
    <col min="1531" max="1531" width="7" customWidth="1"/>
    <col min="1532" max="1532" width="9.5703125" customWidth="1"/>
    <col min="1533" max="1533" width="5.5703125" customWidth="1"/>
    <col min="1534" max="1534" width="9.28515625" customWidth="1"/>
    <col min="1535" max="1535" width="4.7109375" customWidth="1"/>
    <col min="1536" max="1536" width="10.5703125" customWidth="1"/>
    <col min="1537" max="1537" width="7" customWidth="1"/>
    <col min="1538" max="1538" width="8.140625" customWidth="1"/>
    <col min="1539" max="1539" width="7.85546875" customWidth="1"/>
    <col min="1540" max="1541" width="10.85546875" style="4"/>
    <col min="1542" max="1542" width="3.28515625" customWidth="1"/>
    <col min="1543" max="1543" width="7" customWidth="1"/>
    <col min="1544" max="1544" width="9.5703125" customWidth="1"/>
    <col min="1545" max="1545" width="5.5703125" customWidth="1"/>
    <col min="1546" max="1546" width="9.28515625" customWidth="1"/>
    <col min="1547" max="1547" width="4.7109375" customWidth="1"/>
    <col min="1548" max="1548" width="10.5703125" customWidth="1"/>
    <col min="1549" max="1549" width="7" customWidth="1"/>
    <col min="1550" max="1550" width="8.140625" customWidth="1"/>
    <col min="1551" max="1551" width="7.85546875" customWidth="1"/>
    <col min="1552" max="1553" width="10.85546875" style="4"/>
    <col min="1554" max="1554" width="3.28515625" customWidth="1"/>
    <col min="1555" max="1555" width="7" customWidth="1"/>
    <col min="1556" max="1556" width="9.5703125" customWidth="1"/>
    <col min="1557" max="1557" width="5.5703125" customWidth="1"/>
    <col min="1558" max="1558" width="9.28515625" customWidth="1"/>
    <col min="1559" max="1559" width="4.7109375" customWidth="1"/>
    <col min="1560" max="1560" width="10.5703125" customWidth="1"/>
    <col min="1561" max="1561" width="7" customWidth="1"/>
    <col min="1562" max="1562" width="8.140625" customWidth="1"/>
    <col min="1563" max="1563" width="7.85546875" customWidth="1"/>
    <col min="1564" max="1565" width="10.85546875" style="4"/>
    <col min="1566" max="1566" width="3.28515625" customWidth="1"/>
    <col min="1567" max="1567" width="7" customWidth="1"/>
    <col min="1568" max="1568" width="9.5703125" customWidth="1"/>
    <col min="1569" max="1569" width="5.5703125" customWidth="1"/>
    <col min="1570" max="1570" width="9.28515625" customWidth="1"/>
    <col min="1571" max="1571" width="4.7109375" customWidth="1"/>
    <col min="1572" max="1572" width="10.5703125" customWidth="1"/>
    <col min="1573" max="1573" width="7" customWidth="1"/>
    <col min="1574" max="1574" width="8.140625" customWidth="1"/>
    <col min="1575" max="1575" width="7.85546875" customWidth="1"/>
    <col min="1576" max="1577" width="10.85546875" style="4"/>
    <col min="1578" max="1578" width="3.28515625" customWidth="1"/>
    <col min="1579" max="1579" width="7" customWidth="1"/>
    <col min="1580" max="1580" width="9.5703125" customWidth="1"/>
    <col min="1581" max="1581" width="5.5703125" customWidth="1"/>
    <col min="1582" max="1582" width="9.28515625" customWidth="1"/>
    <col min="1583" max="1583" width="4.7109375" customWidth="1"/>
    <col min="1584" max="1584" width="10.5703125" customWidth="1"/>
    <col min="1585" max="1585" width="7" customWidth="1"/>
    <col min="1586" max="1586" width="8.140625" customWidth="1"/>
    <col min="1587" max="1587" width="7.85546875" customWidth="1"/>
    <col min="1588" max="1589" width="10.85546875" style="4"/>
    <col min="1590" max="1590" width="3.28515625" customWidth="1"/>
    <col min="1591" max="1591" width="7" customWidth="1"/>
    <col min="1592" max="1592" width="9.5703125" customWidth="1"/>
    <col min="1593" max="1593" width="5.5703125" customWidth="1"/>
    <col min="1594" max="1594" width="9.28515625" customWidth="1"/>
    <col min="1595" max="1595" width="4.7109375" customWidth="1"/>
    <col min="1596" max="1596" width="10.5703125" customWidth="1"/>
    <col min="1597" max="1597" width="7" customWidth="1"/>
    <col min="1598" max="1598" width="8.140625" customWidth="1"/>
    <col min="1599" max="1599" width="7.85546875" customWidth="1"/>
    <col min="1600" max="1601" width="10.85546875" style="4"/>
    <col min="1602" max="1602" width="3.28515625" customWidth="1"/>
    <col min="1603" max="1603" width="7" customWidth="1"/>
    <col min="1604" max="1604" width="9.5703125" customWidth="1"/>
    <col min="1605" max="1605" width="5.5703125" customWidth="1"/>
    <col min="1606" max="1606" width="9.28515625" customWidth="1"/>
    <col min="1607" max="1607" width="4.7109375" customWidth="1"/>
    <col min="1608" max="1608" width="10.5703125" customWidth="1"/>
    <col min="1609" max="1609" width="7" customWidth="1"/>
    <col min="1610" max="1610" width="8.140625" customWidth="1"/>
    <col min="1611" max="1611" width="7.85546875" customWidth="1"/>
    <col min="1612" max="1613" width="10.85546875" style="4"/>
    <col min="1614" max="1614" width="3.28515625" customWidth="1"/>
    <col min="1615" max="1615" width="7" customWidth="1"/>
    <col min="1616" max="1616" width="9.5703125" customWidth="1"/>
    <col min="1617" max="1617" width="5.5703125" customWidth="1"/>
    <col min="1618" max="1618" width="9.28515625" customWidth="1"/>
    <col min="1619" max="1619" width="4.7109375" customWidth="1"/>
    <col min="1620" max="1620" width="10.5703125" customWidth="1"/>
    <col min="1621" max="1621" width="7" customWidth="1"/>
    <col min="1622" max="1622" width="8.140625" customWidth="1"/>
    <col min="1623" max="1623" width="7.85546875" customWidth="1"/>
    <col min="1624" max="1625" width="10.85546875" style="4"/>
    <col min="1626" max="1626" width="3.28515625" customWidth="1"/>
    <col min="1627" max="1627" width="7" customWidth="1"/>
    <col min="1628" max="1628" width="9.5703125" customWidth="1"/>
    <col min="1629" max="1629" width="5.5703125" customWidth="1"/>
    <col min="1630" max="1630" width="9.28515625" customWidth="1"/>
    <col min="1631" max="1631" width="4.7109375" customWidth="1"/>
    <col min="1632" max="1632" width="10.5703125" customWidth="1"/>
    <col min="1633" max="1633" width="7" customWidth="1"/>
    <col min="1634" max="1634" width="8.140625" customWidth="1"/>
    <col min="1635" max="1635" width="7.85546875" customWidth="1"/>
    <col min="1636" max="1637" width="10.85546875" style="4"/>
    <col min="1638" max="1638" width="3.28515625" customWidth="1"/>
    <col min="1639" max="1639" width="7" customWidth="1"/>
    <col min="1640" max="1640" width="9.5703125" customWidth="1"/>
    <col min="1641" max="1641" width="5.5703125" customWidth="1"/>
    <col min="1642" max="1642" width="9.28515625" customWidth="1"/>
    <col min="1643" max="1643" width="4.7109375" customWidth="1"/>
    <col min="1644" max="1644" width="10.5703125" customWidth="1"/>
    <col min="1645" max="1645" width="7" customWidth="1"/>
    <col min="1646" max="1646" width="8.140625" customWidth="1"/>
    <col min="1647" max="1647" width="7.85546875" customWidth="1"/>
    <col min="1648" max="1649" width="10.85546875" style="4"/>
    <col min="1650" max="1650" width="3.28515625" customWidth="1"/>
    <col min="1651" max="1651" width="7" customWidth="1"/>
    <col min="1652" max="1652" width="9.5703125" customWidth="1"/>
    <col min="1653" max="1653" width="5.5703125" customWidth="1"/>
    <col min="1654" max="1654" width="9.28515625" customWidth="1"/>
    <col min="1655" max="1655" width="4.7109375" customWidth="1"/>
    <col min="1656" max="1656" width="10.5703125" customWidth="1"/>
    <col min="1657" max="1657" width="7" customWidth="1"/>
    <col min="1658" max="1658" width="8.140625" customWidth="1"/>
    <col min="1659" max="1659" width="7.85546875" customWidth="1"/>
    <col min="1660" max="1661" width="10.85546875" style="4"/>
    <col min="1662" max="1662" width="3.28515625" customWidth="1"/>
    <col min="1663" max="1663" width="7" customWidth="1"/>
    <col min="1664" max="1664" width="9.5703125" customWidth="1"/>
    <col min="1665" max="1665" width="5.5703125" customWidth="1"/>
    <col min="1666" max="1666" width="9.28515625" customWidth="1"/>
    <col min="1667" max="1667" width="4.7109375" customWidth="1"/>
    <col min="1668" max="1668" width="10.5703125" customWidth="1"/>
    <col min="1669" max="1669" width="7" customWidth="1"/>
    <col min="1670" max="1670" width="8.140625" customWidth="1"/>
    <col min="1671" max="1671" width="7.85546875" customWidth="1"/>
    <col min="1672" max="1673" width="10.85546875" style="4"/>
    <col min="1674" max="1674" width="3.28515625" customWidth="1"/>
    <col min="1675" max="1675" width="7" customWidth="1"/>
    <col min="1676" max="1676" width="9.5703125" customWidth="1"/>
    <col min="1677" max="1677" width="5.5703125" customWidth="1"/>
    <col min="1678" max="1678" width="9.28515625" customWidth="1"/>
    <col min="1679" max="1679" width="4.7109375" customWidth="1"/>
    <col min="1680" max="1680" width="10.5703125" customWidth="1"/>
    <col min="1681" max="1681" width="7" customWidth="1"/>
    <col min="1682" max="1682" width="8.140625" customWidth="1"/>
    <col min="1683" max="1683" width="7.85546875" customWidth="1"/>
    <col min="1684" max="1685" width="10.85546875" style="4"/>
    <col min="1686" max="1686" width="3.28515625" customWidth="1"/>
    <col min="1687" max="1687" width="7" customWidth="1"/>
    <col min="1688" max="1688" width="9.5703125" customWidth="1"/>
    <col min="1689" max="1689" width="5.5703125" customWidth="1"/>
    <col min="1690" max="1690" width="9.28515625" customWidth="1"/>
    <col min="1691" max="1691" width="4.7109375" customWidth="1"/>
    <col min="1692" max="1692" width="10.5703125" customWidth="1"/>
    <col min="1693" max="1693" width="7" customWidth="1"/>
    <col min="1694" max="1694" width="8.140625" customWidth="1"/>
    <col min="1695" max="1695" width="7.85546875" customWidth="1"/>
    <col min="1696" max="1697" width="10.85546875" style="4"/>
    <col min="1698" max="1698" width="3.28515625" customWidth="1"/>
    <col min="1699" max="1699" width="7" customWidth="1"/>
    <col min="1700" max="1700" width="9.5703125" customWidth="1"/>
    <col min="1701" max="1701" width="5.5703125" customWidth="1"/>
    <col min="1702" max="1702" width="9.28515625" customWidth="1"/>
    <col min="1703" max="1703" width="4.7109375" customWidth="1"/>
    <col min="1704" max="1704" width="10.5703125" customWidth="1"/>
    <col min="1705" max="1705" width="7" customWidth="1"/>
    <col min="1706" max="1706" width="8.140625" customWidth="1"/>
    <col min="1707" max="1707" width="7.85546875" customWidth="1"/>
    <col min="1708" max="1709" width="10.85546875" style="4"/>
    <col min="1710" max="1710" width="3.28515625" customWidth="1"/>
    <col min="1711" max="1711" width="7" customWidth="1"/>
    <col min="1712" max="1712" width="9.5703125" customWidth="1"/>
    <col min="1713" max="1713" width="5.5703125" customWidth="1"/>
    <col min="1714" max="1714" width="9.28515625" customWidth="1"/>
    <col min="1715" max="1715" width="4.7109375" customWidth="1"/>
    <col min="1716" max="1716" width="10.5703125" customWidth="1"/>
    <col min="1717" max="1717" width="7" customWidth="1"/>
    <col min="1718" max="1718" width="8.140625" customWidth="1"/>
    <col min="1719" max="1719" width="7.85546875" customWidth="1"/>
    <col min="1720" max="1721" width="10.85546875" style="4"/>
    <col min="1722" max="1722" width="3.28515625" customWidth="1"/>
    <col min="1723" max="1723" width="7" customWidth="1"/>
    <col min="1724" max="1724" width="9.5703125" customWidth="1"/>
    <col min="1725" max="1725" width="5.5703125" customWidth="1"/>
    <col min="1726" max="1726" width="9.28515625" customWidth="1"/>
    <col min="1727" max="1727" width="4.7109375" customWidth="1"/>
    <col min="1728" max="1728" width="10.5703125" customWidth="1"/>
    <col min="1729" max="1729" width="7" customWidth="1"/>
    <col min="1730" max="1730" width="8.140625" customWidth="1"/>
    <col min="1731" max="1731" width="7.85546875" customWidth="1"/>
    <col min="1732" max="1733" width="10.85546875" style="4"/>
    <col min="1734" max="1734" width="3.28515625" customWidth="1"/>
    <col min="1735" max="1735" width="7" customWidth="1"/>
    <col min="1736" max="1736" width="9.5703125" customWidth="1"/>
    <col min="1737" max="1737" width="5.5703125" customWidth="1"/>
    <col min="1738" max="1738" width="9.28515625" customWidth="1"/>
    <col min="1739" max="1739" width="4.7109375" customWidth="1"/>
    <col min="1740" max="1740" width="10.5703125" customWidth="1"/>
    <col min="1741" max="1741" width="7" customWidth="1"/>
    <col min="1742" max="1742" width="8.140625" customWidth="1"/>
    <col min="1743" max="1743" width="7.85546875" customWidth="1"/>
    <col min="1744" max="1745" width="10.85546875" style="4"/>
    <col min="1746" max="1746" width="3.28515625" customWidth="1"/>
    <col min="1747" max="1747" width="7" customWidth="1"/>
    <col min="1748" max="1748" width="9.5703125" customWidth="1"/>
    <col min="1749" max="1749" width="5.5703125" customWidth="1"/>
    <col min="1750" max="1750" width="9.28515625" customWidth="1"/>
    <col min="1751" max="1751" width="4.7109375" customWidth="1"/>
    <col min="1752" max="1752" width="10.5703125" customWidth="1"/>
    <col min="1753" max="1753" width="7" customWidth="1"/>
    <col min="1754" max="1754" width="8.140625" customWidth="1"/>
    <col min="1755" max="1755" width="7.85546875" customWidth="1"/>
    <col min="1756" max="1757" width="10.85546875" style="4"/>
    <col min="1758" max="1758" width="3.28515625" customWidth="1"/>
    <col min="1759" max="1759" width="7" customWidth="1"/>
    <col min="1760" max="1760" width="9.5703125" customWidth="1"/>
    <col min="1761" max="1761" width="5.5703125" customWidth="1"/>
    <col min="1762" max="1762" width="9.28515625" customWidth="1"/>
    <col min="1763" max="1763" width="4.7109375" customWidth="1"/>
    <col min="1764" max="1764" width="10.5703125" customWidth="1"/>
    <col min="1765" max="1765" width="7" customWidth="1"/>
    <col min="1766" max="1766" width="8.140625" customWidth="1"/>
    <col min="1767" max="1767" width="7.85546875" customWidth="1"/>
    <col min="1768" max="1769" width="10.85546875" style="4"/>
    <col min="1770" max="1770" width="3.28515625" customWidth="1"/>
    <col min="1771" max="1771" width="7" customWidth="1"/>
    <col min="1772" max="1772" width="9.5703125" customWidth="1"/>
    <col min="1773" max="1773" width="5.5703125" customWidth="1"/>
    <col min="1774" max="1774" width="9.28515625" customWidth="1"/>
    <col min="1775" max="1775" width="4.7109375" customWidth="1"/>
    <col min="1776" max="1776" width="10.5703125" customWidth="1"/>
    <col min="1777" max="1777" width="7" customWidth="1"/>
    <col min="1778" max="1778" width="8.140625" customWidth="1"/>
    <col min="1779" max="1779" width="7.85546875" customWidth="1"/>
    <col min="1780" max="1781" width="10.85546875" style="4"/>
    <col min="1782" max="1782" width="3.28515625" customWidth="1"/>
    <col min="1783" max="1783" width="7" customWidth="1"/>
    <col min="1784" max="1784" width="9.5703125" customWidth="1"/>
    <col min="1785" max="1785" width="5.5703125" customWidth="1"/>
    <col min="1786" max="1786" width="9.28515625" customWidth="1"/>
    <col min="1787" max="1787" width="4.7109375" customWidth="1"/>
    <col min="1788" max="1788" width="10.5703125" customWidth="1"/>
    <col min="1789" max="1789" width="7" customWidth="1"/>
    <col min="1790" max="1790" width="8.140625" customWidth="1"/>
    <col min="1791" max="1791" width="7.85546875" customWidth="1"/>
    <col min="1792" max="1793" width="10.85546875" style="4"/>
    <col min="1794" max="1794" width="3.28515625" customWidth="1"/>
    <col min="1795" max="1795" width="7" customWidth="1"/>
    <col min="1796" max="1796" width="9.5703125" customWidth="1"/>
    <col min="1797" max="1797" width="5.5703125" customWidth="1"/>
    <col min="1798" max="1798" width="9.28515625" customWidth="1"/>
    <col min="1799" max="1799" width="4.7109375" customWidth="1"/>
    <col min="1800" max="1800" width="10.5703125" customWidth="1"/>
    <col min="1801" max="1801" width="7" customWidth="1"/>
    <col min="1802" max="1802" width="8.140625" customWidth="1"/>
    <col min="1803" max="1803" width="7.85546875" customWidth="1"/>
    <col min="1804" max="1805" width="10.85546875" style="4"/>
    <col min="1806" max="1806" width="3.28515625" customWidth="1"/>
    <col min="1807" max="1807" width="7" customWidth="1"/>
    <col min="1808" max="1808" width="9.5703125" customWidth="1"/>
    <col min="1809" max="1809" width="5.5703125" customWidth="1"/>
    <col min="1810" max="1810" width="9.28515625" customWidth="1"/>
    <col min="1811" max="1811" width="4.7109375" customWidth="1"/>
    <col min="1812" max="1812" width="10.5703125" customWidth="1"/>
    <col min="1813" max="1813" width="7" customWidth="1"/>
    <col min="1814" max="1814" width="8.140625" customWidth="1"/>
    <col min="1815" max="1815" width="7.85546875" customWidth="1"/>
    <col min="1816" max="1817" width="10.85546875" style="4"/>
    <col min="1818" max="1818" width="3.28515625" customWidth="1"/>
    <col min="1819" max="1819" width="7" customWidth="1"/>
    <col min="1820" max="1820" width="9.5703125" customWidth="1"/>
    <col min="1821" max="1821" width="5.5703125" customWidth="1"/>
    <col min="1822" max="1822" width="9.28515625" customWidth="1"/>
    <col min="1823" max="1823" width="4.7109375" customWidth="1"/>
    <col min="1824" max="1824" width="10.5703125" customWidth="1"/>
    <col min="1825" max="1825" width="7" customWidth="1"/>
    <col min="1826" max="1826" width="8.140625" customWidth="1"/>
    <col min="1827" max="1827" width="7.85546875" customWidth="1"/>
    <col min="1828" max="1829" width="10.85546875" style="4"/>
    <col min="1830" max="1830" width="3.28515625" customWidth="1"/>
    <col min="1831" max="1831" width="7" customWidth="1"/>
    <col min="1832" max="1832" width="9.5703125" customWidth="1"/>
    <col min="1833" max="1833" width="5.5703125" customWidth="1"/>
    <col min="1834" max="1834" width="9.28515625" customWidth="1"/>
    <col min="1835" max="1835" width="4.7109375" customWidth="1"/>
    <col min="1836" max="1836" width="10.5703125" customWidth="1"/>
    <col min="1837" max="1837" width="7" customWidth="1"/>
    <col min="1838" max="1838" width="8.140625" customWidth="1"/>
    <col min="1839" max="1839" width="7.85546875" customWidth="1"/>
    <col min="1840" max="1841" width="10.85546875" style="4"/>
    <col min="1842" max="1842" width="3.28515625" customWidth="1"/>
    <col min="1843" max="1843" width="7" customWidth="1"/>
    <col min="1844" max="1844" width="9.5703125" customWidth="1"/>
    <col min="1845" max="1845" width="5.5703125" customWidth="1"/>
    <col min="1846" max="1846" width="9.28515625" customWidth="1"/>
    <col min="1847" max="1847" width="4.7109375" customWidth="1"/>
    <col min="1848" max="1848" width="10.5703125" customWidth="1"/>
    <col min="1849" max="1849" width="7" customWidth="1"/>
    <col min="1850" max="1850" width="8.140625" customWidth="1"/>
    <col min="1851" max="1851" width="7.85546875" customWidth="1"/>
    <col min="1852" max="1853" width="10.85546875" style="4"/>
    <col min="1854" max="1854" width="3.28515625" customWidth="1"/>
    <col min="1855" max="1855" width="7" customWidth="1"/>
    <col min="1856" max="1856" width="9.5703125" customWidth="1"/>
    <col min="1857" max="1857" width="5.5703125" customWidth="1"/>
    <col min="1858" max="1858" width="9.28515625" customWidth="1"/>
    <col min="1859" max="1859" width="4.7109375" customWidth="1"/>
    <col min="1860" max="1860" width="10.5703125" customWidth="1"/>
    <col min="1861" max="1861" width="7" customWidth="1"/>
    <col min="1862" max="1862" width="8.140625" customWidth="1"/>
    <col min="1863" max="1863" width="7.85546875" customWidth="1"/>
    <col min="1864" max="1865" width="10.85546875" style="4"/>
    <col min="1866" max="1866" width="3.28515625" customWidth="1"/>
    <col min="1867" max="1867" width="7" customWidth="1"/>
    <col min="1868" max="1868" width="9.5703125" customWidth="1"/>
    <col min="1869" max="1869" width="5.5703125" customWidth="1"/>
    <col min="1870" max="1870" width="9.28515625" customWidth="1"/>
    <col min="1871" max="1871" width="4.7109375" customWidth="1"/>
    <col min="1872" max="1872" width="10.5703125" customWidth="1"/>
    <col min="1873" max="1873" width="7" customWidth="1"/>
    <col min="1874" max="1874" width="8.140625" customWidth="1"/>
    <col min="1875" max="1875" width="7.85546875" customWidth="1"/>
    <col min="1876" max="1877" width="10.85546875" style="4"/>
    <col min="1878" max="1878" width="3.28515625" customWidth="1"/>
    <col min="1879" max="1879" width="7" customWidth="1"/>
    <col min="1880" max="1880" width="9.5703125" customWidth="1"/>
    <col min="1881" max="1881" width="5.5703125" customWidth="1"/>
    <col min="1882" max="1882" width="9.28515625" customWidth="1"/>
    <col min="1883" max="1883" width="4.7109375" customWidth="1"/>
    <col min="1884" max="1884" width="10.5703125" customWidth="1"/>
    <col min="1885" max="1885" width="7" customWidth="1"/>
    <col min="1886" max="1886" width="8.140625" customWidth="1"/>
    <col min="1887" max="1887" width="7.85546875" customWidth="1"/>
    <col min="1888" max="1889" width="10.85546875" style="4"/>
    <col min="1890" max="1890" width="3.28515625" customWidth="1"/>
    <col min="1891" max="1891" width="7" customWidth="1"/>
    <col min="1892" max="1892" width="9.5703125" customWidth="1"/>
    <col min="1893" max="1893" width="5.5703125" customWidth="1"/>
    <col min="1894" max="1894" width="9.28515625" customWidth="1"/>
    <col min="1895" max="1895" width="4.7109375" customWidth="1"/>
    <col min="1896" max="1896" width="10.5703125" customWidth="1"/>
    <col min="1897" max="1897" width="7" customWidth="1"/>
    <col min="1898" max="1898" width="8.140625" customWidth="1"/>
    <col min="1899" max="1899" width="7.85546875" customWidth="1"/>
    <col min="1900" max="1901" width="10.85546875" style="4"/>
    <col min="1902" max="1902" width="3.28515625" customWidth="1"/>
    <col min="1903" max="1903" width="7" customWidth="1"/>
    <col min="1904" max="1904" width="9.5703125" customWidth="1"/>
    <col min="1905" max="1905" width="5.5703125" customWidth="1"/>
    <col min="1906" max="1906" width="9.28515625" customWidth="1"/>
    <col min="1907" max="1907" width="4.7109375" customWidth="1"/>
    <col min="1908" max="1908" width="10.5703125" customWidth="1"/>
    <col min="1909" max="1909" width="7" customWidth="1"/>
    <col min="1910" max="1910" width="8.140625" customWidth="1"/>
    <col min="1911" max="1911" width="7.85546875" customWidth="1"/>
    <col min="1912" max="1913" width="10.85546875" style="4"/>
    <col min="1914" max="1914" width="3.28515625" customWidth="1"/>
    <col min="1915" max="1915" width="7" customWidth="1"/>
    <col min="1916" max="1916" width="9.5703125" customWidth="1"/>
    <col min="1917" max="1917" width="5.5703125" customWidth="1"/>
    <col min="1918" max="1918" width="9.28515625" customWidth="1"/>
    <col min="1919" max="1919" width="4.7109375" customWidth="1"/>
    <col min="1920" max="1920" width="10.5703125" customWidth="1"/>
    <col min="1921" max="1921" width="7" customWidth="1"/>
    <col min="1922" max="1922" width="8.140625" customWidth="1"/>
    <col min="1923" max="1923" width="7.85546875" customWidth="1"/>
    <col min="1924" max="1925" width="10.85546875" style="4"/>
    <col min="1926" max="1926" width="3.28515625" customWidth="1"/>
    <col min="1927" max="1927" width="7" customWidth="1"/>
    <col min="1928" max="1928" width="9.5703125" customWidth="1"/>
    <col min="1929" max="1929" width="5.5703125" customWidth="1"/>
    <col min="1930" max="1930" width="9.28515625" customWidth="1"/>
    <col min="1931" max="1931" width="4.7109375" customWidth="1"/>
    <col min="1932" max="1932" width="10.5703125" customWidth="1"/>
    <col min="1933" max="1933" width="7" customWidth="1"/>
    <col min="1934" max="1934" width="8.140625" customWidth="1"/>
    <col min="1935" max="1935" width="7.85546875" customWidth="1"/>
    <col min="1936" max="1937" width="10.85546875" style="4"/>
    <col min="1938" max="1938" width="3.28515625" customWidth="1"/>
    <col min="1939" max="1939" width="7" customWidth="1"/>
    <col min="1940" max="1940" width="9.5703125" customWidth="1"/>
    <col min="1941" max="1941" width="5.5703125" customWidth="1"/>
    <col min="1942" max="1942" width="9.28515625" customWidth="1"/>
    <col min="1943" max="1943" width="4.7109375" customWidth="1"/>
    <col min="1944" max="1944" width="10.5703125" customWidth="1"/>
    <col min="1945" max="1945" width="7" customWidth="1"/>
    <col min="1946" max="1946" width="8.140625" customWidth="1"/>
    <col min="1947" max="1947" width="7.85546875" customWidth="1"/>
    <col min="1948" max="1949" width="10.85546875" style="4"/>
    <col min="1950" max="1950" width="3.28515625" customWidth="1"/>
    <col min="1951" max="1951" width="7" customWidth="1"/>
    <col min="1952" max="1952" width="9.5703125" customWidth="1"/>
    <col min="1953" max="1953" width="5.5703125" customWidth="1"/>
    <col min="1954" max="1954" width="9.28515625" customWidth="1"/>
    <col min="1955" max="1955" width="4.7109375" customWidth="1"/>
    <col min="1956" max="1956" width="10.5703125" customWidth="1"/>
    <col min="1957" max="1957" width="7" customWidth="1"/>
    <col min="1958" max="1958" width="8.140625" customWidth="1"/>
    <col min="1959" max="1959" width="7.85546875" customWidth="1"/>
    <col min="1960" max="1961" width="10.85546875" style="4"/>
    <col min="1962" max="1962" width="3.28515625" customWidth="1"/>
    <col min="1963" max="1963" width="7" customWidth="1"/>
    <col min="1964" max="1964" width="9.5703125" customWidth="1"/>
    <col min="1965" max="1965" width="5.5703125" customWidth="1"/>
    <col min="1966" max="1966" width="9.28515625" customWidth="1"/>
    <col min="1967" max="1967" width="4.7109375" customWidth="1"/>
    <col min="1968" max="1968" width="10.5703125" customWidth="1"/>
    <col min="1969" max="1969" width="7" customWidth="1"/>
    <col min="1970" max="1970" width="8.140625" customWidth="1"/>
    <col min="1971" max="1971" width="7.85546875" customWidth="1"/>
    <col min="1972" max="1973" width="10.85546875" style="4"/>
    <col min="1974" max="1974" width="3.28515625" customWidth="1"/>
    <col min="1975" max="1975" width="7" customWidth="1"/>
    <col min="1976" max="1976" width="9.5703125" customWidth="1"/>
    <col min="1977" max="1977" width="5.5703125" customWidth="1"/>
    <col min="1978" max="1978" width="9.28515625" customWidth="1"/>
    <col min="1979" max="1979" width="4.7109375" customWidth="1"/>
    <col min="1980" max="1980" width="10.5703125" customWidth="1"/>
    <col min="1981" max="1981" width="7" customWidth="1"/>
    <col min="1982" max="1982" width="8.140625" customWidth="1"/>
    <col min="1983" max="1983" width="7.85546875" customWidth="1"/>
    <col min="1984" max="1985" width="10.85546875" style="4"/>
    <col min="1986" max="1986" width="3.28515625" customWidth="1"/>
    <col min="1987" max="1987" width="7" customWidth="1"/>
    <col min="1988" max="1988" width="9.5703125" customWidth="1"/>
    <col min="1989" max="1989" width="5.5703125" customWidth="1"/>
    <col min="1990" max="1990" width="9.28515625" customWidth="1"/>
    <col min="1991" max="1991" width="4.7109375" customWidth="1"/>
    <col min="1992" max="1992" width="10.5703125" customWidth="1"/>
    <col min="1993" max="1993" width="7" customWidth="1"/>
    <col min="1994" max="1994" width="8.140625" customWidth="1"/>
    <col min="1995" max="1995" width="7.85546875" customWidth="1"/>
    <col min="1996" max="1997" width="10.85546875" style="4"/>
    <col min="1998" max="1998" width="3.28515625" customWidth="1"/>
    <col min="1999" max="1999" width="7" customWidth="1"/>
    <col min="2000" max="2000" width="9.5703125" customWidth="1"/>
    <col min="2001" max="2001" width="5.5703125" customWidth="1"/>
    <col min="2002" max="2002" width="9.28515625" customWidth="1"/>
    <col min="2003" max="2003" width="4.7109375" customWidth="1"/>
    <col min="2004" max="2004" width="10.5703125" customWidth="1"/>
    <col min="2005" max="2005" width="7" customWidth="1"/>
    <col min="2006" max="2006" width="8.140625" customWidth="1"/>
    <col min="2007" max="2007" width="7.85546875" customWidth="1"/>
    <col min="2008" max="2009" width="10.85546875" style="4"/>
    <col min="2010" max="2010" width="3.28515625" customWidth="1"/>
    <col min="2011" max="2011" width="7" customWidth="1"/>
    <col min="2012" max="2012" width="9.5703125" customWidth="1"/>
    <col min="2013" max="2013" width="5.5703125" customWidth="1"/>
    <col min="2014" max="2014" width="9.28515625" customWidth="1"/>
    <col min="2015" max="2015" width="4.7109375" customWidth="1"/>
    <col min="2016" max="2016" width="10.5703125" customWidth="1"/>
    <col min="2017" max="2017" width="7" customWidth="1"/>
    <col min="2018" max="2018" width="8.140625" customWidth="1"/>
    <col min="2019" max="2019" width="7.85546875" customWidth="1"/>
    <col min="2020" max="2021" width="10.85546875" style="4"/>
    <col min="2022" max="2022" width="3.28515625" customWidth="1"/>
    <col min="2023" max="2023" width="7" customWidth="1"/>
    <col min="2024" max="2024" width="9.5703125" customWidth="1"/>
    <col min="2025" max="2025" width="5.5703125" customWidth="1"/>
    <col min="2026" max="2026" width="9.28515625" customWidth="1"/>
    <col min="2027" max="2027" width="4.7109375" customWidth="1"/>
    <col min="2028" max="2028" width="10.5703125" customWidth="1"/>
    <col min="2029" max="2029" width="7" customWidth="1"/>
    <col min="2030" max="2030" width="8.140625" customWidth="1"/>
    <col min="2031" max="2031" width="7.85546875" customWidth="1"/>
    <col min="2032" max="2033" width="10.85546875" style="4"/>
    <col min="2034" max="2034" width="3.28515625" customWidth="1"/>
    <col min="2035" max="2035" width="7" customWidth="1"/>
    <col min="2036" max="2036" width="9.5703125" customWidth="1"/>
    <col min="2037" max="2037" width="5.5703125" customWidth="1"/>
    <col min="2038" max="2038" width="9.28515625" customWidth="1"/>
    <col min="2039" max="2039" width="4.7109375" customWidth="1"/>
    <col min="2040" max="2040" width="10.5703125" customWidth="1"/>
    <col min="2041" max="2041" width="7" customWidth="1"/>
    <col min="2042" max="2042" width="8.140625" customWidth="1"/>
    <col min="2043" max="2043" width="7.85546875" customWidth="1"/>
    <col min="2044" max="2045" width="10.85546875" style="4"/>
    <col min="2046" max="2046" width="3.28515625" customWidth="1"/>
    <col min="2047" max="2047" width="7" customWidth="1"/>
    <col min="2048" max="2048" width="9.5703125" customWidth="1"/>
    <col min="2049" max="2049" width="5.5703125" customWidth="1"/>
    <col min="2050" max="2050" width="9.28515625" customWidth="1"/>
    <col min="2051" max="2051" width="4.7109375" customWidth="1"/>
    <col min="2052" max="2052" width="10.5703125" customWidth="1"/>
    <col min="2053" max="2053" width="7" customWidth="1"/>
    <col min="2054" max="2054" width="8.140625" customWidth="1"/>
    <col min="2055" max="2055" width="7.85546875" customWidth="1"/>
    <col min="2056" max="2057" width="10.85546875" style="4"/>
    <col min="2058" max="2058" width="3.28515625" customWidth="1"/>
    <col min="2059" max="2059" width="7" customWidth="1"/>
    <col min="2060" max="2060" width="9.5703125" customWidth="1"/>
    <col min="2061" max="2061" width="5.5703125" customWidth="1"/>
    <col min="2062" max="2062" width="9.28515625" customWidth="1"/>
    <col min="2063" max="2063" width="4.7109375" customWidth="1"/>
    <col min="2064" max="2064" width="10.5703125" customWidth="1"/>
    <col min="2065" max="2065" width="7" customWidth="1"/>
    <col min="2066" max="2066" width="8.140625" customWidth="1"/>
    <col min="2067" max="2067" width="7.85546875" customWidth="1"/>
    <col min="2068" max="2069" width="10.85546875" style="4"/>
    <col min="2070" max="2070" width="3.28515625" customWidth="1"/>
    <col min="2071" max="2071" width="7" customWidth="1"/>
    <col min="2072" max="2072" width="9.5703125" customWidth="1"/>
    <col min="2073" max="2073" width="5.5703125" customWidth="1"/>
    <col min="2074" max="2074" width="9.28515625" customWidth="1"/>
    <col min="2075" max="2075" width="4.7109375" customWidth="1"/>
    <col min="2076" max="2076" width="10.5703125" customWidth="1"/>
    <col min="2077" max="2077" width="7" customWidth="1"/>
    <col min="2078" max="2078" width="8.140625" customWidth="1"/>
    <col min="2079" max="2079" width="7.85546875" customWidth="1"/>
    <col min="2080" max="2081" width="10.85546875" style="4"/>
    <col min="2082" max="2082" width="3.28515625" customWidth="1"/>
    <col min="2083" max="2083" width="7" customWidth="1"/>
    <col min="2084" max="2084" width="9.5703125" customWidth="1"/>
    <col min="2085" max="2085" width="5.5703125" customWidth="1"/>
    <col min="2086" max="2086" width="9.28515625" customWidth="1"/>
    <col min="2087" max="2087" width="4.7109375" customWidth="1"/>
    <col min="2088" max="2088" width="10.5703125" customWidth="1"/>
    <col min="2089" max="2089" width="7" customWidth="1"/>
    <col min="2090" max="2090" width="8.140625" customWidth="1"/>
    <col min="2091" max="2091" width="7.85546875" customWidth="1"/>
    <col min="2092" max="2093" width="10.85546875" style="4"/>
    <col min="2094" max="2094" width="3.28515625" customWidth="1"/>
    <col min="2095" max="2095" width="7" customWidth="1"/>
    <col min="2096" max="2096" width="9.5703125" customWidth="1"/>
    <col min="2097" max="2097" width="5.5703125" customWidth="1"/>
    <col min="2098" max="2098" width="9.28515625" customWidth="1"/>
    <col min="2099" max="2099" width="4.7109375" customWidth="1"/>
    <col min="2100" max="2100" width="10.5703125" customWidth="1"/>
    <col min="2101" max="2101" width="7" customWidth="1"/>
    <col min="2102" max="2102" width="8.140625" customWidth="1"/>
    <col min="2103" max="2103" width="7.85546875" customWidth="1"/>
    <col min="2104" max="2105" width="10.85546875" style="4"/>
    <col min="2106" max="2106" width="3.28515625" customWidth="1"/>
    <col min="2107" max="2107" width="7" customWidth="1"/>
    <col min="2108" max="2108" width="9.5703125" customWidth="1"/>
    <col min="2109" max="2109" width="5.5703125" customWidth="1"/>
    <col min="2110" max="2110" width="9.28515625" customWidth="1"/>
    <col min="2111" max="2111" width="4.7109375" customWidth="1"/>
    <col min="2112" max="2112" width="10.5703125" customWidth="1"/>
    <col min="2113" max="2113" width="7" customWidth="1"/>
    <col min="2114" max="2114" width="8.140625" customWidth="1"/>
    <col min="2115" max="2115" width="7.85546875" customWidth="1"/>
    <col min="2116" max="2117" width="10.85546875" style="4"/>
    <col min="2118" max="2118" width="3.28515625" customWidth="1"/>
    <col min="2119" max="2119" width="7" customWidth="1"/>
    <col min="2120" max="2120" width="9.5703125" customWidth="1"/>
    <col min="2121" max="2121" width="5.5703125" customWidth="1"/>
    <col min="2122" max="2122" width="9.28515625" customWidth="1"/>
    <col min="2123" max="2123" width="4.7109375" customWidth="1"/>
    <col min="2124" max="2124" width="10.5703125" customWidth="1"/>
    <col min="2125" max="2125" width="7" customWidth="1"/>
    <col min="2126" max="2126" width="8.140625" customWidth="1"/>
    <col min="2127" max="2127" width="7.85546875" customWidth="1"/>
    <col min="2128" max="2129" width="10.85546875" style="4"/>
    <col min="2130" max="2130" width="3.28515625" customWidth="1"/>
    <col min="2131" max="2131" width="7" customWidth="1"/>
    <col min="2132" max="2132" width="9.5703125" customWidth="1"/>
    <col min="2133" max="2133" width="5.5703125" customWidth="1"/>
    <col min="2134" max="2134" width="9.28515625" customWidth="1"/>
    <col min="2135" max="2135" width="4.7109375" customWidth="1"/>
    <col min="2136" max="2136" width="10.5703125" customWidth="1"/>
    <col min="2137" max="2137" width="7" customWidth="1"/>
    <col min="2138" max="2138" width="8.140625" customWidth="1"/>
    <col min="2139" max="2139" width="7.85546875" customWidth="1"/>
    <col min="2140" max="2141" width="10.85546875" style="4"/>
    <col min="2142" max="2142" width="3.28515625" customWidth="1"/>
    <col min="2143" max="2143" width="7" customWidth="1"/>
    <col min="2144" max="2144" width="9.5703125" customWidth="1"/>
    <col min="2145" max="2145" width="5.5703125" customWidth="1"/>
    <col min="2146" max="2146" width="9.28515625" customWidth="1"/>
    <col min="2147" max="2147" width="4.7109375" customWidth="1"/>
    <col min="2148" max="2148" width="10.5703125" customWidth="1"/>
    <col min="2149" max="2149" width="7" customWidth="1"/>
    <col min="2150" max="2150" width="8.140625" customWidth="1"/>
    <col min="2151" max="2151" width="7.85546875" customWidth="1"/>
    <col min="2152" max="2153" width="10.85546875" style="4"/>
    <col min="2154" max="2154" width="3.28515625" customWidth="1"/>
    <col min="2155" max="2155" width="7" customWidth="1"/>
    <col min="2156" max="2156" width="9.5703125" customWidth="1"/>
    <col min="2157" max="2157" width="5.5703125" customWidth="1"/>
    <col min="2158" max="2158" width="9.28515625" customWidth="1"/>
    <col min="2159" max="2159" width="4.7109375" customWidth="1"/>
    <col min="2160" max="2160" width="10.5703125" customWidth="1"/>
    <col min="2161" max="2161" width="7" customWidth="1"/>
    <col min="2162" max="2162" width="8.140625" customWidth="1"/>
    <col min="2163" max="2163" width="7.85546875" customWidth="1"/>
    <col min="2164" max="2165" width="10.85546875" style="4"/>
    <col min="2166" max="2166" width="3.28515625" customWidth="1"/>
    <col min="2167" max="2167" width="7" customWidth="1"/>
    <col min="2168" max="2168" width="9.5703125" customWidth="1"/>
    <col min="2169" max="2169" width="5.5703125" customWidth="1"/>
    <col min="2170" max="2170" width="9.28515625" customWidth="1"/>
    <col min="2171" max="2171" width="4.7109375" customWidth="1"/>
    <col min="2172" max="2172" width="10.5703125" customWidth="1"/>
    <col min="2173" max="2173" width="7" customWidth="1"/>
    <col min="2174" max="2174" width="8.140625" customWidth="1"/>
    <col min="2175" max="2175" width="7.85546875" customWidth="1"/>
    <col min="2176" max="2177" width="10.85546875" style="4"/>
    <col min="2178" max="2178" width="3.28515625" customWidth="1"/>
    <col min="2179" max="2179" width="7" customWidth="1"/>
    <col min="2180" max="2180" width="9.5703125" customWidth="1"/>
    <col min="2181" max="2181" width="5.5703125" customWidth="1"/>
    <col min="2182" max="2182" width="9.28515625" customWidth="1"/>
    <col min="2183" max="2183" width="4.7109375" customWidth="1"/>
    <col min="2184" max="2184" width="10.5703125" customWidth="1"/>
    <col min="2185" max="2185" width="7" customWidth="1"/>
    <col min="2186" max="2186" width="8.140625" customWidth="1"/>
    <col min="2187" max="2187" width="7.85546875" customWidth="1"/>
    <col min="2188" max="2189" width="10.85546875" style="4"/>
    <col min="2190" max="2190" width="3.28515625" customWidth="1"/>
    <col min="2191" max="2191" width="7" customWidth="1"/>
    <col min="2192" max="2192" width="9.5703125" customWidth="1"/>
    <col min="2193" max="2193" width="5.5703125" customWidth="1"/>
    <col min="2194" max="2194" width="9.28515625" customWidth="1"/>
    <col min="2195" max="2195" width="4.7109375" customWidth="1"/>
    <col min="2196" max="2196" width="10.5703125" customWidth="1"/>
    <col min="2197" max="2197" width="7" customWidth="1"/>
    <col min="2198" max="2198" width="8.140625" customWidth="1"/>
    <col min="2199" max="2199" width="7.85546875" customWidth="1"/>
    <col min="2200" max="2201" width="10.85546875" style="4"/>
    <col min="2202" max="2202" width="3.28515625" customWidth="1"/>
    <col min="2203" max="2203" width="7" customWidth="1"/>
    <col min="2204" max="2204" width="9.5703125" customWidth="1"/>
    <col min="2205" max="2205" width="5.5703125" customWidth="1"/>
    <col min="2206" max="2206" width="9.28515625" customWidth="1"/>
    <col min="2207" max="2207" width="4.7109375" customWidth="1"/>
    <col min="2208" max="2208" width="10.5703125" customWidth="1"/>
    <col min="2209" max="2209" width="7" customWidth="1"/>
    <col min="2210" max="2210" width="8.140625" customWidth="1"/>
    <col min="2211" max="2211" width="7.85546875" customWidth="1"/>
    <col min="2212" max="2213" width="10.85546875" style="4"/>
    <col min="2214" max="2214" width="3.28515625" customWidth="1"/>
    <col min="2215" max="2215" width="7" customWidth="1"/>
    <col min="2216" max="2216" width="9.5703125" customWidth="1"/>
    <col min="2217" max="2217" width="5.5703125" customWidth="1"/>
    <col min="2218" max="2218" width="9.28515625" customWidth="1"/>
    <col min="2219" max="2219" width="4.7109375" customWidth="1"/>
    <col min="2220" max="2220" width="10.5703125" customWidth="1"/>
    <col min="2221" max="2221" width="7" customWidth="1"/>
    <col min="2222" max="2222" width="8.140625" customWidth="1"/>
    <col min="2223" max="2223" width="7.85546875" customWidth="1"/>
    <col min="2224" max="2225" width="10.85546875" style="4"/>
    <col min="2226" max="2226" width="3.28515625" customWidth="1"/>
    <col min="2227" max="2227" width="7" customWidth="1"/>
    <col min="2228" max="2228" width="9.5703125" customWidth="1"/>
    <col min="2229" max="2229" width="5.5703125" customWidth="1"/>
    <col min="2230" max="2230" width="9.28515625" customWidth="1"/>
    <col min="2231" max="2231" width="4.7109375" customWidth="1"/>
    <col min="2232" max="2232" width="10.5703125" customWidth="1"/>
    <col min="2233" max="2233" width="7" customWidth="1"/>
    <col min="2234" max="2234" width="8.140625" customWidth="1"/>
    <col min="2235" max="2235" width="7.85546875" customWidth="1"/>
    <col min="2236" max="2237" width="10.85546875" style="4"/>
    <col min="2238" max="2238" width="3.28515625" customWidth="1"/>
    <col min="2239" max="2239" width="7" customWidth="1"/>
    <col min="2240" max="2240" width="9.5703125" customWidth="1"/>
    <col min="2241" max="2241" width="5.5703125" customWidth="1"/>
    <col min="2242" max="2242" width="9.28515625" customWidth="1"/>
    <col min="2243" max="2243" width="4.7109375" customWidth="1"/>
    <col min="2244" max="2244" width="10.5703125" customWidth="1"/>
    <col min="2245" max="2245" width="7" customWidth="1"/>
    <col min="2246" max="2246" width="8.140625" customWidth="1"/>
    <col min="2247" max="2247" width="7.85546875" customWidth="1"/>
    <col min="2248" max="2249" width="10.85546875" style="4"/>
    <col min="2250" max="2250" width="3.28515625" customWidth="1"/>
    <col min="2251" max="2251" width="7" customWidth="1"/>
    <col min="2252" max="2252" width="9.5703125" customWidth="1"/>
    <col min="2253" max="2253" width="5.5703125" customWidth="1"/>
    <col min="2254" max="2254" width="9.28515625" customWidth="1"/>
    <col min="2255" max="2255" width="4.7109375" customWidth="1"/>
    <col min="2256" max="2256" width="10.5703125" customWidth="1"/>
    <col min="2257" max="2257" width="7" customWidth="1"/>
    <col min="2258" max="2258" width="8.140625" customWidth="1"/>
    <col min="2259" max="2259" width="7.85546875" customWidth="1"/>
    <col min="2260" max="2261" width="10.85546875" style="4"/>
    <col min="2262" max="2262" width="3.28515625" customWidth="1"/>
    <col min="2263" max="2263" width="7" customWidth="1"/>
    <col min="2264" max="2264" width="9.5703125" customWidth="1"/>
    <col min="2265" max="2265" width="5.5703125" customWidth="1"/>
    <col min="2266" max="2266" width="9.28515625" customWidth="1"/>
    <col min="2267" max="2267" width="4.7109375" customWidth="1"/>
    <col min="2268" max="2268" width="10.5703125" customWidth="1"/>
    <col min="2269" max="2269" width="7" customWidth="1"/>
    <col min="2270" max="2270" width="8.140625" customWidth="1"/>
    <col min="2271" max="2271" width="7.85546875" customWidth="1"/>
    <col min="2272" max="2273" width="10.85546875" style="4"/>
    <col min="2274" max="2274" width="3.28515625" customWidth="1"/>
    <col min="2275" max="2275" width="7" customWidth="1"/>
    <col min="2276" max="2276" width="9.5703125" customWidth="1"/>
    <col min="2277" max="2277" width="5.5703125" customWidth="1"/>
    <col min="2278" max="2278" width="9.28515625" customWidth="1"/>
    <col min="2279" max="2279" width="4.7109375" customWidth="1"/>
    <col min="2280" max="2280" width="10.5703125" customWidth="1"/>
    <col min="2281" max="2281" width="7" customWidth="1"/>
    <col min="2282" max="2282" width="8.140625" customWidth="1"/>
    <col min="2283" max="2283" width="7.85546875" customWidth="1"/>
    <col min="2284" max="2285" width="10.85546875" style="4"/>
    <col min="2286" max="2286" width="3.28515625" customWidth="1"/>
    <col min="2287" max="2287" width="7" customWidth="1"/>
    <col min="2288" max="2288" width="9.5703125" customWidth="1"/>
    <col min="2289" max="2289" width="5.5703125" customWidth="1"/>
    <col min="2290" max="2290" width="9.28515625" customWidth="1"/>
    <col min="2291" max="2291" width="4.7109375" customWidth="1"/>
    <col min="2292" max="2292" width="10.5703125" customWidth="1"/>
    <col min="2293" max="2293" width="7" customWidth="1"/>
    <col min="2294" max="2294" width="8.140625" customWidth="1"/>
    <col min="2295" max="2295" width="7.85546875" customWidth="1"/>
    <col min="2296" max="2297" width="10.85546875" style="4"/>
    <col min="2298" max="2298" width="3.28515625" customWidth="1"/>
    <col min="2299" max="2299" width="7" customWidth="1"/>
    <col min="2300" max="2300" width="9.5703125" customWidth="1"/>
    <col min="2301" max="2301" width="5.5703125" customWidth="1"/>
    <col min="2302" max="2302" width="9.28515625" customWidth="1"/>
    <col min="2303" max="2303" width="4.7109375" customWidth="1"/>
    <col min="2304" max="2304" width="10.5703125" customWidth="1"/>
    <col min="2305" max="2305" width="7" customWidth="1"/>
    <col min="2306" max="2306" width="8.140625" customWidth="1"/>
    <col min="2307" max="2307" width="7.85546875" customWidth="1"/>
    <col min="2308" max="2309" width="10.85546875" style="4"/>
    <col min="2310" max="2310" width="3.28515625" customWidth="1"/>
    <col min="2311" max="2311" width="7" customWidth="1"/>
    <col min="2312" max="2312" width="9.5703125" customWidth="1"/>
    <col min="2313" max="2313" width="5.5703125" customWidth="1"/>
    <col min="2314" max="2314" width="9.28515625" customWidth="1"/>
    <col min="2315" max="2315" width="4.7109375" customWidth="1"/>
    <col min="2316" max="2316" width="10.5703125" customWidth="1"/>
    <col min="2317" max="2317" width="7" customWidth="1"/>
    <col min="2318" max="2318" width="8.140625" customWidth="1"/>
    <col min="2319" max="2319" width="7.85546875" customWidth="1"/>
    <col min="2320" max="2321" width="10.85546875" style="4"/>
    <col min="2322" max="2322" width="3.28515625" customWidth="1"/>
    <col min="2323" max="2323" width="7" customWidth="1"/>
    <col min="2324" max="2324" width="9.5703125" customWidth="1"/>
    <col min="2325" max="2325" width="5.5703125" customWidth="1"/>
    <col min="2326" max="2326" width="9.28515625" customWidth="1"/>
    <col min="2327" max="2327" width="4.7109375" customWidth="1"/>
    <col min="2328" max="2328" width="10.5703125" customWidth="1"/>
    <col min="2329" max="2329" width="7" customWidth="1"/>
    <col min="2330" max="2330" width="8.140625" customWidth="1"/>
    <col min="2331" max="2331" width="7.85546875" customWidth="1"/>
    <col min="2332" max="2333" width="10.85546875" style="4"/>
    <col min="2334" max="2334" width="3.28515625" customWidth="1"/>
    <col min="2335" max="2335" width="7" customWidth="1"/>
    <col min="2336" max="2336" width="9.5703125" customWidth="1"/>
    <col min="2337" max="2337" width="5.5703125" customWidth="1"/>
    <col min="2338" max="2338" width="9.28515625" customWidth="1"/>
    <col min="2339" max="2339" width="4.7109375" customWidth="1"/>
    <col min="2340" max="2340" width="10.5703125" customWidth="1"/>
    <col min="2341" max="2341" width="7" customWidth="1"/>
    <col min="2342" max="2342" width="8.140625" customWidth="1"/>
    <col min="2343" max="2343" width="7.85546875" customWidth="1"/>
    <col min="2344" max="2345" width="10.85546875" style="4"/>
    <col min="2346" max="2346" width="3.28515625" customWidth="1"/>
    <col min="2347" max="2347" width="7" customWidth="1"/>
    <col min="2348" max="2348" width="9.5703125" customWidth="1"/>
    <col min="2349" max="2349" width="5.5703125" customWidth="1"/>
    <col min="2350" max="2350" width="9.28515625" customWidth="1"/>
    <col min="2351" max="2351" width="4.7109375" customWidth="1"/>
    <col min="2352" max="2352" width="10.5703125" customWidth="1"/>
    <col min="2353" max="2353" width="7" customWidth="1"/>
    <col min="2354" max="2354" width="8.140625" customWidth="1"/>
    <col min="2355" max="2355" width="7.85546875" customWidth="1"/>
    <col min="2356" max="2357" width="10.85546875" style="4"/>
    <col min="2358" max="2358" width="3.28515625" customWidth="1"/>
    <col min="2359" max="2359" width="7" customWidth="1"/>
    <col min="2360" max="2360" width="9.5703125" customWidth="1"/>
    <col min="2361" max="2361" width="5.5703125" customWidth="1"/>
    <col min="2362" max="2362" width="9.28515625" customWidth="1"/>
    <col min="2363" max="2363" width="4.7109375" customWidth="1"/>
    <col min="2364" max="2364" width="10.5703125" customWidth="1"/>
    <col min="2365" max="2365" width="7" customWidth="1"/>
    <col min="2366" max="2366" width="8.140625" customWidth="1"/>
    <col min="2367" max="2367" width="7.85546875" customWidth="1"/>
    <col min="2368" max="2369" width="10.85546875" style="4"/>
    <col min="2370" max="2370" width="3.28515625" customWidth="1"/>
    <col min="2371" max="2371" width="7" customWidth="1"/>
    <col min="2372" max="2372" width="9.5703125" customWidth="1"/>
    <col min="2373" max="2373" width="5.5703125" customWidth="1"/>
    <col min="2374" max="2374" width="9.28515625" customWidth="1"/>
    <col min="2375" max="2375" width="4.7109375" customWidth="1"/>
    <col min="2376" max="2376" width="10.5703125" customWidth="1"/>
    <col min="2377" max="2377" width="7" customWidth="1"/>
    <col min="2378" max="2378" width="8.140625" customWidth="1"/>
    <col min="2379" max="2379" width="7.85546875" customWidth="1"/>
    <col min="2380" max="2381" width="10.85546875" style="4"/>
    <col min="2382" max="2382" width="3.28515625" customWidth="1"/>
    <col min="2383" max="2383" width="7" customWidth="1"/>
    <col min="2384" max="2384" width="9.5703125" customWidth="1"/>
    <col min="2385" max="2385" width="5.5703125" customWidth="1"/>
    <col min="2386" max="2386" width="9.28515625" customWidth="1"/>
    <col min="2387" max="2387" width="4.7109375" customWidth="1"/>
    <col min="2388" max="2388" width="10.5703125" customWidth="1"/>
    <col min="2389" max="2389" width="7" customWidth="1"/>
    <col min="2390" max="2390" width="8.140625" customWidth="1"/>
    <col min="2391" max="2391" width="7.85546875" customWidth="1"/>
    <col min="2392" max="2393" width="10.85546875" style="4"/>
    <col min="2394" max="2394" width="3.28515625" customWidth="1"/>
    <col min="2395" max="2395" width="7" customWidth="1"/>
    <col min="2396" max="2396" width="9.5703125" customWidth="1"/>
    <col min="2397" max="2397" width="5.5703125" customWidth="1"/>
    <col min="2398" max="2398" width="9.28515625" customWidth="1"/>
    <col min="2399" max="2399" width="4.7109375" customWidth="1"/>
    <col min="2400" max="2400" width="10.5703125" customWidth="1"/>
    <col min="2401" max="2401" width="7" customWidth="1"/>
    <col min="2402" max="2402" width="8.140625" customWidth="1"/>
    <col min="2403" max="2403" width="7.85546875" customWidth="1"/>
    <col min="2404" max="2405" width="10.85546875" style="4"/>
    <col min="2406" max="2406" width="3.28515625" customWidth="1"/>
    <col min="2407" max="2407" width="7" customWidth="1"/>
    <col min="2408" max="2408" width="9.5703125" customWidth="1"/>
    <col min="2409" max="2409" width="5.5703125" customWidth="1"/>
    <col min="2410" max="2410" width="9.28515625" customWidth="1"/>
    <col min="2411" max="2411" width="4.7109375" customWidth="1"/>
    <col min="2412" max="2412" width="10.5703125" customWidth="1"/>
    <col min="2413" max="2413" width="7" customWidth="1"/>
    <col min="2414" max="2414" width="8.140625" customWidth="1"/>
    <col min="2415" max="2415" width="7.85546875" customWidth="1"/>
    <col min="2416" max="2417" width="10.85546875" style="4"/>
    <col min="2418" max="2418" width="3.28515625" customWidth="1"/>
    <col min="2419" max="2419" width="7" customWidth="1"/>
    <col min="2420" max="2420" width="9.5703125" customWidth="1"/>
    <col min="2421" max="2421" width="5.5703125" customWidth="1"/>
    <col min="2422" max="2422" width="9.28515625" customWidth="1"/>
    <col min="2423" max="2423" width="4.7109375" customWidth="1"/>
    <col min="2424" max="2424" width="10.5703125" customWidth="1"/>
    <col min="2425" max="2425" width="7" customWidth="1"/>
    <col min="2426" max="2426" width="8.140625" customWidth="1"/>
    <col min="2427" max="2427" width="7.85546875" customWidth="1"/>
    <col min="2428" max="2429" width="10.85546875" style="4"/>
    <col min="2430" max="2430" width="3.28515625" customWidth="1"/>
    <col min="2431" max="2431" width="7" customWidth="1"/>
    <col min="2432" max="2432" width="9.5703125" customWidth="1"/>
    <col min="2433" max="2433" width="5.5703125" customWidth="1"/>
    <col min="2434" max="2434" width="9.28515625" customWidth="1"/>
    <col min="2435" max="2435" width="4.7109375" customWidth="1"/>
    <col min="2436" max="2436" width="10.5703125" customWidth="1"/>
    <col min="2437" max="2437" width="7" customWidth="1"/>
    <col min="2438" max="2438" width="8.140625" customWidth="1"/>
    <col min="2439" max="2439" width="7.85546875" customWidth="1"/>
    <col min="2440" max="2441" width="10.85546875" style="4"/>
    <col min="2442" max="2442" width="3.28515625" customWidth="1"/>
    <col min="2443" max="2443" width="7" customWidth="1"/>
    <col min="2444" max="2444" width="9.5703125" customWidth="1"/>
    <col min="2445" max="2445" width="5.5703125" customWidth="1"/>
    <col min="2446" max="2446" width="9.28515625" customWidth="1"/>
    <col min="2447" max="2447" width="4.7109375" customWidth="1"/>
    <col min="2448" max="2448" width="10.5703125" customWidth="1"/>
    <col min="2449" max="2449" width="7" customWidth="1"/>
    <col min="2450" max="2450" width="8.140625" customWidth="1"/>
    <col min="2451" max="2451" width="7.85546875" customWidth="1"/>
    <col min="2452" max="2453" width="10.85546875" style="4"/>
    <col min="2454" max="2454" width="3.28515625" customWidth="1"/>
    <col min="2455" max="2455" width="7" customWidth="1"/>
    <col min="2456" max="2456" width="9.5703125" customWidth="1"/>
    <col min="2457" max="2457" width="5.5703125" customWidth="1"/>
    <col min="2458" max="2458" width="9.28515625" customWidth="1"/>
    <col min="2459" max="2459" width="4.7109375" customWidth="1"/>
    <col min="2460" max="2460" width="10.5703125" customWidth="1"/>
    <col min="2461" max="2461" width="7" customWidth="1"/>
    <col min="2462" max="2462" width="8.140625" customWidth="1"/>
    <col min="2463" max="2463" width="7.85546875" customWidth="1"/>
    <col min="2464" max="2465" width="10.85546875" style="4"/>
    <col min="2466" max="2466" width="3.28515625" customWidth="1"/>
    <col min="2467" max="2467" width="7" customWidth="1"/>
    <col min="2468" max="2468" width="9.5703125" customWidth="1"/>
    <col min="2469" max="2469" width="5.5703125" customWidth="1"/>
    <col min="2470" max="2470" width="9.28515625" customWidth="1"/>
    <col min="2471" max="2471" width="4.7109375" customWidth="1"/>
    <col min="2472" max="2472" width="10.5703125" customWidth="1"/>
    <col min="2473" max="2473" width="7" customWidth="1"/>
    <col min="2474" max="2474" width="8.140625" customWidth="1"/>
    <col min="2475" max="2475" width="7.85546875" customWidth="1"/>
    <col min="2476" max="2477" width="10.85546875" style="4"/>
    <col min="2478" max="2478" width="3.28515625" customWidth="1"/>
    <col min="2479" max="2479" width="7" customWidth="1"/>
    <col min="2480" max="2480" width="9.5703125" customWidth="1"/>
    <col min="2481" max="2481" width="5.5703125" customWidth="1"/>
    <col min="2482" max="2482" width="9.28515625" customWidth="1"/>
    <col min="2483" max="2483" width="4.7109375" customWidth="1"/>
    <col min="2484" max="2484" width="10.5703125" customWidth="1"/>
    <col min="2485" max="2485" width="7" customWidth="1"/>
    <col min="2486" max="2486" width="8.140625" customWidth="1"/>
    <col min="2487" max="2487" width="7.85546875" customWidth="1"/>
    <col min="2488" max="2489" width="10.85546875" style="4"/>
    <col min="2490" max="2490" width="3.28515625" customWidth="1"/>
    <col min="2491" max="2491" width="7" customWidth="1"/>
    <col min="2492" max="2492" width="9.5703125" customWidth="1"/>
    <col min="2493" max="2493" width="5.5703125" customWidth="1"/>
    <col min="2494" max="2494" width="9.28515625" customWidth="1"/>
    <col min="2495" max="2495" width="4.7109375" customWidth="1"/>
    <col min="2496" max="2496" width="10.5703125" customWidth="1"/>
    <col min="2497" max="2497" width="7" customWidth="1"/>
    <col min="2498" max="2498" width="8.140625" customWidth="1"/>
    <col min="2499" max="2499" width="7.85546875" customWidth="1"/>
    <col min="2500" max="2501" width="10.85546875" style="4"/>
    <col min="2502" max="2502" width="3.28515625" customWidth="1"/>
    <col min="2503" max="2503" width="7" customWidth="1"/>
    <col min="2504" max="2504" width="9.5703125" customWidth="1"/>
    <col min="2505" max="2505" width="5.5703125" customWidth="1"/>
    <col min="2506" max="2506" width="9.28515625" customWidth="1"/>
    <col min="2507" max="2507" width="4.7109375" customWidth="1"/>
    <col min="2508" max="2508" width="10.5703125" customWidth="1"/>
    <col min="2509" max="2509" width="7" customWidth="1"/>
    <col min="2510" max="2510" width="8.140625" customWidth="1"/>
    <col min="2511" max="2511" width="7.85546875" customWidth="1"/>
    <col min="2512" max="2513" width="10.85546875" style="4"/>
    <col min="2514" max="2514" width="3.28515625" customWidth="1"/>
    <col min="2515" max="2515" width="7" customWidth="1"/>
    <col min="2516" max="2516" width="9.5703125" customWidth="1"/>
    <col min="2517" max="2517" width="5.5703125" customWidth="1"/>
    <col min="2518" max="2518" width="9.28515625" customWidth="1"/>
    <col min="2519" max="2519" width="4.7109375" customWidth="1"/>
    <col min="2520" max="2520" width="10.5703125" customWidth="1"/>
    <col min="2521" max="2521" width="7" customWidth="1"/>
    <col min="2522" max="2522" width="8.140625" customWidth="1"/>
    <col min="2523" max="2523" width="7.85546875" customWidth="1"/>
    <col min="2524" max="2525" width="10.85546875" style="4"/>
    <col min="2526" max="2526" width="3.28515625" customWidth="1"/>
    <col min="2527" max="2527" width="7" customWidth="1"/>
    <col min="2528" max="2528" width="9.5703125" customWidth="1"/>
    <col min="2529" max="2529" width="5.5703125" customWidth="1"/>
    <col min="2530" max="2530" width="9.28515625" customWidth="1"/>
    <col min="2531" max="2531" width="4.7109375" customWidth="1"/>
    <col min="2532" max="2532" width="10.5703125" customWidth="1"/>
    <col min="2533" max="2533" width="7" customWidth="1"/>
    <col min="2534" max="2534" width="8.140625" customWidth="1"/>
    <col min="2535" max="2535" width="7.85546875" customWidth="1"/>
    <col min="2536" max="2537" width="10.85546875" style="4"/>
    <col min="2538" max="2538" width="3.28515625" customWidth="1"/>
    <col min="2539" max="2539" width="7" customWidth="1"/>
    <col min="2540" max="2540" width="9.5703125" customWidth="1"/>
    <col min="2541" max="2541" width="5.5703125" customWidth="1"/>
    <col min="2542" max="2542" width="9.28515625" customWidth="1"/>
    <col min="2543" max="2543" width="4.7109375" customWidth="1"/>
    <col min="2544" max="2544" width="10.5703125" customWidth="1"/>
    <col min="2545" max="2545" width="7" customWidth="1"/>
    <col min="2546" max="2546" width="8.140625" customWidth="1"/>
    <col min="2547" max="2547" width="7.85546875" customWidth="1"/>
    <col min="2548" max="2549" width="10.85546875" style="4"/>
    <col min="2550" max="2550" width="3.28515625" customWidth="1"/>
    <col min="2551" max="2551" width="7" customWidth="1"/>
    <col min="2552" max="2552" width="9.5703125" customWidth="1"/>
    <col min="2553" max="2553" width="5.5703125" customWidth="1"/>
    <col min="2554" max="2554" width="9.28515625" customWidth="1"/>
    <col min="2555" max="2555" width="4.7109375" customWidth="1"/>
    <col min="2556" max="2556" width="10.5703125" customWidth="1"/>
    <col min="2557" max="2557" width="7" customWidth="1"/>
    <col min="2558" max="2558" width="8.140625" customWidth="1"/>
    <col min="2559" max="2559" width="7.85546875" customWidth="1"/>
    <col min="2560" max="2561" width="10.85546875" style="4"/>
    <col min="2562" max="2562" width="3.28515625" customWidth="1"/>
    <col min="2563" max="2563" width="7" customWidth="1"/>
    <col min="2564" max="2564" width="9.5703125" customWidth="1"/>
    <col min="2565" max="2565" width="5.5703125" customWidth="1"/>
    <col min="2566" max="2566" width="9.28515625" customWidth="1"/>
    <col min="2567" max="2567" width="4.7109375" customWidth="1"/>
    <col min="2568" max="2568" width="10.5703125" customWidth="1"/>
    <col min="2569" max="2569" width="7" customWidth="1"/>
    <col min="2570" max="2570" width="8.140625" customWidth="1"/>
    <col min="2571" max="2571" width="7.85546875" customWidth="1"/>
    <col min="2572" max="2573" width="10.85546875" style="4"/>
    <col min="2574" max="2574" width="3.28515625" customWidth="1"/>
    <col min="2575" max="2575" width="7" customWidth="1"/>
    <col min="2576" max="2576" width="9.5703125" customWidth="1"/>
    <col min="2577" max="2577" width="5.5703125" customWidth="1"/>
    <col min="2578" max="2578" width="9.28515625" customWidth="1"/>
    <col min="2579" max="2579" width="4.7109375" customWidth="1"/>
    <col min="2580" max="2580" width="10.5703125" customWidth="1"/>
    <col min="2581" max="2581" width="7" customWidth="1"/>
    <col min="2582" max="2582" width="8.140625" customWidth="1"/>
    <col min="2583" max="2583" width="7.85546875" customWidth="1"/>
    <col min="2584" max="2585" width="10.85546875" style="4"/>
    <col min="2586" max="2586" width="3.28515625" customWidth="1"/>
    <col min="2587" max="2587" width="7" customWidth="1"/>
    <col min="2588" max="2588" width="9.5703125" customWidth="1"/>
    <col min="2589" max="2589" width="5.5703125" customWidth="1"/>
    <col min="2590" max="2590" width="9.28515625" customWidth="1"/>
    <col min="2591" max="2591" width="4.7109375" customWidth="1"/>
    <col min="2592" max="2592" width="10.5703125" customWidth="1"/>
    <col min="2593" max="2593" width="7" customWidth="1"/>
    <col min="2594" max="2594" width="8.140625" customWidth="1"/>
    <col min="2595" max="2595" width="7.85546875" customWidth="1"/>
    <col min="2596" max="2597" width="10.85546875" style="4"/>
    <col min="2598" max="2598" width="3.28515625" customWidth="1"/>
    <col min="2599" max="2599" width="7" customWidth="1"/>
    <col min="2600" max="2600" width="9.5703125" customWidth="1"/>
    <col min="2601" max="2601" width="5.5703125" customWidth="1"/>
    <col min="2602" max="2602" width="9.28515625" customWidth="1"/>
    <col min="2603" max="2603" width="4.7109375" customWidth="1"/>
    <col min="2604" max="2604" width="10.5703125" customWidth="1"/>
    <col min="2605" max="2605" width="7" customWidth="1"/>
    <col min="2606" max="2606" width="8.140625" customWidth="1"/>
    <col min="2607" max="2607" width="7.85546875" customWidth="1"/>
    <col min="2608" max="2609" width="10.85546875" style="4"/>
    <col min="2610" max="2610" width="3.28515625" customWidth="1"/>
    <col min="2611" max="2611" width="7" customWidth="1"/>
    <col min="2612" max="2612" width="9.5703125" customWidth="1"/>
    <col min="2613" max="2613" width="5.5703125" customWidth="1"/>
    <col min="2614" max="2614" width="9.28515625" customWidth="1"/>
    <col min="2615" max="2615" width="4.7109375" customWidth="1"/>
    <col min="2616" max="2616" width="10.5703125" customWidth="1"/>
    <col min="2617" max="2617" width="7" customWidth="1"/>
    <col min="2618" max="2618" width="8.140625" customWidth="1"/>
    <col min="2619" max="2619" width="7.85546875" customWidth="1"/>
    <col min="2620" max="2621" width="10.85546875" style="4"/>
    <col min="2622" max="2622" width="3.28515625" customWidth="1"/>
    <col min="2623" max="2623" width="7" customWidth="1"/>
    <col min="2624" max="2624" width="9.5703125" customWidth="1"/>
    <col min="2625" max="2625" width="5.5703125" customWidth="1"/>
    <col min="2626" max="2626" width="9.28515625" customWidth="1"/>
    <col min="2627" max="2627" width="4.7109375" customWidth="1"/>
    <col min="2628" max="2628" width="10.5703125" customWidth="1"/>
    <col min="2629" max="2629" width="7" customWidth="1"/>
    <col min="2630" max="2630" width="8.140625" customWidth="1"/>
    <col min="2631" max="2631" width="7.85546875" customWidth="1"/>
    <col min="2632" max="16384" width="10.85546875" style="4"/>
  </cols>
  <sheetData>
    <row r="1" spans="1:1023 1026:2631" ht="17.100000000000001" customHeight="1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3" t="s">
        <v>1</v>
      </c>
      <c r="O1" s="1"/>
      <c r="P1" s="1"/>
      <c r="Q1" s="1"/>
      <c r="R1" s="2" t="s">
        <v>0</v>
      </c>
      <c r="S1" s="2"/>
      <c r="T1" s="2"/>
      <c r="U1" s="2"/>
      <c r="V1" s="2"/>
      <c r="W1" s="2"/>
      <c r="X1" s="2"/>
      <c r="Y1" s="2"/>
      <c r="Z1" s="3" t="s">
        <v>1</v>
      </c>
      <c r="AC1" s="5"/>
      <c r="AD1" s="6"/>
      <c r="AE1" s="7"/>
      <c r="AF1" s="2" t="s">
        <v>0</v>
      </c>
      <c r="AG1" s="2"/>
      <c r="AH1" s="2"/>
      <c r="AI1" s="2"/>
      <c r="AJ1" s="2"/>
      <c r="AK1" s="2"/>
      <c r="AL1" s="2"/>
      <c r="AM1" s="2"/>
      <c r="AN1" s="3" t="s">
        <v>1</v>
      </c>
      <c r="AQ1" s="1"/>
      <c r="AR1" s="1"/>
      <c r="AS1" s="1"/>
      <c r="AT1" s="2" t="s">
        <v>0</v>
      </c>
      <c r="AU1" s="2"/>
      <c r="AV1" s="2"/>
      <c r="AW1" s="2"/>
      <c r="AX1" s="2"/>
      <c r="AY1" s="2"/>
      <c r="AZ1" s="2"/>
      <c r="BA1" s="2"/>
      <c r="BB1" s="3" t="s">
        <v>1</v>
      </c>
      <c r="BE1" s="1"/>
      <c r="BF1" s="1"/>
      <c r="BG1" s="1"/>
      <c r="BH1" s="2" t="s">
        <v>0</v>
      </c>
      <c r="BI1" s="2"/>
      <c r="BJ1" s="2"/>
      <c r="BK1" s="2"/>
      <c r="BL1" s="2"/>
      <c r="BM1" s="2"/>
      <c r="BN1" s="2"/>
      <c r="BO1" s="2"/>
      <c r="BP1" s="3" t="s">
        <v>1</v>
      </c>
      <c r="BS1" s="1"/>
      <c r="BT1" s="1"/>
      <c r="BU1" s="1"/>
      <c r="BV1" s="2" t="s">
        <v>0</v>
      </c>
      <c r="BW1" s="2"/>
      <c r="BX1" s="2"/>
      <c r="BY1" s="2"/>
      <c r="BZ1" s="2"/>
      <c r="CA1" s="2"/>
      <c r="CB1" s="2"/>
      <c r="CC1" s="2"/>
      <c r="CD1" s="3" t="s">
        <v>1</v>
      </c>
      <c r="CG1" s="1"/>
      <c r="CH1" s="1"/>
      <c r="CI1" s="1"/>
      <c r="CJ1" s="2" t="s">
        <v>0</v>
      </c>
      <c r="CK1" s="2"/>
      <c r="CL1" s="2"/>
      <c r="CM1" s="2"/>
      <c r="CN1" s="2"/>
      <c r="CO1" s="2"/>
      <c r="CP1" s="2"/>
      <c r="CQ1" s="2"/>
      <c r="CR1" s="3" t="s">
        <v>1</v>
      </c>
      <c r="CU1" s="1"/>
      <c r="CV1" s="1"/>
      <c r="CW1" s="1"/>
      <c r="CX1" s="2" t="s">
        <v>0</v>
      </c>
      <c r="CY1" s="2"/>
      <c r="CZ1" s="2"/>
      <c r="DA1" s="2"/>
      <c r="DB1" s="2"/>
      <c r="DC1" s="2"/>
      <c r="DD1" s="2"/>
      <c r="DE1" s="2"/>
      <c r="DF1" s="3" t="s">
        <v>1</v>
      </c>
      <c r="DI1" s="1"/>
      <c r="DJ1" s="1"/>
      <c r="DK1" s="1"/>
      <c r="DL1" s="2" t="s">
        <v>0</v>
      </c>
      <c r="DM1" s="2"/>
      <c r="DN1" s="2"/>
      <c r="DO1" s="2"/>
      <c r="DP1" s="2"/>
      <c r="DQ1" s="2"/>
      <c r="DR1" s="2"/>
      <c r="DS1" s="2"/>
      <c r="DT1" s="3" t="s">
        <v>1</v>
      </c>
      <c r="DW1" s="1"/>
      <c r="DX1" s="1"/>
      <c r="DY1" s="1"/>
      <c r="DZ1" s="2" t="s">
        <v>0</v>
      </c>
      <c r="EA1" s="2"/>
      <c r="EB1" s="2"/>
      <c r="EC1" s="2"/>
      <c r="ED1" s="2"/>
      <c r="EE1" s="2"/>
      <c r="EF1" s="2"/>
      <c r="EG1" s="2"/>
      <c r="EH1" s="3" t="s">
        <v>1</v>
      </c>
      <c r="EK1" s="1"/>
      <c r="EL1" s="1"/>
      <c r="EM1" s="1"/>
      <c r="EN1" s="2" t="s">
        <v>0</v>
      </c>
      <c r="EO1" s="2"/>
      <c r="EP1" s="2"/>
      <c r="EQ1" s="2"/>
      <c r="ER1" s="2"/>
      <c r="ES1" s="2"/>
      <c r="ET1" s="2"/>
      <c r="EU1" s="2"/>
      <c r="EV1" s="3" t="s">
        <v>1</v>
      </c>
      <c r="EY1" s="1"/>
      <c r="EZ1" s="1"/>
      <c r="FA1" s="1"/>
      <c r="FB1" s="2" t="s">
        <v>0</v>
      </c>
      <c r="FC1" s="2"/>
      <c r="FD1" s="2"/>
      <c r="FE1" s="2"/>
      <c r="FF1" s="2"/>
      <c r="FG1" s="2"/>
      <c r="FH1" s="2"/>
      <c r="FI1" s="2"/>
      <c r="FJ1" s="3" t="s">
        <v>1</v>
      </c>
      <c r="FM1" s="1"/>
      <c r="FN1" s="1"/>
      <c r="FO1" s="1"/>
      <c r="FP1" s="2" t="s">
        <v>0</v>
      </c>
      <c r="FQ1" s="2"/>
      <c r="FR1" s="2"/>
      <c r="FS1" s="2"/>
      <c r="FT1" s="2"/>
      <c r="FU1" s="2"/>
      <c r="FV1" s="2"/>
      <c r="FW1" s="2"/>
      <c r="FX1" s="3" t="s">
        <v>1</v>
      </c>
      <c r="GA1" s="1"/>
      <c r="GB1" s="1"/>
      <c r="GC1" s="1"/>
      <c r="GD1" s="2" t="s">
        <v>0</v>
      </c>
      <c r="GE1" s="2"/>
      <c r="GF1" s="2"/>
      <c r="GG1" s="2"/>
      <c r="GH1" s="2"/>
      <c r="GI1" s="2"/>
      <c r="GJ1" s="2"/>
      <c r="GK1" s="2"/>
      <c r="GL1" s="3" t="s">
        <v>1</v>
      </c>
      <c r="GO1" s="1"/>
      <c r="GP1" s="1"/>
      <c r="GQ1" s="1"/>
      <c r="GR1" s="2" t="s">
        <v>0</v>
      </c>
      <c r="GS1" s="2"/>
      <c r="GT1" s="2"/>
      <c r="GU1" s="2"/>
      <c r="GV1" s="2"/>
      <c r="GW1" s="2"/>
      <c r="GX1" s="2"/>
      <c r="GY1" s="2"/>
      <c r="GZ1" s="3" t="s">
        <v>1</v>
      </c>
      <c r="HC1" s="1"/>
      <c r="HD1" s="1"/>
      <c r="HE1" s="1"/>
      <c r="HF1" s="2" t="s">
        <v>0</v>
      </c>
      <c r="HG1" s="2"/>
      <c r="HH1" s="2"/>
      <c r="HI1" s="2"/>
      <c r="HJ1" s="2"/>
      <c r="HK1" s="2"/>
      <c r="HL1" s="2"/>
      <c r="HM1" s="2"/>
      <c r="HN1" s="3" t="s">
        <v>1</v>
      </c>
      <c r="HQ1" s="1"/>
      <c r="HR1" s="1"/>
      <c r="HS1" s="1"/>
      <c r="HT1" s="2" t="s">
        <v>0</v>
      </c>
      <c r="HU1" s="2"/>
      <c r="HV1" s="2"/>
      <c r="HW1" s="2"/>
      <c r="HX1" s="2"/>
      <c r="HY1" s="2"/>
      <c r="HZ1" s="2"/>
      <c r="IA1" s="2"/>
      <c r="IB1" s="3" t="s">
        <v>1</v>
      </c>
      <c r="IE1" s="1"/>
      <c r="IF1" s="1"/>
      <c r="IG1" s="1"/>
      <c r="IH1" s="2" t="s">
        <v>0</v>
      </c>
      <c r="II1" s="2"/>
      <c r="IJ1" s="2"/>
      <c r="IK1" s="2"/>
      <c r="IL1" s="2"/>
      <c r="IM1" s="2"/>
      <c r="IN1" s="2"/>
      <c r="IO1" s="2"/>
      <c r="IP1" s="3" t="s">
        <v>1</v>
      </c>
      <c r="IS1" s="1"/>
      <c r="IT1" s="1"/>
      <c r="IU1" s="1"/>
      <c r="IV1" s="2" t="s">
        <v>0</v>
      </c>
      <c r="IW1" s="2"/>
      <c r="IX1" s="2"/>
      <c r="IY1" s="2"/>
      <c r="IZ1" s="2"/>
      <c r="JA1" s="2"/>
      <c r="JB1" s="2"/>
      <c r="JC1" s="2"/>
      <c r="JD1" s="3" t="s">
        <v>1</v>
      </c>
      <c r="JG1" s="1"/>
      <c r="JH1" s="1"/>
      <c r="JI1" s="1"/>
      <c r="JJ1" s="2" t="s">
        <v>0</v>
      </c>
      <c r="JK1" s="2"/>
      <c r="JL1" s="2"/>
      <c r="JM1" s="2"/>
      <c r="JN1" s="2"/>
      <c r="JO1" s="2"/>
      <c r="JP1" s="2"/>
      <c r="JQ1" s="2"/>
      <c r="JR1" s="3" t="s">
        <v>1</v>
      </c>
      <c r="JU1" s="1"/>
      <c r="JV1" s="1"/>
      <c r="JW1" s="1"/>
      <c r="JX1" s="2" t="s">
        <v>0</v>
      </c>
      <c r="JY1" s="2"/>
      <c r="JZ1" s="2"/>
      <c r="KA1" s="2"/>
      <c r="KB1" s="2"/>
      <c r="KC1" s="2"/>
      <c r="KD1" s="2"/>
      <c r="KE1" s="2"/>
      <c r="KF1" s="3" t="s">
        <v>1</v>
      </c>
      <c r="KI1" s="1"/>
      <c r="KJ1" s="1"/>
      <c r="KK1" s="1"/>
      <c r="KL1" s="2" t="s">
        <v>0</v>
      </c>
      <c r="KM1" s="2"/>
      <c r="KN1" s="2"/>
      <c r="KO1" s="2"/>
      <c r="KP1" s="2"/>
      <c r="KQ1" s="2"/>
      <c r="KR1" s="2"/>
      <c r="KS1" s="2"/>
      <c r="KT1" s="3" t="s">
        <v>1</v>
      </c>
      <c r="KW1" s="1"/>
      <c r="KX1" s="1"/>
      <c r="KY1" s="1"/>
      <c r="KZ1" s="2" t="s">
        <v>0</v>
      </c>
      <c r="LA1" s="2"/>
      <c r="LB1" s="2"/>
      <c r="LC1" s="2"/>
      <c r="LD1" s="2"/>
      <c r="LE1" s="2"/>
      <c r="LF1" s="2"/>
      <c r="LG1" s="2"/>
      <c r="LH1" s="3" t="s">
        <v>1</v>
      </c>
      <c r="LK1" s="1"/>
      <c r="LL1" s="1"/>
      <c r="LM1" s="1"/>
      <c r="LN1" s="2" t="s">
        <v>0</v>
      </c>
      <c r="LO1" s="2"/>
      <c r="LP1" s="2"/>
      <c r="LQ1" s="2"/>
      <c r="LR1" s="2"/>
      <c r="LS1" s="2"/>
      <c r="LT1" s="2"/>
      <c r="LU1" s="2"/>
      <c r="LV1" s="3" t="s">
        <v>1</v>
      </c>
      <c r="LY1" s="1"/>
      <c r="LZ1" s="1"/>
      <c r="MA1" s="1"/>
      <c r="MB1" s="2" t="s">
        <v>0</v>
      </c>
      <c r="MC1" s="2"/>
      <c r="MD1" s="2"/>
      <c r="ME1" s="2"/>
      <c r="MF1" s="2"/>
      <c r="MG1" s="2"/>
      <c r="MH1" s="2"/>
      <c r="MI1" s="2"/>
      <c r="MJ1" s="3" t="s">
        <v>1</v>
      </c>
      <c r="MM1" s="1"/>
      <c r="MN1" s="1"/>
      <c r="MO1" s="1"/>
      <c r="MP1" s="2" t="s">
        <v>0</v>
      </c>
      <c r="MQ1" s="2"/>
      <c r="MR1" s="2"/>
      <c r="MS1" s="2"/>
      <c r="MT1" s="2"/>
      <c r="MU1" s="2"/>
      <c r="MV1" s="2"/>
      <c r="MW1" s="2"/>
      <c r="MX1" s="3" t="s">
        <v>1</v>
      </c>
      <c r="NA1" s="1"/>
      <c r="NB1" s="1"/>
      <c r="NC1" s="1"/>
      <c r="ND1" s="2" t="s">
        <v>0</v>
      </c>
      <c r="NE1" s="2"/>
      <c r="NF1" s="2"/>
      <c r="NG1" s="2"/>
      <c r="NH1" s="2"/>
      <c r="NI1" s="2"/>
      <c r="NJ1" s="2"/>
      <c r="NK1" s="2"/>
      <c r="NL1" s="3" t="s">
        <v>1</v>
      </c>
      <c r="NO1" s="1"/>
      <c r="NP1" s="1"/>
      <c r="NQ1" s="1"/>
      <c r="NR1" s="2" t="s">
        <v>0</v>
      </c>
      <c r="NS1" s="2"/>
      <c r="NT1" s="2"/>
      <c r="NU1" s="2"/>
      <c r="NV1" s="2"/>
      <c r="NW1" s="2"/>
      <c r="NX1" s="2"/>
      <c r="NY1" s="2"/>
      <c r="NZ1" s="3" t="s">
        <v>1</v>
      </c>
      <c r="OC1" s="1"/>
      <c r="OD1" s="1"/>
      <c r="OE1" s="1"/>
      <c r="OF1" s="2" t="s">
        <v>0</v>
      </c>
      <c r="OG1" s="2"/>
      <c r="OH1" s="2"/>
      <c r="OI1" s="2"/>
      <c r="OJ1" s="2"/>
      <c r="OK1" s="2"/>
      <c r="OL1" s="2"/>
      <c r="OM1" s="2"/>
      <c r="ON1" s="3" t="s">
        <v>1</v>
      </c>
      <c r="OQ1" s="1"/>
      <c r="OR1" s="1"/>
      <c r="OS1" s="1"/>
      <c r="OT1" s="2" t="s">
        <v>0</v>
      </c>
      <c r="OU1" s="2"/>
      <c r="OV1" s="2"/>
      <c r="OW1" s="2"/>
      <c r="OX1" s="2"/>
      <c r="OY1" s="2"/>
      <c r="OZ1" s="2"/>
      <c r="PA1" s="2"/>
      <c r="PB1" s="3" t="s">
        <v>1</v>
      </c>
      <c r="PE1" s="1"/>
      <c r="PF1" s="1"/>
      <c r="PG1" s="1"/>
      <c r="PH1" s="2" t="s">
        <v>0</v>
      </c>
      <c r="PI1" s="2"/>
      <c r="PJ1" s="2"/>
      <c r="PK1" s="2"/>
      <c r="PL1" s="2"/>
      <c r="PM1" s="2"/>
      <c r="PN1" s="2"/>
      <c r="PO1" s="2"/>
      <c r="PP1" s="3" t="s">
        <v>1</v>
      </c>
      <c r="PS1" s="1"/>
      <c r="PT1" s="1"/>
      <c r="PU1" s="1"/>
      <c r="PV1" s="2" t="s">
        <v>0</v>
      </c>
      <c r="PW1" s="2"/>
      <c r="PX1" s="2"/>
      <c r="PY1" s="2"/>
      <c r="PZ1" s="2"/>
      <c r="QA1" s="2"/>
      <c r="QB1" s="2"/>
      <c r="QC1" s="2"/>
      <c r="QD1" s="3" t="s">
        <v>1</v>
      </c>
      <c r="QG1" s="1"/>
      <c r="QH1" s="1"/>
      <c r="QI1" s="1"/>
      <c r="QJ1" s="2" t="s">
        <v>0</v>
      </c>
      <c r="QK1" s="2"/>
      <c r="QL1" s="2"/>
      <c r="QM1" s="2"/>
      <c r="QN1" s="2"/>
      <c r="QO1" s="2"/>
      <c r="QP1" s="2"/>
      <c r="QQ1" s="2"/>
      <c r="QR1" s="3" t="s">
        <v>1</v>
      </c>
      <c r="QU1" s="1"/>
      <c r="QV1" s="1"/>
      <c r="QW1" s="1"/>
      <c r="QX1" s="2" t="s">
        <v>0</v>
      </c>
      <c r="QY1" s="2"/>
      <c r="QZ1" s="2"/>
      <c r="RA1" s="2"/>
      <c r="RB1" s="2"/>
      <c r="RC1" s="2"/>
      <c r="RD1" s="2"/>
      <c r="RE1" s="2"/>
      <c r="RF1" s="3" t="s">
        <v>1</v>
      </c>
      <c r="RI1" s="1"/>
      <c r="RJ1" s="1"/>
      <c r="RK1" s="1"/>
      <c r="RL1" s="2" t="s">
        <v>0</v>
      </c>
      <c r="RM1" s="2"/>
      <c r="RN1" s="2"/>
      <c r="RO1" s="2"/>
      <c r="RP1" s="2"/>
      <c r="RQ1" s="2"/>
      <c r="RR1" s="2"/>
      <c r="RS1" s="2"/>
      <c r="RT1" s="3" t="s">
        <v>1</v>
      </c>
      <c r="RW1" s="1"/>
      <c r="RX1" s="1"/>
      <c r="RY1" s="1"/>
      <c r="RZ1" s="2" t="s">
        <v>0</v>
      </c>
      <c r="SA1" s="2"/>
      <c r="SB1" s="2"/>
      <c r="SC1" s="2"/>
      <c r="SD1" s="2"/>
      <c r="SE1" s="2"/>
      <c r="SF1" s="2"/>
      <c r="SG1" s="2"/>
      <c r="SH1" s="3" t="s">
        <v>1</v>
      </c>
      <c r="SK1" s="1"/>
      <c r="SL1" s="1"/>
      <c r="SM1" s="1"/>
      <c r="SN1" s="2" t="s">
        <v>0</v>
      </c>
      <c r="SO1" s="2"/>
      <c r="SP1" s="2"/>
      <c r="SQ1" s="2"/>
      <c r="SR1" s="2"/>
      <c r="SS1" s="2"/>
      <c r="ST1" s="2"/>
      <c r="SU1" s="2"/>
      <c r="SV1" s="3" t="s">
        <v>1</v>
      </c>
      <c r="SY1" s="1"/>
      <c r="SZ1" s="1"/>
      <c r="TA1" s="1"/>
      <c r="TB1" s="2" t="s">
        <v>0</v>
      </c>
      <c r="TC1" s="2"/>
      <c r="TD1" s="2"/>
      <c r="TE1" s="2"/>
      <c r="TF1" s="2"/>
      <c r="TG1" s="2"/>
      <c r="TH1" s="2"/>
      <c r="TI1" s="2"/>
      <c r="TJ1" s="3" t="s">
        <v>1</v>
      </c>
      <c r="TM1" s="1"/>
      <c r="TN1" s="1"/>
      <c r="TO1" s="1"/>
      <c r="TP1" s="2" t="s">
        <v>0</v>
      </c>
      <c r="TQ1" s="2"/>
      <c r="TR1" s="2"/>
      <c r="TS1" s="2"/>
      <c r="TT1" s="2"/>
      <c r="TU1" s="2"/>
      <c r="TV1" s="2"/>
      <c r="TW1" s="2"/>
      <c r="TX1" s="3" t="s">
        <v>1</v>
      </c>
      <c r="UA1" s="1"/>
      <c r="UB1" s="1"/>
      <c r="UC1" s="1"/>
      <c r="UD1" s="2" t="s">
        <v>0</v>
      </c>
      <c r="UE1" s="2"/>
      <c r="UF1" s="2"/>
      <c r="UG1" s="2"/>
      <c r="UH1" s="2"/>
      <c r="UI1" s="2"/>
      <c r="UJ1" s="2"/>
      <c r="UK1" s="2"/>
      <c r="UL1" s="3" t="s">
        <v>1</v>
      </c>
      <c r="UO1" s="1"/>
      <c r="UP1" s="1"/>
      <c r="UQ1" s="1"/>
      <c r="UR1" s="2" t="s">
        <v>0</v>
      </c>
      <c r="US1" s="2"/>
      <c r="UT1" s="2"/>
      <c r="UU1" s="2"/>
      <c r="UV1" s="2"/>
      <c r="UW1" s="2"/>
      <c r="UX1" s="2"/>
      <c r="UY1" s="2"/>
      <c r="UZ1" s="3" t="s">
        <v>1</v>
      </c>
      <c r="VC1" s="1"/>
      <c r="VD1" s="1"/>
      <c r="VE1" s="1"/>
      <c r="VF1" s="2" t="s">
        <v>0</v>
      </c>
      <c r="VG1" s="2"/>
      <c r="VH1" s="2"/>
      <c r="VI1" s="2"/>
      <c r="VJ1" s="2"/>
      <c r="VK1" s="2"/>
      <c r="VL1" s="2"/>
      <c r="VM1" s="2"/>
      <c r="VN1" s="3" t="s">
        <v>1</v>
      </c>
      <c r="VQ1" s="1"/>
      <c r="VR1" s="1"/>
      <c r="VS1" s="1"/>
      <c r="VT1" s="2" t="s">
        <v>0</v>
      </c>
      <c r="VU1" s="2"/>
      <c r="VV1" s="2"/>
      <c r="VW1" s="2"/>
      <c r="VX1" s="2"/>
      <c r="VY1" s="2"/>
      <c r="VZ1" s="2"/>
      <c r="WA1" s="2"/>
      <c r="WB1" s="3" t="s">
        <v>1</v>
      </c>
      <c r="WE1" s="1"/>
      <c r="WF1" s="1"/>
      <c r="WG1" s="1"/>
      <c r="WH1" s="2" t="s">
        <v>0</v>
      </c>
      <c r="WI1" s="2"/>
      <c r="WJ1" s="2"/>
      <c r="WK1" s="2"/>
      <c r="WL1" s="2"/>
      <c r="WM1" s="2"/>
      <c r="WN1" s="2"/>
      <c r="WO1" s="2"/>
      <c r="WP1" s="3" t="s">
        <v>1</v>
      </c>
      <c r="WS1" s="1"/>
      <c r="WT1" s="1"/>
      <c r="WU1" s="1"/>
      <c r="WV1" s="2" t="s">
        <v>0</v>
      </c>
      <c r="WW1" s="2"/>
      <c r="WX1" s="2"/>
      <c r="WY1" s="2"/>
      <c r="WZ1" s="2"/>
      <c r="XA1" s="2"/>
      <c r="XB1" s="2"/>
      <c r="XC1" s="2"/>
      <c r="XD1" s="3" t="s">
        <v>1</v>
      </c>
      <c r="XG1" s="1"/>
      <c r="XH1" s="1"/>
      <c r="XI1" s="1"/>
      <c r="XJ1" s="2" t="s">
        <v>0</v>
      </c>
      <c r="XK1" s="2"/>
      <c r="XL1" s="2"/>
      <c r="XM1" s="2"/>
      <c r="XN1" s="2"/>
      <c r="XO1" s="2"/>
      <c r="XP1" s="2"/>
      <c r="XQ1" s="2"/>
      <c r="XR1" s="3" t="s">
        <v>1</v>
      </c>
      <c r="XU1" s="1"/>
      <c r="XV1" s="1"/>
      <c r="XW1" s="1"/>
      <c r="XX1" s="2" t="s">
        <v>0</v>
      </c>
      <c r="XY1" s="2"/>
      <c r="XZ1" s="2"/>
      <c r="YA1" s="2"/>
      <c r="YB1" s="2"/>
      <c r="YC1" s="2"/>
      <c r="YD1" s="2"/>
      <c r="YE1" s="2"/>
      <c r="YF1" s="3" t="s">
        <v>1</v>
      </c>
      <c r="YI1" s="1"/>
      <c r="YJ1" s="1"/>
      <c r="YK1" s="1"/>
      <c r="YL1" s="2" t="s">
        <v>0</v>
      </c>
      <c r="YM1" s="2"/>
      <c r="YN1" s="2"/>
      <c r="YO1" s="2"/>
      <c r="YP1" s="2"/>
      <c r="YQ1" s="2"/>
      <c r="YR1" s="2"/>
      <c r="YS1" s="2"/>
      <c r="YT1" s="3" t="s">
        <v>1</v>
      </c>
      <c r="YW1" s="1"/>
      <c r="YX1" s="1"/>
      <c r="YY1" s="1"/>
      <c r="YZ1" s="2" t="s">
        <v>0</v>
      </c>
      <c r="ZA1" s="2"/>
      <c r="ZB1" s="2"/>
      <c r="ZC1" s="2"/>
      <c r="ZD1" s="2"/>
      <c r="ZE1" s="2"/>
      <c r="ZF1" s="2"/>
      <c r="ZG1" s="2"/>
      <c r="ZH1" s="3" t="s">
        <v>1</v>
      </c>
      <c r="ZK1" s="1"/>
      <c r="ZL1" s="1"/>
      <c r="ZM1" s="1"/>
      <c r="ZN1" s="2" t="s">
        <v>0</v>
      </c>
      <c r="ZO1" s="2"/>
      <c r="ZP1" s="2"/>
      <c r="ZQ1" s="2"/>
      <c r="ZR1" s="2"/>
      <c r="ZS1" s="2"/>
      <c r="ZT1" s="2"/>
      <c r="ZU1" s="2"/>
      <c r="ZV1" s="3" t="s">
        <v>1</v>
      </c>
      <c r="ZY1" s="8"/>
      <c r="ZZ1" s="9"/>
      <c r="AAA1" s="10"/>
      <c r="AAB1" s="11"/>
      <c r="AAC1" s="12" t="s">
        <v>2</v>
      </c>
      <c r="AAD1" s="12"/>
      <c r="AAE1" s="12"/>
      <c r="AAF1" s="12"/>
      <c r="AAG1" s="12"/>
      <c r="AAH1" s="13"/>
      <c r="AAI1" s="14" t="s">
        <v>1</v>
      </c>
      <c r="AAL1" s="8"/>
      <c r="AAM1" s="9"/>
      <c r="AAN1" s="10"/>
      <c r="AAO1" s="11"/>
      <c r="AAP1" s="12" t="s">
        <v>2</v>
      </c>
      <c r="AAQ1" s="12"/>
      <c r="AAR1" s="12"/>
      <c r="AAS1" s="12"/>
      <c r="AAT1" s="12"/>
      <c r="AAU1" s="13"/>
      <c r="AAV1" s="14" t="s">
        <v>1</v>
      </c>
      <c r="AAY1" s="8"/>
      <c r="AAZ1" s="9"/>
      <c r="ABA1" s="10"/>
      <c r="ABB1" s="11"/>
      <c r="ABC1" s="12" t="s">
        <v>2</v>
      </c>
      <c r="ABD1" s="12"/>
      <c r="ABE1" s="12"/>
      <c r="ABF1" s="12"/>
      <c r="ABG1" s="12"/>
      <c r="ABH1" s="13"/>
      <c r="ABI1" s="14" t="s">
        <v>1</v>
      </c>
      <c r="ABL1" s="8"/>
      <c r="ABM1" s="9"/>
      <c r="ABN1" s="10"/>
      <c r="ABO1" s="11"/>
      <c r="ABP1" s="12" t="s">
        <v>2</v>
      </c>
      <c r="ABQ1" s="12"/>
      <c r="ABR1" s="12"/>
      <c r="ABS1" s="12"/>
      <c r="ABT1" s="12"/>
      <c r="ABU1" s="13"/>
      <c r="ABV1" s="14" t="s">
        <v>1</v>
      </c>
      <c r="ABY1" s="8"/>
      <c r="ABZ1" s="9"/>
      <c r="ACA1" s="10"/>
      <c r="ACB1" s="11"/>
      <c r="ACC1" s="12" t="s">
        <v>2</v>
      </c>
      <c r="ACD1" s="12"/>
      <c r="ACE1" s="12"/>
      <c r="ACF1" s="12"/>
      <c r="ACG1" s="12"/>
      <c r="ACH1" s="13"/>
      <c r="ACI1" s="14" t="s">
        <v>1</v>
      </c>
      <c r="ACL1" s="8"/>
      <c r="ACM1" s="9"/>
      <c r="ACN1" s="10"/>
      <c r="ACO1" s="11"/>
      <c r="ACP1" s="12" t="s">
        <v>2</v>
      </c>
      <c r="ACQ1" s="12"/>
      <c r="ACR1" s="12"/>
      <c r="ACS1" s="12"/>
      <c r="ACT1" s="12"/>
      <c r="ACU1" s="13"/>
      <c r="ACV1" s="14" t="s">
        <v>1</v>
      </c>
      <c r="ACY1" s="8"/>
      <c r="ACZ1" s="9"/>
      <c r="ADA1" s="10"/>
      <c r="ADB1" s="11"/>
      <c r="ADC1" s="12" t="s">
        <v>2</v>
      </c>
      <c r="ADD1" s="12"/>
      <c r="ADE1" s="12"/>
      <c r="ADF1" s="12"/>
      <c r="ADG1" s="12"/>
      <c r="ADH1" s="13"/>
      <c r="ADI1" s="14" t="s">
        <v>1</v>
      </c>
      <c r="ADL1" s="8"/>
      <c r="ADM1" s="9"/>
      <c r="ADN1" s="10"/>
      <c r="ADO1" s="11"/>
      <c r="ADP1" s="12" t="s">
        <v>2</v>
      </c>
      <c r="ADQ1" s="12"/>
      <c r="ADR1" s="12"/>
      <c r="ADS1" s="12"/>
      <c r="ADT1" s="12"/>
      <c r="ADU1" s="13"/>
      <c r="ADV1" s="14" t="s">
        <v>1</v>
      </c>
      <c r="ADY1" s="8"/>
      <c r="ADZ1" s="9"/>
      <c r="AEA1" s="10"/>
      <c r="AEB1" s="11"/>
      <c r="AEC1" s="12" t="s">
        <v>2</v>
      </c>
      <c r="AED1" s="12"/>
      <c r="AEE1" s="12"/>
      <c r="AEF1" s="12"/>
      <c r="AEG1" s="12"/>
      <c r="AEH1" s="13"/>
      <c r="AEI1" s="14" t="s">
        <v>1</v>
      </c>
      <c r="AEL1" s="8"/>
      <c r="AEM1" s="9"/>
      <c r="AEN1" s="10"/>
      <c r="AEO1" s="11"/>
      <c r="AEP1" s="12" t="s">
        <v>2</v>
      </c>
      <c r="AEQ1" s="12"/>
      <c r="AER1" s="12"/>
      <c r="AES1" s="12"/>
      <c r="AET1" s="12"/>
      <c r="AEU1" s="13"/>
      <c r="AEV1" s="14" t="s">
        <v>1</v>
      </c>
      <c r="AEY1" s="8"/>
      <c r="AEZ1" s="9"/>
      <c r="AFA1" s="10"/>
      <c r="AFB1" s="11"/>
      <c r="AFC1" s="12" t="s">
        <v>2</v>
      </c>
      <c r="AFD1" s="12"/>
      <c r="AFE1" s="12"/>
      <c r="AFF1" s="12"/>
      <c r="AFG1" s="12"/>
      <c r="AFH1" s="13"/>
      <c r="AFI1" s="14" t="s">
        <v>1</v>
      </c>
      <c r="AFL1" s="8"/>
      <c r="AFM1" s="9"/>
      <c r="AFN1" s="10"/>
      <c r="AFO1" s="11"/>
      <c r="AFP1" s="12" t="s">
        <v>2</v>
      </c>
      <c r="AFQ1" s="12"/>
      <c r="AFR1" s="12"/>
      <c r="AFS1" s="12"/>
      <c r="AFT1" s="12"/>
      <c r="AFU1" s="13"/>
      <c r="AFV1" s="14" t="s">
        <v>1</v>
      </c>
      <c r="AFZ1" s="9"/>
      <c r="AGA1" s="10"/>
      <c r="AGB1" s="11"/>
      <c r="AGC1" s="12" t="s">
        <v>2</v>
      </c>
      <c r="AGD1" s="12"/>
      <c r="AGE1" s="12"/>
      <c r="AGF1" s="12"/>
      <c r="AGG1" s="12"/>
      <c r="AGH1" s="13"/>
      <c r="AGI1" s="14" t="s">
        <v>1</v>
      </c>
      <c r="AGL1" s="9"/>
      <c r="AGM1" s="10"/>
      <c r="AGN1" s="11"/>
      <c r="AGO1" s="12" t="s">
        <v>2</v>
      </c>
      <c r="AGP1" s="12"/>
      <c r="AGQ1" s="12"/>
      <c r="AGR1" s="12"/>
      <c r="AGS1" s="12"/>
      <c r="AGT1" s="13"/>
      <c r="AGU1" s="14" t="s">
        <v>1</v>
      </c>
      <c r="AGX1" s="9"/>
      <c r="AGY1" s="10"/>
      <c r="AGZ1" s="11"/>
      <c r="AHA1" s="12" t="s">
        <v>2</v>
      </c>
      <c r="AHB1" s="12"/>
      <c r="AHC1" s="12"/>
      <c r="AHD1" s="12"/>
      <c r="AHE1" s="12"/>
      <c r="AHF1" s="13"/>
      <c r="AHG1" s="14" t="s">
        <v>1</v>
      </c>
      <c r="AHJ1" s="9"/>
      <c r="AHK1" s="10"/>
      <c r="AHL1" s="11"/>
      <c r="AHM1" s="12" t="s">
        <v>2</v>
      </c>
      <c r="AHN1" s="12"/>
      <c r="AHO1" s="12"/>
      <c r="AHP1" s="12"/>
      <c r="AHQ1" s="12"/>
      <c r="AHR1" s="13"/>
      <c r="AHS1" s="14" t="s">
        <v>1</v>
      </c>
      <c r="AHV1" s="9"/>
      <c r="AHW1" s="10"/>
      <c r="AHX1" s="11"/>
      <c r="AHY1" s="12" t="s">
        <v>2</v>
      </c>
      <c r="AHZ1" s="12"/>
      <c r="AIA1" s="12"/>
      <c r="AIB1" s="12"/>
      <c r="AIC1" s="12"/>
      <c r="AID1" s="13"/>
      <c r="AIE1" s="14" t="s">
        <v>1</v>
      </c>
      <c r="AIH1" s="9"/>
      <c r="AII1" s="10"/>
      <c r="AIJ1" s="11"/>
      <c r="AIK1" s="12" t="s">
        <v>2</v>
      </c>
      <c r="AIL1" s="12"/>
      <c r="AIM1" s="12"/>
      <c r="AIN1" s="12"/>
      <c r="AIO1" s="12"/>
      <c r="AIP1" s="13"/>
      <c r="AIQ1" s="14" t="s">
        <v>1</v>
      </c>
      <c r="AIT1" s="9"/>
      <c r="AIU1" s="10"/>
      <c r="AIV1" s="11"/>
      <c r="AIW1" s="12" t="s">
        <v>2</v>
      </c>
      <c r="AIX1" s="12"/>
      <c r="AIY1" s="12"/>
      <c r="AIZ1" s="12"/>
      <c r="AJA1" s="12"/>
      <c r="AJB1" s="13"/>
      <c r="AJC1" s="14" t="s">
        <v>1</v>
      </c>
      <c r="AJF1" s="9"/>
      <c r="AJG1" s="10"/>
      <c r="AJH1" s="11"/>
      <c r="AJI1" s="12" t="s">
        <v>2</v>
      </c>
      <c r="AJJ1" s="12"/>
      <c r="AJK1" s="12"/>
      <c r="AJL1" s="12"/>
      <c r="AJM1" s="12"/>
      <c r="AJN1" s="13"/>
      <c r="AJO1" s="14" t="s">
        <v>1</v>
      </c>
      <c r="AJR1" s="9"/>
      <c r="AJS1" s="10"/>
      <c r="AJT1" s="11"/>
      <c r="AJU1" s="12" t="s">
        <v>2</v>
      </c>
      <c r="AJV1" s="12"/>
      <c r="AJW1" s="12"/>
      <c r="AJX1" s="12"/>
      <c r="AJY1" s="12"/>
      <c r="AJZ1" s="13"/>
      <c r="AKA1" s="14" t="s">
        <v>1</v>
      </c>
      <c r="AKD1" s="9"/>
      <c r="AKE1" s="10"/>
      <c r="AKF1" s="11"/>
      <c r="AKG1" s="12" t="s">
        <v>2</v>
      </c>
      <c r="AKH1" s="12"/>
      <c r="AKI1" s="12"/>
      <c r="AKJ1" s="12"/>
      <c r="AKK1" s="12"/>
      <c r="AKL1" s="13"/>
      <c r="AKM1" s="14" t="s">
        <v>1</v>
      </c>
      <c r="AKP1" s="9"/>
      <c r="AKQ1" s="10"/>
      <c r="AKR1" s="11"/>
      <c r="AKS1" s="12" t="s">
        <v>2</v>
      </c>
      <c r="AKT1" s="12"/>
      <c r="AKU1" s="12"/>
      <c r="AKV1" s="12"/>
      <c r="AKW1" s="12"/>
      <c r="AKX1" s="13"/>
      <c r="AKY1" s="14" t="s">
        <v>1</v>
      </c>
      <c r="ALB1" s="9"/>
      <c r="ALC1" s="10"/>
      <c r="ALD1" s="11"/>
      <c r="ALE1" s="12" t="s">
        <v>2</v>
      </c>
      <c r="ALF1" s="12"/>
      <c r="ALG1" s="12"/>
      <c r="ALH1" s="12"/>
      <c r="ALI1" s="12"/>
      <c r="ALJ1" s="13"/>
      <c r="ALK1" s="14" t="s">
        <v>1</v>
      </c>
      <c r="ALN1" s="9"/>
      <c r="ALO1" s="10"/>
      <c r="ALP1" s="11"/>
      <c r="ALQ1" s="12" t="s">
        <v>2</v>
      </c>
      <c r="ALR1" s="12"/>
      <c r="ALS1" s="12"/>
      <c r="ALT1" s="12"/>
      <c r="ALU1" s="12"/>
      <c r="ALV1" s="13"/>
      <c r="ALW1" s="14" t="s">
        <v>1</v>
      </c>
      <c r="ALZ1" s="9"/>
      <c r="AMA1" s="10"/>
      <c r="AMB1" s="11"/>
      <c r="AMC1" s="12" t="s">
        <v>2</v>
      </c>
      <c r="AMD1" s="12"/>
      <c r="AME1" s="12"/>
      <c r="AMF1" s="12"/>
      <c r="AMG1" s="12"/>
      <c r="AMH1" s="13"/>
      <c r="AMI1" s="14" t="s">
        <v>1</v>
      </c>
      <c r="AML1" s="9"/>
      <c r="AMM1" s="10"/>
      <c r="AMN1" s="11"/>
      <c r="AMO1" s="12" t="s">
        <v>2</v>
      </c>
      <c r="AMP1" s="12"/>
      <c r="AMQ1" s="12"/>
      <c r="AMR1" s="12"/>
      <c r="AMS1" s="12"/>
      <c r="AMT1" s="13"/>
      <c r="AMU1" s="14" t="s">
        <v>1</v>
      </c>
      <c r="AMX1" s="9"/>
      <c r="AMY1" s="10"/>
      <c r="AMZ1" s="11"/>
      <c r="ANA1" s="12" t="s">
        <v>2</v>
      </c>
      <c r="ANB1" s="12"/>
      <c r="ANC1" s="12"/>
      <c r="AND1" s="12"/>
      <c r="ANE1" s="12"/>
      <c r="ANF1" s="13"/>
      <c r="ANG1" s="14" t="s">
        <v>1</v>
      </c>
      <c r="ANJ1" s="9"/>
      <c r="ANK1" s="10"/>
      <c r="ANL1" s="11"/>
      <c r="ANM1" s="12" t="s">
        <v>2</v>
      </c>
      <c r="ANN1" s="12"/>
      <c r="ANO1" s="12"/>
      <c r="ANP1" s="12"/>
      <c r="ANQ1" s="12"/>
      <c r="ANR1" s="13"/>
      <c r="ANS1" s="14" t="s">
        <v>1</v>
      </c>
      <c r="ANV1" s="9"/>
      <c r="ANW1" s="10"/>
      <c r="ANX1" s="11"/>
      <c r="ANY1" s="12" t="s">
        <v>2</v>
      </c>
      <c r="ANZ1" s="12"/>
      <c r="AOA1" s="12"/>
      <c r="AOB1" s="12"/>
      <c r="AOC1" s="12"/>
      <c r="AOD1" s="13"/>
      <c r="AOE1" s="14" t="s">
        <v>1</v>
      </c>
      <c r="AOH1" s="9"/>
      <c r="AOI1" s="10"/>
      <c r="AOJ1" s="11"/>
      <c r="AOK1" s="12" t="s">
        <v>2</v>
      </c>
      <c r="AOL1" s="12"/>
      <c r="AOM1" s="12"/>
      <c r="AON1" s="12"/>
      <c r="AOO1" s="12"/>
      <c r="AOP1" s="13"/>
      <c r="AOQ1" s="14" t="s">
        <v>1</v>
      </c>
      <c r="AOT1" s="9"/>
      <c r="AOU1" s="10"/>
      <c r="AOV1" s="11"/>
      <c r="AOW1" s="12" t="s">
        <v>2</v>
      </c>
      <c r="AOX1" s="12"/>
      <c r="AOY1" s="12"/>
      <c r="AOZ1" s="12"/>
      <c r="APA1" s="12"/>
      <c r="APB1" s="13"/>
      <c r="APC1" s="14" t="s">
        <v>1</v>
      </c>
      <c r="APF1" s="9"/>
      <c r="APG1" s="10"/>
      <c r="APH1" s="11"/>
      <c r="API1" s="12" t="s">
        <v>2</v>
      </c>
      <c r="APJ1" s="12"/>
      <c r="APK1" s="12"/>
      <c r="APL1" s="12"/>
      <c r="APM1" s="12"/>
      <c r="APN1" s="13"/>
      <c r="APO1" s="14" t="s">
        <v>1</v>
      </c>
      <c r="APR1" s="9"/>
      <c r="APS1" s="10"/>
      <c r="APT1" s="11"/>
      <c r="APU1" s="12" t="s">
        <v>2</v>
      </c>
      <c r="APV1" s="12"/>
      <c r="APW1" s="12"/>
      <c r="APX1" s="12"/>
      <c r="APY1" s="12"/>
      <c r="APZ1" s="13"/>
      <c r="AQA1" s="14" t="s">
        <v>1</v>
      </c>
      <c r="AQD1" s="9"/>
      <c r="AQE1" s="10"/>
      <c r="AQF1" s="11"/>
      <c r="AQG1" s="12" t="s">
        <v>2</v>
      </c>
      <c r="AQH1" s="12"/>
      <c r="AQI1" s="12"/>
      <c r="AQJ1" s="12"/>
      <c r="AQK1" s="12"/>
      <c r="AQL1" s="13"/>
      <c r="AQM1" s="14" t="s">
        <v>1</v>
      </c>
      <c r="AQP1" s="9"/>
      <c r="AQQ1" s="10"/>
      <c r="AQR1" s="11"/>
      <c r="AQS1" s="12" t="s">
        <v>2</v>
      </c>
      <c r="AQT1" s="12"/>
      <c r="AQU1" s="12"/>
      <c r="AQV1" s="12"/>
      <c r="AQW1" s="12"/>
      <c r="AQX1" s="13"/>
      <c r="AQY1" s="14" t="s">
        <v>1</v>
      </c>
      <c r="ARB1" s="9"/>
      <c r="ARC1" s="10"/>
      <c r="ARD1" s="11"/>
      <c r="ARE1" s="12" t="s">
        <v>2</v>
      </c>
      <c r="ARF1" s="12"/>
      <c r="ARG1" s="12"/>
      <c r="ARH1" s="12"/>
      <c r="ARI1" s="12"/>
      <c r="ARJ1" s="13"/>
      <c r="ARK1" s="14" t="s">
        <v>1</v>
      </c>
      <c r="ARN1" s="9"/>
      <c r="ARO1" s="10"/>
      <c r="ARP1" s="11"/>
      <c r="ARQ1" s="12" t="s">
        <v>2</v>
      </c>
      <c r="ARR1" s="12"/>
      <c r="ARS1" s="12"/>
      <c r="ART1" s="12"/>
      <c r="ARU1" s="12"/>
      <c r="ARV1" s="13"/>
      <c r="ARW1" s="14" t="s">
        <v>1</v>
      </c>
      <c r="ARZ1" s="9"/>
      <c r="ASA1" s="10"/>
      <c r="ASB1" s="11"/>
      <c r="ASC1" s="12" t="s">
        <v>2</v>
      </c>
      <c r="ASD1" s="12"/>
      <c r="ASE1" s="12"/>
      <c r="ASF1" s="12"/>
      <c r="ASG1" s="12"/>
      <c r="ASH1" s="13"/>
      <c r="ASI1" s="14" t="s">
        <v>1</v>
      </c>
      <c r="ASL1" s="9"/>
      <c r="ASM1" s="10"/>
      <c r="ASN1" s="11"/>
      <c r="ASO1" s="12" t="s">
        <v>2</v>
      </c>
      <c r="ASP1" s="12"/>
      <c r="ASQ1" s="12"/>
      <c r="ASR1" s="12"/>
      <c r="ASS1" s="12"/>
      <c r="AST1" s="13"/>
      <c r="ASU1" s="14" t="s">
        <v>1</v>
      </c>
      <c r="ASX1" s="9"/>
      <c r="ASY1" s="10"/>
      <c r="ASZ1" s="11"/>
      <c r="ATA1" s="12" t="s">
        <v>2</v>
      </c>
      <c r="ATB1" s="12"/>
      <c r="ATC1" s="12"/>
      <c r="ATD1" s="12"/>
      <c r="ATE1" s="12"/>
      <c r="ATF1" s="13"/>
      <c r="ATG1" s="14" t="s">
        <v>1</v>
      </c>
      <c r="ATJ1" s="9"/>
      <c r="ATK1" s="10"/>
      <c r="ATL1" s="11"/>
      <c r="ATM1" s="12" t="s">
        <v>2</v>
      </c>
      <c r="ATN1" s="12"/>
      <c r="ATO1" s="12"/>
      <c r="ATP1" s="12"/>
      <c r="ATQ1" s="12"/>
      <c r="ATR1" s="13"/>
      <c r="ATS1" s="14" t="s">
        <v>1</v>
      </c>
      <c r="ATV1" s="9"/>
      <c r="ATW1" s="10"/>
      <c r="ATX1" s="11"/>
      <c r="ATY1" s="12" t="s">
        <v>2</v>
      </c>
      <c r="ATZ1" s="12"/>
      <c r="AUA1" s="12"/>
      <c r="AUB1" s="12"/>
      <c r="AUC1" s="12"/>
      <c r="AUD1" s="13"/>
      <c r="AUE1" s="14" t="s">
        <v>1</v>
      </c>
      <c r="AUH1" s="9"/>
      <c r="AUI1" s="10"/>
      <c r="AUJ1" s="11"/>
      <c r="AUK1" s="12" t="s">
        <v>2</v>
      </c>
      <c r="AUL1" s="12"/>
      <c r="AUM1" s="12"/>
      <c r="AUN1" s="12"/>
      <c r="AUO1" s="12"/>
      <c r="AUP1" s="13"/>
      <c r="AUQ1" s="14" t="s">
        <v>1</v>
      </c>
      <c r="AUT1" s="9"/>
      <c r="AUU1" s="10"/>
      <c r="AUV1" s="11"/>
      <c r="AUW1" s="12" t="s">
        <v>2</v>
      </c>
      <c r="AUX1" s="12"/>
      <c r="AUY1" s="12"/>
      <c r="AUZ1" s="12"/>
      <c r="AVA1" s="12"/>
      <c r="AVB1" s="13"/>
      <c r="AVC1" s="14" t="s">
        <v>1</v>
      </c>
      <c r="AVF1" s="9"/>
      <c r="AVG1" s="10"/>
      <c r="AVH1" s="11"/>
      <c r="AVI1" s="12" t="s">
        <v>2</v>
      </c>
      <c r="AVJ1" s="12"/>
      <c r="AVK1" s="12"/>
      <c r="AVL1" s="12"/>
      <c r="AVM1" s="12"/>
      <c r="AVN1" s="13"/>
      <c r="AVO1" s="14" t="s">
        <v>1</v>
      </c>
      <c r="AVR1" s="9"/>
      <c r="AVS1" s="10"/>
      <c r="AVT1" s="11"/>
      <c r="AVU1" s="12" t="s">
        <v>2</v>
      </c>
      <c r="AVV1" s="12"/>
      <c r="AVW1" s="12"/>
      <c r="AVX1" s="12"/>
      <c r="AVY1" s="12"/>
      <c r="AVZ1" s="13"/>
      <c r="AWA1" s="14" t="s">
        <v>1</v>
      </c>
      <c r="AWD1" s="9"/>
      <c r="AWE1" s="10"/>
      <c r="AWF1" s="11"/>
      <c r="AWG1" s="12" t="s">
        <v>2</v>
      </c>
      <c r="AWH1" s="12"/>
      <c r="AWI1" s="12"/>
      <c r="AWJ1" s="12"/>
      <c r="AWK1" s="12"/>
      <c r="AWL1" s="13"/>
      <c r="AWM1" s="14" t="s">
        <v>1</v>
      </c>
      <c r="AWP1" s="9"/>
      <c r="AWQ1" s="10"/>
      <c r="AWR1" s="11"/>
      <c r="AWS1" s="12" t="s">
        <v>2</v>
      </c>
      <c r="AWT1" s="12"/>
      <c r="AWU1" s="12"/>
      <c r="AWV1" s="12"/>
      <c r="AWW1" s="12"/>
      <c r="AWX1" s="13"/>
      <c r="AWY1" s="14" t="s">
        <v>1</v>
      </c>
      <c r="AXB1" s="9"/>
      <c r="AXC1" s="10"/>
      <c r="AXD1" s="11"/>
      <c r="AXE1" s="12" t="s">
        <v>2</v>
      </c>
      <c r="AXF1" s="12"/>
      <c r="AXG1" s="12"/>
      <c r="AXH1" s="12"/>
      <c r="AXI1" s="12"/>
      <c r="AXJ1" s="13"/>
      <c r="AXK1" s="14" t="s">
        <v>1</v>
      </c>
      <c r="AXN1" s="9"/>
      <c r="AXO1" s="10"/>
      <c r="AXP1" s="11"/>
      <c r="AXQ1" s="12" t="s">
        <v>2</v>
      </c>
      <c r="AXR1" s="12"/>
      <c r="AXS1" s="12"/>
      <c r="AXT1" s="12"/>
      <c r="AXU1" s="12"/>
      <c r="AXV1" s="13"/>
      <c r="AXW1" s="14" t="s">
        <v>1</v>
      </c>
      <c r="AXZ1" s="9"/>
      <c r="AYA1" s="10"/>
      <c r="AYB1" s="11"/>
      <c r="AYC1" s="12" t="s">
        <v>2</v>
      </c>
      <c r="AYD1" s="12"/>
      <c r="AYE1" s="12"/>
      <c r="AYF1" s="12"/>
      <c r="AYG1" s="12"/>
      <c r="AYH1" s="13"/>
      <c r="AYI1" s="14" t="s">
        <v>1</v>
      </c>
      <c r="AYL1" s="9"/>
      <c r="AYM1" s="10"/>
      <c r="AYN1" s="11"/>
      <c r="AYO1" s="12" t="s">
        <v>2</v>
      </c>
      <c r="AYP1" s="12"/>
      <c r="AYQ1" s="12"/>
      <c r="AYR1" s="12"/>
      <c r="AYS1" s="12"/>
      <c r="AYT1" s="13"/>
      <c r="AYU1" s="14" t="s">
        <v>1</v>
      </c>
      <c r="AYX1" s="9"/>
      <c r="AYY1" s="10"/>
      <c r="AYZ1" s="11"/>
      <c r="AZA1" s="12" t="s">
        <v>2</v>
      </c>
      <c r="AZB1" s="12"/>
      <c r="AZC1" s="12"/>
      <c r="AZD1" s="12"/>
      <c r="AZE1" s="12"/>
      <c r="AZF1" s="13"/>
      <c r="AZG1" s="14" t="s">
        <v>1</v>
      </c>
      <c r="AZJ1" s="9"/>
      <c r="AZK1" s="10"/>
      <c r="AZL1" s="11"/>
      <c r="AZM1" s="12" t="s">
        <v>2</v>
      </c>
      <c r="AZN1" s="12"/>
      <c r="AZO1" s="12"/>
      <c r="AZP1" s="12"/>
      <c r="AZQ1" s="12"/>
      <c r="AZR1" s="13"/>
      <c r="AZS1" s="14" t="s">
        <v>1</v>
      </c>
      <c r="AZV1" s="9"/>
      <c r="AZW1" s="10"/>
      <c r="AZX1" s="11"/>
      <c r="AZY1" s="12" t="s">
        <v>2</v>
      </c>
      <c r="AZZ1" s="12"/>
      <c r="BAA1" s="12"/>
      <c r="BAB1" s="12"/>
      <c r="BAC1" s="12"/>
      <c r="BAD1" s="13"/>
      <c r="BAE1" s="14" t="s">
        <v>1</v>
      </c>
      <c r="BAH1" s="9"/>
      <c r="BAI1" s="10"/>
      <c r="BAJ1" s="11"/>
      <c r="BAK1" s="12" t="s">
        <v>2</v>
      </c>
      <c r="BAL1" s="12"/>
      <c r="BAM1" s="12"/>
      <c r="BAN1" s="12"/>
      <c r="BAO1" s="12"/>
      <c r="BAP1" s="13"/>
      <c r="BAQ1" s="14" t="s">
        <v>1</v>
      </c>
      <c r="BAT1" s="9"/>
      <c r="BAU1" s="10"/>
      <c r="BAV1" s="11"/>
      <c r="BAW1" s="12" t="s">
        <v>2</v>
      </c>
      <c r="BAX1" s="12"/>
      <c r="BAY1" s="12"/>
      <c r="BAZ1" s="12"/>
      <c r="BBA1" s="12"/>
      <c r="BBB1" s="13"/>
      <c r="BBC1" s="14" t="s">
        <v>1</v>
      </c>
      <c r="BBF1" s="9"/>
      <c r="BBG1" s="10"/>
      <c r="BBH1" s="11"/>
      <c r="BBI1" s="12" t="s">
        <v>2</v>
      </c>
      <c r="BBJ1" s="12"/>
      <c r="BBK1" s="12"/>
      <c r="BBL1" s="12"/>
      <c r="BBM1" s="12"/>
      <c r="BBN1" s="13"/>
      <c r="BBO1" s="14" t="s">
        <v>1</v>
      </c>
      <c r="BBR1" s="9"/>
      <c r="BBS1" s="10"/>
      <c r="BBT1" s="11"/>
      <c r="BBU1" s="12" t="s">
        <v>2</v>
      </c>
      <c r="BBV1" s="12"/>
      <c r="BBW1" s="12"/>
      <c r="BBX1" s="12"/>
      <c r="BBY1" s="12"/>
      <c r="BBZ1" s="13"/>
      <c r="BCA1" s="14" t="s">
        <v>1</v>
      </c>
      <c r="BCD1" s="9"/>
      <c r="BCE1" s="10"/>
      <c r="BCF1" s="11"/>
      <c r="BCG1" s="12" t="s">
        <v>2</v>
      </c>
      <c r="BCH1" s="12"/>
      <c r="BCI1" s="12"/>
      <c r="BCJ1" s="12"/>
      <c r="BCK1" s="12"/>
      <c r="BCL1" s="13"/>
      <c r="BCM1" s="14" t="s">
        <v>1</v>
      </c>
      <c r="BCP1" s="9"/>
      <c r="BCQ1" s="10"/>
      <c r="BCR1" s="11"/>
      <c r="BCS1" s="12" t="s">
        <v>2</v>
      </c>
      <c r="BCT1" s="12"/>
      <c r="BCU1" s="12"/>
      <c r="BCV1" s="12"/>
      <c r="BCW1" s="12"/>
      <c r="BCX1" s="13"/>
      <c r="BCY1" s="14" t="s">
        <v>1</v>
      </c>
      <c r="BDB1" s="9"/>
      <c r="BDC1" s="10"/>
      <c r="BDD1" s="11"/>
      <c r="BDE1" s="12" t="s">
        <v>2</v>
      </c>
      <c r="BDF1" s="12"/>
      <c r="BDG1" s="12"/>
      <c r="BDH1" s="12"/>
      <c r="BDI1" s="12"/>
      <c r="BDJ1" s="13"/>
      <c r="BDK1" s="14" t="s">
        <v>1</v>
      </c>
      <c r="BDN1" s="9"/>
      <c r="BDO1" s="10"/>
      <c r="BDP1" s="11"/>
      <c r="BDQ1" s="12" t="s">
        <v>2</v>
      </c>
      <c r="BDR1" s="12"/>
      <c r="BDS1" s="12"/>
      <c r="BDT1" s="12"/>
      <c r="BDU1" s="12"/>
      <c r="BDV1" s="13"/>
      <c r="BDW1" s="14" t="s">
        <v>1</v>
      </c>
      <c r="BDZ1" s="9"/>
      <c r="BEA1" s="10"/>
      <c r="BEB1" s="11"/>
      <c r="BEC1" s="12" t="s">
        <v>2</v>
      </c>
      <c r="BED1" s="12"/>
      <c r="BEE1" s="12"/>
      <c r="BEF1" s="12"/>
      <c r="BEG1" s="12"/>
      <c r="BEH1" s="13"/>
      <c r="BEI1" s="14" t="s">
        <v>1</v>
      </c>
      <c r="BEL1" s="9"/>
      <c r="BEM1" s="10"/>
      <c r="BEN1" s="11"/>
      <c r="BEO1" s="12" t="s">
        <v>2</v>
      </c>
      <c r="BEP1" s="12"/>
      <c r="BEQ1" s="12"/>
      <c r="BER1" s="12"/>
      <c r="BES1" s="12"/>
      <c r="BET1" s="13"/>
      <c r="BEU1" s="14" t="s">
        <v>1</v>
      </c>
      <c r="BEX1" s="9"/>
      <c r="BEY1" s="10"/>
      <c r="BEZ1" s="11"/>
      <c r="BFA1" s="12" t="s">
        <v>2</v>
      </c>
      <c r="BFB1" s="12"/>
      <c r="BFC1" s="12"/>
      <c r="BFD1" s="12"/>
      <c r="BFE1" s="12"/>
      <c r="BFF1" s="13"/>
      <c r="BFG1" s="14" t="s">
        <v>1</v>
      </c>
      <c r="BFJ1" s="9"/>
      <c r="BFK1" s="10"/>
      <c r="BFL1" s="11"/>
      <c r="BFM1" s="12" t="s">
        <v>2</v>
      </c>
      <c r="BFN1" s="12"/>
      <c r="BFO1" s="12"/>
      <c r="BFP1" s="12"/>
      <c r="BFQ1" s="12"/>
      <c r="BFR1" s="13"/>
      <c r="BFS1" s="14" t="s">
        <v>1</v>
      </c>
      <c r="BFV1" s="9"/>
      <c r="BFW1" s="10"/>
      <c r="BFX1" s="11"/>
      <c r="BFY1" s="12" t="s">
        <v>2</v>
      </c>
      <c r="BFZ1" s="12"/>
      <c r="BGA1" s="12"/>
      <c r="BGB1" s="12"/>
      <c r="BGC1" s="12"/>
      <c r="BGD1" s="13"/>
      <c r="BGE1" s="14" t="s">
        <v>1</v>
      </c>
      <c r="BGH1" s="9"/>
      <c r="BGI1" s="10"/>
      <c r="BGJ1" s="11"/>
      <c r="BGK1" s="12" t="s">
        <v>2</v>
      </c>
      <c r="BGL1" s="12"/>
      <c r="BGM1" s="12"/>
      <c r="BGN1" s="12"/>
      <c r="BGO1" s="12"/>
      <c r="BGP1" s="13"/>
      <c r="BGQ1" s="14" t="s">
        <v>1</v>
      </c>
      <c r="BGT1" s="9"/>
      <c r="BGU1" s="10"/>
      <c r="BGV1" s="11"/>
      <c r="BGW1" s="12" t="s">
        <v>2</v>
      </c>
      <c r="BGX1" s="12"/>
      <c r="BGY1" s="12"/>
      <c r="BGZ1" s="12"/>
      <c r="BHA1" s="12"/>
      <c r="BHB1" s="13"/>
      <c r="BHC1" s="14" t="s">
        <v>1</v>
      </c>
      <c r="BHF1" s="9"/>
      <c r="BHG1" s="10"/>
      <c r="BHH1" s="11"/>
      <c r="BHI1" s="12" t="s">
        <v>2</v>
      </c>
      <c r="BHJ1" s="12"/>
      <c r="BHK1" s="12"/>
      <c r="BHL1" s="12"/>
      <c r="BHM1" s="12"/>
      <c r="BHN1" s="13"/>
      <c r="BHO1" s="14" t="s">
        <v>1</v>
      </c>
      <c r="BHR1" s="9"/>
      <c r="BHS1" s="10"/>
      <c r="BHT1" s="11"/>
      <c r="BHU1" s="12" t="s">
        <v>2</v>
      </c>
      <c r="BHV1" s="12"/>
      <c r="BHW1" s="12"/>
      <c r="BHX1" s="12"/>
      <c r="BHY1" s="12"/>
      <c r="BHZ1" s="13"/>
      <c r="BIA1" s="14" t="s">
        <v>1</v>
      </c>
      <c r="BID1" s="9"/>
      <c r="BIE1" s="10"/>
      <c r="BIF1" s="11"/>
      <c r="BIG1" s="12" t="s">
        <v>2</v>
      </c>
      <c r="BIH1" s="12"/>
      <c r="BII1" s="12"/>
      <c r="BIJ1" s="12"/>
      <c r="BIK1" s="12"/>
      <c r="BIL1" s="13"/>
      <c r="BIM1" s="14" t="s">
        <v>1</v>
      </c>
      <c r="BIP1" s="9"/>
      <c r="BIQ1" s="10"/>
      <c r="BIR1" s="11"/>
      <c r="BIS1" s="12" t="s">
        <v>2</v>
      </c>
      <c r="BIT1" s="12"/>
      <c r="BIU1" s="12"/>
      <c r="BIV1" s="12"/>
      <c r="BIW1" s="12"/>
      <c r="BIX1" s="13"/>
      <c r="BIY1" s="14" t="s">
        <v>1</v>
      </c>
      <c r="BJB1" s="9"/>
      <c r="BJC1" s="10"/>
      <c r="BJD1" s="11"/>
      <c r="BJE1" s="12" t="s">
        <v>2</v>
      </c>
      <c r="BJF1" s="12"/>
      <c r="BJG1" s="12"/>
      <c r="BJH1" s="12"/>
      <c r="BJI1" s="12"/>
      <c r="BJJ1" s="13"/>
      <c r="BJK1" s="14" t="s">
        <v>1</v>
      </c>
      <c r="BJN1" s="9"/>
      <c r="BJO1" s="10"/>
      <c r="BJP1" s="11"/>
      <c r="BJQ1" s="12" t="s">
        <v>2</v>
      </c>
      <c r="BJR1" s="12"/>
      <c r="BJS1" s="12"/>
      <c r="BJT1" s="12"/>
      <c r="BJU1" s="12"/>
      <c r="BJV1" s="13"/>
      <c r="BJW1" s="14" t="s">
        <v>1</v>
      </c>
      <c r="BJZ1" s="9"/>
      <c r="BKA1" s="10"/>
      <c r="BKB1" s="11"/>
      <c r="BKC1" s="12" t="s">
        <v>2</v>
      </c>
      <c r="BKD1" s="12"/>
      <c r="BKE1" s="12"/>
      <c r="BKF1" s="12"/>
      <c r="BKG1" s="12"/>
      <c r="BKH1" s="13"/>
      <c r="BKI1" s="14" t="s">
        <v>1</v>
      </c>
      <c r="BKL1" s="9"/>
      <c r="BKM1" s="10"/>
      <c r="BKN1" s="11"/>
      <c r="BKO1" s="12" t="s">
        <v>2</v>
      </c>
      <c r="BKP1" s="12"/>
      <c r="BKQ1" s="12"/>
      <c r="BKR1" s="12"/>
      <c r="BKS1" s="12"/>
      <c r="BKT1" s="13"/>
      <c r="BKU1" s="14" t="s">
        <v>1</v>
      </c>
      <c r="BKX1" s="9"/>
      <c r="BKY1" s="10"/>
      <c r="BKZ1" s="11"/>
      <c r="BLA1" s="12" t="s">
        <v>2</v>
      </c>
      <c r="BLB1" s="12"/>
      <c r="BLC1" s="12"/>
      <c r="BLD1" s="12"/>
      <c r="BLE1" s="12"/>
      <c r="BLF1" s="13"/>
      <c r="BLG1" s="14" t="s">
        <v>1</v>
      </c>
      <c r="BLJ1" s="9"/>
      <c r="BLK1" s="10"/>
      <c r="BLL1" s="11"/>
      <c r="BLM1" s="12" t="s">
        <v>2</v>
      </c>
      <c r="BLN1" s="12"/>
      <c r="BLO1" s="12"/>
      <c r="BLP1" s="12"/>
      <c r="BLQ1" s="12"/>
      <c r="BLR1" s="13"/>
      <c r="BLS1" s="14" t="s">
        <v>1</v>
      </c>
      <c r="BLV1" s="9"/>
      <c r="BLW1" s="10"/>
      <c r="BLX1" s="11"/>
      <c r="BLY1" s="12" t="s">
        <v>2</v>
      </c>
      <c r="BLZ1" s="12"/>
      <c r="BMA1" s="12"/>
      <c r="BMB1" s="12"/>
      <c r="BMC1" s="12"/>
      <c r="BMD1" s="13"/>
      <c r="BME1" s="14" t="s">
        <v>1</v>
      </c>
      <c r="BMH1" s="9"/>
      <c r="BMI1" s="10"/>
      <c r="BMJ1" s="11"/>
      <c r="BMK1" s="12" t="s">
        <v>2</v>
      </c>
      <c r="BML1" s="12"/>
      <c r="BMM1" s="12"/>
      <c r="BMN1" s="12"/>
      <c r="BMO1" s="12"/>
      <c r="BMP1" s="13"/>
      <c r="BMQ1" s="14" t="s">
        <v>1</v>
      </c>
      <c r="BMT1" s="9"/>
      <c r="BMU1" s="10"/>
      <c r="BMV1" s="11"/>
      <c r="BMW1" s="12" t="s">
        <v>2</v>
      </c>
      <c r="BMX1" s="12"/>
      <c r="BMY1" s="12"/>
      <c r="BMZ1" s="12"/>
      <c r="BNA1" s="12"/>
      <c r="BNB1" s="13"/>
      <c r="BNC1" s="14" t="s">
        <v>1</v>
      </c>
      <c r="BNF1" s="9"/>
      <c r="BNG1" s="10"/>
      <c r="BNH1" s="11"/>
      <c r="BNI1" s="12" t="s">
        <v>2</v>
      </c>
      <c r="BNJ1" s="12"/>
      <c r="BNK1" s="12"/>
      <c r="BNL1" s="12"/>
      <c r="BNM1" s="12"/>
      <c r="BNN1" s="13"/>
      <c r="BNO1" s="14" t="s">
        <v>1</v>
      </c>
      <c r="BNR1" s="9"/>
      <c r="BNS1" s="10"/>
      <c r="BNT1" s="11"/>
      <c r="BNU1" s="12" t="s">
        <v>2</v>
      </c>
      <c r="BNV1" s="12"/>
      <c r="BNW1" s="12"/>
      <c r="BNX1" s="12"/>
      <c r="BNY1" s="12"/>
      <c r="BNZ1" s="13"/>
      <c r="BOA1" s="14" t="s">
        <v>1</v>
      </c>
      <c r="BOD1" s="9"/>
      <c r="BOE1" s="10"/>
      <c r="BOF1" s="11"/>
      <c r="BOG1" s="12" t="s">
        <v>2</v>
      </c>
      <c r="BOH1" s="12"/>
      <c r="BOI1" s="12"/>
      <c r="BOJ1" s="12"/>
      <c r="BOK1" s="12"/>
      <c r="BOL1" s="13"/>
      <c r="BOM1" s="14" t="s">
        <v>1</v>
      </c>
      <c r="BOP1" s="9"/>
      <c r="BOQ1" s="10"/>
      <c r="BOR1" s="11"/>
      <c r="BOS1" s="12" t="s">
        <v>2</v>
      </c>
      <c r="BOT1" s="12"/>
      <c r="BOU1" s="12"/>
      <c r="BOV1" s="12"/>
      <c r="BOW1" s="12"/>
      <c r="BOX1" s="13"/>
      <c r="BOY1" s="14" t="s">
        <v>1</v>
      </c>
      <c r="BPB1" s="9"/>
      <c r="BPC1" s="10"/>
      <c r="BPD1" s="11"/>
      <c r="BPE1" s="12" t="s">
        <v>2</v>
      </c>
      <c r="BPF1" s="12"/>
      <c r="BPG1" s="12"/>
      <c r="BPH1" s="12"/>
      <c r="BPI1" s="12"/>
      <c r="BPJ1" s="13"/>
      <c r="BPK1" s="14" t="s">
        <v>1</v>
      </c>
      <c r="BPN1" s="9"/>
      <c r="BPO1" s="10"/>
      <c r="BPP1" s="11"/>
      <c r="BPQ1" s="12" t="s">
        <v>2</v>
      </c>
      <c r="BPR1" s="12"/>
      <c r="BPS1" s="12"/>
      <c r="BPT1" s="12"/>
      <c r="BPU1" s="12"/>
      <c r="BPV1" s="13"/>
      <c r="BPW1" s="14" t="s">
        <v>1</v>
      </c>
      <c r="BPZ1" s="9"/>
      <c r="BQA1" s="10"/>
      <c r="BQB1" s="11"/>
      <c r="BQC1" s="12" t="s">
        <v>2</v>
      </c>
      <c r="BQD1" s="12"/>
      <c r="BQE1" s="12"/>
      <c r="BQF1" s="12"/>
      <c r="BQG1" s="12"/>
      <c r="BQH1" s="13"/>
      <c r="BQI1" s="14" t="s">
        <v>1</v>
      </c>
      <c r="BQL1" s="9"/>
      <c r="BQM1" s="10"/>
      <c r="BQN1" s="11"/>
      <c r="BQO1" s="12" t="s">
        <v>2</v>
      </c>
      <c r="BQP1" s="12"/>
      <c r="BQQ1" s="12"/>
      <c r="BQR1" s="12"/>
      <c r="BQS1" s="12"/>
      <c r="BQT1" s="13"/>
      <c r="BQU1" s="14" t="s">
        <v>1</v>
      </c>
      <c r="BQX1" s="9"/>
      <c r="BQY1" s="10"/>
      <c r="BQZ1" s="11"/>
      <c r="BRA1" s="12" t="s">
        <v>2</v>
      </c>
      <c r="BRB1" s="12"/>
      <c r="BRC1" s="12"/>
      <c r="BRD1" s="12"/>
      <c r="BRE1" s="12"/>
      <c r="BRF1" s="13"/>
      <c r="BRG1" s="14" t="s">
        <v>1</v>
      </c>
      <c r="BRJ1" s="9"/>
      <c r="BRK1" s="10"/>
      <c r="BRL1" s="11"/>
      <c r="BRM1" s="12" t="s">
        <v>2</v>
      </c>
      <c r="BRN1" s="12"/>
      <c r="BRO1" s="12"/>
      <c r="BRP1" s="12"/>
      <c r="BRQ1" s="12"/>
      <c r="BRR1" s="13"/>
      <c r="BRS1" s="14" t="s">
        <v>1</v>
      </c>
      <c r="BRV1" s="9"/>
      <c r="BRW1" s="10"/>
      <c r="BRX1" s="11"/>
      <c r="BRY1" s="12" t="s">
        <v>2</v>
      </c>
      <c r="BRZ1" s="12"/>
      <c r="BSA1" s="12"/>
      <c r="BSB1" s="12"/>
      <c r="BSC1" s="12"/>
      <c r="BSD1" s="13"/>
      <c r="BSE1" s="14" t="s">
        <v>1</v>
      </c>
      <c r="BSH1" s="9"/>
      <c r="BSI1" s="10"/>
      <c r="BSJ1" s="11"/>
      <c r="BSK1" s="12" t="s">
        <v>2</v>
      </c>
      <c r="BSL1" s="12"/>
      <c r="BSM1" s="12"/>
      <c r="BSN1" s="12"/>
      <c r="BSO1" s="12"/>
      <c r="BSP1" s="13"/>
      <c r="BSQ1" s="14" t="s">
        <v>1</v>
      </c>
      <c r="BST1" s="9"/>
      <c r="BSU1" s="10"/>
      <c r="BSV1" s="11"/>
      <c r="BSW1" s="12" t="s">
        <v>2</v>
      </c>
      <c r="BSX1" s="12"/>
      <c r="BSY1" s="12"/>
      <c r="BSZ1" s="12"/>
      <c r="BTA1" s="12"/>
      <c r="BTB1" s="13"/>
      <c r="BTC1" s="14" t="s">
        <v>1</v>
      </c>
      <c r="BTF1" s="9"/>
      <c r="BTG1" s="10"/>
      <c r="BTH1" s="11"/>
      <c r="BTI1" s="12" t="s">
        <v>2</v>
      </c>
      <c r="BTJ1" s="12"/>
      <c r="BTK1" s="12"/>
      <c r="BTL1" s="12"/>
      <c r="BTM1" s="12"/>
      <c r="BTN1" s="13"/>
      <c r="BTO1" s="14" t="s">
        <v>1</v>
      </c>
      <c r="BTR1" s="9"/>
      <c r="BTS1" s="10"/>
      <c r="BTT1" s="11"/>
      <c r="BTU1" s="12" t="s">
        <v>2</v>
      </c>
      <c r="BTV1" s="12"/>
      <c r="BTW1" s="12"/>
      <c r="BTX1" s="12"/>
      <c r="BTY1" s="12"/>
      <c r="BTZ1" s="13"/>
      <c r="BUA1" s="14" t="s">
        <v>1</v>
      </c>
      <c r="BUD1" s="9"/>
      <c r="BUE1" s="10"/>
      <c r="BUF1" s="11"/>
      <c r="BUG1" s="12" t="s">
        <v>2</v>
      </c>
      <c r="BUH1" s="12"/>
      <c r="BUI1" s="12"/>
      <c r="BUJ1" s="12"/>
      <c r="BUK1" s="12"/>
      <c r="BUL1" s="13"/>
      <c r="BUM1" s="14" t="s">
        <v>1</v>
      </c>
      <c r="BUP1" s="9"/>
      <c r="BUQ1" s="10"/>
      <c r="BUR1" s="11"/>
      <c r="BUS1" s="12" t="s">
        <v>2</v>
      </c>
      <c r="BUT1" s="12"/>
      <c r="BUU1" s="12"/>
      <c r="BUV1" s="12"/>
      <c r="BUW1" s="12"/>
      <c r="BUX1" s="13"/>
      <c r="BUY1" s="14" t="s">
        <v>1</v>
      </c>
      <c r="BVB1" s="9"/>
      <c r="BVC1" s="10"/>
      <c r="BVD1" s="11"/>
      <c r="BVE1" s="12" t="s">
        <v>2</v>
      </c>
      <c r="BVF1" s="12"/>
      <c r="BVG1" s="12"/>
      <c r="BVH1" s="12"/>
      <c r="BVI1" s="12"/>
      <c r="BVJ1" s="13"/>
      <c r="BVK1" s="14" t="s">
        <v>1</v>
      </c>
      <c r="BVN1" s="9"/>
      <c r="BVO1" s="10"/>
      <c r="BVP1" s="11"/>
      <c r="BVQ1" s="12" t="s">
        <v>2</v>
      </c>
      <c r="BVR1" s="12"/>
      <c r="BVS1" s="12"/>
      <c r="BVT1" s="12"/>
      <c r="BVU1" s="12"/>
      <c r="BVV1" s="13"/>
      <c r="BVW1" s="14" t="s">
        <v>1</v>
      </c>
      <c r="BVZ1" s="9"/>
      <c r="BWA1" s="10"/>
      <c r="BWB1" s="11"/>
      <c r="BWC1" s="12" t="s">
        <v>2</v>
      </c>
      <c r="BWD1" s="12"/>
      <c r="BWE1" s="12"/>
      <c r="BWF1" s="12"/>
      <c r="BWG1" s="12"/>
      <c r="BWH1" s="13"/>
      <c r="BWI1" s="14" t="s">
        <v>1</v>
      </c>
      <c r="BWL1" s="9"/>
      <c r="BWM1" s="10"/>
      <c r="BWN1" s="11"/>
      <c r="BWO1" s="12" t="s">
        <v>2</v>
      </c>
      <c r="BWP1" s="12"/>
      <c r="BWQ1" s="12"/>
      <c r="BWR1" s="12"/>
      <c r="BWS1" s="12"/>
      <c r="BWT1" s="13"/>
      <c r="BWU1" s="14" t="s">
        <v>1</v>
      </c>
      <c r="BWX1" s="9"/>
      <c r="BWY1" s="10"/>
      <c r="BWZ1" s="11"/>
      <c r="BXA1" s="12" t="s">
        <v>2</v>
      </c>
      <c r="BXB1" s="12"/>
      <c r="BXC1" s="12"/>
      <c r="BXD1" s="12"/>
      <c r="BXE1" s="12"/>
      <c r="BXF1" s="13"/>
      <c r="BXG1" s="14" t="s">
        <v>1</v>
      </c>
      <c r="BXJ1" s="9"/>
      <c r="BXK1" s="10"/>
      <c r="BXL1" s="11"/>
      <c r="BXM1" s="12" t="s">
        <v>2</v>
      </c>
      <c r="BXN1" s="12"/>
      <c r="BXO1" s="12"/>
      <c r="BXP1" s="12"/>
      <c r="BXQ1" s="12"/>
      <c r="BXR1" s="13"/>
      <c r="BXS1" s="14" t="s">
        <v>1</v>
      </c>
      <c r="BXV1" s="9"/>
      <c r="BXW1" s="10"/>
      <c r="BXX1" s="11"/>
      <c r="BXY1" s="12" t="s">
        <v>2</v>
      </c>
      <c r="BXZ1" s="12"/>
      <c r="BYA1" s="12"/>
      <c r="BYB1" s="12"/>
      <c r="BYC1" s="12"/>
      <c r="BYD1" s="13"/>
      <c r="BYE1" s="14" t="s">
        <v>1</v>
      </c>
      <c r="BYH1" s="9"/>
      <c r="BYI1" s="10"/>
      <c r="BYJ1" s="11"/>
      <c r="BYK1" s="12" t="s">
        <v>2</v>
      </c>
      <c r="BYL1" s="12"/>
      <c r="BYM1" s="12"/>
      <c r="BYN1" s="12"/>
      <c r="BYO1" s="12"/>
      <c r="BYP1" s="13"/>
      <c r="BYQ1" s="14" t="s">
        <v>1</v>
      </c>
      <c r="BYT1" s="9"/>
      <c r="BYU1" s="10"/>
      <c r="BYV1" s="11"/>
      <c r="BYW1" s="12" t="s">
        <v>2</v>
      </c>
      <c r="BYX1" s="12"/>
      <c r="BYY1" s="12"/>
      <c r="BYZ1" s="12"/>
      <c r="BZA1" s="12"/>
      <c r="BZB1" s="13"/>
      <c r="BZC1" s="14" t="s">
        <v>1</v>
      </c>
      <c r="BZF1" s="9"/>
      <c r="BZG1" s="10"/>
      <c r="BZH1" s="11"/>
      <c r="BZI1" s="12" t="s">
        <v>2</v>
      </c>
      <c r="BZJ1" s="12"/>
      <c r="BZK1" s="12"/>
      <c r="BZL1" s="12"/>
      <c r="BZM1" s="12"/>
      <c r="BZN1" s="13"/>
      <c r="BZO1" s="14" t="s">
        <v>1</v>
      </c>
      <c r="BZR1" s="9"/>
      <c r="BZS1" s="10"/>
      <c r="BZT1" s="11"/>
      <c r="BZU1" s="12" t="s">
        <v>2</v>
      </c>
      <c r="BZV1" s="12"/>
      <c r="BZW1" s="12"/>
      <c r="BZX1" s="12"/>
      <c r="BZY1" s="12"/>
      <c r="BZZ1" s="13"/>
      <c r="CAA1" s="14" t="s">
        <v>1</v>
      </c>
      <c r="CAD1" s="9"/>
      <c r="CAE1" s="10"/>
      <c r="CAF1" s="11"/>
      <c r="CAG1" s="12" t="s">
        <v>2</v>
      </c>
      <c r="CAH1" s="12"/>
      <c r="CAI1" s="12"/>
      <c r="CAJ1" s="12"/>
      <c r="CAK1" s="12"/>
      <c r="CAL1" s="13"/>
      <c r="CAM1" s="14" t="s">
        <v>1</v>
      </c>
      <c r="CAP1" s="9"/>
      <c r="CAQ1" s="10"/>
      <c r="CAR1" s="11"/>
      <c r="CAS1" s="12" t="s">
        <v>2</v>
      </c>
      <c r="CAT1" s="12"/>
      <c r="CAU1" s="12"/>
      <c r="CAV1" s="12"/>
      <c r="CAW1" s="12"/>
      <c r="CAX1" s="13"/>
      <c r="CAY1" s="14" t="s">
        <v>1</v>
      </c>
      <c r="CBB1" s="9"/>
      <c r="CBC1" s="10"/>
      <c r="CBD1" s="11"/>
      <c r="CBE1" s="12" t="s">
        <v>2</v>
      </c>
      <c r="CBF1" s="12"/>
      <c r="CBG1" s="12"/>
      <c r="CBH1" s="12"/>
      <c r="CBI1" s="12"/>
      <c r="CBJ1" s="13"/>
      <c r="CBK1" s="14" t="s">
        <v>1</v>
      </c>
      <c r="CBN1" s="9"/>
      <c r="CBO1" s="10"/>
      <c r="CBP1" s="11"/>
      <c r="CBQ1" s="12" t="s">
        <v>2</v>
      </c>
      <c r="CBR1" s="12"/>
      <c r="CBS1" s="12"/>
      <c r="CBT1" s="12"/>
      <c r="CBU1" s="12"/>
      <c r="CBV1" s="13"/>
      <c r="CBW1" s="14" t="s">
        <v>1</v>
      </c>
      <c r="CBZ1" s="9"/>
      <c r="CCA1" s="10"/>
      <c r="CCB1" s="11"/>
      <c r="CCC1" s="12" t="s">
        <v>2</v>
      </c>
      <c r="CCD1" s="12"/>
      <c r="CCE1" s="12"/>
      <c r="CCF1" s="12"/>
      <c r="CCG1" s="12"/>
      <c r="CCH1" s="13"/>
      <c r="CCI1" s="14" t="s">
        <v>1</v>
      </c>
      <c r="CCL1" s="9"/>
      <c r="CCM1" s="10"/>
      <c r="CCN1" s="11"/>
      <c r="CCO1" s="12" t="s">
        <v>2</v>
      </c>
      <c r="CCP1" s="12"/>
      <c r="CCQ1" s="12"/>
      <c r="CCR1" s="12"/>
      <c r="CCS1" s="12"/>
      <c r="CCT1" s="13"/>
      <c r="CCU1" s="14" t="s">
        <v>1</v>
      </c>
      <c r="CCX1" s="9"/>
      <c r="CCY1" s="10"/>
      <c r="CCZ1" s="11"/>
      <c r="CDA1" s="12" t="s">
        <v>2</v>
      </c>
      <c r="CDB1" s="12"/>
      <c r="CDC1" s="12"/>
      <c r="CDD1" s="12"/>
      <c r="CDE1" s="12"/>
      <c r="CDF1" s="13"/>
      <c r="CDG1" s="14" t="s">
        <v>1</v>
      </c>
      <c r="CDJ1" s="9"/>
      <c r="CDK1" s="10"/>
      <c r="CDL1" s="11"/>
      <c r="CDM1" s="12" t="s">
        <v>2</v>
      </c>
      <c r="CDN1" s="12"/>
      <c r="CDO1" s="12"/>
      <c r="CDP1" s="12"/>
      <c r="CDQ1" s="12"/>
      <c r="CDR1" s="13"/>
      <c r="CDS1" s="14" t="s">
        <v>1</v>
      </c>
      <c r="CDV1" s="9"/>
      <c r="CDW1" s="10"/>
      <c r="CDX1" s="11"/>
      <c r="CDY1" s="12" t="s">
        <v>2</v>
      </c>
      <c r="CDZ1" s="12"/>
      <c r="CEA1" s="12"/>
      <c r="CEB1" s="12"/>
      <c r="CEC1" s="12"/>
      <c r="CED1" s="13"/>
      <c r="CEE1" s="14" t="s">
        <v>1</v>
      </c>
      <c r="CEH1" s="9"/>
      <c r="CEI1" s="10"/>
      <c r="CEJ1" s="11"/>
      <c r="CEK1" s="12" t="s">
        <v>2</v>
      </c>
      <c r="CEL1" s="12"/>
      <c r="CEM1" s="12"/>
      <c r="CEN1" s="12"/>
      <c r="CEO1" s="12"/>
      <c r="CEP1" s="13"/>
      <c r="CEQ1" s="14" t="s">
        <v>1</v>
      </c>
      <c r="CET1" s="9"/>
      <c r="CEU1" s="10"/>
      <c r="CEV1" s="11"/>
      <c r="CEW1" s="12" t="s">
        <v>2</v>
      </c>
      <c r="CEX1" s="12"/>
      <c r="CEY1" s="12"/>
      <c r="CEZ1" s="12"/>
      <c r="CFA1" s="12"/>
      <c r="CFB1" s="13"/>
      <c r="CFC1" s="14" t="s">
        <v>1</v>
      </c>
      <c r="CFF1" s="9"/>
      <c r="CFG1" s="10"/>
      <c r="CFH1" s="11"/>
      <c r="CFI1" s="12" t="s">
        <v>2</v>
      </c>
      <c r="CFJ1" s="12"/>
      <c r="CFK1" s="12"/>
      <c r="CFL1" s="12"/>
      <c r="CFM1" s="12"/>
      <c r="CFN1" s="13"/>
      <c r="CFO1" s="14" t="s">
        <v>1</v>
      </c>
      <c r="CFR1" s="9"/>
      <c r="CFS1" s="10"/>
      <c r="CFT1" s="11"/>
      <c r="CFU1" s="12" t="s">
        <v>2</v>
      </c>
      <c r="CFV1" s="12"/>
      <c r="CFW1" s="12"/>
      <c r="CFX1" s="12"/>
      <c r="CFY1" s="12"/>
      <c r="CFZ1" s="13"/>
      <c r="CGA1" s="14" t="s">
        <v>1</v>
      </c>
      <c r="CGD1" s="9"/>
      <c r="CGE1" s="10"/>
      <c r="CGF1" s="11"/>
      <c r="CGG1" s="12" t="s">
        <v>2</v>
      </c>
      <c r="CGH1" s="12"/>
      <c r="CGI1" s="12"/>
      <c r="CGJ1" s="12"/>
      <c r="CGK1" s="12"/>
      <c r="CGL1" s="13"/>
      <c r="CGM1" s="14" t="s">
        <v>1</v>
      </c>
      <c r="CGP1" s="9"/>
      <c r="CGQ1" s="10"/>
      <c r="CGR1" s="11"/>
      <c r="CGS1" s="12" t="s">
        <v>2</v>
      </c>
      <c r="CGT1" s="12"/>
      <c r="CGU1" s="12"/>
      <c r="CGV1" s="12"/>
      <c r="CGW1" s="12"/>
      <c r="CGX1" s="13"/>
      <c r="CGY1" s="14" t="s">
        <v>1</v>
      </c>
      <c r="CHB1" s="9"/>
      <c r="CHC1" s="10"/>
      <c r="CHD1" s="11"/>
      <c r="CHE1" s="12" t="s">
        <v>2</v>
      </c>
      <c r="CHF1" s="12"/>
      <c r="CHG1" s="12"/>
      <c r="CHH1" s="12"/>
      <c r="CHI1" s="12"/>
      <c r="CHJ1" s="13"/>
      <c r="CHK1" s="14" t="s">
        <v>1</v>
      </c>
      <c r="CHN1" s="9"/>
      <c r="CHO1" s="10"/>
      <c r="CHP1" s="11"/>
      <c r="CHQ1" s="12" t="s">
        <v>2</v>
      </c>
      <c r="CHR1" s="12"/>
      <c r="CHS1" s="12"/>
      <c r="CHT1" s="12"/>
      <c r="CHU1" s="12"/>
      <c r="CHV1" s="13"/>
      <c r="CHW1" s="14" t="s">
        <v>1</v>
      </c>
      <c r="CHZ1" s="9"/>
      <c r="CIA1" s="10"/>
      <c r="CIB1" s="11"/>
      <c r="CIC1" s="12" t="s">
        <v>2</v>
      </c>
      <c r="CID1" s="12"/>
      <c r="CIE1" s="12"/>
      <c r="CIF1" s="12"/>
      <c r="CIG1" s="12"/>
      <c r="CIH1" s="13"/>
      <c r="CII1" s="14" t="s">
        <v>1</v>
      </c>
      <c r="CIL1" s="9"/>
      <c r="CIM1" s="10"/>
      <c r="CIN1" s="11"/>
      <c r="CIO1" s="12" t="s">
        <v>2</v>
      </c>
      <c r="CIP1" s="12"/>
      <c r="CIQ1" s="12"/>
      <c r="CIR1" s="12"/>
      <c r="CIS1" s="12"/>
      <c r="CIT1" s="13"/>
      <c r="CIU1" s="14" t="s">
        <v>1</v>
      </c>
      <c r="CIX1" s="9"/>
      <c r="CIY1" s="10"/>
      <c r="CIZ1" s="11"/>
      <c r="CJA1" s="12" t="s">
        <v>2</v>
      </c>
      <c r="CJB1" s="12"/>
      <c r="CJC1" s="12"/>
      <c r="CJD1" s="12"/>
      <c r="CJE1" s="12"/>
      <c r="CJF1" s="13"/>
      <c r="CJG1" s="14" t="s">
        <v>1</v>
      </c>
      <c r="CJJ1" s="9"/>
      <c r="CJK1" s="10"/>
      <c r="CJL1" s="11"/>
      <c r="CJM1" s="12" t="s">
        <v>2</v>
      </c>
      <c r="CJN1" s="12"/>
      <c r="CJO1" s="12"/>
      <c r="CJP1" s="12"/>
      <c r="CJQ1" s="12"/>
      <c r="CJR1" s="13"/>
      <c r="CJS1" s="14" t="s">
        <v>1</v>
      </c>
      <c r="CJV1" s="9"/>
      <c r="CJW1" s="10"/>
      <c r="CJX1" s="11"/>
      <c r="CJY1" s="12" t="s">
        <v>2</v>
      </c>
      <c r="CJZ1" s="12"/>
      <c r="CKA1" s="12"/>
      <c r="CKB1" s="12"/>
      <c r="CKC1" s="12"/>
      <c r="CKD1" s="13"/>
      <c r="CKE1" s="14" t="s">
        <v>1</v>
      </c>
      <c r="CKH1" s="9"/>
      <c r="CKI1" s="10"/>
      <c r="CKJ1" s="11"/>
      <c r="CKK1" s="12" t="s">
        <v>2</v>
      </c>
      <c r="CKL1" s="12"/>
      <c r="CKM1" s="12"/>
      <c r="CKN1" s="12"/>
      <c r="CKO1" s="12"/>
      <c r="CKP1" s="13"/>
      <c r="CKQ1" s="14" t="s">
        <v>1</v>
      </c>
      <c r="CKT1" s="9"/>
      <c r="CKU1" s="10"/>
      <c r="CKV1" s="11"/>
      <c r="CKW1" s="12" t="s">
        <v>2</v>
      </c>
      <c r="CKX1" s="12"/>
      <c r="CKY1" s="12"/>
      <c r="CKZ1" s="12"/>
      <c r="CLA1" s="12"/>
      <c r="CLB1" s="13"/>
      <c r="CLC1" s="14" t="s">
        <v>1</v>
      </c>
      <c r="CLF1" s="9"/>
      <c r="CLG1" s="10"/>
      <c r="CLH1" s="11"/>
      <c r="CLI1" s="12" t="s">
        <v>2</v>
      </c>
      <c r="CLJ1" s="12"/>
      <c r="CLK1" s="12"/>
      <c r="CLL1" s="12"/>
      <c r="CLM1" s="12"/>
      <c r="CLN1" s="13"/>
      <c r="CLO1" s="14" t="s">
        <v>1</v>
      </c>
      <c r="CLR1" s="9"/>
      <c r="CLS1" s="10"/>
      <c r="CLT1" s="11"/>
      <c r="CLU1" s="12" t="s">
        <v>2</v>
      </c>
      <c r="CLV1" s="12"/>
      <c r="CLW1" s="12"/>
      <c r="CLX1" s="12"/>
      <c r="CLY1" s="12"/>
      <c r="CLZ1" s="13"/>
      <c r="CMA1" s="14" t="s">
        <v>1</v>
      </c>
      <c r="CMD1" s="9"/>
      <c r="CME1" s="10"/>
      <c r="CMF1" s="11"/>
      <c r="CMG1" s="12" t="s">
        <v>2</v>
      </c>
      <c r="CMH1" s="12"/>
      <c r="CMI1" s="12"/>
      <c r="CMJ1" s="12"/>
      <c r="CMK1" s="12"/>
      <c r="CML1" s="13"/>
      <c r="CMM1" s="14" t="s">
        <v>1</v>
      </c>
      <c r="CMP1" s="9"/>
      <c r="CMQ1" s="10"/>
      <c r="CMR1" s="11"/>
      <c r="CMS1" s="12" t="s">
        <v>2</v>
      </c>
      <c r="CMT1" s="12"/>
      <c r="CMU1" s="12"/>
      <c r="CMV1" s="12"/>
      <c r="CMW1" s="12"/>
      <c r="CMX1" s="13"/>
      <c r="CMY1" s="14" t="s">
        <v>1</v>
      </c>
      <c r="CNB1" s="9"/>
      <c r="CNC1" s="10"/>
      <c r="CND1" s="11"/>
      <c r="CNE1" s="12" t="s">
        <v>2</v>
      </c>
      <c r="CNF1" s="12"/>
      <c r="CNG1" s="12"/>
      <c r="CNH1" s="12"/>
      <c r="CNI1" s="12"/>
      <c r="CNJ1" s="13"/>
      <c r="CNK1" s="14" t="s">
        <v>1</v>
      </c>
      <c r="CNN1" s="9"/>
      <c r="CNO1" s="10"/>
      <c r="CNP1" s="11"/>
      <c r="CNQ1" s="12" t="s">
        <v>2</v>
      </c>
      <c r="CNR1" s="12"/>
      <c r="CNS1" s="12"/>
      <c r="CNT1" s="12"/>
      <c r="CNU1" s="12"/>
      <c r="CNV1" s="13"/>
      <c r="CNW1" s="14" t="s">
        <v>1</v>
      </c>
      <c r="CNZ1" s="9"/>
      <c r="COA1" s="10"/>
      <c r="COB1" s="11"/>
      <c r="COC1" s="12" t="s">
        <v>2</v>
      </c>
      <c r="COD1" s="12"/>
      <c r="COE1" s="12"/>
      <c r="COF1" s="12"/>
      <c r="COG1" s="12"/>
      <c r="COH1" s="13"/>
      <c r="COI1" s="14" t="s">
        <v>1</v>
      </c>
      <c r="COL1" s="9"/>
      <c r="COM1" s="10"/>
      <c r="CON1" s="11"/>
      <c r="COO1" s="12" t="s">
        <v>2</v>
      </c>
      <c r="COP1" s="12"/>
      <c r="COQ1" s="12"/>
      <c r="COR1" s="12"/>
      <c r="COS1" s="12"/>
      <c r="COT1" s="13"/>
      <c r="COU1" s="14" t="s">
        <v>1</v>
      </c>
      <c r="COX1" s="9"/>
      <c r="COY1" s="10"/>
      <c r="COZ1" s="11"/>
      <c r="CPA1" s="12" t="s">
        <v>2</v>
      </c>
      <c r="CPB1" s="12"/>
      <c r="CPC1" s="12"/>
      <c r="CPD1" s="12"/>
      <c r="CPE1" s="12"/>
      <c r="CPF1" s="13"/>
      <c r="CPG1" s="14" t="s">
        <v>1</v>
      </c>
      <c r="CPJ1" s="9"/>
      <c r="CPK1" s="10"/>
      <c r="CPL1" s="11"/>
      <c r="CPM1" s="12" t="s">
        <v>2</v>
      </c>
      <c r="CPN1" s="12"/>
      <c r="CPO1" s="12"/>
      <c r="CPP1" s="12"/>
      <c r="CPQ1" s="12"/>
      <c r="CPR1" s="13"/>
      <c r="CPS1" s="14" t="s">
        <v>1</v>
      </c>
      <c r="CPV1" s="9"/>
      <c r="CPW1" s="10"/>
      <c r="CPX1" s="11"/>
      <c r="CPY1" s="12" t="s">
        <v>2</v>
      </c>
      <c r="CPZ1" s="12"/>
      <c r="CQA1" s="12"/>
      <c r="CQB1" s="12"/>
      <c r="CQC1" s="12"/>
      <c r="CQD1" s="13"/>
      <c r="CQE1" s="14" t="s">
        <v>1</v>
      </c>
      <c r="CQH1" s="9"/>
      <c r="CQI1" s="10"/>
      <c r="CQJ1" s="11"/>
      <c r="CQK1" s="12" t="s">
        <v>2</v>
      </c>
      <c r="CQL1" s="12"/>
      <c r="CQM1" s="12"/>
      <c r="CQN1" s="12"/>
      <c r="CQO1" s="12"/>
      <c r="CQP1" s="13"/>
      <c r="CQQ1" s="14" t="s">
        <v>1</v>
      </c>
      <c r="CQT1" s="9"/>
      <c r="CQU1" s="10"/>
      <c r="CQV1" s="11"/>
      <c r="CQW1" s="12" t="s">
        <v>2</v>
      </c>
      <c r="CQX1" s="12"/>
      <c r="CQY1" s="12"/>
      <c r="CQZ1" s="12"/>
      <c r="CRA1" s="12"/>
      <c r="CRB1" s="13"/>
      <c r="CRC1" s="14" t="s">
        <v>1</v>
      </c>
      <c r="CRF1" s="9"/>
      <c r="CRG1" s="10"/>
      <c r="CRH1" s="11"/>
      <c r="CRI1" s="12" t="s">
        <v>2</v>
      </c>
      <c r="CRJ1" s="12"/>
      <c r="CRK1" s="12"/>
      <c r="CRL1" s="12"/>
      <c r="CRM1" s="12"/>
      <c r="CRN1" s="13"/>
      <c r="CRO1" s="14" t="s">
        <v>1</v>
      </c>
      <c r="CRR1" s="9"/>
      <c r="CRS1" s="10"/>
      <c r="CRT1" s="11"/>
      <c r="CRU1" s="12" t="s">
        <v>2</v>
      </c>
      <c r="CRV1" s="12"/>
      <c r="CRW1" s="12"/>
      <c r="CRX1" s="12"/>
      <c r="CRY1" s="12"/>
      <c r="CRZ1" s="13"/>
      <c r="CSA1" s="14" t="s">
        <v>1</v>
      </c>
      <c r="CSD1" s="9"/>
      <c r="CSE1" s="10"/>
      <c r="CSF1" s="11"/>
      <c r="CSG1" s="12" t="s">
        <v>2</v>
      </c>
      <c r="CSH1" s="12"/>
      <c r="CSI1" s="12"/>
      <c r="CSJ1" s="12"/>
      <c r="CSK1" s="12"/>
      <c r="CSL1" s="13"/>
      <c r="CSM1" s="14" t="s">
        <v>1</v>
      </c>
      <c r="CSP1" s="9"/>
      <c r="CSQ1" s="10"/>
      <c r="CSR1" s="11"/>
      <c r="CSS1" s="12" t="s">
        <v>2</v>
      </c>
      <c r="CST1" s="12"/>
      <c r="CSU1" s="12"/>
      <c r="CSV1" s="12"/>
      <c r="CSW1" s="12"/>
      <c r="CSX1" s="13"/>
      <c r="CSY1" s="14" t="s">
        <v>1</v>
      </c>
      <c r="CTB1" s="9"/>
      <c r="CTC1" s="10"/>
      <c r="CTD1" s="11"/>
      <c r="CTE1" s="12" t="s">
        <v>2</v>
      </c>
      <c r="CTF1" s="12"/>
      <c r="CTG1" s="12"/>
      <c r="CTH1" s="12"/>
      <c r="CTI1" s="12"/>
      <c r="CTJ1" s="13"/>
      <c r="CTK1" s="14" t="s">
        <v>1</v>
      </c>
      <c r="CTN1" s="9"/>
      <c r="CTO1" s="10"/>
      <c r="CTP1" s="11"/>
      <c r="CTQ1" s="12" t="s">
        <v>2</v>
      </c>
      <c r="CTR1" s="12"/>
      <c r="CTS1" s="12"/>
      <c r="CTT1" s="12"/>
      <c r="CTU1" s="12"/>
      <c r="CTV1" s="13"/>
      <c r="CTW1" s="14" t="s">
        <v>1</v>
      </c>
      <c r="CTZ1" s="9"/>
      <c r="CUA1" s="10"/>
      <c r="CUB1" s="11"/>
      <c r="CUC1" s="12" t="s">
        <v>2</v>
      </c>
      <c r="CUD1" s="12"/>
      <c r="CUE1" s="12"/>
      <c r="CUF1" s="12"/>
      <c r="CUG1" s="12"/>
      <c r="CUH1" s="13"/>
      <c r="CUI1" s="14" t="s">
        <v>1</v>
      </c>
      <c r="CUL1" s="9"/>
      <c r="CUM1" s="10"/>
      <c r="CUN1" s="11"/>
      <c r="CUO1" s="12" t="s">
        <v>2</v>
      </c>
      <c r="CUP1" s="12"/>
      <c r="CUQ1" s="12"/>
      <c r="CUR1" s="12"/>
      <c r="CUS1" s="12"/>
      <c r="CUT1" s="13"/>
      <c r="CUU1" s="14" t="s">
        <v>1</v>
      </c>
      <c r="CUX1" s="9"/>
      <c r="CUY1" s="10"/>
      <c r="CUZ1" s="11"/>
      <c r="CVA1" s="12" t="s">
        <v>2</v>
      </c>
      <c r="CVB1" s="12"/>
      <c r="CVC1" s="12"/>
      <c r="CVD1" s="12"/>
      <c r="CVE1" s="12"/>
      <c r="CVF1" s="13"/>
      <c r="CVG1" s="14" t="s">
        <v>1</v>
      </c>
      <c r="CVJ1" s="9"/>
      <c r="CVK1" s="10"/>
      <c r="CVL1" s="11"/>
      <c r="CVM1" s="12" t="s">
        <v>2</v>
      </c>
      <c r="CVN1" s="12"/>
      <c r="CVO1" s="12"/>
      <c r="CVP1" s="12"/>
      <c r="CVQ1" s="12"/>
      <c r="CVR1" s="13"/>
      <c r="CVS1" s="14" t="s">
        <v>1</v>
      </c>
      <c r="CVV1" s="9"/>
      <c r="CVW1" s="10"/>
      <c r="CVX1" s="11"/>
      <c r="CVY1" s="12" t="s">
        <v>2</v>
      </c>
      <c r="CVZ1" s="12"/>
      <c r="CWA1" s="12"/>
      <c r="CWB1" s="12"/>
      <c r="CWC1" s="12"/>
      <c r="CWD1" s="13"/>
      <c r="CWE1" s="14" t="s">
        <v>1</v>
      </c>
    </row>
    <row r="2" spans="1:1023 1026:2631" ht="17.100000000000001" customHeight="1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15" t="s">
        <v>3</v>
      </c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15" t="s">
        <v>3</v>
      </c>
      <c r="AC2" s="16"/>
      <c r="AD2" s="17"/>
      <c r="AE2" s="18"/>
      <c r="AF2" s="2"/>
      <c r="AG2" s="2"/>
      <c r="AH2" s="2"/>
      <c r="AI2" s="2"/>
      <c r="AJ2" s="2"/>
      <c r="AK2" s="2"/>
      <c r="AL2" s="2"/>
      <c r="AM2" s="2"/>
      <c r="AN2" s="15" t="s">
        <v>3</v>
      </c>
      <c r="AQ2" s="1"/>
      <c r="AR2" s="1"/>
      <c r="AS2" s="1"/>
      <c r="AT2" s="2"/>
      <c r="AU2" s="2"/>
      <c r="AV2" s="2"/>
      <c r="AW2" s="2"/>
      <c r="AX2" s="2"/>
      <c r="AY2" s="2"/>
      <c r="AZ2" s="2"/>
      <c r="BA2" s="2"/>
      <c r="BB2" s="15" t="s">
        <v>3</v>
      </c>
      <c r="BE2" s="1"/>
      <c r="BF2" s="1"/>
      <c r="BG2" s="1"/>
      <c r="BH2" s="2"/>
      <c r="BI2" s="2"/>
      <c r="BJ2" s="2"/>
      <c r="BK2" s="2"/>
      <c r="BL2" s="2"/>
      <c r="BM2" s="2"/>
      <c r="BN2" s="2"/>
      <c r="BO2" s="2"/>
      <c r="BP2" s="15" t="s">
        <v>3</v>
      </c>
      <c r="BS2" s="1"/>
      <c r="BT2" s="1"/>
      <c r="BU2" s="1"/>
      <c r="BV2" s="2"/>
      <c r="BW2" s="2"/>
      <c r="BX2" s="2"/>
      <c r="BY2" s="2"/>
      <c r="BZ2" s="2"/>
      <c r="CA2" s="2"/>
      <c r="CB2" s="2"/>
      <c r="CC2" s="2"/>
      <c r="CD2" s="15" t="s">
        <v>3</v>
      </c>
      <c r="CG2" s="1"/>
      <c r="CH2" s="1"/>
      <c r="CI2" s="1"/>
      <c r="CJ2" s="2"/>
      <c r="CK2" s="2"/>
      <c r="CL2" s="2"/>
      <c r="CM2" s="2"/>
      <c r="CN2" s="2"/>
      <c r="CO2" s="2"/>
      <c r="CP2" s="2"/>
      <c r="CQ2" s="2"/>
      <c r="CR2" s="15" t="s">
        <v>3</v>
      </c>
      <c r="CU2" s="1"/>
      <c r="CV2" s="1"/>
      <c r="CW2" s="1"/>
      <c r="CX2" s="2"/>
      <c r="CY2" s="2"/>
      <c r="CZ2" s="2"/>
      <c r="DA2" s="2"/>
      <c r="DB2" s="2"/>
      <c r="DC2" s="2"/>
      <c r="DD2" s="2"/>
      <c r="DE2" s="2"/>
      <c r="DF2" s="15" t="s">
        <v>3</v>
      </c>
      <c r="DI2" s="1"/>
      <c r="DJ2" s="1"/>
      <c r="DK2" s="1"/>
      <c r="DL2" s="2"/>
      <c r="DM2" s="2"/>
      <c r="DN2" s="2"/>
      <c r="DO2" s="2"/>
      <c r="DP2" s="2"/>
      <c r="DQ2" s="2"/>
      <c r="DR2" s="2"/>
      <c r="DS2" s="2"/>
      <c r="DT2" s="15" t="s">
        <v>3</v>
      </c>
      <c r="DW2" s="1"/>
      <c r="DX2" s="1"/>
      <c r="DY2" s="1"/>
      <c r="DZ2" s="2"/>
      <c r="EA2" s="2"/>
      <c r="EB2" s="2"/>
      <c r="EC2" s="2"/>
      <c r="ED2" s="2"/>
      <c r="EE2" s="2"/>
      <c r="EF2" s="2"/>
      <c r="EG2" s="2"/>
      <c r="EH2" s="15" t="s">
        <v>3</v>
      </c>
      <c r="EK2" s="1"/>
      <c r="EL2" s="1"/>
      <c r="EM2" s="1"/>
      <c r="EN2" s="2"/>
      <c r="EO2" s="2"/>
      <c r="EP2" s="2"/>
      <c r="EQ2" s="2"/>
      <c r="ER2" s="2"/>
      <c r="ES2" s="2"/>
      <c r="ET2" s="2"/>
      <c r="EU2" s="2"/>
      <c r="EV2" s="15" t="s">
        <v>3</v>
      </c>
      <c r="EY2" s="1"/>
      <c r="EZ2" s="1"/>
      <c r="FA2" s="1"/>
      <c r="FB2" s="2"/>
      <c r="FC2" s="2"/>
      <c r="FD2" s="2"/>
      <c r="FE2" s="2"/>
      <c r="FF2" s="2"/>
      <c r="FG2" s="2"/>
      <c r="FH2" s="2"/>
      <c r="FI2" s="2"/>
      <c r="FJ2" s="15" t="s">
        <v>3</v>
      </c>
      <c r="FM2" s="1"/>
      <c r="FN2" s="1"/>
      <c r="FO2" s="1"/>
      <c r="FP2" s="2"/>
      <c r="FQ2" s="2"/>
      <c r="FR2" s="2"/>
      <c r="FS2" s="2"/>
      <c r="FT2" s="2"/>
      <c r="FU2" s="2"/>
      <c r="FV2" s="2"/>
      <c r="FW2" s="2"/>
      <c r="FX2" s="15" t="s">
        <v>3</v>
      </c>
      <c r="GA2" s="1"/>
      <c r="GB2" s="1"/>
      <c r="GC2" s="1"/>
      <c r="GD2" s="2"/>
      <c r="GE2" s="2"/>
      <c r="GF2" s="2"/>
      <c r="GG2" s="2"/>
      <c r="GH2" s="2"/>
      <c r="GI2" s="2"/>
      <c r="GJ2" s="2"/>
      <c r="GK2" s="2"/>
      <c r="GL2" s="15" t="s">
        <v>3</v>
      </c>
      <c r="GO2" s="1"/>
      <c r="GP2" s="1"/>
      <c r="GQ2" s="1"/>
      <c r="GR2" s="2"/>
      <c r="GS2" s="2"/>
      <c r="GT2" s="2"/>
      <c r="GU2" s="2"/>
      <c r="GV2" s="2"/>
      <c r="GW2" s="2"/>
      <c r="GX2" s="2"/>
      <c r="GY2" s="2"/>
      <c r="GZ2" s="15" t="s">
        <v>3</v>
      </c>
      <c r="HC2" s="1"/>
      <c r="HD2" s="1"/>
      <c r="HE2" s="1"/>
      <c r="HF2" s="2"/>
      <c r="HG2" s="2"/>
      <c r="HH2" s="2"/>
      <c r="HI2" s="2"/>
      <c r="HJ2" s="2"/>
      <c r="HK2" s="2"/>
      <c r="HL2" s="2"/>
      <c r="HM2" s="2"/>
      <c r="HN2" s="15" t="s">
        <v>3</v>
      </c>
      <c r="HQ2" s="1"/>
      <c r="HR2" s="1"/>
      <c r="HS2" s="1"/>
      <c r="HT2" s="2"/>
      <c r="HU2" s="2"/>
      <c r="HV2" s="2"/>
      <c r="HW2" s="2"/>
      <c r="HX2" s="2"/>
      <c r="HY2" s="2"/>
      <c r="HZ2" s="2"/>
      <c r="IA2" s="2"/>
      <c r="IB2" s="15" t="s">
        <v>3</v>
      </c>
      <c r="IE2" s="1"/>
      <c r="IF2" s="1"/>
      <c r="IG2" s="1"/>
      <c r="IH2" s="2"/>
      <c r="II2" s="2"/>
      <c r="IJ2" s="2"/>
      <c r="IK2" s="2"/>
      <c r="IL2" s="2"/>
      <c r="IM2" s="2"/>
      <c r="IN2" s="2"/>
      <c r="IO2" s="2"/>
      <c r="IP2" s="15" t="s">
        <v>3</v>
      </c>
      <c r="IS2" s="1"/>
      <c r="IT2" s="1"/>
      <c r="IU2" s="1"/>
      <c r="IV2" s="2"/>
      <c r="IW2" s="2"/>
      <c r="IX2" s="2"/>
      <c r="IY2" s="2"/>
      <c r="IZ2" s="2"/>
      <c r="JA2" s="2"/>
      <c r="JB2" s="2"/>
      <c r="JC2" s="2"/>
      <c r="JD2" s="15" t="s">
        <v>3</v>
      </c>
      <c r="JG2" s="1"/>
      <c r="JH2" s="1"/>
      <c r="JI2" s="1"/>
      <c r="JJ2" s="2"/>
      <c r="JK2" s="2"/>
      <c r="JL2" s="2"/>
      <c r="JM2" s="2"/>
      <c r="JN2" s="2"/>
      <c r="JO2" s="2"/>
      <c r="JP2" s="2"/>
      <c r="JQ2" s="2"/>
      <c r="JR2" s="15" t="s">
        <v>3</v>
      </c>
      <c r="JU2" s="1"/>
      <c r="JV2" s="1"/>
      <c r="JW2" s="1"/>
      <c r="JX2" s="2"/>
      <c r="JY2" s="2"/>
      <c r="JZ2" s="2"/>
      <c r="KA2" s="2"/>
      <c r="KB2" s="2"/>
      <c r="KC2" s="2"/>
      <c r="KD2" s="2"/>
      <c r="KE2" s="2"/>
      <c r="KF2" s="15" t="s">
        <v>3</v>
      </c>
      <c r="KI2" s="1"/>
      <c r="KJ2" s="1"/>
      <c r="KK2" s="1"/>
      <c r="KL2" s="2"/>
      <c r="KM2" s="2"/>
      <c r="KN2" s="2"/>
      <c r="KO2" s="2"/>
      <c r="KP2" s="2"/>
      <c r="KQ2" s="2"/>
      <c r="KR2" s="2"/>
      <c r="KS2" s="2"/>
      <c r="KT2" s="15" t="s">
        <v>3</v>
      </c>
      <c r="KW2" s="1"/>
      <c r="KX2" s="1"/>
      <c r="KY2" s="1"/>
      <c r="KZ2" s="2"/>
      <c r="LA2" s="2"/>
      <c r="LB2" s="2"/>
      <c r="LC2" s="2"/>
      <c r="LD2" s="2"/>
      <c r="LE2" s="2"/>
      <c r="LF2" s="2"/>
      <c r="LG2" s="2"/>
      <c r="LH2" s="15" t="s">
        <v>3</v>
      </c>
      <c r="LK2" s="1"/>
      <c r="LL2" s="1"/>
      <c r="LM2" s="1"/>
      <c r="LN2" s="2"/>
      <c r="LO2" s="2"/>
      <c r="LP2" s="2"/>
      <c r="LQ2" s="2"/>
      <c r="LR2" s="2"/>
      <c r="LS2" s="2"/>
      <c r="LT2" s="2"/>
      <c r="LU2" s="2"/>
      <c r="LV2" s="15" t="s">
        <v>3</v>
      </c>
      <c r="LY2" s="1"/>
      <c r="LZ2" s="1"/>
      <c r="MA2" s="1"/>
      <c r="MB2" s="2"/>
      <c r="MC2" s="2"/>
      <c r="MD2" s="2"/>
      <c r="ME2" s="2"/>
      <c r="MF2" s="2"/>
      <c r="MG2" s="2"/>
      <c r="MH2" s="2"/>
      <c r="MI2" s="2"/>
      <c r="MJ2" s="15" t="s">
        <v>3</v>
      </c>
      <c r="MM2" s="1"/>
      <c r="MN2" s="1"/>
      <c r="MO2" s="1"/>
      <c r="MP2" s="2"/>
      <c r="MQ2" s="2"/>
      <c r="MR2" s="2"/>
      <c r="MS2" s="2"/>
      <c r="MT2" s="2"/>
      <c r="MU2" s="2"/>
      <c r="MV2" s="2"/>
      <c r="MW2" s="2"/>
      <c r="MX2" s="15" t="s">
        <v>3</v>
      </c>
      <c r="NA2" s="1"/>
      <c r="NB2" s="1"/>
      <c r="NC2" s="1"/>
      <c r="ND2" s="2"/>
      <c r="NE2" s="2"/>
      <c r="NF2" s="2"/>
      <c r="NG2" s="2"/>
      <c r="NH2" s="2"/>
      <c r="NI2" s="2"/>
      <c r="NJ2" s="2"/>
      <c r="NK2" s="2"/>
      <c r="NL2" s="15" t="s">
        <v>3</v>
      </c>
      <c r="NO2" s="1"/>
      <c r="NP2" s="1"/>
      <c r="NQ2" s="1"/>
      <c r="NR2" s="2"/>
      <c r="NS2" s="2"/>
      <c r="NT2" s="2"/>
      <c r="NU2" s="2"/>
      <c r="NV2" s="2"/>
      <c r="NW2" s="2"/>
      <c r="NX2" s="2"/>
      <c r="NY2" s="2"/>
      <c r="NZ2" s="15" t="s">
        <v>3</v>
      </c>
      <c r="OC2" s="1"/>
      <c r="OD2" s="1"/>
      <c r="OE2" s="1"/>
      <c r="OF2" s="2"/>
      <c r="OG2" s="2"/>
      <c r="OH2" s="2"/>
      <c r="OI2" s="2"/>
      <c r="OJ2" s="2"/>
      <c r="OK2" s="2"/>
      <c r="OL2" s="2"/>
      <c r="OM2" s="2"/>
      <c r="ON2" s="15" t="s">
        <v>3</v>
      </c>
      <c r="OQ2" s="1"/>
      <c r="OR2" s="1"/>
      <c r="OS2" s="1"/>
      <c r="OT2" s="2"/>
      <c r="OU2" s="2"/>
      <c r="OV2" s="2"/>
      <c r="OW2" s="2"/>
      <c r="OX2" s="2"/>
      <c r="OY2" s="2"/>
      <c r="OZ2" s="2"/>
      <c r="PA2" s="2"/>
      <c r="PB2" s="15" t="s">
        <v>3</v>
      </c>
      <c r="PE2" s="1"/>
      <c r="PF2" s="1"/>
      <c r="PG2" s="1"/>
      <c r="PH2" s="2"/>
      <c r="PI2" s="2"/>
      <c r="PJ2" s="2"/>
      <c r="PK2" s="2"/>
      <c r="PL2" s="2"/>
      <c r="PM2" s="2"/>
      <c r="PN2" s="2"/>
      <c r="PO2" s="2"/>
      <c r="PP2" s="15" t="s">
        <v>3</v>
      </c>
      <c r="PS2" s="1"/>
      <c r="PT2" s="1"/>
      <c r="PU2" s="1"/>
      <c r="PV2" s="2"/>
      <c r="PW2" s="2"/>
      <c r="PX2" s="2"/>
      <c r="PY2" s="2"/>
      <c r="PZ2" s="2"/>
      <c r="QA2" s="2"/>
      <c r="QB2" s="2"/>
      <c r="QC2" s="2"/>
      <c r="QD2" s="15" t="s">
        <v>3</v>
      </c>
      <c r="QG2" s="1"/>
      <c r="QH2" s="1"/>
      <c r="QI2" s="1"/>
      <c r="QJ2" s="2"/>
      <c r="QK2" s="2"/>
      <c r="QL2" s="2"/>
      <c r="QM2" s="2"/>
      <c r="QN2" s="2"/>
      <c r="QO2" s="2"/>
      <c r="QP2" s="2"/>
      <c r="QQ2" s="2"/>
      <c r="QR2" s="15" t="s">
        <v>3</v>
      </c>
      <c r="QU2" s="1"/>
      <c r="QV2" s="1"/>
      <c r="QW2" s="1"/>
      <c r="QX2" s="2"/>
      <c r="QY2" s="2"/>
      <c r="QZ2" s="2"/>
      <c r="RA2" s="2"/>
      <c r="RB2" s="2"/>
      <c r="RC2" s="2"/>
      <c r="RD2" s="2"/>
      <c r="RE2" s="2"/>
      <c r="RF2" s="15" t="s">
        <v>3</v>
      </c>
      <c r="RI2" s="1"/>
      <c r="RJ2" s="1"/>
      <c r="RK2" s="1"/>
      <c r="RL2" s="2"/>
      <c r="RM2" s="2"/>
      <c r="RN2" s="2"/>
      <c r="RO2" s="2"/>
      <c r="RP2" s="2"/>
      <c r="RQ2" s="2"/>
      <c r="RR2" s="2"/>
      <c r="RS2" s="2"/>
      <c r="RT2" s="15" t="s">
        <v>3</v>
      </c>
      <c r="RW2" s="1"/>
      <c r="RX2" s="1"/>
      <c r="RY2" s="1"/>
      <c r="RZ2" s="2"/>
      <c r="SA2" s="2"/>
      <c r="SB2" s="2"/>
      <c r="SC2" s="2"/>
      <c r="SD2" s="2"/>
      <c r="SE2" s="2"/>
      <c r="SF2" s="2"/>
      <c r="SG2" s="2"/>
      <c r="SH2" s="15" t="s">
        <v>3</v>
      </c>
      <c r="SK2" s="1"/>
      <c r="SL2" s="1"/>
      <c r="SM2" s="1"/>
      <c r="SN2" s="2"/>
      <c r="SO2" s="2"/>
      <c r="SP2" s="2"/>
      <c r="SQ2" s="2"/>
      <c r="SR2" s="2"/>
      <c r="SS2" s="2"/>
      <c r="ST2" s="2"/>
      <c r="SU2" s="2"/>
      <c r="SV2" s="15" t="s">
        <v>3</v>
      </c>
      <c r="SY2" s="1"/>
      <c r="SZ2" s="1"/>
      <c r="TA2" s="1"/>
      <c r="TB2" s="2"/>
      <c r="TC2" s="2"/>
      <c r="TD2" s="2"/>
      <c r="TE2" s="2"/>
      <c r="TF2" s="2"/>
      <c r="TG2" s="2"/>
      <c r="TH2" s="2"/>
      <c r="TI2" s="2"/>
      <c r="TJ2" s="15" t="s">
        <v>3</v>
      </c>
      <c r="TM2" s="1"/>
      <c r="TN2" s="1"/>
      <c r="TO2" s="1"/>
      <c r="TP2" s="2"/>
      <c r="TQ2" s="2"/>
      <c r="TR2" s="2"/>
      <c r="TS2" s="2"/>
      <c r="TT2" s="2"/>
      <c r="TU2" s="2"/>
      <c r="TV2" s="2"/>
      <c r="TW2" s="2"/>
      <c r="TX2" s="15" t="s">
        <v>3</v>
      </c>
      <c r="UA2" s="1"/>
      <c r="UB2" s="1"/>
      <c r="UC2" s="1"/>
      <c r="UD2" s="2"/>
      <c r="UE2" s="2"/>
      <c r="UF2" s="2"/>
      <c r="UG2" s="2"/>
      <c r="UH2" s="2"/>
      <c r="UI2" s="2"/>
      <c r="UJ2" s="2"/>
      <c r="UK2" s="2"/>
      <c r="UL2" s="15" t="s">
        <v>3</v>
      </c>
      <c r="UO2" s="1"/>
      <c r="UP2" s="1"/>
      <c r="UQ2" s="1"/>
      <c r="UR2" s="2"/>
      <c r="US2" s="2"/>
      <c r="UT2" s="2"/>
      <c r="UU2" s="2"/>
      <c r="UV2" s="2"/>
      <c r="UW2" s="2"/>
      <c r="UX2" s="2"/>
      <c r="UY2" s="2"/>
      <c r="UZ2" s="15" t="s">
        <v>3</v>
      </c>
      <c r="VC2" s="1"/>
      <c r="VD2" s="1"/>
      <c r="VE2" s="1"/>
      <c r="VF2" s="2"/>
      <c r="VG2" s="2"/>
      <c r="VH2" s="2"/>
      <c r="VI2" s="2"/>
      <c r="VJ2" s="2"/>
      <c r="VK2" s="2"/>
      <c r="VL2" s="2"/>
      <c r="VM2" s="2"/>
      <c r="VN2" s="15" t="s">
        <v>3</v>
      </c>
      <c r="VQ2" s="1"/>
      <c r="VR2" s="1"/>
      <c r="VS2" s="1"/>
      <c r="VT2" s="2"/>
      <c r="VU2" s="2"/>
      <c r="VV2" s="2"/>
      <c r="VW2" s="2"/>
      <c r="VX2" s="2"/>
      <c r="VY2" s="2"/>
      <c r="VZ2" s="2"/>
      <c r="WA2" s="2"/>
      <c r="WB2" s="15" t="s">
        <v>3</v>
      </c>
      <c r="WE2" s="1"/>
      <c r="WF2" s="1"/>
      <c r="WG2" s="1"/>
      <c r="WH2" s="2"/>
      <c r="WI2" s="2"/>
      <c r="WJ2" s="2"/>
      <c r="WK2" s="2"/>
      <c r="WL2" s="2"/>
      <c r="WM2" s="2"/>
      <c r="WN2" s="2"/>
      <c r="WO2" s="2"/>
      <c r="WP2" s="15" t="s">
        <v>3</v>
      </c>
      <c r="WS2" s="1"/>
      <c r="WT2" s="1"/>
      <c r="WU2" s="1"/>
      <c r="WV2" s="2"/>
      <c r="WW2" s="2"/>
      <c r="WX2" s="2"/>
      <c r="WY2" s="2"/>
      <c r="WZ2" s="2"/>
      <c r="XA2" s="2"/>
      <c r="XB2" s="2"/>
      <c r="XC2" s="2"/>
      <c r="XD2" s="15" t="s">
        <v>3</v>
      </c>
      <c r="XG2" s="1"/>
      <c r="XH2" s="1"/>
      <c r="XI2" s="1"/>
      <c r="XJ2" s="2"/>
      <c r="XK2" s="2"/>
      <c r="XL2" s="2"/>
      <c r="XM2" s="2"/>
      <c r="XN2" s="2"/>
      <c r="XO2" s="2"/>
      <c r="XP2" s="2"/>
      <c r="XQ2" s="2"/>
      <c r="XR2" s="15" t="s">
        <v>3</v>
      </c>
      <c r="XU2" s="1"/>
      <c r="XV2" s="1"/>
      <c r="XW2" s="1"/>
      <c r="XX2" s="2"/>
      <c r="XY2" s="2"/>
      <c r="XZ2" s="2"/>
      <c r="YA2" s="2"/>
      <c r="YB2" s="2"/>
      <c r="YC2" s="2"/>
      <c r="YD2" s="2"/>
      <c r="YE2" s="2"/>
      <c r="YF2" s="15" t="s">
        <v>3</v>
      </c>
      <c r="YI2" s="1"/>
      <c r="YJ2" s="1"/>
      <c r="YK2" s="1"/>
      <c r="YL2" s="2"/>
      <c r="YM2" s="2"/>
      <c r="YN2" s="2"/>
      <c r="YO2" s="2"/>
      <c r="YP2" s="2"/>
      <c r="YQ2" s="2"/>
      <c r="YR2" s="2"/>
      <c r="YS2" s="2"/>
      <c r="YT2" s="15" t="s">
        <v>3</v>
      </c>
      <c r="YW2" s="1"/>
      <c r="YX2" s="1"/>
      <c r="YY2" s="1"/>
      <c r="YZ2" s="2"/>
      <c r="ZA2" s="2"/>
      <c r="ZB2" s="2"/>
      <c r="ZC2" s="2"/>
      <c r="ZD2" s="2"/>
      <c r="ZE2" s="2"/>
      <c r="ZF2" s="2"/>
      <c r="ZG2" s="2"/>
      <c r="ZH2" s="15" t="s">
        <v>3</v>
      </c>
      <c r="ZK2" s="1"/>
      <c r="ZL2" s="1"/>
      <c r="ZM2" s="1"/>
      <c r="ZN2" s="2"/>
      <c r="ZO2" s="2"/>
      <c r="ZP2" s="2"/>
      <c r="ZQ2" s="2"/>
      <c r="ZR2" s="2"/>
      <c r="ZS2" s="2"/>
      <c r="ZT2" s="2"/>
      <c r="ZU2" s="2"/>
      <c r="ZV2" s="15" t="s">
        <v>3</v>
      </c>
      <c r="ZY2" s="19"/>
      <c r="ZZ2" s="20"/>
      <c r="AAA2" s="19"/>
      <c r="AAB2" s="21"/>
      <c r="AAC2" s="22"/>
      <c r="AAD2" s="22"/>
      <c r="AAE2" s="22"/>
      <c r="AAF2" s="22"/>
      <c r="AAG2" s="22"/>
      <c r="AAH2" s="23"/>
      <c r="AAI2" s="24" t="s">
        <v>3</v>
      </c>
      <c r="AAL2" s="19"/>
      <c r="AAM2" s="20"/>
      <c r="AAN2" s="19"/>
      <c r="AAO2" s="21"/>
      <c r="AAP2" s="22"/>
      <c r="AAQ2" s="22"/>
      <c r="AAR2" s="22"/>
      <c r="AAS2" s="22"/>
      <c r="AAT2" s="22"/>
      <c r="AAU2" s="23"/>
      <c r="AAV2" s="24" t="s">
        <v>3</v>
      </c>
      <c r="AAY2" s="19"/>
      <c r="AAZ2" s="20"/>
      <c r="ABA2" s="19"/>
      <c r="ABB2" s="21"/>
      <c r="ABC2" s="22"/>
      <c r="ABD2" s="22"/>
      <c r="ABE2" s="22"/>
      <c r="ABF2" s="22"/>
      <c r="ABG2" s="22"/>
      <c r="ABH2" s="23"/>
      <c r="ABI2" s="24" t="s">
        <v>3</v>
      </c>
      <c r="ABL2" s="19"/>
      <c r="ABM2" s="20"/>
      <c r="ABN2" s="19"/>
      <c r="ABO2" s="21"/>
      <c r="ABP2" s="22"/>
      <c r="ABQ2" s="22"/>
      <c r="ABR2" s="22"/>
      <c r="ABS2" s="22"/>
      <c r="ABT2" s="22"/>
      <c r="ABU2" s="23"/>
      <c r="ABV2" s="24" t="s">
        <v>3</v>
      </c>
      <c r="ABY2" s="19"/>
      <c r="ABZ2" s="20"/>
      <c r="ACA2" s="19"/>
      <c r="ACB2" s="21"/>
      <c r="ACC2" s="22"/>
      <c r="ACD2" s="22"/>
      <c r="ACE2" s="22"/>
      <c r="ACF2" s="22"/>
      <c r="ACG2" s="22"/>
      <c r="ACH2" s="23"/>
      <c r="ACI2" s="24" t="s">
        <v>3</v>
      </c>
      <c r="ACL2" s="19"/>
      <c r="ACM2" s="20"/>
      <c r="ACN2" s="19"/>
      <c r="ACO2" s="21"/>
      <c r="ACP2" s="22"/>
      <c r="ACQ2" s="22"/>
      <c r="ACR2" s="22"/>
      <c r="ACS2" s="22"/>
      <c r="ACT2" s="22"/>
      <c r="ACU2" s="23"/>
      <c r="ACV2" s="24" t="s">
        <v>3</v>
      </c>
      <c r="ACY2" s="19"/>
      <c r="ACZ2" s="20"/>
      <c r="ADA2" s="19"/>
      <c r="ADB2" s="21"/>
      <c r="ADC2" s="22"/>
      <c r="ADD2" s="22"/>
      <c r="ADE2" s="22"/>
      <c r="ADF2" s="22"/>
      <c r="ADG2" s="22"/>
      <c r="ADH2" s="23"/>
      <c r="ADI2" s="24" t="s">
        <v>3</v>
      </c>
      <c r="ADL2" s="19"/>
      <c r="ADM2" s="20"/>
      <c r="ADN2" s="19"/>
      <c r="ADO2" s="21"/>
      <c r="ADP2" s="22"/>
      <c r="ADQ2" s="22"/>
      <c r="ADR2" s="22"/>
      <c r="ADS2" s="22"/>
      <c r="ADT2" s="22"/>
      <c r="ADU2" s="23"/>
      <c r="ADV2" s="24" t="s">
        <v>3</v>
      </c>
      <c r="ADY2" s="19"/>
      <c r="ADZ2" s="20"/>
      <c r="AEA2" s="19"/>
      <c r="AEB2" s="21"/>
      <c r="AEC2" s="22"/>
      <c r="AED2" s="22"/>
      <c r="AEE2" s="22"/>
      <c r="AEF2" s="22"/>
      <c r="AEG2" s="22"/>
      <c r="AEH2" s="23"/>
      <c r="AEI2" s="24" t="s">
        <v>3</v>
      </c>
      <c r="AEL2" s="19"/>
      <c r="AEM2" s="20"/>
      <c r="AEN2" s="19"/>
      <c r="AEO2" s="21"/>
      <c r="AEP2" s="22"/>
      <c r="AEQ2" s="22"/>
      <c r="AER2" s="22"/>
      <c r="AES2" s="22"/>
      <c r="AET2" s="22"/>
      <c r="AEU2" s="23"/>
      <c r="AEV2" s="24" t="s">
        <v>3</v>
      </c>
      <c r="AEY2" s="19"/>
      <c r="AEZ2" s="20"/>
      <c r="AFA2" s="19"/>
      <c r="AFB2" s="21"/>
      <c r="AFC2" s="22"/>
      <c r="AFD2" s="22"/>
      <c r="AFE2" s="22"/>
      <c r="AFF2" s="22"/>
      <c r="AFG2" s="22"/>
      <c r="AFH2" s="23"/>
      <c r="AFI2" s="24" t="s">
        <v>3</v>
      </c>
      <c r="AFL2" s="19"/>
      <c r="AFM2" s="20"/>
      <c r="AFN2" s="19"/>
      <c r="AFO2" s="21"/>
      <c r="AFP2" s="22"/>
      <c r="AFQ2" s="22"/>
      <c r="AFR2" s="22"/>
      <c r="AFS2" s="22"/>
      <c r="AFT2" s="22"/>
      <c r="AFU2" s="23"/>
      <c r="AFV2" s="24" t="s">
        <v>3</v>
      </c>
      <c r="AFZ2" s="20"/>
      <c r="AGA2" s="19"/>
      <c r="AGB2" s="21"/>
      <c r="AGC2" s="22"/>
      <c r="AGD2" s="22"/>
      <c r="AGE2" s="22"/>
      <c r="AGF2" s="22"/>
      <c r="AGG2" s="22"/>
      <c r="AGH2" s="23"/>
      <c r="AGI2" s="24" t="s">
        <v>3</v>
      </c>
      <c r="AGL2" s="20"/>
      <c r="AGM2" s="19"/>
      <c r="AGN2" s="21"/>
      <c r="AGO2" s="22"/>
      <c r="AGP2" s="22"/>
      <c r="AGQ2" s="22"/>
      <c r="AGR2" s="22"/>
      <c r="AGS2" s="22"/>
      <c r="AGT2" s="23"/>
      <c r="AGU2" s="24" t="s">
        <v>3</v>
      </c>
      <c r="AGX2" s="20"/>
      <c r="AGY2" s="19"/>
      <c r="AGZ2" s="21"/>
      <c r="AHA2" s="22"/>
      <c r="AHB2" s="22"/>
      <c r="AHC2" s="22"/>
      <c r="AHD2" s="22"/>
      <c r="AHE2" s="22"/>
      <c r="AHF2" s="23"/>
      <c r="AHG2" s="24" t="s">
        <v>3</v>
      </c>
      <c r="AHJ2" s="20"/>
      <c r="AHK2" s="19"/>
      <c r="AHL2" s="21"/>
      <c r="AHM2" s="22"/>
      <c r="AHN2" s="22"/>
      <c r="AHO2" s="22"/>
      <c r="AHP2" s="22"/>
      <c r="AHQ2" s="22"/>
      <c r="AHR2" s="23"/>
      <c r="AHS2" s="24" t="s">
        <v>3</v>
      </c>
      <c r="AHV2" s="20"/>
      <c r="AHW2" s="19"/>
      <c r="AHX2" s="21"/>
      <c r="AHY2" s="22"/>
      <c r="AHZ2" s="22"/>
      <c r="AIA2" s="22"/>
      <c r="AIB2" s="22"/>
      <c r="AIC2" s="22"/>
      <c r="AID2" s="23"/>
      <c r="AIE2" s="24" t="s">
        <v>3</v>
      </c>
      <c r="AIH2" s="20"/>
      <c r="AII2" s="19"/>
      <c r="AIJ2" s="21"/>
      <c r="AIK2" s="22"/>
      <c r="AIL2" s="22"/>
      <c r="AIM2" s="22"/>
      <c r="AIN2" s="22"/>
      <c r="AIO2" s="22"/>
      <c r="AIP2" s="23"/>
      <c r="AIQ2" s="24" t="s">
        <v>3</v>
      </c>
      <c r="AIT2" s="20"/>
      <c r="AIU2" s="19"/>
      <c r="AIV2" s="21"/>
      <c r="AIW2" s="22"/>
      <c r="AIX2" s="22"/>
      <c r="AIY2" s="22"/>
      <c r="AIZ2" s="22"/>
      <c r="AJA2" s="22"/>
      <c r="AJB2" s="23"/>
      <c r="AJC2" s="24" t="s">
        <v>3</v>
      </c>
      <c r="AJF2" s="20"/>
      <c r="AJG2" s="19"/>
      <c r="AJH2" s="21"/>
      <c r="AJI2" s="22"/>
      <c r="AJJ2" s="22"/>
      <c r="AJK2" s="22"/>
      <c r="AJL2" s="22"/>
      <c r="AJM2" s="22"/>
      <c r="AJN2" s="23"/>
      <c r="AJO2" s="24" t="s">
        <v>3</v>
      </c>
      <c r="AJR2" s="20"/>
      <c r="AJS2" s="19"/>
      <c r="AJT2" s="21"/>
      <c r="AJU2" s="22"/>
      <c r="AJV2" s="22"/>
      <c r="AJW2" s="22"/>
      <c r="AJX2" s="22"/>
      <c r="AJY2" s="22"/>
      <c r="AJZ2" s="23"/>
      <c r="AKA2" s="24" t="s">
        <v>3</v>
      </c>
      <c r="AKD2" s="20"/>
      <c r="AKE2" s="19"/>
      <c r="AKF2" s="21"/>
      <c r="AKG2" s="22"/>
      <c r="AKH2" s="22"/>
      <c r="AKI2" s="22"/>
      <c r="AKJ2" s="22"/>
      <c r="AKK2" s="22"/>
      <c r="AKL2" s="23"/>
      <c r="AKM2" s="24" t="s">
        <v>3</v>
      </c>
      <c r="AKP2" s="20"/>
      <c r="AKQ2" s="19"/>
      <c r="AKR2" s="21"/>
      <c r="AKS2" s="22"/>
      <c r="AKT2" s="22"/>
      <c r="AKU2" s="22"/>
      <c r="AKV2" s="22"/>
      <c r="AKW2" s="22"/>
      <c r="AKX2" s="23"/>
      <c r="AKY2" s="24" t="s">
        <v>3</v>
      </c>
      <c r="ALB2" s="20"/>
      <c r="ALC2" s="19"/>
      <c r="ALD2" s="21"/>
      <c r="ALE2" s="22"/>
      <c r="ALF2" s="22"/>
      <c r="ALG2" s="22"/>
      <c r="ALH2" s="22"/>
      <c r="ALI2" s="22"/>
      <c r="ALJ2" s="23"/>
      <c r="ALK2" s="24" t="s">
        <v>3</v>
      </c>
      <c r="ALN2" s="20"/>
      <c r="ALO2" s="19"/>
      <c r="ALP2" s="21"/>
      <c r="ALQ2" s="22"/>
      <c r="ALR2" s="22"/>
      <c r="ALS2" s="22"/>
      <c r="ALT2" s="22"/>
      <c r="ALU2" s="22"/>
      <c r="ALV2" s="23"/>
      <c r="ALW2" s="24" t="s">
        <v>3</v>
      </c>
      <c r="ALZ2" s="20"/>
      <c r="AMA2" s="19"/>
      <c r="AMB2" s="21"/>
      <c r="AMC2" s="22"/>
      <c r="AMD2" s="22"/>
      <c r="AME2" s="22"/>
      <c r="AMF2" s="22"/>
      <c r="AMG2" s="22"/>
      <c r="AMH2" s="23"/>
      <c r="AMI2" s="24" t="s">
        <v>3</v>
      </c>
      <c r="AML2" s="20"/>
      <c r="AMM2" s="19"/>
      <c r="AMN2" s="21"/>
      <c r="AMO2" s="22"/>
      <c r="AMP2" s="22"/>
      <c r="AMQ2" s="22"/>
      <c r="AMR2" s="22"/>
      <c r="AMS2" s="22"/>
      <c r="AMT2" s="23"/>
      <c r="AMU2" s="24" t="s">
        <v>3</v>
      </c>
      <c r="AMX2" s="20"/>
      <c r="AMY2" s="19"/>
      <c r="AMZ2" s="21"/>
      <c r="ANA2" s="22"/>
      <c r="ANB2" s="22"/>
      <c r="ANC2" s="22"/>
      <c r="AND2" s="22"/>
      <c r="ANE2" s="22"/>
      <c r="ANF2" s="23"/>
      <c r="ANG2" s="24" t="s">
        <v>3</v>
      </c>
      <c r="ANJ2" s="20"/>
      <c r="ANK2" s="19"/>
      <c r="ANL2" s="21"/>
      <c r="ANM2" s="22"/>
      <c r="ANN2" s="22"/>
      <c r="ANO2" s="22"/>
      <c r="ANP2" s="22"/>
      <c r="ANQ2" s="22"/>
      <c r="ANR2" s="23"/>
      <c r="ANS2" s="24" t="s">
        <v>3</v>
      </c>
      <c r="ANV2" s="20"/>
      <c r="ANW2" s="19"/>
      <c r="ANX2" s="21"/>
      <c r="ANY2" s="22"/>
      <c r="ANZ2" s="22"/>
      <c r="AOA2" s="22"/>
      <c r="AOB2" s="22"/>
      <c r="AOC2" s="22"/>
      <c r="AOD2" s="23"/>
      <c r="AOE2" s="24" t="s">
        <v>3</v>
      </c>
      <c r="AOH2" s="20"/>
      <c r="AOI2" s="19"/>
      <c r="AOJ2" s="21"/>
      <c r="AOK2" s="22"/>
      <c r="AOL2" s="22"/>
      <c r="AOM2" s="22"/>
      <c r="AON2" s="22"/>
      <c r="AOO2" s="22"/>
      <c r="AOP2" s="23"/>
      <c r="AOQ2" s="24" t="s">
        <v>3</v>
      </c>
      <c r="AOT2" s="20"/>
      <c r="AOU2" s="19"/>
      <c r="AOV2" s="21"/>
      <c r="AOW2" s="22"/>
      <c r="AOX2" s="22"/>
      <c r="AOY2" s="22"/>
      <c r="AOZ2" s="22"/>
      <c r="APA2" s="22"/>
      <c r="APB2" s="23"/>
      <c r="APC2" s="24" t="s">
        <v>3</v>
      </c>
      <c r="APF2" s="20"/>
      <c r="APG2" s="19"/>
      <c r="APH2" s="21"/>
      <c r="API2" s="22"/>
      <c r="APJ2" s="22"/>
      <c r="APK2" s="22"/>
      <c r="APL2" s="22"/>
      <c r="APM2" s="22"/>
      <c r="APN2" s="23"/>
      <c r="APO2" s="24" t="s">
        <v>3</v>
      </c>
      <c r="APR2" s="20"/>
      <c r="APS2" s="19"/>
      <c r="APT2" s="21"/>
      <c r="APU2" s="22"/>
      <c r="APV2" s="22"/>
      <c r="APW2" s="22"/>
      <c r="APX2" s="22"/>
      <c r="APY2" s="22"/>
      <c r="APZ2" s="23"/>
      <c r="AQA2" s="24" t="s">
        <v>3</v>
      </c>
      <c r="AQD2" s="20"/>
      <c r="AQE2" s="19"/>
      <c r="AQF2" s="21"/>
      <c r="AQG2" s="22"/>
      <c r="AQH2" s="22"/>
      <c r="AQI2" s="22"/>
      <c r="AQJ2" s="22"/>
      <c r="AQK2" s="22"/>
      <c r="AQL2" s="23"/>
      <c r="AQM2" s="24" t="s">
        <v>3</v>
      </c>
      <c r="AQP2" s="20"/>
      <c r="AQQ2" s="19"/>
      <c r="AQR2" s="21"/>
      <c r="AQS2" s="22"/>
      <c r="AQT2" s="22"/>
      <c r="AQU2" s="22"/>
      <c r="AQV2" s="22"/>
      <c r="AQW2" s="22"/>
      <c r="AQX2" s="23"/>
      <c r="AQY2" s="24" t="s">
        <v>3</v>
      </c>
      <c r="ARB2" s="20"/>
      <c r="ARC2" s="19"/>
      <c r="ARD2" s="21"/>
      <c r="ARE2" s="22"/>
      <c r="ARF2" s="22"/>
      <c r="ARG2" s="22"/>
      <c r="ARH2" s="22"/>
      <c r="ARI2" s="22"/>
      <c r="ARJ2" s="23"/>
      <c r="ARK2" s="24" t="s">
        <v>3</v>
      </c>
      <c r="ARN2" s="20"/>
      <c r="ARO2" s="19"/>
      <c r="ARP2" s="21"/>
      <c r="ARQ2" s="22"/>
      <c r="ARR2" s="22"/>
      <c r="ARS2" s="22"/>
      <c r="ART2" s="22"/>
      <c r="ARU2" s="22"/>
      <c r="ARV2" s="23"/>
      <c r="ARW2" s="24" t="s">
        <v>3</v>
      </c>
      <c r="ARZ2" s="20"/>
      <c r="ASA2" s="19"/>
      <c r="ASB2" s="21"/>
      <c r="ASC2" s="22"/>
      <c r="ASD2" s="22"/>
      <c r="ASE2" s="22"/>
      <c r="ASF2" s="22"/>
      <c r="ASG2" s="22"/>
      <c r="ASH2" s="23"/>
      <c r="ASI2" s="24" t="s">
        <v>3</v>
      </c>
      <c r="ASL2" s="20"/>
      <c r="ASM2" s="19"/>
      <c r="ASN2" s="21"/>
      <c r="ASO2" s="22"/>
      <c r="ASP2" s="22"/>
      <c r="ASQ2" s="22"/>
      <c r="ASR2" s="22"/>
      <c r="ASS2" s="22"/>
      <c r="AST2" s="23"/>
      <c r="ASU2" s="24" t="s">
        <v>3</v>
      </c>
      <c r="ASX2" s="20"/>
      <c r="ASY2" s="19"/>
      <c r="ASZ2" s="21"/>
      <c r="ATA2" s="22"/>
      <c r="ATB2" s="22"/>
      <c r="ATC2" s="22"/>
      <c r="ATD2" s="22"/>
      <c r="ATE2" s="22"/>
      <c r="ATF2" s="23"/>
      <c r="ATG2" s="24" t="s">
        <v>3</v>
      </c>
      <c r="ATJ2" s="20"/>
      <c r="ATK2" s="19"/>
      <c r="ATL2" s="21"/>
      <c r="ATM2" s="22"/>
      <c r="ATN2" s="22"/>
      <c r="ATO2" s="22"/>
      <c r="ATP2" s="22"/>
      <c r="ATQ2" s="22"/>
      <c r="ATR2" s="23"/>
      <c r="ATS2" s="24" t="s">
        <v>3</v>
      </c>
      <c r="ATV2" s="20"/>
      <c r="ATW2" s="19"/>
      <c r="ATX2" s="21"/>
      <c r="ATY2" s="22"/>
      <c r="ATZ2" s="22"/>
      <c r="AUA2" s="22"/>
      <c r="AUB2" s="22"/>
      <c r="AUC2" s="22"/>
      <c r="AUD2" s="23"/>
      <c r="AUE2" s="24" t="s">
        <v>3</v>
      </c>
      <c r="AUH2" s="20"/>
      <c r="AUI2" s="19"/>
      <c r="AUJ2" s="21"/>
      <c r="AUK2" s="22"/>
      <c r="AUL2" s="22"/>
      <c r="AUM2" s="22"/>
      <c r="AUN2" s="22"/>
      <c r="AUO2" s="22"/>
      <c r="AUP2" s="23"/>
      <c r="AUQ2" s="24" t="s">
        <v>3</v>
      </c>
      <c r="AUT2" s="20"/>
      <c r="AUU2" s="19"/>
      <c r="AUV2" s="21"/>
      <c r="AUW2" s="22"/>
      <c r="AUX2" s="22"/>
      <c r="AUY2" s="22"/>
      <c r="AUZ2" s="22"/>
      <c r="AVA2" s="22"/>
      <c r="AVB2" s="23"/>
      <c r="AVC2" s="24" t="s">
        <v>3</v>
      </c>
      <c r="AVF2" s="20"/>
      <c r="AVG2" s="19"/>
      <c r="AVH2" s="21"/>
      <c r="AVI2" s="22"/>
      <c r="AVJ2" s="22"/>
      <c r="AVK2" s="22"/>
      <c r="AVL2" s="22"/>
      <c r="AVM2" s="22"/>
      <c r="AVN2" s="23"/>
      <c r="AVO2" s="24" t="s">
        <v>3</v>
      </c>
      <c r="AVR2" s="20"/>
      <c r="AVS2" s="19"/>
      <c r="AVT2" s="21"/>
      <c r="AVU2" s="22"/>
      <c r="AVV2" s="22"/>
      <c r="AVW2" s="22"/>
      <c r="AVX2" s="22"/>
      <c r="AVY2" s="22"/>
      <c r="AVZ2" s="23"/>
      <c r="AWA2" s="24" t="s">
        <v>3</v>
      </c>
      <c r="AWD2" s="20"/>
      <c r="AWE2" s="19"/>
      <c r="AWF2" s="21"/>
      <c r="AWG2" s="22"/>
      <c r="AWH2" s="22"/>
      <c r="AWI2" s="22"/>
      <c r="AWJ2" s="22"/>
      <c r="AWK2" s="22"/>
      <c r="AWL2" s="23"/>
      <c r="AWM2" s="24" t="s">
        <v>3</v>
      </c>
      <c r="AWP2" s="20"/>
      <c r="AWQ2" s="19"/>
      <c r="AWR2" s="21"/>
      <c r="AWS2" s="22"/>
      <c r="AWT2" s="22"/>
      <c r="AWU2" s="22"/>
      <c r="AWV2" s="22"/>
      <c r="AWW2" s="22"/>
      <c r="AWX2" s="23"/>
      <c r="AWY2" s="24" t="s">
        <v>3</v>
      </c>
      <c r="AXB2" s="20"/>
      <c r="AXC2" s="19"/>
      <c r="AXD2" s="21"/>
      <c r="AXE2" s="22"/>
      <c r="AXF2" s="22"/>
      <c r="AXG2" s="22"/>
      <c r="AXH2" s="22"/>
      <c r="AXI2" s="22"/>
      <c r="AXJ2" s="23"/>
      <c r="AXK2" s="24" t="s">
        <v>3</v>
      </c>
      <c r="AXN2" s="20"/>
      <c r="AXO2" s="19"/>
      <c r="AXP2" s="21"/>
      <c r="AXQ2" s="22"/>
      <c r="AXR2" s="22"/>
      <c r="AXS2" s="22"/>
      <c r="AXT2" s="22"/>
      <c r="AXU2" s="22"/>
      <c r="AXV2" s="23"/>
      <c r="AXW2" s="24" t="s">
        <v>3</v>
      </c>
      <c r="AXZ2" s="20"/>
      <c r="AYA2" s="19"/>
      <c r="AYB2" s="21"/>
      <c r="AYC2" s="22"/>
      <c r="AYD2" s="22"/>
      <c r="AYE2" s="22"/>
      <c r="AYF2" s="22"/>
      <c r="AYG2" s="22"/>
      <c r="AYH2" s="23"/>
      <c r="AYI2" s="24" t="s">
        <v>3</v>
      </c>
      <c r="AYL2" s="20"/>
      <c r="AYM2" s="19"/>
      <c r="AYN2" s="21"/>
      <c r="AYO2" s="22"/>
      <c r="AYP2" s="22"/>
      <c r="AYQ2" s="22"/>
      <c r="AYR2" s="22"/>
      <c r="AYS2" s="22"/>
      <c r="AYT2" s="23"/>
      <c r="AYU2" s="24" t="s">
        <v>3</v>
      </c>
      <c r="AYX2" s="20"/>
      <c r="AYY2" s="19"/>
      <c r="AYZ2" s="21"/>
      <c r="AZA2" s="22"/>
      <c r="AZB2" s="22"/>
      <c r="AZC2" s="22"/>
      <c r="AZD2" s="22"/>
      <c r="AZE2" s="22"/>
      <c r="AZF2" s="23"/>
      <c r="AZG2" s="24" t="s">
        <v>3</v>
      </c>
      <c r="AZJ2" s="20"/>
      <c r="AZK2" s="19"/>
      <c r="AZL2" s="21"/>
      <c r="AZM2" s="22"/>
      <c r="AZN2" s="22"/>
      <c r="AZO2" s="22"/>
      <c r="AZP2" s="22"/>
      <c r="AZQ2" s="22"/>
      <c r="AZR2" s="23"/>
      <c r="AZS2" s="24" t="s">
        <v>3</v>
      </c>
      <c r="AZV2" s="20"/>
      <c r="AZW2" s="19"/>
      <c r="AZX2" s="21"/>
      <c r="AZY2" s="22"/>
      <c r="AZZ2" s="22"/>
      <c r="BAA2" s="22"/>
      <c r="BAB2" s="22"/>
      <c r="BAC2" s="22"/>
      <c r="BAD2" s="23"/>
      <c r="BAE2" s="24" t="s">
        <v>3</v>
      </c>
      <c r="BAH2" s="20"/>
      <c r="BAI2" s="19"/>
      <c r="BAJ2" s="21"/>
      <c r="BAK2" s="22"/>
      <c r="BAL2" s="22"/>
      <c r="BAM2" s="22"/>
      <c r="BAN2" s="22"/>
      <c r="BAO2" s="22"/>
      <c r="BAP2" s="23"/>
      <c r="BAQ2" s="24" t="s">
        <v>3</v>
      </c>
      <c r="BAT2" s="20"/>
      <c r="BAU2" s="19"/>
      <c r="BAV2" s="21"/>
      <c r="BAW2" s="22"/>
      <c r="BAX2" s="22"/>
      <c r="BAY2" s="22"/>
      <c r="BAZ2" s="22"/>
      <c r="BBA2" s="22"/>
      <c r="BBB2" s="23"/>
      <c r="BBC2" s="24" t="s">
        <v>3</v>
      </c>
      <c r="BBF2" s="20"/>
      <c r="BBG2" s="19"/>
      <c r="BBH2" s="21"/>
      <c r="BBI2" s="22"/>
      <c r="BBJ2" s="22"/>
      <c r="BBK2" s="22"/>
      <c r="BBL2" s="22"/>
      <c r="BBM2" s="22"/>
      <c r="BBN2" s="23"/>
      <c r="BBO2" s="24" t="s">
        <v>3</v>
      </c>
      <c r="BBR2" s="20"/>
      <c r="BBS2" s="19"/>
      <c r="BBT2" s="21"/>
      <c r="BBU2" s="22"/>
      <c r="BBV2" s="22"/>
      <c r="BBW2" s="22"/>
      <c r="BBX2" s="22"/>
      <c r="BBY2" s="22"/>
      <c r="BBZ2" s="23"/>
      <c r="BCA2" s="24" t="s">
        <v>3</v>
      </c>
      <c r="BCD2" s="20"/>
      <c r="BCE2" s="19"/>
      <c r="BCF2" s="21"/>
      <c r="BCG2" s="22"/>
      <c r="BCH2" s="22"/>
      <c r="BCI2" s="22"/>
      <c r="BCJ2" s="22"/>
      <c r="BCK2" s="22"/>
      <c r="BCL2" s="23"/>
      <c r="BCM2" s="24" t="s">
        <v>3</v>
      </c>
      <c r="BCP2" s="20"/>
      <c r="BCQ2" s="19"/>
      <c r="BCR2" s="21"/>
      <c r="BCS2" s="22"/>
      <c r="BCT2" s="22"/>
      <c r="BCU2" s="22"/>
      <c r="BCV2" s="22"/>
      <c r="BCW2" s="22"/>
      <c r="BCX2" s="23"/>
      <c r="BCY2" s="24" t="s">
        <v>3</v>
      </c>
      <c r="BDB2" s="20"/>
      <c r="BDC2" s="19"/>
      <c r="BDD2" s="21"/>
      <c r="BDE2" s="22"/>
      <c r="BDF2" s="22"/>
      <c r="BDG2" s="22"/>
      <c r="BDH2" s="22"/>
      <c r="BDI2" s="22"/>
      <c r="BDJ2" s="23"/>
      <c r="BDK2" s="24" t="s">
        <v>3</v>
      </c>
      <c r="BDN2" s="20"/>
      <c r="BDO2" s="19"/>
      <c r="BDP2" s="21"/>
      <c r="BDQ2" s="22"/>
      <c r="BDR2" s="22"/>
      <c r="BDS2" s="22"/>
      <c r="BDT2" s="22"/>
      <c r="BDU2" s="22"/>
      <c r="BDV2" s="23"/>
      <c r="BDW2" s="24" t="s">
        <v>3</v>
      </c>
      <c r="BDZ2" s="20"/>
      <c r="BEA2" s="19"/>
      <c r="BEB2" s="21"/>
      <c r="BEC2" s="22"/>
      <c r="BED2" s="22"/>
      <c r="BEE2" s="22"/>
      <c r="BEF2" s="22"/>
      <c r="BEG2" s="22"/>
      <c r="BEH2" s="23"/>
      <c r="BEI2" s="24" t="s">
        <v>3</v>
      </c>
      <c r="BEL2" s="20"/>
      <c r="BEM2" s="19"/>
      <c r="BEN2" s="21"/>
      <c r="BEO2" s="22"/>
      <c r="BEP2" s="22"/>
      <c r="BEQ2" s="22"/>
      <c r="BER2" s="22"/>
      <c r="BES2" s="22"/>
      <c r="BET2" s="23"/>
      <c r="BEU2" s="24" t="s">
        <v>3</v>
      </c>
      <c r="BEX2" s="20"/>
      <c r="BEY2" s="19"/>
      <c r="BEZ2" s="21"/>
      <c r="BFA2" s="22"/>
      <c r="BFB2" s="22"/>
      <c r="BFC2" s="22"/>
      <c r="BFD2" s="22"/>
      <c r="BFE2" s="22"/>
      <c r="BFF2" s="23"/>
      <c r="BFG2" s="24" t="s">
        <v>3</v>
      </c>
      <c r="BFJ2" s="20"/>
      <c r="BFK2" s="19"/>
      <c r="BFL2" s="21"/>
      <c r="BFM2" s="22"/>
      <c r="BFN2" s="22"/>
      <c r="BFO2" s="22"/>
      <c r="BFP2" s="22"/>
      <c r="BFQ2" s="22"/>
      <c r="BFR2" s="23"/>
      <c r="BFS2" s="24" t="s">
        <v>3</v>
      </c>
      <c r="BFV2" s="20"/>
      <c r="BFW2" s="19"/>
      <c r="BFX2" s="21"/>
      <c r="BFY2" s="22"/>
      <c r="BFZ2" s="22"/>
      <c r="BGA2" s="22"/>
      <c r="BGB2" s="22"/>
      <c r="BGC2" s="22"/>
      <c r="BGD2" s="23"/>
      <c r="BGE2" s="24" t="s">
        <v>3</v>
      </c>
      <c r="BGH2" s="20"/>
      <c r="BGI2" s="19"/>
      <c r="BGJ2" s="21"/>
      <c r="BGK2" s="22"/>
      <c r="BGL2" s="22"/>
      <c r="BGM2" s="22"/>
      <c r="BGN2" s="22"/>
      <c r="BGO2" s="22"/>
      <c r="BGP2" s="23"/>
      <c r="BGQ2" s="24" t="s">
        <v>3</v>
      </c>
      <c r="BGT2" s="20"/>
      <c r="BGU2" s="19"/>
      <c r="BGV2" s="21"/>
      <c r="BGW2" s="22"/>
      <c r="BGX2" s="22"/>
      <c r="BGY2" s="22"/>
      <c r="BGZ2" s="22"/>
      <c r="BHA2" s="22"/>
      <c r="BHB2" s="23"/>
      <c r="BHC2" s="24" t="s">
        <v>3</v>
      </c>
      <c r="BHF2" s="20"/>
      <c r="BHG2" s="19"/>
      <c r="BHH2" s="21"/>
      <c r="BHI2" s="22"/>
      <c r="BHJ2" s="22"/>
      <c r="BHK2" s="22"/>
      <c r="BHL2" s="22"/>
      <c r="BHM2" s="22"/>
      <c r="BHN2" s="23"/>
      <c r="BHO2" s="24" t="s">
        <v>3</v>
      </c>
      <c r="BHR2" s="20"/>
      <c r="BHS2" s="19"/>
      <c r="BHT2" s="21"/>
      <c r="BHU2" s="22"/>
      <c r="BHV2" s="22"/>
      <c r="BHW2" s="22"/>
      <c r="BHX2" s="22"/>
      <c r="BHY2" s="22"/>
      <c r="BHZ2" s="23"/>
      <c r="BIA2" s="24" t="s">
        <v>3</v>
      </c>
      <c r="BID2" s="20"/>
      <c r="BIE2" s="19"/>
      <c r="BIF2" s="21"/>
      <c r="BIG2" s="22"/>
      <c r="BIH2" s="22"/>
      <c r="BII2" s="22"/>
      <c r="BIJ2" s="22"/>
      <c r="BIK2" s="22"/>
      <c r="BIL2" s="23"/>
      <c r="BIM2" s="24" t="s">
        <v>3</v>
      </c>
      <c r="BIP2" s="20"/>
      <c r="BIQ2" s="19"/>
      <c r="BIR2" s="21"/>
      <c r="BIS2" s="22"/>
      <c r="BIT2" s="22"/>
      <c r="BIU2" s="22"/>
      <c r="BIV2" s="22"/>
      <c r="BIW2" s="22"/>
      <c r="BIX2" s="23"/>
      <c r="BIY2" s="24" t="s">
        <v>3</v>
      </c>
      <c r="BJB2" s="20"/>
      <c r="BJC2" s="19"/>
      <c r="BJD2" s="21"/>
      <c r="BJE2" s="22"/>
      <c r="BJF2" s="22"/>
      <c r="BJG2" s="22"/>
      <c r="BJH2" s="22"/>
      <c r="BJI2" s="22"/>
      <c r="BJJ2" s="23"/>
      <c r="BJK2" s="24" t="s">
        <v>3</v>
      </c>
      <c r="BJN2" s="20"/>
      <c r="BJO2" s="19"/>
      <c r="BJP2" s="21"/>
      <c r="BJQ2" s="22"/>
      <c r="BJR2" s="22"/>
      <c r="BJS2" s="22"/>
      <c r="BJT2" s="22"/>
      <c r="BJU2" s="22"/>
      <c r="BJV2" s="23"/>
      <c r="BJW2" s="24" t="s">
        <v>3</v>
      </c>
      <c r="BJZ2" s="20"/>
      <c r="BKA2" s="19"/>
      <c r="BKB2" s="21"/>
      <c r="BKC2" s="22"/>
      <c r="BKD2" s="22"/>
      <c r="BKE2" s="22"/>
      <c r="BKF2" s="22"/>
      <c r="BKG2" s="22"/>
      <c r="BKH2" s="23"/>
      <c r="BKI2" s="24" t="s">
        <v>3</v>
      </c>
      <c r="BKL2" s="20"/>
      <c r="BKM2" s="19"/>
      <c r="BKN2" s="21"/>
      <c r="BKO2" s="22"/>
      <c r="BKP2" s="22"/>
      <c r="BKQ2" s="22"/>
      <c r="BKR2" s="22"/>
      <c r="BKS2" s="22"/>
      <c r="BKT2" s="23"/>
      <c r="BKU2" s="24" t="s">
        <v>3</v>
      </c>
      <c r="BKX2" s="20"/>
      <c r="BKY2" s="19"/>
      <c r="BKZ2" s="21"/>
      <c r="BLA2" s="22"/>
      <c r="BLB2" s="22"/>
      <c r="BLC2" s="22"/>
      <c r="BLD2" s="22"/>
      <c r="BLE2" s="22"/>
      <c r="BLF2" s="23"/>
      <c r="BLG2" s="24" t="s">
        <v>3</v>
      </c>
      <c r="BLJ2" s="20"/>
      <c r="BLK2" s="19"/>
      <c r="BLL2" s="21"/>
      <c r="BLM2" s="22"/>
      <c r="BLN2" s="22"/>
      <c r="BLO2" s="22"/>
      <c r="BLP2" s="22"/>
      <c r="BLQ2" s="22"/>
      <c r="BLR2" s="23"/>
      <c r="BLS2" s="24" t="s">
        <v>3</v>
      </c>
      <c r="BLV2" s="20"/>
      <c r="BLW2" s="19"/>
      <c r="BLX2" s="21"/>
      <c r="BLY2" s="22"/>
      <c r="BLZ2" s="22"/>
      <c r="BMA2" s="22"/>
      <c r="BMB2" s="22"/>
      <c r="BMC2" s="22"/>
      <c r="BMD2" s="23"/>
      <c r="BME2" s="24" t="s">
        <v>3</v>
      </c>
      <c r="BMH2" s="20"/>
      <c r="BMI2" s="19"/>
      <c r="BMJ2" s="21"/>
      <c r="BMK2" s="22"/>
      <c r="BML2" s="22"/>
      <c r="BMM2" s="22"/>
      <c r="BMN2" s="22"/>
      <c r="BMO2" s="22"/>
      <c r="BMP2" s="23"/>
      <c r="BMQ2" s="24" t="s">
        <v>3</v>
      </c>
      <c r="BMT2" s="20"/>
      <c r="BMU2" s="19"/>
      <c r="BMV2" s="21"/>
      <c r="BMW2" s="22"/>
      <c r="BMX2" s="22"/>
      <c r="BMY2" s="22"/>
      <c r="BMZ2" s="22"/>
      <c r="BNA2" s="22"/>
      <c r="BNB2" s="23"/>
      <c r="BNC2" s="24" t="s">
        <v>3</v>
      </c>
      <c r="BNF2" s="20"/>
      <c r="BNG2" s="19"/>
      <c r="BNH2" s="21"/>
      <c r="BNI2" s="22"/>
      <c r="BNJ2" s="22"/>
      <c r="BNK2" s="22"/>
      <c r="BNL2" s="22"/>
      <c r="BNM2" s="22"/>
      <c r="BNN2" s="23"/>
      <c r="BNO2" s="24" t="s">
        <v>3</v>
      </c>
      <c r="BNR2" s="20"/>
      <c r="BNS2" s="19"/>
      <c r="BNT2" s="21"/>
      <c r="BNU2" s="22"/>
      <c r="BNV2" s="22"/>
      <c r="BNW2" s="22"/>
      <c r="BNX2" s="22"/>
      <c r="BNY2" s="22"/>
      <c r="BNZ2" s="23"/>
      <c r="BOA2" s="24" t="s">
        <v>3</v>
      </c>
      <c r="BOD2" s="20"/>
      <c r="BOE2" s="19"/>
      <c r="BOF2" s="21"/>
      <c r="BOG2" s="22"/>
      <c r="BOH2" s="22"/>
      <c r="BOI2" s="22"/>
      <c r="BOJ2" s="22"/>
      <c r="BOK2" s="22"/>
      <c r="BOL2" s="23"/>
      <c r="BOM2" s="24" t="s">
        <v>3</v>
      </c>
      <c r="BOP2" s="20"/>
      <c r="BOQ2" s="19"/>
      <c r="BOR2" s="21"/>
      <c r="BOS2" s="22"/>
      <c r="BOT2" s="22"/>
      <c r="BOU2" s="22"/>
      <c r="BOV2" s="22"/>
      <c r="BOW2" s="22"/>
      <c r="BOX2" s="23"/>
      <c r="BOY2" s="24" t="s">
        <v>3</v>
      </c>
      <c r="BPB2" s="20"/>
      <c r="BPC2" s="19"/>
      <c r="BPD2" s="21"/>
      <c r="BPE2" s="22"/>
      <c r="BPF2" s="22"/>
      <c r="BPG2" s="22"/>
      <c r="BPH2" s="22"/>
      <c r="BPI2" s="22"/>
      <c r="BPJ2" s="23"/>
      <c r="BPK2" s="24" t="s">
        <v>3</v>
      </c>
      <c r="BPN2" s="20"/>
      <c r="BPO2" s="19"/>
      <c r="BPP2" s="21"/>
      <c r="BPQ2" s="22"/>
      <c r="BPR2" s="22"/>
      <c r="BPS2" s="22"/>
      <c r="BPT2" s="22"/>
      <c r="BPU2" s="22"/>
      <c r="BPV2" s="23"/>
      <c r="BPW2" s="24" t="s">
        <v>3</v>
      </c>
      <c r="BPZ2" s="20"/>
      <c r="BQA2" s="19"/>
      <c r="BQB2" s="21"/>
      <c r="BQC2" s="22"/>
      <c r="BQD2" s="22"/>
      <c r="BQE2" s="22"/>
      <c r="BQF2" s="22"/>
      <c r="BQG2" s="22"/>
      <c r="BQH2" s="23"/>
      <c r="BQI2" s="24" t="s">
        <v>3</v>
      </c>
      <c r="BQL2" s="20"/>
      <c r="BQM2" s="19"/>
      <c r="BQN2" s="21"/>
      <c r="BQO2" s="22"/>
      <c r="BQP2" s="22"/>
      <c r="BQQ2" s="22"/>
      <c r="BQR2" s="22"/>
      <c r="BQS2" s="22"/>
      <c r="BQT2" s="23"/>
      <c r="BQU2" s="24" t="s">
        <v>3</v>
      </c>
      <c r="BQX2" s="20"/>
      <c r="BQY2" s="19"/>
      <c r="BQZ2" s="21"/>
      <c r="BRA2" s="22"/>
      <c r="BRB2" s="22"/>
      <c r="BRC2" s="22"/>
      <c r="BRD2" s="22"/>
      <c r="BRE2" s="22"/>
      <c r="BRF2" s="23"/>
      <c r="BRG2" s="24" t="s">
        <v>3</v>
      </c>
      <c r="BRJ2" s="20"/>
      <c r="BRK2" s="19"/>
      <c r="BRL2" s="21"/>
      <c r="BRM2" s="22"/>
      <c r="BRN2" s="22"/>
      <c r="BRO2" s="22"/>
      <c r="BRP2" s="22"/>
      <c r="BRQ2" s="22"/>
      <c r="BRR2" s="23"/>
      <c r="BRS2" s="24" t="s">
        <v>3</v>
      </c>
      <c r="BRV2" s="20"/>
      <c r="BRW2" s="19"/>
      <c r="BRX2" s="21"/>
      <c r="BRY2" s="22"/>
      <c r="BRZ2" s="22"/>
      <c r="BSA2" s="22"/>
      <c r="BSB2" s="22"/>
      <c r="BSC2" s="22"/>
      <c r="BSD2" s="23"/>
      <c r="BSE2" s="24" t="s">
        <v>3</v>
      </c>
      <c r="BSH2" s="20"/>
      <c r="BSI2" s="19"/>
      <c r="BSJ2" s="21"/>
      <c r="BSK2" s="22"/>
      <c r="BSL2" s="22"/>
      <c r="BSM2" s="22"/>
      <c r="BSN2" s="22"/>
      <c r="BSO2" s="22"/>
      <c r="BSP2" s="23"/>
      <c r="BSQ2" s="24" t="s">
        <v>3</v>
      </c>
      <c r="BST2" s="20"/>
      <c r="BSU2" s="19"/>
      <c r="BSV2" s="21"/>
      <c r="BSW2" s="22"/>
      <c r="BSX2" s="22"/>
      <c r="BSY2" s="22"/>
      <c r="BSZ2" s="22"/>
      <c r="BTA2" s="22"/>
      <c r="BTB2" s="23"/>
      <c r="BTC2" s="24" t="s">
        <v>3</v>
      </c>
      <c r="BTF2" s="20"/>
      <c r="BTG2" s="19"/>
      <c r="BTH2" s="21"/>
      <c r="BTI2" s="22"/>
      <c r="BTJ2" s="22"/>
      <c r="BTK2" s="22"/>
      <c r="BTL2" s="22"/>
      <c r="BTM2" s="22"/>
      <c r="BTN2" s="23"/>
      <c r="BTO2" s="24" t="s">
        <v>3</v>
      </c>
      <c r="BTR2" s="20"/>
      <c r="BTS2" s="19"/>
      <c r="BTT2" s="21"/>
      <c r="BTU2" s="22"/>
      <c r="BTV2" s="22"/>
      <c r="BTW2" s="22"/>
      <c r="BTX2" s="22"/>
      <c r="BTY2" s="22"/>
      <c r="BTZ2" s="23"/>
      <c r="BUA2" s="24" t="s">
        <v>3</v>
      </c>
      <c r="BUD2" s="20"/>
      <c r="BUE2" s="19"/>
      <c r="BUF2" s="21"/>
      <c r="BUG2" s="22"/>
      <c r="BUH2" s="22"/>
      <c r="BUI2" s="22"/>
      <c r="BUJ2" s="22"/>
      <c r="BUK2" s="22"/>
      <c r="BUL2" s="23"/>
      <c r="BUM2" s="24" t="s">
        <v>3</v>
      </c>
      <c r="BUP2" s="20"/>
      <c r="BUQ2" s="19"/>
      <c r="BUR2" s="21"/>
      <c r="BUS2" s="22"/>
      <c r="BUT2" s="22"/>
      <c r="BUU2" s="22"/>
      <c r="BUV2" s="22"/>
      <c r="BUW2" s="22"/>
      <c r="BUX2" s="23"/>
      <c r="BUY2" s="24" t="s">
        <v>3</v>
      </c>
      <c r="BVB2" s="20"/>
      <c r="BVC2" s="19"/>
      <c r="BVD2" s="21"/>
      <c r="BVE2" s="22"/>
      <c r="BVF2" s="22"/>
      <c r="BVG2" s="22"/>
      <c r="BVH2" s="22"/>
      <c r="BVI2" s="22"/>
      <c r="BVJ2" s="23"/>
      <c r="BVK2" s="24" t="s">
        <v>3</v>
      </c>
      <c r="BVN2" s="20"/>
      <c r="BVO2" s="19"/>
      <c r="BVP2" s="21"/>
      <c r="BVQ2" s="22"/>
      <c r="BVR2" s="22"/>
      <c r="BVS2" s="22"/>
      <c r="BVT2" s="22"/>
      <c r="BVU2" s="22"/>
      <c r="BVV2" s="23"/>
      <c r="BVW2" s="24" t="s">
        <v>3</v>
      </c>
      <c r="BVZ2" s="20"/>
      <c r="BWA2" s="19"/>
      <c r="BWB2" s="21"/>
      <c r="BWC2" s="22"/>
      <c r="BWD2" s="22"/>
      <c r="BWE2" s="22"/>
      <c r="BWF2" s="22"/>
      <c r="BWG2" s="22"/>
      <c r="BWH2" s="23"/>
      <c r="BWI2" s="24" t="s">
        <v>3</v>
      </c>
      <c r="BWL2" s="20"/>
      <c r="BWM2" s="19"/>
      <c r="BWN2" s="21"/>
      <c r="BWO2" s="22"/>
      <c r="BWP2" s="22"/>
      <c r="BWQ2" s="22"/>
      <c r="BWR2" s="22"/>
      <c r="BWS2" s="22"/>
      <c r="BWT2" s="23"/>
      <c r="BWU2" s="24" t="s">
        <v>3</v>
      </c>
      <c r="BWX2" s="20"/>
      <c r="BWY2" s="19"/>
      <c r="BWZ2" s="21"/>
      <c r="BXA2" s="22"/>
      <c r="BXB2" s="22"/>
      <c r="BXC2" s="22"/>
      <c r="BXD2" s="22"/>
      <c r="BXE2" s="22"/>
      <c r="BXF2" s="23"/>
      <c r="BXG2" s="24" t="s">
        <v>3</v>
      </c>
      <c r="BXJ2" s="20"/>
      <c r="BXK2" s="19"/>
      <c r="BXL2" s="21"/>
      <c r="BXM2" s="22"/>
      <c r="BXN2" s="22"/>
      <c r="BXO2" s="22"/>
      <c r="BXP2" s="22"/>
      <c r="BXQ2" s="22"/>
      <c r="BXR2" s="23"/>
      <c r="BXS2" s="24" t="s">
        <v>3</v>
      </c>
      <c r="BXV2" s="20"/>
      <c r="BXW2" s="19"/>
      <c r="BXX2" s="21"/>
      <c r="BXY2" s="22"/>
      <c r="BXZ2" s="22"/>
      <c r="BYA2" s="22"/>
      <c r="BYB2" s="22"/>
      <c r="BYC2" s="22"/>
      <c r="BYD2" s="23"/>
      <c r="BYE2" s="24" t="s">
        <v>3</v>
      </c>
      <c r="BYH2" s="20"/>
      <c r="BYI2" s="19"/>
      <c r="BYJ2" s="21"/>
      <c r="BYK2" s="22"/>
      <c r="BYL2" s="22"/>
      <c r="BYM2" s="22"/>
      <c r="BYN2" s="22"/>
      <c r="BYO2" s="22"/>
      <c r="BYP2" s="23"/>
      <c r="BYQ2" s="24" t="s">
        <v>3</v>
      </c>
      <c r="BYT2" s="20"/>
      <c r="BYU2" s="19"/>
      <c r="BYV2" s="21"/>
      <c r="BYW2" s="22"/>
      <c r="BYX2" s="22"/>
      <c r="BYY2" s="22"/>
      <c r="BYZ2" s="22"/>
      <c r="BZA2" s="22"/>
      <c r="BZB2" s="23"/>
      <c r="BZC2" s="24" t="s">
        <v>3</v>
      </c>
      <c r="BZF2" s="20"/>
      <c r="BZG2" s="19"/>
      <c r="BZH2" s="21"/>
      <c r="BZI2" s="22"/>
      <c r="BZJ2" s="22"/>
      <c r="BZK2" s="22"/>
      <c r="BZL2" s="22"/>
      <c r="BZM2" s="22"/>
      <c r="BZN2" s="23"/>
      <c r="BZO2" s="24" t="s">
        <v>3</v>
      </c>
      <c r="BZR2" s="20"/>
      <c r="BZS2" s="19"/>
      <c r="BZT2" s="21"/>
      <c r="BZU2" s="22"/>
      <c r="BZV2" s="22"/>
      <c r="BZW2" s="22"/>
      <c r="BZX2" s="22"/>
      <c r="BZY2" s="22"/>
      <c r="BZZ2" s="23"/>
      <c r="CAA2" s="24" t="s">
        <v>3</v>
      </c>
      <c r="CAD2" s="20"/>
      <c r="CAE2" s="19"/>
      <c r="CAF2" s="21"/>
      <c r="CAG2" s="22"/>
      <c r="CAH2" s="22"/>
      <c r="CAI2" s="22"/>
      <c r="CAJ2" s="22"/>
      <c r="CAK2" s="22"/>
      <c r="CAL2" s="23"/>
      <c r="CAM2" s="24" t="s">
        <v>3</v>
      </c>
      <c r="CAP2" s="20"/>
      <c r="CAQ2" s="19"/>
      <c r="CAR2" s="21"/>
      <c r="CAS2" s="22"/>
      <c r="CAT2" s="22"/>
      <c r="CAU2" s="22"/>
      <c r="CAV2" s="22"/>
      <c r="CAW2" s="22"/>
      <c r="CAX2" s="23"/>
      <c r="CAY2" s="24" t="s">
        <v>3</v>
      </c>
      <c r="CBB2" s="20"/>
      <c r="CBC2" s="19"/>
      <c r="CBD2" s="21"/>
      <c r="CBE2" s="22"/>
      <c r="CBF2" s="22"/>
      <c r="CBG2" s="22"/>
      <c r="CBH2" s="22"/>
      <c r="CBI2" s="22"/>
      <c r="CBJ2" s="23"/>
      <c r="CBK2" s="24" t="s">
        <v>3</v>
      </c>
      <c r="CBN2" s="20"/>
      <c r="CBO2" s="19"/>
      <c r="CBP2" s="21"/>
      <c r="CBQ2" s="22"/>
      <c r="CBR2" s="22"/>
      <c r="CBS2" s="22"/>
      <c r="CBT2" s="22"/>
      <c r="CBU2" s="22"/>
      <c r="CBV2" s="23"/>
      <c r="CBW2" s="24" t="s">
        <v>3</v>
      </c>
      <c r="CBZ2" s="20"/>
      <c r="CCA2" s="19"/>
      <c r="CCB2" s="21"/>
      <c r="CCC2" s="22"/>
      <c r="CCD2" s="22"/>
      <c r="CCE2" s="22"/>
      <c r="CCF2" s="22"/>
      <c r="CCG2" s="22"/>
      <c r="CCH2" s="23"/>
      <c r="CCI2" s="24" t="s">
        <v>3</v>
      </c>
      <c r="CCL2" s="20"/>
      <c r="CCM2" s="19"/>
      <c r="CCN2" s="21"/>
      <c r="CCO2" s="22"/>
      <c r="CCP2" s="22"/>
      <c r="CCQ2" s="22"/>
      <c r="CCR2" s="22"/>
      <c r="CCS2" s="22"/>
      <c r="CCT2" s="23"/>
      <c r="CCU2" s="24" t="s">
        <v>3</v>
      </c>
      <c r="CCX2" s="20"/>
      <c r="CCY2" s="19"/>
      <c r="CCZ2" s="21"/>
      <c r="CDA2" s="22"/>
      <c r="CDB2" s="22"/>
      <c r="CDC2" s="22"/>
      <c r="CDD2" s="22"/>
      <c r="CDE2" s="22"/>
      <c r="CDF2" s="23"/>
      <c r="CDG2" s="24" t="s">
        <v>3</v>
      </c>
      <c r="CDJ2" s="20"/>
      <c r="CDK2" s="19"/>
      <c r="CDL2" s="21"/>
      <c r="CDM2" s="22"/>
      <c r="CDN2" s="22"/>
      <c r="CDO2" s="22"/>
      <c r="CDP2" s="22"/>
      <c r="CDQ2" s="22"/>
      <c r="CDR2" s="23"/>
      <c r="CDS2" s="24" t="s">
        <v>3</v>
      </c>
      <c r="CDV2" s="20"/>
      <c r="CDW2" s="19"/>
      <c r="CDX2" s="21"/>
      <c r="CDY2" s="22"/>
      <c r="CDZ2" s="22"/>
      <c r="CEA2" s="22"/>
      <c r="CEB2" s="22"/>
      <c r="CEC2" s="22"/>
      <c r="CED2" s="23"/>
      <c r="CEE2" s="24" t="s">
        <v>3</v>
      </c>
      <c r="CEH2" s="20"/>
      <c r="CEI2" s="19"/>
      <c r="CEJ2" s="21"/>
      <c r="CEK2" s="22"/>
      <c r="CEL2" s="22"/>
      <c r="CEM2" s="22"/>
      <c r="CEN2" s="22"/>
      <c r="CEO2" s="22"/>
      <c r="CEP2" s="23"/>
      <c r="CEQ2" s="24" t="s">
        <v>3</v>
      </c>
      <c r="CET2" s="20"/>
      <c r="CEU2" s="19"/>
      <c r="CEV2" s="21"/>
      <c r="CEW2" s="22"/>
      <c r="CEX2" s="22"/>
      <c r="CEY2" s="22"/>
      <c r="CEZ2" s="22"/>
      <c r="CFA2" s="22"/>
      <c r="CFB2" s="23"/>
      <c r="CFC2" s="24" t="s">
        <v>3</v>
      </c>
      <c r="CFF2" s="20"/>
      <c r="CFG2" s="19"/>
      <c r="CFH2" s="21"/>
      <c r="CFI2" s="22"/>
      <c r="CFJ2" s="22"/>
      <c r="CFK2" s="22"/>
      <c r="CFL2" s="22"/>
      <c r="CFM2" s="22"/>
      <c r="CFN2" s="23"/>
      <c r="CFO2" s="24" t="s">
        <v>3</v>
      </c>
      <c r="CFR2" s="20"/>
      <c r="CFS2" s="19"/>
      <c r="CFT2" s="21"/>
      <c r="CFU2" s="22"/>
      <c r="CFV2" s="22"/>
      <c r="CFW2" s="22"/>
      <c r="CFX2" s="22"/>
      <c r="CFY2" s="22"/>
      <c r="CFZ2" s="23"/>
      <c r="CGA2" s="24" t="s">
        <v>3</v>
      </c>
      <c r="CGD2" s="20"/>
      <c r="CGE2" s="19"/>
      <c r="CGF2" s="21"/>
      <c r="CGG2" s="22"/>
      <c r="CGH2" s="22"/>
      <c r="CGI2" s="22"/>
      <c r="CGJ2" s="22"/>
      <c r="CGK2" s="22"/>
      <c r="CGL2" s="23"/>
      <c r="CGM2" s="24" t="s">
        <v>3</v>
      </c>
      <c r="CGP2" s="20"/>
      <c r="CGQ2" s="19"/>
      <c r="CGR2" s="21"/>
      <c r="CGS2" s="22"/>
      <c r="CGT2" s="22"/>
      <c r="CGU2" s="22"/>
      <c r="CGV2" s="22"/>
      <c r="CGW2" s="22"/>
      <c r="CGX2" s="23"/>
      <c r="CGY2" s="24" t="s">
        <v>3</v>
      </c>
      <c r="CHB2" s="20"/>
      <c r="CHC2" s="19"/>
      <c r="CHD2" s="21"/>
      <c r="CHE2" s="22"/>
      <c r="CHF2" s="22"/>
      <c r="CHG2" s="22"/>
      <c r="CHH2" s="22"/>
      <c r="CHI2" s="22"/>
      <c r="CHJ2" s="23"/>
      <c r="CHK2" s="24" t="s">
        <v>3</v>
      </c>
      <c r="CHN2" s="20"/>
      <c r="CHO2" s="19"/>
      <c r="CHP2" s="21"/>
      <c r="CHQ2" s="22"/>
      <c r="CHR2" s="22"/>
      <c r="CHS2" s="22"/>
      <c r="CHT2" s="22"/>
      <c r="CHU2" s="22"/>
      <c r="CHV2" s="23"/>
      <c r="CHW2" s="24" t="s">
        <v>3</v>
      </c>
      <c r="CHZ2" s="20"/>
      <c r="CIA2" s="19"/>
      <c r="CIB2" s="21"/>
      <c r="CIC2" s="22"/>
      <c r="CID2" s="22"/>
      <c r="CIE2" s="22"/>
      <c r="CIF2" s="22"/>
      <c r="CIG2" s="22"/>
      <c r="CIH2" s="23"/>
      <c r="CII2" s="24" t="s">
        <v>3</v>
      </c>
      <c r="CIL2" s="20"/>
      <c r="CIM2" s="19"/>
      <c r="CIN2" s="21"/>
      <c r="CIO2" s="22"/>
      <c r="CIP2" s="22"/>
      <c r="CIQ2" s="22"/>
      <c r="CIR2" s="22"/>
      <c r="CIS2" s="22"/>
      <c r="CIT2" s="23"/>
      <c r="CIU2" s="24" t="s">
        <v>3</v>
      </c>
      <c r="CIX2" s="20"/>
      <c r="CIY2" s="19"/>
      <c r="CIZ2" s="21"/>
      <c r="CJA2" s="22"/>
      <c r="CJB2" s="22"/>
      <c r="CJC2" s="22"/>
      <c r="CJD2" s="22"/>
      <c r="CJE2" s="22"/>
      <c r="CJF2" s="23"/>
      <c r="CJG2" s="24" t="s">
        <v>3</v>
      </c>
      <c r="CJJ2" s="20"/>
      <c r="CJK2" s="19"/>
      <c r="CJL2" s="21"/>
      <c r="CJM2" s="22"/>
      <c r="CJN2" s="22"/>
      <c r="CJO2" s="22"/>
      <c r="CJP2" s="22"/>
      <c r="CJQ2" s="22"/>
      <c r="CJR2" s="23"/>
      <c r="CJS2" s="24" t="s">
        <v>3</v>
      </c>
      <c r="CJV2" s="20"/>
      <c r="CJW2" s="19"/>
      <c r="CJX2" s="21"/>
      <c r="CJY2" s="22"/>
      <c r="CJZ2" s="22"/>
      <c r="CKA2" s="22"/>
      <c r="CKB2" s="22"/>
      <c r="CKC2" s="22"/>
      <c r="CKD2" s="23"/>
      <c r="CKE2" s="24" t="s">
        <v>3</v>
      </c>
      <c r="CKH2" s="20"/>
      <c r="CKI2" s="19"/>
      <c r="CKJ2" s="21"/>
      <c r="CKK2" s="22"/>
      <c r="CKL2" s="22"/>
      <c r="CKM2" s="22"/>
      <c r="CKN2" s="22"/>
      <c r="CKO2" s="22"/>
      <c r="CKP2" s="23"/>
      <c r="CKQ2" s="24" t="s">
        <v>3</v>
      </c>
      <c r="CKT2" s="20"/>
      <c r="CKU2" s="19"/>
      <c r="CKV2" s="21"/>
      <c r="CKW2" s="22"/>
      <c r="CKX2" s="22"/>
      <c r="CKY2" s="22"/>
      <c r="CKZ2" s="22"/>
      <c r="CLA2" s="22"/>
      <c r="CLB2" s="23"/>
      <c r="CLC2" s="24" t="s">
        <v>3</v>
      </c>
      <c r="CLF2" s="20"/>
      <c r="CLG2" s="19"/>
      <c r="CLH2" s="21"/>
      <c r="CLI2" s="22"/>
      <c r="CLJ2" s="22"/>
      <c r="CLK2" s="22"/>
      <c r="CLL2" s="22"/>
      <c r="CLM2" s="22"/>
      <c r="CLN2" s="23"/>
      <c r="CLO2" s="24" t="s">
        <v>3</v>
      </c>
      <c r="CLR2" s="20"/>
      <c r="CLS2" s="19"/>
      <c r="CLT2" s="21"/>
      <c r="CLU2" s="22"/>
      <c r="CLV2" s="22"/>
      <c r="CLW2" s="22"/>
      <c r="CLX2" s="22"/>
      <c r="CLY2" s="22"/>
      <c r="CLZ2" s="23"/>
      <c r="CMA2" s="24" t="s">
        <v>3</v>
      </c>
      <c r="CMD2" s="20"/>
      <c r="CME2" s="19"/>
      <c r="CMF2" s="21"/>
      <c r="CMG2" s="22"/>
      <c r="CMH2" s="22"/>
      <c r="CMI2" s="22"/>
      <c r="CMJ2" s="22"/>
      <c r="CMK2" s="22"/>
      <c r="CML2" s="23"/>
      <c r="CMM2" s="24" t="s">
        <v>3</v>
      </c>
      <c r="CMP2" s="20"/>
      <c r="CMQ2" s="19"/>
      <c r="CMR2" s="21"/>
      <c r="CMS2" s="22"/>
      <c r="CMT2" s="22"/>
      <c r="CMU2" s="22"/>
      <c r="CMV2" s="22"/>
      <c r="CMW2" s="22"/>
      <c r="CMX2" s="23"/>
      <c r="CMY2" s="24" t="s">
        <v>3</v>
      </c>
      <c r="CNB2" s="20"/>
      <c r="CNC2" s="19"/>
      <c r="CND2" s="21"/>
      <c r="CNE2" s="22"/>
      <c r="CNF2" s="22"/>
      <c r="CNG2" s="22"/>
      <c r="CNH2" s="22"/>
      <c r="CNI2" s="22"/>
      <c r="CNJ2" s="23"/>
      <c r="CNK2" s="24" t="s">
        <v>3</v>
      </c>
      <c r="CNN2" s="20"/>
      <c r="CNO2" s="19"/>
      <c r="CNP2" s="21"/>
      <c r="CNQ2" s="22"/>
      <c r="CNR2" s="22"/>
      <c r="CNS2" s="22"/>
      <c r="CNT2" s="22"/>
      <c r="CNU2" s="22"/>
      <c r="CNV2" s="23"/>
      <c r="CNW2" s="24" t="s">
        <v>3</v>
      </c>
      <c r="CNZ2" s="20"/>
      <c r="COA2" s="19"/>
      <c r="COB2" s="21"/>
      <c r="COC2" s="22"/>
      <c r="COD2" s="22"/>
      <c r="COE2" s="22"/>
      <c r="COF2" s="22"/>
      <c r="COG2" s="22"/>
      <c r="COH2" s="23"/>
      <c r="COI2" s="24" t="s">
        <v>3</v>
      </c>
      <c r="COL2" s="20"/>
      <c r="COM2" s="19"/>
      <c r="CON2" s="21"/>
      <c r="COO2" s="22"/>
      <c r="COP2" s="22"/>
      <c r="COQ2" s="22"/>
      <c r="COR2" s="22"/>
      <c r="COS2" s="22"/>
      <c r="COT2" s="23"/>
      <c r="COU2" s="24" t="s">
        <v>3</v>
      </c>
      <c r="COX2" s="20"/>
      <c r="COY2" s="19"/>
      <c r="COZ2" s="21"/>
      <c r="CPA2" s="22"/>
      <c r="CPB2" s="22"/>
      <c r="CPC2" s="22"/>
      <c r="CPD2" s="22"/>
      <c r="CPE2" s="22"/>
      <c r="CPF2" s="23"/>
      <c r="CPG2" s="24" t="s">
        <v>3</v>
      </c>
      <c r="CPJ2" s="20"/>
      <c r="CPK2" s="19"/>
      <c r="CPL2" s="21"/>
      <c r="CPM2" s="22"/>
      <c r="CPN2" s="22"/>
      <c r="CPO2" s="22"/>
      <c r="CPP2" s="22"/>
      <c r="CPQ2" s="22"/>
      <c r="CPR2" s="23"/>
      <c r="CPS2" s="24" t="s">
        <v>3</v>
      </c>
      <c r="CPV2" s="20"/>
      <c r="CPW2" s="19"/>
      <c r="CPX2" s="21"/>
      <c r="CPY2" s="22"/>
      <c r="CPZ2" s="22"/>
      <c r="CQA2" s="22"/>
      <c r="CQB2" s="22"/>
      <c r="CQC2" s="22"/>
      <c r="CQD2" s="23"/>
      <c r="CQE2" s="24" t="s">
        <v>3</v>
      </c>
      <c r="CQH2" s="20"/>
      <c r="CQI2" s="19"/>
      <c r="CQJ2" s="21"/>
      <c r="CQK2" s="22"/>
      <c r="CQL2" s="22"/>
      <c r="CQM2" s="22"/>
      <c r="CQN2" s="22"/>
      <c r="CQO2" s="22"/>
      <c r="CQP2" s="23"/>
      <c r="CQQ2" s="24" t="s">
        <v>3</v>
      </c>
      <c r="CQT2" s="20"/>
      <c r="CQU2" s="19"/>
      <c r="CQV2" s="21"/>
      <c r="CQW2" s="22"/>
      <c r="CQX2" s="22"/>
      <c r="CQY2" s="22"/>
      <c r="CQZ2" s="22"/>
      <c r="CRA2" s="22"/>
      <c r="CRB2" s="23"/>
      <c r="CRC2" s="24" t="s">
        <v>3</v>
      </c>
      <c r="CRF2" s="20"/>
      <c r="CRG2" s="19"/>
      <c r="CRH2" s="21"/>
      <c r="CRI2" s="22"/>
      <c r="CRJ2" s="22"/>
      <c r="CRK2" s="22"/>
      <c r="CRL2" s="22"/>
      <c r="CRM2" s="22"/>
      <c r="CRN2" s="23"/>
      <c r="CRO2" s="24" t="s">
        <v>3</v>
      </c>
      <c r="CRR2" s="20"/>
      <c r="CRS2" s="19"/>
      <c r="CRT2" s="21"/>
      <c r="CRU2" s="22"/>
      <c r="CRV2" s="22"/>
      <c r="CRW2" s="22"/>
      <c r="CRX2" s="22"/>
      <c r="CRY2" s="22"/>
      <c r="CRZ2" s="23"/>
      <c r="CSA2" s="24" t="s">
        <v>3</v>
      </c>
      <c r="CSD2" s="20"/>
      <c r="CSE2" s="19"/>
      <c r="CSF2" s="21"/>
      <c r="CSG2" s="22"/>
      <c r="CSH2" s="22"/>
      <c r="CSI2" s="22"/>
      <c r="CSJ2" s="22"/>
      <c r="CSK2" s="22"/>
      <c r="CSL2" s="23"/>
      <c r="CSM2" s="24" t="s">
        <v>3</v>
      </c>
      <c r="CSP2" s="20"/>
      <c r="CSQ2" s="19"/>
      <c r="CSR2" s="21"/>
      <c r="CSS2" s="22"/>
      <c r="CST2" s="22"/>
      <c r="CSU2" s="22"/>
      <c r="CSV2" s="22"/>
      <c r="CSW2" s="22"/>
      <c r="CSX2" s="23"/>
      <c r="CSY2" s="24" t="s">
        <v>3</v>
      </c>
      <c r="CTB2" s="20"/>
      <c r="CTC2" s="19"/>
      <c r="CTD2" s="21"/>
      <c r="CTE2" s="22"/>
      <c r="CTF2" s="22"/>
      <c r="CTG2" s="22"/>
      <c r="CTH2" s="22"/>
      <c r="CTI2" s="22"/>
      <c r="CTJ2" s="23"/>
      <c r="CTK2" s="24" t="s">
        <v>3</v>
      </c>
      <c r="CTN2" s="20"/>
      <c r="CTO2" s="19"/>
      <c r="CTP2" s="21"/>
      <c r="CTQ2" s="22"/>
      <c r="CTR2" s="22"/>
      <c r="CTS2" s="22"/>
      <c r="CTT2" s="22"/>
      <c r="CTU2" s="22"/>
      <c r="CTV2" s="23"/>
      <c r="CTW2" s="24" t="s">
        <v>3</v>
      </c>
      <c r="CTZ2" s="20"/>
      <c r="CUA2" s="19"/>
      <c r="CUB2" s="21"/>
      <c r="CUC2" s="22"/>
      <c r="CUD2" s="22"/>
      <c r="CUE2" s="22"/>
      <c r="CUF2" s="22"/>
      <c r="CUG2" s="22"/>
      <c r="CUH2" s="23"/>
      <c r="CUI2" s="24" t="s">
        <v>3</v>
      </c>
      <c r="CUL2" s="20"/>
      <c r="CUM2" s="19"/>
      <c r="CUN2" s="21"/>
      <c r="CUO2" s="22"/>
      <c r="CUP2" s="22"/>
      <c r="CUQ2" s="22"/>
      <c r="CUR2" s="22"/>
      <c r="CUS2" s="22"/>
      <c r="CUT2" s="23"/>
      <c r="CUU2" s="24" t="s">
        <v>3</v>
      </c>
      <c r="CUX2" s="20"/>
      <c r="CUY2" s="19"/>
      <c r="CUZ2" s="21"/>
      <c r="CVA2" s="22"/>
      <c r="CVB2" s="22"/>
      <c r="CVC2" s="22"/>
      <c r="CVD2" s="22"/>
      <c r="CVE2" s="22"/>
      <c r="CVF2" s="23"/>
      <c r="CVG2" s="24" t="s">
        <v>3</v>
      </c>
      <c r="CVJ2" s="20"/>
      <c r="CVK2" s="19"/>
      <c r="CVL2" s="21"/>
      <c r="CVM2" s="22"/>
      <c r="CVN2" s="22"/>
      <c r="CVO2" s="22"/>
      <c r="CVP2" s="22"/>
      <c r="CVQ2" s="22"/>
      <c r="CVR2" s="23"/>
      <c r="CVS2" s="24" t="s">
        <v>3</v>
      </c>
      <c r="CVV2" s="20"/>
      <c r="CVW2" s="19"/>
      <c r="CVX2" s="21"/>
      <c r="CVY2" s="22"/>
      <c r="CVZ2" s="22"/>
      <c r="CWA2" s="22"/>
      <c r="CWB2" s="22"/>
      <c r="CWC2" s="22"/>
      <c r="CWD2" s="23"/>
      <c r="CWE2" s="24" t="s">
        <v>3</v>
      </c>
    </row>
    <row r="3" spans="1:1023 1026:2631" ht="17.100000000000001" customHeight="1" x14ac:dyDescent="0.25">
      <c r="A3" s="1"/>
      <c r="B3" s="1"/>
      <c r="C3" s="1"/>
      <c r="D3" s="25" t="s">
        <v>4</v>
      </c>
      <c r="E3" s="25"/>
      <c r="F3" s="25"/>
      <c r="G3" s="25"/>
      <c r="H3" s="25"/>
      <c r="I3" s="26" t="s">
        <v>5</v>
      </c>
      <c r="J3" s="26"/>
      <c r="K3" s="26"/>
      <c r="L3" s="26"/>
      <c r="O3" s="1"/>
      <c r="P3" s="1"/>
      <c r="Q3" s="1"/>
      <c r="R3" s="25" t="s">
        <v>4</v>
      </c>
      <c r="S3" s="25"/>
      <c r="T3" s="25"/>
      <c r="U3" s="25"/>
      <c r="V3" s="25"/>
      <c r="W3" s="26" t="s">
        <v>5</v>
      </c>
      <c r="X3" s="26"/>
      <c r="Y3" s="26"/>
      <c r="Z3" s="26"/>
      <c r="AC3" s="27"/>
      <c r="AD3" s="28"/>
      <c r="AE3" s="29"/>
      <c r="AF3" s="30" t="s">
        <v>4</v>
      </c>
      <c r="AG3" s="31"/>
      <c r="AH3" s="31"/>
      <c r="AI3" s="31"/>
      <c r="AJ3" s="32"/>
      <c r="AK3" s="26" t="s">
        <v>5</v>
      </c>
      <c r="AL3" s="26"/>
      <c r="AM3" s="26"/>
      <c r="AN3" s="26"/>
      <c r="AQ3" s="1"/>
      <c r="AR3" s="1"/>
      <c r="AS3" s="1"/>
      <c r="AT3" s="25" t="s">
        <v>4</v>
      </c>
      <c r="AU3" s="25"/>
      <c r="AV3" s="25"/>
      <c r="AW3" s="25"/>
      <c r="AX3" s="25"/>
      <c r="AY3" s="26" t="s">
        <v>5</v>
      </c>
      <c r="AZ3" s="26"/>
      <c r="BA3" s="26"/>
      <c r="BB3" s="26"/>
      <c r="BE3" s="1"/>
      <c r="BF3" s="1"/>
      <c r="BG3" s="1"/>
      <c r="BH3" s="25" t="s">
        <v>4</v>
      </c>
      <c r="BI3" s="25"/>
      <c r="BJ3" s="25"/>
      <c r="BK3" s="25"/>
      <c r="BL3" s="25"/>
      <c r="BM3" s="26" t="s">
        <v>5</v>
      </c>
      <c r="BN3" s="26"/>
      <c r="BO3" s="26"/>
      <c r="BP3" s="26"/>
      <c r="BS3" s="1"/>
      <c r="BT3" s="1"/>
      <c r="BU3" s="1"/>
      <c r="BV3" s="25" t="s">
        <v>4</v>
      </c>
      <c r="BW3" s="25"/>
      <c r="BX3" s="25"/>
      <c r="BY3" s="25"/>
      <c r="BZ3" s="25"/>
      <c r="CA3" s="26" t="s">
        <v>5</v>
      </c>
      <c r="CB3" s="26"/>
      <c r="CC3" s="26"/>
      <c r="CD3" s="26"/>
      <c r="CG3" s="1"/>
      <c r="CH3" s="1"/>
      <c r="CI3" s="1"/>
      <c r="CJ3" s="25" t="s">
        <v>4</v>
      </c>
      <c r="CK3" s="25"/>
      <c r="CL3" s="25"/>
      <c r="CM3" s="25"/>
      <c r="CN3" s="25"/>
      <c r="CO3" s="26" t="s">
        <v>5</v>
      </c>
      <c r="CP3" s="26"/>
      <c r="CQ3" s="26"/>
      <c r="CR3" s="26"/>
      <c r="CU3" s="1"/>
      <c r="CV3" s="1"/>
      <c r="CW3" s="1"/>
      <c r="CX3" s="25" t="s">
        <v>4</v>
      </c>
      <c r="CY3" s="25"/>
      <c r="CZ3" s="25"/>
      <c r="DA3" s="25"/>
      <c r="DB3" s="25"/>
      <c r="DC3" s="26" t="s">
        <v>5</v>
      </c>
      <c r="DD3" s="26"/>
      <c r="DE3" s="26"/>
      <c r="DF3" s="26"/>
      <c r="DI3" s="1"/>
      <c r="DJ3" s="1"/>
      <c r="DK3" s="1"/>
      <c r="DL3" s="25" t="s">
        <v>4</v>
      </c>
      <c r="DM3" s="25"/>
      <c r="DN3" s="25"/>
      <c r="DO3" s="25"/>
      <c r="DP3" s="25"/>
      <c r="DQ3" s="26" t="s">
        <v>5</v>
      </c>
      <c r="DR3" s="26"/>
      <c r="DS3" s="26"/>
      <c r="DT3" s="26"/>
      <c r="DW3" s="1"/>
      <c r="DX3" s="1"/>
      <c r="DY3" s="1"/>
      <c r="DZ3" s="25" t="s">
        <v>4</v>
      </c>
      <c r="EA3" s="25"/>
      <c r="EB3" s="25"/>
      <c r="EC3" s="25"/>
      <c r="ED3" s="25"/>
      <c r="EE3" s="26" t="s">
        <v>5</v>
      </c>
      <c r="EF3" s="26"/>
      <c r="EG3" s="26"/>
      <c r="EH3" s="26"/>
      <c r="EK3" s="1"/>
      <c r="EL3" s="1"/>
      <c r="EM3" s="1"/>
      <c r="EN3" s="25" t="s">
        <v>4</v>
      </c>
      <c r="EO3" s="25"/>
      <c r="EP3" s="25"/>
      <c r="EQ3" s="25"/>
      <c r="ER3" s="25"/>
      <c r="ES3" s="26" t="s">
        <v>5</v>
      </c>
      <c r="ET3" s="26"/>
      <c r="EU3" s="26"/>
      <c r="EV3" s="26"/>
      <c r="EY3" s="1"/>
      <c r="EZ3" s="1"/>
      <c r="FA3" s="1"/>
      <c r="FB3" s="25" t="s">
        <v>4</v>
      </c>
      <c r="FC3" s="25"/>
      <c r="FD3" s="25"/>
      <c r="FE3" s="25"/>
      <c r="FF3" s="25"/>
      <c r="FG3" s="26" t="s">
        <v>5</v>
      </c>
      <c r="FH3" s="26"/>
      <c r="FI3" s="26"/>
      <c r="FJ3" s="26"/>
      <c r="FM3" s="1"/>
      <c r="FN3" s="1"/>
      <c r="FO3" s="1"/>
      <c r="FP3" s="25" t="s">
        <v>4</v>
      </c>
      <c r="FQ3" s="25"/>
      <c r="FR3" s="25"/>
      <c r="FS3" s="25"/>
      <c r="FT3" s="25"/>
      <c r="FU3" s="26" t="s">
        <v>5</v>
      </c>
      <c r="FV3" s="26"/>
      <c r="FW3" s="26"/>
      <c r="FX3" s="26"/>
      <c r="GA3" s="1"/>
      <c r="GB3" s="1"/>
      <c r="GC3" s="1"/>
      <c r="GD3" s="25" t="s">
        <v>4</v>
      </c>
      <c r="GE3" s="25"/>
      <c r="GF3" s="25"/>
      <c r="GG3" s="25"/>
      <c r="GH3" s="25"/>
      <c r="GI3" s="26" t="s">
        <v>5</v>
      </c>
      <c r="GJ3" s="26"/>
      <c r="GK3" s="26"/>
      <c r="GL3" s="26"/>
      <c r="GO3" s="1"/>
      <c r="GP3" s="1"/>
      <c r="GQ3" s="1"/>
      <c r="GR3" s="25" t="s">
        <v>4</v>
      </c>
      <c r="GS3" s="25"/>
      <c r="GT3" s="25"/>
      <c r="GU3" s="25"/>
      <c r="GV3" s="25"/>
      <c r="GW3" s="26" t="s">
        <v>5</v>
      </c>
      <c r="GX3" s="26"/>
      <c r="GY3" s="26"/>
      <c r="GZ3" s="26"/>
      <c r="HC3" s="1"/>
      <c r="HD3" s="1"/>
      <c r="HE3" s="1"/>
      <c r="HF3" s="25" t="s">
        <v>4</v>
      </c>
      <c r="HG3" s="25"/>
      <c r="HH3" s="25"/>
      <c r="HI3" s="25"/>
      <c r="HJ3" s="25"/>
      <c r="HK3" s="26" t="s">
        <v>5</v>
      </c>
      <c r="HL3" s="26"/>
      <c r="HM3" s="26"/>
      <c r="HN3" s="26"/>
      <c r="HQ3" s="1"/>
      <c r="HR3" s="1"/>
      <c r="HS3" s="1"/>
      <c r="HT3" s="25" t="s">
        <v>4</v>
      </c>
      <c r="HU3" s="25"/>
      <c r="HV3" s="25"/>
      <c r="HW3" s="25"/>
      <c r="HX3" s="25"/>
      <c r="HY3" s="26" t="s">
        <v>5</v>
      </c>
      <c r="HZ3" s="26"/>
      <c r="IA3" s="26"/>
      <c r="IB3" s="26"/>
      <c r="IE3" s="1"/>
      <c r="IF3" s="1"/>
      <c r="IG3" s="1"/>
      <c r="IH3" s="25" t="s">
        <v>4</v>
      </c>
      <c r="II3" s="25"/>
      <c r="IJ3" s="25"/>
      <c r="IK3" s="25"/>
      <c r="IL3" s="25"/>
      <c r="IM3" s="26" t="s">
        <v>5</v>
      </c>
      <c r="IN3" s="26"/>
      <c r="IO3" s="26"/>
      <c r="IP3" s="26"/>
      <c r="IS3" s="1"/>
      <c r="IT3" s="1"/>
      <c r="IU3" s="1"/>
      <c r="IV3" s="25" t="s">
        <v>4</v>
      </c>
      <c r="IW3" s="25"/>
      <c r="IX3" s="25"/>
      <c r="IY3" s="25"/>
      <c r="IZ3" s="25"/>
      <c r="JA3" s="26" t="s">
        <v>5</v>
      </c>
      <c r="JB3" s="26"/>
      <c r="JC3" s="26"/>
      <c r="JD3" s="26"/>
      <c r="JG3" s="1"/>
      <c r="JH3" s="1"/>
      <c r="JI3" s="1"/>
      <c r="JJ3" s="25" t="s">
        <v>4</v>
      </c>
      <c r="JK3" s="25"/>
      <c r="JL3" s="25"/>
      <c r="JM3" s="25"/>
      <c r="JN3" s="25"/>
      <c r="JO3" s="26" t="s">
        <v>5</v>
      </c>
      <c r="JP3" s="26"/>
      <c r="JQ3" s="26"/>
      <c r="JR3" s="26"/>
      <c r="JU3" s="1"/>
      <c r="JV3" s="1"/>
      <c r="JW3" s="1"/>
      <c r="JX3" s="25" t="s">
        <v>4</v>
      </c>
      <c r="JY3" s="25"/>
      <c r="JZ3" s="25"/>
      <c r="KA3" s="25"/>
      <c r="KB3" s="25"/>
      <c r="KC3" s="26" t="s">
        <v>5</v>
      </c>
      <c r="KD3" s="26"/>
      <c r="KE3" s="26"/>
      <c r="KF3" s="26"/>
      <c r="KI3" s="1"/>
      <c r="KJ3" s="1"/>
      <c r="KK3" s="1"/>
      <c r="KL3" s="25" t="s">
        <v>4</v>
      </c>
      <c r="KM3" s="25"/>
      <c r="KN3" s="25"/>
      <c r="KO3" s="25"/>
      <c r="KP3" s="25"/>
      <c r="KQ3" s="26" t="s">
        <v>5</v>
      </c>
      <c r="KR3" s="26"/>
      <c r="KS3" s="26"/>
      <c r="KT3" s="26"/>
      <c r="KW3" s="1"/>
      <c r="KX3" s="1"/>
      <c r="KY3" s="1"/>
      <c r="KZ3" s="25" t="s">
        <v>4</v>
      </c>
      <c r="LA3" s="25"/>
      <c r="LB3" s="25"/>
      <c r="LC3" s="25"/>
      <c r="LD3" s="25"/>
      <c r="LE3" s="26" t="s">
        <v>5</v>
      </c>
      <c r="LF3" s="26"/>
      <c r="LG3" s="26"/>
      <c r="LH3" s="26"/>
      <c r="LK3" s="1"/>
      <c r="LL3" s="1"/>
      <c r="LM3" s="1"/>
      <c r="LN3" s="25" t="s">
        <v>4</v>
      </c>
      <c r="LO3" s="25"/>
      <c r="LP3" s="25"/>
      <c r="LQ3" s="25"/>
      <c r="LR3" s="25"/>
      <c r="LS3" s="26" t="s">
        <v>5</v>
      </c>
      <c r="LT3" s="26"/>
      <c r="LU3" s="26"/>
      <c r="LV3" s="26"/>
      <c r="LY3" s="1"/>
      <c r="LZ3" s="1"/>
      <c r="MA3" s="1"/>
      <c r="MB3" s="25" t="s">
        <v>4</v>
      </c>
      <c r="MC3" s="25"/>
      <c r="MD3" s="25"/>
      <c r="ME3" s="25"/>
      <c r="MF3" s="25"/>
      <c r="MG3" s="26" t="s">
        <v>5</v>
      </c>
      <c r="MH3" s="26"/>
      <c r="MI3" s="26"/>
      <c r="MJ3" s="26"/>
      <c r="MM3" s="1"/>
      <c r="MN3" s="1"/>
      <c r="MO3" s="1"/>
      <c r="MP3" s="25" t="s">
        <v>4</v>
      </c>
      <c r="MQ3" s="25"/>
      <c r="MR3" s="25"/>
      <c r="MS3" s="25"/>
      <c r="MT3" s="25"/>
      <c r="MU3" s="26" t="s">
        <v>5</v>
      </c>
      <c r="MV3" s="26"/>
      <c r="MW3" s="26"/>
      <c r="MX3" s="26"/>
      <c r="NA3" s="1"/>
      <c r="NB3" s="1"/>
      <c r="NC3" s="1"/>
      <c r="ND3" s="25" t="s">
        <v>4</v>
      </c>
      <c r="NE3" s="25"/>
      <c r="NF3" s="25"/>
      <c r="NG3" s="25"/>
      <c r="NH3" s="25"/>
      <c r="NI3" s="26" t="s">
        <v>5</v>
      </c>
      <c r="NJ3" s="26"/>
      <c r="NK3" s="26"/>
      <c r="NL3" s="26"/>
      <c r="NO3" s="1"/>
      <c r="NP3" s="1"/>
      <c r="NQ3" s="1"/>
      <c r="NR3" s="25" t="s">
        <v>4</v>
      </c>
      <c r="NS3" s="25"/>
      <c r="NT3" s="25"/>
      <c r="NU3" s="25"/>
      <c r="NV3" s="25"/>
      <c r="NW3" s="26" t="s">
        <v>5</v>
      </c>
      <c r="NX3" s="26"/>
      <c r="NY3" s="26"/>
      <c r="NZ3" s="26"/>
      <c r="OC3" s="1"/>
      <c r="OD3" s="1"/>
      <c r="OE3" s="1"/>
      <c r="OF3" s="25" t="s">
        <v>4</v>
      </c>
      <c r="OG3" s="25"/>
      <c r="OH3" s="25"/>
      <c r="OI3" s="25"/>
      <c r="OJ3" s="25"/>
      <c r="OK3" s="26" t="s">
        <v>5</v>
      </c>
      <c r="OL3" s="26"/>
      <c r="OM3" s="26"/>
      <c r="ON3" s="26"/>
      <c r="OQ3" s="1"/>
      <c r="OR3" s="1"/>
      <c r="OS3" s="1"/>
      <c r="OT3" s="25" t="s">
        <v>4</v>
      </c>
      <c r="OU3" s="25"/>
      <c r="OV3" s="25"/>
      <c r="OW3" s="25"/>
      <c r="OX3" s="25"/>
      <c r="OY3" s="26" t="s">
        <v>5</v>
      </c>
      <c r="OZ3" s="26"/>
      <c r="PA3" s="26"/>
      <c r="PB3" s="26"/>
      <c r="PE3" s="1"/>
      <c r="PF3" s="1"/>
      <c r="PG3" s="1"/>
      <c r="PH3" s="25" t="s">
        <v>4</v>
      </c>
      <c r="PI3" s="25"/>
      <c r="PJ3" s="25"/>
      <c r="PK3" s="25"/>
      <c r="PL3" s="25"/>
      <c r="PM3" s="26" t="s">
        <v>5</v>
      </c>
      <c r="PN3" s="26"/>
      <c r="PO3" s="26"/>
      <c r="PP3" s="26"/>
      <c r="PS3" s="1"/>
      <c r="PT3" s="1"/>
      <c r="PU3" s="1"/>
      <c r="PV3" s="25" t="s">
        <v>4</v>
      </c>
      <c r="PW3" s="25"/>
      <c r="PX3" s="25"/>
      <c r="PY3" s="25"/>
      <c r="PZ3" s="25"/>
      <c r="QA3" s="26" t="s">
        <v>5</v>
      </c>
      <c r="QB3" s="26"/>
      <c r="QC3" s="26"/>
      <c r="QD3" s="26"/>
      <c r="QG3" s="1"/>
      <c r="QH3" s="1"/>
      <c r="QI3" s="1"/>
      <c r="QJ3" s="25" t="s">
        <v>4</v>
      </c>
      <c r="QK3" s="25"/>
      <c r="QL3" s="25"/>
      <c r="QM3" s="25"/>
      <c r="QN3" s="25"/>
      <c r="QO3" s="26" t="s">
        <v>5</v>
      </c>
      <c r="QP3" s="26"/>
      <c r="QQ3" s="26"/>
      <c r="QR3" s="26"/>
      <c r="QU3" s="1"/>
      <c r="QV3" s="1"/>
      <c r="QW3" s="1"/>
      <c r="QX3" s="25" t="s">
        <v>4</v>
      </c>
      <c r="QY3" s="25"/>
      <c r="QZ3" s="25"/>
      <c r="RA3" s="25"/>
      <c r="RB3" s="25"/>
      <c r="RC3" s="26" t="s">
        <v>5</v>
      </c>
      <c r="RD3" s="26"/>
      <c r="RE3" s="26"/>
      <c r="RF3" s="26"/>
      <c r="RI3" s="1"/>
      <c r="RJ3" s="1"/>
      <c r="RK3" s="1"/>
      <c r="RL3" s="25" t="s">
        <v>4</v>
      </c>
      <c r="RM3" s="25"/>
      <c r="RN3" s="25"/>
      <c r="RO3" s="25"/>
      <c r="RP3" s="25"/>
      <c r="RQ3" s="26" t="s">
        <v>5</v>
      </c>
      <c r="RR3" s="26"/>
      <c r="RS3" s="26"/>
      <c r="RT3" s="26"/>
      <c r="RW3" s="1"/>
      <c r="RX3" s="1"/>
      <c r="RY3" s="1"/>
      <c r="RZ3" s="25" t="s">
        <v>4</v>
      </c>
      <c r="SA3" s="25"/>
      <c r="SB3" s="25"/>
      <c r="SC3" s="25"/>
      <c r="SD3" s="25"/>
      <c r="SE3" s="26" t="s">
        <v>5</v>
      </c>
      <c r="SF3" s="26"/>
      <c r="SG3" s="26"/>
      <c r="SH3" s="26"/>
      <c r="SK3" s="1"/>
      <c r="SL3" s="1"/>
      <c r="SM3" s="1"/>
      <c r="SN3" s="25" t="s">
        <v>4</v>
      </c>
      <c r="SO3" s="25"/>
      <c r="SP3" s="25"/>
      <c r="SQ3" s="25"/>
      <c r="SR3" s="25"/>
      <c r="SS3" s="26" t="s">
        <v>5</v>
      </c>
      <c r="ST3" s="26"/>
      <c r="SU3" s="26"/>
      <c r="SV3" s="26"/>
      <c r="SY3" s="1"/>
      <c r="SZ3" s="1"/>
      <c r="TA3" s="1"/>
      <c r="TB3" s="25" t="s">
        <v>4</v>
      </c>
      <c r="TC3" s="25"/>
      <c r="TD3" s="25"/>
      <c r="TE3" s="25"/>
      <c r="TF3" s="25"/>
      <c r="TG3" s="26" t="s">
        <v>5</v>
      </c>
      <c r="TH3" s="26"/>
      <c r="TI3" s="26"/>
      <c r="TJ3" s="26"/>
      <c r="TM3" s="1"/>
      <c r="TN3" s="1"/>
      <c r="TO3" s="1"/>
      <c r="TP3" s="25" t="s">
        <v>4</v>
      </c>
      <c r="TQ3" s="25"/>
      <c r="TR3" s="25"/>
      <c r="TS3" s="25"/>
      <c r="TT3" s="25"/>
      <c r="TU3" s="26" t="s">
        <v>5</v>
      </c>
      <c r="TV3" s="26"/>
      <c r="TW3" s="26"/>
      <c r="TX3" s="26"/>
      <c r="UA3" s="1"/>
      <c r="UB3" s="1"/>
      <c r="UC3" s="1"/>
      <c r="UD3" s="25" t="s">
        <v>4</v>
      </c>
      <c r="UE3" s="25"/>
      <c r="UF3" s="25"/>
      <c r="UG3" s="25"/>
      <c r="UH3" s="25"/>
      <c r="UI3" s="26" t="s">
        <v>5</v>
      </c>
      <c r="UJ3" s="26"/>
      <c r="UK3" s="26"/>
      <c r="UL3" s="26"/>
      <c r="UO3" s="1"/>
      <c r="UP3" s="1"/>
      <c r="UQ3" s="1"/>
      <c r="UR3" s="25" t="s">
        <v>4</v>
      </c>
      <c r="US3" s="25"/>
      <c r="UT3" s="25"/>
      <c r="UU3" s="25"/>
      <c r="UV3" s="25"/>
      <c r="UW3" s="26" t="s">
        <v>5</v>
      </c>
      <c r="UX3" s="26"/>
      <c r="UY3" s="26"/>
      <c r="UZ3" s="26"/>
      <c r="VC3" s="1"/>
      <c r="VD3" s="1"/>
      <c r="VE3" s="1"/>
      <c r="VF3" s="25" t="s">
        <v>4</v>
      </c>
      <c r="VG3" s="25"/>
      <c r="VH3" s="25"/>
      <c r="VI3" s="25"/>
      <c r="VJ3" s="25"/>
      <c r="VK3" s="26" t="s">
        <v>5</v>
      </c>
      <c r="VL3" s="26"/>
      <c r="VM3" s="26"/>
      <c r="VN3" s="26"/>
      <c r="VQ3" s="1"/>
      <c r="VR3" s="1"/>
      <c r="VS3" s="1"/>
      <c r="VT3" s="25" t="s">
        <v>4</v>
      </c>
      <c r="VU3" s="25"/>
      <c r="VV3" s="25"/>
      <c r="VW3" s="25"/>
      <c r="VX3" s="25"/>
      <c r="VY3" s="26" t="s">
        <v>5</v>
      </c>
      <c r="VZ3" s="26"/>
      <c r="WA3" s="26"/>
      <c r="WB3" s="26"/>
      <c r="WE3" s="1"/>
      <c r="WF3" s="1"/>
      <c r="WG3" s="1"/>
      <c r="WH3" s="25" t="s">
        <v>4</v>
      </c>
      <c r="WI3" s="25"/>
      <c r="WJ3" s="25"/>
      <c r="WK3" s="25"/>
      <c r="WL3" s="25"/>
      <c r="WM3" s="26" t="s">
        <v>5</v>
      </c>
      <c r="WN3" s="26"/>
      <c r="WO3" s="26"/>
      <c r="WP3" s="26"/>
      <c r="WS3" s="1"/>
      <c r="WT3" s="1"/>
      <c r="WU3" s="1"/>
      <c r="WV3" s="25" t="s">
        <v>4</v>
      </c>
      <c r="WW3" s="25"/>
      <c r="WX3" s="25"/>
      <c r="WY3" s="25"/>
      <c r="WZ3" s="25"/>
      <c r="XA3" s="26" t="s">
        <v>5</v>
      </c>
      <c r="XB3" s="26"/>
      <c r="XC3" s="26"/>
      <c r="XD3" s="26"/>
      <c r="XG3" s="1"/>
      <c r="XH3" s="1"/>
      <c r="XI3" s="1"/>
      <c r="XJ3" s="25" t="s">
        <v>4</v>
      </c>
      <c r="XK3" s="25"/>
      <c r="XL3" s="25"/>
      <c r="XM3" s="25"/>
      <c r="XN3" s="25"/>
      <c r="XO3" s="26" t="s">
        <v>5</v>
      </c>
      <c r="XP3" s="26"/>
      <c r="XQ3" s="26"/>
      <c r="XR3" s="26"/>
      <c r="XU3" s="1"/>
      <c r="XV3" s="1"/>
      <c r="XW3" s="1"/>
      <c r="XX3" s="25" t="s">
        <v>4</v>
      </c>
      <c r="XY3" s="25"/>
      <c r="XZ3" s="25"/>
      <c r="YA3" s="25"/>
      <c r="YB3" s="25"/>
      <c r="YC3" s="26" t="s">
        <v>5</v>
      </c>
      <c r="YD3" s="26"/>
      <c r="YE3" s="26"/>
      <c r="YF3" s="26"/>
      <c r="YI3" s="1"/>
      <c r="YJ3" s="1"/>
      <c r="YK3" s="1"/>
      <c r="YL3" s="25" t="s">
        <v>4</v>
      </c>
      <c r="YM3" s="25"/>
      <c r="YN3" s="25"/>
      <c r="YO3" s="25"/>
      <c r="YP3" s="25"/>
      <c r="YQ3" s="26" t="s">
        <v>5</v>
      </c>
      <c r="YR3" s="26"/>
      <c r="YS3" s="26"/>
      <c r="YT3" s="26"/>
      <c r="YW3" s="1"/>
      <c r="YX3" s="1"/>
      <c r="YY3" s="1"/>
      <c r="YZ3" s="25" t="s">
        <v>4</v>
      </c>
      <c r="ZA3" s="25"/>
      <c r="ZB3" s="25"/>
      <c r="ZC3" s="25"/>
      <c r="ZD3" s="25"/>
      <c r="ZE3" s="26" t="s">
        <v>5</v>
      </c>
      <c r="ZF3" s="26"/>
      <c r="ZG3" s="26"/>
      <c r="ZH3" s="26"/>
      <c r="ZK3" s="1"/>
      <c r="ZL3" s="1"/>
      <c r="ZM3" s="1"/>
      <c r="ZN3" s="25" t="s">
        <v>4</v>
      </c>
      <c r="ZO3" s="25"/>
      <c r="ZP3" s="25"/>
      <c r="ZQ3" s="25"/>
      <c r="ZR3" s="25"/>
      <c r="ZS3" s="26" t="s">
        <v>5</v>
      </c>
      <c r="ZT3" s="26"/>
      <c r="ZU3" s="26"/>
      <c r="ZV3" s="26"/>
      <c r="ZY3" s="19"/>
      <c r="ZZ3" s="33"/>
      <c r="AAA3" s="34"/>
      <c r="AAB3" s="35"/>
      <c r="AAC3" s="36" t="s">
        <v>4</v>
      </c>
      <c r="AAD3" s="37"/>
      <c r="AAE3" s="37"/>
      <c r="AAF3" s="38" t="s">
        <v>5</v>
      </c>
      <c r="AAG3" s="38"/>
      <c r="AAH3" s="38"/>
      <c r="AAI3" s="39"/>
      <c r="AAL3" s="19"/>
      <c r="AAM3" s="33"/>
      <c r="AAN3" s="34"/>
      <c r="AAO3" s="35"/>
      <c r="AAP3" s="36" t="s">
        <v>4</v>
      </c>
      <c r="AAQ3" s="37"/>
      <c r="AAR3" s="37"/>
      <c r="AAS3" s="38" t="s">
        <v>5</v>
      </c>
      <c r="AAT3" s="38"/>
      <c r="AAU3" s="38"/>
      <c r="AAV3" s="39"/>
      <c r="AAY3" s="19"/>
      <c r="AAZ3" s="33"/>
      <c r="ABA3" s="34"/>
      <c r="ABB3" s="35"/>
      <c r="ABC3" s="36" t="s">
        <v>4</v>
      </c>
      <c r="ABD3" s="37"/>
      <c r="ABE3" s="37"/>
      <c r="ABF3" s="38" t="s">
        <v>5</v>
      </c>
      <c r="ABG3" s="38"/>
      <c r="ABH3" s="38"/>
      <c r="ABI3" s="39"/>
      <c r="ABL3" s="19"/>
      <c r="ABM3" s="33"/>
      <c r="ABN3" s="34"/>
      <c r="ABO3" s="35"/>
      <c r="ABP3" s="36" t="s">
        <v>4</v>
      </c>
      <c r="ABQ3" s="37"/>
      <c r="ABR3" s="37"/>
      <c r="ABS3" s="38" t="s">
        <v>5</v>
      </c>
      <c r="ABT3" s="38"/>
      <c r="ABU3" s="38"/>
      <c r="ABV3" s="39"/>
      <c r="ABY3" s="19"/>
      <c r="ABZ3" s="33"/>
      <c r="ACA3" s="34"/>
      <c r="ACB3" s="35"/>
      <c r="ACC3" s="36" t="s">
        <v>4</v>
      </c>
      <c r="ACD3" s="37"/>
      <c r="ACE3" s="37"/>
      <c r="ACF3" s="38" t="s">
        <v>5</v>
      </c>
      <c r="ACG3" s="38"/>
      <c r="ACH3" s="38"/>
      <c r="ACI3" s="39"/>
      <c r="ACL3" s="19"/>
      <c r="ACM3" s="33"/>
      <c r="ACN3" s="34"/>
      <c r="ACO3" s="35"/>
      <c r="ACP3" s="36" t="s">
        <v>4</v>
      </c>
      <c r="ACQ3" s="37"/>
      <c r="ACR3" s="37"/>
      <c r="ACS3" s="38" t="s">
        <v>5</v>
      </c>
      <c r="ACT3" s="38"/>
      <c r="ACU3" s="38"/>
      <c r="ACV3" s="39"/>
      <c r="ACY3" s="19"/>
      <c r="ACZ3" s="33"/>
      <c r="ADA3" s="34"/>
      <c r="ADB3" s="35"/>
      <c r="ADC3" s="36" t="s">
        <v>4</v>
      </c>
      <c r="ADD3" s="37"/>
      <c r="ADE3" s="37"/>
      <c r="ADF3" s="38" t="s">
        <v>5</v>
      </c>
      <c r="ADG3" s="38"/>
      <c r="ADH3" s="38"/>
      <c r="ADI3" s="39"/>
      <c r="ADL3" s="19"/>
      <c r="ADM3" s="33"/>
      <c r="ADN3" s="34"/>
      <c r="ADO3" s="35"/>
      <c r="ADP3" s="36" t="s">
        <v>4</v>
      </c>
      <c r="ADQ3" s="37"/>
      <c r="ADR3" s="37"/>
      <c r="ADS3" s="38" t="s">
        <v>5</v>
      </c>
      <c r="ADT3" s="38"/>
      <c r="ADU3" s="38"/>
      <c r="ADV3" s="39"/>
      <c r="ADY3" s="19"/>
      <c r="ADZ3" s="33"/>
      <c r="AEA3" s="34"/>
      <c r="AEB3" s="35"/>
      <c r="AEC3" s="36" t="s">
        <v>4</v>
      </c>
      <c r="AED3" s="37"/>
      <c r="AEE3" s="37"/>
      <c r="AEF3" s="38" t="s">
        <v>5</v>
      </c>
      <c r="AEG3" s="38"/>
      <c r="AEH3" s="38"/>
      <c r="AEI3" s="39"/>
      <c r="AEL3" s="19"/>
      <c r="AEM3" s="33"/>
      <c r="AEN3" s="34"/>
      <c r="AEO3" s="35"/>
      <c r="AEP3" s="36" t="s">
        <v>4</v>
      </c>
      <c r="AEQ3" s="37"/>
      <c r="AER3" s="37"/>
      <c r="AES3" s="38" t="s">
        <v>5</v>
      </c>
      <c r="AET3" s="38"/>
      <c r="AEU3" s="38"/>
      <c r="AEV3" s="39"/>
      <c r="AEY3" s="19"/>
      <c r="AEZ3" s="33"/>
      <c r="AFA3" s="34"/>
      <c r="AFB3" s="35"/>
      <c r="AFC3" s="36" t="s">
        <v>4</v>
      </c>
      <c r="AFD3" s="37"/>
      <c r="AFE3" s="37"/>
      <c r="AFF3" s="38" t="s">
        <v>5</v>
      </c>
      <c r="AFG3" s="38"/>
      <c r="AFH3" s="38"/>
      <c r="AFI3" s="39"/>
      <c r="AFL3" s="19"/>
      <c r="AFM3" s="33"/>
      <c r="AFN3" s="34"/>
      <c r="AFO3" s="35"/>
      <c r="AFP3" s="36" t="s">
        <v>4</v>
      </c>
      <c r="AFQ3" s="37"/>
      <c r="AFR3" s="37"/>
      <c r="AFS3" s="38" t="s">
        <v>5</v>
      </c>
      <c r="AFT3" s="38"/>
      <c r="AFU3" s="38"/>
      <c r="AFV3" s="39"/>
      <c r="AFZ3" s="33"/>
      <c r="AGA3" s="34"/>
      <c r="AGB3" s="35"/>
      <c r="AGC3" s="36" t="s">
        <v>4</v>
      </c>
      <c r="AGD3" s="37"/>
      <c r="AGE3" s="37"/>
      <c r="AGF3" s="38" t="s">
        <v>5</v>
      </c>
      <c r="AGG3" s="38"/>
      <c r="AGH3" s="38"/>
      <c r="AGI3" s="39"/>
      <c r="AGL3" s="33"/>
      <c r="AGM3" s="34"/>
      <c r="AGN3" s="35"/>
      <c r="AGO3" s="36" t="s">
        <v>4</v>
      </c>
      <c r="AGP3" s="37"/>
      <c r="AGQ3" s="37"/>
      <c r="AGR3" s="38" t="s">
        <v>5</v>
      </c>
      <c r="AGS3" s="38"/>
      <c r="AGT3" s="38"/>
      <c r="AGU3" s="39"/>
      <c r="AGX3" s="33"/>
      <c r="AGY3" s="34"/>
      <c r="AGZ3" s="35"/>
      <c r="AHA3" s="36" t="s">
        <v>4</v>
      </c>
      <c r="AHB3" s="37"/>
      <c r="AHC3" s="37"/>
      <c r="AHD3" s="38" t="s">
        <v>5</v>
      </c>
      <c r="AHE3" s="38"/>
      <c r="AHF3" s="38"/>
      <c r="AHG3" s="39"/>
      <c r="AHJ3" s="33"/>
      <c r="AHK3" s="34"/>
      <c r="AHL3" s="35"/>
      <c r="AHM3" s="36" t="s">
        <v>4</v>
      </c>
      <c r="AHN3" s="37"/>
      <c r="AHO3" s="37"/>
      <c r="AHP3" s="38" t="s">
        <v>5</v>
      </c>
      <c r="AHQ3" s="38"/>
      <c r="AHR3" s="38"/>
      <c r="AHS3" s="39"/>
      <c r="AHV3" s="33"/>
      <c r="AHW3" s="34"/>
      <c r="AHX3" s="35"/>
      <c r="AHY3" s="36" t="s">
        <v>4</v>
      </c>
      <c r="AHZ3" s="37"/>
      <c r="AIA3" s="37"/>
      <c r="AIB3" s="38" t="s">
        <v>5</v>
      </c>
      <c r="AIC3" s="38"/>
      <c r="AID3" s="38"/>
      <c r="AIE3" s="39"/>
      <c r="AIH3" s="33"/>
      <c r="AII3" s="34"/>
      <c r="AIJ3" s="35"/>
      <c r="AIK3" s="36" t="s">
        <v>4</v>
      </c>
      <c r="AIL3" s="37"/>
      <c r="AIM3" s="37"/>
      <c r="AIN3" s="38" t="s">
        <v>5</v>
      </c>
      <c r="AIO3" s="38"/>
      <c r="AIP3" s="38"/>
      <c r="AIQ3" s="39"/>
      <c r="AIT3" s="33"/>
      <c r="AIU3" s="34"/>
      <c r="AIV3" s="35"/>
      <c r="AIW3" s="36" t="s">
        <v>4</v>
      </c>
      <c r="AIX3" s="37"/>
      <c r="AIY3" s="37"/>
      <c r="AIZ3" s="38" t="s">
        <v>5</v>
      </c>
      <c r="AJA3" s="38"/>
      <c r="AJB3" s="38"/>
      <c r="AJC3" s="39"/>
      <c r="AJF3" s="33"/>
      <c r="AJG3" s="34"/>
      <c r="AJH3" s="35"/>
      <c r="AJI3" s="36" t="s">
        <v>4</v>
      </c>
      <c r="AJJ3" s="37"/>
      <c r="AJK3" s="37"/>
      <c r="AJL3" s="38" t="s">
        <v>5</v>
      </c>
      <c r="AJM3" s="38"/>
      <c r="AJN3" s="38"/>
      <c r="AJO3" s="39"/>
      <c r="AJR3" s="33"/>
      <c r="AJS3" s="34"/>
      <c r="AJT3" s="35"/>
      <c r="AJU3" s="36" t="s">
        <v>4</v>
      </c>
      <c r="AJV3" s="37"/>
      <c r="AJW3" s="37"/>
      <c r="AJX3" s="38" t="s">
        <v>5</v>
      </c>
      <c r="AJY3" s="38"/>
      <c r="AJZ3" s="38"/>
      <c r="AKA3" s="39"/>
      <c r="AKD3" s="33"/>
      <c r="AKE3" s="34"/>
      <c r="AKF3" s="35"/>
      <c r="AKG3" s="36" t="s">
        <v>4</v>
      </c>
      <c r="AKH3" s="37"/>
      <c r="AKI3" s="37"/>
      <c r="AKJ3" s="38" t="s">
        <v>5</v>
      </c>
      <c r="AKK3" s="38"/>
      <c r="AKL3" s="38"/>
      <c r="AKM3" s="39"/>
      <c r="AKP3" s="33"/>
      <c r="AKQ3" s="34"/>
      <c r="AKR3" s="35"/>
      <c r="AKS3" s="36" t="s">
        <v>4</v>
      </c>
      <c r="AKT3" s="37"/>
      <c r="AKU3" s="37"/>
      <c r="AKV3" s="38" t="s">
        <v>5</v>
      </c>
      <c r="AKW3" s="38"/>
      <c r="AKX3" s="38"/>
      <c r="AKY3" s="39"/>
      <c r="ALB3" s="33"/>
      <c r="ALC3" s="34"/>
      <c r="ALD3" s="35"/>
      <c r="ALE3" s="36" t="s">
        <v>4</v>
      </c>
      <c r="ALF3" s="37"/>
      <c r="ALG3" s="37"/>
      <c r="ALH3" s="38" t="s">
        <v>5</v>
      </c>
      <c r="ALI3" s="38"/>
      <c r="ALJ3" s="38"/>
      <c r="ALK3" s="39"/>
      <c r="ALN3" s="33"/>
      <c r="ALO3" s="34"/>
      <c r="ALP3" s="35"/>
      <c r="ALQ3" s="36" t="s">
        <v>4</v>
      </c>
      <c r="ALR3" s="37"/>
      <c r="ALS3" s="37"/>
      <c r="ALT3" s="38" t="s">
        <v>5</v>
      </c>
      <c r="ALU3" s="38"/>
      <c r="ALV3" s="38"/>
      <c r="ALW3" s="39"/>
      <c r="ALZ3" s="33"/>
      <c r="AMA3" s="34"/>
      <c r="AMB3" s="35"/>
      <c r="AMC3" s="36" t="s">
        <v>4</v>
      </c>
      <c r="AMD3" s="37"/>
      <c r="AME3" s="37"/>
      <c r="AMF3" s="38" t="s">
        <v>5</v>
      </c>
      <c r="AMG3" s="38"/>
      <c r="AMH3" s="38"/>
      <c r="AMI3" s="39"/>
      <c r="AML3" s="33"/>
      <c r="AMM3" s="34"/>
      <c r="AMN3" s="35"/>
      <c r="AMO3" s="36" t="s">
        <v>4</v>
      </c>
      <c r="AMP3" s="37"/>
      <c r="AMQ3" s="37"/>
      <c r="AMR3" s="38" t="s">
        <v>5</v>
      </c>
      <c r="AMS3" s="38"/>
      <c r="AMT3" s="38"/>
      <c r="AMU3" s="39"/>
      <c r="AMX3" s="33"/>
      <c r="AMY3" s="34"/>
      <c r="AMZ3" s="35"/>
      <c r="ANA3" s="36" t="s">
        <v>4</v>
      </c>
      <c r="ANB3" s="37"/>
      <c r="ANC3" s="37"/>
      <c r="AND3" s="38" t="s">
        <v>5</v>
      </c>
      <c r="ANE3" s="38"/>
      <c r="ANF3" s="38"/>
      <c r="ANG3" s="39"/>
      <c r="ANJ3" s="33"/>
      <c r="ANK3" s="34"/>
      <c r="ANL3" s="35"/>
      <c r="ANM3" s="36" t="s">
        <v>4</v>
      </c>
      <c r="ANN3" s="37"/>
      <c r="ANO3" s="37"/>
      <c r="ANP3" s="38" t="s">
        <v>5</v>
      </c>
      <c r="ANQ3" s="38"/>
      <c r="ANR3" s="38"/>
      <c r="ANS3" s="39"/>
      <c r="ANV3" s="33"/>
      <c r="ANW3" s="34"/>
      <c r="ANX3" s="35"/>
      <c r="ANY3" s="36" t="s">
        <v>4</v>
      </c>
      <c r="ANZ3" s="37"/>
      <c r="AOA3" s="37"/>
      <c r="AOB3" s="38" t="s">
        <v>5</v>
      </c>
      <c r="AOC3" s="38"/>
      <c r="AOD3" s="38"/>
      <c r="AOE3" s="39"/>
      <c r="AOH3" s="33"/>
      <c r="AOI3" s="34"/>
      <c r="AOJ3" s="35"/>
      <c r="AOK3" s="36" t="s">
        <v>4</v>
      </c>
      <c r="AOL3" s="37"/>
      <c r="AOM3" s="37"/>
      <c r="AON3" s="38" t="s">
        <v>5</v>
      </c>
      <c r="AOO3" s="38"/>
      <c r="AOP3" s="38"/>
      <c r="AOQ3" s="39"/>
      <c r="AOT3" s="33"/>
      <c r="AOU3" s="34"/>
      <c r="AOV3" s="35"/>
      <c r="AOW3" s="36" t="s">
        <v>4</v>
      </c>
      <c r="AOX3" s="37"/>
      <c r="AOY3" s="37"/>
      <c r="AOZ3" s="38" t="s">
        <v>5</v>
      </c>
      <c r="APA3" s="38"/>
      <c r="APB3" s="38"/>
      <c r="APC3" s="39"/>
      <c r="APF3" s="33"/>
      <c r="APG3" s="34"/>
      <c r="APH3" s="35"/>
      <c r="API3" s="36" t="s">
        <v>4</v>
      </c>
      <c r="APJ3" s="37"/>
      <c r="APK3" s="37"/>
      <c r="APL3" s="38" t="s">
        <v>5</v>
      </c>
      <c r="APM3" s="38"/>
      <c r="APN3" s="38"/>
      <c r="APO3" s="39"/>
      <c r="APR3" s="33"/>
      <c r="APS3" s="34"/>
      <c r="APT3" s="35"/>
      <c r="APU3" s="36" t="s">
        <v>4</v>
      </c>
      <c r="APV3" s="37"/>
      <c r="APW3" s="37"/>
      <c r="APX3" s="38" t="s">
        <v>5</v>
      </c>
      <c r="APY3" s="38"/>
      <c r="APZ3" s="38"/>
      <c r="AQA3" s="39"/>
      <c r="AQD3" s="33"/>
      <c r="AQE3" s="34"/>
      <c r="AQF3" s="35"/>
      <c r="AQG3" s="36" t="s">
        <v>4</v>
      </c>
      <c r="AQH3" s="37"/>
      <c r="AQI3" s="37"/>
      <c r="AQJ3" s="38" t="s">
        <v>5</v>
      </c>
      <c r="AQK3" s="38"/>
      <c r="AQL3" s="38"/>
      <c r="AQM3" s="39"/>
      <c r="AQP3" s="33"/>
      <c r="AQQ3" s="34"/>
      <c r="AQR3" s="35"/>
      <c r="AQS3" s="36" t="s">
        <v>4</v>
      </c>
      <c r="AQT3" s="37"/>
      <c r="AQU3" s="37"/>
      <c r="AQV3" s="38" t="s">
        <v>5</v>
      </c>
      <c r="AQW3" s="38"/>
      <c r="AQX3" s="38"/>
      <c r="AQY3" s="39"/>
      <c r="ARB3" s="33"/>
      <c r="ARC3" s="34"/>
      <c r="ARD3" s="35"/>
      <c r="ARE3" s="36" t="s">
        <v>4</v>
      </c>
      <c r="ARF3" s="37"/>
      <c r="ARG3" s="37"/>
      <c r="ARH3" s="38" t="s">
        <v>5</v>
      </c>
      <c r="ARI3" s="38"/>
      <c r="ARJ3" s="38"/>
      <c r="ARK3" s="39"/>
      <c r="ARN3" s="33"/>
      <c r="ARO3" s="34"/>
      <c r="ARP3" s="35"/>
      <c r="ARQ3" s="36" t="s">
        <v>4</v>
      </c>
      <c r="ARR3" s="37"/>
      <c r="ARS3" s="37"/>
      <c r="ART3" s="38" t="s">
        <v>5</v>
      </c>
      <c r="ARU3" s="38"/>
      <c r="ARV3" s="38"/>
      <c r="ARW3" s="39"/>
      <c r="ARZ3" s="33"/>
      <c r="ASA3" s="34"/>
      <c r="ASB3" s="35"/>
      <c r="ASC3" s="36" t="s">
        <v>4</v>
      </c>
      <c r="ASD3" s="37"/>
      <c r="ASE3" s="37"/>
      <c r="ASF3" s="38" t="s">
        <v>5</v>
      </c>
      <c r="ASG3" s="38"/>
      <c r="ASH3" s="38"/>
      <c r="ASI3" s="39"/>
      <c r="ASL3" s="33"/>
      <c r="ASM3" s="34"/>
      <c r="ASN3" s="35"/>
      <c r="ASO3" s="36" t="s">
        <v>4</v>
      </c>
      <c r="ASP3" s="37"/>
      <c r="ASQ3" s="37"/>
      <c r="ASR3" s="38" t="s">
        <v>5</v>
      </c>
      <c r="ASS3" s="38"/>
      <c r="AST3" s="38"/>
      <c r="ASU3" s="39"/>
      <c r="ASX3" s="33"/>
      <c r="ASY3" s="34"/>
      <c r="ASZ3" s="35"/>
      <c r="ATA3" s="36" t="s">
        <v>4</v>
      </c>
      <c r="ATB3" s="37"/>
      <c r="ATC3" s="37"/>
      <c r="ATD3" s="38" t="s">
        <v>5</v>
      </c>
      <c r="ATE3" s="38"/>
      <c r="ATF3" s="38"/>
      <c r="ATG3" s="39"/>
      <c r="ATJ3" s="33"/>
      <c r="ATK3" s="34"/>
      <c r="ATL3" s="35"/>
      <c r="ATM3" s="36" t="s">
        <v>4</v>
      </c>
      <c r="ATN3" s="37"/>
      <c r="ATO3" s="37"/>
      <c r="ATP3" s="38" t="s">
        <v>5</v>
      </c>
      <c r="ATQ3" s="38"/>
      <c r="ATR3" s="38"/>
      <c r="ATS3" s="39"/>
      <c r="ATV3" s="33"/>
      <c r="ATW3" s="34"/>
      <c r="ATX3" s="35"/>
      <c r="ATY3" s="36" t="s">
        <v>4</v>
      </c>
      <c r="ATZ3" s="37"/>
      <c r="AUA3" s="37"/>
      <c r="AUB3" s="38" t="s">
        <v>5</v>
      </c>
      <c r="AUC3" s="38"/>
      <c r="AUD3" s="38"/>
      <c r="AUE3" s="39"/>
      <c r="AUH3" s="33"/>
      <c r="AUI3" s="34"/>
      <c r="AUJ3" s="35"/>
      <c r="AUK3" s="36" t="s">
        <v>4</v>
      </c>
      <c r="AUL3" s="37"/>
      <c r="AUM3" s="37"/>
      <c r="AUN3" s="38" t="s">
        <v>5</v>
      </c>
      <c r="AUO3" s="38"/>
      <c r="AUP3" s="38"/>
      <c r="AUQ3" s="39"/>
      <c r="AUT3" s="33"/>
      <c r="AUU3" s="34"/>
      <c r="AUV3" s="35"/>
      <c r="AUW3" s="36" t="s">
        <v>4</v>
      </c>
      <c r="AUX3" s="37"/>
      <c r="AUY3" s="37"/>
      <c r="AUZ3" s="38" t="s">
        <v>5</v>
      </c>
      <c r="AVA3" s="38"/>
      <c r="AVB3" s="38"/>
      <c r="AVC3" s="39"/>
      <c r="AVF3" s="33"/>
      <c r="AVG3" s="34"/>
      <c r="AVH3" s="35"/>
      <c r="AVI3" s="36" t="s">
        <v>4</v>
      </c>
      <c r="AVJ3" s="37"/>
      <c r="AVK3" s="37"/>
      <c r="AVL3" s="38" t="s">
        <v>5</v>
      </c>
      <c r="AVM3" s="38"/>
      <c r="AVN3" s="38"/>
      <c r="AVO3" s="39"/>
      <c r="AVR3" s="33"/>
      <c r="AVS3" s="34"/>
      <c r="AVT3" s="35"/>
      <c r="AVU3" s="36" t="s">
        <v>4</v>
      </c>
      <c r="AVV3" s="37"/>
      <c r="AVW3" s="37"/>
      <c r="AVX3" s="38" t="s">
        <v>5</v>
      </c>
      <c r="AVY3" s="38"/>
      <c r="AVZ3" s="38"/>
      <c r="AWA3" s="39"/>
      <c r="AWD3" s="33"/>
      <c r="AWE3" s="34"/>
      <c r="AWF3" s="35"/>
      <c r="AWG3" s="36" t="s">
        <v>4</v>
      </c>
      <c r="AWH3" s="37"/>
      <c r="AWI3" s="37"/>
      <c r="AWJ3" s="38" t="s">
        <v>5</v>
      </c>
      <c r="AWK3" s="38"/>
      <c r="AWL3" s="38"/>
      <c r="AWM3" s="39"/>
      <c r="AWP3" s="33"/>
      <c r="AWQ3" s="34"/>
      <c r="AWR3" s="35"/>
      <c r="AWS3" s="36" t="s">
        <v>4</v>
      </c>
      <c r="AWT3" s="37"/>
      <c r="AWU3" s="37"/>
      <c r="AWV3" s="38" t="s">
        <v>5</v>
      </c>
      <c r="AWW3" s="38"/>
      <c r="AWX3" s="38"/>
      <c r="AWY3" s="39"/>
      <c r="AXB3" s="33"/>
      <c r="AXC3" s="34"/>
      <c r="AXD3" s="35"/>
      <c r="AXE3" s="36" t="s">
        <v>4</v>
      </c>
      <c r="AXF3" s="37"/>
      <c r="AXG3" s="37"/>
      <c r="AXH3" s="38" t="s">
        <v>5</v>
      </c>
      <c r="AXI3" s="38"/>
      <c r="AXJ3" s="38"/>
      <c r="AXK3" s="39"/>
      <c r="AXN3" s="33"/>
      <c r="AXO3" s="34"/>
      <c r="AXP3" s="35"/>
      <c r="AXQ3" s="36" t="s">
        <v>4</v>
      </c>
      <c r="AXR3" s="37"/>
      <c r="AXS3" s="37"/>
      <c r="AXT3" s="38" t="s">
        <v>5</v>
      </c>
      <c r="AXU3" s="38"/>
      <c r="AXV3" s="38"/>
      <c r="AXW3" s="39"/>
      <c r="AXZ3" s="33"/>
      <c r="AYA3" s="34"/>
      <c r="AYB3" s="35"/>
      <c r="AYC3" s="36" t="s">
        <v>4</v>
      </c>
      <c r="AYD3" s="37"/>
      <c r="AYE3" s="37"/>
      <c r="AYF3" s="38" t="s">
        <v>5</v>
      </c>
      <c r="AYG3" s="38"/>
      <c r="AYH3" s="38"/>
      <c r="AYI3" s="39"/>
      <c r="AYL3" s="33"/>
      <c r="AYM3" s="34"/>
      <c r="AYN3" s="35"/>
      <c r="AYO3" s="36" t="s">
        <v>4</v>
      </c>
      <c r="AYP3" s="37"/>
      <c r="AYQ3" s="37"/>
      <c r="AYR3" s="38" t="s">
        <v>5</v>
      </c>
      <c r="AYS3" s="38"/>
      <c r="AYT3" s="38"/>
      <c r="AYU3" s="39"/>
      <c r="AYX3" s="33"/>
      <c r="AYY3" s="34"/>
      <c r="AYZ3" s="35"/>
      <c r="AZA3" s="36" t="s">
        <v>4</v>
      </c>
      <c r="AZB3" s="37"/>
      <c r="AZC3" s="37"/>
      <c r="AZD3" s="38" t="s">
        <v>5</v>
      </c>
      <c r="AZE3" s="38"/>
      <c r="AZF3" s="38"/>
      <c r="AZG3" s="39"/>
      <c r="AZJ3" s="33"/>
      <c r="AZK3" s="34"/>
      <c r="AZL3" s="35"/>
      <c r="AZM3" s="36" t="s">
        <v>4</v>
      </c>
      <c r="AZN3" s="37"/>
      <c r="AZO3" s="37"/>
      <c r="AZP3" s="38" t="s">
        <v>5</v>
      </c>
      <c r="AZQ3" s="38"/>
      <c r="AZR3" s="38"/>
      <c r="AZS3" s="39"/>
      <c r="AZV3" s="33"/>
      <c r="AZW3" s="34"/>
      <c r="AZX3" s="35"/>
      <c r="AZY3" s="36" t="s">
        <v>4</v>
      </c>
      <c r="AZZ3" s="37"/>
      <c r="BAA3" s="37"/>
      <c r="BAB3" s="38" t="s">
        <v>5</v>
      </c>
      <c r="BAC3" s="38"/>
      <c r="BAD3" s="38"/>
      <c r="BAE3" s="39"/>
      <c r="BAH3" s="33"/>
      <c r="BAI3" s="34"/>
      <c r="BAJ3" s="35"/>
      <c r="BAK3" s="36" t="s">
        <v>4</v>
      </c>
      <c r="BAL3" s="37"/>
      <c r="BAM3" s="37"/>
      <c r="BAN3" s="38" t="s">
        <v>5</v>
      </c>
      <c r="BAO3" s="38"/>
      <c r="BAP3" s="38"/>
      <c r="BAQ3" s="39"/>
      <c r="BAT3" s="33"/>
      <c r="BAU3" s="34"/>
      <c r="BAV3" s="35"/>
      <c r="BAW3" s="36" t="s">
        <v>4</v>
      </c>
      <c r="BAX3" s="37"/>
      <c r="BAY3" s="37"/>
      <c r="BAZ3" s="38" t="s">
        <v>5</v>
      </c>
      <c r="BBA3" s="38"/>
      <c r="BBB3" s="38"/>
      <c r="BBC3" s="39"/>
      <c r="BBF3" s="33"/>
      <c r="BBG3" s="34"/>
      <c r="BBH3" s="35"/>
      <c r="BBI3" s="36" t="s">
        <v>4</v>
      </c>
      <c r="BBJ3" s="37"/>
      <c r="BBK3" s="37"/>
      <c r="BBL3" s="38" t="s">
        <v>5</v>
      </c>
      <c r="BBM3" s="38"/>
      <c r="BBN3" s="38"/>
      <c r="BBO3" s="39"/>
      <c r="BBR3" s="33"/>
      <c r="BBS3" s="34"/>
      <c r="BBT3" s="35"/>
      <c r="BBU3" s="36" t="s">
        <v>4</v>
      </c>
      <c r="BBV3" s="37"/>
      <c r="BBW3" s="37"/>
      <c r="BBX3" s="38" t="s">
        <v>5</v>
      </c>
      <c r="BBY3" s="38"/>
      <c r="BBZ3" s="38"/>
      <c r="BCA3" s="39"/>
      <c r="BCD3" s="33"/>
      <c r="BCE3" s="34"/>
      <c r="BCF3" s="35"/>
      <c r="BCG3" s="36" t="s">
        <v>4</v>
      </c>
      <c r="BCH3" s="37"/>
      <c r="BCI3" s="37"/>
      <c r="BCJ3" s="38" t="s">
        <v>5</v>
      </c>
      <c r="BCK3" s="38"/>
      <c r="BCL3" s="38"/>
      <c r="BCM3" s="39"/>
      <c r="BCP3" s="33"/>
      <c r="BCQ3" s="34"/>
      <c r="BCR3" s="35"/>
      <c r="BCS3" s="36" t="s">
        <v>4</v>
      </c>
      <c r="BCT3" s="37"/>
      <c r="BCU3" s="37"/>
      <c r="BCV3" s="38" t="s">
        <v>5</v>
      </c>
      <c r="BCW3" s="38"/>
      <c r="BCX3" s="38"/>
      <c r="BCY3" s="39"/>
      <c r="BDB3" s="33"/>
      <c r="BDC3" s="34"/>
      <c r="BDD3" s="35"/>
      <c r="BDE3" s="36" t="s">
        <v>4</v>
      </c>
      <c r="BDF3" s="37"/>
      <c r="BDG3" s="37"/>
      <c r="BDH3" s="38" t="s">
        <v>5</v>
      </c>
      <c r="BDI3" s="38"/>
      <c r="BDJ3" s="38"/>
      <c r="BDK3" s="39"/>
      <c r="BDN3" s="33"/>
      <c r="BDO3" s="34"/>
      <c r="BDP3" s="35"/>
      <c r="BDQ3" s="36" t="s">
        <v>4</v>
      </c>
      <c r="BDR3" s="37"/>
      <c r="BDS3" s="37"/>
      <c r="BDT3" s="38" t="s">
        <v>5</v>
      </c>
      <c r="BDU3" s="38"/>
      <c r="BDV3" s="38"/>
      <c r="BDW3" s="39"/>
      <c r="BDZ3" s="33"/>
      <c r="BEA3" s="34"/>
      <c r="BEB3" s="35"/>
      <c r="BEC3" s="36" t="s">
        <v>4</v>
      </c>
      <c r="BED3" s="37"/>
      <c r="BEE3" s="37"/>
      <c r="BEF3" s="38" t="s">
        <v>5</v>
      </c>
      <c r="BEG3" s="38"/>
      <c r="BEH3" s="38"/>
      <c r="BEI3" s="39"/>
      <c r="BEL3" s="33"/>
      <c r="BEM3" s="34"/>
      <c r="BEN3" s="35"/>
      <c r="BEO3" s="36" t="s">
        <v>4</v>
      </c>
      <c r="BEP3" s="37"/>
      <c r="BEQ3" s="37"/>
      <c r="BER3" s="38" t="s">
        <v>5</v>
      </c>
      <c r="BES3" s="38"/>
      <c r="BET3" s="38"/>
      <c r="BEU3" s="39"/>
      <c r="BEX3" s="33"/>
      <c r="BEY3" s="34"/>
      <c r="BEZ3" s="35"/>
      <c r="BFA3" s="36" t="s">
        <v>4</v>
      </c>
      <c r="BFB3" s="37"/>
      <c r="BFC3" s="37"/>
      <c r="BFD3" s="38" t="s">
        <v>5</v>
      </c>
      <c r="BFE3" s="38"/>
      <c r="BFF3" s="38"/>
      <c r="BFG3" s="39"/>
      <c r="BFJ3" s="33"/>
      <c r="BFK3" s="34"/>
      <c r="BFL3" s="35"/>
      <c r="BFM3" s="36" t="s">
        <v>4</v>
      </c>
      <c r="BFN3" s="37"/>
      <c r="BFO3" s="37"/>
      <c r="BFP3" s="38" t="s">
        <v>5</v>
      </c>
      <c r="BFQ3" s="38"/>
      <c r="BFR3" s="38"/>
      <c r="BFS3" s="39"/>
      <c r="BFV3" s="33"/>
      <c r="BFW3" s="34"/>
      <c r="BFX3" s="35"/>
      <c r="BFY3" s="36" t="s">
        <v>4</v>
      </c>
      <c r="BFZ3" s="37"/>
      <c r="BGA3" s="37"/>
      <c r="BGB3" s="38" t="s">
        <v>5</v>
      </c>
      <c r="BGC3" s="38"/>
      <c r="BGD3" s="38"/>
      <c r="BGE3" s="39"/>
      <c r="BGH3" s="33"/>
      <c r="BGI3" s="34"/>
      <c r="BGJ3" s="35"/>
      <c r="BGK3" s="36" t="s">
        <v>4</v>
      </c>
      <c r="BGL3" s="37"/>
      <c r="BGM3" s="37"/>
      <c r="BGN3" s="38" t="s">
        <v>5</v>
      </c>
      <c r="BGO3" s="38"/>
      <c r="BGP3" s="38"/>
      <c r="BGQ3" s="39"/>
      <c r="BGT3" s="33"/>
      <c r="BGU3" s="34"/>
      <c r="BGV3" s="35"/>
      <c r="BGW3" s="36" t="s">
        <v>4</v>
      </c>
      <c r="BGX3" s="37"/>
      <c r="BGY3" s="37"/>
      <c r="BGZ3" s="38" t="s">
        <v>5</v>
      </c>
      <c r="BHA3" s="38"/>
      <c r="BHB3" s="38"/>
      <c r="BHC3" s="39"/>
      <c r="BHF3" s="33"/>
      <c r="BHG3" s="34"/>
      <c r="BHH3" s="35"/>
      <c r="BHI3" s="36" t="s">
        <v>4</v>
      </c>
      <c r="BHJ3" s="37"/>
      <c r="BHK3" s="37"/>
      <c r="BHL3" s="38" t="s">
        <v>5</v>
      </c>
      <c r="BHM3" s="38"/>
      <c r="BHN3" s="38"/>
      <c r="BHO3" s="39"/>
      <c r="BHR3" s="33"/>
      <c r="BHS3" s="34"/>
      <c r="BHT3" s="35"/>
      <c r="BHU3" s="36" t="s">
        <v>4</v>
      </c>
      <c r="BHV3" s="37"/>
      <c r="BHW3" s="37"/>
      <c r="BHX3" s="38" t="s">
        <v>5</v>
      </c>
      <c r="BHY3" s="38"/>
      <c r="BHZ3" s="38"/>
      <c r="BIA3" s="39"/>
      <c r="BID3" s="33"/>
      <c r="BIE3" s="34"/>
      <c r="BIF3" s="35"/>
      <c r="BIG3" s="36" t="s">
        <v>4</v>
      </c>
      <c r="BIH3" s="37"/>
      <c r="BII3" s="37"/>
      <c r="BIJ3" s="38" t="s">
        <v>5</v>
      </c>
      <c r="BIK3" s="38"/>
      <c r="BIL3" s="38"/>
      <c r="BIM3" s="39"/>
      <c r="BIP3" s="33"/>
      <c r="BIQ3" s="34"/>
      <c r="BIR3" s="35"/>
      <c r="BIS3" s="36" t="s">
        <v>4</v>
      </c>
      <c r="BIT3" s="37"/>
      <c r="BIU3" s="37"/>
      <c r="BIV3" s="38" t="s">
        <v>5</v>
      </c>
      <c r="BIW3" s="38"/>
      <c r="BIX3" s="38"/>
      <c r="BIY3" s="39"/>
      <c r="BJB3" s="33"/>
      <c r="BJC3" s="34"/>
      <c r="BJD3" s="35"/>
      <c r="BJE3" s="36" t="s">
        <v>4</v>
      </c>
      <c r="BJF3" s="37"/>
      <c r="BJG3" s="37"/>
      <c r="BJH3" s="38" t="s">
        <v>5</v>
      </c>
      <c r="BJI3" s="38"/>
      <c r="BJJ3" s="38"/>
      <c r="BJK3" s="39"/>
      <c r="BJN3" s="33"/>
      <c r="BJO3" s="34"/>
      <c r="BJP3" s="35"/>
      <c r="BJQ3" s="36" t="s">
        <v>4</v>
      </c>
      <c r="BJR3" s="37"/>
      <c r="BJS3" s="37"/>
      <c r="BJT3" s="38" t="s">
        <v>5</v>
      </c>
      <c r="BJU3" s="38"/>
      <c r="BJV3" s="38"/>
      <c r="BJW3" s="39"/>
      <c r="BJZ3" s="33"/>
      <c r="BKA3" s="34"/>
      <c r="BKB3" s="35"/>
      <c r="BKC3" s="36" t="s">
        <v>4</v>
      </c>
      <c r="BKD3" s="37"/>
      <c r="BKE3" s="37"/>
      <c r="BKF3" s="38" t="s">
        <v>5</v>
      </c>
      <c r="BKG3" s="38"/>
      <c r="BKH3" s="38"/>
      <c r="BKI3" s="39"/>
      <c r="BKL3" s="33"/>
      <c r="BKM3" s="34"/>
      <c r="BKN3" s="35"/>
      <c r="BKO3" s="36" t="s">
        <v>4</v>
      </c>
      <c r="BKP3" s="37"/>
      <c r="BKQ3" s="37"/>
      <c r="BKR3" s="38" t="s">
        <v>5</v>
      </c>
      <c r="BKS3" s="38"/>
      <c r="BKT3" s="38"/>
      <c r="BKU3" s="39"/>
      <c r="BKX3" s="33"/>
      <c r="BKY3" s="34"/>
      <c r="BKZ3" s="35"/>
      <c r="BLA3" s="36" t="s">
        <v>4</v>
      </c>
      <c r="BLB3" s="37"/>
      <c r="BLC3" s="37"/>
      <c r="BLD3" s="38" t="s">
        <v>5</v>
      </c>
      <c r="BLE3" s="38"/>
      <c r="BLF3" s="38"/>
      <c r="BLG3" s="39"/>
      <c r="BLJ3" s="33"/>
      <c r="BLK3" s="34"/>
      <c r="BLL3" s="35"/>
      <c r="BLM3" s="36" t="s">
        <v>4</v>
      </c>
      <c r="BLN3" s="37"/>
      <c r="BLO3" s="37"/>
      <c r="BLP3" s="38" t="s">
        <v>5</v>
      </c>
      <c r="BLQ3" s="38"/>
      <c r="BLR3" s="38"/>
      <c r="BLS3" s="39"/>
      <c r="BLV3" s="33"/>
      <c r="BLW3" s="34"/>
      <c r="BLX3" s="35"/>
      <c r="BLY3" s="36" t="s">
        <v>4</v>
      </c>
      <c r="BLZ3" s="37"/>
      <c r="BMA3" s="37"/>
      <c r="BMB3" s="38" t="s">
        <v>5</v>
      </c>
      <c r="BMC3" s="38"/>
      <c r="BMD3" s="38"/>
      <c r="BME3" s="39"/>
      <c r="BMH3" s="33"/>
      <c r="BMI3" s="34"/>
      <c r="BMJ3" s="35"/>
      <c r="BMK3" s="36" t="s">
        <v>4</v>
      </c>
      <c r="BML3" s="37"/>
      <c r="BMM3" s="37"/>
      <c r="BMN3" s="38" t="s">
        <v>5</v>
      </c>
      <c r="BMO3" s="38"/>
      <c r="BMP3" s="38"/>
      <c r="BMQ3" s="39"/>
      <c r="BMT3" s="33"/>
      <c r="BMU3" s="34"/>
      <c r="BMV3" s="35"/>
      <c r="BMW3" s="36" t="s">
        <v>4</v>
      </c>
      <c r="BMX3" s="37"/>
      <c r="BMY3" s="37"/>
      <c r="BMZ3" s="38" t="s">
        <v>5</v>
      </c>
      <c r="BNA3" s="38"/>
      <c r="BNB3" s="38"/>
      <c r="BNC3" s="39"/>
      <c r="BNF3" s="33"/>
      <c r="BNG3" s="34"/>
      <c r="BNH3" s="35"/>
      <c r="BNI3" s="36" t="s">
        <v>4</v>
      </c>
      <c r="BNJ3" s="37"/>
      <c r="BNK3" s="37"/>
      <c r="BNL3" s="38" t="s">
        <v>5</v>
      </c>
      <c r="BNM3" s="38"/>
      <c r="BNN3" s="38"/>
      <c r="BNO3" s="39"/>
      <c r="BNR3" s="33"/>
      <c r="BNS3" s="34"/>
      <c r="BNT3" s="35"/>
      <c r="BNU3" s="36" t="s">
        <v>4</v>
      </c>
      <c r="BNV3" s="37"/>
      <c r="BNW3" s="37"/>
      <c r="BNX3" s="38" t="s">
        <v>5</v>
      </c>
      <c r="BNY3" s="38"/>
      <c r="BNZ3" s="38"/>
      <c r="BOA3" s="39"/>
      <c r="BOD3" s="33"/>
      <c r="BOE3" s="34"/>
      <c r="BOF3" s="35"/>
      <c r="BOG3" s="36" t="s">
        <v>4</v>
      </c>
      <c r="BOH3" s="37"/>
      <c r="BOI3" s="37"/>
      <c r="BOJ3" s="38" t="s">
        <v>5</v>
      </c>
      <c r="BOK3" s="38"/>
      <c r="BOL3" s="38"/>
      <c r="BOM3" s="39"/>
      <c r="BOP3" s="33"/>
      <c r="BOQ3" s="34"/>
      <c r="BOR3" s="35"/>
      <c r="BOS3" s="36" t="s">
        <v>4</v>
      </c>
      <c r="BOT3" s="37"/>
      <c r="BOU3" s="37"/>
      <c r="BOV3" s="38" t="s">
        <v>5</v>
      </c>
      <c r="BOW3" s="38"/>
      <c r="BOX3" s="38"/>
      <c r="BOY3" s="39"/>
      <c r="BPB3" s="33"/>
      <c r="BPC3" s="34"/>
      <c r="BPD3" s="35"/>
      <c r="BPE3" s="36" t="s">
        <v>4</v>
      </c>
      <c r="BPF3" s="37"/>
      <c r="BPG3" s="37"/>
      <c r="BPH3" s="38" t="s">
        <v>5</v>
      </c>
      <c r="BPI3" s="38"/>
      <c r="BPJ3" s="38"/>
      <c r="BPK3" s="39"/>
      <c r="BPN3" s="33"/>
      <c r="BPO3" s="34"/>
      <c r="BPP3" s="35"/>
      <c r="BPQ3" s="36" t="s">
        <v>4</v>
      </c>
      <c r="BPR3" s="37"/>
      <c r="BPS3" s="37"/>
      <c r="BPT3" s="38" t="s">
        <v>5</v>
      </c>
      <c r="BPU3" s="38"/>
      <c r="BPV3" s="38"/>
      <c r="BPW3" s="39"/>
      <c r="BPZ3" s="33"/>
      <c r="BQA3" s="34"/>
      <c r="BQB3" s="35"/>
      <c r="BQC3" s="36" t="s">
        <v>4</v>
      </c>
      <c r="BQD3" s="37"/>
      <c r="BQE3" s="37"/>
      <c r="BQF3" s="38" t="s">
        <v>5</v>
      </c>
      <c r="BQG3" s="38"/>
      <c r="BQH3" s="38"/>
      <c r="BQI3" s="39"/>
      <c r="BQL3" s="33"/>
      <c r="BQM3" s="34"/>
      <c r="BQN3" s="35"/>
      <c r="BQO3" s="36" t="s">
        <v>4</v>
      </c>
      <c r="BQP3" s="37"/>
      <c r="BQQ3" s="37"/>
      <c r="BQR3" s="38" t="s">
        <v>5</v>
      </c>
      <c r="BQS3" s="38"/>
      <c r="BQT3" s="38"/>
      <c r="BQU3" s="39"/>
      <c r="BQX3" s="33"/>
      <c r="BQY3" s="34"/>
      <c r="BQZ3" s="35"/>
      <c r="BRA3" s="36" t="s">
        <v>4</v>
      </c>
      <c r="BRB3" s="37"/>
      <c r="BRC3" s="37"/>
      <c r="BRD3" s="38" t="s">
        <v>5</v>
      </c>
      <c r="BRE3" s="38"/>
      <c r="BRF3" s="38"/>
      <c r="BRG3" s="39"/>
      <c r="BRJ3" s="33"/>
      <c r="BRK3" s="34"/>
      <c r="BRL3" s="35"/>
      <c r="BRM3" s="36" t="s">
        <v>4</v>
      </c>
      <c r="BRN3" s="37"/>
      <c r="BRO3" s="37"/>
      <c r="BRP3" s="38" t="s">
        <v>5</v>
      </c>
      <c r="BRQ3" s="38"/>
      <c r="BRR3" s="38"/>
      <c r="BRS3" s="39"/>
      <c r="BRV3" s="33"/>
      <c r="BRW3" s="34"/>
      <c r="BRX3" s="35"/>
      <c r="BRY3" s="36" t="s">
        <v>4</v>
      </c>
      <c r="BRZ3" s="37"/>
      <c r="BSA3" s="37"/>
      <c r="BSB3" s="38" t="s">
        <v>5</v>
      </c>
      <c r="BSC3" s="38"/>
      <c r="BSD3" s="38"/>
      <c r="BSE3" s="39"/>
      <c r="BSH3" s="33"/>
      <c r="BSI3" s="34"/>
      <c r="BSJ3" s="35"/>
      <c r="BSK3" s="36" t="s">
        <v>4</v>
      </c>
      <c r="BSL3" s="37"/>
      <c r="BSM3" s="37"/>
      <c r="BSN3" s="38" t="s">
        <v>5</v>
      </c>
      <c r="BSO3" s="38"/>
      <c r="BSP3" s="38"/>
      <c r="BSQ3" s="39"/>
      <c r="BST3" s="33"/>
      <c r="BSU3" s="34"/>
      <c r="BSV3" s="35"/>
      <c r="BSW3" s="36" t="s">
        <v>4</v>
      </c>
      <c r="BSX3" s="37"/>
      <c r="BSY3" s="37"/>
      <c r="BSZ3" s="38" t="s">
        <v>5</v>
      </c>
      <c r="BTA3" s="38"/>
      <c r="BTB3" s="38"/>
      <c r="BTC3" s="39"/>
      <c r="BTF3" s="33"/>
      <c r="BTG3" s="34"/>
      <c r="BTH3" s="35"/>
      <c r="BTI3" s="36" t="s">
        <v>4</v>
      </c>
      <c r="BTJ3" s="37"/>
      <c r="BTK3" s="37"/>
      <c r="BTL3" s="38" t="s">
        <v>5</v>
      </c>
      <c r="BTM3" s="38"/>
      <c r="BTN3" s="38"/>
      <c r="BTO3" s="39"/>
      <c r="BTR3" s="33"/>
      <c r="BTS3" s="34"/>
      <c r="BTT3" s="35"/>
      <c r="BTU3" s="36" t="s">
        <v>4</v>
      </c>
      <c r="BTV3" s="37"/>
      <c r="BTW3" s="37"/>
      <c r="BTX3" s="38" t="s">
        <v>5</v>
      </c>
      <c r="BTY3" s="38"/>
      <c r="BTZ3" s="38"/>
      <c r="BUA3" s="39"/>
      <c r="BUD3" s="33"/>
      <c r="BUE3" s="34"/>
      <c r="BUF3" s="35"/>
      <c r="BUG3" s="36" t="s">
        <v>4</v>
      </c>
      <c r="BUH3" s="37"/>
      <c r="BUI3" s="37"/>
      <c r="BUJ3" s="38" t="s">
        <v>5</v>
      </c>
      <c r="BUK3" s="38"/>
      <c r="BUL3" s="38"/>
      <c r="BUM3" s="39"/>
      <c r="BUP3" s="33"/>
      <c r="BUQ3" s="34"/>
      <c r="BUR3" s="35"/>
      <c r="BUS3" s="36" t="s">
        <v>4</v>
      </c>
      <c r="BUT3" s="37"/>
      <c r="BUU3" s="37"/>
      <c r="BUV3" s="38" t="s">
        <v>5</v>
      </c>
      <c r="BUW3" s="38"/>
      <c r="BUX3" s="38"/>
      <c r="BUY3" s="39"/>
      <c r="BVB3" s="33"/>
      <c r="BVC3" s="34"/>
      <c r="BVD3" s="35"/>
      <c r="BVE3" s="36" t="s">
        <v>4</v>
      </c>
      <c r="BVF3" s="37"/>
      <c r="BVG3" s="37"/>
      <c r="BVH3" s="38" t="s">
        <v>5</v>
      </c>
      <c r="BVI3" s="38"/>
      <c r="BVJ3" s="38"/>
      <c r="BVK3" s="39"/>
      <c r="BVN3" s="33"/>
      <c r="BVO3" s="34"/>
      <c r="BVP3" s="35"/>
      <c r="BVQ3" s="36" t="s">
        <v>4</v>
      </c>
      <c r="BVR3" s="37"/>
      <c r="BVS3" s="37"/>
      <c r="BVT3" s="38" t="s">
        <v>5</v>
      </c>
      <c r="BVU3" s="38"/>
      <c r="BVV3" s="38"/>
      <c r="BVW3" s="39"/>
      <c r="BVZ3" s="33"/>
      <c r="BWA3" s="34"/>
      <c r="BWB3" s="35"/>
      <c r="BWC3" s="36" t="s">
        <v>4</v>
      </c>
      <c r="BWD3" s="37"/>
      <c r="BWE3" s="37"/>
      <c r="BWF3" s="38" t="s">
        <v>5</v>
      </c>
      <c r="BWG3" s="38"/>
      <c r="BWH3" s="38"/>
      <c r="BWI3" s="39"/>
      <c r="BWL3" s="33"/>
      <c r="BWM3" s="34"/>
      <c r="BWN3" s="35"/>
      <c r="BWO3" s="36" t="s">
        <v>4</v>
      </c>
      <c r="BWP3" s="37"/>
      <c r="BWQ3" s="37"/>
      <c r="BWR3" s="38" t="s">
        <v>5</v>
      </c>
      <c r="BWS3" s="38"/>
      <c r="BWT3" s="38"/>
      <c r="BWU3" s="39"/>
      <c r="BWX3" s="33"/>
      <c r="BWY3" s="34"/>
      <c r="BWZ3" s="35"/>
      <c r="BXA3" s="36" t="s">
        <v>4</v>
      </c>
      <c r="BXB3" s="37"/>
      <c r="BXC3" s="37"/>
      <c r="BXD3" s="38" t="s">
        <v>5</v>
      </c>
      <c r="BXE3" s="38"/>
      <c r="BXF3" s="38"/>
      <c r="BXG3" s="39"/>
      <c r="BXJ3" s="33"/>
      <c r="BXK3" s="34"/>
      <c r="BXL3" s="35"/>
      <c r="BXM3" s="36" t="s">
        <v>4</v>
      </c>
      <c r="BXN3" s="37"/>
      <c r="BXO3" s="37"/>
      <c r="BXP3" s="38" t="s">
        <v>5</v>
      </c>
      <c r="BXQ3" s="38"/>
      <c r="BXR3" s="38"/>
      <c r="BXS3" s="39"/>
      <c r="BXV3" s="33"/>
      <c r="BXW3" s="34"/>
      <c r="BXX3" s="35"/>
      <c r="BXY3" s="36" t="s">
        <v>4</v>
      </c>
      <c r="BXZ3" s="37"/>
      <c r="BYA3" s="37"/>
      <c r="BYB3" s="38" t="s">
        <v>5</v>
      </c>
      <c r="BYC3" s="38"/>
      <c r="BYD3" s="38"/>
      <c r="BYE3" s="39"/>
      <c r="BYH3" s="33"/>
      <c r="BYI3" s="34"/>
      <c r="BYJ3" s="35"/>
      <c r="BYK3" s="36" t="s">
        <v>4</v>
      </c>
      <c r="BYL3" s="37"/>
      <c r="BYM3" s="37"/>
      <c r="BYN3" s="38" t="s">
        <v>5</v>
      </c>
      <c r="BYO3" s="38"/>
      <c r="BYP3" s="38"/>
      <c r="BYQ3" s="39"/>
      <c r="BYT3" s="33"/>
      <c r="BYU3" s="34"/>
      <c r="BYV3" s="35"/>
      <c r="BYW3" s="36" t="s">
        <v>4</v>
      </c>
      <c r="BYX3" s="37"/>
      <c r="BYY3" s="37"/>
      <c r="BYZ3" s="38" t="s">
        <v>5</v>
      </c>
      <c r="BZA3" s="38"/>
      <c r="BZB3" s="38"/>
      <c r="BZC3" s="39"/>
      <c r="BZF3" s="33"/>
      <c r="BZG3" s="34"/>
      <c r="BZH3" s="35"/>
      <c r="BZI3" s="36" t="s">
        <v>4</v>
      </c>
      <c r="BZJ3" s="37"/>
      <c r="BZK3" s="37"/>
      <c r="BZL3" s="38" t="s">
        <v>5</v>
      </c>
      <c r="BZM3" s="38"/>
      <c r="BZN3" s="38"/>
      <c r="BZO3" s="39"/>
      <c r="BZR3" s="33"/>
      <c r="BZS3" s="34"/>
      <c r="BZT3" s="35"/>
      <c r="BZU3" s="36" t="s">
        <v>4</v>
      </c>
      <c r="BZV3" s="37"/>
      <c r="BZW3" s="37"/>
      <c r="BZX3" s="38" t="s">
        <v>5</v>
      </c>
      <c r="BZY3" s="38"/>
      <c r="BZZ3" s="38"/>
      <c r="CAA3" s="39"/>
      <c r="CAD3" s="33"/>
      <c r="CAE3" s="34"/>
      <c r="CAF3" s="35"/>
      <c r="CAG3" s="36" t="s">
        <v>4</v>
      </c>
      <c r="CAH3" s="37"/>
      <c r="CAI3" s="37"/>
      <c r="CAJ3" s="38" t="s">
        <v>5</v>
      </c>
      <c r="CAK3" s="38"/>
      <c r="CAL3" s="38"/>
      <c r="CAM3" s="39"/>
      <c r="CAP3" s="33"/>
      <c r="CAQ3" s="34"/>
      <c r="CAR3" s="35"/>
      <c r="CAS3" s="36" t="s">
        <v>4</v>
      </c>
      <c r="CAT3" s="37"/>
      <c r="CAU3" s="37"/>
      <c r="CAV3" s="38" t="s">
        <v>5</v>
      </c>
      <c r="CAW3" s="38"/>
      <c r="CAX3" s="38"/>
      <c r="CAY3" s="39"/>
      <c r="CBB3" s="33"/>
      <c r="CBC3" s="34"/>
      <c r="CBD3" s="35"/>
      <c r="CBE3" s="36" t="s">
        <v>4</v>
      </c>
      <c r="CBF3" s="37"/>
      <c r="CBG3" s="37"/>
      <c r="CBH3" s="38" t="s">
        <v>5</v>
      </c>
      <c r="CBI3" s="38"/>
      <c r="CBJ3" s="38"/>
      <c r="CBK3" s="39"/>
      <c r="CBN3" s="33"/>
      <c r="CBO3" s="34"/>
      <c r="CBP3" s="35"/>
      <c r="CBQ3" s="36" t="s">
        <v>4</v>
      </c>
      <c r="CBR3" s="37"/>
      <c r="CBS3" s="37"/>
      <c r="CBT3" s="38" t="s">
        <v>5</v>
      </c>
      <c r="CBU3" s="38"/>
      <c r="CBV3" s="38"/>
      <c r="CBW3" s="39"/>
      <c r="CBZ3" s="33"/>
      <c r="CCA3" s="34"/>
      <c r="CCB3" s="35"/>
      <c r="CCC3" s="36" t="s">
        <v>4</v>
      </c>
      <c r="CCD3" s="37"/>
      <c r="CCE3" s="37"/>
      <c r="CCF3" s="38" t="s">
        <v>5</v>
      </c>
      <c r="CCG3" s="38"/>
      <c r="CCH3" s="38"/>
      <c r="CCI3" s="39"/>
      <c r="CCL3" s="33"/>
      <c r="CCM3" s="34"/>
      <c r="CCN3" s="35"/>
      <c r="CCO3" s="36" t="s">
        <v>4</v>
      </c>
      <c r="CCP3" s="37"/>
      <c r="CCQ3" s="37"/>
      <c r="CCR3" s="38" t="s">
        <v>5</v>
      </c>
      <c r="CCS3" s="38"/>
      <c r="CCT3" s="38"/>
      <c r="CCU3" s="39"/>
      <c r="CCX3" s="33"/>
      <c r="CCY3" s="34"/>
      <c r="CCZ3" s="35"/>
      <c r="CDA3" s="36" t="s">
        <v>4</v>
      </c>
      <c r="CDB3" s="37"/>
      <c r="CDC3" s="37"/>
      <c r="CDD3" s="38" t="s">
        <v>5</v>
      </c>
      <c r="CDE3" s="38"/>
      <c r="CDF3" s="38"/>
      <c r="CDG3" s="39"/>
      <c r="CDJ3" s="33"/>
      <c r="CDK3" s="34"/>
      <c r="CDL3" s="35"/>
      <c r="CDM3" s="36" t="s">
        <v>4</v>
      </c>
      <c r="CDN3" s="37"/>
      <c r="CDO3" s="37"/>
      <c r="CDP3" s="38" t="s">
        <v>5</v>
      </c>
      <c r="CDQ3" s="38"/>
      <c r="CDR3" s="38"/>
      <c r="CDS3" s="39"/>
      <c r="CDV3" s="33"/>
      <c r="CDW3" s="34"/>
      <c r="CDX3" s="35"/>
      <c r="CDY3" s="36" t="s">
        <v>4</v>
      </c>
      <c r="CDZ3" s="37"/>
      <c r="CEA3" s="37"/>
      <c r="CEB3" s="38" t="s">
        <v>5</v>
      </c>
      <c r="CEC3" s="38"/>
      <c r="CED3" s="38"/>
      <c r="CEE3" s="39"/>
      <c r="CEH3" s="33"/>
      <c r="CEI3" s="34"/>
      <c r="CEJ3" s="35"/>
      <c r="CEK3" s="36" t="s">
        <v>4</v>
      </c>
      <c r="CEL3" s="37"/>
      <c r="CEM3" s="37"/>
      <c r="CEN3" s="38" t="s">
        <v>5</v>
      </c>
      <c r="CEO3" s="38"/>
      <c r="CEP3" s="38"/>
      <c r="CEQ3" s="39"/>
      <c r="CET3" s="33"/>
      <c r="CEU3" s="34"/>
      <c r="CEV3" s="35"/>
      <c r="CEW3" s="36" t="s">
        <v>4</v>
      </c>
      <c r="CEX3" s="37"/>
      <c r="CEY3" s="37"/>
      <c r="CEZ3" s="38" t="s">
        <v>5</v>
      </c>
      <c r="CFA3" s="38"/>
      <c r="CFB3" s="38"/>
      <c r="CFC3" s="39"/>
      <c r="CFF3" s="33"/>
      <c r="CFG3" s="34"/>
      <c r="CFH3" s="35"/>
      <c r="CFI3" s="36" t="s">
        <v>4</v>
      </c>
      <c r="CFJ3" s="37"/>
      <c r="CFK3" s="37"/>
      <c r="CFL3" s="38" t="s">
        <v>5</v>
      </c>
      <c r="CFM3" s="38"/>
      <c r="CFN3" s="38"/>
      <c r="CFO3" s="39"/>
      <c r="CFR3" s="33"/>
      <c r="CFS3" s="34"/>
      <c r="CFT3" s="35"/>
      <c r="CFU3" s="36" t="s">
        <v>4</v>
      </c>
      <c r="CFV3" s="37"/>
      <c r="CFW3" s="37"/>
      <c r="CFX3" s="38" t="s">
        <v>5</v>
      </c>
      <c r="CFY3" s="38"/>
      <c r="CFZ3" s="38"/>
      <c r="CGA3" s="39"/>
      <c r="CGD3" s="33"/>
      <c r="CGE3" s="34"/>
      <c r="CGF3" s="35"/>
      <c r="CGG3" s="36" t="s">
        <v>4</v>
      </c>
      <c r="CGH3" s="37"/>
      <c r="CGI3" s="37"/>
      <c r="CGJ3" s="38" t="s">
        <v>5</v>
      </c>
      <c r="CGK3" s="38"/>
      <c r="CGL3" s="38"/>
      <c r="CGM3" s="39"/>
      <c r="CGP3" s="33"/>
      <c r="CGQ3" s="34"/>
      <c r="CGR3" s="35"/>
      <c r="CGS3" s="36" t="s">
        <v>4</v>
      </c>
      <c r="CGT3" s="37"/>
      <c r="CGU3" s="37"/>
      <c r="CGV3" s="38" t="s">
        <v>5</v>
      </c>
      <c r="CGW3" s="38"/>
      <c r="CGX3" s="38"/>
      <c r="CGY3" s="39"/>
      <c r="CHB3" s="33"/>
      <c r="CHC3" s="34"/>
      <c r="CHD3" s="35"/>
      <c r="CHE3" s="36" t="s">
        <v>4</v>
      </c>
      <c r="CHF3" s="37"/>
      <c r="CHG3" s="37"/>
      <c r="CHH3" s="38" t="s">
        <v>5</v>
      </c>
      <c r="CHI3" s="38"/>
      <c r="CHJ3" s="38"/>
      <c r="CHK3" s="39"/>
      <c r="CHN3" s="33"/>
      <c r="CHO3" s="34"/>
      <c r="CHP3" s="35"/>
      <c r="CHQ3" s="36" t="s">
        <v>4</v>
      </c>
      <c r="CHR3" s="37"/>
      <c r="CHS3" s="37"/>
      <c r="CHT3" s="38" t="s">
        <v>5</v>
      </c>
      <c r="CHU3" s="38"/>
      <c r="CHV3" s="38"/>
      <c r="CHW3" s="39"/>
      <c r="CHZ3" s="33"/>
      <c r="CIA3" s="34"/>
      <c r="CIB3" s="35"/>
      <c r="CIC3" s="36" t="s">
        <v>4</v>
      </c>
      <c r="CID3" s="37"/>
      <c r="CIE3" s="37"/>
      <c r="CIF3" s="38" t="s">
        <v>5</v>
      </c>
      <c r="CIG3" s="38"/>
      <c r="CIH3" s="38"/>
      <c r="CII3" s="39"/>
      <c r="CIL3" s="33"/>
      <c r="CIM3" s="34"/>
      <c r="CIN3" s="35"/>
      <c r="CIO3" s="36" t="s">
        <v>4</v>
      </c>
      <c r="CIP3" s="37"/>
      <c r="CIQ3" s="37"/>
      <c r="CIR3" s="38" t="s">
        <v>5</v>
      </c>
      <c r="CIS3" s="38"/>
      <c r="CIT3" s="38"/>
      <c r="CIU3" s="39"/>
      <c r="CIX3" s="33"/>
      <c r="CIY3" s="34"/>
      <c r="CIZ3" s="35"/>
      <c r="CJA3" s="36" t="s">
        <v>4</v>
      </c>
      <c r="CJB3" s="37"/>
      <c r="CJC3" s="37"/>
      <c r="CJD3" s="38" t="s">
        <v>5</v>
      </c>
      <c r="CJE3" s="38"/>
      <c r="CJF3" s="38"/>
      <c r="CJG3" s="39"/>
      <c r="CJJ3" s="33"/>
      <c r="CJK3" s="34"/>
      <c r="CJL3" s="35"/>
      <c r="CJM3" s="36" t="s">
        <v>4</v>
      </c>
      <c r="CJN3" s="37"/>
      <c r="CJO3" s="37"/>
      <c r="CJP3" s="38" t="s">
        <v>5</v>
      </c>
      <c r="CJQ3" s="38"/>
      <c r="CJR3" s="38"/>
      <c r="CJS3" s="39"/>
      <c r="CJV3" s="33"/>
      <c r="CJW3" s="34"/>
      <c r="CJX3" s="35"/>
      <c r="CJY3" s="36" t="s">
        <v>4</v>
      </c>
      <c r="CJZ3" s="37"/>
      <c r="CKA3" s="37"/>
      <c r="CKB3" s="38" t="s">
        <v>5</v>
      </c>
      <c r="CKC3" s="38"/>
      <c r="CKD3" s="38"/>
      <c r="CKE3" s="39"/>
      <c r="CKH3" s="33"/>
      <c r="CKI3" s="34"/>
      <c r="CKJ3" s="35"/>
      <c r="CKK3" s="36" t="s">
        <v>4</v>
      </c>
      <c r="CKL3" s="37"/>
      <c r="CKM3" s="37"/>
      <c r="CKN3" s="38" t="s">
        <v>5</v>
      </c>
      <c r="CKO3" s="38"/>
      <c r="CKP3" s="38"/>
      <c r="CKQ3" s="39"/>
      <c r="CKT3" s="33"/>
      <c r="CKU3" s="34"/>
      <c r="CKV3" s="35"/>
      <c r="CKW3" s="36" t="s">
        <v>4</v>
      </c>
      <c r="CKX3" s="37"/>
      <c r="CKY3" s="37"/>
      <c r="CKZ3" s="38" t="s">
        <v>5</v>
      </c>
      <c r="CLA3" s="38"/>
      <c r="CLB3" s="38"/>
      <c r="CLC3" s="39"/>
      <c r="CLF3" s="33"/>
      <c r="CLG3" s="34"/>
      <c r="CLH3" s="35"/>
      <c r="CLI3" s="36" t="s">
        <v>4</v>
      </c>
      <c r="CLJ3" s="37"/>
      <c r="CLK3" s="37"/>
      <c r="CLL3" s="38" t="s">
        <v>5</v>
      </c>
      <c r="CLM3" s="38"/>
      <c r="CLN3" s="38"/>
      <c r="CLO3" s="39"/>
      <c r="CLR3" s="33"/>
      <c r="CLS3" s="34"/>
      <c r="CLT3" s="35"/>
      <c r="CLU3" s="36" t="s">
        <v>4</v>
      </c>
      <c r="CLV3" s="37"/>
      <c r="CLW3" s="37"/>
      <c r="CLX3" s="38" t="s">
        <v>5</v>
      </c>
      <c r="CLY3" s="38"/>
      <c r="CLZ3" s="38"/>
      <c r="CMA3" s="39"/>
      <c r="CMD3" s="33"/>
      <c r="CME3" s="34"/>
      <c r="CMF3" s="35"/>
      <c r="CMG3" s="36" t="s">
        <v>4</v>
      </c>
      <c r="CMH3" s="37"/>
      <c r="CMI3" s="37"/>
      <c r="CMJ3" s="38" t="s">
        <v>5</v>
      </c>
      <c r="CMK3" s="38"/>
      <c r="CML3" s="38"/>
      <c r="CMM3" s="39"/>
      <c r="CMP3" s="33"/>
      <c r="CMQ3" s="34"/>
      <c r="CMR3" s="35"/>
      <c r="CMS3" s="36" t="s">
        <v>4</v>
      </c>
      <c r="CMT3" s="37"/>
      <c r="CMU3" s="37"/>
      <c r="CMV3" s="38" t="s">
        <v>5</v>
      </c>
      <c r="CMW3" s="38"/>
      <c r="CMX3" s="38"/>
      <c r="CMY3" s="39"/>
      <c r="CNB3" s="33"/>
      <c r="CNC3" s="34"/>
      <c r="CND3" s="35"/>
      <c r="CNE3" s="36" t="s">
        <v>4</v>
      </c>
      <c r="CNF3" s="37"/>
      <c r="CNG3" s="37"/>
      <c r="CNH3" s="38" t="s">
        <v>5</v>
      </c>
      <c r="CNI3" s="38"/>
      <c r="CNJ3" s="38"/>
      <c r="CNK3" s="39"/>
      <c r="CNN3" s="33"/>
      <c r="CNO3" s="34"/>
      <c r="CNP3" s="35"/>
      <c r="CNQ3" s="36" t="s">
        <v>4</v>
      </c>
      <c r="CNR3" s="37"/>
      <c r="CNS3" s="37"/>
      <c r="CNT3" s="38" t="s">
        <v>5</v>
      </c>
      <c r="CNU3" s="38"/>
      <c r="CNV3" s="38"/>
      <c r="CNW3" s="39"/>
      <c r="CNZ3" s="33"/>
      <c r="COA3" s="34"/>
      <c r="COB3" s="35"/>
      <c r="COC3" s="36" t="s">
        <v>4</v>
      </c>
      <c r="COD3" s="37"/>
      <c r="COE3" s="37"/>
      <c r="COF3" s="38" t="s">
        <v>5</v>
      </c>
      <c r="COG3" s="38"/>
      <c r="COH3" s="38"/>
      <c r="COI3" s="39"/>
      <c r="COL3" s="33"/>
      <c r="COM3" s="34"/>
      <c r="CON3" s="35"/>
      <c r="COO3" s="36" t="s">
        <v>4</v>
      </c>
      <c r="COP3" s="37"/>
      <c r="COQ3" s="37"/>
      <c r="COR3" s="38" t="s">
        <v>5</v>
      </c>
      <c r="COS3" s="38"/>
      <c r="COT3" s="38"/>
      <c r="COU3" s="39"/>
      <c r="COX3" s="33"/>
      <c r="COY3" s="34"/>
      <c r="COZ3" s="35"/>
      <c r="CPA3" s="36" t="s">
        <v>4</v>
      </c>
      <c r="CPB3" s="37"/>
      <c r="CPC3" s="37"/>
      <c r="CPD3" s="38" t="s">
        <v>5</v>
      </c>
      <c r="CPE3" s="38"/>
      <c r="CPF3" s="38"/>
      <c r="CPG3" s="39"/>
      <c r="CPJ3" s="33"/>
      <c r="CPK3" s="34"/>
      <c r="CPL3" s="35"/>
      <c r="CPM3" s="36" t="s">
        <v>4</v>
      </c>
      <c r="CPN3" s="37"/>
      <c r="CPO3" s="37"/>
      <c r="CPP3" s="38" t="s">
        <v>5</v>
      </c>
      <c r="CPQ3" s="38"/>
      <c r="CPR3" s="38"/>
      <c r="CPS3" s="39"/>
      <c r="CPV3" s="33"/>
      <c r="CPW3" s="34"/>
      <c r="CPX3" s="35"/>
      <c r="CPY3" s="36" t="s">
        <v>4</v>
      </c>
      <c r="CPZ3" s="37"/>
      <c r="CQA3" s="37"/>
      <c r="CQB3" s="38" t="s">
        <v>5</v>
      </c>
      <c r="CQC3" s="38"/>
      <c r="CQD3" s="38"/>
      <c r="CQE3" s="39"/>
      <c r="CQH3" s="33"/>
      <c r="CQI3" s="34"/>
      <c r="CQJ3" s="35"/>
      <c r="CQK3" s="36" t="s">
        <v>4</v>
      </c>
      <c r="CQL3" s="37"/>
      <c r="CQM3" s="37"/>
      <c r="CQN3" s="38" t="s">
        <v>5</v>
      </c>
      <c r="CQO3" s="38"/>
      <c r="CQP3" s="38"/>
      <c r="CQQ3" s="39"/>
      <c r="CQT3" s="33"/>
      <c r="CQU3" s="34"/>
      <c r="CQV3" s="35"/>
      <c r="CQW3" s="36" t="s">
        <v>4</v>
      </c>
      <c r="CQX3" s="37"/>
      <c r="CQY3" s="37"/>
      <c r="CQZ3" s="38" t="s">
        <v>5</v>
      </c>
      <c r="CRA3" s="38"/>
      <c r="CRB3" s="38"/>
      <c r="CRC3" s="39"/>
      <c r="CRF3" s="33"/>
      <c r="CRG3" s="34"/>
      <c r="CRH3" s="35"/>
      <c r="CRI3" s="36" t="s">
        <v>4</v>
      </c>
      <c r="CRJ3" s="37"/>
      <c r="CRK3" s="37"/>
      <c r="CRL3" s="38" t="s">
        <v>5</v>
      </c>
      <c r="CRM3" s="38"/>
      <c r="CRN3" s="38"/>
      <c r="CRO3" s="39"/>
      <c r="CRR3" s="33"/>
      <c r="CRS3" s="34"/>
      <c r="CRT3" s="35"/>
      <c r="CRU3" s="36" t="s">
        <v>4</v>
      </c>
      <c r="CRV3" s="37"/>
      <c r="CRW3" s="37"/>
      <c r="CRX3" s="38" t="s">
        <v>5</v>
      </c>
      <c r="CRY3" s="38"/>
      <c r="CRZ3" s="38"/>
      <c r="CSA3" s="39"/>
      <c r="CSD3" s="33"/>
      <c r="CSE3" s="34"/>
      <c r="CSF3" s="35"/>
      <c r="CSG3" s="36" t="s">
        <v>4</v>
      </c>
      <c r="CSH3" s="37"/>
      <c r="CSI3" s="37"/>
      <c r="CSJ3" s="38" t="s">
        <v>5</v>
      </c>
      <c r="CSK3" s="38"/>
      <c r="CSL3" s="38"/>
      <c r="CSM3" s="39"/>
      <c r="CSP3" s="33"/>
      <c r="CSQ3" s="34"/>
      <c r="CSR3" s="35"/>
      <c r="CSS3" s="36" t="s">
        <v>4</v>
      </c>
      <c r="CST3" s="37"/>
      <c r="CSU3" s="37"/>
      <c r="CSV3" s="38" t="s">
        <v>5</v>
      </c>
      <c r="CSW3" s="38"/>
      <c r="CSX3" s="38"/>
      <c r="CSY3" s="39"/>
      <c r="CTB3" s="33"/>
      <c r="CTC3" s="34"/>
      <c r="CTD3" s="35"/>
      <c r="CTE3" s="36" t="s">
        <v>4</v>
      </c>
      <c r="CTF3" s="37"/>
      <c r="CTG3" s="37"/>
      <c r="CTH3" s="38" t="s">
        <v>5</v>
      </c>
      <c r="CTI3" s="38"/>
      <c r="CTJ3" s="38"/>
      <c r="CTK3" s="39"/>
      <c r="CTN3" s="33"/>
      <c r="CTO3" s="34"/>
      <c r="CTP3" s="35"/>
      <c r="CTQ3" s="36" t="s">
        <v>4</v>
      </c>
      <c r="CTR3" s="37"/>
      <c r="CTS3" s="37"/>
      <c r="CTT3" s="38" t="s">
        <v>5</v>
      </c>
      <c r="CTU3" s="38"/>
      <c r="CTV3" s="38"/>
      <c r="CTW3" s="39"/>
      <c r="CTZ3" s="33"/>
      <c r="CUA3" s="34"/>
      <c r="CUB3" s="35"/>
      <c r="CUC3" s="36" t="s">
        <v>4</v>
      </c>
      <c r="CUD3" s="37"/>
      <c r="CUE3" s="37"/>
      <c r="CUF3" s="38" t="s">
        <v>5</v>
      </c>
      <c r="CUG3" s="38"/>
      <c r="CUH3" s="38"/>
      <c r="CUI3" s="39"/>
      <c r="CUL3" s="33"/>
      <c r="CUM3" s="34"/>
      <c r="CUN3" s="35"/>
      <c r="CUO3" s="36" t="s">
        <v>4</v>
      </c>
      <c r="CUP3" s="37"/>
      <c r="CUQ3" s="37"/>
      <c r="CUR3" s="38" t="s">
        <v>5</v>
      </c>
      <c r="CUS3" s="38"/>
      <c r="CUT3" s="38"/>
      <c r="CUU3" s="39"/>
      <c r="CUX3" s="33"/>
      <c r="CUY3" s="34"/>
      <c r="CUZ3" s="35"/>
      <c r="CVA3" s="36" t="s">
        <v>4</v>
      </c>
      <c r="CVB3" s="37"/>
      <c r="CVC3" s="37"/>
      <c r="CVD3" s="38" t="s">
        <v>5</v>
      </c>
      <c r="CVE3" s="38"/>
      <c r="CVF3" s="38"/>
      <c r="CVG3" s="39"/>
      <c r="CVJ3" s="33"/>
      <c r="CVK3" s="34"/>
      <c r="CVL3" s="35"/>
      <c r="CVM3" s="36" t="s">
        <v>4</v>
      </c>
      <c r="CVN3" s="37"/>
      <c r="CVO3" s="37"/>
      <c r="CVP3" s="38" t="s">
        <v>5</v>
      </c>
      <c r="CVQ3" s="38"/>
      <c r="CVR3" s="38"/>
      <c r="CVS3" s="39"/>
      <c r="CVV3" s="33"/>
      <c r="CVW3" s="34"/>
      <c r="CVX3" s="35"/>
      <c r="CVY3" s="36" t="s">
        <v>4</v>
      </c>
      <c r="CVZ3" s="37"/>
      <c r="CWA3" s="37"/>
      <c r="CWB3" s="38" t="s">
        <v>5</v>
      </c>
      <c r="CWC3" s="38"/>
      <c r="CWD3" s="38"/>
      <c r="CWE3" s="39"/>
    </row>
    <row r="4" spans="1:1023 1026:2631" x14ac:dyDescent="0.25">
      <c r="B4" s="17"/>
      <c r="C4" s="17"/>
      <c r="D4" s="28"/>
      <c r="E4" s="28"/>
      <c r="F4" s="28"/>
      <c r="G4" s="28"/>
      <c r="H4" s="28"/>
      <c r="I4" s="28"/>
      <c r="J4" s="28"/>
      <c r="K4" s="28"/>
      <c r="L4" s="28"/>
      <c r="P4" s="17"/>
      <c r="Q4" s="17"/>
      <c r="R4" s="28"/>
      <c r="S4" s="28"/>
      <c r="T4" s="28"/>
      <c r="U4" s="28"/>
      <c r="V4" s="28"/>
      <c r="W4" s="28"/>
      <c r="X4" s="28"/>
      <c r="Y4" s="28"/>
      <c r="Z4" s="28"/>
      <c r="AD4" s="17"/>
      <c r="AE4" s="17"/>
      <c r="AF4" s="28"/>
      <c r="AG4" s="28"/>
      <c r="AH4" s="28"/>
      <c r="AI4" s="28"/>
      <c r="AJ4" s="28"/>
      <c r="AK4" s="28"/>
      <c r="AL4" s="28"/>
      <c r="AM4" s="28"/>
      <c r="AN4" s="28"/>
      <c r="AR4" s="17"/>
      <c r="AS4" s="17"/>
      <c r="AT4" s="28"/>
      <c r="AU4" s="28"/>
      <c r="AV4" s="28"/>
      <c r="AW4" s="28"/>
      <c r="AX4" s="28"/>
      <c r="AY4" s="28"/>
      <c r="AZ4" s="28"/>
      <c r="BA4" s="28"/>
      <c r="BB4" s="28"/>
      <c r="BF4" s="17"/>
      <c r="BG4" s="17"/>
      <c r="BH4" s="28"/>
      <c r="BI4" s="28"/>
      <c r="BJ4" s="28"/>
      <c r="BK4" s="28"/>
      <c r="BL4" s="28"/>
      <c r="BM4" s="28"/>
      <c r="BN4" s="28"/>
      <c r="BO4" s="28"/>
      <c r="BP4" s="28"/>
      <c r="BT4" s="17"/>
      <c r="BU4" s="17"/>
      <c r="BV4" s="28"/>
      <c r="BW4" s="28"/>
      <c r="BX4" s="28"/>
      <c r="BY4" s="28"/>
      <c r="BZ4" s="28"/>
      <c r="CA4" s="28"/>
      <c r="CB4" s="28"/>
      <c r="CC4" s="28"/>
      <c r="CD4" s="28"/>
      <c r="CH4" s="17"/>
      <c r="CI4" s="17"/>
      <c r="CJ4" s="28"/>
      <c r="CK4" s="28"/>
      <c r="CL4" s="28"/>
      <c r="CM4" s="28"/>
      <c r="CN4" s="28"/>
      <c r="CO4" s="28"/>
      <c r="CP4" s="28"/>
      <c r="CQ4" s="28"/>
      <c r="CR4" s="28"/>
      <c r="CV4" s="17"/>
      <c r="CW4" s="17"/>
      <c r="CX4" s="28"/>
      <c r="CY4" s="28"/>
      <c r="CZ4" s="28"/>
      <c r="DA4" s="28"/>
      <c r="DB4" s="28"/>
      <c r="DC4" s="28"/>
      <c r="DD4" s="28"/>
      <c r="DE4" s="28"/>
      <c r="DF4" s="28"/>
      <c r="DJ4" s="17"/>
      <c r="DK4" s="17"/>
      <c r="DL4" s="28"/>
      <c r="DM4" s="28"/>
      <c r="DN4" s="28"/>
      <c r="DO4" s="28"/>
      <c r="DP4" s="28"/>
      <c r="DQ4" s="28"/>
      <c r="DR4" s="28"/>
      <c r="DS4" s="28"/>
      <c r="DT4" s="28"/>
      <c r="DX4" s="17"/>
      <c r="DY4" s="17"/>
      <c r="DZ4" s="28"/>
      <c r="EA4" s="28"/>
      <c r="EB4" s="28"/>
      <c r="EC4" s="28"/>
      <c r="ED4" s="28"/>
      <c r="EE4" s="28"/>
      <c r="EF4" s="28"/>
      <c r="EG4" s="28"/>
      <c r="EH4" s="28"/>
      <c r="EL4" s="17"/>
      <c r="EM4" s="17"/>
      <c r="EN4" s="28"/>
      <c r="EO4" s="28"/>
      <c r="EP4" s="28"/>
      <c r="EQ4" s="28"/>
      <c r="ER4" s="28"/>
      <c r="ES4" s="28"/>
      <c r="ET4" s="28"/>
      <c r="EU4" s="28"/>
      <c r="EV4" s="28"/>
      <c r="EZ4" s="17"/>
      <c r="FA4" s="17"/>
      <c r="FB4" s="28"/>
      <c r="FC4" s="28"/>
      <c r="FD4" s="28"/>
      <c r="FE4" s="28"/>
      <c r="FF4" s="28"/>
      <c r="FG4" s="28"/>
      <c r="FH4" s="28"/>
      <c r="FI4" s="28"/>
      <c r="FJ4" s="28"/>
      <c r="FN4" s="17"/>
      <c r="FO4" s="17"/>
      <c r="FP4" s="28"/>
      <c r="FQ4" s="28"/>
      <c r="FR4" s="28"/>
      <c r="FS4" s="28"/>
      <c r="FT4" s="28"/>
      <c r="FU4" s="28"/>
      <c r="FV4" s="28"/>
      <c r="FW4" s="28"/>
      <c r="FX4" s="28"/>
      <c r="GB4" s="17"/>
      <c r="GC4" s="17"/>
      <c r="GD4" s="28"/>
      <c r="GE4" s="28"/>
      <c r="GF4" s="28"/>
      <c r="GG4" s="28"/>
      <c r="GH4" s="28"/>
      <c r="GI4" s="28"/>
      <c r="GJ4" s="28"/>
      <c r="GK4" s="28"/>
      <c r="GL4" s="28"/>
      <c r="GP4" s="17"/>
      <c r="GQ4" s="17"/>
      <c r="GR4" s="28"/>
      <c r="GS4" s="28"/>
      <c r="GT4" s="28"/>
      <c r="GU4" s="28"/>
      <c r="GV4" s="28"/>
      <c r="GW4" s="28"/>
      <c r="GX4" s="28"/>
      <c r="GY4" s="28"/>
      <c r="GZ4" s="28"/>
      <c r="HD4" s="17"/>
      <c r="HE4" s="17"/>
      <c r="HF4" s="28"/>
      <c r="HG4" s="28"/>
      <c r="HH4" s="28"/>
      <c r="HI4" s="28"/>
      <c r="HJ4" s="28"/>
      <c r="HK4" s="28"/>
      <c r="HL4" s="28"/>
      <c r="HM4" s="28"/>
      <c r="HN4" s="28"/>
      <c r="HR4" s="17"/>
      <c r="HS4" s="17"/>
      <c r="HT4" s="28"/>
      <c r="HU4" s="28"/>
      <c r="HV4" s="28"/>
      <c r="HW4" s="28"/>
      <c r="HX4" s="28"/>
      <c r="HY4" s="28"/>
      <c r="HZ4" s="28"/>
      <c r="IA4" s="28"/>
      <c r="IB4" s="28"/>
      <c r="IF4" s="17"/>
      <c r="IG4" s="17"/>
      <c r="IH4" s="28"/>
      <c r="II4" s="28"/>
      <c r="IJ4" s="28"/>
      <c r="IK4" s="28"/>
      <c r="IL4" s="28"/>
      <c r="IM4" s="28"/>
      <c r="IN4" s="28"/>
      <c r="IO4" s="28"/>
      <c r="IP4" s="28"/>
      <c r="IT4" s="17"/>
      <c r="IU4" s="17"/>
      <c r="IV4" s="28"/>
      <c r="IW4" s="28"/>
      <c r="IX4" s="28"/>
      <c r="IY4" s="28"/>
      <c r="IZ4" s="28"/>
      <c r="JA4" s="28"/>
      <c r="JB4" s="28"/>
      <c r="JC4" s="28"/>
      <c r="JD4" s="28"/>
      <c r="JH4" s="17"/>
      <c r="JI4" s="17"/>
      <c r="JJ4" s="28"/>
      <c r="JK4" s="28"/>
      <c r="JL4" s="28"/>
      <c r="JM4" s="28"/>
      <c r="JN4" s="28"/>
      <c r="JO4" s="28"/>
      <c r="JP4" s="28"/>
      <c r="JQ4" s="28"/>
      <c r="JR4" s="28"/>
      <c r="JV4" s="17"/>
      <c r="JW4" s="17"/>
      <c r="JX4" s="28"/>
      <c r="JY4" s="28"/>
      <c r="JZ4" s="28"/>
      <c r="KA4" s="28"/>
      <c r="KB4" s="28"/>
      <c r="KC4" s="28"/>
      <c r="KD4" s="28"/>
      <c r="KE4" s="28"/>
      <c r="KF4" s="28"/>
      <c r="KJ4" s="17"/>
      <c r="KK4" s="17"/>
      <c r="KL4" s="28"/>
      <c r="KM4" s="28"/>
      <c r="KN4" s="28"/>
      <c r="KO4" s="28"/>
      <c r="KP4" s="28"/>
      <c r="KQ4" s="28"/>
      <c r="KR4" s="28"/>
      <c r="KS4" s="28"/>
      <c r="KT4" s="28"/>
      <c r="KX4" s="17"/>
      <c r="KY4" s="17"/>
      <c r="KZ4" s="28"/>
      <c r="LA4" s="28"/>
      <c r="LB4" s="28"/>
      <c r="LC4" s="28"/>
      <c r="LD4" s="28"/>
      <c r="LE4" s="28"/>
      <c r="LF4" s="28"/>
      <c r="LG4" s="28"/>
      <c r="LH4" s="28"/>
      <c r="LL4" s="17"/>
      <c r="LM4" s="17"/>
      <c r="LN4" s="28"/>
      <c r="LO4" s="28"/>
      <c r="LP4" s="28"/>
      <c r="LQ4" s="28"/>
      <c r="LR4" s="28"/>
      <c r="LS4" s="28"/>
      <c r="LT4" s="28"/>
      <c r="LU4" s="28"/>
      <c r="LV4" s="28"/>
      <c r="LZ4" s="17"/>
      <c r="MA4" s="17"/>
      <c r="MB4" s="28"/>
      <c r="MC4" s="28"/>
      <c r="MD4" s="28"/>
      <c r="ME4" s="28"/>
      <c r="MF4" s="28"/>
      <c r="MG4" s="28"/>
      <c r="MH4" s="28"/>
      <c r="MI4" s="28"/>
      <c r="MJ4" s="28"/>
      <c r="MN4" s="17"/>
      <c r="MO4" s="17"/>
      <c r="MP4" s="28"/>
      <c r="MQ4" s="28"/>
      <c r="MR4" s="28"/>
      <c r="MS4" s="28"/>
      <c r="MT4" s="28"/>
      <c r="MU4" s="28"/>
      <c r="MV4" s="28"/>
      <c r="MW4" s="28"/>
      <c r="MX4" s="28"/>
      <c r="NB4" s="17"/>
      <c r="NC4" s="17"/>
      <c r="ND4" s="28"/>
      <c r="NE4" s="28"/>
      <c r="NF4" s="28"/>
      <c r="NG4" s="28"/>
      <c r="NH4" s="28"/>
      <c r="NI4" s="28"/>
      <c r="NJ4" s="28"/>
      <c r="NK4" s="28"/>
      <c r="NL4" s="28"/>
      <c r="NP4" s="17"/>
      <c r="NQ4" s="17"/>
      <c r="NR4" s="28"/>
      <c r="NS4" s="28"/>
      <c r="NT4" s="28"/>
      <c r="NU4" s="28"/>
      <c r="NV4" s="28"/>
      <c r="NW4" s="28"/>
      <c r="NX4" s="28"/>
      <c r="NY4" s="28"/>
      <c r="NZ4" s="28"/>
      <c r="OD4" s="17"/>
      <c r="OE4" s="17"/>
      <c r="OF4" s="28"/>
      <c r="OG4" s="28"/>
      <c r="OH4" s="28"/>
      <c r="OI4" s="28"/>
      <c r="OJ4" s="28"/>
      <c r="OK4" s="28"/>
      <c r="OL4" s="28"/>
      <c r="OM4" s="28"/>
      <c r="ON4" s="28"/>
      <c r="OR4" s="17"/>
      <c r="OS4" s="17"/>
      <c r="OT4" s="28"/>
      <c r="OU4" s="28"/>
      <c r="OV4" s="28"/>
      <c r="OW4" s="28"/>
      <c r="OX4" s="28"/>
      <c r="OY4" s="28"/>
      <c r="OZ4" s="28"/>
      <c r="PA4" s="28"/>
      <c r="PB4" s="28"/>
      <c r="PF4" s="17"/>
      <c r="PG4" s="17"/>
      <c r="PH4" s="28"/>
      <c r="PI4" s="28"/>
      <c r="PJ4" s="28"/>
      <c r="PK4" s="28"/>
      <c r="PL4" s="28"/>
      <c r="PM4" s="28"/>
      <c r="PN4" s="28"/>
      <c r="PO4" s="28"/>
      <c r="PP4" s="28"/>
      <c r="PT4" s="17"/>
      <c r="PU4" s="17"/>
      <c r="PV4" s="28"/>
      <c r="PW4" s="28"/>
      <c r="PX4" s="28"/>
      <c r="PY4" s="28"/>
      <c r="PZ4" s="28"/>
      <c r="QA4" s="28"/>
      <c r="QB4" s="28"/>
      <c r="QC4" s="28"/>
      <c r="QD4" s="28"/>
      <c r="QH4" s="17"/>
      <c r="QI4" s="17"/>
      <c r="QJ4" s="28"/>
      <c r="QK4" s="28"/>
      <c r="QL4" s="28"/>
      <c r="QM4" s="28"/>
      <c r="QN4" s="28"/>
      <c r="QO4" s="28"/>
      <c r="QP4" s="28"/>
      <c r="QQ4" s="28"/>
      <c r="QR4" s="28"/>
      <c r="QV4" s="17"/>
      <c r="QW4" s="17"/>
      <c r="QX4" s="28"/>
      <c r="QY4" s="28"/>
      <c r="QZ4" s="28"/>
      <c r="RA4" s="28"/>
      <c r="RB4" s="28"/>
      <c r="RC4" s="28"/>
      <c r="RD4" s="28"/>
      <c r="RE4" s="28"/>
      <c r="RF4" s="28"/>
      <c r="RJ4" s="17"/>
      <c r="RK4" s="17"/>
      <c r="RL4" s="28"/>
      <c r="RM4" s="28"/>
      <c r="RN4" s="28"/>
      <c r="RO4" s="28"/>
      <c r="RP4" s="28"/>
      <c r="RQ4" s="28"/>
      <c r="RR4" s="28"/>
      <c r="RS4" s="28"/>
      <c r="RT4" s="28"/>
      <c r="RX4" s="17"/>
      <c r="RY4" s="17"/>
      <c r="RZ4" s="28"/>
      <c r="SA4" s="28"/>
      <c r="SB4" s="28"/>
      <c r="SC4" s="28"/>
      <c r="SD4" s="28"/>
      <c r="SE4" s="28"/>
      <c r="SF4" s="28"/>
      <c r="SG4" s="28"/>
      <c r="SH4" s="28"/>
      <c r="SL4" s="17"/>
      <c r="SM4" s="17"/>
      <c r="SN4" s="28"/>
      <c r="SO4" s="28"/>
      <c r="SP4" s="28"/>
      <c r="SQ4" s="28"/>
      <c r="SR4" s="28"/>
      <c r="SS4" s="28"/>
      <c r="ST4" s="28"/>
      <c r="SU4" s="28"/>
      <c r="SV4" s="28"/>
      <c r="SZ4" s="17"/>
      <c r="TA4" s="17"/>
      <c r="TB4" s="28"/>
      <c r="TC4" s="28"/>
      <c r="TD4" s="28"/>
      <c r="TE4" s="28"/>
      <c r="TF4" s="28"/>
      <c r="TG4" s="28"/>
      <c r="TH4" s="28"/>
      <c r="TI4" s="28"/>
      <c r="TJ4" s="28"/>
      <c r="TN4" s="17"/>
      <c r="TO4" s="17"/>
      <c r="TP4" s="28"/>
      <c r="TQ4" s="28"/>
      <c r="TR4" s="28"/>
      <c r="TS4" s="28"/>
      <c r="TT4" s="28"/>
      <c r="TU4" s="28"/>
      <c r="TV4" s="28"/>
      <c r="TW4" s="28"/>
      <c r="TX4" s="28"/>
      <c r="UB4" s="17"/>
      <c r="UC4" s="17"/>
      <c r="UD4" s="28"/>
      <c r="UE4" s="28"/>
      <c r="UF4" s="28"/>
      <c r="UG4" s="28"/>
      <c r="UH4" s="28"/>
      <c r="UI4" s="28"/>
      <c r="UJ4" s="28"/>
      <c r="UK4" s="28"/>
      <c r="UL4" s="28"/>
      <c r="UP4" s="17"/>
      <c r="UQ4" s="17"/>
      <c r="UR4" s="28"/>
      <c r="US4" s="28"/>
      <c r="UT4" s="28"/>
      <c r="UU4" s="28"/>
      <c r="UV4" s="28"/>
      <c r="UW4" s="28"/>
      <c r="UX4" s="28"/>
      <c r="UY4" s="28"/>
      <c r="UZ4" s="28"/>
      <c r="VD4" s="17"/>
      <c r="VE4" s="17"/>
      <c r="VF4" s="28"/>
      <c r="VG4" s="28"/>
      <c r="VH4" s="28"/>
      <c r="VI4" s="28"/>
      <c r="VJ4" s="28"/>
      <c r="VK4" s="28"/>
      <c r="VL4" s="28"/>
      <c r="VM4" s="28"/>
      <c r="VN4" s="28"/>
      <c r="VR4" s="17"/>
      <c r="VS4" s="17"/>
      <c r="VT4" s="28"/>
      <c r="VU4" s="28"/>
      <c r="VV4" s="28"/>
      <c r="VW4" s="28"/>
      <c r="VX4" s="28"/>
      <c r="VY4" s="28"/>
      <c r="VZ4" s="28"/>
      <c r="WA4" s="28"/>
      <c r="WB4" s="28"/>
      <c r="WF4" s="17"/>
      <c r="WG4" s="17"/>
      <c r="WH4" s="28"/>
      <c r="WI4" s="28"/>
      <c r="WJ4" s="28"/>
      <c r="WK4" s="28"/>
      <c r="WL4" s="28"/>
      <c r="WM4" s="28"/>
      <c r="WN4" s="28"/>
      <c r="WO4" s="28"/>
      <c r="WP4" s="28"/>
      <c r="WT4" s="17"/>
      <c r="WU4" s="17"/>
      <c r="WV4" s="28"/>
      <c r="WW4" s="28"/>
      <c r="WX4" s="28"/>
      <c r="WY4" s="28"/>
      <c r="WZ4" s="28"/>
      <c r="XA4" s="28"/>
      <c r="XB4" s="28"/>
      <c r="XC4" s="28"/>
      <c r="XD4" s="28"/>
      <c r="XH4" s="17"/>
      <c r="XI4" s="17"/>
      <c r="XJ4" s="28"/>
      <c r="XK4" s="28"/>
      <c r="XL4" s="28"/>
      <c r="XM4" s="28"/>
      <c r="XN4" s="28"/>
      <c r="XO4" s="28"/>
      <c r="XP4" s="28"/>
      <c r="XQ4" s="28"/>
      <c r="XR4" s="28"/>
      <c r="XV4" s="17"/>
      <c r="XW4" s="17"/>
      <c r="XX4" s="28"/>
      <c r="XY4" s="28"/>
      <c r="XZ4" s="28"/>
      <c r="YA4" s="28"/>
      <c r="YB4" s="28"/>
      <c r="YC4" s="28"/>
      <c r="YD4" s="28"/>
      <c r="YE4" s="28"/>
      <c r="YF4" s="28"/>
      <c r="YJ4" s="17"/>
      <c r="YK4" s="17"/>
      <c r="YL4" s="28"/>
      <c r="YM4" s="28"/>
      <c r="YN4" s="28"/>
      <c r="YO4" s="28"/>
      <c r="YP4" s="28"/>
      <c r="YQ4" s="28"/>
      <c r="YR4" s="28"/>
      <c r="YS4" s="28"/>
      <c r="YT4" s="28"/>
      <c r="YX4" s="17"/>
      <c r="YY4" s="17"/>
      <c r="YZ4" s="28"/>
      <c r="ZA4" s="28"/>
      <c r="ZB4" s="28"/>
      <c r="ZC4" s="28"/>
      <c r="ZD4" s="28"/>
      <c r="ZE4" s="28"/>
      <c r="ZF4" s="28"/>
      <c r="ZG4" s="28"/>
      <c r="ZH4" s="28"/>
      <c r="ZL4" s="17"/>
      <c r="ZM4" s="17"/>
      <c r="ZN4" s="28"/>
      <c r="ZO4" s="28"/>
      <c r="ZP4" s="28"/>
      <c r="ZQ4" s="28"/>
      <c r="ZR4" s="28"/>
      <c r="ZS4" s="28"/>
      <c r="ZT4" s="28"/>
      <c r="ZU4" s="28"/>
      <c r="ZV4" s="28"/>
      <c r="ZY4" s="4"/>
      <c r="ZZ4" s="40"/>
      <c r="AAA4" s="41"/>
      <c r="AAB4" s="41"/>
      <c r="AAC4" s="41"/>
      <c r="AAD4" s="41"/>
      <c r="AAE4" s="42"/>
      <c r="AAF4" s="42"/>
      <c r="AAG4" s="42"/>
      <c r="AAH4" s="42"/>
      <c r="AAI4" s="42"/>
      <c r="AAJ4" s="42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V4" s="4"/>
      <c r="CVW4" s="4"/>
      <c r="CVX4" s="4"/>
      <c r="CVY4" s="4"/>
      <c r="CVZ4" s="4"/>
      <c r="CWA4" s="4"/>
      <c r="CWB4" s="4"/>
      <c r="CWC4" s="4"/>
      <c r="CWD4" s="4"/>
      <c r="CWE4" s="4"/>
    </row>
    <row r="5" spans="1:1023 1026:2631" x14ac:dyDescent="0.25">
      <c r="A5" s="43" t="s">
        <v>6</v>
      </c>
      <c r="B5" s="44"/>
      <c r="C5" s="45"/>
      <c r="D5" s="43" t="s">
        <v>7</v>
      </c>
      <c r="E5" s="44"/>
      <c r="F5" s="44"/>
      <c r="G5" s="45"/>
      <c r="H5" s="46" t="s">
        <v>8</v>
      </c>
      <c r="I5" s="46"/>
      <c r="J5" s="46"/>
      <c r="K5" s="44">
        <v>6231522</v>
      </c>
      <c r="L5" s="45"/>
      <c r="O5" s="47" t="s">
        <v>6</v>
      </c>
      <c r="P5" s="48"/>
      <c r="Q5" s="49"/>
      <c r="R5" s="43" t="s">
        <v>7</v>
      </c>
      <c r="S5" s="44"/>
      <c r="T5" s="44"/>
      <c r="U5" s="45"/>
      <c r="V5" s="46" t="s">
        <v>8</v>
      </c>
      <c r="W5" s="46"/>
      <c r="X5" s="46"/>
      <c r="Y5" s="44">
        <v>621622</v>
      </c>
      <c r="Z5" s="45"/>
      <c r="AC5" s="47" t="s">
        <v>6</v>
      </c>
      <c r="AD5" s="48"/>
      <c r="AE5" s="49"/>
      <c r="AF5" s="43" t="s">
        <v>7</v>
      </c>
      <c r="AG5" s="44"/>
      <c r="AH5" s="44"/>
      <c r="AI5" s="45"/>
      <c r="AJ5" s="46" t="s">
        <v>8</v>
      </c>
      <c r="AK5" s="46"/>
      <c r="AL5" s="46"/>
      <c r="AM5" s="44">
        <v>629622</v>
      </c>
      <c r="AN5" s="45"/>
      <c r="AQ5" s="47" t="s">
        <v>6</v>
      </c>
      <c r="AR5" s="48"/>
      <c r="AS5" s="49"/>
      <c r="AT5" s="43" t="s">
        <v>7</v>
      </c>
      <c r="AU5" s="44"/>
      <c r="AV5" s="44"/>
      <c r="AW5" s="45"/>
      <c r="AX5" s="46" t="s">
        <v>8</v>
      </c>
      <c r="AY5" s="46"/>
      <c r="AZ5" s="46"/>
      <c r="BA5" s="44">
        <v>6211622</v>
      </c>
      <c r="BB5" s="45"/>
      <c r="BE5" s="47" t="s">
        <v>6</v>
      </c>
      <c r="BF5" s="48"/>
      <c r="BG5" s="49"/>
      <c r="BH5" s="43" t="s">
        <v>7</v>
      </c>
      <c r="BI5" s="44"/>
      <c r="BJ5" s="44"/>
      <c r="BK5" s="45"/>
      <c r="BL5" s="46" t="s">
        <v>8</v>
      </c>
      <c r="BM5" s="46"/>
      <c r="BN5" s="46"/>
      <c r="BO5" s="44">
        <v>6215622</v>
      </c>
      <c r="BP5" s="45"/>
      <c r="BS5" s="47" t="s">
        <v>6</v>
      </c>
      <c r="BT5" s="48"/>
      <c r="BU5" s="49"/>
      <c r="BV5" s="43" t="s">
        <v>7</v>
      </c>
      <c r="BW5" s="44"/>
      <c r="BX5" s="44"/>
      <c r="BY5" s="45"/>
      <c r="BZ5" s="46" t="s">
        <v>8</v>
      </c>
      <c r="CA5" s="46"/>
      <c r="CB5" s="46"/>
      <c r="CC5" s="44">
        <v>6228622</v>
      </c>
      <c r="CD5" s="45"/>
      <c r="CG5" s="47" t="s">
        <v>6</v>
      </c>
      <c r="CH5" s="48"/>
      <c r="CI5" s="49"/>
      <c r="CJ5" s="43" t="s">
        <v>7</v>
      </c>
      <c r="CK5" s="44"/>
      <c r="CL5" s="44"/>
      <c r="CM5" s="45"/>
      <c r="CN5" s="46" t="s">
        <v>8</v>
      </c>
      <c r="CO5" s="46"/>
      <c r="CP5" s="46"/>
      <c r="CQ5" s="44">
        <v>623622</v>
      </c>
      <c r="CR5" s="45"/>
      <c r="CU5" s="47" t="s">
        <v>6</v>
      </c>
      <c r="CV5" s="48"/>
      <c r="CW5" s="49"/>
      <c r="CX5" s="43" t="s">
        <v>7</v>
      </c>
      <c r="CY5" s="44"/>
      <c r="CZ5" s="44"/>
      <c r="DA5" s="45"/>
      <c r="DB5" s="46" t="s">
        <v>8</v>
      </c>
      <c r="DC5" s="46"/>
      <c r="DD5" s="46"/>
      <c r="DE5" s="44">
        <v>623622</v>
      </c>
      <c r="DF5" s="45"/>
      <c r="DI5" s="47" t="s">
        <v>6</v>
      </c>
      <c r="DJ5" s="48"/>
      <c r="DK5" s="49"/>
      <c r="DL5" s="43" t="s">
        <v>7</v>
      </c>
      <c r="DM5" s="44"/>
      <c r="DN5" s="44"/>
      <c r="DO5" s="45"/>
      <c r="DP5" s="46" t="s">
        <v>8</v>
      </c>
      <c r="DQ5" s="46"/>
      <c r="DR5" s="46"/>
      <c r="DS5" s="44">
        <v>6230922</v>
      </c>
      <c r="DT5" s="45"/>
      <c r="DW5" s="47" t="s">
        <v>6</v>
      </c>
      <c r="DX5" s="48"/>
      <c r="DY5" s="49"/>
      <c r="DZ5" s="43" t="s">
        <v>7</v>
      </c>
      <c r="EA5" s="44"/>
      <c r="EB5" s="44"/>
      <c r="EC5" s="45"/>
      <c r="ED5" s="46" t="s">
        <v>8</v>
      </c>
      <c r="EE5" s="46"/>
      <c r="EF5" s="46"/>
      <c r="EG5" s="44">
        <v>62171022</v>
      </c>
      <c r="EH5" s="45"/>
      <c r="EK5" s="47" t="s">
        <v>6</v>
      </c>
      <c r="EL5" s="48"/>
      <c r="EM5" s="49"/>
      <c r="EN5" s="43" t="s">
        <v>7</v>
      </c>
      <c r="EO5" s="44"/>
      <c r="EP5" s="44"/>
      <c r="EQ5" s="45"/>
      <c r="ER5" s="46" t="s">
        <v>8</v>
      </c>
      <c r="ES5" s="46"/>
      <c r="ET5" s="46"/>
      <c r="EU5" s="44">
        <v>62251022</v>
      </c>
      <c r="EV5" s="45"/>
      <c r="EY5" s="47" t="s">
        <v>6</v>
      </c>
      <c r="EZ5" s="48"/>
      <c r="FA5" s="49"/>
      <c r="FB5" s="43" t="s">
        <v>7</v>
      </c>
      <c r="FC5" s="44"/>
      <c r="FD5" s="44"/>
      <c r="FE5" s="45"/>
      <c r="FF5" s="46" t="s">
        <v>8</v>
      </c>
      <c r="FG5" s="46"/>
      <c r="FH5" s="46"/>
      <c r="FI5" s="44">
        <v>62261022</v>
      </c>
      <c r="FJ5" s="45"/>
      <c r="FM5" s="47" t="s">
        <v>6</v>
      </c>
      <c r="FN5" s="48"/>
      <c r="FO5" s="49"/>
      <c r="FP5" s="43" t="s">
        <v>7</v>
      </c>
      <c r="FQ5" s="44"/>
      <c r="FR5" s="44"/>
      <c r="FS5" s="45"/>
      <c r="FT5" s="46" t="s">
        <v>8</v>
      </c>
      <c r="FU5" s="46"/>
      <c r="FV5" s="46"/>
      <c r="FW5" s="44">
        <v>62031122</v>
      </c>
      <c r="FX5" s="45"/>
      <c r="GA5" s="47" t="s">
        <v>6</v>
      </c>
      <c r="GB5" s="48"/>
      <c r="GC5" s="49"/>
      <c r="GD5" s="43" t="s">
        <v>7</v>
      </c>
      <c r="GE5" s="44"/>
      <c r="GF5" s="44"/>
      <c r="GG5" s="45"/>
      <c r="GH5" s="46" t="s">
        <v>8</v>
      </c>
      <c r="GI5" s="46"/>
      <c r="GJ5" s="46"/>
      <c r="GK5" s="44">
        <v>62041122</v>
      </c>
      <c r="GL5" s="45"/>
      <c r="GO5" s="47" t="s">
        <v>6</v>
      </c>
      <c r="GP5" s="48"/>
      <c r="GQ5" s="49"/>
      <c r="GR5" s="43" t="s">
        <v>7</v>
      </c>
      <c r="GS5" s="44"/>
      <c r="GT5" s="44"/>
      <c r="GU5" s="45"/>
      <c r="GV5" s="46" t="s">
        <v>8</v>
      </c>
      <c r="GW5" s="46"/>
      <c r="GX5" s="46"/>
      <c r="GY5" s="44">
        <v>6271122</v>
      </c>
      <c r="GZ5" s="45"/>
      <c r="HC5" s="47" t="s">
        <v>6</v>
      </c>
      <c r="HD5" s="48"/>
      <c r="HE5" s="49"/>
      <c r="HF5" s="43" t="s">
        <v>7</v>
      </c>
      <c r="HG5" s="44"/>
      <c r="HH5" s="44"/>
      <c r="HI5" s="45"/>
      <c r="HJ5" s="46" t="s">
        <v>8</v>
      </c>
      <c r="HK5" s="46"/>
      <c r="HL5" s="46"/>
      <c r="HM5" s="44">
        <v>62161122</v>
      </c>
      <c r="HN5" s="45"/>
      <c r="HQ5" s="47" t="s">
        <v>6</v>
      </c>
      <c r="HR5" s="48"/>
      <c r="HS5" s="49"/>
      <c r="HT5" s="43" t="s">
        <v>7</v>
      </c>
      <c r="HU5" s="44"/>
      <c r="HV5" s="44"/>
      <c r="HW5" s="45"/>
      <c r="HX5" s="46" t="s">
        <v>8</v>
      </c>
      <c r="HY5" s="46"/>
      <c r="HZ5" s="46"/>
      <c r="IA5" s="44">
        <v>62191122</v>
      </c>
      <c r="IB5" s="45"/>
      <c r="IE5" s="47" t="s">
        <v>6</v>
      </c>
      <c r="IF5" s="48"/>
      <c r="IG5" s="49"/>
      <c r="IH5" s="43" t="s">
        <v>7</v>
      </c>
      <c r="II5" s="44"/>
      <c r="IJ5" s="44"/>
      <c r="IK5" s="45"/>
      <c r="IL5" s="46" t="s">
        <v>8</v>
      </c>
      <c r="IM5" s="46"/>
      <c r="IN5" s="46"/>
      <c r="IO5" s="44">
        <v>62221122</v>
      </c>
      <c r="IP5" s="45"/>
      <c r="IS5" s="47" t="s">
        <v>6</v>
      </c>
      <c r="IT5" s="48"/>
      <c r="IU5" s="49"/>
      <c r="IV5" s="43" t="s">
        <v>7</v>
      </c>
      <c r="IW5" s="44"/>
      <c r="IX5" s="44"/>
      <c r="IY5" s="45"/>
      <c r="IZ5" s="46" t="s">
        <v>8</v>
      </c>
      <c r="JA5" s="46"/>
      <c r="JB5" s="46"/>
      <c r="JC5" s="44">
        <v>62241122</v>
      </c>
      <c r="JD5" s="45"/>
      <c r="JG5" s="47" t="s">
        <v>6</v>
      </c>
      <c r="JH5" s="48"/>
      <c r="JI5" s="49"/>
      <c r="JJ5" s="43" t="s">
        <v>7</v>
      </c>
      <c r="JK5" s="44"/>
      <c r="JL5" s="44"/>
      <c r="JM5" s="45"/>
      <c r="JN5" s="46" t="s">
        <v>8</v>
      </c>
      <c r="JO5" s="46"/>
      <c r="JP5" s="46"/>
      <c r="JQ5" s="44">
        <v>6271222</v>
      </c>
      <c r="JR5" s="45"/>
      <c r="JU5" s="47" t="s">
        <v>6</v>
      </c>
      <c r="JV5" s="48"/>
      <c r="JW5" s="49"/>
      <c r="JX5" s="43" t="s">
        <v>7</v>
      </c>
      <c r="JY5" s="44"/>
      <c r="JZ5" s="44"/>
      <c r="KA5" s="45"/>
      <c r="KB5" s="46" t="s">
        <v>8</v>
      </c>
      <c r="KC5" s="46"/>
      <c r="KD5" s="46"/>
      <c r="KE5" s="44">
        <v>6281222</v>
      </c>
      <c r="KF5" s="45"/>
      <c r="KI5" s="47" t="s">
        <v>6</v>
      </c>
      <c r="KJ5" s="48"/>
      <c r="KK5" s="49"/>
      <c r="KL5" s="43" t="s">
        <v>7</v>
      </c>
      <c r="KM5" s="44"/>
      <c r="KN5" s="44"/>
      <c r="KO5" s="45"/>
      <c r="KP5" s="46" t="s">
        <v>8</v>
      </c>
      <c r="KQ5" s="46"/>
      <c r="KR5" s="46"/>
      <c r="KS5" s="44">
        <v>6291222</v>
      </c>
      <c r="KT5" s="45"/>
      <c r="KU5" s="4">
        <v>491080824</v>
      </c>
      <c r="KW5" s="47" t="s">
        <v>6</v>
      </c>
      <c r="KX5" s="48"/>
      <c r="KY5" s="49"/>
      <c r="KZ5" s="43" t="s">
        <v>7</v>
      </c>
      <c r="LA5" s="44"/>
      <c r="LB5" s="44"/>
      <c r="LC5" s="45"/>
      <c r="LD5" s="46" t="s">
        <v>8</v>
      </c>
      <c r="LE5" s="46"/>
      <c r="LF5" s="46"/>
      <c r="LG5" s="44">
        <v>62131222</v>
      </c>
      <c r="LH5" s="45"/>
      <c r="LK5" s="47" t="s">
        <v>6</v>
      </c>
      <c r="LL5" s="48"/>
      <c r="LM5" s="49"/>
      <c r="LN5" s="43" t="s">
        <v>7</v>
      </c>
      <c r="LO5" s="44"/>
      <c r="LP5" s="44"/>
      <c r="LQ5" s="45"/>
      <c r="LR5" s="46" t="s">
        <v>8</v>
      </c>
      <c r="LS5" s="46"/>
      <c r="LT5" s="46"/>
      <c r="LU5" s="44">
        <v>62141222</v>
      </c>
      <c r="LV5" s="45"/>
      <c r="LY5" s="47" t="s">
        <v>6</v>
      </c>
      <c r="LZ5" s="48"/>
      <c r="MA5" s="49"/>
      <c r="MB5" s="43" t="s">
        <v>7</v>
      </c>
      <c r="MC5" s="44"/>
      <c r="MD5" s="44"/>
      <c r="ME5" s="45"/>
      <c r="MF5" s="46" t="s">
        <v>8</v>
      </c>
      <c r="MG5" s="46"/>
      <c r="MH5" s="46"/>
      <c r="MI5" s="44">
        <v>62151222</v>
      </c>
      <c r="MJ5" s="45"/>
      <c r="MM5" s="47" t="s">
        <v>6</v>
      </c>
      <c r="MN5" s="48"/>
      <c r="MO5" s="49"/>
      <c r="MP5" s="43" t="s">
        <v>7</v>
      </c>
      <c r="MQ5" s="44"/>
      <c r="MR5" s="44"/>
      <c r="MS5" s="45"/>
      <c r="MT5" s="46" t="s">
        <v>8</v>
      </c>
      <c r="MU5" s="46"/>
      <c r="MV5" s="46"/>
      <c r="MW5" s="44">
        <v>62161222</v>
      </c>
      <c r="MX5" s="45"/>
      <c r="NA5" s="47" t="s">
        <v>6</v>
      </c>
      <c r="NB5" s="48"/>
      <c r="NC5" s="49"/>
      <c r="ND5" s="43" t="s">
        <v>7</v>
      </c>
      <c r="NE5" s="44"/>
      <c r="NF5" s="44"/>
      <c r="NG5" s="45"/>
      <c r="NH5" s="46" t="s">
        <v>8</v>
      </c>
      <c r="NI5" s="46"/>
      <c r="NJ5" s="46"/>
      <c r="NK5" s="44">
        <v>62261222</v>
      </c>
      <c r="NL5" s="45"/>
      <c r="NO5" s="47" t="s">
        <v>6</v>
      </c>
      <c r="NP5" s="48"/>
      <c r="NQ5" s="49"/>
      <c r="NR5" s="43" t="s">
        <v>7</v>
      </c>
      <c r="NS5" s="44"/>
      <c r="NT5" s="44"/>
      <c r="NU5" s="45"/>
      <c r="NV5" s="46" t="s">
        <v>8</v>
      </c>
      <c r="NW5" s="46"/>
      <c r="NX5" s="46"/>
      <c r="NY5" s="44">
        <v>62271222</v>
      </c>
      <c r="NZ5" s="45"/>
      <c r="OC5" s="47" t="s">
        <v>6</v>
      </c>
      <c r="OD5" s="48"/>
      <c r="OE5" s="49"/>
      <c r="OF5" s="43" t="s">
        <v>7</v>
      </c>
      <c r="OG5" s="44"/>
      <c r="OH5" s="44"/>
      <c r="OI5" s="45"/>
      <c r="OJ5" s="46" t="s">
        <v>8</v>
      </c>
      <c r="OK5" s="46"/>
      <c r="OL5" s="46"/>
      <c r="OM5" s="44">
        <v>62281222</v>
      </c>
      <c r="ON5" s="45"/>
      <c r="OQ5" s="47" t="s">
        <v>6</v>
      </c>
      <c r="OR5" s="48"/>
      <c r="OS5" s="49"/>
      <c r="OT5" s="43" t="s">
        <v>7</v>
      </c>
      <c r="OU5" s="44"/>
      <c r="OV5" s="44"/>
      <c r="OW5" s="45"/>
      <c r="OX5" s="46" t="s">
        <v>8</v>
      </c>
      <c r="OY5" s="46"/>
      <c r="OZ5" s="46"/>
      <c r="PA5" s="44">
        <v>62291222</v>
      </c>
      <c r="PB5" s="45"/>
      <c r="PE5" s="47" t="s">
        <v>6</v>
      </c>
      <c r="PF5" s="48"/>
      <c r="PG5" s="49"/>
      <c r="PH5" s="43" t="s">
        <v>7</v>
      </c>
      <c r="PI5" s="44"/>
      <c r="PJ5" s="44"/>
      <c r="PK5" s="45"/>
      <c r="PL5" s="46" t="s">
        <v>8</v>
      </c>
      <c r="PM5" s="46"/>
      <c r="PN5" s="46"/>
      <c r="PO5" s="44">
        <v>62301222</v>
      </c>
      <c r="PP5" s="45"/>
      <c r="PS5" s="47" t="s">
        <v>6</v>
      </c>
      <c r="PT5" s="48"/>
      <c r="PU5" s="49"/>
      <c r="PV5" s="43" t="s">
        <v>7</v>
      </c>
      <c r="PW5" s="44"/>
      <c r="PX5" s="44"/>
      <c r="PY5" s="45"/>
      <c r="PZ5" s="46" t="s">
        <v>8</v>
      </c>
      <c r="QA5" s="46"/>
      <c r="QB5" s="46"/>
      <c r="QC5" s="44">
        <v>62020123</v>
      </c>
      <c r="QD5" s="45"/>
      <c r="QG5" s="47" t="s">
        <v>6</v>
      </c>
      <c r="QH5" s="48"/>
      <c r="QI5" s="49"/>
      <c r="QJ5" s="43" t="s">
        <v>7</v>
      </c>
      <c r="QK5" s="44"/>
      <c r="QL5" s="44"/>
      <c r="QM5" s="45"/>
      <c r="QN5" s="46" t="s">
        <v>8</v>
      </c>
      <c r="QO5" s="46"/>
      <c r="QP5" s="46"/>
      <c r="QQ5" s="44">
        <v>62030123</v>
      </c>
      <c r="QR5" s="45"/>
      <c r="QU5" s="47" t="s">
        <v>6</v>
      </c>
      <c r="QV5" s="48"/>
      <c r="QW5" s="49"/>
      <c r="QX5" s="43" t="s">
        <v>7</v>
      </c>
      <c r="QY5" s="44"/>
      <c r="QZ5" s="44"/>
      <c r="RA5" s="45"/>
      <c r="RB5" s="46" t="s">
        <v>8</v>
      </c>
      <c r="RC5" s="46"/>
      <c r="RD5" s="46"/>
      <c r="RE5" s="44">
        <v>62040123</v>
      </c>
      <c r="RF5" s="45"/>
      <c r="RI5" s="47" t="s">
        <v>6</v>
      </c>
      <c r="RJ5" s="48"/>
      <c r="RK5" s="49"/>
      <c r="RL5" s="43" t="s">
        <v>7</v>
      </c>
      <c r="RM5" s="44"/>
      <c r="RN5" s="44"/>
      <c r="RO5" s="45"/>
      <c r="RP5" s="46" t="s">
        <v>8</v>
      </c>
      <c r="RQ5" s="46"/>
      <c r="RR5" s="46"/>
      <c r="RS5" s="44">
        <v>620120123</v>
      </c>
      <c r="RT5" s="45"/>
      <c r="RW5" s="47" t="s">
        <v>6</v>
      </c>
      <c r="RX5" s="48"/>
      <c r="RY5" s="49"/>
      <c r="RZ5" s="43" t="s">
        <v>7</v>
      </c>
      <c r="SA5" s="44"/>
      <c r="SB5" s="44"/>
      <c r="SC5" s="45"/>
      <c r="SD5" s="46" t="s">
        <v>8</v>
      </c>
      <c r="SE5" s="46"/>
      <c r="SF5" s="46"/>
      <c r="SG5" s="44">
        <v>6217123</v>
      </c>
      <c r="SH5" s="45"/>
      <c r="SK5" s="47" t="s">
        <v>6</v>
      </c>
      <c r="SL5" s="48"/>
      <c r="SM5" s="49"/>
      <c r="SN5" s="43" t="s">
        <v>7</v>
      </c>
      <c r="SO5" s="44"/>
      <c r="SP5" s="44"/>
      <c r="SQ5" s="45"/>
      <c r="SR5" s="46" t="s">
        <v>8</v>
      </c>
      <c r="SS5" s="46"/>
      <c r="ST5" s="46"/>
      <c r="SU5" s="44">
        <v>6219123</v>
      </c>
      <c r="SV5" s="45"/>
      <c r="SY5" s="47" t="s">
        <v>6</v>
      </c>
      <c r="SZ5" s="48"/>
      <c r="TA5" s="49"/>
      <c r="TB5" s="43" t="s">
        <v>7</v>
      </c>
      <c r="TC5" s="44"/>
      <c r="TD5" s="44"/>
      <c r="TE5" s="45"/>
      <c r="TF5" s="46" t="s">
        <v>8</v>
      </c>
      <c r="TG5" s="46"/>
      <c r="TH5" s="46"/>
      <c r="TI5" s="44">
        <v>6224123</v>
      </c>
      <c r="TJ5" s="45"/>
      <c r="TM5" s="47" t="s">
        <v>6</v>
      </c>
      <c r="TN5" s="48"/>
      <c r="TO5" s="49"/>
      <c r="TP5" s="43" t="s">
        <v>7</v>
      </c>
      <c r="TQ5" s="44"/>
      <c r="TR5" s="44"/>
      <c r="TS5" s="45"/>
      <c r="TT5" s="46" t="s">
        <v>8</v>
      </c>
      <c r="TU5" s="46"/>
      <c r="TV5" s="46"/>
      <c r="TW5" s="44">
        <v>6225123</v>
      </c>
      <c r="TX5" s="45"/>
      <c r="UA5" s="47" t="s">
        <v>6</v>
      </c>
      <c r="UB5" s="48"/>
      <c r="UC5" s="49"/>
      <c r="UD5" s="43" t="s">
        <v>7</v>
      </c>
      <c r="UE5" s="44"/>
      <c r="UF5" s="44"/>
      <c r="UG5" s="45"/>
      <c r="UH5" s="46" t="s">
        <v>8</v>
      </c>
      <c r="UI5" s="46"/>
      <c r="UJ5" s="46"/>
      <c r="UK5" s="44">
        <v>6226123</v>
      </c>
      <c r="UL5" s="45"/>
      <c r="UO5" s="47" t="s">
        <v>6</v>
      </c>
      <c r="UP5" s="48"/>
      <c r="UQ5" s="49"/>
      <c r="UR5" s="43" t="s">
        <v>7</v>
      </c>
      <c r="US5" s="44"/>
      <c r="UT5" s="44"/>
      <c r="UU5" s="45"/>
      <c r="UV5" s="46" t="s">
        <v>8</v>
      </c>
      <c r="UW5" s="46"/>
      <c r="UX5" s="46"/>
      <c r="UY5" s="44">
        <v>6227123</v>
      </c>
      <c r="UZ5" s="45"/>
      <c r="VC5" s="47" t="s">
        <v>6</v>
      </c>
      <c r="VD5" s="48"/>
      <c r="VE5" s="49"/>
      <c r="VF5" s="43" t="s">
        <v>7</v>
      </c>
      <c r="VG5" s="44"/>
      <c r="VH5" s="44"/>
      <c r="VI5" s="45"/>
      <c r="VJ5" s="46" t="s">
        <v>8</v>
      </c>
      <c r="VK5" s="46"/>
      <c r="VL5" s="46"/>
      <c r="VM5" s="44">
        <v>6231123</v>
      </c>
      <c r="VN5" s="45"/>
      <c r="VQ5" s="47" t="s">
        <v>6</v>
      </c>
      <c r="VR5" s="48"/>
      <c r="VS5" s="49"/>
      <c r="VT5" s="43" t="s">
        <v>7</v>
      </c>
      <c r="VU5" s="44"/>
      <c r="VV5" s="44"/>
      <c r="VW5" s="45"/>
      <c r="VX5" s="46" t="s">
        <v>8</v>
      </c>
      <c r="VY5" s="46"/>
      <c r="VZ5" s="46"/>
      <c r="WA5" s="44">
        <v>621223</v>
      </c>
      <c r="WB5" s="45"/>
      <c r="WE5" s="47" t="s">
        <v>6</v>
      </c>
      <c r="WF5" s="48"/>
      <c r="WG5" s="49"/>
      <c r="WH5" s="43" t="s">
        <v>7</v>
      </c>
      <c r="WI5" s="44"/>
      <c r="WJ5" s="44"/>
      <c r="WK5" s="45"/>
      <c r="WL5" s="46" t="s">
        <v>8</v>
      </c>
      <c r="WM5" s="46"/>
      <c r="WN5" s="46"/>
      <c r="WO5" s="44">
        <v>622223</v>
      </c>
      <c r="WP5" s="45"/>
      <c r="WS5" s="47" t="s">
        <v>6</v>
      </c>
      <c r="WT5" s="48"/>
      <c r="WU5" s="49"/>
      <c r="WV5" s="43" t="s">
        <v>7</v>
      </c>
      <c r="WW5" s="44"/>
      <c r="WX5" s="44"/>
      <c r="WY5" s="45"/>
      <c r="WZ5" s="46" t="s">
        <v>8</v>
      </c>
      <c r="XA5" s="46"/>
      <c r="XB5" s="46"/>
      <c r="XC5" s="44">
        <v>623223</v>
      </c>
      <c r="XD5" s="45"/>
      <c r="XG5" s="47" t="s">
        <v>6</v>
      </c>
      <c r="XH5" s="48"/>
      <c r="XI5" s="49"/>
      <c r="XJ5" s="43" t="s">
        <v>7</v>
      </c>
      <c r="XK5" s="44"/>
      <c r="XL5" s="44"/>
      <c r="XM5" s="45"/>
      <c r="XN5" s="46" t="s">
        <v>8</v>
      </c>
      <c r="XO5" s="46"/>
      <c r="XP5" s="46"/>
      <c r="XQ5" s="44">
        <v>624223</v>
      </c>
      <c r="XR5" s="45"/>
      <c r="XU5" s="47" t="s">
        <v>6</v>
      </c>
      <c r="XV5" s="48"/>
      <c r="XW5" s="49"/>
      <c r="XX5" s="43" t="s">
        <v>7</v>
      </c>
      <c r="XY5" s="44"/>
      <c r="XZ5" s="44"/>
      <c r="YA5" s="45"/>
      <c r="YB5" s="46" t="s">
        <v>8</v>
      </c>
      <c r="YC5" s="46"/>
      <c r="YD5" s="46"/>
      <c r="YE5" s="44">
        <v>626223</v>
      </c>
      <c r="YF5" s="45"/>
      <c r="YI5" s="47" t="s">
        <v>6</v>
      </c>
      <c r="YJ5" s="48"/>
      <c r="YK5" s="49"/>
      <c r="YL5" s="43" t="s">
        <v>9</v>
      </c>
      <c r="YM5" s="44"/>
      <c r="YN5" s="44"/>
      <c r="YO5" s="45"/>
      <c r="YP5" s="46" t="s">
        <v>8</v>
      </c>
      <c r="YQ5" s="46"/>
      <c r="YR5" s="46"/>
      <c r="YS5" s="44">
        <v>628223</v>
      </c>
      <c r="YT5" s="45"/>
      <c r="YW5" s="47" t="s">
        <v>6</v>
      </c>
      <c r="YX5" s="48"/>
      <c r="YY5" s="49"/>
      <c r="YZ5" s="43" t="s">
        <v>10</v>
      </c>
      <c r="ZA5" s="44"/>
      <c r="ZB5" s="44"/>
      <c r="ZC5" s="45"/>
      <c r="ZD5" s="46" t="s">
        <v>8</v>
      </c>
      <c r="ZE5" s="46"/>
      <c r="ZF5" s="46"/>
      <c r="ZG5" s="44">
        <v>6222223</v>
      </c>
      <c r="ZH5" s="45"/>
      <c r="ZK5" s="47" t="s">
        <v>6</v>
      </c>
      <c r="ZL5" s="48"/>
      <c r="ZM5" s="49"/>
      <c r="ZN5" s="43" t="s">
        <v>9</v>
      </c>
      <c r="ZO5" s="44"/>
      <c r="ZP5" s="44"/>
      <c r="ZQ5" s="45"/>
      <c r="ZR5" s="46" t="s">
        <v>8</v>
      </c>
      <c r="ZS5" s="46"/>
      <c r="ZT5" s="46"/>
      <c r="ZU5" s="44">
        <v>6222223</v>
      </c>
      <c r="ZV5" s="45"/>
      <c r="ZZ5" s="50" t="s">
        <v>6</v>
      </c>
      <c r="AAA5" s="51"/>
      <c r="AAB5" s="52" t="s">
        <v>11</v>
      </c>
      <c r="AAC5" s="53"/>
      <c r="AAD5" s="54"/>
      <c r="AAE5" s="55" t="s">
        <v>12</v>
      </c>
      <c r="AAF5" s="56"/>
      <c r="AAG5" s="56"/>
      <c r="AAH5" s="57">
        <v>6225223</v>
      </c>
      <c r="AAI5" s="58"/>
      <c r="AAM5" s="50" t="s">
        <v>6</v>
      </c>
      <c r="AAN5" s="51"/>
      <c r="AAO5" s="52" t="s">
        <v>11</v>
      </c>
      <c r="AAP5" s="53"/>
      <c r="AAQ5" s="54"/>
      <c r="AAR5" s="55" t="s">
        <v>12</v>
      </c>
      <c r="AAS5" s="56"/>
      <c r="AAT5" s="56"/>
      <c r="AAU5" s="57">
        <v>6225223</v>
      </c>
      <c r="AAV5" s="58"/>
      <c r="AAZ5" s="50" t="s">
        <v>6</v>
      </c>
      <c r="ABA5" s="51"/>
      <c r="ABB5" s="52" t="s">
        <v>11</v>
      </c>
      <c r="ABC5" s="53"/>
      <c r="ABD5" s="54"/>
      <c r="ABE5" s="55" t="s">
        <v>12</v>
      </c>
      <c r="ABF5" s="56"/>
      <c r="ABG5" s="56"/>
      <c r="ABH5" s="57">
        <v>6225223</v>
      </c>
      <c r="ABI5" s="58"/>
      <c r="ABM5" s="50" t="s">
        <v>6</v>
      </c>
      <c r="ABN5" s="51"/>
      <c r="ABO5" s="52" t="s">
        <v>11</v>
      </c>
      <c r="ABP5" s="53"/>
      <c r="ABQ5" s="54"/>
      <c r="ABR5" s="55" t="s">
        <v>12</v>
      </c>
      <c r="ABS5" s="56"/>
      <c r="ABT5" s="56"/>
      <c r="ABU5" s="57">
        <v>623323</v>
      </c>
      <c r="ABV5" s="58"/>
      <c r="ABZ5" s="50" t="s">
        <v>6</v>
      </c>
      <c r="ACA5" s="51"/>
      <c r="ACB5" s="52" t="s">
        <v>11</v>
      </c>
      <c r="ACC5" s="53"/>
      <c r="ACD5" s="54"/>
      <c r="ACE5" s="55" t="s">
        <v>12</v>
      </c>
      <c r="ACF5" s="56"/>
      <c r="ACG5" s="56"/>
      <c r="ACH5" s="57">
        <v>624323</v>
      </c>
      <c r="ACI5" s="58"/>
      <c r="ACM5" s="50" t="s">
        <v>6</v>
      </c>
      <c r="ACN5" s="51"/>
      <c r="ACO5" s="52" t="s">
        <v>11</v>
      </c>
      <c r="ACP5" s="53"/>
      <c r="ACQ5" s="54"/>
      <c r="ACR5" s="55" t="s">
        <v>12</v>
      </c>
      <c r="ACS5" s="56"/>
      <c r="ACT5" s="56"/>
      <c r="ACU5" s="57">
        <v>626323</v>
      </c>
      <c r="ACV5" s="58"/>
      <c r="ACZ5" s="50" t="s">
        <v>6</v>
      </c>
      <c r="ADA5" s="51"/>
      <c r="ADB5" s="52" t="s">
        <v>11</v>
      </c>
      <c r="ADC5" s="53"/>
      <c r="ADD5" s="54"/>
      <c r="ADE5" s="55" t="s">
        <v>12</v>
      </c>
      <c r="ADF5" s="56"/>
      <c r="ADG5" s="56"/>
      <c r="ADH5" s="57">
        <v>726323</v>
      </c>
      <c r="ADI5" s="58"/>
      <c r="ADM5" s="50" t="s">
        <v>6</v>
      </c>
      <c r="ADN5" s="51"/>
      <c r="ADO5" s="52" t="s">
        <v>11</v>
      </c>
      <c r="ADP5" s="53"/>
      <c r="ADQ5" s="54"/>
      <c r="ADR5" s="55" t="s">
        <v>12</v>
      </c>
      <c r="ADS5" s="56"/>
      <c r="ADT5" s="56"/>
      <c r="ADU5" s="57">
        <v>629323</v>
      </c>
      <c r="ADV5" s="58"/>
      <c r="ADZ5" s="50" t="s">
        <v>6</v>
      </c>
      <c r="AEA5" s="51"/>
      <c r="AEB5" s="52" t="s">
        <v>11</v>
      </c>
      <c r="AEC5" s="53"/>
      <c r="AED5" s="54"/>
      <c r="AEE5" s="55" t="s">
        <v>12</v>
      </c>
      <c r="AEF5" s="56"/>
      <c r="AEG5" s="56"/>
      <c r="AEH5" s="57">
        <v>6210323</v>
      </c>
      <c r="AEI5" s="58"/>
      <c r="AEM5" s="50" t="s">
        <v>6</v>
      </c>
      <c r="AEN5" s="51"/>
      <c r="AEO5" s="52" t="s">
        <v>11</v>
      </c>
      <c r="AEP5" s="53"/>
      <c r="AEQ5" s="54"/>
      <c r="AER5" s="55" t="s">
        <v>12</v>
      </c>
      <c r="AES5" s="56"/>
      <c r="AET5" s="56"/>
      <c r="AEU5" s="57">
        <v>6213323</v>
      </c>
      <c r="AEV5" s="58"/>
      <c r="AEZ5" s="50" t="s">
        <v>6</v>
      </c>
      <c r="AFA5" s="51"/>
      <c r="AFB5" s="52" t="s">
        <v>11</v>
      </c>
      <c r="AFC5" s="53"/>
      <c r="AFD5" s="54"/>
      <c r="AFE5" s="55" t="s">
        <v>12</v>
      </c>
      <c r="AFF5" s="56"/>
      <c r="AFG5" s="56"/>
      <c r="AFH5" s="57">
        <v>6217323</v>
      </c>
      <c r="AFI5" s="58"/>
      <c r="AFM5" s="50" t="s">
        <v>6</v>
      </c>
      <c r="AFN5" s="51"/>
      <c r="AFO5" s="52" t="s">
        <v>11</v>
      </c>
      <c r="AFP5" s="53"/>
      <c r="AFQ5" s="54"/>
      <c r="AFR5" s="55" t="s">
        <v>12</v>
      </c>
      <c r="AFS5" s="56"/>
      <c r="AFT5" s="56"/>
      <c r="AFU5" s="57">
        <v>62122323</v>
      </c>
      <c r="AFV5" s="58"/>
      <c r="AFZ5" s="50" t="s">
        <v>6</v>
      </c>
      <c r="AGA5" s="51"/>
      <c r="AGB5" s="52" t="s">
        <v>11</v>
      </c>
      <c r="AGC5" s="53"/>
      <c r="AGD5" s="54"/>
      <c r="AGE5" s="55" t="s">
        <v>12</v>
      </c>
      <c r="AGF5" s="56"/>
      <c r="AGG5" s="56"/>
      <c r="AGH5" s="57">
        <v>62123323</v>
      </c>
      <c r="AGI5" s="58"/>
      <c r="AGL5" s="50" t="s">
        <v>6</v>
      </c>
      <c r="AGM5" s="51"/>
      <c r="AGN5" s="52" t="s">
        <v>11</v>
      </c>
      <c r="AGO5" s="53"/>
      <c r="AGP5" s="54"/>
      <c r="AGQ5" s="55" t="s">
        <v>12</v>
      </c>
      <c r="AGR5" s="56"/>
      <c r="AGS5" s="56"/>
      <c r="AGT5" s="57">
        <v>62127323</v>
      </c>
      <c r="AGU5" s="58"/>
      <c r="AGX5" s="50" t="s">
        <v>6</v>
      </c>
      <c r="AGY5" s="51"/>
      <c r="AGZ5" s="52" t="s">
        <v>11</v>
      </c>
      <c r="AHA5" s="53"/>
      <c r="AHB5" s="54"/>
      <c r="AHC5" s="55" t="s">
        <v>12</v>
      </c>
      <c r="AHD5" s="56"/>
      <c r="AHE5" s="56"/>
      <c r="AHF5" s="57">
        <v>621323</v>
      </c>
      <c r="AHG5" s="58"/>
      <c r="AHJ5" s="50" t="s">
        <v>6</v>
      </c>
      <c r="AHK5" s="51"/>
      <c r="AHL5" s="52" t="s">
        <v>11</v>
      </c>
      <c r="AHM5" s="53"/>
      <c r="AHN5" s="54"/>
      <c r="AHO5" s="55" t="s">
        <v>12</v>
      </c>
      <c r="AHP5" s="56"/>
      <c r="AHQ5" s="56"/>
      <c r="AHR5" s="57">
        <v>623423</v>
      </c>
      <c r="AHS5" s="58"/>
      <c r="AHV5" s="50" t="s">
        <v>6</v>
      </c>
      <c r="AHW5" s="51"/>
      <c r="AHX5" s="52" t="s">
        <v>11</v>
      </c>
      <c r="AHY5" s="53"/>
      <c r="AHZ5" s="54"/>
      <c r="AIA5" s="55" t="s">
        <v>12</v>
      </c>
      <c r="AIB5" s="56"/>
      <c r="AIC5" s="56"/>
      <c r="AID5" s="57">
        <v>625423</v>
      </c>
      <c r="AIE5" s="58"/>
      <c r="AIH5" s="50" t="s">
        <v>6</v>
      </c>
      <c r="AII5" s="51"/>
      <c r="AIJ5" s="52" t="s">
        <v>13</v>
      </c>
      <c r="AIK5" s="53"/>
      <c r="AIL5" s="54"/>
      <c r="AIM5" s="55" t="s">
        <v>12</v>
      </c>
      <c r="AIN5" s="56"/>
      <c r="AIO5" s="56"/>
      <c r="AIP5" s="57">
        <v>625423</v>
      </c>
      <c r="AIQ5" s="58"/>
      <c r="AIT5" s="50" t="s">
        <v>6</v>
      </c>
      <c r="AIU5" s="51"/>
      <c r="AIV5" s="52" t="s">
        <v>11</v>
      </c>
      <c r="AIW5" s="53"/>
      <c r="AIX5" s="54"/>
      <c r="AIY5" s="55" t="s">
        <v>12</v>
      </c>
      <c r="AIZ5" s="56"/>
      <c r="AJA5" s="56"/>
      <c r="AJB5" s="57">
        <v>6212423</v>
      </c>
      <c r="AJC5" s="58"/>
      <c r="AJF5" s="50" t="s">
        <v>6</v>
      </c>
      <c r="AJG5" s="51"/>
      <c r="AJH5" s="52" t="s">
        <v>11</v>
      </c>
      <c r="AJI5" s="53"/>
      <c r="AJJ5" s="54"/>
      <c r="AJK5" s="55" t="s">
        <v>12</v>
      </c>
      <c r="AJL5" s="56"/>
      <c r="AJM5" s="56"/>
      <c r="AJN5" s="57">
        <v>6214423</v>
      </c>
      <c r="AJO5" s="58"/>
      <c r="AJR5" s="50" t="s">
        <v>6</v>
      </c>
      <c r="AJS5" s="51"/>
      <c r="AJT5" s="52" t="s">
        <v>11</v>
      </c>
      <c r="AJU5" s="53"/>
      <c r="AJV5" s="54"/>
      <c r="AJW5" s="55" t="s">
        <v>12</v>
      </c>
      <c r="AJX5" s="56"/>
      <c r="AJY5" s="56"/>
      <c r="AJZ5" s="57">
        <v>6215423</v>
      </c>
      <c r="AKA5" s="58"/>
      <c r="AKD5" s="50" t="s">
        <v>6</v>
      </c>
      <c r="AKE5" s="51"/>
      <c r="AKF5" s="52" t="s">
        <v>11</v>
      </c>
      <c r="AKG5" s="53"/>
      <c r="AKH5" s="54"/>
      <c r="AKI5" s="55" t="s">
        <v>12</v>
      </c>
      <c r="AKJ5" s="56"/>
      <c r="AKK5" s="56"/>
      <c r="AKL5" s="57">
        <v>6219423</v>
      </c>
      <c r="AKM5" s="58"/>
      <c r="AKP5" s="50" t="s">
        <v>6</v>
      </c>
      <c r="AKQ5" s="51"/>
      <c r="AKR5" s="52" t="s">
        <v>11</v>
      </c>
      <c r="AKS5" s="53"/>
      <c r="AKT5" s="54"/>
      <c r="AKU5" s="55" t="s">
        <v>12</v>
      </c>
      <c r="AKV5" s="56"/>
      <c r="AKW5" s="56"/>
      <c r="AKX5" s="57">
        <v>6225423</v>
      </c>
      <c r="AKY5" s="58"/>
      <c r="ALB5" s="50" t="s">
        <v>6</v>
      </c>
      <c r="ALC5" s="51"/>
      <c r="ALD5" s="52" t="s">
        <v>11</v>
      </c>
      <c r="ALE5" s="53"/>
      <c r="ALF5" s="54"/>
      <c r="ALG5" s="55" t="s">
        <v>12</v>
      </c>
      <c r="ALH5" s="56"/>
      <c r="ALI5" s="56"/>
      <c r="ALJ5" s="57">
        <v>622523</v>
      </c>
      <c r="ALK5" s="58"/>
      <c r="ALN5" s="50" t="s">
        <v>6</v>
      </c>
      <c r="ALO5" s="51"/>
      <c r="ALP5" s="52" t="s">
        <v>11</v>
      </c>
      <c r="ALQ5" s="53"/>
      <c r="ALR5" s="54"/>
      <c r="ALS5" s="55" t="s">
        <v>12</v>
      </c>
      <c r="ALT5" s="56"/>
      <c r="ALU5" s="56"/>
      <c r="ALV5" s="57">
        <v>6218523</v>
      </c>
      <c r="ALW5" s="58"/>
      <c r="ALZ5" s="50" t="s">
        <v>6</v>
      </c>
      <c r="AMA5" s="51"/>
      <c r="AMB5" s="52" t="s">
        <v>11</v>
      </c>
      <c r="AMC5" s="53"/>
      <c r="AMD5" s="54"/>
      <c r="AME5" s="55" t="s">
        <v>12</v>
      </c>
      <c r="AMF5" s="56"/>
      <c r="AMG5" s="56"/>
      <c r="AMH5" s="57">
        <v>621523</v>
      </c>
      <c r="AMI5" s="58"/>
      <c r="AML5" s="50" t="s">
        <v>6</v>
      </c>
      <c r="AMM5" s="51"/>
      <c r="AMN5" s="52" t="s">
        <v>11</v>
      </c>
      <c r="AMO5" s="53"/>
      <c r="AMP5" s="54"/>
      <c r="AMQ5" s="55" t="s">
        <v>12</v>
      </c>
      <c r="AMR5" s="56"/>
      <c r="AMS5" s="56"/>
      <c r="AMT5" s="57">
        <v>6230623</v>
      </c>
      <c r="AMU5" s="58"/>
      <c r="AMX5" s="50" t="s">
        <v>6</v>
      </c>
      <c r="AMY5" s="51"/>
      <c r="AMZ5" s="52" t="s">
        <v>11</v>
      </c>
      <c r="ANA5" s="53"/>
      <c r="ANB5" s="54"/>
      <c r="ANC5" s="55" t="s">
        <v>12</v>
      </c>
      <c r="AND5" s="56"/>
      <c r="ANE5" s="56"/>
      <c r="ANF5" s="57">
        <v>626723</v>
      </c>
      <c r="ANG5" s="58"/>
      <c r="ANJ5" s="50" t="s">
        <v>6</v>
      </c>
      <c r="ANK5" s="51"/>
      <c r="ANL5" s="52" t="s">
        <v>11</v>
      </c>
      <c r="ANM5" s="53"/>
      <c r="ANN5" s="54"/>
      <c r="ANO5" s="55" t="s">
        <v>12</v>
      </c>
      <c r="ANP5" s="56"/>
      <c r="ANQ5" s="56"/>
      <c r="ANR5" s="57">
        <v>624823</v>
      </c>
      <c r="ANS5" s="58"/>
      <c r="ANV5" s="50" t="s">
        <v>6</v>
      </c>
      <c r="ANW5" s="51"/>
      <c r="ANX5" s="52" t="s">
        <v>11</v>
      </c>
      <c r="ANY5" s="53"/>
      <c r="ANZ5" s="54"/>
      <c r="AOA5" s="55" t="s">
        <v>12</v>
      </c>
      <c r="AOB5" s="56"/>
      <c r="AOC5" s="56"/>
      <c r="AOD5" s="57">
        <v>625823</v>
      </c>
      <c r="AOE5" s="58"/>
      <c r="AOH5" s="50" t="s">
        <v>6</v>
      </c>
      <c r="AOI5" s="51"/>
      <c r="AOJ5" s="52" t="s">
        <v>11</v>
      </c>
      <c r="AOK5" s="53"/>
      <c r="AOL5" s="54"/>
      <c r="AOM5" s="55" t="s">
        <v>12</v>
      </c>
      <c r="AON5" s="56"/>
      <c r="AOO5" s="56"/>
      <c r="AOP5" s="57">
        <v>629823</v>
      </c>
      <c r="AOQ5" s="58"/>
      <c r="AOT5" s="50" t="s">
        <v>6</v>
      </c>
      <c r="AOU5" s="51"/>
      <c r="AOV5" s="52" t="s">
        <v>11</v>
      </c>
      <c r="AOW5" s="53"/>
      <c r="AOX5" s="54"/>
      <c r="AOY5" s="55" t="s">
        <v>12</v>
      </c>
      <c r="AOZ5" s="56"/>
      <c r="APA5" s="56"/>
      <c r="APB5" s="57">
        <v>6210823</v>
      </c>
      <c r="APC5" s="58"/>
      <c r="APF5" s="50" t="s">
        <v>6</v>
      </c>
      <c r="APG5" s="51"/>
      <c r="APH5" s="52" t="s">
        <v>11</v>
      </c>
      <c r="API5" s="53"/>
      <c r="APJ5" s="54"/>
      <c r="APK5" s="55" t="s">
        <v>12</v>
      </c>
      <c r="APL5" s="56"/>
      <c r="APM5" s="56"/>
      <c r="APN5" s="57">
        <v>6212823</v>
      </c>
      <c r="APO5" s="58"/>
      <c r="APR5" s="50" t="s">
        <v>6</v>
      </c>
      <c r="APS5" s="51"/>
      <c r="APT5" s="52" t="s">
        <v>11</v>
      </c>
      <c r="APU5" s="53"/>
      <c r="APV5" s="54"/>
      <c r="APW5" s="55" t="s">
        <v>12</v>
      </c>
      <c r="APX5" s="56"/>
      <c r="APY5" s="56"/>
      <c r="APZ5" s="57">
        <v>6215823</v>
      </c>
      <c r="AQA5" s="58"/>
      <c r="AQD5" s="50" t="s">
        <v>6</v>
      </c>
      <c r="AQE5" s="51"/>
      <c r="AQF5" s="52" t="s">
        <v>11</v>
      </c>
      <c r="AQG5" s="53"/>
      <c r="AQH5" s="54"/>
      <c r="AQI5" s="55" t="s">
        <v>12</v>
      </c>
      <c r="AQJ5" s="56"/>
      <c r="AQK5" s="56"/>
      <c r="AQL5" s="57">
        <v>6216823</v>
      </c>
      <c r="AQM5" s="58"/>
      <c r="AQP5" s="50" t="s">
        <v>6</v>
      </c>
      <c r="AQQ5" s="51"/>
      <c r="AQR5" s="52" t="s">
        <v>11</v>
      </c>
      <c r="AQS5" s="53"/>
      <c r="AQT5" s="54"/>
      <c r="AQU5" s="55" t="s">
        <v>12</v>
      </c>
      <c r="AQV5" s="56"/>
      <c r="AQW5" s="56"/>
      <c r="AQX5" s="57">
        <v>6218823</v>
      </c>
      <c r="AQY5" s="58"/>
      <c r="ARB5" s="50" t="s">
        <v>6</v>
      </c>
      <c r="ARC5" s="51"/>
      <c r="ARD5" s="52" t="s">
        <v>11</v>
      </c>
      <c r="ARE5" s="53"/>
      <c r="ARF5" s="54"/>
      <c r="ARG5" s="55" t="s">
        <v>12</v>
      </c>
      <c r="ARH5" s="56"/>
      <c r="ARI5" s="56"/>
      <c r="ARJ5" s="57">
        <v>6223823</v>
      </c>
      <c r="ARK5" s="58"/>
      <c r="ARN5" s="50" t="s">
        <v>6</v>
      </c>
      <c r="ARO5" s="51"/>
      <c r="ARP5" s="52" t="s">
        <v>11</v>
      </c>
      <c r="ARQ5" s="53"/>
      <c r="ARR5" s="54"/>
      <c r="ARS5" s="55" t="s">
        <v>12</v>
      </c>
      <c r="ART5" s="56"/>
      <c r="ARU5" s="56"/>
      <c r="ARV5" s="57">
        <v>628923</v>
      </c>
      <c r="ARW5" s="58"/>
      <c r="ARZ5" s="50" t="s">
        <v>6</v>
      </c>
      <c r="ASA5" s="51"/>
      <c r="ASB5" s="52" t="s">
        <v>11</v>
      </c>
      <c r="ASC5" s="53"/>
      <c r="ASD5" s="54"/>
      <c r="ASE5" s="55" t="s">
        <v>12</v>
      </c>
      <c r="ASF5" s="56"/>
      <c r="ASG5" s="56"/>
      <c r="ASH5" s="57">
        <v>6222923</v>
      </c>
      <c r="ASI5" s="58"/>
      <c r="ASL5" s="50" t="s">
        <v>6</v>
      </c>
      <c r="ASM5" s="51"/>
      <c r="ASN5" s="52" t="s">
        <v>11</v>
      </c>
      <c r="ASO5" s="53"/>
      <c r="ASP5" s="54"/>
      <c r="ASQ5" s="55" t="s">
        <v>12</v>
      </c>
      <c r="ASR5" s="56"/>
      <c r="ASS5" s="56"/>
      <c r="AST5" s="57">
        <v>6225923</v>
      </c>
      <c r="ASU5" s="58"/>
      <c r="ASX5" s="50" t="s">
        <v>6</v>
      </c>
      <c r="ASY5" s="51"/>
      <c r="ASZ5" s="52" t="s">
        <v>11</v>
      </c>
      <c r="ATA5" s="53"/>
      <c r="ATB5" s="54"/>
      <c r="ATC5" s="55" t="s">
        <v>12</v>
      </c>
      <c r="ATD5" s="56"/>
      <c r="ATE5" s="56"/>
      <c r="ATF5" s="57">
        <v>6227923</v>
      </c>
      <c r="ATG5" s="58"/>
      <c r="ATJ5" s="50" t="s">
        <v>6</v>
      </c>
      <c r="ATK5" s="51"/>
      <c r="ATL5" s="52" t="s">
        <v>11</v>
      </c>
      <c r="ATM5" s="53"/>
      <c r="ATN5" s="54"/>
      <c r="ATO5" s="55" t="s">
        <v>12</v>
      </c>
      <c r="ATP5" s="56"/>
      <c r="ATQ5" s="56"/>
      <c r="ATR5" s="57">
        <v>6231023</v>
      </c>
      <c r="ATS5" s="58"/>
      <c r="ATV5" s="50" t="s">
        <v>6</v>
      </c>
      <c r="ATW5" s="51"/>
      <c r="ATX5" s="52" t="s">
        <v>11</v>
      </c>
      <c r="ATY5" s="53"/>
      <c r="ATZ5" s="54"/>
      <c r="AUA5" s="55" t="s">
        <v>12</v>
      </c>
      <c r="AUB5" s="56"/>
      <c r="AUC5" s="56"/>
      <c r="AUD5" s="57">
        <v>6271023</v>
      </c>
      <c r="AUE5" s="58"/>
      <c r="AUH5" s="50" t="s">
        <v>6</v>
      </c>
      <c r="AUI5" s="51"/>
      <c r="AUJ5" s="52" t="s">
        <v>11</v>
      </c>
      <c r="AUK5" s="53"/>
      <c r="AUL5" s="54"/>
      <c r="AUM5" s="55" t="s">
        <v>12</v>
      </c>
      <c r="AUN5" s="56"/>
      <c r="AUO5" s="56"/>
      <c r="AUP5" s="57">
        <v>6291023</v>
      </c>
      <c r="AUQ5" s="58"/>
      <c r="AUT5" s="50" t="s">
        <v>6</v>
      </c>
      <c r="AUU5" s="51"/>
      <c r="AUV5" s="52" t="s">
        <v>11</v>
      </c>
      <c r="AUW5" s="53"/>
      <c r="AUX5" s="54"/>
      <c r="AUY5" s="55" t="s">
        <v>12</v>
      </c>
      <c r="AUZ5" s="56"/>
      <c r="AVA5" s="56"/>
      <c r="AVB5" s="57">
        <v>62121023</v>
      </c>
      <c r="AVC5" s="58"/>
      <c r="AVF5" s="50" t="s">
        <v>6</v>
      </c>
      <c r="AVG5" s="51"/>
      <c r="AVH5" s="52" t="s">
        <v>11</v>
      </c>
      <c r="AVI5" s="53"/>
      <c r="AVJ5" s="54"/>
      <c r="AVK5" s="55" t="s">
        <v>12</v>
      </c>
      <c r="AVL5" s="56"/>
      <c r="AVM5" s="56"/>
      <c r="AVN5" s="57">
        <v>6221123</v>
      </c>
      <c r="AVO5" s="58"/>
      <c r="AVR5" s="50" t="s">
        <v>6</v>
      </c>
      <c r="AVS5" s="51"/>
      <c r="AVT5" s="52" t="s">
        <v>11</v>
      </c>
      <c r="AVU5" s="53"/>
      <c r="AVV5" s="54"/>
      <c r="AVW5" s="55" t="s">
        <v>12</v>
      </c>
      <c r="AVX5" s="56"/>
      <c r="AVY5" s="56"/>
      <c r="AVZ5" s="57">
        <v>6281123</v>
      </c>
      <c r="AWA5" s="58"/>
      <c r="AWD5" s="50" t="s">
        <v>6</v>
      </c>
      <c r="AWE5" s="51"/>
      <c r="AWF5" s="52" t="s">
        <v>11</v>
      </c>
      <c r="AWG5" s="53"/>
      <c r="AWH5" s="54"/>
      <c r="AWI5" s="55" t="s">
        <v>12</v>
      </c>
      <c r="AWJ5" s="56"/>
      <c r="AWK5" s="56"/>
      <c r="AWL5" s="57">
        <v>62101123</v>
      </c>
      <c r="AWM5" s="58"/>
      <c r="AWP5" s="50" t="s">
        <v>6</v>
      </c>
      <c r="AWQ5" s="51"/>
      <c r="AWR5" s="52" t="s">
        <v>11</v>
      </c>
      <c r="AWS5" s="53"/>
      <c r="AWT5" s="54"/>
      <c r="AWU5" s="55" t="s">
        <v>12</v>
      </c>
      <c r="AWV5" s="56"/>
      <c r="AWW5" s="56"/>
      <c r="AWX5" s="57">
        <v>62141123</v>
      </c>
      <c r="AWY5" s="58"/>
      <c r="AXB5" s="50" t="s">
        <v>6</v>
      </c>
      <c r="AXC5" s="51"/>
      <c r="AXD5" s="52" t="s">
        <v>11</v>
      </c>
      <c r="AXE5" s="53"/>
      <c r="AXF5" s="54"/>
      <c r="AXG5" s="55" t="s">
        <v>12</v>
      </c>
      <c r="AXH5" s="56"/>
      <c r="AXI5" s="56"/>
      <c r="AXJ5" s="57">
        <v>62151123</v>
      </c>
      <c r="AXK5" s="58"/>
      <c r="AXN5" s="50" t="s">
        <v>6</v>
      </c>
      <c r="AXO5" s="51"/>
      <c r="AXP5" s="52" t="s">
        <v>11</v>
      </c>
      <c r="AXQ5" s="53"/>
      <c r="AXR5" s="54"/>
      <c r="AXS5" s="55" t="s">
        <v>12</v>
      </c>
      <c r="AXT5" s="56"/>
      <c r="AXU5" s="56"/>
      <c r="AXV5" s="57">
        <v>62181123</v>
      </c>
      <c r="AXW5" s="58"/>
      <c r="AXZ5" s="50" t="s">
        <v>6</v>
      </c>
      <c r="AYA5" s="51"/>
      <c r="AYB5" s="52" t="s">
        <v>11</v>
      </c>
      <c r="AYC5" s="53"/>
      <c r="AYD5" s="54"/>
      <c r="AYE5" s="55" t="s">
        <v>12</v>
      </c>
      <c r="AYF5" s="56"/>
      <c r="AYG5" s="56"/>
      <c r="AYH5" s="57">
        <v>62221123</v>
      </c>
      <c r="AYI5" s="58"/>
      <c r="AYL5" s="50" t="s">
        <v>6</v>
      </c>
      <c r="AYM5" s="51"/>
      <c r="AYN5" s="52" t="s">
        <v>11</v>
      </c>
      <c r="AYO5" s="53"/>
      <c r="AYP5" s="54"/>
      <c r="AYQ5" s="55" t="s">
        <v>12</v>
      </c>
      <c r="AYR5" s="56"/>
      <c r="AYS5" s="56"/>
      <c r="AYT5" s="57">
        <v>62321123</v>
      </c>
      <c r="AYU5" s="58"/>
      <c r="AYX5" s="50" t="s">
        <v>6</v>
      </c>
      <c r="AYY5" s="51"/>
      <c r="AYZ5" s="52" t="s">
        <v>11</v>
      </c>
      <c r="AZA5" s="53"/>
      <c r="AZB5" s="54"/>
      <c r="AZC5" s="55" t="s">
        <v>12</v>
      </c>
      <c r="AZD5" s="56"/>
      <c r="AZE5" s="56"/>
      <c r="AZF5" s="57">
        <v>62241123</v>
      </c>
      <c r="AZG5" s="58"/>
      <c r="AZJ5" s="50" t="s">
        <v>6</v>
      </c>
      <c r="AZK5" s="51"/>
      <c r="AZL5" s="52" t="s">
        <v>11</v>
      </c>
      <c r="AZM5" s="53"/>
      <c r="AZN5" s="54"/>
      <c r="AZO5" s="55" t="s">
        <v>12</v>
      </c>
      <c r="AZP5" s="56"/>
      <c r="AZQ5" s="56"/>
      <c r="AZR5" s="57">
        <v>62301123</v>
      </c>
      <c r="AZS5" s="58"/>
      <c r="AZV5" s="50" t="s">
        <v>6</v>
      </c>
      <c r="AZW5" s="51"/>
      <c r="AZX5" s="52" t="s">
        <v>11</v>
      </c>
      <c r="AZY5" s="53"/>
      <c r="AZZ5" s="54"/>
      <c r="BAA5" s="55" t="s">
        <v>12</v>
      </c>
      <c r="BAB5" s="56"/>
      <c r="BAC5" s="56"/>
      <c r="BAD5" s="57">
        <v>6211223</v>
      </c>
      <c r="BAE5" s="58"/>
      <c r="BAH5" s="50" t="s">
        <v>6</v>
      </c>
      <c r="BAI5" s="51"/>
      <c r="BAJ5" s="52" t="s">
        <v>11</v>
      </c>
      <c r="BAK5" s="53"/>
      <c r="BAL5" s="54"/>
      <c r="BAM5" s="55" t="s">
        <v>12</v>
      </c>
      <c r="BAN5" s="56"/>
      <c r="BAO5" s="56"/>
      <c r="BAP5" s="57">
        <v>6221223</v>
      </c>
      <c r="BAQ5" s="58"/>
      <c r="BAT5" s="50" t="s">
        <v>6</v>
      </c>
      <c r="BAU5" s="51"/>
      <c r="BAV5" s="52" t="s">
        <v>11</v>
      </c>
      <c r="BAW5" s="53"/>
      <c r="BAX5" s="54"/>
      <c r="BAY5" s="55" t="s">
        <v>12</v>
      </c>
      <c r="BAZ5" s="56"/>
      <c r="BBA5" s="56"/>
      <c r="BBB5" s="57">
        <v>6241223</v>
      </c>
      <c r="BBC5" s="58"/>
      <c r="BBF5" s="50" t="s">
        <v>6</v>
      </c>
      <c r="BBG5" s="51"/>
      <c r="BBH5" s="52" t="s">
        <v>11</v>
      </c>
      <c r="BBI5" s="53"/>
      <c r="BBJ5" s="54"/>
      <c r="BBK5" s="55" t="s">
        <v>12</v>
      </c>
      <c r="BBL5" s="56"/>
      <c r="BBM5" s="56"/>
      <c r="BBN5" s="57">
        <v>6261223</v>
      </c>
      <c r="BBO5" s="58"/>
      <c r="BBR5" s="50" t="s">
        <v>6</v>
      </c>
      <c r="BBS5" s="51"/>
      <c r="BBT5" s="52" t="s">
        <v>11</v>
      </c>
      <c r="BBU5" s="53"/>
      <c r="BBV5" s="54"/>
      <c r="BBW5" s="55" t="s">
        <v>12</v>
      </c>
      <c r="BBX5" s="56"/>
      <c r="BBY5" s="56"/>
      <c r="BBZ5" s="57">
        <v>62121223</v>
      </c>
      <c r="BCA5" s="58"/>
      <c r="BCD5" s="50" t="s">
        <v>6</v>
      </c>
      <c r="BCE5" s="51"/>
      <c r="BCF5" s="52" t="s">
        <v>11</v>
      </c>
      <c r="BCG5" s="53"/>
      <c r="BCH5" s="54"/>
      <c r="BCI5" s="55" t="s">
        <v>12</v>
      </c>
      <c r="BCJ5" s="56"/>
      <c r="BCK5" s="56"/>
      <c r="BCL5" s="57">
        <v>62151223</v>
      </c>
      <c r="BCM5" s="58"/>
      <c r="BCP5" s="50" t="s">
        <v>6</v>
      </c>
      <c r="BCQ5" s="51"/>
      <c r="BCR5" s="52" t="s">
        <v>11</v>
      </c>
      <c r="BCS5" s="53"/>
      <c r="BCT5" s="54"/>
      <c r="BCU5" s="55" t="s">
        <v>12</v>
      </c>
      <c r="BCV5" s="56"/>
      <c r="BCW5" s="56"/>
      <c r="BCX5" s="57">
        <v>62221223</v>
      </c>
      <c r="BCY5" s="58"/>
      <c r="BDB5" s="50" t="s">
        <v>6</v>
      </c>
      <c r="BDC5" s="51"/>
      <c r="BDD5" s="52" t="s">
        <v>11</v>
      </c>
      <c r="BDE5" s="53"/>
      <c r="BDF5" s="54"/>
      <c r="BDG5" s="55" t="s">
        <v>12</v>
      </c>
      <c r="BDH5" s="56"/>
      <c r="BDI5" s="56"/>
      <c r="BDJ5" s="57">
        <v>62621223</v>
      </c>
      <c r="BDK5" s="58"/>
      <c r="BDN5" s="50" t="s">
        <v>6</v>
      </c>
      <c r="BDO5" s="51"/>
      <c r="BDP5" s="52" t="s">
        <v>11</v>
      </c>
      <c r="BDQ5" s="53"/>
      <c r="BDR5" s="54"/>
      <c r="BDS5" s="55" t="s">
        <v>12</v>
      </c>
      <c r="BDT5" s="56"/>
      <c r="BDU5" s="56"/>
      <c r="BDV5" s="57">
        <v>62610124</v>
      </c>
      <c r="BDW5" s="58"/>
      <c r="BDZ5" s="50" t="s">
        <v>6</v>
      </c>
      <c r="BEA5" s="51"/>
      <c r="BEB5" s="52" t="s">
        <v>11</v>
      </c>
      <c r="BEC5" s="53"/>
      <c r="BED5" s="54"/>
      <c r="BEE5" s="55" t="s">
        <v>12</v>
      </c>
      <c r="BEF5" s="56"/>
      <c r="BEG5" s="56"/>
      <c r="BEH5" s="57">
        <v>62611124</v>
      </c>
      <c r="BEI5" s="58"/>
      <c r="BEL5" s="50" t="s">
        <v>6</v>
      </c>
      <c r="BEM5" s="51"/>
      <c r="BEN5" s="52" t="s">
        <v>11</v>
      </c>
      <c r="BEO5" s="53"/>
      <c r="BEP5" s="54"/>
      <c r="BEQ5" s="55" t="s">
        <v>12</v>
      </c>
      <c r="BER5" s="56"/>
      <c r="BES5" s="56"/>
      <c r="BET5" s="57">
        <v>62612124</v>
      </c>
      <c r="BEU5" s="58"/>
      <c r="BEX5" s="50" t="s">
        <v>6</v>
      </c>
      <c r="BEY5" s="51"/>
      <c r="BEZ5" s="52" t="s">
        <v>11</v>
      </c>
      <c r="BFA5" s="53"/>
      <c r="BFB5" s="54"/>
      <c r="BFC5" s="55" t="s">
        <v>12</v>
      </c>
      <c r="BFD5" s="56"/>
      <c r="BFE5" s="56"/>
      <c r="BFF5" s="57">
        <v>62619124</v>
      </c>
      <c r="BFG5" s="58"/>
      <c r="BFJ5" s="50" t="s">
        <v>6</v>
      </c>
      <c r="BFK5" s="51"/>
      <c r="BFL5" s="52" t="s">
        <v>11</v>
      </c>
      <c r="BFM5" s="53"/>
      <c r="BFN5" s="54"/>
      <c r="BFO5" s="55" t="s">
        <v>12</v>
      </c>
      <c r="BFP5" s="56"/>
      <c r="BFQ5" s="56"/>
      <c r="BFR5" s="57">
        <v>62623124</v>
      </c>
      <c r="BFS5" s="58"/>
      <c r="BFV5" s="50" t="s">
        <v>6</v>
      </c>
      <c r="BFW5" s="51"/>
      <c r="BFX5" s="52" t="s">
        <v>11</v>
      </c>
      <c r="BFY5" s="53"/>
      <c r="BFZ5" s="54"/>
      <c r="BGA5" s="55" t="s">
        <v>12</v>
      </c>
      <c r="BGB5" s="56"/>
      <c r="BGC5" s="56"/>
      <c r="BGD5" s="57">
        <v>62626124</v>
      </c>
      <c r="BGE5" s="58"/>
      <c r="BGH5" s="50" t="s">
        <v>6</v>
      </c>
      <c r="BGI5" s="51"/>
      <c r="BGJ5" s="52" t="s">
        <v>11</v>
      </c>
      <c r="BGK5" s="53"/>
      <c r="BGL5" s="54"/>
      <c r="BGM5" s="55" t="s">
        <v>12</v>
      </c>
      <c r="BGN5" s="56"/>
      <c r="BGO5" s="56"/>
      <c r="BGP5" s="57">
        <v>621224</v>
      </c>
      <c r="BGQ5" s="58"/>
      <c r="BGT5" s="50" t="s">
        <v>6</v>
      </c>
      <c r="BGU5" s="51"/>
      <c r="BGV5" s="52" t="s">
        <v>11</v>
      </c>
      <c r="BGW5" s="53"/>
      <c r="BGX5" s="54"/>
      <c r="BGY5" s="55" t="s">
        <v>12</v>
      </c>
      <c r="BGZ5" s="56"/>
      <c r="BHA5" s="56"/>
      <c r="BHB5" s="57">
        <v>6216224</v>
      </c>
      <c r="BHC5" s="58"/>
      <c r="BHF5" s="50" t="s">
        <v>6</v>
      </c>
      <c r="BHG5" s="51"/>
      <c r="BHH5" s="52" t="s">
        <v>11</v>
      </c>
      <c r="BHI5" s="53"/>
      <c r="BHJ5" s="54"/>
      <c r="BHK5" s="55" t="s">
        <v>12</v>
      </c>
      <c r="BHL5" s="56"/>
      <c r="BHM5" s="56"/>
      <c r="BHN5" s="57">
        <v>6217224</v>
      </c>
      <c r="BHO5" s="58"/>
      <c r="BHR5" s="50" t="s">
        <v>6</v>
      </c>
      <c r="BHS5" s="51"/>
      <c r="BHT5" s="52" t="s">
        <v>11</v>
      </c>
      <c r="BHU5" s="53"/>
      <c r="BHV5" s="54"/>
      <c r="BHW5" s="55" t="s">
        <v>12</v>
      </c>
      <c r="BHX5" s="56"/>
      <c r="BHY5" s="56"/>
      <c r="BHZ5" s="57">
        <v>6228224</v>
      </c>
      <c r="BIA5" s="58"/>
      <c r="BID5" s="50" t="s">
        <v>6</v>
      </c>
      <c r="BIE5" s="51"/>
      <c r="BIF5" s="52" t="s">
        <v>11</v>
      </c>
      <c r="BIG5" s="53"/>
      <c r="BIH5" s="54"/>
      <c r="BII5" s="55" t="s">
        <v>12</v>
      </c>
      <c r="BIJ5" s="56"/>
      <c r="BIK5" s="56"/>
      <c r="BIL5" s="57">
        <v>6218324</v>
      </c>
      <c r="BIM5" s="58"/>
      <c r="BIP5" s="50" t="s">
        <v>6</v>
      </c>
      <c r="BIQ5" s="51"/>
      <c r="BIR5" s="52" t="s">
        <v>11</v>
      </c>
      <c r="BIS5" s="53"/>
      <c r="BIT5" s="54"/>
      <c r="BIU5" s="55" t="s">
        <v>12</v>
      </c>
      <c r="BIV5" s="56"/>
      <c r="BIW5" s="56"/>
      <c r="BIX5" s="57">
        <v>6221324</v>
      </c>
      <c r="BIY5" s="58"/>
      <c r="BJB5" s="50" t="s">
        <v>6</v>
      </c>
      <c r="BJC5" s="51"/>
      <c r="BJD5" s="52" t="s">
        <v>11</v>
      </c>
      <c r="BJE5" s="53"/>
      <c r="BJF5" s="54"/>
      <c r="BJG5" s="55" t="s">
        <v>12</v>
      </c>
      <c r="BJH5" s="56"/>
      <c r="BJI5" s="56"/>
      <c r="BJJ5" s="57">
        <v>6222324</v>
      </c>
      <c r="BJK5" s="58"/>
      <c r="BJN5" s="50" t="s">
        <v>6</v>
      </c>
      <c r="BJO5" s="51"/>
      <c r="BJP5" s="52" t="s">
        <v>11</v>
      </c>
      <c r="BJQ5" s="53"/>
      <c r="BJR5" s="54"/>
      <c r="BJS5" s="55" t="s">
        <v>12</v>
      </c>
      <c r="BJT5" s="56"/>
      <c r="BJU5" s="56"/>
      <c r="BJV5" s="57">
        <v>6223324</v>
      </c>
      <c r="BJW5" s="58"/>
      <c r="BJZ5" s="50" t="s">
        <v>6</v>
      </c>
      <c r="BKA5" s="51"/>
      <c r="BKB5" s="52" t="s">
        <v>11</v>
      </c>
      <c r="BKC5" s="53"/>
      <c r="BKD5" s="54"/>
      <c r="BKE5" s="55" t="s">
        <v>12</v>
      </c>
      <c r="BKF5" s="56"/>
      <c r="BKG5" s="56"/>
      <c r="BKH5" s="57">
        <v>6226324</v>
      </c>
      <c r="BKI5" s="58"/>
      <c r="BKL5" s="50" t="s">
        <v>6</v>
      </c>
      <c r="BKM5" s="51"/>
      <c r="BKN5" s="52" t="s">
        <v>11</v>
      </c>
      <c r="BKO5" s="53"/>
      <c r="BKP5" s="54"/>
      <c r="BKQ5" s="55" t="s">
        <v>12</v>
      </c>
      <c r="BKR5" s="56"/>
      <c r="BKS5" s="56"/>
      <c r="BKT5" s="57">
        <v>6211424</v>
      </c>
      <c r="BKU5" s="58"/>
      <c r="BKX5" s="50" t="s">
        <v>6</v>
      </c>
      <c r="BKY5" s="51"/>
      <c r="BKZ5" s="52" t="s">
        <v>11</v>
      </c>
      <c r="BLA5" s="53"/>
      <c r="BLB5" s="54"/>
      <c r="BLC5" s="55" t="s">
        <v>12</v>
      </c>
      <c r="BLD5" s="56"/>
      <c r="BLE5" s="56"/>
      <c r="BLF5" s="57">
        <v>6212424</v>
      </c>
      <c r="BLG5" s="58"/>
      <c r="BLJ5" s="50" t="s">
        <v>6</v>
      </c>
      <c r="BLK5" s="51"/>
      <c r="BLL5" s="52" t="s">
        <v>11</v>
      </c>
      <c r="BLM5" s="53"/>
      <c r="BLN5" s="54"/>
      <c r="BLO5" s="55" t="s">
        <v>12</v>
      </c>
      <c r="BLP5" s="56"/>
      <c r="BLQ5" s="56"/>
      <c r="BLR5" s="57">
        <v>6213424</v>
      </c>
      <c r="BLS5" s="58"/>
      <c r="BLV5" s="50" t="s">
        <v>6</v>
      </c>
      <c r="BLW5" s="51"/>
      <c r="BLX5" s="52" t="s">
        <v>11</v>
      </c>
      <c r="BLY5" s="53"/>
      <c r="BLZ5" s="54"/>
      <c r="BMA5" s="55" t="s">
        <v>12</v>
      </c>
      <c r="BMB5" s="56"/>
      <c r="BMC5" s="56"/>
      <c r="BMD5" s="57">
        <v>6214424</v>
      </c>
      <c r="BME5" s="58"/>
      <c r="BMH5" s="50" t="s">
        <v>6</v>
      </c>
      <c r="BMI5" s="51"/>
      <c r="BMJ5" s="52" t="s">
        <v>11</v>
      </c>
      <c r="BMK5" s="53"/>
      <c r="BML5" s="54"/>
      <c r="BMM5" s="55" t="s">
        <v>12</v>
      </c>
      <c r="BMN5" s="56"/>
      <c r="BMO5" s="56"/>
      <c r="BMP5" s="57">
        <v>6215424</v>
      </c>
      <c r="BMQ5" s="58"/>
      <c r="BMT5" s="50" t="s">
        <v>6</v>
      </c>
      <c r="BMU5" s="51"/>
      <c r="BMV5" s="52" t="s">
        <v>11</v>
      </c>
      <c r="BMW5" s="53"/>
      <c r="BMX5" s="54"/>
      <c r="BMY5" s="55" t="s">
        <v>12</v>
      </c>
      <c r="BMZ5" s="56"/>
      <c r="BNA5" s="56"/>
      <c r="BNB5" s="57">
        <v>6219424</v>
      </c>
      <c r="BNC5" s="58"/>
      <c r="BNF5" s="50" t="s">
        <v>6</v>
      </c>
      <c r="BNG5" s="51"/>
      <c r="BNH5" s="52" t="s">
        <v>11</v>
      </c>
      <c r="BNI5" s="53"/>
      <c r="BNJ5" s="54"/>
      <c r="BNK5" s="55" t="s">
        <v>12</v>
      </c>
      <c r="BNL5" s="56"/>
      <c r="BNM5" s="56"/>
      <c r="BNN5" s="57">
        <v>6223424</v>
      </c>
      <c r="BNO5" s="58"/>
      <c r="BNR5" s="50" t="s">
        <v>6</v>
      </c>
      <c r="BNS5" s="51"/>
      <c r="BNT5" s="52" t="s">
        <v>11</v>
      </c>
      <c r="BNU5" s="53"/>
      <c r="BNV5" s="54"/>
      <c r="BNW5" s="55" t="s">
        <v>12</v>
      </c>
      <c r="BNX5" s="56"/>
      <c r="BNY5" s="56"/>
      <c r="BNZ5" s="57">
        <v>62250424</v>
      </c>
      <c r="BOA5" s="58"/>
      <c r="BOD5" s="50" t="s">
        <v>6</v>
      </c>
      <c r="BOE5" s="51"/>
      <c r="BOF5" s="52" t="s">
        <v>11</v>
      </c>
      <c r="BOG5" s="53"/>
      <c r="BOH5" s="54"/>
      <c r="BOI5" s="55" t="s">
        <v>12</v>
      </c>
      <c r="BOJ5" s="56"/>
      <c r="BOK5" s="56"/>
      <c r="BOL5" s="57">
        <v>62270424</v>
      </c>
      <c r="BOM5" s="58"/>
      <c r="BOP5" s="50" t="s">
        <v>6</v>
      </c>
      <c r="BOQ5" s="51"/>
      <c r="BOR5" s="52" t="s">
        <v>11</v>
      </c>
      <c r="BOS5" s="53"/>
      <c r="BOT5" s="54"/>
      <c r="BOU5" s="55" t="s">
        <v>12</v>
      </c>
      <c r="BOV5" s="56"/>
      <c r="BOW5" s="56"/>
      <c r="BOX5" s="57">
        <v>62290424</v>
      </c>
      <c r="BOY5" s="58"/>
      <c r="BPB5" s="50" t="s">
        <v>6</v>
      </c>
      <c r="BPC5" s="51"/>
      <c r="BPD5" s="52" t="s">
        <v>11</v>
      </c>
      <c r="BPE5" s="53"/>
      <c r="BPF5" s="54"/>
      <c r="BPG5" s="55" t="s">
        <v>12</v>
      </c>
      <c r="BPH5" s="56"/>
      <c r="BPI5" s="56"/>
      <c r="BPJ5" s="57">
        <v>62100524</v>
      </c>
      <c r="BPK5" s="58"/>
      <c r="BPN5" s="50" t="s">
        <v>6</v>
      </c>
      <c r="BPO5" s="51"/>
      <c r="BPP5" s="52" t="s">
        <v>11</v>
      </c>
      <c r="BPQ5" s="53"/>
      <c r="BPR5" s="54"/>
      <c r="BPS5" s="55" t="s">
        <v>12</v>
      </c>
      <c r="BPT5" s="56"/>
      <c r="BPU5" s="56"/>
      <c r="BPV5" s="57">
        <v>62170524</v>
      </c>
      <c r="BPW5" s="58"/>
      <c r="BPZ5" s="50" t="s">
        <v>6</v>
      </c>
      <c r="BQA5" s="51"/>
      <c r="BQB5" s="52" t="s">
        <v>11</v>
      </c>
      <c r="BQC5" s="53"/>
      <c r="BQD5" s="54"/>
      <c r="BQE5" s="55" t="s">
        <v>12</v>
      </c>
      <c r="BQF5" s="56"/>
      <c r="BQG5" s="56"/>
      <c r="BQH5" s="57">
        <v>62220524</v>
      </c>
      <c r="BQI5" s="58"/>
      <c r="BQL5" s="50" t="s">
        <v>6</v>
      </c>
      <c r="BQM5" s="51"/>
      <c r="BQN5" s="52" t="s">
        <v>11</v>
      </c>
      <c r="BQO5" s="53"/>
      <c r="BQP5" s="54"/>
      <c r="BQQ5" s="55" t="s">
        <v>12</v>
      </c>
      <c r="BQR5" s="56"/>
      <c r="BQS5" s="56"/>
      <c r="BQT5" s="57">
        <v>62230524</v>
      </c>
      <c r="BQU5" s="58"/>
      <c r="BQX5" s="50" t="s">
        <v>6</v>
      </c>
      <c r="BQY5" s="51"/>
      <c r="BQZ5" s="52" t="s">
        <v>11</v>
      </c>
      <c r="BRA5" s="53"/>
      <c r="BRB5" s="54"/>
      <c r="BRC5" s="55" t="s">
        <v>12</v>
      </c>
      <c r="BRD5" s="56"/>
      <c r="BRE5" s="56"/>
      <c r="BRF5" s="57">
        <v>62300524</v>
      </c>
      <c r="BRG5" s="58"/>
      <c r="BRJ5" s="50" t="s">
        <v>6</v>
      </c>
      <c r="BRK5" s="51"/>
      <c r="BRL5" s="52" t="s">
        <v>11</v>
      </c>
      <c r="BRM5" s="53"/>
      <c r="BRN5" s="54"/>
      <c r="BRO5" s="55" t="s">
        <v>12</v>
      </c>
      <c r="BRP5" s="56"/>
      <c r="BRQ5" s="56"/>
      <c r="BRR5" s="57">
        <v>6201062024</v>
      </c>
      <c r="BRS5" s="58"/>
      <c r="BRV5" s="50" t="s">
        <v>6</v>
      </c>
      <c r="BRW5" s="51"/>
      <c r="BRX5" s="52" t="s">
        <v>11</v>
      </c>
      <c r="BRY5" s="53"/>
      <c r="BRZ5" s="54"/>
      <c r="BSA5" s="55" t="s">
        <v>12</v>
      </c>
      <c r="BSB5" s="56"/>
      <c r="BSC5" s="56"/>
      <c r="BSD5" s="57">
        <v>6206062024</v>
      </c>
      <c r="BSE5" s="58"/>
      <c r="BSH5" s="50" t="s">
        <v>6</v>
      </c>
      <c r="BSI5" s="51"/>
      <c r="BSJ5" s="52" t="s">
        <v>11</v>
      </c>
      <c r="BSK5" s="53"/>
      <c r="BSL5" s="54"/>
      <c r="BSM5" s="55" t="s">
        <v>12</v>
      </c>
      <c r="BSN5" s="56"/>
      <c r="BSO5" s="56"/>
      <c r="BSP5" s="57">
        <v>6207062024</v>
      </c>
      <c r="BSQ5" s="58"/>
      <c r="BST5" s="50" t="s">
        <v>6</v>
      </c>
      <c r="BSU5" s="51"/>
      <c r="BSV5" s="52" t="s">
        <v>11</v>
      </c>
      <c r="BSW5" s="53"/>
      <c r="BSX5" s="54"/>
      <c r="BSY5" s="55" t="s">
        <v>12</v>
      </c>
      <c r="BSZ5" s="56"/>
      <c r="BTA5" s="56"/>
      <c r="BTB5" s="57">
        <v>6208062024</v>
      </c>
      <c r="BTC5" s="58"/>
      <c r="BTF5" s="50" t="s">
        <v>6</v>
      </c>
      <c r="BTG5" s="51"/>
      <c r="BTH5" s="52" t="s">
        <v>11</v>
      </c>
      <c r="BTI5" s="53"/>
      <c r="BTJ5" s="54"/>
      <c r="BTK5" s="55" t="s">
        <v>12</v>
      </c>
      <c r="BTL5" s="56"/>
      <c r="BTM5" s="56"/>
      <c r="BTN5" s="57">
        <v>6214062024</v>
      </c>
      <c r="BTO5" s="58"/>
      <c r="BTR5" s="50" t="s">
        <v>6</v>
      </c>
      <c r="BTS5" s="51"/>
      <c r="BTT5" s="52" t="s">
        <v>11</v>
      </c>
      <c r="BTU5" s="53"/>
      <c r="BTV5" s="54"/>
      <c r="BTW5" s="55" t="s">
        <v>12</v>
      </c>
      <c r="BTX5" s="56"/>
      <c r="BTY5" s="56"/>
      <c r="BTZ5" s="57">
        <v>6215062024</v>
      </c>
      <c r="BUA5" s="58"/>
      <c r="BUD5" s="50" t="s">
        <v>6</v>
      </c>
      <c r="BUE5" s="51"/>
      <c r="BUF5" s="52" t="s">
        <v>11</v>
      </c>
      <c r="BUG5" s="53"/>
      <c r="BUH5" s="54"/>
      <c r="BUI5" s="55" t="s">
        <v>12</v>
      </c>
      <c r="BUJ5" s="56"/>
      <c r="BUK5" s="56"/>
      <c r="BUL5" s="57">
        <v>6226062024</v>
      </c>
      <c r="BUM5" s="58"/>
      <c r="BUP5" s="50" t="s">
        <v>6</v>
      </c>
      <c r="BUQ5" s="51"/>
      <c r="BUR5" s="52" t="s">
        <v>11</v>
      </c>
      <c r="BUS5" s="53"/>
      <c r="BUT5" s="54"/>
      <c r="BUU5" s="55" t="s">
        <v>12</v>
      </c>
      <c r="BUV5" s="56"/>
      <c r="BUW5" s="56"/>
      <c r="BUX5" s="57">
        <v>6228062024</v>
      </c>
      <c r="BUY5" s="58"/>
      <c r="BVB5" s="50" t="s">
        <v>6</v>
      </c>
      <c r="BVC5" s="51"/>
      <c r="BVD5" s="52" t="s">
        <v>11</v>
      </c>
      <c r="BVE5" s="53"/>
      <c r="BVF5" s="54"/>
      <c r="BVG5" s="55" t="s">
        <v>12</v>
      </c>
      <c r="BVH5" s="56"/>
      <c r="BVI5" s="56"/>
      <c r="BVJ5" s="57">
        <v>6229062024</v>
      </c>
      <c r="BVK5" s="58"/>
      <c r="BVN5" s="50" t="s">
        <v>6</v>
      </c>
      <c r="BVO5" s="51"/>
      <c r="BVP5" s="52" t="s">
        <v>11</v>
      </c>
      <c r="BVQ5" s="53"/>
      <c r="BVR5" s="54"/>
      <c r="BVS5" s="55" t="s">
        <v>12</v>
      </c>
      <c r="BVT5" s="56"/>
      <c r="BVU5" s="56"/>
      <c r="BVV5" s="57">
        <v>62020724</v>
      </c>
      <c r="BVW5" s="58"/>
      <c r="BVZ5" s="50" t="s">
        <v>6</v>
      </c>
      <c r="BWA5" s="51"/>
      <c r="BWB5" s="52" t="s">
        <v>11</v>
      </c>
      <c r="BWC5" s="53"/>
      <c r="BWD5" s="54"/>
      <c r="BWE5" s="55" t="s">
        <v>12</v>
      </c>
      <c r="BWF5" s="56"/>
      <c r="BWG5" s="56"/>
      <c r="BWH5" s="57">
        <v>62040724</v>
      </c>
      <c r="BWI5" s="58"/>
      <c r="BWL5" s="50" t="s">
        <v>6</v>
      </c>
      <c r="BWM5" s="51"/>
      <c r="BWN5" s="52" t="s">
        <v>11</v>
      </c>
      <c r="BWO5" s="53"/>
      <c r="BWP5" s="54"/>
      <c r="BWQ5" s="55" t="s">
        <v>12</v>
      </c>
      <c r="BWR5" s="56"/>
      <c r="BWS5" s="56"/>
      <c r="BWT5" s="57">
        <v>62080724</v>
      </c>
      <c r="BWU5" s="58"/>
      <c r="BWX5" s="50" t="s">
        <v>6</v>
      </c>
      <c r="BWY5" s="51"/>
      <c r="BWZ5" s="52" t="s">
        <v>11</v>
      </c>
      <c r="BXA5" s="53"/>
      <c r="BXB5" s="54"/>
      <c r="BXC5" s="55" t="s">
        <v>12</v>
      </c>
      <c r="BXD5" s="56"/>
      <c r="BXE5" s="56"/>
      <c r="BXF5" s="57">
        <v>62190724</v>
      </c>
      <c r="BXG5" s="58"/>
      <c r="BXJ5" s="50" t="s">
        <v>6</v>
      </c>
      <c r="BXK5" s="51"/>
      <c r="BXL5" s="52" t="s">
        <v>11</v>
      </c>
      <c r="BXM5" s="53"/>
      <c r="BXN5" s="54"/>
      <c r="BXO5" s="55" t="s">
        <v>12</v>
      </c>
      <c r="BXP5" s="56"/>
      <c r="BXQ5" s="56"/>
      <c r="BXR5" s="57">
        <v>62250724</v>
      </c>
      <c r="BXS5" s="58"/>
      <c r="BXV5" s="50" t="s">
        <v>6</v>
      </c>
      <c r="BXW5" s="51"/>
      <c r="BXX5" s="52" t="s">
        <v>11</v>
      </c>
      <c r="BXY5" s="53"/>
      <c r="BXZ5" s="54"/>
      <c r="BYA5" s="55" t="s">
        <v>12</v>
      </c>
      <c r="BYB5" s="56"/>
      <c r="BYC5" s="56"/>
      <c r="BYD5" s="57">
        <v>62300724</v>
      </c>
      <c r="BYE5" s="58"/>
      <c r="BYH5" s="50" t="s">
        <v>6</v>
      </c>
      <c r="BYI5" s="51"/>
      <c r="BYJ5" s="52" t="s">
        <v>11</v>
      </c>
      <c r="BYK5" s="53"/>
      <c r="BYL5" s="54"/>
      <c r="BYM5" s="55" t="s">
        <v>12</v>
      </c>
      <c r="BYN5" s="56"/>
      <c r="BYO5" s="56"/>
      <c r="BYP5" s="57">
        <v>62050824</v>
      </c>
      <c r="BYQ5" s="58"/>
      <c r="BYT5" s="50" t="s">
        <v>6</v>
      </c>
      <c r="BYU5" s="51"/>
      <c r="BYV5" s="52" t="s">
        <v>11</v>
      </c>
      <c r="BYW5" s="53"/>
      <c r="BYX5" s="54"/>
      <c r="BYY5" s="55" t="s">
        <v>12</v>
      </c>
      <c r="BYZ5" s="56"/>
      <c r="BZA5" s="56"/>
      <c r="BZB5" s="57">
        <v>62100824</v>
      </c>
      <c r="BZC5" s="58"/>
      <c r="BZF5" s="50" t="s">
        <v>6</v>
      </c>
      <c r="BZG5" s="51"/>
      <c r="BZH5" s="52" t="s">
        <v>11</v>
      </c>
      <c r="BZI5" s="53"/>
      <c r="BZJ5" s="54"/>
      <c r="BZK5" s="55" t="s">
        <v>12</v>
      </c>
      <c r="BZL5" s="56"/>
      <c r="BZM5" s="56"/>
      <c r="BZN5" s="57">
        <v>62130824</v>
      </c>
      <c r="BZO5" s="58"/>
      <c r="BZR5" s="50" t="s">
        <v>6</v>
      </c>
      <c r="BZS5" s="51"/>
      <c r="BZT5" s="52" t="s">
        <v>11</v>
      </c>
      <c r="BZU5" s="53"/>
      <c r="BZV5" s="54"/>
      <c r="BZW5" s="55" t="s">
        <v>12</v>
      </c>
      <c r="BZX5" s="56"/>
      <c r="BZY5" s="56"/>
      <c r="BZZ5" s="57">
        <v>62150824</v>
      </c>
      <c r="CAA5" s="58"/>
      <c r="CAD5" s="50" t="s">
        <v>6</v>
      </c>
      <c r="CAE5" s="51"/>
      <c r="CAF5" s="52" t="s">
        <v>11</v>
      </c>
      <c r="CAG5" s="53"/>
      <c r="CAH5" s="54"/>
      <c r="CAI5" s="55" t="s">
        <v>12</v>
      </c>
      <c r="CAJ5" s="56"/>
      <c r="CAK5" s="56"/>
      <c r="CAL5" s="57">
        <v>62160824</v>
      </c>
      <c r="CAM5" s="58"/>
      <c r="CAP5" s="50" t="s">
        <v>6</v>
      </c>
      <c r="CAQ5" s="51"/>
      <c r="CAR5" s="52" t="s">
        <v>11</v>
      </c>
      <c r="CAS5" s="53"/>
      <c r="CAT5" s="54"/>
      <c r="CAU5" s="55" t="s">
        <v>12</v>
      </c>
      <c r="CAV5" s="56"/>
      <c r="CAW5" s="56"/>
      <c r="CAX5" s="57">
        <v>62170824</v>
      </c>
      <c r="CAY5" s="58"/>
      <c r="CBB5" s="50" t="s">
        <v>6</v>
      </c>
      <c r="CBC5" s="51"/>
      <c r="CBD5" s="52" t="s">
        <v>11</v>
      </c>
      <c r="CBE5" s="53"/>
      <c r="CBF5" s="54"/>
      <c r="CBG5" s="55" t="s">
        <v>12</v>
      </c>
      <c r="CBH5" s="56"/>
      <c r="CBI5" s="56"/>
      <c r="CBJ5" s="57">
        <v>62200824</v>
      </c>
      <c r="CBK5" s="58"/>
      <c r="CBN5" s="50" t="s">
        <v>6</v>
      </c>
      <c r="CBO5" s="51"/>
      <c r="CBP5" s="52" t="s">
        <v>11</v>
      </c>
      <c r="CBQ5" s="53"/>
      <c r="CBR5" s="54"/>
      <c r="CBS5" s="55" t="s">
        <v>12</v>
      </c>
      <c r="CBT5" s="56"/>
      <c r="CBU5" s="56"/>
      <c r="CBV5" s="57">
        <v>62210824</v>
      </c>
      <c r="CBW5" s="58"/>
      <c r="CBZ5" s="50" t="s">
        <v>6</v>
      </c>
      <c r="CCA5" s="51"/>
      <c r="CCB5" s="52" t="s">
        <v>11</v>
      </c>
      <c r="CCC5" s="53"/>
      <c r="CCD5" s="54"/>
      <c r="CCE5" s="55" t="s">
        <v>12</v>
      </c>
      <c r="CCF5" s="56"/>
      <c r="CCG5" s="56"/>
      <c r="CCH5" s="57">
        <v>62220824</v>
      </c>
      <c r="CCI5" s="58"/>
      <c r="CCL5" s="50" t="s">
        <v>6</v>
      </c>
      <c r="CCM5" s="51"/>
      <c r="CCN5" s="52" t="s">
        <v>11</v>
      </c>
      <c r="CCO5" s="53"/>
      <c r="CCP5" s="54"/>
      <c r="CCQ5" s="55" t="s">
        <v>12</v>
      </c>
      <c r="CCR5" s="56"/>
      <c r="CCS5" s="56"/>
      <c r="CCT5" s="57">
        <v>62230824</v>
      </c>
      <c r="CCU5" s="58"/>
      <c r="CCX5" s="50" t="s">
        <v>6</v>
      </c>
      <c r="CCY5" s="51"/>
      <c r="CCZ5" s="52" t="s">
        <v>11</v>
      </c>
      <c r="CDA5" s="53"/>
      <c r="CDB5" s="54"/>
      <c r="CDC5" s="55" t="s">
        <v>12</v>
      </c>
      <c r="CDD5" s="56"/>
      <c r="CDE5" s="56"/>
      <c r="CDF5" s="57">
        <v>62280824</v>
      </c>
      <c r="CDG5" s="58"/>
      <c r="CDJ5" s="50" t="s">
        <v>6</v>
      </c>
      <c r="CDK5" s="51"/>
      <c r="CDL5" s="52" t="s">
        <v>11</v>
      </c>
      <c r="CDM5" s="53"/>
      <c r="CDN5" s="54"/>
      <c r="CDO5" s="55" t="s">
        <v>12</v>
      </c>
      <c r="CDP5" s="56"/>
      <c r="CDQ5" s="56"/>
      <c r="CDR5" s="57">
        <v>62290824</v>
      </c>
      <c r="CDS5" s="58"/>
      <c r="CDV5" s="50" t="s">
        <v>6</v>
      </c>
      <c r="CDW5" s="51"/>
      <c r="CDX5" s="52" t="s">
        <v>11</v>
      </c>
      <c r="CDY5" s="53"/>
      <c r="CDZ5" s="54"/>
      <c r="CEA5" s="55" t="s">
        <v>12</v>
      </c>
      <c r="CEB5" s="56"/>
      <c r="CEC5" s="56"/>
      <c r="CED5" s="57">
        <v>62020924</v>
      </c>
      <c r="CEE5" s="58"/>
      <c r="CEH5" s="50" t="s">
        <v>6</v>
      </c>
      <c r="CEI5" s="51"/>
      <c r="CEJ5" s="52" t="s">
        <v>11</v>
      </c>
      <c r="CEK5" s="53"/>
      <c r="CEL5" s="54"/>
      <c r="CEM5" s="55" t="s">
        <v>12</v>
      </c>
      <c r="CEN5" s="56"/>
      <c r="CEO5" s="56"/>
      <c r="CEP5" s="57">
        <v>62030924</v>
      </c>
      <c r="CEQ5" s="58"/>
      <c r="CET5" s="50" t="s">
        <v>6</v>
      </c>
      <c r="CEU5" s="51"/>
      <c r="CEV5" s="52" t="s">
        <v>11</v>
      </c>
      <c r="CEW5" s="53"/>
      <c r="CEX5" s="54"/>
      <c r="CEY5" s="55" t="s">
        <v>12</v>
      </c>
      <c r="CEZ5" s="56"/>
      <c r="CFA5" s="56"/>
      <c r="CFB5" s="57">
        <v>62050924</v>
      </c>
      <c r="CFC5" s="58"/>
      <c r="CFF5" s="50" t="s">
        <v>6</v>
      </c>
      <c r="CFG5" s="51"/>
      <c r="CFH5" s="52" t="s">
        <v>11</v>
      </c>
      <c r="CFI5" s="53"/>
      <c r="CFJ5" s="54"/>
      <c r="CFK5" s="55" t="s">
        <v>12</v>
      </c>
      <c r="CFL5" s="56"/>
      <c r="CFM5" s="56"/>
      <c r="CFN5" s="57">
        <v>62060924</v>
      </c>
      <c r="CFO5" s="58"/>
      <c r="CFR5" s="50" t="s">
        <v>6</v>
      </c>
      <c r="CFS5" s="51"/>
      <c r="CFT5" s="52" t="s">
        <v>11</v>
      </c>
      <c r="CFU5" s="53"/>
      <c r="CFV5" s="54"/>
      <c r="CFW5" s="55" t="s">
        <v>12</v>
      </c>
      <c r="CFX5" s="56"/>
      <c r="CFY5" s="56"/>
      <c r="CFZ5" s="57">
        <v>62090924</v>
      </c>
      <c r="CGA5" s="58"/>
      <c r="CGD5" s="50" t="s">
        <v>6</v>
      </c>
      <c r="CGE5" s="51"/>
      <c r="CGF5" s="52" t="s">
        <v>11</v>
      </c>
      <c r="CGG5" s="53"/>
      <c r="CGH5" s="54"/>
      <c r="CGI5" s="55" t="s">
        <v>12</v>
      </c>
      <c r="CGJ5" s="56"/>
      <c r="CGK5" s="56"/>
      <c r="CGL5" s="57">
        <v>620100924</v>
      </c>
      <c r="CGM5" s="58"/>
      <c r="CGP5" s="50" t="s">
        <v>6</v>
      </c>
      <c r="CGQ5" s="51"/>
      <c r="CGR5" s="52" t="s">
        <v>11</v>
      </c>
      <c r="CGS5" s="53"/>
      <c r="CGT5" s="54"/>
      <c r="CGU5" s="55" t="s">
        <v>12</v>
      </c>
      <c r="CGV5" s="56"/>
      <c r="CGW5" s="56"/>
      <c r="CGX5" s="57">
        <v>620110924</v>
      </c>
      <c r="CGY5" s="58"/>
      <c r="CHB5" s="50" t="s">
        <v>6</v>
      </c>
      <c r="CHC5" s="51"/>
      <c r="CHD5" s="52" t="s">
        <v>11</v>
      </c>
      <c r="CHE5" s="53"/>
      <c r="CHF5" s="54"/>
      <c r="CHG5" s="55" t="s">
        <v>12</v>
      </c>
      <c r="CHH5" s="56"/>
      <c r="CHI5" s="56"/>
      <c r="CHJ5" s="57">
        <v>620120924</v>
      </c>
      <c r="CHK5" s="58"/>
      <c r="CHN5" s="50" t="s">
        <v>6</v>
      </c>
      <c r="CHO5" s="51"/>
      <c r="CHP5" s="52" t="s">
        <v>11</v>
      </c>
      <c r="CHQ5" s="53"/>
      <c r="CHR5" s="54"/>
      <c r="CHS5" s="55" t="s">
        <v>12</v>
      </c>
      <c r="CHT5" s="56"/>
      <c r="CHU5" s="56"/>
      <c r="CHV5" s="57">
        <v>62130924</v>
      </c>
      <c r="CHW5" s="58"/>
      <c r="CHZ5" s="50" t="s">
        <v>6</v>
      </c>
      <c r="CIA5" s="51"/>
      <c r="CIB5" s="52" t="s">
        <v>11</v>
      </c>
      <c r="CIC5" s="53"/>
      <c r="CID5" s="54"/>
      <c r="CIE5" s="55" t="s">
        <v>12</v>
      </c>
      <c r="CIF5" s="56"/>
      <c r="CIG5" s="56"/>
      <c r="CIH5" s="57">
        <v>62261024</v>
      </c>
      <c r="CII5" s="58"/>
      <c r="CIL5" s="50" t="s">
        <v>6</v>
      </c>
      <c r="CIM5" s="51"/>
      <c r="CIN5" s="52" t="s">
        <v>11</v>
      </c>
      <c r="CIO5" s="53"/>
      <c r="CIP5" s="54"/>
      <c r="CIQ5" s="55" t="s">
        <v>12</v>
      </c>
      <c r="CIR5" s="56"/>
      <c r="CIS5" s="56"/>
      <c r="CIT5" s="57">
        <v>62021124</v>
      </c>
      <c r="CIU5" s="58"/>
      <c r="CIX5" s="50" t="s">
        <v>6</v>
      </c>
      <c r="CIY5" s="51"/>
      <c r="CIZ5" s="52" t="s">
        <v>11</v>
      </c>
      <c r="CJA5" s="53"/>
      <c r="CJB5" s="54"/>
      <c r="CJC5" s="55" t="s">
        <v>12</v>
      </c>
      <c r="CJD5" s="56"/>
      <c r="CJE5" s="56"/>
      <c r="CJF5" s="57">
        <v>62081124</v>
      </c>
      <c r="CJG5" s="58"/>
      <c r="CJJ5" s="50" t="s">
        <v>6</v>
      </c>
      <c r="CJK5" s="51"/>
      <c r="CJL5" s="52" t="s">
        <v>11</v>
      </c>
      <c r="CJM5" s="53"/>
      <c r="CJN5" s="54"/>
      <c r="CJO5" s="55" t="s">
        <v>12</v>
      </c>
      <c r="CJP5" s="56"/>
      <c r="CJQ5" s="56"/>
      <c r="CJR5" s="57">
        <v>62091124</v>
      </c>
      <c r="CJS5" s="58"/>
      <c r="CJV5" s="50" t="s">
        <v>6</v>
      </c>
      <c r="CJW5" s="51"/>
      <c r="CJX5" s="52" t="s">
        <v>11</v>
      </c>
      <c r="CJY5" s="53"/>
      <c r="CJZ5" s="54"/>
      <c r="CKA5" s="55" t="s">
        <v>12</v>
      </c>
      <c r="CKB5" s="56"/>
      <c r="CKC5" s="56"/>
      <c r="CKD5" s="57">
        <v>620121124</v>
      </c>
      <c r="CKE5" s="58"/>
      <c r="CKH5" s="50" t="s">
        <v>6</v>
      </c>
      <c r="CKI5" s="51"/>
      <c r="CKJ5" s="52" t="s">
        <v>11</v>
      </c>
      <c r="CKK5" s="53"/>
      <c r="CKL5" s="54"/>
      <c r="CKM5" s="55" t="s">
        <v>12</v>
      </c>
      <c r="CKN5" s="56"/>
      <c r="CKO5" s="56"/>
      <c r="CKP5" s="57">
        <v>620161124</v>
      </c>
      <c r="CKQ5" s="58"/>
      <c r="CKT5" s="50" t="s">
        <v>6</v>
      </c>
      <c r="CKU5" s="51"/>
      <c r="CKV5" s="52" t="s">
        <v>11</v>
      </c>
      <c r="CKW5" s="53"/>
      <c r="CKX5" s="54"/>
      <c r="CKY5" s="55" t="s">
        <v>12</v>
      </c>
      <c r="CKZ5" s="56"/>
      <c r="CLA5" s="56"/>
      <c r="CLB5" s="57">
        <v>62031224</v>
      </c>
      <c r="CLC5" s="58"/>
      <c r="CLF5" s="50" t="s">
        <v>6</v>
      </c>
      <c r="CLG5" s="51"/>
      <c r="CLH5" s="52" t="s">
        <v>11</v>
      </c>
      <c r="CLI5" s="53"/>
      <c r="CLJ5" s="54"/>
      <c r="CLK5" s="55" t="s">
        <v>12</v>
      </c>
      <c r="CLL5" s="56"/>
      <c r="CLM5" s="56"/>
      <c r="CLN5" s="57">
        <v>6271224</v>
      </c>
      <c r="CLO5" s="58"/>
      <c r="CLR5" s="50" t="s">
        <v>6</v>
      </c>
      <c r="CLS5" s="51"/>
      <c r="CLT5" s="52" t="s">
        <v>11</v>
      </c>
      <c r="CLU5" s="53"/>
      <c r="CLV5" s="54"/>
      <c r="CLW5" s="55" t="s">
        <v>12</v>
      </c>
      <c r="CLX5" s="56"/>
      <c r="CLY5" s="56"/>
      <c r="CLZ5" s="57">
        <v>6291224</v>
      </c>
      <c r="CMA5" s="58"/>
      <c r="CMD5" s="50" t="s">
        <v>6</v>
      </c>
      <c r="CME5" s="51"/>
      <c r="CMF5" s="52" t="s">
        <v>11</v>
      </c>
      <c r="CMG5" s="53"/>
      <c r="CMH5" s="54"/>
      <c r="CMI5" s="55" t="s">
        <v>12</v>
      </c>
      <c r="CMJ5" s="56"/>
      <c r="CMK5" s="56"/>
      <c r="CML5" s="57">
        <v>62261224</v>
      </c>
      <c r="CMM5" s="58"/>
      <c r="CMP5" s="50" t="s">
        <v>6</v>
      </c>
      <c r="CMQ5" s="51"/>
      <c r="CMR5" s="52" t="s">
        <v>11</v>
      </c>
      <c r="CMS5" s="53"/>
      <c r="CMT5" s="54"/>
      <c r="CMU5" s="55" t="s">
        <v>12</v>
      </c>
      <c r="CMV5" s="56"/>
      <c r="CMW5" s="56"/>
      <c r="CMX5" s="57">
        <v>62271224</v>
      </c>
      <c r="CMY5" s="58"/>
      <c r="CNB5" s="50" t="s">
        <v>6</v>
      </c>
      <c r="CNC5" s="51"/>
      <c r="CND5" s="52" t="s">
        <v>11</v>
      </c>
      <c r="CNE5" s="53"/>
      <c r="CNF5" s="54"/>
      <c r="CNG5" s="55" t="s">
        <v>12</v>
      </c>
      <c r="CNH5" s="56"/>
      <c r="CNI5" s="56"/>
      <c r="CNJ5" s="57">
        <v>62281224</v>
      </c>
      <c r="CNK5" s="58"/>
      <c r="CNN5" s="50" t="s">
        <v>6</v>
      </c>
      <c r="CNO5" s="51"/>
      <c r="CNP5" s="52" t="s">
        <v>11</v>
      </c>
      <c r="CNQ5" s="53"/>
      <c r="CNR5" s="54"/>
      <c r="CNS5" s="55" t="s">
        <v>12</v>
      </c>
      <c r="CNT5" s="56"/>
      <c r="CNU5" s="56"/>
      <c r="CNV5" s="57">
        <v>62030125</v>
      </c>
      <c r="CNW5" s="58"/>
      <c r="CNZ5" s="50" t="s">
        <v>6</v>
      </c>
      <c r="COA5" s="51"/>
      <c r="COB5" s="52" t="s">
        <v>11</v>
      </c>
      <c r="COC5" s="53"/>
      <c r="COD5" s="54"/>
      <c r="COE5" s="55" t="s">
        <v>12</v>
      </c>
      <c r="COF5" s="56"/>
      <c r="COG5" s="56"/>
      <c r="COH5" s="57">
        <v>62070125</v>
      </c>
      <c r="COI5" s="58"/>
      <c r="COL5" s="50" t="s">
        <v>6</v>
      </c>
      <c r="COM5" s="51"/>
      <c r="CON5" s="52" t="s">
        <v>11</v>
      </c>
      <c r="COO5" s="53"/>
      <c r="COP5" s="54"/>
      <c r="COQ5" s="55" t="s">
        <v>12</v>
      </c>
      <c r="COR5" s="56"/>
      <c r="COS5" s="56"/>
      <c r="COT5" s="57">
        <v>62090125</v>
      </c>
      <c r="COU5" s="58"/>
      <c r="COX5" s="50" t="s">
        <v>6</v>
      </c>
      <c r="COY5" s="51"/>
      <c r="COZ5" s="52" t="s">
        <v>11</v>
      </c>
      <c r="CPA5" s="53"/>
      <c r="CPB5" s="54"/>
      <c r="CPC5" s="55" t="s">
        <v>12</v>
      </c>
      <c r="CPD5" s="56"/>
      <c r="CPE5" s="56"/>
      <c r="CPF5" s="57">
        <v>620110125</v>
      </c>
      <c r="CPG5" s="58"/>
      <c r="CPJ5" s="50" t="s">
        <v>6</v>
      </c>
      <c r="CPK5" s="51"/>
      <c r="CPL5" s="52" t="s">
        <v>11</v>
      </c>
      <c r="CPM5" s="53"/>
      <c r="CPN5" s="54"/>
      <c r="CPO5" s="55" t="s">
        <v>12</v>
      </c>
      <c r="CPP5" s="56"/>
      <c r="CPQ5" s="56"/>
      <c r="CPR5" s="57">
        <v>62120125</v>
      </c>
      <c r="CPS5" s="58"/>
      <c r="CPV5" s="50" t="s">
        <v>6</v>
      </c>
      <c r="CPW5" s="51"/>
      <c r="CPX5" s="52" t="s">
        <v>11</v>
      </c>
      <c r="CPY5" s="53"/>
      <c r="CPZ5" s="54"/>
      <c r="CQA5" s="55" t="s">
        <v>12</v>
      </c>
      <c r="CQB5" s="56"/>
      <c r="CQC5" s="56"/>
      <c r="CQD5" s="57">
        <v>62140125</v>
      </c>
      <c r="CQE5" s="58"/>
      <c r="CQH5" s="50" t="s">
        <v>6</v>
      </c>
      <c r="CQI5" s="51"/>
      <c r="CQJ5" s="52" t="s">
        <v>11</v>
      </c>
      <c r="CQK5" s="53"/>
      <c r="CQL5" s="54"/>
      <c r="CQM5" s="55" t="s">
        <v>12</v>
      </c>
      <c r="CQN5" s="56"/>
      <c r="CQO5" s="56"/>
      <c r="CQP5" s="57">
        <v>62150125</v>
      </c>
      <c r="CQQ5" s="58"/>
      <c r="CQT5" s="50" t="s">
        <v>6</v>
      </c>
      <c r="CQU5" s="51"/>
      <c r="CQV5" s="52" t="s">
        <v>11</v>
      </c>
      <c r="CQW5" s="53"/>
      <c r="CQX5" s="54"/>
      <c r="CQY5" s="55" t="s">
        <v>12</v>
      </c>
      <c r="CQZ5" s="56"/>
      <c r="CRA5" s="56"/>
      <c r="CRB5" s="57">
        <v>62170125</v>
      </c>
      <c r="CRC5" s="58"/>
      <c r="CRF5" s="50" t="s">
        <v>6</v>
      </c>
      <c r="CRG5" s="51"/>
      <c r="CRH5" s="52" t="s">
        <v>11</v>
      </c>
      <c r="CRI5" s="53"/>
      <c r="CRJ5" s="54"/>
      <c r="CRK5" s="55" t="s">
        <v>12</v>
      </c>
      <c r="CRL5" s="56"/>
      <c r="CRM5" s="56"/>
      <c r="CRN5" s="57">
        <v>62180125</v>
      </c>
      <c r="CRO5" s="58"/>
      <c r="CRR5" s="50" t="s">
        <v>6</v>
      </c>
      <c r="CRS5" s="51"/>
      <c r="CRT5" s="52" t="s">
        <v>11</v>
      </c>
      <c r="CRU5" s="53"/>
      <c r="CRV5" s="54"/>
      <c r="CRW5" s="55" t="s">
        <v>12</v>
      </c>
      <c r="CRX5" s="56"/>
      <c r="CRY5" s="56"/>
      <c r="CRZ5" s="57">
        <v>62200125</v>
      </c>
      <c r="CSA5" s="58"/>
      <c r="CSD5" s="50" t="s">
        <v>6</v>
      </c>
      <c r="CSE5" s="51"/>
      <c r="CSF5" s="52" t="s">
        <v>11</v>
      </c>
      <c r="CSG5" s="53"/>
      <c r="CSH5" s="54"/>
      <c r="CSI5" s="55" t="s">
        <v>12</v>
      </c>
      <c r="CSJ5" s="56"/>
      <c r="CSK5" s="56"/>
      <c r="CSL5" s="57">
        <v>62210125</v>
      </c>
      <c r="CSM5" s="58"/>
      <c r="CSP5" s="50" t="s">
        <v>6</v>
      </c>
      <c r="CSQ5" s="51"/>
      <c r="CSR5" s="52" t="s">
        <v>11</v>
      </c>
      <c r="CSS5" s="53"/>
      <c r="CST5" s="54"/>
      <c r="CSU5" s="55" t="s">
        <v>12</v>
      </c>
      <c r="CSV5" s="56"/>
      <c r="CSW5" s="56"/>
      <c r="CSX5" s="57">
        <v>62230125</v>
      </c>
      <c r="CSY5" s="58"/>
      <c r="CTB5" s="50" t="s">
        <v>6</v>
      </c>
      <c r="CTC5" s="51"/>
      <c r="CTD5" s="52" t="s">
        <v>11</v>
      </c>
      <c r="CTE5" s="53"/>
      <c r="CTF5" s="54"/>
      <c r="CTG5" s="55" t="s">
        <v>12</v>
      </c>
      <c r="CTH5" s="56"/>
      <c r="CTI5" s="56"/>
      <c r="CTJ5" s="57">
        <v>62240125</v>
      </c>
      <c r="CTK5" s="58"/>
      <c r="CTN5" s="50" t="s">
        <v>6</v>
      </c>
      <c r="CTO5" s="51"/>
      <c r="CTP5" s="52" t="s">
        <v>11</v>
      </c>
      <c r="CTQ5" s="53"/>
      <c r="CTR5" s="54"/>
      <c r="CTS5" s="55" t="s">
        <v>12</v>
      </c>
      <c r="CTT5" s="56"/>
      <c r="CTU5" s="56"/>
      <c r="CTV5" s="57">
        <v>62150225</v>
      </c>
      <c r="CTW5" s="58"/>
      <c r="CTZ5" s="50" t="s">
        <v>6</v>
      </c>
      <c r="CUA5" s="51"/>
      <c r="CUB5" s="52" t="s">
        <v>11</v>
      </c>
      <c r="CUC5" s="53"/>
      <c r="CUD5" s="54"/>
      <c r="CUE5" s="55" t="s">
        <v>12</v>
      </c>
      <c r="CUF5" s="56"/>
      <c r="CUG5" s="56"/>
      <c r="CUH5" s="57">
        <v>62170225</v>
      </c>
      <c r="CUI5" s="58"/>
      <c r="CUL5" s="50" t="s">
        <v>6</v>
      </c>
      <c r="CUM5" s="51"/>
      <c r="CUN5" s="52" t="s">
        <v>11</v>
      </c>
      <c r="CUO5" s="53"/>
      <c r="CUP5" s="54"/>
      <c r="CUQ5" s="55" t="s">
        <v>12</v>
      </c>
      <c r="CUR5" s="56"/>
      <c r="CUS5" s="56"/>
      <c r="CUT5" s="57">
        <v>62180225</v>
      </c>
      <c r="CUU5" s="58"/>
      <c r="CUX5" s="50" t="s">
        <v>6</v>
      </c>
      <c r="CUY5" s="51"/>
      <c r="CUZ5" s="52" t="s">
        <v>11</v>
      </c>
      <c r="CVA5" s="53"/>
      <c r="CVB5" s="54"/>
      <c r="CVC5" s="55" t="s">
        <v>12</v>
      </c>
      <c r="CVD5" s="56"/>
      <c r="CVE5" s="56"/>
      <c r="CVF5" s="57">
        <v>62190225</v>
      </c>
      <c r="CVG5" s="58"/>
      <c r="CVJ5" s="50" t="s">
        <v>6</v>
      </c>
      <c r="CVK5" s="51"/>
      <c r="CVL5" s="52" t="s">
        <v>11</v>
      </c>
      <c r="CVM5" s="53"/>
      <c r="CVN5" s="54"/>
      <c r="CVO5" s="55" t="s">
        <v>12</v>
      </c>
      <c r="CVP5" s="56"/>
      <c r="CVQ5" s="56"/>
      <c r="CVR5" s="57">
        <v>62240225</v>
      </c>
      <c r="CVS5" s="58"/>
      <c r="CVV5" s="50" t="s">
        <v>6</v>
      </c>
      <c r="CVW5" s="51"/>
      <c r="CVX5" s="52"/>
      <c r="CVY5" s="53"/>
      <c r="CVZ5" s="54"/>
      <c r="CWA5" s="55" t="s">
        <v>12</v>
      </c>
      <c r="CWB5" s="56"/>
      <c r="CWC5" s="56"/>
      <c r="CWD5" s="57"/>
      <c r="CWE5" s="58"/>
    </row>
    <row r="6" spans="1:1023 1026:2631" x14ac:dyDescent="0.25">
      <c r="A6" s="47" t="s">
        <v>14</v>
      </c>
      <c r="B6" s="48"/>
      <c r="C6" s="48"/>
      <c r="D6" s="49"/>
      <c r="E6" s="59">
        <v>44712</v>
      </c>
      <c r="F6" s="44"/>
      <c r="G6" s="45"/>
      <c r="H6" s="60" t="s">
        <v>15</v>
      </c>
      <c r="I6" s="60"/>
      <c r="J6" s="60"/>
      <c r="K6" s="59">
        <v>44712</v>
      </c>
      <c r="L6" s="45"/>
      <c r="O6" s="47" t="s">
        <v>14</v>
      </c>
      <c r="P6" s="48"/>
      <c r="Q6" s="48"/>
      <c r="R6" s="49"/>
      <c r="S6" s="59">
        <v>44713</v>
      </c>
      <c r="T6" s="44"/>
      <c r="U6" s="45"/>
      <c r="V6" s="60" t="s">
        <v>15</v>
      </c>
      <c r="W6" s="60"/>
      <c r="X6" s="60"/>
      <c r="Y6" s="59">
        <v>44713</v>
      </c>
      <c r="Z6" s="45"/>
      <c r="AC6" s="47" t="s">
        <v>14</v>
      </c>
      <c r="AD6" s="48"/>
      <c r="AE6" s="48"/>
      <c r="AF6" s="49"/>
      <c r="AG6" s="59">
        <v>44721</v>
      </c>
      <c r="AH6" s="61"/>
      <c r="AI6" s="62"/>
      <c r="AJ6" s="60" t="s">
        <v>15</v>
      </c>
      <c r="AK6" s="60"/>
      <c r="AL6" s="60"/>
      <c r="AM6" s="59">
        <v>44721</v>
      </c>
      <c r="AN6" s="45"/>
      <c r="AQ6" s="47" t="s">
        <v>14</v>
      </c>
      <c r="AR6" s="48"/>
      <c r="AS6" s="48"/>
      <c r="AT6" s="49"/>
      <c r="AU6" s="59">
        <v>44723</v>
      </c>
      <c r="AV6" s="44"/>
      <c r="AW6" s="45"/>
      <c r="AX6" s="60" t="s">
        <v>15</v>
      </c>
      <c r="AY6" s="60"/>
      <c r="AZ6" s="60"/>
      <c r="BA6" s="59">
        <v>44723</v>
      </c>
      <c r="BB6" s="45"/>
      <c r="BE6" s="47" t="s">
        <v>14</v>
      </c>
      <c r="BF6" s="48"/>
      <c r="BG6" s="48"/>
      <c r="BH6" s="49"/>
      <c r="BI6" s="59">
        <v>44727</v>
      </c>
      <c r="BJ6" s="44"/>
      <c r="BK6" s="45"/>
      <c r="BL6" s="60" t="s">
        <v>15</v>
      </c>
      <c r="BM6" s="60"/>
      <c r="BN6" s="60"/>
      <c r="BO6" s="59">
        <v>44727</v>
      </c>
      <c r="BP6" s="45"/>
      <c r="BS6" s="47" t="s">
        <v>14</v>
      </c>
      <c r="BT6" s="48"/>
      <c r="BU6" s="48"/>
      <c r="BV6" s="49"/>
      <c r="BW6" s="59">
        <v>44740</v>
      </c>
      <c r="BX6" s="44"/>
      <c r="BY6" s="45"/>
      <c r="BZ6" s="60" t="s">
        <v>15</v>
      </c>
      <c r="CA6" s="60"/>
      <c r="CB6" s="60"/>
      <c r="CC6" s="59">
        <v>44740</v>
      </c>
      <c r="CD6" s="45"/>
      <c r="CG6" s="47" t="s">
        <v>14</v>
      </c>
      <c r="CH6" s="48"/>
      <c r="CI6" s="48"/>
      <c r="CJ6" s="49"/>
      <c r="CK6" s="59">
        <v>44715</v>
      </c>
      <c r="CL6" s="44"/>
      <c r="CM6" s="45"/>
      <c r="CN6" s="60" t="s">
        <v>15</v>
      </c>
      <c r="CO6" s="60"/>
      <c r="CP6" s="60"/>
      <c r="CQ6" s="59">
        <v>44715</v>
      </c>
      <c r="CR6" s="45"/>
      <c r="CU6" s="47" t="s">
        <v>14</v>
      </c>
      <c r="CV6" s="48"/>
      <c r="CW6" s="48"/>
      <c r="CX6" s="49"/>
      <c r="CY6" s="59">
        <v>44775</v>
      </c>
      <c r="CZ6" s="44"/>
      <c r="DA6" s="45"/>
      <c r="DB6" s="60" t="s">
        <v>15</v>
      </c>
      <c r="DC6" s="60"/>
      <c r="DD6" s="60"/>
      <c r="DE6" s="59">
        <f>CY6</f>
        <v>44775</v>
      </c>
      <c r="DF6" s="45"/>
      <c r="DI6" s="47" t="s">
        <v>14</v>
      </c>
      <c r="DJ6" s="48"/>
      <c r="DK6" s="48"/>
      <c r="DL6" s="49"/>
      <c r="DM6" s="59">
        <v>44834</v>
      </c>
      <c r="DN6" s="44"/>
      <c r="DO6" s="45"/>
      <c r="DP6" s="60" t="s">
        <v>15</v>
      </c>
      <c r="DQ6" s="60"/>
      <c r="DR6" s="60"/>
      <c r="DS6" s="59">
        <f>DM6</f>
        <v>44834</v>
      </c>
      <c r="DT6" s="45"/>
      <c r="DW6" s="47" t="s">
        <v>14</v>
      </c>
      <c r="DX6" s="48"/>
      <c r="DY6" s="48"/>
      <c r="DZ6" s="49"/>
      <c r="EA6" s="59">
        <v>44851</v>
      </c>
      <c r="EB6" s="44"/>
      <c r="EC6" s="45"/>
      <c r="ED6" s="60" t="s">
        <v>15</v>
      </c>
      <c r="EE6" s="60"/>
      <c r="EF6" s="60"/>
      <c r="EG6" s="59">
        <v>44851</v>
      </c>
      <c r="EH6" s="45"/>
      <c r="EK6" s="47" t="s">
        <v>14</v>
      </c>
      <c r="EL6" s="48"/>
      <c r="EM6" s="48"/>
      <c r="EN6" s="49"/>
      <c r="EO6" s="59">
        <v>44859</v>
      </c>
      <c r="EP6" s="44"/>
      <c r="EQ6" s="45"/>
      <c r="ER6" s="60" t="s">
        <v>15</v>
      </c>
      <c r="ES6" s="60"/>
      <c r="ET6" s="60"/>
      <c r="EU6" s="59">
        <v>44859</v>
      </c>
      <c r="EV6" s="45"/>
      <c r="EY6" s="47" t="s">
        <v>14</v>
      </c>
      <c r="EZ6" s="48"/>
      <c r="FA6" s="48"/>
      <c r="FB6" s="49"/>
      <c r="FC6" s="59">
        <v>44860</v>
      </c>
      <c r="FD6" s="44"/>
      <c r="FE6" s="45"/>
      <c r="FF6" s="60" t="s">
        <v>15</v>
      </c>
      <c r="FG6" s="60"/>
      <c r="FH6" s="60"/>
      <c r="FI6" s="59">
        <v>44860</v>
      </c>
      <c r="FJ6" s="45"/>
      <c r="FM6" s="47" t="s">
        <v>14</v>
      </c>
      <c r="FN6" s="48"/>
      <c r="FO6" s="48"/>
      <c r="FP6" s="49"/>
      <c r="FQ6" s="59">
        <v>44868</v>
      </c>
      <c r="FR6" s="44"/>
      <c r="FS6" s="45"/>
      <c r="FT6" s="60" t="s">
        <v>15</v>
      </c>
      <c r="FU6" s="60"/>
      <c r="FV6" s="60"/>
      <c r="FW6" s="59">
        <v>44868</v>
      </c>
      <c r="FX6" s="45"/>
      <c r="GA6" s="47" t="s">
        <v>14</v>
      </c>
      <c r="GB6" s="48"/>
      <c r="GC6" s="48"/>
      <c r="GD6" s="49"/>
      <c r="GE6" s="59">
        <v>44869</v>
      </c>
      <c r="GF6" s="44"/>
      <c r="GG6" s="45"/>
      <c r="GH6" s="60" t="s">
        <v>15</v>
      </c>
      <c r="GI6" s="60"/>
      <c r="GJ6" s="60"/>
      <c r="GK6" s="59">
        <v>44869</v>
      </c>
      <c r="GL6" s="45"/>
      <c r="GO6" s="47" t="s">
        <v>14</v>
      </c>
      <c r="GP6" s="48"/>
      <c r="GQ6" s="48"/>
      <c r="GR6" s="49"/>
      <c r="GS6" s="59">
        <v>44872</v>
      </c>
      <c r="GT6" s="44"/>
      <c r="GU6" s="45"/>
      <c r="GV6" s="60" t="s">
        <v>15</v>
      </c>
      <c r="GW6" s="60"/>
      <c r="GX6" s="60"/>
      <c r="GY6" s="59">
        <v>44872</v>
      </c>
      <c r="GZ6" s="45"/>
      <c r="HC6" s="47" t="s">
        <v>14</v>
      </c>
      <c r="HD6" s="48"/>
      <c r="HE6" s="48"/>
      <c r="HF6" s="49"/>
      <c r="HG6" s="59">
        <v>44881</v>
      </c>
      <c r="HH6" s="44"/>
      <c r="HI6" s="45"/>
      <c r="HJ6" s="60" t="s">
        <v>15</v>
      </c>
      <c r="HK6" s="60"/>
      <c r="HL6" s="60"/>
      <c r="HM6" s="59">
        <v>44881</v>
      </c>
      <c r="HN6" s="45"/>
      <c r="HQ6" s="47" t="s">
        <v>14</v>
      </c>
      <c r="HR6" s="48"/>
      <c r="HS6" s="48"/>
      <c r="HT6" s="49"/>
      <c r="HU6" s="59">
        <v>44884</v>
      </c>
      <c r="HV6" s="44"/>
      <c r="HW6" s="45"/>
      <c r="HX6" s="60" t="s">
        <v>15</v>
      </c>
      <c r="HY6" s="60"/>
      <c r="HZ6" s="60"/>
      <c r="IA6" s="59">
        <v>44884</v>
      </c>
      <c r="IB6" s="45"/>
      <c r="IE6" s="47" t="s">
        <v>14</v>
      </c>
      <c r="IF6" s="48"/>
      <c r="IG6" s="48"/>
      <c r="IH6" s="49"/>
      <c r="II6" s="59">
        <v>44887</v>
      </c>
      <c r="IJ6" s="44"/>
      <c r="IK6" s="45"/>
      <c r="IL6" s="60" t="s">
        <v>15</v>
      </c>
      <c r="IM6" s="60"/>
      <c r="IN6" s="60"/>
      <c r="IO6" s="59">
        <v>44887</v>
      </c>
      <c r="IP6" s="45"/>
      <c r="IS6" s="47" t="s">
        <v>14</v>
      </c>
      <c r="IT6" s="48"/>
      <c r="IU6" s="48"/>
      <c r="IV6" s="49"/>
      <c r="IW6" s="59">
        <v>44889</v>
      </c>
      <c r="IX6" s="44"/>
      <c r="IY6" s="45"/>
      <c r="IZ6" s="60" t="s">
        <v>15</v>
      </c>
      <c r="JA6" s="60"/>
      <c r="JB6" s="60"/>
      <c r="JC6" s="59">
        <v>44889</v>
      </c>
      <c r="JD6" s="45"/>
      <c r="JG6" s="47" t="s">
        <v>14</v>
      </c>
      <c r="JH6" s="48"/>
      <c r="JI6" s="48"/>
      <c r="JJ6" s="49"/>
      <c r="JK6" s="59">
        <v>44902</v>
      </c>
      <c r="JL6" s="44"/>
      <c r="JM6" s="45"/>
      <c r="JN6" s="60" t="s">
        <v>15</v>
      </c>
      <c r="JO6" s="60"/>
      <c r="JP6" s="60"/>
      <c r="JQ6" s="59">
        <v>44902</v>
      </c>
      <c r="JR6" s="45"/>
      <c r="JU6" s="47" t="s">
        <v>14</v>
      </c>
      <c r="JV6" s="48"/>
      <c r="JW6" s="48"/>
      <c r="JX6" s="49"/>
      <c r="JY6" s="59">
        <v>44903</v>
      </c>
      <c r="JZ6" s="44"/>
      <c r="KA6" s="45"/>
      <c r="KB6" s="60" t="s">
        <v>15</v>
      </c>
      <c r="KC6" s="60"/>
      <c r="KD6" s="60"/>
      <c r="KE6" s="59">
        <v>44903</v>
      </c>
      <c r="KF6" s="45"/>
      <c r="KI6" s="47" t="s">
        <v>14</v>
      </c>
      <c r="KJ6" s="48"/>
      <c r="KK6" s="48"/>
      <c r="KL6" s="49"/>
      <c r="KM6" s="59">
        <v>44904</v>
      </c>
      <c r="KN6" s="44"/>
      <c r="KO6" s="45"/>
      <c r="KP6" s="63">
        <v>45512</v>
      </c>
      <c r="KQ6" s="60"/>
      <c r="KR6" s="60"/>
      <c r="KS6" s="59">
        <v>44904</v>
      </c>
      <c r="KT6" s="45"/>
      <c r="KU6" s="63">
        <v>45512</v>
      </c>
      <c r="KV6" s="60"/>
      <c r="KW6" s="47" t="s">
        <v>14</v>
      </c>
      <c r="KX6" s="48"/>
      <c r="KY6" s="48"/>
      <c r="KZ6" s="49"/>
      <c r="LA6" s="59">
        <v>44908</v>
      </c>
      <c r="LB6" s="44"/>
      <c r="LC6" s="45"/>
      <c r="LD6" s="60" t="s">
        <v>15</v>
      </c>
      <c r="LE6" s="60"/>
      <c r="LF6" s="60"/>
      <c r="LG6" s="59">
        <v>44908</v>
      </c>
      <c r="LH6" s="45"/>
      <c r="LK6" s="47" t="s">
        <v>14</v>
      </c>
      <c r="LL6" s="48"/>
      <c r="LM6" s="48"/>
      <c r="LN6" s="49"/>
      <c r="LO6" s="59">
        <v>44909</v>
      </c>
      <c r="LP6" s="44"/>
      <c r="LQ6" s="45"/>
      <c r="LR6" s="60" t="s">
        <v>15</v>
      </c>
      <c r="LS6" s="60"/>
      <c r="LT6" s="60"/>
      <c r="LU6" s="59">
        <v>44909</v>
      </c>
      <c r="LV6" s="45"/>
      <c r="LY6" s="47" t="s">
        <v>14</v>
      </c>
      <c r="LZ6" s="48"/>
      <c r="MA6" s="48"/>
      <c r="MB6" s="49"/>
      <c r="MC6" s="59">
        <v>44910</v>
      </c>
      <c r="MD6" s="44"/>
      <c r="ME6" s="45"/>
      <c r="MF6" s="60" t="s">
        <v>15</v>
      </c>
      <c r="MG6" s="60"/>
      <c r="MH6" s="60"/>
      <c r="MI6" s="59">
        <v>44910</v>
      </c>
      <c r="MJ6" s="45"/>
      <c r="MM6" s="47" t="s">
        <v>14</v>
      </c>
      <c r="MN6" s="48"/>
      <c r="MO6" s="48"/>
      <c r="MP6" s="49"/>
      <c r="MQ6" s="59">
        <v>44911</v>
      </c>
      <c r="MR6" s="44"/>
      <c r="MS6" s="45"/>
      <c r="MT6" s="60" t="s">
        <v>15</v>
      </c>
      <c r="MU6" s="60"/>
      <c r="MV6" s="60"/>
      <c r="MW6" s="59">
        <v>44911</v>
      </c>
      <c r="MX6" s="45"/>
      <c r="NA6" s="47" t="s">
        <v>14</v>
      </c>
      <c r="NB6" s="48"/>
      <c r="NC6" s="48"/>
      <c r="ND6" s="49"/>
      <c r="NE6" s="59">
        <v>44921</v>
      </c>
      <c r="NF6" s="44"/>
      <c r="NG6" s="45"/>
      <c r="NH6" s="60" t="s">
        <v>15</v>
      </c>
      <c r="NI6" s="60"/>
      <c r="NJ6" s="60"/>
      <c r="NK6" s="59">
        <v>44921</v>
      </c>
      <c r="NL6" s="45"/>
      <c r="NO6" s="47" t="s">
        <v>14</v>
      </c>
      <c r="NP6" s="48"/>
      <c r="NQ6" s="48"/>
      <c r="NR6" s="49"/>
      <c r="NS6" s="59">
        <v>44922</v>
      </c>
      <c r="NT6" s="44"/>
      <c r="NU6" s="45"/>
      <c r="NV6" s="60" t="s">
        <v>15</v>
      </c>
      <c r="NW6" s="60"/>
      <c r="NX6" s="60"/>
      <c r="NY6" s="59">
        <v>44922</v>
      </c>
      <c r="NZ6" s="45"/>
      <c r="OC6" s="47" t="s">
        <v>14</v>
      </c>
      <c r="OD6" s="48"/>
      <c r="OE6" s="48"/>
      <c r="OF6" s="49"/>
      <c r="OG6" s="59">
        <v>44923</v>
      </c>
      <c r="OH6" s="44"/>
      <c r="OI6" s="45"/>
      <c r="OJ6" s="60" t="s">
        <v>15</v>
      </c>
      <c r="OK6" s="60"/>
      <c r="OL6" s="60"/>
      <c r="OM6" s="59">
        <v>44923</v>
      </c>
      <c r="ON6" s="45"/>
      <c r="OQ6" s="47" t="s">
        <v>14</v>
      </c>
      <c r="OR6" s="48"/>
      <c r="OS6" s="48"/>
      <c r="OT6" s="49"/>
      <c r="OU6" s="59">
        <v>44924</v>
      </c>
      <c r="OV6" s="44"/>
      <c r="OW6" s="45"/>
      <c r="OX6" s="60" t="s">
        <v>15</v>
      </c>
      <c r="OY6" s="60"/>
      <c r="OZ6" s="60"/>
      <c r="PA6" s="59">
        <v>44924</v>
      </c>
      <c r="PB6" s="45"/>
      <c r="PE6" s="47" t="s">
        <v>14</v>
      </c>
      <c r="PF6" s="48"/>
      <c r="PG6" s="48"/>
      <c r="PH6" s="49"/>
      <c r="PI6" s="59">
        <v>44925</v>
      </c>
      <c r="PJ6" s="44"/>
      <c r="PK6" s="45"/>
      <c r="PL6" s="60" t="s">
        <v>15</v>
      </c>
      <c r="PM6" s="60"/>
      <c r="PN6" s="60"/>
      <c r="PO6" s="59">
        <v>44925</v>
      </c>
      <c r="PP6" s="45"/>
      <c r="PS6" s="47" t="s">
        <v>14</v>
      </c>
      <c r="PT6" s="48"/>
      <c r="PU6" s="48"/>
      <c r="PV6" s="49"/>
      <c r="PW6" s="59">
        <v>44928</v>
      </c>
      <c r="PX6" s="44"/>
      <c r="PY6" s="45"/>
      <c r="PZ6" s="60" t="s">
        <v>15</v>
      </c>
      <c r="QA6" s="60"/>
      <c r="QB6" s="60"/>
      <c r="QC6" s="59">
        <v>44928</v>
      </c>
      <c r="QD6" s="45"/>
      <c r="QG6" s="47" t="s">
        <v>14</v>
      </c>
      <c r="QH6" s="48"/>
      <c r="QI6" s="48"/>
      <c r="QJ6" s="49"/>
      <c r="QK6" s="59">
        <v>44929</v>
      </c>
      <c r="QL6" s="44"/>
      <c r="QM6" s="45"/>
      <c r="QN6" s="60" t="s">
        <v>15</v>
      </c>
      <c r="QO6" s="60"/>
      <c r="QP6" s="60"/>
      <c r="QQ6" s="59">
        <v>44929</v>
      </c>
      <c r="QR6" s="45"/>
      <c r="QU6" s="47" t="s">
        <v>14</v>
      </c>
      <c r="QV6" s="48"/>
      <c r="QW6" s="48"/>
      <c r="QX6" s="49"/>
      <c r="QY6" s="59">
        <v>44930</v>
      </c>
      <c r="QZ6" s="44"/>
      <c r="RA6" s="45"/>
      <c r="RB6" s="60" t="s">
        <v>15</v>
      </c>
      <c r="RC6" s="60"/>
      <c r="RD6" s="60"/>
      <c r="RE6" s="59">
        <v>44930</v>
      </c>
      <c r="RF6" s="45"/>
      <c r="RI6" s="47" t="s">
        <v>14</v>
      </c>
      <c r="RJ6" s="48"/>
      <c r="RK6" s="48"/>
      <c r="RL6" s="49"/>
      <c r="RM6" s="59">
        <v>44938</v>
      </c>
      <c r="RN6" s="44"/>
      <c r="RO6" s="45"/>
      <c r="RP6" s="60" t="s">
        <v>15</v>
      </c>
      <c r="RQ6" s="60"/>
      <c r="RR6" s="60"/>
      <c r="RS6" s="59">
        <v>44938</v>
      </c>
      <c r="RT6" s="45"/>
      <c r="RW6" s="47" t="s">
        <v>14</v>
      </c>
      <c r="RX6" s="48"/>
      <c r="RY6" s="48"/>
      <c r="RZ6" s="49"/>
      <c r="SA6" s="59">
        <v>44943</v>
      </c>
      <c r="SB6" s="44"/>
      <c r="SC6" s="45"/>
      <c r="SD6" s="60" t="s">
        <v>15</v>
      </c>
      <c r="SE6" s="60"/>
      <c r="SF6" s="60"/>
      <c r="SG6" s="59">
        <v>44943</v>
      </c>
      <c r="SH6" s="45"/>
      <c r="SK6" s="47" t="s">
        <v>14</v>
      </c>
      <c r="SL6" s="48"/>
      <c r="SM6" s="48"/>
      <c r="SN6" s="49"/>
      <c r="SO6" s="59">
        <v>44945</v>
      </c>
      <c r="SP6" s="44"/>
      <c r="SQ6" s="45"/>
      <c r="SR6" s="60" t="s">
        <v>15</v>
      </c>
      <c r="SS6" s="60"/>
      <c r="ST6" s="60"/>
      <c r="SU6" s="59">
        <v>44945</v>
      </c>
      <c r="SV6" s="45"/>
      <c r="SY6" s="47" t="s">
        <v>14</v>
      </c>
      <c r="SZ6" s="48"/>
      <c r="TA6" s="48"/>
      <c r="TB6" s="49"/>
      <c r="TC6" s="59">
        <v>44950</v>
      </c>
      <c r="TD6" s="44"/>
      <c r="TE6" s="45"/>
      <c r="TF6" s="60" t="s">
        <v>15</v>
      </c>
      <c r="TG6" s="60"/>
      <c r="TH6" s="60"/>
      <c r="TI6" s="59">
        <v>44950</v>
      </c>
      <c r="TJ6" s="45"/>
      <c r="TM6" s="47" t="s">
        <v>14</v>
      </c>
      <c r="TN6" s="48"/>
      <c r="TO6" s="48"/>
      <c r="TP6" s="49"/>
      <c r="TQ6" s="59">
        <v>44951</v>
      </c>
      <c r="TR6" s="44"/>
      <c r="TS6" s="45"/>
      <c r="TT6" s="60" t="s">
        <v>15</v>
      </c>
      <c r="TU6" s="60"/>
      <c r="TV6" s="60"/>
      <c r="TW6" s="59">
        <v>44951</v>
      </c>
      <c r="TX6" s="45"/>
      <c r="UA6" s="47" t="s">
        <v>14</v>
      </c>
      <c r="UB6" s="48"/>
      <c r="UC6" s="48"/>
      <c r="UD6" s="49"/>
      <c r="UE6" s="59">
        <v>44952</v>
      </c>
      <c r="UF6" s="44"/>
      <c r="UG6" s="45"/>
      <c r="UH6" s="60" t="s">
        <v>15</v>
      </c>
      <c r="UI6" s="60"/>
      <c r="UJ6" s="60"/>
      <c r="UK6" s="59">
        <v>44952</v>
      </c>
      <c r="UL6" s="45"/>
      <c r="UO6" s="47" t="s">
        <v>14</v>
      </c>
      <c r="UP6" s="48"/>
      <c r="UQ6" s="48"/>
      <c r="UR6" s="49"/>
      <c r="US6" s="59">
        <v>44953</v>
      </c>
      <c r="UT6" s="44"/>
      <c r="UU6" s="45"/>
      <c r="UV6" s="60" t="s">
        <v>15</v>
      </c>
      <c r="UW6" s="60"/>
      <c r="UX6" s="60"/>
      <c r="UY6" s="59">
        <v>44953</v>
      </c>
      <c r="UZ6" s="45"/>
      <c r="VC6" s="47" t="s">
        <v>14</v>
      </c>
      <c r="VD6" s="48"/>
      <c r="VE6" s="48"/>
      <c r="VF6" s="49"/>
      <c r="VG6" s="59">
        <v>44957</v>
      </c>
      <c r="VH6" s="44"/>
      <c r="VI6" s="45"/>
      <c r="VJ6" s="60" t="s">
        <v>15</v>
      </c>
      <c r="VK6" s="60"/>
      <c r="VL6" s="60"/>
      <c r="VM6" s="59">
        <v>44957</v>
      </c>
      <c r="VN6" s="45"/>
      <c r="VQ6" s="47" t="s">
        <v>14</v>
      </c>
      <c r="VR6" s="48"/>
      <c r="VS6" s="48"/>
      <c r="VT6" s="49"/>
      <c r="VU6" s="59">
        <v>44958</v>
      </c>
      <c r="VV6" s="44"/>
      <c r="VW6" s="45"/>
      <c r="VX6" s="60" t="s">
        <v>15</v>
      </c>
      <c r="VY6" s="60"/>
      <c r="VZ6" s="60"/>
      <c r="WA6" s="59">
        <v>44958</v>
      </c>
      <c r="WB6" s="45"/>
      <c r="WE6" s="47" t="s">
        <v>14</v>
      </c>
      <c r="WF6" s="48"/>
      <c r="WG6" s="48"/>
      <c r="WH6" s="49"/>
      <c r="WI6" s="59">
        <v>44959</v>
      </c>
      <c r="WJ6" s="44"/>
      <c r="WK6" s="45"/>
      <c r="WL6" s="60" t="s">
        <v>15</v>
      </c>
      <c r="WM6" s="60"/>
      <c r="WN6" s="60"/>
      <c r="WO6" s="59">
        <v>44959</v>
      </c>
      <c r="WP6" s="45"/>
      <c r="WS6" s="47" t="s">
        <v>14</v>
      </c>
      <c r="WT6" s="48"/>
      <c r="WU6" s="48"/>
      <c r="WV6" s="49"/>
      <c r="WW6" s="59">
        <v>44960</v>
      </c>
      <c r="WX6" s="44"/>
      <c r="WY6" s="45"/>
      <c r="WZ6" s="60" t="s">
        <v>15</v>
      </c>
      <c r="XA6" s="60"/>
      <c r="XB6" s="60"/>
      <c r="XC6" s="59">
        <v>44960</v>
      </c>
      <c r="XD6" s="45"/>
      <c r="XG6" s="47" t="s">
        <v>14</v>
      </c>
      <c r="XH6" s="48"/>
      <c r="XI6" s="48"/>
      <c r="XJ6" s="49"/>
      <c r="XK6" s="59">
        <v>44961</v>
      </c>
      <c r="XL6" s="44"/>
      <c r="XM6" s="45"/>
      <c r="XN6" s="60" t="s">
        <v>15</v>
      </c>
      <c r="XO6" s="60"/>
      <c r="XP6" s="60"/>
      <c r="XQ6" s="59">
        <v>44961</v>
      </c>
      <c r="XR6" s="45"/>
      <c r="XU6" s="47" t="s">
        <v>14</v>
      </c>
      <c r="XV6" s="48"/>
      <c r="XW6" s="48"/>
      <c r="XX6" s="49"/>
      <c r="XY6" s="59">
        <v>44963</v>
      </c>
      <c r="XZ6" s="44"/>
      <c r="YA6" s="45"/>
      <c r="YB6" s="60" t="s">
        <v>15</v>
      </c>
      <c r="YC6" s="60"/>
      <c r="YD6" s="60"/>
      <c r="YE6" s="59">
        <v>44963</v>
      </c>
      <c r="YF6" s="45"/>
      <c r="YI6" s="47" t="s">
        <v>14</v>
      </c>
      <c r="YJ6" s="48"/>
      <c r="YK6" s="48"/>
      <c r="YL6" s="49"/>
      <c r="YM6" s="59">
        <v>44965</v>
      </c>
      <c r="YN6" s="44"/>
      <c r="YO6" s="45"/>
      <c r="YP6" s="60" t="s">
        <v>15</v>
      </c>
      <c r="YQ6" s="60"/>
      <c r="YR6" s="60"/>
      <c r="YS6" s="59">
        <v>44965</v>
      </c>
      <c r="YT6" s="45"/>
      <c r="YW6" s="47" t="s">
        <v>14</v>
      </c>
      <c r="YX6" s="48"/>
      <c r="YY6" s="48"/>
      <c r="YZ6" s="49"/>
      <c r="ZA6" s="59">
        <v>44979</v>
      </c>
      <c r="ZB6" s="44"/>
      <c r="ZC6" s="45"/>
      <c r="ZD6" s="60" t="s">
        <v>15</v>
      </c>
      <c r="ZE6" s="60"/>
      <c r="ZF6" s="60"/>
      <c r="ZG6" s="59">
        <v>44979</v>
      </c>
      <c r="ZH6" s="45"/>
      <c r="ZK6" s="47" t="s">
        <v>14</v>
      </c>
      <c r="ZL6" s="48"/>
      <c r="ZM6" s="48"/>
      <c r="ZN6" s="49"/>
      <c r="ZO6" s="59">
        <v>44979</v>
      </c>
      <c r="ZP6" s="44"/>
      <c r="ZQ6" s="45"/>
      <c r="ZR6" s="60" t="s">
        <v>15</v>
      </c>
      <c r="ZS6" s="60"/>
      <c r="ZT6" s="60"/>
      <c r="ZU6" s="59">
        <v>44979</v>
      </c>
      <c r="ZV6" s="45"/>
      <c r="ZZ6" s="64" t="s">
        <v>14</v>
      </c>
      <c r="AAA6" s="65"/>
      <c r="AAB6" s="65"/>
      <c r="AAC6" s="66"/>
      <c r="AAD6" s="67"/>
      <c r="AAE6" s="55" t="s">
        <v>15</v>
      </c>
      <c r="AAF6" s="56"/>
      <c r="AAG6" s="56"/>
      <c r="AAH6" s="57"/>
      <c r="AAI6" s="58"/>
      <c r="AAM6" s="64" t="s">
        <v>14</v>
      </c>
      <c r="AAN6" s="65"/>
      <c r="AAO6" s="65"/>
      <c r="AAP6" s="66"/>
      <c r="AAQ6" s="67"/>
      <c r="AAR6" s="55" t="s">
        <v>15</v>
      </c>
      <c r="AAS6" s="56"/>
      <c r="AAT6" s="56"/>
      <c r="AAU6" s="57"/>
      <c r="AAV6" s="58"/>
      <c r="AAZ6" s="64" t="s">
        <v>14</v>
      </c>
      <c r="ABA6" s="65"/>
      <c r="ABB6" s="65"/>
      <c r="ABC6" s="66">
        <v>44986</v>
      </c>
      <c r="ABD6" s="67"/>
      <c r="ABE6" s="55" t="s">
        <v>15</v>
      </c>
      <c r="ABF6" s="56"/>
      <c r="ABG6" s="56"/>
      <c r="ABH6" s="66">
        <v>44986</v>
      </c>
      <c r="ABI6" s="67"/>
      <c r="ABM6" s="64" t="s">
        <v>14</v>
      </c>
      <c r="ABN6" s="65"/>
      <c r="ABO6" s="65"/>
      <c r="ABP6" s="66">
        <v>44988</v>
      </c>
      <c r="ABQ6" s="67"/>
      <c r="ABR6" s="55" t="s">
        <v>15</v>
      </c>
      <c r="ABS6" s="56"/>
      <c r="ABT6" s="56"/>
      <c r="ABU6" s="66">
        <v>44988</v>
      </c>
      <c r="ABV6" s="67"/>
      <c r="ABZ6" s="64" t="s">
        <v>14</v>
      </c>
      <c r="ACA6" s="65"/>
      <c r="ACB6" s="65"/>
      <c r="ACC6" s="66">
        <v>44989</v>
      </c>
      <c r="ACD6" s="67"/>
      <c r="ACE6" s="55" t="s">
        <v>15</v>
      </c>
      <c r="ACF6" s="56"/>
      <c r="ACG6" s="56"/>
      <c r="ACH6" s="66">
        <v>44989</v>
      </c>
      <c r="ACI6" s="67"/>
      <c r="ACM6" s="64" t="s">
        <v>14</v>
      </c>
      <c r="ACN6" s="65"/>
      <c r="ACO6" s="65"/>
      <c r="ACP6" s="66">
        <v>44991</v>
      </c>
      <c r="ACQ6" s="67"/>
      <c r="ACR6" s="55" t="s">
        <v>15</v>
      </c>
      <c r="ACS6" s="56"/>
      <c r="ACT6" s="56"/>
      <c r="ACU6" s="66">
        <v>44991</v>
      </c>
      <c r="ACV6" s="67"/>
      <c r="ACZ6" s="64" t="s">
        <v>14</v>
      </c>
      <c r="ADA6" s="65"/>
      <c r="ADB6" s="65"/>
      <c r="ADC6" s="66">
        <v>44992</v>
      </c>
      <c r="ADD6" s="67"/>
      <c r="ADE6" s="55" t="s">
        <v>15</v>
      </c>
      <c r="ADF6" s="56"/>
      <c r="ADG6" s="56"/>
      <c r="ADH6" s="66">
        <v>44992</v>
      </c>
      <c r="ADI6" s="67"/>
      <c r="ADM6" s="64" t="s">
        <v>14</v>
      </c>
      <c r="ADN6" s="65"/>
      <c r="ADO6" s="65"/>
      <c r="ADP6" s="66">
        <v>44994</v>
      </c>
      <c r="ADQ6" s="67"/>
      <c r="ADR6" s="55" t="s">
        <v>15</v>
      </c>
      <c r="ADS6" s="56"/>
      <c r="ADT6" s="56"/>
      <c r="ADU6" s="66">
        <v>44994</v>
      </c>
      <c r="ADV6" s="67"/>
      <c r="ADZ6" s="64" t="s">
        <v>14</v>
      </c>
      <c r="AEA6" s="65"/>
      <c r="AEB6" s="65"/>
      <c r="AEC6" s="66">
        <v>44995</v>
      </c>
      <c r="AED6" s="67"/>
      <c r="AEE6" s="55" t="s">
        <v>15</v>
      </c>
      <c r="AEF6" s="56"/>
      <c r="AEG6" s="56"/>
      <c r="AEH6" s="66">
        <v>44995</v>
      </c>
      <c r="AEI6" s="67"/>
      <c r="AEM6" s="64" t="s">
        <v>14</v>
      </c>
      <c r="AEN6" s="65"/>
      <c r="AEO6" s="65"/>
      <c r="AEP6" s="66">
        <v>44998</v>
      </c>
      <c r="AEQ6" s="67"/>
      <c r="AER6" s="55" t="s">
        <v>15</v>
      </c>
      <c r="AES6" s="56"/>
      <c r="AET6" s="56"/>
      <c r="AEU6" s="66">
        <v>44998</v>
      </c>
      <c r="AEV6" s="67"/>
      <c r="AEZ6" s="64" t="s">
        <v>14</v>
      </c>
      <c r="AFA6" s="65"/>
      <c r="AFB6" s="65"/>
      <c r="AFC6" s="66">
        <v>45002</v>
      </c>
      <c r="AFD6" s="67"/>
      <c r="AFE6" s="55" t="s">
        <v>15</v>
      </c>
      <c r="AFF6" s="56"/>
      <c r="AFG6" s="56"/>
      <c r="AFH6" s="66">
        <v>45002</v>
      </c>
      <c r="AFI6" s="67"/>
      <c r="AFM6" s="64" t="s">
        <v>14</v>
      </c>
      <c r="AFN6" s="65"/>
      <c r="AFO6" s="65"/>
      <c r="AFP6" s="66">
        <v>45007</v>
      </c>
      <c r="AFQ6" s="67"/>
      <c r="AFR6" s="55" t="s">
        <v>15</v>
      </c>
      <c r="AFS6" s="56"/>
      <c r="AFT6" s="56"/>
      <c r="AFU6" s="66">
        <v>45007</v>
      </c>
      <c r="AFV6" s="67"/>
      <c r="AFZ6" s="64" t="s">
        <v>14</v>
      </c>
      <c r="AGA6" s="65"/>
      <c r="AGB6" s="65"/>
      <c r="AGC6" s="66">
        <v>45008</v>
      </c>
      <c r="AGD6" s="67"/>
      <c r="AGE6" s="55" t="s">
        <v>15</v>
      </c>
      <c r="AGF6" s="56"/>
      <c r="AGG6" s="56"/>
      <c r="AGH6" s="66">
        <v>45008</v>
      </c>
      <c r="AGI6" s="67"/>
      <c r="AGL6" s="64" t="s">
        <v>14</v>
      </c>
      <c r="AGM6" s="65"/>
      <c r="AGN6" s="65"/>
      <c r="AGO6" s="66">
        <v>45012</v>
      </c>
      <c r="AGP6" s="67"/>
      <c r="AGQ6" s="55" t="s">
        <v>15</v>
      </c>
      <c r="AGR6" s="56"/>
      <c r="AGS6" s="56"/>
      <c r="AGT6" s="66">
        <v>45012</v>
      </c>
      <c r="AGU6" s="67"/>
      <c r="AGX6" s="64" t="s">
        <v>14</v>
      </c>
      <c r="AGY6" s="65"/>
      <c r="AGZ6" s="65"/>
      <c r="AHA6" s="66">
        <v>45017</v>
      </c>
      <c r="AHB6" s="67"/>
      <c r="AHC6" s="55" t="s">
        <v>15</v>
      </c>
      <c r="AHD6" s="56"/>
      <c r="AHE6" s="56"/>
      <c r="AHF6" s="66">
        <v>45017</v>
      </c>
      <c r="AHG6" s="67"/>
      <c r="AHJ6" s="64" t="s">
        <v>14</v>
      </c>
      <c r="AHK6" s="65"/>
      <c r="AHL6" s="65"/>
      <c r="AHM6" s="66">
        <v>45019</v>
      </c>
      <c r="AHN6" s="67"/>
      <c r="AHO6" s="55" t="s">
        <v>15</v>
      </c>
      <c r="AHP6" s="56"/>
      <c r="AHQ6" s="56"/>
      <c r="AHR6" s="66">
        <v>45019</v>
      </c>
      <c r="AHS6" s="67"/>
      <c r="AHV6" s="64" t="s">
        <v>14</v>
      </c>
      <c r="AHW6" s="65"/>
      <c r="AHX6" s="65"/>
      <c r="AHY6" s="66">
        <v>45021</v>
      </c>
      <c r="AHZ6" s="67"/>
      <c r="AIA6" s="55" t="s">
        <v>15</v>
      </c>
      <c r="AIB6" s="56"/>
      <c r="AIC6" s="56"/>
      <c r="AID6" s="66">
        <v>45021</v>
      </c>
      <c r="AIE6" s="67"/>
      <c r="AIH6" s="64" t="s">
        <v>14</v>
      </c>
      <c r="AII6" s="65"/>
      <c r="AIJ6" s="65"/>
      <c r="AIK6" s="66">
        <v>45021</v>
      </c>
      <c r="AIL6" s="67"/>
      <c r="AIM6" s="55" t="s">
        <v>15</v>
      </c>
      <c r="AIN6" s="56"/>
      <c r="AIO6" s="56"/>
      <c r="AIP6" s="66">
        <v>45021</v>
      </c>
      <c r="AIQ6" s="67"/>
      <c r="AIT6" s="64" t="s">
        <v>14</v>
      </c>
      <c r="AIU6" s="65"/>
      <c r="AIV6" s="65"/>
      <c r="AIW6" s="66">
        <v>45021</v>
      </c>
      <c r="AIX6" s="67"/>
      <c r="AIY6" s="55" t="s">
        <v>15</v>
      </c>
      <c r="AIZ6" s="56"/>
      <c r="AJA6" s="56"/>
      <c r="AJB6" s="66">
        <v>45021</v>
      </c>
      <c r="AJC6" s="67"/>
      <c r="AJF6" s="64" t="s">
        <v>14</v>
      </c>
      <c r="AJG6" s="65"/>
      <c r="AJH6" s="65"/>
      <c r="AJI6" s="66">
        <v>45030</v>
      </c>
      <c r="AJJ6" s="67"/>
      <c r="AJK6" s="55" t="s">
        <v>15</v>
      </c>
      <c r="AJL6" s="56"/>
      <c r="AJM6" s="56"/>
      <c r="AJN6" s="66">
        <v>45030</v>
      </c>
      <c r="AJO6" s="67"/>
      <c r="AJR6" s="64" t="s">
        <v>14</v>
      </c>
      <c r="AJS6" s="65"/>
      <c r="AJT6" s="65"/>
      <c r="AJU6" s="66">
        <v>45031</v>
      </c>
      <c r="AJV6" s="67"/>
      <c r="AJW6" s="55" t="s">
        <v>15</v>
      </c>
      <c r="AJX6" s="56"/>
      <c r="AJY6" s="56"/>
      <c r="AJZ6" s="66">
        <v>45031</v>
      </c>
      <c r="AKA6" s="67"/>
      <c r="AKD6" s="64" t="s">
        <v>14</v>
      </c>
      <c r="AKE6" s="65"/>
      <c r="AKF6" s="65"/>
      <c r="AKG6" s="66">
        <v>45035</v>
      </c>
      <c r="AKH6" s="67"/>
      <c r="AKI6" s="55" t="s">
        <v>15</v>
      </c>
      <c r="AKJ6" s="56"/>
      <c r="AKK6" s="56"/>
      <c r="AKL6" s="66">
        <v>45035</v>
      </c>
      <c r="AKM6" s="67"/>
      <c r="AKP6" s="64" t="s">
        <v>14</v>
      </c>
      <c r="AKQ6" s="65"/>
      <c r="AKR6" s="65"/>
      <c r="AKS6" s="66">
        <v>45041</v>
      </c>
      <c r="AKT6" s="67"/>
      <c r="AKU6" s="55" t="s">
        <v>15</v>
      </c>
      <c r="AKV6" s="56"/>
      <c r="AKW6" s="56"/>
      <c r="AKX6" s="66">
        <v>45041</v>
      </c>
      <c r="AKY6" s="67"/>
      <c r="ALB6" s="64" t="s">
        <v>14</v>
      </c>
      <c r="ALC6" s="65"/>
      <c r="ALD6" s="65"/>
      <c r="ALE6" s="66">
        <v>45071</v>
      </c>
      <c r="ALF6" s="67"/>
      <c r="ALG6" s="55" t="s">
        <v>15</v>
      </c>
      <c r="ALH6" s="56"/>
      <c r="ALI6" s="56"/>
      <c r="ALJ6" s="66">
        <v>45041</v>
      </c>
      <c r="ALK6" s="67"/>
      <c r="ALN6" s="64" t="s">
        <v>14</v>
      </c>
      <c r="ALO6" s="65"/>
      <c r="ALP6" s="65"/>
      <c r="ALQ6" s="66">
        <v>45064</v>
      </c>
      <c r="ALR6" s="67"/>
      <c r="ALS6" s="55" t="s">
        <v>15</v>
      </c>
      <c r="ALT6" s="56"/>
      <c r="ALU6" s="56"/>
      <c r="ALV6" s="66">
        <v>45034</v>
      </c>
      <c r="ALW6" s="67"/>
      <c r="ALZ6" s="64" t="s">
        <v>14</v>
      </c>
      <c r="AMA6" s="65"/>
      <c r="AMB6" s="65"/>
      <c r="AMC6" s="66">
        <v>45078</v>
      </c>
      <c r="AMD6" s="67"/>
      <c r="AME6" s="55" t="s">
        <v>15</v>
      </c>
      <c r="AMF6" s="56"/>
      <c r="AMG6" s="56"/>
      <c r="AMH6" s="66">
        <v>45078</v>
      </c>
      <c r="AMI6" s="67"/>
      <c r="AML6" s="64" t="s">
        <v>14</v>
      </c>
      <c r="AMM6" s="65"/>
      <c r="AMN6" s="65"/>
      <c r="AMO6" s="66">
        <v>45107</v>
      </c>
      <c r="AMP6" s="67"/>
      <c r="AMQ6" s="55" t="s">
        <v>15</v>
      </c>
      <c r="AMR6" s="56"/>
      <c r="AMS6" s="56"/>
      <c r="AMT6" s="66">
        <v>45107</v>
      </c>
      <c r="AMU6" s="67"/>
      <c r="AMX6" s="64" t="s">
        <v>14</v>
      </c>
      <c r="AMY6" s="65"/>
      <c r="AMZ6" s="65"/>
      <c r="ANA6" s="66">
        <v>45113</v>
      </c>
      <c r="ANB6" s="67"/>
      <c r="ANC6" s="55" t="s">
        <v>15</v>
      </c>
      <c r="AND6" s="56"/>
      <c r="ANE6" s="56"/>
      <c r="ANF6" s="66">
        <v>45113</v>
      </c>
      <c r="ANG6" s="67"/>
      <c r="ANJ6" s="64" t="s">
        <v>14</v>
      </c>
      <c r="ANK6" s="65"/>
      <c r="ANL6" s="65"/>
      <c r="ANM6" s="66">
        <v>45142</v>
      </c>
      <c r="ANN6" s="67"/>
      <c r="ANO6" s="55" t="s">
        <v>15</v>
      </c>
      <c r="ANP6" s="56"/>
      <c r="ANQ6" s="56"/>
      <c r="ANR6" s="66">
        <v>45142</v>
      </c>
      <c r="ANS6" s="67"/>
      <c r="ANV6" s="64" t="s">
        <v>14</v>
      </c>
      <c r="ANW6" s="65"/>
      <c r="ANX6" s="65"/>
      <c r="ANY6" s="66">
        <v>45143</v>
      </c>
      <c r="ANZ6" s="67"/>
      <c r="AOA6" s="55" t="s">
        <v>15</v>
      </c>
      <c r="AOB6" s="56"/>
      <c r="AOC6" s="56"/>
      <c r="AOD6" s="66">
        <v>45143</v>
      </c>
      <c r="AOE6" s="67"/>
      <c r="AOH6" s="64" t="s">
        <v>14</v>
      </c>
      <c r="AOI6" s="65"/>
      <c r="AOJ6" s="65"/>
      <c r="AOK6" s="66">
        <v>45147</v>
      </c>
      <c r="AOL6" s="67"/>
      <c r="AOM6" s="55" t="s">
        <v>15</v>
      </c>
      <c r="AON6" s="56"/>
      <c r="AOO6" s="56"/>
      <c r="AOP6" s="66">
        <v>45147</v>
      </c>
      <c r="AOQ6" s="67"/>
      <c r="AOT6" s="64" t="s">
        <v>14</v>
      </c>
      <c r="AOU6" s="65"/>
      <c r="AOV6" s="65"/>
      <c r="AOW6" s="66">
        <v>45148</v>
      </c>
      <c r="AOX6" s="67"/>
      <c r="AOY6" s="55" t="s">
        <v>15</v>
      </c>
      <c r="AOZ6" s="56"/>
      <c r="APA6" s="56"/>
      <c r="APB6" s="66">
        <v>45148</v>
      </c>
      <c r="APC6" s="67"/>
      <c r="APF6" s="64" t="s">
        <v>14</v>
      </c>
      <c r="APG6" s="65"/>
      <c r="APH6" s="65"/>
      <c r="API6" s="66">
        <v>45150</v>
      </c>
      <c r="APJ6" s="67"/>
      <c r="APK6" s="55" t="s">
        <v>15</v>
      </c>
      <c r="APL6" s="56"/>
      <c r="APM6" s="56"/>
      <c r="APN6" s="66">
        <v>45150</v>
      </c>
      <c r="APO6" s="67"/>
      <c r="APR6" s="64" t="s">
        <v>14</v>
      </c>
      <c r="APS6" s="65"/>
      <c r="APT6" s="65"/>
      <c r="APU6" s="66">
        <v>45153</v>
      </c>
      <c r="APV6" s="67"/>
      <c r="APW6" s="55" t="s">
        <v>15</v>
      </c>
      <c r="APX6" s="56"/>
      <c r="APY6" s="56"/>
      <c r="APZ6" s="66">
        <v>45153</v>
      </c>
      <c r="AQA6" s="67"/>
      <c r="AQD6" s="64" t="s">
        <v>14</v>
      </c>
      <c r="AQE6" s="65"/>
      <c r="AQF6" s="65"/>
      <c r="AQG6" s="66">
        <v>45154</v>
      </c>
      <c r="AQH6" s="67"/>
      <c r="AQI6" s="55" t="s">
        <v>15</v>
      </c>
      <c r="AQJ6" s="56"/>
      <c r="AQK6" s="56"/>
      <c r="AQL6" s="66">
        <v>45154</v>
      </c>
      <c r="AQM6" s="67"/>
      <c r="AQP6" s="64" t="s">
        <v>14</v>
      </c>
      <c r="AQQ6" s="65"/>
      <c r="AQR6" s="65"/>
      <c r="AQS6" s="66">
        <v>45156</v>
      </c>
      <c r="AQT6" s="67"/>
      <c r="AQU6" s="55" t="s">
        <v>15</v>
      </c>
      <c r="AQV6" s="56"/>
      <c r="AQW6" s="56"/>
      <c r="AQX6" s="66">
        <v>45156</v>
      </c>
      <c r="AQY6" s="67"/>
      <c r="ARB6" s="64" t="s">
        <v>14</v>
      </c>
      <c r="ARC6" s="65"/>
      <c r="ARD6" s="65"/>
      <c r="ARE6" s="66">
        <v>45161</v>
      </c>
      <c r="ARF6" s="67"/>
      <c r="ARG6" s="55" t="s">
        <v>15</v>
      </c>
      <c r="ARH6" s="56"/>
      <c r="ARI6" s="56"/>
      <c r="ARJ6" s="66">
        <v>45161</v>
      </c>
      <c r="ARK6" s="67"/>
      <c r="ARN6" s="64" t="s">
        <v>14</v>
      </c>
      <c r="ARO6" s="65"/>
      <c r="ARP6" s="65"/>
      <c r="ARQ6" s="66">
        <v>45177</v>
      </c>
      <c r="ARR6" s="67"/>
      <c r="ARS6" s="55" t="s">
        <v>15</v>
      </c>
      <c r="ART6" s="56"/>
      <c r="ARU6" s="56"/>
      <c r="ARV6" s="66">
        <v>45177</v>
      </c>
      <c r="ARW6" s="67"/>
      <c r="ARZ6" s="64" t="s">
        <v>14</v>
      </c>
      <c r="ASA6" s="65"/>
      <c r="ASB6" s="65"/>
      <c r="ASC6" s="66">
        <v>45191</v>
      </c>
      <c r="ASD6" s="67"/>
      <c r="ASE6" s="55" t="s">
        <v>15</v>
      </c>
      <c r="ASF6" s="56"/>
      <c r="ASG6" s="56"/>
      <c r="ASH6" s="66">
        <v>45191</v>
      </c>
      <c r="ASI6" s="67"/>
      <c r="ASL6" s="64" t="s">
        <v>14</v>
      </c>
      <c r="ASM6" s="65"/>
      <c r="ASN6" s="65"/>
      <c r="ASO6" s="66">
        <v>45194</v>
      </c>
      <c r="ASP6" s="67"/>
      <c r="ASQ6" s="55" t="s">
        <v>15</v>
      </c>
      <c r="ASR6" s="56"/>
      <c r="ASS6" s="56"/>
      <c r="AST6" s="66">
        <v>45194</v>
      </c>
      <c r="ASU6" s="67"/>
      <c r="ASX6" s="64" t="s">
        <v>14</v>
      </c>
      <c r="ASY6" s="65"/>
      <c r="ASZ6" s="65"/>
      <c r="ATA6" s="66">
        <v>45196</v>
      </c>
      <c r="ATB6" s="67"/>
      <c r="ATC6" s="55" t="s">
        <v>15</v>
      </c>
      <c r="ATD6" s="56"/>
      <c r="ATE6" s="56"/>
      <c r="ATF6" s="66">
        <v>45196</v>
      </c>
      <c r="ATG6" s="67"/>
      <c r="ATJ6" s="64" t="s">
        <v>14</v>
      </c>
      <c r="ATK6" s="65"/>
      <c r="ATL6" s="65"/>
      <c r="ATM6" s="66">
        <v>45202</v>
      </c>
      <c r="ATN6" s="67"/>
      <c r="ATO6" s="55" t="s">
        <v>15</v>
      </c>
      <c r="ATP6" s="56"/>
      <c r="ATQ6" s="56"/>
      <c r="ATR6" s="66">
        <v>45202</v>
      </c>
      <c r="ATS6" s="67"/>
      <c r="ATV6" s="64" t="s">
        <v>14</v>
      </c>
      <c r="ATW6" s="65"/>
      <c r="ATX6" s="65"/>
      <c r="ATY6" s="66">
        <v>45206</v>
      </c>
      <c r="ATZ6" s="67"/>
      <c r="AUA6" s="55" t="s">
        <v>15</v>
      </c>
      <c r="AUB6" s="56"/>
      <c r="AUC6" s="56"/>
      <c r="AUD6" s="66">
        <v>45206</v>
      </c>
      <c r="AUE6" s="67"/>
      <c r="AUH6" s="64" t="s">
        <v>14</v>
      </c>
      <c r="AUI6" s="65"/>
      <c r="AUJ6" s="65"/>
      <c r="AUK6" s="66">
        <v>45208</v>
      </c>
      <c r="AUL6" s="67"/>
      <c r="AUM6" s="55" t="s">
        <v>15</v>
      </c>
      <c r="AUN6" s="56"/>
      <c r="AUO6" s="56"/>
      <c r="AUP6" s="66">
        <v>45208</v>
      </c>
      <c r="AUQ6" s="67"/>
      <c r="AUT6" s="64" t="s">
        <v>14</v>
      </c>
      <c r="AUU6" s="65"/>
      <c r="AUV6" s="65"/>
      <c r="AUW6" s="66">
        <v>45211</v>
      </c>
      <c r="AUX6" s="67"/>
      <c r="AUY6" s="55" t="s">
        <v>15</v>
      </c>
      <c r="AUZ6" s="56"/>
      <c r="AVA6" s="56"/>
      <c r="AVB6" s="66">
        <v>45211</v>
      </c>
      <c r="AVC6" s="67"/>
      <c r="AVF6" s="64" t="s">
        <v>14</v>
      </c>
      <c r="AVG6" s="65"/>
      <c r="AVH6" s="65"/>
      <c r="AVI6" s="66">
        <v>45232</v>
      </c>
      <c r="AVJ6" s="67"/>
      <c r="AVK6" s="55" t="s">
        <v>15</v>
      </c>
      <c r="AVL6" s="56"/>
      <c r="AVM6" s="56"/>
      <c r="AVN6" s="66">
        <v>45232</v>
      </c>
      <c r="AVO6" s="67"/>
      <c r="AVR6" s="64" t="s">
        <v>14</v>
      </c>
      <c r="AVS6" s="65"/>
      <c r="AVT6" s="65"/>
      <c r="AVU6" s="66">
        <v>45238</v>
      </c>
      <c r="AVV6" s="67"/>
      <c r="AVW6" s="55" t="s">
        <v>15</v>
      </c>
      <c r="AVX6" s="56"/>
      <c r="AVY6" s="56"/>
      <c r="AVZ6" s="66">
        <v>45238</v>
      </c>
      <c r="AWA6" s="67"/>
      <c r="AWD6" s="64" t="s">
        <v>14</v>
      </c>
      <c r="AWE6" s="65"/>
      <c r="AWF6" s="65"/>
      <c r="AWG6" s="66">
        <v>45240</v>
      </c>
      <c r="AWH6" s="67"/>
      <c r="AWI6" s="55" t="s">
        <v>15</v>
      </c>
      <c r="AWJ6" s="56"/>
      <c r="AWK6" s="56"/>
      <c r="AWL6" s="66">
        <v>45240</v>
      </c>
      <c r="AWM6" s="67"/>
      <c r="AWP6" s="64" t="s">
        <v>14</v>
      </c>
      <c r="AWQ6" s="65"/>
      <c r="AWR6" s="65"/>
      <c r="AWS6" s="66">
        <v>45244</v>
      </c>
      <c r="AWT6" s="67"/>
      <c r="AWU6" s="55" t="s">
        <v>15</v>
      </c>
      <c r="AWV6" s="56"/>
      <c r="AWW6" s="56"/>
      <c r="AWX6" s="66">
        <v>45244</v>
      </c>
      <c r="AWY6" s="67"/>
      <c r="AXB6" s="64" t="s">
        <v>14</v>
      </c>
      <c r="AXC6" s="65"/>
      <c r="AXD6" s="65"/>
      <c r="AXE6" s="66">
        <v>45245</v>
      </c>
      <c r="AXF6" s="67"/>
      <c r="AXG6" s="55" t="s">
        <v>15</v>
      </c>
      <c r="AXH6" s="56"/>
      <c r="AXI6" s="56"/>
      <c r="AXJ6" s="66">
        <v>45245</v>
      </c>
      <c r="AXK6" s="67"/>
      <c r="AXN6" s="64" t="s">
        <v>14</v>
      </c>
      <c r="AXO6" s="65"/>
      <c r="AXP6" s="65"/>
      <c r="AXQ6" s="66">
        <v>45248</v>
      </c>
      <c r="AXR6" s="67"/>
      <c r="AXS6" s="55" t="s">
        <v>15</v>
      </c>
      <c r="AXT6" s="56"/>
      <c r="AXU6" s="56"/>
      <c r="AXV6" s="66">
        <v>45248</v>
      </c>
      <c r="AXW6" s="67"/>
      <c r="AXZ6" s="64" t="s">
        <v>14</v>
      </c>
      <c r="AYA6" s="65"/>
      <c r="AYB6" s="65"/>
      <c r="AYC6" s="66">
        <v>45252</v>
      </c>
      <c r="AYD6" s="67"/>
      <c r="AYE6" s="55" t="s">
        <v>15</v>
      </c>
      <c r="AYF6" s="56"/>
      <c r="AYG6" s="56"/>
      <c r="AYH6" s="66">
        <v>45252</v>
      </c>
      <c r="AYI6" s="67"/>
      <c r="AYL6" s="64" t="s">
        <v>14</v>
      </c>
      <c r="AYM6" s="65"/>
      <c r="AYN6" s="65"/>
      <c r="AYO6" s="66">
        <v>45253</v>
      </c>
      <c r="AYP6" s="67"/>
      <c r="AYQ6" s="55" t="s">
        <v>15</v>
      </c>
      <c r="AYR6" s="56"/>
      <c r="AYS6" s="56"/>
      <c r="AYT6" s="66">
        <v>45253</v>
      </c>
      <c r="AYU6" s="67"/>
      <c r="AYX6" s="64" t="s">
        <v>14</v>
      </c>
      <c r="AYY6" s="65"/>
      <c r="AYZ6" s="65"/>
      <c r="AZA6" s="66">
        <v>45254</v>
      </c>
      <c r="AZB6" s="67"/>
      <c r="AZC6" s="55" t="s">
        <v>15</v>
      </c>
      <c r="AZD6" s="56"/>
      <c r="AZE6" s="56"/>
      <c r="AZF6" s="66">
        <v>45254</v>
      </c>
      <c r="AZG6" s="67"/>
      <c r="AZJ6" s="64" t="s">
        <v>14</v>
      </c>
      <c r="AZK6" s="65"/>
      <c r="AZL6" s="65"/>
      <c r="AZM6" s="66">
        <v>45260</v>
      </c>
      <c r="AZN6" s="67"/>
      <c r="AZO6" s="55" t="s">
        <v>15</v>
      </c>
      <c r="AZP6" s="56"/>
      <c r="AZQ6" s="56"/>
      <c r="AZR6" s="66">
        <v>45260</v>
      </c>
      <c r="AZS6" s="67"/>
      <c r="AZV6" s="64" t="s">
        <v>14</v>
      </c>
      <c r="AZW6" s="65"/>
      <c r="AZX6" s="65"/>
      <c r="AZY6" s="66">
        <v>45261</v>
      </c>
      <c r="AZZ6" s="67"/>
      <c r="BAA6" s="55" t="s">
        <v>15</v>
      </c>
      <c r="BAB6" s="56"/>
      <c r="BAC6" s="56"/>
      <c r="BAD6" s="66">
        <v>45261</v>
      </c>
      <c r="BAE6" s="67"/>
      <c r="BAH6" s="64" t="s">
        <v>14</v>
      </c>
      <c r="BAI6" s="65"/>
      <c r="BAJ6" s="65"/>
      <c r="BAK6" s="66">
        <v>45262</v>
      </c>
      <c r="BAL6" s="67"/>
      <c r="BAM6" s="55" t="s">
        <v>15</v>
      </c>
      <c r="BAN6" s="56"/>
      <c r="BAO6" s="56"/>
      <c r="BAP6" s="66">
        <v>45262</v>
      </c>
      <c r="BAQ6" s="67"/>
      <c r="BAT6" s="64" t="s">
        <v>14</v>
      </c>
      <c r="BAU6" s="65"/>
      <c r="BAV6" s="65"/>
      <c r="BAW6" s="66">
        <v>45264</v>
      </c>
      <c r="BAX6" s="67"/>
      <c r="BAY6" s="55" t="s">
        <v>15</v>
      </c>
      <c r="BAZ6" s="56"/>
      <c r="BBA6" s="56"/>
      <c r="BBB6" s="66">
        <v>45264</v>
      </c>
      <c r="BBC6" s="67"/>
      <c r="BBF6" s="64" t="s">
        <v>14</v>
      </c>
      <c r="BBG6" s="65"/>
      <c r="BBH6" s="65"/>
      <c r="BBI6" s="66">
        <v>45266</v>
      </c>
      <c r="BBJ6" s="67"/>
      <c r="BBK6" s="55" t="s">
        <v>15</v>
      </c>
      <c r="BBL6" s="56"/>
      <c r="BBM6" s="56"/>
      <c r="BBN6" s="66">
        <v>45266</v>
      </c>
      <c r="BBO6" s="67"/>
      <c r="BBR6" s="64" t="s">
        <v>14</v>
      </c>
      <c r="BBS6" s="65"/>
      <c r="BBT6" s="65"/>
      <c r="BBU6" s="66">
        <v>45272</v>
      </c>
      <c r="BBV6" s="67"/>
      <c r="BBW6" s="55" t="s">
        <v>15</v>
      </c>
      <c r="BBX6" s="56"/>
      <c r="BBY6" s="56"/>
      <c r="BBZ6" s="66">
        <v>45272</v>
      </c>
      <c r="BCA6" s="67"/>
      <c r="BCD6" s="64" t="s">
        <v>14</v>
      </c>
      <c r="BCE6" s="65"/>
      <c r="BCF6" s="65"/>
      <c r="BCG6" s="66">
        <v>45275</v>
      </c>
      <c r="BCH6" s="67"/>
      <c r="BCI6" s="55" t="s">
        <v>15</v>
      </c>
      <c r="BCJ6" s="56"/>
      <c r="BCK6" s="56"/>
      <c r="BCL6" s="66">
        <v>45275</v>
      </c>
      <c r="BCM6" s="67"/>
      <c r="BCP6" s="64" t="s">
        <v>14</v>
      </c>
      <c r="BCQ6" s="65"/>
      <c r="BCR6" s="65"/>
      <c r="BCS6" s="66">
        <v>45282</v>
      </c>
      <c r="BCT6" s="67"/>
      <c r="BCU6" s="55" t="s">
        <v>15</v>
      </c>
      <c r="BCV6" s="56"/>
      <c r="BCW6" s="56"/>
      <c r="BCX6" s="66">
        <v>45282</v>
      </c>
      <c r="BCY6" s="67"/>
      <c r="BDB6" s="64" t="s">
        <v>14</v>
      </c>
      <c r="BDC6" s="65"/>
      <c r="BDD6" s="65"/>
      <c r="BDE6" s="66">
        <v>45286</v>
      </c>
      <c r="BDF6" s="67"/>
      <c r="BDG6" s="55" t="s">
        <v>15</v>
      </c>
      <c r="BDH6" s="56"/>
      <c r="BDI6" s="56"/>
      <c r="BDJ6" s="66">
        <v>45286</v>
      </c>
      <c r="BDK6" s="67"/>
      <c r="BDN6" s="64" t="s">
        <v>14</v>
      </c>
      <c r="BDO6" s="65"/>
      <c r="BDP6" s="65"/>
      <c r="BDQ6" s="66">
        <v>45301</v>
      </c>
      <c r="BDR6" s="67"/>
      <c r="BDS6" s="55" t="s">
        <v>15</v>
      </c>
      <c r="BDT6" s="56"/>
      <c r="BDU6" s="56"/>
      <c r="BDV6" s="66">
        <v>45301</v>
      </c>
      <c r="BDW6" s="67"/>
      <c r="BDZ6" s="64" t="s">
        <v>14</v>
      </c>
      <c r="BEA6" s="65"/>
      <c r="BEB6" s="65"/>
      <c r="BEC6" s="66">
        <v>45302</v>
      </c>
      <c r="BED6" s="67"/>
      <c r="BEE6" s="55" t="s">
        <v>15</v>
      </c>
      <c r="BEF6" s="56"/>
      <c r="BEG6" s="56"/>
      <c r="BEH6" s="66">
        <v>45302</v>
      </c>
      <c r="BEI6" s="67"/>
      <c r="BEL6" s="64" t="s">
        <v>14</v>
      </c>
      <c r="BEM6" s="65"/>
      <c r="BEN6" s="65"/>
      <c r="BEO6" s="66">
        <v>45303</v>
      </c>
      <c r="BEP6" s="67"/>
      <c r="BEQ6" s="55" t="s">
        <v>15</v>
      </c>
      <c r="BER6" s="56"/>
      <c r="BES6" s="56"/>
      <c r="BET6" s="66">
        <v>45303</v>
      </c>
      <c r="BEU6" s="67"/>
      <c r="BEX6" s="64" t="s">
        <v>14</v>
      </c>
      <c r="BEY6" s="65"/>
      <c r="BEZ6" s="65"/>
      <c r="BFA6" s="66">
        <v>45310</v>
      </c>
      <c r="BFB6" s="67"/>
      <c r="BFC6" s="55" t="s">
        <v>15</v>
      </c>
      <c r="BFD6" s="56"/>
      <c r="BFE6" s="56"/>
      <c r="BFF6" s="66">
        <v>45310</v>
      </c>
      <c r="BFG6" s="67"/>
      <c r="BFJ6" s="64" t="s">
        <v>14</v>
      </c>
      <c r="BFK6" s="65"/>
      <c r="BFL6" s="65"/>
      <c r="BFM6" s="66">
        <v>45314</v>
      </c>
      <c r="BFN6" s="67"/>
      <c r="BFO6" s="55" t="s">
        <v>15</v>
      </c>
      <c r="BFP6" s="56"/>
      <c r="BFQ6" s="56"/>
      <c r="BFR6" s="66">
        <v>45314</v>
      </c>
      <c r="BFS6" s="67"/>
      <c r="BFV6" s="64" t="s">
        <v>14</v>
      </c>
      <c r="BFW6" s="65"/>
      <c r="BFX6" s="65"/>
      <c r="BFY6" s="66">
        <v>45317</v>
      </c>
      <c r="BFZ6" s="67"/>
      <c r="BGA6" s="55" t="s">
        <v>15</v>
      </c>
      <c r="BGB6" s="56"/>
      <c r="BGC6" s="56"/>
      <c r="BGD6" s="66">
        <v>45317</v>
      </c>
      <c r="BGE6" s="67"/>
      <c r="BGH6" s="64" t="s">
        <v>14</v>
      </c>
      <c r="BGI6" s="65"/>
      <c r="BGJ6" s="65"/>
      <c r="BGK6" s="66">
        <v>45323</v>
      </c>
      <c r="BGL6" s="67"/>
      <c r="BGM6" s="55" t="s">
        <v>15</v>
      </c>
      <c r="BGN6" s="56"/>
      <c r="BGO6" s="56"/>
      <c r="BGP6" s="66">
        <v>45323</v>
      </c>
      <c r="BGQ6" s="67"/>
      <c r="BGT6" s="64" t="s">
        <v>14</v>
      </c>
      <c r="BGU6" s="65"/>
      <c r="BGV6" s="65"/>
      <c r="BGW6" s="66">
        <v>45338</v>
      </c>
      <c r="BGX6" s="67"/>
      <c r="BGY6" s="55" t="s">
        <v>15</v>
      </c>
      <c r="BGZ6" s="56"/>
      <c r="BHA6" s="56"/>
      <c r="BHB6" s="66">
        <v>45338</v>
      </c>
      <c r="BHC6" s="67"/>
      <c r="BHF6" s="64" t="s">
        <v>14</v>
      </c>
      <c r="BHG6" s="65"/>
      <c r="BHH6" s="65"/>
      <c r="BHI6" s="66">
        <v>45339</v>
      </c>
      <c r="BHJ6" s="67"/>
      <c r="BHK6" s="55" t="s">
        <v>15</v>
      </c>
      <c r="BHL6" s="56"/>
      <c r="BHM6" s="56"/>
      <c r="BHN6" s="66">
        <v>45339</v>
      </c>
      <c r="BHO6" s="67"/>
      <c r="BHR6" s="64" t="s">
        <v>14</v>
      </c>
      <c r="BHS6" s="65"/>
      <c r="BHT6" s="65"/>
      <c r="BHU6" s="66">
        <v>45350</v>
      </c>
      <c r="BHV6" s="67"/>
      <c r="BHW6" s="55" t="s">
        <v>15</v>
      </c>
      <c r="BHX6" s="56"/>
      <c r="BHY6" s="56"/>
      <c r="BHZ6" s="66">
        <v>45350</v>
      </c>
      <c r="BIA6" s="67"/>
      <c r="BID6" s="64" t="s">
        <v>14</v>
      </c>
      <c r="BIE6" s="65"/>
      <c r="BIF6" s="65"/>
      <c r="BIG6" s="66">
        <v>45369</v>
      </c>
      <c r="BIH6" s="67"/>
      <c r="BII6" s="55" t="s">
        <v>15</v>
      </c>
      <c r="BIJ6" s="56"/>
      <c r="BIK6" s="56"/>
      <c r="BIL6" s="66">
        <v>45369</v>
      </c>
      <c r="BIM6" s="67"/>
      <c r="BIP6" s="64" t="s">
        <v>14</v>
      </c>
      <c r="BIQ6" s="65"/>
      <c r="BIR6" s="65"/>
      <c r="BIS6" s="66">
        <v>45372</v>
      </c>
      <c r="BIT6" s="67"/>
      <c r="BIU6" s="55" t="s">
        <v>15</v>
      </c>
      <c r="BIV6" s="56"/>
      <c r="BIW6" s="56"/>
      <c r="BIX6" s="66">
        <v>45372</v>
      </c>
      <c r="BIY6" s="67"/>
      <c r="BJB6" s="64" t="s">
        <v>14</v>
      </c>
      <c r="BJC6" s="65"/>
      <c r="BJD6" s="65"/>
      <c r="BJE6" s="66">
        <v>45373</v>
      </c>
      <c r="BJF6" s="67"/>
      <c r="BJG6" s="55" t="s">
        <v>15</v>
      </c>
      <c r="BJH6" s="56"/>
      <c r="BJI6" s="56"/>
      <c r="BJJ6" s="66">
        <v>45373</v>
      </c>
      <c r="BJK6" s="67"/>
      <c r="BJN6" s="64" t="s">
        <v>14</v>
      </c>
      <c r="BJO6" s="65"/>
      <c r="BJP6" s="65"/>
      <c r="BJQ6" s="66">
        <v>45374</v>
      </c>
      <c r="BJR6" s="67"/>
      <c r="BJS6" s="55" t="s">
        <v>15</v>
      </c>
      <c r="BJT6" s="56"/>
      <c r="BJU6" s="56"/>
      <c r="BJV6" s="66">
        <v>45374</v>
      </c>
      <c r="BJW6" s="67"/>
      <c r="BJZ6" s="64" t="s">
        <v>14</v>
      </c>
      <c r="BKA6" s="65"/>
      <c r="BKB6" s="65"/>
      <c r="BKC6" s="66">
        <v>45377</v>
      </c>
      <c r="BKD6" s="67"/>
      <c r="BKE6" s="55" t="s">
        <v>15</v>
      </c>
      <c r="BKF6" s="56"/>
      <c r="BKG6" s="56"/>
      <c r="BKH6" s="66">
        <v>45377</v>
      </c>
      <c r="BKI6" s="67"/>
      <c r="BKL6" s="64" t="s">
        <v>14</v>
      </c>
      <c r="BKM6" s="65"/>
      <c r="BKN6" s="65"/>
      <c r="BKO6" s="66">
        <v>45393</v>
      </c>
      <c r="BKP6" s="67"/>
      <c r="BKQ6" s="55" t="s">
        <v>15</v>
      </c>
      <c r="BKR6" s="56"/>
      <c r="BKS6" s="56"/>
      <c r="BKT6" s="66">
        <v>45393</v>
      </c>
      <c r="BKU6" s="67"/>
      <c r="BKX6" s="64" t="s">
        <v>14</v>
      </c>
      <c r="BKY6" s="65"/>
      <c r="BKZ6" s="65"/>
      <c r="BLA6" s="66">
        <v>45394</v>
      </c>
      <c r="BLB6" s="67"/>
      <c r="BLC6" s="55" t="s">
        <v>15</v>
      </c>
      <c r="BLD6" s="56"/>
      <c r="BLE6" s="56"/>
      <c r="BLF6" s="66">
        <v>45394</v>
      </c>
      <c r="BLG6" s="67"/>
      <c r="BLJ6" s="64" t="s">
        <v>14</v>
      </c>
      <c r="BLK6" s="65"/>
      <c r="BLL6" s="65"/>
      <c r="BLM6" s="66">
        <v>45395</v>
      </c>
      <c r="BLN6" s="67"/>
      <c r="BLO6" s="55" t="s">
        <v>15</v>
      </c>
      <c r="BLP6" s="56"/>
      <c r="BLQ6" s="56"/>
      <c r="BLR6" s="66">
        <v>45395</v>
      </c>
      <c r="BLS6" s="67"/>
      <c r="BLV6" s="64" t="s">
        <v>14</v>
      </c>
      <c r="BLW6" s="65"/>
      <c r="BLX6" s="65"/>
      <c r="BLY6" s="66">
        <v>45396</v>
      </c>
      <c r="BLZ6" s="67"/>
      <c r="BMA6" s="55" t="s">
        <v>15</v>
      </c>
      <c r="BMB6" s="56"/>
      <c r="BMC6" s="56"/>
      <c r="BMD6" s="66">
        <v>45396</v>
      </c>
      <c r="BME6" s="67"/>
      <c r="BMH6" s="64" t="s">
        <v>14</v>
      </c>
      <c r="BMI6" s="65"/>
      <c r="BMJ6" s="65"/>
      <c r="BMK6" s="66">
        <v>45397</v>
      </c>
      <c r="BML6" s="67"/>
      <c r="BMM6" s="55" t="s">
        <v>15</v>
      </c>
      <c r="BMN6" s="56"/>
      <c r="BMO6" s="56"/>
      <c r="BMP6" s="66">
        <v>45397</v>
      </c>
      <c r="BMQ6" s="67"/>
      <c r="BMT6" s="64" t="s">
        <v>14</v>
      </c>
      <c r="BMU6" s="65"/>
      <c r="BMV6" s="65"/>
      <c r="BMW6" s="66">
        <v>45401</v>
      </c>
      <c r="BMX6" s="67"/>
      <c r="BMY6" s="55" t="s">
        <v>15</v>
      </c>
      <c r="BMZ6" s="56"/>
      <c r="BNA6" s="56"/>
      <c r="BNB6" s="66">
        <v>45401</v>
      </c>
      <c r="BNC6" s="67"/>
      <c r="BNF6" s="64" t="s">
        <v>14</v>
      </c>
      <c r="BNG6" s="65"/>
      <c r="BNH6" s="65"/>
      <c r="BNI6" s="66">
        <v>45405</v>
      </c>
      <c r="BNJ6" s="67"/>
      <c r="BNK6" s="55" t="s">
        <v>15</v>
      </c>
      <c r="BNL6" s="56"/>
      <c r="BNM6" s="56"/>
      <c r="BNN6" s="66">
        <v>45405</v>
      </c>
      <c r="BNO6" s="67"/>
      <c r="BNR6" s="64" t="s">
        <v>14</v>
      </c>
      <c r="BNS6" s="65"/>
      <c r="BNT6" s="65"/>
      <c r="BNU6" s="66">
        <v>45407</v>
      </c>
      <c r="BNV6" s="67"/>
      <c r="BNW6" s="55" t="s">
        <v>15</v>
      </c>
      <c r="BNX6" s="56"/>
      <c r="BNY6" s="56"/>
      <c r="BNZ6" s="66">
        <v>45407</v>
      </c>
      <c r="BOA6" s="67"/>
      <c r="BOD6" s="64" t="s">
        <v>14</v>
      </c>
      <c r="BOE6" s="65"/>
      <c r="BOF6" s="65"/>
      <c r="BOG6" s="66">
        <v>45409</v>
      </c>
      <c r="BOH6" s="67"/>
      <c r="BOI6" s="55" t="s">
        <v>15</v>
      </c>
      <c r="BOJ6" s="56"/>
      <c r="BOK6" s="56"/>
      <c r="BOL6" s="66">
        <v>45409</v>
      </c>
      <c r="BOM6" s="67"/>
      <c r="BOP6" s="64" t="s">
        <v>14</v>
      </c>
      <c r="BOQ6" s="65"/>
      <c r="BOR6" s="65"/>
      <c r="BOS6" s="66">
        <v>45411</v>
      </c>
      <c r="BOT6" s="67"/>
      <c r="BOU6" s="55" t="s">
        <v>15</v>
      </c>
      <c r="BOV6" s="56"/>
      <c r="BOW6" s="56"/>
      <c r="BOX6" s="66">
        <v>45411</v>
      </c>
      <c r="BOY6" s="67"/>
      <c r="BPB6" s="64" t="s">
        <v>14</v>
      </c>
      <c r="BPC6" s="65"/>
      <c r="BPD6" s="65"/>
      <c r="BPE6" s="66">
        <v>45422</v>
      </c>
      <c r="BPF6" s="67"/>
      <c r="BPG6" s="55" t="s">
        <v>15</v>
      </c>
      <c r="BPH6" s="56"/>
      <c r="BPI6" s="56"/>
      <c r="BPJ6" s="66">
        <v>45422</v>
      </c>
      <c r="BPK6" s="67"/>
      <c r="BPN6" s="64" t="s">
        <v>14</v>
      </c>
      <c r="BPO6" s="65"/>
      <c r="BPP6" s="65"/>
      <c r="BPQ6" s="66">
        <v>45429</v>
      </c>
      <c r="BPR6" s="67"/>
      <c r="BPS6" s="55" t="s">
        <v>15</v>
      </c>
      <c r="BPT6" s="56"/>
      <c r="BPU6" s="56"/>
      <c r="BPV6" s="66">
        <v>45429</v>
      </c>
      <c r="BPW6" s="67"/>
      <c r="BPZ6" s="64" t="s">
        <v>14</v>
      </c>
      <c r="BQA6" s="65"/>
      <c r="BQB6" s="65"/>
      <c r="BQC6" s="66">
        <v>45434</v>
      </c>
      <c r="BQD6" s="67"/>
      <c r="BQE6" s="55" t="s">
        <v>15</v>
      </c>
      <c r="BQF6" s="56"/>
      <c r="BQG6" s="56"/>
      <c r="BQH6" s="66">
        <v>45434</v>
      </c>
      <c r="BQI6" s="67"/>
      <c r="BQL6" s="64" t="s">
        <v>14</v>
      </c>
      <c r="BQM6" s="65"/>
      <c r="BQN6" s="65"/>
      <c r="BQO6" s="66">
        <v>45435</v>
      </c>
      <c r="BQP6" s="67"/>
      <c r="BQQ6" s="55" t="s">
        <v>15</v>
      </c>
      <c r="BQR6" s="56"/>
      <c r="BQS6" s="56"/>
      <c r="BQT6" s="66">
        <v>45435</v>
      </c>
      <c r="BQU6" s="67"/>
      <c r="BQX6" s="64" t="s">
        <v>14</v>
      </c>
      <c r="BQY6" s="65"/>
      <c r="BQZ6" s="65"/>
      <c r="BRA6" s="66">
        <v>45442</v>
      </c>
      <c r="BRB6" s="67"/>
      <c r="BRC6" s="55" t="s">
        <v>15</v>
      </c>
      <c r="BRD6" s="56"/>
      <c r="BRE6" s="56"/>
      <c r="BRF6" s="66">
        <v>45442</v>
      </c>
      <c r="BRG6" s="67"/>
      <c r="BRJ6" s="64" t="s">
        <v>14</v>
      </c>
      <c r="BRK6" s="65"/>
      <c r="BRL6" s="65"/>
      <c r="BRM6" s="66">
        <v>45444</v>
      </c>
      <c r="BRN6" s="67"/>
      <c r="BRO6" s="55" t="s">
        <v>15</v>
      </c>
      <c r="BRP6" s="56"/>
      <c r="BRQ6" s="56"/>
      <c r="BRR6" s="66">
        <v>45444</v>
      </c>
      <c r="BRS6" s="67"/>
      <c r="BRV6" s="64" t="s">
        <v>14</v>
      </c>
      <c r="BRW6" s="65"/>
      <c r="BRX6" s="65"/>
      <c r="BRY6" s="66">
        <v>45449</v>
      </c>
      <c r="BRZ6" s="67"/>
      <c r="BSA6" s="55" t="s">
        <v>15</v>
      </c>
      <c r="BSB6" s="56"/>
      <c r="BSC6" s="56"/>
      <c r="BSD6" s="66">
        <v>45449</v>
      </c>
      <c r="BSE6" s="67"/>
      <c r="BSH6" s="64" t="s">
        <v>14</v>
      </c>
      <c r="BSI6" s="65"/>
      <c r="BSJ6" s="65"/>
      <c r="BSK6" s="66">
        <v>45450</v>
      </c>
      <c r="BSL6" s="67"/>
      <c r="BSM6" s="55" t="s">
        <v>15</v>
      </c>
      <c r="BSN6" s="56"/>
      <c r="BSO6" s="56"/>
      <c r="BSP6" s="66">
        <v>45450</v>
      </c>
      <c r="BSQ6" s="67"/>
      <c r="BST6" s="64" t="s">
        <v>14</v>
      </c>
      <c r="BSU6" s="65"/>
      <c r="BSV6" s="65"/>
      <c r="BSW6" s="66">
        <v>45451</v>
      </c>
      <c r="BSX6" s="67"/>
      <c r="BSY6" s="55" t="s">
        <v>15</v>
      </c>
      <c r="BSZ6" s="56"/>
      <c r="BTA6" s="56"/>
      <c r="BTB6" s="66">
        <v>45451</v>
      </c>
      <c r="BTC6" s="67"/>
      <c r="BTF6" s="64" t="s">
        <v>14</v>
      </c>
      <c r="BTG6" s="65"/>
      <c r="BTH6" s="65"/>
      <c r="BTI6" s="66">
        <v>45457</v>
      </c>
      <c r="BTJ6" s="67"/>
      <c r="BTK6" s="55" t="s">
        <v>15</v>
      </c>
      <c r="BTL6" s="56"/>
      <c r="BTM6" s="56"/>
      <c r="BTN6" s="66">
        <v>45457</v>
      </c>
      <c r="BTO6" s="67"/>
      <c r="BTR6" s="64" t="s">
        <v>14</v>
      </c>
      <c r="BTS6" s="65"/>
      <c r="BTT6" s="65"/>
      <c r="BTU6" s="66">
        <v>45458</v>
      </c>
      <c r="BTV6" s="67"/>
      <c r="BTW6" s="55" t="s">
        <v>15</v>
      </c>
      <c r="BTX6" s="56"/>
      <c r="BTY6" s="56"/>
      <c r="BTZ6" s="66">
        <v>45458</v>
      </c>
      <c r="BUA6" s="67"/>
      <c r="BUD6" s="64" t="s">
        <v>14</v>
      </c>
      <c r="BUE6" s="65"/>
      <c r="BUF6" s="65"/>
      <c r="BUG6" s="66">
        <v>45469</v>
      </c>
      <c r="BUH6" s="67"/>
      <c r="BUI6" s="55" t="s">
        <v>15</v>
      </c>
      <c r="BUJ6" s="56"/>
      <c r="BUK6" s="56"/>
      <c r="BUL6" s="66">
        <v>45469</v>
      </c>
      <c r="BUM6" s="67"/>
      <c r="BUP6" s="64" t="s">
        <v>14</v>
      </c>
      <c r="BUQ6" s="65"/>
      <c r="BUR6" s="65"/>
      <c r="BUS6" s="66">
        <v>45471</v>
      </c>
      <c r="BUT6" s="67"/>
      <c r="BUU6" s="55" t="s">
        <v>15</v>
      </c>
      <c r="BUV6" s="56"/>
      <c r="BUW6" s="56"/>
      <c r="BUX6" s="66">
        <v>45471</v>
      </c>
      <c r="BUY6" s="67"/>
      <c r="BVB6" s="64" t="s">
        <v>14</v>
      </c>
      <c r="BVC6" s="65"/>
      <c r="BVD6" s="65"/>
      <c r="BVE6" s="66">
        <v>45472</v>
      </c>
      <c r="BVF6" s="67"/>
      <c r="BVG6" s="55" t="s">
        <v>15</v>
      </c>
      <c r="BVH6" s="56"/>
      <c r="BVI6" s="56"/>
      <c r="BVJ6" s="66">
        <v>45472</v>
      </c>
      <c r="BVK6" s="67"/>
      <c r="BVN6" s="64" t="s">
        <v>14</v>
      </c>
      <c r="BVO6" s="65"/>
      <c r="BVP6" s="65"/>
      <c r="BVQ6" s="66">
        <v>45475</v>
      </c>
      <c r="BVR6" s="67"/>
      <c r="BVS6" s="55" t="s">
        <v>15</v>
      </c>
      <c r="BVT6" s="56"/>
      <c r="BVU6" s="56"/>
      <c r="BVV6" s="66">
        <v>45475</v>
      </c>
      <c r="BVW6" s="67"/>
      <c r="BVZ6" s="64" t="s">
        <v>14</v>
      </c>
      <c r="BWA6" s="65"/>
      <c r="BWB6" s="65"/>
      <c r="BWC6" s="66">
        <v>45477</v>
      </c>
      <c r="BWD6" s="67"/>
      <c r="BWE6" s="55" t="s">
        <v>15</v>
      </c>
      <c r="BWF6" s="56"/>
      <c r="BWG6" s="56"/>
      <c r="BWH6" s="66">
        <v>45477</v>
      </c>
      <c r="BWI6" s="67"/>
      <c r="BWL6" s="64" t="s">
        <v>14</v>
      </c>
      <c r="BWM6" s="65"/>
      <c r="BWN6" s="65"/>
      <c r="BWO6" s="66">
        <v>45481</v>
      </c>
      <c r="BWP6" s="67"/>
      <c r="BWQ6" s="55" t="s">
        <v>15</v>
      </c>
      <c r="BWR6" s="56"/>
      <c r="BWS6" s="56"/>
      <c r="BWT6" s="66">
        <v>45481</v>
      </c>
      <c r="BWU6" s="67"/>
      <c r="BWX6" s="64" t="s">
        <v>14</v>
      </c>
      <c r="BWY6" s="65"/>
      <c r="BWZ6" s="65"/>
      <c r="BXA6" s="66">
        <v>45492</v>
      </c>
      <c r="BXB6" s="67"/>
      <c r="BXC6" s="55" t="s">
        <v>15</v>
      </c>
      <c r="BXD6" s="56"/>
      <c r="BXE6" s="56"/>
      <c r="BXF6" s="66">
        <v>45492</v>
      </c>
      <c r="BXG6" s="67"/>
      <c r="BXJ6" s="64" t="s">
        <v>14</v>
      </c>
      <c r="BXK6" s="65"/>
      <c r="BXL6" s="65"/>
      <c r="BXM6" s="66">
        <v>45498</v>
      </c>
      <c r="BXN6" s="67"/>
      <c r="BXO6" s="55" t="s">
        <v>15</v>
      </c>
      <c r="BXP6" s="56"/>
      <c r="BXQ6" s="56"/>
      <c r="BXR6" s="66">
        <v>45498</v>
      </c>
      <c r="BXS6" s="67"/>
      <c r="BXV6" s="64" t="s">
        <v>14</v>
      </c>
      <c r="BXW6" s="65"/>
      <c r="BXX6" s="65"/>
      <c r="BXY6" s="66">
        <v>45503</v>
      </c>
      <c r="BXZ6" s="67"/>
      <c r="BYA6" s="55" t="s">
        <v>15</v>
      </c>
      <c r="BYB6" s="56"/>
      <c r="BYC6" s="56"/>
      <c r="BYD6" s="66">
        <v>45503</v>
      </c>
      <c r="BYE6" s="67"/>
      <c r="BYH6" s="64" t="s">
        <v>14</v>
      </c>
      <c r="BYI6" s="65"/>
      <c r="BYJ6" s="65"/>
      <c r="BYK6" s="66">
        <v>45509</v>
      </c>
      <c r="BYL6" s="67"/>
      <c r="BYM6" s="55" t="s">
        <v>15</v>
      </c>
      <c r="BYN6" s="56"/>
      <c r="BYO6" s="56"/>
      <c r="BYP6" s="66">
        <v>45509</v>
      </c>
      <c r="BYQ6" s="67"/>
      <c r="BYT6" s="64" t="s">
        <v>14</v>
      </c>
      <c r="BYU6" s="65"/>
      <c r="BYV6" s="65"/>
      <c r="BYW6" s="66">
        <v>45514</v>
      </c>
      <c r="BYX6" s="67"/>
      <c r="BYY6" s="55" t="s">
        <v>15</v>
      </c>
      <c r="BYZ6" s="56"/>
      <c r="BZA6" s="56"/>
      <c r="BZB6" s="66">
        <v>45514</v>
      </c>
      <c r="BZC6" s="67"/>
      <c r="BZF6" s="64" t="s">
        <v>14</v>
      </c>
      <c r="BZG6" s="65"/>
      <c r="BZH6" s="65"/>
      <c r="BZI6" s="66">
        <v>45517</v>
      </c>
      <c r="BZJ6" s="67"/>
      <c r="BZK6" s="55" t="s">
        <v>15</v>
      </c>
      <c r="BZL6" s="56"/>
      <c r="BZM6" s="56"/>
      <c r="BZN6" s="66">
        <v>45517</v>
      </c>
      <c r="BZO6" s="67"/>
      <c r="BZR6" s="64" t="s">
        <v>14</v>
      </c>
      <c r="BZS6" s="65"/>
      <c r="BZT6" s="65"/>
      <c r="BZU6" s="66">
        <v>45519</v>
      </c>
      <c r="BZV6" s="67"/>
      <c r="BZW6" s="55" t="s">
        <v>15</v>
      </c>
      <c r="BZX6" s="56"/>
      <c r="BZY6" s="56"/>
      <c r="BZZ6" s="66">
        <v>45519</v>
      </c>
      <c r="CAA6" s="67"/>
      <c r="CAD6" s="64" t="s">
        <v>14</v>
      </c>
      <c r="CAE6" s="65"/>
      <c r="CAF6" s="65"/>
      <c r="CAG6" s="66">
        <v>45520</v>
      </c>
      <c r="CAH6" s="67"/>
      <c r="CAI6" s="55" t="s">
        <v>15</v>
      </c>
      <c r="CAJ6" s="56"/>
      <c r="CAK6" s="56"/>
      <c r="CAL6" s="66">
        <v>45520</v>
      </c>
      <c r="CAM6" s="67"/>
      <c r="CAP6" s="64" t="s">
        <v>14</v>
      </c>
      <c r="CAQ6" s="65"/>
      <c r="CAR6" s="65"/>
      <c r="CAS6" s="66">
        <v>45521</v>
      </c>
      <c r="CAT6" s="67"/>
      <c r="CAU6" s="55" t="s">
        <v>15</v>
      </c>
      <c r="CAV6" s="56"/>
      <c r="CAW6" s="56"/>
      <c r="CAX6" s="66">
        <v>45521</v>
      </c>
      <c r="CAY6" s="67"/>
      <c r="CBB6" s="64" t="s">
        <v>14</v>
      </c>
      <c r="CBC6" s="65"/>
      <c r="CBD6" s="65"/>
      <c r="CBE6" s="66">
        <v>45524</v>
      </c>
      <c r="CBF6" s="67"/>
      <c r="CBG6" s="55" t="s">
        <v>15</v>
      </c>
      <c r="CBH6" s="56"/>
      <c r="CBI6" s="56"/>
      <c r="CBJ6" s="66">
        <v>45524</v>
      </c>
      <c r="CBK6" s="67"/>
      <c r="CBN6" s="64" t="s">
        <v>14</v>
      </c>
      <c r="CBO6" s="65"/>
      <c r="CBP6" s="65"/>
      <c r="CBQ6" s="66">
        <v>45525</v>
      </c>
      <c r="CBR6" s="67"/>
      <c r="CBS6" s="55" t="s">
        <v>15</v>
      </c>
      <c r="CBT6" s="56"/>
      <c r="CBU6" s="56"/>
      <c r="CBV6" s="66">
        <v>45525</v>
      </c>
      <c r="CBW6" s="67"/>
      <c r="CBZ6" s="64" t="s">
        <v>14</v>
      </c>
      <c r="CCA6" s="65"/>
      <c r="CCB6" s="65"/>
      <c r="CCC6" s="66">
        <v>45526</v>
      </c>
      <c r="CCD6" s="67"/>
      <c r="CCE6" s="55" t="s">
        <v>15</v>
      </c>
      <c r="CCF6" s="56"/>
      <c r="CCG6" s="56"/>
      <c r="CCH6" s="66">
        <v>45526</v>
      </c>
      <c r="CCI6" s="67"/>
      <c r="CCL6" s="64" t="s">
        <v>14</v>
      </c>
      <c r="CCM6" s="65"/>
      <c r="CCN6" s="65"/>
      <c r="CCO6" s="66">
        <v>45527</v>
      </c>
      <c r="CCP6" s="67"/>
      <c r="CCQ6" s="55" t="s">
        <v>15</v>
      </c>
      <c r="CCR6" s="56"/>
      <c r="CCS6" s="56"/>
      <c r="CCT6" s="66">
        <v>45527</v>
      </c>
      <c r="CCU6" s="67"/>
      <c r="CCX6" s="64" t="s">
        <v>14</v>
      </c>
      <c r="CCY6" s="65"/>
      <c r="CCZ6" s="65"/>
      <c r="CDA6" s="66">
        <v>45532</v>
      </c>
      <c r="CDB6" s="67"/>
      <c r="CDC6" s="55" t="s">
        <v>15</v>
      </c>
      <c r="CDD6" s="56"/>
      <c r="CDE6" s="56"/>
      <c r="CDF6" s="66">
        <v>45532</v>
      </c>
      <c r="CDG6" s="67"/>
      <c r="CDJ6" s="64" t="s">
        <v>14</v>
      </c>
      <c r="CDK6" s="65"/>
      <c r="CDL6" s="65"/>
      <c r="CDM6" s="66">
        <v>45533</v>
      </c>
      <c r="CDN6" s="67"/>
      <c r="CDO6" s="55" t="s">
        <v>15</v>
      </c>
      <c r="CDP6" s="56"/>
      <c r="CDQ6" s="56"/>
      <c r="CDR6" s="66">
        <v>45533</v>
      </c>
      <c r="CDS6" s="67"/>
      <c r="CDV6" s="64" t="s">
        <v>14</v>
      </c>
      <c r="CDW6" s="65"/>
      <c r="CDX6" s="65"/>
      <c r="CDY6" s="66">
        <v>45537</v>
      </c>
      <c r="CDZ6" s="67"/>
      <c r="CEA6" s="55" t="s">
        <v>15</v>
      </c>
      <c r="CEB6" s="56"/>
      <c r="CEC6" s="56"/>
      <c r="CED6" s="66">
        <v>45537</v>
      </c>
      <c r="CEE6" s="67"/>
      <c r="CEH6" s="64" t="s">
        <v>14</v>
      </c>
      <c r="CEI6" s="65"/>
      <c r="CEJ6" s="65"/>
      <c r="CEK6" s="66">
        <v>45538</v>
      </c>
      <c r="CEL6" s="67"/>
      <c r="CEM6" s="55" t="s">
        <v>15</v>
      </c>
      <c r="CEN6" s="56"/>
      <c r="CEO6" s="56"/>
      <c r="CEP6" s="66">
        <v>45538</v>
      </c>
      <c r="CEQ6" s="67"/>
      <c r="CET6" s="64" t="s">
        <v>14</v>
      </c>
      <c r="CEU6" s="65"/>
      <c r="CEV6" s="65"/>
      <c r="CEW6" s="66">
        <v>45540</v>
      </c>
      <c r="CEX6" s="67"/>
      <c r="CEY6" s="55" t="s">
        <v>15</v>
      </c>
      <c r="CEZ6" s="56"/>
      <c r="CFA6" s="56"/>
      <c r="CFB6" s="66">
        <v>45540</v>
      </c>
      <c r="CFC6" s="67"/>
      <c r="CFF6" s="64" t="s">
        <v>14</v>
      </c>
      <c r="CFG6" s="65"/>
      <c r="CFH6" s="65"/>
      <c r="CFI6" s="66">
        <v>45541</v>
      </c>
      <c r="CFJ6" s="67"/>
      <c r="CFK6" s="55" t="s">
        <v>15</v>
      </c>
      <c r="CFL6" s="56"/>
      <c r="CFM6" s="56"/>
      <c r="CFN6" s="66">
        <v>45541</v>
      </c>
      <c r="CFO6" s="67"/>
      <c r="CFR6" s="64" t="s">
        <v>14</v>
      </c>
      <c r="CFS6" s="65"/>
      <c r="CFT6" s="65"/>
      <c r="CFU6" s="66">
        <v>45544</v>
      </c>
      <c r="CFV6" s="67"/>
      <c r="CFW6" s="55" t="s">
        <v>15</v>
      </c>
      <c r="CFX6" s="56"/>
      <c r="CFY6" s="56"/>
      <c r="CFZ6" s="66">
        <v>45544</v>
      </c>
      <c r="CGA6" s="67"/>
      <c r="CGD6" s="64" t="s">
        <v>14</v>
      </c>
      <c r="CGE6" s="65"/>
      <c r="CGF6" s="65"/>
      <c r="CGG6" s="66">
        <v>45545</v>
      </c>
      <c r="CGH6" s="67"/>
      <c r="CGI6" s="55" t="s">
        <v>15</v>
      </c>
      <c r="CGJ6" s="56"/>
      <c r="CGK6" s="56"/>
      <c r="CGL6" s="66">
        <v>45545</v>
      </c>
      <c r="CGM6" s="67"/>
      <c r="CGP6" s="64" t="s">
        <v>14</v>
      </c>
      <c r="CGQ6" s="65"/>
      <c r="CGR6" s="65"/>
      <c r="CGS6" s="66">
        <v>45546</v>
      </c>
      <c r="CGT6" s="67"/>
      <c r="CGU6" s="55" t="s">
        <v>15</v>
      </c>
      <c r="CGV6" s="56"/>
      <c r="CGW6" s="56"/>
      <c r="CGX6" s="66">
        <v>45546</v>
      </c>
      <c r="CGY6" s="67"/>
      <c r="CHB6" s="64" t="s">
        <v>14</v>
      </c>
      <c r="CHC6" s="65"/>
      <c r="CHD6" s="65"/>
      <c r="CHE6" s="66">
        <v>45547</v>
      </c>
      <c r="CHF6" s="67"/>
      <c r="CHG6" s="55" t="s">
        <v>15</v>
      </c>
      <c r="CHH6" s="56"/>
      <c r="CHI6" s="56"/>
      <c r="CHJ6" s="66">
        <v>45547</v>
      </c>
      <c r="CHK6" s="67"/>
      <c r="CHN6" s="64" t="s">
        <v>14</v>
      </c>
      <c r="CHO6" s="65"/>
      <c r="CHP6" s="65"/>
      <c r="CHQ6" s="66">
        <v>45548</v>
      </c>
      <c r="CHR6" s="67"/>
      <c r="CHS6" s="55" t="s">
        <v>15</v>
      </c>
      <c r="CHT6" s="56"/>
      <c r="CHU6" s="56"/>
      <c r="CHV6" s="66">
        <v>45548</v>
      </c>
      <c r="CHW6" s="67"/>
      <c r="CHZ6" s="64" t="s">
        <v>14</v>
      </c>
      <c r="CIA6" s="65"/>
      <c r="CIB6" s="65"/>
      <c r="CIC6" s="66">
        <v>45591</v>
      </c>
      <c r="CID6" s="67"/>
      <c r="CIE6" s="55" t="s">
        <v>15</v>
      </c>
      <c r="CIF6" s="56"/>
      <c r="CIG6" s="56"/>
      <c r="CIH6" s="66">
        <v>45591</v>
      </c>
      <c r="CII6" s="67"/>
      <c r="CIL6" s="64" t="s">
        <v>14</v>
      </c>
      <c r="CIM6" s="65"/>
      <c r="CIN6" s="65"/>
      <c r="CIO6" s="66">
        <v>45598</v>
      </c>
      <c r="CIP6" s="67"/>
      <c r="CIQ6" s="55" t="s">
        <v>15</v>
      </c>
      <c r="CIR6" s="56"/>
      <c r="CIS6" s="56"/>
      <c r="CIT6" s="66">
        <v>45598</v>
      </c>
      <c r="CIU6" s="67"/>
      <c r="CIX6" s="64" t="s">
        <v>14</v>
      </c>
      <c r="CIY6" s="65"/>
      <c r="CIZ6" s="65"/>
      <c r="CJA6" s="66">
        <v>45604</v>
      </c>
      <c r="CJB6" s="67"/>
      <c r="CJC6" s="55" t="s">
        <v>15</v>
      </c>
      <c r="CJD6" s="56"/>
      <c r="CJE6" s="56"/>
      <c r="CJF6" s="66">
        <v>45604</v>
      </c>
      <c r="CJG6" s="67"/>
      <c r="CJJ6" s="64" t="s">
        <v>14</v>
      </c>
      <c r="CJK6" s="65"/>
      <c r="CJL6" s="65"/>
      <c r="CJM6" s="66">
        <v>45605</v>
      </c>
      <c r="CJN6" s="67"/>
      <c r="CJO6" s="55" t="s">
        <v>15</v>
      </c>
      <c r="CJP6" s="56"/>
      <c r="CJQ6" s="56"/>
      <c r="CJR6" s="66">
        <v>45605</v>
      </c>
      <c r="CJS6" s="67"/>
      <c r="CJV6" s="64" t="s">
        <v>14</v>
      </c>
      <c r="CJW6" s="65"/>
      <c r="CJX6" s="65"/>
      <c r="CJY6" s="66">
        <v>45608</v>
      </c>
      <c r="CJZ6" s="67"/>
      <c r="CKA6" s="55" t="s">
        <v>15</v>
      </c>
      <c r="CKB6" s="56"/>
      <c r="CKC6" s="56"/>
      <c r="CKD6" s="66">
        <v>45608</v>
      </c>
      <c r="CKE6" s="67"/>
      <c r="CKH6" s="64" t="s">
        <v>14</v>
      </c>
      <c r="CKI6" s="65"/>
      <c r="CKJ6" s="65"/>
      <c r="CKK6" s="66">
        <v>45612</v>
      </c>
      <c r="CKL6" s="67"/>
      <c r="CKM6" s="55" t="s">
        <v>15</v>
      </c>
      <c r="CKN6" s="56"/>
      <c r="CKO6" s="56"/>
      <c r="CKP6" s="66">
        <v>45612</v>
      </c>
      <c r="CKQ6" s="67"/>
      <c r="CKT6" s="64" t="s">
        <v>14</v>
      </c>
      <c r="CKU6" s="65"/>
      <c r="CKV6" s="65"/>
      <c r="CKW6" s="66">
        <v>45629</v>
      </c>
      <c r="CKX6" s="67"/>
      <c r="CKY6" s="55" t="s">
        <v>15</v>
      </c>
      <c r="CKZ6" s="56"/>
      <c r="CLA6" s="56"/>
      <c r="CLB6" s="66">
        <v>45629</v>
      </c>
      <c r="CLC6" s="67"/>
      <c r="CLF6" s="64" t="s">
        <v>14</v>
      </c>
      <c r="CLG6" s="65"/>
      <c r="CLH6" s="65"/>
      <c r="CLI6" s="66">
        <v>45633</v>
      </c>
      <c r="CLJ6" s="67"/>
      <c r="CLK6" s="55" t="s">
        <v>15</v>
      </c>
      <c r="CLL6" s="56"/>
      <c r="CLM6" s="56"/>
      <c r="CLN6" s="66">
        <v>45633</v>
      </c>
      <c r="CLO6" s="67"/>
      <c r="CLR6" s="64" t="s">
        <v>14</v>
      </c>
      <c r="CLS6" s="65"/>
      <c r="CLT6" s="65"/>
      <c r="CLU6" s="66">
        <v>45635</v>
      </c>
      <c r="CLV6" s="67"/>
      <c r="CLW6" s="55" t="s">
        <v>15</v>
      </c>
      <c r="CLX6" s="56"/>
      <c r="CLY6" s="56"/>
      <c r="CLZ6" s="66">
        <v>45635</v>
      </c>
      <c r="CMA6" s="67"/>
      <c r="CMD6" s="64" t="s">
        <v>14</v>
      </c>
      <c r="CME6" s="65"/>
      <c r="CMF6" s="65"/>
      <c r="CMG6" s="66">
        <v>45652</v>
      </c>
      <c r="CMH6" s="67"/>
      <c r="CMI6" s="55" t="s">
        <v>15</v>
      </c>
      <c r="CMJ6" s="56"/>
      <c r="CMK6" s="56"/>
      <c r="CML6" s="66">
        <v>45652</v>
      </c>
      <c r="CMM6" s="67"/>
      <c r="CMP6" s="64" t="s">
        <v>14</v>
      </c>
      <c r="CMQ6" s="65"/>
      <c r="CMR6" s="65"/>
      <c r="CMS6" s="66">
        <v>45653</v>
      </c>
      <c r="CMT6" s="67"/>
      <c r="CMU6" s="55" t="s">
        <v>15</v>
      </c>
      <c r="CMV6" s="56"/>
      <c r="CMW6" s="56"/>
      <c r="CMX6" s="66">
        <v>45653</v>
      </c>
      <c r="CMY6" s="67"/>
      <c r="CNB6" s="64" t="s">
        <v>14</v>
      </c>
      <c r="CNC6" s="65"/>
      <c r="CND6" s="65"/>
      <c r="CNE6" s="66">
        <v>45654</v>
      </c>
      <c r="CNF6" s="67"/>
      <c r="CNG6" s="55" t="s">
        <v>15</v>
      </c>
      <c r="CNH6" s="56"/>
      <c r="CNI6" s="56"/>
      <c r="CNJ6" s="66">
        <v>45654</v>
      </c>
      <c r="CNK6" s="67"/>
      <c r="CNN6" s="64" t="s">
        <v>14</v>
      </c>
      <c r="CNO6" s="65"/>
      <c r="CNP6" s="65"/>
      <c r="CNQ6" s="66">
        <v>45660</v>
      </c>
      <c r="CNR6" s="67"/>
      <c r="CNS6" s="55" t="s">
        <v>15</v>
      </c>
      <c r="CNT6" s="56"/>
      <c r="CNU6" s="56"/>
      <c r="CNV6" s="66">
        <v>45660</v>
      </c>
      <c r="CNW6" s="67"/>
      <c r="CNZ6" s="64" t="s">
        <v>14</v>
      </c>
      <c r="COA6" s="65"/>
      <c r="COB6" s="65"/>
      <c r="COC6" s="66">
        <v>45664</v>
      </c>
      <c r="COD6" s="67"/>
      <c r="COE6" s="55" t="s">
        <v>15</v>
      </c>
      <c r="COF6" s="56"/>
      <c r="COG6" s="56"/>
      <c r="COH6" s="66">
        <v>45664</v>
      </c>
      <c r="COI6" s="67"/>
      <c r="COL6" s="64" t="s">
        <v>14</v>
      </c>
      <c r="COM6" s="65"/>
      <c r="CON6" s="65"/>
      <c r="COO6" s="66">
        <v>45666</v>
      </c>
      <c r="COP6" s="67"/>
      <c r="COQ6" s="55" t="s">
        <v>15</v>
      </c>
      <c r="COR6" s="56"/>
      <c r="COS6" s="56"/>
      <c r="COT6" s="66">
        <v>45666</v>
      </c>
      <c r="COU6" s="67"/>
      <c r="COX6" s="64" t="s">
        <v>14</v>
      </c>
      <c r="COY6" s="65"/>
      <c r="COZ6" s="65"/>
      <c r="CPA6" s="66">
        <v>45668</v>
      </c>
      <c r="CPB6" s="67"/>
      <c r="CPC6" s="55" t="s">
        <v>15</v>
      </c>
      <c r="CPD6" s="56"/>
      <c r="CPE6" s="56"/>
      <c r="CPF6" s="66">
        <v>45668</v>
      </c>
      <c r="CPG6" s="67"/>
      <c r="CPJ6" s="64" t="s">
        <v>14</v>
      </c>
      <c r="CPK6" s="65"/>
      <c r="CPL6" s="65"/>
      <c r="CPM6" s="66">
        <v>45669</v>
      </c>
      <c r="CPN6" s="67"/>
      <c r="CPO6" s="55" t="s">
        <v>15</v>
      </c>
      <c r="CPP6" s="56"/>
      <c r="CPQ6" s="56"/>
      <c r="CPR6" s="66">
        <v>45669</v>
      </c>
      <c r="CPS6" s="67"/>
      <c r="CPV6" s="64" t="s">
        <v>14</v>
      </c>
      <c r="CPW6" s="65"/>
      <c r="CPX6" s="65"/>
      <c r="CPY6" s="66">
        <v>45671</v>
      </c>
      <c r="CPZ6" s="67"/>
      <c r="CQA6" s="55" t="s">
        <v>15</v>
      </c>
      <c r="CQB6" s="56"/>
      <c r="CQC6" s="56"/>
      <c r="CQD6" s="66">
        <v>45671</v>
      </c>
      <c r="CQE6" s="67"/>
      <c r="CQH6" s="64" t="s">
        <v>14</v>
      </c>
      <c r="CQI6" s="65"/>
      <c r="CQJ6" s="65"/>
      <c r="CQK6" s="66">
        <v>45672</v>
      </c>
      <c r="CQL6" s="67"/>
      <c r="CQM6" s="55" t="s">
        <v>15</v>
      </c>
      <c r="CQN6" s="56"/>
      <c r="CQO6" s="56"/>
      <c r="CQP6" s="66">
        <v>45672</v>
      </c>
      <c r="CQQ6" s="67"/>
      <c r="CQT6" s="64" t="s">
        <v>14</v>
      </c>
      <c r="CQU6" s="65"/>
      <c r="CQV6" s="65"/>
      <c r="CQW6" s="66">
        <v>45674</v>
      </c>
      <c r="CQX6" s="67"/>
      <c r="CQY6" s="55" t="s">
        <v>15</v>
      </c>
      <c r="CQZ6" s="56"/>
      <c r="CRA6" s="56"/>
      <c r="CRB6" s="66">
        <v>45674</v>
      </c>
      <c r="CRC6" s="67"/>
      <c r="CRF6" s="64" t="s">
        <v>14</v>
      </c>
      <c r="CRG6" s="65"/>
      <c r="CRH6" s="65"/>
      <c r="CRI6" s="66">
        <v>45675</v>
      </c>
      <c r="CRJ6" s="67"/>
      <c r="CRK6" s="55" t="s">
        <v>15</v>
      </c>
      <c r="CRL6" s="56"/>
      <c r="CRM6" s="56"/>
      <c r="CRN6" s="66">
        <v>45675</v>
      </c>
      <c r="CRO6" s="67"/>
      <c r="CRR6" s="64" t="s">
        <v>14</v>
      </c>
      <c r="CRS6" s="65"/>
      <c r="CRT6" s="65"/>
      <c r="CRU6" s="66">
        <v>45677</v>
      </c>
      <c r="CRV6" s="67"/>
      <c r="CRW6" s="55" t="s">
        <v>15</v>
      </c>
      <c r="CRX6" s="56"/>
      <c r="CRY6" s="56"/>
      <c r="CRZ6" s="66">
        <v>45677</v>
      </c>
      <c r="CSA6" s="67"/>
      <c r="CSD6" s="64" t="s">
        <v>14</v>
      </c>
      <c r="CSE6" s="65"/>
      <c r="CSF6" s="65"/>
      <c r="CSG6" s="66">
        <v>45678</v>
      </c>
      <c r="CSH6" s="67"/>
      <c r="CSI6" s="55" t="s">
        <v>15</v>
      </c>
      <c r="CSJ6" s="56"/>
      <c r="CSK6" s="56"/>
      <c r="CSL6" s="66">
        <v>45678</v>
      </c>
      <c r="CSM6" s="67"/>
      <c r="CSP6" s="64" t="s">
        <v>14</v>
      </c>
      <c r="CSQ6" s="65"/>
      <c r="CSR6" s="65"/>
      <c r="CSS6" s="66">
        <v>45680</v>
      </c>
      <c r="CST6" s="67"/>
      <c r="CSU6" s="55" t="s">
        <v>15</v>
      </c>
      <c r="CSV6" s="56"/>
      <c r="CSW6" s="56"/>
      <c r="CSX6" s="66">
        <v>45680</v>
      </c>
      <c r="CSY6" s="67"/>
      <c r="CTB6" s="64" t="s">
        <v>14</v>
      </c>
      <c r="CTC6" s="65"/>
      <c r="CTD6" s="65"/>
      <c r="CTE6" s="66">
        <v>45681</v>
      </c>
      <c r="CTF6" s="67"/>
      <c r="CTG6" s="55" t="s">
        <v>15</v>
      </c>
      <c r="CTH6" s="56"/>
      <c r="CTI6" s="56"/>
      <c r="CTJ6" s="66">
        <v>45681</v>
      </c>
      <c r="CTK6" s="67"/>
      <c r="CTN6" s="64" t="s">
        <v>14</v>
      </c>
      <c r="CTO6" s="65"/>
      <c r="CTP6" s="65"/>
      <c r="CTQ6" s="66">
        <v>45703</v>
      </c>
      <c r="CTR6" s="67"/>
      <c r="CTS6" s="55" t="s">
        <v>15</v>
      </c>
      <c r="CTT6" s="56"/>
      <c r="CTU6" s="56"/>
      <c r="CTV6" s="66">
        <v>45703</v>
      </c>
      <c r="CTW6" s="67"/>
      <c r="CTZ6" s="64" t="s">
        <v>14</v>
      </c>
      <c r="CUA6" s="65"/>
      <c r="CUB6" s="65"/>
      <c r="CUC6" s="66">
        <v>45705</v>
      </c>
      <c r="CUD6" s="67"/>
      <c r="CUE6" s="55" t="s">
        <v>15</v>
      </c>
      <c r="CUF6" s="56"/>
      <c r="CUG6" s="56"/>
      <c r="CUH6" s="66">
        <v>45705</v>
      </c>
      <c r="CUI6" s="67"/>
      <c r="CUL6" s="64" t="s">
        <v>14</v>
      </c>
      <c r="CUM6" s="65"/>
      <c r="CUN6" s="65"/>
      <c r="CUO6" s="66">
        <v>45706</v>
      </c>
      <c r="CUP6" s="67"/>
      <c r="CUQ6" s="55" t="s">
        <v>15</v>
      </c>
      <c r="CUR6" s="56"/>
      <c r="CUS6" s="56"/>
      <c r="CUT6" s="66">
        <v>45706</v>
      </c>
      <c r="CUU6" s="67"/>
      <c r="CUX6" s="64" t="s">
        <v>14</v>
      </c>
      <c r="CUY6" s="65"/>
      <c r="CUZ6" s="65"/>
      <c r="CVA6" s="66">
        <v>45707</v>
      </c>
      <c r="CVB6" s="67"/>
      <c r="CVC6" s="55" t="s">
        <v>15</v>
      </c>
      <c r="CVD6" s="56"/>
      <c r="CVE6" s="56"/>
      <c r="CVF6" s="66">
        <v>45707</v>
      </c>
      <c r="CVG6" s="67"/>
      <c r="CVJ6" s="64" t="s">
        <v>14</v>
      </c>
      <c r="CVK6" s="65"/>
      <c r="CVL6" s="65"/>
      <c r="CVM6" s="66">
        <v>45712</v>
      </c>
      <c r="CVN6" s="67"/>
      <c r="CVO6" s="55" t="s">
        <v>15</v>
      </c>
      <c r="CVP6" s="56"/>
      <c r="CVQ6" s="56"/>
      <c r="CVR6" s="66">
        <v>45712</v>
      </c>
      <c r="CVS6" s="67"/>
      <c r="CVV6" s="64" t="s">
        <v>14</v>
      </c>
      <c r="CVW6" s="65"/>
      <c r="CVX6" s="65"/>
      <c r="CVY6" s="66"/>
      <c r="CVZ6" s="67"/>
      <c r="CWA6" s="55" t="s">
        <v>15</v>
      </c>
      <c r="CWB6" s="56"/>
      <c r="CWC6" s="56"/>
      <c r="CWD6" s="66"/>
      <c r="CWE6" s="67"/>
    </row>
    <row r="7" spans="1:1023 1026:2631" x14ac:dyDescent="0.25">
      <c r="A7" s="43" t="s">
        <v>16</v>
      </c>
      <c r="B7" s="44"/>
      <c r="C7" s="44"/>
      <c r="D7" s="44"/>
      <c r="E7" s="45"/>
      <c r="F7" s="68"/>
      <c r="G7" s="68"/>
      <c r="H7" s="68"/>
      <c r="I7" s="43" t="s">
        <v>17</v>
      </c>
      <c r="J7" s="44"/>
      <c r="K7" s="45"/>
      <c r="L7" s="60">
        <v>35000</v>
      </c>
      <c r="O7" s="43" t="s">
        <v>16</v>
      </c>
      <c r="P7" s="44"/>
      <c r="Q7" s="44"/>
      <c r="R7" s="44"/>
      <c r="S7" s="45"/>
      <c r="T7" s="68"/>
      <c r="U7" s="68"/>
      <c r="V7" s="68"/>
      <c r="W7" s="43" t="s">
        <v>17</v>
      </c>
      <c r="X7" s="44"/>
      <c r="Y7" s="45"/>
      <c r="Z7" s="60">
        <v>35000</v>
      </c>
      <c r="AC7" s="43" t="s">
        <v>16</v>
      </c>
      <c r="AD7" s="44"/>
      <c r="AE7" s="44"/>
      <c r="AF7" s="44"/>
      <c r="AG7" s="45"/>
      <c r="AH7" s="69"/>
      <c r="AI7" s="70"/>
      <c r="AJ7" s="71"/>
      <c r="AK7" s="43" t="s">
        <v>17</v>
      </c>
      <c r="AL7" s="44"/>
      <c r="AM7" s="45"/>
      <c r="AN7" s="60">
        <v>33000</v>
      </c>
      <c r="AQ7" s="43" t="s">
        <v>16</v>
      </c>
      <c r="AR7" s="44"/>
      <c r="AS7" s="44"/>
      <c r="AT7" s="44"/>
      <c r="AU7" s="45"/>
      <c r="AV7" s="68"/>
      <c r="AW7" s="68"/>
      <c r="AX7" s="68"/>
      <c r="AY7" s="43" t="s">
        <v>17</v>
      </c>
      <c r="AZ7" s="44"/>
      <c r="BA7" s="45"/>
      <c r="BB7" s="60">
        <v>27000</v>
      </c>
      <c r="BE7" s="43" t="s">
        <v>16</v>
      </c>
      <c r="BF7" s="44"/>
      <c r="BG7" s="44"/>
      <c r="BH7" s="44"/>
      <c r="BI7" s="45"/>
      <c r="BJ7" s="68"/>
      <c r="BK7" s="68"/>
      <c r="BL7" s="68"/>
      <c r="BM7" s="43" t="s">
        <v>17</v>
      </c>
      <c r="BN7" s="44"/>
      <c r="BO7" s="45"/>
      <c r="BP7" s="60">
        <v>35000</v>
      </c>
      <c r="BS7" s="43" t="s">
        <v>16</v>
      </c>
      <c r="BT7" s="44"/>
      <c r="BU7" s="44"/>
      <c r="BV7" s="44"/>
      <c r="BW7" s="45"/>
      <c r="BX7" s="68"/>
      <c r="BY7" s="68"/>
      <c r="BZ7" s="68"/>
      <c r="CA7" s="43" t="s">
        <v>17</v>
      </c>
      <c r="CB7" s="44"/>
      <c r="CC7" s="45"/>
      <c r="CD7" s="60">
        <v>31000</v>
      </c>
      <c r="CG7" s="43" t="s">
        <v>16</v>
      </c>
      <c r="CH7" s="44"/>
      <c r="CI7" s="44"/>
      <c r="CJ7" s="44"/>
      <c r="CK7" s="45"/>
      <c r="CL7" s="68"/>
      <c r="CM7" s="68"/>
      <c r="CN7" s="68"/>
      <c r="CO7" s="43" t="s">
        <v>17</v>
      </c>
      <c r="CP7" s="44"/>
      <c r="CQ7" s="45"/>
      <c r="CR7" s="60">
        <v>35000</v>
      </c>
      <c r="CU7" s="43" t="s">
        <v>16</v>
      </c>
      <c r="CV7" s="44"/>
      <c r="CW7" s="44"/>
      <c r="CX7" s="44"/>
      <c r="CY7" s="45"/>
      <c r="CZ7" s="68"/>
      <c r="DA7" s="68"/>
      <c r="DB7" s="68"/>
      <c r="DC7" s="43" t="s">
        <v>17</v>
      </c>
      <c r="DD7" s="44"/>
      <c r="DE7" s="45"/>
      <c r="DF7" s="60">
        <v>35000</v>
      </c>
      <c r="DI7" s="43" t="s">
        <v>16</v>
      </c>
      <c r="DJ7" s="44"/>
      <c r="DK7" s="44"/>
      <c r="DL7" s="44"/>
      <c r="DM7" s="45"/>
      <c r="DN7" s="68"/>
      <c r="DO7" s="68"/>
      <c r="DP7" s="68"/>
      <c r="DQ7" s="43" t="s">
        <v>17</v>
      </c>
      <c r="DR7" s="44"/>
      <c r="DS7" s="45"/>
      <c r="DT7" s="60">
        <v>35000</v>
      </c>
      <c r="DW7" s="43" t="s">
        <v>16</v>
      </c>
      <c r="DX7" s="44"/>
      <c r="DY7" s="44"/>
      <c r="DZ7" s="44"/>
      <c r="EA7" s="45"/>
      <c r="EB7" s="68"/>
      <c r="EC7" s="68"/>
      <c r="ED7" s="68"/>
      <c r="EE7" s="43" t="s">
        <v>17</v>
      </c>
      <c r="EF7" s="44"/>
      <c r="EG7" s="45"/>
      <c r="EH7" s="60">
        <v>35000</v>
      </c>
      <c r="EK7" s="43" t="s">
        <v>16</v>
      </c>
      <c r="EL7" s="44"/>
      <c r="EM7" s="44"/>
      <c r="EN7" s="44"/>
      <c r="EO7" s="45"/>
      <c r="EP7" s="68"/>
      <c r="EQ7" s="68"/>
      <c r="ER7" s="68"/>
      <c r="ES7" s="43" t="s">
        <v>17</v>
      </c>
      <c r="ET7" s="44"/>
      <c r="EU7" s="45"/>
      <c r="EV7" s="60">
        <v>35000</v>
      </c>
      <c r="EY7" s="43" t="s">
        <v>16</v>
      </c>
      <c r="EZ7" s="44"/>
      <c r="FA7" s="44"/>
      <c r="FB7" s="44"/>
      <c r="FC7" s="45"/>
      <c r="FD7" s="68"/>
      <c r="FE7" s="68"/>
      <c r="FF7" s="68"/>
      <c r="FG7" s="43" t="s">
        <v>17</v>
      </c>
      <c r="FH7" s="44"/>
      <c r="FI7" s="45"/>
      <c r="FJ7" s="60">
        <v>35000</v>
      </c>
      <c r="FM7" s="43" t="s">
        <v>16</v>
      </c>
      <c r="FN7" s="44"/>
      <c r="FO7" s="44"/>
      <c r="FP7" s="44"/>
      <c r="FQ7" s="45"/>
      <c r="FR7" s="68"/>
      <c r="FS7" s="68"/>
      <c r="FT7" s="68"/>
      <c r="FU7" s="43" t="s">
        <v>17</v>
      </c>
      <c r="FV7" s="44"/>
      <c r="FW7" s="45"/>
      <c r="FX7" s="60">
        <v>35000</v>
      </c>
      <c r="GA7" s="43" t="s">
        <v>16</v>
      </c>
      <c r="GB7" s="44"/>
      <c r="GC7" s="44"/>
      <c r="GD7" s="44"/>
      <c r="GE7" s="45"/>
      <c r="GF7" s="68"/>
      <c r="GG7" s="68"/>
      <c r="GH7" s="68"/>
      <c r="GI7" s="43" t="s">
        <v>17</v>
      </c>
      <c r="GJ7" s="44"/>
      <c r="GK7" s="45"/>
      <c r="GL7" s="60">
        <v>35000</v>
      </c>
      <c r="GO7" s="43" t="s">
        <v>16</v>
      </c>
      <c r="GP7" s="44"/>
      <c r="GQ7" s="44"/>
      <c r="GR7" s="44"/>
      <c r="GS7" s="45"/>
      <c r="GT7" s="68"/>
      <c r="GU7" s="68"/>
      <c r="GV7" s="68"/>
      <c r="GW7" s="43" t="s">
        <v>17</v>
      </c>
      <c r="GX7" s="44"/>
      <c r="GY7" s="45"/>
      <c r="GZ7" s="60">
        <v>35000</v>
      </c>
      <c r="HC7" s="43" t="s">
        <v>16</v>
      </c>
      <c r="HD7" s="44"/>
      <c r="HE7" s="44"/>
      <c r="HF7" s="44"/>
      <c r="HG7" s="45"/>
      <c r="HH7" s="68"/>
      <c r="HI7" s="68"/>
      <c r="HJ7" s="68"/>
      <c r="HK7" s="43" t="s">
        <v>17</v>
      </c>
      <c r="HL7" s="44"/>
      <c r="HM7" s="45"/>
      <c r="HN7" s="60">
        <v>35000</v>
      </c>
      <c r="HQ7" s="43" t="s">
        <v>16</v>
      </c>
      <c r="HR7" s="44"/>
      <c r="HS7" s="44"/>
      <c r="HT7" s="44"/>
      <c r="HU7" s="45"/>
      <c r="HV7" s="68"/>
      <c r="HW7" s="68"/>
      <c r="HX7" s="68"/>
      <c r="HY7" s="43" t="s">
        <v>17</v>
      </c>
      <c r="HZ7" s="44"/>
      <c r="IA7" s="45"/>
      <c r="IB7" s="60">
        <v>35000</v>
      </c>
      <c r="IE7" s="43" t="s">
        <v>16</v>
      </c>
      <c r="IF7" s="44"/>
      <c r="IG7" s="44"/>
      <c r="IH7" s="44"/>
      <c r="II7" s="45"/>
      <c r="IJ7" s="68"/>
      <c r="IK7" s="68"/>
      <c r="IL7" s="68"/>
      <c r="IM7" s="43" t="s">
        <v>17</v>
      </c>
      <c r="IN7" s="44"/>
      <c r="IO7" s="45"/>
      <c r="IP7" s="60">
        <v>35000</v>
      </c>
      <c r="IS7" s="43" t="s">
        <v>16</v>
      </c>
      <c r="IT7" s="44"/>
      <c r="IU7" s="44"/>
      <c r="IV7" s="44"/>
      <c r="IW7" s="45"/>
      <c r="IX7" s="68"/>
      <c r="IY7" s="68"/>
      <c r="IZ7" s="68"/>
      <c r="JA7" s="43" t="s">
        <v>17</v>
      </c>
      <c r="JB7" s="44"/>
      <c r="JC7" s="45"/>
      <c r="JD7" s="60">
        <v>35000</v>
      </c>
      <c r="JG7" s="43" t="s">
        <v>16</v>
      </c>
      <c r="JH7" s="44"/>
      <c r="JI7" s="44"/>
      <c r="JJ7" s="44"/>
      <c r="JK7" s="45"/>
      <c r="JL7" s="68"/>
      <c r="JM7" s="68"/>
      <c r="JN7" s="68"/>
      <c r="JO7" s="43" t="s">
        <v>17</v>
      </c>
      <c r="JP7" s="44"/>
      <c r="JQ7" s="45"/>
      <c r="JR7" s="60">
        <v>35000</v>
      </c>
      <c r="JU7" s="43" t="s">
        <v>16</v>
      </c>
      <c r="JV7" s="44"/>
      <c r="JW7" s="44"/>
      <c r="JX7" s="44"/>
      <c r="JY7" s="45"/>
      <c r="JZ7" s="68"/>
      <c r="KA7" s="68"/>
      <c r="KB7" s="68"/>
      <c r="KC7" s="43" t="s">
        <v>17</v>
      </c>
      <c r="KD7" s="44"/>
      <c r="KE7" s="45"/>
      <c r="KF7" s="60">
        <v>35000</v>
      </c>
      <c r="KI7" s="43" t="s">
        <v>16</v>
      </c>
      <c r="KJ7" s="44"/>
      <c r="KK7" s="44"/>
      <c r="KL7" s="44"/>
      <c r="KM7" s="45"/>
      <c r="KN7" s="68"/>
      <c r="KO7" s="68"/>
      <c r="KP7" s="68"/>
      <c r="KQ7" s="43" t="s">
        <v>17</v>
      </c>
      <c r="KR7" s="44"/>
      <c r="KS7" s="45"/>
      <c r="KT7" s="60">
        <v>35000</v>
      </c>
      <c r="KW7" s="43" t="s">
        <v>16</v>
      </c>
      <c r="KX7" s="44"/>
      <c r="KY7" s="44"/>
      <c r="KZ7" s="44"/>
      <c r="LA7" s="45"/>
      <c r="LB7" s="68"/>
      <c r="LC7" s="68"/>
      <c r="LD7" s="68"/>
      <c r="LE7" s="43" t="s">
        <v>17</v>
      </c>
      <c r="LF7" s="44"/>
      <c r="LG7" s="45"/>
      <c r="LH7" s="60">
        <v>35000</v>
      </c>
      <c r="LK7" s="43" t="s">
        <v>16</v>
      </c>
      <c r="LL7" s="44"/>
      <c r="LM7" s="44"/>
      <c r="LN7" s="44"/>
      <c r="LO7" s="45"/>
      <c r="LP7" s="68"/>
      <c r="LQ7" s="68"/>
      <c r="LR7" s="68"/>
      <c r="LS7" s="43" t="s">
        <v>17</v>
      </c>
      <c r="LT7" s="44"/>
      <c r="LU7" s="45"/>
      <c r="LV7" s="60">
        <v>35000</v>
      </c>
      <c r="LY7" s="43" t="s">
        <v>16</v>
      </c>
      <c r="LZ7" s="44"/>
      <c r="MA7" s="44"/>
      <c r="MB7" s="44"/>
      <c r="MC7" s="45"/>
      <c r="MD7" s="68"/>
      <c r="ME7" s="68"/>
      <c r="MF7" s="68"/>
      <c r="MG7" s="43" t="s">
        <v>17</v>
      </c>
      <c r="MH7" s="44"/>
      <c r="MI7" s="45"/>
      <c r="MJ7" s="60">
        <v>35000</v>
      </c>
      <c r="MM7" s="43" t="s">
        <v>16</v>
      </c>
      <c r="MN7" s="44"/>
      <c r="MO7" s="44"/>
      <c r="MP7" s="44"/>
      <c r="MQ7" s="45"/>
      <c r="MR7" s="68"/>
      <c r="MS7" s="68"/>
      <c r="MT7" s="68"/>
      <c r="MU7" s="43" t="s">
        <v>17</v>
      </c>
      <c r="MV7" s="44"/>
      <c r="MW7" s="45"/>
      <c r="MX7" s="60">
        <v>35000</v>
      </c>
      <c r="NA7" s="43" t="s">
        <v>16</v>
      </c>
      <c r="NB7" s="44"/>
      <c r="NC7" s="44"/>
      <c r="ND7" s="44"/>
      <c r="NE7" s="45"/>
      <c r="NF7" s="68"/>
      <c r="NG7" s="68"/>
      <c r="NH7" s="68"/>
      <c r="NI7" s="43" t="s">
        <v>17</v>
      </c>
      <c r="NJ7" s="44"/>
      <c r="NK7" s="45"/>
      <c r="NL7" s="60">
        <v>35000</v>
      </c>
      <c r="NO7" s="43" t="s">
        <v>16</v>
      </c>
      <c r="NP7" s="44"/>
      <c r="NQ7" s="44"/>
      <c r="NR7" s="44"/>
      <c r="NS7" s="45"/>
      <c r="NT7" s="68"/>
      <c r="NU7" s="68"/>
      <c r="NV7" s="68"/>
      <c r="NW7" s="43" t="s">
        <v>17</v>
      </c>
      <c r="NX7" s="44"/>
      <c r="NY7" s="45"/>
      <c r="NZ7" s="60">
        <v>35000</v>
      </c>
      <c r="OC7" s="43" t="s">
        <v>16</v>
      </c>
      <c r="OD7" s="44"/>
      <c r="OE7" s="44"/>
      <c r="OF7" s="44"/>
      <c r="OG7" s="45"/>
      <c r="OH7" s="68"/>
      <c r="OI7" s="68"/>
      <c r="OJ7" s="68"/>
      <c r="OK7" s="43" t="s">
        <v>17</v>
      </c>
      <c r="OL7" s="44"/>
      <c r="OM7" s="45"/>
      <c r="ON7" s="60">
        <v>35000</v>
      </c>
      <c r="OQ7" s="43" t="s">
        <v>16</v>
      </c>
      <c r="OR7" s="44"/>
      <c r="OS7" s="44"/>
      <c r="OT7" s="44"/>
      <c r="OU7" s="45"/>
      <c r="OV7" s="68"/>
      <c r="OW7" s="68"/>
      <c r="OX7" s="68"/>
      <c r="OY7" s="43" t="s">
        <v>17</v>
      </c>
      <c r="OZ7" s="44"/>
      <c r="PA7" s="45"/>
      <c r="PB7" s="60">
        <v>35000</v>
      </c>
      <c r="PE7" s="43" t="s">
        <v>16</v>
      </c>
      <c r="PF7" s="44"/>
      <c r="PG7" s="44"/>
      <c r="PH7" s="44"/>
      <c r="PI7" s="45"/>
      <c r="PJ7" s="68"/>
      <c r="PK7" s="68"/>
      <c r="PL7" s="68"/>
      <c r="PM7" s="43" t="s">
        <v>17</v>
      </c>
      <c r="PN7" s="44"/>
      <c r="PO7" s="45"/>
      <c r="PP7" s="60">
        <v>35000</v>
      </c>
      <c r="PS7" s="43" t="s">
        <v>16</v>
      </c>
      <c r="PT7" s="44"/>
      <c r="PU7" s="44"/>
      <c r="PV7" s="44"/>
      <c r="PW7" s="45"/>
      <c r="PX7" s="68"/>
      <c r="PY7" s="68"/>
      <c r="PZ7" s="68"/>
      <c r="QA7" s="43" t="s">
        <v>17</v>
      </c>
      <c r="QB7" s="44"/>
      <c r="QC7" s="45"/>
      <c r="QD7" s="60">
        <v>35000</v>
      </c>
      <c r="QG7" s="43" t="s">
        <v>16</v>
      </c>
      <c r="QH7" s="44"/>
      <c r="QI7" s="44"/>
      <c r="QJ7" s="44"/>
      <c r="QK7" s="45"/>
      <c r="QL7" s="68"/>
      <c r="QM7" s="68"/>
      <c r="QN7" s="68"/>
      <c r="QO7" s="43" t="s">
        <v>17</v>
      </c>
      <c r="QP7" s="44"/>
      <c r="QQ7" s="45"/>
      <c r="QR7" s="60">
        <v>35000</v>
      </c>
      <c r="QU7" s="43" t="s">
        <v>16</v>
      </c>
      <c r="QV7" s="44"/>
      <c r="QW7" s="44"/>
      <c r="QX7" s="44"/>
      <c r="QY7" s="45"/>
      <c r="QZ7" s="68"/>
      <c r="RA7" s="68"/>
      <c r="RB7" s="68"/>
      <c r="RC7" s="43" t="s">
        <v>17</v>
      </c>
      <c r="RD7" s="44"/>
      <c r="RE7" s="45"/>
      <c r="RF7" s="60">
        <v>35000</v>
      </c>
      <c r="RI7" s="43" t="s">
        <v>16</v>
      </c>
      <c r="RJ7" s="44"/>
      <c r="RK7" s="44"/>
      <c r="RL7" s="44"/>
      <c r="RM7" s="45"/>
      <c r="RN7" s="68"/>
      <c r="RO7" s="68"/>
      <c r="RP7" s="68"/>
      <c r="RQ7" s="43" t="s">
        <v>17</v>
      </c>
      <c r="RR7" s="44"/>
      <c r="RS7" s="45"/>
      <c r="RT7" s="60">
        <v>35000</v>
      </c>
      <c r="RW7" s="43" t="s">
        <v>16</v>
      </c>
      <c r="RX7" s="44"/>
      <c r="RY7" s="44"/>
      <c r="RZ7" s="44"/>
      <c r="SA7" s="45"/>
      <c r="SB7" s="68"/>
      <c r="SC7" s="68"/>
      <c r="SD7" s="68"/>
      <c r="SE7" s="43" t="s">
        <v>17</v>
      </c>
      <c r="SF7" s="44"/>
      <c r="SG7" s="45"/>
      <c r="SH7" s="60">
        <v>35000</v>
      </c>
      <c r="SK7" s="43" t="s">
        <v>16</v>
      </c>
      <c r="SL7" s="44"/>
      <c r="SM7" s="44"/>
      <c r="SN7" s="44"/>
      <c r="SO7" s="45"/>
      <c r="SP7" s="68"/>
      <c r="SQ7" s="68"/>
      <c r="SR7" s="68"/>
      <c r="SS7" s="43" t="s">
        <v>17</v>
      </c>
      <c r="ST7" s="44"/>
      <c r="SU7" s="45"/>
      <c r="SV7" s="60">
        <v>35000</v>
      </c>
      <c r="SY7" s="43" t="s">
        <v>16</v>
      </c>
      <c r="SZ7" s="44"/>
      <c r="TA7" s="44"/>
      <c r="TB7" s="44"/>
      <c r="TC7" s="45"/>
      <c r="TD7" s="68"/>
      <c r="TE7" s="68"/>
      <c r="TF7" s="68"/>
      <c r="TG7" s="43" t="s">
        <v>17</v>
      </c>
      <c r="TH7" s="44"/>
      <c r="TI7" s="45"/>
      <c r="TJ7" s="60">
        <v>35000</v>
      </c>
      <c r="TM7" s="43" t="s">
        <v>16</v>
      </c>
      <c r="TN7" s="44"/>
      <c r="TO7" s="44"/>
      <c r="TP7" s="44"/>
      <c r="TQ7" s="45"/>
      <c r="TR7" s="68"/>
      <c r="TS7" s="68"/>
      <c r="TT7" s="68"/>
      <c r="TU7" s="43" t="s">
        <v>17</v>
      </c>
      <c r="TV7" s="44"/>
      <c r="TW7" s="45"/>
      <c r="TX7" s="60">
        <v>35000</v>
      </c>
      <c r="UA7" s="43" t="s">
        <v>16</v>
      </c>
      <c r="UB7" s="44"/>
      <c r="UC7" s="44"/>
      <c r="UD7" s="44"/>
      <c r="UE7" s="45"/>
      <c r="UF7" s="68"/>
      <c r="UG7" s="68"/>
      <c r="UH7" s="68"/>
      <c r="UI7" s="43" t="s">
        <v>17</v>
      </c>
      <c r="UJ7" s="44"/>
      <c r="UK7" s="45"/>
      <c r="UL7" s="60">
        <v>35000</v>
      </c>
      <c r="UO7" s="43" t="s">
        <v>16</v>
      </c>
      <c r="UP7" s="44"/>
      <c r="UQ7" s="44"/>
      <c r="UR7" s="44"/>
      <c r="US7" s="45"/>
      <c r="UT7" s="68"/>
      <c r="UU7" s="68"/>
      <c r="UV7" s="68"/>
      <c r="UW7" s="43" t="s">
        <v>17</v>
      </c>
      <c r="UX7" s="44"/>
      <c r="UY7" s="45"/>
      <c r="UZ7" s="60">
        <v>35000</v>
      </c>
      <c r="VC7" s="43" t="s">
        <v>16</v>
      </c>
      <c r="VD7" s="44"/>
      <c r="VE7" s="44"/>
      <c r="VF7" s="44"/>
      <c r="VG7" s="45"/>
      <c r="VH7" s="68"/>
      <c r="VI7" s="68"/>
      <c r="VJ7" s="68"/>
      <c r="VK7" s="43" t="s">
        <v>17</v>
      </c>
      <c r="VL7" s="44"/>
      <c r="VM7" s="45"/>
      <c r="VN7" s="60">
        <v>35000</v>
      </c>
      <c r="VQ7" s="43" t="s">
        <v>16</v>
      </c>
      <c r="VR7" s="44"/>
      <c r="VS7" s="44"/>
      <c r="VT7" s="44"/>
      <c r="VU7" s="45"/>
      <c r="VV7" s="68"/>
      <c r="VW7" s="68"/>
      <c r="VX7" s="68"/>
      <c r="VY7" s="43" t="s">
        <v>17</v>
      </c>
      <c r="VZ7" s="44"/>
      <c r="WA7" s="45"/>
      <c r="WB7" s="60">
        <v>35000</v>
      </c>
      <c r="WE7" s="43" t="s">
        <v>16</v>
      </c>
      <c r="WF7" s="44"/>
      <c r="WG7" s="44"/>
      <c r="WH7" s="44"/>
      <c r="WI7" s="45"/>
      <c r="WJ7" s="68"/>
      <c r="WK7" s="68"/>
      <c r="WL7" s="68"/>
      <c r="WM7" s="43" t="s">
        <v>17</v>
      </c>
      <c r="WN7" s="44"/>
      <c r="WO7" s="45"/>
      <c r="WP7" s="60">
        <v>35000</v>
      </c>
      <c r="WS7" s="43" t="s">
        <v>16</v>
      </c>
      <c r="WT7" s="44"/>
      <c r="WU7" s="44"/>
      <c r="WV7" s="44"/>
      <c r="WW7" s="45"/>
      <c r="WX7" s="68"/>
      <c r="WY7" s="68"/>
      <c r="WZ7" s="68"/>
      <c r="XA7" s="43" t="s">
        <v>17</v>
      </c>
      <c r="XB7" s="44"/>
      <c r="XC7" s="45"/>
      <c r="XD7" s="60">
        <v>35000</v>
      </c>
      <c r="XG7" s="43" t="s">
        <v>16</v>
      </c>
      <c r="XH7" s="44"/>
      <c r="XI7" s="44"/>
      <c r="XJ7" s="44"/>
      <c r="XK7" s="45"/>
      <c r="XL7" s="68"/>
      <c r="XM7" s="68"/>
      <c r="XN7" s="68"/>
      <c r="XO7" s="43" t="s">
        <v>17</v>
      </c>
      <c r="XP7" s="44"/>
      <c r="XQ7" s="45"/>
      <c r="XR7" s="60">
        <v>35000</v>
      </c>
      <c r="XU7" s="43" t="s">
        <v>16</v>
      </c>
      <c r="XV7" s="44"/>
      <c r="XW7" s="44"/>
      <c r="XX7" s="44"/>
      <c r="XY7" s="45"/>
      <c r="XZ7" s="68"/>
      <c r="YA7" s="68"/>
      <c r="YB7" s="68"/>
      <c r="YC7" s="43" t="s">
        <v>17</v>
      </c>
      <c r="YD7" s="44"/>
      <c r="YE7" s="45"/>
      <c r="YF7" s="60">
        <v>35000</v>
      </c>
      <c r="YI7" s="43" t="s">
        <v>16</v>
      </c>
      <c r="YJ7" s="44"/>
      <c r="YK7" s="44"/>
      <c r="YL7" s="44"/>
      <c r="YM7" s="45"/>
      <c r="YN7" s="68"/>
      <c r="YO7" s="68"/>
      <c r="YP7" s="68"/>
      <c r="YQ7" s="43" t="s">
        <v>17</v>
      </c>
      <c r="YR7" s="44"/>
      <c r="YS7" s="45"/>
      <c r="YT7" s="60">
        <v>10000</v>
      </c>
      <c r="YW7" s="43" t="s">
        <v>16</v>
      </c>
      <c r="YX7" s="44"/>
      <c r="YY7" s="44"/>
      <c r="YZ7" s="44"/>
      <c r="ZA7" s="45"/>
      <c r="ZB7" s="68"/>
      <c r="ZC7" s="68"/>
      <c r="ZD7" s="68"/>
      <c r="ZE7" s="43" t="s">
        <v>17</v>
      </c>
      <c r="ZF7" s="44"/>
      <c r="ZG7" s="45"/>
      <c r="ZH7" s="60">
        <v>35000</v>
      </c>
      <c r="ZK7" s="43" t="s">
        <v>16</v>
      </c>
      <c r="ZL7" s="44"/>
      <c r="ZM7" s="44"/>
      <c r="ZN7" s="44"/>
      <c r="ZO7" s="45"/>
      <c r="ZP7" s="68"/>
      <c r="ZQ7" s="68"/>
      <c r="ZR7" s="68"/>
      <c r="ZS7" s="43" t="s">
        <v>17</v>
      </c>
      <c r="ZT7" s="44"/>
      <c r="ZU7" s="45"/>
      <c r="ZV7" s="60">
        <v>35000</v>
      </c>
      <c r="ZZ7" s="55" t="s">
        <v>16</v>
      </c>
      <c r="AAA7" s="56"/>
      <c r="AAB7" s="56"/>
      <c r="AAC7" s="56"/>
      <c r="AAD7" s="72"/>
      <c r="AAE7" s="55" t="s">
        <v>18</v>
      </c>
      <c r="AAF7" s="56"/>
      <c r="AAG7" s="56"/>
      <c r="AAH7" s="57">
        <v>35000</v>
      </c>
      <c r="AAI7" s="58"/>
      <c r="AAM7" s="55" t="s">
        <v>16</v>
      </c>
      <c r="AAN7" s="56"/>
      <c r="AAO7" s="56"/>
      <c r="AAP7" s="56"/>
      <c r="AAQ7" s="72"/>
      <c r="AAR7" s="55" t="s">
        <v>18</v>
      </c>
      <c r="AAS7" s="56"/>
      <c r="AAT7" s="56"/>
      <c r="AAU7" s="57">
        <v>35000</v>
      </c>
      <c r="AAV7" s="58"/>
      <c r="AAZ7" s="55" t="s">
        <v>16</v>
      </c>
      <c r="ABA7" s="56"/>
      <c r="ABB7" s="56"/>
      <c r="ABC7" s="56"/>
      <c r="ABD7" s="72"/>
      <c r="ABE7" s="55" t="s">
        <v>18</v>
      </c>
      <c r="ABF7" s="56"/>
      <c r="ABG7" s="56"/>
      <c r="ABH7" s="57">
        <v>35000</v>
      </c>
      <c r="ABI7" s="58"/>
      <c r="ABM7" s="55" t="s">
        <v>16</v>
      </c>
      <c r="ABN7" s="56"/>
      <c r="ABO7" s="56"/>
      <c r="ABP7" s="56"/>
      <c r="ABQ7" s="72"/>
      <c r="ABR7" s="55" t="s">
        <v>18</v>
      </c>
      <c r="ABS7" s="56"/>
      <c r="ABT7" s="56"/>
      <c r="ABU7" s="57">
        <v>35000</v>
      </c>
      <c r="ABV7" s="58"/>
      <c r="ABZ7" s="55" t="s">
        <v>16</v>
      </c>
      <c r="ACA7" s="56"/>
      <c r="ACB7" s="56"/>
      <c r="ACC7" s="56"/>
      <c r="ACD7" s="72"/>
      <c r="ACE7" s="55" t="s">
        <v>18</v>
      </c>
      <c r="ACF7" s="56"/>
      <c r="ACG7" s="56"/>
      <c r="ACH7" s="57">
        <v>35000</v>
      </c>
      <c r="ACI7" s="58"/>
      <c r="ACM7" s="55" t="s">
        <v>16</v>
      </c>
      <c r="ACN7" s="56"/>
      <c r="ACO7" s="56"/>
      <c r="ACP7" s="56"/>
      <c r="ACQ7" s="72"/>
      <c r="ACR7" s="55" t="s">
        <v>18</v>
      </c>
      <c r="ACS7" s="56"/>
      <c r="ACT7" s="56"/>
      <c r="ACU7" s="57">
        <v>35000</v>
      </c>
      <c r="ACV7" s="58"/>
      <c r="ACZ7" s="55" t="s">
        <v>16</v>
      </c>
      <c r="ADA7" s="56"/>
      <c r="ADB7" s="56"/>
      <c r="ADC7" s="56"/>
      <c r="ADD7" s="72"/>
      <c r="ADE7" s="55" t="s">
        <v>18</v>
      </c>
      <c r="ADF7" s="56"/>
      <c r="ADG7" s="56"/>
      <c r="ADH7" s="57">
        <v>35000</v>
      </c>
      <c r="ADI7" s="58"/>
      <c r="ADM7" s="55" t="s">
        <v>16</v>
      </c>
      <c r="ADN7" s="56"/>
      <c r="ADO7" s="56"/>
      <c r="ADP7" s="56"/>
      <c r="ADQ7" s="72"/>
      <c r="ADR7" s="55" t="s">
        <v>18</v>
      </c>
      <c r="ADS7" s="56"/>
      <c r="ADT7" s="56"/>
      <c r="ADU7" s="57">
        <v>35000</v>
      </c>
      <c r="ADV7" s="58"/>
      <c r="ADZ7" s="55" t="s">
        <v>16</v>
      </c>
      <c r="AEA7" s="56"/>
      <c r="AEB7" s="56"/>
      <c r="AEC7" s="56"/>
      <c r="AED7" s="72"/>
      <c r="AEE7" s="55" t="s">
        <v>18</v>
      </c>
      <c r="AEF7" s="56"/>
      <c r="AEG7" s="56"/>
      <c r="AEH7" s="57">
        <v>35000</v>
      </c>
      <c r="AEI7" s="58"/>
      <c r="AEM7" s="55" t="s">
        <v>16</v>
      </c>
      <c r="AEN7" s="56"/>
      <c r="AEO7" s="56"/>
      <c r="AEP7" s="56"/>
      <c r="AEQ7" s="72"/>
      <c r="AER7" s="55" t="s">
        <v>18</v>
      </c>
      <c r="AES7" s="56"/>
      <c r="AET7" s="56"/>
      <c r="AEU7" s="57">
        <v>35000</v>
      </c>
      <c r="AEV7" s="58"/>
      <c r="AEZ7" s="55" t="s">
        <v>16</v>
      </c>
      <c r="AFA7" s="56"/>
      <c r="AFB7" s="56"/>
      <c r="AFC7" s="56"/>
      <c r="AFD7" s="72"/>
      <c r="AFE7" s="55" t="s">
        <v>18</v>
      </c>
      <c r="AFF7" s="56"/>
      <c r="AFG7" s="56"/>
      <c r="AFH7" s="57">
        <v>35000</v>
      </c>
      <c r="AFI7" s="58"/>
      <c r="AFM7" s="55" t="s">
        <v>16</v>
      </c>
      <c r="AFN7" s="56"/>
      <c r="AFO7" s="56"/>
      <c r="AFP7" s="56"/>
      <c r="AFQ7" s="72"/>
      <c r="AFR7" s="55" t="s">
        <v>18</v>
      </c>
      <c r="AFS7" s="56"/>
      <c r="AFT7" s="56"/>
      <c r="AFU7" s="57">
        <v>35000</v>
      </c>
      <c r="AFV7" s="58"/>
      <c r="AFZ7" s="55" t="s">
        <v>16</v>
      </c>
      <c r="AGA7" s="56"/>
      <c r="AGB7" s="56"/>
      <c r="AGC7" s="56"/>
      <c r="AGD7" s="72"/>
      <c r="AGE7" s="55" t="s">
        <v>18</v>
      </c>
      <c r="AGF7" s="56"/>
      <c r="AGG7" s="56"/>
      <c r="AGH7" s="57">
        <v>18000</v>
      </c>
      <c r="AGI7" s="58"/>
      <c r="AGL7" s="55" t="s">
        <v>16</v>
      </c>
      <c r="AGM7" s="56"/>
      <c r="AGN7" s="56"/>
      <c r="AGO7" s="56"/>
      <c r="AGP7" s="72"/>
      <c r="AGQ7" s="55" t="s">
        <v>18</v>
      </c>
      <c r="AGR7" s="56"/>
      <c r="AGS7" s="56"/>
      <c r="AGT7" s="57">
        <v>22000</v>
      </c>
      <c r="AGU7" s="58"/>
      <c r="AGX7" s="55" t="s">
        <v>16</v>
      </c>
      <c r="AGY7" s="56"/>
      <c r="AGZ7" s="56"/>
      <c r="AHA7" s="56"/>
      <c r="AHB7" s="72"/>
      <c r="AHC7" s="55" t="s">
        <v>18</v>
      </c>
      <c r="AHD7" s="56"/>
      <c r="AHE7" s="56"/>
      <c r="AHF7" s="57">
        <v>35000</v>
      </c>
      <c r="AHG7" s="58"/>
      <c r="AHJ7" s="55" t="s">
        <v>16</v>
      </c>
      <c r="AHK7" s="56"/>
      <c r="AHL7" s="56"/>
      <c r="AHM7" s="56"/>
      <c r="AHN7" s="72"/>
      <c r="AHO7" s="55" t="s">
        <v>18</v>
      </c>
      <c r="AHP7" s="56"/>
      <c r="AHQ7" s="56"/>
      <c r="AHR7" s="57">
        <v>35000</v>
      </c>
      <c r="AHS7" s="58"/>
      <c r="AHV7" s="55" t="s">
        <v>16</v>
      </c>
      <c r="AHW7" s="56"/>
      <c r="AHX7" s="56"/>
      <c r="AHY7" s="56"/>
      <c r="AHZ7" s="72"/>
      <c r="AIA7" s="55" t="s">
        <v>18</v>
      </c>
      <c r="AIB7" s="56"/>
      <c r="AIC7" s="56"/>
      <c r="AID7" s="57">
        <v>35000</v>
      </c>
      <c r="AIE7" s="58"/>
      <c r="AIH7" s="55" t="s">
        <v>16</v>
      </c>
      <c r="AII7" s="56"/>
      <c r="AIJ7" s="56"/>
      <c r="AIK7" s="56"/>
      <c r="AIL7" s="72"/>
      <c r="AIM7" s="55" t="s">
        <v>18</v>
      </c>
      <c r="AIN7" s="56"/>
      <c r="AIO7" s="56"/>
      <c r="AIP7" s="57">
        <v>20000</v>
      </c>
      <c r="AIQ7" s="58"/>
      <c r="AIT7" s="55" t="s">
        <v>16</v>
      </c>
      <c r="AIU7" s="56"/>
      <c r="AIV7" s="56"/>
      <c r="AIW7" s="56"/>
      <c r="AIX7" s="72"/>
      <c r="AIY7" s="55" t="s">
        <v>18</v>
      </c>
      <c r="AIZ7" s="56"/>
      <c r="AJA7" s="56"/>
      <c r="AJB7" s="57">
        <v>35000</v>
      </c>
      <c r="AJC7" s="58"/>
      <c r="AJF7" s="55" t="s">
        <v>16</v>
      </c>
      <c r="AJG7" s="56"/>
      <c r="AJH7" s="56"/>
      <c r="AJI7" s="56"/>
      <c r="AJJ7" s="72"/>
      <c r="AJK7" s="55" t="s">
        <v>18</v>
      </c>
      <c r="AJL7" s="56"/>
      <c r="AJM7" s="56"/>
      <c r="AJN7" s="57">
        <v>35000</v>
      </c>
      <c r="AJO7" s="58"/>
      <c r="AJR7" s="55" t="s">
        <v>16</v>
      </c>
      <c r="AJS7" s="56"/>
      <c r="AJT7" s="56"/>
      <c r="AJU7" s="56"/>
      <c r="AJV7" s="72"/>
      <c r="AJW7" s="55" t="s">
        <v>18</v>
      </c>
      <c r="AJX7" s="56"/>
      <c r="AJY7" s="56"/>
      <c r="AJZ7" s="57">
        <v>35000</v>
      </c>
      <c r="AKA7" s="58"/>
      <c r="AKD7" s="55" t="s">
        <v>16</v>
      </c>
      <c r="AKE7" s="56"/>
      <c r="AKF7" s="56"/>
      <c r="AKG7" s="56"/>
      <c r="AKH7" s="72"/>
      <c r="AKI7" s="55" t="s">
        <v>18</v>
      </c>
      <c r="AKJ7" s="56"/>
      <c r="AKK7" s="56"/>
      <c r="AKL7" s="57">
        <v>11000</v>
      </c>
      <c r="AKM7" s="58"/>
      <c r="AKP7" s="55" t="s">
        <v>16</v>
      </c>
      <c r="AKQ7" s="56"/>
      <c r="AKR7" s="56"/>
      <c r="AKS7" s="56"/>
      <c r="AKT7" s="72"/>
      <c r="AKU7" s="55" t="s">
        <v>18</v>
      </c>
      <c r="AKV7" s="56"/>
      <c r="AKW7" s="56"/>
      <c r="AKX7" s="57">
        <v>11000</v>
      </c>
      <c r="AKY7" s="58"/>
      <c r="ALB7" s="55" t="s">
        <v>16</v>
      </c>
      <c r="ALC7" s="56"/>
      <c r="ALD7" s="56"/>
      <c r="ALE7" s="56"/>
      <c r="ALF7" s="72"/>
      <c r="ALG7" s="55" t="s">
        <v>18</v>
      </c>
      <c r="ALH7" s="56"/>
      <c r="ALI7" s="56"/>
      <c r="ALJ7" s="57">
        <v>7000</v>
      </c>
      <c r="ALK7" s="58"/>
      <c r="ALN7" s="55" t="s">
        <v>16</v>
      </c>
      <c r="ALO7" s="56"/>
      <c r="ALP7" s="56"/>
      <c r="ALQ7" s="56"/>
      <c r="ALR7" s="72"/>
      <c r="ALS7" s="55" t="s">
        <v>18</v>
      </c>
      <c r="ALT7" s="56"/>
      <c r="ALU7" s="56"/>
      <c r="ALV7" s="57">
        <v>35000</v>
      </c>
      <c r="ALW7" s="58"/>
      <c r="ALZ7" s="55" t="s">
        <v>16</v>
      </c>
      <c r="AMA7" s="56"/>
      <c r="AMB7" s="56"/>
      <c r="AMC7" s="56"/>
      <c r="AMD7" s="72"/>
      <c r="AME7" s="55" t="s">
        <v>18</v>
      </c>
      <c r="AMF7" s="56"/>
      <c r="AMG7" s="56"/>
      <c r="AMH7" s="57">
        <v>13000</v>
      </c>
      <c r="AMI7" s="58"/>
      <c r="AML7" s="55" t="s">
        <v>16</v>
      </c>
      <c r="AMM7" s="56"/>
      <c r="AMN7" s="56"/>
      <c r="AMO7" s="56"/>
      <c r="AMP7" s="72"/>
      <c r="AMQ7" s="55" t="s">
        <v>18</v>
      </c>
      <c r="AMR7" s="56"/>
      <c r="AMS7" s="56"/>
      <c r="AMT7" s="57">
        <v>35000</v>
      </c>
      <c r="AMU7" s="58"/>
      <c r="AMX7" s="55" t="s">
        <v>16</v>
      </c>
      <c r="AMY7" s="56"/>
      <c r="AMZ7" s="56"/>
      <c r="ANA7" s="56"/>
      <c r="ANB7" s="72"/>
      <c r="ANC7" s="55" t="s">
        <v>18</v>
      </c>
      <c r="AND7" s="56"/>
      <c r="ANE7" s="56"/>
      <c r="ANF7" s="57">
        <v>14000</v>
      </c>
      <c r="ANG7" s="58"/>
      <c r="ANJ7" s="55" t="s">
        <v>16</v>
      </c>
      <c r="ANK7" s="56"/>
      <c r="ANL7" s="56"/>
      <c r="ANM7" s="56"/>
      <c r="ANN7" s="72"/>
      <c r="ANO7" s="55" t="s">
        <v>18</v>
      </c>
      <c r="ANP7" s="56"/>
      <c r="ANQ7" s="56"/>
      <c r="ANR7" s="57">
        <v>35000</v>
      </c>
      <c r="ANS7" s="58"/>
      <c r="ANV7" s="55" t="s">
        <v>16</v>
      </c>
      <c r="ANW7" s="56"/>
      <c r="ANX7" s="56"/>
      <c r="ANY7" s="56"/>
      <c r="ANZ7" s="72"/>
      <c r="AOA7" s="55" t="s">
        <v>18</v>
      </c>
      <c r="AOB7" s="56"/>
      <c r="AOC7" s="56"/>
      <c r="AOD7" s="57">
        <v>35000</v>
      </c>
      <c r="AOE7" s="58"/>
      <c r="AOH7" s="55" t="s">
        <v>16</v>
      </c>
      <c r="AOI7" s="56"/>
      <c r="AOJ7" s="56"/>
      <c r="AOK7" s="56"/>
      <c r="AOL7" s="72"/>
      <c r="AOM7" s="55" t="s">
        <v>18</v>
      </c>
      <c r="AON7" s="56"/>
      <c r="AOO7" s="56"/>
      <c r="AOP7" s="57">
        <v>35000</v>
      </c>
      <c r="AOQ7" s="58"/>
      <c r="AOT7" s="55" t="s">
        <v>16</v>
      </c>
      <c r="AOU7" s="56"/>
      <c r="AOV7" s="56"/>
      <c r="AOW7" s="56"/>
      <c r="AOX7" s="72"/>
      <c r="AOY7" s="55" t="s">
        <v>18</v>
      </c>
      <c r="AOZ7" s="56"/>
      <c r="APA7" s="56"/>
      <c r="APB7" s="57">
        <v>35000</v>
      </c>
      <c r="APC7" s="58"/>
      <c r="APF7" s="55" t="s">
        <v>16</v>
      </c>
      <c r="APG7" s="56"/>
      <c r="APH7" s="56"/>
      <c r="API7" s="56"/>
      <c r="APJ7" s="72"/>
      <c r="APK7" s="55" t="s">
        <v>18</v>
      </c>
      <c r="APL7" s="56"/>
      <c r="APM7" s="56"/>
      <c r="APN7" s="57">
        <v>35000</v>
      </c>
      <c r="APO7" s="58"/>
      <c r="APR7" s="55" t="s">
        <v>16</v>
      </c>
      <c r="APS7" s="56"/>
      <c r="APT7" s="56"/>
      <c r="APU7" s="56"/>
      <c r="APV7" s="72"/>
      <c r="APW7" s="55" t="s">
        <v>18</v>
      </c>
      <c r="APX7" s="56"/>
      <c r="APY7" s="56"/>
      <c r="APZ7" s="57">
        <v>35000</v>
      </c>
      <c r="AQA7" s="58"/>
      <c r="AQD7" s="55" t="s">
        <v>16</v>
      </c>
      <c r="AQE7" s="56"/>
      <c r="AQF7" s="56"/>
      <c r="AQG7" s="56"/>
      <c r="AQH7" s="72"/>
      <c r="AQI7" s="55" t="s">
        <v>18</v>
      </c>
      <c r="AQJ7" s="56"/>
      <c r="AQK7" s="56"/>
      <c r="AQL7" s="57">
        <v>6000</v>
      </c>
      <c r="AQM7" s="58"/>
      <c r="AQP7" s="55" t="s">
        <v>16</v>
      </c>
      <c r="AQQ7" s="56"/>
      <c r="AQR7" s="56"/>
      <c r="AQS7" s="56"/>
      <c r="AQT7" s="72"/>
      <c r="AQU7" s="55" t="s">
        <v>18</v>
      </c>
      <c r="AQV7" s="56"/>
      <c r="AQW7" s="56"/>
      <c r="AQX7" s="57">
        <v>35000</v>
      </c>
      <c r="AQY7" s="58"/>
      <c r="ARB7" s="55" t="s">
        <v>16</v>
      </c>
      <c r="ARC7" s="56"/>
      <c r="ARD7" s="56"/>
      <c r="ARE7" s="56"/>
      <c r="ARF7" s="72"/>
      <c r="ARG7" s="55" t="s">
        <v>18</v>
      </c>
      <c r="ARH7" s="56"/>
      <c r="ARI7" s="56"/>
      <c r="ARJ7" s="57">
        <v>35000</v>
      </c>
      <c r="ARK7" s="58"/>
      <c r="ARN7" s="55" t="s">
        <v>16</v>
      </c>
      <c r="ARO7" s="56"/>
      <c r="ARP7" s="56"/>
      <c r="ARQ7" s="56"/>
      <c r="ARR7" s="72"/>
      <c r="ARS7" s="55" t="s">
        <v>18</v>
      </c>
      <c r="ART7" s="56"/>
      <c r="ARU7" s="56"/>
      <c r="ARV7" s="57">
        <v>20000</v>
      </c>
      <c r="ARW7" s="58"/>
      <c r="ARZ7" s="55" t="s">
        <v>16</v>
      </c>
      <c r="ASA7" s="56"/>
      <c r="ASB7" s="56"/>
      <c r="ASC7" s="56"/>
      <c r="ASD7" s="72"/>
      <c r="ASE7" s="55" t="s">
        <v>18</v>
      </c>
      <c r="ASF7" s="56"/>
      <c r="ASG7" s="56"/>
      <c r="ASH7" s="57">
        <v>35000</v>
      </c>
      <c r="ASI7" s="58"/>
      <c r="ASL7" s="55" t="s">
        <v>16</v>
      </c>
      <c r="ASM7" s="56"/>
      <c r="ASN7" s="56"/>
      <c r="ASO7" s="56"/>
      <c r="ASP7" s="72"/>
      <c r="ASQ7" s="55" t="s">
        <v>18</v>
      </c>
      <c r="ASR7" s="56"/>
      <c r="ASS7" s="56"/>
      <c r="AST7" s="57">
        <v>35000</v>
      </c>
      <c r="ASU7" s="58"/>
      <c r="ASX7" s="55" t="s">
        <v>16</v>
      </c>
      <c r="ASY7" s="56"/>
      <c r="ASZ7" s="56"/>
      <c r="ATA7" s="56"/>
      <c r="ATB7" s="72"/>
      <c r="ATC7" s="55" t="s">
        <v>18</v>
      </c>
      <c r="ATD7" s="56"/>
      <c r="ATE7" s="56"/>
      <c r="ATF7" s="57">
        <v>6000</v>
      </c>
      <c r="ATG7" s="58"/>
      <c r="ATJ7" s="55" t="s">
        <v>16</v>
      </c>
      <c r="ATK7" s="56"/>
      <c r="ATL7" s="56"/>
      <c r="ATM7" s="56"/>
      <c r="ATN7" s="72"/>
      <c r="ATO7" s="55" t="s">
        <v>18</v>
      </c>
      <c r="ATP7" s="56"/>
      <c r="ATQ7" s="56"/>
      <c r="ATR7" s="57">
        <v>35000</v>
      </c>
      <c r="ATS7" s="58"/>
      <c r="ATV7" s="55" t="s">
        <v>16</v>
      </c>
      <c r="ATW7" s="56"/>
      <c r="ATX7" s="56"/>
      <c r="ATY7" s="56"/>
      <c r="ATZ7" s="72"/>
      <c r="AUA7" s="55" t="s">
        <v>18</v>
      </c>
      <c r="AUB7" s="56"/>
      <c r="AUC7" s="56"/>
      <c r="AUD7" s="57">
        <v>35000</v>
      </c>
      <c r="AUE7" s="58"/>
      <c r="AUH7" s="55" t="s">
        <v>16</v>
      </c>
      <c r="AUI7" s="56"/>
      <c r="AUJ7" s="56"/>
      <c r="AUK7" s="56"/>
      <c r="AUL7" s="72"/>
      <c r="AUM7" s="55" t="s">
        <v>18</v>
      </c>
      <c r="AUN7" s="56"/>
      <c r="AUO7" s="56"/>
      <c r="AUP7" s="57">
        <v>35000</v>
      </c>
      <c r="AUQ7" s="58"/>
      <c r="AUT7" s="55" t="s">
        <v>16</v>
      </c>
      <c r="AUU7" s="56"/>
      <c r="AUV7" s="56"/>
      <c r="AUW7" s="56"/>
      <c r="AUX7" s="72"/>
      <c r="AUY7" s="55" t="s">
        <v>18</v>
      </c>
      <c r="AUZ7" s="56"/>
      <c r="AVA7" s="56"/>
      <c r="AVB7" s="57">
        <v>10000</v>
      </c>
      <c r="AVC7" s="58"/>
      <c r="AVF7" s="55" t="s">
        <v>16</v>
      </c>
      <c r="AVG7" s="56"/>
      <c r="AVH7" s="56"/>
      <c r="AVI7" s="56"/>
      <c r="AVJ7" s="72"/>
      <c r="AVK7" s="55" t="s">
        <v>18</v>
      </c>
      <c r="AVL7" s="56"/>
      <c r="AVM7" s="56"/>
      <c r="AVN7" s="57">
        <v>35000</v>
      </c>
      <c r="AVO7" s="58"/>
      <c r="AVR7" s="55" t="s">
        <v>16</v>
      </c>
      <c r="AVS7" s="56"/>
      <c r="AVT7" s="56"/>
      <c r="AVU7" s="56"/>
      <c r="AVV7" s="72"/>
      <c r="AVW7" s="55" t="s">
        <v>18</v>
      </c>
      <c r="AVX7" s="56"/>
      <c r="AVY7" s="56"/>
      <c r="AVZ7" s="57">
        <v>35000</v>
      </c>
      <c r="AWA7" s="58"/>
      <c r="AWD7" s="55" t="s">
        <v>16</v>
      </c>
      <c r="AWE7" s="56"/>
      <c r="AWF7" s="56"/>
      <c r="AWG7" s="56"/>
      <c r="AWH7" s="72"/>
      <c r="AWI7" s="55" t="s">
        <v>18</v>
      </c>
      <c r="AWJ7" s="56"/>
      <c r="AWK7" s="56"/>
      <c r="AWL7" s="57">
        <v>35000</v>
      </c>
      <c r="AWM7" s="58"/>
      <c r="AWP7" s="55" t="s">
        <v>16</v>
      </c>
      <c r="AWQ7" s="56"/>
      <c r="AWR7" s="56"/>
      <c r="AWS7" s="56"/>
      <c r="AWT7" s="72"/>
      <c r="AWU7" s="55" t="s">
        <v>18</v>
      </c>
      <c r="AWV7" s="56"/>
      <c r="AWW7" s="56"/>
      <c r="AWX7" s="57">
        <v>35000</v>
      </c>
      <c r="AWY7" s="58"/>
      <c r="AXB7" s="55" t="s">
        <v>16</v>
      </c>
      <c r="AXC7" s="56"/>
      <c r="AXD7" s="56"/>
      <c r="AXE7" s="56"/>
      <c r="AXF7" s="72"/>
      <c r="AXG7" s="55" t="s">
        <v>18</v>
      </c>
      <c r="AXH7" s="56"/>
      <c r="AXI7" s="56"/>
      <c r="AXJ7" s="57">
        <v>35000</v>
      </c>
      <c r="AXK7" s="58"/>
      <c r="AXN7" s="55" t="s">
        <v>16</v>
      </c>
      <c r="AXO7" s="56"/>
      <c r="AXP7" s="56"/>
      <c r="AXQ7" s="56"/>
      <c r="AXR7" s="72"/>
      <c r="AXS7" s="55" t="s">
        <v>18</v>
      </c>
      <c r="AXT7" s="56"/>
      <c r="AXU7" s="56"/>
      <c r="AXV7" s="57">
        <v>35000</v>
      </c>
      <c r="AXW7" s="58"/>
      <c r="AXZ7" s="55" t="s">
        <v>16</v>
      </c>
      <c r="AYA7" s="56"/>
      <c r="AYB7" s="56"/>
      <c r="AYC7" s="56"/>
      <c r="AYD7" s="72"/>
      <c r="AYE7" s="55" t="s">
        <v>18</v>
      </c>
      <c r="AYF7" s="56"/>
      <c r="AYG7" s="56"/>
      <c r="AYH7" s="57">
        <v>35000</v>
      </c>
      <c r="AYI7" s="58"/>
      <c r="AYL7" s="55" t="s">
        <v>16</v>
      </c>
      <c r="AYM7" s="56"/>
      <c r="AYN7" s="56"/>
      <c r="AYO7" s="56"/>
      <c r="AYP7" s="72"/>
      <c r="AYQ7" s="55" t="s">
        <v>18</v>
      </c>
      <c r="AYR7" s="56"/>
      <c r="AYS7" s="56"/>
      <c r="AYT7" s="57">
        <v>35000</v>
      </c>
      <c r="AYU7" s="58"/>
      <c r="AYX7" s="55" t="s">
        <v>16</v>
      </c>
      <c r="AYY7" s="56"/>
      <c r="AYZ7" s="56"/>
      <c r="AZA7" s="56"/>
      <c r="AZB7" s="72"/>
      <c r="AZC7" s="55" t="s">
        <v>18</v>
      </c>
      <c r="AZD7" s="56"/>
      <c r="AZE7" s="56"/>
      <c r="AZF7" s="57">
        <v>7000</v>
      </c>
      <c r="AZG7" s="58"/>
      <c r="AZJ7" s="55" t="s">
        <v>16</v>
      </c>
      <c r="AZK7" s="56"/>
      <c r="AZL7" s="56"/>
      <c r="AZM7" s="56"/>
      <c r="AZN7" s="72"/>
      <c r="AZO7" s="55" t="s">
        <v>18</v>
      </c>
      <c r="AZP7" s="56"/>
      <c r="AZQ7" s="56"/>
      <c r="AZR7" s="57">
        <v>35000</v>
      </c>
      <c r="AZS7" s="58"/>
      <c r="AZV7" s="55" t="s">
        <v>16</v>
      </c>
      <c r="AZW7" s="56"/>
      <c r="AZX7" s="56"/>
      <c r="AZY7" s="56"/>
      <c r="AZZ7" s="72"/>
      <c r="BAA7" s="55" t="s">
        <v>18</v>
      </c>
      <c r="BAB7" s="56"/>
      <c r="BAC7" s="56"/>
      <c r="BAD7" s="57">
        <v>35000</v>
      </c>
      <c r="BAE7" s="58"/>
      <c r="BAH7" s="55" t="s">
        <v>16</v>
      </c>
      <c r="BAI7" s="56"/>
      <c r="BAJ7" s="56"/>
      <c r="BAK7" s="56"/>
      <c r="BAL7" s="72"/>
      <c r="BAM7" s="55" t="s">
        <v>18</v>
      </c>
      <c r="BAN7" s="56"/>
      <c r="BAO7" s="56"/>
      <c r="BAP7" s="57">
        <v>35000</v>
      </c>
      <c r="BAQ7" s="58"/>
      <c r="BAT7" s="55" t="s">
        <v>16</v>
      </c>
      <c r="BAU7" s="56"/>
      <c r="BAV7" s="56"/>
      <c r="BAW7" s="56"/>
      <c r="BAX7" s="72"/>
      <c r="BAY7" s="55" t="s">
        <v>18</v>
      </c>
      <c r="BAZ7" s="56"/>
      <c r="BBA7" s="56"/>
      <c r="BBB7" s="57">
        <v>35000</v>
      </c>
      <c r="BBC7" s="58"/>
      <c r="BBF7" s="55" t="s">
        <v>16</v>
      </c>
      <c r="BBG7" s="56"/>
      <c r="BBH7" s="56"/>
      <c r="BBI7" s="56"/>
      <c r="BBJ7" s="72"/>
      <c r="BBK7" s="55" t="s">
        <v>18</v>
      </c>
      <c r="BBL7" s="56"/>
      <c r="BBM7" s="56"/>
      <c r="BBN7" s="57">
        <v>35000</v>
      </c>
      <c r="BBO7" s="58"/>
      <c r="BBR7" s="55" t="s">
        <v>16</v>
      </c>
      <c r="BBS7" s="56"/>
      <c r="BBT7" s="56"/>
      <c r="BBU7" s="56"/>
      <c r="BBV7" s="72"/>
      <c r="BBW7" s="55" t="s">
        <v>18</v>
      </c>
      <c r="BBX7" s="56"/>
      <c r="BBY7" s="56"/>
      <c r="BBZ7" s="57">
        <v>35000</v>
      </c>
      <c r="BCA7" s="58"/>
      <c r="BCD7" s="55" t="s">
        <v>16</v>
      </c>
      <c r="BCE7" s="56"/>
      <c r="BCF7" s="56"/>
      <c r="BCG7" s="56"/>
      <c r="BCH7" s="72"/>
      <c r="BCI7" s="55" t="s">
        <v>18</v>
      </c>
      <c r="BCJ7" s="56"/>
      <c r="BCK7" s="56"/>
      <c r="BCL7" s="57">
        <v>35000</v>
      </c>
      <c r="BCM7" s="58"/>
      <c r="BCP7" s="55" t="s">
        <v>16</v>
      </c>
      <c r="BCQ7" s="56"/>
      <c r="BCR7" s="56"/>
      <c r="BCS7" s="56"/>
      <c r="BCT7" s="72"/>
      <c r="BCU7" s="55" t="s">
        <v>18</v>
      </c>
      <c r="BCV7" s="56"/>
      <c r="BCW7" s="56"/>
      <c r="BCX7" s="57">
        <v>35000</v>
      </c>
      <c r="BCY7" s="58"/>
      <c r="BDB7" s="55" t="s">
        <v>16</v>
      </c>
      <c r="BDC7" s="56"/>
      <c r="BDD7" s="56"/>
      <c r="BDE7" s="56"/>
      <c r="BDF7" s="72"/>
      <c r="BDG7" s="55" t="s">
        <v>18</v>
      </c>
      <c r="BDH7" s="56"/>
      <c r="BDI7" s="56"/>
      <c r="BDJ7" s="73">
        <v>14000</v>
      </c>
      <c r="BDK7" s="74"/>
      <c r="BDN7" s="55" t="s">
        <v>16</v>
      </c>
      <c r="BDO7" s="56"/>
      <c r="BDP7" s="56"/>
      <c r="BDQ7" s="56"/>
      <c r="BDR7" s="72"/>
      <c r="BDS7" s="55" t="s">
        <v>18</v>
      </c>
      <c r="BDT7" s="56"/>
      <c r="BDU7" s="56"/>
      <c r="BDV7" s="73">
        <v>35000</v>
      </c>
      <c r="BDW7" s="74"/>
      <c r="BDZ7" s="55" t="s">
        <v>16</v>
      </c>
      <c r="BEA7" s="56"/>
      <c r="BEB7" s="56"/>
      <c r="BEC7" s="56"/>
      <c r="BED7" s="72"/>
      <c r="BEE7" s="55" t="s">
        <v>18</v>
      </c>
      <c r="BEF7" s="56"/>
      <c r="BEG7" s="56"/>
      <c r="BEH7" s="73">
        <v>35000</v>
      </c>
      <c r="BEI7" s="74"/>
      <c r="BEL7" s="55" t="s">
        <v>16</v>
      </c>
      <c r="BEM7" s="56"/>
      <c r="BEN7" s="56"/>
      <c r="BEO7" s="56"/>
      <c r="BEP7" s="72"/>
      <c r="BEQ7" s="55" t="s">
        <v>18</v>
      </c>
      <c r="BER7" s="56"/>
      <c r="BES7" s="56"/>
      <c r="BET7" s="73">
        <v>35000</v>
      </c>
      <c r="BEU7" s="74"/>
      <c r="BEX7" s="55" t="s">
        <v>16</v>
      </c>
      <c r="BEY7" s="56"/>
      <c r="BEZ7" s="56"/>
      <c r="BFA7" s="56"/>
      <c r="BFB7" s="72"/>
      <c r="BFC7" s="55" t="s">
        <v>18</v>
      </c>
      <c r="BFD7" s="56"/>
      <c r="BFE7" s="56"/>
      <c r="BFF7" s="73">
        <v>35000</v>
      </c>
      <c r="BFG7" s="74"/>
      <c r="BFJ7" s="55" t="s">
        <v>16</v>
      </c>
      <c r="BFK7" s="56"/>
      <c r="BFL7" s="56"/>
      <c r="BFM7" s="56"/>
      <c r="BFN7" s="72"/>
      <c r="BFO7" s="55" t="s">
        <v>18</v>
      </c>
      <c r="BFP7" s="56"/>
      <c r="BFQ7" s="56"/>
      <c r="BFR7" s="73">
        <v>35000</v>
      </c>
      <c r="BFS7" s="74"/>
      <c r="BFV7" s="55" t="s">
        <v>16</v>
      </c>
      <c r="BFW7" s="56"/>
      <c r="BFX7" s="56"/>
      <c r="BFY7" s="56"/>
      <c r="BFZ7" s="72"/>
      <c r="BGA7" s="55" t="s">
        <v>18</v>
      </c>
      <c r="BGB7" s="56"/>
      <c r="BGC7" s="56"/>
      <c r="BGD7" s="73">
        <v>35000</v>
      </c>
      <c r="BGE7" s="74"/>
      <c r="BGH7" s="55" t="s">
        <v>16</v>
      </c>
      <c r="BGI7" s="56"/>
      <c r="BGJ7" s="56"/>
      <c r="BGK7" s="56"/>
      <c r="BGL7" s="72"/>
      <c r="BGM7" s="55" t="s">
        <v>18</v>
      </c>
      <c r="BGN7" s="56"/>
      <c r="BGO7" s="56"/>
      <c r="BGP7" s="73">
        <v>35000</v>
      </c>
      <c r="BGQ7" s="74"/>
      <c r="BGT7" s="55" t="s">
        <v>16</v>
      </c>
      <c r="BGU7" s="56"/>
      <c r="BGV7" s="56"/>
      <c r="BGW7" s="56"/>
      <c r="BGX7" s="72"/>
      <c r="BGY7" s="55" t="s">
        <v>18</v>
      </c>
      <c r="BGZ7" s="56"/>
      <c r="BHA7" s="56"/>
      <c r="BHB7" s="73">
        <v>35000</v>
      </c>
      <c r="BHC7" s="74"/>
      <c r="BHF7" s="55" t="s">
        <v>16</v>
      </c>
      <c r="BHG7" s="56"/>
      <c r="BHH7" s="56"/>
      <c r="BHI7" s="56"/>
      <c r="BHJ7" s="72"/>
      <c r="BHK7" s="55" t="s">
        <v>18</v>
      </c>
      <c r="BHL7" s="56"/>
      <c r="BHM7" s="56"/>
      <c r="BHN7" s="73">
        <v>7000</v>
      </c>
      <c r="BHO7" s="74"/>
      <c r="BHR7" s="55" t="s">
        <v>16</v>
      </c>
      <c r="BHS7" s="56"/>
      <c r="BHT7" s="56"/>
      <c r="BHU7" s="56"/>
      <c r="BHV7" s="72"/>
      <c r="BHW7" s="55" t="s">
        <v>18</v>
      </c>
      <c r="BHX7" s="56"/>
      <c r="BHY7" s="56"/>
      <c r="BHZ7" s="73">
        <v>14000</v>
      </c>
      <c r="BIA7" s="74"/>
      <c r="BID7" s="55" t="s">
        <v>16</v>
      </c>
      <c r="BIE7" s="56"/>
      <c r="BIF7" s="56"/>
      <c r="BIG7" s="56"/>
      <c r="BIH7" s="72"/>
      <c r="BII7" s="55" t="s">
        <v>18</v>
      </c>
      <c r="BIJ7" s="56"/>
      <c r="BIK7" s="56"/>
      <c r="BIL7" s="73">
        <v>35000</v>
      </c>
      <c r="BIM7" s="74"/>
      <c r="BIP7" s="55" t="s">
        <v>16</v>
      </c>
      <c r="BIQ7" s="56"/>
      <c r="BIR7" s="56"/>
      <c r="BIS7" s="56"/>
      <c r="BIT7" s="72"/>
      <c r="BIU7" s="55" t="s">
        <v>18</v>
      </c>
      <c r="BIV7" s="56"/>
      <c r="BIW7" s="56"/>
      <c r="BIX7" s="73">
        <v>35000</v>
      </c>
      <c r="BIY7" s="74"/>
      <c r="BJB7" s="55" t="s">
        <v>16</v>
      </c>
      <c r="BJC7" s="56"/>
      <c r="BJD7" s="56"/>
      <c r="BJE7" s="56"/>
      <c r="BJF7" s="72"/>
      <c r="BJG7" s="55" t="s">
        <v>18</v>
      </c>
      <c r="BJH7" s="56"/>
      <c r="BJI7" s="56"/>
      <c r="BJJ7" s="73">
        <v>35000</v>
      </c>
      <c r="BJK7" s="74"/>
      <c r="BJN7" s="55" t="s">
        <v>16</v>
      </c>
      <c r="BJO7" s="56"/>
      <c r="BJP7" s="56"/>
      <c r="BJQ7" s="56"/>
      <c r="BJR7" s="72"/>
      <c r="BJS7" s="55" t="s">
        <v>18</v>
      </c>
      <c r="BJT7" s="56"/>
      <c r="BJU7" s="56"/>
      <c r="BJV7" s="73">
        <v>35000</v>
      </c>
      <c r="BJW7" s="74"/>
      <c r="BJZ7" s="55" t="s">
        <v>16</v>
      </c>
      <c r="BKA7" s="56"/>
      <c r="BKB7" s="56"/>
      <c r="BKC7" s="56"/>
      <c r="BKD7" s="72"/>
      <c r="BKE7" s="55" t="s">
        <v>18</v>
      </c>
      <c r="BKF7" s="56"/>
      <c r="BKG7" s="56"/>
      <c r="BKH7" s="73">
        <v>3000</v>
      </c>
      <c r="BKI7" s="74"/>
      <c r="BKL7" s="55" t="s">
        <v>16</v>
      </c>
      <c r="BKM7" s="56"/>
      <c r="BKN7" s="56"/>
      <c r="BKO7" s="56"/>
      <c r="BKP7" s="72"/>
      <c r="BKQ7" s="55" t="s">
        <v>18</v>
      </c>
      <c r="BKR7" s="56"/>
      <c r="BKS7" s="56"/>
      <c r="BKT7" s="73">
        <v>35000</v>
      </c>
      <c r="BKU7" s="74"/>
      <c r="BKX7" s="55" t="s">
        <v>16</v>
      </c>
      <c r="BKY7" s="56"/>
      <c r="BKZ7" s="56"/>
      <c r="BLA7" s="56"/>
      <c r="BLB7" s="72"/>
      <c r="BLC7" s="55" t="s">
        <v>18</v>
      </c>
      <c r="BLD7" s="56"/>
      <c r="BLE7" s="56"/>
      <c r="BLF7" s="73">
        <v>35000</v>
      </c>
      <c r="BLG7" s="74"/>
      <c r="BLJ7" s="55" t="s">
        <v>16</v>
      </c>
      <c r="BLK7" s="56"/>
      <c r="BLL7" s="56"/>
      <c r="BLM7" s="56"/>
      <c r="BLN7" s="72"/>
      <c r="BLO7" s="55" t="s">
        <v>18</v>
      </c>
      <c r="BLP7" s="56"/>
      <c r="BLQ7" s="56"/>
      <c r="BLR7" s="73">
        <v>35000</v>
      </c>
      <c r="BLS7" s="74"/>
      <c r="BLV7" s="55" t="s">
        <v>16</v>
      </c>
      <c r="BLW7" s="56"/>
      <c r="BLX7" s="56"/>
      <c r="BLY7" s="56"/>
      <c r="BLZ7" s="72"/>
      <c r="BMA7" s="55" t="s">
        <v>18</v>
      </c>
      <c r="BMB7" s="56"/>
      <c r="BMC7" s="56"/>
      <c r="BMD7" s="73">
        <v>35000</v>
      </c>
      <c r="BME7" s="74"/>
      <c r="BMH7" s="55" t="s">
        <v>16</v>
      </c>
      <c r="BMI7" s="56"/>
      <c r="BMJ7" s="56"/>
      <c r="BMK7" s="56"/>
      <c r="BML7" s="72"/>
      <c r="BMM7" s="55" t="s">
        <v>18</v>
      </c>
      <c r="BMN7" s="56"/>
      <c r="BMO7" s="56"/>
      <c r="BMP7" s="73">
        <v>35000</v>
      </c>
      <c r="BMQ7" s="74"/>
      <c r="BMT7" s="55" t="s">
        <v>16</v>
      </c>
      <c r="BMU7" s="56"/>
      <c r="BMV7" s="56"/>
      <c r="BMW7" s="56"/>
      <c r="BMX7" s="72"/>
      <c r="BMY7" s="55" t="s">
        <v>18</v>
      </c>
      <c r="BMZ7" s="56"/>
      <c r="BNA7" s="56"/>
      <c r="BNB7" s="73">
        <v>35000</v>
      </c>
      <c r="BNC7" s="74"/>
      <c r="BNF7" s="55" t="s">
        <v>16</v>
      </c>
      <c r="BNG7" s="56"/>
      <c r="BNH7" s="56"/>
      <c r="BNI7" s="56"/>
      <c r="BNJ7" s="72"/>
      <c r="BNK7" s="55" t="s">
        <v>18</v>
      </c>
      <c r="BNL7" s="56"/>
      <c r="BNM7" s="56"/>
      <c r="BNN7" s="73">
        <v>35000</v>
      </c>
      <c r="BNO7" s="74"/>
      <c r="BNR7" s="55" t="s">
        <v>16</v>
      </c>
      <c r="BNS7" s="56"/>
      <c r="BNT7" s="56"/>
      <c r="BNU7" s="56"/>
      <c r="BNV7" s="72"/>
      <c r="BNW7" s="55" t="s">
        <v>18</v>
      </c>
      <c r="BNX7" s="56"/>
      <c r="BNY7" s="56"/>
      <c r="BNZ7" s="73">
        <v>35000</v>
      </c>
      <c r="BOA7" s="74"/>
      <c r="BOD7" s="55" t="s">
        <v>16</v>
      </c>
      <c r="BOE7" s="56"/>
      <c r="BOF7" s="56"/>
      <c r="BOG7" s="56"/>
      <c r="BOH7" s="72"/>
      <c r="BOI7" s="55" t="s">
        <v>18</v>
      </c>
      <c r="BOJ7" s="56"/>
      <c r="BOK7" s="56"/>
      <c r="BOL7" s="73">
        <v>35000</v>
      </c>
      <c r="BOM7" s="74"/>
      <c r="BOP7" s="55" t="s">
        <v>16</v>
      </c>
      <c r="BOQ7" s="56"/>
      <c r="BOR7" s="56"/>
      <c r="BOS7" s="56"/>
      <c r="BOT7" s="72"/>
      <c r="BOU7" s="55" t="s">
        <v>18</v>
      </c>
      <c r="BOV7" s="56"/>
      <c r="BOW7" s="56"/>
      <c r="BOX7" s="73">
        <v>35000</v>
      </c>
      <c r="BOY7" s="74"/>
      <c r="BPB7" s="55" t="s">
        <v>16</v>
      </c>
      <c r="BPC7" s="56"/>
      <c r="BPD7" s="56"/>
      <c r="BPE7" s="56"/>
      <c r="BPF7" s="72"/>
      <c r="BPG7" s="55" t="s">
        <v>18</v>
      </c>
      <c r="BPH7" s="56"/>
      <c r="BPI7" s="56"/>
      <c r="BPJ7" s="73">
        <v>35000</v>
      </c>
      <c r="BPK7" s="74"/>
      <c r="BPN7" s="55" t="s">
        <v>16</v>
      </c>
      <c r="BPO7" s="56"/>
      <c r="BPP7" s="56"/>
      <c r="BPQ7" s="56"/>
      <c r="BPR7" s="72"/>
      <c r="BPS7" s="55" t="s">
        <v>18</v>
      </c>
      <c r="BPT7" s="56"/>
      <c r="BPU7" s="56"/>
      <c r="BPV7" s="73">
        <v>35000</v>
      </c>
      <c r="BPW7" s="74"/>
      <c r="BPZ7" s="55" t="s">
        <v>16</v>
      </c>
      <c r="BQA7" s="56"/>
      <c r="BQB7" s="56"/>
      <c r="BQC7" s="56"/>
      <c r="BQD7" s="72"/>
      <c r="BQE7" s="55" t="s">
        <v>18</v>
      </c>
      <c r="BQF7" s="56"/>
      <c r="BQG7" s="56"/>
      <c r="BQH7" s="73">
        <v>35000</v>
      </c>
      <c r="BQI7" s="74"/>
      <c r="BQL7" s="55" t="s">
        <v>16</v>
      </c>
      <c r="BQM7" s="56"/>
      <c r="BQN7" s="56"/>
      <c r="BQO7" s="56"/>
      <c r="BQP7" s="72"/>
      <c r="BQQ7" s="55" t="s">
        <v>18</v>
      </c>
      <c r="BQR7" s="56"/>
      <c r="BQS7" s="56"/>
      <c r="BQT7" s="73">
        <v>35000</v>
      </c>
      <c r="BQU7" s="74"/>
      <c r="BQX7" s="55" t="s">
        <v>16</v>
      </c>
      <c r="BQY7" s="56"/>
      <c r="BQZ7" s="56"/>
      <c r="BRA7" s="56"/>
      <c r="BRB7" s="72"/>
      <c r="BRC7" s="55" t="s">
        <v>18</v>
      </c>
      <c r="BRD7" s="56"/>
      <c r="BRE7" s="56"/>
      <c r="BRF7" s="73">
        <v>35000</v>
      </c>
      <c r="BRG7" s="74"/>
      <c r="BRJ7" s="55" t="s">
        <v>16</v>
      </c>
      <c r="BRK7" s="56"/>
      <c r="BRL7" s="56"/>
      <c r="BRM7" s="56"/>
      <c r="BRN7" s="72"/>
      <c r="BRO7" s="55" t="s">
        <v>18</v>
      </c>
      <c r="BRP7" s="56"/>
      <c r="BRQ7" s="56"/>
      <c r="BRR7" s="73">
        <v>35000</v>
      </c>
      <c r="BRS7" s="74"/>
      <c r="BRV7" s="55" t="s">
        <v>16</v>
      </c>
      <c r="BRW7" s="56"/>
      <c r="BRX7" s="56"/>
      <c r="BRY7" s="56"/>
      <c r="BRZ7" s="72"/>
      <c r="BSA7" s="55" t="s">
        <v>18</v>
      </c>
      <c r="BSB7" s="56"/>
      <c r="BSC7" s="56"/>
      <c r="BSD7" s="73">
        <v>35000</v>
      </c>
      <c r="BSE7" s="74"/>
      <c r="BSH7" s="55" t="s">
        <v>16</v>
      </c>
      <c r="BSI7" s="56"/>
      <c r="BSJ7" s="56"/>
      <c r="BSK7" s="56"/>
      <c r="BSL7" s="72"/>
      <c r="BSM7" s="55" t="s">
        <v>18</v>
      </c>
      <c r="BSN7" s="56"/>
      <c r="BSO7" s="56"/>
      <c r="BSP7" s="73">
        <v>35000</v>
      </c>
      <c r="BSQ7" s="74"/>
      <c r="BST7" s="55" t="s">
        <v>16</v>
      </c>
      <c r="BSU7" s="56"/>
      <c r="BSV7" s="56"/>
      <c r="BSW7" s="56"/>
      <c r="BSX7" s="72"/>
      <c r="BSY7" s="55" t="s">
        <v>18</v>
      </c>
      <c r="BSZ7" s="56"/>
      <c r="BTA7" s="56"/>
      <c r="BTB7" s="73">
        <v>35000</v>
      </c>
      <c r="BTC7" s="74"/>
      <c r="BTF7" s="55" t="s">
        <v>16</v>
      </c>
      <c r="BTG7" s="56"/>
      <c r="BTH7" s="56"/>
      <c r="BTI7" s="56"/>
      <c r="BTJ7" s="72"/>
      <c r="BTK7" s="55" t="s">
        <v>18</v>
      </c>
      <c r="BTL7" s="56"/>
      <c r="BTM7" s="56"/>
      <c r="BTN7" s="73">
        <v>35000</v>
      </c>
      <c r="BTO7" s="74"/>
      <c r="BTR7" s="55" t="s">
        <v>16</v>
      </c>
      <c r="BTS7" s="56"/>
      <c r="BTT7" s="56"/>
      <c r="BTU7" s="56"/>
      <c r="BTV7" s="72"/>
      <c r="BTW7" s="55" t="s">
        <v>18</v>
      </c>
      <c r="BTX7" s="56"/>
      <c r="BTY7" s="56"/>
      <c r="BTZ7" s="73">
        <v>35000</v>
      </c>
      <c r="BUA7" s="74"/>
      <c r="BUD7" s="55" t="s">
        <v>16</v>
      </c>
      <c r="BUE7" s="56"/>
      <c r="BUF7" s="56"/>
      <c r="BUG7" s="56"/>
      <c r="BUH7" s="72"/>
      <c r="BUI7" s="55" t="s">
        <v>18</v>
      </c>
      <c r="BUJ7" s="56"/>
      <c r="BUK7" s="56"/>
      <c r="BUL7" s="73">
        <v>35000</v>
      </c>
      <c r="BUM7" s="74"/>
      <c r="BUP7" s="55" t="s">
        <v>16</v>
      </c>
      <c r="BUQ7" s="56"/>
      <c r="BUR7" s="56"/>
      <c r="BUS7" s="56"/>
      <c r="BUT7" s="72"/>
      <c r="BUU7" s="55" t="s">
        <v>18</v>
      </c>
      <c r="BUV7" s="56"/>
      <c r="BUW7" s="56"/>
      <c r="BUX7" s="73">
        <v>35000</v>
      </c>
      <c r="BUY7" s="74"/>
      <c r="BVB7" s="55" t="s">
        <v>16</v>
      </c>
      <c r="BVC7" s="56"/>
      <c r="BVD7" s="56"/>
      <c r="BVE7" s="56"/>
      <c r="BVF7" s="72"/>
      <c r="BVG7" s="55" t="s">
        <v>18</v>
      </c>
      <c r="BVH7" s="56"/>
      <c r="BVI7" s="56"/>
      <c r="BVJ7" s="73">
        <v>35000</v>
      </c>
      <c r="BVK7" s="74"/>
      <c r="BVN7" s="55" t="s">
        <v>16</v>
      </c>
      <c r="BVO7" s="56"/>
      <c r="BVP7" s="56"/>
      <c r="BVQ7" s="56"/>
      <c r="BVR7" s="72"/>
      <c r="BVS7" s="55" t="s">
        <v>18</v>
      </c>
      <c r="BVT7" s="56"/>
      <c r="BVU7" s="56"/>
      <c r="BVV7" s="73">
        <v>35000</v>
      </c>
      <c r="BVW7" s="74"/>
      <c r="BVZ7" s="55" t="s">
        <v>16</v>
      </c>
      <c r="BWA7" s="56"/>
      <c r="BWB7" s="56"/>
      <c r="BWC7" s="56"/>
      <c r="BWD7" s="72"/>
      <c r="BWE7" s="55" t="s">
        <v>18</v>
      </c>
      <c r="BWF7" s="56"/>
      <c r="BWG7" s="56"/>
      <c r="BWH7" s="73">
        <v>35000</v>
      </c>
      <c r="BWI7" s="74"/>
      <c r="BWL7" s="55" t="s">
        <v>16</v>
      </c>
      <c r="BWM7" s="56"/>
      <c r="BWN7" s="56"/>
      <c r="BWO7" s="56"/>
      <c r="BWP7" s="72"/>
      <c r="BWQ7" s="55" t="s">
        <v>18</v>
      </c>
      <c r="BWR7" s="56"/>
      <c r="BWS7" s="56"/>
      <c r="BWT7" s="73">
        <v>35000</v>
      </c>
      <c r="BWU7" s="74"/>
      <c r="BWX7" s="55" t="s">
        <v>16</v>
      </c>
      <c r="BWY7" s="56"/>
      <c r="BWZ7" s="56"/>
      <c r="BXA7" s="56"/>
      <c r="BXB7" s="72"/>
      <c r="BXC7" s="55" t="s">
        <v>18</v>
      </c>
      <c r="BXD7" s="56"/>
      <c r="BXE7" s="56"/>
      <c r="BXF7" s="73">
        <v>35000</v>
      </c>
      <c r="BXG7" s="74"/>
      <c r="BXJ7" s="55" t="s">
        <v>16</v>
      </c>
      <c r="BXK7" s="56"/>
      <c r="BXL7" s="56"/>
      <c r="BXM7" s="56"/>
      <c r="BXN7" s="72"/>
      <c r="BXO7" s="55" t="s">
        <v>18</v>
      </c>
      <c r="BXP7" s="56"/>
      <c r="BXQ7" s="56"/>
      <c r="BXR7" s="73">
        <v>35000</v>
      </c>
      <c r="BXS7" s="74"/>
      <c r="BXV7" s="55" t="s">
        <v>16</v>
      </c>
      <c r="BXW7" s="56"/>
      <c r="BXX7" s="56"/>
      <c r="BXY7" s="56"/>
      <c r="BXZ7" s="72"/>
      <c r="BYA7" s="55" t="s">
        <v>18</v>
      </c>
      <c r="BYB7" s="56"/>
      <c r="BYC7" s="56"/>
      <c r="BYD7" s="73">
        <v>35000</v>
      </c>
      <c r="BYE7" s="74"/>
      <c r="BYH7" s="55" t="s">
        <v>16</v>
      </c>
      <c r="BYI7" s="56"/>
      <c r="BYJ7" s="56"/>
      <c r="BYK7" s="56"/>
      <c r="BYL7" s="72"/>
      <c r="BYM7" s="55" t="s">
        <v>18</v>
      </c>
      <c r="BYN7" s="56"/>
      <c r="BYO7" s="56"/>
      <c r="BYP7" s="73">
        <v>35000</v>
      </c>
      <c r="BYQ7" s="74"/>
      <c r="BYT7" s="55" t="s">
        <v>16</v>
      </c>
      <c r="BYU7" s="56"/>
      <c r="BYV7" s="56"/>
      <c r="BYW7" s="56"/>
      <c r="BYX7" s="72"/>
      <c r="BYY7" s="55" t="s">
        <v>18</v>
      </c>
      <c r="BYZ7" s="56"/>
      <c r="BZA7" s="56"/>
      <c r="BZB7" s="73">
        <v>35000</v>
      </c>
      <c r="BZC7" s="74"/>
      <c r="BZF7" s="55" t="s">
        <v>16</v>
      </c>
      <c r="BZG7" s="56"/>
      <c r="BZH7" s="56"/>
      <c r="BZI7" s="56"/>
      <c r="BZJ7" s="72"/>
      <c r="BZK7" s="55" t="s">
        <v>18</v>
      </c>
      <c r="BZL7" s="56"/>
      <c r="BZM7" s="56"/>
      <c r="BZN7" s="73">
        <v>13000</v>
      </c>
      <c r="BZO7" s="74"/>
      <c r="BZR7" s="55" t="s">
        <v>16</v>
      </c>
      <c r="BZS7" s="56"/>
      <c r="BZT7" s="56"/>
      <c r="BZU7" s="56"/>
      <c r="BZV7" s="72"/>
      <c r="BZW7" s="55" t="s">
        <v>18</v>
      </c>
      <c r="BZX7" s="56"/>
      <c r="BZY7" s="56"/>
      <c r="BZZ7" s="73">
        <v>35000</v>
      </c>
      <c r="CAA7" s="74"/>
      <c r="CAD7" s="55" t="s">
        <v>16</v>
      </c>
      <c r="CAE7" s="56"/>
      <c r="CAF7" s="56"/>
      <c r="CAG7" s="56"/>
      <c r="CAH7" s="72"/>
      <c r="CAI7" s="55" t="s">
        <v>18</v>
      </c>
      <c r="CAJ7" s="56"/>
      <c r="CAK7" s="56"/>
      <c r="CAL7" s="73">
        <v>35000</v>
      </c>
      <c r="CAM7" s="74"/>
      <c r="CAP7" s="55" t="s">
        <v>16</v>
      </c>
      <c r="CAQ7" s="56"/>
      <c r="CAR7" s="56"/>
      <c r="CAS7" s="56"/>
      <c r="CAT7" s="72"/>
      <c r="CAU7" s="55" t="s">
        <v>18</v>
      </c>
      <c r="CAV7" s="56"/>
      <c r="CAW7" s="56"/>
      <c r="CAX7" s="73">
        <v>35000</v>
      </c>
      <c r="CAY7" s="74"/>
      <c r="CBB7" s="55" t="s">
        <v>16</v>
      </c>
      <c r="CBC7" s="56"/>
      <c r="CBD7" s="56"/>
      <c r="CBE7" s="56"/>
      <c r="CBF7" s="72"/>
      <c r="CBG7" s="55" t="s">
        <v>18</v>
      </c>
      <c r="CBH7" s="56"/>
      <c r="CBI7" s="56"/>
      <c r="CBJ7" s="73">
        <v>35000</v>
      </c>
      <c r="CBK7" s="74"/>
      <c r="CBN7" s="55" t="s">
        <v>16</v>
      </c>
      <c r="CBO7" s="56"/>
      <c r="CBP7" s="56"/>
      <c r="CBQ7" s="56"/>
      <c r="CBR7" s="72"/>
      <c r="CBS7" s="55" t="s">
        <v>18</v>
      </c>
      <c r="CBT7" s="56"/>
      <c r="CBU7" s="56"/>
      <c r="CBV7" s="73">
        <v>35000</v>
      </c>
      <c r="CBW7" s="74"/>
      <c r="CBZ7" s="55" t="s">
        <v>16</v>
      </c>
      <c r="CCA7" s="56"/>
      <c r="CCB7" s="56"/>
      <c r="CCC7" s="56"/>
      <c r="CCD7" s="72"/>
      <c r="CCE7" s="55" t="s">
        <v>18</v>
      </c>
      <c r="CCF7" s="56"/>
      <c r="CCG7" s="56"/>
      <c r="CCH7" s="73">
        <v>35000</v>
      </c>
      <c r="CCI7" s="74"/>
      <c r="CCL7" s="55" t="s">
        <v>16</v>
      </c>
      <c r="CCM7" s="56"/>
      <c r="CCN7" s="56"/>
      <c r="CCO7" s="56"/>
      <c r="CCP7" s="72"/>
      <c r="CCQ7" s="55" t="s">
        <v>18</v>
      </c>
      <c r="CCR7" s="56"/>
      <c r="CCS7" s="56"/>
      <c r="CCT7" s="73">
        <v>35000</v>
      </c>
      <c r="CCU7" s="74"/>
      <c r="CCX7" s="55" t="s">
        <v>16</v>
      </c>
      <c r="CCY7" s="56"/>
      <c r="CCZ7" s="56"/>
      <c r="CDA7" s="56"/>
      <c r="CDB7" s="72"/>
      <c r="CDC7" s="55" t="s">
        <v>18</v>
      </c>
      <c r="CDD7" s="56"/>
      <c r="CDE7" s="56"/>
      <c r="CDF7" s="73">
        <v>35000</v>
      </c>
      <c r="CDG7" s="74"/>
      <c r="CDJ7" s="55" t="s">
        <v>16</v>
      </c>
      <c r="CDK7" s="56"/>
      <c r="CDL7" s="56"/>
      <c r="CDM7" s="56"/>
      <c r="CDN7" s="72"/>
      <c r="CDO7" s="55" t="s">
        <v>18</v>
      </c>
      <c r="CDP7" s="56"/>
      <c r="CDQ7" s="56"/>
      <c r="CDR7" s="73">
        <v>35000</v>
      </c>
      <c r="CDS7" s="74"/>
      <c r="CDV7" s="55" t="s">
        <v>16</v>
      </c>
      <c r="CDW7" s="56"/>
      <c r="CDX7" s="56"/>
      <c r="CDY7" s="56"/>
      <c r="CDZ7" s="72"/>
      <c r="CEA7" s="55" t="s">
        <v>18</v>
      </c>
      <c r="CEB7" s="56"/>
      <c r="CEC7" s="56"/>
      <c r="CED7" s="73">
        <v>35000</v>
      </c>
      <c r="CEE7" s="74"/>
      <c r="CEH7" s="55" t="s">
        <v>16</v>
      </c>
      <c r="CEI7" s="56"/>
      <c r="CEJ7" s="56"/>
      <c r="CEK7" s="56"/>
      <c r="CEL7" s="72"/>
      <c r="CEM7" s="55" t="s">
        <v>18</v>
      </c>
      <c r="CEN7" s="56"/>
      <c r="CEO7" s="56"/>
      <c r="CEP7" s="73">
        <v>35000</v>
      </c>
      <c r="CEQ7" s="74"/>
      <c r="CET7" s="55" t="s">
        <v>16</v>
      </c>
      <c r="CEU7" s="56"/>
      <c r="CEV7" s="56"/>
      <c r="CEW7" s="56"/>
      <c r="CEX7" s="72"/>
      <c r="CEY7" s="55" t="s">
        <v>18</v>
      </c>
      <c r="CEZ7" s="56"/>
      <c r="CFA7" s="56"/>
      <c r="CFB7" s="73">
        <v>35000</v>
      </c>
      <c r="CFC7" s="74"/>
      <c r="CFF7" s="55" t="s">
        <v>16</v>
      </c>
      <c r="CFG7" s="56"/>
      <c r="CFH7" s="56"/>
      <c r="CFI7" s="56"/>
      <c r="CFJ7" s="72"/>
      <c r="CFK7" s="55" t="s">
        <v>18</v>
      </c>
      <c r="CFL7" s="56"/>
      <c r="CFM7" s="56"/>
      <c r="CFN7" s="73">
        <v>35000</v>
      </c>
      <c r="CFO7" s="74"/>
      <c r="CFR7" s="55" t="s">
        <v>16</v>
      </c>
      <c r="CFS7" s="56"/>
      <c r="CFT7" s="56"/>
      <c r="CFU7" s="56"/>
      <c r="CFV7" s="72"/>
      <c r="CFW7" s="55" t="s">
        <v>18</v>
      </c>
      <c r="CFX7" s="56"/>
      <c r="CFY7" s="56"/>
      <c r="CFZ7" s="73">
        <v>35000</v>
      </c>
      <c r="CGA7" s="74"/>
      <c r="CGD7" s="55" t="s">
        <v>16</v>
      </c>
      <c r="CGE7" s="56"/>
      <c r="CGF7" s="56"/>
      <c r="CGG7" s="56"/>
      <c r="CGH7" s="72"/>
      <c r="CGI7" s="55" t="s">
        <v>18</v>
      </c>
      <c r="CGJ7" s="56"/>
      <c r="CGK7" s="56"/>
      <c r="CGL7" s="73">
        <v>35000</v>
      </c>
      <c r="CGM7" s="74"/>
      <c r="CGP7" s="55" t="s">
        <v>16</v>
      </c>
      <c r="CGQ7" s="56"/>
      <c r="CGR7" s="56"/>
      <c r="CGS7" s="56"/>
      <c r="CGT7" s="72"/>
      <c r="CGU7" s="55" t="s">
        <v>18</v>
      </c>
      <c r="CGV7" s="56"/>
      <c r="CGW7" s="56"/>
      <c r="CGX7" s="73">
        <v>35000</v>
      </c>
      <c r="CGY7" s="74"/>
      <c r="CHB7" s="55" t="s">
        <v>16</v>
      </c>
      <c r="CHC7" s="56"/>
      <c r="CHD7" s="56"/>
      <c r="CHE7" s="56"/>
      <c r="CHF7" s="72"/>
      <c r="CHG7" s="55" t="s">
        <v>18</v>
      </c>
      <c r="CHH7" s="56"/>
      <c r="CHI7" s="56"/>
      <c r="CHJ7" s="73">
        <v>35000</v>
      </c>
      <c r="CHK7" s="74"/>
      <c r="CHN7" s="55" t="s">
        <v>16</v>
      </c>
      <c r="CHO7" s="56"/>
      <c r="CHP7" s="56"/>
      <c r="CHQ7" s="56"/>
      <c r="CHR7" s="72"/>
      <c r="CHS7" s="55" t="s">
        <v>18</v>
      </c>
      <c r="CHT7" s="56"/>
      <c r="CHU7" s="56"/>
      <c r="CHV7" s="73">
        <v>35000</v>
      </c>
      <c r="CHW7" s="74"/>
      <c r="CHZ7" s="55" t="s">
        <v>16</v>
      </c>
      <c r="CIA7" s="56"/>
      <c r="CIB7" s="56"/>
      <c r="CIC7" s="56"/>
      <c r="CID7" s="72"/>
      <c r="CIE7" s="55" t="s">
        <v>18</v>
      </c>
      <c r="CIF7" s="56"/>
      <c r="CIG7" s="56"/>
      <c r="CIH7" s="73">
        <v>35000</v>
      </c>
      <c r="CII7" s="74"/>
      <c r="CIL7" s="55" t="s">
        <v>16</v>
      </c>
      <c r="CIM7" s="56"/>
      <c r="CIN7" s="56"/>
      <c r="CIO7" s="56"/>
      <c r="CIP7" s="72"/>
      <c r="CIQ7" s="55" t="s">
        <v>18</v>
      </c>
      <c r="CIR7" s="56"/>
      <c r="CIS7" s="56"/>
      <c r="CIT7" s="73">
        <v>35000</v>
      </c>
      <c r="CIU7" s="74"/>
      <c r="CIX7" s="55" t="s">
        <v>16</v>
      </c>
      <c r="CIY7" s="56"/>
      <c r="CIZ7" s="56"/>
      <c r="CJA7" s="56"/>
      <c r="CJB7" s="72"/>
      <c r="CJC7" s="55" t="s">
        <v>18</v>
      </c>
      <c r="CJD7" s="56"/>
      <c r="CJE7" s="56"/>
      <c r="CJF7" s="73">
        <v>35000</v>
      </c>
      <c r="CJG7" s="74"/>
      <c r="CJJ7" s="55" t="s">
        <v>16</v>
      </c>
      <c r="CJK7" s="56"/>
      <c r="CJL7" s="56"/>
      <c r="CJM7" s="56"/>
      <c r="CJN7" s="72"/>
      <c r="CJO7" s="55" t="s">
        <v>18</v>
      </c>
      <c r="CJP7" s="56"/>
      <c r="CJQ7" s="56"/>
      <c r="CJR7" s="73">
        <v>35000</v>
      </c>
      <c r="CJS7" s="74"/>
      <c r="CJV7" s="55" t="s">
        <v>16</v>
      </c>
      <c r="CJW7" s="56"/>
      <c r="CJX7" s="56"/>
      <c r="CJY7" s="56"/>
      <c r="CJZ7" s="72"/>
      <c r="CKA7" s="55" t="s">
        <v>18</v>
      </c>
      <c r="CKB7" s="56"/>
      <c r="CKC7" s="56"/>
      <c r="CKD7" s="73">
        <v>35000</v>
      </c>
      <c r="CKE7" s="74"/>
      <c r="CKH7" s="55" t="s">
        <v>16</v>
      </c>
      <c r="CKI7" s="56"/>
      <c r="CKJ7" s="56"/>
      <c r="CKK7" s="56"/>
      <c r="CKL7" s="72"/>
      <c r="CKM7" s="55" t="s">
        <v>18</v>
      </c>
      <c r="CKN7" s="56"/>
      <c r="CKO7" s="56"/>
      <c r="CKP7" s="73">
        <v>35000</v>
      </c>
      <c r="CKQ7" s="74"/>
      <c r="CKT7" s="55" t="s">
        <v>16</v>
      </c>
      <c r="CKU7" s="56"/>
      <c r="CKV7" s="56"/>
      <c r="CKW7" s="56"/>
      <c r="CKX7" s="72"/>
      <c r="CKY7" s="55" t="s">
        <v>18</v>
      </c>
      <c r="CKZ7" s="56"/>
      <c r="CLA7" s="56"/>
      <c r="CLB7" s="73">
        <v>35000</v>
      </c>
      <c r="CLC7" s="74"/>
      <c r="CLF7" s="55" t="s">
        <v>16</v>
      </c>
      <c r="CLG7" s="56"/>
      <c r="CLH7" s="56"/>
      <c r="CLI7" s="56"/>
      <c r="CLJ7" s="72"/>
      <c r="CLK7" s="55" t="s">
        <v>18</v>
      </c>
      <c r="CLL7" s="56"/>
      <c r="CLM7" s="56"/>
      <c r="CLN7" s="73">
        <v>35000</v>
      </c>
      <c r="CLO7" s="74"/>
      <c r="CLR7" s="55" t="s">
        <v>16</v>
      </c>
      <c r="CLS7" s="56"/>
      <c r="CLT7" s="56"/>
      <c r="CLU7" s="56"/>
      <c r="CLV7" s="72"/>
      <c r="CLW7" s="55" t="s">
        <v>18</v>
      </c>
      <c r="CLX7" s="56"/>
      <c r="CLY7" s="56"/>
      <c r="CLZ7" s="73">
        <v>35000</v>
      </c>
      <c r="CMA7" s="74"/>
      <c r="CMD7" s="55" t="s">
        <v>16</v>
      </c>
      <c r="CME7" s="56"/>
      <c r="CMF7" s="56"/>
      <c r="CMG7" s="56"/>
      <c r="CMH7" s="72"/>
      <c r="CMI7" s="55" t="s">
        <v>18</v>
      </c>
      <c r="CMJ7" s="56"/>
      <c r="CMK7" s="56"/>
      <c r="CML7" s="73">
        <v>35000</v>
      </c>
      <c r="CMM7" s="74"/>
      <c r="CMP7" s="55" t="s">
        <v>16</v>
      </c>
      <c r="CMQ7" s="56"/>
      <c r="CMR7" s="56"/>
      <c r="CMS7" s="56"/>
      <c r="CMT7" s="72"/>
      <c r="CMU7" s="55" t="s">
        <v>18</v>
      </c>
      <c r="CMV7" s="56"/>
      <c r="CMW7" s="56"/>
      <c r="CMX7" s="73">
        <v>35000</v>
      </c>
      <c r="CMY7" s="74"/>
      <c r="CNB7" s="55" t="s">
        <v>16</v>
      </c>
      <c r="CNC7" s="56"/>
      <c r="CND7" s="56"/>
      <c r="CNE7" s="56"/>
      <c r="CNF7" s="72"/>
      <c r="CNG7" s="55" t="s">
        <v>18</v>
      </c>
      <c r="CNH7" s="56"/>
      <c r="CNI7" s="56"/>
      <c r="CNJ7" s="73">
        <v>35000</v>
      </c>
      <c r="CNK7" s="74"/>
      <c r="CNN7" s="55" t="s">
        <v>16</v>
      </c>
      <c r="CNO7" s="56"/>
      <c r="CNP7" s="56"/>
      <c r="CNQ7" s="56"/>
      <c r="CNR7" s="72"/>
      <c r="CNS7" s="55" t="s">
        <v>18</v>
      </c>
      <c r="CNT7" s="56"/>
      <c r="CNU7" s="56"/>
      <c r="CNV7" s="73">
        <v>35000</v>
      </c>
      <c r="CNW7" s="74"/>
      <c r="CNZ7" s="55" t="s">
        <v>16</v>
      </c>
      <c r="COA7" s="56"/>
      <c r="COB7" s="56"/>
      <c r="COC7" s="56"/>
      <c r="COD7" s="72"/>
      <c r="COE7" s="55" t="s">
        <v>18</v>
      </c>
      <c r="COF7" s="56"/>
      <c r="COG7" s="56"/>
      <c r="COH7" s="73">
        <v>105000</v>
      </c>
      <c r="COI7" s="74"/>
      <c r="COL7" s="55" t="s">
        <v>16</v>
      </c>
      <c r="COM7" s="56"/>
      <c r="CON7" s="56"/>
      <c r="COO7" s="56"/>
      <c r="COP7" s="72"/>
      <c r="COQ7" s="55" t="s">
        <v>18</v>
      </c>
      <c r="COR7" s="56"/>
      <c r="COS7" s="56"/>
      <c r="COT7" s="73">
        <v>35000</v>
      </c>
      <c r="COU7" s="74"/>
      <c r="COX7" s="55" t="s">
        <v>16</v>
      </c>
      <c r="COY7" s="56"/>
      <c r="COZ7" s="56"/>
      <c r="CPA7" s="56"/>
      <c r="CPB7" s="72"/>
      <c r="CPC7" s="55" t="s">
        <v>18</v>
      </c>
      <c r="CPD7" s="56"/>
      <c r="CPE7" s="56"/>
      <c r="CPF7" s="73">
        <v>35000</v>
      </c>
      <c r="CPG7" s="74"/>
      <c r="CPJ7" s="55" t="s">
        <v>16</v>
      </c>
      <c r="CPK7" s="56"/>
      <c r="CPL7" s="56"/>
      <c r="CPM7" s="56"/>
      <c r="CPN7" s="72"/>
      <c r="CPO7" s="55" t="s">
        <v>18</v>
      </c>
      <c r="CPP7" s="56"/>
      <c r="CPQ7" s="56"/>
      <c r="CPR7" s="73">
        <v>35000</v>
      </c>
      <c r="CPS7" s="74"/>
      <c r="CPV7" s="55" t="s">
        <v>16</v>
      </c>
      <c r="CPW7" s="56"/>
      <c r="CPX7" s="56"/>
      <c r="CPY7" s="56"/>
      <c r="CPZ7" s="72"/>
      <c r="CQA7" s="55" t="s">
        <v>18</v>
      </c>
      <c r="CQB7" s="56"/>
      <c r="CQC7" s="56"/>
      <c r="CQD7" s="73">
        <v>35000</v>
      </c>
      <c r="CQE7" s="74"/>
      <c r="CQH7" s="55" t="s">
        <v>16</v>
      </c>
      <c r="CQI7" s="56"/>
      <c r="CQJ7" s="56"/>
      <c r="CQK7" s="56"/>
      <c r="CQL7" s="72"/>
      <c r="CQM7" s="55" t="s">
        <v>18</v>
      </c>
      <c r="CQN7" s="56"/>
      <c r="CQO7" s="56"/>
      <c r="CQP7" s="73">
        <v>35000</v>
      </c>
      <c r="CQQ7" s="74"/>
      <c r="CQT7" s="55" t="s">
        <v>16</v>
      </c>
      <c r="CQU7" s="56"/>
      <c r="CQV7" s="56"/>
      <c r="CQW7" s="56"/>
      <c r="CQX7" s="72"/>
      <c r="CQY7" s="55" t="s">
        <v>18</v>
      </c>
      <c r="CQZ7" s="56"/>
      <c r="CRA7" s="56"/>
      <c r="CRB7" s="73">
        <v>35000</v>
      </c>
      <c r="CRC7" s="74"/>
      <c r="CRF7" s="55" t="s">
        <v>16</v>
      </c>
      <c r="CRG7" s="56"/>
      <c r="CRH7" s="56"/>
      <c r="CRI7" s="56"/>
      <c r="CRJ7" s="72"/>
      <c r="CRK7" s="55" t="s">
        <v>18</v>
      </c>
      <c r="CRL7" s="56"/>
      <c r="CRM7" s="56"/>
      <c r="CRN7" s="73">
        <v>105000</v>
      </c>
      <c r="CRO7" s="74"/>
      <c r="CRR7" s="55" t="s">
        <v>16</v>
      </c>
      <c r="CRS7" s="56"/>
      <c r="CRT7" s="56"/>
      <c r="CRU7" s="56"/>
      <c r="CRV7" s="72"/>
      <c r="CRW7" s="55" t="s">
        <v>18</v>
      </c>
      <c r="CRX7" s="56"/>
      <c r="CRY7" s="56"/>
      <c r="CRZ7" s="73">
        <v>35000</v>
      </c>
      <c r="CSA7" s="74"/>
      <c r="CSD7" s="55" t="s">
        <v>16</v>
      </c>
      <c r="CSE7" s="56"/>
      <c r="CSF7" s="56"/>
      <c r="CSG7" s="56"/>
      <c r="CSH7" s="72"/>
      <c r="CSI7" s="55" t="s">
        <v>18</v>
      </c>
      <c r="CSJ7" s="56"/>
      <c r="CSK7" s="56"/>
      <c r="CSL7" s="73">
        <v>35000</v>
      </c>
      <c r="CSM7" s="74"/>
      <c r="CSP7" s="55" t="s">
        <v>16</v>
      </c>
      <c r="CSQ7" s="56"/>
      <c r="CSR7" s="56"/>
      <c r="CSS7" s="56"/>
      <c r="CST7" s="72"/>
      <c r="CSU7" s="55" t="s">
        <v>18</v>
      </c>
      <c r="CSV7" s="56"/>
      <c r="CSW7" s="56"/>
      <c r="CSX7" s="73">
        <v>35000</v>
      </c>
      <c r="CSY7" s="74"/>
      <c r="CTB7" s="55" t="s">
        <v>16</v>
      </c>
      <c r="CTC7" s="56"/>
      <c r="CTD7" s="56"/>
      <c r="CTE7" s="56"/>
      <c r="CTF7" s="72"/>
      <c r="CTG7" s="55" t="s">
        <v>18</v>
      </c>
      <c r="CTH7" s="56"/>
      <c r="CTI7" s="56"/>
      <c r="CTJ7" s="73">
        <v>35000</v>
      </c>
      <c r="CTK7" s="74"/>
      <c r="CTN7" s="55" t="s">
        <v>16</v>
      </c>
      <c r="CTO7" s="56"/>
      <c r="CTP7" s="56"/>
      <c r="CTQ7" s="56"/>
      <c r="CTR7" s="72"/>
      <c r="CTS7" s="55" t="s">
        <v>18</v>
      </c>
      <c r="CTT7" s="56"/>
      <c r="CTU7" s="56"/>
      <c r="CTV7" s="73">
        <v>35000</v>
      </c>
      <c r="CTW7" s="74"/>
      <c r="CTZ7" s="55" t="s">
        <v>16</v>
      </c>
      <c r="CUA7" s="56"/>
      <c r="CUB7" s="56"/>
      <c r="CUC7" s="56"/>
      <c r="CUD7" s="72"/>
      <c r="CUE7" s="55" t="s">
        <v>18</v>
      </c>
      <c r="CUF7" s="56"/>
      <c r="CUG7" s="56"/>
      <c r="CUH7" s="73">
        <v>35000</v>
      </c>
      <c r="CUI7" s="74"/>
      <c r="CUL7" s="55" t="s">
        <v>16</v>
      </c>
      <c r="CUM7" s="56"/>
      <c r="CUN7" s="56"/>
      <c r="CUO7" s="56"/>
      <c r="CUP7" s="72"/>
      <c r="CUQ7" s="55" t="s">
        <v>18</v>
      </c>
      <c r="CUR7" s="56"/>
      <c r="CUS7" s="56"/>
      <c r="CUT7" s="73">
        <v>35000</v>
      </c>
      <c r="CUU7" s="74"/>
      <c r="CUX7" s="55" t="s">
        <v>16</v>
      </c>
      <c r="CUY7" s="56"/>
      <c r="CUZ7" s="56"/>
      <c r="CVA7" s="56"/>
      <c r="CVB7" s="72"/>
      <c r="CVC7" s="55" t="s">
        <v>18</v>
      </c>
      <c r="CVD7" s="56"/>
      <c r="CVE7" s="56"/>
      <c r="CVF7" s="73">
        <v>35000</v>
      </c>
      <c r="CVG7" s="74"/>
      <c r="CVJ7" s="55" t="s">
        <v>16</v>
      </c>
      <c r="CVK7" s="56"/>
      <c r="CVL7" s="56"/>
      <c r="CVM7" s="56"/>
      <c r="CVN7" s="72"/>
      <c r="CVO7" s="55" t="s">
        <v>18</v>
      </c>
      <c r="CVP7" s="56"/>
      <c r="CVQ7" s="56"/>
      <c r="CVR7" s="73">
        <v>35000</v>
      </c>
      <c r="CVS7" s="74"/>
      <c r="CVV7" s="55" t="s">
        <v>16</v>
      </c>
      <c r="CVW7" s="56"/>
      <c r="CVX7" s="56"/>
      <c r="CVY7" s="56"/>
      <c r="CVZ7" s="72"/>
      <c r="CWA7" s="55" t="s">
        <v>18</v>
      </c>
      <c r="CWB7" s="56"/>
      <c r="CWC7" s="56"/>
      <c r="CWD7" s="73">
        <v>140000</v>
      </c>
      <c r="CWE7" s="74"/>
    </row>
    <row r="8" spans="1:1023 1026:2631" x14ac:dyDescent="0.25">
      <c r="A8" s="75" t="s">
        <v>19</v>
      </c>
      <c r="B8" s="75"/>
      <c r="C8" s="75"/>
      <c r="D8" s="75"/>
      <c r="E8" s="75"/>
      <c r="F8" s="75"/>
      <c r="G8" s="76"/>
      <c r="H8" s="77" t="s">
        <v>20</v>
      </c>
      <c r="I8" s="77"/>
      <c r="J8" s="77"/>
      <c r="K8" s="77"/>
      <c r="L8" s="77"/>
      <c r="O8" s="75" t="s">
        <v>19</v>
      </c>
      <c r="P8" s="75"/>
      <c r="Q8" s="75"/>
      <c r="R8" s="75"/>
      <c r="S8" s="75"/>
      <c r="T8" s="75"/>
      <c r="U8" s="76"/>
      <c r="V8" s="77" t="s">
        <v>20</v>
      </c>
      <c r="W8" s="77"/>
      <c r="X8" s="77"/>
      <c r="Y8" s="77"/>
      <c r="Z8" s="77"/>
      <c r="AC8" s="75" t="s">
        <v>19</v>
      </c>
      <c r="AD8" s="75"/>
      <c r="AE8" s="75"/>
      <c r="AF8" s="75"/>
      <c r="AG8" s="75"/>
      <c r="AH8" s="75"/>
      <c r="AI8" s="76"/>
      <c r="AJ8" s="77" t="s">
        <v>20</v>
      </c>
      <c r="AK8" s="77"/>
      <c r="AL8" s="77"/>
      <c r="AM8" s="77"/>
      <c r="AN8" s="77"/>
      <c r="AQ8" s="75" t="s">
        <v>19</v>
      </c>
      <c r="AR8" s="75"/>
      <c r="AS8" s="75"/>
      <c r="AT8" s="75"/>
      <c r="AU8" s="75"/>
      <c r="AV8" s="75"/>
      <c r="AW8" s="76"/>
      <c r="AX8" s="77" t="s">
        <v>20</v>
      </c>
      <c r="AY8" s="77"/>
      <c r="AZ8" s="77"/>
      <c r="BA8" s="77"/>
      <c r="BB8" s="77"/>
      <c r="BE8" s="75" t="s">
        <v>19</v>
      </c>
      <c r="BF8" s="75"/>
      <c r="BG8" s="75"/>
      <c r="BH8" s="75"/>
      <c r="BI8" s="75"/>
      <c r="BJ8" s="75"/>
      <c r="BK8" s="76"/>
      <c r="BL8" s="77" t="s">
        <v>20</v>
      </c>
      <c r="BM8" s="77"/>
      <c r="BN8" s="77"/>
      <c r="BO8" s="77"/>
      <c r="BP8" s="77"/>
      <c r="BS8" s="75" t="s">
        <v>19</v>
      </c>
      <c r="BT8" s="75"/>
      <c r="BU8" s="75"/>
      <c r="BV8" s="75"/>
      <c r="BW8" s="75"/>
      <c r="BX8" s="75"/>
      <c r="BY8" s="76"/>
      <c r="BZ8" s="77" t="s">
        <v>20</v>
      </c>
      <c r="CA8" s="77"/>
      <c r="CB8" s="77"/>
      <c r="CC8" s="77"/>
      <c r="CD8" s="77"/>
      <c r="CG8" s="75" t="s">
        <v>19</v>
      </c>
      <c r="CH8" s="75"/>
      <c r="CI8" s="75"/>
      <c r="CJ8" s="75"/>
      <c r="CK8" s="75"/>
      <c r="CL8" s="75"/>
      <c r="CM8" s="76"/>
      <c r="CN8" s="77" t="s">
        <v>20</v>
      </c>
      <c r="CO8" s="77"/>
      <c r="CP8" s="77"/>
      <c r="CQ8" s="77"/>
      <c r="CR8" s="77"/>
      <c r="CU8" s="75" t="s">
        <v>19</v>
      </c>
      <c r="CV8" s="75"/>
      <c r="CW8" s="75"/>
      <c r="CX8" s="75"/>
      <c r="CY8" s="75"/>
      <c r="CZ8" s="75"/>
      <c r="DA8" s="76"/>
      <c r="DB8" s="77" t="s">
        <v>20</v>
      </c>
      <c r="DC8" s="77"/>
      <c r="DD8" s="77"/>
      <c r="DE8" s="77"/>
      <c r="DF8" s="77"/>
      <c r="DI8" s="75" t="s">
        <v>19</v>
      </c>
      <c r="DJ8" s="75"/>
      <c r="DK8" s="75"/>
      <c r="DL8" s="75"/>
      <c r="DM8" s="75"/>
      <c r="DN8" s="75"/>
      <c r="DO8" s="76"/>
      <c r="DP8" s="77" t="s">
        <v>20</v>
      </c>
      <c r="DQ8" s="77"/>
      <c r="DR8" s="77"/>
      <c r="DS8" s="77"/>
      <c r="DT8" s="77"/>
      <c r="DW8" s="75" t="s">
        <v>19</v>
      </c>
      <c r="DX8" s="75"/>
      <c r="DY8" s="75"/>
      <c r="DZ8" s="75"/>
      <c r="EA8" s="75"/>
      <c r="EB8" s="75"/>
      <c r="EC8" s="76"/>
      <c r="ED8" s="77" t="s">
        <v>20</v>
      </c>
      <c r="EE8" s="77"/>
      <c r="EF8" s="77"/>
      <c r="EG8" s="77"/>
      <c r="EH8" s="77"/>
      <c r="EK8" s="75" t="s">
        <v>19</v>
      </c>
      <c r="EL8" s="75"/>
      <c r="EM8" s="75"/>
      <c r="EN8" s="75"/>
      <c r="EO8" s="75"/>
      <c r="EP8" s="75"/>
      <c r="EQ8" s="76"/>
      <c r="ER8" s="77" t="s">
        <v>20</v>
      </c>
      <c r="ES8" s="77"/>
      <c r="ET8" s="77"/>
      <c r="EU8" s="77"/>
      <c r="EV8" s="77"/>
      <c r="EY8" s="75" t="s">
        <v>19</v>
      </c>
      <c r="EZ8" s="75"/>
      <c r="FA8" s="75"/>
      <c r="FB8" s="75"/>
      <c r="FC8" s="75"/>
      <c r="FD8" s="75"/>
      <c r="FE8" s="76"/>
      <c r="FF8" s="77" t="s">
        <v>20</v>
      </c>
      <c r="FG8" s="77"/>
      <c r="FH8" s="77"/>
      <c r="FI8" s="77"/>
      <c r="FJ8" s="77"/>
      <c r="FM8" s="75" t="s">
        <v>19</v>
      </c>
      <c r="FN8" s="75"/>
      <c r="FO8" s="75"/>
      <c r="FP8" s="75"/>
      <c r="FQ8" s="75"/>
      <c r="FR8" s="75"/>
      <c r="FS8" s="76"/>
      <c r="FT8" s="77" t="s">
        <v>20</v>
      </c>
      <c r="FU8" s="77"/>
      <c r="FV8" s="77"/>
      <c r="FW8" s="77"/>
      <c r="FX8" s="77"/>
      <c r="GA8" s="75" t="s">
        <v>19</v>
      </c>
      <c r="GB8" s="75"/>
      <c r="GC8" s="75"/>
      <c r="GD8" s="75"/>
      <c r="GE8" s="75"/>
      <c r="GF8" s="75"/>
      <c r="GG8" s="76"/>
      <c r="GH8" s="77" t="s">
        <v>20</v>
      </c>
      <c r="GI8" s="77"/>
      <c r="GJ8" s="77"/>
      <c r="GK8" s="77"/>
      <c r="GL8" s="77"/>
      <c r="GO8" s="75" t="s">
        <v>19</v>
      </c>
      <c r="GP8" s="75"/>
      <c r="GQ8" s="75"/>
      <c r="GR8" s="75"/>
      <c r="GS8" s="75"/>
      <c r="GT8" s="75"/>
      <c r="GU8" s="76"/>
      <c r="GV8" s="77" t="s">
        <v>20</v>
      </c>
      <c r="GW8" s="77"/>
      <c r="GX8" s="77"/>
      <c r="GY8" s="77"/>
      <c r="GZ8" s="77"/>
      <c r="HC8" s="75" t="s">
        <v>19</v>
      </c>
      <c r="HD8" s="75"/>
      <c r="HE8" s="75"/>
      <c r="HF8" s="75"/>
      <c r="HG8" s="75"/>
      <c r="HH8" s="75"/>
      <c r="HI8" s="76"/>
      <c r="HJ8" s="77" t="s">
        <v>20</v>
      </c>
      <c r="HK8" s="77"/>
      <c r="HL8" s="77"/>
      <c r="HM8" s="77"/>
      <c r="HN8" s="77"/>
      <c r="HQ8" s="75" t="s">
        <v>19</v>
      </c>
      <c r="HR8" s="75"/>
      <c r="HS8" s="75"/>
      <c r="HT8" s="75"/>
      <c r="HU8" s="75"/>
      <c r="HV8" s="75"/>
      <c r="HW8" s="76"/>
      <c r="HX8" s="77" t="s">
        <v>20</v>
      </c>
      <c r="HY8" s="77"/>
      <c r="HZ8" s="77"/>
      <c r="IA8" s="77"/>
      <c r="IB8" s="77"/>
      <c r="IE8" s="75" t="s">
        <v>19</v>
      </c>
      <c r="IF8" s="75"/>
      <c r="IG8" s="75"/>
      <c r="IH8" s="75"/>
      <c r="II8" s="75"/>
      <c r="IJ8" s="75"/>
      <c r="IK8" s="76"/>
      <c r="IL8" s="77" t="s">
        <v>20</v>
      </c>
      <c r="IM8" s="77"/>
      <c r="IN8" s="77"/>
      <c r="IO8" s="77"/>
      <c r="IP8" s="77"/>
      <c r="IS8" s="75" t="s">
        <v>19</v>
      </c>
      <c r="IT8" s="75"/>
      <c r="IU8" s="75"/>
      <c r="IV8" s="75"/>
      <c r="IW8" s="75"/>
      <c r="IX8" s="75"/>
      <c r="IY8" s="76"/>
      <c r="IZ8" s="77" t="s">
        <v>20</v>
      </c>
      <c r="JA8" s="77"/>
      <c r="JB8" s="77"/>
      <c r="JC8" s="77"/>
      <c r="JD8" s="77"/>
      <c r="JG8" s="75" t="s">
        <v>19</v>
      </c>
      <c r="JH8" s="75"/>
      <c r="JI8" s="75"/>
      <c r="JJ8" s="75"/>
      <c r="JK8" s="75"/>
      <c r="JL8" s="75"/>
      <c r="JM8" s="76"/>
      <c r="JN8" s="77" t="s">
        <v>20</v>
      </c>
      <c r="JO8" s="77"/>
      <c r="JP8" s="77"/>
      <c r="JQ8" s="77"/>
      <c r="JR8" s="77"/>
      <c r="JU8" s="75" t="s">
        <v>19</v>
      </c>
      <c r="JV8" s="75"/>
      <c r="JW8" s="75"/>
      <c r="JX8" s="75"/>
      <c r="JY8" s="75"/>
      <c r="JZ8" s="75"/>
      <c r="KA8" s="76"/>
      <c r="KB8" s="77" t="s">
        <v>20</v>
      </c>
      <c r="KC8" s="77"/>
      <c r="KD8" s="77"/>
      <c r="KE8" s="77"/>
      <c r="KF8" s="77"/>
      <c r="KI8" s="75" t="s">
        <v>19</v>
      </c>
      <c r="KJ8" s="75"/>
      <c r="KK8" s="75"/>
      <c r="KL8" s="75"/>
      <c r="KM8" s="75"/>
      <c r="KN8" s="75"/>
      <c r="KO8" s="76"/>
      <c r="KP8" s="77" t="s">
        <v>20</v>
      </c>
      <c r="KQ8" s="77"/>
      <c r="KR8" s="77"/>
      <c r="KS8" s="77"/>
      <c r="KT8" s="77"/>
      <c r="KW8" s="75" t="s">
        <v>19</v>
      </c>
      <c r="KX8" s="75"/>
      <c r="KY8" s="75"/>
      <c r="KZ8" s="75"/>
      <c r="LA8" s="75"/>
      <c r="LB8" s="75"/>
      <c r="LC8" s="76"/>
      <c r="LD8" s="77" t="s">
        <v>20</v>
      </c>
      <c r="LE8" s="77"/>
      <c r="LF8" s="77"/>
      <c r="LG8" s="77"/>
      <c r="LH8" s="77"/>
      <c r="LK8" s="75" t="s">
        <v>19</v>
      </c>
      <c r="LL8" s="75"/>
      <c r="LM8" s="75"/>
      <c r="LN8" s="75"/>
      <c r="LO8" s="75"/>
      <c r="LP8" s="75"/>
      <c r="LQ8" s="76"/>
      <c r="LR8" s="77" t="s">
        <v>20</v>
      </c>
      <c r="LS8" s="77"/>
      <c r="LT8" s="77"/>
      <c r="LU8" s="77"/>
      <c r="LV8" s="77"/>
      <c r="LY8" s="75" t="s">
        <v>19</v>
      </c>
      <c r="LZ8" s="75"/>
      <c r="MA8" s="75"/>
      <c r="MB8" s="75"/>
      <c r="MC8" s="75"/>
      <c r="MD8" s="75"/>
      <c r="ME8" s="76"/>
      <c r="MF8" s="77" t="s">
        <v>20</v>
      </c>
      <c r="MG8" s="77"/>
      <c r="MH8" s="77"/>
      <c r="MI8" s="77"/>
      <c r="MJ8" s="77"/>
      <c r="MM8" s="75" t="s">
        <v>19</v>
      </c>
      <c r="MN8" s="75"/>
      <c r="MO8" s="75"/>
      <c r="MP8" s="75"/>
      <c r="MQ8" s="75"/>
      <c r="MR8" s="75"/>
      <c r="MS8" s="76"/>
      <c r="MT8" s="77" t="s">
        <v>20</v>
      </c>
      <c r="MU8" s="77"/>
      <c r="MV8" s="77"/>
      <c r="MW8" s="77"/>
      <c r="MX8" s="77"/>
      <c r="NA8" s="75" t="s">
        <v>19</v>
      </c>
      <c r="NB8" s="75"/>
      <c r="NC8" s="75"/>
      <c r="ND8" s="75"/>
      <c r="NE8" s="75"/>
      <c r="NF8" s="75"/>
      <c r="NG8" s="76"/>
      <c r="NH8" s="77" t="s">
        <v>20</v>
      </c>
      <c r="NI8" s="77"/>
      <c r="NJ8" s="77"/>
      <c r="NK8" s="77"/>
      <c r="NL8" s="77"/>
      <c r="NO8" s="75" t="s">
        <v>19</v>
      </c>
      <c r="NP8" s="75"/>
      <c r="NQ8" s="75"/>
      <c r="NR8" s="75"/>
      <c r="NS8" s="75"/>
      <c r="NT8" s="75"/>
      <c r="NU8" s="76"/>
      <c r="NV8" s="77" t="s">
        <v>20</v>
      </c>
      <c r="NW8" s="77"/>
      <c r="NX8" s="77"/>
      <c r="NY8" s="77"/>
      <c r="NZ8" s="77"/>
      <c r="OC8" s="75" t="s">
        <v>19</v>
      </c>
      <c r="OD8" s="75"/>
      <c r="OE8" s="75"/>
      <c r="OF8" s="75"/>
      <c r="OG8" s="75"/>
      <c r="OH8" s="75"/>
      <c r="OI8" s="76"/>
      <c r="OJ8" s="77" t="s">
        <v>20</v>
      </c>
      <c r="OK8" s="77"/>
      <c r="OL8" s="77"/>
      <c r="OM8" s="77"/>
      <c r="ON8" s="77"/>
      <c r="OQ8" s="75" t="s">
        <v>19</v>
      </c>
      <c r="OR8" s="75"/>
      <c r="OS8" s="75"/>
      <c r="OT8" s="75"/>
      <c r="OU8" s="75"/>
      <c r="OV8" s="75"/>
      <c r="OW8" s="76"/>
      <c r="OX8" s="77" t="s">
        <v>20</v>
      </c>
      <c r="OY8" s="77"/>
      <c r="OZ8" s="77"/>
      <c r="PA8" s="77"/>
      <c r="PB8" s="77"/>
      <c r="PE8" s="75" t="s">
        <v>19</v>
      </c>
      <c r="PF8" s="75"/>
      <c r="PG8" s="75"/>
      <c r="PH8" s="75"/>
      <c r="PI8" s="75"/>
      <c r="PJ8" s="75"/>
      <c r="PK8" s="76"/>
      <c r="PL8" s="77" t="s">
        <v>20</v>
      </c>
      <c r="PM8" s="77"/>
      <c r="PN8" s="77"/>
      <c r="PO8" s="77"/>
      <c r="PP8" s="77"/>
      <c r="PS8" s="75" t="s">
        <v>19</v>
      </c>
      <c r="PT8" s="75"/>
      <c r="PU8" s="75"/>
      <c r="PV8" s="75"/>
      <c r="PW8" s="75"/>
      <c r="PX8" s="75"/>
      <c r="PY8" s="76"/>
      <c r="PZ8" s="77" t="s">
        <v>20</v>
      </c>
      <c r="QA8" s="77"/>
      <c r="QB8" s="77"/>
      <c r="QC8" s="77"/>
      <c r="QD8" s="77"/>
      <c r="QG8" s="75" t="s">
        <v>19</v>
      </c>
      <c r="QH8" s="75"/>
      <c r="QI8" s="75"/>
      <c r="QJ8" s="75"/>
      <c r="QK8" s="75"/>
      <c r="QL8" s="75"/>
      <c r="QM8" s="76"/>
      <c r="QN8" s="77" t="s">
        <v>20</v>
      </c>
      <c r="QO8" s="77"/>
      <c r="QP8" s="77"/>
      <c r="QQ8" s="77"/>
      <c r="QR8" s="77"/>
      <c r="QU8" s="75" t="s">
        <v>19</v>
      </c>
      <c r="QV8" s="75"/>
      <c r="QW8" s="75"/>
      <c r="QX8" s="75"/>
      <c r="QY8" s="75"/>
      <c r="QZ8" s="75"/>
      <c r="RA8" s="76"/>
      <c r="RB8" s="77" t="s">
        <v>20</v>
      </c>
      <c r="RC8" s="77"/>
      <c r="RD8" s="77"/>
      <c r="RE8" s="77"/>
      <c r="RF8" s="77"/>
      <c r="RI8" s="75" t="s">
        <v>19</v>
      </c>
      <c r="RJ8" s="75"/>
      <c r="RK8" s="75"/>
      <c r="RL8" s="75"/>
      <c r="RM8" s="75"/>
      <c r="RN8" s="75"/>
      <c r="RO8" s="76"/>
      <c r="RP8" s="77" t="s">
        <v>20</v>
      </c>
      <c r="RQ8" s="77"/>
      <c r="RR8" s="77"/>
      <c r="RS8" s="77"/>
      <c r="RT8" s="77"/>
      <c r="RW8" s="75" t="s">
        <v>19</v>
      </c>
      <c r="RX8" s="75"/>
      <c r="RY8" s="75"/>
      <c r="RZ8" s="75"/>
      <c r="SA8" s="75"/>
      <c r="SB8" s="75"/>
      <c r="SC8" s="76"/>
      <c r="SD8" s="77" t="s">
        <v>20</v>
      </c>
      <c r="SE8" s="77"/>
      <c r="SF8" s="77"/>
      <c r="SG8" s="77"/>
      <c r="SH8" s="77"/>
      <c r="SK8" s="75" t="s">
        <v>19</v>
      </c>
      <c r="SL8" s="75"/>
      <c r="SM8" s="75"/>
      <c r="SN8" s="75"/>
      <c r="SO8" s="75"/>
      <c r="SP8" s="75"/>
      <c r="SQ8" s="76"/>
      <c r="SR8" s="77" t="s">
        <v>20</v>
      </c>
      <c r="SS8" s="77"/>
      <c r="ST8" s="77"/>
      <c r="SU8" s="77"/>
      <c r="SV8" s="77"/>
      <c r="SY8" s="75" t="s">
        <v>19</v>
      </c>
      <c r="SZ8" s="75"/>
      <c r="TA8" s="75"/>
      <c r="TB8" s="75"/>
      <c r="TC8" s="75"/>
      <c r="TD8" s="75"/>
      <c r="TE8" s="76"/>
      <c r="TF8" s="77" t="s">
        <v>20</v>
      </c>
      <c r="TG8" s="77"/>
      <c r="TH8" s="77"/>
      <c r="TI8" s="77"/>
      <c r="TJ8" s="77"/>
      <c r="TM8" s="75" t="s">
        <v>19</v>
      </c>
      <c r="TN8" s="75"/>
      <c r="TO8" s="75"/>
      <c r="TP8" s="75"/>
      <c r="TQ8" s="75"/>
      <c r="TR8" s="75"/>
      <c r="TS8" s="76"/>
      <c r="TT8" s="77" t="s">
        <v>20</v>
      </c>
      <c r="TU8" s="77"/>
      <c r="TV8" s="77"/>
      <c r="TW8" s="77"/>
      <c r="TX8" s="77"/>
      <c r="UA8" s="75" t="s">
        <v>19</v>
      </c>
      <c r="UB8" s="75"/>
      <c r="UC8" s="75"/>
      <c r="UD8" s="75"/>
      <c r="UE8" s="75"/>
      <c r="UF8" s="75"/>
      <c r="UG8" s="76"/>
      <c r="UH8" s="77" t="s">
        <v>20</v>
      </c>
      <c r="UI8" s="77"/>
      <c r="UJ8" s="77"/>
      <c r="UK8" s="77"/>
      <c r="UL8" s="77"/>
      <c r="UO8" s="75" t="s">
        <v>19</v>
      </c>
      <c r="UP8" s="75"/>
      <c r="UQ8" s="75"/>
      <c r="UR8" s="75"/>
      <c r="US8" s="75"/>
      <c r="UT8" s="75"/>
      <c r="UU8" s="76"/>
      <c r="UV8" s="77" t="s">
        <v>20</v>
      </c>
      <c r="UW8" s="77"/>
      <c r="UX8" s="77"/>
      <c r="UY8" s="77"/>
      <c r="UZ8" s="77"/>
      <c r="VC8" s="75" t="s">
        <v>19</v>
      </c>
      <c r="VD8" s="75"/>
      <c r="VE8" s="75"/>
      <c r="VF8" s="75"/>
      <c r="VG8" s="75"/>
      <c r="VH8" s="75"/>
      <c r="VI8" s="76"/>
      <c r="VJ8" s="77" t="s">
        <v>20</v>
      </c>
      <c r="VK8" s="77"/>
      <c r="VL8" s="77"/>
      <c r="VM8" s="77"/>
      <c r="VN8" s="77"/>
      <c r="VQ8" s="75" t="s">
        <v>19</v>
      </c>
      <c r="VR8" s="75"/>
      <c r="VS8" s="75"/>
      <c r="VT8" s="75"/>
      <c r="VU8" s="75"/>
      <c r="VV8" s="75"/>
      <c r="VW8" s="76"/>
      <c r="VX8" s="77" t="s">
        <v>20</v>
      </c>
      <c r="VY8" s="77"/>
      <c r="VZ8" s="77"/>
      <c r="WA8" s="77"/>
      <c r="WB8" s="77"/>
      <c r="WE8" s="75" t="s">
        <v>19</v>
      </c>
      <c r="WF8" s="75"/>
      <c r="WG8" s="75"/>
      <c r="WH8" s="75"/>
      <c r="WI8" s="75"/>
      <c r="WJ8" s="75"/>
      <c r="WK8" s="76"/>
      <c r="WL8" s="77" t="s">
        <v>20</v>
      </c>
      <c r="WM8" s="77"/>
      <c r="WN8" s="77"/>
      <c r="WO8" s="77"/>
      <c r="WP8" s="77"/>
      <c r="WS8" s="75" t="s">
        <v>19</v>
      </c>
      <c r="WT8" s="75"/>
      <c r="WU8" s="75"/>
      <c r="WV8" s="75"/>
      <c r="WW8" s="75"/>
      <c r="WX8" s="75"/>
      <c r="WY8" s="76"/>
      <c r="WZ8" s="77" t="s">
        <v>20</v>
      </c>
      <c r="XA8" s="77"/>
      <c r="XB8" s="77"/>
      <c r="XC8" s="77"/>
      <c r="XD8" s="77"/>
      <c r="XG8" s="75" t="s">
        <v>19</v>
      </c>
      <c r="XH8" s="75"/>
      <c r="XI8" s="75"/>
      <c r="XJ8" s="75"/>
      <c r="XK8" s="75"/>
      <c r="XL8" s="75"/>
      <c r="XM8" s="76"/>
      <c r="XN8" s="77" t="s">
        <v>20</v>
      </c>
      <c r="XO8" s="77"/>
      <c r="XP8" s="77"/>
      <c r="XQ8" s="77"/>
      <c r="XR8" s="77"/>
      <c r="XU8" s="75" t="s">
        <v>19</v>
      </c>
      <c r="XV8" s="75"/>
      <c r="XW8" s="75"/>
      <c r="XX8" s="75"/>
      <c r="XY8" s="75"/>
      <c r="XZ8" s="75"/>
      <c r="YA8" s="76"/>
      <c r="YB8" s="77" t="s">
        <v>20</v>
      </c>
      <c r="YC8" s="77"/>
      <c r="YD8" s="77"/>
      <c r="YE8" s="77"/>
      <c r="YF8" s="77"/>
      <c r="YI8" s="75" t="s">
        <v>19</v>
      </c>
      <c r="YJ8" s="75"/>
      <c r="YK8" s="75"/>
      <c r="YL8" s="75"/>
      <c r="YM8" s="75"/>
      <c r="YN8" s="75"/>
      <c r="YO8" s="76"/>
      <c r="YP8" s="77" t="s">
        <v>20</v>
      </c>
      <c r="YQ8" s="77"/>
      <c r="YR8" s="77"/>
      <c r="YS8" s="77"/>
      <c r="YT8" s="77"/>
      <c r="YW8" s="75" t="s">
        <v>19</v>
      </c>
      <c r="YX8" s="75"/>
      <c r="YY8" s="75"/>
      <c r="YZ8" s="75"/>
      <c r="ZA8" s="75"/>
      <c r="ZB8" s="75"/>
      <c r="ZC8" s="76"/>
      <c r="ZD8" s="77" t="s">
        <v>20</v>
      </c>
      <c r="ZE8" s="77"/>
      <c r="ZF8" s="77"/>
      <c r="ZG8" s="77"/>
      <c r="ZH8" s="77"/>
      <c r="ZK8" s="75" t="s">
        <v>19</v>
      </c>
      <c r="ZL8" s="75"/>
      <c r="ZM8" s="75"/>
      <c r="ZN8" s="75"/>
      <c r="ZO8" s="75"/>
      <c r="ZP8" s="75"/>
      <c r="ZQ8" s="76"/>
      <c r="ZR8" s="77" t="s">
        <v>20</v>
      </c>
      <c r="ZS8" s="77"/>
      <c r="ZT8" s="77"/>
      <c r="ZU8" s="77"/>
      <c r="ZV8" s="77"/>
      <c r="ZY8" s="78"/>
      <c r="ZZ8" s="79"/>
      <c r="AAA8" s="79"/>
      <c r="AAB8" s="79"/>
      <c r="AAC8" s="79"/>
      <c r="AAD8" s="80"/>
      <c r="AAE8" s="79"/>
      <c r="AAF8" s="79"/>
      <c r="AAG8" s="80"/>
      <c r="AAH8" s="79"/>
      <c r="AAI8" s="79"/>
      <c r="AAJ8" s="80"/>
      <c r="AAL8" s="78"/>
      <c r="AAM8" s="79"/>
      <c r="AAN8" s="79"/>
      <c r="AAO8" s="79"/>
      <c r="AAP8" s="79"/>
      <c r="AAQ8" s="80"/>
      <c r="AAR8" s="79"/>
      <c r="AAS8" s="79"/>
      <c r="AAT8" s="80"/>
      <c r="AAU8" s="79"/>
      <c r="AAV8" s="79"/>
      <c r="AAY8" s="78"/>
      <c r="AAZ8" s="79"/>
      <c r="ABA8" s="79"/>
      <c r="ABB8" s="79"/>
      <c r="ABC8" s="79"/>
      <c r="ABD8" s="80"/>
      <c r="ABE8" s="79"/>
      <c r="ABF8" s="79"/>
      <c r="ABG8" s="80"/>
      <c r="ABH8" s="79"/>
      <c r="ABI8" s="79"/>
      <c r="ABL8" s="78"/>
      <c r="ABM8" s="79"/>
      <c r="ABN8" s="79"/>
      <c r="ABO8" s="79"/>
      <c r="ABP8" s="79"/>
      <c r="ABQ8" s="80"/>
      <c r="ABR8" s="79"/>
      <c r="ABS8" s="79"/>
      <c r="ABT8" s="80"/>
      <c r="ABU8" s="79"/>
      <c r="ABV8" s="79"/>
      <c r="ABY8" s="78"/>
      <c r="ABZ8" s="79"/>
      <c r="ACA8" s="79"/>
      <c r="ACB8" s="79"/>
      <c r="ACC8" s="79"/>
      <c r="ACD8" s="80"/>
      <c r="ACE8" s="79"/>
      <c r="ACF8" s="79"/>
      <c r="ACG8" s="80"/>
      <c r="ACH8" s="79"/>
      <c r="ACI8" s="79"/>
      <c r="ACL8" s="78"/>
      <c r="ACM8" s="79"/>
      <c r="ACN8" s="79"/>
      <c r="ACO8" s="79"/>
      <c r="ACP8" s="79"/>
      <c r="ACQ8" s="80"/>
      <c r="ACR8" s="79"/>
      <c r="ACS8" s="79"/>
      <c r="ACT8" s="80"/>
      <c r="ACU8" s="79"/>
      <c r="ACV8" s="79"/>
      <c r="ACY8" s="78"/>
      <c r="ACZ8" s="79"/>
      <c r="ADA8" s="79"/>
      <c r="ADB8" s="79"/>
      <c r="ADC8" s="79"/>
      <c r="ADD8" s="80"/>
      <c r="ADE8" s="79"/>
      <c r="ADF8" s="79"/>
      <c r="ADG8" s="80"/>
      <c r="ADH8" s="79"/>
      <c r="ADI8" s="79"/>
      <c r="ADL8" s="78"/>
      <c r="ADM8" s="79"/>
      <c r="ADN8" s="79"/>
      <c r="ADO8" s="79"/>
      <c r="ADP8" s="79"/>
      <c r="ADQ8" s="80"/>
      <c r="ADR8" s="79"/>
      <c r="ADS8" s="79"/>
      <c r="ADT8" s="80"/>
      <c r="ADU8" s="79"/>
      <c r="ADV8" s="79"/>
      <c r="ADY8" s="78"/>
      <c r="ADZ8" s="79"/>
      <c r="AEA8" s="79"/>
      <c r="AEB8" s="79"/>
      <c r="AEC8" s="79"/>
      <c r="AED8" s="80"/>
      <c r="AEE8" s="79"/>
      <c r="AEF8" s="79"/>
      <c r="AEG8" s="80"/>
      <c r="AEH8" s="79"/>
      <c r="AEI8" s="79"/>
      <c r="AEL8" s="78"/>
      <c r="AEM8" s="79"/>
      <c r="AEN8" s="79"/>
      <c r="AEO8" s="79"/>
      <c r="AEP8" s="79"/>
      <c r="AEQ8" s="80"/>
      <c r="AER8" s="79"/>
      <c r="AES8" s="79"/>
      <c r="AET8" s="80"/>
      <c r="AEU8" s="79"/>
      <c r="AEV8" s="79"/>
      <c r="AEY8" s="78"/>
      <c r="AEZ8" s="79"/>
      <c r="AFA8" s="79"/>
      <c r="AFB8" s="79"/>
      <c r="AFC8" s="79"/>
      <c r="AFD8" s="80"/>
      <c r="AFE8" s="79"/>
      <c r="AFF8" s="79"/>
      <c r="AFG8" s="80"/>
      <c r="AFH8" s="79"/>
      <c r="AFI8" s="79"/>
      <c r="AFL8" s="78"/>
      <c r="AFM8" s="79"/>
      <c r="AFN8" s="79"/>
      <c r="AFO8" s="79"/>
      <c r="AFP8" s="79"/>
      <c r="AFQ8" s="80"/>
      <c r="AFR8" s="79"/>
      <c r="AFS8" s="79"/>
      <c r="AFT8" s="80"/>
      <c r="AFU8" s="79"/>
      <c r="AFV8" s="79"/>
      <c r="AFZ8" s="79"/>
      <c r="AGA8" s="79"/>
      <c r="AGB8" s="79"/>
      <c r="AGC8" s="79"/>
      <c r="AGD8" s="80"/>
      <c r="AGE8" s="79"/>
      <c r="AGF8" s="79"/>
      <c r="AGG8" s="80"/>
      <c r="AGH8" s="79"/>
      <c r="AGI8" s="79"/>
      <c r="AGL8" s="79"/>
      <c r="AGM8" s="79"/>
      <c r="AGN8" s="79"/>
      <c r="AGO8" s="79"/>
      <c r="AGP8" s="80"/>
      <c r="AGQ8" s="79"/>
      <c r="AGR8" s="79"/>
      <c r="AGS8" s="80"/>
      <c r="AGT8" s="79"/>
      <c r="AGU8" s="79"/>
      <c r="AGX8" s="79"/>
      <c r="AGY8" s="79"/>
      <c r="AGZ8" s="79"/>
      <c r="AHA8" s="79"/>
      <c r="AHB8" s="80"/>
      <c r="AHC8" s="79"/>
      <c r="AHD8" s="79"/>
      <c r="AHE8" s="80"/>
      <c r="AHF8" s="79"/>
      <c r="AHG8" s="79"/>
      <c r="AHJ8" s="79"/>
      <c r="AHK8" s="79"/>
      <c r="AHL8" s="79"/>
      <c r="AHM8" s="79"/>
      <c r="AHN8" s="80"/>
      <c r="AHO8" s="79"/>
      <c r="AHP8" s="79"/>
      <c r="AHQ8" s="80"/>
      <c r="AHR8" s="79"/>
      <c r="AHS8" s="79"/>
      <c r="AHV8" s="79"/>
      <c r="AHW8" s="79"/>
      <c r="AHX8" s="79"/>
      <c r="AHY8" s="79"/>
      <c r="AHZ8" s="80"/>
      <c r="AIA8" s="79"/>
      <c r="AIB8" s="79"/>
      <c r="AIC8" s="80"/>
      <c r="AID8" s="79"/>
      <c r="AIE8" s="79"/>
      <c r="AIH8" s="79"/>
      <c r="AII8" s="79"/>
      <c r="AIJ8" s="79"/>
      <c r="AIK8" s="79"/>
      <c r="AIL8" s="80"/>
      <c r="AIM8" s="79"/>
      <c r="AIN8" s="79"/>
      <c r="AIO8" s="80"/>
      <c r="AIP8" s="79"/>
      <c r="AIQ8" s="79"/>
      <c r="AIT8" s="79"/>
      <c r="AIU8" s="79"/>
      <c r="AIV8" s="79"/>
      <c r="AIW8" s="79"/>
      <c r="AIX8" s="80"/>
      <c r="AIY8" s="79"/>
      <c r="AIZ8" s="79"/>
      <c r="AJA8" s="80"/>
      <c r="AJB8" s="79"/>
      <c r="AJC8" s="79"/>
      <c r="AJF8" s="79"/>
      <c r="AJG8" s="79"/>
      <c r="AJH8" s="79"/>
      <c r="AJI8" s="79"/>
      <c r="AJJ8" s="80"/>
      <c r="AJK8" s="79"/>
      <c r="AJL8" s="79"/>
      <c r="AJM8" s="80"/>
      <c r="AJN8" s="79"/>
      <c r="AJO8" s="79"/>
      <c r="AJR8" s="79"/>
      <c r="AJS8" s="79"/>
      <c r="AJT8" s="79"/>
      <c r="AJU8" s="79"/>
      <c r="AJV8" s="80"/>
      <c r="AJW8" s="79"/>
      <c r="AJX8" s="79"/>
      <c r="AJY8" s="80"/>
      <c r="AJZ8" s="79"/>
      <c r="AKA8" s="79"/>
      <c r="AKD8" s="79"/>
      <c r="AKE8" s="79"/>
      <c r="AKF8" s="79"/>
      <c r="AKG8" s="79"/>
      <c r="AKH8" s="80"/>
      <c r="AKI8" s="79"/>
      <c r="AKJ8" s="79"/>
      <c r="AKK8" s="80"/>
      <c r="AKL8" s="79"/>
      <c r="AKM8" s="79"/>
      <c r="AKP8" s="79"/>
      <c r="AKQ8" s="79"/>
      <c r="AKR8" s="79"/>
      <c r="AKS8" s="79"/>
      <c r="AKT8" s="80"/>
      <c r="AKU8" s="79"/>
      <c r="AKV8" s="79"/>
      <c r="AKW8" s="80"/>
      <c r="AKX8" s="79"/>
      <c r="AKY8" s="79"/>
      <c r="ALB8" s="79"/>
      <c r="ALC8" s="79"/>
      <c r="ALD8" s="79"/>
      <c r="ALE8" s="79"/>
      <c r="ALF8" s="80"/>
      <c r="ALG8" s="79"/>
      <c r="ALH8" s="79"/>
      <c r="ALI8" s="80"/>
      <c r="ALJ8" s="79"/>
      <c r="ALK8" s="79"/>
      <c r="ALN8" s="79"/>
      <c r="ALO8" s="79"/>
      <c r="ALP8" s="79"/>
      <c r="ALQ8" s="79"/>
      <c r="ALR8" s="80"/>
      <c r="ALS8" s="79"/>
      <c r="ALT8" s="79"/>
      <c r="ALU8" s="80"/>
      <c r="ALV8" s="79"/>
      <c r="ALW8" s="79"/>
      <c r="ALZ8" s="79"/>
      <c r="AMA8" s="79"/>
      <c r="AMB8" s="79"/>
      <c r="AMC8" s="79"/>
      <c r="AMD8" s="80"/>
      <c r="AME8" s="79"/>
      <c r="AMF8" s="79"/>
      <c r="AMG8" s="80"/>
      <c r="AMH8" s="79"/>
      <c r="AMI8" s="79"/>
      <c r="AML8" s="79"/>
      <c r="AMM8" s="79"/>
      <c r="AMN8" s="79"/>
      <c r="AMO8" s="79"/>
      <c r="AMP8" s="80"/>
      <c r="AMQ8" s="79"/>
      <c r="AMR8" s="79"/>
      <c r="AMS8" s="80"/>
      <c r="AMT8" s="79"/>
      <c r="AMU8" s="79"/>
      <c r="AMX8" s="79"/>
      <c r="AMY8" s="79"/>
      <c r="AMZ8" s="79"/>
      <c r="ANA8" s="79"/>
      <c r="ANB8" s="80"/>
      <c r="ANC8" s="79"/>
      <c r="AND8" s="79"/>
      <c r="ANE8" s="80"/>
      <c r="ANF8" s="79"/>
      <c r="ANG8" s="79"/>
      <c r="ANJ8" s="79"/>
      <c r="ANK8" s="79"/>
      <c r="ANL8" s="79"/>
      <c r="ANM8" s="79"/>
      <c r="ANN8" s="80"/>
      <c r="ANO8" s="79"/>
      <c r="ANP8" s="79"/>
      <c r="ANQ8" s="80"/>
      <c r="ANR8" s="79"/>
      <c r="ANS8" s="79"/>
      <c r="ANV8" s="79"/>
      <c r="ANW8" s="79"/>
      <c r="ANX8" s="79"/>
      <c r="ANY8" s="79"/>
      <c r="ANZ8" s="80"/>
      <c r="AOA8" s="79"/>
      <c r="AOB8" s="79"/>
      <c r="AOC8" s="80"/>
      <c r="AOD8" s="79"/>
      <c r="AOE8" s="79"/>
      <c r="AOH8" s="79"/>
      <c r="AOI8" s="79"/>
      <c r="AOJ8" s="79"/>
      <c r="AOK8" s="79"/>
      <c r="AOL8" s="80"/>
      <c r="AOM8" s="79"/>
      <c r="AON8" s="79"/>
      <c r="AOO8" s="80"/>
      <c r="AOP8" s="79"/>
      <c r="AOQ8" s="79"/>
      <c r="AOT8" s="79"/>
      <c r="AOU8" s="79"/>
      <c r="AOV8" s="79"/>
      <c r="AOW8" s="79"/>
      <c r="AOX8" s="80"/>
      <c r="AOY8" s="79"/>
      <c r="AOZ8" s="79"/>
      <c r="APA8" s="80"/>
      <c r="APB8" s="79"/>
      <c r="APC8" s="79"/>
      <c r="APF8" s="79"/>
      <c r="APG8" s="79"/>
      <c r="APH8" s="79"/>
      <c r="API8" s="79"/>
      <c r="APJ8" s="80"/>
      <c r="APK8" s="79"/>
      <c r="APL8" s="79"/>
      <c r="APM8" s="80"/>
      <c r="APN8" s="79"/>
      <c r="APO8" s="79"/>
      <c r="APR8" s="79"/>
      <c r="APS8" s="79"/>
      <c r="APT8" s="79"/>
      <c r="APU8" s="79"/>
      <c r="APV8" s="80"/>
      <c r="APW8" s="79"/>
      <c r="APX8" s="79"/>
      <c r="APY8" s="80"/>
      <c r="APZ8" s="79"/>
      <c r="AQA8" s="79"/>
      <c r="AQD8" s="79"/>
      <c r="AQE8" s="79"/>
      <c r="AQF8" s="79"/>
      <c r="AQG8" s="79"/>
      <c r="AQH8" s="80"/>
      <c r="AQI8" s="79"/>
      <c r="AQJ8" s="79"/>
      <c r="AQK8" s="80"/>
      <c r="AQL8" s="79"/>
      <c r="AQM8" s="79"/>
      <c r="AQP8" s="79"/>
      <c r="AQQ8" s="79"/>
      <c r="AQR8" s="79"/>
      <c r="AQS8" s="79"/>
      <c r="AQT8" s="80"/>
      <c r="AQU8" s="79"/>
      <c r="AQV8" s="79"/>
      <c r="AQW8" s="80"/>
      <c r="AQX8" s="79"/>
      <c r="AQY8" s="79"/>
      <c r="ARB8" s="79"/>
      <c r="ARC8" s="79"/>
      <c r="ARD8" s="79"/>
      <c r="ARE8" s="79"/>
      <c r="ARF8" s="80"/>
      <c r="ARG8" s="79"/>
      <c r="ARH8" s="79"/>
      <c r="ARI8" s="80"/>
      <c r="ARJ8" s="79"/>
      <c r="ARK8" s="79"/>
      <c r="ARN8" s="79"/>
      <c r="ARO8" s="79"/>
      <c r="ARP8" s="79"/>
      <c r="ARQ8" s="79"/>
      <c r="ARR8" s="80"/>
      <c r="ARS8" s="79"/>
      <c r="ART8" s="79"/>
      <c r="ARU8" s="80"/>
      <c r="ARV8" s="79"/>
      <c r="ARW8" s="79"/>
      <c r="ARZ8" s="79"/>
      <c r="ASA8" s="79"/>
      <c r="ASB8" s="79"/>
      <c r="ASC8" s="79"/>
      <c r="ASD8" s="80"/>
      <c r="ASE8" s="79"/>
      <c r="ASF8" s="79"/>
      <c r="ASG8" s="80"/>
      <c r="ASH8" s="79"/>
      <c r="ASI8" s="79"/>
      <c r="ASL8" s="79"/>
      <c r="ASM8" s="79"/>
      <c r="ASN8" s="79"/>
      <c r="ASO8" s="79"/>
      <c r="ASP8" s="80"/>
      <c r="ASQ8" s="79"/>
      <c r="ASR8" s="79"/>
      <c r="ASS8" s="80"/>
      <c r="AST8" s="79"/>
      <c r="ASU8" s="79"/>
      <c r="ASX8" s="79"/>
      <c r="ASY8" s="79"/>
      <c r="ASZ8" s="79"/>
      <c r="ATA8" s="79"/>
      <c r="ATB8" s="80"/>
      <c r="ATC8" s="79"/>
      <c r="ATD8" s="79"/>
      <c r="ATE8" s="80"/>
      <c r="ATF8" s="79"/>
      <c r="ATG8" s="79"/>
      <c r="ATJ8" s="79"/>
      <c r="ATK8" s="79"/>
      <c r="ATL8" s="79"/>
      <c r="ATM8" s="79"/>
      <c r="ATN8" s="80"/>
      <c r="ATO8" s="79"/>
      <c r="ATP8" s="79"/>
      <c r="ATQ8" s="80"/>
      <c r="ATR8" s="79"/>
      <c r="ATS8" s="79"/>
      <c r="ATV8" s="79"/>
      <c r="ATW8" s="79"/>
      <c r="ATX8" s="79"/>
      <c r="ATY8" s="79"/>
      <c r="ATZ8" s="80"/>
      <c r="AUA8" s="79"/>
      <c r="AUB8" s="79"/>
      <c r="AUC8" s="80"/>
      <c r="AUD8" s="79"/>
      <c r="AUE8" s="79"/>
      <c r="AUH8" s="79"/>
      <c r="AUI8" s="79"/>
      <c r="AUJ8" s="79"/>
      <c r="AUK8" s="79"/>
      <c r="AUL8" s="80"/>
      <c r="AUM8" s="79"/>
      <c r="AUN8" s="79"/>
      <c r="AUO8" s="80"/>
      <c r="AUP8" s="79"/>
      <c r="AUQ8" s="79"/>
      <c r="AUT8" s="79"/>
      <c r="AUU8" s="79"/>
      <c r="AUV8" s="79"/>
      <c r="AUW8" s="79"/>
      <c r="AUX8" s="80"/>
      <c r="AUY8" s="79"/>
      <c r="AUZ8" s="79"/>
      <c r="AVA8" s="80"/>
      <c r="AVB8" s="79"/>
      <c r="AVC8" s="79"/>
      <c r="AVF8" s="79"/>
      <c r="AVG8" s="79"/>
      <c r="AVH8" s="79"/>
      <c r="AVI8" s="79"/>
      <c r="AVJ8" s="80"/>
      <c r="AVK8" s="79"/>
      <c r="AVL8" s="79"/>
      <c r="AVM8" s="80"/>
      <c r="AVN8" s="79"/>
      <c r="AVO8" s="79"/>
      <c r="AVR8" s="79"/>
      <c r="AVS8" s="79"/>
      <c r="AVT8" s="79"/>
      <c r="AVU8" s="79"/>
      <c r="AVV8" s="80"/>
      <c r="AVW8" s="79"/>
      <c r="AVX8" s="79"/>
      <c r="AVY8" s="80"/>
      <c r="AVZ8" s="79"/>
      <c r="AWA8" s="79"/>
      <c r="AWD8" s="79"/>
      <c r="AWE8" s="79"/>
      <c r="AWF8" s="79"/>
      <c r="AWG8" s="79"/>
      <c r="AWH8" s="80"/>
      <c r="AWI8" s="79"/>
      <c r="AWJ8" s="79"/>
      <c r="AWK8" s="80"/>
      <c r="AWL8" s="79"/>
      <c r="AWM8" s="79"/>
      <c r="AWP8" s="79"/>
      <c r="AWQ8" s="79"/>
      <c r="AWR8" s="79"/>
      <c r="AWS8" s="79"/>
      <c r="AWT8" s="80"/>
      <c r="AWU8" s="79"/>
      <c r="AWV8" s="79"/>
      <c r="AWW8" s="80"/>
      <c r="AWX8" s="79"/>
      <c r="AWY8" s="79"/>
      <c r="AXB8" s="79"/>
      <c r="AXC8" s="79"/>
      <c r="AXD8" s="79"/>
      <c r="AXE8" s="79"/>
      <c r="AXF8" s="80"/>
      <c r="AXG8" s="79"/>
      <c r="AXH8" s="79"/>
      <c r="AXI8" s="80"/>
      <c r="AXJ8" s="79"/>
      <c r="AXK8" s="79"/>
      <c r="AXN8" s="79"/>
      <c r="AXO8" s="79"/>
      <c r="AXP8" s="79"/>
      <c r="AXQ8" s="79"/>
      <c r="AXR8" s="80"/>
      <c r="AXS8" s="79"/>
      <c r="AXT8" s="79"/>
      <c r="AXU8" s="80"/>
      <c r="AXV8" s="79"/>
      <c r="AXW8" s="79"/>
      <c r="AXZ8" s="79"/>
      <c r="AYA8" s="79"/>
      <c r="AYB8" s="79"/>
      <c r="AYC8" s="79"/>
      <c r="AYD8" s="80"/>
      <c r="AYE8" s="79"/>
      <c r="AYF8" s="79"/>
      <c r="AYG8" s="80"/>
      <c r="AYH8" s="79"/>
      <c r="AYI8" s="79"/>
      <c r="AYL8" s="79"/>
      <c r="AYM8" s="79"/>
      <c r="AYN8" s="79"/>
      <c r="AYO8" s="79"/>
      <c r="AYP8" s="80"/>
      <c r="AYQ8" s="79"/>
      <c r="AYR8" s="79"/>
      <c r="AYS8" s="80"/>
      <c r="AYT8" s="79"/>
      <c r="AYU8" s="79"/>
      <c r="AYX8" s="79"/>
      <c r="AYY8" s="79"/>
      <c r="AYZ8" s="79"/>
      <c r="AZA8" s="79"/>
      <c r="AZB8" s="80"/>
      <c r="AZC8" s="79"/>
      <c r="AZD8" s="79"/>
      <c r="AZE8" s="80"/>
      <c r="AZF8" s="79"/>
      <c r="AZG8" s="79"/>
      <c r="AZJ8" s="79"/>
      <c r="AZK8" s="79"/>
      <c r="AZL8" s="79"/>
      <c r="AZM8" s="79"/>
      <c r="AZN8" s="80"/>
      <c r="AZO8" s="79"/>
      <c r="AZP8" s="79"/>
      <c r="AZQ8" s="80"/>
      <c r="AZR8" s="79"/>
      <c r="AZS8" s="79"/>
      <c r="AZV8" s="79"/>
      <c r="AZW8" s="79"/>
      <c r="AZX8" s="79"/>
      <c r="AZY8" s="79"/>
      <c r="AZZ8" s="80"/>
      <c r="BAA8" s="79"/>
      <c r="BAB8" s="79"/>
      <c r="BAC8" s="80"/>
      <c r="BAD8" s="79"/>
      <c r="BAE8" s="79"/>
      <c r="BAH8" s="79"/>
      <c r="BAI8" s="79"/>
      <c r="BAJ8" s="79"/>
      <c r="BAK8" s="79"/>
      <c r="BAL8" s="80"/>
      <c r="BAM8" s="79"/>
      <c r="BAN8" s="79"/>
      <c r="BAO8" s="80"/>
      <c r="BAP8" s="79"/>
      <c r="BAQ8" s="79"/>
      <c r="BAT8" s="79"/>
      <c r="BAU8" s="79"/>
      <c r="BAV8" s="79"/>
      <c r="BAW8" s="79"/>
      <c r="BAX8" s="80"/>
      <c r="BAY8" s="79"/>
      <c r="BAZ8" s="79"/>
      <c r="BBA8" s="80"/>
      <c r="BBB8" s="79"/>
      <c r="BBC8" s="79"/>
      <c r="BBF8" s="79"/>
      <c r="BBG8" s="79"/>
      <c r="BBH8" s="79"/>
      <c r="BBI8" s="79"/>
      <c r="BBJ8" s="80"/>
      <c r="BBK8" s="79"/>
      <c r="BBL8" s="79"/>
      <c r="BBM8" s="80"/>
      <c r="BBN8" s="79"/>
      <c r="BBO8" s="79"/>
      <c r="BBR8" s="79"/>
      <c r="BBS8" s="79"/>
      <c r="BBT8" s="79"/>
      <c r="BBU8" s="79"/>
      <c r="BBV8" s="80"/>
      <c r="BBW8" s="79"/>
      <c r="BBX8" s="79"/>
      <c r="BBY8" s="80"/>
      <c r="BBZ8" s="79"/>
      <c r="BCA8" s="79"/>
      <c r="BCD8" s="79"/>
      <c r="BCE8" s="79"/>
      <c r="BCF8" s="79"/>
      <c r="BCG8" s="79"/>
      <c r="BCH8" s="80"/>
      <c r="BCI8" s="79"/>
      <c r="BCJ8" s="79"/>
      <c r="BCK8" s="80"/>
      <c r="BCL8" s="79"/>
      <c r="BCM8" s="79"/>
      <c r="BCP8" s="79"/>
      <c r="BCQ8" s="79"/>
      <c r="BCR8" s="79"/>
      <c r="BCS8" s="79"/>
      <c r="BCT8" s="80"/>
      <c r="BCU8" s="79"/>
      <c r="BCV8" s="79"/>
      <c r="BCW8" s="80"/>
      <c r="BCX8" s="79"/>
      <c r="BCY8" s="79"/>
      <c r="BDB8" s="79"/>
      <c r="BDC8" s="79"/>
      <c r="BDD8" s="79"/>
      <c r="BDE8" s="79"/>
      <c r="BDF8" s="80"/>
      <c r="BDG8" s="79"/>
      <c r="BDH8" s="79"/>
      <c r="BDI8" s="80"/>
      <c r="BDJ8" s="79"/>
      <c r="BDK8" s="79"/>
      <c r="BDN8" s="79"/>
      <c r="BDO8" s="79"/>
      <c r="BDP8" s="79"/>
      <c r="BDQ8" s="79"/>
      <c r="BDR8" s="80"/>
      <c r="BDS8" s="79"/>
      <c r="BDT8" s="79"/>
      <c r="BDU8" s="80"/>
      <c r="BDV8" s="79"/>
      <c r="BDW8" s="79"/>
      <c r="BDZ8" s="79"/>
      <c r="BEA8" s="79"/>
      <c r="BEB8" s="79"/>
      <c r="BEC8" s="79"/>
      <c r="BED8" s="80"/>
      <c r="BEE8" s="79"/>
      <c r="BEF8" s="79"/>
      <c r="BEG8" s="80"/>
      <c r="BEH8" s="79"/>
      <c r="BEI8" s="79"/>
      <c r="BEL8" s="79"/>
      <c r="BEM8" s="79"/>
      <c r="BEN8" s="79"/>
      <c r="BEO8" s="79"/>
      <c r="BEP8" s="80"/>
      <c r="BEQ8" s="79"/>
      <c r="BER8" s="79"/>
      <c r="BES8" s="80"/>
      <c r="BET8" s="79"/>
      <c r="BEU8" s="79"/>
      <c r="BEX8" s="79"/>
      <c r="BEY8" s="79"/>
      <c r="BEZ8" s="79"/>
      <c r="BFA8" s="79"/>
      <c r="BFB8" s="80"/>
      <c r="BFC8" s="79"/>
      <c r="BFD8" s="79"/>
      <c r="BFE8" s="80"/>
      <c r="BFF8" s="79"/>
      <c r="BFG8" s="79"/>
      <c r="BFJ8" s="79"/>
      <c r="BFK8" s="79"/>
      <c r="BFL8" s="79"/>
      <c r="BFM8" s="79"/>
      <c r="BFN8" s="80"/>
      <c r="BFO8" s="79"/>
      <c r="BFP8" s="79"/>
      <c r="BFQ8" s="80"/>
      <c r="BFR8" s="79"/>
      <c r="BFS8" s="79"/>
      <c r="BFV8" s="79"/>
      <c r="BFW8" s="79"/>
      <c r="BFX8" s="79"/>
      <c r="BFY8" s="79"/>
      <c r="BFZ8" s="80"/>
      <c r="BGA8" s="79"/>
      <c r="BGB8" s="79"/>
      <c r="BGC8" s="80"/>
      <c r="BGD8" s="79"/>
      <c r="BGE8" s="79"/>
      <c r="BGH8" s="79"/>
      <c r="BGI8" s="79"/>
      <c r="BGJ8" s="79"/>
      <c r="BGK8" s="79"/>
      <c r="BGL8" s="80"/>
      <c r="BGM8" s="79"/>
      <c r="BGN8" s="79"/>
      <c r="BGO8" s="80"/>
      <c r="BGP8" s="79"/>
      <c r="BGQ8" s="79"/>
      <c r="BGT8" s="79"/>
      <c r="BGU8" s="79"/>
      <c r="BGV8" s="79"/>
      <c r="BGW8" s="79"/>
      <c r="BGX8" s="80"/>
      <c r="BGY8" s="79"/>
      <c r="BGZ8" s="79"/>
      <c r="BHA8" s="80"/>
      <c r="BHB8" s="79"/>
      <c r="BHC8" s="79"/>
      <c r="BHF8" s="79"/>
      <c r="BHG8" s="79"/>
      <c r="BHH8" s="79"/>
      <c r="BHI8" s="79"/>
      <c r="BHJ8" s="80"/>
      <c r="BHK8" s="79"/>
      <c r="BHL8" s="79"/>
      <c r="BHM8" s="80"/>
      <c r="BHN8" s="79"/>
      <c r="BHO8" s="79"/>
      <c r="BHR8" s="79"/>
      <c r="BHS8" s="79"/>
      <c r="BHT8" s="79"/>
      <c r="BHU8" s="79"/>
      <c r="BHV8" s="80"/>
      <c r="BHW8" s="79"/>
      <c r="BHX8" s="79"/>
      <c r="BHY8" s="80"/>
      <c r="BHZ8" s="79"/>
      <c r="BIA8" s="79"/>
      <c r="BID8" s="79"/>
      <c r="BIE8" s="79"/>
      <c r="BIF8" s="79"/>
      <c r="BIG8" s="79"/>
      <c r="BIH8" s="80"/>
      <c r="BII8" s="79"/>
      <c r="BIJ8" s="79"/>
      <c r="BIK8" s="80"/>
      <c r="BIL8" s="79"/>
      <c r="BIM8" s="79"/>
      <c r="BIP8" s="79"/>
      <c r="BIQ8" s="79"/>
      <c r="BIR8" s="79"/>
      <c r="BIS8" s="79"/>
      <c r="BIT8" s="80"/>
      <c r="BIU8" s="79"/>
      <c r="BIV8" s="79"/>
      <c r="BIW8" s="80"/>
      <c r="BIX8" s="79"/>
      <c r="BIY8" s="79"/>
      <c r="BJB8" s="79"/>
      <c r="BJC8" s="79"/>
      <c r="BJD8" s="79"/>
      <c r="BJE8" s="79"/>
      <c r="BJF8" s="80"/>
      <c r="BJG8" s="79"/>
      <c r="BJH8" s="79"/>
      <c r="BJI8" s="80"/>
      <c r="BJJ8" s="79"/>
      <c r="BJK8" s="79"/>
      <c r="BJN8" s="79"/>
      <c r="BJO8" s="79"/>
      <c r="BJP8" s="79"/>
      <c r="BJQ8" s="79"/>
      <c r="BJR8" s="80"/>
      <c r="BJS8" s="79"/>
      <c r="BJT8" s="79"/>
      <c r="BJU8" s="80"/>
      <c r="BJV8" s="79"/>
      <c r="BJW8" s="79"/>
      <c r="BJZ8" s="79"/>
      <c r="BKA8" s="79"/>
      <c r="BKB8" s="79"/>
      <c r="BKC8" s="79"/>
      <c r="BKD8" s="80"/>
      <c r="BKE8" s="79"/>
      <c r="BKF8" s="79"/>
      <c r="BKG8" s="80"/>
      <c r="BKH8" s="79"/>
      <c r="BKI8" s="79"/>
      <c r="BKL8" s="79"/>
      <c r="BKM8" s="79"/>
      <c r="BKN8" s="79"/>
      <c r="BKO8" s="79"/>
      <c r="BKP8" s="80"/>
      <c r="BKQ8" s="79"/>
      <c r="BKR8" s="79"/>
      <c r="BKS8" s="80"/>
      <c r="BKT8" s="79"/>
      <c r="BKU8" s="79"/>
      <c r="BKX8" s="79"/>
      <c r="BKY8" s="79"/>
      <c r="BKZ8" s="79"/>
      <c r="BLA8" s="79"/>
      <c r="BLB8" s="80"/>
      <c r="BLC8" s="79"/>
      <c r="BLD8" s="79"/>
      <c r="BLE8" s="80"/>
      <c r="BLF8" s="79"/>
      <c r="BLG8" s="79"/>
      <c r="BLJ8" s="79"/>
      <c r="BLK8" s="79"/>
      <c r="BLL8" s="79"/>
      <c r="BLM8" s="79"/>
      <c r="BLN8" s="80"/>
      <c r="BLO8" s="79"/>
      <c r="BLP8" s="79"/>
      <c r="BLQ8" s="80"/>
      <c r="BLR8" s="79"/>
      <c r="BLS8" s="79"/>
      <c r="BLV8" s="79"/>
      <c r="BLW8" s="79"/>
      <c r="BLX8" s="79"/>
      <c r="BLY8" s="79"/>
      <c r="BLZ8" s="80"/>
      <c r="BMA8" s="79"/>
      <c r="BMB8" s="79"/>
      <c r="BMC8" s="80"/>
      <c r="BMD8" s="79"/>
      <c r="BME8" s="79"/>
      <c r="BMH8" s="79"/>
      <c r="BMI8" s="79"/>
      <c r="BMJ8" s="79"/>
      <c r="BMK8" s="79"/>
      <c r="BML8" s="80"/>
      <c r="BMM8" s="79"/>
      <c r="BMN8" s="79"/>
      <c r="BMO8" s="80"/>
      <c r="BMP8" s="79"/>
      <c r="BMQ8" s="79"/>
      <c r="BMT8" s="79"/>
      <c r="BMU8" s="79"/>
      <c r="BMV8" s="79"/>
      <c r="BMW8" s="79"/>
      <c r="BMX8" s="80"/>
      <c r="BMY8" s="79"/>
      <c r="BMZ8" s="79"/>
      <c r="BNA8" s="80"/>
      <c r="BNB8" s="79"/>
      <c r="BNC8" s="79"/>
      <c r="BNF8" s="79"/>
      <c r="BNG8" s="79"/>
      <c r="BNH8" s="79"/>
      <c r="BNI8" s="79"/>
      <c r="BNJ8" s="80"/>
      <c r="BNK8" s="79"/>
      <c r="BNL8" s="79"/>
      <c r="BNM8" s="80"/>
      <c r="BNN8" s="79"/>
      <c r="BNO8" s="79"/>
      <c r="BNR8" s="79"/>
      <c r="BNS8" s="79"/>
      <c r="BNT8" s="79"/>
      <c r="BNU8" s="79"/>
      <c r="BNV8" s="80"/>
      <c r="BNW8" s="79"/>
      <c r="BNX8" s="79"/>
      <c r="BNY8" s="80"/>
      <c r="BNZ8" s="79"/>
      <c r="BOA8" s="79"/>
      <c r="BOD8" s="79"/>
      <c r="BOE8" s="79"/>
      <c r="BOF8" s="79"/>
      <c r="BOG8" s="79"/>
      <c r="BOH8" s="80"/>
      <c r="BOI8" s="79"/>
      <c r="BOJ8" s="79"/>
      <c r="BOK8" s="80"/>
      <c r="BOL8" s="79"/>
      <c r="BOM8" s="79"/>
      <c r="BOP8" s="79"/>
      <c r="BOQ8" s="79"/>
      <c r="BOR8" s="79"/>
      <c r="BOS8" s="79"/>
      <c r="BOT8" s="80"/>
      <c r="BOU8" s="79"/>
      <c r="BOV8" s="79"/>
      <c r="BOW8" s="80"/>
      <c r="BOX8" s="79"/>
      <c r="BOY8" s="79"/>
      <c r="BPB8" s="79"/>
      <c r="BPC8" s="79"/>
      <c r="BPD8" s="79"/>
      <c r="BPE8" s="79"/>
      <c r="BPF8" s="80"/>
      <c r="BPG8" s="79"/>
      <c r="BPH8" s="79"/>
      <c r="BPI8" s="80"/>
      <c r="BPJ8" s="79"/>
      <c r="BPK8" s="79"/>
      <c r="BPN8" s="79"/>
      <c r="BPO8" s="79"/>
      <c r="BPP8" s="79"/>
      <c r="BPQ8" s="79"/>
      <c r="BPR8" s="80"/>
      <c r="BPS8" s="79"/>
      <c r="BPT8" s="79"/>
      <c r="BPU8" s="80"/>
      <c r="BPV8" s="79"/>
      <c r="BPW8" s="79"/>
      <c r="BPZ8" s="79"/>
      <c r="BQA8" s="79"/>
      <c r="BQB8" s="79"/>
      <c r="BQC8" s="79"/>
      <c r="BQD8" s="80"/>
      <c r="BQE8" s="79"/>
      <c r="BQF8" s="79"/>
      <c r="BQG8" s="80"/>
      <c r="BQH8" s="79"/>
      <c r="BQI8" s="79"/>
      <c r="BQL8" s="79"/>
      <c r="BQM8" s="79"/>
      <c r="BQN8" s="79"/>
      <c r="BQO8" s="79"/>
      <c r="BQP8" s="80"/>
      <c r="BQQ8" s="79"/>
      <c r="BQR8" s="79"/>
      <c r="BQS8" s="80"/>
      <c r="BQT8" s="79"/>
      <c r="BQU8" s="79"/>
      <c r="BQX8" s="79"/>
      <c r="BQY8" s="79"/>
      <c r="BQZ8" s="79"/>
      <c r="BRA8" s="79"/>
      <c r="BRB8" s="80"/>
      <c r="BRC8" s="79"/>
      <c r="BRD8" s="79"/>
      <c r="BRE8" s="80"/>
      <c r="BRF8" s="79"/>
      <c r="BRG8" s="79"/>
      <c r="BRJ8" s="79"/>
      <c r="BRK8" s="79"/>
      <c r="BRL8" s="79"/>
      <c r="BRM8" s="79"/>
      <c r="BRN8" s="80"/>
      <c r="BRO8" s="79"/>
      <c r="BRP8" s="79"/>
      <c r="BRQ8" s="80"/>
      <c r="BRR8" s="79"/>
      <c r="BRS8" s="79"/>
      <c r="BRV8" s="79"/>
      <c r="BRW8" s="79"/>
      <c r="BRX8" s="79"/>
      <c r="BRY8" s="79"/>
      <c r="BRZ8" s="80"/>
      <c r="BSA8" s="79"/>
      <c r="BSB8" s="79"/>
      <c r="BSC8" s="80"/>
      <c r="BSD8" s="79"/>
      <c r="BSE8" s="79"/>
      <c r="BSH8" s="79"/>
      <c r="BSI8" s="79"/>
      <c r="BSJ8" s="79"/>
      <c r="BSK8" s="79"/>
      <c r="BSL8" s="80"/>
      <c r="BSM8" s="79"/>
      <c r="BSN8" s="79"/>
      <c r="BSO8" s="80"/>
      <c r="BSP8" s="79"/>
      <c r="BSQ8" s="79"/>
      <c r="BST8" s="79"/>
      <c r="BSU8" s="79"/>
      <c r="BSV8" s="79"/>
      <c r="BSW8" s="79"/>
      <c r="BSX8" s="80"/>
      <c r="BSY8" s="79"/>
      <c r="BSZ8" s="79"/>
      <c r="BTA8" s="80"/>
      <c r="BTB8" s="79"/>
      <c r="BTC8" s="79"/>
      <c r="BTF8" s="79"/>
      <c r="BTG8" s="79"/>
      <c r="BTH8" s="79"/>
      <c r="BTI8" s="79"/>
      <c r="BTJ8" s="80"/>
      <c r="BTK8" s="79"/>
      <c r="BTL8" s="79"/>
      <c r="BTM8" s="80"/>
      <c r="BTN8" s="79"/>
      <c r="BTO8" s="79"/>
      <c r="BTR8" s="79"/>
      <c r="BTS8" s="79"/>
      <c r="BTT8" s="79"/>
      <c r="BTU8" s="79"/>
      <c r="BTV8" s="80"/>
      <c r="BTW8" s="79"/>
      <c r="BTX8" s="79"/>
      <c r="BTY8" s="80"/>
      <c r="BTZ8" s="79"/>
      <c r="BUA8" s="79"/>
      <c r="BUD8" s="79"/>
      <c r="BUE8" s="79"/>
      <c r="BUF8" s="79"/>
      <c r="BUG8" s="79"/>
      <c r="BUH8" s="80"/>
      <c r="BUI8" s="79"/>
      <c r="BUJ8" s="79"/>
      <c r="BUK8" s="80"/>
      <c r="BUL8" s="79"/>
      <c r="BUM8" s="79"/>
      <c r="BUP8" s="79"/>
      <c r="BUQ8" s="79"/>
      <c r="BUR8" s="79"/>
      <c r="BUS8" s="79"/>
      <c r="BUT8" s="80"/>
      <c r="BUU8" s="79"/>
      <c r="BUV8" s="79"/>
      <c r="BUW8" s="80"/>
      <c r="BUX8" s="79"/>
      <c r="BUY8" s="79"/>
      <c r="BVB8" s="79"/>
      <c r="BVC8" s="79"/>
      <c r="BVD8" s="79"/>
      <c r="BVE8" s="79"/>
      <c r="BVF8" s="80"/>
      <c r="BVG8" s="79"/>
      <c r="BVH8" s="79"/>
      <c r="BVI8" s="80"/>
      <c r="BVJ8" s="79"/>
      <c r="BVK8" s="79"/>
      <c r="BVN8" s="79"/>
      <c r="BVO8" s="79"/>
      <c r="BVP8" s="79"/>
      <c r="BVQ8" s="79"/>
      <c r="BVR8" s="80"/>
      <c r="BVS8" s="79"/>
      <c r="BVT8" s="79"/>
      <c r="BVU8" s="80"/>
      <c r="BVV8" s="79"/>
      <c r="BVW8" s="79"/>
      <c r="BVZ8" s="79"/>
      <c r="BWA8" s="79"/>
      <c r="BWB8" s="79"/>
      <c r="BWC8" s="79"/>
      <c r="BWD8" s="80"/>
      <c r="BWE8" s="79"/>
      <c r="BWF8" s="79"/>
      <c r="BWG8" s="80"/>
      <c r="BWH8" s="79"/>
      <c r="BWI8" s="79"/>
      <c r="BWL8" s="79"/>
      <c r="BWM8" s="79"/>
      <c r="BWN8" s="79"/>
      <c r="BWO8" s="79"/>
      <c r="BWP8" s="80"/>
      <c r="BWQ8" s="79"/>
      <c r="BWR8" s="79"/>
      <c r="BWS8" s="80"/>
      <c r="BWT8" s="79"/>
      <c r="BWU8" s="79"/>
      <c r="BWX8" s="79"/>
      <c r="BWY8" s="79"/>
      <c r="BWZ8" s="79"/>
      <c r="BXA8" s="79"/>
      <c r="BXB8" s="80"/>
      <c r="BXC8" s="79"/>
      <c r="BXD8" s="79"/>
      <c r="BXE8" s="80"/>
      <c r="BXF8" s="79"/>
      <c r="BXG8" s="79"/>
      <c r="BXJ8" s="79"/>
      <c r="BXK8" s="79"/>
      <c r="BXL8" s="79"/>
      <c r="BXM8" s="79"/>
      <c r="BXN8" s="80"/>
      <c r="BXO8" s="79"/>
      <c r="BXP8" s="79"/>
      <c r="BXQ8" s="80"/>
      <c r="BXR8" s="79"/>
      <c r="BXS8" s="79"/>
      <c r="BXV8" s="79"/>
      <c r="BXW8" s="79"/>
      <c r="BXX8" s="79"/>
      <c r="BXY8" s="79"/>
      <c r="BXZ8" s="80"/>
      <c r="BYA8" s="79"/>
      <c r="BYB8" s="79"/>
      <c r="BYC8" s="80"/>
      <c r="BYD8" s="79"/>
      <c r="BYE8" s="79"/>
      <c r="BYH8" s="79"/>
      <c r="BYI8" s="79"/>
      <c r="BYJ8" s="79"/>
      <c r="BYK8" s="79"/>
      <c r="BYL8" s="80"/>
      <c r="BYM8" s="79"/>
      <c r="BYN8" s="79"/>
      <c r="BYO8" s="80"/>
      <c r="BYP8" s="79"/>
      <c r="BYQ8" s="79"/>
      <c r="BYT8" s="79"/>
      <c r="BYU8" s="79"/>
      <c r="BYV8" s="79"/>
      <c r="BYW8" s="79"/>
      <c r="BYX8" s="80"/>
      <c r="BYY8" s="79"/>
      <c r="BYZ8" s="79"/>
      <c r="BZA8" s="80"/>
      <c r="BZB8" s="79"/>
      <c r="BZC8" s="79"/>
      <c r="BZF8" s="79"/>
      <c r="BZG8" s="79"/>
      <c r="BZH8" s="79"/>
      <c r="BZI8" s="79"/>
      <c r="BZJ8" s="80"/>
      <c r="BZK8" s="79"/>
      <c r="BZL8" s="79"/>
      <c r="BZM8" s="80"/>
      <c r="BZN8" s="79"/>
      <c r="BZO8" s="79"/>
      <c r="BZR8" s="79"/>
      <c r="BZS8" s="79"/>
      <c r="BZT8" s="79"/>
      <c r="BZU8" s="79"/>
      <c r="BZV8" s="80"/>
      <c r="BZW8" s="79"/>
      <c r="BZX8" s="79"/>
      <c r="BZY8" s="80"/>
      <c r="BZZ8" s="79"/>
      <c r="CAA8" s="79"/>
      <c r="CAD8" s="79"/>
      <c r="CAE8" s="79"/>
      <c r="CAF8" s="79"/>
      <c r="CAG8" s="79"/>
      <c r="CAH8" s="80"/>
      <c r="CAI8" s="79"/>
      <c r="CAJ8" s="79"/>
      <c r="CAK8" s="80"/>
      <c r="CAL8" s="79"/>
      <c r="CAM8" s="79"/>
      <c r="CAP8" s="79"/>
      <c r="CAQ8" s="79"/>
      <c r="CAR8" s="79"/>
      <c r="CAS8" s="79"/>
      <c r="CAT8" s="80"/>
      <c r="CAU8" s="79"/>
      <c r="CAV8" s="79"/>
      <c r="CAW8" s="80"/>
      <c r="CAX8" s="79"/>
      <c r="CAY8" s="79"/>
      <c r="CBB8" s="79"/>
      <c r="CBC8" s="79"/>
      <c r="CBD8" s="79"/>
      <c r="CBE8" s="79"/>
      <c r="CBF8" s="80"/>
      <c r="CBG8" s="79"/>
      <c r="CBH8" s="79"/>
      <c r="CBI8" s="80"/>
      <c r="CBJ8" s="79"/>
      <c r="CBK8" s="79"/>
      <c r="CBN8" s="79"/>
      <c r="CBO8" s="79"/>
      <c r="CBP8" s="79"/>
      <c r="CBQ8" s="79"/>
      <c r="CBR8" s="80"/>
      <c r="CBS8" s="79"/>
      <c r="CBT8" s="79"/>
      <c r="CBU8" s="80"/>
      <c r="CBV8" s="79"/>
      <c r="CBW8" s="79"/>
      <c r="CBZ8" s="79"/>
      <c r="CCA8" s="79"/>
      <c r="CCB8" s="79"/>
      <c r="CCC8" s="79"/>
      <c r="CCD8" s="80"/>
      <c r="CCE8" s="79"/>
      <c r="CCF8" s="79"/>
      <c r="CCG8" s="80"/>
      <c r="CCH8" s="79"/>
      <c r="CCI8" s="79"/>
      <c r="CCL8" s="79"/>
      <c r="CCM8" s="79"/>
      <c r="CCN8" s="79"/>
      <c r="CCO8" s="79"/>
      <c r="CCP8" s="80"/>
      <c r="CCQ8" s="79"/>
      <c r="CCR8" s="79"/>
      <c r="CCS8" s="80"/>
      <c r="CCT8" s="79"/>
      <c r="CCU8" s="79"/>
      <c r="CCX8" s="79"/>
      <c r="CCY8" s="79"/>
      <c r="CCZ8" s="79"/>
      <c r="CDA8" s="79"/>
      <c r="CDB8" s="80"/>
      <c r="CDC8" s="79"/>
      <c r="CDD8" s="79"/>
      <c r="CDE8" s="80"/>
      <c r="CDF8" s="79"/>
      <c r="CDG8" s="79"/>
      <c r="CDJ8" s="79"/>
      <c r="CDK8" s="79"/>
      <c r="CDL8" s="79"/>
      <c r="CDM8" s="79"/>
      <c r="CDN8" s="80"/>
      <c r="CDO8" s="79"/>
      <c r="CDP8" s="79"/>
      <c r="CDQ8" s="80"/>
      <c r="CDR8" s="79"/>
      <c r="CDS8" s="79"/>
      <c r="CDV8" s="79"/>
      <c r="CDW8" s="79"/>
      <c r="CDX8" s="79"/>
      <c r="CDY8" s="79"/>
      <c r="CDZ8" s="80"/>
      <c r="CEA8" s="79"/>
      <c r="CEB8" s="79"/>
      <c r="CEC8" s="80"/>
      <c r="CED8" s="79"/>
      <c r="CEE8" s="79"/>
      <c r="CEH8" s="79"/>
      <c r="CEI8" s="79"/>
      <c r="CEJ8" s="79"/>
      <c r="CEK8" s="79"/>
      <c r="CEL8" s="80"/>
      <c r="CEM8" s="79"/>
      <c r="CEN8" s="79"/>
      <c r="CEO8" s="80"/>
      <c r="CEP8" s="79"/>
      <c r="CEQ8" s="79"/>
      <c r="CET8" s="79"/>
      <c r="CEU8" s="79"/>
      <c r="CEV8" s="79"/>
      <c r="CEW8" s="79"/>
      <c r="CEX8" s="80"/>
      <c r="CEY8" s="79"/>
      <c r="CEZ8" s="79"/>
      <c r="CFA8" s="80"/>
      <c r="CFB8" s="79"/>
      <c r="CFC8" s="79"/>
      <c r="CFF8" s="79"/>
      <c r="CFG8" s="79"/>
      <c r="CFH8" s="79"/>
      <c r="CFI8" s="79"/>
      <c r="CFJ8" s="80"/>
      <c r="CFK8" s="79"/>
      <c r="CFL8" s="79"/>
      <c r="CFM8" s="80"/>
      <c r="CFN8" s="79"/>
      <c r="CFO8" s="79"/>
      <c r="CFR8" s="79"/>
      <c r="CFS8" s="79"/>
      <c r="CFT8" s="79"/>
      <c r="CFU8" s="79"/>
      <c r="CFV8" s="80"/>
      <c r="CFW8" s="79"/>
      <c r="CFX8" s="79"/>
      <c r="CFY8" s="80"/>
      <c r="CFZ8" s="79"/>
      <c r="CGA8" s="79"/>
      <c r="CGD8" s="79"/>
      <c r="CGE8" s="79"/>
      <c r="CGF8" s="79"/>
      <c r="CGG8" s="79"/>
      <c r="CGH8" s="80"/>
      <c r="CGI8" s="79"/>
      <c r="CGJ8" s="79"/>
      <c r="CGK8" s="80"/>
      <c r="CGL8" s="79"/>
      <c r="CGM8" s="79"/>
      <c r="CGP8" s="79"/>
      <c r="CGQ8" s="79"/>
      <c r="CGR8" s="79"/>
      <c r="CGS8" s="79"/>
      <c r="CGT8" s="80"/>
      <c r="CGU8" s="79"/>
      <c r="CGV8" s="79"/>
      <c r="CGW8" s="80"/>
      <c r="CGX8" s="79"/>
      <c r="CGY8" s="79"/>
      <c r="CHB8" s="79"/>
      <c r="CHC8" s="79"/>
      <c r="CHD8" s="79"/>
      <c r="CHE8" s="79"/>
      <c r="CHF8" s="80"/>
      <c r="CHG8" s="79"/>
      <c r="CHH8" s="79"/>
      <c r="CHI8" s="80"/>
      <c r="CHJ8" s="79"/>
      <c r="CHK8" s="79"/>
      <c r="CHN8" s="79"/>
      <c r="CHO8" s="79"/>
      <c r="CHP8" s="79"/>
      <c r="CHQ8" s="79"/>
      <c r="CHR8" s="80"/>
      <c r="CHS8" s="79"/>
      <c r="CHT8" s="79"/>
      <c r="CHU8" s="80"/>
      <c r="CHV8" s="79"/>
      <c r="CHW8" s="79"/>
      <c r="CHZ8" s="79"/>
      <c r="CIA8" s="79"/>
      <c r="CIB8" s="79"/>
      <c r="CIC8" s="79"/>
      <c r="CID8" s="80"/>
      <c r="CIE8" s="79"/>
      <c r="CIF8" s="79"/>
      <c r="CIG8" s="80"/>
      <c r="CIH8" s="79"/>
      <c r="CII8" s="79"/>
      <c r="CIL8" s="79"/>
      <c r="CIM8" s="79"/>
      <c r="CIN8" s="79"/>
      <c r="CIO8" s="79"/>
      <c r="CIP8" s="80"/>
      <c r="CIQ8" s="79"/>
      <c r="CIR8" s="79"/>
      <c r="CIS8" s="80"/>
      <c r="CIT8" s="79"/>
      <c r="CIU8" s="79"/>
      <c r="CIX8" s="79"/>
      <c r="CIY8" s="79"/>
      <c r="CIZ8" s="79"/>
      <c r="CJA8" s="79"/>
      <c r="CJB8" s="80"/>
      <c r="CJC8" s="79"/>
      <c r="CJD8" s="79"/>
      <c r="CJE8" s="80"/>
      <c r="CJF8" s="79"/>
      <c r="CJG8" s="79"/>
      <c r="CJJ8" s="79"/>
      <c r="CJK8" s="79"/>
      <c r="CJL8" s="79"/>
      <c r="CJM8" s="79"/>
      <c r="CJN8" s="80"/>
      <c r="CJO8" s="79"/>
      <c r="CJP8" s="79"/>
      <c r="CJQ8" s="80"/>
      <c r="CJR8" s="79"/>
      <c r="CJS8" s="79"/>
      <c r="CJV8" s="79"/>
      <c r="CJW8" s="79"/>
      <c r="CJX8" s="79"/>
      <c r="CJY8" s="79"/>
      <c r="CJZ8" s="80"/>
      <c r="CKA8" s="79"/>
      <c r="CKB8" s="79"/>
      <c r="CKC8" s="80"/>
      <c r="CKD8" s="79"/>
      <c r="CKE8" s="79"/>
      <c r="CKH8" s="79"/>
      <c r="CKI8" s="79"/>
      <c r="CKJ8" s="79"/>
      <c r="CKK8" s="79"/>
      <c r="CKL8" s="80"/>
      <c r="CKM8" s="79"/>
      <c r="CKN8" s="79"/>
      <c r="CKO8" s="80"/>
      <c r="CKP8" s="79"/>
      <c r="CKQ8" s="79"/>
      <c r="CKT8" s="79"/>
      <c r="CKU8" s="79"/>
      <c r="CKV8" s="79"/>
      <c r="CKW8" s="79"/>
      <c r="CKX8" s="80"/>
      <c r="CKY8" s="79"/>
      <c r="CKZ8" s="79"/>
      <c r="CLA8" s="80"/>
      <c r="CLB8" s="79"/>
      <c r="CLC8" s="79"/>
      <c r="CLF8" s="79"/>
      <c r="CLG8" s="79"/>
      <c r="CLH8" s="79"/>
      <c r="CLI8" s="79"/>
      <c r="CLJ8" s="80"/>
      <c r="CLK8" s="79"/>
      <c r="CLL8" s="79"/>
      <c r="CLM8" s="80"/>
      <c r="CLN8" s="79"/>
      <c r="CLO8" s="79"/>
      <c r="CLR8" s="79"/>
      <c r="CLS8" s="79"/>
      <c r="CLT8" s="79"/>
      <c r="CLU8" s="79"/>
      <c r="CLV8" s="80"/>
      <c r="CLW8" s="79"/>
      <c r="CLX8" s="79"/>
      <c r="CLY8" s="80"/>
      <c r="CLZ8" s="79"/>
      <c r="CMA8" s="79"/>
      <c r="CMD8" s="79"/>
      <c r="CME8" s="79"/>
      <c r="CMF8" s="79"/>
      <c r="CMG8" s="79"/>
      <c r="CMH8" s="80"/>
      <c r="CMI8" s="79"/>
      <c r="CMJ8" s="79"/>
      <c r="CMK8" s="80"/>
      <c r="CML8" s="79"/>
      <c r="CMM8" s="79"/>
      <c r="CMP8" s="79"/>
      <c r="CMQ8" s="79"/>
      <c r="CMR8" s="79"/>
      <c r="CMS8" s="79"/>
      <c r="CMT8" s="80"/>
      <c r="CMU8" s="79"/>
      <c r="CMV8" s="79"/>
      <c r="CMW8" s="80"/>
      <c r="CMX8" s="79"/>
      <c r="CMY8" s="79"/>
      <c r="CNB8" s="79"/>
      <c r="CNC8" s="79"/>
      <c r="CND8" s="79"/>
      <c r="CNE8" s="79"/>
      <c r="CNF8" s="80"/>
      <c r="CNG8" s="79"/>
      <c r="CNH8" s="79"/>
      <c r="CNI8" s="80"/>
      <c r="CNJ8" s="79"/>
      <c r="CNK8" s="79"/>
      <c r="CNN8" s="79"/>
      <c r="CNO8" s="79"/>
      <c r="CNP8" s="79"/>
      <c r="CNQ8" s="79"/>
      <c r="CNR8" s="80"/>
      <c r="CNS8" s="79"/>
      <c r="CNT8" s="79"/>
      <c r="CNU8" s="80"/>
      <c r="CNV8" s="79"/>
      <c r="CNW8" s="79"/>
      <c r="CNZ8" s="79"/>
      <c r="COA8" s="79"/>
      <c r="COB8" s="79"/>
      <c r="COC8" s="79"/>
      <c r="COD8" s="80"/>
      <c r="COE8" s="79"/>
      <c r="COF8" s="79"/>
      <c r="COG8" s="80"/>
      <c r="COH8" s="79"/>
      <c r="COI8" s="79"/>
      <c r="COL8" s="79"/>
      <c r="COM8" s="79"/>
      <c r="CON8" s="79"/>
      <c r="COO8" s="79"/>
      <c r="COP8" s="80"/>
      <c r="COQ8" s="79"/>
      <c r="COR8" s="79"/>
      <c r="COS8" s="80"/>
      <c r="COT8" s="79"/>
      <c r="COU8" s="79"/>
      <c r="COX8" s="79"/>
      <c r="COY8" s="79"/>
      <c r="COZ8" s="79"/>
      <c r="CPA8" s="79"/>
      <c r="CPB8" s="80"/>
      <c r="CPC8" s="79"/>
      <c r="CPD8" s="79"/>
      <c r="CPE8" s="80"/>
      <c r="CPF8" s="79"/>
      <c r="CPG8" s="79"/>
      <c r="CPJ8" s="79"/>
      <c r="CPK8" s="79"/>
      <c r="CPL8" s="79"/>
      <c r="CPM8" s="79"/>
      <c r="CPN8" s="80"/>
      <c r="CPO8" s="79"/>
      <c r="CPP8" s="79"/>
      <c r="CPQ8" s="80"/>
      <c r="CPR8" s="79"/>
      <c r="CPS8" s="79"/>
      <c r="CPV8" s="79"/>
      <c r="CPW8" s="79"/>
      <c r="CPX8" s="79"/>
      <c r="CPY8" s="79"/>
      <c r="CPZ8" s="80"/>
      <c r="CQA8" s="79"/>
      <c r="CQB8" s="79"/>
      <c r="CQC8" s="80"/>
      <c r="CQD8" s="79"/>
      <c r="CQE8" s="79"/>
      <c r="CQH8" s="79"/>
      <c r="CQI8" s="79"/>
      <c r="CQJ8" s="79"/>
      <c r="CQK8" s="79"/>
      <c r="CQL8" s="80"/>
      <c r="CQM8" s="79"/>
      <c r="CQN8" s="79"/>
      <c r="CQO8" s="80"/>
      <c r="CQP8" s="79"/>
      <c r="CQQ8" s="79"/>
      <c r="CQT8" s="79"/>
      <c r="CQU8" s="79"/>
      <c r="CQV8" s="79"/>
      <c r="CQW8" s="79"/>
      <c r="CQX8" s="80"/>
      <c r="CQY8" s="79"/>
      <c r="CQZ8" s="79"/>
      <c r="CRA8" s="80"/>
      <c r="CRB8" s="79"/>
      <c r="CRC8" s="79"/>
      <c r="CRF8" s="79"/>
      <c r="CRG8" s="79"/>
      <c r="CRH8" s="79"/>
      <c r="CRI8" s="79"/>
      <c r="CRJ8" s="80"/>
      <c r="CRK8" s="79"/>
      <c r="CRL8" s="79"/>
      <c r="CRM8" s="80"/>
      <c r="CRN8" s="79"/>
      <c r="CRO8" s="79"/>
      <c r="CRR8" s="79"/>
      <c r="CRS8" s="79"/>
      <c r="CRT8" s="79"/>
      <c r="CRU8" s="79"/>
      <c r="CRV8" s="80"/>
      <c r="CRW8" s="79"/>
      <c r="CRX8" s="79"/>
      <c r="CRY8" s="80"/>
      <c r="CRZ8" s="79"/>
      <c r="CSA8" s="79"/>
      <c r="CSD8" s="79"/>
      <c r="CSE8" s="79"/>
      <c r="CSF8" s="79"/>
      <c r="CSG8" s="79"/>
      <c r="CSH8" s="80"/>
      <c r="CSI8" s="79"/>
      <c r="CSJ8" s="79"/>
      <c r="CSK8" s="80"/>
      <c r="CSL8" s="79"/>
      <c r="CSM8" s="79"/>
      <c r="CSP8" s="79"/>
      <c r="CSQ8" s="79"/>
      <c r="CSR8" s="79"/>
      <c r="CSS8" s="79"/>
      <c r="CST8" s="80"/>
      <c r="CSU8" s="79"/>
      <c r="CSV8" s="79"/>
      <c r="CSW8" s="80"/>
      <c r="CSX8" s="79"/>
      <c r="CSY8" s="79"/>
      <c r="CTB8" s="79"/>
      <c r="CTC8" s="79"/>
      <c r="CTD8" s="79"/>
      <c r="CTE8" s="79"/>
      <c r="CTF8" s="80"/>
      <c r="CTG8" s="79"/>
      <c r="CTH8" s="79"/>
      <c r="CTI8" s="80"/>
      <c r="CTJ8" s="79"/>
      <c r="CTK8" s="79"/>
      <c r="CTN8" s="79"/>
      <c r="CTO8" s="79"/>
      <c r="CTP8" s="79"/>
      <c r="CTQ8" s="79"/>
      <c r="CTR8" s="80"/>
      <c r="CTS8" s="79"/>
      <c r="CTT8" s="79"/>
      <c r="CTU8" s="80"/>
      <c r="CTV8" s="79"/>
      <c r="CTW8" s="79"/>
      <c r="CTZ8" s="79"/>
      <c r="CUA8" s="79"/>
      <c r="CUB8" s="79"/>
      <c r="CUC8" s="79"/>
      <c r="CUD8" s="80"/>
      <c r="CUE8" s="79"/>
      <c r="CUF8" s="79"/>
      <c r="CUG8" s="80"/>
      <c r="CUH8" s="79"/>
      <c r="CUI8" s="79"/>
      <c r="CUL8" s="79"/>
      <c r="CUM8" s="79"/>
      <c r="CUN8" s="79"/>
      <c r="CUO8" s="79"/>
      <c r="CUP8" s="80"/>
      <c r="CUQ8" s="79"/>
      <c r="CUR8" s="79"/>
      <c r="CUS8" s="80"/>
      <c r="CUT8" s="79"/>
      <c r="CUU8" s="79"/>
      <c r="CUX8" s="79"/>
      <c r="CUY8" s="79"/>
      <c r="CUZ8" s="79"/>
      <c r="CVA8" s="79"/>
      <c r="CVB8" s="80"/>
      <c r="CVC8" s="79"/>
      <c r="CVD8" s="79"/>
      <c r="CVE8" s="80"/>
      <c r="CVF8" s="79"/>
      <c r="CVG8" s="79"/>
      <c r="CVJ8" s="79"/>
      <c r="CVK8" s="79"/>
      <c r="CVL8" s="79"/>
      <c r="CVM8" s="79"/>
      <c r="CVN8" s="80"/>
      <c r="CVO8" s="79"/>
      <c r="CVP8" s="79"/>
      <c r="CVQ8" s="80"/>
      <c r="CVR8" s="79"/>
      <c r="CVS8" s="79"/>
      <c r="CVV8" s="79"/>
      <c r="CVW8" s="79"/>
      <c r="CVX8" s="79"/>
      <c r="CVY8" s="79"/>
      <c r="CVZ8" s="80"/>
      <c r="CWA8" s="79"/>
      <c r="CWB8" s="79"/>
      <c r="CWC8" s="80"/>
      <c r="CWD8" s="79"/>
      <c r="CWE8" s="79"/>
    </row>
    <row r="9" spans="1:1023 1026:2631" ht="3" customHeight="1" x14ac:dyDescent="0.25">
      <c r="A9" s="81"/>
      <c r="B9" s="81"/>
      <c r="C9" s="81"/>
      <c r="D9" s="81"/>
      <c r="E9" s="81"/>
      <c r="F9" s="81"/>
      <c r="G9" s="82"/>
      <c r="H9" s="81"/>
      <c r="I9" s="81"/>
      <c r="J9" s="81"/>
      <c r="K9" s="81"/>
      <c r="L9" s="81"/>
      <c r="O9" s="81"/>
      <c r="P9" s="81"/>
      <c r="Q9" s="81"/>
      <c r="R9" s="81"/>
      <c r="S9" s="81"/>
      <c r="T9" s="81"/>
      <c r="U9" s="82"/>
      <c r="V9" s="81"/>
      <c r="W9" s="81"/>
      <c r="X9" s="81"/>
      <c r="Y9" s="81"/>
      <c r="Z9" s="81"/>
      <c r="AC9" s="81"/>
      <c r="AD9" s="81"/>
      <c r="AE9" s="81"/>
      <c r="AF9" s="81"/>
      <c r="AG9" s="81"/>
      <c r="AH9" s="81"/>
      <c r="AI9" s="82"/>
      <c r="AJ9" s="81"/>
      <c r="AK9" s="81"/>
      <c r="AL9" s="81"/>
      <c r="AM9" s="81"/>
      <c r="AN9" s="81"/>
      <c r="AQ9" s="81"/>
      <c r="AR9" s="81"/>
      <c r="AS9" s="81"/>
      <c r="AT9" s="81"/>
      <c r="AU9" s="81"/>
      <c r="AV9" s="81"/>
      <c r="AW9" s="82"/>
      <c r="AX9" s="81"/>
      <c r="AY9" s="81"/>
      <c r="AZ9" s="81"/>
      <c r="BA9" s="81"/>
      <c r="BB9" s="81"/>
      <c r="BE9" s="81"/>
      <c r="BF9" s="81"/>
      <c r="BG9" s="81"/>
      <c r="BH9" s="81"/>
      <c r="BI9" s="81"/>
      <c r="BJ9" s="81"/>
      <c r="BK9" s="82"/>
      <c r="BL9" s="81"/>
      <c r="BM9" s="81"/>
      <c r="BN9" s="81"/>
      <c r="BO9" s="81"/>
      <c r="BP9" s="81"/>
      <c r="BS9" s="81"/>
      <c r="BT9" s="81"/>
      <c r="BU9" s="81"/>
      <c r="BV9" s="81"/>
      <c r="BW9" s="81"/>
      <c r="BX9" s="81"/>
      <c r="BY9" s="82"/>
      <c r="BZ9" s="81"/>
      <c r="CA9" s="81"/>
      <c r="CB9" s="81"/>
      <c r="CC9" s="81"/>
      <c r="CD9" s="81"/>
      <c r="CG9" s="81"/>
      <c r="CH9" s="81"/>
      <c r="CI9" s="81"/>
      <c r="CJ9" s="81"/>
      <c r="CK9" s="81"/>
      <c r="CL9" s="81"/>
      <c r="CM9" s="82"/>
      <c r="CN9" s="81"/>
      <c r="CO9" s="81"/>
      <c r="CP9" s="81"/>
      <c r="CQ9" s="81"/>
      <c r="CR9" s="81"/>
      <c r="CU9" s="81"/>
      <c r="CV9" s="81"/>
      <c r="CW9" s="81"/>
      <c r="CX9" s="81"/>
      <c r="CY9" s="81"/>
      <c r="CZ9" s="81"/>
      <c r="DA9" s="82"/>
      <c r="DB9" s="81"/>
      <c r="DC9" s="81"/>
      <c r="DD9" s="81"/>
      <c r="DE9" s="81"/>
      <c r="DF9" s="81"/>
      <c r="DI9" s="81"/>
      <c r="DJ9" s="81"/>
      <c r="DK9" s="81"/>
      <c r="DL9" s="81"/>
      <c r="DM9" s="81"/>
      <c r="DN9" s="81"/>
      <c r="DO9" s="82"/>
      <c r="DP9" s="81"/>
      <c r="DQ9" s="81"/>
      <c r="DR9" s="81"/>
      <c r="DS9" s="81"/>
      <c r="DT9" s="81"/>
      <c r="DW9" s="81"/>
      <c r="DX9" s="81"/>
      <c r="DY9" s="81"/>
      <c r="DZ9" s="81"/>
      <c r="EA9" s="81"/>
      <c r="EB9" s="81"/>
      <c r="EC9" s="82"/>
      <c r="ED9" s="81"/>
      <c r="EE9" s="81"/>
      <c r="EF9" s="81"/>
      <c r="EG9" s="81"/>
      <c r="EH9" s="81"/>
      <c r="EK9" s="81"/>
      <c r="EL9" s="81"/>
      <c r="EM9" s="81"/>
      <c r="EN9" s="81"/>
      <c r="EO9" s="81"/>
      <c r="EP9" s="81"/>
      <c r="EQ9" s="82"/>
      <c r="ER9" s="81"/>
      <c r="ES9" s="81"/>
      <c r="ET9" s="81"/>
      <c r="EU9" s="81"/>
      <c r="EV9" s="81"/>
      <c r="EY9" s="81"/>
      <c r="EZ9" s="81"/>
      <c r="FA9" s="81"/>
      <c r="FB9" s="81"/>
      <c r="FC9" s="81"/>
      <c r="FD9" s="81"/>
      <c r="FE9" s="82"/>
      <c r="FF9" s="81"/>
      <c r="FG9" s="81"/>
      <c r="FH9" s="81"/>
      <c r="FI9" s="81"/>
      <c r="FJ9" s="81"/>
      <c r="FM9" s="81"/>
      <c r="FN9" s="81"/>
      <c r="FO9" s="81"/>
      <c r="FP9" s="81"/>
      <c r="FQ9" s="81"/>
      <c r="FR9" s="81"/>
      <c r="FS9" s="82"/>
      <c r="FT9" s="81"/>
      <c r="FU9" s="81"/>
      <c r="FV9" s="81"/>
      <c r="FW9" s="81"/>
      <c r="FX9" s="81"/>
      <c r="GA9" s="81"/>
      <c r="GB9" s="81"/>
      <c r="GC9" s="81"/>
      <c r="GD9" s="81"/>
      <c r="GE9" s="81"/>
      <c r="GF9" s="81"/>
      <c r="GG9" s="82"/>
      <c r="GH9" s="81"/>
      <c r="GI9" s="81"/>
      <c r="GJ9" s="81"/>
      <c r="GK9" s="81"/>
      <c r="GL9" s="81"/>
      <c r="GO9" s="81"/>
      <c r="GP9" s="81"/>
      <c r="GQ9" s="81"/>
      <c r="GR9" s="81"/>
      <c r="GS9" s="81"/>
      <c r="GT9" s="81"/>
      <c r="GU9" s="82"/>
      <c r="GV9" s="81"/>
      <c r="GW9" s="81"/>
      <c r="GX9" s="81"/>
      <c r="GY9" s="81"/>
      <c r="GZ9" s="81"/>
      <c r="HC9" s="81"/>
      <c r="HD9" s="81"/>
      <c r="HE9" s="81"/>
      <c r="HF9" s="81"/>
      <c r="HG9" s="81"/>
      <c r="HH9" s="81"/>
      <c r="HI9" s="82"/>
      <c r="HJ9" s="81"/>
      <c r="HK9" s="81"/>
      <c r="HL9" s="81"/>
      <c r="HM9" s="81"/>
      <c r="HN9" s="81"/>
      <c r="HQ9" s="81"/>
      <c r="HR9" s="81"/>
      <c r="HS9" s="81"/>
      <c r="HT9" s="81"/>
      <c r="HU9" s="81"/>
      <c r="HV9" s="81"/>
      <c r="HW9" s="82"/>
      <c r="HX9" s="81"/>
      <c r="HY9" s="81"/>
      <c r="HZ9" s="81"/>
      <c r="IA9" s="81"/>
      <c r="IB9" s="81"/>
      <c r="IE9" s="81"/>
      <c r="IF9" s="81"/>
      <c r="IG9" s="81"/>
      <c r="IH9" s="81"/>
      <c r="II9" s="81"/>
      <c r="IJ9" s="81"/>
      <c r="IK9" s="82"/>
      <c r="IL9" s="81"/>
      <c r="IM9" s="81"/>
      <c r="IN9" s="81"/>
      <c r="IO9" s="81"/>
      <c r="IP9" s="81"/>
      <c r="IS9" s="81"/>
      <c r="IT9" s="81"/>
      <c r="IU9" s="81"/>
      <c r="IV9" s="81"/>
      <c r="IW9" s="81"/>
      <c r="IX9" s="81"/>
      <c r="IY9" s="82"/>
      <c r="IZ9" s="81"/>
      <c r="JA9" s="81"/>
      <c r="JB9" s="81"/>
      <c r="JC9" s="81"/>
      <c r="JD9" s="81"/>
      <c r="JG9" s="81"/>
      <c r="JH9" s="81"/>
      <c r="JI9" s="81"/>
      <c r="JJ9" s="81"/>
      <c r="JK9" s="81"/>
      <c r="JL9" s="81"/>
      <c r="JM9" s="82"/>
      <c r="JN9" s="81"/>
      <c r="JO9" s="81"/>
      <c r="JP9" s="81"/>
      <c r="JQ9" s="81"/>
      <c r="JR9" s="81"/>
      <c r="JU9" s="81"/>
      <c r="JV9" s="81"/>
      <c r="JW9" s="81"/>
      <c r="JX9" s="81"/>
      <c r="JY9" s="81"/>
      <c r="JZ9" s="81"/>
      <c r="KA9" s="82"/>
      <c r="KB9" s="81"/>
      <c r="KC9" s="81"/>
      <c r="KD9" s="81"/>
      <c r="KE9" s="81"/>
      <c r="KF9" s="81"/>
      <c r="KI9" s="81"/>
      <c r="KJ9" s="81"/>
      <c r="KK9" s="81"/>
      <c r="KL9" s="81"/>
      <c r="KM9" s="81"/>
      <c r="KN9" s="81"/>
      <c r="KO9" s="82"/>
      <c r="KP9" s="81"/>
      <c r="KQ9" s="81"/>
      <c r="KR9" s="81"/>
      <c r="KS9" s="81"/>
      <c r="KT9" s="81"/>
      <c r="KW9" s="81"/>
      <c r="KX9" s="81"/>
      <c r="KY9" s="81"/>
      <c r="KZ9" s="81"/>
      <c r="LA9" s="81"/>
      <c r="LB9" s="81"/>
      <c r="LC9" s="82"/>
      <c r="LD9" s="81"/>
      <c r="LE9" s="81"/>
      <c r="LF9" s="81"/>
      <c r="LG9" s="81"/>
      <c r="LH9" s="81"/>
      <c r="LK9" s="81"/>
      <c r="LL9" s="81"/>
      <c r="LM9" s="81"/>
      <c r="LN9" s="81"/>
      <c r="LO9" s="81"/>
      <c r="LP9" s="81"/>
      <c r="LQ9" s="82"/>
      <c r="LR9" s="81"/>
      <c r="LS9" s="81"/>
      <c r="LT9" s="81"/>
      <c r="LU9" s="81"/>
      <c r="LV9" s="81"/>
      <c r="LY9" s="81"/>
      <c r="LZ9" s="81"/>
      <c r="MA9" s="81"/>
      <c r="MB9" s="81"/>
      <c r="MC9" s="81"/>
      <c r="MD9" s="81"/>
      <c r="ME9" s="82"/>
      <c r="MF9" s="81"/>
      <c r="MG9" s="81"/>
      <c r="MH9" s="81"/>
      <c r="MI9" s="81"/>
      <c r="MJ9" s="81"/>
      <c r="MM9" s="81"/>
      <c r="MN9" s="81"/>
      <c r="MO9" s="81"/>
      <c r="MP9" s="81"/>
      <c r="MQ9" s="81"/>
      <c r="MR9" s="81"/>
      <c r="MS9" s="82"/>
      <c r="MT9" s="81"/>
      <c r="MU9" s="81"/>
      <c r="MV9" s="81"/>
      <c r="MW9" s="81"/>
      <c r="MX9" s="81"/>
      <c r="NA9" s="81"/>
      <c r="NB9" s="81"/>
      <c r="NC9" s="81"/>
      <c r="ND9" s="81"/>
      <c r="NE9" s="81"/>
      <c r="NF9" s="81"/>
      <c r="NG9" s="82"/>
      <c r="NH9" s="81"/>
      <c r="NI9" s="81"/>
      <c r="NJ9" s="81"/>
      <c r="NK9" s="81"/>
      <c r="NL9" s="81"/>
      <c r="NO9" s="81"/>
      <c r="NP9" s="81"/>
      <c r="NQ9" s="81"/>
      <c r="NR9" s="81"/>
      <c r="NS9" s="81"/>
      <c r="NT9" s="81"/>
      <c r="NU9" s="82"/>
      <c r="NV9" s="81"/>
      <c r="NW9" s="81"/>
      <c r="NX9" s="81"/>
      <c r="NY9" s="81"/>
      <c r="NZ9" s="81"/>
      <c r="OC9" s="81"/>
      <c r="OD9" s="81"/>
      <c r="OE9" s="81"/>
      <c r="OF9" s="81"/>
      <c r="OG9" s="81"/>
      <c r="OH9" s="81"/>
      <c r="OI9" s="82"/>
      <c r="OJ9" s="81"/>
      <c r="OK9" s="81"/>
      <c r="OL9" s="81"/>
      <c r="OM9" s="81"/>
      <c r="ON9" s="81"/>
      <c r="OQ9" s="81"/>
      <c r="OR9" s="81"/>
      <c r="OS9" s="81"/>
      <c r="OT9" s="81"/>
      <c r="OU9" s="81"/>
      <c r="OV9" s="81"/>
      <c r="OW9" s="82"/>
      <c r="OX9" s="81"/>
      <c r="OY9" s="81"/>
      <c r="OZ9" s="81"/>
      <c r="PA9" s="81"/>
      <c r="PB9" s="81"/>
      <c r="PE9" s="81"/>
      <c r="PF9" s="81"/>
      <c r="PG9" s="81"/>
      <c r="PH9" s="81"/>
      <c r="PI9" s="81"/>
      <c r="PJ9" s="81"/>
      <c r="PK9" s="82"/>
      <c r="PL9" s="81"/>
      <c r="PM9" s="81"/>
      <c r="PN9" s="81"/>
      <c r="PO9" s="81"/>
      <c r="PP9" s="81"/>
      <c r="PS9" s="81"/>
      <c r="PT9" s="81"/>
      <c r="PU9" s="81"/>
      <c r="PV9" s="81"/>
      <c r="PW9" s="81"/>
      <c r="PX9" s="81"/>
      <c r="PY9" s="82"/>
      <c r="PZ9" s="81"/>
      <c r="QA9" s="81"/>
      <c r="QB9" s="81"/>
      <c r="QC9" s="81"/>
      <c r="QD9" s="81"/>
      <c r="QG9" s="81"/>
      <c r="QH9" s="81"/>
      <c r="QI9" s="81"/>
      <c r="QJ9" s="81"/>
      <c r="QK9" s="81"/>
      <c r="QL9" s="81"/>
      <c r="QM9" s="82"/>
      <c r="QN9" s="81"/>
      <c r="QO9" s="81"/>
      <c r="QP9" s="81"/>
      <c r="QQ9" s="81"/>
      <c r="QR9" s="81"/>
      <c r="QU9" s="81"/>
      <c r="QV9" s="81"/>
      <c r="QW9" s="81"/>
      <c r="QX9" s="81"/>
      <c r="QY9" s="81"/>
      <c r="QZ9" s="81"/>
      <c r="RA9" s="82"/>
      <c r="RB9" s="81"/>
      <c r="RC9" s="81"/>
      <c r="RD9" s="81"/>
      <c r="RE9" s="81"/>
      <c r="RF9" s="81"/>
      <c r="RI9" s="81"/>
      <c r="RJ9" s="81"/>
      <c r="RK9" s="81"/>
      <c r="RL9" s="81"/>
      <c r="RM9" s="81"/>
      <c r="RN9" s="81"/>
      <c r="RO9" s="82"/>
      <c r="RP9" s="81"/>
      <c r="RQ9" s="81"/>
      <c r="RR9" s="81"/>
      <c r="RS9" s="81"/>
      <c r="RT9" s="81"/>
      <c r="RW9" s="81"/>
      <c r="RX9" s="81"/>
      <c r="RY9" s="81"/>
      <c r="RZ9" s="81"/>
      <c r="SA9" s="81"/>
      <c r="SB9" s="81"/>
      <c r="SC9" s="82"/>
      <c r="SD9" s="81"/>
      <c r="SE9" s="81"/>
      <c r="SF9" s="81"/>
      <c r="SG9" s="81"/>
      <c r="SH9" s="81"/>
      <c r="SK9" s="81"/>
      <c r="SL9" s="81"/>
      <c r="SM9" s="81"/>
      <c r="SN9" s="81"/>
      <c r="SO9" s="81"/>
      <c r="SP9" s="81"/>
      <c r="SQ9" s="82"/>
      <c r="SR9" s="81"/>
      <c r="SS9" s="81"/>
      <c r="ST9" s="81"/>
      <c r="SU9" s="81"/>
      <c r="SV9" s="81"/>
      <c r="SY9" s="81"/>
      <c r="SZ9" s="81"/>
      <c r="TA9" s="81"/>
      <c r="TB9" s="81"/>
      <c r="TC9" s="81"/>
      <c r="TD9" s="81"/>
      <c r="TE9" s="82"/>
      <c r="TF9" s="81"/>
      <c r="TG9" s="81"/>
      <c r="TH9" s="81"/>
      <c r="TI9" s="81"/>
      <c r="TJ9" s="81"/>
      <c r="TM9" s="81"/>
      <c r="TN9" s="81"/>
      <c r="TO9" s="81"/>
      <c r="TP9" s="81"/>
      <c r="TQ9" s="81"/>
      <c r="TR9" s="81"/>
      <c r="TS9" s="82"/>
      <c r="TT9" s="81"/>
      <c r="TU9" s="81"/>
      <c r="TV9" s="81"/>
      <c r="TW9" s="81"/>
      <c r="TX9" s="81"/>
      <c r="UA9" s="81"/>
      <c r="UB9" s="81"/>
      <c r="UC9" s="81"/>
      <c r="UD9" s="81"/>
      <c r="UE9" s="81"/>
      <c r="UF9" s="81"/>
      <c r="UG9" s="82"/>
      <c r="UH9" s="81"/>
      <c r="UI9" s="81"/>
      <c r="UJ9" s="81"/>
      <c r="UK9" s="81"/>
      <c r="UL9" s="81"/>
      <c r="UO9" s="81"/>
      <c r="UP9" s="81"/>
      <c r="UQ9" s="81"/>
      <c r="UR9" s="81"/>
      <c r="US9" s="81"/>
      <c r="UT9" s="81"/>
      <c r="UU9" s="82"/>
      <c r="UV9" s="81"/>
      <c r="UW9" s="81"/>
      <c r="UX9" s="81"/>
      <c r="UY9" s="81"/>
      <c r="UZ9" s="81"/>
      <c r="VC9" s="81"/>
      <c r="VD9" s="81"/>
      <c r="VE9" s="81"/>
      <c r="VF9" s="81"/>
      <c r="VG9" s="81"/>
      <c r="VH9" s="81"/>
      <c r="VI9" s="82"/>
      <c r="VJ9" s="81"/>
      <c r="VK9" s="81"/>
      <c r="VL9" s="81"/>
      <c r="VM9" s="81"/>
      <c r="VN9" s="81"/>
      <c r="VQ9" s="81"/>
      <c r="VR9" s="81"/>
      <c r="VS9" s="81"/>
      <c r="VT9" s="81"/>
      <c r="VU9" s="81"/>
      <c r="VV9" s="81"/>
      <c r="VW9" s="82"/>
      <c r="VX9" s="81"/>
      <c r="VY9" s="81"/>
      <c r="VZ9" s="81"/>
      <c r="WA9" s="81"/>
      <c r="WB9" s="81"/>
      <c r="WE9" s="81"/>
      <c r="WF9" s="81"/>
      <c r="WG9" s="81"/>
      <c r="WH9" s="81"/>
      <c r="WI9" s="81"/>
      <c r="WJ9" s="81"/>
      <c r="WK9" s="82"/>
      <c r="WL9" s="81"/>
      <c r="WM9" s="81"/>
      <c r="WN9" s="81"/>
      <c r="WO9" s="81"/>
      <c r="WP9" s="81"/>
      <c r="WS9" s="81"/>
      <c r="WT9" s="81"/>
      <c r="WU9" s="81"/>
      <c r="WV9" s="81"/>
      <c r="WW9" s="81"/>
      <c r="WX9" s="81"/>
      <c r="WY9" s="82"/>
      <c r="WZ9" s="81"/>
      <c r="XA9" s="81"/>
      <c r="XB9" s="81"/>
      <c r="XC9" s="81"/>
      <c r="XD9" s="81"/>
      <c r="XG9" s="81"/>
      <c r="XH9" s="81"/>
      <c r="XI9" s="81"/>
      <c r="XJ9" s="81"/>
      <c r="XK9" s="81"/>
      <c r="XL9" s="81"/>
      <c r="XM9" s="82"/>
      <c r="XN9" s="81"/>
      <c r="XO9" s="81"/>
      <c r="XP9" s="81"/>
      <c r="XQ9" s="81"/>
      <c r="XR9" s="81"/>
      <c r="XU9" s="81"/>
      <c r="XV9" s="81"/>
      <c r="XW9" s="81"/>
      <c r="XX9" s="81"/>
      <c r="XY9" s="81"/>
      <c r="XZ9" s="81"/>
      <c r="YA9" s="82"/>
      <c r="YB9" s="81"/>
      <c r="YC9" s="81"/>
      <c r="YD9" s="81"/>
      <c r="YE9" s="81"/>
      <c r="YF9" s="81"/>
      <c r="YI9" s="81"/>
      <c r="YJ9" s="81"/>
      <c r="YK9" s="81"/>
      <c r="YL9" s="81"/>
      <c r="YM9" s="81"/>
      <c r="YN9" s="81"/>
      <c r="YO9" s="82"/>
      <c r="YP9" s="81"/>
      <c r="YQ9" s="81"/>
      <c r="YR9" s="81"/>
      <c r="YS9" s="81"/>
      <c r="YT9" s="81"/>
      <c r="YW9" s="81"/>
      <c r="YX9" s="81"/>
      <c r="YY9" s="81"/>
      <c r="YZ9" s="81"/>
      <c r="ZA9" s="81"/>
      <c r="ZB9" s="81"/>
      <c r="ZC9" s="82"/>
      <c r="ZD9" s="81"/>
      <c r="ZE9" s="81"/>
      <c r="ZF9" s="81"/>
      <c r="ZG9" s="81"/>
      <c r="ZH9" s="81"/>
      <c r="ZK9" s="81"/>
      <c r="ZL9" s="81"/>
      <c r="ZM9" s="81"/>
      <c r="ZN9" s="81"/>
      <c r="ZO9" s="81"/>
      <c r="ZP9" s="81"/>
      <c r="ZQ9" s="82"/>
      <c r="ZR9" s="81"/>
      <c r="ZS9" s="81"/>
      <c r="ZT9" s="81"/>
      <c r="ZU9" s="81"/>
      <c r="ZV9" s="81"/>
      <c r="ZY9" s="83"/>
      <c r="ZZ9" s="79"/>
      <c r="AAA9" s="79"/>
      <c r="AAB9" s="79"/>
      <c r="AAC9" s="79"/>
      <c r="AAD9" s="79"/>
      <c r="AAE9" s="84"/>
      <c r="AAF9" s="77"/>
      <c r="AAG9" s="85"/>
      <c r="AAH9" s="85"/>
      <c r="AAI9" s="85"/>
      <c r="AAJ9" s="85"/>
      <c r="AAL9" s="83"/>
      <c r="AAM9" s="79"/>
      <c r="AAN9" s="79"/>
      <c r="AAO9" s="79"/>
      <c r="AAP9" s="79"/>
      <c r="AAQ9" s="79"/>
      <c r="AAR9" s="84"/>
      <c r="AAS9" s="4"/>
      <c r="AAT9" s="4"/>
      <c r="AAU9" s="4"/>
      <c r="AAV9" s="4"/>
      <c r="AAY9" s="83"/>
      <c r="AAZ9" s="79"/>
      <c r="ABA9" s="79"/>
      <c r="ABB9" s="79"/>
      <c r="ABC9" s="79"/>
      <c r="ABD9" s="79"/>
      <c r="ABE9" s="84"/>
      <c r="ABF9" s="4"/>
      <c r="ABG9" s="4"/>
      <c r="ABH9" s="4"/>
      <c r="ABI9" s="4"/>
      <c r="ABL9" s="83"/>
      <c r="ABM9" s="79"/>
      <c r="ABN9" s="79"/>
      <c r="ABO9" s="79"/>
      <c r="ABP9" s="79"/>
      <c r="ABQ9" s="79"/>
      <c r="ABR9" s="84"/>
      <c r="ABS9" s="4"/>
      <c r="ABT9" s="4"/>
      <c r="ABU9" s="4"/>
      <c r="ABV9" s="4"/>
      <c r="ABY9" s="83"/>
      <c r="ABZ9" s="79"/>
      <c r="ACA9" s="79"/>
      <c r="ACB9" s="79"/>
      <c r="ACC9" s="79"/>
      <c r="ACD9" s="79"/>
      <c r="ACE9" s="84"/>
      <c r="ACF9" s="4"/>
      <c r="ACG9" s="4"/>
      <c r="ACH9" s="4"/>
      <c r="ACI9" s="4"/>
      <c r="ACL9" s="83"/>
      <c r="ACM9" s="79"/>
      <c r="ACN9" s="79"/>
      <c r="ACO9" s="79"/>
      <c r="ACP9" s="79"/>
      <c r="ACQ9" s="79"/>
      <c r="ACR9" s="84"/>
      <c r="ACS9" s="4"/>
      <c r="ACT9" s="4"/>
      <c r="ACU9" s="4"/>
      <c r="ACV9" s="4"/>
      <c r="ACY9" s="83"/>
      <c r="ACZ9" s="79"/>
      <c r="ADA9" s="79"/>
      <c r="ADB9" s="79"/>
      <c r="ADC9" s="79"/>
      <c r="ADD9" s="79"/>
      <c r="ADE9" s="84"/>
      <c r="ADF9" s="4"/>
      <c r="ADG9" s="4"/>
      <c r="ADH9" s="4"/>
      <c r="ADI9" s="4"/>
      <c r="ADL9" s="83"/>
      <c r="ADM9" s="79"/>
      <c r="ADN9" s="79"/>
      <c r="ADO9" s="79"/>
      <c r="ADP9" s="79"/>
      <c r="ADQ9" s="79"/>
      <c r="ADR9" s="84"/>
      <c r="ADS9" s="4"/>
      <c r="ADT9" s="4"/>
      <c r="ADU9" s="4"/>
      <c r="ADV9" s="4"/>
      <c r="ADY9" s="83"/>
      <c r="ADZ9" s="79"/>
      <c r="AEA9" s="79"/>
      <c r="AEB9" s="79"/>
      <c r="AEC9" s="79"/>
      <c r="AED9" s="79"/>
      <c r="AEE9" s="84"/>
      <c r="AEF9" s="4"/>
      <c r="AEG9" s="4"/>
      <c r="AEH9" s="4"/>
      <c r="AEI9" s="4"/>
      <c r="AEL9" s="83"/>
      <c r="AEM9" s="79"/>
      <c r="AEN9" s="79"/>
      <c r="AEO9" s="79"/>
      <c r="AEP9" s="79"/>
      <c r="AEQ9" s="79"/>
      <c r="AER9" s="84"/>
      <c r="AES9" s="4"/>
      <c r="AET9" s="4"/>
      <c r="AEU9" s="4"/>
      <c r="AEV9" s="4"/>
      <c r="AEY9" s="83"/>
      <c r="AEZ9" s="79"/>
      <c r="AFA9" s="79"/>
      <c r="AFB9" s="79"/>
      <c r="AFC9" s="79"/>
      <c r="AFD9" s="79"/>
      <c r="AFE9" s="84"/>
      <c r="AFF9" s="4"/>
      <c r="AFG9" s="4"/>
      <c r="AFH9" s="4"/>
      <c r="AFI9" s="4"/>
      <c r="AFL9" s="83"/>
      <c r="AFM9" s="79"/>
      <c r="AFN9" s="79"/>
      <c r="AFO9" s="79"/>
      <c r="AFP9" s="79"/>
      <c r="AFQ9" s="79"/>
      <c r="AFR9" s="84"/>
      <c r="AFS9" s="4"/>
      <c r="AFT9" s="4"/>
      <c r="AFU9" s="4"/>
      <c r="AFV9" s="4"/>
      <c r="AFZ9" s="79"/>
      <c r="AGA9" s="79"/>
      <c r="AGB9" s="79"/>
      <c r="AGC9" s="79"/>
      <c r="AGD9" s="79"/>
      <c r="AGE9" s="84"/>
      <c r="AGF9" s="4"/>
      <c r="AGG9" s="4"/>
      <c r="AGH9" s="4"/>
      <c r="AGI9" s="4"/>
      <c r="AGL9" s="79"/>
      <c r="AGM9" s="79"/>
      <c r="AGN9" s="79"/>
      <c r="AGO9" s="79"/>
      <c r="AGP9" s="79"/>
      <c r="AGQ9" s="84"/>
      <c r="AGR9" s="4"/>
      <c r="AGS9" s="4"/>
      <c r="AGT9" s="4"/>
      <c r="AGU9" s="4"/>
      <c r="AGX9" s="79"/>
      <c r="AGY9" s="79"/>
      <c r="AGZ9" s="79"/>
      <c r="AHA9" s="79"/>
      <c r="AHB9" s="79"/>
      <c r="AHC9" s="84"/>
      <c r="AHD9" s="4"/>
      <c r="AHE9" s="4"/>
      <c r="AHF9" s="4"/>
      <c r="AHG9" s="4"/>
      <c r="AHJ9" s="79"/>
      <c r="AHK9" s="79"/>
      <c r="AHL9" s="79"/>
      <c r="AHM9" s="79"/>
      <c r="AHN9" s="79"/>
      <c r="AHO9" s="84"/>
      <c r="AHP9" s="4"/>
      <c r="AHQ9" s="4"/>
      <c r="AHR9" s="4"/>
      <c r="AHS9" s="4"/>
      <c r="AHV9" s="79"/>
      <c r="AHW9" s="79"/>
      <c r="AHX9" s="79"/>
      <c r="AHY9" s="79"/>
      <c r="AHZ9" s="79"/>
      <c r="AIA9" s="84"/>
      <c r="AIB9" s="4"/>
      <c r="AIC9" s="4"/>
      <c r="AID9" s="4"/>
      <c r="AIE9" s="4"/>
      <c r="AIH9" s="79"/>
      <c r="AII9" s="79"/>
      <c r="AIJ9" s="79"/>
      <c r="AIK9" s="79"/>
      <c r="AIL9" s="79"/>
      <c r="AIM9" s="84"/>
      <c r="AIN9" s="4"/>
      <c r="AIO9" s="4"/>
      <c r="AIP9" s="4"/>
      <c r="AIQ9" s="4"/>
      <c r="AIT9" s="79"/>
      <c r="AIU9" s="79"/>
      <c r="AIV9" s="79"/>
      <c r="AIW9" s="79"/>
      <c r="AIX9" s="79"/>
      <c r="AIY9" s="84"/>
      <c r="AIZ9" s="4"/>
      <c r="AJA9" s="4"/>
      <c r="AJB9" s="4"/>
      <c r="AJC9" s="4"/>
      <c r="AJF9" s="79"/>
      <c r="AJG9" s="79"/>
      <c r="AJH9" s="79"/>
      <c r="AJI9" s="79"/>
      <c r="AJJ9" s="79"/>
      <c r="AJK9" s="84"/>
      <c r="AJL9" s="4"/>
      <c r="AJM9" s="4"/>
      <c r="AJN9" s="4"/>
      <c r="AJO9" s="4"/>
      <c r="AJR9" s="79"/>
      <c r="AJS9" s="79"/>
      <c r="AJT9" s="79"/>
      <c r="AJU9" s="79"/>
      <c r="AJV9" s="79"/>
      <c r="AJW9" s="84"/>
      <c r="AJX9" s="4"/>
      <c r="AJY9" s="4"/>
      <c r="AJZ9" s="4"/>
      <c r="AKA9" s="4"/>
      <c r="AKD9" s="79"/>
      <c r="AKE9" s="79"/>
      <c r="AKF9" s="79"/>
      <c r="AKG9" s="79"/>
      <c r="AKH9" s="79"/>
      <c r="AKI9" s="84"/>
      <c r="AKJ9" s="4"/>
      <c r="AKK9" s="4"/>
      <c r="AKL9" s="4"/>
      <c r="AKM9" s="4"/>
      <c r="AKP9" s="79"/>
      <c r="AKQ9" s="79"/>
      <c r="AKR9" s="79"/>
      <c r="AKS9" s="79"/>
      <c r="AKT9" s="79"/>
      <c r="AKU9" s="84"/>
      <c r="AKV9" s="4"/>
      <c r="AKW9" s="4"/>
      <c r="AKX9" s="4"/>
      <c r="AKY9" s="4"/>
      <c r="ALB9" s="79"/>
      <c r="ALC9" s="79"/>
      <c r="ALD9" s="79"/>
      <c r="ALE9" s="79"/>
      <c r="ALF9" s="79"/>
      <c r="ALG9" s="84"/>
      <c r="ALH9" s="4"/>
      <c r="ALI9" s="4"/>
      <c r="ALJ9" s="4"/>
      <c r="ALK9" s="4"/>
      <c r="ALN9" s="79"/>
      <c r="ALO9" s="79"/>
      <c r="ALP9" s="79"/>
      <c r="ALQ9" s="79"/>
      <c r="ALR9" s="79"/>
      <c r="ALS9" s="84"/>
      <c r="ALT9" s="4"/>
      <c r="ALU9" s="4"/>
      <c r="ALV9" s="4"/>
      <c r="ALW9" s="4"/>
      <c r="ALZ9" s="79"/>
      <c r="AMA9" s="79"/>
      <c r="AMB9" s="79"/>
      <c r="AMC9" s="79"/>
      <c r="AMD9" s="79"/>
      <c r="AME9" s="84"/>
      <c r="AMF9" s="4"/>
      <c r="AMG9" s="4"/>
      <c r="AMH9" s="4"/>
      <c r="AMI9" s="4"/>
      <c r="AML9" s="79"/>
      <c r="AMM9" s="79"/>
      <c r="AMN9" s="79"/>
      <c r="AMO9" s="79"/>
      <c r="AMP9" s="79"/>
      <c r="AMQ9" s="84"/>
      <c r="AMR9" s="4"/>
      <c r="AMS9" s="4"/>
      <c r="AMT9" s="4"/>
      <c r="AMU9" s="4"/>
      <c r="AMX9" s="79"/>
      <c r="AMY9" s="79"/>
      <c r="AMZ9" s="79"/>
      <c r="ANA9" s="79"/>
      <c r="ANB9" s="79"/>
      <c r="ANC9" s="84"/>
      <c r="AND9" s="4"/>
      <c r="ANE9" s="4"/>
      <c r="ANF9" s="4"/>
      <c r="ANG9" s="4"/>
      <c r="ANJ9" s="79"/>
      <c r="ANK9" s="79"/>
      <c r="ANL9" s="79"/>
      <c r="ANM9" s="79"/>
      <c r="ANN9" s="79"/>
      <c r="ANO9" s="84"/>
      <c r="ANP9" s="4"/>
      <c r="ANQ9" s="4"/>
      <c r="ANR9" s="4"/>
      <c r="ANS9" s="4"/>
      <c r="ANV9" s="79"/>
      <c r="ANW9" s="79"/>
      <c r="ANX9" s="79"/>
      <c r="ANY9" s="79"/>
      <c r="ANZ9" s="79"/>
      <c r="AOA9" s="84"/>
      <c r="AOB9" s="4"/>
      <c r="AOC9" s="4"/>
      <c r="AOD9" s="4"/>
      <c r="AOE9" s="4"/>
      <c r="AOH9" s="79"/>
      <c r="AOI9" s="79"/>
      <c r="AOJ9" s="79"/>
      <c r="AOK9" s="79"/>
      <c r="AOL9" s="79"/>
      <c r="AOM9" s="84"/>
      <c r="AON9" s="4"/>
      <c r="AOO9" s="4"/>
      <c r="AOP9" s="4"/>
      <c r="AOQ9" s="4"/>
      <c r="AOT9" s="79"/>
      <c r="AOU9" s="79"/>
      <c r="AOV9" s="79"/>
      <c r="AOW9" s="79"/>
      <c r="AOX9" s="79"/>
      <c r="AOY9" s="84"/>
      <c r="AOZ9" s="4"/>
      <c r="APA9" s="4"/>
      <c r="APB9" s="4"/>
      <c r="APC9" s="4"/>
      <c r="APF9" s="79"/>
      <c r="APG9" s="79"/>
      <c r="APH9" s="79"/>
      <c r="API9" s="79"/>
      <c r="APJ9" s="79"/>
      <c r="APK9" s="84"/>
      <c r="APL9" s="4"/>
      <c r="APM9" s="4"/>
      <c r="APN9" s="4"/>
      <c r="APO9" s="4"/>
      <c r="APR9" s="79"/>
      <c r="APS9" s="79"/>
      <c r="APT9" s="79"/>
      <c r="APU9" s="79"/>
      <c r="APV9" s="79"/>
      <c r="APW9" s="84"/>
      <c r="APX9" s="4"/>
      <c r="APY9" s="4"/>
      <c r="APZ9" s="4"/>
      <c r="AQA9" s="4"/>
      <c r="AQD9" s="79"/>
      <c r="AQE9" s="79"/>
      <c r="AQF9" s="79"/>
      <c r="AQG9" s="79"/>
      <c r="AQH9" s="79"/>
      <c r="AQI9" s="84"/>
      <c r="AQJ9" s="4"/>
      <c r="AQK9" s="4"/>
      <c r="AQL9" s="4"/>
      <c r="AQM9" s="4"/>
      <c r="AQP9" s="79"/>
      <c r="AQQ9" s="79"/>
      <c r="AQR9" s="79"/>
      <c r="AQS9" s="79"/>
      <c r="AQT9" s="79"/>
      <c r="AQU9" s="84"/>
      <c r="AQV9" s="4"/>
      <c r="AQW9" s="4"/>
      <c r="AQX9" s="4"/>
      <c r="AQY9" s="4"/>
      <c r="ARB9" s="79"/>
      <c r="ARC9" s="79"/>
      <c r="ARD9" s="79"/>
      <c r="ARE9" s="79"/>
      <c r="ARF9" s="79"/>
      <c r="ARG9" s="84"/>
      <c r="ARH9" s="4"/>
      <c r="ARI9" s="4"/>
      <c r="ARJ9" s="4"/>
      <c r="ARK9" s="4"/>
      <c r="ARN9" s="79"/>
      <c r="ARO9" s="79"/>
      <c r="ARP9" s="79"/>
      <c r="ARQ9" s="79"/>
      <c r="ARR9" s="79"/>
      <c r="ARS9" s="84"/>
      <c r="ART9" s="4"/>
      <c r="ARU9" s="4"/>
      <c r="ARV9" s="4"/>
      <c r="ARW9" s="4"/>
      <c r="ARZ9" s="79"/>
      <c r="ASA9" s="79"/>
      <c r="ASB9" s="79"/>
      <c r="ASC9" s="79"/>
      <c r="ASD9" s="79"/>
      <c r="ASE9" s="84"/>
      <c r="ASF9" s="4"/>
      <c r="ASG9" s="4"/>
      <c r="ASH9" s="4"/>
      <c r="ASI9" s="4"/>
      <c r="ASL9" s="79"/>
      <c r="ASM9" s="79"/>
      <c r="ASN9" s="79"/>
      <c r="ASO9" s="79"/>
      <c r="ASP9" s="79"/>
      <c r="ASQ9" s="84"/>
      <c r="ASR9" s="4"/>
      <c r="ASS9" s="4"/>
      <c r="AST9" s="4"/>
      <c r="ASU9" s="4"/>
      <c r="ASX9" s="79"/>
      <c r="ASY9" s="79"/>
      <c r="ASZ9" s="79"/>
      <c r="ATA9" s="79"/>
      <c r="ATB9" s="79"/>
      <c r="ATC9" s="84"/>
      <c r="ATD9" s="4"/>
      <c r="ATE9" s="4"/>
      <c r="ATF9" s="4"/>
      <c r="ATG9" s="4"/>
      <c r="ATJ9" s="79"/>
      <c r="ATK9" s="79"/>
      <c r="ATL9" s="79"/>
      <c r="ATM9" s="79"/>
      <c r="ATN9" s="79"/>
      <c r="ATO9" s="84"/>
      <c r="ATP9" s="4"/>
      <c r="ATQ9" s="4"/>
      <c r="ATR9" s="4"/>
      <c r="ATS9" s="4"/>
      <c r="ATV9" s="79"/>
      <c r="ATW9" s="79"/>
      <c r="ATX9" s="79"/>
      <c r="ATY9" s="79"/>
      <c r="ATZ9" s="79"/>
      <c r="AUA9" s="84"/>
      <c r="AUB9" s="4"/>
      <c r="AUC9" s="4"/>
      <c r="AUD9" s="4"/>
      <c r="AUE9" s="4"/>
      <c r="AUH9" s="79"/>
      <c r="AUI9" s="79"/>
      <c r="AUJ9" s="79"/>
      <c r="AUK9" s="79"/>
      <c r="AUL9" s="79"/>
      <c r="AUM9" s="84"/>
      <c r="AUN9" s="4"/>
      <c r="AUO9" s="4"/>
      <c r="AUP9" s="4"/>
      <c r="AUQ9" s="4"/>
      <c r="AUT9" s="79"/>
      <c r="AUU9" s="79"/>
      <c r="AUV9" s="79"/>
      <c r="AUW9" s="79"/>
      <c r="AUX9" s="79"/>
      <c r="AUY9" s="84"/>
      <c r="AUZ9" s="4"/>
      <c r="AVA9" s="4"/>
      <c r="AVB9" s="4"/>
      <c r="AVC9" s="4"/>
      <c r="AVF9" s="79"/>
      <c r="AVG9" s="79"/>
      <c r="AVH9" s="79"/>
      <c r="AVI9" s="79"/>
      <c r="AVJ9" s="79"/>
      <c r="AVK9" s="84"/>
      <c r="AVL9" s="4"/>
      <c r="AVM9" s="4"/>
      <c r="AVN9" s="4"/>
      <c r="AVO9" s="4"/>
      <c r="AVR9" s="79"/>
      <c r="AVS9" s="79"/>
      <c r="AVT9" s="79"/>
      <c r="AVU9" s="79"/>
      <c r="AVV9" s="79"/>
      <c r="AVW9" s="84"/>
      <c r="AVX9" s="4"/>
      <c r="AVY9" s="4"/>
      <c r="AVZ9" s="4"/>
      <c r="AWA9" s="4"/>
      <c r="AWD9" s="79"/>
      <c r="AWE9" s="79"/>
      <c r="AWF9" s="79"/>
      <c r="AWG9" s="79"/>
      <c r="AWH9" s="79"/>
      <c r="AWI9" s="84"/>
      <c r="AWJ9" s="4"/>
      <c r="AWK9" s="4"/>
      <c r="AWL9" s="4"/>
      <c r="AWM9" s="4"/>
      <c r="AWP9" s="79"/>
      <c r="AWQ9" s="79"/>
      <c r="AWR9" s="79"/>
      <c r="AWS9" s="79"/>
      <c r="AWT9" s="79"/>
      <c r="AWU9" s="84"/>
      <c r="AWV9" s="4"/>
      <c r="AWW9" s="4"/>
      <c r="AWX9" s="4"/>
      <c r="AWY9" s="4"/>
      <c r="AXB9" s="79"/>
      <c r="AXC9" s="79"/>
      <c r="AXD9" s="79"/>
      <c r="AXE9" s="79"/>
      <c r="AXF9" s="79"/>
      <c r="AXG9" s="84"/>
      <c r="AXH9" s="4"/>
      <c r="AXI9" s="4"/>
      <c r="AXJ9" s="4"/>
      <c r="AXK9" s="4"/>
      <c r="AXN9" s="79"/>
      <c r="AXO9" s="79"/>
      <c r="AXP9" s="79"/>
      <c r="AXQ9" s="79"/>
      <c r="AXR9" s="79"/>
      <c r="AXS9" s="84"/>
      <c r="AXT9" s="4"/>
      <c r="AXU9" s="4"/>
      <c r="AXV9" s="4"/>
      <c r="AXW9" s="4"/>
      <c r="AXZ9" s="79"/>
      <c r="AYA9" s="79"/>
      <c r="AYB9" s="79"/>
      <c r="AYC9" s="79"/>
      <c r="AYD9" s="79"/>
      <c r="AYE9" s="84"/>
      <c r="AYF9" s="4"/>
      <c r="AYG9" s="4"/>
      <c r="AYH9" s="4"/>
      <c r="AYI9" s="4"/>
      <c r="AYL9" s="79"/>
      <c r="AYM9" s="79"/>
      <c r="AYN9" s="79"/>
      <c r="AYO9" s="79"/>
      <c r="AYP9" s="79"/>
      <c r="AYQ9" s="84"/>
      <c r="AYR9" s="4"/>
      <c r="AYS9" s="4"/>
      <c r="AYT9" s="4"/>
      <c r="AYU9" s="4"/>
      <c r="AYX9" s="79"/>
      <c r="AYY9" s="79"/>
      <c r="AYZ9" s="79"/>
      <c r="AZA9" s="79"/>
      <c r="AZB9" s="79"/>
      <c r="AZC9" s="84"/>
      <c r="AZD9" s="4"/>
      <c r="AZE9" s="4"/>
      <c r="AZF9" s="4"/>
      <c r="AZG9" s="4"/>
      <c r="AZJ9" s="79"/>
      <c r="AZK9" s="79"/>
      <c r="AZL9" s="79"/>
      <c r="AZM9" s="79"/>
      <c r="AZN9" s="79"/>
      <c r="AZO9" s="84"/>
      <c r="AZP9" s="4"/>
      <c r="AZQ9" s="4"/>
      <c r="AZR9" s="4"/>
      <c r="AZS9" s="4"/>
      <c r="AZV9" s="79"/>
      <c r="AZW9" s="79"/>
      <c r="AZX9" s="79"/>
      <c r="AZY9" s="79"/>
      <c r="AZZ9" s="79"/>
      <c r="BAA9" s="84"/>
      <c r="BAB9" s="4"/>
      <c r="BAC9" s="4"/>
      <c r="BAD9" s="4"/>
      <c r="BAE9" s="4"/>
      <c r="BAH9" s="79"/>
      <c r="BAI9" s="79"/>
      <c r="BAJ9" s="79"/>
      <c r="BAK9" s="79"/>
      <c r="BAL9" s="79"/>
      <c r="BAM9" s="84"/>
      <c r="BAN9" s="4"/>
      <c r="BAO9" s="4"/>
      <c r="BAP9" s="4"/>
      <c r="BAQ9" s="4"/>
      <c r="BAT9" s="79"/>
      <c r="BAU9" s="79"/>
      <c r="BAV9" s="79"/>
      <c r="BAW9" s="79"/>
      <c r="BAX9" s="79"/>
      <c r="BAY9" s="84"/>
      <c r="BAZ9" s="4"/>
      <c r="BBA9" s="4"/>
      <c r="BBB9" s="4"/>
      <c r="BBC9" s="4"/>
      <c r="BBF9" s="79"/>
      <c r="BBG9" s="79"/>
      <c r="BBH9" s="79"/>
      <c r="BBI9" s="79"/>
      <c r="BBJ9" s="79"/>
      <c r="BBK9" s="84"/>
      <c r="BBL9" s="4"/>
      <c r="BBM9" s="4"/>
      <c r="BBN9" s="4"/>
      <c r="BBO9" s="4"/>
      <c r="BBR9" s="79"/>
      <c r="BBS9" s="79"/>
      <c r="BBT9" s="79"/>
      <c r="BBU9" s="79"/>
      <c r="BBV9" s="79"/>
      <c r="BBW9" s="84"/>
      <c r="BBX9" s="4"/>
      <c r="BBY9" s="4"/>
      <c r="BBZ9" s="4"/>
      <c r="BCA9" s="4"/>
      <c r="BCD9" s="79"/>
      <c r="BCE9" s="79"/>
      <c r="BCF9" s="79"/>
      <c r="BCG9" s="79"/>
      <c r="BCH9" s="79"/>
      <c r="BCI9" s="84"/>
      <c r="BCJ9" s="4"/>
      <c r="BCK9" s="4"/>
      <c r="BCL9" s="4"/>
      <c r="BCM9" s="4"/>
      <c r="BCP9" s="79"/>
      <c r="BCQ9" s="79"/>
      <c r="BCR9" s="79"/>
      <c r="BCS9" s="79"/>
      <c r="BCT9" s="79"/>
      <c r="BCU9" s="84"/>
      <c r="BCV9" s="4"/>
      <c r="BCW9" s="4"/>
      <c r="BCX9" s="4"/>
      <c r="BCY9" s="4"/>
      <c r="BDB9" s="79"/>
      <c r="BDC9" s="79"/>
      <c r="BDD9" s="79"/>
      <c r="BDE9" s="79"/>
      <c r="BDF9" s="79"/>
      <c r="BDG9" s="84"/>
      <c r="BDH9" s="4"/>
      <c r="BDI9" s="4"/>
      <c r="BDJ9" s="4"/>
      <c r="BDK9" s="4"/>
      <c r="BDN9" s="79"/>
      <c r="BDO9" s="79"/>
      <c r="BDP9" s="79"/>
      <c r="BDQ9" s="79"/>
      <c r="BDR9" s="79"/>
      <c r="BDS9" s="84"/>
      <c r="BDT9" s="4"/>
      <c r="BDU9" s="4"/>
      <c r="BDV9" s="4"/>
      <c r="BDW9" s="4"/>
      <c r="BDZ9" s="79"/>
      <c r="BEA9" s="79"/>
      <c r="BEB9" s="79"/>
      <c r="BEC9" s="79"/>
      <c r="BED9" s="79"/>
      <c r="BEE9" s="84"/>
      <c r="BEF9" s="4"/>
      <c r="BEG9" s="4"/>
      <c r="BEH9" s="4"/>
      <c r="BEI9" s="4"/>
      <c r="BEL9" s="79"/>
      <c r="BEM9" s="79"/>
      <c r="BEN9" s="79"/>
      <c r="BEO9" s="79"/>
      <c r="BEP9" s="79"/>
      <c r="BEQ9" s="84"/>
      <c r="BER9" s="4"/>
      <c r="BES9" s="4"/>
      <c r="BET9" s="4"/>
      <c r="BEU9" s="4"/>
      <c r="BEX9" s="79"/>
      <c r="BEY9" s="79"/>
      <c r="BEZ9" s="79"/>
      <c r="BFA9" s="79"/>
      <c r="BFB9" s="79"/>
      <c r="BFC9" s="84"/>
      <c r="BFD9" s="4"/>
      <c r="BFE9" s="4"/>
      <c r="BFF9" s="4"/>
      <c r="BFG9" s="4"/>
      <c r="BFJ9" s="79"/>
      <c r="BFK9" s="79"/>
      <c r="BFL9" s="79"/>
      <c r="BFM9" s="79"/>
      <c r="BFN9" s="79"/>
      <c r="BFO9" s="84"/>
      <c r="BFP9" s="4"/>
      <c r="BFQ9" s="4"/>
      <c r="BFR9" s="4"/>
      <c r="BFS9" s="4"/>
      <c r="BFV9" s="79"/>
      <c r="BFW9" s="79"/>
      <c r="BFX9" s="79"/>
      <c r="BFY9" s="79"/>
      <c r="BFZ9" s="79"/>
      <c r="BGA9" s="84"/>
      <c r="BGB9" s="4"/>
      <c r="BGC9" s="4"/>
      <c r="BGD9" s="4"/>
      <c r="BGE9" s="4"/>
      <c r="BGH9" s="79"/>
      <c r="BGI9" s="79"/>
      <c r="BGJ9" s="79"/>
      <c r="BGK9" s="79"/>
      <c r="BGL9" s="79"/>
      <c r="BGM9" s="84"/>
      <c r="BGN9" s="4"/>
      <c r="BGO9" s="4"/>
      <c r="BGP9" s="4"/>
      <c r="BGQ9" s="4"/>
      <c r="BGT9" s="79"/>
      <c r="BGU9" s="79"/>
      <c r="BGV9" s="79"/>
      <c r="BGW9" s="79"/>
      <c r="BGX9" s="79"/>
      <c r="BGY9" s="84"/>
      <c r="BGZ9" s="4"/>
      <c r="BHA9" s="4"/>
      <c r="BHB9" s="4"/>
      <c r="BHC9" s="4"/>
      <c r="BHF9" s="79"/>
      <c r="BHG9" s="79"/>
      <c r="BHH9" s="79"/>
      <c r="BHI9" s="79"/>
      <c r="BHJ9" s="79"/>
      <c r="BHK9" s="84"/>
      <c r="BHL9" s="4"/>
      <c r="BHM9" s="4"/>
      <c r="BHN9" s="4"/>
      <c r="BHO9" s="4"/>
      <c r="BHR9" s="79"/>
      <c r="BHS9" s="79"/>
      <c r="BHT9" s="79"/>
      <c r="BHU9" s="79"/>
      <c r="BHV9" s="79"/>
      <c r="BHW9" s="84"/>
      <c r="BHX9" s="4"/>
      <c r="BHY9" s="4"/>
      <c r="BHZ9" s="4"/>
      <c r="BIA9" s="4"/>
      <c r="BID9" s="79"/>
      <c r="BIE9" s="79"/>
      <c r="BIF9" s="79"/>
      <c r="BIG9" s="79"/>
      <c r="BIH9" s="79"/>
      <c r="BII9" s="84"/>
      <c r="BIJ9" s="4"/>
      <c r="BIK9" s="4"/>
      <c r="BIL9" s="4"/>
      <c r="BIM9" s="4"/>
      <c r="BIP9" s="79"/>
      <c r="BIQ9" s="79"/>
      <c r="BIR9" s="79"/>
      <c r="BIS9" s="79"/>
      <c r="BIT9" s="79"/>
      <c r="BIU9" s="84"/>
      <c r="BIV9" s="4"/>
      <c r="BIW9" s="4"/>
      <c r="BIX9" s="4"/>
      <c r="BIY9" s="4"/>
      <c r="BJB9" s="79"/>
      <c r="BJC9" s="79"/>
      <c r="BJD9" s="79"/>
      <c r="BJE9" s="79"/>
      <c r="BJF9" s="79"/>
      <c r="BJG9" s="84"/>
      <c r="BJH9" s="4"/>
      <c r="BJI9" s="4"/>
      <c r="BJJ9" s="4"/>
      <c r="BJK9" s="4"/>
      <c r="BJN9" s="79"/>
      <c r="BJO9" s="79"/>
      <c r="BJP9" s="79"/>
      <c r="BJQ9" s="79"/>
      <c r="BJR9" s="79"/>
      <c r="BJS9" s="84"/>
      <c r="BJT9" s="4"/>
      <c r="BJU9" s="4"/>
      <c r="BJV9" s="4"/>
      <c r="BJW9" s="4"/>
      <c r="BJZ9" s="79"/>
      <c r="BKA9" s="79"/>
      <c r="BKB9" s="79"/>
      <c r="BKC9" s="79"/>
      <c r="BKD9" s="79"/>
      <c r="BKE9" s="84"/>
      <c r="BKF9" s="4"/>
      <c r="BKG9" s="4"/>
      <c r="BKH9" s="4"/>
      <c r="BKI9" s="4"/>
      <c r="BKL9" s="79"/>
      <c r="BKM9" s="79"/>
      <c r="BKN9" s="79"/>
      <c r="BKO9" s="79"/>
      <c r="BKP9" s="79"/>
      <c r="BKQ9" s="84"/>
      <c r="BKR9" s="4"/>
      <c r="BKS9" s="4"/>
      <c r="BKT9" s="4"/>
      <c r="BKU9" s="4"/>
      <c r="BKX9" s="79"/>
      <c r="BKY9" s="79"/>
      <c r="BKZ9" s="79"/>
      <c r="BLA9" s="79"/>
      <c r="BLB9" s="79"/>
      <c r="BLC9" s="84"/>
      <c r="BLD9" s="4"/>
      <c r="BLE9" s="4"/>
      <c r="BLF9" s="4"/>
      <c r="BLG9" s="4"/>
      <c r="BLJ9" s="79"/>
      <c r="BLK9" s="79"/>
      <c r="BLL9" s="79"/>
      <c r="BLM9" s="79"/>
      <c r="BLN9" s="79"/>
      <c r="BLO9" s="84"/>
      <c r="BLP9" s="4"/>
      <c r="BLQ9" s="4"/>
      <c r="BLR9" s="4"/>
      <c r="BLS9" s="4"/>
      <c r="BLV9" s="79"/>
      <c r="BLW9" s="79"/>
      <c r="BLX9" s="79"/>
      <c r="BLY9" s="79"/>
      <c r="BLZ9" s="79"/>
      <c r="BMA9" s="84"/>
      <c r="BMB9" s="4"/>
      <c r="BMC9" s="4"/>
      <c r="BMD9" s="4"/>
      <c r="BME9" s="4"/>
      <c r="BMH9" s="79"/>
      <c r="BMI9" s="79"/>
      <c r="BMJ9" s="79"/>
      <c r="BMK9" s="79"/>
      <c r="BML9" s="79"/>
      <c r="BMM9" s="84"/>
      <c r="BMN9" s="4"/>
      <c r="BMO9" s="4"/>
      <c r="BMP9" s="4"/>
      <c r="BMQ9" s="4"/>
      <c r="BMT9" s="79"/>
      <c r="BMU9" s="79"/>
      <c r="BMV9" s="79"/>
      <c r="BMW9" s="79"/>
      <c r="BMX9" s="79"/>
      <c r="BMY9" s="84"/>
      <c r="BMZ9" s="4"/>
      <c r="BNA9" s="4"/>
      <c r="BNB9" s="4"/>
      <c r="BNC9" s="4"/>
      <c r="BNF9" s="79"/>
      <c r="BNG9" s="79"/>
      <c r="BNH9" s="79"/>
      <c r="BNI9" s="79"/>
      <c r="BNJ9" s="79"/>
      <c r="BNK9" s="84"/>
      <c r="BNL9" s="4"/>
      <c r="BNM9" s="4"/>
      <c r="BNN9" s="4"/>
      <c r="BNO9" s="4"/>
      <c r="BNR9" s="79"/>
      <c r="BNS9" s="79"/>
      <c r="BNT9" s="79"/>
      <c r="BNU9" s="79"/>
      <c r="BNV9" s="79"/>
      <c r="BNW9" s="84"/>
      <c r="BNX9" s="4"/>
      <c r="BNY9" s="4"/>
      <c r="BNZ9" s="4"/>
      <c r="BOA9" s="4"/>
      <c r="BOD9" s="79"/>
      <c r="BOE9" s="79"/>
      <c r="BOF9" s="79"/>
      <c r="BOG9" s="79"/>
      <c r="BOH9" s="79"/>
      <c r="BOI9" s="84"/>
      <c r="BOJ9" s="4"/>
      <c r="BOK9" s="4"/>
      <c r="BOL9" s="4"/>
      <c r="BOM9" s="4"/>
      <c r="BOP9" s="79"/>
      <c r="BOQ9" s="79"/>
      <c r="BOR9" s="79"/>
      <c r="BOS9" s="79"/>
      <c r="BOT9" s="79"/>
      <c r="BOU9" s="84"/>
      <c r="BOV9" s="4"/>
      <c r="BOW9" s="4"/>
      <c r="BOX9" s="4"/>
      <c r="BOY9" s="4"/>
      <c r="BPB9" s="79"/>
      <c r="BPC9" s="79"/>
      <c r="BPD9" s="79"/>
      <c r="BPE9" s="79"/>
      <c r="BPF9" s="79"/>
      <c r="BPG9" s="84"/>
      <c r="BPH9" s="4"/>
      <c r="BPI9" s="4"/>
      <c r="BPJ9" s="4"/>
      <c r="BPK9" s="4"/>
      <c r="BPN9" s="79"/>
      <c r="BPO9" s="79"/>
      <c r="BPP9" s="79"/>
      <c r="BPQ9" s="79"/>
      <c r="BPR9" s="79"/>
      <c r="BPS9" s="84"/>
      <c r="BPT9" s="4"/>
      <c r="BPU9" s="4"/>
      <c r="BPV9" s="4"/>
      <c r="BPW9" s="4"/>
      <c r="BPZ9" s="79"/>
      <c r="BQA9" s="79"/>
      <c r="BQB9" s="79"/>
      <c r="BQC9" s="79"/>
      <c r="BQD9" s="79"/>
      <c r="BQE9" s="84"/>
      <c r="BQF9" s="4"/>
      <c r="BQG9" s="4"/>
      <c r="BQH9" s="4"/>
      <c r="BQI9" s="4"/>
      <c r="BQL9" s="79"/>
      <c r="BQM9" s="79"/>
      <c r="BQN9" s="79"/>
      <c r="BQO9" s="79"/>
      <c r="BQP9" s="79"/>
      <c r="BQQ9" s="84"/>
      <c r="BQR9" s="4"/>
      <c r="BQS9" s="4"/>
      <c r="BQT9" s="4"/>
      <c r="BQU9" s="4"/>
      <c r="BQX9" s="79"/>
      <c r="BQY9" s="79"/>
      <c r="BQZ9" s="79"/>
      <c r="BRA9" s="79"/>
      <c r="BRB9" s="79"/>
      <c r="BRC9" s="84"/>
      <c r="BRD9" s="4"/>
      <c r="BRE9" s="4"/>
      <c r="BRF9" s="4"/>
      <c r="BRG9" s="4"/>
      <c r="BRJ9" s="79"/>
      <c r="BRK9" s="79"/>
      <c r="BRL9" s="79"/>
      <c r="BRM9" s="79"/>
      <c r="BRN9" s="79"/>
      <c r="BRO9" s="84"/>
      <c r="BRP9" s="4"/>
      <c r="BRQ9" s="4"/>
      <c r="BRR9" s="4"/>
      <c r="BRS9" s="4"/>
      <c r="BRV9" s="79"/>
      <c r="BRW9" s="79"/>
      <c r="BRX9" s="79"/>
      <c r="BRY9" s="79"/>
      <c r="BRZ9" s="79"/>
      <c r="BSA9" s="84"/>
      <c r="BSB9" s="4"/>
      <c r="BSC9" s="4"/>
      <c r="BSD9" s="4"/>
      <c r="BSE9" s="4"/>
      <c r="BSH9" s="79"/>
      <c r="BSI9" s="79"/>
      <c r="BSJ9" s="79"/>
      <c r="BSK9" s="79"/>
      <c r="BSL9" s="79"/>
      <c r="BSM9" s="84"/>
      <c r="BSN9" s="4"/>
      <c r="BSO9" s="4"/>
      <c r="BSP9" s="4"/>
      <c r="BSQ9" s="4"/>
      <c r="BST9" s="79"/>
      <c r="BSU9" s="79"/>
      <c r="BSV9" s="79"/>
      <c r="BSW9" s="79"/>
      <c r="BSX9" s="79"/>
      <c r="BSY9" s="84"/>
      <c r="BSZ9" s="4"/>
      <c r="BTA9" s="4"/>
      <c r="BTB9" s="4"/>
      <c r="BTC9" s="4"/>
      <c r="BTF9" s="79"/>
      <c r="BTG9" s="79"/>
      <c r="BTH9" s="79"/>
      <c r="BTI9" s="79"/>
      <c r="BTJ9" s="79"/>
      <c r="BTK9" s="84"/>
      <c r="BTL9" s="4"/>
      <c r="BTM9" s="4"/>
      <c r="BTN9" s="4"/>
      <c r="BTO9" s="4"/>
      <c r="BTR9" s="79"/>
      <c r="BTS9" s="79"/>
      <c r="BTT9" s="79"/>
      <c r="BTU9" s="79"/>
      <c r="BTV9" s="79"/>
      <c r="BTW9" s="84"/>
      <c r="BTX9" s="4"/>
      <c r="BTY9" s="4"/>
      <c r="BTZ9" s="4"/>
      <c r="BUA9" s="4"/>
      <c r="BUD9" s="79"/>
      <c r="BUE9" s="79"/>
      <c r="BUF9" s="79"/>
      <c r="BUG9" s="79"/>
      <c r="BUH9" s="79"/>
      <c r="BUI9" s="84"/>
      <c r="BUJ9" s="4"/>
      <c r="BUK9" s="4"/>
      <c r="BUL9" s="4"/>
      <c r="BUM9" s="4"/>
      <c r="BUP9" s="79"/>
      <c r="BUQ9" s="79"/>
      <c r="BUR9" s="79"/>
      <c r="BUS9" s="79"/>
      <c r="BUT9" s="79"/>
      <c r="BUU9" s="84"/>
      <c r="BUV9" s="4"/>
      <c r="BUW9" s="4"/>
      <c r="BUX9" s="4"/>
      <c r="BUY9" s="4"/>
      <c r="BVB9" s="79"/>
      <c r="BVC9" s="79"/>
      <c r="BVD9" s="79"/>
      <c r="BVE9" s="79"/>
      <c r="BVF9" s="79"/>
      <c r="BVG9" s="84"/>
      <c r="BVH9" s="4"/>
      <c r="BVI9" s="4"/>
      <c r="BVJ9" s="4"/>
      <c r="BVK9" s="4"/>
      <c r="BVN9" s="79"/>
      <c r="BVO9" s="79"/>
      <c r="BVP9" s="79"/>
      <c r="BVQ9" s="79"/>
      <c r="BVR9" s="79"/>
      <c r="BVS9" s="84"/>
      <c r="BVT9" s="4"/>
      <c r="BVU9" s="4"/>
      <c r="BVV9" s="4"/>
      <c r="BVW9" s="4"/>
      <c r="BVZ9" s="79"/>
      <c r="BWA9" s="79"/>
      <c r="BWB9" s="79"/>
      <c r="BWC9" s="79"/>
      <c r="BWD9" s="79"/>
      <c r="BWE9" s="84"/>
      <c r="BWF9" s="4"/>
      <c r="BWG9" s="4"/>
      <c r="BWH9" s="4"/>
      <c r="BWI9" s="4"/>
      <c r="BWL9" s="79"/>
      <c r="BWM9" s="79"/>
      <c r="BWN9" s="79"/>
      <c r="BWO9" s="79"/>
      <c r="BWP9" s="79"/>
      <c r="BWQ9" s="84"/>
      <c r="BWR9" s="4"/>
      <c r="BWS9" s="4"/>
      <c r="BWT9" s="4"/>
      <c r="BWU9" s="4"/>
      <c r="BWX9" s="79"/>
      <c r="BWY9" s="79"/>
      <c r="BWZ9" s="79"/>
      <c r="BXA9" s="79"/>
      <c r="BXB9" s="79"/>
      <c r="BXC9" s="84"/>
      <c r="BXD9" s="4"/>
      <c r="BXE9" s="4"/>
      <c r="BXF9" s="4"/>
      <c r="BXG9" s="4"/>
      <c r="BXJ9" s="79"/>
      <c r="BXK9" s="79"/>
      <c r="BXL9" s="79"/>
      <c r="BXM9" s="79"/>
      <c r="BXN9" s="79"/>
      <c r="BXO9" s="84"/>
      <c r="BXP9" s="4"/>
      <c r="BXQ9" s="4"/>
      <c r="BXR9" s="4"/>
      <c r="BXS9" s="4"/>
      <c r="BXV9" s="79"/>
      <c r="BXW9" s="79"/>
      <c r="BXX9" s="79"/>
      <c r="BXY9" s="79"/>
      <c r="BXZ9" s="79"/>
      <c r="BYA9" s="84"/>
      <c r="BYB9" s="4"/>
      <c r="BYC9" s="4"/>
      <c r="BYD9" s="4"/>
      <c r="BYE9" s="4"/>
      <c r="BYH9" s="79"/>
      <c r="BYI9" s="79"/>
      <c r="BYJ9" s="79"/>
      <c r="BYK9" s="79"/>
      <c r="BYL9" s="79"/>
      <c r="BYM9" s="84"/>
      <c r="BYN9" s="4"/>
      <c r="BYO9" s="4"/>
      <c r="BYP9" s="4"/>
      <c r="BYQ9" s="4"/>
      <c r="BYT9" s="79"/>
      <c r="BYU9" s="79"/>
      <c r="BYV9" s="79"/>
      <c r="BYW9" s="79"/>
      <c r="BYX9" s="79"/>
      <c r="BYY9" s="84"/>
      <c r="BYZ9" s="4"/>
      <c r="BZA9" s="4"/>
      <c r="BZB9" s="4"/>
      <c r="BZC9" s="4"/>
      <c r="BZF9" s="79"/>
      <c r="BZG9" s="79"/>
      <c r="BZH9" s="79"/>
      <c r="BZI9" s="79"/>
      <c r="BZJ9" s="79"/>
      <c r="BZK9" s="84"/>
      <c r="BZL9" s="4"/>
      <c r="BZM9" s="4"/>
      <c r="BZN9" s="4"/>
      <c r="BZO9" s="4"/>
      <c r="BZR9" s="79"/>
      <c r="BZS9" s="79"/>
      <c r="BZT9" s="79"/>
      <c r="BZU9" s="79"/>
      <c r="BZV9" s="79"/>
      <c r="BZW9" s="84"/>
      <c r="BZX9" s="4"/>
      <c r="BZY9" s="4"/>
      <c r="BZZ9" s="4"/>
      <c r="CAA9" s="4"/>
      <c r="CAD9" s="79"/>
      <c r="CAE9" s="79"/>
      <c r="CAF9" s="79"/>
      <c r="CAG9" s="79"/>
      <c r="CAH9" s="79"/>
      <c r="CAI9" s="84"/>
      <c r="CAJ9" s="4"/>
      <c r="CAK9" s="4"/>
      <c r="CAL9" s="4"/>
      <c r="CAM9" s="4"/>
      <c r="CAP9" s="79"/>
      <c r="CAQ9" s="79"/>
      <c r="CAR9" s="79"/>
      <c r="CAS9" s="79"/>
      <c r="CAT9" s="79"/>
      <c r="CAU9" s="84"/>
      <c r="CAV9" s="4"/>
      <c r="CAW9" s="4"/>
      <c r="CAX9" s="4"/>
      <c r="CAY9" s="4"/>
      <c r="CBB9" s="79"/>
      <c r="CBC9" s="79"/>
      <c r="CBD9" s="79"/>
      <c r="CBE9" s="79"/>
      <c r="CBF9" s="79"/>
      <c r="CBG9" s="84"/>
      <c r="CBH9" s="4"/>
      <c r="CBI9" s="4"/>
      <c r="CBJ9" s="4"/>
      <c r="CBK9" s="4"/>
      <c r="CBN9" s="79"/>
      <c r="CBO9" s="79"/>
      <c r="CBP9" s="79"/>
      <c r="CBQ9" s="79"/>
      <c r="CBR9" s="79"/>
      <c r="CBS9" s="84"/>
      <c r="CBT9" s="4"/>
      <c r="CBU9" s="4"/>
      <c r="CBV9" s="4"/>
      <c r="CBW9" s="4"/>
      <c r="CBZ9" s="79"/>
      <c r="CCA9" s="79"/>
      <c r="CCB9" s="79"/>
      <c r="CCC9" s="79"/>
      <c r="CCD9" s="79"/>
      <c r="CCE9" s="84"/>
      <c r="CCF9" s="4"/>
      <c r="CCG9" s="4"/>
      <c r="CCH9" s="4"/>
      <c r="CCI9" s="4"/>
      <c r="CCL9" s="79"/>
      <c r="CCM9" s="79"/>
      <c r="CCN9" s="79"/>
      <c r="CCO9" s="79"/>
      <c r="CCP9" s="79"/>
      <c r="CCQ9" s="84"/>
      <c r="CCR9" s="4"/>
      <c r="CCS9" s="4"/>
      <c r="CCT9" s="4"/>
      <c r="CCU9" s="4"/>
      <c r="CCX9" s="79"/>
      <c r="CCY9" s="79"/>
      <c r="CCZ9" s="79"/>
      <c r="CDA9" s="79"/>
      <c r="CDB9" s="79"/>
      <c r="CDC9" s="84"/>
      <c r="CDD9" s="4"/>
      <c r="CDE9" s="4"/>
      <c r="CDF9" s="4"/>
      <c r="CDG9" s="4"/>
      <c r="CDJ9" s="79"/>
      <c r="CDK9" s="79"/>
      <c r="CDL9" s="79"/>
      <c r="CDM9" s="79"/>
      <c r="CDN9" s="79"/>
      <c r="CDO9" s="84"/>
      <c r="CDP9" s="4"/>
      <c r="CDQ9" s="4"/>
      <c r="CDR9" s="4"/>
      <c r="CDS9" s="4"/>
      <c r="CDV9" s="79"/>
      <c r="CDW9" s="79"/>
      <c r="CDX9" s="79"/>
      <c r="CDY9" s="79"/>
      <c r="CDZ9" s="79"/>
      <c r="CEA9" s="84"/>
      <c r="CEB9" s="4"/>
      <c r="CEC9" s="4"/>
      <c r="CED9" s="4"/>
      <c r="CEE9" s="4"/>
      <c r="CEH9" s="79"/>
      <c r="CEI9" s="79"/>
      <c r="CEJ9" s="79"/>
      <c r="CEK9" s="79"/>
      <c r="CEL9" s="79"/>
      <c r="CEM9" s="84"/>
      <c r="CEN9" s="4"/>
      <c r="CEO9" s="4"/>
      <c r="CEP9" s="4"/>
      <c r="CEQ9" s="4"/>
      <c r="CET9" s="79"/>
      <c r="CEU9" s="79"/>
      <c r="CEV9" s="79"/>
      <c r="CEW9" s="79"/>
      <c r="CEX9" s="79"/>
      <c r="CEY9" s="84"/>
      <c r="CEZ9" s="4"/>
      <c r="CFA9" s="4"/>
      <c r="CFB9" s="4"/>
      <c r="CFC9" s="4"/>
      <c r="CFF9" s="79"/>
      <c r="CFG9" s="79"/>
      <c r="CFH9" s="79"/>
      <c r="CFI9" s="79"/>
      <c r="CFJ9" s="79"/>
      <c r="CFK9" s="84"/>
      <c r="CFL9" s="4"/>
      <c r="CFM9" s="4"/>
      <c r="CFN9" s="4"/>
      <c r="CFO9" s="4"/>
      <c r="CFR9" s="79"/>
      <c r="CFS9" s="79"/>
      <c r="CFT9" s="79"/>
      <c r="CFU9" s="79"/>
      <c r="CFV9" s="79"/>
      <c r="CFW9" s="84"/>
      <c r="CFX9" s="4"/>
      <c r="CFY9" s="4"/>
      <c r="CFZ9" s="4"/>
      <c r="CGA9" s="4"/>
      <c r="CGD9" s="79"/>
      <c r="CGE9" s="79"/>
      <c r="CGF9" s="79"/>
      <c r="CGG9" s="79"/>
      <c r="CGH9" s="79"/>
      <c r="CGI9" s="84"/>
      <c r="CGJ9" s="4"/>
      <c r="CGK9" s="4"/>
      <c r="CGL9" s="4"/>
      <c r="CGM9" s="4"/>
      <c r="CGP9" s="79"/>
      <c r="CGQ9" s="79"/>
      <c r="CGR9" s="79"/>
      <c r="CGS9" s="79"/>
      <c r="CGT9" s="79"/>
      <c r="CGU9" s="84"/>
      <c r="CGV9" s="4"/>
      <c r="CGW9" s="4"/>
      <c r="CGX9" s="4"/>
      <c r="CGY9" s="4"/>
      <c r="CHB9" s="79"/>
      <c r="CHC9" s="79"/>
      <c r="CHD9" s="79"/>
      <c r="CHE9" s="79"/>
      <c r="CHF9" s="79"/>
      <c r="CHG9" s="84"/>
      <c r="CHH9" s="4"/>
      <c r="CHI9" s="4"/>
      <c r="CHJ9" s="4"/>
      <c r="CHK9" s="4"/>
      <c r="CHN9" s="79"/>
      <c r="CHO9" s="79"/>
      <c r="CHP9" s="79"/>
      <c r="CHQ9" s="79"/>
      <c r="CHR9" s="79"/>
      <c r="CHS9" s="84"/>
      <c r="CHT9" s="4"/>
      <c r="CHU9" s="4"/>
      <c r="CHV9" s="4"/>
      <c r="CHW9" s="4"/>
      <c r="CHZ9" s="79"/>
      <c r="CIA9" s="79"/>
      <c r="CIB9" s="79"/>
      <c r="CIC9" s="79"/>
      <c r="CID9" s="79"/>
      <c r="CIE9" s="84"/>
      <c r="CIF9" s="4"/>
      <c r="CIG9" s="4"/>
      <c r="CIH9" s="4"/>
      <c r="CII9" s="4"/>
      <c r="CIL9" s="79"/>
      <c r="CIM9" s="79"/>
      <c r="CIN9" s="79"/>
      <c r="CIO9" s="79"/>
      <c r="CIP9" s="79"/>
      <c r="CIQ9" s="84"/>
      <c r="CIR9" s="4"/>
      <c r="CIS9" s="4"/>
      <c r="CIT9" s="4"/>
      <c r="CIU9" s="4"/>
      <c r="CIX9" s="79"/>
      <c r="CIY9" s="79"/>
      <c r="CIZ9" s="79"/>
      <c r="CJA9" s="79"/>
      <c r="CJB9" s="79"/>
      <c r="CJC9" s="84"/>
      <c r="CJD9" s="4"/>
      <c r="CJE9" s="4"/>
      <c r="CJF9" s="4"/>
      <c r="CJG9" s="4"/>
      <c r="CJJ9" s="79"/>
      <c r="CJK9" s="79"/>
      <c r="CJL9" s="79"/>
      <c r="CJM9" s="79"/>
      <c r="CJN9" s="79"/>
      <c r="CJO9" s="84"/>
      <c r="CJP9" s="4"/>
      <c r="CJQ9" s="4"/>
      <c r="CJR9" s="4"/>
      <c r="CJS9" s="4"/>
      <c r="CJV9" s="79"/>
      <c r="CJW9" s="79"/>
      <c r="CJX9" s="79"/>
      <c r="CJY9" s="79"/>
      <c r="CJZ9" s="79"/>
      <c r="CKA9" s="84"/>
      <c r="CKB9" s="4"/>
      <c r="CKC9" s="4"/>
      <c r="CKD9" s="4"/>
      <c r="CKE9" s="4"/>
      <c r="CKH9" s="79"/>
      <c r="CKI9" s="79"/>
      <c r="CKJ9" s="79"/>
      <c r="CKK9" s="79"/>
      <c r="CKL9" s="79"/>
      <c r="CKM9" s="84"/>
      <c r="CKN9" s="4"/>
      <c r="CKO9" s="4"/>
      <c r="CKP9" s="4"/>
      <c r="CKQ9" s="4"/>
      <c r="CKT9" s="79"/>
      <c r="CKU9" s="79"/>
      <c r="CKV9" s="79"/>
      <c r="CKW9" s="79"/>
      <c r="CKX9" s="79"/>
      <c r="CKY9" s="84"/>
      <c r="CKZ9" s="4"/>
      <c r="CLA9" s="4"/>
      <c r="CLB9" s="4"/>
      <c r="CLC9" s="4"/>
      <c r="CLF9" s="79"/>
      <c r="CLG9" s="79"/>
      <c r="CLH9" s="79"/>
      <c r="CLI9" s="79"/>
      <c r="CLJ9" s="79"/>
      <c r="CLK9" s="84"/>
      <c r="CLL9" s="4"/>
      <c r="CLM9" s="4"/>
      <c r="CLN9" s="4"/>
      <c r="CLO9" s="4"/>
      <c r="CLR9" s="79"/>
      <c r="CLS9" s="79"/>
      <c r="CLT9" s="79"/>
      <c r="CLU9" s="79"/>
      <c r="CLV9" s="79"/>
      <c r="CLW9" s="84"/>
      <c r="CLX9" s="4"/>
      <c r="CLY9" s="4"/>
      <c r="CLZ9" s="4"/>
      <c r="CMA9" s="4"/>
      <c r="CMD9" s="79"/>
      <c r="CME9" s="79"/>
      <c r="CMF9" s="79"/>
      <c r="CMG9" s="79"/>
      <c r="CMH9" s="79"/>
      <c r="CMI9" s="84"/>
      <c r="CMJ9" s="4"/>
      <c r="CMK9" s="4"/>
      <c r="CML9" s="4"/>
      <c r="CMM9" s="4"/>
      <c r="CMP9" s="79"/>
      <c r="CMQ9" s="79"/>
      <c r="CMR9" s="79"/>
      <c r="CMS9" s="79"/>
      <c r="CMT9" s="79"/>
      <c r="CMU9" s="84"/>
      <c r="CMV9" s="4"/>
      <c r="CMW9" s="4"/>
      <c r="CMX9" s="4"/>
      <c r="CMY9" s="4"/>
      <c r="CNB9" s="79"/>
      <c r="CNC9" s="79"/>
      <c r="CND9" s="79"/>
      <c r="CNE9" s="79"/>
      <c r="CNF9" s="79"/>
      <c r="CNG9" s="84"/>
      <c r="CNH9" s="4"/>
      <c r="CNI9" s="4"/>
      <c r="CNJ9" s="4"/>
      <c r="CNK9" s="4"/>
      <c r="CNN9" s="79"/>
      <c r="CNO9" s="79"/>
      <c r="CNP9" s="79"/>
      <c r="CNQ9" s="79"/>
      <c r="CNR9" s="79"/>
      <c r="CNS9" s="84"/>
      <c r="CNT9" s="4"/>
      <c r="CNU9" s="4"/>
      <c r="CNV9" s="4"/>
      <c r="CNW9" s="4"/>
      <c r="CNZ9" s="79"/>
      <c r="COA9" s="79"/>
      <c r="COB9" s="79"/>
      <c r="COC9" s="79"/>
      <c r="COD9" s="79"/>
      <c r="COE9" s="84"/>
      <c r="COF9" s="4"/>
      <c r="COG9" s="4"/>
      <c r="COH9" s="4"/>
      <c r="COI9" s="4"/>
      <c r="COL9" s="79"/>
      <c r="COM9" s="79"/>
      <c r="CON9" s="79"/>
      <c r="COO9" s="79"/>
      <c r="COP9" s="79"/>
      <c r="COQ9" s="84"/>
      <c r="COR9" s="4"/>
      <c r="COS9" s="4"/>
      <c r="COT9" s="4"/>
      <c r="COU9" s="4"/>
      <c r="COX9" s="79"/>
      <c r="COY9" s="79"/>
      <c r="COZ9" s="79"/>
      <c r="CPA9" s="79"/>
      <c r="CPB9" s="79"/>
      <c r="CPC9" s="84"/>
      <c r="CPD9" s="4"/>
      <c r="CPE9" s="4"/>
      <c r="CPF9" s="4"/>
      <c r="CPG9" s="4"/>
      <c r="CPJ9" s="79"/>
      <c r="CPK9" s="79"/>
      <c r="CPL9" s="79"/>
      <c r="CPM9" s="79"/>
      <c r="CPN9" s="79"/>
      <c r="CPO9" s="84"/>
      <c r="CPP9" s="4"/>
      <c r="CPQ9" s="4"/>
      <c r="CPR9" s="4"/>
      <c r="CPS9" s="4"/>
      <c r="CPV9" s="79"/>
      <c r="CPW9" s="79"/>
      <c r="CPX9" s="79"/>
      <c r="CPY9" s="79"/>
      <c r="CPZ9" s="79"/>
      <c r="CQA9" s="84"/>
      <c r="CQB9" s="4"/>
      <c r="CQC9" s="4"/>
      <c r="CQD9" s="4"/>
      <c r="CQE9" s="4"/>
      <c r="CQH9" s="79"/>
      <c r="CQI9" s="79"/>
      <c r="CQJ9" s="79"/>
      <c r="CQK9" s="79"/>
      <c r="CQL9" s="79"/>
      <c r="CQM9" s="84"/>
      <c r="CQN9" s="4"/>
      <c r="CQO9" s="4"/>
      <c r="CQP9" s="4"/>
      <c r="CQQ9" s="4"/>
      <c r="CQT9" s="79"/>
      <c r="CQU9" s="79"/>
      <c r="CQV9" s="79"/>
      <c r="CQW9" s="79"/>
      <c r="CQX9" s="79"/>
      <c r="CQY9" s="84"/>
      <c r="CQZ9" s="4"/>
      <c r="CRA9" s="4"/>
      <c r="CRB9" s="4"/>
      <c r="CRC9" s="4"/>
      <c r="CRF9" s="79"/>
      <c r="CRG9" s="79"/>
      <c r="CRH9" s="79"/>
      <c r="CRI9" s="79"/>
      <c r="CRJ9" s="79"/>
      <c r="CRK9" s="84"/>
      <c r="CRL9" s="4"/>
      <c r="CRM9" s="4"/>
      <c r="CRN9" s="4"/>
      <c r="CRO9" s="4"/>
      <c r="CRR9" s="79"/>
      <c r="CRS9" s="79"/>
      <c r="CRT9" s="79"/>
      <c r="CRU9" s="79"/>
      <c r="CRV9" s="79"/>
      <c r="CRW9" s="84"/>
      <c r="CRX9" s="4"/>
      <c r="CRY9" s="4"/>
      <c r="CRZ9" s="4"/>
      <c r="CSA9" s="4"/>
      <c r="CSD9" s="79"/>
      <c r="CSE9" s="79"/>
      <c r="CSF9" s="79"/>
      <c r="CSG9" s="79"/>
      <c r="CSH9" s="79"/>
      <c r="CSI9" s="84"/>
      <c r="CSJ9" s="4"/>
      <c r="CSK9" s="4"/>
      <c r="CSL9" s="4"/>
      <c r="CSM9" s="4"/>
      <c r="CSP9" s="79"/>
      <c r="CSQ9" s="79"/>
      <c r="CSR9" s="79"/>
      <c r="CSS9" s="79"/>
      <c r="CST9" s="79"/>
      <c r="CSU9" s="84"/>
      <c r="CSV9" s="4"/>
      <c r="CSW9" s="4"/>
      <c r="CSX9" s="4"/>
      <c r="CSY9" s="4"/>
      <c r="CTB9" s="79"/>
      <c r="CTC9" s="79"/>
      <c r="CTD9" s="79"/>
      <c r="CTE9" s="79"/>
      <c r="CTF9" s="79"/>
      <c r="CTG9" s="84"/>
      <c r="CTH9" s="4"/>
      <c r="CTI9" s="4"/>
      <c r="CTJ9" s="4"/>
      <c r="CTK9" s="4"/>
      <c r="CTN9" s="79"/>
      <c r="CTO9" s="79"/>
      <c r="CTP9" s="79"/>
      <c r="CTQ9" s="79"/>
      <c r="CTR9" s="79"/>
      <c r="CTS9" s="84"/>
      <c r="CTT9" s="4"/>
      <c r="CTU9" s="4"/>
      <c r="CTV9" s="4"/>
      <c r="CTW9" s="4"/>
      <c r="CTZ9" s="79"/>
      <c r="CUA9" s="79"/>
      <c r="CUB9" s="79"/>
      <c r="CUC9" s="79"/>
      <c r="CUD9" s="79"/>
      <c r="CUE9" s="84"/>
      <c r="CUF9" s="4"/>
      <c r="CUG9" s="4"/>
      <c r="CUH9" s="4"/>
      <c r="CUI9" s="4"/>
      <c r="CUL9" s="79"/>
      <c r="CUM9" s="79"/>
      <c r="CUN9" s="79"/>
      <c r="CUO9" s="79"/>
      <c r="CUP9" s="79"/>
      <c r="CUQ9" s="84"/>
      <c r="CUR9" s="4"/>
      <c r="CUS9" s="4"/>
      <c r="CUT9" s="4"/>
      <c r="CUU9" s="4"/>
      <c r="CUX9" s="79"/>
      <c r="CUY9" s="79"/>
      <c r="CUZ9" s="79"/>
      <c r="CVA9" s="79"/>
      <c r="CVB9" s="79"/>
      <c r="CVC9" s="84"/>
      <c r="CVD9" s="4"/>
      <c r="CVE9" s="4"/>
      <c r="CVF9" s="4"/>
      <c r="CVG9" s="4"/>
      <c r="CVJ9" s="79"/>
      <c r="CVK9" s="79"/>
      <c r="CVL9" s="79"/>
      <c r="CVM9" s="79"/>
      <c r="CVN9" s="79"/>
      <c r="CVO9" s="84"/>
      <c r="CVP9" s="4"/>
      <c r="CVQ9" s="4"/>
      <c r="CVR9" s="4"/>
      <c r="CVS9" s="4"/>
      <c r="CVV9" s="79"/>
      <c r="CVW9" s="79"/>
      <c r="CVX9" s="79"/>
      <c r="CVY9" s="79"/>
      <c r="CVZ9" s="79"/>
      <c r="CWA9" s="84"/>
      <c r="CWB9" s="4"/>
      <c r="CWC9" s="4"/>
      <c r="CWD9" s="4"/>
      <c r="CWE9" s="4"/>
    </row>
    <row r="10" spans="1:1023 1026:2631" ht="6.75" customHeight="1" x14ac:dyDescent="0.25">
      <c r="A10" s="86" t="s">
        <v>21</v>
      </c>
      <c r="B10" s="87" t="s">
        <v>22</v>
      </c>
      <c r="C10" s="87"/>
      <c r="D10" s="87"/>
      <c r="E10" s="86" t="s">
        <v>23</v>
      </c>
      <c r="F10" s="86" t="s">
        <v>24</v>
      </c>
      <c r="G10" s="82"/>
      <c r="H10" s="87" t="s">
        <v>25</v>
      </c>
      <c r="I10" s="87"/>
      <c r="J10" s="87"/>
      <c r="K10" s="87" t="s">
        <v>26</v>
      </c>
      <c r="L10" s="87"/>
      <c r="O10" s="86" t="s">
        <v>21</v>
      </c>
      <c r="P10" s="87" t="s">
        <v>22</v>
      </c>
      <c r="Q10" s="87"/>
      <c r="R10" s="87"/>
      <c r="S10" s="86" t="s">
        <v>23</v>
      </c>
      <c r="T10" s="86" t="s">
        <v>24</v>
      </c>
      <c r="U10" s="82"/>
      <c r="V10" s="87" t="s">
        <v>25</v>
      </c>
      <c r="W10" s="87"/>
      <c r="X10" s="87"/>
      <c r="Y10" s="87" t="s">
        <v>26</v>
      </c>
      <c r="Z10" s="87"/>
      <c r="AC10" s="86" t="s">
        <v>21</v>
      </c>
      <c r="AD10" s="87" t="s">
        <v>22</v>
      </c>
      <c r="AE10" s="87"/>
      <c r="AF10" s="87"/>
      <c r="AG10" s="86" t="s">
        <v>23</v>
      </c>
      <c r="AH10" s="86" t="s">
        <v>24</v>
      </c>
      <c r="AI10" s="82"/>
      <c r="AJ10" s="87" t="s">
        <v>25</v>
      </c>
      <c r="AK10" s="87"/>
      <c r="AL10" s="87"/>
      <c r="AM10" s="87" t="s">
        <v>26</v>
      </c>
      <c r="AN10" s="87"/>
      <c r="AQ10" s="86" t="s">
        <v>21</v>
      </c>
      <c r="AR10" s="87" t="s">
        <v>22</v>
      </c>
      <c r="AS10" s="87"/>
      <c r="AT10" s="87"/>
      <c r="AU10" s="86" t="s">
        <v>23</v>
      </c>
      <c r="AV10" s="86" t="s">
        <v>24</v>
      </c>
      <c r="AW10" s="82"/>
      <c r="AX10" s="87" t="s">
        <v>25</v>
      </c>
      <c r="AY10" s="87"/>
      <c r="AZ10" s="87"/>
      <c r="BA10" s="87" t="s">
        <v>26</v>
      </c>
      <c r="BB10" s="87"/>
      <c r="BE10" s="86" t="s">
        <v>21</v>
      </c>
      <c r="BF10" s="87" t="s">
        <v>22</v>
      </c>
      <c r="BG10" s="87"/>
      <c r="BH10" s="87"/>
      <c r="BI10" s="86" t="s">
        <v>23</v>
      </c>
      <c r="BJ10" s="86" t="s">
        <v>24</v>
      </c>
      <c r="BK10" s="82"/>
      <c r="BL10" s="87" t="s">
        <v>25</v>
      </c>
      <c r="BM10" s="87"/>
      <c r="BN10" s="87"/>
      <c r="BO10" s="87" t="s">
        <v>26</v>
      </c>
      <c r="BP10" s="87"/>
      <c r="BS10" s="86" t="s">
        <v>21</v>
      </c>
      <c r="BT10" s="87" t="s">
        <v>22</v>
      </c>
      <c r="BU10" s="87"/>
      <c r="BV10" s="87"/>
      <c r="BW10" s="86" t="s">
        <v>23</v>
      </c>
      <c r="BX10" s="86" t="s">
        <v>24</v>
      </c>
      <c r="BY10" s="82"/>
      <c r="BZ10" s="87" t="s">
        <v>25</v>
      </c>
      <c r="CA10" s="87"/>
      <c r="CB10" s="87"/>
      <c r="CC10" s="87" t="s">
        <v>26</v>
      </c>
      <c r="CD10" s="87"/>
      <c r="CG10" s="86" t="s">
        <v>21</v>
      </c>
      <c r="CH10" s="87" t="s">
        <v>22</v>
      </c>
      <c r="CI10" s="87"/>
      <c r="CJ10" s="87"/>
      <c r="CK10" s="86" t="s">
        <v>23</v>
      </c>
      <c r="CL10" s="86" t="s">
        <v>24</v>
      </c>
      <c r="CM10" s="82"/>
      <c r="CN10" s="87" t="s">
        <v>25</v>
      </c>
      <c r="CO10" s="87"/>
      <c r="CP10" s="87"/>
      <c r="CQ10" s="87" t="s">
        <v>26</v>
      </c>
      <c r="CR10" s="87"/>
      <c r="CU10" s="86" t="s">
        <v>21</v>
      </c>
      <c r="CV10" s="87" t="s">
        <v>22</v>
      </c>
      <c r="CW10" s="87"/>
      <c r="CX10" s="87"/>
      <c r="CY10" s="86" t="s">
        <v>23</v>
      </c>
      <c r="CZ10" s="86" t="s">
        <v>24</v>
      </c>
      <c r="DA10" s="82"/>
      <c r="DB10" s="87" t="s">
        <v>25</v>
      </c>
      <c r="DC10" s="87"/>
      <c r="DD10" s="87"/>
      <c r="DE10" s="87" t="s">
        <v>26</v>
      </c>
      <c r="DF10" s="87"/>
      <c r="DI10" s="86" t="s">
        <v>21</v>
      </c>
      <c r="DJ10" s="87" t="s">
        <v>22</v>
      </c>
      <c r="DK10" s="87"/>
      <c r="DL10" s="87"/>
      <c r="DM10" s="86" t="s">
        <v>23</v>
      </c>
      <c r="DN10" s="86" t="s">
        <v>24</v>
      </c>
      <c r="DO10" s="82"/>
      <c r="DP10" s="87" t="s">
        <v>25</v>
      </c>
      <c r="DQ10" s="87"/>
      <c r="DR10" s="87"/>
      <c r="DS10" s="87" t="s">
        <v>26</v>
      </c>
      <c r="DT10" s="87"/>
      <c r="DW10" s="86" t="s">
        <v>21</v>
      </c>
      <c r="DX10" s="87" t="s">
        <v>22</v>
      </c>
      <c r="DY10" s="87"/>
      <c r="DZ10" s="87"/>
      <c r="EA10" s="86" t="s">
        <v>23</v>
      </c>
      <c r="EB10" s="86" t="s">
        <v>24</v>
      </c>
      <c r="EC10" s="82"/>
      <c r="ED10" s="87" t="s">
        <v>25</v>
      </c>
      <c r="EE10" s="87"/>
      <c r="EF10" s="87"/>
      <c r="EG10" s="87" t="s">
        <v>26</v>
      </c>
      <c r="EH10" s="87"/>
      <c r="EK10" s="86" t="s">
        <v>21</v>
      </c>
      <c r="EL10" s="87" t="s">
        <v>22</v>
      </c>
      <c r="EM10" s="87"/>
      <c r="EN10" s="87"/>
      <c r="EO10" s="86" t="s">
        <v>23</v>
      </c>
      <c r="EP10" s="86" t="s">
        <v>24</v>
      </c>
      <c r="EQ10" s="82"/>
      <c r="ER10" s="87" t="s">
        <v>25</v>
      </c>
      <c r="ES10" s="87"/>
      <c r="ET10" s="87"/>
      <c r="EU10" s="87" t="s">
        <v>26</v>
      </c>
      <c r="EV10" s="87"/>
      <c r="EY10" s="86" t="s">
        <v>21</v>
      </c>
      <c r="EZ10" s="87" t="s">
        <v>22</v>
      </c>
      <c r="FA10" s="87"/>
      <c r="FB10" s="87"/>
      <c r="FC10" s="86" t="s">
        <v>23</v>
      </c>
      <c r="FD10" s="86" t="s">
        <v>24</v>
      </c>
      <c r="FE10" s="82"/>
      <c r="FF10" s="87" t="s">
        <v>25</v>
      </c>
      <c r="FG10" s="87"/>
      <c r="FH10" s="87"/>
      <c r="FI10" s="87" t="s">
        <v>26</v>
      </c>
      <c r="FJ10" s="87"/>
      <c r="FM10" s="86" t="s">
        <v>21</v>
      </c>
      <c r="FN10" s="87" t="s">
        <v>22</v>
      </c>
      <c r="FO10" s="87"/>
      <c r="FP10" s="87"/>
      <c r="FQ10" s="86" t="s">
        <v>23</v>
      </c>
      <c r="FR10" s="86" t="s">
        <v>24</v>
      </c>
      <c r="FS10" s="82"/>
      <c r="FT10" s="87" t="s">
        <v>25</v>
      </c>
      <c r="FU10" s="87"/>
      <c r="FV10" s="87"/>
      <c r="FW10" s="87" t="s">
        <v>26</v>
      </c>
      <c r="FX10" s="87"/>
      <c r="GA10" s="86" t="s">
        <v>21</v>
      </c>
      <c r="GB10" s="87" t="s">
        <v>22</v>
      </c>
      <c r="GC10" s="87"/>
      <c r="GD10" s="87"/>
      <c r="GE10" s="86" t="s">
        <v>23</v>
      </c>
      <c r="GF10" s="86" t="s">
        <v>24</v>
      </c>
      <c r="GG10" s="82"/>
      <c r="GH10" s="87" t="s">
        <v>25</v>
      </c>
      <c r="GI10" s="87"/>
      <c r="GJ10" s="87"/>
      <c r="GK10" s="87" t="s">
        <v>26</v>
      </c>
      <c r="GL10" s="87"/>
      <c r="GO10" s="86" t="s">
        <v>21</v>
      </c>
      <c r="GP10" s="87" t="s">
        <v>22</v>
      </c>
      <c r="GQ10" s="87"/>
      <c r="GR10" s="87"/>
      <c r="GS10" s="86" t="s">
        <v>23</v>
      </c>
      <c r="GT10" s="86" t="s">
        <v>24</v>
      </c>
      <c r="GU10" s="82"/>
      <c r="GV10" s="87" t="s">
        <v>25</v>
      </c>
      <c r="GW10" s="87"/>
      <c r="GX10" s="87"/>
      <c r="GY10" s="87" t="s">
        <v>26</v>
      </c>
      <c r="GZ10" s="87"/>
      <c r="HC10" s="86" t="s">
        <v>21</v>
      </c>
      <c r="HD10" s="87" t="s">
        <v>22</v>
      </c>
      <c r="HE10" s="87"/>
      <c r="HF10" s="87"/>
      <c r="HG10" s="86" t="s">
        <v>23</v>
      </c>
      <c r="HH10" s="86" t="s">
        <v>24</v>
      </c>
      <c r="HI10" s="82"/>
      <c r="HJ10" s="87" t="s">
        <v>25</v>
      </c>
      <c r="HK10" s="87"/>
      <c r="HL10" s="87"/>
      <c r="HM10" s="87" t="s">
        <v>26</v>
      </c>
      <c r="HN10" s="87"/>
      <c r="HQ10" s="86" t="s">
        <v>21</v>
      </c>
      <c r="HR10" s="87" t="s">
        <v>22</v>
      </c>
      <c r="HS10" s="87"/>
      <c r="HT10" s="87"/>
      <c r="HU10" s="86" t="s">
        <v>23</v>
      </c>
      <c r="HV10" s="86" t="s">
        <v>24</v>
      </c>
      <c r="HW10" s="82"/>
      <c r="HX10" s="87" t="s">
        <v>25</v>
      </c>
      <c r="HY10" s="87"/>
      <c r="HZ10" s="87"/>
      <c r="IA10" s="87" t="s">
        <v>26</v>
      </c>
      <c r="IB10" s="87"/>
      <c r="IE10" s="86" t="s">
        <v>21</v>
      </c>
      <c r="IF10" s="87" t="s">
        <v>22</v>
      </c>
      <c r="IG10" s="87"/>
      <c r="IH10" s="87"/>
      <c r="II10" s="86" t="s">
        <v>23</v>
      </c>
      <c r="IJ10" s="86" t="s">
        <v>24</v>
      </c>
      <c r="IK10" s="82"/>
      <c r="IL10" s="87" t="s">
        <v>25</v>
      </c>
      <c r="IM10" s="87"/>
      <c r="IN10" s="87"/>
      <c r="IO10" s="87" t="s">
        <v>26</v>
      </c>
      <c r="IP10" s="87"/>
      <c r="IS10" s="86" t="s">
        <v>21</v>
      </c>
      <c r="IT10" s="87" t="s">
        <v>22</v>
      </c>
      <c r="IU10" s="87"/>
      <c r="IV10" s="87"/>
      <c r="IW10" s="86" t="s">
        <v>23</v>
      </c>
      <c r="IX10" s="86" t="s">
        <v>24</v>
      </c>
      <c r="IY10" s="82"/>
      <c r="IZ10" s="87" t="s">
        <v>25</v>
      </c>
      <c r="JA10" s="87"/>
      <c r="JB10" s="87"/>
      <c r="JC10" s="87" t="s">
        <v>26</v>
      </c>
      <c r="JD10" s="87"/>
      <c r="JG10" s="86" t="s">
        <v>21</v>
      </c>
      <c r="JH10" s="87" t="s">
        <v>22</v>
      </c>
      <c r="JI10" s="87"/>
      <c r="JJ10" s="87"/>
      <c r="JK10" s="86" t="s">
        <v>23</v>
      </c>
      <c r="JL10" s="86" t="s">
        <v>24</v>
      </c>
      <c r="JM10" s="82"/>
      <c r="JN10" s="87" t="s">
        <v>25</v>
      </c>
      <c r="JO10" s="87"/>
      <c r="JP10" s="87"/>
      <c r="JQ10" s="87" t="s">
        <v>26</v>
      </c>
      <c r="JR10" s="87"/>
      <c r="JU10" s="86" t="s">
        <v>21</v>
      </c>
      <c r="JV10" s="87" t="s">
        <v>22</v>
      </c>
      <c r="JW10" s="87"/>
      <c r="JX10" s="87"/>
      <c r="JY10" s="86" t="s">
        <v>23</v>
      </c>
      <c r="JZ10" s="86" t="s">
        <v>24</v>
      </c>
      <c r="KA10" s="82"/>
      <c r="KB10" s="87" t="s">
        <v>25</v>
      </c>
      <c r="KC10" s="87"/>
      <c r="KD10" s="87"/>
      <c r="KE10" s="87" t="s">
        <v>26</v>
      </c>
      <c r="KF10" s="87"/>
      <c r="KI10" s="86" t="s">
        <v>21</v>
      </c>
      <c r="KJ10" s="87" t="s">
        <v>22</v>
      </c>
      <c r="KK10" s="87"/>
      <c r="KL10" s="87"/>
      <c r="KM10" s="86" t="s">
        <v>23</v>
      </c>
      <c r="KN10" s="86" t="s">
        <v>24</v>
      </c>
      <c r="KO10" s="82"/>
      <c r="KP10" s="87" t="s">
        <v>25</v>
      </c>
      <c r="KQ10" s="87"/>
      <c r="KR10" s="87"/>
      <c r="KS10" s="87" t="s">
        <v>26</v>
      </c>
      <c r="KT10" s="87"/>
      <c r="KW10" s="86" t="s">
        <v>21</v>
      </c>
      <c r="KX10" s="87" t="s">
        <v>22</v>
      </c>
      <c r="KY10" s="87"/>
      <c r="KZ10" s="87"/>
      <c r="LA10" s="86" t="s">
        <v>23</v>
      </c>
      <c r="LB10" s="86" t="s">
        <v>24</v>
      </c>
      <c r="LC10" s="82"/>
      <c r="LD10" s="87" t="s">
        <v>25</v>
      </c>
      <c r="LE10" s="87"/>
      <c r="LF10" s="87"/>
      <c r="LG10" s="87" t="s">
        <v>26</v>
      </c>
      <c r="LH10" s="87"/>
      <c r="LK10" s="86" t="s">
        <v>21</v>
      </c>
      <c r="LL10" s="87" t="s">
        <v>22</v>
      </c>
      <c r="LM10" s="87"/>
      <c r="LN10" s="87"/>
      <c r="LO10" s="86" t="s">
        <v>23</v>
      </c>
      <c r="LP10" s="86" t="s">
        <v>24</v>
      </c>
      <c r="LQ10" s="82"/>
      <c r="LR10" s="87" t="s">
        <v>25</v>
      </c>
      <c r="LS10" s="87"/>
      <c r="LT10" s="87"/>
      <c r="LU10" s="87" t="s">
        <v>26</v>
      </c>
      <c r="LV10" s="87"/>
      <c r="LY10" s="86" t="s">
        <v>21</v>
      </c>
      <c r="LZ10" s="87" t="s">
        <v>22</v>
      </c>
      <c r="MA10" s="87"/>
      <c r="MB10" s="87"/>
      <c r="MC10" s="86" t="s">
        <v>23</v>
      </c>
      <c r="MD10" s="86" t="s">
        <v>24</v>
      </c>
      <c r="ME10" s="82"/>
      <c r="MF10" s="87" t="s">
        <v>25</v>
      </c>
      <c r="MG10" s="87"/>
      <c r="MH10" s="87"/>
      <c r="MI10" s="87" t="s">
        <v>26</v>
      </c>
      <c r="MJ10" s="87"/>
      <c r="MM10" s="86" t="s">
        <v>21</v>
      </c>
      <c r="MN10" s="87" t="s">
        <v>22</v>
      </c>
      <c r="MO10" s="87"/>
      <c r="MP10" s="87"/>
      <c r="MQ10" s="86" t="s">
        <v>23</v>
      </c>
      <c r="MR10" s="86" t="s">
        <v>24</v>
      </c>
      <c r="MS10" s="82"/>
      <c r="MT10" s="87" t="s">
        <v>25</v>
      </c>
      <c r="MU10" s="87"/>
      <c r="MV10" s="87"/>
      <c r="MW10" s="87" t="s">
        <v>26</v>
      </c>
      <c r="MX10" s="87"/>
      <c r="NA10" s="86" t="s">
        <v>21</v>
      </c>
      <c r="NB10" s="87" t="s">
        <v>22</v>
      </c>
      <c r="NC10" s="87"/>
      <c r="ND10" s="87"/>
      <c r="NE10" s="86" t="s">
        <v>23</v>
      </c>
      <c r="NF10" s="86" t="s">
        <v>24</v>
      </c>
      <c r="NG10" s="82"/>
      <c r="NH10" s="87" t="s">
        <v>25</v>
      </c>
      <c r="NI10" s="87"/>
      <c r="NJ10" s="87"/>
      <c r="NK10" s="87" t="s">
        <v>26</v>
      </c>
      <c r="NL10" s="87"/>
      <c r="NO10" s="86" t="s">
        <v>21</v>
      </c>
      <c r="NP10" s="87" t="s">
        <v>22</v>
      </c>
      <c r="NQ10" s="87"/>
      <c r="NR10" s="87"/>
      <c r="NS10" s="86" t="s">
        <v>23</v>
      </c>
      <c r="NT10" s="86" t="s">
        <v>24</v>
      </c>
      <c r="NU10" s="82"/>
      <c r="NV10" s="87" t="s">
        <v>25</v>
      </c>
      <c r="NW10" s="87"/>
      <c r="NX10" s="87"/>
      <c r="NY10" s="87" t="s">
        <v>26</v>
      </c>
      <c r="NZ10" s="87"/>
      <c r="OC10" s="86" t="s">
        <v>21</v>
      </c>
      <c r="OD10" s="87" t="s">
        <v>22</v>
      </c>
      <c r="OE10" s="87"/>
      <c r="OF10" s="87"/>
      <c r="OG10" s="86" t="s">
        <v>23</v>
      </c>
      <c r="OH10" s="86" t="s">
        <v>24</v>
      </c>
      <c r="OI10" s="82"/>
      <c r="OJ10" s="87" t="s">
        <v>25</v>
      </c>
      <c r="OK10" s="87"/>
      <c r="OL10" s="87"/>
      <c r="OM10" s="87" t="s">
        <v>26</v>
      </c>
      <c r="ON10" s="87"/>
      <c r="OQ10" s="86" t="s">
        <v>21</v>
      </c>
      <c r="OR10" s="87" t="s">
        <v>22</v>
      </c>
      <c r="OS10" s="87"/>
      <c r="OT10" s="87"/>
      <c r="OU10" s="86" t="s">
        <v>23</v>
      </c>
      <c r="OV10" s="86" t="s">
        <v>24</v>
      </c>
      <c r="OW10" s="82"/>
      <c r="OX10" s="87" t="s">
        <v>25</v>
      </c>
      <c r="OY10" s="87"/>
      <c r="OZ10" s="87"/>
      <c r="PA10" s="87" t="s">
        <v>26</v>
      </c>
      <c r="PB10" s="87"/>
      <c r="PE10" s="86" t="s">
        <v>21</v>
      </c>
      <c r="PF10" s="87" t="s">
        <v>22</v>
      </c>
      <c r="PG10" s="87"/>
      <c r="PH10" s="87"/>
      <c r="PI10" s="86" t="s">
        <v>23</v>
      </c>
      <c r="PJ10" s="86" t="s">
        <v>24</v>
      </c>
      <c r="PK10" s="82"/>
      <c r="PL10" s="87" t="s">
        <v>25</v>
      </c>
      <c r="PM10" s="87"/>
      <c r="PN10" s="87"/>
      <c r="PO10" s="87" t="s">
        <v>26</v>
      </c>
      <c r="PP10" s="87"/>
      <c r="PS10" s="86" t="s">
        <v>21</v>
      </c>
      <c r="PT10" s="87" t="s">
        <v>22</v>
      </c>
      <c r="PU10" s="87"/>
      <c r="PV10" s="87"/>
      <c r="PW10" s="86" t="s">
        <v>23</v>
      </c>
      <c r="PX10" s="86" t="s">
        <v>24</v>
      </c>
      <c r="PY10" s="82"/>
      <c r="PZ10" s="87" t="s">
        <v>25</v>
      </c>
      <c r="QA10" s="87"/>
      <c r="QB10" s="87"/>
      <c r="QC10" s="87" t="s">
        <v>26</v>
      </c>
      <c r="QD10" s="87"/>
      <c r="QG10" s="86" t="s">
        <v>21</v>
      </c>
      <c r="QH10" s="87" t="s">
        <v>22</v>
      </c>
      <c r="QI10" s="87"/>
      <c r="QJ10" s="87"/>
      <c r="QK10" s="86" t="s">
        <v>23</v>
      </c>
      <c r="QL10" s="86" t="s">
        <v>24</v>
      </c>
      <c r="QM10" s="82"/>
      <c r="QN10" s="87" t="s">
        <v>25</v>
      </c>
      <c r="QO10" s="87"/>
      <c r="QP10" s="87"/>
      <c r="QQ10" s="87" t="s">
        <v>26</v>
      </c>
      <c r="QR10" s="87"/>
      <c r="QU10" s="86" t="s">
        <v>21</v>
      </c>
      <c r="QV10" s="87" t="s">
        <v>22</v>
      </c>
      <c r="QW10" s="87"/>
      <c r="QX10" s="87"/>
      <c r="QY10" s="86" t="s">
        <v>23</v>
      </c>
      <c r="QZ10" s="86" t="s">
        <v>24</v>
      </c>
      <c r="RA10" s="82"/>
      <c r="RB10" s="87" t="s">
        <v>25</v>
      </c>
      <c r="RC10" s="87"/>
      <c r="RD10" s="87"/>
      <c r="RE10" s="87" t="s">
        <v>26</v>
      </c>
      <c r="RF10" s="87"/>
      <c r="RI10" s="86" t="s">
        <v>21</v>
      </c>
      <c r="RJ10" s="87" t="s">
        <v>22</v>
      </c>
      <c r="RK10" s="87"/>
      <c r="RL10" s="87"/>
      <c r="RM10" s="86" t="s">
        <v>23</v>
      </c>
      <c r="RN10" s="86" t="s">
        <v>24</v>
      </c>
      <c r="RO10" s="82"/>
      <c r="RP10" s="87" t="s">
        <v>25</v>
      </c>
      <c r="RQ10" s="87"/>
      <c r="RR10" s="87"/>
      <c r="RS10" s="87" t="s">
        <v>26</v>
      </c>
      <c r="RT10" s="87"/>
      <c r="RW10" s="86" t="s">
        <v>21</v>
      </c>
      <c r="RX10" s="87" t="s">
        <v>22</v>
      </c>
      <c r="RY10" s="87"/>
      <c r="RZ10" s="87"/>
      <c r="SA10" s="86" t="s">
        <v>23</v>
      </c>
      <c r="SB10" s="86" t="s">
        <v>24</v>
      </c>
      <c r="SC10" s="82"/>
      <c r="SD10" s="87" t="s">
        <v>25</v>
      </c>
      <c r="SE10" s="87"/>
      <c r="SF10" s="87"/>
      <c r="SG10" s="87" t="s">
        <v>26</v>
      </c>
      <c r="SH10" s="87"/>
      <c r="SK10" s="86" t="s">
        <v>21</v>
      </c>
      <c r="SL10" s="87" t="s">
        <v>22</v>
      </c>
      <c r="SM10" s="87"/>
      <c r="SN10" s="87"/>
      <c r="SO10" s="86" t="s">
        <v>23</v>
      </c>
      <c r="SP10" s="86" t="s">
        <v>24</v>
      </c>
      <c r="SQ10" s="82"/>
      <c r="SR10" s="87" t="s">
        <v>25</v>
      </c>
      <c r="SS10" s="87"/>
      <c r="ST10" s="87"/>
      <c r="SU10" s="87" t="s">
        <v>26</v>
      </c>
      <c r="SV10" s="87"/>
      <c r="SY10" s="86" t="s">
        <v>21</v>
      </c>
      <c r="SZ10" s="87" t="s">
        <v>22</v>
      </c>
      <c r="TA10" s="87"/>
      <c r="TB10" s="87"/>
      <c r="TC10" s="86" t="s">
        <v>23</v>
      </c>
      <c r="TD10" s="86" t="s">
        <v>24</v>
      </c>
      <c r="TE10" s="82"/>
      <c r="TF10" s="87" t="s">
        <v>25</v>
      </c>
      <c r="TG10" s="87"/>
      <c r="TH10" s="87"/>
      <c r="TI10" s="87" t="s">
        <v>26</v>
      </c>
      <c r="TJ10" s="87"/>
      <c r="TM10" s="86" t="s">
        <v>21</v>
      </c>
      <c r="TN10" s="87" t="s">
        <v>22</v>
      </c>
      <c r="TO10" s="87"/>
      <c r="TP10" s="87"/>
      <c r="TQ10" s="86" t="s">
        <v>23</v>
      </c>
      <c r="TR10" s="86" t="s">
        <v>24</v>
      </c>
      <c r="TS10" s="82"/>
      <c r="TT10" s="87" t="s">
        <v>25</v>
      </c>
      <c r="TU10" s="87"/>
      <c r="TV10" s="87"/>
      <c r="TW10" s="87" t="s">
        <v>26</v>
      </c>
      <c r="TX10" s="87"/>
      <c r="UA10" s="86" t="s">
        <v>21</v>
      </c>
      <c r="UB10" s="87" t="s">
        <v>22</v>
      </c>
      <c r="UC10" s="87"/>
      <c r="UD10" s="87"/>
      <c r="UE10" s="86" t="s">
        <v>23</v>
      </c>
      <c r="UF10" s="86" t="s">
        <v>24</v>
      </c>
      <c r="UG10" s="82"/>
      <c r="UH10" s="87" t="s">
        <v>25</v>
      </c>
      <c r="UI10" s="87"/>
      <c r="UJ10" s="87"/>
      <c r="UK10" s="87" t="s">
        <v>26</v>
      </c>
      <c r="UL10" s="87"/>
      <c r="UO10" s="86" t="s">
        <v>21</v>
      </c>
      <c r="UP10" s="87" t="s">
        <v>22</v>
      </c>
      <c r="UQ10" s="87"/>
      <c r="UR10" s="87"/>
      <c r="US10" s="86" t="s">
        <v>23</v>
      </c>
      <c r="UT10" s="86" t="s">
        <v>24</v>
      </c>
      <c r="UU10" s="82"/>
      <c r="UV10" s="87" t="s">
        <v>25</v>
      </c>
      <c r="UW10" s="87"/>
      <c r="UX10" s="87"/>
      <c r="UY10" s="87" t="s">
        <v>26</v>
      </c>
      <c r="UZ10" s="87"/>
      <c r="VC10" s="86" t="s">
        <v>21</v>
      </c>
      <c r="VD10" s="87" t="s">
        <v>22</v>
      </c>
      <c r="VE10" s="87"/>
      <c r="VF10" s="87"/>
      <c r="VG10" s="86" t="s">
        <v>23</v>
      </c>
      <c r="VH10" s="86" t="s">
        <v>24</v>
      </c>
      <c r="VI10" s="82"/>
      <c r="VJ10" s="87" t="s">
        <v>25</v>
      </c>
      <c r="VK10" s="87"/>
      <c r="VL10" s="87"/>
      <c r="VM10" s="87" t="s">
        <v>26</v>
      </c>
      <c r="VN10" s="87"/>
      <c r="VQ10" s="86" t="s">
        <v>21</v>
      </c>
      <c r="VR10" s="87" t="s">
        <v>22</v>
      </c>
      <c r="VS10" s="87"/>
      <c r="VT10" s="87"/>
      <c r="VU10" s="86" t="s">
        <v>23</v>
      </c>
      <c r="VV10" s="86" t="s">
        <v>24</v>
      </c>
      <c r="VW10" s="82"/>
      <c r="VX10" s="87" t="s">
        <v>25</v>
      </c>
      <c r="VY10" s="87"/>
      <c r="VZ10" s="87"/>
      <c r="WA10" s="87" t="s">
        <v>26</v>
      </c>
      <c r="WB10" s="87"/>
      <c r="WE10" s="86" t="s">
        <v>21</v>
      </c>
      <c r="WF10" s="87" t="s">
        <v>22</v>
      </c>
      <c r="WG10" s="87"/>
      <c r="WH10" s="87"/>
      <c r="WI10" s="86" t="s">
        <v>23</v>
      </c>
      <c r="WJ10" s="86" t="s">
        <v>24</v>
      </c>
      <c r="WK10" s="82"/>
      <c r="WL10" s="87" t="s">
        <v>25</v>
      </c>
      <c r="WM10" s="87"/>
      <c r="WN10" s="87"/>
      <c r="WO10" s="87" t="s">
        <v>26</v>
      </c>
      <c r="WP10" s="87"/>
      <c r="WS10" s="86" t="s">
        <v>21</v>
      </c>
      <c r="WT10" s="87" t="s">
        <v>22</v>
      </c>
      <c r="WU10" s="87"/>
      <c r="WV10" s="87"/>
      <c r="WW10" s="86" t="s">
        <v>23</v>
      </c>
      <c r="WX10" s="86" t="s">
        <v>24</v>
      </c>
      <c r="WY10" s="82"/>
      <c r="WZ10" s="87" t="s">
        <v>25</v>
      </c>
      <c r="XA10" s="87"/>
      <c r="XB10" s="87"/>
      <c r="XC10" s="87" t="s">
        <v>26</v>
      </c>
      <c r="XD10" s="87"/>
      <c r="XG10" s="86" t="s">
        <v>21</v>
      </c>
      <c r="XH10" s="87" t="s">
        <v>22</v>
      </c>
      <c r="XI10" s="87"/>
      <c r="XJ10" s="87"/>
      <c r="XK10" s="86" t="s">
        <v>23</v>
      </c>
      <c r="XL10" s="86" t="s">
        <v>24</v>
      </c>
      <c r="XM10" s="82"/>
      <c r="XN10" s="87" t="s">
        <v>25</v>
      </c>
      <c r="XO10" s="87"/>
      <c r="XP10" s="87"/>
      <c r="XQ10" s="87" t="s">
        <v>26</v>
      </c>
      <c r="XR10" s="87"/>
      <c r="XU10" s="86" t="s">
        <v>21</v>
      </c>
      <c r="XV10" s="87" t="s">
        <v>22</v>
      </c>
      <c r="XW10" s="87"/>
      <c r="XX10" s="87"/>
      <c r="XY10" s="86" t="s">
        <v>23</v>
      </c>
      <c r="XZ10" s="86" t="s">
        <v>24</v>
      </c>
      <c r="YA10" s="82"/>
      <c r="YB10" s="87" t="s">
        <v>25</v>
      </c>
      <c r="YC10" s="87"/>
      <c r="YD10" s="87"/>
      <c r="YE10" s="87" t="s">
        <v>26</v>
      </c>
      <c r="YF10" s="87"/>
      <c r="YI10" s="86" t="s">
        <v>21</v>
      </c>
      <c r="YJ10" s="87" t="s">
        <v>22</v>
      </c>
      <c r="YK10" s="87"/>
      <c r="YL10" s="87"/>
      <c r="YM10" s="86" t="s">
        <v>23</v>
      </c>
      <c r="YN10" s="86" t="s">
        <v>24</v>
      </c>
      <c r="YO10" s="82"/>
      <c r="YP10" s="87" t="s">
        <v>25</v>
      </c>
      <c r="YQ10" s="87"/>
      <c r="YR10" s="87"/>
      <c r="YS10" s="87" t="s">
        <v>26</v>
      </c>
      <c r="YT10" s="87"/>
      <c r="YW10" s="86" t="s">
        <v>21</v>
      </c>
      <c r="YX10" s="87" t="s">
        <v>22</v>
      </c>
      <c r="YY10" s="87"/>
      <c r="YZ10" s="87"/>
      <c r="ZA10" s="86" t="s">
        <v>23</v>
      </c>
      <c r="ZB10" s="86" t="s">
        <v>24</v>
      </c>
      <c r="ZC10" s="82"/>
      <c r="ZD10" s="87" t="s">
        <v>25</v>
      </c>
      <c r="ZE10" s="87"/>
      <c r="ZF10" s="87"/>
      <c r="ZG10" s="87" t="s">
        <v>26</v>
      </c>
      <c r="ZH10" s="87"/>
      <c r="ZK10" s="86" t="s">
        <v>21</v>
      </c>
      <c r="ZL10" s="87" t="s">
        <v>22</v>
      </c>
      <c r="ZM10" s="87"/>
      <c r="ZN10" s="87"/>
      <c r="ZO10" s="86" t="s">
        <v>23</v>
      </c>
      <c r="ZP10" s="86" t="s">
        <v>24</v>
      </c>
      <c r="ZQ10" s="82"/>
      <c r="ZR10" s="87" t="s">
        <v>25</v>
      </c>
      <c r="ZS10" s="87"/>
      <c r="ZT10" s="87"/>
      <c r="ZU10" s="87" t="s">
        <v>26</v>
      </c>
      <c r="ZV10" s="87"/>
    </row>
    <row r="11" spans="1:1023 1026:2631" x14ac:dyDescent="0.25">
      <c r="A11" s="88"/>
      <c r="B11" s="89" t="s">
        <v>27</v>
      </c>
      <c r="C11" s="90"/>
      <c r="D11" s="91"/>
      <c r="E11" s="92">
        <v>0.05</v>
      </c>
      <c r="F11" s="93">
        <f>E11*$L$7</f>
        <v>1750</v>
      </c>
      <c r="H11" s="94"/>
      <c r="I11" s="94"/>
      <c r="J11" s="94"/>
      <c r="K11" s="95"/>
      <c r="L11" s="95"/>
      <c r="O11" s="88"/>
      <c r="P11" s="89" t="s">
        <v>27</v>
      </c>
      <c r="Q11" s="90"/>
      <c r="R11" s="91"/>
      <c r="S11" s="92">
        <v>0.05</v>
      </c>
      <c r="T11" s="93">
        <f>S11*$Z$7</f>
        <v>1750</v>
      </c>
      <c r="V11" s="94"/>
      <c r="W11" s="94"/>
      <c r="X11" s="94"/>
      <c r="Y11" s="95"/>
      <c r="Z11" s="95"/>
      <c r="AC11" s="96"/>
      <c r="AD11" s="89" t="s">
        <v>27</v>
      </c>
      <c r="AE11" s="90"/>
      <c r="AF11" s="91"/>
      <c r="AG11" s="92">
        <v>0.05</v>
      </c>
      <c r="AH11" s="93">
        <f>AG11*$AN$7</f>
        <v>1650</v>
      </c>
      <c r="AJ11" s="94"/>
      <c r="AK11" s="94"/>
      <c r="AL11" s="94"/>
      <c r="AM11" s="95"/>
      <c r="AN11" s="95"/>
      <c r="AQ11" s="88"/>
      <c r="AR11" s="89" t="s">
        <v>27</v>
      </c>
      <c r="AS11" s="90"/>
      <c r="AT11" s="91"/>
      <c r="AU11" s="92">
        <v>0.05</v>
      </c>
      <c r="AV11" s="93">
        <f>AU11*$BB$7</f>
        <v>1350</v>
      </c>
      <c r="AX11" s="94"/>
      <c r="AY11" s="94"/>
      <c r="AZ11" s="94"/>
      <c r="BA11" s="95"/>
      <c r="BB11" s="95"/>
      <c r="BE11" s="88"/>
      <c r="BF11" s="89" t="s">
        <v>27</v>
      </c>
      <c r="BG11" s="90"/>
      <c r="BH11" s="91"/>
      <c r="BI11" s="92">
        <v>0.05</v>
      </c>
      <c r="BJ11" s="93">
        <f>BI11*$BP$7</f>
        <v>1750</v>
      </c>
      <c r="BL11" s="94"/>
      <c r="BM11" s="94"/>
      <c r="BN11" s="94"/>
      <c r="BO11" s="95"/>
      <c r="BP11" s="95"/>
      <c r="BS11" s="88"/>
      <c r="BT11" s="89" t="s">
        <v>27</v>
      </c>
      <c r="BU11" s="90"/>
      <c r="BV11" s="91"/>
      <c r="BW11" s="92">
        <v>0.05</v>
      </c>
      <c r="BX11" s="93">
        <f>BW11*$CD$7</f>
        <v>1550</v>
      </c>
      <c r="BZ11" s="94"/>
      <c r="CA11" s="94"/>
      <c r="CB11" s="94"/>
      <c r="CC11" s="95"/>
      <c r="CD11" s="95"/>
      <c r="CG11" s="88"/>
      <c r="CH11" s="89" t="s">
        <v>27</v>
      </c>
      <c r="CI11" s="90"/>
      <c r="CJ11" s="91"/>
      <c r="CK11" s="92">
        <v>0.05</v>
      </c>
      <c r="CL11" s="93">
        <f>CK11*$CR$7</f>
        <v>1750</v>
      </c>
      <c r="CN11" s="94"/>
      <c r="CO11" s="94"/>
      <c r="CP11" s="94"/>
      <c r="CQ11" s="95"/>
      <c r="CR11" s="95"/>
      <c r="CU11" s="88"/>
      <c r="CV11" s="89" t="s">
        <v>27</v>
      </c>
      <c r="CW11" s="90"/>
      <c r="CX11" s="91"/>
      <c r="CY11" s="92">
        <v>0.05</v>
      </c>
      <c r="CZ11" s="93">
        <f>CY11*$CR$7</f>
        <v>1750</v>
      </c>
      <c r="DB11" s="94"/>
      <c r="DC11" s="94"/>
      <c r="DD11" s="94"/>
      <c r="DE11" s="95"/>
      <c r="DF11" s="95"/>
      <c r="DI11" s="88"/>
      <c r="DJ11" s="89" t="s">
        <v>27</v>
      </c>
      <c r="DK11" s="90"/>
      <c r="DL11" s="91"/>
      <c r="DM11" s="92">
        <v>0.05</v>
      </c>
      <c r="DN11" s="93">
        <f>DM11*$DT$7</f>
        <v>1750</v>
      </c>
      <c r="DP11" s="94"/>
      <c r="DQ11" s="94"/>
      <c r="DR11" s="94"/>
      <c r="DS11" s="95"/>
      <c r="DT11" s="95"/>
      <c r="DW11" s="88"/>
      <c r="DX11" s="89" t="s">
        <v>27</v>
      </c>
      <c r="DY11" s="90"/>
      <c r="DZ11" s="91"/>
      <c r="EA11" s="92">
        <v>0.05</v>
      </c>
      <c r="EB11" s="93">
        <f>EA11*$EH$7</f>
        <v>1750</v>
      </c>
      <c r="ED11" s="94"/>
      <c r="EE11" s="94"/>
      <c r="EF11" s="94"/>
      <c r="EG11" s="95"/>
      <c r="EH11" s="95"/>
      <c r="EK11" s="88"/>
      <c r="EL11" s="89" t="s">
        <v>27</v>
      </c>
      <c r="EM11" s="90"/>
      <c r="EN11" s="91"/>
      <c r="EO11" s="92">
        <v>0.05</v>
      </c>
      <c r="EP11" s="93">
        <f>EO11*$EV$7</f>
        <v>1750</v>
      </c>
      <c r="ER11" s="94"/>
      <c r="ES11" s="94"/>
      <c r="ET11" s="94"/>
      <c r="EU11" s="95"/>
      <c r="EV11" s="95"/>
      <c r="EY11" s="88"/>
      <c r="EZ11" s="89" t="s">
        <v>27</v>
      </c>
      <c r="FA11" s="90"/>
      <c r="FB11" s="91"/>
      <c r="FC11" s="92">
        <v>0.05</v>
      </c>
      <c r="FD11" s="93">
        <f>FC11*$FJ$7</f>
        <v>1750</v>
      </c>
      <c r="FF11" s="94"/>
      <c r="FG11" s="94"/>
      <c r="FH11" s="94"/>
      <c r="FI11" s="95"/>
      <c r="FJ11" s="95"/>
      <c r="FM11" s="88"/>
      <c r="FN11" s="89" t="s">
        <v>27</v>
      </c>
      <c r="FO11" s="90"/>
      <c r="FP11" s="91"/>
      <c r="FQ11" s="92">
        <v>0.05</v>
      </c>
      <c r="FR11" s="93">
        <f>FQ11*$FX$7</f>
        <v>1750</v>
      </c>
      <c r="FT11" s="94"/>
      <c r="FU11" s="94"/>
      <c r="FV11" s="94"/>
      <c r="FW11" s="95"/>
      <c r="FX11" s="95"/>
      <c r="GA11" s="88"/>
      <c r="GB11" s="89" t="s">
        <v>27</v>
      </c>
      <c r="GC11" s="90"/>
      <c r="GD11" s="91"/>
      <c r="GE11" s="92">
        <v>0.05</v>
      </c>
      <c r="GF11" s="93">
        <f>GE11*$GL$7</f>
        <v>1750</v>
      </c>
      <c r="GH11" s="94"/>
      <c r="GI11" s="94"/>
      <c r="GJ11" s="94"/>
      <c r="GK11" s="95"/>
      <c r="GL11" s="95"/>
      <c r="GO11" s="88"/>
      <c r="GP11" s="89" t="s">
        <v>27</v>
      </c>
      <c r="GQ11" s="90"/>
      <c r="GR11" s="91"/>
      <c r="GS11" s="92">
        <v>0.05</v>
      </c>
      <c r="GT11" s="93">
        <f>GS11*$GZ$7</f>
        <v>1750</v>
      </c>
      <c r="GV11" s="94"/>
      <c r="GW11" s="94"/>
      <c r="GX11" s="94"/>
      <c r="GY11" s="95"/>
      <c r="GZ11" s="95"/>
      <c r="HC11" s="88"/>
      <c r="HD11" s="89" t="s">
        <v>27</v>
      </c>
      <c r="HE11" s="90"/>
      <c r="HF11" s="91"/>
      <c r="HG11" s="92">
        <v>0.05</v>
      </c>
      <c r="HH11" s="93">
        <f>HG11*$HN$7</f>
        <v>1750</v>
      </c>
      <c r="HJ11" s="94"/>
      <c r="HK11" s="94"/>
      <c r="HL11" s="94"/>
      <c r="HM11" s="95"/>
      <c r="HN11" s="95"/>
      <c r="HQ11" s="88"/>
      <c r="HR11" s="89" t="s">
        <v>27</v>
      </c>
      <c r="HS11" s="90"/>
      <c r="HT11" s="91"/>
      <c r="HU11" s="92">
        <v>0.05</v>
      </c>
      <c r="HV11" s="93">
        <f>HU11*$IB$7</f>
        <v>1750</v>
      </c>
      <c r="HX11" s="94"/>
      <c r="HY11" s="94"/>
      <c r="HZ11" s="94"/>
      <c r="IA11" s="95"/>
      <c r="IB11" s="95"/>
      <c r="IE11" s="88"/>
      <c r="IF11" s="89" t="s">
        <v>27</v>
      </c>
      <c r="IG11" s="90"/>
      <c r="IH11" s="91"/>
      <c r="II11" s="92">
        <v>0.05</v>
      </c>
      <c r="IJ11" s="93">
        <f>II11*$IP$7</f>
        <v>1750</v>
      </c>
      <c r="IL11" s="94"/>
      <c r="IM11" s="94"/>
      <c r="IN11" s="94"/>
      <c r="IO11" s="95"/>
      <c r="IP11" s="95"/>
      <c r="IS11" s="88"/>
      <c r="IT11" s="89" t="s">
        <v>27</v>
      </c>
      <c r="IU11" s="90"/>
      <c r="IV11" s="91"/>
      <c r="IW11" s="92">
        <v>0.05</v>
      </c>
      <c r="IX11" s="93">
        <f>IW11*$JD$7</f>
        <v>1750</v>
      </c>
      <c r="IZ11" s="94"/>
      <c r="JA11" s="94"/>
      <c r="JB11" s="94"/>
      <c r="JC11" s="95"/>
      <c r="JD11" s="95"/>
      <c r="JG11" s="88"/>
      <c r="JH11" s="89" t="s">
        <v>27</v>
      </c>
      <c r="JI11" s="90"/>
      <c r="JJ11" s="91"/>
      <c r="JK11" s="92">
        <v>0.05</v>
      </c>
      <c r="JL11" s="93">
        <f>JK11*$JR$7</f>
        <v>1750</v>
      </c>
      <c r="JN11" s="94"/>
      <c r="JO11" s="94"/>
      <c r="JP11" s="94"/>
      <c r="JQ11" s="95"/>
      <c r="JR11" s="95"/>
      <c r="JU11" s="88"/>
      <c r="JV11" s="89" t="s">
        <v>27</v>
      </c>
      <c r="JW11" s="90"/>
      <c r="JX11" s="91"/>
      <c r="JY11" s="92">
        <v>0.05</v>
      </c>
      <c r="JZ11" s="93">
        <f>JY11*$KF$7</f>
        <v>1750</v>
      </c>
      <c r="KB11" s="94"/>
      <c r="KC11" s="94"/>
      <c r="KD11" s="94"/>
      <c r="KE11" s="95"/>
      <c r="KF11" s="95"/>
      <c r="KI11" s="88"/>
      <c r="KJ11" s="89" t="s">
        <v>27</v>
      </c>
      <c r="KK11" s="90"/>
      <c r="KL11" s="91"/>
      <c r="KM11" s="92">
        <v>0.05</v>
      </c>
      <c r="KN11" s="93">
        <f>KM11*$KT$7</f>
        <v>1750</v>
      </c>
      <c r="KP11" s="94"/>
      <c r="KQ11" s="94"/>
      <c r="KR11" s="94"/>
      <c r="KS11" s="95"/>
      <c r="KT11" s="95"/>
      <c r="KW11" s="97"/>
      <c r="KX11" s="89" t="s">
        <v>27</v>
      </c>
      <c r="KY11" s="90"/>
      <c r="KZ11" s="91"/>
      <c r="LA11" s="92">
        <v>0.05</v>
      </c>
      <c r="LB11" s="93">
        <f>LA11*$LH$7</f>
        <v>1750</v>
      </c>
      <c r="LD11" s="94"/>
      <c r="LE11" s="94"/>
      <c r="LF11" s="94"/>
      <c r="LG11" s="95"/>
      <c r="LH11" s="95"/>
      <c r="LK11" s="97"/>
      <c r="LL11" s="89" t="s">
        <v>27</v>
      </c>
      <c r="LM11" s="90"/>
      <c r="LN11" s="91"/>
      <c r="LO11" s="92">
        <v>0.05</v>
      </c>
      <c r="LP11" s="93">
        <f>LO11*$LV$7</f>
        <v>1750</v>
      </c>
      <c r="LR11" s="94"/>
      <c r="LS11" s="94"/>
      <c r="LT11" s="94"/>
      <c r="LU11" s="95"/>
      <c r="LV11" s="95"/>
      <c r="LY11" s="97"/>
      <c r="LZ11" s="89" t="s">
        <v>28</v>
      </c>
      <c r="MA11" s="90"/>
      <c r="MB11" s="91"/>
      <c r="MC11" s="92">
        <v>0.05</v>
      </c>
      <c r="MD11" s="93">
        <f>MC11*$MJ$7</f>
        <v>1750</v>
      </c>
      <c r="MF11" s="94"/>
      <c r="MG11" s="94"/>
      <c r="MH11" s="94"/>
      <c r="MI11" s="95"/>
      <c r="MJ11" s="95"/>
      <c r="MM11" s="97"/>
      <c r="MN11" s="89" t="s">
        <v>28</v>
      </c>
      <c r="MO11" s="90"/>
      <c r="MP11" s="91"/>
      <c r="MQ11" s="92">
        <v>0.05</v>
      </c>
      <c r="MR11" s="93">
        <f>MQ11*$MX$7</f>
        <v>1750</v>
      </c>
      <c r="MT11" s="94"/>
      <c r="MU11" s="94"/>
      <c r="MV11" s="94"/>
      <c r="MW11" s="95"/>
      <c r="MX11" s="95"/>
      <c r="NA11" s="97"/>
      <c r="NB11" s="89" t="s">
        <v>28</v>
      </c>
      <c r="NC11" s="90"/>
      <c r="ND11" s="91"/>
      <c r="NE11" s="92">
        <v>0.05</v>
      </c>
      <c r="NF11" s="93">
        <f>NE11*$NL$7</f>
        <v>1750</v>
      </c>
      <c r="NH11" s="94"/>
      <c r="NI11" s="94"/>
      <c r="NJ11" s="94"/>
      <c r="NK11" s="95"/>
      <c r="NL11" s="95"/>
      <c r="NO11" s="97"/>
      <c r="NP11" s="89" t="s">
        <v>28</v>
      </c>
      <c r="NQ11" s="90"/>
      <c r="NR11" s="91"/>
      <c r="NS11" s="92">
        <v>0.05</v>
      </c>
      <c r="NT11" s="93">
        <f>NS11*$NZ$7</f>
        <v>1750</v>
      </c>
      <c r="NV11" s="94"/>
      <c r="NW11" s="94"/>
      <c r="NX11" s="94"/>
      <c r="NY11" s="95"/>
      <c r="NZ11" s="95"/>
      <c r="OC11" s="97"/>
      <c r="OD11" s="89" t="s">
        <v>28</v>
      </c>
      <c r="OE11" s="90"/>
      <c r="OF11" s="91"/>
      <c r="OG11" s="92">
        <v>0.05</v>
      </c>
      <c r="OH11" s="93">
        <f>OG11*$ON$7</f>
        <v>1750</v>
      </c>
      <c r="OJ11" s="94"/>
      <c r="OK11" s="94"/>
      <c r="OL11" s="94"/>
      <c r="OM11" s="95"/>
      <c r="ON11" s="95"/>
      <c r="OQ11" s="97"/>
      <c r="OR11" s="89" t="s">
        <v>28</v>
      </c>
      <c r="OS11" s="90"/>
      <c r="OT11" s="91"/>
      <c r="OU11" s="92">
        <v>0.05</v>
      </c>
      <c r="OV11" s="93">
        <f>OU11*$PB$7</f>
        <v>1750</v>
      </c>
      <c r="OX11" s="94"/>
      <c r="OY11" s="94"/>
      <c r="OZ11" s="94"/>
      <c r="PA11" s="95"/>
      <c r="PB11" s="95"/>
      <c r="PE11" s="97"/>
      <c r="PF11" s="89" t="s">
        <v>28</v>
      </c>
      <c r="PG11" s="90"/>
      <c r="PH11" s="91"/>
      <c r="PI11" s="92">
        <v>0.05</v>
      </c>
      <c r="PJ11" s="93">
        <f>PI11*$PP$7</f>
        <v>1750</v>
      </c>
      <c r="PL11" s="94"/>
      <c r="PM11" s="94"/>
      <c r="PN11" s="94"/>
      <c r="PO11" s="95"/>
      <c r="PP11" s="95"/>
      <c r="PS11" s="97"/>
      <c r="PT11" s="89" t="s">
        <v>28</v>
      </c>
      <c r="PU11" s="90"/>
      <c r="PV11" s="91"/>
      <c r="PW11" s="92">
        <v>0.05</v>
      </c>
      <c r="PX11" s="93">
        <f>PW11*$QD$7</f>
        <v>1750</v>
      </c>
      <c r="PZ11" s="94"/>
      <c r="QA11" s="94"/>
      <c r="QB11" s="94"/>
      <c r="QC11" s="95"/>
      <c r="QD11" s="95"/>
      <c r="QG11" s="97"/>
      <c r="QH11" s="89" t="s">
        <v>28</v>
      </c>
      <c r="QI11" s="90"/>
      <c r="QJ11" s="91"/>
      <c r="QK11" s="92">
        <v>0.05</v>
      </c>
      <c r="QL11" s="93">
        <f>QK11*$QR$7</f>
        <v>1750</v>
      </c>
      <c r="QN11" s="94"/>
      <c r="QO11" s="94"/>
      <c r="QP11" s="94"/>
      <c r="QQ11" s="95"/>
      <c r="QR11" s="95"/>
      <c r="QU11" s="97"/>
      <c r="QV11" s="89" t="s">
        <v>28</v>
      </c>
      <c r="QW11" s="90"/>
      <c r="QX11" s="91"/>
      <c r="QY11" s="92">
        <v>0.05</v>
      </c>
      <c r="QZ11" s="93">
        <f>QY11*$RF$7</f>
        <v>1750</v>
      </c>
      <c r="RB11" s="94"/>
      <c r="RC11" s="94"/>
      <c r="RD11" s="94"/>
      <c r="RE11" s="95"/>
      <c r="RF11" s="95"/>
      <c r="RI11" s="97"/>
      <c r="RJ11" s="89" t="s">
        <v>28</v>
      </c>
      <c r="RK11" s="90"/>
      <c r="RL11" s="91"/>
      <c r="RM11" s="92">
        <v>0.05</v>
      </c>
      <c r="RN11" s="93">
        <f>RM11*$RT$7</f>
        <v>1750</v>
      </c>
      <c r="RP11" s="94"/>
      <c r="RQ11" s="94"/>
      <c r="RR11" s="94"/>
      <c r="RS11" s="95"/>
      <c r="RT11" s="95"/>
      <c r="RW11" s="97"/>
      <c r="RX11" s="89" t="s">
        <v>28</v>
      </c>
      <c r="RY11" s="90"/>
      <c r="RZ11" s="91"/>
      <c r="SA11" s="92">
        <v>0.05</v>
      </c>
      <c r="SB11" s="93">
        <f>SA11*$SH$7</f>
        <v>1750</v>
      </c>
      <c r="SD11" s="94"/>
      <c r="SE11" s="94"/>
      <c r="SF11" s="94"/>
      <c r="SG11" s="95"/>
      <c r="SH11" s="95"/>
      <c r="SK11" s="97"/>
      <c r="SL11" s="89" t="s">
        <v>28</v>
      </c>
      <c r="SM11" s="90"/>
      <c r="SN11" s="91"/>
      <c r="SO11" s="92">
        <v>0.05</v>
      </c>
      <c r="SP11" s="93">
        <f>SO11*$SV$7</f>
        <v>1750</v>
      </c>
      <c r="SR11" s="94"/>
      <c r="SS11" s="94"/>
      <c r="ST11" s="94"/>
      <c r="SU11" s="95"/>
      <c r="SV11" s="95"/>
      <c r="SY11" s="97"/>
      <c r="SZ11" s="89" t="s">
        <v>28</v>
      </c>
      <c r="TA11" s="90"/>
      <c r="TB11" s="91"/>
      <c r="TC11" s="92">
        <v>0.05</v>
      </c>
      <c r="TD11" s="93">
        <f>TC11*$TJ$7</f>
        <v>1750</v>
      </c>
      <c r="TF11" s="94"/>
      <c r="TG11" s="94"/>
      <c r="TH11" s="94"/>
      <c r="TI11" s="95"/>
      <c r="TJ11" s="95"/>
      <c r="TM11" s="97"/>
      <c r="TN11" s="89" t="s">
        <v>28</v>
      </c>
      <c r="TO11" s="90"/>
      <c r="TP11" s="91"/>
      <c r="TQ11" s="92">
        <v>0.05</v>
      </c>
      <c r="TR11" s="93">
        <f>TQ11*$TX$7</f>
        <v>1750</v>
      </c>
      <c r="TT11" s="94"/>
      <c r="TU11" s="94"/>
      <c r="TV11" s="94"/>
      <c r="TW11" s="95"/>
      <c r="TX11" s="95"/>
      <c r="UA11" s="97"/>
      <c r="UB11" s="89" t="s">
        <v>28</v>
      </c>
      <c r="UC11" s="90"/>
      <c r="UD11" s="91"/>
      <c r="UE11" s="92">
        <v>0.05</v>
      </c>
      <c r="UF11" s="93">
        <f>UE11*$UL$7</f>
        <v>1750</v>
      </c>
      <c r="UH11" s="94"/>
      <c r="UI11" s="94"/>
      <c r="UJ11" s="94"/>
      <c r="UK11" s="95"/>
      <c r="UL11" s="95"/>
      <c r="UO11" s="97"/>
      <c r="UP11" s="89" t="s">
        <v>28</v>
      </c>
      <c r="UQ11" s="90"/>
      <c r="UR11" s="91"/>
      <c r="US11" s="92">
        <v>0.05</v>
      </c>
      <c r="UT11" s="93">
        <f>US11*$UZ$7</f>
        <v>1750</v>
      </c>
      <c r="UV11" s="94"/>
      <c r="UW11" s="94"/>
      <c r="UX11" s="94"/>
      <c r="UY11" s="95"/>
      <c r="UZ11" s="95"/>
      <c r="VC11" s="97"/>
      <c r="VD11" s="89" t="s">
        <v>28</v>
      </c>
      <c r="VE11" s="90"/>
      <c r="VF11" s="91"/>
      <c r="VG11" s="92">
        <v>0.05</v>
      </c>
      <c r="VH11" s="93">
        <f>VG11*$VN$7</f>
        <v>1750</v>
      </c>
      <c r="VJ11" s="94"/>
      <c r="VK11" s="94"/>
      <c r="VL11" s="94"/>
      <c r="VM11" s="95"/>
      <c r="VN11" s="95"/>
      <c r="VQ11" s="97"/>
      <c r="VR11" s="89" t="s">
        <v>28</v>
      </c>
      <c r="VS11" s="90"/>
      <c r="VT11" s="91"/>
      <c r="VU11" s="92">
        <v>0.05</v>
      </c>
      <c r="VV11" s="93">
        <f>VU11*$WB$7</f>
        <v>1750</v>
      </c>
      <c r="VX11" s="94"/>
      <c r="VY11" s="94"/>
      <c r="VZ11" s="94"/>
      <c r="WA11" s="95"/>
      <c r="WB11" s="95"/>
      <c r="WE11" s="97"/>
      <c r="WF11" s="89" t="s">
        <v>28</v>
      </c>
      <c r="WG11" s="90"/>
      <c r="WH11" s="91"/>
      <c r="WI11" s="92">
        <v>0.05</v>
      </c>
      <c r="WJ11" s="93">
        <f>WI11*$WP$7</f>
        <v>1750</v>
      </c>
      <c r="WL11" s="94"/>
      <c r="WM11" s="94"/>
      <c r="WN11" s="94"/>
      <c r="WO11" s="95"/>
      <c r="WP11" s="95"/>
      <c r="WS11" s="97"/>
      <c r="WT11" s="89" t="s">
        <v>28</v>
      </c>
      <c r="WU11" s="90"/>
      <c r="WV11" s="91"/>
      <c r="WW11" s="92">
        <v>0.05</v>
      </c>
      <c r="WX11" s="93">
        <f>WW11*$XD$7</f>
        <v>1750</v>
      </c>
      <c r="WZ11" s="94"/>
      <c r="XA11" s="94"/>
      <c r="XB11" s="94"/>
      <c r="XC11" s="95"/>
      <c r="XD11" s="95"/>
      <c r="XG11" s="97"/>
      <c r="XH11" s="89" t="s">
        <v>28</v>
      </c>
      <c r="XI11" s="90"/>
      <c r="XJ11" s="91"/>
      <c r="XK11" s="92">
        <v>0.05</v>
      </c>
      <c r="XL11" s="93">
        <f>XK11*$XR$7</f>
        <v>1750</v>
      </c>
      <c r="XN11" s="94"/>
      <c r="XO11" s="94"/>
      <c r="XP11" s="94"/>
      <c r="XQ11" s="95"/>
      <c r="XR11" s="95"/>
      <c r="XU11" s="97"/>
      <c r="XV11" s="89" t="s">
        <v>28</v>
      </c>
      <c r="XW11" s="90"/>
      <c r="XX11" s="91"/>
      <c r="XY11" s="92">
        <v>0.05</v>
      </c>
      <c r="XZ11" s="93">
        <f>XY11*$YF$7</f>
        <v>1750</v>
      </c>
      <c r="YB11" s="94"/>
      <c r="YC11" s="94"/>
      <c r="YD11" s="94"/>
      <c r="YE11" s="95"/>
      <c r="YF11" s="95"/>
      <c r="YI11" s="97"/>
      <c r="YJ11" s="89" t="s">
        <v>28</v>
      </c>
      <c r="YK11" s="90"/>
      <c r="YL11" s="91"/>
      <c r="YM11" s="92">
        <v>0.05</v>
      </c>
      <c r="YN11" s="93">
        <f>YM11*$YT$7</f>
        <v>500</v>
      </c>
      <c r="YP11" s="94"/>
      <c r="YQ11" s="94"/>
      <c r="YR11" s="94"/>
      <c r="YS11" s="95"/>
      <c r="YT11" s="95"/>
      <c r="YW11" s="97"/>
      <c r="YX11" s="89" t="s">
        <v>28</v>
      </c>
      <c r="YY11" s="90"/>
      <c r="YZ11" s="91"/>
      <c r="ZA11" s="92">
        <v>0.05</v>
      </c>
      <c r="ZB11" s="93">
        <f>ZA11*$ZH$7</f>
        <v>1750</v>
      </c>
      <c r="ZD11" s="94"/>
      <c r="ZE11" s="94"/>
      <c r="ZF11" s="94"/>
      <c r="ZG11" s="95"/>
      <c r="ZH11" s="95"/>
      <c r="ZK11" s="97"/>
      <c r="ZL11" s="89" t="s">
        <v>28</v>
      </c>
      <c r="ZM11" s="90"/>
      <c r="ZN11" s="91"/>
      <c r="ZO11" s="92">
        <v>0.05</v>
      </c>
      <c r="ZP11" s="93">
        <f>ZO11*$ZV$7</f>
        <v>1750</v>
      </c>
      <c r="ZR11" s="94"/>
      <c r="ZS11" s="94"/>
      <c r="ZT11" s="94"/>
      <c r="ZU11" s="95"/>
      <c r="ZV11" s="95"/>
      <c r="ZY11" s="98"/>
      <c r="ZZ11" s="99" t="s">
        <v>29</v>
      </c>
      <c r="AAA11" s="100"/>
      <c r="AAB11" s="100"/>
      <c r="AAC11" s="100" t="s">
        <v>22</v>
      </c>
      <c r="AAD11" s="100"/>
      <c r="AAE11" s="100"/>
      <c r="AAF11" s="101" t="s">
        <v>30</v>
      </c>
      <c r="AAG11" s="100" t="s">
        <v>31</v>
      </c>
      <c r="AAH11" s="100"/>
      <c r="AAI11" s="102" t="s">
        <v>32</v>
      </c>
      <c r="AAJ11" s="103"/>
      <c r="AAL11" s="98"/>
      <c r="AAM11" s="99" t="s">
        <v>29</v>
      </c>
      <c r="AAN11" s="100"/>
      <c r="AAO11" s="100"/>
      <c r="AAP11" s="100" t="s">
        <v>22</v>
      </c>
      <c r="AAQ11" s="100"/>
      <c r="AAR11" s="100"/>
      <c r="AAS11" s="101" t="s">
        <v>30</v>
      </c>
      <c r="AAT11" s="100" t="s">
        <v>31</v>
      </c>
      <c r="AAU11" s="100"/>
      <c r="AAV11" s="102" t="s">
        <v>32</v>
      </c>
      <c r="AAY11" s="98"/>
      <c r="AAZ11" s="99" t="s">
        <v>29</v>
      </c>
      <c r="ABA11" s="100"/>
      <c r="ABB11" s="100"/>
      <c r="ABC11" s="100" t="s">
        <v>22</v>
      </c>
      <c r="ABD11" s="100"/>
      <c r="ABE11" s="100"/>
      <c r="ABF11" s="101" t="s">
        <v>30</v>
      </c>
      <c r="ABG11" s="100" t="s">
        <v>31</v>
      </c>
      <c r="ABH11" s="100"/>
      <c r="ABI11" s="102" t="s">
        <v>32</v>
      </c>
      <c r="ABL11" s="98"/>
      <c r="ABM11" s="99" t="s">
        <v>29</v>
      </c>
      <c r="ABN11" s="100"/>
      <c r="ABO11" s="100"/>
      <c r="ABP11" s="100" t="s">
        <v>22</v>
      </c>
      <c r="ABQ11" s="100"/>
      <c r="ABR11" s="100"/>
      <c r="ABS11" s="101" t="s">
        <v>30</v>
      </c>
      <c r="ABT11" s="100" t="s">
        <v>31</v>
      </c>
      <c r="ABU11" s="100"/>
      <c r="ABV11" s="102" t="s">
        <v>32</v>
      </c>
      <c r="ABY11" s="98"/>
      <c r="ABZ11" s="99" t="s">
        <v>29</v>
      </c>
      <c r="ACA11" s="100"/>
      <c r="ACB11" s="100"/>
      <c r="ACC11" s="100" t="s">
        <v>22</v>
      </c>
      <c r="ACD11" s="100"/>
      <c r="ACE11" s="100"/>
      <c r="ACF11" s="101" t="s">
        <v>30</v>
      </c>
      <c r="ACG11" s="100" t="s">
        <v>31</v>
      </c>
      <c r="ACH11" s="100"/>
      <c r="ACI11" s="102" t="s">
        <v>32</v>
      </c>
      <c r="ACL11" s="98"/>
      <c r="ACM11" s="99" t="s">
        <v>29</v>
      </c>
      <c r="ACN11" s="100"/>
      <c r="ACO11" s="100"/>
      <c r="ACP11" s="100" t="s">
        <v>22</v>
      </c>
      <c r="ACQ11" s="100"/>
      <c r="ACR11" s="100"/>
      <c r="ACS11" s="101" t="s">
        <v>30</v>
      </c>
      <c r="ACT11" s="100" t="s">
        <v>31</v>
      </c>
      <c r="ACU11" s="100"/>
      <c r="ACV11" s="102" t="s">
        <v>32</v>
      </c>
      <c r="ACY11" s="98"/>
      <c r="ACZ11" s="99" t="s">
        <v>29</v>
      </c>
      <c r="ADA11" s="100"/>
      <c r="ADB11" s="100"/>
      <c r="ADC11" s="100" t="s">
        <v>22</v>
      </c>
      <c r="ADD11" s="100"/>
      <c r="ADE11" s="100"/>
      <c r="ADF11" s="101" t="s">
        <v>30</v>
      </c>
      <c r="ADG11" s="100" t="s">
        <v>31</v>
      </c>
      <c r="ADH11" s="100"/>
      <c r="ADI11" s="102" t="s">
        <v>32</v>
      </c>
      <c r="ADL11" s="98"/>
      <c r="ADM11" s="99" t="s">
        <v>29</v>
      </c>
      <c r="ADN11" s="100"/>
      <c r="ADO11" s="100"/>
      <c r="ADP11" s="100" t="s">
        <v>22</v>
      </c>
      <c r="ADQ11" s="100"/>
      <c r="ADR11" s="100"/>
      <c r="ADS11" s="101" t="s">
        <v>30</v>
      </c>
      <c r="ADT11" s="100" t="s">
        <v>31</v>
      </c>
      <c r="ADU11" s="100"/>
      <c r="ADV11" s="102" t="s">
        <v>32</v>
      </c>
      <c r="ADY11" s="98"/>
      <c r="ADZ11" s="99" t="s">
        <v>29</v>
      </c>
      <c r="AEA11" s="100"/>
      <c r="AEB11" s="100"/>
      <c r="AEC11" s="100" t="s">
        <v>22</v>
      </c>
      <c r="AED11" s="100"/>
      <c r="AEE11" s="100"/>
      <c r="AEF11" s="101" t="s">
        <v>30</v>
      </c>
      <c r="AEG11" s="100" t="s">
        <v>31</v>
      </c>
      <c r="AEH11" s="100"/>
      <c r="AEI11" s="102" t="s">
        <v>32</v>
      </c>
      <c r="AEL11" s="98"/>
      <c r="AEM11" s="99" t="s">
        <v>29</v>
      </c>
      <c r="AEN11" s="100"/>
      <c r="AEO11" s="100"/>
      <c r="AEP11" s="100" t="s">
        <v>22</v>
      </c>
      <c r="AEQ11" s="100"/>
      <c r="AER11" s="100"/>
      <c r="AES11" s="101" t="s">
        <v>30</v>
      </c>
      <c r="AET11" s="100" t="s">
        <v>31</v>
      </c>
      <c r="AEU11" s="100"/>
      <c r="AEV11" s="102" t="s">
        <v>32</v>
      </c>
      <c r="AEY11" s="98"/>
      <c r="AEZ11" s="99" t="s">
        <v>29</v>
      </c>
      <c r="AFA11" s="100"/>
      <c r="AFB11" s="100"/>
      <c r="AFC11" s="100" t="s">
        <v>22</v>
      </c>
      <c r="AFD11" s="100"/>
      <c r="AFE11" s="100"/>
      <c r="AFF11" s="101" t="s">
        <v>30</v>
      </c>
      <c r="AFG11" s="100" t="s">
        <v>31</v>
      </c>
      <c r="AFH11" s="100"/>
      <c r="AFI11" s="102" t="s">
        <v>32</v>
      </c>
      <c r="AFL11" s="98"/>
      <c r="AFM11" s="99" t="s">
        <v>29</v>
      </c>
      <c r="AFN11" s="100"/>
      <c r="AFO11" s="100"/>
      <c r="AFP11" s="100" t="s">
        <v>22</v>
      </c>
      <c r="AFQ11" s="100"/>
      <c r="AFR11" s="100"/>
      <c r="AFS11" s="101" t="s">
        <v>30</v>
      </c>
      <c r="AFT11" s="100" t="s">
        <v>31</v>
      </c>
      <c r="AFU11" s="100"/>
      <c r="AFV11" s="102" t="s">
        <v>32</v>
      </c>
      <c r="AFZ11" s="99" t="s">
        <v>29</v>
      </c>
      <c r="AGA11" s="100"/>
      <c r="AGB11" s="100"/>
      <c r="AGC11" s="100" t="s">
        <v>22</v>
      </c>
      <c r="AGD11" s="100"/>
      <c r="AGE11" s="100"/>
      <c r="AGF11" s="101" t="s">
        <v>30</v>
      </c>
      <c r="AGG11" s="100" t="s">
        <v>31</v>
      </c>
      <c r="AGH11" s="100"/>
      <c r="AGI11" s="102" t="s">
        <v>32</v>
      </c>
      <c r="AGL11" s="99" t="s">
        <v>29</v>
      </c>
      <c r="AGM11" s="100"/>
      <c r="AGN11" s="100"/>
      <c r="AGO11" s="100" t="s">
        <v>22</v>
      </c>
      <c r="AGP11" s="100"/>
      <c r="AGQ11" s="100"/>
      <c r="AGR11" s="101" t="s">
        <v>30</v>
      </c>
      <c r="AGS11" s="100" t="s">
        <v>31</v>
      </c>
      <c r="AGT11" s="100"/>
      <c r="AGU11" s="102" t="s">
        <v>32</v>
      </c>
      <c r="AGX11" s="99" t="s">
        <v>29</v>
      </c>
      <c r="AGY11" s="100"/>
      <c r="AGZ11" s="100"/>
      <c r="AHA11" s="100" t="s">
        <v>22</v>
      </c>
      <c r="AHB11" s="100"/>
      <c r="AHC11" s="100"/>
      <c r="AHD11" s="101" t="s">
        <v>30</v>
      </c>
      <c r="AHE11" s="100" t="s">
        <v>31</v>
      </c>
      <c r="AHF11" s="100"/>
      <c r="AHG11" s="102" t="s">
        <v>32</v>
      </c>
      <c r="AHJ11" s="99" t="s">
        <v>29</v>
      </c>
      <c r="AHK11" s="100"/>
      <c r="AHL11" s="100"/>
      <c r="AHM11" s="100" t="s">
        <v>22</v>
      </c>
      <c r="AHN11" s="100"/>
      <c r="AHO11" s="100"/>
      <c r="AHP11" s="101" t="s">
        <v>30</v>
      </c>
      <c r="AHQ11" s="100" t="s">
        <v>31</v>
      </c>
      <c r="AHR11" s="100"/>
      <c r="AHS11" s="102" t="s">
        <v>32</v>
      </c>
      <c r="AHV11" s="99" t="s">
        <v>29</v>
      </c>
      <c r="AHW11" s="100"/>
      <c r="AHX11" s="100"/>
      <c r="AHY11" s="100" t="s">
        <v>22</v>
      </c>
      <c r="AHZ11" s="100"/>
      <c r="AIA11" s="100"/>
      <c r="AIB11" s="101" t="s">
        <v>30</v>
      </c>
      <c r="AIC11" s="100" t="s">
        <v>31</v>
      </c>
      <c r="AID11" s="100"/>
      <c r="AIE11" s="102" t="s">
        <v>32</v>
      </c>
      <c r="AIH11" s="99" t="s">
        <v>29</v>
      </c>
      <c r="AII11" s="100"/>
      <c r="AIJ11" s="100"/>
      <c r="AIK11" s="100" t="s">
        <v>22</v>
      </c>
      <c r="AIL11" s="100"/>
      <c r="AIM11" s="100"/>
      <c r="AIN11" s="101" t="s">
        <v>30</v>
      </c>
      <c r="AIO11" s="100" t="s">
        <v>31</v>
      </c>
      <c r="AIP11" s="100"/>
      <c r="AIQ11" s="102" t="s">
        <v>32</v>
      </c>
      <c r="AIT11" s="99" t="s">
        <v>29</v>
      </c>
      <c r="AIU11" s="100"/>
      <c r="AIV11" s="100"/>
      <c r="AIW11" s="100" t="s">
        <v>22</v>
      </c>
      <c r="AIX11" s="100"/>
      <c r="AIY11" s="100"/>
      <c r="AIZ11" s="101" t="s">
        <v>30</v>
      </c>
      <c r="AJA11" s="100" t="s">
        <v>31</v>
      </c>
      <c r="AJB11" s="100"/>
      <c r="AJC11" s="102" t="s">
        <v>32</v>
      </c>
      <c r="AJF11" s="99" t="s">
        <v>29</v>
      </c>
      <c r="AJG11" s="100"/>
      <c r="AJH11" s="100"/>
      <c r="AJI11" s="100" t="s">
        <v>22</v>
      </c>
      <c r="AJJ11" s="100"/>
      <c r="AJK11" s="100"/>
      <c r="AJL11" s="101" t="s">
        <v>30</v>
      </c>
      <c r="AJM11" s="100" t="s">
        <v>31</v>
      </c>
      <c r="AJN11" s="100"/>
      <c r="AJO11" s="102" t="s">
        <v>32</v>
      </c>
      <c r="AJR11" s="99" t="s">
        <v>29</v>
      </c>
      <c r="AJS11" s="100"/>
      <c r="AJT11" s="100"/>
      <c r="AJU11" s="100" t="s">
        <v>22</v>
      </c>
      <c r="AJV11" s="100"/>
      <c r="AJW11" s="100"/>
      <c r="AJX11" s="101" t="s">
        <v>30</v>
      </c>
      <c r="AJY11" s="100" t="s">
        <v>31</v>
      </c>
      <c r="AJZ11" s="100"/>
      <c r="AKA11" s="102" t="s">
        <v>32</v>
      </c>
      <c r="AKD11" s="99" t="s">
        <v>29</v>
      </c>
      <c r="AKE11" s="100"/>
      <c r="AKF11" s="100"/>
      <c r="AKG11" s="100" t="s">
        <v>22</v>
      </c>
      <c r="AKH11" s="100"/>
      <c r="AKI11" s="100"/>
      <c r="AKJ11" s="101" t="s">
        <v>30</v>
      </c>
      <c r="AKK11" s="100" t="s">
        <v>31</v>
      </c>
      <c r="AKL11" s="100"/>
      <c r="AKM11" s="102" t="s">
        <v>32</v>
      </c>
      <c r="AKP11" s="99" t="s">
        <v>29</v>
      </c>
      <c r="AKQ11" s="100"/>
      <c r="AKR11" s="100"/>
      <c r="AKS11" s="100" t="s">
        <v>22</v>
      </c>
      <c r="AKT11" s="100"/>
      <c r="AKU11" s="100"/>
      <c r="AKV11" s="101" t="s">
        <v>30</v>
      </c>
      <c r="AKW11" s="100" t="s">
        <v>31</v>
      </c>
      <c r="AKX11" s="100"/>
      <c r="AKY11" s="102" t="s">
        <v>32</v>
      </c>
      <c r="ALB11" s="99" t="s">
        <v>29</v>
      </c>
      <c r="ALC11" s="100"/>
      <c r="ALD11" s="100"/>
      <c r="ALE11" s="100" t="s">
        <v>22</v>
      </c>
      <c r="ALF11" s="100"/>
      <c r="ALG11" s="100"/>
      <c r="ALH11" s="101" t="s">
        <v>30</v>
      </c>
      <c r="ALI11" s="100" t="s">
        <v>31</v>
      </c>
      <c r="ALJ11" s="100"/>
      <c r="ALK11" s="102" t="s">
        <v>32</v>
      </c>
      <c r="ALN11" s="99" t="s">
        <v>29</v>
      </c>
      <c r="ALO11" s="100"/>
      <c r="ALP11" s="100"/>
      <c r="ALQ11" s="100" t="s">
        <v>22</v>
      </c>
      <c r="ALR11" s="100"/>
      <c r="ALS11" s="100"/>
      <c r="ALT11" s="101" t="s">
        <v>30</v>
      </c>
      <c r="ALU11" s="100" t="s">
        <v>31</v>
      </c>
      <c r="ALV11" s="100"/>
      <c r="ALW11" s="102" t="s">
        <v>32</v>
      </c>
      <c r="ALZ11" s="99" t="s">
        <v>29</v>
      </c>
      <c r="AMA11" s="100"/>
      <c r="AMB11" s="100"/>
      <c r="AMC11" s="100" t="s">
        <v>22</v>
      </c>
      <c r="AMD11" s="100"/>
      <c r="AME11" s="100"/>
      <c r="AMF11" s="101" t="s">
        <v>30</v>
      </c>
      <c r="AMG11" s="100" t="s">
        <v>31</v>
      </c>
      <c r="AMH11" s="100"/>
      <c r="AMI11" s="102" t="s">
        <v>32</v>
      </c>
      <c r="AML11" s="99" t="s">
        <v>29</v>
      </c>
      <c r="AMM11" s="100"/>
      <c r="AMN11" s="100"/>
      <c r="AMO11" s="100" t="s">
        <v>22</v>
      </c>
      <c r="AMP11" s="100"/>
      <c r="AMQ11" s="100"/>
      <c r="AMR11" s="101" t="s">
        <v>30</v>
      </c>
      <c r="AMS11" s="100" t="s">
        <v>31</v>
      </c>
      <c r="AMT11" s="100"/>
      <c r="AMU11" s="102" t="s">
        <v>32</v>
      </c>
      <c r="AMX11" s="99" t="s">
        <v>29</v>
      </c>
      <c r="AMY11" s="100"/>
      <c r="AMZ11" s="100"/>
      <c r="ANA11" s="100" t="s">
        <v>22</v>
      </c>
      <c r="ANB11" s="100"/>
      <c r="ANC11" s="100"/>
      <c r="AND11" s="101" t="s">
        <v>30</v>
      </c>
      <c r="ANE11" s="100" t="s">
        <v>31</v>
      </c>
      <c r="ANF11" s="100"/>
      <c r="ANG11" s="102" t="s">
        <v>32</v>
      </c>
      <c r="ANJ11" s="99" t="s">
        <v>29</v>
      </c>
      <c r="ANK11" s="100"/>
      <c r="ANL11" s="100"/>
      <c r="ANM11" s="100" t="s">
        <v>22</v>
      </c>
      <c r="ANN11" s="100"/>
      <c r="ANO11" s="100"/>
      <c r="ANP11" s="101" t="s">
        <v>30</v>
      </c>
      <c r="ANQ11" s="100" t="s">
        <v>31</v>
      </c>
      <c r="ANR11" s="100"/>
      <c r="ANS11" s="102" t="s">
        <v>32</v>
      </c>
      <c r="ANV11" s="99" t="s">
        <v>29</v>
      </c>
      <c r="ANW11" s="100"/>
      <c r="ANX11" s="100"/>
      <c r="ANY11" s="100" t="s">
        <v>22</v>
      </c>
      <c r="ANZ11" s="100"/>
      <c r="AOA11" s="100"/>
      <c r="AOB11" s="101" t="s">
        <v>30</v>
      </c>
      <c r="AOC11" s="100" t="s">
        <v>31</v>
      </c>
      <c r="AOD11" s="100"/>
      <c r="AOE11" s="102" t="s">
        <v>32</v>
      </c>
      <c r="AOH11" s="99" t="s">
        <v>29</v>
      </c>
      <c r="AOI11" s="100"/>
      <c r="AOJ11" s="100"/>
      <c r="AOK11" s="100" t="s">
        <v>22</v>
      </c>
      <c r="AOL11" s="100"/>
      <c r="AOM11" s="100"/>
      <c r="AON11" s="101" t="s">
        <v>30</v>
      </c>
      <c r="AOO11" s="100" t="s">
        <v>31</v>
      </c>
      <c r="AOP11" s="100"/>
      <c r="AOQ11" s="102" t="s">
        <v>32</v>
      </c>
      <c r="AOT11" s="99" t="s">
        <v>29</v>
      </c>
      <c r="AOU11" s="100"/>
      <c r="AOV11" s="100"/>
      <c r="AOW11" s="100" t="s">
        <v>22</v>
      </c>
      <c r="AOX11" s="100"/>
      <c r="AOY11" s="100"/>
      <c r="AOZ11" s="101" t="s">
        <v>30</v>
      </c>
      <c r="APA11" s="100" t="s">
        <v>31</v>
      </c>
      <c r="APB11" s="100"/>
      <c r="APC11" s="102" t="s">
        <v>32</v>
      </c>
      <c r="APF11" s="99" t="s">
        <v>29</v>
      </c>
      <c r="APG11" s="100"/>
      <c r="APH11" s="100"/>
      <c r="API11" s="100" t="s">
        <v>22</v>
      </c>
      <c r="APJ11" s="100"/>
      <c r="APK11" s="100"/>
      <c r="APL11" s="101" t="s">
        <v>30</v>
      </c>
      <c r="APM11" s="100" t="s">
        <v>31</v>
      </c>
      <c r="APN11" s="100"/>
      <c r="APO11" s="102" t="s">
        <v>32</v>
      </c>
      <c r="APR11" s="99" t="s">
        <v>29</v>
      </c>
      <c r="APS11" s="100"/>
      <c r="APT11" s="100"/>
      <c r="APU11" s="100" t="s">
        <v>22</v>
      </c>
      <c r="APV11" s="100"/>
      <c r="APW11" s="100"/>
      <c r="APX11" s="101" t="s">
        <v>30</v>
      </c>
      <c r="APY11" s="100" t="s">
        <v>31</v>
      </c>
      <c r="APZ11" s="100"/>
      <c r="AQA11" s="102" t="s">
        <v>32</v>
      </c>
      <c r="AQD11" s="99" t="s">
        <v>29</v>
      </c>
      <c r="AQE11" s="100"/>
      <c r="AQF11" s="100"/>
      <c r="AQG11" s="100" t="s">
        <v>22</v>
      </c>
      <c r="AQH11" s="100"/>
      <c r="AQI11" s="100"/>
      <c r="AQJ11" s="101" t="s">
        <v>30</v>
      </c>
      <c r="AQK11" s="100" t="s">
        <v>31</v>
      </c>
      <c r="AQL11" s="100"/>
      <c r="AQM11" s="102" t="s">
        <v>32</v>
      </c>
      <c r="AQP11" s="99" t="s">
        <v>29</v>
      </c>
      <c r="AQQ11" s="100"/>
      <c r="AQR11" s="100"/>
      <c r="AQS11" s="100" t="s">
        <v>22</v>
      </c>
      <c r="AQT11" s="100"/>
      <c r="AQU11" s="100"/>
      <c r="AQV11" s="101" t="s">
        <v>30</v>
      </c>
      <c r="AQW11" s="100" t="s">
        <v>31</v>
      </c>
      <c r="AQX11" s="100"/>
      <c r="AQY11" s="102" t="s">
        <v>32</v>
      </c>
      <c r="ARB11" s="99" t="s">
        <v>29</v>
      </c>
      <c r="ARC11" s="100"/>
      <c r="ARD11" s="100"/>
      <c r="ARE11" s="100" t="s">
        <v>22</v>
      </c>
      <c r="ARF11" s="100"/>
      <c r="ARG11" s="100"/>
      <c r="ARH11" s="101" t="s">
        <v>30</v>
      </c>
      <c r="ARI11" s="100" t="s">
        <v>31</v>
      </c>
      <c r="ARJ11" s="100"/>
      <c r="ARK11" s="102" t="s">
        <v>32</v>
      </c>
      <c r="ARN11" s="99" t="s">
        <v>29</v>
      </c>
      <c r="ARO11" s="100"/>
      <c r="ARP11" s="100"/>
      <c r="ARQ11" s="100" t="s">
        <v>22</v>
      </c>
      <c r="ARR11" s="100"/>
      <c r="ARS11" s="100"/>
      <c r="ART11" s="101" t="s">
        <v>30</v>
      </c>
      <c r="ARU11" s="100" t="s">
        <v>31</v>
      </c>
      <c r="ARV11" s="100"/>
      <c r="ARW11" s="102" t="s">
        <v>32</v>
      </c>
      <c r="ARZ11" s="99" t="s">
        <v>29</v>
      </c>
      <c r="ASA11" s="100"/>
      <c r="ASB11" s="100"/>
      <c r="ASC11" s="100" t="s">
        <v>22</v>
      </c>
      <c r="ASD11" s="100"/>
      <c r="ASE11" s="100"/>
      <c r="ASF11" s="101" t="s">
        <v>30</v>
      </c>
      <c r="ASG11" s="100" t="s">
        <v>31</v>
      </c>
      <c r="ASH11" s="100"/>
      <c r="ASI11" s="102" t="s">
        <v>32</v>
      </c>
      <c r="ASL11" s="99" t="s">
        <v>29</v>
      </c>
      <c r="ASM11" s="100"/>
      <c r="ASN11" s="100"/>
      <c r="ASO11" s="100" t="s">
        <v>22</v>
      </c>
      <c r="ASP11" s="100"/>
      <c r="ASQ11" s="100"/>
      <c r="ASR11" s="101" t="s">
        <v>30</v>
      </c>
      <c r="ASS11" s="100" t="s">
        <v>31</v>
      </c>
      <c r="AST11" s="100"/>
      <c r="ASU11" s="102" t="s">
        <v>32</v>
      </c>
      <c r="ASX11" s="99" t="s">
        <v>29</v>
      </c>
      <c r="ASY11" s="100"/>
      <c r="ASZ11" s="100"/>
      <c r="ATA11" s="100" t="s">
        <v>22</v>
      </c>
      <c r="ATB11" s="100"/>
      <c r="ATC11" s="100"/>
      <c r="ATD11" s="101" t="s">
        <v>30</v>
      </c>
      <c r="ATE11" s="100" t="s">
        <v>31</v>
      </c>
      <c r="ATF11" s="100"/>
      <c r="ATG11" s="102" t="s">
        <v>32</v>
      </c>
      <c r="ATJ11" s="99" t="s">
        <v>29</v>
      </c>
      <c r="ATK11" s="100"/>
      <c r="ATL11" s="100"/>
      <c r="ATM11" s="100" t="s">
        <v>22</v>
      </c>
      <c r="ATN11" s="100"/>
      <c r="ATO11" s="100"/>
      <c r="ATP11" s="101" t="s">
        <v>30</v>
      </c>
      <c r="ATQ11" s="100" t="s">
        <v>31</v>
      </c>
      <c r="ATR11" s="100"/>
      <c r="ATS11" s="102" t="s">
        <v>32</v>
      </c>
      <c r="ATV11" s="99" t="s">
        <v>29</v>
      </c>
      <c r="ATW11" s="100"/>
      <c r="ATX11" s="100"/>
      <c r="ATY11" s="100" t="s">
        <v>22</v>
      </c>
      <c r="ATZ11" s="100"/>
      <c r="AUA11" s="100"/>
      <c r="AUB11" s="101" t="s">
        <v>30</v>
      </c>
      <c r="AUC11" s="100" t="s">
        <v>31</v>
      </c>
      <c r="AUD11" s="100"/>
      <c r="AUE11" s="102" t="s">
        <v>32</v>
      </c>
      <c r="AUH11" s="99" t="s">
        <v>29</v>
      </c>
      <c r="AUI11" s="100"/>
      <c r="AUJ11" s="100"/>
      <c r="AUK11" s="100" t="s">
        <v>22</v>
      </c>
      <c r="AUL11" s="100"/>
      <c r="AUM11" s="100"/>
      <c r="AUN11" s="101" t="s">
        <v>30</v>
      </c>
      <c r="AUO11" s="100" t="s">
        <v>31</v>
      </c>
      <c r="AUP11" s="100"/>
      <c r="AUQ11" s="102" t="s">
        <v>32</v>
      </c>
      <c r="AUT11" s="99" t="s">
        <v>29</v>
      </c>
      <c r="AUU11" s="100"/>
      <c r="AUV11" s="100"/>
      <c r="AUW11" s="100" t="s">
        <v>22</v>
      </c>
      <c r="AUX11" s="100"/>
      <c r="AUY11" s="100"/>
      <c r="AUZ11" s="101" t="s">
        <v>30</v>
      </c>
      <c r="AVA11" s="100" t="s">
        <v>31</v>
      </c>
      <c r="AVB11" s="100"/>
      <c r="AVC11" s="102" t="s">
        <v>32</v>
      </c>
      <c r="AVF11" s="99" t="s">
        <v>29</v>
      </c>
      <c r="AVG11" s="100"/>
      <c r="AVH11" s="100"/>
      <c r="AVI11" s="100" t="s">
        <v>22</v>
      </c>
      <c r="AVJ11" s="100"/>
      <c r="AVK11" s="100"/>
      <c r="AVL11" s="101" t="s">
        <v>30</v>
      </c>
      <c r="AVM11" s="100" t="s">
        <v>31</v>
      </c>
      <c r="AVN11" s="100"/>
      <c r="AVO11" s="102" t="s">
        <v>32</v>
      </c>
      <c r="AVR11" s="99" t="s">
        <v>29</v>
      </c>
      <c r="AVS11" s="100"/>
      <c r="AVT11" s="100"/>
      <c r="AVU11" s="100" t="s">
        <v>22</v>
      </c>
      <c r="AVV11" s="100"/>
      <c r="AVW11" s="100"/>
      <c r="AVX11" s="101" t="s">
        <v>30</v>
      </c>
      <c r="AVY11" s="100" t="s">
        <v>31</v>
      </c>
      <c r="AVZ11" s="100"/>
      <c r="AWA11" s="102" t="s">
        <v>32</v>
      </c>
      <c r="AWD11" s="99" t="s">
        <v>29</v>
      </c>
      <c r="AWE11" s="100"/>
      <c r="AWF11" s="100"/>
      <c r="AWG11" s="100" t="s">
        <v>22</v>
      </c>
      <c r="AWH11" s="100"/>
      <c r="AWI11" s="100"/>
      <c r="AWJ11" s="101" t="s">
        <v>30</v>
      </c>
      <c r="AWK11" s="100" t="s">
        <v>31</v>
      </c>
      <c r="AWL11" s="100"/>
      <c r="AWM11" s="102" t="s">
        <v>32</v>
      </c>
      <c r="AWP11" s="99" t="s">
        <v>29</v>
      </c>
      <c r="AWQ11" s="100"/>
      <c r="AWR11" s="100"/>
      <c r="AWS11" s="100" t="s">
        <v>22</v>
      </c>
      <c r="AWT11" s="100"/>
      <c r="AWU11" s="100"/>
      <c r="AWV11" s="101" t="s">
        <v>30</v>
      </c>
      <c r="AWW11" s="100" t="s">
        <v>31</v>
      </c>
      <c r="AWX11" s="100"/>
      <c r="AWY11" s="102" t="s">
        <v>32</v>
      </c>
      <c r="AXB11" s="99" t="s">
        <v>29</v>
      </c>
      <c r="AXC11" s="100"/>
      <c r="AXD11" s="100"/>
      <c r="AXE11" s="100" t="s">
        <v>22</v>
      </c>
      <c r="AXF11" s="100"/>
      <c r="AXG11" s="100"/>
      <c r="AXH11" s="101" t="s">
        <v>30</v>
      </c>
      <c r="AXI11" s="100" t="s">
        <v>31</v>
      </c>
      <c r="AXJ11" s="100"/>
      <c r="AXK11" s="102" t="s">
        <v>32</v>
      </c>
      <c r="AXN11" s="99" t="s">
        <v>29</v>
      </c>
      <c r="AXO11" s="100"/>
      <c r="AXP11" s="100"/>
      <c r="AXQ11" s="100" t="s">
        <v>22</v>
      </c>
      <c r="AXR11" s="100"/>
      <c r="AXS11" s="100"/>
      <c r="AXT11" s="101" t="s">
        <v>30</v>
      </c>
      <c r="AXU11" s="100" t="s">
        <v>31</v>
      </c>
      <c r="AXV11" s="100"/>
      <c r="AXW11" s="102" t="s">
        <v>32</v>
      </c>
      <c r="AXZ11" s="99" t="s">
        <v>29</v>
      </c>
      <c r="AYA11" s="100"/>
      <c r="AYB11" s="100"/>
      <c r="AYC11" s="100" t="s">
        <v>22</v>
      </c>
      <c r="AYD11" s="100"/>
      <c r="AYE11" s="100"/>
      <c r="AYF11" s="101" t="s">
        <v>30</v>
      </c>
      <c r="AYG11" s="100" t="s">
        <v>31</v>
      </c>
      <c r="AYH11" s="100"/>
      <c r="AYI11" s="102" t="s">
        <v>32</v>
      </c>
      <c r="AYL11" s="99" t="s">
        <v>29</v>
      </c>
      <c r="AYM11" s="100"/>
      <c r="AYN11" s="100"/>
      <c r="AYO11" s="100" t="s">
        <v>22</v>
      </c>
      <c r="AYP11" s="100"/>
      <c r="AYQ11" s="100"/>
      <c r="AYR11" s="101" t="s">
        <v>30</v>
      </c>
      <c r="AYS11" s="100" t="s">
        <v>31</v>
      </c>
      <c r="AYT11" s="100"/>
      <c r="AYU11" s="102" t="s">
        <v>32</v>
      </c>
      <c r="AYX11" s="99" t="s">
        <v>29</v>
      </c>
      <c r="AYY11" s="100"/>
      <c r="AYZ11" s="100"/>
      <c r="AZA11" s="100" t="s">
        <v>22</v>
      </c>
      <c r="AZB11" s="100"/>
      <c r="AZC11" s="100"/>
      <c r="AZD11" s="101" t="s">
        <v>30</v>
      </c>
      <c r="AZE11" s="100" t="s">
        <v>31</v>
      </c>
      <c r="AZF11" s="100"/>
      <c r="AZG11" s="102" t="s">
        <v>32</v>
      </c>
      <c r="AZJ11" s="99" t="s">
        <v>29</v>
      </c>
      <c r="AZK11" s="100"/>
      <c r="AZL11" s="100"/>
      <c r="AZM11" s="100" t="s">
        <v>22</v>
      </c>
      <c r="AZN11" s="100"/>
      <c r="AZO11" s="100"/>
      <c r="AZP11" s="101" t="s">
        <v>30</v>
      </c>
      <c r="AZQ11" s="100" t="s">
        <v>31</v>
      </c>
      <c r="AZR11" s="100"/>
      <c r="AZS11" s="102" t="s">
        <v>32</v>
      </c>
      <c r="AZV11" s="99" t="s">
        <v>29</v>
      </c>
      <c r="AZW11" s="100"/>
      <c r="AZX11" s="100"/>
      <c r="AZY11" s="100" t="s">
        <v>22</v>
      </c>
      <c r="AZZ11" s="100"/>
      <c r="BAA11" s="100"/>
      <c r="BAB11" s="101" t="s">
        <v>30</v>
      </c>
      <c r="BAC11" s="100" t="s">
        <v>31</v>
      </c>
      <c r="BAD11" s="100"/>
      <c r="BAE11" s="102" t="s">
        <v>32</v>
      </c>
      <c r="BAH11" s="99" t="s">
        <v>29</v>
      </c>
      <c r="BAI11" s="100"/>
      <c r="BAJ11" s="100"/>
      <c r="BAK11" s="100" t="s">
        <v>22</v>
      </c>
      <c r="BAL11" s="100"/>
      <c r="BAM11" s="100"/>
      <c r="BAN11" s="101" t="s">
        <v>30</v>
      </c>
      <c r="BAO11" s="100" t="s">
        <v>31</v>
      </c>
      <c r="BAP11" s="100"/>
      <c r="BAQ11" s="102" t="s">
        <v>32</v>
      </c>
      <c r="BAT11" s="99" t="s">
        <v>29</v>
      </c>
      <c r="BAU11" s="100"/>
      <c r="BAV11" s="100"/>
      <c r="BAW11" s="100" t="s">
        <v>22</v>
      </c>
      <c r="BAX11" s="100"/>
      <c r="BAY11" s="100"/>
      <c r="BAZ11" s="101" t="s">
        <v>30</v>
      </c>
      <c r="BBA11" s="100" t="s">
        <v>31</v>
      </c>
      <c r="BBB11" s="100"/>
      <c r="BBC11" s="102" t="s">
        <v>32</v>
      </c>
      <c r="BBF11" s="99" t="s">
        <v>29</v>
      </c>
      <c r="BBG11" s="100"/>
      <c r="BBH11" s="100"/>
      <c r="BBI11" s="100" t="s">
        <v>22</v>
      </c>
      <c r="BBJ11" s="100"/>
      <c r="BBK11" s="100"/>
      <c r="BBL11" s="101" t="s">
        <v>30</v>
      </c>
      <c r="BBM11" s="100" t="s">
        <v>31</v>
      </c>
      <c r="BBN11" s="100"/>
      <c r="BBO11" s="102" t="s">
        <v>32</v>
      </c>
      <c r="BBR11" s="99" t="s">
        <v>29</v>
      </c>
      <c r="BBS11" s="100"/>
      <c r="BBT11" s="100"/>
      <c r="BBU11" s="100" t="s">
        <v>22</v>
      </c>
      <c r="BBV11" s="100"/>
      <c r="BBW11" s="100"/>
      <c r="BBX11" s="101" t="s">
        <v>30</v>
      </c>
      <c r="BBY11" s="100" t="s">
        <v>31</v>
      </c>
      <c r="BBZ11" s="100"/>
      <c r="BCA11" s="102" t="s">
        <v>32</v>
      </c>
      <c r="BCD11" s="99" t="s">
        <v>29</v>
      </c>
      <c r="BCE11" s="100"/>
      <c r="BCF11" s="100"/>
      <c r="BCG11" s="100" t="s">
        <v>22</v>
      </c>
      <c r="BCH11" s="100"/>
      <c r="BCI11" s="100"/>
      <c r="BCJ11" s="101" t="s">
        <v>30</v>
      </c>
      <c r="BCK11" s="100" t="s">
        <v>31</v>
      </c>
      <c r="BCL11" s="100"/>
      <c r="BCM11" s="102" t="s">
        <v>32</v>
      </c>
      <c r="BCP11" s="99" t="s">
        <v>29</v>
      </c>
      <c r="BCQ11" s="100"/>
      <c r="BCR11" s="100"/>
      <c r="BCS11" s="100" t="s">
        <v>22</v>
      </c>
      <c r="BCT11" s="100"/>
      <c r="BCU11" s="100"/>
      <c r="BCV11" s="101" t="s">
        <v>30</v>
      </c>
      <c r="BCW11" s="100" t="s">
        <v>31</v>
      </c>
      <c r="BCX11" s="100"/>
      <c r="BCY11" s="102" t="s">
        <v>32</v>
      </c>
      <c r="BDB11" s="99" t="s">
        <v>29</v>
      </c>
      <c r="BDC11" s="100"/>
      <c r="BDD11" s="100"/>
      <c r="BDE11" s="100" t="s">
        <v>22</v>
      </c>
      <c r="BDF11" s="100"/>
      <c r="BDG11" s="100"/>
      <c r="BDH11" s="101" t="s">
        <v>30</v>
      </c>
      <c r="BDI11" s="100" t="s">
        <v>31</v>
      </c>
      <c r="BDJ11" s="100"/>
      <c r="BDK11" s="102" t="s">
        <v>32</v>
      </c>
      <c r="BDN11" s="99" t="s">
        <v>29</v>
      </c>
      <c r="BDO11" s="100"/>
      <c r="BDP11" s="100"/>
      <c r="BDQ11" s="100" t="s">
        <v>22</v>
      </c>
      <c r="BDR11" s="100"/>
      <c r="BDS11" s="100"/>
      <c r="BDT11" s="101" t="s">
        <v>30</v>
      </c>
      <c r="BDU11" s="100" t="s">
        <v>31</v>
      </c>
      <c r="BDV11" s="100"/>
      <c r="BDW11" s="102" t="s">
        <v>32</v>
      </c>
      <c r="BDZ11" s="99" t="s">
        <v>29</v>
      </c>
      <c r="BEA11" s="100"/>
      <c r="BEB11" s="100"/>
      <c r="BEC11" s="100" t="s">
        <v>22</v>
      </c>
      <c r="BED11" s="100"/>
      <c r="BEE11" s="100"/>
      <c r="BEF11" s="101" t="s">
        <v>30</v>
      </c>
      <c r="BEG11" s="100" t="s">
        <v>31</v>
      </c>
      <c r="BEH11" s="100"/>
      <c r="BEI11" s="102" t="s">
        <v>32</v>
      </c>
      <c r="BEL11" s="99" t="s">
        <v>29</v>
      </c>
      <c r="BEM11" s="100"/>
      <c r="BEN11" s="100"/>
      <c r="BEO11" s="100" t="s">
        <v>22</v>
      </c>
      <c r="BEP11" s="100"/>
      <c r="BEQ11" s="100"/>
      <c r="BER11" s="101" t="s">
        <v>30</v>
      </c>
      <c r="BES11" s="100" t="s">
        <v>31</v>
      </c>
      <c r="BET11" s="100"/>
      <c r="BEU11" s="102" t="s">
        <v>32</v>
      </c>
      <c r="BEX11" s="99" t="s">
        <v>29</v>
      </c>
      <c r="BEY11" s="100"/>
      <c r="BEZ11" s="100"/>
      <c r="BFA11" s="100" t="s">
        <v>22</v>
      </c>
      <c r="BFB11" s="100"/>
      <c r="BFC11" s="100"/>
      <c r="BFD11" s="101" t="s">
        <v>30</v>
      </c>
      <c r="BFE11" s="100" t="s">
        <v>31</v>
      </c>
      <c r="BFF11" s="100"/>
      <c r="BFG11" s="102" t="s">
        <v>32</v>
      </c>
      <c r="BFJ11" s="99" t="s">
        <v>29</v>
      </c>
      <c r="BFK11" s="100"/>
      <c r="BFL11" s="100"/>
      <c r="BFM11" s="100" t="s">
        <v>22</v>
      </c>
      <c r="BFN11" s="100"/>
      <c r="BFO11" s="100"/>
      <c r="BFP11" s="101" t="s">
        <v>30</v>
      </c>
      <c r="BFQ11" s="100" t="s">
        <v>31</v>
      </c>
      <c r="BFR11" s="100"/>
      <c r="BFS11" s="102" t="s">
        <v>32</v>
      </c>
      <c r="BFV11" s="99" t="s">
        <v>29</v>
      </c>
      <c r="BFW11" s="100"/>
      <c r="BFX11" s="100"/>
      <c r="BFY11" s="100" t="s">
        <v>22</v>
      </c>
      <c r="BFZ11" s="100"/>
      <c r="BGA11" s="100"/>
      <c r="BGB11" s="101" t="s">
        <v>30</v>
      </c>
      <c r="BGC11" s="100" t="s">
        <v>31</v>
      </c>
      <c r="BGD11" s="100"/>
      <c r="BGE11" s="102" t="s">
        <v>32</v>
      </c>
      <c r="BGH11" s="99" t="s">
        <v>29</v>
      </c>
      <c r="BGI11" s="100"/>
      <c r="BGJ11" s="100"/>
      <c r="BGK11" s="100" t="s">
        <v>22</v>
      </c>
      <c r="BGL11" s="100"/>
      <c r="BGM11" s="100"/>
      <c r="BGN11" s="101" t="s">
        <v>30</v>
      </c>
      <c r="BGO11" s="100" t="s">
        <v>31</v>
      </c>
      <c r="BGP11" s="100"/>
      <c r="BGQ11" s="102" t="s">
        <v>32</v>
      </c>
      <c r="BGT11" s="99" t="s">
        <v>29</v>
      </c>
      <c r="BGU11" s="100"/>
      <c r="BGV11" s="100"/>
      <c r="BGW11" s="100" t="s">
        <v>22</v>
      </c>
      <c r="BGX11" s="100"/>
      <c r="BGY11" s="100"/>
      <c r="BGZ11" s="101" t="s">
        <v>30</v>
      </c>
      <c r="BHA11" s="100" t="s">
        <v>31</v>
      </c>
      <c r="BHB11" s="100"/>
      <c r="BHC11" s="102" t="s">
        <v>32</v>
      </c>
      <c r="BHF11" s="99" t="s">
        <v>29</v>
      </c>
      <c r="BHG11" s="100"/>
      <c r="BHH11" s="100"/>
      <c r="BHI11" s="100" t="s">
        <v>22</v>
      </c>
      <c r="BHJ11" s="100"/>
      <c r="BHK11" s="100"/>
      <c r="BHL11" s="101" t="s">
        <v>30</v>
      </c>
      <c r="BHM11" s="100" t="s">
        <v>31</v>
      </c>
      <c r="BHN11" s="100"/>
      <c r="BHO11" s="102" t="s">
        <v>32</v>
      </c>
      <c r="BHR11" s="99" t="s">
        <v>29</v>
      </c>
      <c r="BHS11" s="100"/>
      <c r="BHT11" s="100"/>
      <c r="BHU11" s="100" t="s">
        <v>22</v>
      </c>
      <c r="BHV11" s="100"/>
      <c r="BHW11" s="100"/>
      <c r="BHX11" s="101" t="s">
        <v>30</v>
      </c>
      <c r="BHY11" s="100" t="s">
        <v>31</v>
      </c>
      <c r="BHZ11" s="100"/>
      <c r="BIA11" s="102" t="s">
        <v>32</v>
      </c>
      <c r="BID11" s="99" t="s">
        <v>29</v>
      </c>
      <c r="BIE11" s="100"/>
      <c r="BIF11" s="100"/>
      <c r="BIG11" s="100" t="s">
        <v>22</v>
      </c>
      <c r="BIH11" s="100"/>
      <c r="BII11" s="100"/>
      <c r="BIJ11" s="101" t="s">
        <v>30</v>
      </c>
      <c r="BIK11" s="100" t="s">
        <v>31</v>
      </c>
      <c r="BIL11" s="100"/>
      <c r="BIM11" s="102" t="s">
        <v>32</v>
      </c>
      <c r="BIP11" s="99" t="s">
        <v>29</v>
      </c>
      <c r="BIQ11" s="100"/>
      <c r="BIR11" s="100"/>
      <c r="BIS11" s="100" t="s">
        <v>22</v>
      </c>
      <c r="BIT11" s="100"/>
      <c r="BIU11" s="100"/>
      <c r="BIV11" s="101" t="s">
        <v>30</v>
      </c>
      <c r="BIW11" s="100" t="s">
        <v>31</v>
      </c>
      <c r="BIX11" s="100"/>
      <c r="BIY11" s="102" t="s">
        <v>32</v>
      </c>
      <c r="BJB11" s="99" t="s">
        <v>29</v>
      </c>
      <c r="BJC11" s="100"/>
      <c r="BJD11" s="100"/>
      <c r="BJE11" s="100" t="s">
        <v>22</v>
      </c>
      <c r="BJF11" s="100"/>
      <c r="BJG11" s="100"/>
      <c r="BJH11" s="101" t="s">
        <v>30</v>
      </c>
      <c r="BJI11" s="100" t="s">
        <v>31</v>
      </c>
      <c r="BJJ11" s="100"/>
      <c r="BJK11" s="102" t="s">
        <v>32</v>
      </c>
      <c r="BJN11" s="99" t="s">
        <v>29</v>
      </c>
      <c r="BJO11" s="100"/>
      <c r="BJP11" s="100"/>
      <c r="BJQ11" s="100" t="s">
        <v>22</v>
      </c>
      <c r="BJR11" s="100"/>
      <c r="BJS11" s="100"/>
      <c r="BJT11" s="101" t="s">
        <v>30</v>
      </c>
      <c r="BJU11" s="100" t="s">
        <v>31</v>
      </c>
      <c r="BJV11" s="100"/>
      <c r="BJW11" s="102" t="s">
        <v>32</v>
      </c>
      <c r="BJZ11" s="99" t="s">
        <v>29</v>
      </c>
      <c r="BKA11" s="100"/>
      <c r="BKB11" s="100"/>
      <c r="BKC11" s="100" t="s">
        <v>22</v>
      </c>
      <c r="BKD11" s="100"/>
      <c r="BKE11" s="100"/>
      <c r="BKF11" s="101" t="s">
        <v>30</v>
      </c>
      <c r="BKG11" s="100" t="s">
        <v>31</v>
      </c>
      <c r="BKH11" s="100"/>
      <c r="BKI11" s="102" t="s">
        <v>32</v>
      </c>
      <c r="BKL11" s="99" t="s">
        <v>29</v>
      </c>
      <c r="BKM11" s="100"/>
      <c r="BKN11" s="100"/>
      <c r="BKO11" s="100" t="s">
        <v>22</v>
      </c>
      <c r="BKP11" s="100"/>
      <c r="BKQ11" s="100"/>
      <c r="BKR11" s="101" t="s">
        <v>30</v>
      </c>
      <c r="BKS11" s="100" t="s">
        <v>31</v>
      </c>
      <c r="BKT11" s="100"/>
      <c r="BKU11" s="102" t="s">
        <v>32</v>
      </c>
      <c r="BKX11" s="99" t="s">
        <v>29</v>
      </c>
      <c r="BKY11" s="100"/>
      <c r="BKZ11" s="100"/>
      <c r="BLA11" s="100" t="s">
        <v>22</v>
      </c>
      <c r="BLB11" s="100"/>
      <c r="BLC11" s="100"/>
      <c r="BLD11" s="101" t="s">
        <v>30</v>
      </c>
      <c r="BLE11" s="100" t="s">
        <v>31</v>
      </c>
      <c r="BLF11" s="100"/>
      <c r="BLG11" s="102" t="s">
        <v>32</v>
      </c>
      <c r="BLJ11" s="99" t="s">
        <v>29</v>
      </c>
      <c r="BLK11" s="100"/>
      <c r="BLL11" s="100"/>
      <c r="BLM11" s="100" t="s">
        <v>22</v>
      </c>
      <c r="BLN11" s="100"/>
      <c r="BLO11" s="100"/>
      <c r="BLP11" s="101" t="s">
        <v>30</v>
      </c>
      <c r="BLQ11" s="100" t="s">
        <v>31</v>
      </c>
      <c r="BLR11" s="100"/>
      <c r="BLS11" s="102" t="s">
        <v>32</v>
      </c>
      <c r="BLV11" s="99" t="s">
        <v>29</v>
      </c>
      <c r="BLW11" s="100"/>
      <c r="BLX11" s="100"/>
      <c r="BLY11" s="100" t="s">
        <v>22</v>
      </c>
      <c r="BLZ11" s="100"/>
      <c r="BMA11" s="100"/>
      <c r="BMB11" s="101" t="s">
        <v>30</v>
      </c>
      <c r="BMC11" s="100" t="s">
        <v>31</v>
      </c>
      <c r="BMD11" s="100"/>
      <c r="BME11" s="102" t="s">
        <v>32</v>
      </c>
      <c r="BMH11" s="99" t="s">
        <v>29</v>
      </c>
      <c r="BMI11" s="100"/>
      <c r="BMJ11" s="100"/>
      <c r="BMK11" s="100" t="s">
        <v>22</v>
      </c>
      <c r="BML11" s="100"/>
      <c r="BMM11" s="100"/>
      <c r="BMN11" s="101" t="s">
        <v>30</v>
      </c>
      <c r="BMO11" s="100" t="s">
        <v>31</v>
      </c>
      <c r="BMP11" s="100"/>
      <c r="BMQ11" s="102" t="s">
        <v>32</v>
      </c>
      <c r="BMT11" s="99" t="s">
        <v>29</v>
      </c>
      <c r="BMU11" s="100"/>
      <c r="BMV11" s="100"/>
      <c r="BMW11" s="100" t="s">
        <v>22</v>
      </c>
      <c r="BMX11" s="100"/>
      <c r="BMY11" s="100"/>
      <c r="BMZ11" s="101" t="s">
        <v>30</v>
      </c>
      <c r="BNA11" s="100" t="s">
        <v>31</v>
      </c>
      <c r="BNB11" s="100"/>
      <c r="BNC11" s="102" t="s">
        <v>32</v>
      </c>
      <c r="BNF11" s="99" t="s">
        <v>29</v>
      </c>
      <c r="BNG11" s="100"/>
      <c r="BNH11" s="100"/>
      <c r="BNI11" s="100" t="s">
        <v>22</v>
      </c>
      <c r="BNJ11" s="100"/>
      <c r="BNK11" s="100"/>
      <c r="BNL11" s="101" t="s">
        <v>30</v>
      </c>
      <c r="BNM11" s="100" t="s">
        <v>31</v>
      </c>
      <c r="BNN11" s="100"/>
      <c r="BNO11" s="102" t="s">
        <v>32</v>
      </c>
      <c r="BNR11" s="99" t="s">
        <v>29</v>
      </c>
      <c r="BNS11" s="100"/>
      <c r="BNT11" s="100"/>
      <c r="BNU11" s="100" t="s">
        <v>22</v>
      </c>
      <c r="BNV11" s="100"/>
      <c r="BNW11" s="100"/>
      <c r="BNX11" s="101" t="s">
        <v>30</v>
      </c>
      <c r="BNY11" s="100" t="s">
        <v>31</v>
      </c>
      <c r="BNZ11" s="100"/>
      <c r="BOA11" s="102" t="s">
        <v>32</v>
      </c>
      <c r="BOD11" s="99" t="s">
        <v>29</v>
      </c>
      <c r="BOE11" s="100"/>
      <c r="BOF11" s="100"/>
      <c r="BOG11" s="100" t="s">
        <v>22</v>
      </c>
      <c r="BOH11" s="100"/>
      <c r="BOI11" s="100"/>
      <c r="BOJ11" s="101" t="s">
        <v>30</v>
      </c>
      <c r="BOK11" s="100" t="s">
        <v>31</v>
      </c>
      <c r="BOL11" s="100"/>
      <c r="BOM11" s="102" t="s">
        <v>32</v>
      </c>
      <c r="BOP11" s="99" t="s">
        <v>29</v>
      </c>
      <c r="BOQ11" s="100"/>
      <c r="BOR11" s="100"/>
      <c r="BOS11" s="100" t="s">
        <v>22</v>
      </c>
      <c r="BOT11" s="100"/>
      <c r="BOU11" s="100"/>
      <c r="BOV11" s="101" t="s">
        <v>30</v>
      </c>
      <c r="BOW11" s="100" t="s">
        <v>31</v>
      </c>
      <c r="BOX11" s="100"/>
      <c r="BOY11" s="102" t="s">
        <v>32</v>
      </c>
      <c r="BPB11" s="99" t="s">
        <v>29</v>
      </c>
      <c r="BPC11" s="100"/>
      <c r="BPD11" s="100"/>
      <c r="BPE11" s="100" t="s">
        <v>22</v>
      </c>
      <c r="BPF11" s="100"/>
      <c r="BPG11" s="100"/>
      <c r="BPH11" s="101" t="s">
        <v>30</v>
      </c>
      <c r="BPI11" s="100" t="s">
        <v>31</v>
      </c>
      <c r="BPJ11" s="100"/>
      <c r="BPK11" s="102" t="s">
        <v>32</v>
      </c>
      <c r="BPN11" s="99" t="s">
        <v>29</v>
      </c>
      <c r="BPO11" s="100"/>
      <c r="BPP11" s="100"/>
      <c r="BPQ11" s="100" t="s">
        <v>22</v>
      </c>
      <c r="BPR11" s="100"/>
      <c r="BPS11" s="100"/>
      <c r="BPT11" s="101" t="s">
        <v>30</v>
      </c>
      <c r="BPU11" s="100" t="s">
        <v>31</v>
      </c>
      <c r="BPV11" s="100"/>
      <c r="BPW11" s="102" t="s">
        <v>32</v>
      </c>
      <c r="BPZ11" s="99" t="s">
        <v>29</v>
      </c>
      <c r="BQA11" s="100"/>
      <c r="BQB11" s="100"/>
      <c r="BQC11" s="100" t="s">
        <v>22</v>
      </c>
      <c r="BQD11" s="100"/>
      <c r="BQE11" s="100"/>
      <c r="BQF11" s="101" t="s">
        <v>30</v>
      </c>
      <c r="BQG11" s="100" t="s">
        <v>31</v>
      </c>
      <c r="BQH11" s="100"/>
      <c r="BQI11" s="102" t="s">
        <v>32</v>
      </c>
      <c r="BQL11" s="99" t="s">
        <v>29</v>
      </c>
      <c r="BQM11" s="100"/>
      <c r="BQN11" s="100"/>
      <c r="BQO11" s="100" t="s">
        <v>22</v>
      </c>
      <c r="BQP11" s="100"/>
      <c r="BQQ11" s="100"/>
      <c r="BQR11" s="101" t="s">
        <v>30</v>
      </c>
      <c r="BQS11" s="100" t="s">
        <v>31</v>
      </c>
      <c r="BQT11" s="100"/>
      <c r="BQU11" s="102" t="s">
        <v>32</v>
      </c>
      <c r="BQX11" s="99" t="s">
        <v>29</v>
      </c>
      <c r="BQY11" s="100"/>
      <c r="BQZ11" s="100"/>
      <c r="BRA11" s="100" t="s">
        <v>22</v>
      </c>
      <c r="BRB11" s="100"/>
      <c r="BRC11" s="100"/>
      <c r="BRD11" s="101" t="s">
        <v>30</v>
      </c>
      <c r="BRE11" s="100" t="s">
        <v>31</v>
      </c>
      <c r="BRF11" s="100"/>
      <c r="BRG11" s="102" t="s">
        <v>32</v>
      </c>
      <c r="BRJ11" s="99" t="s">
        <v>29</v>
      </c>
      <c r="BRK11" s="100"/>
      <c r="BRL11" s="100"/>
      <c r="BRM11" s="100" t="s">
        <v>22</v>
      </c>
      <c r="BRN11" s="100"/>
      <c r="BRO11" s="100"/>
      <c r="BRP11" s="101" t="s">
        <v>30</v>
      </c>
      <c r="BRQ11" s="100" t="s">
        <v>31</v>
      </c>
      <c r="BRR11" s="100"/>
      <c r="BRS11" s="102" t="s">
        <v>32</v>
      </c>
      <c r="BRV11" s="99" t="s">
        <v>29</v>
      </c>
      <c r="BRW11" s="100"/>
      <c r="BRX11" s="100"/>
      <c r="BRY11" s="100" t="s">
        <v>22</v>
      </c>
      <c r="BRZ11" s="100"/>
      <c r="BSA11" s="100"/>
      <c r="BSB11" s="101" t="s">
        <v>30</v>
      </c>
      <c r="BSC11" s="100" t="s">
        <v>31</v>
      </c>
      <c r="BSD11" s="100"/>
      <c r="BSE11" s="102" t="s">
        <v>32</v>
      </c>
      <c r="BSH11" s="99" t="s">
        <v>29</v>
      </c>
      <c r="BSI11" s="100"/>
      <c r="BSJ11" s="100"/>
      <c r="BSK11" s="100" t="s">
        <v>22</v>
      </c>
      <c r="BSL11" s="100"/>
      <c r="BSM11" s="100"/>
      <c r="BSN11" s="101" t="s">
        <v>30</v>
      </c>
      <c r="BSO11" s="100" t="s">
        <v>31</v>
      </c>
      <c r="BSP11" s="100"/>
      <c r="BSQ11" s="102" t="s">
        <v>32</v>
      </c>
      <c r="BST11" s="99" t="s">
        <v>29</v>
      </c>
      <c r="BSU11" s="100"/>
      <c r="BSV11" s="100"/>
      <c r="BSW11" s="100" t="s">
        <v>22</v>
      </c>
      <c r="BSX11" s="100"/>
      <c r="BSY11" s="100"/>
      <c r="BSZ11" s="101" t="s">
        <v>30</v>
      </c>
      <c r="BTA11" s="100" t="s">
        <v>31</v>
      </c>
      <c r="BTB11" s="100"/>
      <c r="BTC11" s="102" t="s">
        <v>32</v>
      </c>
      <c r="BTF11" s="99" t="s">
        <v>29</v>
      </c>
      <c r="BTG11" s="100"/>
      <c r="BTH11" s="100"/>
      <c r="BTI11" s="100" t="s">
        <v>22</v>
      </c>
      <c r="BTJ11" s="100"/>
      <c r="BTK11" s="100"/>
      <c r="BTL11" s="101" t="s">
        <v>30</v>
      </c>
      <c r="BTM11" s="100" t="s">
        <v>31</v>
      </c>
      <c r="BTN11" s="100"/>
      <c r="BTO11" s="102" t="s">
        <v>32</v>
      </c>
      <c r="BTR11" s="99" t="s">
        <v>29</v>
      </c>
      <c r="BTS11" s="100"/>
      <c r="BTT11" s="100"/>
      <c r="BTU11" s="100" t="s">
        <v>22</v>
      </c>
      <c r="BTV11" s="100"/>
      <c r="BTW11" s="100"/>
      <c r="BTX11" s="101" t="s">
        <v>30</v>
      </c>
      <c r="BTY11" s="100" t="s">
        <v>31</v>
      </c>
      <c r="BTZ11" s="100"/>
      <c r="BUA11" s="102" t="s">
        <v>32</v>
      </c>
      <c r="BUD11" s="99" t="s">
        <v>29</v>
      </c>
      <c r="BUE11" s="100"/>
      <c r="BUF11" s="100"/>
      <c r="BUG11" s="100" t="s">
        <v>22</v>
      </c>
      <c r="BUH11" s="100"/>
      <c r="BUI11" s="100"/>
      <c r="BUJ11" s="101" t="s">
        <v>30</v>
      </c>
      <c r="BUK11" s="100" t="s">
        <v>31</v>
      </c>
      <c r="BUL11" s="100"/>
      <c r="BUM11" s="102" t="s">
        <v>32</v>
      </c>
      <c r="BUP11" s="99" t="s">
        <v>29</v>
      </c>
      <c r="BUQ11" s="100"/>
      <c r="BUR11" s="100"/>
      <c r="BUS11" s="100" t="s">
        <v>22</v>
      </c>
      <c r="BUT11" s="100"/>
      <c r="BUU11" s="100"/>
      <c r="BUV11" s="101" t="s">
        <v>30</v>
      </c>
      <c r="BUW11" s="100" t="s">
        <v>31</v>
      </c>
      <c r="BUX11" s="100"/>
      <c r="BUY11" s="102" t="s">
        <v>32</v>
      </c>
      <c r="BVB11" s="99" t="s">
        <v>29</v>
      </c>
      <c r="BVC11" s="100"/>
      <c r="BVD11" s="100"/>
      <c r="BVE11" s="100" t="s">
        <v>22</v>
      </c>
      <c r="BVF11" s="100"/>
      <c r="BVG11" s="100"/>
      <c r="BVH11" s="101" t="s">
        <v>30</v>
      </c>
      <c r="BVI11" s="100" t="s">
        <v>31</v>
      </c>
      <c r="BVJ11" s="100"/>
      <c r="BVK11" s="102" t="s">
        <v>32</v>
      </c>
      <c r="BVN11" s="99" t="s">
        <v>29</v>
      </c>
      <c r="BVO11" s="100"/>
      <c r="BVP11" s="100"/>
      <c r="BVQ11" s="100" t="s">
        <v>22</v>
      </c>
      <c r="BVR11" s="100"/>
      <c r="BVS11" s="100"/>
      <c r="BVT11" s="101" t="s">
        <v>30</v>
      </c>
      <c r="BVU11" s="100" t="s">
        <v>31</v>
      </c>
      <c r="BVV11" s="100"/>
      <c r="BVW11" s="102" t="s">
        <v>32</v>
      </c>
      <c r="BVZ11" s="99" t="s">
        <v>29</v>
      </c>
      <c r="BWA11" s="100"/>
      <c r="BWB11" s="100"/>
      <c r="BWC11" s="100" t="s">
        <v>22</v>
      </c>
      <c r="BWD11" s="100"/>
      <c r="BWE11" s="100"/>
      <c r="BWF11" s="101" t="s">
        <v>30</v>
      </c>
      <c r="BWG11" s="100" t="s">
        <v>31</v>
      </c>
      <c r="BWH11" s="100"/>
      <c r="BWI11" s="102" t="s">
        <v>32</v>
      </c>
      <c r="BWL11" s="99" t="s">
        <v>29</v>
      </c>
      <c r="BWM11" s="100"/>
      <c r="BWN11" s="100"/>
      <c r="BWO11" s="100" t="s">
        <v>22</v>
      </c>
      <c r="BWP11" s="100"/>
      <c r="BWQ11" s="100"/>
      <c r="BWR11" s="101" t="s">
        <v>30</v>
      </c>
      <c r="BWS11" s="100" t="s">
        <v>31</v>
      </c>
      <c r="BWT11" s="100"/>
      <c r="BWU11" s="102" t="s">
        <v>32</v>
      </c>
      <c r="BWX11" s="99" t="s">
        <v>29</v>
      </c>
      <c r="BWY11" s="100"/>
      <c r="BWZ11" s="100"/>
      <c r="BXA11" s="100" t="s">
        <v>22</v>
      </c>
      <c r="BXB11" s="100"/>
      <c r="BXC11" s="100"/>
      <c r="BXD11" s="101" t="s">
        <v>30</v>
      </c>
      <c r="BXE11" s="100" t="s">
        <v>31</v>
      </c>
      <c r="BXF11" s="100"/>
      <c r="BXG11" s="102" t="s">
        <v>32</v>
      </c>
      <c r="BXJ11" s="99" t="s">
        <v>29</v>
      </c>
      <c r="BXK11" s="100"/>
      <c r="BXL11" s="100"/>
      <c r="BXM11" s="100" t="s">
        <v>22</v>
      </c>
      <c r="BXN11" s="100"/>
      <c r="BXO11" s="100"/>
      <c r="BXP11" s="101" t="s">
        <v>30</v>
      </c>
      <c r="BXQ11" s="100" t="s">
        <v>31</v>
      </c>
      <c r="BXR11" s="100"/>
      <c r="BXS11" s="102" t="s">
        <v>32</v>
      </c>
      <c r="BXV11" s="99" t="s">
        <v>29</v>
      </c>
      <c r="BXW11" s="100"/>
      <c r="BXX11" s="100"/>
      <c r="BXY11" s="100" t="s">
        <v>22</v>
      </c>
      <c r="BXZ11" s="100"/>
      <c r="BYA11" s="100"/>
      <c r="BYB11" s="101" t="s">
        <v>30</v>
      </c>
      <c r="BYC11" s="100" t="s">
        <v>31</v>
      </c>
      <c r="BYD11" s="100"/>
      <c r="BYE11" s="102" t="s">
        <v>32</v>
      </c>
      <c r="BYH11" s="99" t="s">
        <v>29</v>
      </c>
      <c r="BYI11" s="100"/>
      <c r="BYJ11" s="100"/>
      <c r="BYK11" s="100" t="s">
        <v>22</v>
      </c>
      <c r="BYL11" s="100"/>
      <c r="BYM11" s="100"/>
      <c r="BYN11" s="101" t="s">
        <v>30</v>
      </c>
      <c r="BYO11" s="100" t="s">
        <v>31</v>
      </c>
      <c r="BYP11" s="100"/>
      <c r="BYQ11" s="102" t="s">
        <v>32</v>
      </c>
      <c r="BYT11" s="99" t="s">
        <v>29</v>
      </c>
      <c r="BYU11" s="100"/>
      <c r="BYV11" s="100"/>
      <c r="BYW11" s="100" t="s">
        <v>22</v>
      </c>
      <c r="BYX11" s="100"/>
      <c r="BYY11" s="100"/>
      <c r="BYZ11" s="101" t="s">
        <v>30</v>
      </c>
      <c r="BZA11" s="100" t="s">
        <v>31</v>
      </c>
      <c r="BZB11" s="100"/>
      <c r="BZC11" s="102" t="s">
        <v>32</v>
      </c>
      <c r="BZF11" s="99" t="s">
        <v>29</v>
      </c>
      <c r="BZG11" s="100"/>
      <c r="BZH11" s="100"/>
      <c r="BZI11" s="100" t="s">
        <v>22</v>
      </c>
      <c r="BZJ11" s="100"/>
      <c r="BZK11" s="100"/>
      <c r="BZL11" s="101" t="s">
        <v>30</v>
      </c>
      <c r="BZM11" s="100" t="s">
        <v>31</v>
      </c>
      <c r="BZN11" s="100"/>
      <c r="BZO11" s="102" t="s">
        <v>32</v>
      </c>
      <c r="BZR11" s="99" t="s">
        <v>29</v>
      </c>
      <c r="BZS11" s="100"/>
      <c r="BZT11" s="100"/>
      <c r="BZU11" s="100" t="s">
        <v>22</v>
      </c>
      <c r="BZV11" s="100"/>
      <c r="BZW11" s="100"/>
      <c r="BZX11" s="101" t="s">
        <v>30</v>
      </c>
      <c r="BZY11" s="100" t="s">
        <v>31</v>
      </c>
      <c r="BZZ11" s="100"/>
      <c r="CAA11" s="102" t="s">
        <v>32</v>
      </c>
      <c r="CAD11" s="99" t="s">
        <v>29</v>
      </c>
      <c r="CAE11" s="100"/>
      <c r="CAF11" s="100"/>
      <c r="CAG11" s="100" t="s">
        <v>22</v>
      </c>
      <c r="CAH11" s="100"/>
      <c r="CAI11" s="100"/>
      <c r="CAJ11" s="101" t="s">
        <v>30</v>
      </c>
      <c r="CAK11" s="100" t="s">
        <v>31</v>
      </c>
      <c r="CAL11" s="100"/>
      <c r="CAM11" s="102" t="s">
        <v>32</v>
      </c>
      <c r="CAP11" s="99" t="s">
        <v>29</v>
      </c>
      <c r="CAQ11" s="100"/>
      <c r="CAR11" s="100"/>
      <c r="CAS11" s="100" t="s">
        <v>22</v>
      </c>
      <c r="CAT11" s="100"/>
      <c r="CAU11" s="100"/>
      <c r="CAV11" s="101" t="s">
        <v>30</v>
      </c>
      <c r="CAW11" s="100" t="s">
        <v>31</v>
      </c>
      <c r="CAX11" s="100"/>
      <c r="CAY11" s="102" t="s">
        <v>32</v>
      </c>
      <c r="CBB11" s="99" t="s">
        <v>29</v>
      </c>
      <c r="CBC11" s="100"/>
      <c r="CBD11" s="100"/>
      <c r="CBE11" s="100" t="s">
        <v>22</v>
      </c>
      <c r="CBF11" s="100"/>
      <c r="CBG11" s="100"/>
      <c r="CBH11" s="101" t="s">
        <v>30</v>
      </c>
      <c r="CBI11" s="100" t="s">
        <v>31</v>
      </c>
      <c r="CBJ11" s="100"/>
      <c r="CBK11" s="102" t="s">
        <v>32</v>
      </c>
      <c r="CBN11" s="99" t="s">
        <v>29</v>
      </c>
      <c r="CBO11" s="100"/>
      <c r="CBP11" s="100"/>
      <c r="CBQ11" s="100" t="s">
        <v>22</v>
      </c>
      <c r="CBR11" s="100"/>
      <c r="CBS11" s="100"/>
      <c r="CBT11" s="101" t="s">
        <v>30</v>
      </c>
      <c r="CBU11" s="100" t="s">
        <v>31</v>
      </c>
      <c r="CBV11" s="100"/>
      <c r="CBW11" s="102" t="s">
        <v>32</v>
      </c>
      <c r="CBZ11" s="99" t="s">
        <v>29</v>
      </c>
      <c r="CCA11" s="100"/>
      <c r="CCB11" s="100"/>
      <c r="CCC11" s="100" t="s">
        <v>22</v>
      </c>
      <c r="CCD11" s="100"/>
      <c r="CCE11" s="100"/>
      <c r="CCF11" s="101" t="s">
        <v>30</v>
      </c>
      <c r="CCG11" s="100" t="s">
        <v>31</v>
      </c>
      <c r="CCH11" s="100"/>
      <c r="CCI11" s="102" t="s">
        <v>32</v>
      </c>
      <c r="CCL11" s="99" t="s">
        <v>29</v>
      </c>
      <c r="CCM11" s="100"/>
      <c r="CCN11" s="100"/>
      <c r="CCO11" s="100" t="s">
        <v>22</v>
      </c>
      <c r="CCP11" s="100"/>
      <c r="CCQ11" s="100"/>
      <c r="CCR11" s="101" t="s">
        <v>30</v>
      </c>
      <c r="CCS11" s="100" t="s">
        <v>31</v>
      </c>
      <c r="CCT11" s="100"/>
      <c r="CCU11" s="102" t="s">
        <v>32</v>
      </c>
      <c r="CCX11" s="99" t="s">
        <v>29</v>
      </c>
      <c r="CCY11" s="100"/>
      <c r="CCZ11" s="100"/>
      <c r="CDA11" s="100" t="s">
        <v>22</v>
      </c>
      <c r="CDB11" s="100"/>
      <c r="CDC11" s="100"/>
      <c r="CDD11" s="101" t="s">
        <v>30</v>
      </c>
      <c r="CDE11" s="100" t="s">
        <v>31</v>
      </c>
      <c r="CDF11" s="100"/>
      <c r="CDG11" s="102" t="s">
        <v>32</v>
      </c>
      <c r="CDJ11" s="99" t="s">
        <v>29</v>
      </c>
      <c r="CDK11" s="100"/>
      <c r="CDL11" s="100"/>
      <c r="CDM11" s="100" t="s">
        <v>22</v>
      </c>
      <c r="CDN11" s="100"/>
      <c r="CDO11" s="100"/>
      <c r="CDP11" s="101" t="s">
        <v>30</v>
      </c>
      <c r="CDQ11" s="100" t="s">
        <v>31</v>
      </c>
      <c r="CDR11" s="100"/>
      <c r="CDS11" s="102" t="s">
        <v>32</v>
      </c>
      <c r="CDV11" s="99" t="s">
        <v>29</v>
      </c>
      <c r="CDW11" s="100"/>
      <c r="CDX11" s="100"/>
      <c r="CDY11" s="100" t="s">
        <v>22</v>
      </c>
      <c r="CDZ11" s="100"/>
      <c r="CEA11" s="100"/>
      <c r="CEB11" s="101" t="s">
        <v>30</v>
      </c>
      <c r="CEC11" s="100" t="s">
        <v>31</v>
      </c>
      <c r="CED11" s="100"/>
      <c r="CEE11" s="102" t="s">
        <v>32</v>
      </c>
      <c r="CEH11" s="99" t="s">
        <v>29</v>
      </c>
      <c r="CEI11" s="100"/>
      <c r="CEJ11" s="100"/>
      <c r="CEK11" s="100" t="s">
        <v>22</v>
      </c>
      <c r="CEL11" s="100"/>
      <c r="CEM11" s="100"/>
      <c r="CEN11" s="101" t="s">
        <v>30</v>
      </c>
      <c r="CEO11" s="100" t="s">
        <v>31</v>
      </c>
      <c r="CEP11" s="100"/>
      <c r="CEQ11" s="102" t="s">
        <v>32</v>
      </c>
      <c r="CET11" s="99" t="s">
        <v>29</v>
      </c>
      <c r="CEU11" s="100"/>
      <c r="CEV11" s="100"/>
      <c r="CEW11" s="100" t="s">
        <v>22</v>
      </c>
      <c r="CEX11" s="100"/>
      <c r="CEY11" s="100"/>
      <c r="CEZ11" s="101" t="s">
        <v>30</v>
      </c>
      <c r="CFA11" s="100" t="s">
        <v>31</v>
      </c>
      <c r="CFB11" s="100"/>
      <c r="CFC11" s="102" t="s">
        <v>32</v>
      </c>
      <c r="CFF11" s="99" t="s">
        <v>29</v>
      </c>
      <c r="CFG11" s="100"/>
      <c r="CFH11" s="100"/>
      <c r="CFI11" s="100" t="s">
        <v>22</v>
      </c>
      <c r="CFJ11" s="100"/>
      <c r="CFK11" s="100"/>
      <c r="CFL11" s="101" t="s">
        <v>30</v>
      </c>
      <c r="CFM11" s="100" t="s">
        <v>31</v>
      </c>
      <c r="CFN11" s="100"/>
      <c r="CFO11" s="102" t="s">
        <v>32</v>
      </c>
      <c r="CFR11" s="99" t="s">
        <v>29</v>
      </c>
      <c r="CFS11" s="100"/>
      <c r="CFT11" s="100"/>
      <c r="CFU11" s="100" t="s">
        <v>22</v>
      </c>
      <c r="CFV11" s="100"/>
      <c r="CFW11" s="100"/>
      <c r="CFX11" s="101" t="s">
        <v>30</v>
      </c>
      <c r="CFY11" s="100" t="s">
        <v>31</v>
      </c>
      <c r="CFZ11" s="100"/>
      <c r="CGA11" s="102" t="s">
        <v>32</v>
      </c>
      <c r="CGD11" s="99" t="s">
        <v>29</v>
      </c>
      <c r="CGE11" s="100"/>
      <c r="CGF11" s="100"/>
      <c r="CGG11" s="100" t="s">
        <v>22</v>
      </c>
      <c r="CGH11" s="100"/>
      <c r="CGI11" s="100"/>
      <c r="CGJ11" s="101" t="s">
        <v>30</v>
      </c>
      <c r="CGK11" s="100" t="s">
        <v>31</v>
      </c>
      <c r="CGL11" s="100"/>
      <c r="CGM11" s="102" t="s">
        <v>32</v>
      </c>
      <c r="CGP11" s="99" t="s">
        <v>29</v>
      </c>
      <c r="CGQ11" s="100"/>
      <c r="CGR11" s="100"/>
      <c r="CGS11" s="100" t="s">
        <v>22</v>
      </c>
      <c r="CGT11" s="100"/>
      <c r="CGU11" s="100"/>
      <c r="CGV11" s="101" t="s">
        <v>30</v>
      </c>
      <c r="CGW11" s="100" t="s">
        <v>31</v>
      </c>
      <c r="CGX11" s="100"/>
      <c r="CGY11" s="102" t="s">
        <v>32</v>
      </c>
      <c r="CHB11" s="99" t="s">
        <v>29</v>
      </c>
      <c r="CHC11" s="100"/>
      <c r="CHD11" s="100"/>
      <c r="CHE11" s="100" t="s">
        <v>22</v>
      </c>
      <c r="CHF11" s="100"/>
      <c r="CHG11" s="100"/>
      <c r="CHH11" s="101" t="s">
        <v>30</v>
      </c>
      <c r="CHI11" s="100" t="s">
        <v>31</v>
      </c>
      <c r="CHJ11" s="100"/>
      <c r="CHK11" s="102" t="s">
        <v>32</v>
      </c>
      <c r="CHN11" s="99" t="s">
        <v>29</v>
      </c>
      <c r="CHO11" s="100"/>
      <c r="CHP11" s="100"/>
      <c r="CHQ11" s="100" t="s">
        <v>22</v>
      </c>
      <c r="CHR11" s="100"/>
      <c r="CHS11" s="100"/>
      <c r="CHT11" s="101" t="s">
        <v>30</v>
      </c>
      <c r="CHU11" s="100" t="s">
        <v>31</v>
      </c>
      <c r="CHV11" s="100"/>
      <c r="CHW11" s="102" t="s">
        <v>32</v>
      </c>
      <c r="CHZ11" s="99" t="s">
        <v>29</v>
      </c>
      <c r="CIA11" s="100"/>
      <c r="CIB11" s="100"/>
      <c r="CIC11" s="100" t="s">
        <v>22</v>
      </c>
      <c r="CID11" s="100"/>
      <c r="CIE11" s="100"/>
      <c r="CIF11" s="101" t="s">
        <v>30</v>
      </c>
      <c r="CIG11" s="100" t="s">
        <v>31</v>
      </c>
      <c r="CIH11" s="100"/>
      <c r="CII11" s="102" t="s">
        <v>32</v>
      </c>
      <c r="CIL11" s="99" t="s">
        <v>29</v>
      </c>
      <c r="CIM11" s="100"/>
      <c r="CIN11" s="100"/>
      <c r="CIO11" s="100" t="s">
        <v>22</v>
      </c>
      <c r="CIP11" s="100"/>
      <c r="CIQ11" s="100"/>
      <c r="CIR11" s="101" t="s">
        <v>30</v>
      </c>
      <c r="CIS11" s="100" t="s">
        <v>31</v>
      </c>
      <c r="CIT11" s="100"/>
      <c r="CIU11" s="102" t="s">
        <v>32</v>
      </c>
      <c r="CIX11" s="99" t="s">
        <v>29</v>
      </c>
      <c r="CIY11" s="100"/>
      <c r="CIZ11" s="100"/>
      <c r="CJA11" s="100" t="s">
        <v>22</v>
      </c>
      <c r="CJB11" s="100"/>
      <c r="CJC11" s="100"/>
      <c r="CJD11" s="101" t="s">
        <v>30</v>
      </c>
      <c r="CJE11" s="100" t="s">
        <v>31</v>
      </c>
      <c r="CJF11" s="100"/>
      <c r="CJG11" s="102" t="s">
        <v>32</v>
      </c>
      <c r="CJJ11" s="99" t="s">
        <v>29</v>
      </c>
      <c r="CJK11" s="100"/>
      <c r="CJL11" s="100"/>
      <c r="CJM11" s="100" t="s">
        <v>22</v>
      </c>
      <c r="CJN11" s="100"/>
      <c r="CJO11" s="100"/>
      <c r="CJP11" s="101" t="s">
        <v>30</v>
      </c>
      <c r="CJQ11" s="100" t="s">
        <v>31</v>
      </c>
      <c r="CJR11" s="100"/>
      <c r="CJS11" s="102" t="s">
        <v>32</v>
      </c>
      <c r="CJV11" s="99" t="s">
        <v>29</v>
      </c>
      <c r="CJW11" s="100"/>
      <c r="CJX11" s="100"/>
      <c r="CJY11" s="100" t="s">
        <v>22</v>
      </c>
      <c r="CJZ11" s="100"/>
      <c r="CKA11" s="100"/>
      <c r="CKB11" s="101" t="s">
        <v>30</v>
      </c>
      <c r="CKC11" s="100" t="s">
        <v>31</v>
      </c>
      <c r="CKD11" s="100"/>
      <c r="CKE11" s="102" t="s">
        <v>32</v>
      </c>
      <c r="CKH11" s="99" t="s">
        <v>29</v>
      </c>
      <c r="CKI11" s="100"/>
      <c r="CKJ11" s="100"/>
      <c r="CKK11" s="100" t="s">
        <v>22</v>
      </c>
      <c r="CKL11" s="100"/>
      <c r="CKM11" s="100"/>
      <c r="CKN11" s="101" t="s">
        <v>30</v>
      </c>
      <c r="CKO11" s="100" t="s">
        <v>31</v>
      </c>
      <c r="CKP11" s="100"/>
      <c r="CKQ11" s="102" t="s">
        <v>32</v>
      </c>
      <c r="CKT11" s="99" t="s">
        <v>29</v>
      </c>
      <c r="CKU11" s="100"/>
      <c r="CKV11" s="100"/>
      <c r="CKW11" s="100" t="s">
        <v>22</v>
      </c>
      <c r="CKX11" s="100"/>
      <c r="CKY11" s="100"/>
      <c r="CKZ11" s="101" t="s">
        <v>30</v>
      </c>
      <c r="CLA11" s="100" t="s">
        <v>31</v>
      </c>
      <c r="CLB11" s="100"/>
      <c r="CLC11" s="102" t="s">
        <v>32</v>
      </c>
      <c r="CLF11" s="99" t="s">
        <v>29</v>
      </c>
      <c r="CLG11" s="100"/>
      <c r="CLH11" s="100"/>
      <c r="CLI11" s="100" t="s">
        <v>22</v>
      </c>
      <c r="CLJ11" s="100"/>
      <c r="CLK11" s="100"/>
      <c r="CLL11" s="101" t="s">
        <v>30</v>
      </c>
      <c r="CLM11" s="100" t="s">
        <v>31</v>
      </c>
      <c r="CLN11" s="100"/>
      <c r="CLO11" s="102" t="s">
        <v>32</v>
      </c>
      <c r="CLR11" s="99" t="s">
        <v>29</v>
      </c>
      <c r="CLS11" s="100"/>
      <c r="CLT11" s="100"/>
      <c r="CLU11" s="100" t="s">
        <v>22</v>
      </c>
      <c r="CLV11" s="100"/>
      <c r="CLW11" s="100"/>
      <c r="CLX11" s="101" t="s">
        <v>30</v>
      </c>
      <c r="CLY11" s="100" t="s">
        <v>31</v>
      </c>
      <c r="CLZ11" s="100"/>
      <c r="CMA11" s="102" t="s">
        <v>32</v>
      </c>
      <c r="CMD11" s="99" t="s">
        <v>29</v>
      </c>
      <c r="CME11" s="100"/>
      <c r="CMF11" s="100"/>
      <c r="CMG11" s="100" t="s">
        <v>22</v>
      </c>
      <c r="CMH11" s="100"/>
      <c r="CMI11" s="100"/>
      <c r="CMJ11" s="101" t="s">
        <v>30</v>
      </c>
      <c r="CMK11" s="100" t="s">
        <v>31</v>
      </c>
      <c r="CML11" s="100"/>
      <c r="CMM11" s="102" t="s">
        <v>32</v>
      </c>
      <c r="CMP11" s="99" t="s">
        <v>29</v>
      </c>
      <c r="CMQ11" s="100"/>
      <c r="CMR11" s="100"/>
      <c r="CMS11" s="100" t="s">
        <v>22</v>
      </c>
      <c r="CMT11" s="100"/>
      <c r="CMU11" s="100"/>
      <c r="CMV11" s="101" t="s">
        <v>30</v>
      </c>
      <c r="CMW11" s="100" t="s">
        <v>31</v>
      </c>
      <c r="CMX11" s="100"/>
      <c r="CMY11" s="102" t="s">
        <v>32</v>
      </c>
      <c r="CNB11" s="99" t="s">
        <v>29</v>
      </c>
      <c r="CNC11" s="100"/>
      <c r="CND11" s="100"/>
      <c r="CNE11" s="100" t="s">
        <v>22</v>
      </c>
      <c r="CNF11" s="100"/>
      <c r="CNG11" s="100"/>
      <c r="CNH11" s="101" t="s">
        <v>30</v>
      </c>
      <c r="CNI11" s="100" t="s">
        <v>31</v>
      </c>
      <c r="CNJ11" s="100"/>
      <c r="CNK11" s="102" t="s">
        <v>32</v>
      </c>
      <c r="CNN11" s="99" t="s">
        <v>29</v>
      </c>
      <c r="CNO11" s="100"/>
      <c r="CNP11" s="100"/>
      <c r="CNQ11" s="100" t="s">
        <v>22</v>
      </c>
      <c r="CNR11" s="100"/>
      <c r="CNS11" s="100"/>
      <c r="CNT11" s="101" t="s">
        <v>30</v>
      </c>
      <c r="CNU11" s="100" t="s">
        <v>31</v>
      </c>
      <c r="CNV11" s="100"/>
      <c r="CNW11" s="102" t="s">
        <v>32</v>
      </c>
      <c r="CNZ11" s="99" t="s">
        <v>29</v>
      </c>
      <c r="COA11" s="100"/>
      <c r="COB11" s="100"/>
      <c r="COC11" s="100" t="s">
        <v>22</v>
      </c>
      <c r="COD11" s="100"/>
      <c r="COE11" s="100"/>
      <c r="COF11" s="101" t="s">
        <v>30</v>
      </c>
      <c r="COG11" s="100" t="s">
        <v>31</v>
      </c>
      <c r="COH11" s="100"/>
      <c r="COI11" s="102" t="s">
        <v>32</v>
      </c>
      <c r="COL11" s="99" t="s">
        <v>29</v>
      </c>
      <c r="COM11" s="100"/>
      <c r="CON11" s="100"/>
      <c r="COO11" s="100" t="s">
        <v>22</v>
      </c>
      <c r="COP11" s="100"/>
      <c r="COQ11" s="100"/>
      <c r="COR11" s="101" t="s">
        <v>30</v>
      </c>
      <c r="COS11" s="100" t="s">
        <v>31</v>
      </c>
      <c r="COT11" s="100"/>
      <c r="COU11" s="102" t="s">
        <v>32</v>
      </c>
      <c r="COX11" s="99" t="s">
        <v>29</v>
      </c>
      <c r="COY11" s="100"/>
      <c r="COZ11" s="100"/>
      <c r="CPA11" s="100" t="s">
        <v>22</v>
      </c>
      <c r="CPB11" s="100"/>
      <c r="CPC11" s="100"/>
      <c r="CPD11" s="101" t="s">
        <v>30</v>
      </c>
      <c r="CPE11" s="100" t="s">
        <v>31</v>
      </c>
      <c r="CPF11" s="100"/>
      <c r="CPG11" s="102" t="s">
        <v>32</v>
      </c>
      <c r="CPJ11" s="99" t="s">
        <v>29</v>
      </c>
      <c r="CPK11" s="100"/>
      <c r="CPL11" s="100"/>
      <c r="CPM11" s="100" t="s">
        <v>22</v>
      </c>
      <c r="CPN11" s="100"/>
      <c r="CPO11" s="100"/>
      <c r="CPP11" s="101" t="s">
        <v>30</v>
      </c>
      <c r="CPQ11" s="100" t="s">
        <v>31</v>
      </c>
      <c r="CPR11" s="100"/>
      <c r="CPS11" s="102" t="s">
        <v>32</v>
      </c>
      <c r="CPV11" s="99" t="s">
        <v>29</v>
      </c>
      <c r="CPW11" s="100"/>
      <c r="CPX11" s="100"/>
      <c r="CPY11" s="100" t="s">
        <v>22</v>
      </c>
      <c r="CPZ11" s="100"/>
      <c r="CQA11" s="100"/>
      <c r="CQB11" s="101" t="s">
        <v>30</v>
      </c>
      <c r="CQC11" s="100" t="s">
        <v>31</v>
      </c>
      <c r="CQD11" s="100"/>
      <c r="CQE11" s="102" t="s">
        <v>32</v>
      </c>
      <c r="CQH11" s="99" t="s">
        <v>29</v>
      </c>
      <c r="CQI11" s="100"/>
      <c r="CQJ11" s="100"/>
      <c r="CQK11" s="100" t="s">
        <v>22</v>
      </c>
      <c r="CQL11" s="100"/>
      <c r="CQM11" s="100"/>
      <c r="CQN11" s="101" t="s">
        <v>30</v>
      </c>
      <c r="CQO11" s="100" t="s">
        <v>31</v>
      </c>
      <c r="CQP11" s="100"/>
      <c r="CQQ11" s="102" t="s">
        <v>32</v>
      </c>
      <c r="CQT11" s="99" t="s">
        <v>29</v>
      </c>
      <c r="CQU11" s="100"/>
      <c r="CQV11" s="100"/>
      <c r="CQW11" s="100" t="s">
        <v>22</v>
      </c>
      <c r="CQX11" s="100"/>
      <c r="CQY11" s="100"/>
      <c r="CQZ11" s="101" t="s">
        <v>30</v>
      </c>
      <c r="CRA11" s="100" t="s">
        <v>31</v>
      </c>
      <c r="CRB11" s="100"/>
      <c r="CRC11" s="102" t="s">
        <v>32</v>
      </c>
      <c r="CRF11" s="99" t="s">
        <v>29</v>
      </c>
      <c r="CRG11" s="100"/>
      <c r="CRH11" s="100"/>
      <c r="CRI11" s="100" t="s">
        <v>22</v>
      </c>
      <c r="CRJ11" s="100"/>
      <c r="CRK11" s="100"/>
      <c r="CRL11" s="101" t="s">
        <v>30</v>
      </c>
      <c r="CRM11" s="100" t="s">
        <v>31</v>
      </c>
      <c r="CRN11" s="100"/>
      <c r="CRO11" s="102" t="s">
        <v>32</v>
      </c>
      <c r="CRR11" s="99" t="s">
        <v>29</v>
      </c>
      <c r="CRS11" s="100"/>
      <c r="CRT11" s="100"/>
      <c r="CRU11" s="100" t="s">
        <v>22</v>
      </c>
      <c r="CRV11" s="100"/>
      <c r="CRW11" s="100"/>
      <c r="CRX11" s="101" t="s">
        <v>30</v>
      </c>
      <c r="CRY11" s="100" t="s">
        <v>31</v>
      </c>
      <c r="CRZ11" s="100"/>
      <c r="CSA11" s="102" t="s">
        <v>32</v>
      </c>
      <c r="CSD11" s="99" t="s">
        <v>29</v>
      </c>
      <c r="CSE11" s="100"/>
      <c r="CSF11" s="100"/>
      <c r="CSG11" s="100" t="s">
        <v>22</v>
      </c>
      <c r="CSH11" s="100"/>
      <c r="CSI11" s="100"/>
      <c r="CSJ11" s="101" t="s">
        <v>30</v>
      </c>
      <c r="CSK11" s="100" t="s">
        <v>31</v>
      </c>
      <c r="CSL11" s="100"/>
      <c r="CSM11" s="102" t="s">
        <v>32</v>
      </c>
      <c r="CSP11" s="99" t="s">
        <v>29</v>
      </c>
      <c r="CSQ11" s="100"/>
      <c r="CSR11" s="100"/>
      <c r="CSS11" s="100" t="s">
        <v>22</v>
      </c>
      <c r="CST11" s="100"/>
      <c r="CSU11" s="100"/>
      <c r="CSV11" s="101" t="s">
        <v>30</v>
      </c>
      <c r="CSW11" s="100" t="s">
        <v>31</v>
      </c>
      <c r="CSX11" s="100"/>
      <c r="CSY11" s="102" t="s">
        <v>32</v>
      </c>
      <c r="CTB11" s="99" t="s">
        <v>29</v>
      </c>
      <c r="CTC11" s="100"/>
      <c r="CTD11" s="100"/>
      <c r="CTE11" s="100" t="s">
        <v>22</v>
      </c>
      <c r="CTF11" s="100"/>
      <c r="CTG11" s="100"/>
      <c r="CTH11" s="101" t="s">
        <v>30</v>
      </c>
      <c r="CTI11" s="100" t="s">
        <v>31</v>
      </c>
      <c r="CTJ11" s="100"/>
      <c r="CTK11" s="102" t="s">
        <v>32</v>
      </c>
      <c r="CTN11" s="99" t="s">
        <v>29</v>
      </c>
      <c r="CTO11" s="100"/>
      <c r="CTP11" s="100"/>
      <c r="CTQ11" s="100" t="s">
        <v>22</v>
      </c>
      <c r="CTR11" s="100"/>
      <c r="CTS11" s="100"/>
      <c r="CTT11" s="101" t="s">
        <v>30</v>
      </c>
      <c r="CTU11" s="100" t="s">
        <v>31</v>
      </c>
      <c r="CTV11" s="100"/>
      <c r="CTW11" s="102" t="s">
        <v>32</v>
      </c>
      <c r="CTZ11" s="99" t="s">
        <v>29</v>
      </c>
      <c r="CUA11" s="100"/>
      <c r="CUB11" s="100"/>
      <c r="CUC11" s="100" t="s">
        <v>22</v>
      </c>
      <c r="CUD11" s="100"/>
      <c r="CUE11" s="100"/>
      <c r="CUF11" s="101" t="s">
        <v>30</v>
      </c>
      <c r="CUG11" s="100" t="s">
        <v>31</v>
      </c>
      <c r="CUH11" s="100"/>
      <c r="CUI11" s="102" t="s">
        <v>32</v>
      </c>
      <c r="CUL11" s="99" t="s">
        <v>29</v>
      </c>
      <c r="CUM11" s="100"/>
      <c r="CUN11" s="100"/>
      <c r="CUO11" s="100" t="s">
        <v>22</v>
      </c>
      <c r="CUP11" s="100"/>
      <c r="CUQ11" s="100"/>
      <c r="CUR11" s="101" t="s">
        <v>30</v>
      </c>
      <c r="CUS11" s="100" t="s">
        <v>31</v>
      </c>
      <c r="CUT11" s="100"/>
      <c r="CUU11" s="102" t="s">
        <v>32</v>
      </c>
      <c r="CUX11" s="99" t="s">
        <v>29</v>
      </c>
      <c r="CUY11" s="100"/>
      <c r="CUZ11" s="100"/>
      <c r="CVA11" s="100" t="s">
        <v>22</v>
      </c>
      <c r="CVB11" s="100"/>
      <c r="CVC11" s="100"/>
      <c r="CVD11" s="101" t="s">
        <v>30</v>
      </c>
      <c r="CVE11" s="100" t="s">
        <v>31</v>
      </c>
      <c r="CVF11" s="100"/>
      <c r="CVG11" s="102" t="s">
        <v>32</v>
      </c>
      <c r="CVJ11" s="99" t="s">
        <v>29</v>
      </c>
      <c r="CVK11" s="100"/>
      <c r="CVL11" s="100"/>
      <c r="CVM11" s="100" t="s">
        <v>22</v>
      </c>
      <c r="CVN11" s="100"/>
      <c r="CVO11" s="100"/>
      <c r="CVP11" s="101" t="s">
        <v>30</v>
      </c>
      <c r="CVQ11" s="100" t="s">
        <v>31</v>
      </c>
      <c r="CVR11" s="100"/>
      <c r="CVS11" s="102" t="s">
        <v>32</v>
      </c>
      <c r="CVV11" s="99" t="s">
        <v>29</v>
      </c>
      <c r="CVW11" s="100"/>
      <c r="CVX11" s="100"/>
      <c r="CVY11" s="100" t="s">
        <v>22</v>
      </c>
      <c r="CVZ11" s="100"/>
      <c r="CWA11" s="100"/>
      <c r="CWB11" s="101" t="s">
        <v>30</v>
      </c>
      <c r="CWC11" s="100" t="s">
        <v>31</v>
      </c>
      <c r="CWD11" s="100"/>
      <c r="CWE11" s="102" t="s">
        <v>32</v>
      </c>
    </row>
    <row r="12" spans="1:1023 1026:2631" x14ac:dyDescent="0.25">
      <c r="A12" s="104"/>
      <c r="B12" s="89" t="s">
        <v>33</v>
      </c>
      <c r="C12" s="90"/>
      <c r="D12" s="91"/>
      <c r="E12" s="92">
        <v>0.35</v>
      </c>
      <c r="F12" s="93">
        <f t="shared" ref="F12:F20" si="0">E12*$L$7</f>
        <v>12250</v>
      </c>
      <c r="H12" s="94"/>
      <c r="I12" s="94"/>
      <c r="J12" s="94"/>
      <c r="K12" s="95"/>
      <c r="L12" s="95"/>
      <c r="O12" s="104"/>
      <c r="P12" s="89" t="s">
        <v>33</v>
      </c>
      <c r="Q12" s="90"/>
      <c r="R12" s="91"/>
      <c r="S12" s="92">
        <v>0.35</v>
      </c>
      <c r="T12" s="93">
        <f>S12*$Z$7</f>
        <v>12250</v>
      </c>
      <c r="V12" s="94"/>
      <c r="W12" s="94"/>
      <c r="X12" s="94"/>
      <c r="Y12" s="95"/>
      <c r="Z12" s="95"/>
      <c r="AC12" s="96"/>
      <c r="AD12" s="89" t="s">
        <v>33</v>
      </c>
      <c r="AE12" s="90"/>
      <c r="AF12" s="91"/>
      <c r="AG12" s="92">
        <v>0.35</v>
      </c>
      <c r="AH12" s="93">
        <f t="shared" ref="AH12:AH22" si="1">AG12*$AN$7</f>
        <v>11550</v>
      </c>
      <c r="AJ12" s="94"/>
      <c r="AK12" s="94"/>
      <c r="AL12" s="94"/>
      <c r="AM12" s="95"/>
      <c r="AN12" s="95"/>
      <c r="AQ12" s="104"/>
      <c r="AR12" s="89" t="s">
        <v>33</v>
      </c>
      <c r="AS12" s="90"/>
      <c r="AT12" s="91"/>
      <c r="AU12" s="92">
        <v>0.35</v>
      </c>
      <c r="AV12" s="93">
        <f t="shared" ref="AV12:AV22" si="2">AU12*$BB$7</f>
        <v>9450</v>
      </c>
      <c r="AX12" s="94"/>
      <c r="AY12" s="94"/>
      <c r="AZ12" s="94"/>
      <c r="BA12" s="95"/>
      <c r="BB12" s="95"/>
      <c r="BE12" s="104"/>
      <c r="BF12" s="89" t="s">
        <v>33</v>
      </c>
      <c r="BG12" s="90"/>
      <c r="BH12" s="91"/>
      <c r="BI12" s="92">
        <v>0.35</v>
      </c>
      <c r="BJ12" s="93">
        <f t="shared" ref="BJ12:BJ22" si="3">BI12*$BP$7</f>
        <v>12250</v>
      </c>
      <c r="BL12" s="94"/>
      <c r="BM12" s="94"/>
      <c r="BN12" s="94"/>
      <c r="BO12" s="95"/>
      <c r="BP12" s="95"/>
      <c r="BS12" s="104"/>
      <c r="BT12" s="89" t="s">
        <v>33</v>
      </c>
      <c r="BU12" s="90"/>
      <c r="BV12" s="91"/>
      <c r="BW12" s="92">
        <v>0.35</v>
      </c>
      <c r="BX12" s="93">
        <f t="shared" ref="BX12:BX22" si="4">BW12*$CD$7</f>
        <v>10850</v>
      </c>
      <c r="BZ12" s="94"/>
      <c r="CA12" s="94"/>
      <c r="CB12" s="94"/>
      <c r="CC12" s="95"/>
      <c r="CD12" s="95"/>
      <c r="CG12" s="104"/>
      <c r="CH12" s="89" t="s">
        <v>33</v>
      </c>
      <c r="CI12" s="90"/>
      <c r="CJ12" s="91"/>
      <c r="CK12" s="92">
        <v>0.35</v>
      </c>
      <c r="CL12" s="93">
        <f t="shared" ref="CL12:CL22" si="5">CK12*$CR$7</f>
        <v>12250</v>
      </c>
      <c r="CN12" s="94"/>
      <c r="CO12" s="94"/>
      <c r="CP12" s="94"/>
      <c r="CQ12" s="95"/>
      <c r="CR12" s="95"/>
      <c r="CU12" s="104"/>
      <c r="CV12" s="89" t="s">
        <v>33</v>
      </c>
      <c r="CW12" s="90"/>
      <c r="CX12" s="91"/>
      <c r="CY12" s="92">
        <v>0.35</v>
      </c>
      <c r="CZ12" s="93">
        <f t="shared" ref="CZ12:CZ22" si="6">CY12*$CR$7</f>
        <v>12250</v>
      </c>
      <c r="DB12" s="94"/>
      <c r="DC12" s="94"/>
      <c r="DD12" s="94"/>
      <c r="DE12" s="95"/>
      <c r="DF12" s="95"/>
      <c r="DI12" s="104"/>
      <c r="DJ12" s="89" t="s">
        <v>33</v>
      </c>
      <c r="DK12" s="90"/>
      <c r="DL12" s="91"/>
      <c r="DM12" s="92">
        <v>0.35</v>
      </c>
      <c r="DN12" s="93">
        <f t="shared" ref="DN12:DN22" si="7">DM12*$DT$7</f>
        <v>12250</v>
      </c>
      <c r="DP12" s="94"/>
      <c r="DQ12" s="94"/>
      <c r="DR12" s="94"/>
      <c r="DS12" s="95"/>
      <c r="DT12" s="95"/>
      <c r="DW12" s="104"/>
      <c r="DX12" s="89" t="s">
        <v>33</v>
      </c>
      <c r="DY12" s="90"/>
      <c r="DZ12" s="91"/>
      <c r="EA12" s="92">
        <v>0.35</v>
      </c>
      <c r="EB12" s="93">
        <f t="shared" ref="EB12:EB22" si="8">EA12*$EH$7</f>
        <v>12250</v>
      </c>
      <c r="ED12" s="94"/>
      <c r="EE12" s="94"/>
      <c r="EF12" s="94"/>
      <c r="EG12" s="95"/>
      <c r="EH12" s="95"/>
      <c r="EK12" s="104"/>
      <c r="EL12" s="89" t="s">
        <v>33</v>
      </c>
      <c r="EM12" s="90"/>
      <c r="EN12" s="91"/>
      <c r="EO12" s="92">
        <v>0.35</v>
      </c>
      <c r="EP12" s="93">
        <f t="shared" ref="EP12:EP22" si="9">EO12*$EV$7</f>
        <v>12250</v>
      </c>
      <c r="ER12" s="94"/>
      <c r="ES12" s="94"/>
      <c r="ET12" s="94"/>
      <c r="EU12" s="95"/>
      <c r="EV12" s="95"/>
      <c r="EY12" s="104"/>
      <c r="EZ12" s="89" t="s">
        <v>33</v>
      </c>
      <c r="FA12" s="90"/>
      <c r="FB12" s="91"/>
      <c r="FC12" s="92">
        <v>0.35</v>
      </c>
      <c r="FD12" s="93">
        <f t="shared" ref="FD12:FD22" si="10">FC12*$FJ$7</f>
        <v>12250</v>
      </c>
      <c r="FF12" s="94"/>
      <c r="FG12" s="94"/>
      <c r="FH12" s="94"/>
      <c r="FI12" s="95"/>
      <c r="FJ12" s="95"/>
      <c r="FM12" s="104"/>
      <c r="FN12" s="89" t="s">
        <v>33</v>
      </c>
      <c r="FO12" s="90"/>
      <c r="FP12" s="91"/>
      <c r="FQ12" s="92">
        <v>0.35</v>
      </c>
      <c r="FR12" s="93">
        <f t="shared" ref="FR12:FR22" si="11">FQ12*$FX$7</f>
        <v>12250</v>
      </c>
      <c r="FT12" s="94"/>
      <c r="FU12" s="94"/>
      <c r="FV12" s="94"/>
      <c r="FW12" s="95"/>
      <c r="FX12" s="95"/>
      <c r="GA12" s="104"/>
      <c r="GB12" s="89" t="s">
        <v>33</v>
      </c>
      <c r="GC12" s="90"/>
      <c r="GD12" s="91"/>
      <c r="GE12" s="92">
        <v>0.35</v>
      </c>
      <c r="GF12" s="93">
        <f t="shared" ref="GF12:GF22" si="12">GE12*$GL$7</f>
        <v>12250</v>
      </c>
      <c r="GH12" s="94"/>
      <c r="GI12" s="94"/>
      <c r="GJ12" s="94"/>
      <c r="GK12" s="95"/>
      <c r="GL12" s="95"/>
      <c r="GO12" s="104"/>
      <c r="GP12" s="89" t="s">
        <v>33</v>
      </c>
      <c r="GQ12" s="90"/>
      <c r="GR12" s="91"/>
      <c r="GS12" s="92">
        <v>0.35</v>
      </c>
      <c r="GT12" s="93">
        <f t="shared" ref="GT12:GT22" si="13">GS12*$GZ$7</f>
        <v>12250</v>
      </c>
      <c r="GV12" s="94"/>
      <c r="GW12" s="94"/>
      <c r="GX12" s="94"/>
      <c r="GY12" s="95"/>
      <c r="GZ12" s="95"/>
      <c r="HC12" s="104"/>
      <c r="HD12" s="89" t="s">
        <v>33</v>
      </c>
      <c r="HE12" s="90"/>
      <c r="HF12" s="91"/>
      <c r="HG12" s="92">
        <v>0.35</v>
      </c>
      <c r="HH12" s="93">
        <f t="shared" ref="HH12:HH22" si="14">HG12*$HN$7</f>
        <v>12250</v>
      </c>
      <c r="HJ12" s="94"/>
      <c r="HK12" s="94"/>
      <c r="HL12" s="94"/>
      <c r="HM12" s="95"/>
      <c r="HN12" s="95"/>
      <c r="HQ12" s="104"/>
      <c r="HR12" s="89" t="s">
        <v>33</v>
      </c>
      <c r="HS12" s="90"/>
      <c r="HT12" s="91"/>
      <c r="HU12" s="92">
        <v>0.35</v>
      </c>
      <c r="HV12" s="93">
        <f t="shared" ref="HV12:HV22" si="15">HU12*$IB$7</f>
        <v>12250</v>
      </c>
      <c r="HX12" s="94"/>
      <c r="HY12" s="94"/>
      <c r="HZ12" s="94"/>
      <c r="IA12" s="95"/>
      <c r="IB12" s="95"/>
      <c r="IE12" s="104"/>
      <c r="IF12" s="89" t="s">
        <v>33</v>
      </c>
      <c r="IG12" s="90"/>
      <c r="IH12" s="91"/>
      <c r="II12" s="92">
        <v>0.35</v>
      </c>
      <c r="IJ12" s="93">
        <f t="shared" ref="IJ12:IJ22" si="16">II12*$IP$7</f>
        <v>12250</v>
      </c>
      <c r="IL12" s="94"/>
      <c r="IM12" s="94"/>
      <c r="IN12" s="94"/>
      <c r="IO12" s="95"/>
      <c r="IP12" s="95"/>
      <c r="IS12" s="104"/>
      <c r="IT12" s="89" t="s">
        <v>33</v>
      </c>
      <c r="IU12" s="90"/>
      <c r="IV12" s="91"/>
      <c r="IW12" s="92">
        <v>0.35</v>
      </c>
      <c r="IX12" s="93">
        <f t="shared" ref="IX12:IX22" si="17">IW12*$JD$7</f>
        <v>12250</v>
      </c>
      <c r="IZ12" s="94"/>
      <c r="JA12" s="94"/>
      <c r="JB12" s="94"/>
      <c r="JC12" s="95"/>
      <c r="JD12" s="95"/>
      <c r="JG12" s="104"/>
      <c r="JH12" s="89" t="s">
        <v>33</v>
      </c>
      <c r="JI12" s="90"/>
      <c r="JJ12" s="91"/>
      <c r="JK12" s="92">
        <v>0.35</v>
      </c>
      <c r="JL12" s="93">
        <f t="shared" ref="JL12:JL22" si="18">JK12*$JR$7</f>
        <v>12250</v>
      </c>
      <c r="JN12" s="94"/>
      <c r="JO12" s="94"/>
      <c r="JP12" s="94"/>
      <c r="JQ12" s="95"/>
      <c r="JR12" s="95"/>
      <c r="JU12" s="104"/>
      <c r="JV12" s="89" t="s">
        <v>33</v>
      </c>
      <c r="JW12" s="90"/>
      <c r="JX12" s="91"/>
      <c r="JY12" s="92">
        <v>0.35</v>
      </c>
      <c r="JZ12" s="93">
        <f t="shared" ref="JZ12:JZ22" si="19">JY12*$KF$7</f>
        <v>12250</v>
      </c>
      <c r="KB12" s="94"/>
      <c r="KC12" s="94"/>
      <c r="KD12" s="94"/>
      <c r="KE12" s="95"/>
      <c r="KF12" s="95"/>
      <c r="KI12" s="104"/>
      <c r="KJ12" s="89" t="s">
        <v>33</v>
      </c>
      <c r="KK12" s="90"/>
      <c r="KL12" s="91"/>
      <c r="KM12" s="92">
        <v>0.35</v>
      </c>
      <c r="KN12" s="93">
        <f t="shared" ref="KN12:KN22" si="20">KM12*$KT$7</f>
        <v>12250</v>
      </c>
      <c r="KP12" s="94"/>
      <c r="KQ12" s="94"/>
      <c r="KR12" s="94"/>
      <c r="KS12" s="95"/>
      <c r="KT12" s="95"/>
      <c r="KW12" s="96"/>
      <c r="KX12" s="89" t="s">
        <v>33</v>
      </c>
      <c r="KY12" s="90"/>
      <c r="KZ12" s="91"/>
      <c r="LA12" s="92">
        <v>0.35</v>
      </c>
      <c r="LB12" s="93">
        <f t="shared" ref="LB12:LB22" si="21">LA12*$LH$7</f>
        <v>12250</v>
      </c>
      <c r="LD12" s="94"/>
      <c r="LE12" s="94"/>
      <c r="LF12" s="94"/>
      <c r="LG12" s="95"/>
      <c r="LH12" s="95"/>
      <c r="LK12" s="96"/>
      <c r="LL12" s="89" t="s">
        <v>33</v>
      </c>
      <c r="LM12" s="90"/>
      <c r="LN12" s="91"/>
      <c r="LO12" s="92">
        <v>0.35</v>
      </c>
      <c r="LP12" s="93">
        <f t="shared" ref="LP12:LP22" si="22">LO12*$LV$7</f>
        <v>12250</v>
      </c>
      <c r="LR12" s="94"/>
      <c r="LS12" s="94"/>
      <c r="LT12" s="94"/>
      <c r="LU12" s="95"/>
      <c r="LV12" s="95"/>
      <c r="LY12" s="96"/>
      <c r="LZ12" s="89" t="s">
        <v>33</v>
      </c>
      <c r="MA12" s="90"/>
      <c r="MB12" s="91"/>
      <c r="MC12" s="92">
        <v>0.35</v>
      </c>
      <c r="MD12" s="93">
        <f t="shared" ref="MD12:MD22" si="23">MC12*$MJ$7</f>
        <v>12250</v>
      </c>
      <c r="MF12" s="94"/>
      <c r="MG12" s="94"/>
      <c r="MH12" s="94"/>
      <c r="MI12" s="95"/>
      <c r="MJ12" s="95"/>
      <c r="MM12" s="96"/>
      <c r="MN12" s="89" t="s">
        <v>33</v>
      </c>
      <c r="MO12" s="90"/>
      <c r="MP12" s="91"/>
      <c r="MQ12" s="92">
        <v>0.35</v>
      </c>
      <c r="MR12" s="93">
        <f t="shared" ref="MR12:MR22" si="24">MQ12*$MX$7</f>
        <v>12250</v>
      </c>
      <c r="MT12" s="94"/>
      <c r="MU12" s="94"/>
      <c r="MV12" s="94"/>
      <c r="MW12" s="95"/>
      <c r="MX12" s="95"/>
      <c r="NA12" s="96"/>
      <c r="NB12" s="89" t="s">
        <v>33</v>
      </c>
      <c r="NC12" s="90"/>
      <c r="ND12" s="91"/>
      <c r="NE12" s="92">
        <v>0.35</v>
      </c>
      <c r="NF12" s="93">
        <f t="shared" ref="NF12:NF22" si="25">NE12*$NL$7</f>
        <v>12250</v>
      </c>
      <c r="NH12" s="94"/>
      <c r="NI12" s="94"/>
      <c r="NJ12" s="94"/>
      <c r="NK12" s="95"/>
      <c r="NL12" s="95"/>
      <c r="NO12" s="96"/>
      <c r="NP12" s="89" t="s">
        <v>33</v>
      </c>
      <c r="NQ12" s="90"/>
      <c r="NR12" s="91"/>
      <c r="NS12" s="92">
        <v>0.35</v>
      </c>
      <c r="NT12" s="93">
        <f t="shared" ref="NT12:NT22" si="26">NS12*$NZ$7</f>
        <v>12250</v>
      </c>
      <c r="NV12" s="94"/>
      <c r="NW12" s="94"/>
      <c r="NX12" s="94"/>
      <c r="NY12" s="95"/>
      <c r="NZ12" s="95"/>
      <c r="OC12" s="96"/>
      <c r="OD12" s="89" t="s">
        <v>33</v>
      </c>
      <c r="OE12" s="90"/>
      <c r="OF12" s="91"/>
      <c r="OG12" s="92">
        <v>0.35</v>
      </c>
      <c r="OH12" s="93">
        <f t="shared" ref="OH12:OH22" si="27">OG12*$ON$7</f>
        <v>12250</v>
      </c>
      <c r="OJ12" s="94"/>
      <c r="OK12" s="94"/>
      <c r="OL12" s="94"/>
      <c r="OM12" s="95"/>
      <c r="ON12" s="95"/>
      <c r="OQ12" s="96"/>
      <c r="OR12" s="89" t="s">
        <v>33</v>
      </c>
      <c r="OS12" s="90"/>
      <c r="OT12" s="91"/>
      <c r="OU12" s="92">
        <v>0.35</v>
      </c>
      <c r="OV12" s="93">
        <f t="shared" ref="OV12:OV23" si="28">OU12*$PB$7</f>
        <v>12250</v>
      </c>
      <c r="OX12" s="94"/>
      <c r="OY12" s="94"/>
      <c r="OZ12" s="94"/>
      <c r="PA12" s="95"/>
      <c r="PB12" s="95"/>
      <c r="PE12" s="96"/>
      <c r="PF12" s="89" t="s">
        <v>33</v>
      </c>
      <c r="PG12" s="90"/>
      <c r="PH12" s="91"/>
      <c r="PI12" s="92">
        <v>0.35</v>
      </c>
      <c r="PJ12" s="93">
        <f t="shared" ref="PJ12:PJ23" si="29">PI12*$PP$7</f>
        <v>12250</v>
      </c>
      <c r="PL12" s="94"/>
      <c r="PM12" s="94"/>
      <c r="PN12" s="94"/>
      <c r="PO12" s="95"/>
      <c r="PP12" s="95"/>
      <c r="PS12" s="96"/>
      <c r="PT12" s="89" t="s">
        <v>33</v>
      </c>
      <c r="PU12" s="90"/>
      <c r="PV12" s="91"/>
      <c r="PW12" s="92">
        <v>0.35</v>
      </c>
      <c r="PX12" s="93">
        <f t="shared" ref="PX12:PX23" si="30">PW12*$QD$7</f>
        <v>12250</v>
      </c>
      <c r="PZ12" s="94"/>
      <c r="QA12" s="94"/>
      <c r="QB12" s="94"/>
      <c r="QC12" s="95"/>
      <c r="QD12" s="95"/>
      <c r="QG12" s="96"/>
      <c r="QH12" s="89" t="s">
        <v>33</v>
      </c>
      <c r="QI12" s="90"/>
      <c r="QJ12" s="91"/>
      <c r="QK12" s="92">
        <v>0.35</v>
      </c>
      <c r="QL12" s="93">
        <f t="shared" ref="QL12:QL23" si="31">QK12*$QR$7</f>
        <v>12250</v>
      </c>
      <c r="QN12" s="94"/>
      <c r="QO12" s="94"/>
      <c r="QP12" s="94"/>
      <c r="QQ12" s="95"/>
      <c r="QR12" s="95"/>
      <c r="QU12" s="96"/>
      <c r="QV12" s="89" t="s">
        <v>33</v>
      </c>
      <c r="QW12" s="90"/>
      <c r="QX12" s="91"/>
      <c r="QY12" s="92">
        <v>0.35</v>
      </c>
      <c r="QZ12" s="93">
        <f t="shared" ref="QZ12:QZ23" si="32">QY12*$RF$7</f>
        <v>12250</v>
      </c>
      <c r="RB12" s="94"/>
      <c r="RC12" s="94"/>
      <c r="RD12" s="94"/>
      <c r="RE12" s="95"/>
      <c r="RF12" s="95"/>
      <c r="RI12" s="96"/>
      <c r="RJ12" s="89" t="s">
        <v>33</v>
      </c>
      <c r="RK12" s="90"/>
      <c r="RL12" s="91"/>
      <c r="RM12" s="92">
        <v>0.35</v>
      </c>
      <c r="RN12" s="93">
        <f t="shared" ref="RN12:RN23" si="33">RM12*$RT$7</f>
        <v>12250</v>
      </c>
      <c r="RP12" s="94"/>
      <c r="RQ12" s="94"/>
      <c r="RR12" s="94"/>
      <c r="RS12" s="95"/>
      <c r="RT12" s="95"/>
      <c r="RW12" s="96"/>
      <c r="RX12" s="89" t="s">
        <v>33</v>
      </c>
      <c r="RY12" s="90"/>
      <c r="RZ12" s="91"/>
      <c r="SA12" s="92">
        <v>0.35</v>
      </c>
      <c r="SB12" s="93">
        <f t="shared" ref="SB12:SB23" si="34">SA12*$SH$7</f>
        <v>12250</v>
      </c>
      <c r="SD12" s="94"/>
      <c r="SE12" s="94"/>
      <c r="SF12" s="94"/>
      <c r="SG12" s="95"/>
      <c r="SH12" s="95"/>
      <c r="SK12" s="96"/>
      <c r="SL12" s="89" t="s">
        <v>33</v>
      </c>
      <c r="SM12" s="90"/>
      <c r="SN12" s="91"/>
      <c r="SO12" s="92">
        <v>0.35</v>
      </c>
      <c r="SP12" s="93">
        <f t="shared" ref="SP12:SP23" si="35">SO12*$SV$7</f>
        <v>12250</v>
      </c>
      <c r="SR12" s="94"/>
      <c r="SS12" s="94"/>
      <c r="ST12" s="94"/>
      <c r="SU12" s="95"/>
      <c r="SV12" s="95"/>
      <c r="SY12" s="96"/>
      <c r="SZ12" s="89" t="s">
        <v>33</v>
      </c>
      <c r="TA12" s="90"/>
      <c r="TB12" s="91"/>
      <c r="TC12" s="92">
        <v>0.35</v>
      </c>
      <c r="TD12" s="93">
        <f t="shared" ref="TD12:TD23" si="36">TC12*$TJ$7</f>
        <v>12250</v>
      </c>
      <c r="TF12" s="94"/>
      <c r="TG12" s="94"/>
      <c r="TH12" s="94"/>
      <c r="TI12" s="95"/>
      <c r="TJ12" s="95"/>
      <c r="TM12" s="96"/>
      <c r="TN12" s="89" t="s">
        <v>33</v>
      </c>
      <c r="TO12" s="90"/>
      <c r="TP12" s="91"/>
      <c r="TQ12" s="92">
        <v>0.35</v>
      </c>
      <c r="TR12" s="93">
        <f t="shared" ref="TR12:TR23" si="37">TQ12*$TX$7</f>
        <v>12250</v>
      </c>
      <c r="TT12" s="94"/>
      <c r="TU12" s="94"/>
      <c r="TV12" s="94"/>
      <c r="TW12" s="95"/>
      <c r="TX12" s="95"/>
      <c r="UA12" s="96"/>
      <c r="UB12" s="89" t="s">
        <v>33</v>
      </c>
      <c r="UC12" s="90"/>
      <c r="UD12" s="91"/>
      <c r="UE12" s="92">
        <v>0.35</v>
      </c>
      <c r="UF12" s="93">
        <f t="shared" ref="UF12:UF23" si="38">UE12*$UL$7</f>
        <v>12250</v>
      </c>
      <c r="UH12" s="94"/>
      <c r="UI12" s="94"/>
      <c r="UJ12" s="94"/>
      <c r="UK12" s="95"/>
      <c r="UL12" s="95"/>
      <c r="UO12" s="96"/>
      <c r="UP12" s="89" t="s">
        <v>33</v>
      </c>
      <c r="UQ12" s="90"/>
      <c r="UR12" s="91"/>
      <c r="US12" s="92">
        <v>0.35</v>
      </c>
      <c r="UT12" s="93">
        <f t="shared" ref="UT12:UT23" si="39">US12*$UZ$7</f>
        <v>12250</v>
      </c>
      <c r="UV12" s="94"/>
      <c r="UW12" s="94"/>
      <c r="UX12" s="94"/>
      <c r="UY12" s="95"/>
      <c r="UZ12" s="95"/>
      <c r="VC12" s="96"/>
      <c r="VD12" s="89" t="s">
        <v>33</v>
      </c>
      <c r="VE12" s="90"/>
      <c r="VF12" s="91"/>
      <c r="VG12" s="92">
        <v>0.35</v>
      </c>
      <c r="VH12" s="93">
        <f t="shared" ref="VH12:VH23" si="40">VG12*$VN$7</f>
        <v>12250</v>
      </c>
      <c r="VJ12" s="94"/>
      <c r="VK12" s="94"/>
      <c r="VL12" s="94"/>
      <c r="VM12" s="95"/>
      <c r="VN12" s="95"/>
      <c r="VQ12" s="96"/>
      <c r="VR12" s="89" t="s">
        <v>33</v>
      </c>
      <c r="VS12" s="90"/>
      <c r="VT12" s="91"/>
      <c r="VU12" s="92">
        <v>0.35</v>
      </c>
      <c r="VV12" s="93">
        <f t="shared" ref="VV12:VV23" si="41">VU12*$WB$7</f>
        <v>12250</v>
      </c>
      <c r="VX12" s="94"/>
      <c r="VY12" s="94"/>
      <c r="VZ12" s="94"/>
      <c r="WA12" s="95"/>
      <c r="WB12" s="95"/>
      <c r="WE12" s="96"/>
      <c r="WF12" s="89" t="s">
        <v>33</v>
      </c>
      <c r="WG12" s="90"/>
      <c r="WH12" s="91"/>
      <c r="WI12" s="92">
        <v>0.35</v>
      </c>
      <c r="WJ12" s="93">
        <f t="shared" ref="WJ12:WJ23" si="42">WI12*$WP$7</f>
        <v>12250</v>
      </c>
      <c r="WL12" s="94"/>
      <c r="WM12" s="94"/>
      <c r="WN12" s="94"/>
      <c r="WO12" s="95"/>
      <c r="WP12" s="95"/>
      <c r="WS12" s="96"/>
      <c r="WT12" s="89" t="s">
        <v>33</v>
      </c>
      <c r="WU12" s="90"/>
      <c r="WV12" s="91"/>
      <c r="WW12" s="92">
        <v>0.35</v>
      </c>
      <c r="WX12" s="93">
        <f t="shared" ref="WX12:WX23" si="43">WW12*$XD$7</f>
        <v>12250</v>
      </c>
      <c r="WZ12" s="94"/>
      <c r="XA12" s="94"/>
      <c r="XB12" s="94"/>
      <c r="XC12" s="95"/>
      <c r="XD12" s="95"/>
      <c r="XG12" s="96"/>
      <c r="XH12" s="89" t="s">
        <v>33</v>
      </c>
      <c r="XI12" s="90"/>
      <c r="XJ12" s="91"/>
      <c r="XK12" s="92">
        <v>0.35</v>
      </c>
      <c r="XL12" s="93">
        <f t="shared" ref="XL12:XL23" si="44">XK12*$XR$7</f>
        <v>12250</v>
      </c>
      <c r="XN12" s="94"/>
      <c r="XO12" s="94"/>
      <c r="XP12" s="94"/>
      <c r="XQ12" s="95"/>
      <c r="XR12" s="95"/>
      <c r="XU12" s="96"/>
      <c r="XV12" s="89" t="s">
        <v>33</v>
      </c>
      <c r="XW12" s="90"/>
      <c r="XX12" s="91"/>
      <c r="XY12" s="92">
        <v>0.35</v>
      </c>
      <c r="XZ12" s="93">
        <f t="shared" ref="XZ12:XZ22" si="45">XY12*$YF$7</f>
        <v>12250</v>
      </c>
      <c r="YB12" s="94"/>
      <c r="YC12" s="94"/>
      <c r="YD12" s="94"/>
      <c r="YE12" s="95"/>
      <c r="YF12" s="95"/>
      <c r="YI12" s="96"/>
      <c r="YJ12" s="89" t="s">
        <v>33</v>
      </c>
      <c r="YK12" s="90"/>
      <c r="YL12" s="91"/>
      <c r="YM12" s="92">
        <v>0.35</v>
      </c>
      <c r="YN12" s="93">
        <f t="shared" ref="YN12:YN23" si="46">YM12*$YT$7</f>
        <v>3500</v>
      </c>
      <c r="YP12" s="94"/>
      <c r="YQ12" s="94"/>
      <c r="YR12" s="94"/>
      <c r="YS12" s="95"/>
      <c r="YT12" s="95"/>
      <c r="YW12" s="96"/>
      <c r="YX12" s="89" t="s">
        <v>33</v>
      </c>
      <c r="YY12" s="90"/>
      <c r="YZ12" s="91"/>
      <c r="ZA12" s="92">
        <v>0.35</v>
      </c>
      <c r="ZB12" s="93">
        <f t="shared" ref="ZB12:ZB13" si="47">ZA12*$ZH$7</f>
        <v>12250</v>
      </c>
      <c r="ZD12" s="94"/>
      <c r="ZE12" s="94"/>
      <c r="ZF12" s="94"/>
      <c r="ZG12" s="95"/>
      <c r="ZH12" s="95"/>
      <c r="ZK12" s="96"/>
      <c r="ZL12" s="89" t="s">
        <v>33</v>
      </c>
      <c r="ZM12" s="90"/>
      <c r="ZN12" s="91"/>
      <c r="ZO12" s="92">
        <v>0.35</v>
      </c>
      <c r="ZP12" s="93">
        <f t="shared" ref="ZP12:ZP13" si="48">ZO12*$ZV$7</f>
        <v>12250</v>
      </c>
      <c r="ZR12" s="94"/>
      <c r="ZS12" s="94"/>
      <c r="ZT12" s="94"/>
      <c r="ZU12" s="95"/>
      <c r="ZV12" s="95"/>
      <c r="ZZ12" s="105" t="s">
        <v>34</v>
      </c>
      <c r="AAA12" s="105"/>
      <c r="AAB12" s="105"/>
      <c r="AAC12" s="106" t="s">
        <v>28</v>
      </c>
      <c r="AAD12" s="106"/>
      <c r="AAE12" s="107"/>
      <c r="AAF12" s="108">
        <v>50</v>
      </c>
      <c r="AAG12" s="109">
        <f>+AAF12*$J$7/1000</f>
        <v>0</v>
      </c>
      <c r="AAH12" s="110"/>
      <c r="AAI12" s="108" t="s">
        <v>35</v>
      </c>
      <c r="AAM12" s="105" t="s">
        <v>34</v>
      </c>
      <c r="AAN12" s="105"/>
      <c r="AAO12" s="105"/>
      <c r="AAP12" s="106" t="s">
        <v>28</v>
      </c>
      <c r="AAQ12" s="106"/>
      <c r="AAR12" s="107"/>
      <c r="AAS12" s="108">
        <v>50</v>
      </c>
      <c r="AAT12" s="109">
        <f>+AAS12*$AAU$7/1000</f>
        <v>1750</v>
      </c>
      <c r="AAU12" s="110"/>
      <c r="AAV12" s="108" t="s">
        <v>35</v>
      </c>
      <c r="AAZ12" s="105" t="s">
        <v>34</v>
      </c>
      <c r="ABA12" s="105"/>
      <c r="ABB12" s="105"/>
      <c r="ABC12" s="106" t="s">
        <v>28</v>
      </c>
      <c r="ABD12" s="106"/>
      <c r="ABE12" s="107"/>
      <c r="ABF12" s="108">
        <v>50</v>
      </c>
      <c r="ABG12" s="109">
        <f>+ABF12*$ABH$7/1000</f>
        <v>1750</v>
      </c>
      <c r="ABH12" s="110"/>
      <c r="ABI12" s="108" t="s">
        <v>35</v>
      </c>
      <c r="ABM12" s="105" t="s">
        <v>34</v>
      </c>
      <c r="ABN12" s="105"/>
      <c r="ABO12" s="105"/>
      <c r="ABP12" s="106" t="s">
        <v>28</v>
      </c>
      <c r="ABQ12" s="106"/>
      <c r="ABR12" s="107"/>
      <c r="ABS12" s="108">
        <v>50</v>
      </c>
      <c r="ABT12" s="109">
        <f>+ABS12*$ABU$7/1000</f>
        <v>1750</v>
      </c>
      <c r="ABU12" s="110"/>
      <c r="ABV12" s="108" t="s">
        <v>35</v>
      </c>
      <c r="ABZ12" s="105" t="s">
        <v>34</v>
      </c>
      <c r="ACA12" s="105"/>
      <c r="ACB12" s="105"/>
      <c r="ACC12" s="106" t="s">
        <v>28</v>
      </c>
      <c r="ACD12" s="106"/>
      <c r="ACE12" s="107"/>
      <c r="ACF12" s="108">
        <v>50</v>
      </c>
      <c r="ACG12" s="109">
        <f>+ACF12*$ACH$7/1000</f>
        <v>1750</v>
      </c>
      <c r="ACH12" s="110"/>
      <c r="ACI12" s="108" t="s">
        <v>35</v>
      </c>
      <c r="ACM12" s="105" t="s">
        <v>34</v>
      </c>
      <c r="ACN12" s="105"/>
      <c r="ACO12" s="105"/>
      <c r="ACP12" s="106" t="s">
        <v>28</v>
      </c>
      <c r="ACQ12" s="106"/>
      <c r="ACR12" s="107"/>
      <c r="ACS12" s="108">
        <v>50</v>
      </c>
      <c r="ACT12" s="109">
        <f>+ACS12*$ACU$7/1000</f>
        <v>1750</v>
      </c>
      <c r="ACU12" s="110"/>
      <c r="ACV12" s="108" t="s">
        <v>35</v>
      </c>
      <c r="ACZ12" s="105" t="s">
        <v>34</v>
      </c>
      <c r="ADA12" s="105"/>
      <c r="ADB12" s="105"/>
      <c r="ADC12" s="106" t="s">
        <v>28</v>
      </c>
      <c r="ADD12" s="106"/>
      <c r="ADE12" s="107"/>
      <c r="ADF12" s="108">
        <v>50</v>
      </c>
      <c r="ADG12" s="109">
        <f>+ADF12*$ADH$7/1000</f>
        <v>1750</v>
      </c>
      <c r="ADH12" s="110"/>
      <c r="ADI12" s="108" t="s">
        <v>35</v>
      </c>
      <c r="ADM12" s="105" t="s">
        <v>34</v>
      </c>
      <c r="ADN12" s="105"/>
      <c r="ADO12" s="105"/>
      <c r="ADP12" s="106" t="s">
        <v>28</v>
      </c>
      <c r="ADQ12" s="106"/>
      <c r="ADR12" s="107"/>
      <c r="ADS12" s="108">
        <v>50</v>
      </c>
      <c r="ADT12" s="109">
        <f>+ADS12*$ADU$7/1000</f>
        <v>1750</v>
      </c>
      <c r="ADU12" s="110"/>
      <c r="ADV12" s="108" t="s">
        <v>35</v>
      </c>
      <c r="ADZ12" s="105" t="s">
        <v>34</v>
      </c>
      <c r="AEA12" s="105"/>
      <c r="AEB12" s="105"/>
      <c r="AEC12" s="106" t="s">
        <v>28</v>
      </c>
      <c r="AED12" s="106"/>
      <c r="AEE12" s="107"/>
      <c r="AEF12" s="108">
        <v>50</v>
      </c>
      <c r="AEG12" s="109">
        <f>+AEF12*$AEH$7/1000</f>
        <v>1750</v>
      </c>
      <c r="AEH12" s="110"/>
      <c r="AEI12" s="108" t="s">
        <v>35</v>
      </c>
      <c r="AEM12" s="105" t="s">
        <v>34</v>
      </c>
      <c r="AEN12" s="105"/>
      <c r="AEO12" s="105"/>
      <c r="AEP12" s="106" t="s">
        <v>28</v>
      </c>
      <c r="AEQ12" s="106"/>
      <c r="AER12" s="107"/>
      <c r="AES12" s="108">
        <v>50</v>
      </c>
      <c r="AET12" s="109">
        <f>+AES12*$AEU$7/1000</f>
        <v>1750</v>
      </c>
      <c r="AEU12" s="110"/>
      <c r="AEV12" s="108" t="s">
        <v>35</v>
      </c>
      <c r="AEZ12" s="105" t="s">
        <v>34</v>
      </c>
      <c r="AFA12" s="105"/>
      <c r="AFB12" s="105"/>
      <c r="AFC12" s="106" t="s">
        <v>28</v>
      </c>
      <c r="AFD12" s="106"/>
      <c r="AFE12" s="107"/>
      <c r="AFF12" s="108">
        <v>50</v>
      </c>
      <c r="AFG12" s="109">
        <f>+AFF12*$AFH$7/1000</f>
        <v>1750</v>
      </c>
      <c r="AFH12" s="110"/>
      <c r="AFI12" s="108" t="s">
        <v>35</v>
      </c>
      <c r="AFM12" s="105" t="s">
        <v>34</v>
      </c>
      <c r="AFN12" s="105"/>
      <c r="AFO12" s="105"/>
      <c r="AFP12" s="106" t="s">
        <v>28</v>
      </c>
      <c r="AFQ12" s="106"/>
      <c r="AFR12" s="107"/>
      <c r="AFS12" s="108">
        <v>50</v>
      </c>
      <c r="AFT12" s="109">
        <f>+AFS12*$AFU$7/1000</f>
        <v>1750</v>
      </c>
      <c r="AFU12" s="110"/>
      <c r="AFV12" s="108" t="s">
        <v>35</v>
      </c>
      <c r="AFZ12" s="105" t="s">
        <v>34</v>
      </c>
      <c r="AGA12" s="105"/>
      <c r="AGB12" s="105"/>
      <c r="AGC12" s="106" t="s">
        <v>36</v>
      </c>
      <c r="AGD12" s="106"/>
      <c r="AGE12" s="107"/>
      <c r="AGF12" s="108">
        <v>50</v>
      </c>
      <c r="AGG12" s="109">
        <f>+AGF12*$AGH$7/1000</f>
        <v>900</v>
      </c>
      <c r="AGH12" s="110"/>
      <c r="AGI12" s="108" t="s">
        <v>35</v>
      </c>
      <c r="AGL12" s="105" t="s">
        <v>34</v>
      </c>
      <c r="AGM12" s="105"/>
      <c r="AGN12" s="105"/>
      <c r="AGO12" s="106" t="s">
        <v>36</v>
      </c>
      <c r="AGP12" s="106"/>
      <c r="AGQ12" s="107"/>
      <c r="AGR12" s="108">
        <v>50</v>
      </c>
      <c r="AGS12" s="109">
        <f>+AGR12*$AGT$7/1000</f>
        <v>1100</v>
      </c>
      <c r="AGT12" s="110"/>
      <c r="AGU12" s="108" t="s">
        <v>35</v>
      </c>
      <c r="AGX12" s="105" t="s">
        <v>34</v>
      </c>
      <c r="AGY12" s="105"/>
      <c r="AGZ12" s="105"/>
      <c r="AHA12" s="106" t="s">
        <v>36</v>
      </c>
      <c r="AHB12" s="106"/>
      <c r="AHC12" s="107"/>
      <c r="AHD12" s="108">
        <v>50</v>
      </c>
      <c r="AHE12" s="109">
        <f>+AHD12*$AHF$7/1000</f>
        <v>1750</v>
      </c>
      <c r="AHF12" s="110"/>
      <c r="AHG12" s="108" t="s">
        <v>35</v>
      </c>
      <c r="AHJ12" s="105" t="s">
        <v>34</v>
      </c>
      <c r="AHK12" s="105"/>
      <c r="AHL12" s="105"/>
      <c r="AHM12" s="106" t="s">
        <v>36</v>
      </c>
      <c r="AHN12" s="106"/>
      <c r="AHO12" s="107"/>
      <c r="AHP12" s="108">
        <v>50</v>
      </c>
      <c r="AHQ12" s="109">
        <f>+AHP12*$AHR$7/1000</f>
        <v>1750</v>
      </c>
      <c r="AHR12" s="110"/>
      <c r="AHS12" s="108" t="s">
        <v>35</v>
      </c>
      <c r="AHV12" s="105" t="s">
        <v>34</v>
      </c>
      <c r="AHW12" s="105"/>
      <c r="AHX12" s="105"/>
      <c r="AHY12" s="106" t="s">
        <v>36</v>
      </c>
      <c r="AHZ12" s="106"/>
      <c r="AIA12" s="107"/>
      <c r="AIB12" s="108">
        <v>50</v>
      </c>
      <c r="AIC12" s="109">
        <f>+AIB12*$AID$7/1000</f>
        <v>1750</v>
      </c>
      <c r="AID12" s="110"/>
      <c r="AIE12" s="108" t="s">
        <v>35</v>
      </c>
      <c r="AIH12" s="105" t="s">
        <v>34</v>
      </c>
      <c r="AII12" s="105"/>
      <c r="AIJ12" s="105"/>
      <c r="AIK12" s="106" t="s">
        <v>36</v>
      </c>
      <c r="AIL12" s="106"/>
      <c r="AIM12" s="107"/>
      <c r="AIN12" s="108">
        <v>50</v>
      </c>
      <c r="AIO12" s="109">
        <f>+AIN12*$AIP$7/1000</f>
        <v>1000</v>
      </c>
      <c r="AIP12" s="110"/>
      <c r="AIQ12" s="108" t="s">
        <v>35</v>
      </c>
      <c r="AIT12" s="105" t="s">
        <v>34</v>
      </c>
      <c r="AIU12" s="105"/>
      <c r="AIV12" s="105"/>
      <c r="AIW12" s="106" t="s">
        <v>36</v>
      </c>
      <c r="AIX12" s="106"/>
      <c r="AIY12" s="107"/>
      <c r="AIZ12" s="108">
        <v>50</v>
      </c>
      <c r="AJA12" s="109">
        <f>+AIZ12*$AJB$7/1000</f>
        <v>1750</v>
      </c>
      <c r="AJB12" s="110"/>
      <c r="AJC12" s="108" t="s">
        <v>35</v>
      </c>
      <c r="AJF12" s="105" t="s">
        <v>34</v>
      </c>
      <c r="AJG12" s="105"/>
      <c r="AJH12" s="105"/>
      <c r="AJI12" s="106" t="s">
        <v>36</v>
      </c>
      <c r="AJJ12" s="106"/>
      <c r="AJK12" s="107"/>
      <c r="AJL12" s="108">
        <v>50</v>
      </c>
      <c r="AJM12" s="109">
        <f>+AJL12*$AJN$7/1000</f>
        <v>1750</v>
      </c>
      <c r="AJN12" s="110"/>
      <c r="AJO12" s="108" t="s">
        <v>35</v>
      </c>
      <c r="AJR12" s="105" t="s">
        <v>34</v>
      </c>
      <c r="AJS12" s="105"/>
      <c r="AJT12" s="105"/>
      <c r="AJU12" s="106" t="s">
        <v>36</v>
      </c>
      <c r="AJV12" s="106"/>
      <c r="AJW12" s="107"/>
      <c r="AJX12" s="108">
        <v>50</v>
      </c>
      <c r="AJY12" s="109">
        <f>+AJX12*$AJZ$7/1000</f>
        <v>1750</v>
      </c>
      <c r="AJZ12" s="110"/>
      <c r="AKA12" s="108" t="s">
        <v>35</v>
      </c>
      <c r="AKD12" s="105" t="s">
        <v>34</v>
      </c>
      <c r="AKE12" s="105"/>
      <c r="AKF12" s="105"/>
      <c r="AKG12" s="106" t="s">
        <v>36</v>
      </c>
      <c r="AKH12" s="106"/>
      <c r="AKI12" s="107"/>
      <c r="AKJ12" s="108">
        <v>50</v>
      </c>
      <c r="AKK12" s="109">
        <f>+AKJ12*$AKL$7/1000</f>
        <v>550</v>
      </c>
      <c r="AKL12" s="110"/>
      <c r="AKM12" s="108" t="s">
        <v>35</v>
      </c>
      <c r="AKP12" s="105" t="s">
        <v>34</v>
      </c>
      <c r="AKQ12" s="105"/>
      <c r="AKR12" s="105"/>
      <c r="AKS12" s="106" t="s">
        <v>36</v>
      </c>
      <c r="AKT12" s="106"/>
      <c r="AKU12" s="107"/>
      <c r="AKV12" s="108">
        <v>50</v>
      </c>
      <c r="AKW12" s="109">
        <f>+AKV12*$AKX$7/1000</f>
        <v>550</v>
      </c>
      <c r="AKX12" s="110"/>
      <c r="AKY12" s="108" t="s">
        <v>35</v>
      </c>
      <c r="ALB12" s="105" t="s">
        <v>34</v>
      </c>
      <c r="ALC12" s="105"/>
      <c r="ALD12" s="105"/>
      <c r="ALE12" s="106" t="s">
        <v>36</v>
      </c>
      <c r="ALF12" s="106"/>
      <c r="ALG12" s="107"/>
      <c r="ALH12" s="108">
        <v>50</v>
      </c>
      <c r="ALI12" s="109">
        <f>+ALH12*$ALJ$7/1000</f>
        <v>350</v>
      </c>
      <c r="ALJ12" s="110"/>
      <c r="ALK12" s="108" t="s">
        <v>35</v>
      </c>
      <c r="ALN12" s="105" t="s">
        <v>34</v>
      </c>
      <c r="ALO12" s="105"/>
      <c r="ALP12" s="105"/>
      <c r="ALQ12" s="106" t="s">
        <v>36</v>
      </c>
      <c r="ALR12" s="106"/>
      <c r="ALS12" s="107"/>
      <c r="ALT12" s="108">
        <v>50</v>
      </c>
      <c r="ALU12" s="109">
        <f>+ALT12*$ALV$7/1000</f>
        <v>1750</v>
      </c>
      <c r="ALV12" s="110"/>
      <c r="ALW12" s="108" t="s">
        <v>35</v>
      </c>
      <c r="ALZ12" s="105" t="s">
        <v>34</v>
      </c>
      <c r="AMA12" s="105"/>
      <c r="AMB12" s="105"/>
      <c r="AMC12" s="106" t="s">
        <v>36</v>
      </c>
      <c r="AMD12" s="106"/>
      <c r="AME12" s="107"/>
      <c r="AMF12" s="108">
        <v>50</v>
      </c>
      <c r="AMG12" s="109">
        <f>+AMF12*$AMH$7/1000</f>
        <v>650</v>
      </c>
      <c r="AMH12" s="110"/>
      <c r="AMI12" s="108" t="s">
        <v>35</v>
      </c>
      <c r="AML12" s="105" t="s">
        <v>34</v>
      </c>
      <c r="AMM12" s="105"/>
      <c r="AMN12" s="105"/>
      <c r="AMO12" s="106" t="s">
        <v>36</v>
      </c>
      <c r="AMP12" s="106"/>
      <c r="AMQ12" s="107"/>
      <c r="AMR12" s="108">
        <v>50</v>
      </c>
      <c r="AMS12" s="109">
        <f>+AMR12*$AMT$7/1000</f>
        <v>1750</v>
      </c>
      <c r="AMT12" s="110"/>
      <c r="AMU12" s="108" t="s">
        <v>35</v>
      </c>
      <c r="AMX12" s="105" t="s">
        <v>34</v>
      </c>
      <c r="AMY12" s="105"/>
      <c r="AMZ12" s="105"/>
      <c r="ANA12" s="106" t="s">
        <v>36</v>
      </c>
      <c r="ANB12" s="106"/>
      <c r="ANC12" s="107"/>
      <c r="AND12" s="108">
        <v>50</v>
      </c>
      <c r="ANE12" s="109">
        <f>+AND12*$ANF$7/1000</f>
        <v>700</v>
      </c>
      <c r="ANF12" s="110"/>
      <c r="ANG12" s="108" t="s">
        <v>35</v>
      </c>
      <c r="ANJ12" s="105" t="s">
        <v>34</v>
      </c>
      <c r="ANK12" s="105"/>
      <c r="ANL12" s="105"/>
      <c r="ANM12" s="106" t="s">
        <v>36</v>
      </c>
      <c r="ANN12" s="106"/>
      <c r="ANO12" s="107"/>
      <c r="ANP12" s="108">
        <v>50</v>
      </c>
      <c r="ANQ12" s="109">
        <f>+ANP12*$ANR$7/1000</f>
        <v>1750</v>
      </c>
      <c r="ANR12" s="110"/>
      <c r="ANS12" s="108" t="s">
        <v>35</v>
      </c>
      <c r="ANV12" s="105" t="s">
        <v>34</v>
      </c>
      <c r="ANW12" s="105"/>
      <c r="ANX12" s="105"/>
      <c r="ANY12" s="106" t="s">
        <v>36</v>
      </c>
      <c r="ANZ12" s="106"/>
      <c r="AOA12" s="107"/>
      <c r="AOB12" s="108">
        <v>50</v>
      </c>
      <c r="AOC12" s="109">
        <f>+AOB12*$AOD$7/1000</f>
        <v>1750</v>
      </c>
      <c r="AOD12" s="110"/>
      <c r="AOE12" s="108" t="s">
        <v>35</v>
      </c>
      <c r="AOH12" s="105" t="s">
        <v>34</v>
      </c>
      <c r="AOI12" s="105"/>
      <c r="AOJ12" s="105"/>
      <c r="AOK12" s="106" t="s">
        <v>36</v>
      </c>
      <c r="AOL12" s="106"/>
      <c r="AOM12" s="107"/>
      <c r="AON12" s="108">
        <v>50</v>
      </c>
      <c r="AOO12" s="109">
        <f>+AON12*$AOP$7/1000</f>
        <v>1750</v>
      </c>
      <c r="AOP12" s="110"/>
      <c r="AOQ12" s="108" t="s">
        <v>35</v>
      </c>
      <c r="AOT12" s="105" t="s">
        <v>34</v>
      </c>
      <c r="AOU12" s="105"/>
      <c r="AOV12" s="105"/>
      <c r="AOW12" s="106" t="s">
        <v>36</v>
      </c>
      <c r="AOX12" s="106"/>
      <c r="AOY12" s="107"/>
      <c r="AOZ12" s="108">
        <v>50</v>
      </c>
      <c r="APA12" s="109">
        <f>+AOZ12*$APB$7/1000</f>
        <v>1750</v>
      </c>
      <c r="APB12" s="110"/>
      <c r="APC12" s="108" t="s">
        <v>35</v>
      </c>
      <c r="APF12" s="105" t="s">
        <v>34</v>
      </c>
      <c r="APG12" s="105"/>
      <c r="APH12" s="105"/>
      <c r="API12" s="106" t="s">
        <v>36</v>
      </c>
      <c r="APJ12" s="106"/>
      <c r="APK12" s="107"/>
      <c r="APL12" s="108">
        <v>50</v>
      </c>
      <c r="APM12" s="109">
        <f>+APL12*$APN$7/1000</f>
        <v>1750</v>
      </c>
      <c r="APN12" s="110"/>
      <c r="APO12" s="108" t="s">
        <v>35</v>
      </c>
      <c r="APR12" s="105" t="s">
        <v>34</v>
      </c>
      <c r="APS12" s="105"/>
      <c r="APT12" s="105"/>
      <c r="APU12" s="106" t="s">
        <v>36</v>
      </c>
      <c r="APV12" s="106"/>
      <c r="APW12" s="107"/>
      <c r="APX12" s="108">
        <v>50</v>
      </c>
      <c r="APY12" s="109">
        <f>+APX12*$APZ$7/1000</f>
        <v>1750</v>
      </c>
      <c r="APZ12" s="110"/>
      <c r="AQA12" s="108" t="s">
        <v>35</v>
      </c>
      <c r="AQD12" s="105" t="s">
        <v>34</v>
      </c>
      <c r="AQE12" s="105"/>
      <c r="AQF12" s="105"/>
      <c r="AQG12" s="106" t="s">
        <v>36</v>
      </c>
      <c r="AQH12" s="106"/>
      <c r="AQI12" s="107"/>
      <c r="AQJ12" s="108">
        <v>50</v>
      </c>
      <c r="AQK12" s="109">
        <f>+AQJ12*$AQL$7/1000</f>
        <v>300</v>
      </c>
      <c r="AQL12" s="110"/>
      <c r="AQM12" s="108" t="s">
        <v>35</v>
      </c>
      <c r="AQP12" s="105" t="s">
        <v>34</v>
      </c>
      <c r="AQQ12" s="105"/>
      <c r="AQR12" s="105"/>
      <c r="AQS12" s="106" t="s">
        <v>36</v>
      </c>
      <c r="AQT12" s="106"/>
      <c r="AQU12" s="107"/>
      <c r="AQV12" s="108">
        <v>50</v>
      </c>
      <c r="AQW12" s="109">
        <f>+AQV12*$AQX$7/1000</f>
        <v>1750</v>
      </c>
      <c r="AQX12" s="110"/>
      <c r="AQY12" s="108" t="s">
        <v>35</v>
      </c>
      <c r="ARB12" s="105" t="s">
        <v>34</v>
      </c>
      <c r="ARC12" s="105"/>
      <c r="ARD12" s="105"/>
      <c r="ARE12" s="106" t="s">
        <v>36</v>
      </c>
      <c r="ARF12" s="106"/>
      <c r="ARG12" s="107"/>
      <c r="ARH12" s="108">
        <v>50</v>
      </c>
      <c r="ARI12" s="109">
        <f>+ARH12*$ARJ$7/1000</f>
        <v>1750</v>
      </c>
      <c r="ARJ12" s="110"/>
      <c r="ARK12" s="108" t="s">
        <v>35</v>
      </c>
      <c r="ARN12" s="105" t="s">
        <v>34</v>
      </c>
      <c r="ARO12" s="105"/>
      <c r="ARP12" s="105"/>
      <c r="ARQ12" s="106" t="s">
        <v>36</v>
      </c>
      <c r="ARR12" s="106"/>
      <c r="ARS12" s="107"/>
      <c r="ART12" s="108">
        <v>50</v>
      </c>
      <c r="ARU12" s="109">
        <f>+ART12*$ARV$7/1000</f>
        <v>1000</v>
      </c>
      <c r="ARV12" s="110"/>
      <c r="ARW12" s="108" t="s">
        <v>35</v>
      </c>
      <c r="ARZ12" s="105" t="s">
        <v>34</v>
      </c>
      <c r="ASA12" s="105"/>
      <c r="ASB12" s="105"/>
      <c r="ASC12" s="106" t="s">
        <v>36</v>
      </c>
      <c r="ASD12" s="106"/>
      <c r="ASE12" s="107"/>
      <c r="ASF12" s="108">
        <v>50</v>
      </c>
      <c r="ASG12" s="109">
        <f>+ASF12*$ASH$7/1000</f>
        <v>1750</v>
      </c>
      <c r="ASH12" s="110"/>
      <c r="ASI12" s="108" t="s">
        <v>35</v>
      </c>
      <c r="ASL12" s="105" t="s">
        <v>34</v>
      </c>
      <c r="ASM12" s="105"/>
      <c r="ASN12" s="105"/>
      <c r="ASO12" s="106" t="s">
        <v>36</v>
      </c>
      <c r="ASP12" s="106"/>
      <c r="ASQ12" s="107"/>
      <c r="ASR12" s="108">
        <v>50</v>
      </c>
      <c r="ASS12" s="109">
        <f>+ASR12*$AST$7/1000</f>
        <v>1750</v>
      </c>
      <c r="AST12" s="110"/>
      <c r="ASU12" s="108" t="s">
        <v>35</v>
      </c>
      <c r="ASX12" s="105" t="s">
        <v>34</v>
      </c>
      <c r="ASY12" s="105"/>
      <c r="ASZ12" s="105"/>
      <c r="ATA12" s="106" t="s">
        <v>36</v>
      </c>
      <c r="ATB12" s="106"/>
      <c r="ATC12" s="107"/>
      <c r="ATD12" s="108">
        <v>50</v>
      </c>
      <c r="ATE12" s="109">
        <f>+ATD12*$ATF$7/1000</f>
        <v>300</v>
      </c>
      <c r="ATF12" s="110"/>
      <c r="ATG12" s="108" t="s">
        <v>35</v>
      </c>
      <c r="ATJ12" s="105" t="s">
        <v>34</v>
      </c>
      <c r="ATK12" s="105"/>
      <c r="ATL12" s="105"/>
      <c r="ATM12" s="106" t="s">
        <v>36</v>
      </c>
      <c r="ATN12" s="106"/>
      <c r="ATO12" s="107"/>
      <c r="ATP12" s="108">
        <v>50</v>
      </c>
      <c r="ATQ12" s="109">
        <f>+ATP12*$ATR$7/1000</f>
        <v>1750</v>
      </c>
      <c r="ATR12" s="110"/>
      <c r="ATS12" s="108" t="s">
        <v>35</v>
      </c>
      <c r="ATV12" s="105" t="s">
        <v>34</v>
      </c>
      <c r="ATW12" s="105"/>
      <c r="ATX12" s="105"/>
      <c r="ATY12" s="106" t="s">
        <v>36</v>
      </c>
      <c r="ATZ12" s="106"/>
      <c r="AUA12" s="107"/>
      <c r="AUB12" s="108">
        <v>50</v>
      </c>
      <c r="AUC12" s="109">
        <f>+AUB12*$AUD$7/1000</f>
        <v>1750</v>
      </c>
      <c r="AUD12" s="110"/>
      <c r="AUE12" s="108" t="s">
        <v>35</v>
      </c>
      <c r="AUH12" s="105" t="s">
        <v>34</v>
      </c>
      <c r="AUI12" s="105"/>
      <c r="AUJ12" s="105"/>
      <c r="AUK12" s="106" t="s">
        <v>36</v>
      </c>
      <c r="AUL12" s="106"/>
      <c r="AUM12" s="107"/>
      <c r="AUN12" s="108">
        <v>50</v>
      </c>
      <c r="AUO12" s="109">
        <f>+AUN12*$AUP$7/1000</f>
        <v>1750</v>
      </c>
      <c r="AUP12" s="110"/>
      <c r="AUQ12" s="108" t="s">
        <v>35</v>
      </c>
      <c r="AUT12" s="105" t="s">
        <v>34</v>
      </c>
      <c r="AUU12" s="105"/>
      <c r="AUV12" s="105"/>
      <c r="AUW12" s="106" t="s">
        <v>36</v>
      </c>
      <c r="AUX12" s="106"/>
      <c r="AUY12" s="107"/>
      <c r="AUZ12" s="108">
        <v>50</v>
      </c>
      <c r="AVA12" s="109">
        <f>+AUZ12*$AVB$7/1000</f>
        <v>500</v>
      </c>
      <c r="AVB12" s="110"/>
      <c r="AVC12" s="108" t="s">
        <v>35</v>
      </c>
      <c r="AVF12" s="105" t="s">
        <v>34</v>
      </c>
      <c r="AVG12" s="105"/>
      <c r="AVH12" s="105"/>
      <c r="AVI12" s="106" t="s">
        <v>36</v>
      </c>
      <c r="AVJ12" s="106"/>
      <c r="AVK12" s="107"/>
      <c r="AVL12" s="108">
        <v>50</v>
      </c>
      <c r="AVM12" s="109">
        <f>+AVL12*$AVN$7/1000</f>
        <v>1750</v>
      </c>
      <c r="AVN12" s="110"/>
      <c r="AVO12" s="108" t="s">
        <v>35</v>
      </c>
      <c r="AVR12" s="105" t="s">
        <v>34</v>
      </c>
      <c r="AVS12" s="105"/>
      <c r="AVT12" s="105"/>
      <c r="AVU12" s="106" t="s">
        <v>36</v>
      </c>
      <c r="AVV12" s="106"/>
      <c r="AVW12" s="107"/>
      <c r="AVX12" s="108">
        <v>50</v>
      </c>
      <c r="AVY12" s="109">
        <f>+AVX12*$AVZ$7/1000</f>
        <v>1750</v>
      </c>
      <c r="AVZ12" s="110"/>
      <c r="AWA12" s="108" t="s">
        <v>35</v>
      </c>
      <c r="AWD12" s="105" t="s">
        <v>34</v>
      </c>
      <c r="AWE12" s="105"/>
      <c r="AWF12" s="105"/>
      <c r="AWG12" s="106" t="s">
        <v>36</v>
      </c>
      <c r="AWH12" s="106"/>
      <c r="AWI12" s="107"/>
      <c r="AWJ12" s="108">
        <v>50</v>
      </c>
      <c r="AWK12" s="109">
        <f>+AWJ12*$AWL$7/1000</f>
        <v>1750</v>
      </c>
      <c r="AWL12" s="110"/>
      <c r="AWM12" s="108" t="s">
        <v>35</v>
      </c>
      <c r="AWP12" s="105" t="s">
        <v>34</v>
      </c>
      <c r="AWQ12" s="105"/>
      <c r="AWR12" s="105"/>
      <c r="AWS12" s="106" t="s">
        <v>36</v>
      </c>
      <c r="AWT12" s="106"/>
      <c r="AWU12" s="107"/>
      <c r="AWV12" s="108">
        <v>50</v>
      </c>
      <c r="AWW12" s="109">
        <f>+AWV12*$AWX$7/1000</f>
        <v>1750</v>
      </c>
      <c r="AWX12" s="110"/>
      <c r="AWY12" s="108" t="s">
        <v>35</v>
      </c>
      <c r="AXB12" s="105" t="s">
        <v>34</v>
      </c>
      <c r="AXC12" s="105"/>
      <c r="AXD12" s="105"/>
      <c r="AXE12" s="106" t="s">
        <v>36</v>
      </c>
      <c r="AXF12" s="106"/>
      <c r="AXG12" s="107"/>
      <c r="AXH12" s="108">
        <v>50</v>
      </c>
      <c r="AXI12" s="109">
        <f>+AXH12*$AXJ$7/1000</f>
        <v>1750</v>
      </c>
      <c r="AXJ12" s="110"/>
      <c r="AXK12" s="108" t="s">
        <v>35</v>
      </c>
      <c r="AXN12" s="105" t="s">
        <v>34</v>
      </c>
      <c r="AXO12" s="105"/>
      <c r="AXP12" s="105"/>
      <c r="AXQ12" s="106" t="s">
        <v>36</v>
      </c>
      <c r="AXR12" s="106"/>
      <c r="AXS12" s="107"/>
      <c r="AXT12" s="108">
        <v>50</v>
      </c>
      <c r="AXU12" s="109">
        <f>+AXT12*$AXV$7/1000</f>
        <v>1750</v>
      </c>
      <c r="AXV12" s="110"/>
      <c r="AXW12" s="108" t="s">
        <v>35</v>
      </c>
      <c r="AXZ12" s="105" t="s">
        <v>34</v>
      </c>
      <c r="AYA12" s="105"/>
      <c r="AYB12" s="105"/>
      <c r="AYC12" s="106" t="s">
        <v>36</v>
      </c>
      <c r="AYD12" s="106"/>
      <c r="AYE12" s="107"/>
      <c r="AYF12" s="108">
        <v>50</v>
      </c>
      <c r="AYG12" s="109">
        <f>+AYF12*$AYH$7/1000</f>
        <v>1750</v>
      </c>
      <c r="AYH12" s="110"/>
      <c r="AYI12" s="108" t="s">
        <v>35</v>
      </c>
      <c r="AYL12" s="105" t="s">
        <v>34</v>
      </c>
      <c r="AYM12" s="105"/>
      <c r="AYN12" s="105"/>
      <c r="AYO12" s="106" t="s">
        <v>36</v>
      </c>
      <c r="AYP12" s="106"/>
      <c r="AYQ12" s="107"/>
      <c r="AYR12" s="108">
        <v>50</v>
      </c>
      <c r="AYS12" s="109">
        <f>+AYR12*$AYT$7/1000</f>
        <v>1750</v>
      </c>
      <c r="AYT12" s="110"/>
      <c r="AYU12" s="108" t="s">
        <v>35</v>
      </c>
      <c r="AYX12" s="105" t="s">
        <v>34</v>
      </c>
      <c r="AYY12" s="105"/>
      <c r="AYZ12" s="105"/>
      <c r="AZA12" s="106" t="s">
        <v>36</v>
      </c>
      <c r="AZB12" s="106"/>
      <c r="AZC12" s="107"/>
      <c r="AZD12" s="108">
        <v>50</v>
      </c>
      <c r="AZE12" s="109">
        <f>+AZD12*$AZF$7/1000</f>
        <v>350</v>
      </c>
      <c r="AZF12" s="110"/>
      <c r="AZG12" s="108" t="s">
        <v>35</v>
      </c>
      <c r="AZJ12" s="105" t="s">
        <v>34</v>
      </c>
      <c r="AZK12" s="105"/>
      <c r="AZL12" s="105"/>
      <c r="AZM12" s="106" t="s">
        <v>36</v>
      </c>
      <c r="AZN12" s="106"/>
      <c r="AZO12" s="107"/>
      <c r="AZP12" s="108">
        <v>50</v>
      </c>
      <c r="AZQ12" s="109">
        <f>+AZP12*$AZR$7/1000</f>
        <v>1750</v>
      </c>
      <c r="AZR12" s="110"/>
      <c r="AZS12" s="108" t="s">
        <v>35</v>
      </c>
      <c r="AZV12" s="105" t="s">
        <v>34</v>
      </c>
      <c r="AZW12" s="105"/>
      <c r="AZX12" s="105"/>
      <c r="AZY12" s="106" t="s">
        <v>36</v>
      </c>
      <c r="AZZ12" s="106"/>
      <c r="BAA12" s="107"/>
      <c r="BAB12" s="108">
        <v>50</v>
      </c>
      <c r="BAC12" s="109">
        <f>+BAB12*$BAD$7/1000</f>
        <v>1750</v>
      </c>
      <c r="BAD12" s="110"/>
      <c r="BAE12" s="108" t="s">
        <v>35</v>
      </c>
      <c r="BAH12" s="105" t="s">
        <v>34</v>
      </c>
      <c r="BAI12" s="105"/>
      <c r="BAJ12" s="105"/>
      <c r="BAK12" s="106" t="s">
        <v>36</v>
      </c>
      <c r="BAL12" s="106"/>
      <c r="BAM12" s="107"/>
      <c r="BAN12" s="108">
        <v>50</v>
      </c>
      <c r="BAO12" s="109">
        <f>+BAN12*$BAP$7/1000</f>
        <v>1750</v>
      </c>
      <c r="BAP12" s="110"/>
      <c r="BAQ12" s="108" t="s">
        <v>35</v>
      </c>
      <c r="BAT12" s="105" t="s">
        <v>34</v>
      </c>
      <c r="BAU12" s="105"/>
      <c r="BAV12" s="105"/>
      <c r="BAW12" s="106" t="s">
        <v>36</v>
      </c>
      <c r="BAX12" s="106"/>
      <c r="BAY12" s="107"/>
      <c r="BAZ12" s="108">
        <v>50</v>
      </c>
      <c r="BBA12" s="109">
        <f>+BAZ12*$BBB$7/1000</f>
        <v>1750</v>
      </c>
      <c r="BBB12" s="110"/>
      <c r="BBC12" s="108" t="s">
        <v>35</v>
      </c>
      <c r="BBF12" s="105" t="s">
        <v>34</v>
      </c>
      <c r="BBG12" s="105"/>
      <c r="BBH12" s="105"/>
      <c r="BBI12" s="106" t="s">
        <v>36</v>
      </c>
      <c r="BBJ12" s="106"/>
      <c r="BBK12" s="107"/>
      <c r="BBL12" s="108">
        <v>50</v>
      </c>
      <c r="BBM12" s="109">
        <f>+BBL12*$BBN$7/1000</f>
        <v>1750</v>
      </c>
      <c r="BBN12" s="110"/>
      <c r="BBO12" s="108" t="s">
        <v>35</v>
      </c>
      <c r="BBR12" s="105" t="s">
        <v>34</v>
      </c>
      <c r="BBS12" s="105"/>
      <c r="BBT12" s="105"/>
      <c r="BBU12" s="106" t="s">
        <v>36</v>
      </c>
      <c r="BBV12" s="106"/>
      <c r="BBW12" s="107"/>
      <c r="BBX12" s="108">
        <v>50</v>
      </c>
      <c r="BBY12" s="109">
        <f>+BBX12*$BBZ$7/1000</f>
        <v>1750</v>
      </c>
      <c r="BBZ12" s="110"/>
      <c r="BCA12" s="108" t="s">
        <v>35</v>
      </c>
      <c r="BCD12" s="105" t="s">
        <v>34</v>
      </c>
      <c r="BCE12" s="105"/>
      <c r="BCF12" s="105"/>
      <c r="BCG12" s="106" t="s">
        <v>36</v>
      </c>
      <c r="BCH12" s="106"/>
      <c r="BCI12" s="107"/>
      <c r="BCJ12" s="108">
        <v>50</v>
      </c>
      <c r="BCK12" s="109">
        <f>+BCJ12*$BCL$7/1000</f>
        <v>1750</v>
      </c>
      <c r="BCL12" s="110"/>
      <c r="BCM12" s="108" t="s">
        <v>35</v>
      </c>
      <c r="BCP12" s="105" t="s">
        <v>34</v>
      </c>
      <c r="BCQ12" s="105"/>
      <c r="BCR12" s="105"/>
      <c r="BCS12" s="106" t="s">
        <v>36</v>
      </c>
      <c r="BCT12" s="106"/>
      <c r="BCU12" s="107"/>
      <c r="BCV12" s="108">
        <v>50</v>
      </c>
      <c r="BCW12" s="109">
        <f>+BCV12*$BCX$7/1000</f>
        <v>1750</v>
      </c>
      <c r="BCX12" s="110"/>
      <c r="BCY12" s="108" t="s">
        <v>35</v>
      </c>
      <c r="BDB12" s="105" t="s">
        <v>34</v>
      </c>
      <c r="BDC12" s="105"/>
      <c r="BDD12" s="105"/>
      <c r="BDE12" s="106" t="s">
        <v>36</v>
      </c>
      <c r="BDF12" s="106"/>
      <c r="BDG12" s="107"/>
      <c r="BDH12" s="108">
        <v>50</v>
      </c>
      <c r="BDI12" s="109">
        <f>+BDH12*$BDJ$7/1000</f>
        <v>700</v>
      </c>
      <c r="BDJ12" s="110"/>
      <c r="BDK12" s="108" t="s">
        <v>35</v>
      </c>
      <c r="BDN12" s="105" t="s">
        <v>34</v>
      </c>
      <c r="BDO12" s="105"/>
      <c r="BDP12" s="105"/>
      <c r="BDQ12" s="106" t="s">
        <v>36</v>
      </c>
      <c r="BDR12" s="106"/>
      <c r="BDS12" s="107"/>
      <c r="BDT12" s="108">
        <v>50</v>
      </c>
      <c r="BDU12" s="109">
        <f>+BDT12*$BDV$7/1000</f>
        <v>1750</v>
      </c>
      <c r="BDV12" s="110"/>
      <c r="BDW12" s="108" t="s">
        <v>35</v>
      </c>
      <c r="BDZ12" s="105" t="s">
        <v>34</v>
      </c>
      <c r="BEA12" s="105"/>
      <c r="BEB12" s="105"/>
      <c r="BEC12" s="106" t="s">
        <v>36</v>
      </c>
      <c r="BED12" s="106"/>
      <c r="BEE12" s="107"/>
      <c r="BEF12" s="108">
        <v>50</v>
      </c>
      <c r="BEG12" s="109">
        <f>+BEF12*$BEH$7/1000</f>
        <v>1750</v>
      </c>
      <c r="BEH12" s="110"/>
      <c r="BEI12" s="108" t="s">
        <v>35</v>
      </c>
      <c r="BEL12" s="105" t="s">
        <v>34</v>
      </c>
      <c r="BEM12" s="105"/>
      <c r="BEN12" s="105"/>
      <c r="BEO12" s="106" t="s">
        <v>36</v>
      </c>
      <c r="BEP12" s="106"/>
      <c r="BEQ12" s="107"/>
      <c r="BER12" s="108">
        <v>50</v>
      </c>
      <c r="BES12" s="109">
        <f>+BER12*$BET$7/1000</f>
        <v>1750</v>
      </c>
      <c r="BET12" s="110"/>
      <c r="BEU12" s="108" t="s">
        <v>35</v>
      </c>
      <c r="BEX12" s="105" t="s">
        <v>34</v>
      </c>
      <c r="BEY12" s="105"/>
      <c r="BEZ12" s="105"/>
      <c r="BFA12" s="106" t="s">
        <v>36</v>
      </c>
      <c r="BFB12" s="106"/>
      <c r="BFC12" s="107"/>
      <c r="BFD12" s="108">
        <v>50</v>
      </c>
      <c r="BFE12" s="109">
        <f>+BFD12*$BFF$7/1000</f>
        <v>1750</v>
      </c>
      <c r="BFF12" s="110"/>
      <c r="BFG12" s="108" t="s">
        <v>35</v>
      </c>
      <c r="BFJ12" s="105" t="s">
        <v>34</v>
      </c>
      <c r="BFK12" s="105"/>
      <c r="BFL12" s="105"/>
      <c r="BFM12" s="106" t="s">
        <v>36</v>
      </c>
      <c r="BFN12" s="106"/>
      <c r="BFO12" s="107"/>
      <c r="BFP12" s="108">
        <v>50</v>
      </c>
      <c r="BFQ12" s="109">
        <f>+BFP12*$BFR$7/1000</f>
        <v>1750</v>
      </c>
      <c r="BFR12" s="110"/>
      <c r="BFS12" s="108" t="s">
        <v>35</v>
      </c>
      <c r="BFV12" s="105" t="s">
        <v>34</v>
      </c>
      <c r="BFW12" s="105"/>
      <c r="BFX12" s="105"/>
      <c r="BFY12" s="106" t="s">
        <v>36</v>
      </c>
      <c r="BFZ12" s="106"/>
      <c r="BGA12" s="107"/>
      <c r="BGB12" s="108">
        <v>50</v>
      </c>
      <c r="BGC12" s="109">
        <f>+BGB12*$BGD$7/1000</f>
        <v>1750</v>
      </c>
      <c r="BGD12" s="110"/>
      <c r="BGE12" s="108" t="s">
        <v>35</v>
      </c>
      <c r="BGH12" s="105" t="s">
        <v>34</v>
      </c>
      <c r="BGI12" s="105"/>
      <c r="BGJ12" s="105"/>
      <c r="BGK12" s="106" t="s">
        <v>36</v>
      </c>
      <c r="BGL12" s="106"/>
      <c r="BGM12" s="107"/>
      <c r="BGN12" s="108">
        <v>50</v>
      </c>
      <c r="BGO12" s="109">
        <f>+BGN12*$BGP$7/1000</f>
        <v>1750</v>
      </c>
      <c r="BGP12" s="110"/>
      <c r="BGQ12" s="108" t="s">
        <v>35</v>
      </c>
      <c r="BGT12" s="105" t="s">
        <v>34</v>
      </c>
      <c r="BGU12" s="105"/>
      <c r="BGV12" s="105"/>
      <c r="BGW12" s="106" t="s">
        <v>36</v>
      </c>
      <c r="BGX12" s="106"/>
      <c r="BGY12" s="107"/>
      <c r="BGZ12" s="108">
        <v>50</v>
      </c>
      <c r="BHA12" s="109">
        <f>+BGZ12*$BHB$7/1000</f>
        <v>1750</v>
      </c>
      <c r="BHB12" s="110"/>
      <c r="BHC12" s="108" t="s">
        <v>35</v>
      </c>
      <c r="BHF12" s="105" t="s">
        <v>34</v>
      </c>
      <c r="BHG12" s="105"/>
      <c r="BHH12" s="105"/>
      <c r="BHI12" s="106" t="s">
        <v>36</v>
      </c>
      <c r="BHJ12" s="106"/>
      <c r="BHK12" s="107"/>
      <c r="BHL12" s="108">
        <v>50</v>
      </c>
      <c r="BHM12" s="109">
        <f>+BHL12*$BHN$7/1000</f>
        <v>350</v>
      </c>
      <c r="BHN12" s="110"/>
      <c r="BHO12" s="108" t="s">
        <v>35</v>
      </c>
      <c r="BHR12" s="105" t="s">
        <v>34</v>
      </c>
      <c r="BHS12" s="105"/>
      <c r="BHT12" s="105"/>
      <c r="BHU12" s="106" t="s">
        <v>36</v>
      </c>
      <c r="BHV12" s="106"/>
      <c r="BHW12" s="107"/>
      <c r="BHX12" s="108">
        <v>50</v>
      </c>
      <c r="BHY12" s="109">
        <f>+BHX12*$BHZ$7/1000</f>
        <v>700</v>
      </c>
      <c r="BHZ12" s="110"/>
      <c r="BIA12" s="108" t="s">
        <v>35</v>
      </c>
      <c r="BID12" s="105" t="s">
        <v>34</v>
      </c>
      <c r="BIE12" s="105"/>
      <c r="BIF12" s="105"/>
      <c r="BIG12" s="106" t="s">
        <v>36</v>
      </c>
      <c r="BIH12" s="106"/>
      <c r="BII12" s="107"/>
      <c r="BIJ12" s="108">
        <v>50</v>
      </c>
      <c r="BIK12" s="109">
        <f>+BIJ12*$BIL$7/1000</f>
        <v>1750</v>
      </c>
      <c r="BIL12" s="110"/>
      <c r="BIM12" s="108" t="s">
        <v>35</v>
      </c>
      <c r="BIP12" s="105" t="s">
        <v>34</v>
      </c>
      <c r="BIQ12" s="105"/>
      <c r="BIR12" s="105"/>
      <c r="BIS12" s="106" t="s">
        <v>36</v>
      </c>
      <c r="BIT12" s="106"/>
      <c r="BIU12" s="107"/>
      <c r="BIV12" s="108">
        <v>50</v>
      </c>
      <c r="BIW12" s="109">
        <f>+BIV12*$BIX$7/1000</f>
        <v>1750</v>
      </c>
      <c r="BIX12" s="110"/>
      <c r="BIY12" s="108" t="s">
        <v>35</v>
      </c>
      <c r="BJB12" s="105" t="s">
        <v>34</v>
      </c>
      <c r="BJC12" s="105"/>
      <c r="BJD12" s="105"/>
      <c r="BJE12" s="106" t="s">
        <v>36</v>
      </c>
      <c r="BJF12" s="106"/>
      <c r="BJG12" s="107"/>
      <c r="BJH12" s="108">
        <v>50</v>
      </c>
      <c r="BJI12" s="109">
        <f>+BJH12*$BJJ$7/1000</f>
        <v>1750</v>
      </c>
      <c r="BJJ12" s="110"/>
      <c r="BJK12" s="108" t="s">
        <v>35</v>
      </c>
      <c r="BJN12" s="105" t="s">
        <v>34</v>
      </c>
      <c r="BJO12" s="105"/>
      <c r="BJP12" s="105"/>
      <c r="BJQ12" s="106" t="s">
        <v>36</v>
      </c>
      <c r="BJR12" s="106"/>
      <c r="BJS12" s="107"/>
      <c r="BJT12" s="108">
        <v>50</v>
      </c>
      <c r="BJU12" s="109">
        <f>+BJT12*$BJJ$7/1000</f>
        <v>1750</v>
      </c>
      <c r="BJV12" s="110"/>
      <c r="BJW12" s="108" t="s">
        <v>35</v>
      </c>
      <c r="BJZ12" s="105" t="s">
        <v>34</v>
      </c>
      <c r="BKA12" s="105"/>
      <c r="BKB12" s="105"/>
      <c r="BKC12" s="106" t="s">
        <v>36</v>
      </c>
      <c r="BKD12" s="106"/>
      <c r="BKE12" s="107"/>
      <c r="BKF12" s="108">
        <v>50</v>
      </c>
      <c r="BKG12" s="109">
        <f>+BKF12*$BKH$7/1000</f>
        <v>150</v>
      </c>
      <c r="BKH12" s="110"/>
      <c r="BKI12" s="108" t="s">
        <v>35</v>
      </c>
      <c r="BKL12" s="105" t="s">
        <v>34</v>
      </c>
      <c r="BKM12" s="105"/>
      <c r="BKN12" s="105"/>
      <c r="BKO12" s="106" t="s">
        <v>36</v>
      </c>
      <c r="BKP12" s="106"/>
      <c r="BKQ12" s="107"/>
      <c r="BKR12" s="108">
        <v>50</v>
      </c>
      <c r="BKS12" s="109">
        <f>+BKR12*$BKT$7/1000</f>
        <v>1750</v>
      </c>
      <c r="BKT12" s="110"/>
      <c r="BKU12" s="108" t="s">
        <v>35</v>
      </c>
      <c r="BKX12" s="105" t="s">
        <v>34</v>
      </c>
      <c r="BKY12" s="105"/>
      <c r="BKZ12" s="105"/>
      <c r="BLA12" s="106" t="s">
        <v>36</v>
      </c>
      <c r="BLB12" s="106"/>
      <c r="BLC12" s="107"/>
      <c r="BLD12" s="108">
        <v>50</v>
      </c>
      <c r="BLE12" s="109">
        <f>+BLD12*$BLF$7/1000</f>
        <v>1750</v>
      </c>
      <c r="BLF12" s="110"/>
      <c r="BLG12" s="108" t="s">
        <v>35</v>
      </c>
      <c r="BLJ12" s="105" t="s">
        <v>34</v>
      </c>
      <c r="BLK12" s="105"/>
      <c r="BLL12" s="105"/>
      <c r="BLM12" s="106" t="s">
        <v>36</v>
      </c>
      <c r="BLN12" s="106"/>
      <c r="BLO12" s="107"/>
      <c r="BLP12" s="108">
        <v>50</v>
      </c>
      <c r="BLQ12" s="109">
        <f>+BLP12*$BLR$7/1000</f>
        <v>1750</v>
      </c>
      <c r="BLR12" s="110"/>
      <c r="BLS12" s="108" t="s">
        <v>35</v>
      </c>
      <c r="BLV12" s="105" t="s">
        <v>34</v>
      </c>
      <c r="BLW12" s="105"/>
      <c r="BLX12" s="105"/>
      <c r="BLY12" s="106" t="s">
        <v>36</v>
      </c>
      <c r="BLZ12" s="106"/>
      <c r="BMA12" s="107"/>
      <c r="BMB12" s="108">
        <v>50</v>
      </c>
      <c r="BMC12" s="109">
        <f>+BMB12*$BMD$7/1000</f>
        <v>1750</v>
      </c>
      <c r="BMD12" s="110"/>
      <c r="BME12" s="108" t="s">
        <v>35</v>
      </c>
      <c r="BMH12" s="105" t="s">
        <v>34</v>
      </c>
      <c r="BMI12" s="105"/>
      <c r="BMJ12" s="105"/>
      <c r="BMK12" s="106" t="s">
        <v>36</v>
      </c>
      <c r="BML12" s="106"/>
      <c r="BMM12" s="107"/>
      <c r="BMN12" s="108">
        <v>50</v>
      </c>
      <c r="BMO12" s="109">
        <f>+BMN12*$BMP$7/1000</f>
        <v>1750</v>
      </c>
      <c r="BMP12" s="110"/>
      <c r="BMQ12" s="108" t="s">
        <v>35</v>
      </c>
      <c r="BMT12" s="105" t="s">
        <v>34</v>
      </c>
      <c r="BMU12" s="105"/>
      <c r="BMV12" s="105"/>
      <c r="BMW12" s="106" t="s">
        <v>36</v>
      </c>
      <c r="BMX12" s="106"/>
      <c r="BMY12" s="107"/>
      <c r="BMZ12" s="108">
        <v>50</v>
      </c>
      <c r="BNA12" s="109">
        <f>+BMZ12*$BNB$7/1000</f>
        <v>1750</v>
      </c>
      <c r="BNB12" s="110"/>
      <c r="BNC12" s="108" t="s">
        <v>35</v>
      </c>
      <c r="BNF12" s="105" t="s">
        <v>34</v>
      </c>
      <c r="BNG12" s="105"/>
      <c r="BNH12" s="105"/>
      <c r="BNI12" s="106" t="s">
        <v>36</v>
      </c>
      <c r="BNJ12" s="106"/>
      <c r="BNK12" s="107"/>
      <c r="BNL12" s="108">
        <v>50</v>
      </c>
      <c r="BNM12" s="109">
        <f>+BNL12*$BNN$7/1000</f>
        <v>1750</v>
      </c>
      <c r="BNN12" s="110"/>
      <c r="BNO12" s="108" t="s">
        <v>35</v>
      </c>
      <c r="BNR12" s="105" t="s">
        <v>34</v>
      </c>
      <c r="BNS12" s="105"/>
      <c r="BNT12" s="105"/>
      <c r="BNU12" s="106" t="s">
        <v>36</v>
      </c>
      <c r="BNV12" s="106"/>
      <c r="BNW12" s="107"/>
      <c r="BNX12" s="108">
        <v>50</v>
      </c>
      <c r="BNY12" s="109">
        <f>+BNX12*$BNZ$7/1000</f>
        <v>1750</v>
      </c>
      <c r="BNZ12" s="110"/>
      <c r="BOA12" s="108" t="s">
        <v>35</v>
      </c>
      <c r="BOD12" s="105" t="s">
        <v>34</v>
      </c>
      <c r="BOE12" s="105"/>
      <c r="BOF12" s="105"/>
      <c r="BOG12" s="106" t="s">
        <v>36</v>
      </c>
      <c r="BOH12" s="106"/>
      <c r="BOI12" s="107"/>
      <c r="BOJ12" s="108">
        <v>50</v>
      </c>
      <c r="BOK12" s="109">
        <f>+BOJ12*$BOL$7/1000</f>
        <v>1750</v>
      </c>
      <c r="BOL12" s="110"/>
      <c r="BOM12" s="108" t="s">
        <v>35</v>
      </c>
      <c r="BOP12" s="105" t="s">
        <v>34</v>
      </c>
      <c r="BOQ12" s="105"/>
      <c r="BOR12" s="105"/>
      <c r="BOS12" s="106" t="s">
        <v>36</v>
      </c>
      <c r="BOT12" s="106"/>
      <c r="BOU12" s="107"/>
      <c r="BOV12" s="108">
        <v>50</v>
      </c>
      <c r="BOW12" s="109">
        <f>+BOV12*$BOL$7/1000</f>
        <v>1750</v>
      </c>
      <c r="BOX12" s="110"/>
      <c r="BOY12" s="108" t="s">
        <v>35</v>
      </c>
      <c r="BPB12" s="105" t="s">
        <v>34</v>
      </c>
      <c r="BPC12" s="105"/>
      <c r="BPD12" s="105"/>
      <c r="BPE12" s="106" t="s">
        <v>36</v>
      </c>
      <c r="BPF12" s="106"/>
      <c r="BPG12" s="107"/>
      <c r="BPH12" s="108">
        <v>50</v>
      </c>
      <c r="BPI12" s="109">
        <f>+BPH12*$BPJ$7/1000</f>
        <v>1750</v>
      </c>
      <c r="BPJ12" s="110"/>
      <c r="BPK12" s="108" t="s">
        <v>35</v>
      </c>
      <c r="BPN12" s="105" t="s">
        <v>34</v>
      </c>
      <c r="BPO12" s="105"/>
      <c r="BPP12" s="105"/>
      <c r="BPQ12" s="106" t="s">
        <v>36</v>
      </c>
      <c r="BPR12" s="106"/>
      <c r="BPS12" s="107"/>
      <c r="BPT12" s="108">
        <v>50</v>
      </c>
      <c r="BPU12" s="109">
        <f>+BPT12*$BPJ$7/1000</f>
        <v>1750</v>
      </c>
      <c r="BPV12" s="110"/>
      <c r="BPW12" s="108" t="s">
        <v>35</v>
      </c>
      <c r="BPZ12" s="105" t="s">
        <v>34</v>
      </c>
      <c r="BQA12" s="105"/>
      <c r="BQB12" s="105"/>
      <c r="BQC12" s="106" t="s">
        <v>36</v>
      </c>
      <c r="BQD12" s="106"/>
      <c r="BQE12" s="107"/>
      <c r="BQF12" s="108">
        <v>50</v>
      </c>
      <c r="BQG12" s="109">
        <f>+BQF12*$BPJ$7/1000</f>
        <v>1750</v>
      </c>
      <c r="BQH12" s="110"/>
      <c r="BQI12" s="108" t="s">
        <v>35</v>
      </c>
      <c r="BQL12" s="105" t="s">
        <v>34</v>
      </c>
      <c r="BQM12" s="105"/>
      <c r="BQN12" s="105"/>
      <c r="BQO12" s="106" t="s">
        <v>36</v>
      </c>
      <c r="BQP12" s="106"/>
      <c r="BQQ12" s="107"/>
      <c r="BQR12" s="108">
        <v>50</v>
      </c>
      <c r="BQS12" s="109">
        <f>+BQR12*$BPJ$7/1000</f>
        <v>1750</v>
      </c>
      <c r="BQT12" s="110"/>
      <c r="BQU12" s="108" t="s">
        <v>35</v>
      </c>
      <c r="BQX12" s="105" t="s">
        <v>34</v>
      </c>
      <c r="BQY12" s="105"/>
      <c r="BQZ12" s="105"/>
      <c r="BRA12" s="106" t="s">
        <v>36</v>
      </c>
      <c r="BRB12" s="106"/>
      <c r="BRC12" s="107"/>
      <c r="BRD12" s="108">
        <v>50</v>
      </c>
      <c r="BRE12" s="109">
        <f>+BRD12*$BPJ$7/1000</f>
        <v>1750</v>
      </c>
      <c r="BRF12" s="110"/>
      <c r="BRG12" s="108" t="s">
        <v>35</v>
      </c>
      <c r="BRJ12" s="105" t="s">
        <v>34</v>
      </c>
      <c r="BRK12" s="105"/>
      <c r="BRL12" s="105"/>
      <c r="BRM12" s="106" t="s">
        <v>36</v>
      </c>
      <c r="BRN12" s="106"/>
      <c r="BRO12" s="107"/>
      <c r="BRP12" s="108">
        <v>50</v>
      </c>
      <c r="BRQ12" s="109">
        <f>+BRP12*$BPJ$7/1000</f>
        <v>1750</v>
      </c>
      <c r="BRR12" s="110"/>
      <c r="BRS12" s="108" t="s">
        <v>35</v>
      </c>
      <c r="BRV12" s="105" t="s">
        <v>34</v>
      </c>
      <c r="BRW12" s="105"/>
      <c r="BRX12" s="105"/>
      <c r="BRY12" s="106" t="s">
        <v>36</v>
      </c>
      <c r="BRZ12" s="106"/>
      <c r="BSA12" s="107"/>
      <c r="BSB12" s="108">
        <v>50</v>
      </c>
      <c r="BSC12" s="109">
        <f>+BSB12*$BPJ$7/1000</f>
        <v>1750</v>
      </c>
      <c r="BSD12" s="110"/>
      <c r="BSE12" s="108" t="s">
        <v>35</v>
      </c>
      <c r="BSH12" s="105" t="s">
        <v>34</v>
      </c>
      <c r="BSI12" s="105"/>
      <c r="BSJ12" s="105"/>
      <c r="BSK12" s="106" t="s">
        <v>36</v>
      </c>
      <c r="BSL12" s="106"/>
      <c r="BSM12" s="107"/>
      <c r="BSN12" s="108">
        <v>50</v>
      </c>
      <c r="BSO12" s="109">
        <f>+BSN12*$BPJ$7/1000</f>
        <v>1750</v>
      </c>
      <c r="BSP12" s="110"/>
      <c r="BSQ12" s="108" t="s">
        <v>35</v>
      </c>
      <c r="BST12" s="105" t="s">
        <v>34</v>
      </c>
      <c r="BSU12" s="105"/>
      <c r="BSV12" s="105"/>
      <c r="BSW12" s="106" t="s">
        <v>36</v>
      </c>
      <c r="BSX12" s="106"/>
      <c r="BSY12" s="107"/>
      <c r="BSZ12" s="108">
        <v>50</v>
      </c>
      <c r="BTA12" s="109">
        <f>+BSZ12*$BPJ$7/1000</f>
        <v>1750</v>
      </c>
      <c r="BTB12" s="110"/>
      <c r="BTC12" s="108" t="s">
        <v>35</v>
      </c>
      <c r="BTF12" s="105" t="s">
        <v>34</v>
      </c>
      <c r="BTG12" s="105"/>
      <c r="BTH12" s="105"/>
      <c r="BTI12" s="106" t="s">
        <v>36</v>
      </c>
      <c r="BTJ12" s="106"/>
      <c r="BTK12" s="107"/>
      <c r="BTL12" s="108">
        <v>50</v>
      </c>
      <c r="BTM12" s="109">
        <f>+BTL12*$BPJ$7/1000</f>
        <v>1750</v>
      </c>
      <c r="BTN12" s="110"/>
      <c r="BTO12" s="108" t="s">
        <v>35</v>
      </c>
      <c r="BTR12" s="105" t="s">
        <v>34</v>
      </c>
      <c r="BTS12" s="105"/>
      <c r="BTT12" s="105"/>
      <c r="BTU12" s="106" t="s">
        <v>36</v>
      </c>
      <c r="BTV12" s="106"/>
      <c r="BTW12" s="107"/>
      <c r="BTX12" s="108">
        <v>50</v>
      </c>
      <c r="BTY12" s="109">
        <f>+BTX12*$BPJ$7/1000</f>
        <v>1750</v>
      </c>
      <c r="BTZ12" s="110"/>
      <c r="BUA12" s="108" t="s">
        <v>35</v>
      </c>
      <c r="BUD12" s="105" t="s">
        <v>34</v>
      </c>
      <c r="BUE12" s="105"/>
      <c r="BUF12" s="105"/>
      <c r="BUG12" s="106" t="s">
        <v>36</v>
      </c>
      <c r="BUH12" s="106"/>
      <c r="BUI12" s="107"/>
      <c r="BUJ12" s="108">
        <v>50</v>
      </c>
      <c r="BUK12" s="109">
        <f>+BUJ12*$BPJ$7/1000</f>
        <v>1750</v>
      </c>
      <c r="BUL12" s="110"/>
      <c r="BUM12" s="108" t="s">
        <v>35</v>
      </c>
      <c r="BUP12" s="105" t="s">
        <v>34</v>
      </c>
      <c r="BUQ12" s="105"/>
      <c r="BUR12" s="105"/>
      <c r="BUS12" s="106" t="s">
        <v>36</v>
      </c>
      <c r="BUT12" s="106"/>
      <c r="BUU12" s="107"/>
      <c r="BUV12" s="108">
        <v>50</v>
      </c>
      <c r="BUW12" s="109">
        <f>+BUV12*$BPJ$7/1000</f>
        <v>1750</v>
      </c>
      <c r="BUX12" s="110"/>
      <c r="BUY12" s="108" t="s">
        <v>35</v>
      </c>
      <c r="BVB12" s="105" t="s">
        <v>34</v>
      </c>
      <c r="BVC12" s="105"/>
      <c r="BVD12" s="105"/>
      <c r="BVE12" s="106" t="s">
        <v>36</v>
      </c>
      <c r="BVF12" s="106"/>
      <c r="BVG12" s="107"/>
      <c r="BVH12" s="108">
        <v>50</v>
      </c>
      <c r="BVI12" s="109">
        <f>+BVH12*$BPJ$7/1000</f>
        <v>1750</v>
      </c>
      <c r="BVJ12" s="110"/>
      <c r="BVK12" s="108" t="s">
        <v>35</v>
      </c>
      <c r="BVN12" s="105" t="s">
        <v>34</v>
      </c>
      <c r="BVO12" s="105"/>
      <c r="BVP12" s="105"/>
      <c r="BVQ12" s="106" t="s">
        <v>36</v>
      </c>
      <c r="BVR12" s="106"/>
      <c r="BVS12" s="107"/>
      <c r="BVT12" s="108">
        <v>50</v>
      </c>
      <c r="BVU12" s="109">
        <f>+BVT12*$BPJ$7/1000</f>
        <v>1750</v>
      </c>
      <c r="BVV12" s="110"/>
      <c r="BVW12" s="108" t="s">
        <v>35</v>
      </c>
      <c r="BVZ12" s="105" t="s">
        <v>34</v>
      </c>
      <c r="BWA12" s="105"/>
      <c r="BWB12" s="105"/>
      <c r="BWC12" s="106" t="s">
        <v>36</v>
      </c>
      <c r="BWD12" s="106"/>
      <c r="BWE12" s="107"/>
      <c r="BWF12" s="108">
        <v>50</v>
      </c>
      <c r="BWG12" s="109">
        <f>+BWF12*$BPJ$7/1000</f>
        <v>1750</v>
      </c>
      <c r="BWH12" s="110"/>
      <c r="BWI12" s="108" t="s">
        <v>35</v>
      </c>
      <c r="BWL12" s="105" t="s">
        <v>34</v>
      </c>
      <c r="BWM12" s="105"/>
      <c r="BWN12" s="105"/>
      <c r="BWO12" s="106" t="s">
        <v>36</v>
      </c>
      <c r="BWP12" s="106"/>
      <c r="BWQ12" s="107"/>
      <c r="BWR12" s="108">
        <v>50</v>
      </c>
      <c r="BWS12" s="109">
        <f>+BWR12*$BPJ$7/1000</f>
        <v>1750</v>
      </c>
      <c r="BWT12" s="110"/>
      <c r="BWU12" s="108" t="s">
        <v>35</v>
      </c>
      <c r="BWX12" s="105" t="s">
        <v>34</v>
      </c>
      <c r="BWY12" s="105"/>
      <c r="BWZ12" s="105"/>
      <c r="BXA12" s="106" t="s">
        <v>36</v>
      </c>
      <c r="BXB12" s="106"/>
      <c r="BXC12" s="107"/>
      <c r="BXD12" s="108">
        <v>50</v>
      </c>
      <c r="BXE12" s="109">
        <f>+BXD12*$BPJ$7/1000</f>
        <v>1750</v>
      </c>
      <c r="BXF12" s="110"/>
      <c r="BXG12" s="108" t="s">
        <v>35</v>
      </c>
      <c r="BXJ12" s="105" t="s">
        <v>34</v>
      </c>
      <c r="BXK12" s="105"/>
      <c r="BXL12" s="105"/>
      <c r="BXM12" s="106" t="s">
        <v>36</v>
      </c>
      <c r="BXN12" s="106"/>
      <c r="BXO12" s="107"/>
      <c r="BXP12" s="108">
        <v>50</v>
      </c>
      <c r="BXQ12" s="109">
        <f>+BXP12*$BPJ$7/1000</f>
        <v>1750</v>
      </c>
      <c r="BXR12" s="110"/>
      <c r="BXS12" s="108" t="s">
        <v>35</v>
      </c>
      <c r="BXV12" s="105" t="s">
        <v>34</v>
      </c>
      <c r="BXW12" s="105"/>
      <c r="BXX12" s="105"/>
      <c r="BXY12" s="106" t="s">
        <v>36</v>
      </c>
      <c r="BXZ12" s="106"/>
      <c r="BYA12" s="107"/>
      <c r="BYB12" s="108">
        <v>50</v>
      </c>
      <c r="BYC12" s="109">
        <f>+BYB12*$BPJ$7/1000</f>
        <v>1750</v>
      </c>
      <c r="BYD12" s="110"/>
      <c r="BYE12" s="108" t="s">
        <v>35</v>
      </c>
      <c r="BYH12" s="105" t="s">
        <v>34</v>
      </c>
      <c r="BYI12" s="105"/>
      <c r="BYJ12" s="105"/>
      <c r="BYK12" s="106" t="s">
        <v>36</v>
      </c>
      <c r="BYL12" s="106"/>
      <c r="BYM12" s="107"/>
      <c r="BYN12" s="108">
        <v>50</v>
      </c>
      <c r="BYO12" s="109">
        <f>+BYN12*$BPJ$7/1000</f>
        <v>1750</v>
      </c>
      <c r="BYP12" s="110"/>
      <c r="BYQ12" s="108" t="s">
        <v>35</v>
      </c>
      <c r="BYT12" s="105" t="s">
        <v>34</v>
      </c>
      <c r="BYU12" s="105"/>
      <c r="BYV12" s="105"/>
      <c r="BYW12" s="106" t="s">
        <v>36</v>
      </c>
      <c r="BYX12" s="106"/>
      <c r="BYY12" s="107"/>
      <c r="BYZ12" s="108">
        <v>50</v>
      </c>
      <c r="BZA12" s="109">
        <f>+BYZ12*$BPJ$7/1000</f>
        <v>1750</v>
      </c>
      <c r="BZB12" s="110"/>
      <c r="BZC12" s="108" t="s">
        <v>35</v>
      </c>
      <c r="BZF12" s="105" t="s">
        <v>34</v>
      </c>
      <c r="BZG12" s="105"/>
      <c r="BZH12" s="105"/>
      <c r="BZI12" s="106" t="s">
        <v>36</v>
      </c>
      <c r="BZJ12" s="106"/>
      <c r="BZK12" s="107"/>
      <c r="BZL12" s="108">
        <v>50</v>
      </c>
      <c r="BZM12" s="109">
        <f>+BZL12*$BPJ$7/1000</f>
        <v>1750</v>
      </c>
      <c r="BZN12" s="110"/>
      <c r="BZO12" s="108" t="s">
        <v>35</v>
      </c>
      <c r="BZR12" s="105" t="s">
        <v>34</v>
      </c>
      <c r="BZS12" s="105"/>
      <c r="BZT12" s="105"/>
      <c r="BZU12" s="106" t="s">
        <v>37</v>
      </c>
      <c r="BZV12" s="106"/>
      <c r="BZW12" s="107"/>
      <c r="BZX12" s="108">
        <v>50</v>
      </c>
      <c r="BZY12" s="109">
        <f>+BZX12*$BZZ$7/1000</f>
        <v>1750</v>
      </c>
      <c r="BZZ12" s="110"/>
      <c r="CAA12" s="108" t="s">
        <v>35</v>
      </c>
      <c r="CAD12" s="105" t="s">
        <v>34</v>
      </c>
      <c r="CAE12" s="105"/>
      <c r="CAF12" s="105"/>
      <c r="CAG12" s="106" t="s">
        <v>37</v>
      </c>
      <c r="CAH12" s="106"/>
      <c r="CAI12" s="107"/>
      <c r="CAJ12" s="108">
        <v>50</v>
      </c>
      <c r="CAK12" s="109">
        <f>+CAJ12*$BZZ$7/1000</f>
        <v>1750</v>
      </c>
      <c r="CAL12" s="110"/>
      <c r="CAM12" s="108" t="s">
        <v>35</v>
      </c>
      <c r="CAP12" s="105" t="s">
        <v>34</v>
      </c>
      <c r="CAQ12" s="105"/>
      <c r="CAR12" s="105"/>
      <c r="CAS12" s="106" t="s">
        <v>37</v>
      </c>
      <c r="CAT12" s="106"/>
      <c r="CAU12" s="107"/>
      <c r="CAV12" s="108">
        <v>50</v>
      </c>
      <c r="CAW12" s="109">
        <f>+CAV12*$BZZ$7/1000</f>
        <v>1750</v>
      </c>
      <c r="CAX12" s="110"/>
      <c r="CAY12" s="108" t="s">
        <v>35</v>
      </c>
      <c r="CBB12" s="105" t="s">
        <v>34</v>
      </c>
      <c r="CBC12" s="105"/>
      <c r="CBD12" s="105"/>
      <c r="CBE12" s="106" t="s">
        <v>37</v>
      </c>
      <c r="CBF12" s="106"/>
      <c r="CBG12" s="107"/>
      <c r="CBH12" s="108">
        <v>50</v>
      </c>
      <c r="CBI12" s="109">
        <f>+CBH12*$BZZ$7/1000</f>
        <v>1750</v>
      </c>
      <c r="CBJ12" s="110"/>
      <c r="CBK12" s="108" t="s">
        <v>35</v>
      </c>
      <c r="CBN12" s="105" t="s">
        <v>34</v>
      </c>
      <c r="CBO12" s="105"/>
      <c r="CBP12" s="105"/>
      <c r="CBQ12" s="106" t="s">
        <v>37</v>
      </c>
      <c r="CBR12" s="106"/>
      <c r="CBS12" s="107"/>
      <c r="CBT12" s="108">
        <v>50</v>
      </c>
      <c r="CBU12" s="109">
        <f>+CBT12*$BZZ$7/1000</f>
        <v>1750</v>
      </c>
      <c r="CBV12" s="110"/>
      <c r="CBW12" s="108" t="s">
        <v>35</v>
      </c>
      <c r="CBZ12" s="105" t="s">
        <v>34</v>
      </c>
      <c r="CCA12" s="105"/>
      <c r="CCB12" s="105"/>
      <c r="CCC12" s="106" t="s">
        <v>37</v>
      </c>
      <c r="CCD12" s="106"/>
      <c r="CCE12" s="107"/>
      <c r="CCF12" s="108">
        <v>50</v>
      </c>
      <c r="CCG12" s="109">
        <f>+CCF12*$BZZ$7/1000</f>
        <v>1750</v>
      </c>
      <c r="CCH12" s="110"/>
      <c r="CCI12" s="108" t="s">
        <v>35</v>
      </c>
      <c r="CCL12" s="105"/>
      <c r="CCM12" s="105"/>
      <c r="CCN12" s="105"/>
      <c r="CCO12" s="106" t="s">
        <v>38</v>
      </c>
      <c r="CCP12" s="106"/>
      <c r="CCQ12" s="107"/>
      <c r="CCR12" s="108">
        <v>1000</v>
      </c>
      <c r="CCS12" s="109">
        <f>+CCR12*$BZZ$7/1000</f>
        <v>35000</v>
      </c>
      <c r="CCT12" s="110"/>
      <c r="CCU12" s="108" t="s">
        <v>35</v>
      </c>
      <c r="CCX12" s="105" t="s">
        <v>34</v>
      </c>
      <c r="CCY12" s="105"/>
      <c r="CCZ12" s="105"/>
      <c r="CDA12" s="106" t="s">
        <v>37</v>
      </c>
      <c r="CDB12" s="106"/>
      <c r="CDC12" s="107"/>
      <c r="CDD12" s="108">
        <v>50</v>
      </c>
      <c r="CDE12" s="109">
        <f>+CDD12*$BZZ$7/1000</f>
        <v>1750</v>
      </c>
      <c r="CDF12" s="110"/>
      <c r="CDG12" s="108" t="s">
        <v>35</v>
      </c>
      <c r="CDJ12" s="105" t="s">
        <v>34</v>
      </c>
      <c r="CDK12" s="105"/>
      <c r="CDL12" s="105"/>
      <c r="CDM12" s="106" t="s">
        <v>37</v>
      </c>
      <c r="CDN12" s="106"/>
      <c r="CDO12" s="107"/>
      <c r="CDP12" s="108">
        <v>50</v>
      </c>
      <c r="CDQ12" s="109">
        <f>+CDP12*$BZZ$7/1000</f>
        <v>1750</v>
      </c>
      <c r="CDR12" s="110"/>
      <c r="CDS12" s="108" t="s">
        <v>35</v>
      </c>
      <c r="CDV12" s="105" t="s">
        <v>34</v>
      </c>
      <c r="CDW12" s="105"/>
      <c r="CDX12" s="105"/>
      <c r="CDY12" s="106" t="s">
        <v>37</v>
      </c>
      <c r="CDZ12" s="106"/>
      <c r="CEA12" s="107"/>
      <c r="CEB12" s="108">
        <v>50</v>
      </c>
      <c r="CEC12" s="109">
        <f>+CEB12*$BZZ$7/1000</f>
        <v>1750</v>
      </c>
      <c r="CED12" s="110"/>
      <c r="CEE12" s="108" t="s">
        <v>35</v>
      </c>
      <c r="CEH12" s="105" t="s">
        <v>34</v>
      </c>
      <c r="CEI12" s="105"/>
      <c r="CEJ12" s="105"/>
      <c r="CEK12" s="106" t="s">
        <v>37</v>
      </c>
      <c r="CEL12" s="106"/>
      <c r="CEM12" s="107"/>
      <c r="CEN12" s="108">
        <v>50</v>
      </c>
      <c r="CEO12" s="109">
        <f>+CEN12*$BZZ$7/1000</f>
        <v>1750</v>
      </c>
      <c r="CEP12" s="110"/>
      <c r="CEQ12" s="108" t="s">
        <v>35</v>
      </c>
      <c r="CET12" s="105" t="s">
        <v>34</v>
      </c>
      <c r="CEU12" s="105"/>
      <c r="CEV12" s="105"/>
      <c r="CEW12" s="106" t="s">
        <v>37</v>
      </c>
      <c r="CEX12" s="106"/>
      <c r="CEY12" s="107"/>
      <c r="CEZ12" s="108">
        <v>50</v>
      </c>
      <c r="CFA12" s="109">
        <f>+CEZ12*$BZZ$7/1000</f>
        <v>1750</v>
      </c>
      <c r="CFB12" s="110"/>
      <c r="CFC12" s="108" t="s">
        <v>35</v>
      </c>
      <c r="CFF12" s="105" t="s">
        <v>34</v>
      </c>
      <c r="CFG12" s="105"/>
      <c r="CFH12" s="105"/>
      <c r="CFI12" s="106" t="s">
        <v>37</v>
      </c>
      <c r="CFJ12" s="106"/>
      <c r="CFK12" s="107"/>
      <c r="CFL12" s="108">
        <v>50</v>
      </c>
      <c r="CFM12" s="109">
        <f>+CFL12*$BZZ$7/1000</f>
        <v>1750</v>
      </c>
      <c r="CFN12" s="110"/>
      <c r="CFO12" s="108" t="s">
        <v>35</v>
      </c>
      <c r="CFR12" s="105" t="s">
        <v>34</v>
      </c>
      <c r="CFS12" s="105"/>
      <c r="CFT12" s="105"/>
      <c r="CFU12" s="106" t="s">
        <v>37</v>
      </c>
      <c r="CFV12" s="106"/>
      <c r="CFW12" s="107"/>
      <c r="CFX12" s="108">
        <v>50</v>
      </c>
      <c r="CFY12" s="109">
        <f>+CFX12*$BZZ$7/1000</f>
        <v>1750</v>
      </c>
      <c r="CFZ12" s="110"/>
      <c r="CGA12" s="108" t="s">
        <v>35</v>
      </c>
      <c r="CGD12" s="105" t="s">
        <v>34</v>
      </c>
      <c r="CGE12" s="105"/>
      <c r="CGF12" s="105"/>
      <c r="CGG12" s="106" t="s">
        <v>37</v>
      </c>
      <c r="CGH12" s="106"/>
      <c r="CGI12" s="107"/>
      <c r="CGJ12" s="108">
        <v>50</v>
      </c>
      <c r="CGK12" s="109">
        <f>+CGJ12*$BZZ$7/1000</f>
        <v>1750</v>
      </c>
      <c r="CGL12" s="110"/>
      <c r="CGM12" s="108" t="s">
        <v>35</v>
      </c>
      <c r="CGP12" s="105" t="s">
        <v>34</v>
      </c>
      <c r="CGQ12" s="105"/>
      <c r="CGR12" s="105"/>
      <c r="CGS12" s="106" t="s">
        <v>37</v>
      </c>
      <c r="CGT12" s="106"/>
      <c r="CGU12" s="107"/>
      <c r="CGV12" s="108">
        <v>50</v>
      </c>
      <c r="CGW12" s="109">
        <f>+CGV12*$BZZ$7/1000</f>
        <v>1750</v>
      </c>
      <c r="CGX12" s="110"/>
      <c r="CGY12" s="108" t="s">
        <v>35</v>
      </c>
      <c r="CHB12" s="105" t="s">
        <v>34</v>
      </c>
      <c r="CHC12" s="105"/>
      <c r="CHD12" s="105"/>
      <c r="CHE12" s="106" t="s">
        <v>37</v>
      </c>
      <c r="CHF12" s="106"/>
      <c r="CHG12" s="107"/>
      <c r="CHH12" s="108">
        <v>50</v>
      </c>
      <c r="CHI12" s="109">
        <f>+CHH12*$BZZ$7/1000</f>
        <v>1750</v>
      </c>
      <c r="CHJ12" s="110"/>
      <c r="CHK12" s="108" t="s">
        <v>35</v>
      </c>
      <c r="CHN12" s="105" t="s">
        <v>34</v>
      </c>
      <c r="CHO12" s="105"/>
      <c r="CHP12" s="105"/>
      <c r="CHQ12" s="106" t="s">
        <v>37</v>
      </c>
      <c r="CHR12" s="106"/>
      <c r="CHS12" s="107"/>
      <c r="CHT12" s="108">
        <v>50</v>
      </c>
      <c r="CHU12" s="109">
        <f>+CHT12*$BZZ$7/1000</f>
        <v>1750</v>
      </c>
      <c r="CHV12" s="110"/>
      <c r="CHW12" s="108" t="s">
        <v>35</v>
      </c>
      <c r="CHZ12" s="105" t="s">
        <v>34</v>
      </c>
      <c r="CIA12" s="105"/>
      <c r="CIB12" s="105"/>
      <c r="CIC12" s="106" t="s">
        <v>39</v>
      </c>
      <c r="CID12" s="106"/>
      <c r="CIE12" s="107"/>
      <c r="CIF12" s="108">
        <v>50</v>
      </c>
      <c r="CIG12" s="109">
        <f>+CIF12*$BZZ$7/1000</f>
        <v>1750</v>
      </c>
      <c r="CIH12" s="110"/>
      <c r="CII12" s="108" t="s">
        <v>35</v>
      </c>
      <c r="CIL12" s="105" t="s">
        <v>34</v>
      </c>
      <c r="CIM12" s="105"/>
      <c r="CIN12" s="105"/>
      <c r="CIO12" s="106" t="s">
        <v>39</v>
      </c>
      <c r="CIP12" s="106"/>
      <c r="CIQ12" s="107"/>
      <c r="CIR12" s="108">
        <v>50</v>
      </c>
      <c r="CIS12" s="109">
        <f>+CIR12*$BZZ$7/1000</f>
        <v>1750</v>
      </c>
      <c r="CIT12" s="110"/>
      <c r="CIU12" s="108" t="s">
        <v>35</v>
      </c>
      <c r="CIX12" s="105" t="s">
        <v>34</v>
      </c>
      <c r="CIY12" s="105"/>
      <c r="CIZ12" s="105"/>
      <c r="CJA12" s="106" t="s">
        <v>39</v>
      </c>
      <c r="CJB12" s="106"/>
      <c r="CJC12" s="107"/>
      <c r="CJD12" s="108">
        <v>50</v>
      </c>
      <c r="CJE12" s="109">
        <f>+CJD12*$BZZ$7/1000</f>
        <v>1750</v>
      </c>
      <c r="CJF12" s="110"/>
      <c r="CJG12" s="108" t="s">
        <v>35</v>
      </c>
      <c r="CJJ12" s="105" t="s">
        <v>34</v>
      </c>
      <c r="CJK12" s="105"/>
      <c r="CJL12" s="105"/>
      <c r="CJM12" s="106" t="s">
        <v>39</v>
      </c>
      <c r="CJN12" s="106"/>
      <c r="CJO12" s="107"/>
      <c r="CJP12" s="108">
        <v>50</v>
      </c>
      <c r="CJQ12" s="109">
        <f>+CJP12*$BZZ$7/1000</f>
        <v>1750</v>
      </c>
      <c r="CJR12" s="110"/>
      <c r="CJS12" s="108" t="s">
        <v>35</v>
      </c>
      <c r="CJV12" s="105" t="s">
        <v>34</v>
      </c>
      <c r="CJW12" s="105"/>
      <c r="CJX12" s="105"/>
      <c r="CJY12" s="106" t="s">
        <v>39</v>
      </c>
      <c r="CJZ12" s="106"/>
      <c r="CKA12" s="107"/>
      <c r="CKB12" s="108">
        <v>50</v>
      </c>
      <c r="CKC12" s="109">
        <f>+CKB12*$BZZ$7/1000</f>
        <v>1750</v>
      </c>
      <c r="CKD12" s="110"/>
      <c r="CKE12" s="108" t="s">
        <v>35</v>
      </c>
      <c r="CKH12" s="105" t="s">
        <v>34</v>
      </c>
      <c r="CKI12" s="105"/>
      <c r="CKJ12" s="105"/>
      <c r="CKK12" s="106" t="s">
        <v>39</v>
      </c>
      <c r="CKL12" s="106"/>
      <c r="CKM12" s="107"/>
      <c r="CKN12" s="108">
        <v>50</v>
      </c>
      <c r="CKO12" s="109">
        <f>+CKN12*$BZZ$7/1000</f>
        <v>1750</v>
      </c>
      <c r="CKP12" s="110"/>
      <c r="CKQ12" s="108" t="s">
        <v>35</v>
      </c>
      <c r="CKT12" s="105" t="s">
        <v>34</v>
      </c>
      <c r="CKU12" s="105"/>
      <c r="CKV12" s="105"/>
      <c r="CKW12" s="106" t="s">
        <v>39</v>
      </c>
      <c r="CKX12" s="106"/>
      <c r="CKY12" s="107"/>
      <c r="CKZ12" s="108">
        <v>50</v>
      </c>
      <c r="CLA12" s="109">
        <f>+CKZ12*$BZZ$7/1000</f>
        <v>1750</v>
      </c>
      <c r="CLB12" s="110"/>
      <c r="CLC12" s="108" t="s">
        <v>35</v>
      </c>
      <c r="CLF12" s="105" t="s">
        <v>34</v>
      </c>
      <c r="CLG12" s="105"/>
      <c r="CLH12" s="105"/>
      <c r="CLI12" s="106" t="s">
        <v>39</v>
      </c>
      <c r="CLJ12" s="106"/>
      <c r="CLK12" s="107"/>
      <c r="CLL12" s="108">
        <v>50</v>
      </c>
      <c r="CLM12" s="109">
        <f>+CLL12*$BZZ$7/1000</f>
        <v>1750</v>
      </c>
      <c r="CLN12" s="110"/>
      <c r="CLO12" s="108" t="s">
        <v>35</v>
      </c>
      <c r="CLR12" s="105" t="s">
        <v>34</v>
      </c>
      <c r="CLS12" s="105"/>
      <c r="CLT12" s="105"/>
      <c r="CLU12" s="106" t="s">
        <v>39</v>
      </c>
      <c r="CLV12" s="106"/>
      <c r="CLW12" s="107"/>
      <c r="CLX12" s="108">
        <v>50</v>
      </c>
      <c r="CLY12" s="109">
        <f>+CLX12*$BZZ$7/1000</f>
        <v>1750</v>
      </c>
      <c r="CLZ12" s="110"/>
      <c r="CMA12" s="108" t="s">
        <v>35</v>
      </c>
      <c r="CMD12" s="105" t="s">
        <v>34</v>
      </c>
      <c r="CME12" s="105"/>
      <c r="CMF12" s="105"/>
      <c r="CMG12" s="106" t="s">
        <v>39</v>
      </c>
      <c r="CMH12" s="106"/>
      <c r="CMI12" s="107"/>
      <c r="CMJ12" s="108">
        <v>50</v>
      </c>
      <c r="CMK12" s="109">
        <f>+CMJ12*$BZZ$7/1000</f>
        <v>1750</v>
      </c>
      <c r="CML12" s="110"/>
      <c r="CMM12" s="108" t="s">
        <v>35</v>
      </c>
      <c r="CMP12" s="105" t="s">
        <v>34</v>
      </c>
      <c r="CMQ12" s="105"/>
      <c r="CMR12" s="105"/>
      <c r="CMS12" s="106" t="s">
        <v>39</v>
      </c>
      <c r="CMT12" s="106"/>
      <c r="CMU12" s="107"/>
      <c r="CMV12" s="108">
        <v>50</v>
      </c>
      <c r="CMW12" s="109">
        <f>+CMV12*$BZZ$7/1000</f>
        <v>1750</v>
      </c>
      <c r="CMX12" s="110"/>
      <c r="CMY12" s="108" t="s">
        <v>35</v>
      </c>
      <c r="CNB12" s="105" t="s">
        <v>34</v>
      </c>
      <c r="CNC12" s="105"/>
      <c r="CND12" s="105"/>
      <c r="CNE12" s="106" t="s">
        <v>39</v>
      </c>
      <c r="CNF12" s="106"/>
      <c r="CNG12" s="107"/>
      <c r="CNH12" s="108">
        <v>50</v>
      </c>
      <c r="CNI12" s="109">
        <f>+CNH12*$BZZ$7/1000</f>
        <v>1750</v>
      </c>
      <c r="CNJ12" s="110"/>
      <c r="CNK12" s="108" t="s">
        <v>35</v>
      </c>
      <c r="CNN12" s="105" t="s">
        <v>34</v>
      </c>
      <c r="CNO12" s="105"/>
      <c r="CNP12" s="105"/>
      <c r="CNQ12" s="106" t="s">
        <v>39</v>
      </c>
      <c r="CNR12" s="106"/>
      <c r="CNS12" s="107"/>
      <c r="CNT12" s="108">
        <v>50</v>
      </c>
      <c r="CNU12" s="109">
        <f>+CNT12*$BZZ$7/1000</f>
        <v>1750</v>
      </c>
      <c r="CNV12" s="110"/>
      <c r="CNW12" s="108" t="s">
        <v>35</v>
      </c>
      <c r="CNZ12" s="105" t="s">
        <v>34</v>
      </c>
      <c r="COA12" s="105"/>
      <c r="COB12" s="105"/>
      <c r="COC12" s="106" t="s">
        <v>39</v>
      </c>
      <c r="COD12" s="106"/>
      <c r="COE12" s="107"/>
      <c r="COF12" s="108">
        <v>50</v>
      </c>
      <c r="COG12" s="109">
        <f>+COF12*$BZZ$7/1000</f>
        <v>1750</v>
      </c>
      <c r="COH12" s="110"/>
      <c r="COI12" s="108" t="s">
        <v>35</v>
      </c>
      <c r="COL12" s="105" t="s">
        <v>34</v>
      </c>
      <c r="COM12" s="105"/>
      <c r="CON12" s="105"/>
      <c r="COO12" s="106" t="s">
        <v>39</v>
      </c>
      <c r="COP12" s="106"/>
      <c r="COQ12" s="107"/>
      <c r="COR12" s="108">
        <v>50</v>
      </c>
      <c r="COS12" s="109">
        <f>+COR12*$BZZ$7/1000</f>
        <v>1750</v>
      </c>
      <c r="COT12" s="110"/>
      <c r="COU12" s="108" t="s">
        <v>35</v>
      </c>
      <c r="COX12" s="105" t="s">
        <v>34</v>
      </c>
      <c r="COY12" s="105"/>
      <c r="COZ12" s="105"/>
      <c r="CPA12" s="106" t="s">
        <v>39</v>
      </c>
      <c r="CPB12" s="106"/>
      <c r="CPC12" s="107"/>
      <c r="CPD12" s="108">
        <v>50</v>
      </c>
      <c r="CPE12" s="109">
        <f>+CPD12*$BZZ$7/1000</f>
        <v>1750</v>
      </c>
      <c r="CPF12" s="110"/>
      <c r="CPG12" s="108" t="s">
        <v>35</v>
      </c>
      <c r="CPJ12" s="105" t="s">
        <v>34</v>
      </c>
      <c r="CPK12" s="105"/>
      <c r="CPL12" s="105"/>
      <c r="CPM12" s="106" t="s">
        <v>39</v>
      </c>
      <c r="CPN12" s="106"/>
      <c r="CPO12" s="107"/>
      <c r="CPP12" s="108">
        <v>50</v>
      </c>
      <c r="CPQ12" s="109">
        <f>+CPP12*$BZZ$7/1000</f>
        <v>1750</v>
      </c>
      <c r="CPR12" s="110"/>
      <c r="CPS12" s="108" t="s">
        <v>35</v>
      </c>
      <c r="CPV12" s="105" t="s">
        <v>34</v>
      </c>
      <c r="CPW12" s="105"/>
      <c r="CPX12" s="105"/>
      <c r="CPY12" s="106" t="s">
        <v>39</v>
      </c>
      <c r="CPZ12" s="106"/>
      <c r="CQA12" s="107"/>
      <c r="CQB12" s="108">
        <v>50</v>
      </c>
      <c r="CQC12" s="109">
        <f>+CQB12*$BZZ$7/1000</f>
        <v>1750</v>
      </c>
      <c r="CQD12" s="110"/>
      <c r="CQE12" s="108" t="s">
        <v>35</v>
      </c>
      <c r="CQH12" s="105" t="s">
        <v>34</v>
      </c>
      <c r="CQI12" s="105"/>
      <c r="CQJ12" s="105"/>
      <c r="CQK12" s="106" t="s">
        <v>39</v>
      </c>
      <c r="CQL12" s="106"/>
      <c r="CQM12" s="107"/>
      <c r="CQN12" s="108">
        <v>50</v>
      </c>
      <c r="CQO12" s="109">
        <f>+CQN12*$BZZ$7/1000</f>
        <v>1750</v>
      </c>
      <c r="CQP12" s="110"/>
      <c r="CQQ12" s="108" t="s">
        <v>35</v>
      </c>
      <c r="CQT12" s="105" t="s">
        <v>34</v>
      </c>
      <c r="CQU12" s="105"/>
      <c r="CQV12" s="105"/>
      <c r="CQW12" s="106" t="s">
        <v>39</v>
      </c>
      <c r="CQX12" s="106"/>
      <c r="CQY12" s="107"/>
      <c r="CQZ12" s="108">
        <v>50</v>
      </c>
      <c r="CRA12" s="109">
        <f>+CQZ12*$BZZ$7/1000</f>
        <v>1750</v>
      </c>
      <c r="CRB12" s="110"/>
      <c r="CRC12" s="108" t="s">
        <v>35</v>
      </c>
      <c r="CRF12" s="105" t="s">
        <v>34</v>
      </c>
      <c r="CRG12" s="105"/>
      <c r="CRH12" s="105"/>
      <c r="CRI12" s="106" t="s">
        <v>39</v>
      </c>
      <c r="CRJ12" s="106"/>
      <c r="CRK12" s="107"/>
      <c r="CRL12" s="108">
        <v>50</v>
      </c>
      <c r="CRM12" s="109">
        <f>+CRL12*$BZZ$7/1000</f>
        <v>1750</v>
      </c>
      <c r="CRN12" s="110"/>
      <c r="CRO12" s="108" t="s">
        <v>35</v>
      </c>
      <c r="CRR12" s="105" t="s">
        <v>34</v>
      </c>
      <c r="CRS12" s="105"/>
      <c r="CRT12" s="105"/>
      <c r="CRU12" s="106" t="s">
        <v>39</v>
      </c>
      <c r="CRV12" s="106"/>
      <c r="CRW12" s="107"/>
      <c r="CRX12" s="108">
        <v>50</v>
      </c>
      <c r="CRY12" s="109">
        <f>+CRX12*$BZZ$7/1000</f>
        <v>1750</v>
      </c>
      <c r="CRZ12" s="110"/>
      <c r="CSA12" s="108" t="s">
        <v>35</v>
      </c>
      <c r="CSD12" s="105" t="s">
        <v>34</v>
      </c>
      <c r="CSE12" s="105"/>
      <c r="CSF12" s="105"/>
      <c r="CSG12" s="106" t="s">
        <v>39</v>
      </c>
      <c r="CSH12" s="106"/>
      <c r="CSI12" s="107"/>
      <c r="CSJ12" s="108">
        <v>50</v>
      </c>
      <c r="CSK12" s="109">
        <f>+CSJ12*$BZZ$7/1000</f>
        <v>1750</v>
      </c>
      <c r="CSL12" s="110"/>
      <c r="CSM12" s="108" t="s">
        <v>35</v>
      </c>
      <c r="CSP12" s="105" t="s">
        <v>34</v>
      </c>
      <c r="CSQ12" s="105"/>
      <c r="CSR12" s="105"/>
      <c r="CSS12" s="106" t="s">
        <v>39</v>
      </c>
      <c r="CST12" s="106"/>
      <c r="CSU12" s="107"/>
      <c r="CSV12" s="108">
        <v>50</v>
      </c>
      <c r="CSW12" s="109">
        <f>+CSV12*$BZZ$7/1000</f>
        <v>1750</v>
      </c>
      <c r="CSX12" s="110"/>
      <c r="CSY12" s="108" t="s">
        <v>35</v>
      </c>
      <c r="CTB12" s="105" t="s">
        <v>34</v>
      </c>
      <c r="CTC12" s="105"/>
      <c r="CTD12" s="105"/>
      <c r="CTE12" s="106" t="s">
        <v>39</v>
      </c>
      <c r="CTF12" s="106"/>
      <c r="CTG12" s="107"/>
      <c r="CTH12" s="108">
        <v>50</v>
      </c>
      <c r="CTI12" s="109">
        <f>+CTH12*$BZZ$7/1000</f>
        <v>1750</v>
      </c>
      <c r="CTJ12" s="110"/>
      <c r="CTK12" s="108" t="s">
        <v>35</v>
      </c>
      <c r="CTN12" s="105" t="s">
        <v>34</v>
      </c>
      <c r="CTO12" s="105"/>
      <c r="CTP12" s="105"/>
      <c r="CTQ12" s="106" t="s">
        <v>39</v>
      </c>
      <c r="CTR12" s="106"/>
      <c r="CTS12" s="107"/>
      <c r="CTT12" s="108">
        <v>50</v>
      </c>
      <c r="CTU12" s="109">
        <f>+CTT12*$BZZ$7/1000</f>
        <v>1750</v>
      </c>
      <c r="CTV12" s="110"/>
      <c r="CTW12" s="108" t="s">
        <v>35</v>
      </c>
      <c r="CTZ12" s="105" t="s">
        <v>34</v>
      </c>
      <c r="CUA12" s="105"/>
      <c r="CUB12" s="105"/>
      <c r="CUC12" s="106" t="s">
        <v>39</v>
      </c>
      <c r="CUD12" s="106"/>
      <c r="CUE12" s="107"/>
      <c r="CUF12" s="108">
        <v>50</v>
      </c>
      <c r="CUG12" s="109">
        <f>+CUF12*$BZZ$7/1000</f>
        <v>1750</v>
      </c>
      <c r="CUH12" s="110"/>
      <c r="CUI12" s="108" t="s">
        <v>35</v>
      </c>
      <c r="CUL12" s="105" t="s">
        <v>34</v>
      </c>
      <c r="CUM12" s="105"/>
      <c r="CUN12" s="105"/>
      <c r="CUO12" s="106" t="s">
        <v>39</v>
      </c>
      <c r="CUP12" s="106"/>
      <c r="CUQ12" s="107"/>
      <c r="CUR12" s="108">
        <v>50</v>
      </c>
      <c r="CUS12" s="109">
        <f>+CUR12*$BZZ$7/1000</f>
        <v>1750</v>
      </c>
      <c r="CUT12" s="110"/>
      <c r="CUU12" s="108" t="s">
        <v>35</v>
      </c>
      <c r="CUX12" s="105" t="s">
        <v>34</v>
      </c>
      <c r="CUY12" s="105"/>
      <c r="CUZ12" s="105"/>
      <c r="CVA12" s="106" t="s">
        <v>39</v>
      </c>
      <c r="CVB12" s="106"/>
      <c r="CVC12" s="107"/>
      <c r="CVD12" s="108">
        <v>50</v>
      </c>
      <c r="CVE12" s="109">
        <f>+CVD12*$BZZ$7/1000</f>
        <v>1750</v>
      </c>
      <c r="CVF12" s="110"/>
      <c r="CVG12" s="108" t="s">
        <v>35</v>
      </c>
      <c r="CVJ12" s="105" t="s">
        <v>34</v>
      </c>
      <c r="CVK12" s="105"/>
      <c r="CVL12" s="105"/>
      <c r="CVM12" s="106" t="s">
        <v>39</v>
      </c>
      <c r="CVN12" s="106"/>
      <c r="CVO12" s="107"/>
      <c r="CVP12" s="108">
        <v>50</v>
      </c>
      <c r="CVQ12" s="109">
        <f>+CVP12*$BZZ$7/1000</f>
        <v>1750</v>
      </c>
      <c r="CVR12" s="110"/>
      <c r="CVS12" s="108" t="s">
        <v>35</v>
      </c>
      <c r="CVV12" s="105" t="s">
        <v>34</v>
      </c>
      <c r="CVW12" s="105"/>
      <c r="CVX12" s="105"/>
      <c r="CVY12" s="106" t="s">
        <v>39</v>
      </c>
      <c r="CVZ12" s="106"/>
      <c r="CWA12" s="107"/>
      <c r="CWB12" s="108">
        <v>50</v>
      </c>
      <c r="CWC12" s="109">
        <f>IF(CVV12="","",+CWB12*CWD$7/1000)</f>
        <v>7000</v>
      </c>
      <c r="CWD12" s="110"/>
      <c r="CWE12" s="108" t="str">
        <f>IF(CVV12="","","kg")</f>
        <v>kg</v>
      </c>
    </row>
    <row r="13" spans="1:1023 1026:2631" x14ac:dyDescent="0.25">
      <c r="A13" s="111"/>
      <c r="B13" s="89" t="s">
        <v>40</v>
      </c>
      <c r="C13" s="90"/>
      <c r="D13" s="91"/>
      <c r="E13" s="92">
        <v>0.6</v>
      </c>
      <c r="F13" s="93">
        <f t="shared" si="0"/>
        <v>21000</v>
      </c>
      <c r="H13" s="94"/>
      <c r="I13" s="94"/>
      <c r="J13" s="94"/>
      <c r="K13" s="95"/>
      <c r="L13" s="95"/>
      <c r="O13" s="111"/>
      <c r="P13" s="89" t="s">
        <v>40</v>
      </c>
      <c r="Q13" s="90"/>
      <c r="R13" s="91"/>
      <c r="S13" s="92">
        <v>0.6</v>
      </c>
      <c r="T13" s="93">
        <f>S13*$Z$7</f>
        <v>21000</v>
      </c>
      <c r="V13" s="94"/>
      <c r="W13" s="94"/>
      <c r="X13" s="94"/>
      <c r="Y13" s="95"/>
      <c r="Z13" s="95"/>
      <c r="AC13" s="96"/>
      <c r="AD13" s="89" t="s">
        <v>40</v>
      </c>
      <c r="AE13" s="90"/>
      <c r="AF13" s="91"/>
      <c r="AG13" s="92">
        <v>0.6</v>
      </c>
      <c r="AH13" s="93">
        <f t="shared" si="1"/>
        <v>19800</v>
      </c>
      <c r="AJ13" s="94"/>
      <c r="AK13" s="94"/>
      <c r="AL13" s="94"/>
      <c r="AM13" s="95"/>
      <c r="AN13" s="95"/>
      <c r="AQ13" s="111"/>
      <c r="AR13" s="89" t="s">
        <v>40</v>
      </c>
      <c r="AS13" s="90"/>
      <c r="AT13" s="91"/>
      <c r="AU13" s="92">
        <v>0.6</v>
      </c>
      <c r="AV13" s="93">
        <f t="shared" si="2"/>
        <v>16200</v>
      </c>
      <c r="AX13" s="94"/>
      <c r="AY13" s="94"/>
      <c r="AZ13" s="94"/>
      <c r="BA13" s="95"/>
      <c r="BB13" s="95"/>
      <c r="BE13" s="111"/>
      <c r="BF13" s="89" t="s">
        <v>40</v>
      </c>
      <c r="BG13" s="90"/>
      <c r="BH13" s="91"/>
      <c r="BI13" s="92">
        <v>0.6</v>
      </c>
      <c r="BJ13" s="93">
        <f t="shared" si="3"/>
        <v>21000</v>
      </c>
      <c r="BL13" s="94"/>
      <c r="BM13" s="94"/>
      <c r="BN13" s="94"/>
      <c r="BO13" s="95"/>
      <c r="BP13" s="95"/>
      <c r="BS13" s="111"/>
      <c r="BT13" s="89" t="s">
        <v>40</v>
      </c>
      <c r="BU13" s="90"/>
      <c r="BV13" s="91"/>
      <c r="BW13" s="92">
        <v>0.6</v>
      </c>
      <c r="BX13" s="93">
        <f t="shared" si="4"/>
        <v>18600</v>
      </c>
      <c r="BZ13" s="94"/>
      <c r="CA13" s="94"/>
      <c r="CB13" s="94"/>
      <c r="CC13" s="95"/>
      <c r="CD13" s="95"/>
      <c r="CG13" s="111"/>
      <c r="CH13" s="89" t="s">
        <v>40</v>
      </c>
      <c r="CI13" s="90"/>
      <c r="CJ13" s="91"/>
      <c r="CK13" s="92">
        <v>0.6</v>
      </c>
      <c r="CL13" s="93">
        <f t="shared" si="5"/>
        <v>21000</v>
      </c>
      <c r="CN13" s="94"/>
      <c r="CO13" s="94"/>
      <c r="CP13" s="94"/>
      <c r="CQ13" s="95"/>
      <c r="CR13" s="95"/>
      <c r="CU13" s="111"/>
      <c r="CV13" s="89" t="s">
        <v>40</v>
      </c>
      <c r="CW13" s="90"/>
      <c r="CX13" s="91"/>
      <c r="CY13" s="92">
        <v>0.6</v>
      </c>
      <c r="CZ13" s="93">
        <f t="shared" si="6"/>
        <v>21000</v>
      </c>
      <c r="DB13" s="94"/>
      <c r="DC13" s="94"/>
      <c r="DD13" s="94"/>
      <c r="DE13" s="95"/>
      <c r="DF13" s="95"/>
      <c r="DI13" s="111"/>
      <c r="DJ13" s="89" t="s">
        <v>41</v>
      </c>
      <c r="DK13" s="90"/>
      <c r="DL13" s="91"/>
      <c r="DM13" s="92">
        <v>0.6</v>
      </c>
      <c r="DN13" s="93">
        <f t="shared" si="7"/>
        <v>21000</v>
      </c>
      <c r="DP13" s="94"/>
      <c r="DQ13" s="94"/>
      <c r="DR13" s="94"/>
      <c r="DS13" s="95"/>
      <c r="DT13" s="95"/>
      <c r="DW13" s="111"/>
      <c r="DX13" s="89" t="s">
        <v>41</v>
      </c>
      <c r="DY13" s="90"/>
      <c r="DZ13" s="91"/>
      <c r="EA13" s="92">
        <v>0.6</v>
      </c>
      <c r="EB13" s="93">
        <f t="shared" si="8"/>
        <v>21000</v>
      </c>
      <c r="ED13" s="94"/>
      <c r="EE13" s="94"/>
      <c r="EF13" s="94"/>
      <c r="EG13" s="95"/>
      <c r="EH13" s="95"/>
      <c r="EK13" s="111"/>
      <c r="EL13" s="89" t="s">
        <v>41</v>
      </c>
      <c r="EM13" s="90"/>
      <c r="EN13" s="91"/>
      <c r="EO13" s="92">
        <v>0.6</v>
      </c>
      <c r="EP13" s="93">
        <f t="shared" si="9"/>
        <v>21000</v>
      </c>
      <c r="ER13" s="94"/>
      <c r="ES13" s="94"/>
      <c r="ET13" s="94"/>
      <c r="EU13" s="95"/>
      <c r="EV13" s="95"/>
      <c r="EY13" s="111"/>
      <c r="EZ13" s="89" t="s">
        <v>41</v>
      </c>
      <c r="FA13" s="90"/>
      <c r="FB13" s="91"/>
      <c r="FC13" s="92">
        <v>0.6</v>
      </c>
      <c r="FD13" s="93">
        <f t="shared" si="10"/>
        <v>21000</v>
      </c>
      <c r="FF13" s="94"/>
      <c r="FG13" s="94"/>
      <c r="FH13" s="94"/>
      <c r="FI13" s="95"/>
      <c r="FJ13" s="95"/>
      <c r="FM13" s="111"/>
      <c r="FN13" s="89" t="s">
        <v>41</v>
      </c>
      <c r="FO13" s="90"/>
      <c r="FP13" s="91"/>
      <c r="FQ13" s="92">
        <v>0.6</v>
      </c>
      <c r="FR13" s="93">
        <f t="shared" si="11"/>
        <v>21000</v>
      </c>
      <c r="FT13" s="94"/>
      <c r="FU13" s="94"/>
      <c r="FV13" s="94"/>
      <c r="FW13" s="95"/>
      <c r="FX13" s="95"/>
      <c r="GA13" s="111"/>
      <c r="GB13" s="89" t="s">
        <v>41</v>
      </c>
      <c r="GC13" s="90"/>
      <c r="GD13" s="91"/>
      <c r="GE13" s="92">
        <v>0.6</v>
      </c>
      <c r="GF13" s="93">
        <f t="shared" si="12"/>
        <v>21000</v>
      </c>
      <c r="GH13" s="94"/>
      <c r="GI13" s="94"/>
      <c r="GJ13" s="94"/>
      <c r="GK13" s="95"/>
      <c r="GL13" s="95"/>
      <c r="GO13" s="111"/>
      <c r="GP13" s="89" t="s">
        <v>41</v>
      </c>
      <c r="GQ13" s="90"/>
      <c r="GR13" s="91"/>
      <c r="GS13" s="92">
        <v>0.6</v>
      </c>
      <c r="GT13" s="93">
        <f t="shared" si="13"/>
        <v>21000</v>
      </c>
      <c r="GV13" s="94"/>
      <c r="GW13" s="94"/>
      <c r="GX13" s="94"/>
      <c r="GY13" s="95"/>
      <c r="GZ13" s="95"/>
      <c r="HC13" s="111"/>
      <c r="HD13" s="89" t="s">
        <v>41</v>
      </c>
      <c r="HE13" s="90"/>
      <c r="HF13" s="91"/>
      <c r="HG13" s="92">
        <v>0.6</v>
      </c>
      <c r="HH13" s="93">
        <f t="shared" si="14"/>
        <v>21000</v>
      </c>
      <c r="HJ13" s="94"/>
      <c r="HK13" s="94"/>
      <c r="HL13" s="94"/>
      <c r="HM13" s="95"/>
      <c r="HN13" s="95"/>
      <c r="HQ13" s="111"/>
      <c r="HR13" s="89" t="s">
        <v>41</v>
      </c>
      <c r="HS13" s="90"/>
      <c r="HT13" s="91"/>
      <c r="HU13" s="92">
        <v>0.6</v>
      </c>
      <c r="HV13" s="93">
        <f t="shared" si="15"/>
        <v>21000</v>
      </c>
      <c r="HX13" s="94"/>
      <c r="HY13" s="94"/>
      <c r="HZ13" s="94"/>
      <c r="IA13" s="95"/>
      <c r="IB13" s="95"/>
      <c r="IE13" s="111"/>
      <c r="IF13" s="89" t="s">
        <v>41</v>
      </c>
      <c r="IG13" s="90"/>
      <c r="IH13" s="91"/>
      <c r="II13" s="92">
        <v>0.6</v>
      </c>
      <c r="IJ13" s="93">
        <f t="shared" si="16"/>
        <v>21000</v>
      </c>
      <c r="IL13" s="94"/>
      <c r="IM13" s="94"/>
      <c r="IN13" s="94"/>
      <c r="IO13" s="95"/>
      <c r="IP13" s="95"/>
      <c r="IS13" s="111"/>
      <c r="IT13" s="89" t="s">
        <v>41</v>
      </c>
      <c r="IU13" s="90"/>
      <c r="IV13" s="91"/>
      <c r="IW13" s="92">
        <v>0.6</v>
      </c>
      <c r="IX13" s="93">
        <f t="shared" si="17"/>
        <v>21000</v>
      </c>
      <c r="IZ13" s="94"/>
      <c r="JA13" s="94"/>
      <c r="JB13" s="94"/>
      <c r="JC13" s="95"/>
      <c r="JD13" s="95"/>
      <c r="JG13" s="111"/>
      <c r="JH13" s="89" t="s">
        <v>41</v>
      </c>
      <c r="JI13" s="90"/>
      <c r="JJ13" s="91"/>
      <c r="JK13" s="92">
        <v>0.6</v>
      </c>
      <c r="JL13" s="93">
        <f t="shared" si="18"/>
        <v>21000</v>
      </c>
      <c r="JN13" s="94"/>
      <c r="JO13" s="94"/>
      <c r="JP13" s="94"/>
      <c r="JQ13" s="95"/>
      <c r="JR13" s="95"/>
      <c r="JU13" s="111"/>
      <c r="JV13" s="89" t="s">
        <v>41</v>
      </c>
      <c r="JW13" s="90"/>
      <c r="JX13" s="91"/>
      <c r="JY13" s="92">
        <v>0.6</v>
      </c>
      <c r="JZ13" s="93">
        <f t="shared" si="19"/>
        <v>21000</v>
      </c>
      <c r="KB13" s="94"/>
      <c r="KC13" s="94"/>
      <c r="KD13" s="94"/>
      <c r="KE13" s="95"/>
      <c r="KF13" s="95"/>
      <c r="KI13" s="111"/>
      <c r="KJ13" s="89" t="s">
        <v>41</v>
      </c>
      <c r="KK13" s="90"/>
      <c r="KL13" s="91"/>
      <c r="KM13" s="92">
        <v>0.6</v>
      </c>
      <c r="KN13" s="93">
        <f t="shared" si="20"/>
        <v>21000</v>
      </c>
      <c r="KP13" s="94"/>
      <c r="KQ13" s="94"/>
      <c r="KR13" s="94"/>
      <c r="KS13" s="95"/>
      <c r="KT13" s="95"/>
      <c r="KW13" s="96"/>
      <c r="KX13" s="89" t="s">
        <v>41</v>
      </c>
      <c r="KY13" s="90"/>
      <c r="KZ13" s="91"/>
      <c r="LA13" s="92">
        <v>0.6</v>
      </c>
      <c r="LB13" s="93">
        <f t="shared" si="21"/>
        <v>21000</v>
      </c>
      <c r="LD13" s="94"/>
      <c r="LE13" s="94"/>
      <c r="LF13" s="94"/>
      <c r="LG13" s="95"/>
      <c r="LH13" s="95"/>
      <c r="LK13" s="96"/>
      <c r="LL13" s="89" t="s">
        <v>41</v>
      </c>
      <c r="LM13" s="90"/>
      <c r="LN13" s="91"/>
      <c r="LO13" s="92">
        <v>0.6</v>
      </c>
      <c r="LP13" s="93">
        <f t="shared" si="22"/>
        <v>21000</v>
      </c>
      <c r="LR13" s="94"/>
      <c r="LS13" s="94"/>
      <c r="LT13" s="94"/>
      <c r="LU13" s="95"/>
      <c r="LV13" s="95"/>
      <c r="LY13" s="96"/>
      <c r="LZ13" s="89" t="s">
        <v>41</v>
      </c>
      <c r="MA13" s="90"/>
      <c r="MB13" s="91"/>
      <c r="MC13" s="92">
        <v>0.6</v>
      </c>
      <c r="MD13" s="93">
        <f t="shared" si="23"/>
        <v>21000</v>
      </c>
      <c r="MF13" s="94"/>
      <c r="MG13" s="94"/>
      <c r="MH13" s="94"/>
      <c r="MI13" s="95"/>
      <c r="MJ13" s="95"/>
      <c r="MM13" s="96"/>
      <c r="MN13" s="89" t="s">
        <v>41</v>
      </c>
      <c r="MO13" s="90"/>
      <c r="MP13" s="91"/>
      <c r="MQ13" s="92">
        <v>0.6</v>
      </c>
      <c r="MR13" s="93">
        <f t="shared" si="24"/>
        <v>21000</v>
      </c>
      <c r="MT13" s="94"/>
      <c r="MU13" s="94"/>
      <c r="MV13" s="94"/>
      <c r="MW13" s="95"/>
      <c r="MX13" s="95"/>
      <c r="NA13" s="96"/>
      <c r="NB13" s="89" t="s">
        <v>41</v>
      </c>
      <c r="NC13" s="90"/>
      <c r="ND13" s="91"/>
      <c r="NE13" s="92">
        <v>0.6</v>
      </c>
      <c r="NF13" s="93">
        <f t="shared" si="25"/>
        <v>21000</v>
      </c>
      <c r="NH13" s="94"/>
      <c r="NI13" s="94"/>
      <c r="NJ13" s="94"/>
      <c r="NK13" s="95"/>
      <c r="NL13" s="95"/>
      <c r="NO13" s="96"/>
      <c r="NP13" s="89" t="s">
        <v>41</v>
      </c>
      <c r="NQ13" s="90"/>
      <c r="NR13" s="91"/>
      <c r="NS13" s="92">
        <v>0.6</v>
      </c>
      <c r="NT13" s="93">
        <f t="shared" si="26"/>
        <v>21000</v>
      </c>
      <c r="NV13" s="94"/>
      <c r="NW13" s="94"/>
      <c r="NX13" s="94"/>
      <c r="NY13" s="95"/>
      <c r="NZ13" s="95"/>
      <c r="OC13" s="96"/>
      <c r="OD13" s="89" t="s">
        <v>41</v>
      </c>
      <c r="OE13" s="90"/>
      <c r="OF13" s="91"/>
      <c r="OG13" s="92">
        <v>0.6</v>
      </c>
      <c r="OH13" s="93">
        <f t="shared" si="27"/>
        <v>21000</v>
      </c>
      <c r="OJ13" s="94"/>
      <c r="OK13" s="94"/>
      <c r="OL13" s="94"/>
      <c r="OM13" s="95"/>
      <c r="ON13" s="95"/>
      <c r="OQ13" s="96"/>
      <c r="OR13" s="89" t="s">
        <v>41</v>
      </c>
      <c r="OS13" s="90"/>
      <c r="OT13" s="91"/>
      <c r="OU13" s="92">
        <v>0.6</v>
      </c>
      <c r="OV13" s="93">
        <f t="shared" si="28"/>
        <v>21000</v>
      </c>
      <c r="OX13" s="94"/>
      <c r="OY13" s="94"/>
      <c r="OZ13" s="94"/>
      <c r="PA13" s="95"/>
      <c r="PB13" s="95"/>
      <c r="PE13" s="96"/>
      <c r="PF13" s="89" t="s">
        <v>41</v>
      </c>
      <c r="PG13" s="90"/>
      <c r="PH13" s="91"/>
      <c r="PI13" s="92">
        <v>0.6</v>
      </c>
      <c r="PJ13" s="93">
        <f t="shared" si="29"/>
        <v>21000</v>
      </c>
      <c r="PL13" s="94"/>
      <c r="PM13" s="94"/>
      <c r="PN13" s="94"/>
      <c r="PO13" s="95"/>
      <c r="PP13" s="95"/>
      <c r="PS13" s="96"/>
      <c r="PT13" s="89" t="s">
        <v>41</v>
      </c>
      <c r="PU13" s="90"/>
      <c r="PV13" s="91"/>
      <c r="PW13" s="92">
        <v>0.6</v>
      </c>
      <c r="PX13" s="93">
        <f t="shared" si="30"/>
        <v>21000</v>
      </c>
      <c r="PZ13" s="94"/>
      <c r="QA13" s="94"/>
      <c r="QB13" s="94"/>
      <c r="QC13" s="95"/>
      <c r="QD13" s="95"/>
      <c r="QG13" s="96"/>
      <c r="QH13" s="89" t="s">
        <v>41</v>
      </c>
      <c r="QI13" s="90"/>
      <c r="QJ13" s="91"/>
      <c r="QK13" s="92">
        <v>0.6</v>
      </c>
      <c r="QL13" s="93">
        <f t="shared" si="31"/>
        <v>21000</v>
      </c>
      <c r="QN13" s="94"/>
      <c r="QO13" s="94"/>
      <c r="QP13" s="94"/>
      <c r="QQ13" s="95"/>
      <c r="QR13" s="95"/>
      <c r="QU13" s="96"/>
      <c r="QV13" s="89" t="s">
        <v>41</v>
      </c>
      <c r="QW13" s="90"/>
      <c r="QX13" s="91"/>
      <c r="QY13" s="92">
        <v>0.6</v>
      </c>
      <c r="QZ13" s="93">
        <f t="shared" si="32"/>
        <v>21000</v>
      </c>
      <c r="RB13" s="94"/>
      <c r="RC13" s="94"/>
      <c r="RD13" s="94"/>
      <c r="RE13" s="95"/>
      <c r="RF13" s="95"/>
      <c r="RI13" s="96"/>
      <c r="RJ13" s="89" t="s">
        <v>41</v>
      </c>
      <c r="RK13" s="90"/>
      <c r="RL13" s="91"/>
      <c r="RM13" s="92">
        <v>0.6</v>
      </c>
      <c r="RN13" s="93">
        <f t="shared" si="33"/>
        <v>21000</v>
      </c>
      <c r="RP13" s="94"/>
      <c r="RQ13" s="94"/>
      <c r="RR13" s="94"/>
      <c r="RS13" s="95"/>
      <c r="RT13" s="95"/>
      <c r="RW13" s="96"/>
      <c r="RX13" s="89" t="s">
        <v>41</v>
      </c>
      <c r="RY13" s="90"/>
      <c r="RZ13" s="91"/>
      <c r="SA13" s="92">
        <v>0.6</v>
      </c>
      <c r="SB13" s="93">
        <f t="shared" si="34"/>
        <v>21000</v>
      </c>
      <c r="SD13" s="94"/>
      <c r="SE13" s="94"/>
      <c r="SF13" s="94"/>
      <c r="SG13" s="95"/>
      <c r="SH13" s="95"/>
      <c r="SK13" s="96"/>
      <c r="SL13" s="89" t="s">
        <v>41</v>
      </c>
      <c r="SM13" s="90"/>
      <c r="SN13" s="91"/>
      <c r="SO13" s="92">
        <v>0.6</v>
      </c>
      <c r="SP13" s="93">
        <f t="shared" si="35"/>
        <v>21000</v>
      </c>
      <c r="SR13" s="94"/>
      <c r="SS13" s="94"/>
      <c r="ST13" s="94"/>
      <c r="SU13" s="95"/>
      <c r="SV13" s="95"/>
      <c r="SY13" s="96"/>
      <c r="SZ13" s="89" t="s">
        <v>41</v>
      </c>
      <c r="TA13" s="90"/>
      <c r="TB13" s="91"/>
      <c r="TC13" s="92">
        <v>0.6</v>
      </c>
      <c r="TD13" s="93">
        <f t="shared" si="36"/>
        <v>21000</v>
      </c>
      <c r="TF13" s="94"/>
      <c r="TG13" s="94"/>
      <c r="TH13" s="94"/>
      <c r="TI13" s="95"/>
      <c r="TJ13" s="95"/>
      <c r="TM13" s="96"/>
      <c r="TN13" s="89" t="s">
        <v>41</v>
      </c>
      <c r="TO13" s="90"/>
      <c r="TP13" s="91"/>
      <c r="TQ13" s="92">
        <v>0.6</v>
      </c>
      <c r="TR13" s="93">
        <f t="shared" si="37"/>
        <v>21000</v>
      </c>
      <c r="TT13" s="94"/>
      <c r="TU13" s="94"/>
      <c r="TV13" s="94"/>
      <c r="TW13" s="95"/>
      <c r="TX13" s="95"/>
      <c r="UA13" s="96"/>
      <c r="UB13" s="89" t="s">
        <v>41</v>
      </c>
      <c r="UC13" s="90"/>
      <c r="UD13" s="91"/>
      <c r="UE13" s="92">
        <v>0.6</v>
      </c>
      <c r="UF13" s="93">
        <f t="shared" si="38"/>
        <v>21000</v>
      </c>
      <c r="UH13" s="94"/>
      <c r="UI13" s="94"/>
      <c r="UJ13" s="94"/>
      <c r="UK13" s="95"/>
      <c r="UL13" s="95"/>
      <c r="UO13" s="96"/>
      <c r="UP13" s="89" t="s">
        <v>41</v>
      </c>
      <c r="UQ13" s="90"/>
      <c r="UR13" s="91"/>
      <c r="US13" s="92">
        <v>0.6</v>
      </c>
      <c r="UT13" s="93">
        <f t="shared" si="39"/>
        <v>21000</v>
      </c>
      <c r="UV13" s="94"/>
      <c r="UW13" s="94"/>
      <c r="UX13" s="94"/>
      <c r="UY13" s="95"/>
      <c r="UZ13" s="95"/>
      <c r="VC13" s="96"/>
      <c r="VD13" s="89" t="s">
        <v>41</v>
      </c>
      <c r="VE13" s="90"/>
      <c r="VF13" s="91"/>
      <c r="VG13" s="92">
        <v>0.6</v>
      </c>
      <c r="VH13" s="93">
        <f t="shared" si="40"/>
        <v>21000</v>
      </c>
      <c r="VJ13" s="94"/>
      <c r="VK13" s="94"/>
      <c r="VL13" s="94"/>
      <c r="VM13" s="95"/>
      <c r="VN13" s="95"/>
      <c r="VQ13" s="96"/>
      <c r="VR13" s="89" t="s">
        <v>41</v>
      </c>
      <c r="VS13" s="90"/>
      <c r="VT13" s="91"/>
      <c r="VU13" s="92">
        <v>0.6</v>
      </c>
      <c r="VV13" s="93">
        <f t="shared" si="41"/>
        <v>21000</v>
      </c>
      <c r="VX13" s="94"/>
      <c r="VY13" s="94"/>
      <c r="VZ13" s="94"/>
      <c r="WA13" s="95"/>
      <c r="WB13" s="95"/>
      <c r="WE13" s="96"/>
      <c r="WF13" s="89" t="s">
        <v>41</v>
      </c>
      <c r="WG13" s="90"/>
      <c r="WH13" s="91"/>
      <c r="WI13" s="92">
        <v>0.6</v>
      </c>
      <c r="WJ13" s="93">
        <f t="shared" si="42"/>
        <v>21000</v>
      </c>
      <c r="WL13" s="94"/>
      <c r="WM13" s="94"/>
      <c r="WN13" s="94"/>
      <c r="WO13" s="95"/>
      <c r="WP13" s="95"/>
      <c r="WS13" s="96"/>
      <c r="WT13" s="89" t="s">
        <v>41</v>
      </c>
      <c r="WU13" s="90"/>
      <c r="WV13" s="91"/>
      <c r="WW13" s="92">
        <v>0.6</v>
      </c>
      <c r="WX13" s="93">
        <f t="shared" si="43"/>
        <v>21000</v>
      </c>
      <c r="WZ13" s="94"/>
      <c r="XA13" s="94"/>
      <c r="XB13" s="94"/>
      <c r="XC13" s="95"/>
      <c r="XD13" s="95"/>
      <c r="XG13" s="96"/>
      <c r="XH13" s="89" t="s">
        <v>41</v>
      </c>
      <c r="XI13" s="90"/>
      <c r="XJ13" s="91"/>
      <c r="XK13" s="92">
        <v>0.6</v>
      </c>
      <c r="XL13" s="93">
        <f t="shared" si="44"/>
        <v>21000</v>
      </c>
      <c r="XN13" s="94"/>
      <c r="XO13" s="94"/>
      <c r="XP13" s="94"/>
      <c r="XQ13" s="95"/>
      <c r="XR13" s="95"/>
      <c r="XU13" s="96"/>
      <c r="XV13" s="89" t="s">
        <v>41</v>
      </c>
      <c r="XW13" s="90"/>
      <c r="XX13" s="91"/>
      <c r="XY13" s="92">
        <v>0.6</v>
      </c>
      <c r="XZ13" s="93">
        <f t="shared" si="45"/>
        <v>21000</v>
      </c>
      <c r="YB13" s="94"/>
      <c r="YC13" s="94"/>
      <c r="YD13" s="94"/>
      <c r="YE13" s="95"/>
      <c r="YF13" s="95"/>
      <c r="YI13" s="96"/>
      <c r="YJ13" s="89" t="s">
        <v>42</v>
      </c>
      <c r="YK13" s="90"/>
      <c r="YL13" s="91"/>
      <c r="YM13" s="92">
        <v>0.6</v>
      </c>
      <c r="YN13" s="93">
        <f t="shared" si="46"/>
        <v>6000</v>
      </c>
      <c r="YP13" s="94"/>
      <c r="YQ13" s="94"/>
      <c r="YR13" s="94"/>
      <c r="YS13" s="95"/>
      <c r="YT13" s="95"/>
      <c r="YW13" s="96"/>
      <c r="YX13" s="89" t="s">
        <v>41</v>
      </c>
      <c r="YY13" s="90"/>
      <c r="YZ13" s="91"/>
      <c r="ZA13" s="92">
        <v>0.6</v>
      </c>
      <c r="ZB13" s="93">
        <f t="shared" si="47"/>
        <v>21000</v>
      </c>
      <c r="ZD13" s="94"/>
      <c r="ZE13" s="94"/>
      <c r="ZF13" s="94"/>
      <c r="ZG13" s="95"/>
      <c r="ZH13" s="95"/>
      <c r="ZK13" s="96"/>
      <c r="ZL13" s="89" t="s">
        <v>43</v>
      </c>
      <c r="ZM13" s="90"/>
      <c r="ZN13" s="91"/>
      <c r="ZO13" s="92">
        <v>0.6</v>
      </c>
      <c r="ZP13" s="93">
        <f t="shared" si="48"/>
        <v>21000</v>
      </c>
      <c r="ZR13" s="94"/>
      <c r="ZS13" s="94"/>
      <c r="ZT13" s="94"/>
      <c r="ZU13" s="95"/>
      <c r="ZV13" s="95"/>
      <c r="ZZ13" s="105"/>
      <c r="AAA13" s="105"/>
      <c r="AAB13" s="105"/>
      <c r="AAC13" s="106" t="s">
        <v>33</v>
      </c>
      <c r="AAD13" s="106"/>
      <c r="AAE13" s="107"/>
      <c r="AAF13" s="108">
        <v>350</v>
      </c>
      <c r="AAG13" s="109">
        <f t="shared" ref="AAG13:AAG18" si="49">+AAF13*$J$7/1000</f>
        <v>0</v>
      </c>
      <c r="AAH13" s="110"/>
      <c r="AAI13" s="108" t="s">
        <v>35</v>
      </c>
      <c r="AAM13" s="105"/>
      <c r="AAN13" s="105"/>
      <c r="AAO13" s="105"/>
      <c r="AAP13" s="106" t="s">
        <v>33</v>
      </c>
      <c r="AAQ13" s="106"/>
      <c r="AAR13" s="107"/>
      <c r="AAS13" s="108">
        <v>350</v>
      </c>
      <c r="AAT13" s="109">
        <f t="shared" ref="AAT13:AAT15" si="50">+AAS13*$AAU$7/1000</f>
        <v>12250</v>
      </c>
      <c r="AAU13" s="110"/>
      <c r="AAV13" s="108" t="s">
        <v>35</v>
      </c>
      <c r="AAZ13" s="105"/>
      <c r="ABA13" s="105"/>
      <c r="ABB13" s="105"/>
      <c r="ABC13" s="106" t="s">
        <v>33</v>
      </c>
      <c r="ABD13" s="106"/>
      <c r="ABE13" s="107"/>
      <c r="ABF13" s="108">
        <v>350</v>
      </c>
      <c r="ABG13" s="109">
        <f t="shared" ref="ABG13:ABG15" si="51">+ABF13*$ABH$7/1000</f>
        <v>12250</v>
      </c>
      <c r="ABH13" s="110"/>
      <c r="ABI13" s="108" t="s">
        <v>35</v>
      </c>
      <c r="ABM13" s="105"/>
      <c r="ABN13" s="105"/>
      <c r="ABO13" s="105"/>
      <c r="ABP13" s="106" t="s">
        <v>33</v>
      </c>
      <c r="ABQ13" s="106"/>
      <c r="ABR13" s="107"/>
      <c r="ABS13" s="108">
        <v>350</v>
      </c>
      <c r="ABT13" s="109">
        <f t="shared" ref="ABT13:ABT15" si="52">+ABS13*$ABH$7/1000</f>
        <v>12250</v>
      </c>
      <c r="ABU13" s="110"/>
      <c r="ABV13" s="108" t="s">
        <v>35</v>
      </c>
      <c r="ABZ13" s="105"/>
      <c r="ACA13" s="105"/>
      <c r="ACB13" s="105"/>
      <c r="ACC13" s="106" t="s">
        <v>33</v>
      </c>
      <c r="ACD13" s="106"/>
      <c r="ACE13" s="107"/>
      <c r="ACF13" s="108">
        <v>350</v>
      </c>
      <c r="ACG13" s="109">
        <f t="shared" ref="ACG13:ACG16" si="53">+ACF13*$ACH$7/1000</f>
        <v>12250</v>
      </c>
      <c r="ACH13" s="110"/>
      <c r="ACI13" s="108" t="s">
        <v>35</v>
      </c>
      <c r="ACM13" s="105"/>
      <c r="ACN13" s="105"/>
      <c r="ACO13" s="105"/>
      <c r="ACP13" s="106" t="s">
        <v>33</v>
      </c>
      <c r="ACQ13" s="106"/>
      <c r="ACR13" s="107"/>
      <c r="ACS13" s="108">
        <v>350</v>
      </c>
      <c r="ACT13" s="109">
        <f t="shared" ref="ACT13:ACT16" si="54">+ACS13*$ACU$7/1000</f>
        <v>12250</v>
      </c>
      <c r="ACU13" s="110"/>
      <c r="ACV13" s="108" t="s">
        <v>35</v>
      </c>
      <c r="ACZ13" s="105"/>
      <c r="ADA13" s="105"/>
      <c r="ADB13" s="105"/>
      <c r="ADC13" s="106" t="s">
        <v>33</v>
      </c>
      <c r="ADD13" s="106"/>
      <c r="ADE13" s="107"/>
      <c r="ADF13" s="108">
        <v>350</v>
      </c>
      <c r="ADG13" s="109">
        <f t="shared" ref="ADG13:ADG16" si="55">+ADF13*$ADH$7/1000</f>
        <v>12250</v>
      </c>
      <c r="ADH13" s="110"/>
      <c r="ADI13" s="108" t="s">
        <v>35</v>
      </c>
      <c r="ADM13" s="105" t="s">
        <v>44</v>
      </c>
      <c r="ADN13" s="105"/>
      <c r="ADO13" s="105"/>
      <c r="ADP13" s="106" t="s">
        <v>33</v>
      </c>
      <c r="ADQ13" s="106"/>
      <c r="ADR13" s="107"/>
      <c r="ADS13" s="108">
        <v>350</v>
      </c>
      <c r="ADT13" s="109">
        <f t="shared" ref="ADT13:ADT14" si="56">+ADS13*$ADU$7/1000</f>
        <v>12250</v>
      </c>
      <c r="ADU13" s="110"/>
      <c r="ADV13" s="108" t="s">
        <v>35</v>
      </c>
      <c r="ADZ13" s="105" t="s">
        <v>44</v>
      </c>
      <c r="AEA13" s="105"/>
      <c r="AEB13" s="105"/>
      <c r="AEC13" s="106" t="s">
        <v>33</v>
      </c>
      <c r="AED13" s="106"/>
      <c r="AEE13" s="107"/>
      <c r="AEF13" s="108">
        <v>350</v>
      </c>
      <c r="AEG13" s="109">
        <f t="shared" ref="AEG13:AEG14" si="57">+AEF13*$AEH$7/1000</f>
        <v>12250</v>
      </c>
      <c r="AEH13" s="110"/>
      <c r="AEI13" s="108" t="s">
        <v>35</v>
      </c>
      <c r="AEM13" s="105" t="s">
        <v>44</v>
      </c>
      <c r="AEN13" s="105"/>
      <c r="AEO13" s="105"/>
      <c r="AEP13" s="106" t="s">
        <v>33</v>
      </c>
      <c r="AEQ13" s="106"/>
      <c r="AER13" s="107"/>
      <c r="AES13" s="108">
        <v>350</v>
      </c>
      <c r="AET13" s="109">
        <f t="shared" ref="AET13:AET15" si="58">+AES13*$AEU$7/1000</f>
        <v>12250</v>
      </c>
      <c r="AEU13" s="110"/>
      <c r="AEV13" s="108" t="s">
        <v>35</v>
      </c>
      <c r="AEZ13" s="105" t="s">
        <v>45</v>
      </c>
      <c r="AFA13" s="105"/>
      <c r="AFB13" s="105"/>
      <c r="AFC13" s="106" t="s">
        <v>33</v>
      </c>
      <c r="AFD13" s="106"/>
      <c r="AFE13" s="107"/>
      <c r="AFF13" s="108">
        <v>350</v>
      </c>
      <c r="AFG13" s="109">
        <f t="shared" ref="AFG13:AFG14" si="59">+AFF13*$AFH$7/1000</f>
        <v>12250</v>
      </c>
      <c r="AFH13" s="110"/>
      <c r="AFI13" s="108" t="s">
        <v>35</v>
      </c>
      <c r="AFM13" s="105" t="s">
        <v>45</v>
      </c>
      <c r="AFN13" s="105"/>
      <c r="AFO13" s="105"/>
      <c r="AFP13" s="106" t="s">
        <v>33</v>
      </c>
      <c r="AFQ13" s="106"/>
      <c r="AFR13" s="107"/>
      <c r="AFS13" s="108">
        <v>350</v>
      </c>
      <c r="AFT13" s="109">
        <f t="shared" ref="AFT13:AFT14" si="60">+AFS13*$AFU$7/1000</f>
        <v>12250</v>
      </c>
      <c r="AFU13" s="110"/>
      <c r="AFV13" s="108" t="s">
        <v>35</v>
      </c>
      <c r="AFZ13" s="105" t="s">
        <v>45</v>
      </c>
      <c r="AGA13" s="105"/>
      <c r="AGB13" s="105"/>
      <c r="AGC13" s="106" t="s">
        <v>33</v>
      </c>
      <c r="AGD13" s="106"/>
      <c r="AGE13" s="107"/>
      <c r="AGF13" s="108">
        <v>350</v>
      </c>
      <c r="AGG13" s="109">
        <f t="shared" ref="AGG13:AGG15" si="61">+AGF13*$AGH$7/1000</f>
        <v>6300</v>
      </c>
      <c r="AGH13" s="110"/>
      <c r="AGI13" s="108" t="s">
        <v>35</v>
      </c>
      <c r="AGL13" s="105" t="s">
        <v>45</v>
      </c>
      <c r="AGM13" s="105"/>
      <c r="AGN13" s="105"/>
      <c r="AGO13" s="106" t="s">
        <v>33</v>
      </c>
      <c r="AGP13" s="106"/>
      <c r="AGQ13" s="107"/>
      <c r="AGR13" s="108">
        <v>350</v>
      </c>
      <c r="AGS13" s="109">
        <f t="shared" ref="AGS13:AGS15" si="62">+AGR13*$AGT$7/1000</f>
        <v>7700</v>
      </c>
      <c r="AGT13" s="110"/>
      <c r="AGU13" s="108" t="s">
        <v>35</v>
      </c>
      <c r="AGX13" s="105" t="s">
        <v>45</v>
      </c>
      <c r="AGY13" s="105"/>
      <c r="AGZ13" s="105"/>
      <c r="AHA13" s="106" t="s">
        <v>33</v>
      </c>
      <c r="AHB13" s="106"/>
      <c r="AHC13" s="107"/>
      <c r="AHD13" s="108">
        <v>350</v>
      </c>
      <c r="AHE13" s="109">
        <f t="shared" ref="AHE13:AHE15" si="63">+AHD13*$AHF$7/1000</f>
        <v>12250</v>
      </c>
      <c r="AHF13" s="110"/>
      <c r="AHG13" s="108" t="s">
        <v>35</v>
      </c>
      <c r="AHJ13" s="105" t="s">
        <v>45</v>
      </c>
      <c r="AHK13" s="105"/>
      <c r="AHL13" s="105"/>
      <c r="AHM13" s="106" t="s">
        <v>33</v>
      </c>
      <c r="AHN13" s="106"/>
      <c r="AHO13" s="107"/>
      <c r="AHP13" s="108">
        <v>350</v>
      </c>
      <c r="AHQ13" s="109">
        <f t="shared" ref="AHQ13:AHQ15" si="64">+AHP13*$AHR$7/1000</f>
        <v>12250</v>
      </c>
      <c r="AHR13" s="110"/>
      <c r="AHS13" s="108" t="s">
        <v>35</v>
      </c>
      <c r="AHV13" s="105" t="s">
        <v>45</v>
      </c>
      <c r="AHW13" s="105"/>
      <c r="AHX13" s="105"/>
      <c r="AHY13" s="106" t="s">
        <v>33</v>
      </c>
      <c r="AHZ13" s="106"/>
      <c r="AIA13" s="107"/>
      <c r="AIB13" s="108">
        <v>350</v>
      </c>
      <c r="AIC13" s="109">
        <f t="shared" ref="AIC13:AIC15" si="65">+AIB13*$AID$7/1000</f>
        <v>12250</v>
      </c>
      <c r="AID13" s="110"/>
      <c r="AIE13" s="108" t="s">
        <v>35</v>
      </c>
      <c r="AIH13" s="105" t="s">
        <v>45</v>
      </c>
      <c r="AII13" s="105"/>
      <c r="AIJ13" s="105"/>
      <c r="AIK13" s="106" t="s">
        <v>33</v>
      </c>
      <c r="AIL13" s="106"/>
      <c r="AIM13" s="107"/>
      <c r="AIN13" s="108">
        <v>350</v>
      </c>
      <c r="AIO13" s="109">
        <f t="shared" ref="AIO13:AIO14" si="66">+AIN13*$AIP$7/1000</f>
        <v>7000</v>
      </c>
      <c r="AIP13" s="110"/>
      <c r="AIQ13" s="108" t="s">
        <v>35</v>
      </c>
      <c r="AIT13" s="105" t="s">
        <v>45</v>
      </c>
      <c r="AIU13" s="105"/>
      <c r="AIV13" s="105"/>
      <c r="AIW13" s="106" t="s">
        <v>33</v>
      </c>
      <c r="AIX13" s="106"/>
      <c r="AIY13" s="107"/>
      <c r="AIZ13" s="108">
        <v>350</v>
      </c>
      <c r="AJA13" s="109">
        <f t="shared" ref="AJA13:AJA14" si="67">+AIZ13*$AJB$7/1000</f>
        <v>12250</v>
      </c>
      <c r="AJB13" s="110"/>
      <c r="AJC13" s="108" t="s">
        <v>35</v>
      </c>
      <c r="AJF13" s="105" t="s">
        <v>45</v>
      </c>
      <c r="AJG13" s="105"/>
      <c r="AJH13" s="105"/>
      <c r="AJI13" s="106" t="s">
        <v>33</v>
      </c>
      <c r="AJJ13" s="106"/>
      <c r="AJK13" s="107"/>
      <c r="AJL13" s="108">
        <v>350</v>
      </c>
      <c r="AJM13" s="109">
        <f t="shared" ref="AJM13:AJM15" si="68">+AJL13*$AJN$7/1000</f>
        <v>12250</v>
      </c>
      <c r="AJN13" s="110"/>
      <c r="AJO13" s="108" t="s">
        <v>35</v>
      </c>
      <c r="AJR13" s="105" t="s">
        <v>45</v>
      </c>
      <c r="AJS13" s="105"/>
      <c r="AJT13" s="105"/>
      <c r="AJU13" s="106" t="s">
        <v>33</v>
      </c>
      <c r="AJV13" s="106"/>
      <c r="AJW13" s="107"/>
      <c r="AJX13" s="108">
        <v>350</v>
      </c>
      <c r="AJY13" s="109">
        <f t="shared" ref="AJY13:AJY14" si="69">+AJX13*$AJZ$7/1000</f>
        <v>12250</v>
      </c>
      <c r="AJZ13" s="110"/>
      <c r="AKA13" s="108" t="s">
        <v>35</v>
      </c>
      <c r="AKD13" s="105" t="s">
        <v>45</v>
      </c>
      <c r="AKE13" s="105"/>
      <c r="AKF13" s="105"/>
      <c r="AKG13" s="106" t="s">
        <v>33</v>
      </c>
      <c r="AKH13" s="106"/>
      <c r="AKI13" s="107"/>
      <c r="AKJ13" s="108">
        <v>350</v>
      </c>
      <c r="AKK13" s="109">
        <f t="shared" ref="AKK13:AKK14" si="70">+AKJ13*$AKL$7/1000</f>
        <v>3850</v>
      </c>
      <c r="AKL13" s="110"/>
      <c r="AKM13" s="108" t="s">
        <v>35</v>
      </c>
      <c r="AKP13" s="105" t="s">
        <v>45</v>
      </c>
      <c r="AKQ13" s="105"/>
      <c r="AKR13" s="105"/>
      <c r="AKS13" s="106" t="s">
        <v>33</v>
      </c>
      <c r="AKT13" s="106"/>
      <c r="AKU13" s="107"/>
      <c r="AKV13" s="108">
        <v>350</v>
      </c>
      <c r="AKW13" s="109">
        <f t="shared" ref="AKW13:AKW16" si="71">+AKV13*$AKX$7/1000</f>
        <v>3850</v>
      </c>
      <c r="AKX13" s="110"/>
      <c r="AKY13" s="108" t="s">
        <v>35</v>
      </c>
      <c r="ALB13" s="105" t="s">
        <v>45</v>
      </c>
      <c r="ALC13" s="105"/>
      <c r="ALD13" s="105"/>
      <c r="ALE13" s="106" t="s">
        <v>33</v>
      </c>
      <c r="ALF13" s="106"/>
      <c r="ALG13" s="107"/>
      <c r="ALH13" s="108">
        <v>350</v>
      </c>
      <c r="ALI13" s="109">
        <f t="shared" ref="ALI13:ALI14" si="72">+ALH13*$ALJ$7/1000</f>
        <v>2450</v>
      </c>
      <c r="ALJ13" s="110"/>
      <c r="ALK13" s="108" t="s">
        <v>35</v>
      </c>
      <c r="ALN13" s="105" t="s">
        <v>45</v>
      </c>
      <c r="ALO13" s="105"/>
      <c r="ALP13" s="105"/>
      <c r="ALQ13" s="106" t="s">
        <v>33</v>
      </c>
      <c r="ALR13" s="106"/>
      <c r="ALS13" s="107"/>
      <c r="ALT13" s="108">
        <v>350</v>
      </c>
      <c r="ALU13" s="109">
        <f t="shared" ref="ALU13:ALU14" si="73">+ALT13*$ALV$7/1000</f>
        <v>12250</v>
      </c>
      <c r="ALV13" s="110"/>
      <c r="ALW13" s="108" t="s">
        <v>35</v>
      </c>
      <c r="ALZ13" s="105" t="s">
        <v>45</v>
      </c>
      <c r="AMA13" s="105"/>
      <c r="AMB13" s="105"/>
      <c r="AMC13" s="106" t="s">
        <v>33</v>
      </c>
      <c r="AMD13" s="106"/>
      <c r="AME13" s="107"/>
      <c r="AMF13" s="108">
        <v>350</v>
      </c>
      <c r="AMG13" s="109">
        <f t="shared" ref="AMG13:AMG14" si="74">+AMF13*$AMH$7/1000</f>
        <v>4550</v>
      </c>
      <c r="AMH13" s="110"/>
      <c r="AMI13" s="108" t="s">
        <v>35</v>
      </c>
      <c r="AML13" s="105" t="s">
        <v>45</v>
      </c>
      <c r="AMM13" s="105"/>
      <c r="AMN13" s="105"/>
      <c r="AMO13" s="106" t="s">
        <v>33</v>
      </c>
      <c r="AMP13" s="106"/>
      <c r="AMQ13" s="107"/>
      <c r="AMR13" s="108">
        <v>350</v>
      </c>
      <c r="AMS13" s="109">
        <f t="shared" ref="AMS13:AMS14" si="75">+AMR13*$AMT$7/1000</f>
        <v>12250</v>
      </c>
      <c r="AMT13" s="110"/>
      <c r="AMU13" s="108" t="s">
        <v>35</v>
      </c>
      <c r="AMX13" s="105" t="s">
        <v>45</v>
      </c>
      <c r="AMY13" s="105"/>
      <c r="AMZ13" s="105"/>
      <c r="ANA13" s="106" t="s">
        <v>33</v>
      </c>
      <c r="ANB13" s="106"/>
      <c r="ANC13" s="107"/>
      <c r="AND13" s="108">
        <v>350</v>
      </c>
      <c r="ANE13" s="109">
        <f t="shared" ref="ANE13:ANE20" si="76">+AND13*$ANF$7/1000</f>
        <v>4900</v>
      </c>
      <c r="ANF13" s="110"/>
      <c r="ANG13" s="108" t="s">
        <v>35</v>
      </c>
      <c r="ANJ13" s="105" t="s">
        <v>45</v>
      </c>
      <c r="ANK13" s="105"/>
      <c r="ANL13" s="105"/>
      <c r="ANM13" s="106" t="s">
        <v>33</v>
      </c>
      <c r="ANN13" s="106"/>
      <c r="ANO13" s="107"/>
      <c r="ANP13" s="108">
        <v>350</v>
      </c>
      <c r="ANQ13" s="109">
        <f t="shared" ref="ANQ13:ANQ20" si="77">+ANP13*$ANR$7/1000</f>
        <v>12250</v>
      </c>
      <c r="ANR13" s="110"/>
      <c r="ANS13" s="108" t="s">
        <v>35</v>
      </c>
      <c r="ANV13" s="105" t="s">
        <v>45</v>
      </c>
      <c r="ANW13" s="105"/>
      <c r="ANX13" s="105"/>
      <c r="ANY13" s="106" t="s">
        <v>33</v>
      </c>
      <c r="ANZ13" s="106"/>
      <c r="AOA13" s="107"/>
      <c r="AOB13" s="108">
        <v>350</v>
      </c>
      <c r="AOC13" s="109">
        <f t="shared" ref="AOC13:AOC20" si="78">+AOB13*$AOD$7/1000</f>
        <v>12250</v>
      </c>
      <c r="AOD13" s="110"/>
      <c r="AOE13" s="108" t="s">
        <v>35</v>
      </c>
      <c r="AOH13" s="105" t="s">
        <v>45</v>
      </c>
      <c r="AOI13" s="105"/>
      <c r="AOJ13" s="105"/>
      <c r="AOK13" s="106" t="s">
        <v>33</v>
      </c>
      <c r="AOL13" s="106"/>
      <c r="AOM13" s="107"/>
      <c r="AON13" s="108">
        <v>350</v>
      </c>
      <c r="AOO13" s="109">
        <f t="shared" ref="AOO13:AOO15" si="79">+AON13*$AOP$7/1000</f>
        <v>12250</v>
      </c>
      <c r="AOP13" s="110"/>
      <c r="AOQ13" s="108" t="s">
        <v>35</v>
      </c>
      <c r="AOT13" s="105" t="s">
        <v>45</v>
      </c>
      <c r="AOU13" s="105"/>
      <c r="AOV13" s="105"/>
      <c r="AOW13" s="106" t="s">
        <v>33</v>
      </c>
      <c r="AOX13" s="106"/>
      <c r="AOY13" s="107"/>
      <c r="AOZ13" s="108">
        <v>350</v>
      </c>
      <c r="APA13" s="109">
        <f t="shared" ref="APA13:APA20" si="80">+AOZ13*$APB$7/1000</f>
        <v>12250</v>
      </c>
      <c r="APB13" s="110"/>
      <c r="APC13" s="108" t="s">
        <v>35</v>
      </c>
      <c r="APF13" s="105" t="s">
        <v>45</v>
      </c>
      <c r="APG13" s="105"/>
      <c r="APH13" s="105"/>
      <c r="API13" s="106" t="s">
        <v>33</v>
      </c>
      <c r="APJ13" s="106"/>
      <c r="APK13" s="107"/>
      <c r="APL13" s="108">
        <v>350</v>
      </c>
      <c r="APM13" s="109">
        <f t="shared" ref="APM13:APM20" si="81">+APL13*$APB$7/1000</f>
        <v>12250</v>
      </c>
      <c r="APN13" s="110"/>
      <c r="APO13" s="108" t="s">
        <v>35</v>
      </c>
      <c r="APR13" s="105" t="s">
        <v>45</v>
      </c>
      <c r="APS13" s="105"/>
      <c r="APT13" s="105"/>
      <c r="APU13" s="106" t="s">
        <v>33</v>
      </c>
      <c r="APV13" s="106"/>
      <c r="APW13" s="107"/>
      <c r="APX13" s="108">
        <v>350</v>
      </c>
      <c r="APY13" s="109">
        <f t="shared" ref="APY13:APY20" si="82">+APX13*$APZ$7/1000</f>
        <v>12250</v>
      </c>
      <c r="APZ13" s="110"/>
      <c r="AQA13" s="108" t="s">
        <v>35</v>
      </c>
      <c r="AQD13" s="105" t="s">
        <v>45</v>
      </c>
      <c r="AQE13" s="105"/>
      <c r="AQF13" s="105"/>
      <c r="AQG13" s="106" t="s">
        <v>33</v>
      </c>
      <c r="AQH13" s="106"/>
      <c r="AQI13" s="107"/>
      <c r="AQJ13" s="108">
        <v>350</v>
      </c>
      <c r="AQK13" s="109">
        <f t="shared" ref="AQK13:AQK20" si="83">+AQJ13*$AQL$7/1000</f>
        <v>2100</v>
      </c>
      <c r="AQL13" s="110"/>
      <c r="AQM13" s="108" t="s">
        <v>35</v>
      </c>
      <c r="AQP13" s="105" t="s">
        <v>45</v>
      </c>
      <c r="AQQ13" s="105"/>
      <c r="AQR13" s="105"/>
      <c r="AQS13" s="106" t="s">
        <v>33</v>
      </c>
      <c r="AQT13" s="106"/>
      <c r="AQU13" s="107"/>
      <c r="AQV13" s="108">
        <v>350</v>
      </c>
      <c r="AQW13" s="109">
        <f t="shared" ref="AQW13:AQW20" si="84">+AQV13*$AQX$7/1000</f>
        <v>12250</v>
      </c>
      <c r="AQX13" s="110"/>
      <c r="AQY13" s="108" t="s">
        <v>35</v>
      </c>
      <c r="ARB13" s="105" t="s">
        <v>44</v>
      </c>
      <c r="ARC13" s="105"/>
      <c r="ARD13" s="105"/>
      <c r="ARE13" s="106" t="s">
        <v>33</v>
      </c>
      <c r="ARF13" s="106"/>
      <c r="ARG13" s="107"/>
      <c r="ARH13" s="108">
        <v>350</v>
      </c>
      <c r="ARI13" s="109">
        <f t="shared" ref="ARI13:ARI20" si="85">+ARH13*$ARJ$7/1000</f>
        <v>12250</v>
      </c>
      <c r="ARJ13" s="110"/>
      <c r="ARK13" s="108" t="s">
        <v>35</v>
      </c>
      <c r="ARN13" s="105" t="s">
        <v>44</v>
      </c>
      <c r="ARO13" s="105"/>
      <c r="ARP13" s="105"/>
      <c r="ARQ13" s="106" t="s">
        <v>33</v>
      </c>
      <c r="ARR13" s="106"/>
      <c r="ARS13" s="107"/>
      <c r="ART13" s="108">
        <v>350</v>
      </c>
      <c r="ARU13" s="109">
        <f t="shared" ref="ARU13:ARU20" si="86">+ART13*$ARV$7/1000</f>
        <v>7000</v>
      </c>
      <c r="ARV13" s="110"/>
      <c r="ARW13" s="108" t="s">
        <v>35</v>
      </c>
      <c r="ARZ13" s="105" t="s">
        <v>44</v>
      </c>
      <c r="ASA13" s="105"/>
      <c r="ASB13" s="105"/>
      <c r="ASC13" s="106" t="s">
        <v>33</v>
      </c>
      <c r="ASD13" s="106"/>
      <c r="ASE13" s="107"/>
      <c r="ASF13" s="108">
        <v>350</v>
      </c>
      <c r="ASG13" s="109">
        <f t="shared" ref="ASG13:ASG20" si="87">+ASF13*$ASH$7/1000</f>
        <v>12250</v>
      </c>
      <c r="ASH13" s="110"/>
      <c r="ASI13" s="108" t="s">
        <v>35</v>
      </c>
      <c r="ASL13" s="105" t="s">
        <v>44</v>
      </c>
      <c r="ASM13" s="105"/>
      <c r="ASN13" s="105"/>
      <c r="ASO13" s="106" t="s">
        <v>33</v>
      </c>
      <c r="ASP13" s="106"/>
      <c r="ASQ13" s="107"/>
      <c r="ASR13" s="108">
        <v>350</v>
      </c>
      <c r="ASS13" s="109">
        <f t="shared" ref="ASS13:ASS20" si="88">+ASR13*$AST$7/1000</f>
        <v>12250</v>
      </c>
      <c r="AST13" s="110"/>
      <c r="ASU13" s="108" t="s">
        <v>35</v>
      </c>
      <c r="ASX13" s="105" t="s">
        <v>44</v>
      </c>
      <c r="ASY13" s="105"/>
      <c r="ASZ13" s="105"/>
      <c r="ATA13" s="106" t="s">
        <v>33</v>
      </c>
      <c r="ATB13" s="106"/>
      <c r="ATC13" s="107"/>
      <c r="ATD13" s="108">
        <v>350</v>
      </c>
      <c r="ATE13" s="109">
        <f t="shared" ref="ATE13:ATE20" si="89">+ATD13*$ATF$7/1000</f>
        <v>2100</v>
      </c>
      <c r="ATF13" s="110"/>
      <c r="ATG13" s="108" t="s">
        <v>35</v>
      </c>
      <c r="ATJ13" s="105" t="s">
        <v>44</v>
      </c>
      <c r="ATK13" s="105"/>
      <c r="ATL13" s="105"/>
      <c r="ATM13" s="106" t="s">
        <v>33</v>
      </c>
      <c r="ATN13" s="106"/>
      <c r="ATO13" s="107"/>
      <c r="ATP13" s="108">
        <v>350</v>
      </c>
      <c r="ATQ13" s="109">
        <f t="shared" ref="ATQ13:ATQ20" si="90">+ATP13*$ATR$7/1000</f>
        <v>12250</v>
      </c>
      <c r="ATR13" s="110"/>
      <c r="ATS13" s="108" t="s">
        <v>35</v>
      </c>
      <c r="ATV13" s="105" t="s">
        <v>44</v>
      </c>
      <c r="ATW13" s="105"/>
      <c r="ATX13" s="105"/>
      <c r="ATY13" s="106" t="s">
        <v>33</v>
      </c>
      <c r="ATZ13" s="106"/>
      <c r="AUA13" s="107"/>
      <c r="AUB13" s="108">
        <v>350</v>
      </c>
      <c r="AUC13" s="109">
        <f t="shared" ref="AUC13:AUC20" si="91">+AUB13*$AUD$7/1000</f>
        <v>12250</v>
      </c>
      <c r="AUD13" s="110"/>
      <c r="AUE13" s="108" t="s">
        <v>35</v>
      </c>
      <c r="AUH13" s="105" t="s">
        <v>44</v>
      </c>
      <c r="AUI13" s="105"/>
      <c r="AUJ13" s="105"/>
      <c r="AUK13" s="106" t="s">
        <v>33</v>
      </c>
      <c r="AUL13" s="106"/>
      <c r="AUM13" s="107"/>
      <c r="AUN13" s="108">
        <v>350</v>
      </c>
      <c r="AUO13" s="109">
        <f t="shared" ref="AUO13:AUO20" si="92">+AUN13*$AUP$7/1000</f>
        <v>12250</v>
      </c>
      <c r="AUP13" s="110"/>
      <c r="AUQ13" s="108" t="s">
        <v>35</v>
      </c>
      <c r="AUT13" s="105" t="s">
        <v>44</v>
      </c>
      <c r="AUU13" s="105"/>
      <c r="AUV13" s="105"/>
      <c r="AUW13" s="106" t="s">
        <v>33</v>
      </c>
      <c r="AUX13" s="106"/>
      <c r="AUY13" s="107"/>
      <c r="AUZ13" s="108">
        <v>350</v>
      </c>
      <c r="AVA13" s="109">
        <f t="shared" ref="AVA13:AVA20" si="93">+AUZ13*$AVB$7/1000</f>
        <v>3500</v>
      </c>
      <c r="AVB13" s="110"/>
      <c r="AVC13" s="108" t="s">
        <v>35</v>
      </c>
      <c r="AVF13" s="105" t="s">
        <v>44</v>
      </c>
      <c r="AVG13" s="105"/>
      <c r="AVH13" s="105"/>
      <c r="AVI13" s="106" t="s">
        <v>33</v>
      </c>
      <c r="AVJ13" s="106"/>
      <c r="AVK13" s="107"/>
      <c r="AVL13" s="108">
        <v>350</v>
      </c>
      <c r="AVM13" s="109">
        <f t="shared" ref="AVM13:AVM20" si="94">+AVL13*$AVN$7/1000</f>
        <v>12250</v>
      </c>
      <c r="AVN13" s="110"/>
      <c r="AVO13" s="108" t="s">
        <v>35</v>
      </c>
      <c r="AVR13" s="105" t="s">
        <v>44</v>
      </c>
      <c r="AVS13" s="105"/>
      <c r="AVT13" s="105"/>
      <c r="AVU13" s="106" t="s">
        <v>33</v>
      </c>
      <c r="AVV13" s="106"/>
      <c r="AVW13" s="107"/>
      <c r="AVX13" s="108">
        <v>350</v>
      </c>
      <c r="AVY13" s="109">
        <f t="shared" ref="AVY13:AVY20" si="95">+AVX13*$AVZ$7/1000</f>
        <v>12250</v>
      </c>
      <c r="AVZ13" s="110"/>
      <c r="AWA13" s="108" t="s">
        <v>35</v>
      </c>
      <c r="AWD13" s="105" t="s">
        <v>44</v>
      </c>
      <c r="AWE13" s="105"/>
      <c r="AWF13" s="105"/>
      <c r="AWG13" s="106" t="s">
        <v>33</v>
      </c>
      <c r="AWH13" s="106"/>
      <c r="AWI13" s="107"/>
      <c r="AWJ13" s="108">
        <v>350</v>
      </c>
      <c r="AWK13" s="109">
        <f t="shared" ref="AWK13:AWK20" si="96">+AWJ13*$AWL$7/1000</f>
        <v>12250</v>
      </c>
      <c r="AWL13" s="110"/>
      <c r="AWM13" s="108" t="s">
        <v>35</v>
      </c>
      <c r="AWP13" s="105" t="s">
        <v>44</v>
      </c>
      <c r="AWQ13" s="105"/>
      <c r="AWR13" s="105"/>
      <c r="AWS13" s="106" t="s">
        <v>33</v>
      </c>
      <c r="AWT13" s="106"/>
      <c r="AWU13" s="107"/>
      <c r="AWV13" s="108">
        <v>350</v>
      </c>
      <c r="AWW13" s="109">
        <f t="shared" ref="AWW13:AWW20" si="97">+AWV13*$AWX$7/1000</f>
        <v>12250</v>
      </c>
      <c r="AWX13" s="110"/>
      <c r="AWY13" s="108" t="s">
        <v>35</v>
      </c>
      <c r="AXB13" s="105" t="s">
        <v>44</v>
      </c>
      <c r="AXC13" s="105"/>
      <c r="AXD13" s="105"/>
      <c r="AXE13" s="106" t="s">
        <v>33</v>
      </c>
      <c r="AXF13" s="106"/>
      <c r="AXG13" s="107"/>
      <c r="AXH13" s="108">
        <v>350</v>
      </c>
      <c r="AXI13" s="109">
        <f t="shared" ref="AXI13:AXI20" si="98">+AXH13*$AXJ$7/1000</f>
        <v>12250</v>
      </c>
      <c r="AXJ13" s="110"/>
      <c r="AXK13" s="108" t="s">
        <v>35</v>
      </c>
      <c r="AXN13" s="105" t="s">
        <v>44</v>
      </c>
      <c r="AXO13" s="105"/>
      <c r="AXP13" s="105"/>
      <c r="AXQ13" s="106" t="s">
        <v>33</v>
      </c>
      <c r="AXR13" s="106"/>
      <c r="AXS13" s="107"/>
      <c r="AXT13" s="108">
        <v>350</v>
      </c>
      <c r="AXU13" s="109">
        <f t="shared" ref="AXU13:AXU20" si="99">+AXT13*$AXV$7/1000</f>
        <v>12250</v>
      </c>
      <c r="AXV13" s="110"/>
      <c r="AXW13" s="108" t="s">
        <v>35</v>
      </c>
      <c r="AXZ13" s="105" t="s">
        <v>44</v>
      </c>
      <c r="AYA13" s="105"/>
      <c r="AYB13" s="105"/>
      <c r="AYC13" s="106" t="s">
        <v>33</v>
      </c>
      <c r="AYD13" s="106"/>
      <c r="AYE13" s="107"/>
      <c r="AYF13" s="108">
        <v>350</v>
      </c>
      <c r="AYG13" s="109">
        <f t="shared" ref="AYG13:AYG20" si="100">+AYF13*$AYH$7/1000</f>
        <v>12250</v>
      </c>
      <c r="AYH13" s="110"/>
      <c r="AYI13" s="108" t="s">
        <v>35</v>
      </c>
      <c r="AYL13" s="105" t="s">
        <v>44</v>
      </c>
      <c r="AYM13" s="105"/>
      <c r="AYN13" s="105"/>
      <c r="AYO13" s="106" t="s">
        <v>33</v>
      </c>
      <c r="AYP13" s="106"/>
      <c r="AYQ13" s="107"/>
      <c r="AYR13" s="108">
        <v>350</v>
      </c>
      <c r="AYS13" s="109">
        <f t="shared" ref="AYS13:AYS20" si="101">+AYR13*$AYT$7/1000</f>
        <v>12250</v>
      </c>
      <c r="AYT13" s="110"/>
      <c r="AYU13" s="108" t="s">
        <v>35</v>
      </c>
      <c r="AYX13" s="105" t="s">
        <v>44</v>
      </c>
      <c r="AYY13" s="105"/>
      <c r="AYZ13" s="105"/>
      <c r="AZA13" s="106" t="s">
        <v>33</v>
      </c>
      <c r="AZB13" s="106"/>
      <c r="AZC13" s="107"/>
      <c r="AZD13" s="108">
        <v>350</v>
      </c>
      <c r="AZE13" s="109">
        <f t="shared" ref="AZE13:AZE20" si="102">+AZD13*$AZF$7/1000</f>
        <v>2450</v>
      </c>
      <c r="AZF13" s="110"/>
      <c r="AZG13" s="108" t="s">
        <v>35</v>
      </c>
      <c r="AZJ13" s="105" t="s">
        <v>44</v>
      </c>
      <c r="AZK13" s="105"/>
      <c r="AZL13" s="105"/>
      <c r="AZM13" s="106" t="s">
        <v>33</v>
      </c>
      <c r="AZN13" s="106"/>
      <c r="AZO13" s="107"/>
      <c r="AZP13" s="108">
        <v>350</v>
      </c>
      <c r="AZQ13" s="109">
        <f t="shared" ref="AZQ13:AZQ20" si="103">+AZP13*$AZR$7/1000</f>
        <v>12250</v>
      </c>
      <c r="AZR13" s="110"/>
      <c r="AZS13" s="108" t="s">
        <v>35</v>
      </c>
      <c r="AZV13" s="105" t="s">
        <v>44</v>
      </c>
      <c r="AZW13" s="105"/>
      <c r="AZX13" s="105"/>
      <c r="AZY13" s="106" t="s">
        <v>33</v>
      </c>
      <c r="AZZ13" s="106"/>
      <c r="BAA13" s="107"/>
      <c r="BAB13" s="108">
        <v>350</v>
      </c>
      <c r="BAC13" s="109">
        <f t="shared" ref="BAC13:BAC20" si="104">+BAB13*$AZR$7/1000</f>
        <v>12250</v>
      </c>
      <c r="BAD13" s="110"/>
      <c r="BAE13" s="108" t="s">
        <v>35</v>
      </c>
      <c r="BAH13" s="105" t="s">
        <v>44</v>
      </c>
      <c r="BAI13" s="105"/>
      <c r="BAJ13" s="105"/>
      <c r="BAK13" s="106" t="s">
        <v>33</v>
      </c>
      <c r="BAL13" s="106"/>
      <c r="BAM13" s="107"/>
      <c r="BAN13" s="108">
        <v>350</v>
      </c>
      <c r="BAO13" s="109">
        <f t="shared" ref="BAO13:BAO20" si="105">+BAN13*$BAP$7/1000</f>
        <v>12250</v>
      </c>
      <c r="BAP13" s="110"/>
      <c r="BAQ13" s="108" t="s">
        <v>35</v>
      </c>
      <c r="BAT13" s="105" t="s">
        <v>44</v>
      </c>
      <c r="BAU13" s="105"/>
      <c r="BAV13" s="105"/>
      <c r="BAW13" s="106" t="s">
        <v>33</v>
      </c>
      <c r="BAX13" s="106"/>
      <c r="BAY13" s="107"/>
      <c r="BAZ13" s="108">
        <v>350</v>
      </c>
      <c r="BBA13" s="109">
        <f t="shared" ref="BBA13:BBA20" si="106">+BAZ13*$BBB$7/1000</f>
        <v>12250</v>
      </c>
      <c r="BBB13" s="110"/>
      <c r="BBC13" s="108" t="s">
        <v>35</v>
      </c>
      <c r="BBF13" s="105" t="s">
        <v>44</v>
      </c>
      <c r="BBG13" s="105"/>
      <c r="BBH13" s="105"/>
      <c r="BBI13" s="106" t="s">
        <v>33</v>
      </c>
      <c r="BBJ13" s="106"/>
      <c r="BBK13" s="107"/>
      <c r="BBL13" s="108">
        <v>350</v>
      </c>
      <c r="BBM13" s="109">
        <f t="shared" ref="BBM13:BBM20" si="107">+BBL13*$BBN$7/1000</f>
        <v>12250</v>
      </c>
      <c r="BBN13" s="110"/>
      <c r="BBO13" s="108" t="s">
        <v>35</v>
      </c>
      <c r="BBR13" s="105" t="s">
        <v>44</v>
      </c>
      <c r="BBS13" s="105"/>
      <c r="BBT13" s="105"/>
      <c r="BBU13" s="106" t="s">
        <v>33</v>
      </c>
      <c r="BBV13" s="106"/>
      <c r="BBW13" s="107"/>
      <c r="BBX13" s="108">
        <v>350</v>
      </c>
      <c r="BBY13" s="109">
        <f t="shared" ref="BBY13:BBY20" si="108">+BBX13*$BBN$7/1000</f>
        <v>12250</v>
      </c>
      <c r="BBZ13" s="110"/>
      <c r="BCA13" s="108" t="s">
        <v>35</v>
      </c>
      <c r="BCD13" s="105" t="s">
        <v>44</v>
      </c>
      <c r="BCE13" s="105"/>
      <c r="BCF13" s="105"/>
      <c r="BCG13" s="106" t="s">
        <v>33</v>
      </c>
      <c r="BCH13" s="106"/>
      <c r="BCI13" s="107"/>
      <c r="BCJ13" s="108">
        <v>350</v>
      </c>
      <c r="BCK13" s="109">
        <f t="shared" ref="BCK13:BCK20" si="109">+BCJ13*$BCL$7/1000</f>
        <v>12250</v>
      </c>
      <c r="BCL13" s="110"/>
      <c r="BCM13" s="108" t="s">
        <v>35</v>
      </c>
      <c r="BCP13" s="105" t="s">
        <v>44</v>
      </c>
      <c r="BCQ13" s="105"/>
      <c r="BCR13" s="105"/>
      <c r="BCS13" s="106" t="s">
        <v>33</v>
      </c>
      <c r="BCT13" s="106"/>
      <c r="BCU13" s="107"/>
      <c r="BCV13" s="108">
        <v>350</v>
      </c>
      <c r="BCW13" s="109">
        <f t="shared" ref="BCW13:BCW20" si="110">+BCV13*$BCX$7/1000</f>
        <v>12250</v>
      </c>
      <c r="BCX13" s="110"/>
      <c r="BCY13" s="108" t="s">
        <v>35</v>
      </c>
      <c r="BDB13" s="105" t="s">
        <v>44</v>
      </c>
      <c r="BDC13" s="105"/>
      <c r="BDD13" s="105"/>
      <c r="BDE13" s="106" t="s">
        <v>33</v>
      </c>
      <c r="BDF13" s="106"/>
      <c r="BDG13" s="107"/>
      <c r="BDH13" s="108">
        <v>350</v>
      </c>
      <c r="BDI13" s="109">
        <f t="shared" ref="BDI13:BDI20" si="111">+BDH13*$BDJ$7/1000</f>
        <v>4900</v>
      </c>
      <c r="BDJ13" s="110"/>
      <c r="BDK13" s="108" t="s">
        <v>35</v>
      </c>
      <c r="BDN13" s="105" t="s">
        <v>44</v>
      </c>
      <c r="BDO13" s="105"/>
      <c r="BDP13" s="105"/>
      <c r="BDQ13" s="106" t="s">
        <v>33</v>
      </c>
      <c r="BDR13" s="106"/>
      <c r="BDS13" s="107"/>
      <c r="BDT13" s="108">
        <v>350</v>
      </c>
      <c r="BDU13" s="109">
        <f t="shared" ref="BDU13:BDU20" si="112">+BDT13*$BDV$7/1000</f>
        <v>12250</v>
      </c>
      <c r="BDV13" s="110"/>
      <c r="BDW13" s="108" t="s">
        <v>35</v>
      </c>
      <c r="BDZ13" s="105" t="s">
        <v>44</v>
      </c>
      <c r="BEA13" s="105"/>
      <c r="BEB13" s="105"/>
      <c r="BEC13" s="106" t="s">
        <v>33</v>
      </c>
      <c r="BED13" s="106"/>
      <c r="BEE13" s="107"/>
      <c r="BEF13" s="108">
        <v>350</v>
      </c>
      <c r="BEG13" s="109">
        <f t="shared" ref="BEG13:BEG20" si="113">+BEF13*$BEH$7/1000</f>
        <v>12250</v>
      </c>
      <c r="BEH13" s="110"/>
      <c r="BEI13" s="108" t="s">
        <v>35</v>
      </c>
      <c r="BEL13" s="105" t="s">
        <v>44</v>
      </c>
      <c r="BEM13" s="105"/>
      <c r="BEN13" s="105"/>
      <c r="BEO13" s="106" t="s">
        <v>33</v>
      </c>
      <c r="BEP13" s="106"/>
      <c r="BEQ13" s="107"/>
      <c r="BER13" s="108">
        <v>350</v>
      </c>
      <c r="BES13" s="109">
        <f t="shared" ref="BES13:BES20" si="114">+BER13*$BET$7/1000</f>
        <v>12250</v>
      </c>
      <c r="BET13" s="110"/>
      <c r="BEU13" s="108" t="s">
        <v>35</v>
      </c>
      <c r="BEX13" s="105" t="s">
        <v>44</v>
      </c>
      <c r="BEY13" s="105"/>
      <c r="BEZ13" s="105"/>
      <c r="BFA13" s="106" t="s">
        <v>33</v>
      </c>
      <c r="BFB13" s="106"/>
      <c r="BFC13" s="107"/>
      <c r="BFD13" s="108">
        <v>350</v>
      </c>
      <c r="BFE13" s="109">
        <f t="shared" ref="BFE13:BFE20" si="115">+BFD13*$BFF$7/1000</f>
        <v>12250</v>
      </c>
      <c r="BFF13" s="110"/>
      <c r="BFG13" s="108" t="s">
        <v>35</v>
      </c>
      <c r="BFJ13" s="105" t="s">
        <v>44</v>
      </c>
      <c r="BFK13" s="105"/>
      <c r="BFL13" s="105"/>
      <c r="BFM13" s="106" t="s">
        <v>33</v>
      </c>
      <c r="BFN13" s="106"/>
      <c r="BFO13" s="107"/>
      <c r="BFP13" s="108">
        <v>350</v>
      </c>
      <c r="BFQ13" s="109">
        <f t="shared" ref="BFQ13:BFQ20" si="116">+BFP13*$BFR$7/1000</f>
        <v>12250</v>
      </c>
      <c r="BFR13" s="110"/>
      <c r="BFS13" s="108" t="s">
        <v>35</v>
      </c>
      <c r="BFV13" s="105" t="s">
        <v>44</v>
      </c>
      <c r="BFW13" s="105"/>
      <c r="BFX13" s="105"/>
      <c r="BFY13" s="106" t="s">
        <v>33</v>
      </c>
      <c r="BFZ13" s="106"/>
      <c r="BGA13" s="107"/>
      <c r="BGB13" s="108">
        <v>350</v>
      </c>
      <c r="BGC13" s="109">
        <f t="shared" ref="BGC13:BGC20" si="117">+BGB13*$BGD$7/1000</f>
        <v>12250</v>
      </c>
      <c r="BGD13" s="110"/>
      <c r="BGE13" s="108" t="s">
        <v>35</v>
      </c>
      <c r="BGH13" s="105" t="s">
        <v>44</v>
      </c>
      <c r="BGI13" s="105"/>
      <c r="BGJ13" s="105"/>
      <c r="BGK13" s="106" t="s">
        <v>33</v>
      </c>
      <c r="BGL13" s="106"/>
      <c r="BGM13" s="107"/>
      <c r="BGN13" s="108">
        <v>350</v>
      </c>
      <c r="BGO13" s="109">
        <f t="shared" ref="BGO13:BGO20" si="118">+BGN13*$BGD$7/1000</f>
        <v>12250</v>
      </c>
      <c r="BGP13" s="110"/>
      <c r="BGQ13" s="108" t="s">
        <v>35</v>
      </c>
      <c r="BGT13" s="105" t="s">
        <v>44</v>
      </c>
      <c r="BGU13" s="105"/>
      <c r="BGV13" s="105"/>
      <c r="BGW13" s="106" t="s">
        <v>33</v>
      </c>
      <c r="BGX13" s="106"/>
      <c r="BGY13" s="107"/>
      <c r="BGZ13" s="108">
        <v>350</v>
      </c>
      <c r="BHA13" s="109">
        <f t="shared" ref="BHA13:BHA20" si="119">+BGZ13*$BHB$7/1000</f>
        <v>12250</v>
      </c>
      <c r="BHB13" s="110"/>
      <c r="BHC13" s="108" t="s">
        <v>35</v>
      </c>
      <c r="BHF13" s="105" t="s">
        <v>44</v>
      </c>
      <c r="BHG13" s="105"/>
      <c r="BHH13" s="105"/>
      <c r="BHI13" s="106" t="s">
        <v>33</v>
      </c>
      <c r="BHJ13" s="106"/>
      <c r="BHK13" s="107"/>
      <c r="BHL13" s="108">
        <v>350</v>
      </c>
      <c r="BHM13" s="109">
        <f t="shared" ref="BHM13:BHM20" si="120">+BHL13*$BHN$7/1000</f>
        <v>2450</v>
      </c>
      <c r="BHN13" s="110"/>
      <c r="BHO13" s="108" t="s">
        <v>35</v>
      </c>
      <c r="BHR13" s="105" t="s">
        <v>44</v>
      </c>
      <c r="BHS13" s="105"/>
      <c r="BHT13" s="105"/>
      <c r="BHU13" s="106" t="s">
        <v>33</v>
      </c>
      <c r="BHV13" s="106"/>
      <c r="BHW13" s="107"/>
      <c r="BHX13" s="108">
        <v>350</v>
      </c>
      <c r="BHY13" s="109">
        <f t="shared" ref="BHY13:BHY20" si="121">+BHX13*$BHZ$7/1000</f>
        <v>4900</v>
      </c>
      <c r="BHZ13" s="110"/>
      <c r="BIA13" s="108" t="s">
        <v>35</v>
      </c>
      <c r="BID13" s="105" t="s">
        <v>44</v>
      </c>
      <c r="BIE13" s="105"/>
      <c r="BIF13" s="105"/>
      <c r="BIG13" s="106" t="s">
        <v>33</v>
      </c>
      <c r="BIH13" s="106"/>
      <c r="BII13" s="107"/>
      <c r="BIJ13" s="108">
        <v>350</v>
      </c>
      <c r="BIK13" s="109">
        <f t="shared" ref="BIK13:BIK20" si="122">+BIJ13*$BIL$7/1000</f>
        <v>12250</v>
      </c>
      <c r="BIL13" s="110"/>
      <c r="BIM13" s="108" t="s">
        <v>35</v>
      </c>
      <c r="BIP13" s="105" t="s">
        <v>44</v>
      </c>
      <c r="BIQ13" s="105"/>
      <c r="BIR13" s="105"/>
      <c r="BIS13" s="106" t="s">
        <v>33</v>
      </c>
      <c r="BIT13" s="106"/>
      <c r="BIU13" s="107"/>
      <c r="BIV13" s="108">
        <v>350</v>
      </c>
      <c r="BIW13" s="109">
        <f t="shared" ref="BIW13:BIW20" si="123">+BIV13*$BIX$7/1000</f>
        <v>12250</v>
      </c>
      <c r="BIX13" s="110"/>
      <c r="BIY13" s="108" t="s">
        <v>35</v>
      </c>
      <c r="BJB13" s="105" t="s">
        <v>44</v>
      </c>
      <c r="BJC13" s="105"/>
      <c r="BJD13" s="105"/>
      <c r="BJE13" s="106" t="s">
        <v>33</v>
      </c>
      <c r="BJF13" s="106"/>
      <c r="BJG13" s="107"/>
      <c r="BJH13" s="108">
        <v>350</v>
      </c>
      <c r="BJI13" s="109">
        <f t="shared" ref="BJI13:BJI20" si="124">+BJH13*$BJJ$7/1000</f>
        <v>12250</v>
      </c>
      <c r="BJJ13" s="110"/>
      <c r="BJK13" s="108" t="s">
        <v>35</v>
      </c>
      <c r="BJN13" s="105" t="s">
        <v>44</v>
      </c>
      <c r="BJO13" s="105"/>
      <c r="BJP13" s="105"/>
      <c r="BJQ13" s="106" t="s">
        <v>33</v>
      </c>
      <c r="BJR13" s="106"/>
      <c r="BJS13" s="107"/>
      <c r="BJT13" s="108">
        <v>350</v>
      </c>
      <c r="BJU13" s="109">
        <f t="shared" ref="BJU13:BJU20" si="125">+BJT13*$BJJ$7/1000</f>
        <v>12250</v>
      </c>
      <c r="BJV13" s="110"/>
      <c r="BJW13" s="108" t="s">
        <v>35</v>
      </c>
      <c r="BJZ13" s="105" t="s">
        <v>44</v>
      </c>
      <c r="BKA13" s="105"/>
      <c r="BKB13" s="105"/>
      <c r="BKC13" s="106" t="s">
        <v>33</v>
      </c>
      <c r="BKD13" s="106"/>
      <c r="BKE13" s="107"/>
      <c r="BKF13" s="108">
        <v>350</v>
      </c>
      <c r="BKG13" s="109">
        <f t="shared" ref="BKG13:BKG20" si="126">+BKF13*$BKH$7/1000</f>
        <v>1050</v>
      </c>
      <c r="BKH13" s="110"/>
      <c r="BKI13" s="108" t="s">
        <v>35</v>
      </c>
      <c r="BKL13" s="105" t="s">
        <v>44</v>
      </c>
      <c r="BKM13" s="105"/>
      <c r="BKN13" s="105"/>
      <c r="BKO13" s="106" t="s">
        <v>33</v>
      </c>
      <c r="BKP13" s="106"/>
      <c r="BKQ13" s="107"/>
      <c r="BKR13" s="108">
        <v>350</v>
      </c>
      <c r="BKS13" s="109">
        <f t="shared" ref="BKS13:BKS20" si="127">+BKR13*$BKT$7/1000</f>
        <v>12250</v>
      </c>
      <c r="BKT13" s="110"/>
      <c r="BKU13" s="108" t="s">
        <v>35</v>
      </c>
      <c r="BKX13" s="105" t="s">
        <v>44</v>
      </c>
      <c r="BKY13" s="105"/>
      <c r="BKZ13" s="105"/>
      <c r="BLA13" s="106" t="s">
        <v>33</v>
      </c>
      <c r="BLB13" s="106"/>
      <c r="BLC13" s="107"/>
      <c r="BLD13" s="108">
        <v>350</v>
      </c>
      <c r="BLE13" s="109">
        <f t="shared" ref="BLE13:BLE20" si="128">+BLD13*$BLF$7/1000</f>
        <v>12250</v>
      </c>
      <c r="BLF13" s="110"/>
      <c r="BLG13" s="108" t="s">
        <v>35</v>
      </c>
      <c r="BLJ13" s="105" t="s">
        <v>44</v>
      </c>
      <c r="BLK13" s="105"/>
      <c r="BLL13" s="105"/>
      <c r="BLM13" s="106" t="s">
        <v>33</v>
      </c>
      <c r="BLN13" s="106"/>
      <c r="BLO13" s="107"/>
      <c r="BLP13" s="108">
        <v>350</v>
      </c>
      <c r="BLQ13" s="109">
        <f t="shared" ref="BLQ13:BLQ20" si="129">+BLP13*$BLR$7/1000</f>
        <v>12250</v>
      </c>
      <c r="BLR13" s="110"/>
      <c r="BLS13" s="108" t="s">
        <v>35</v>
      </c>
      <c r="BLV13" s="105" t="s">
        <v>44</v>
      </c>
      <c r="BLW13" s="105"/>
      <c r="BLX13" s="105"/>
      <c r="BLY13" s="106" t="s">
        <v>33</v>
      </c>
      <c r="BLZ13" s="106"/>
      <c r="BMA13" s="107"/>
      <c r="BMB13" s="108">
        <v>350</v>
      </c>
      <c r="BMC13" s="109">
        <f t="shared" ref="BMC13:BMC20" si="130">+BMB13*$BMD$7/1000</f>
        <v>12250</v>
      </c>
      <c r="BMD13" s="110"/>
      <c r="BME13" s="108" t="s">
        <v>35</v>
      </c>
      <c r="BMH13" s="105" t="s">
        <v>44</v>
      </c>
      <c r="BMI13" s="105"/>
      <c r="BMJ13" s="105"/>
      <c r="BMK13" s="106" t="s">
        <v>33</v>
      </c>
      <c r="BML13" s="106"/>
      <c r="BMM13" s="107"/>
      <c r="BMN13" s="108">
        <v>350</v>
      </c>
      <c r="BMO13" s="109">
        <f t="shared" ref="BMO13:BMO20" si="131">+BMN13*$BMP$7/1000</f>
        <v>12250</v>
      </c>
      <c r="BMP13" s="110"/>
      <c r="BMQ13" s="108" t="s">
        <v>35</v>
      </c>
      <c r="BMT13" s="105" t="s">
        <v>44</v>
      </c>
      <c r="BMU13" s="105"/>
      <c r="BMV13" s="105"/>
      <c r="BMW13" s="106" t="s">
        <v>33</v>
      </c>
      <c r="BMX13" s="106"/>
      <c r="BMY13" s="107"/>
      <c r="BMZ13" s="108">
        <v>350</v>
      </c>
      <c r="BNA13" s="109">
        <f t="shared" ref="BNA13:BNA20" si="132">+BMZ13*$BNB$7/1000</f>
        <v>12250</v>
      </c>
      <c r="BNB13" s="110"/>
      <c r="BNC13" s="108" t="s">
        <v>35</v>
      </c>
      <c r="BNF13" s="105" t="s">
        <v>44</v>
      </c>
      <c r="BNG13" s="105"/>
      <c r="BNH13" s="105"/>
      <c r="BNI13" s="106" t="s">
        <v>33</v>
      </c>
      <c r="BNJ13" s="106"/>
      <c r="BNK13" s="107"/>
      <c r="BNL13" s="108">
        <v>350</v>
      </c>
      <c r="BNM13" s="109">
        <f t="shared" ref="BNM13:BNM20" si="133">+BNL13*$BNN$7/1000</f>
        <v>12250</v>
      </c>
      <c r="BNN13" s="110"/>
      <c r="BNO13" s="108" t="s">
        <v>35</v>
      </c>
      <c r="BNR13" s="105" t="s">
        <v>44</v>
      </c>
      <c r="BNS13" s="105"/>
      <c r="BNT13" s="105"/>
      <c r="BNU13" s="106" t="s">
        <v>33</v>
      </c>
      <c r="BNV13" s="106"/>
      <c r="BNW13" s="107"/>
      <c r="BNX13" s="108">
        <v>350</v>
      </c>
      <c r="BNY13" s="109">
        <f t="shared" ref="BNY13:BNY20" si="134">+BNX13*$BNN$7/1000</f>
        <v>12250</v>
      </c>
      <c r="BNZ13" s="110"/>
      <c r="BOA13" s="108" t="s">
        <v>35</v>
      </c>
      <c r="BOD13" s="105" t="s">
        <v>44</v>
      </c>
      <c r="BOE13" s="105"/>
      <c r="BOF13" s="105"/>
      <c r="BOG13" s="106" t="s">
        <v>33</v>
      </c>
      <c r="BOH13" s="106"/>
      <c r="BOI13" s="107"/>
      <c r="BOJ13" s="108">
        <v>350</v>
      </c>
      <c r="BOK13" s="109">
        <f t="shared" ref="BOK13:BOK20" si="135">+BOJ13*$BOL$7/1000</f>
        <v>12250</v>
      </c>
      <c r="BOL13" s="110"/>
      <c r="BOM13" s="108" t="s">
        <v>35</v>
      </c>
      <c r="BOP13" s="105" t="s">
        <v>44</v>
      </c>
      <c r="BOQ13" s="105"/>
      <c r="BOR13" s="105"/>
      <c r="BOS13" s="106" t="s">
        <v>33</v>
      </c>
      <c r="BOT13" s="106"/>
      <c r="BOU13" s="107"/>
      <c r="BOV13" s="108">
        <v>350</v>
      </c>
      <c r="BOW13" s="109">
        <f t="shared" ref="BOW13:BOW20" si="136">+BOV13*$BOL$7/1000</f>
        <v>12250</v>
      </c>
      <c r="BOX13" s="110"/>
      <c r="BOY13" s="108" t="s">
        <v>35</v>
      </c>
      <c r="BPB13" s="105" t="s">
        <v>44</v>
      </c>
      <c r="BPC13" s="105"/>
      <c r="BPD13" s="105"/>
      <c r="BPE13" s="106" t="s">
        <v>33</v>
      </c>
      <c r="BPF13" s="106"/>
      <c r="BPG13" s="107"/>
      <c r="BPH13" s="108">
        <v>350</v>
      </c>
      <c r="BPI13" s="109">
        <f t="shared" ref="BPI13:BPI20" si="137">+BPH13*$BPJ$7/1000</f>
        <v>12250</v>
      </c>
      <c r="BPJ13" s="110"/>
      <c r="BPK13" s="108" t="s">
        <v>35</v>
      </c>
      <c r="BPN13" s="105" t="s">
        <v>44</v>
      </c>
      <c r="BPO13" s="105"/>
      <c r="BPP13" s="105"/>
      <c r="BPQ13" s="106" t="s">
        <v>33</v>
      </c>
      <c r="BPR13" s="106"/>
      <c r="BPS13" s="107"/>
      <c r="BPT13" s="108">
        <v>350</v>
      </c>
      <c r="BPU13" s="109">
        <f t="shared" ref="BPU13:BPU20" si="138">+BPT13*$BPJ$7/1000</f>
        <v>12250</v>
      </c>
      <c r="BPV13" s="110"/>
      <c r="BPW13" s="108" t="s">
        <v>35</v>
      </c>
      <c r="BPZ13" s="105" t="s">
        <v>44</v>
      </c>
      <c r="BQA13" s="105"/>
      <c r="BQB13" s="105"/>
      <c r="BQC13" s="106" t="s">
        <v>33</v>
      </c>
      <c r="BQD13" s="106"/>
      <c r="BQE13" s="107"/>
      <c r="BQF13" s="108">
        <v>350</v>
      </c>
      <c r="BQG13" s="109">
        <f t="shared" ref="BQG13:BQG20" si="139">+BQF13*$BPJ$7/1000</f>
        <v>12250</v>
      </c>
      <c r="BQH13" s="110"/>
      <c r="BQI13" s="108" t="s">
        <v>35</v>
      </c>
      <c r="BQL13" s="105" t="s">
        <v>44</v>
      </c>
      <c r="BQM13" s="105"/>
      <c r="BQN13" s="105"/>
      <c r="BQO13" s="106" t="s">
        <v>33</v>
      </c>
      <c r="BQP13" s="106"/>
      <c r="BQQ13" s="107"/>
      <c r="BQR13" s="108">
        <v>350</v>
      </c>
      <c r="BQS13" s="109">
        <f t="shared" ref="BQS13:BQS20" si="140">+BQR13*$BPJ$7/1000</f>
        <v>12250</v>
      </c>
      <c r="BQT13" s="110"/>
      <c r="BQU13" s="108" t="s">
        <v>35</v>
      </c>
      <c r="BQX13" s="105" t="s">
        <v>44</v>
      </c>
      <c r="BQY13" s="105"/>
      <c r="BQZ13" s="105"/>
      <c r="BRA13" s="106" t="s">
        <v>33</v>
      </c>
      <c r="BRB13" s="106"/>
      <c r="BRC13" s="107"/>
      <c r="BRD13" s="108">
        <v>350</v>
      </c>
      <c r="BRE13" s="109">
        <f t="shared" ref="BRE13:BRE20" si="141">+BRD13*$BPJ$7/1000</f>
        <v>12250</v>
      </c>
      <c r="BRF13" s="110"/>
      <c r="BRG13" s="108" t="s">
        <v>35</v>
      </c>
      <c r="BRJ13" s="105" t="s">
        <v>44</v>
      </c>
      <c r="BRK13" s="105"/>
      <c r="BRL13" s="105"/>
      <c r="BRM13" s="106" t="s">
        <v>33</v>
      </c>
      <c r="BRN13" s="106"/>
      <c r="BRO13" s="107"/>
      <c r="BRP13" s="108">
        <v>350</v>
      </c>
      <c r="BRQ13" s="109">
        <f t="shared" ref="BRQ13:BRQ20" si="142">+BRP13*$BPJ$7/1000</f>
        <v>12250</v>
      </c>
      <c r="BRR13" s="110"/>
      <c r="BRS13" s="108" t="s">
        <v>35</v>
      </c>
      <c r="BRV13" s="105" t="s">
        <v>44</v>
      </c>
      <c r="BRW13" s="105"/>
      <c r="BRX13" s="105"/>
      <c r="BRY13" s="106" t="s">
        <v>33</v>
      </c>
      <c r="BRZ13" s="106"/>
      <c r="BSA13" s="107"/>
      <c r="BSB13" s="108">
        <v>350</v>
      </c>
      <c r="BSC13" s="109">
        <f t="shared" ref="BSC13:BSC20" si="143">+BSB13*$BPJ$7/1000</f>
        <v>12250</v>
      </c>
      <c r="BSD13" s="110"/>
      <c r="BSE13" s="108" t="s">
        <v>35</v>
      </c>
      <c r="BSH13" s="105" t="s">
        <v>44</v>
      </c>
      <c r="BSI13" s="105"/>
      <c r="BSJ13" s="105"/>
      <c r="BSK13" s="106" t="s">
        <v>33</v>
      </c>
      <c r="BSL13" s="106"/>
      <c r="BSM13" s="107"/>
      <c r="BSN13" s="108">
        <v>350</v>
      </c>
      <c r="BSO13" s="109">
        <f t="shared" ref="BSO13:BSO20" si="144">+BSN13*$BPJ$7/1000</f>
        <v>12250</v>
      </c>
      <c r="BSP13" s="110"/>
      <c r="BSQ13" s="108" t="s">
        <v>35</v>
      </c>
      <c r="BST13" s="105" t="s">
        <v>44</v>
      </c>
      <c r="BSU13" s="105"/>
      <c r="BSV13" s="105"/>
      <c r="BSW13" s="106" t="s">
        <v>33</v>
      </c>
      <c r="BSX13" s="106"/>
      <c r="BSY13" s="107"/>
      <c r="BSZ13" s="108">
        <v>350</v>
      </c>
      <c r="BTA13" s="109">
        <f t="shared" ref="BTA13:BTA20" si="145">+BSZ13*$BPJ$7/1000</f>
        <v>12250</v>
      </c>
      <c r="BTB13" s="110"/>
      <c r="BTC13" s="108" t="s">
        <v>35</v>
      </c>
      <c r="BTF13" s="105" t="s">
        <v>44</v>
      </c>
      <c r="BTG13" s="105"/>
      <c r="BTH13" s="105"/>
      <c r="BTI13" s="106" t="s">
        <v>33</v>
      </c>
      <c r="BTJ13" s="106"/>
      <c r="BTK13" s="107"/>
      <c r="BTL13" s="108">
        <v>350</v>
      </c>
      <c r="BTM13" s="109">
        <f t="shared" ref="BTM13:BTM20" si="146">+BTL13*$BPJ$7/1000</f>
        <v>12250</v>
      </c>
      <c r="BTN13" s="110"/>
      <c r="BTO13" s="108" t="s">
        <v>35</v>
      </c>
      <c r="BTR13" s="105" t="s">
        <v>44</v>
      </c>
      <c r="BTS13" s="105"/>
      <c r="BTT13" s="105"/>
      <c r="BTU13" s="106" t="s">
        <v>33</v>
      </c>
      <c r="BTV13" s="106"/>
      <c r="BTW13" s="107"/>
      <c r="BTX13" s="108">
        <v>350</v>
      </c>
      <c r="BTY13" s="109">
        <f t="shared" ref="BTY13:BTY20" si="147">+BTX13*$BPJ$7/1000</f>
        <v>12250</v>
      </c>
      <c r="BTZ13" s="110"/>
      <c r="BUA13" s="108" t="s">
        <v>35</v>
      </c>
      <c r="BUD13" s="105" t="s">
        <v>44</v>
      </c>
      <c r="BUE13" s="105"/>
      <c r="BUF13" s="105"/>
      <c r="BUG13" s="106" t="s">
        <v>33</v>
      </c>
      <c r="BUH13" s="106"/>
      <c r="BUI13" s="107"/>
      <c r="BUJ13" s="108">
        <v>350</v>
      </c>
      <c r="BUK13" s="109">
        <f t="shared" ref="BUK13:BUK20" si="148">+BUJ13*$BPJ$7/1000</f>
        <v>12250</v>
      </c>
      <c r="BUL13" s="110"/>
      <c r="BUM13" s="108" t="s">
        <v>35</v>
      </c>
      <c r="BUP13" s="105" t="s">
        <v>44</v>
      </c>
      <c r="BUQ13" s="105"/>
      <c r="BUR13" s="105"/>
      <c r="BUS13" s="106" t="s">
        <v>33</v>
      </c>
      <c r="BUT13" s="106"/>
      <c r="BUU13" s="107"/>
      <c r="BUV13" s="108">
        <v>350</v>
      </c>
      <c r="BUW13" s="109">
        <f t="shared" ref="BUW13:BUW20" si="149">+BUV13*$BPJ$7/1000</f>
        <v>12250</v>
      </c>
      <c r="BUX13" s="110"/>
      <c r="BUY13" s="108" t="s">
        <v>35</v>
      </c>
      <c r="BVB13" s="105" t="s">
        <v>44</v>
      </c>
      <c r="BVC13" s="105"/>
      <c r="BVD13" s="105"/>
      <c r="BVE13" s="106" t="s">
        <v>33</v>
      </c>
      <c r="BVF13" s="106"/>
      <c r="BVG13" s="107"/>
      <c r="BVH13" s="108">
        <v>350</v>
      </c>
      <c r="BVI13" s="109">
        <f t="shared" ref="BVI13:BVI20" si="150">+BVH13*$BPJ$7/1000</f>
        <v>12250</v>
      </c>
      <c r="BVJ13" s="110"/>
      <c r="BVK13" s="108" t="s">
        <v>35</v>
      </c>
      <c r="BVN13" s="105" t="s">
        <v>44</v>
      </c>
      <c r="BVO13" s="105"/>
      <c r="BVP13" s="105"/>
      <c r="BVQ13" s="106" t="s">
        <v>33</v>
      </c>
      <c r="BVR13" s="106"/>
      <c r="BVS13" s="107"/>
      <c r="BVT13" s="108">
        <v>350</v>
      </c>
      <c r="BVU13" s="109">
        <f t="shared" ref="BVU13:BVU20" si="151">+BVT13*$BPJ$7/1000</f>
        <v>12250</v>
      </c>
      <c r="BVV13" s="110"/>
      <c r="BVW13" s="108" t="s">
        <v>35</v>
      </c>
      <c r="BVZ13" s="105" t="s">
        <v>44</v>
      </c>
      <c r="BWA13" s="105"/>
      <c r="BWB13" s="105"/>
      <c r="BWC13" s="106" t="s">
        <v>33</v>
      </c>
      <c r="BWD13" s="106"/>
      <c r="BWE13" s="107"/>
      <c r="BWF13" s="108">
        <v>350</v>
      </c>
      <c r="BWG13" s="109">
        <f t="shared" ref="BWG13:BWG20" si="152">+BWF13*$BPJ$7/1000</f>
        <v>12250</v>
      </c>
      <c r="BWH13" s="110"/>
      <c r="BWI13" s="108" t="s">
        <v>35</v>
      </c>
      <c r="BWL13" s="105" t="s">
        <v>44</v>
      </c>
      <c r="BWM13" s="105"/>
      <c r="BWN13" s="105"/>
      <c r="BWO13" s="106" t="s">
        <v>33</v>
      </c>
      <c r="BWP13" s="106"/>
      <c r="BWQ13" s="107"/>
      <c r="BWR13" s="108">
        <v>350</v>
      </c>
      <c r="BWS13" s="109">
        <f t="shared" ref="BWS13:BWS20" si="153">+BWR13*$BPJ$7/1000</f>
        <v>12250</v>
      </c>
      <c r="BWT13" s="110"/>
      <c r="BWU13" s="108" t="s">
        <v>35</v>
      </c>
      <c r="BWX13" s="105" t="s">
        <v>44</v>
      </c>
      <c r="BWY13" s="105"/>
      <c r="BWZ13" s="105"/>
      <c r="BXA13" s="106" t="s">
        <v>33</v>
      </c>
      <c r="BXB13" s="106"/>
      <c r="BXC13" s="107"/>
      <c r="BXD13" s="108">
        <v>350</v>
      </c>
      <c r="BXE13" s="109">
        <f t="shared" ref="BXE13:BXE20" si="154">+BXD13*$BPJ$7/1000</f>
        <v>12250</v>
      </c>
      <c r="BXF13" s="110"/>
      <c r="BXG13" s="108" t="s">
        <v>35</v>
      </c>
      <c r="BXJ13" s="105" t="s">
        <v>44</v>
      </c>
      <c r="BXK13" s="105"/>
      <c r="BXL13" s="105"/>
      <c r="BXM13" s="106" t="s">
        <v>33</v>
      </c>
      <c r="BXN13" s="106"/>
      <c r="BXO13" s="107"/>
      <c r="BXP13" s="108">
        <v>350</v>
      </c>
      <c r="BXQ13" s="109">
        <f t="shared" ref="BXQ13:BXQ20" si="155">+BXP13*$BPJ$7/1000</f>
        <v>12250</v>
      </c>
      <c r="BXR13" s="110"/>
      <c r="BXS13" s="108" t="s">
        <v>35</v>
      </c>
      <c r="BXV13" s="105" t="s">
        <v>44</v>
      </c>
      <c r="BXW13" s="105"/>
      <c r="BXX13" s="105"/>
      <c r="BXY13" s="106" t="s">
        <v>33</v>
      </c>
      <c r="BXZ13" s="106"/>
      <c r="BYA13" s="107"/>
      <c r="BYB13" s="108">
        <v>350</v>
      </c>
      <c r="BYC13" s="109">
        <f t="shared" ref="BYC13:BYC20" si="156">+BYB13*$BPJ$7/1000</f>
        <v>12250</v>
      </c>
      <c r="BYD13" s="110"/>
      <c r="BYE13" s="108" t="s">
        <v>35</v>
      </c>
      <c r="BYH13" s="105" t="s">
        <v>44</v>
      </c>
      <c r="BYI13" s="105"/>
      <c r="BYJ13" s="105"/>
      <c r="BYK13" s="106" t="s">
        <v>33</v>
      </c>
      <c r="BYL13" s="106"/>
      <c r="BYM13" s="107"/>
      <c r="BYN13" s="108">
        <v>350</v>
      </c>
      <c r="BYO13" s="109">
        <f t="shared" ref="BYO13:BYO20" si="157">+BYN13*$BPJ$7/1000</f>
        <v>12250</v>
      </c>
      <c r="BYP13" s="110"/>
      <c r="BYQ13" s="108" t="s">
        <v>35</v>
      </c>
      <c r="BYT13" s="105" t="s">
        <v>44</v>
      </c>
      <c r="BYU13" s="105"/>
      <c r="BYV13" s="105"/>
      <c r="BYW13" s="106" t="s">
        <v>33</v>
      </c>
      <c r="BYX13" s="106"/>
      <c r="BYY13" s="107"/>
      <c r="BYZ13" s="108">
        <v>350</v>
      </c>
      <c r="BZA13" s="109">
        <f t="shared" ref="BZA13:BZA20" si="158">+BYZ13*$BPJ$7/1000</f>
        <v>12250</v>
      </c>
      <c r="BZB13" s="110"/>
      <c r="BZC13" s="108" t="s">
        <v>35</v>
      </c>
      <c r="BZF13" s="105" t="s">
        <v>44</v>
      </c>
      <c r="BZG13" s="105"/>
      <c r="BZH13" s="105"/>
      <c r="BZI13" s="106" t="s">
        <v>33</v>
      </c>
      <c r="BZJ13" s="106"/>
      <c r="BZK13" s="107"/>
      <c r="BZL13" s="108">
        <v>350</v>
      </c>
      <c r="BZM13" s="109">
        <f t="shared" ref="BZM13:BZM20" si="159">+BZL13*$BPJ$7/1000</f>
        <v>12250</v>
      </c>
      <c r="BZN13" s="110"/>
      <c r="BZO13" s="108" t="s">
        <v>35</v>
      </c>
      <c r="BZR13" s="105" t="s">
        <v>44</v>
      </c>
      <c r="BZS13" s="105"/>
      <c r="BZT13" s="105"/>
      <c r="BZU13" s="106" t="s">
        <v>33</v>
      </c>
      <c r="BZV13" s="106"/>
      <c r="BZW13" s="107"/>
      <c r="BZX13" s="108">
        <v>350</v>
      </c>
      <c r="BZY13" s="109">
        <f t="shared" ref="BZY13:BZY20" si="160">+BZX13*$BZZ$7/1000</f>
        <v>12250</v>
      </c>
      <c r="BZZ13" s="110"/>
      <c r="CAA13" s="108" t="s">
        <v>35</v>
      </c>
      <c r="CAD13" s="105" t="s">
        <v>44</v>
      </c>
      <c r="CAE13" s="105"/>
      <c r="CAF13" s="105"/>
      <c r="CAG13" s="106" t="s">
        <v>33</v>
      </c>
      <c r="CAH13" s="106"/>
      <c r="CAI13" s="107"/>
      <c r="CAJ13" s="108">
        <v>350</v>
      </c>
      <c r="CAK13" s="109">
        <f t="shared" ref="CAK13:CAK20" si="161">+CAJ13*$BZZ$7/1000</f>
        <v>12250</v>
      </c>
      <c r="CAL13" s="110"/>
      <c r="CAM13" s="108" t="s">
        <v>35</v>
      </c>
      <c r="CAP13" s="105" t="s">
        <v>44</v>
      </c>
      <c r="CAQ13" s="105"/>
      <c r="CAR13" s="105"/>
      <c r="CAS13" s="106" t="s">
        <v>33</v>
      </c>
      <c r="CAT13" s="106"/>
      <c r="CAU13" s="107"/>
      <c r="CAV13" s="108">
        <v>350</v>
      </c>
      <c r="CAW13" s="109">
        <f t="shared" ref="CAW13:CAW20" si="162">+CAV13*$BZZ$7/1000</f>
        <v>12250</v>
      </c>
      <c r="CAX13" s="110"/>
      <c r="CAY13" s="108" t="s">
        <v>35</v>
      </c>
      <c r="CBB13" s="105" t="s">
        <v>44</v>
      </c>
      <c r="CBC13" s="105"/>
      <c r="CBD13" s="105"/>
      <c r="CBE13" s="106" t="s">
        <v>33</v>
      </c>
      <c r="CBF13" s="106"/>
      <c r="CBG13" s="107"/>
      <c r="CBH13" s="108">
        <v>350</v>
      </c>
      <c r="CBI13" s="109">
        <f t="shared" ref="CBI13:CBI20" si="163">+CBH13*$BZZ$7/1000</f>
        <v>12250</v>
      </c>
      <c r="CBJ13" s="110"/>
      <c r="CBK13" s="108" t="s">
        <v>35</v>
      </c>
      <c r="CBN13" s="105" t="s">
        <v>44</v>
      </c>
      <c r="CBO13" s="105"/>
      <c r="CBP13" s="105"/>
      <c r="CBQ13" s="106" t="s">
        <v>33</v>
      </c>
      <c r="CBR13" s="106"/>
      <c r="CBS13" s="107"/>
      <c r="CBT13" s="108">
        <v>350</v>
      </c>
      <c r="CBU13" s="109">
        <f t="shared" ref="CBU13:CBU20" si="164">+CBT13*$BZZ$7/1000</f>
        <v>12250</v>
      </c>
      <c r="CBV13" s="110"/>
      <c r="CBW13" s="108" t="s">
        <v>35</v>
      </c>
      <c r="CBZ13" s="105" t="s">
        <v>44</v>
      </c>
      <c r="CCA13" s="105"/>
      <c r="CCB13" s="105"/>
      <c r="CCC13" s="106" t="s">
        <v>33</v>
      </c>
      <c r="CCD13" s="106"/>
      <c r="CCE13" s="107"/>
      <c r="CCF13" s="108">
        <v>350</v>
      </c>
      <c r="CCG13" s="109">
        <f t="shared" ref="CCG13:CCG20" si="165">+CCF13*$BZZ$7/1000</f>
        <v>12250</v>
      </c>
      <c r="CCH13" s="110"/>
      <c r="CCI13" s="108" t="s">
        <v>35</v>
      </c>
      <c r="CCL13" s="105"/>
      <c r="CCM13" s="105"/>
      <c r="CCN13" s="105"/>
      <c r="CCO13" s="106"/>
      <c r="CCP13" s="106"/>
      <c r="CCQ13" s="107"/>
      <c r="CCR13" s="108"/>
      <c r="CCS13" s="109">
        <f t="shared" ref="CCS13:CCS20" si="166">+CCR13*$BZZ$7/1000</f>
        <v>0</v>
      </c>
      <c r="CCT13" s="110"/>
      <c r="CCU13" s="108" t="s">
        <v>35</v>
      </c>
      <c r="CCX13" s="105" t="s">
        <v>44</v>
      </c>
      <c r="CCY13" s="105"/>
      <c r="CCZ13" s="105"/>
      <c r="CDA13" s="106" t="s">
        <v>33</v>
      </c>
      <c r="CDB13" s="106"/>
      <c r="CDC13" s="107"/>
      <c r="CDD13" s="108">
        <v>350</v>
      </c>
      <c r="CDE13" s="109">
        <f t="shared" ref="CDE13:CDE20" si="167">+CDD13*$BZZ$7/1000</f>
        <v>12250</v>
      </c>
      <c r="CDF13" s="110"/>
      <c r="CDG13" s="108" t="s">
        <v>35</v>
      </c>
      <c r="CDJ13" s="105" t="s">
        <v>44</v>
      </c>
      <c r="CDK13" s="105"/>
      <c r="CDL13" s="105"/>
      <c r="CDM13" s="106" t="s">
        <v>33</v>
      </c>
      <c r="CDN13" s="106"/>
      <c r="CDO13" s="107"/>
      <c r="CDP13" s="108">
        <v>350</v>
      </c>
      <c r="CDQ13" s="109">
        <f t="shared" ref="CDQ13:CDQ20" si="168">+CDP13*$BZZ$7/1000</f>
        <v>12250</v>
      </c>
      <c r="CDR13" s="110"/>
      <c r="CDS13" s="108" t="s">
        <v>35</v>
      </c>
      <c r="CDV13" s="105" t="s">
        <v>44</v>
      </c>
      <c r="CDW13" s="105"/>
      <c r="CDX13" s="105"/>
      <c r="CDY13" s="106" t="s">
        <v>33</v>
      </c>
      <c r="CDZ13" s="106"/>
      <c r="CEA13" s="107"/>
      <c r="CEB13" s="108">
        <v>350</v>
      </c>
      <c r="CEC13" s="109">
        <f t="shared" ref="CEC13:CEC20" si="169">+CEB13*$BZZ$7/1000</f>
        <v>12250</v>
      </c>
      <c r="CED13" s="110"/>
      <c r="CEE13" s="108" t="s">
        <v>35</v>
      </c>
      <c r="CEH13" s="105" t="s">
        <v>44</v>
      </c>
      <c r="CEI13" s="105"/>
      <c r="CEJ13" s="105"/>
      <c r="CEK13" s="106" t="s">
        <v>33</v>
      </c>
      <c r="CEL13" s="106"/>
      <c r="CEM13" s="107"/>
      <c r="CEN13" s="108">
        <v>350</v>
      </c>
      <c r="CEO13" s="109">
        <f t="shared" ref="CEO13:CEO20" si="170">+CEN13*$BZZ$7/1000</f>
        <v>12250</v>
      </c>
      <c r="CEP13" s="110"/>
      <c r="CEQ13" s="108" t="s">
        <v>35</v>
      </c>
      <c r="CET13" s="105" t="s">
        <v>44</v>
      </c>
      <c r="CEU13" s="105"/>
      <c r="CEV13" s="105"/>
      <c r="CEW13" s="106" t="s">
        <v>33</v>
      </c>
      <c r="CEX13" s="106"/>
      <c r="CEY13" s="107"/>
      <c r="CEZ13" s="108">
        <v>350</v>
      </c>
      <c r="CFA13" s="109">
        <f t="shared" ref="CFA13:CFA20" si="171">+CEZ13*$BZZ$7/1000</f>
        <v>12250</v>
      </c>
      <c r="CFB13" s="110"/>
      <c r="CFC13" s="108" t="s">
        <v>35</v>
      </c>
      <c r="CFF13" s="105" t="s">
        <v>44</v>
      </c>
      <c r="CFG13" s="105"/>
      <c r="CFH13" s="105"/>
      <c r="CFI13" s="106" t="s">
        <v>33</v>
      </c>
      <c r="CFJ13" s="106"/>
      <c r="CFK13" s="107"/>
      <c r="CFL13" s="108">
        <v>350</v>
      </c>
      <c r="CFM13" s="109">
        <f t="shared" ref="CFM13:CFM20" si="172">+CFL13*$BZZ$7/1000</f>
        <v>12250</v>
      </c>
      <c r="CFN13" s="110"/>
      <c r="CFO13" s="108" t="s">
        <v>35</v>
      </c>
      <c r="CFR13" s="105" t="s">
        <v>44</v>
      </c>
      <c r="CFS13" s="105"/>
      <c r="CFT13" s="105"/>
      <c r="CFU13" s="106" t="s">
        <v>33</v>
      </c>
      <c r="CFV13" s="106"/>
      <c r="CFW13" s="107"/>
      <c r="CFX13" s="108">
        <v>350</v>
      </c>
      <c r="CFY13" s="109">
        <f t="shared" ref="CFY13:CFY20" si="173">+CFX13*$BZZ$7/1000</f>
        <v>12250</v>
      </c>
      <c r="CFZ13" s="110"/>
      <c r="CGA13" s="108" t="s">
        <v>35</v>
      </c>
      <c r="CGD13" s="105" t="s">
        <v>44</v>
      </c>
      <c r="CGE13" s="105"/>
      <c r="CGF13" s="105"/>
      <c r="CGG13" s="106" t="s">
        <v>33</v>
      </c>
      <c r="CGH13" s="106"/>
      <c r="CGI13" s="107"/>
      <c r="CGJ13" s="108">
        <v>350</v>
      </c>
      <c r="CGK13" s="109">
        <f t="shared" ref="CGK13:CGK20" si="174">+CGJ13*$BZZ$7/1000</f>
        <v>12250</v>
      </c>
      <c r="CGL13" s="110"/>
      <c r="CGM13" s="108" t="s">
        <v>35</v>
      </c>
      <c r="CGP13" s="105" t="s">
        <v>44</v>
      </c>
      <c r="CGQ13" s="105"/>
      <c r="CGR13" s="105"/>
      <c r="CGS13" s="106" t="s">
        <v>33</v>
      </c>
      <c r="CGT13" s="106"/>
      <c r="CGU13" s="107"/>
      <c r="CGV13" s="108">
        <v>350</v>
      </c>
      <c r="CGW13" s="109">
        <f t="shared" ref="CGW13:CGW20" si="175">+CGV13*$BZZ$7/1000</f>
        <v>12250</v>
      </c>
      <c r="CGX13" s="110"/>
      <c r="CGY13" s="108" t="s">
        <v>35</v>
      </c>
      <c r="CHB13" s="105" t="s">
        <v>44</v>
      </c>
      <c r="CHC13" s="105"/>
      <c r="CHD13" s="105"/>
      <c r="CHE13" s="106" t="s">
        <v>33</v>
      </c>
      <c r="CHF13" s="106"/>
      <c r="CHG13" s="107"/>
      <c r="CHH13" s="108">
        <v>350</v>
      </c>
      <c r="CHI13" s="109">
        <f t="shared" ref="CHI13:CHI20" si="176">+CHH13*$BZZ$7/1000</f>
        <v>12250</v>
      </c>
      <c r="CHJ13" s="110"/>
      <c r="CHK13" s="108" t="s">
        <v>35</v>
      </c>
      <c r="CHN13" s="105" t="s">
        <v>44</v>
      </c>
      <c r="CHO13" s="105"/>
      <c r="CHP13" s="105"/>
      <c r="CHQ13" s="106" t="s">
        <v>33</v>
      </c>
      <c r="CHR13" s="106"/>
      <c r="CHS13" s="107"/>
      <c r="CHT13" s="108">
        <v>350</v>
      </c>
      <c r="CHU13" s="109">
        <f t="shared" ref="CHU13:CHU20" si="177">+CHT13*$BZZ$7/1000</f>
        <v>12250</v>
      </c>
      <c r="CHV13" s="110"/>
      <c r="CHW13" s="108" t="s">
        <v>35</v>
      </c>
      <c r="CHZ13" s="105" t="s">
        <v>44</v>
      </c>
      <c r="CIA13" s="105"/>
      <c r="CIB13" s="105"/>
      <c r="CIC13" s="106" t="s">
        <v>33</v>
      </c>
      <c r="CID13" s="106"/>
      <c r="CIE13" s="107"/>
      <c r="CIF13" s="108">
        <v>350</v>
      </c>
      <c r="CIG13" s="109">
        <f t="shared" ref="CIG13:CIG20" si="178">+CIF13*$BZZ$7/1000</f>
        <v>12250</v>
      </c>
      <c r="CIH13" s="110"/>
      <c r="CII13" s="108" t="s">
        <v>35</v>
      </c>
      <c r="CIL13" s="105" t="s">
        <v>44</v>
      </c>
      <c r="CIM13" s="105"/>
      <c r="CIN13" s="105"/>
      <c r="CIO13" s="106" t="s">
        <v>33</v>
      </c>
      <c r="CIP13" s="106"/>
      <c r="CIQ13" s="107"/>
      <c r="CIR13" s="108">
        <v>350</v>
      </c>
      <c r="CIS13" s="109">
        <f t="shared" ref="CIS13:CIS20" si="179">+CIR13*$BZZ$7/1000</f>
        <v>12250</v>
      </c>
      <c r="CIT13" s="110"/>
      <c r="CIU13" s="108" t="s">
        <v>35</v>
      </c>
      <c r="CIX13" s="105" t="s">
        <v>44</v>
      </c>
      <c r="CIY13" s="105"/>
      <c r="CIZ13" s="105"/>
      <c r="CJA13" s="106" t="s">
        <v>33</v>
      </c>
      <c r="CJB13" s="106"/>
      <c r="CJC13" s="107"/>
      <c r="CJD13" s="108">
        <v>350</v>
      </c>
      <c r="CJE13" s="109">
        <f t="shared" ref="CJE13:CJE20" si="180">+CJD13*$BZZ$7/1000</f>
        <v>12250</v>
      </c>
      <c r="CJF13" s="110"/>
      <c r="CJG13" s="108" t="s">
        <v>35</v>
      </c>
      <c r="CJJ13" s="105" t="s">
        <v>44</v>
      </c>
      <c r="CJK13" s="105"/>
      <c r="CJL13" s="105"/>
      <c r="CJM13" s="106" t="s">
        <v>33</v>
      </c>
      <c r="CJN13" s="106"/>
      <c r="CJO13" s="107"/>
      <c r="CJP13" s="108">
        <v>350</v>
      </c>
      <c r="CJQ13" s="109">
        <f t="shared" ref="CJQ13:CJQ20" si="181">+CJP13*$BZZ$7/1000</f>
        <v>12250</v>
      </c>
      <c r="CJR13" s="110"/>
      <c r="CJS13" s="108" t="s">
        <v>35</v>
      </c>
      <c r="CJV13" s="105" t="s">
        <v>44</v>
      </c>
      <c r="CJW13" s="105"/>
      <c r="CJX13" s="105"/>
      <c r="CJY13" s="106" t="s">
        <v>33</v>
      </c>
      <c r="CJZ13" s="106"/>
      <c r="CKA13" s="107"/>
      <c r="CKB13" s="108">
        <v>350</v>
      </c>
      <c r="CKC13" s="109">
        <f t="shared" ref="CKC13:CKC20" si="182">+CKB13*$BZZ$7/1000</f>
        <v>12250</v>
      </c>
      <c r="CKD13" s="110"/>
      <c r="CKE13" s="108" t="s">
        <v>35</v>
      </c>
      <c r="CKH13" s="105" t="s">
        <v>44</v>
      </c>
      <c r="CKI13" s="105"/>
      <c r="CKJ13" s="105"/>
      <c r="CKK13" s="106" t="s">
        <v>33</v>
      </c>
      <c r="CKL13" s="106"/>
      <c r="CKM13" s="107"/>
      <c r="CKN13" s="108">
        <v>350</v>
      </c>
      <c r="CKO13" s="109">
        <f t="shared" ref="CKO13:CKO20" si="183">+CKN13*$BZZ$7/1000</f>
        <v>12250</v>
      </c>
      <c r="CKP13" s="110"/>
      <c r="CKQ13" s="108" t="s">
        <v>35</v>
      </c>
      <c r="CKT13" s="105" t="s">
        <v>44</v>
      </c>
      <c r="CKU13" s="105"/>
      <c r="CKV13" s="105"/>
      <c r="CKW13" s="106" t="s">
        <v>33</v>
      </c>
      <c r="CKX13" s="106"/>
      <c r="CKY13" s="107"/>
      <c r="CKZ13" s="108">
        <v>350</v>
      </c>
      <c r="CLA13" s="109">
        <f t="shared" ref="CLA13:CLA20" si="184">+CKZ13*$BZZ$7/1000</f>
        <v>12250</v>
      </c>
      <c r="CLB13" s="110"/>
      <c r="CLC13" s="108" t="s">
        <v>35</v>
      </c>
      <c r="CLF13" s="105" t="s">
        <v>44</v>
      </c>
      <c r="CLG13" s="105"/>
      <c r="CLH13" s="105"/>
      <c r="CLI13" s="106" t="s">
        <v>33</v>
      </c>
      <c r="CLJ13" s="106"/>
      <c r="CLK13" s="107"/>
      <c r="CLL13" s="108">
        <v>350</v>
      </c>
      <c r="CLM13" s="109">
        <f t="shared" ref="CLM13:CLM20" si="185">+CLL13*$BZZ$7/1000</f>
        <v>12250</v>
      </c>
      <c r="CLN13" s="110"/>
      <c r="CLO13" s="108" t="s">
        <v>35</v>
      </c>
      <c r="CLR13" s="105" t="s">
        <v>44</v>
      </c>
      <c r="CLS13" s="105"/>
      <c r="CLT13" s="105"/>
      <c r="CLU13" s="106" t="s">
        <v>33</v>
      </c>
      <c r="CLV13" s="106"/>
      <c r="CLW13" s="107"/>
      <c r="CLX13" s="108">
        <v>350</v>
      </c>
      <c r="CLY13" s="109">
        <f t="shared" ref="CLY13:CLY20" si="186">+CLX13*$BZZ$7/1000</f>
        <v>12250</v>
      </c>
      <c r="CLZ13" s="110"/>
      <c r="CMA13" s="108" t="s">
        <v>35</v>
      </c>
      <c r="CMD13" s="105" t="s">
        <v>44</v>
      </c>
      <c r="CME13" s="105"/>
      <c r="CMF13" s="105"/>
      <c r="CMG13" s="106" t="s">
        <v>33</v>
      </c>
      <c r="CMH13" s="106"/>
      <c r="CMI13" s="107"/>
      <c r="CMJ13" s="108">
        <v>350</v>
      </c>
      <c r="CMK13" s="109">
        <f t="shared" ref="CMK13:CMK20" si="187">+CMJ13*$BZZ$7/1000</f>
        <v>12250</v>
      </c>
      <c r="CML13" s="110"/>
      <c r="CMM13" s="108" t="s">
        <v>35</v>
      </c>
      <c r="CMP13" s="105" t="s">
        <v>44</v>
      </c>
      <c r="CMQ13" s="105"/>
      <c r="CMR13" s="105"/>
      <c r="CMS13" s="106" t="s">
        <v>33</v>
      </c>
      <c r="CMT13" s="106"/>
      <c r="CMU13" s="107"/>
      <c r="CMV13" s="108">
        <v>350</v>
      </c>
      <c r="CMW13" s="109">
        <f t="shared" ref="CMW13:CMW20" si="188">+CMV13*$BZZ$7/1000</f>
        <v>12250</v>
      </c>
      <c r="CMX13" s="110"/>
      <c r="CMY13" s="108" t="s">
        <v>35</v>
      </c>
      <c r="CNB13" s="105" t="s">
        <v>44</v>
      </c>
      <c r="CNC13" s="105"/>
      <c r="CND13" s="105"/>
      <c r="CNE13" s="106" t="s">
        <v>33</v>
      </c>
      <c r="CNF13" s="106"/>
      <c r="CNG13" s="107"/>
      <c r="CNH13" s="108">
        <v>350</v>
      </c>
      <c r="CNI13" s="109">
        <f t="shared" ref="CNI13:CNI20" si="189">+CNH13*$BZZ$7/1000</f>
        <v>12250</v>
      </c>
      <c r="CNJ13" s="110"/>
      <c r="CNK13" s="108" t="s">
        <v>35</v>
      </c>
      <c r="CNN13" s="105" t="s">
        <v>44</v>
      </c>
      <c r="CNO13" s="105"/>
      <c r="CNP13" s="105"/>
      <c r="CNQ13" s="106" t="s">
        <v>33</v>
      </c>
      <c r="CNR13" s="106"/>
      <c r="CNS13" s="107"/>
      <c r="CNT13" s="108">
        <v>350</v>
      </c>
      <c r="CNU13" s="109">
        <f t="shared" ref="CNU13:CNU20" si="190">+CNT13*$BZZ$7/1000</f>
        <v>12250</v>
      </c>
      <c r="CNV13" s="110"/>
      <c r="CNW13" s="108" t="s">
        <v>35</v>
      </c>
      <c r="CNZ13" s="105" t="s">
        <v>44</v>
      </c>
      <c r="COA13" s="105"/>
      <c r="COB13" s="105"/>
      <c r="COC13" s="106" t="s">
        <v>33</v>
      </c>
      <c r="COD13" s="106"/>
      <c r="COE13" s="107"/>
      <c r="COF13" s="108">
        <v>350</v>
      </c>
      <c r="COG13" s="109">
        <f t="shared" ref="COG13:COG20" si="191">+COF13*$BZZ$7/1000</f>
        <v>12250</v>
      </c>
      <c r="COH13" s="110"/>
      <c r="COI13" s="108" t="s">
        <v>35</v>
      </c>
      <c r="COL13" s="105" t="s">
        <v>44</v>
      </c>
      <c r="COM13" s="105"/>
      <c r="CON13" s="105"/>
      <c r="COO13" s="106" t="s">
        <v>33</v>
      </c>
      <c r="COP13" s="106"/>
      <c r="COQ13" s="107"/>
      <c r="COR13" s="108">
        <v>350</v>
      </c>
      <c r="COS13" s="109" t="s">
        <v>46</v>
      </c>
      <c r="COT13" s="110"/>
      <c r="COU13" s="108" t="s">
        <v>35</v>
      </c>
      <c r="COX13" s="105" t="s">
        <v>44</v>
      </c>
      <c r="COY13" s="105"/>
      <c r="COZ13" s="105"/>
      <c r="CPA13" s="106" t="s">
        <v>33</v>
      </c>
      <c r="CPB13" s="106"/>
      <c r="CPC13" s="107"/>
      <c r="CPD13" s="108">
        <v>350</v>
      </c>
      <c r="CPE13" s="109">
        <f>+CPD13*$BZZ$7/1000</f>
        <v>12250</v>
      </c>
      <c r="CPF13" s="110"/>
      <c r="CPG13" s="108" t="s">
        <v>35</v>
      </c>
      <c r="CPJ13" s="105" t="s">
        <v>44</v>
      </c>
      <c r="CPK13" s="105"/>
      <c r="CPL13" s="105"/>
      <c r="CPM13" s="106" t="s">
        <v>33</v>
      </c>
      <c r="CPN13" s="106"/>
      <c r="CPO13" s="107"/>
      <c r="CPP13" s="108">
        <v>350</v>
      </c>
      <c r="CPQ13" s="109">
        <f>+CPP13*$BZZ$7/1000</f>
        <v>12250</v>
      </c>
      <c r="CPR13" s="110"/>
      <c r="CPS13" s="108" t="s">
        <v>35</v>
      </c>
      <c r="CPV13" s="105" t="s">
        <v>44</v>
      </c>
      <c r="CPW13" s="105"/>
      <c r="CPX13" s="105"/>
      <c r="CPY13" s="106" t="s">
        <v>33</v>
      </c>
      <c r="CPZ13" s="106"/>
      <c r="CQA13" s="107"/>
      <c r="CQB13" s="108">
        <v>350</v>
      </c>
      <c r="CQC13" s="109">
        <f>+CQB13*$BZZ$7/1000</f>
        <v>12250</v>
      </c>
      <c r="CQD13" s="110"/>
      <c r="CQE13" s="108" t="s">
        <v>35</v>
      </c>
      <c r="CQH13" s="105" t="s">
        <v>44</v>
      </c>
      <c r="CQI13" s="105"/>
      <c r="CQJ13" s="105"/>
      <c r="CQK13" s="106" t="s">
        <v>33</v>
      </c>
      <c r="CQL13" s="106"/>
      <c r="CQM13" s="107"/>
      <c r="CQN13" s="108">
        <v>350</v>
      </c>
      <c r="CQO13" s="109">
        <f>+CQN13*$BZZ$7/1000</f>
        <v>12250</v>
      </c>
      <c r="CQP13" s="110"/>
      <c r="CQQ13" s="108" t="s">
        <v>35</v>
      </c>
      <c r="CQT13" s="105" t="s">
        <v>44</v>
      </c>
      <c r="CQU13" s="105"/>
      <c r="CQV13" s="105"/>
      <c r="CQW13" s="106" t="s">
        <v>33</v>
      </c>
      <c r="CQX13" s="106"/>
      <c r="CQY13" s="107"/>
      <c r="CQZ13" s="108">
        <v>350</v>
      </c>
      <c r="CRA13" s="109">
        <f>+CQZ13*$BZZ$7/1000</f>
        <v>12250</v>
      </c>
      <c r="CRB13" s="110"/>
      <c r="CRC13" s="108" t="s">
        <v>35</v>
      </c>
      <c r="CRF13" s="105" t="s">
        <v>44</v>
      </c>
      <c r="CRG13" s="105"/>
      <c r="CRH13" s="105"/>
      <c r="CRI13" s="106" t="s">
        <v>33</v>
      </c>
      <c r="CRJ13" s="106"/>
      <c r="CRK13" s="107"/>
      <c r="CRL13" s="108">
        <v>350</v>
      </c>
      <c r="CRM13" s="109">
        <f>+CRL13*$BZZ$7/1000</f>
        <v>12250</v>
      </c>
      <c r="CRN13" s="110"/>
      <c r="CRO13" s="108" t="s">
        <v>35</v>
      </c>
      <c r="CRR13" s="105" t="s">
        <v>44</v>
      </c>
      <c r="CRS13" s="105"/>
      <c r="CRT13" s="105"/>
      <c r="CRU13" s="106" t="s">
        <v>33</v>
      </c>
      <c r="CRV13" s="106"/>
      <c r="CRW13" s="107"/>
      <c r="CRX13" s="108">
        <v>350</v>
      </c>
      <c r="CRY13" s="109">
        <f>+CRX13*$BZZ$7/1000</f>
        <v>12250</v>
      </c>
      <c r="CRZ13" s="110"/>
      <c r="CSA13" s="108" t="s">
        <v>35</v>
      </c>
      <c r="CSD13" s="105" t="s">
        <v>44</v>
      </c>
      <c r="CSE13" s="105"/>
      <c r="CSF13" s="105"/>
      <c r="CSG13" s="106" t="s">
        <v>33</v>
      </c>
      <c r="CSH13" s="106"/>
      <c r="CSI13" s="107"/>
      <c r="CSJ13" s="108">
        <v>350</v>
      </c>
      <c r="CSK13" s="109">
        <f>+CSJ13*$BZZ$7/1000</f>
        <v>12250</v>
      </c>
      <c r="CSL13" s="110"/>
      <c r="CSM13" s="108" t="s">
        <v>35</v>
      </c>
      <c r="CSP13" s="105" t="s">
        <v>44</v>
      </c>
      <c r="CSQ13" s="105"/>
      <c r="CSR13" s="105"/>
      <c r="CSS13" s="106" t="s">
        <v>33</v>
      </c>
      <c r="CST13" s="106"/>
      <c r="CSU13" s="107"/>
      <c r="CSV13" s="108">
        <v>350</v>
      </c>
      <c r="CSW13" s="109">
        <f>+CSV13*$BZZ$7/1000</f>
        <v>12250</v>
      </c>
      <c r="CSX13" s="110"/>
      <c r="CSY13" s="108" t="s">
        <v>35</v>
      </c>
      <c r="CTB13" s="105" t="s">
        <v>44</v>
      </c>
      <c r="CTC13" s="105"/>
      <c r="CTD13" s="105"/>
      <c r="CTE13" s="106" t="s">
        <v>33</v>
      </c>
      <c r="CTF13" s="106"/>
      <c r="CTG13" s="107"/>
      <c r="CTH13" s="108">
        <v>350</v>
      </c>
      <c r="CTI13" s="109">
        <f>+CTH13*$BZZ$7/1000</f>
        <v>12250</v>
      </c>
      <c r="CTJ13" s="110"/>
      <c r="CTK13" s="108" t="s">
        <v>35</v>
      </c>
      <c r="CTN13" s="105" t="s">
        <v>44</v>
      </c>
      <c r="CTO13" s="105"/>
      <c r="CTP13" s="105"/>
      <c r="CTQ13" s="106" t="s">
        <v>33</v>
      </c>
      <c r="CTR13" s="106"/>
      <c r="CTS13" s="107"/>
      <c r="CTT13" s="108">
        <v>350</v>
      </c>
      <c r="CTU13" s="109">
        <f>+CTT13*$BZZ$7/1000</f>
        <v>12250</v>
      </c>
      <c r="CTV13" s="110"/>
      <c r="CTW13" s="108" t="s">
        <v>35</v>
      </c>
      <c r="CTZ13" s="105" t="s">
        <v>44</v>
      </c>
      <c r="CUA13" s="105"/>
      <c r="CUB13" s="105"/>
      <c r="CUC13" s="106" t="s">
        <v>33</v>
      </c>
      <c r="CUD13" s="106"/>
      <c r="CUE13" s="107"/>
      <c r="CUF13" s="108">
        <v>350</v>
      </c>
      <c r="CUG13" s="109">
        <f>+CUF13*$BZZ$7/1000</f>
        <v>12250</v>
      </c>
      <c r="CUH13" s="110"/>
      <c r="CUI13" s="108" t="s">
        <v>35</v>
      </c>
      <c r="CUL13" s="105" t="s">
        <v>44</v>
      </c>
      <c r="CUM13" s="105"/>
      <c r="CUN13" s="105"/>
      <c r="CUO13" s="106" t="s">
        <v>33</v>
      </c>
      <c r="CUP13" s="106"/>
      <c r="CUQ13" s="107"/>
      <c r="CUR13" s="108">
        <v>350</v>
      </c>
      <c r="CUS13" s="109">
        <f>+CUR13*$BZZ$7/1000</f>
        <v>12250</v>
      </c>
      <c r="CUT13" s="110"/>
      <c r="CUU13" s="108" t="s">
        <v>35</v>
      </c>
      <c r="CUX13" s="105" t="s">
        <v>44</v>
      </c>
      <c r="CUY13" s="105"/>
      <c r="CUZ13" s="105"/>
      <c r="CVA13" s="106" t="s">
        <v>33</v>
      </c>
      <c r="CVB13" s="106"/>
      <c r="CVC13" s="107"/>
      <c r="CVD13" s="108">
        <v>350</v>
      </c>
      <c r="CVE13" s="109">
        <f>+CVD13*$BZZ$7/1000</f>
        <v>12250</v>
      </c>
      <c r="CVF13" s="110"/>
      <c r="CVG13" s="108" t="s">
        <v>35</v>
      </c>
      <c r="CVJ13" s="105" t="s">
        <v>44</v>
      </c>
      <c r="CVK13" s="105"/>
      <c r="CVL13" s="105"/>
      <c r="CVM13" s="106" t="s">
        <v>33</v>
      </c>
      <c r="CVN13" s="106"/>
      <c r="CVO13" s="107"/>
      <c r="CVP13" s="108">
        <v>350</v>
      </c>
      <c r="CVQ13" s="109">
        <f>+CVP13*$BZZ$7/1000</f>
        <v>12250</v>
      </c>
      <c r="CVR13" s="110"/>
      <c r="CVS13" s="108" t="s">
        <v>35</v>
      </c>
      <c r="CVV13" s="105" t="s">
        <v>44</v>
      </c>
      <c r="CVW13" s="105"/>
      <c r="CVX13" s="105"/>
      <c r="CVY13" s="106" t="s">
        <v>33</v>
      </c>
      <c r="CVZ13" s="106"/>
      <c r="CWA13" s="107"/>
      <c r="CWB13" s="108">
        <v>350</v>
      </c>
      <c r="CWC13" s="109">
        <f t="shared" ref="CWC13:CWC19" si="192">IF(CVV13="","",+CWB13*CWD$7/1000)</f>
        <v>49000</v>
      </c>
      <c r="CWD13" s="110"/>
      <c r="CWE13" s="108" t="str">
        <f t="shared" ref="CWE13:CWE19" si="193">IF(CVV13="","","kg")</f>
        <v>kg</v>
      </c>
    </row>
    <row r="14" spans="1:1023 1026:2631" x14ac:dyDescent="0.25">
      <c r="A14" s="111"/>
      <c r="B14" s="89" t="s">
        <v>47</v>
      </c>
      <c r="C14" s="90"/>
      <c r="D14" s="91"/>
      <c r="E14" s="92">
        <v>0.05</v>
      </c>
      <c r="F14" s="93">
        <f t="shared" si="0"/>
        <v>1750</v>
      </c>
      <c r="H14" s="94"/>
      <c r="I14" s="94"/>
      <c r="J14" s="94"/>
      <c r="K14" s="95"/>
      <c r="L14" s="95"/>
      <c r="O14" s="111"/>
      <c r="P14" s="89" t="s">
        <v>47</v>
      </c>
      <c r="Q14" s="90"/>
      <c r="R14" s="91"/>
      <c r="S14" s="92">
        <v>0.05</v>
      </c>
      <c r="T14" s="93">
        <f>S14*$Z$7</f>
        <v>1750</v>
      </c>
      <c r="V14" s="94"/>
      <c r="W14" s="94"/>
      <c r="X14" s="94"/>
      <c r="Y14" s="95"/>
      <c r="Z14" s="95"/>
      <c r="AC14" s="96"/>
      <c r="AD14" s="89" t="s">
        <v>47</v>
      </c>
      <c r="AE14" s="90"/>
      <c r="AF14" s="91"/>
      <c r="AG14" s="92">
        <v>0.05</v>
      </c>
      <c r="AH14" s="93">
        <f t="shared" si="1"/>
        <v>1650</v>
      </c>
      <c r="AJ14" s="94"/>
      <c r="AK14" s="94"/>
      <c r="AL14" s="94"/>
      <c r="AM14" s="95"/>
      <c r="AN14" s="95"/>
      <c r="AQ14" s="111"/>
      <c r="AR14" s="89" t="s">
        <v>47</v>
      </c>
      <c r="AS14" s="90"/>
      <c r="AT14" s="91"/>
      <c r="AU14" s="92">
        <v>0.05</v>
      </c>
      <c r="AV14" s="93">
        <f t="shared" si="2"/>
        <v>1350</v>
      </c>
      <c r="AX14" s="94"/>
      <c r="AY14" s="94"/>
      <c r="AZ14" s="94"/>
      <c r="BA14" s="95"/>
      <c r="BB14" s="95"/>
      <c r="BE14" s="111"/>
      <c r="BF14" s="89" t="s">
        <v>47</v>
      </c>
      <c r="BG14" s="90"/>
      <c r="BH14" s="91"/>
      <c r="BI14" s="92">
        <v>0.05</v>
      </c>
      <c r="BJ14" s="93">
        <f t="shared" si="3"/>
        <v>1750</v>
      </c>
      <c r="BL14" s="94"/>
      <c r="BM14" s="94"/>
      <c r="BN14" s="94"/>
      <c r="BO14" s="95"/>
      <c r="BP14" s="95"/>
      <c r="BS14" s="111"/>
      <c r="BT14" s="89" t="s">
        <v>47</v>
      </c>
      <c r="BU14" s="90"/>
      <c r="BV14" s="91"/>
      <c r="BW14" s="92">
        <v>0.05</v>
      </c>
      <c r="BX14" s="93">
        <f t="shared" si="4"/>
        <v>1550</v>
      </c>
      <c r="BZ14" s="94"/>
      <c r="CA14" s="94"/>
      <c r="CB14" s="94"/>
      <c r="CC14" s="95"/>
      <c r="CD14" s="95"/>
      <c r="CG14" s="111"/>
      <c r="CH14" s="89" t="s">
        <v>47</v>
      </c>
      <c r="CI14" s="90"/>
      <c r="CJ14" s="91"/>
      <c r="CK14" s="92">
        <v>0.05</v>
      </c>
      <c r="CL14" s="93">
        <f t="shared" si="5"/>
        <v>1750</v>
      </c>
      <c r="CN14" s="94"/>
      <c r="CO14" s="94"/>
      <c r="CP14" s="94"/>
      <c r="CQ14" s="95"/>
      <c r="CR14" s="95"/>
      <c r="CU14" s="111"/>
      <c r="CV14" s="89" t="s">
        <v>47</v>
      </c>
      <c r="CW14" s="90"/>
      <c r="CX14" s="91"/>
      <c r="CY14" s="92">
        <v>0.05</v>
      </c>
      <c r="CZ14" s="93">
        <f t="shared" si="6"/>
        <v>1750</v>
      </c>
      <c r="DB14" s="94"/>
      <c r="DC14" s="94"/>
      <c r="DD14" s="94"/>
      <c r="DE14" s="95"/>
      <c r="DF14" s="95"/>
      <c r="DI14" s="111"/>
      <c r="DJ14" s="89" t="s">
        <v>47</v>
      </c>
      <c r="DK14" s="90"/>
      <c r="DL14" s="91"/>
      <c r="DM14" s="92">
        <v>0.05</v>
      </c>
      <c r="DN14" s="93">
        <f t="shared" si="7"/>
        <v>1750</v>
      </c>
      <c r="DP14" s="94"/>
      <c r="DQ14" s="94"/>
      <c r="DR14" s="94"/>
      <c r="DS14" s="95"/>
      <c r="DT14" s="95"/>
      <c r="DW14" s="111"/>
      <c r="DX14" s="89" t="s">
        <v>47</v>
      </c>
      <c r="DY14" s="90"/>
      <c r="DZ14" s="91"/>
      <c r="EA14" s="92">
        <v>0.05</v>
      </c>
      <c r="EB14" s="93">
        <f t="shared" si="8"/>
        <v>1750</v>
      </c>
      <c r="ED14" s="94"/>
      <c r="EE14" s="94"/>
      <c r="EF14" s="94"/>
      <c r="EG14" s="95"/>
      <c r="EH14" s="95"/>
      <c r="EK14" s="111"/>
      <c r="EL14" s="89"/>
      <c r="EM14" s="90"/>
      <c r="EN14" s="91"/>
      <c r="EO14" s="92"/>
      <c r="EP14" s="93">
        <f t="shared" si="9"/>
        <v>0</v>
      </c>
      <c r="ER14" s="94"/>
      <c r="ES14" s="94"/>
      <c r="ET14" s="94"/>
      <c r="EU14" s="95"/>
      <c r="EV14" s="95"/>
      <c r="EY14" s="111"/>
      <c r="EZ14" s="89"/>
      <c r="FA14" s="90"/>
      <c r="FB14" s="91"/>
      <c r="FC14" s="92"/>
      <c r="FD14" s="93">
        <f t="shared" si="10"/>
        <v>0</v>
      </c>
      <c r="FF14" s="94"/>
      <c r="FG14" s="94"/>
      <c r="FH14" s="94"/>
      <c r="FI14" s="95"/>
      <c r="FJ14" s="95"/>
      <c r="FM14" s="111"/>
      <c r="FN14" s="89"/>
      <c r="FO14" s="90"/>
      <c r="FP14" s="91"/>
      <c r="FQ14" s="92"/>
      <c r="FR14" s="93">
        <f t="shared" si="11"/>
        <v>0</v>
      </c>
      <c r="FT14" s="94"/>
      <c r="FU14" s="94"/>
      <c r="FV14" s="94"/>
      <c r="FW14" s="95"/>
      <c r="FX14" s="95"/>
      <c r="GA14" s="111"/>
      <c r="GB14" s="89"/>
      <c r="GC14" s="90"/>
      <c r="GD14" s="91"/>
      <c r="GE14" s="92"/>
      <c r="GF14" s="93">
        <f t="shared" si="12"/>
        <v>0</v>
      </c>
      <c r="GH14" s="94"/>
      <c r="GI14" s="94"/>
      <c r="GJ14" s="94"/>
      <c r="GK14" s="95"/>
      <c r="GL14" s="95"/>
      <c r="GO14" s="111"/>
      <c r="GP14" s="89"/>
      <c r="GQ14" s="90"/>
      <c r="GR14" s="91"/>
      <c r="GS14" s="92"/>
      <c r="GT14" s="93">
        <f t="shared" si="13"/>
        <v>0</v>
      </c>
      <c r="GV14" s="94"/>
      <c r="GW14" s="94"/>
      <c r="GX14" s="94"/>
      <c r="GY14" s="95"/>
      <c r="GZ14" s="95"/>
      <c r="HC14" s="111"/>
      <c r="HD14" s="89"/>
      <c r="HE14" s="90"/>
      <c r="HF14" s="91"/>
      <c r="HG14" s="92"/>
      <c r="HH14" s="93">
        <f t="shared" si="14"/>
        <v>0</v>
      </c>
      <c r="HJ14" s="94"/>
      <c r="HK14" s="94"/>
      <c r="HL14" s="94"/>
      <c r="HM14" s="95"/>
      <c r="HN14" s="95"/>
      <c r="HQ14" s="111"/>
      <c r="HR14" s="89"/>
      <c r="HS14" s="90"/>
      <c r="HT14" s="91"/>
      <c r="HU14" s="92"/>
      <c r="HV14" s="93">
        <f t="shared" si="15"/>
        <v>0</v>
      </c>
      <c r="HX14" s="94"/>
      <c r="HY14" s="94"/>
      <c r="HZ14" s="94"/>
      <c r="IA14" s="95"/>
      <c r="IB14" s="95"/>
      <c r="IE14" s="111"/>
      <c r="IF14" s="89"/>
      <c r="IG14" s="90"/>
      <c r="IH14" s="91"/>
      <c r="II14" s="92"/>
      <c r="IJ14" s="93">
        <f t="shared" si="16"/>
        <v>0</v>
      </c>
      <c r="IL14" s="94"/>
      <c r="IM14" s="94"/>
      <c r="IN14" s="94"/>
      <c r="IO14" s="95"/>
      <c r="IP14" s="95"/>
      <c r="IS14" s="111"/>
      <c r="IT14" s="89"/>
      <c r="IU14" s="90"/>
      <c r="IV14" s="91"/>
      <c r="IW14" s="92"/>
      <c r="IX14" s="93">
        <f t="shared" si="17"/>
        <v>0</v>
      </c>
      <c r="IZ14" s="94"/>
      <c r="JA14" s="94"/>
      <c r="JB14" s="94"/>
      <c r="JC14" s="95"/>
      <c r="JD14" s="95"/>
      <c r="JG14" s="111"/>
      <c r="JH14" s="89"/>
      <c r="JI14" s="90"/>
      <c r="JJ14" s="91"/>
      <c r="JK14" s="92"/>
      <c r="JL14" s="93">
        <f t="shared" si="18"/>
        <v>0</v>
      </c>
      <c r="JN14" s="94"/>
      <c r="JO14" s="94"/>
      <c r="JP14" s="94"/>
      <c r="JQ14" s="95"/>
      <c r="JR14" s="95"/>
      <c r="JU14" s="111"/>
      <c r="JV14" s="89"/>
      <c r="JW14" s="90"/>
      <c r="JX14" s="91"/>
      <c r="JY14" s="92"/>
      <c r="JZ14" s="93">
        <f t="shared" si="19"/>
        <v>0</v>
      </c>
      <c r="KB14" s="94"/>
      <c r="KC14" s="94"/>
      <c r="KD14" s="94"/>
      <c r="KE14" s="95"/>
      <c r="KF14" s="95"/>
      <c r="KI14" s="111"/>
      <c r="KJ14" s="89"/>
      <c r="KK14" s="90"/>
      <c r="KL14" s="91"/>
      <c r="KM14" s="92"/>
      <c r="KN14" s="93">
        <f t="shared" si="20"/>
        <v>0</v>
      </c>
      <c r="KP14" s="94"/>
      <c r="KQ14" s="94"/>
      <c r="KR14" s="94"/>
      <c r="KS14" s="95"/>
      <c r="KT14" s="95"/>
      <c r="KW14" s="96"/>
      <c r="KX14" s="89"/>
      <c r="KY14" s="90"/>
      <c r="KZ14" s="91"/>
      <c r="LA14" s="92"/>
      <c r="LB14" s="93">
        <f t="shared" si="21"/>
        <v>0</v>
      </c>
      <c r="LD14" s="94"/>
      <c r="LE14" s="94"/>
      <c r="LF14" s="94"/>
      <c r="LG14" s="95"/>
      <c r="LH14" s="95"/>
      <c r="LK14" s="96"/>
      <c r="LL14" s="89"/>
      <c r="LM14" s="90"/>
      <c r="LN14" s="91"/>
      <c r="LO14" s="92"/>
      <c r="LP14" s="93">
        <f t="shared" si="22"/>
        <v>0</v>
      </c>
      <c r="LR14" s="94"/>
      <c r="LS14" s="94"/>
      <c r="LT14" s="94"/>
      <c r="LU14" s="95"/>
      <c r="LV14" s="95"/>
      <c r="LY14" s="96"/>
      <c r="LZ14" s="89"/>
      <c r="MA14" s="90"/>
      <c r="MB14" s="91"/>
      <c r="MC14" s="92"/>
      <c r="MD14" s="93">
        <f t="shared" si="23"/>
        <v>0</v>
      </c>
      <c r="MF14" s="94"/>
      <c r="MG14" s="94"/>
      <c r="MH14" s="94"/>
      <c r="MI14" s="95"/>
      <c r="MJ14" s="95"/>
      <c r="MM14" s="96"/>
      <c r="MN14" s="89"/>
      <c r="MO14" s="90"/>
      <c r="MP14" s="91"/>
      <c r="MQ14" s="92"/>
      <c r="MR14" s="93">
        <f t="shared" si="24"/>
        <v>0</v>
      </c>
      <c r="MT14" s="94"/>
      <c r="MU14" s="94"/>
      <c r="MV14" s="94"/>
      <c r="MW14" s="95"/>
      <c r="MX14" s="95"/>
      <c r="NA14" s="96"/>
      <c r="NB14" s="89"/>
      <c r="NC14" s="90"/>
      <c r="ND14" s="91"/>
      <c r="NE14" s="92"/>
      <c r="NF14" s="93">
        <f t="shared" si="25"/>
        <v>0</v>
      </c>
      <c r="NH14" s="94"/>
      <c r="NI14" s="94"/>
      <c r="NJ14" s="94"/>
      <c r="NK14" s="95"/>
      <c r="NL14" s="95"/>
      <c r="NO14" s="96"/>
      <c r="NP14" s="89"/>
      <c r="NQ14" s="90"/>
      <c r="NR14" s="91"/>
      <c r="NS14" s="92"/>
      <c r="NT14" s="93">
        <f t="shared" si="26"/>
        <v>0</v>
      </c>
      <c r="NV14" s="94"/>
      <c r="NW14" s="94"/>
      <c r="NX14" s="94"/>
      <c r="NY14" s="95"/>
      <c r="NZ14" s="95"/>
      <c r="OC14" s="96"/>
      <c r="OD14" s="89"/>
      <c r="OE14" s="90"/>
      <c r="OF14" s="91"/>
      <c r="OG14" s="92"/>
      <c r="OH14" s="93">
        <f t="shared" si="27"/>
        <v>0</v>
      </c>
      <c r="OJ14" s="94"/>
      <c r="OK14" s="94"/>
      <c r="OL14" s="94"/>
      <c r="OM14" s="95"/>
      <c r="ON14" s="95"/>
      <c r="OQ14" s="96"/>
      <c r="OR14" s="89"/>
      <c r="OS14" s="90"/>
      <c r="OT14" s="91"/>
      <c r="OU14" s="92"/>
      <c r="OV14" s="93">
        <f t="shared" si="28"/>
        <v>0</v>
      </c>
      <c r="OX14" s="94"/>
      <c r="OY14" s="94"/>
      <c r="OZ14" s="94"/>
      <c r="PA14" s="95"/>
      <c r="PB14" s="95"/>
      <c r="PE14" s="96"/>
      <c r="PF14" s="89"/>
      <c r="PG14" s="90"/>
      <c r="PH14" s="91"/>
      <c r="PI14" s="92"/>
      <c r="PJ14" s="93">
        <f t="shared" si="29"/>
        <v>0</v>
      </c>
      <c r="PL14" s="94"/>
      <c r="PM14" s="94"/>
      <c r="PN14" s="94"/>
      <c r="PO14" s="95"/>
      <c r="PP14" s="95"/>
      <c r="PS14" s="96"/>
      <c r="PT14" s="89"/>
      <c r="PU14" s="90"/>
      <c r="PV14" s="91"/>
      <c r="PW14" s="92"/>
      <c r="PX14" s="93">
        <f t="shared" si="30"/>
        <v>0</v>
      </c>
      <c r="PZ14" s="94"/>
      <c r="QA14" s="94"/>
      <c r="QB14" s="94"/>
      <c r="QC14" s="95"/>
      <c r="QD14" s="95"/>
      <c r="QG14" s="96"/>
      <c r="QH14" s="89"/>
      <c r="QI14" s="90"/>
      <c r="QJ14" s="91"/>
      <c r="QK14" s="92"/>
      <c r="QL14" s="93">
        <f t="shared" si="31"/>
        <v>0</v>
      </c>
      <c r="QN14" s="94"/>
      <c r="QO14" s="94"/>
      <c r="QP14" s="94"/>
      <c r="QQ14" s="95"/>
      <c r="QR14" s="95"/>
      <c r="QU14" s="96"/>
      <c r="QV14" s="89"/>
      <c r="QW14" s="90"/>
      <c r="QX14" s="91"/>
      <c r="QY14" s="92"/>
      <c r="QZ14" s="93">
        <f t="shared" si="32"/>
        <v>0</v>
      </c>
      <c r="RB14" s="94"/>
      <c r="RC14" s="94"/>
      <c r="RD14" s="94"/>
      <c r="RE14" s="95"/>
      <c r="RF14" s="95"/>
      <c r="RI14" s="96"/>
      <c r="RJ14" s="89"/>
      <c r="RK14" s="90"/>
      <c r="RL14" s="91"/>
      <c r="RM14" s="92"/>
      <c r="RN14" s="93">
        <f t="shared" si="33"/>
        <v>0</v>
      </c>
      <c r="RP14" s="94"/>
      <c r="RQ14" s="94"/>
      <c r="RR14" s="94"/>
      <c r="RS14" s="95"/>
      <c r="RT14" s="95"/>
      <c r="RW14" s="96"/>
      <c r="RX14" s="89"/>
      <c r="RY14" s="90"/>
      <c r="RZ14" s="91"/>
      <c r="SA14" s="92"/>
      <c r="SB14" s="93">
        <f t="shared" si="34"/>
        <v>0</v>
      </c>
      <c r="SD14" s="94"/>
      <c r="SE14" s="94"/>
      <c r="SF14" s="94"/>
      <c r="SG14" s="95"/>
      <c r="SH14" s="95"/>
      <c r="SK14" s="96"/>
      <c r="SL14" s="89"/>
      <c r="SM14" s="90"/>
      <c r="SN14" s="91"/>
      <c r="SO14" s="92"/>
      <c r="SP14" s="93">
        <f t="shared" si="35"/>
        <v>0</v>
      </c>
      <c r="SR14" s="94"/>
      <c r="SS14" s="94"/>
      <c r="ST14" s="94"/>
      <c r="SU14" s="95"/>
      <c r="SV14" s="95"/>
      <c r="SY14" s="96"/>
      <c r="SZ14" s="89"/>
      <c r="TA14" s="90"/>
      <c r="TB14" s="91"/>
      <c r="TC14" s="92"/>
      <c r="TD14" s="93">
        <f t="shared" si="36"/>
        <v>0</v>
      </c>
      <c r="TF14" s="94"/>
      <c r="TG14" s="94"/>
      <c r="TH14" s="94"/>
      <c r="TI14" s="95"/>
      <c r="TJ14" s="95"/>
      <c r="TM14" s="96"/>
      <c r="TN14" s="89"/>
      <c r="TO14" s="90"/>
      <c r="TP14" s="91"/>
      <c r="TQ14" s="92"/>
      <c r="TR14" s="93">
        <f t="shared" si="37"/>
        <v>0</v>
      </c>
      <c r="TT14" s="94"/>
      <c r="TU14" s="94"/>
      <c r="TV14" s="94"/>
      <c r="TW14" s="95"/>
      <c r="TX14" s="95"/>
      <c r="UA14" s="96"/>
      <c r="UB14" s="89"/>
      <c r="UC14" s="90"/>
      <c r="UD14" s="91"/>
      <c r="UE14" s="92"/>
      <c r="UF14" s="93">
        <f t="shared" si="38"/>
        <v>0</v>
      </c>
      <c r="UH14" s="94"/>
      <c r="UI14" s="94"/>
      <c r="UJ14" s="94"/>
      <c r="UK14" s="95"/>
      <c r="UL14" s="95"/>
      <c r="UO14" s="96"/>
      <c r="UP14" s="89"/>
      <c r="UQ14" s="90"/>
      <c r="UR14" s="91"/>
      <c r="US14" s="92"/>
      <c r="UT14" s="93">
        <f t="shared" si="39"/>
        <v>0</v>
      </c>
      <c r="UV14" s="94"/>
      <c r="UW14" s="94"/>
      <c r="UX14" s="94"/>
      <c r="UY14" s="95"/>
      <c r="UZ14" s="95"/>
      <c r="VC14" s="96"/>
      <c r="VD14" s="89"/>
      <c r="VE14" s="90"/>
      <c r="VF14" s="91"/>
      <c r="VG14" s="92"/>
      <c r="VH14" s="93">
        <f t="shared" si="40"/>
        <v>0</v>
      </c>
      <c r="VJ14" s="94"/>
      <c r="VK14" s="94"/>
      <c r="VL14" s="94"/>
      <c r="VM14" s="95"/>
      <c r="VN14" s="95"/>
      <c r="VQ14" s="96"/>
      <c r="VR14" s="89"/>
      <c r="VS14" s="90"/>
      <c r="VT14" s="91"/>
      <c r="VU14" s="92"/>
      <c r="VV14" s="93">
        <f t="shared" si="41"/>
        <v>0</v>
      </c>
      <c r="VX14" s="94"/>
      <c r="VY14" s="94"/>
      <c r="VZ14" s="94"/>
      <c r="WA14" s="95"/>
      <c r="WB14" s="95"/>
      <c r="WE14" s="96"/>
      <c r="WF14" s="89"/>
      <c r="WG14" s="90"/>
      <c r="WH14" s="91"/>
      <c r="WI14" s="92"/>
      <c r="WJ14" s="93">
        <f t="shared" si="42"/>
        <v>0</v>
      </c>
      <c r="WL14" s="94"/>
      <c r="WM14" s="94"/>
      <c r="WN14" s="94"/>
      <c r="WO14" s="95"/>
      <c r="WP14" s="95"/>
      <c r="WS14" s="96"/>
      <c r="WT14" s="89"/>
      <c r="WU14" s="90"/>
      <c r="WV14" s="91"/>
      <c r="WW14" s="92"/>
      <c r="WX14" s="93">
        <f t="shared" si="43"/>
        <v>0</v>
      </c>
      <c r="WZ14" s="94"/>
      <c r="XA14" s="94"/>
      <c r="XB14" s="94"/>
      <c r="XC14" s="95"/>
      <c r="XD14" s="95"/>
      <c r="XG14" s="96"/>
      <c r="XH14" s="89"/>
      <c r="XI14" s="90"/>
      <c r="XJ14" s="91"/>
      <c r="XK14" s="92"/>
      <c r="XL14" s="93">
        <f t="shared" si="44"/>
        <v>0</v>
      </c>
      <c r="XN14" s="94"/>
      <c r="XO14" s="94"/>
      <c r="XP14" s="94"/>
      <c r="XQ14" s="95"/>
      <c r="XR14" s="95"/>
      <c r="XU14" s="96"/>
      <c r="XV14" s="89"/>
      <c r="XW14" s="90"/>
      <c r="XX14" s="91"/>
      <c r="XY14" s="92"/>
      <c r="XZ14" s="93">
        <f t="shared" si="45"/>
        <v>0</v>
      </c>
      <c r="YB14" s="94"/>
      <c r="YC14" s="94"/>
      <c r="YD14" s="94"/>
      <c r="YE14" s="95"/>
      <c r="YF14" s="95"/>
      <c r="YI14" s="96"/>
      <c r="YJ14" s="89"/>
      <c r="YK14" s="90"/>
      <c r="YL14" s="91"/>
      <c r="YM14" s="92"/>
      <c r="YN14" s="93">
        <f t="shared" si="46"/>
        <v>0</v>
      </c>
      <c r="YP14" s="94"/>
      <c r="YQ14" s="94"/>
      <c r="YR14" s="94"/>
      <c r="YS14" s="95"/>
      <c r="YT14" s="95"/>
      <c r="YW14" s="96"/>
      <c r="YX14" s="89"/>
      <c r="YY14" s="90"/>
      <c r="YZ14" s="91"/>
      <c r="ZA14" s="92"/>
      <c r="ZB14" s="93"/>
      <c r="ZD14" s="94"/>
      <c r="ZE14" s="94"/>
      <c r="ZF14" s="94"/>
      <c r="ZG14" s="95"/>
      <c r="ZH14" s="95"/>
      <c r="ZK14" s="96"/>
      <c r="ZL14" s="89"/>
      <c r="ZM14" s="90"/>
      <c r="ZN14" s="91"/>
      <c r="ZO14" s="92"/>
      <c r="ZP14" s="93"/>
      <c r="ZR14" s="94"/>
      <c r="ZS14" s="94"/>
      <c r="ZT14" s="94"/>
      <c r="ZU14" s="95"/>
      <c r="ZV14" s="95"/>
      <c r="ZZ14" s="105" t="s">
        <v>48</v>
      </c>
      <c r="AAA14" s="105"/>
      <c r="AAB14" s="105"/>
      <c r="AAC14" s="106" t="s">
        <v>40</v>
      </c>
      <c r="AAD14" s="106"/>
      <c r="AAE14" s="107"/>
      <c r="AAF14" s="108">
        <v>600</v>
      </c>
      <c r="AAG14" s="109">
        <f t="shared" si="49"/>
        <v>0</v>
      </c>
      <c r="AAH14" s="110"/>
      <c r="AAI14" s="108" t="s">
        <v>35</v>
      </c>
      <c r="AAM14" s="105" t="s">
        <v>48</v>
      </c>
      <c r="AAN14" s="105"/>
      <c r="AAO14" s="105"/>
      <c r="AAP14" s="106" t="s">
        <v>40</v>
      </c>
      <c r="AAQ14" s="106"/>
      <c r="AAR14" s="107"/>
      <c r="AAS14" s="108">
        <v>600</v>
      </c>
      <c r="AAT14" s="109">
        <f t="shared" si="50"/>
        <v>21000</v>
      </c>
      <c r="AAU14" s="110"/>
      <c r="AAV14" s="108" t="s">
        <v>35</v>
      </c>
      <c r="AAZ14" s="105" t="s">
        <v>48</v>
      </c>
      <c r="ABA14" s="105"/>
      <c r="ABB14" s="105"/>
      <c r="ABC14" s="106" t="s">
        <v>40</v>
      </c>
      <c r="ABD14" s="106"/>
      <c r="ABE14" s="107"/>
      <c r="ABF14" s="108">
        <v>600</v>
      </c>
      <c r="ABG14" s="109">
        <f t="shared" si="51"/>
        <v>21000</v>
      </c>
      <c r="ABH14" s="110"/>
      <c r="ABI14" s="108" t="s">
        <v>35</v>
      </c>
      <c r="ABM14" s="105" t="s">
        <v>48</v>
      </c>
      <c r="ABN14" s="105"/>
      <c r="ABO14" s="105"/>
      <c r="ABP14" s="106" t="s">
        <v>40</v>
      </c>
      <c r="ABQ14" s="106"/>
      <c r="ABR14" s="107"/>
      <c r="ABS14" s="108">
        <v>600</v>
      </c>
      <c r="ABT14" s="109">
        <f t="shared" si="52"/>
        <v>21000</v>
      </c>
      <c r="ABU14" s="110"/>
      <c r="ABV14" s="108" t="s">
        <v>35</v>
      </c>
      <c r="ABZ14" s="105" t="s">
        <v>48</v>
      </c>
      <c r="ACA14" s="105"/>
      <c r="ACB14" s="105"/>
      <c r="ACC14" s="106" t="s">
        <v>40</v>
      </c>
      <c r="ACD14" s="106"/>
      <c r="ACE14" s="107"/>
      <c r="ACF14" s="108">
        <v>600</v>
      </c>
      <c r="ACG14" s="109">
        <f t="shared" si="53"/>
        <v>21000</v>
      </c>
      <c r="ACH14" s="110"/>
      <c r="ACI14" s="108" t="s">
        <v>35</v>
      </c>
      <c r="ACM14" s="105" t="s">
        <v>48</v>
      </c>
      <c r="ACN14" s="105"/>
      <c r="ACO14" s="105"/>
      <c r="ACP14" s="106" t="s">
        <v>40</v>
      </c>
      <c r="ACQ14" s="106"/>
      <c r="ACR14" s="107"/>
      <c r="ACS14" s="108">
        <v>600</v>
      </c>
      <c r="ACT14" s="109">
        <f t="shared" si="54"/>
        <v>21000</v>
      </c>
      <c r="ACU14" s="110"/>
      <c r="ACV14" s="108" t="s">
        <v>35</v>
      </c>
      <c r="ACZ14" s="105" t="s">
        <v>48</v>
      </c>
      <c r="ADA14" s="105"/>
      <c r="ADB14" s="105"/>
      <c r="ADC14" s="106" t="s">
        <v>40</v>
      </c>
      <c r="ADD14" s="106"/>
      <c r="ADE14" s="107"/>
      <c r="ADF14" s="108">
        <v>600</v>
      </c>
      <c r="ADG14" s="109">
        <f t="shared" si="55"/>
        <v>21000</v>
      </c>
      <c r="ADH14" s="110"/>
      <c r="ADI14" s="108" t="s">
        <v>35</v>
      </c>
      <c r="ADM14" s="105" t="s">
        <v>48</v>
      </c>
      <c r="ADN14" s="105"/>
      <c r="ADO14" s="105"/>
      <c r="ADP14" s="106" t="s">
        <v>49</v>
      </c>
      <c r="ADQ14" s="106"/>
      <c r="ADR14" s="107"/>
      <c r="ADS14" s="108">
        <v>600</v>
      </c>
      <c r="ADT14" s="109">
        <f t="shared" si="56"/>
        <v>21000</v>
      </c>
      <c r="ADU14" s="110"/>
      <c r="ADV14" s="108" t="s">
        <v>35</v>
      </c>
      <c r="ADZ14" s="105" t="s">
        <v>48</v>
      </c>
      <c r="AEA14" s="105"/>
      <c r="AEB14" s="105"/>
      <c r="AEC14" s="106" t="s">
        <v>49</v>
      </c>
      <c r="AED14" s="106"/>
      <c r="AEE14" s="107"/>
      <c r="AEF14" s="108">
        <v>600</v>
      </c>
      <c r="AEG14" s="109">
        <f t="shared" si="57"/>
        <v>21000</v>
      </c>
      <c r="AEH14" s="110"/>
      <c r="AEI14" s="108" t="s">
        <v>35</v>
      </c>
      <c r="AEM14" s="105" t="s">
        <v>48</v>
      </c>
      <c r="AEN14" s="105"/>
      <c r="AEO14" s="105"/>
      <c r="AEP14" s="106" t="s">
        <v>49</v>
      </c>
      <c r="AEQ14" s="106"/>
      <c r="AER14" s="107"/>
      <c r="AES14" s="108">
        <v>600</v>
      </c>
      <c r="AET14" s="109">
        <f t="shared" si="58"/>
        <v>21000</v>
      </c>
      <c r="AEU14" s="110"/>
      <c r="AEV14" s="108" t="s">
        <v>35</v>
      </c>
      <c r="AEZ14" s="105" t="s">
        <v>48</v>
      </c>
      <c r="AFA14" s="105"/>
      <c r="AFB14" s="105"/>
      <c r="AFC14" s="106" t="s">
        <v>49</v>
      </c>
      <c r="AFD14" s="106"/>
      <c r="AFE14" s="107"/>
      <c r="AFF14" s="108">
        <v>600</v>
      </c>
      <c r="AFG14" s="109">
        <f t="shared" si="59"/>
        <v>21000</v>
      </c>
      <c r="AFH14" s="110"/>
      <c r="AFI14" s="108" t="s">
        <v>35</v>
      </c>
      <c r="AFM14" s="105" t="s">
        <v>48</v>
      </c>
      <c r="AFN14" s="105"/>
      <c r="AFO14" s="105"/>
      <c r="AFP14" s="106" t="s">
        <v>49</v>
      </c>
      <c r="AFQ14" s="106"/>
      <c r="AFR14" s="107"/>
      <c r="AFS14" s="108">
        <v>600</v>
      </c>
      <c r="AFT14" s="109">
        <f t="shared" si="60"/>
        <v>21000</v>
      </c>
      <c r="AFU14" s="110"/>
      <c r="AFV14" s="108" t="s">
        <v>35</v>
      </c>
      <c r="AFZ14" s="105" t="s">
        <v>48</v>
      </c>
      <c r="AGA14" s="105"/>
      <c r="AGB14" s="105"/>
      <c r="AGC14" s="106" t="s">
        <v>49</v>
      </c>
      <c r="AGD14" s="106"/>
      <c r="AGE14" s="107"/>
      <c r="AGF14" s="108">
        <v>600</v>
      </c>
      <c r="AGG14" s="109">
        <f t="shared" si="61"/>
        <v>10800</v>
      </c>
      <c r="AGH14" s="110"/>
      <c r="AGI14" s="108" t="s">
        <v>35</v>
      </c>
      <c r="AGL14" s="105" t="s">
        <v>48</v>
      </c>
      <c r="AGM14" s="105"/>
      <c r="AGN14" s="105"/>
      <c r="AGO14" s="106" t="s">
        <v>49</v>
      </c>
      <c r="AGP14" s="106"/>
      <c r="AGQ14" s="107"/>
      <c r="AGR14" s="108">
        <v>600</v>
      </c>
      <c r="AGS14" s="109">
        <f t="shared" si="62"/>
        <v>13200</v>
      </c>
      <c r="AGT14" s="110"/>
      <c r="AGU14" s="108" t="s">
        <v>35</v>
      </c>
      <c r="AGX14" s="105" t="s">
        <v>48</v>
      </c>
      <c r="AGY14" s="105"/>
      <c r="AGZ14" s="105"/>
      <c r="AHA14" s="106" t="s">
        <v>49</v>
      </c>
      <c r="AHB14" s="106"/>
      <c r="AHC14" s="107"/>
      <c r="AHD14" s="108">
        <v>600</v>
      </c>
      <c r="AHE14" s="109">
        <f t="shared" si="63"/>
        <v>21000</v>
      </c>
      <c r="AHF14" s="110"/>
      <c r="AHG14" s="108" t="s">
        <v>35</v>
      </c>
      <c r="AHJ14" s="105" t="s">
        <v>48</v>
      </c>
      <c r="AHK14" s="105"/>
      <c r="AHL14" s="105"/>
      <c r="AHM14" s="106" t="s">
        <v>49</v>
      </c>
      <c r="AHN14" s="106"/>
      <c r="AHO14" s="107"/>
      <c r="AHP14" s="108">
        <v>600</v>
      </c>
      <c r="AHQ14" s="109">
        <f t="shared" si="64"/>
        <v>21000</v>
      </c>
      <c r="AHR14" s="110"/>
      <c r="AHS14" s="108" t="s">
        <v>35</v>
      </c>
      <c r="AHV14" s="105" t="s">
        <v>48</v>
      </c>
      <c r="AHW14" s="105"/>
      <c r="AHX14" s="105"/>
      <c r="AHY14" s="106" t="s">
        <v>49</v>
      </c>
      <c r="AHZ14" s="106"/>
      <c r="AIA14" s="107"/>
      <c r="AIB14" s="108">
        <v>600</v>
      </c>
      <c r="AIC14" s="109">
        <f t="shared" si="65"/>
        <v>21000</v>
      </c>
      <c r="AID14" s="110"/>
      <c r="AIE14" s="108" t="s">
        <v>35</v>
      </c>
      <c r="AIH14" s="105" t="s">
        <v>48</v>
      </c>
      <c r="AII14" s="105"/>
      <c r="AIJ14" s="105"/>
      <c r="AIK14" s="106" t="s">
        <v>49</v>
      </c>
      <c r="AIL14" s="106"/>
      <c r="AIM14" s="107"/>
      <c r="AIN14" s="108">
        <v>600</v>
      </c>
      <c r="AIO14" s="109">
        <f t="shared" si="66"/>
        <v>12000</v>
      </c>
      <c r="AIP14" s="110"/>
      <c r="AIQ14" s="108" t="s">
        <v>35</v>
      </c>
      <c r="AIT14" s="105" t="s">
        <v>48</v>
      </c>
      <c r="AIU14" s="105"/>
      <c r="AIV14" s="105"/>
      <c r="AIW14" s="106" t="s">
        <v>49</v>
      </c>
      <c r="AIX14" s="106"/>
      <c r="AIY14" s="107"/>
      <c r="AIZ14" s="108">
        <v>600</v>
      </c>
      <c r="AJA14" s="109">
        <f t="shared" si="67"/>
        <v>21000</v>
      </c>
      <c r="AJB14" s="110"/>
      <c r="AJC14" s="108" t="s">
        <v>35</v>
      </c>
      <c r="AJF14" s="105" t="s">
        <v>48</v>
      </c>
      <c r="AJG14" s="105"/>
      <c r="AJH14" s="105"/>
      <c r="AJI14" s="106" t="s">
        <v>49</v>
      </c>
      <c r="AJJ14" s="106"/>
      <c r="AJK14" s="107"/>
      <c r="AJL14" s="108">
        <v>600</v>
      </c>
      <c r="AJM14" s="109">
        <f t="shared" si="68"/>
        <v>21000</v>
      </c>
      <c r="AJN14" s="110"/>
      <c r="AJO14" s="108" t="s">
        <v>35</v>
      </c>
      <c r="AJR14" s="105" t="s">
        <v>48</v>
      </c>
      <c r="AJS14" s="105"/>
      <c r="AJT14" s="105"/>
      <c r="AJU14" s="106" t="s">
        <v>49</v>
      </c>
      <c r="AJV14" s="106"/>
      <c r="AJW14" s="107"/>
      <c r="AJX14" s="108">
        <v>600</v>
      </c>
      <c r="AJY14" s="109">
        <f t="shared" si="69"/>
        <v>21000</v>
      </c>
      <c r="AJZ14" s="110"/>
      <c r="AKA14" s="108" t="s">
        <v>35</v>
      </c>
      <c r="AKD14" s="105" t="s">
        <v>48</v>
      </c>
      <c r="AKE14" s="105"/>
      <c r="AKF14" s="105"/>
      <c r="AKG14" s="106" t="s">
        <v>49</v>
      </c>
      <c r="AKH14" s="106"/>
      <c r="AKI14" s="107"/>
      <c r="AKJ14" s="108">
        <v>600</v>
      </c>
      <c r="AKK14" s="109">
        <f t="shared" si="70"/>
        <v>6600</v>
      </c>
      <c r="AKL14" s="110"/>
      <c r="AKM14" s="108" t="s">
        <v>35</v>
      </c>
      <c r="AKP14" s="105" t="s">
        <v>48</v>
      </c>
      <c r="AKQ14" s="105"/>
      <c r="AKR14" s="105"/>
      <c r="AKS14" s="106" t="s">
        <v>49</v>
      </c>
      <c r="AKT14" s="106"/>
      <c r="AKU14" s="107"/>
      <c r="AKV14" s="108">
        <v>600</v>
      </c>
      <c r="AKW14" s="109">
        <f t="shared" si="71"/>
        <v>6600</v>
      </c>
      <c r="AKX14" s="110"/>
      <c r="AKY14" s="108" t="s">
        <v>35</v>
      </c>
      <c r="ALB14" s="105" t="s">
        <v>48</v>
      </c>
      <c r="ALC14" s="105"/>
      <c r="ALD14" s="105"/>
      <c r="ALE14" s="106" t="s">
        <v>49</v>
      </c>
      <c r="ALF14" s="106"/>
      <c r="ALG14" s="107"/>
      <c r="ALH14" s="108">
        <v>600</v>
      </c>
      <c r="ALI14" s="109">
        <f t="shared" si="72"/>
        <v>4200</v>
      </c>
      <c r="ALJ14" s="110"/>
      <c r="ALK14" s="108" t="s">
        <v>35</v>
      </c>
      <c r="ALN14" s="105" t="s">
        <v>48</v>
      </c>
      <c r="ALO14" s="105"/>
      <c r="ALP14" s="105"/>
      <c r="ALQ14" s="106" t="s">
        <v>49</v>
      </c>
      <c r="ALR14" s="106"/>
      <c r="ALS14" s="107"/>
      <c r="ALT14" s="108">
        <v>600</v>
      </c>
      <c r="ALU14" s="109">
        <f t="shared" si="73"/>
        <v>21000</v>
      </c>
      <c r="ALV14" s="110"/>
      <c r="ALW14" s="108" t="s">
        <v>35</v>
      </c>
      <c r="ALZ14" s="105" t="s">
        <v>48</v>
      </c>
      <c r="AMA14" s="105"/>
      <c r="AMB14" s="105"/>
      <c r="AMC14" s="106" t="s">
        <v>49</v>
      </c>
      <c r="AMD14" s="106"/>
      <c r="AME14" s="107"/>
      <c r="AMF14" s="108">
        <v>600</v>
      </c>
      <c r="AMG14" s="109">
        <f t="shared" si="74"/>
        <v>7800</v>
      </c>
      <c r="AMH14" s="110"/>
      <c r="AMI14" s="108" t="s">
        <v>35</v>
      </c>
      <c r="AML14" s="105" t="s">
        <v>48</v>
      </c>
      <c r="AMM14" s="105"/>
      <c r="AMN14" s="105"/>
      <c r="AMO14" s="106" t="s">
        <v>49</v>
      </c>
      <c r="AMP14" s="106"/>
      <c r="AMQ14" s="107"/>
      <c r="AMR14" s="108">
        <v>600</v>
      </c>
      <c r="AMS14" s="109">
        <f t="shared" si="75"/>
        <v>21000</v>
      </c>
      <c r="AMT14" s="110"/>
      <c r="AMU14" s="108" t="s">
        <v>35</v>
      </c>
      <c r="AMX14" s="105" t="s">
        <v>48</v>
      </c>
      <c r="AMY14" s="105"/>
      <c r="AMZ14" s="105"/>
      <c r="ANA14" s="106" t="s">
        <v>49</v>
      </c>
      <c r="ANB14" s="106"/>
      <c r="ANC14" s="107"/>
      <c r="AND14" s="108">
        <v>600</v>
      </c>
      <c r="ANE14" s="109">
        <f t="shared" si="76"/>
        <v>8400</v>
      </c>
      <c r="ANF14" s="110"/>
      <c r="ANG14" s="108" t="s">
        <v>35</v>
      </c>
      <c r="ANJ14" s="105" t="s">
        <v>48</v>
      </c>
      <c r="ANK14" s="105"/>
      <c r="ANL14" s="105"/>
      <c r="ANM14" s="106" t="s">
        <v>49</v>
      </c>
      <c r="ANN14" s="106"/>
      <c r="ANO14" s="107"/>
      <c r="ANP14" s="108">
        <v>600</v>
      </c>
      <c r="ANQ14" s="109">
        <f t="shared" si="77"/>
        <v>21000</v>
      </c>
      <c r="ANR14" s="110"/>
      <c r="ANS14" s="108" t="s">
        <v>35</v>
      </c>
      <c r="ANV14" s="105" t="s">
        <v>48</v>
      </c>
      <c r="ANW14" s="105"/>
      <c r="ANX14" s="105"/>
      <c r="ANY14" s="106" t="s">
        <v>49</v>
      </c>
      <c r="ANZ14" s="106"/>
      <c r="AOA14" s="107"/>
      <c r="AOB14" s="108">
        <v>600</v>
      </c>
      <c r="AOC14" s="109">
        <f t="shared" si="78"/>
        <v>21000</v>
      </c>
      <c r="AOD14" s="110"/>
      <c r="AOE14" s="108" t="s">
        <v>35</v>
      </c>
      <c r="AOH14" s="105" t="s">
        <v>48</v>
      </c>
      <c r="AOI14" s="105"/>
      <c r="AOJ14" s="105"/>
      <c r="AOK14" s="106" t="s">
        <v>49</v>
      </c>
      <c r="AOL14" s="106"/>
      <c r="AOM14" s="107"/>
      <c r="AON14" s="108">
        <v>600</v>
      </c>
      <c r="AOO14" s="109">
        <f t="shared" si="79"/>
        <v>21000</v>
      </c>
      <c r="AOP14" s="110"/>
      <c r="AOQ14" s="108" t="s">
        <v>35</v>
      </c>
      <c r="AOT14" s="105" t="s">
        <v>48</v>
      </c>
      <c r="AOU14" s="105"/>
      <c r="AOV14" s="105"/>
      <c r="AOW14" s="106" t="s">
        <v>49</v>
      </c>
      <c r="AOX14" s="106"/>
      <c r="AOY14" s="107"/>
      <c r="AOZ14" s="108">
        <v>600</v>
      </c>
      <c r="APA14" s="109">
        <f t="shared" si="80"/>
        <v>21000</v>
      </c>
      <c r="APB14" s="110"/>
      <c r="APC14" s="108" t="s">
        <v>35</v>
      </c>
      <c r="APF14" s="105" t="s">
        <v>48</v>
      </c>
      <c r="APG14" s="105"/>
      <c r="APH14" s="105"/>
      <c r="API14" s="106" t="s">
        <v>49</v>
      </c>
      <c r="APJ14" s="106"/>
      <c r="APK14" s="107"/>
      <c r="APL14" s="108">
        <v>600</v>
      </c>
      <c r="APM14" s="109">
        <f t="shared" si="81"/>
        <v>21000</v>
      </c>
      <c r="APN14" s="110"/>
      <c r="APO14" s="108" t="s">
        <v>35</v>
      </c>
      <c r="APR14" s="105" t="s">
        <v>48</v>
      </c>
      <c r="APS14" s="105"/>
      <c r="APT14" s="105"/>
      <c r="APU14" s="106" t="s">
        <v>49</v>
      </c>
      <c r="APV14" s="106"/>
      <c r="APW14" s="107"/>
      <c r="APX14" s="108">
        <v>600</v>
      </c>
      <c r="APY14" s="109">
        <f t="shared" si="82"/>
        <v>21000</v>
      </c>
      <c r="APZ14" s="110"/>
      <c r="AQA14" s="108" t="s">
        <v>35</v>
      </c>
      <c r="AQD14" s="105" t="s">
        <v>48</v>
      </c>
      <c r="AQE14" s="105"/>
      <c r="AQF14" s="105"/>
      <c r="AQG14" s="106" t="s">
        <v>49</v>
      </c>
      <c r="AQH14" s="106"/>
      <c r="AQI14" s="107"/>
      <c r="AQJ14" s="108">
        <v>600</v>
      </c>
      <c r="AQK14" s="109">
        <f t="shared" si="83"/>
        <v>3600</v>
      </c>
      <c r="AQL14" s="110"/>
      <c r="AQM14" s="108" t="s">
        <v>35</v>
      </c>
      <c r="AQP14" s="105" t="s">
        <v>48</v>
      </c>
      <c r="AQQ14" s="105"/>
      <c r="AQR14" s="105"/>
      <c r="AQS14" s="106" t="s">
        <v>49</v>
      </c>
      <c r="AQT14" s="106"/>
      <c r="AQU14" s="107"/>
      <c r="AQV14" s="108">
        <v>600</v>
      </c>
      <c r="AQW14" s="109">
        <f t="shared" si="84"/>
        <v>21000</v>
      </c>
      <c r="AQX14" s="110"/>
      <c r="AQY14" s="108" t="s">
        <v>35</v>
      </c>
      <c r="ARB14" s="105" t="s">
        <v>48</v>
      </c>
      <c r="ARC14" s="105"/>
      <c r="ARD14" s="105"/>
      <c r="ARE14" s="106" t="s">
        <v>49</v>
      </c>
      <c r="ARF14" s="106"/>
      <c r="ARG14" s="107"/>
      <c r="ARH14" s="108">
        <v>600</v>
      </c>
      <c r="ARI14" s="109">
        <f t="shared" si="85"/>
        <v>21000</v>
      </c>
      <c r="ARJ14" s="110"/>
      <c r="ARK14" s="108" t="s">
        <v>35</v>
      </c>
      <c r="ARN14" s="105" t="s">
        <v>48</v>
      </c>
      <c r="ARO14" s="105"/>
      <c r="ARP14" s="105"/>
      <c r="ARQ14" s="106" t="s">
        <v>40</v>
      </c>
      <c r="ARR14" s="106"/>
      <c r="ARS14" s="107"/>
      <c r="ART14" s="108">
        <v>600</v>
      </c>
      <c r="ARU14" s="109">
        <f t="shared" si="86"/>
        <v>12000</v>
      </c>
      <c r="ARV14" s="110"/>
      <c r="ARW14" s="108" t="s">
        <v>35</v>
      </c>
      <c r="ARZ14" s="105" t="s">
        <v>48</v>
      </c>
      <c r="ASA14" s="105"/>
      <c r="ASB14" s="105"/>
      <c r="ASC14" s="106" t="s">
        <v>40</v>
      </c>
      <c r="ASD14" s="106"/>
      <c r="ASE14" s="107"/>
      <c r="ASF14" s="108">
        <v>600</v>
      </c>
      <c r="ASG14" s="109">
        <f t="shared" si="87"/>
        <v>21000</v>
      </c>
      <c r="ASH14" s="110"/>
      <c r="ASI14" s="108" t="s">
        <v>35</v>
      </c>
      <c r="ASL14" s="105" t="s">
        <v>48</v>
      </c>
      <c r="ASM14" s="105"/>
      <c r="ASN14" s="105"/>
      <c r="ASO14" s="106" t="s">
        <v>40</v>
      </c>
      <c r="ASP14" s="106"/>
      <c r="ASQ14" s="107"/>
      <c r="ASR14" s="108">
        <v>600</v>
      </c>
      <c r="ASS14" s="109">
        <f t="shared" si="88"/>
        <v>21000</v>
      </c>
      <c r="AST14" s="110"/>
      <c r="ASU14" s="108" t="s">
        <v>35</v>
      </c>
      <c r="ASX14" s="105" t="s">
        <v>48</v>
      </c>
      <c r="ASY14" s="105"/>
      <c r="ASZ14" s="105"/>
      <c r="ATA14" s="106" t="s">
        <v>40</v>
      </c>
      <c r="ATB14" s="106"/>
      <c r="ATC14" s="107"/>
      <c r="ATD14" s="108">
        <v>600</v>
      </c>
      <c r="ATE14" s="109">
        <f t="shared" si="89"/>
        <v>3600</v>
      </c>
      <c r="ATF14" s="110"/>
      <c r="ATG14" s="108" t="s">
        <v>35</v>
      </c>
      <c r="ATJ14" s="105" t="s">
        <v>48</v>
      </c>
      <c r="ATK14" s="105"/>
      <c r="ATL14" s="105"/>
      <c r="ATM14" s="106" t="s">
        <v>40</v>
      </c>
      <c r="ATN14" s="106"/>
      <c r="ATO14" s="107"/>
      <c r="ATP14" s="108">
        <v>600</v>
      </c>
      <c r="ATQ14" s="109">
        <f t="shared" si="90"/>
        <v>21000</v>
      </c>
      <c r="ATR14" s="110"/>
      <c r="ATS14" s="108" t="s">
        <v>35</v>
      </c>
      <c r="ATV14" s="105" t="s">
        <v>48</v>
      </c>
      <c r="ATW14" s="105"/>
      <c r="ATX14" s="105"/>
      <c r="ATY14" s="106" t="s">
        <v>40</v>
      </c>
      <c r="ATZ14" s="106"/>
      <c r="AUA14" s="107"/>
      <c r="AUB14" s="108">
        <v>600</v>
      </c>
      <c r="AUC14" s="109">
        <f t="shared" si="91"/>
        <v>21000</v>
      </c>
      <c r="AUD14" s="110"/>
      <c r="AUE14" s="108" t="s">
        <v>35</v>
      </c>
      <c r="AUH14" s="105" t="s">
        <v>48</v>
      </c>
      <c r="AUI14" s="105"/>
      <c r="AUJ14" s="105"/>
      <c r="AUK14" s="106" t="s">
        <v>40</v>
      </c>
      <c r="AUL14" s="106"/>
      <c r="AUM14" s="107"/>
      <c r="AUN14" s="108">
        <v>600</v>
      </c>
      <c r="AUO14" s="109">
        <f t="shared" si="92"/>
        <v>21000</v>
      </c>
      <c r="AUP14" s="110"/>
      <c r="AUQ14" s="108" t="s">
        <v>35</v>
      </c>
      <c r="AUT14" s="105" t="s">
        <v>48</v>
      </c>
      <c r="AUU14" s="105"/>
      <c r="AUV14" s="105"/>
      <c r="AUW14" s="106" t="s">
        <v>40</v>
      </c>
      <c r="AUX14" s="106"/>
      <c r="AUY14" s="107"/>
      <c r="AUZ14" s="108">
        <v>600</v>
      </c>
      <c r="AVA14" s="109">
        <f t="shared" si="93"/>
        <v>6000</v>
      </c>
      <c r="AVB14" s="110"/>
      <c r="AVC14" s="108" t="s">
        <v>35</v>
      </c>
      <c r="AVF14" s="105" t="s">
        <v>48</v>
      </c>
      <c r="AVG14" s="105"/>
      <c r="AVH14" s="105"/>
      <c r="AVI14" s="106" t="s">
        <v>40</v>
      </c>
      <c r="AVJ14" s="106"/>
      <c r="AVK14" s="107"/>
      <c r="AVL14" s="108">
        <v>600</v>
      </c>
      <c r="AVM14" s="109">
        <f t="shared" si="94"/>
        <v>21000</v>
      </c>
      <c r="AVN14" s="110"/>
      <c r="AVO14" s="108" t="s">
        <v>35</v>
      </c>
      <c r="AVR14" s="105" t="s">
        <v>48</v>
      </c>
      <c r="AVS14" s="105"/>
      <c r="AVT14" s="105"/>
      <c r="AVU14" s="106" t="s">
        <v>40</v>
      </c>
      <c r="AVV14" s="106"/>
      <c r="AVW14" s="107"/>
      <c r="AVX14" s="108">
        <v>600</v>
      </c>
      <c r="AVY14" s="109">
        <f t="shared" si="95"/>
        <v>21000</v>
      </c>
      <c r="AVZ14" s="110"/>
      <c r="AWA14" s="108" t="s">
        <v>35</v>
      </c>
      <c r="AWD14" s="105" t="s">
        <v>48</v>
      </c>
      <c r="AWE14" s="105"/>
      <c r="AWF14" s="105"/>
      <c r="AWG14" s="106" t="s">
        <v>40</v>
      </c>
      <c r="AWH14" s="106"/>
      <c r="AWI14" s="107"/>
      <c r="AWJ14" s="108">
        <v>600</v>
      </c>
      <c r="AWK14" s="109">
        <f t="shared" si="96"/>
        <v>21000</v>
      </c>
      <c r="AWL14" s="110"/>
      <c r="AWM14" s="108" t="s">
        <v>35</v>
      </c>
      <c r="AWP14" s="105" t="s">
        <v>48</v>
      </c>
      <c r="AWQ14" s="105"/>
      <c r="AWR14" s="105"/>
      <c r="AWS14" s="106" t="s">
        <v>40</v>
      </c>
      <c r="AWT14" s="106"/>
      <c r="AWU14" s="107"/>
      <c r="AWV14" s="108">
        <v>600</v>
      </c>
      <c r="AWW14" s="109">
        <f t="shared" si="97"/>
        <v>21000</v>
      </c>
      <c r="AWX14" s="110"/>
      <c r="AWY14" s="108" t="s">
        <v>35</v>
      </c>
      <c r="AXB14" s="105" t="s">
        <v>48</v>
      </c>
      <c r="AXC14" s="105"/>
      <c r="AXD14" s="105"/>
      <c r="AXE14" s="106" t="s">
        <v>40</v>
      </c>
      <c r="AXF14" s="106"/>
      <c r="AXG14" s="107"/>
      <c r="AXH14" s="108">
        <v>600</v>
      </c>
      <c r="AXI14" s="109">
        <f t="shared" si="98"/>
        <v>21000</v>
      </c>
      <c r="AXJ14" s="110"/>
      <c r="AXK14" s="108" t="s">
        <v>35</v>
      </c>
      <c r="AXN14" s="105" t="s">
        <v>48</v>
      </c>
      <c r="AXO14" s="105"/>
      <c r="AXP14" s="105"/>
      <c r="AXQ14" s="106" t="s">
        <v>40</v>
      </c>
      <c r="AXR14" s="106"/>
      <c r="AXS14" s="107"/>
      <c r="AXT14" s="108">
        <v>600</v>
      </c>
      <c r="AXU14" s="109">
        <f t="shared" si="99"/>
        <v>21000</v>
      </c>
      <c r="AXV14" s="110"/>
      <c r="AXW14" s="108" t="s">
        <v>35</v>
      </c>
      <c r="AXZ14" s="105" t="s">
        <v>48</v>
      </c>
      <c r="AYA14" s="105"/>
      <c r="AYB14" s="105"/>
      <c r="AYC14" s="106" t="s">
        <v>40</v>
      </c>
      <c r="AYD14" s="106"/>
      <c r="AYE14" s="107"/>
      <c r="AYF14" s="108">
        <v>600</v>
      </c>
      <c r="AYG14" s="109">
        <f t="shared" si="100"/>
        <v>21000</v>
      </c>
      <c r="AYH14" s="110"/>
      <c r="AYI14" s="108" t="s">
        <v>35</v>
      </c>
      <c r="AYL14" s="105" t="s">
        <v>48</v>
      </c>
      <c r="AYM14" s="105"/>
      <c r="AYN14" s="105"/>
      <c r="AYO14" s="106" t="s">
        <v>40</v>
      </c>
      <c r="AYP14" s="106"/>
      <c r="AYQ14" s="107"/>
      <c r="AYR14" s="108">
        <v>600</v>
      </c>
      <c r="AYS14" s="109">
        <f t="shared" si="101"/>
        <v>21000</v>
      </c>
      <c r="AYT14" s="110"/>
      <c r="AYU14" s="108" t="s">
        <v>35</v>
      </c>
      <c r="AYX14" s="105" t="s">
        <v>48</v>
      </c>
      <c r="AYY14" s="105"/>
      <c r="AYZ14" s="105"/>
      <c r="AZA14" s="106" t="s">
        <v>40</v>
      </c>
      <c r="AZB14" s="106"/>
      <c r="AZC14" s="107"/>
      <c r="AZD14" s="108">
        <v>600</v>
      </c>
      <c r="AZE14" s="109">
        <f t="shared" si="102"/>
        <v>4200</v>
      </c>
      <c r="AZF14" s="110"/>
      <c r="AZG14" s="108" t="s">
        <v>35</v>
      </c>
      <c r="AZJ14" s="105" t="s">
        <v>48</v>
      </c>
      <c r="AZK14" s="105"/>
      <c r="AZL14" s="105"/>
      <c r="AZM14" s="106" t="s">
        <v>40</v>
      </c>
      <c r="AZN14" s="106"/>
      <c r="AZO14" s="107"/>
      <c r="AZP14" s="108">
        <v>600</v>
      </c>
      <c r="AZQ14" s="109">
        <f t="shared" si="103"/>
        <v>21000</v>
      </c>
      <c r="AZR14" s="110"/>
      <c r="AZS14" s="108" t="s">
        <v>35</v>
      </c>
      <c r="AZV14" s="105" t="s">
        <v>48</v>
      </c>
      <c r="AZW14" s="105"/>
      <c r="AZX14" s="105"/>
      <c r="AZY14" s="106" t="s">
        <v>40</v>
      </c>
      <c r="AZZ14" s="106"/>
      <c r="BAA14" s="107"/>
      <c r="BAB14" s="108">
        <v>600</v>
      </c>
      <c r="BAC14" s="109">
        <f t="shared" si="104"/>
        <v>21000</v>
      </c>
      <c r="BAD14" s="110"/>
      <c r="BAE14" s="108" t="s">
        <v>35</v>
      </c>
      <c r="BAH14" s="105" t="s">
        <v>48</v>
      </c>
      <c r="BAI14" s="105"/>
      <c r="BAJ14" s="105"/>
      <c r="BAK14" s="106" t="s">
        <v>40</v>
      </c>
      <c r="BAL14" s="106"/>
      <c r="BAM14" s="107"/>
      <c r="BAN14" s="108">
        <v>600</v>
      </c>
      <c r="BAO14" s="109">
        <f t="shared" si="105"/>
        <v>21000</v>
      </c>
      <c r="BAP14" s="110"/>
      <c r="BAQ14" s="108" t="s">
        <v>35</v>
      </c>
      <c r="BAT14" s="105" t="s">
        <v>48</v>
      </c>
      <c r="BAU14" s="105"/>
      <c r="BAV14" s="105"/>
      <c r="BAW14" s="106" t="s">
        <v>40</v>
      </c>
      <c r="BAX14" s="106"/>
      <c r="BAY14" s="107"/>
      <c r="BAZ14" s="108">
        <v>600</v>
      </c>
      <c r="BBA14" s="109">
        <f t="shared" si="106"/>
        <v>21000</v>
      </c>
      <c r="BBB14" s="110"/>
      <c r="BBC14" s="108" t="s">
        <v>35</v>
      </c>
      <c r="BBF14" s="105" t="s">
        <v>48</v>
      </c>
      <c r="BBG14" s="105"/>
      <c r="BBH14" s="105"/>
      <c r="BBI14" s="106" t="s">
        <v>40</v>
      </c>
      <c r="BBJ14" s="106"/>
      <c r="BBK14" s="107"/>
      <c r="BBL14" s="108">
        <v>600</v>
      </c>
      <c r="BBM14" s="109">
        <f t="shared" si="107"/>
        <v>21000</v>
      </c>
      <c r="BBN14" s="110"/>
      <c r="BBO14" s="108" t="s">
        <v>35</v>
      </c>
      <c r="BBR14" s="105" t="s">
        <v>48</v>
      </c>
      <c r="BBS14" s="105"/>
      <c r="BBT14" s="105"/>
      <c r="BBU14" s="106" t="s">
        <v>40</v>
      </c>
      <c r="BBV14" s="106"/>
      <c r="BBW14" s="107"/>
      <c r="BBX14" s="108">
        <v>600</v>
      </c>
      <c r="BBY14" s="109">
        <f t="shared" si="108"/>
        <v>21000</v>
      </c>
      <c r="BBZ14" s="110"/>
      <c r="BCA14" s="108" t="s">
        <v>35</v>
      </c>
      <c r="BCD14" s="105" t="s">
        <v>48</v>
      </c>
      <c r="BCE14" s="105"/>
      <c r="BCF14" s="105"/>
      <c r="BCG14" s="106" t="s">
        <v>40</v>
      </c>
      <c r="BCH14" s="106"/>
      <c r="BCI14" s="107"/>
      <c r="BCJ14" s="108">
        <v>600</v>
      </c>
      <c r="BCK14" s="109">
        <f t="shared" si="109"/>
        <v>21000</v>
      </c>
      <c r="BCL14" s="110"/>
      <c r="BCM14" s="108" t="s">
        <v>35</v>
      </c>
      <c r="BCP14" s="105" t="s">
        <v>48</v>
      </c>
      <c r="BCQ14" s="105"/>
      <c r="BCR14" s="105"/>
      <c r="BCS14" s="106" t="s">
        <v>40</v>
      </c>
      <c r="BCT14" s="106"/>
      <c r="BCU14" s="107"/>
      <c r="BCV14" s="108">
        <v>600</v>
      </c>
      <c r="BCW14" s="109">
        <f t="shared" si="110"/>
        <v>21000</v>
      </c>
      <c r="BCX14" s="110"/>
      <c r="BCY14" s="108" t="s">
        <v>35</v>
      </c>
      <c r="BDB14" s="105" t="s">
        <v>48</v>
      </c>
      <c r="BDC14" s="105"/>
      <c r="BDD14" s="105"/>
      <c r="BDE14" s="106" t="s">
        <v>40</v>
      </c>
      <c r="BDF14" s="106"/>
      <c r="BDG14" s="107"/>
      <c r="BDH14" s="108">
        <v>600</v>
      </c>
      <c r="BDI14" s="109">
        <f t="shared" si="111"/>
        <v>8400</v>
      </c>
      <c r="BDJ14" s="110"/>
      <c r="BDK14" s="108" t="s">
        <v>35</v>
      </c>
      <c r="BDN14" s="105" t="s">
        <v>48</v>
      </c>
      <c r="BDO14" s="105"/>
      <c r="BDP14" s="105"/>
      <c r="BDQ14" s="106" t="s">
        <v>40</v>
      </c>
      <c r="BDR14" s="106"/>
      <c r="BDS14" s="107"/>
      <c r="BDT14" s="108">
        <v>600</v>
      </c>
      <c r="BDU14" s="109">
        <f t="shared" si="112"/>
        <v>21000</v>
      </c>
      <c r="BDV14" s="110"/>
      <c r="BDW14" s="108" t="s">
        <v>35</v>
      </c>
      <c r="BDZ14" s="105" t="s">
        <v>48</v>
      </c>
      <c r="BEA14" s="105"/>
      <c r="BEB14" s="105"/>
      <c r="BEC14" s="106" t="s">
        <v>40</v>
      </c>
      <c r="BED14" s="106"/>
      <c r="BEE14" s="107"/>
      <c r="BEF14" s="108">
        <v>600</v>
      </c>
      <c r="BEG14" s="109">
        <f t="shared" si="113"/>
        <v>21000</v>
      </c>
      <c r="BEH14" s="110"/>
      <c r="BEI14" s="108" t="s">
        <v>35</v>
      </c>
      <c r="BEL14" s="105" t="s">
        <v>48</v>
      </c>
      <c r="BEM14" s="105"/>
      <c r="BEN14" s="105"/>
      <c r="BEO14" s="106" t="s">
        <v>40</v>
      </c>
      <c r="BEP14" s="106"/>
      <c r="BEQ14" s="107"/>
      <c r="BER14" s="108">
        <v>600</v>
      </c>
      <c r="BES14" s="109">
        <f t="shared" si="114"/>
        <v>21000</v>
      </c>
      <c r="BET14" s="110"/>
      <c r="BEU14" s="108" t="s">
        <v>35</v>
      </c>
      <c r="BEX14" s="105" t="s">
        <v>48</v>
      </c>
      <c r="BEY14" s="105"/>
      <c r="BEZ14" s="105"/>
      <c r="BFA14" s="106" t="s">
        <v>40</v>
      </c>
      <c r="BFB14" s="106"/>
      <c r="BFC14" s="107"/>
      <c r="BFD14" s="108">
        <v>600</v>
      </c>
      <c r="BFE14" s="109">
        <f t="shared" si="115"/>
        <v>21000</v>
      </c>
      <c r="BFF14" s="110"/>
      <c r="BFG14" s="108" t="s">
        <v>35</v>
      </c>
      <c r="BFJ14" s="105" t="s">
        <v>48</v>
      </c>
      <c r="BFK14" s="105"/>
      <c r="BFL14" s="105"/>
      <c r="BFM14" s="106" t="s">
        <v>40</v>
      </c>
      <c r="BFN14" s="106"/>
      <c r="BFO14" s="107"/>
      <c r="BFP14" s="108">
        <v>600</v>
      </c>
      <c r="BFQ14" s="109">
        <f t="shared" si="116"/>
        <v>21000</v>
      </c>
      <c r="BFR14" s="110"/>
      <c r="BFS14" s="108" t="s">
        <v>35</v>
      </c>
      <c r="BFV14" s="105" t="s">
        <v>48</v>
      </c>
      <c r="BFW14" s="105"/>
      <c r="BFX14" s="105"/>
      <c r="BFY14" s="106" t="s">
        <v>40</v>
      </c>
      <c r="BFZ14" s="106"/>
      <c r="BGA14" s="107"/>
      <c r="BGB14" s="108">
        <v>600</v>
      </c>
      <c r="BGC14" s="109">
        <f t="shared" si="117"/>
        <v>21000</v>
      </c>
      <c r="BGD14" s="110"/>
      <c r="BGE14" s="108" t="s">
        <v>35</v>
      </c>
      <c r="BGH14" s="105" t="s">
        <v>48</v>
      </c>
      <c r="BGI14" s="105"/>
      <c r="BGJ14" s="105"/>
      <c r="BGK14" s="106" t="s">
        <v>40</v>
      </c>
      <c r="BGL14" s="106"/>
      <c r="BGM14" s="107"/>
      <c r="BGN14" s="108">
        <v>600</v>
      </c>
      <c r="BGO14" s="109">
        <f t="shared" si="118"/>
        <v>21000</v>
      </c>
      <c r="BGP14" s="110"/>
      <c r="BGQ14" s="108" t="s">
        <v>35</v>
      </c>
      <c r="BGT14" s="105" t="s">
        <v>48</v>
      </c>
      <c r="BGU14" s="105"/>
      <c r="BGV14" s="105"/>
      <c r="BGW14" s="106" t="s">
        <v>40</v>
      </c>
      <c r="BGX14" s="106"/>
      <c r="BGY14" s="107"/>
      <c r="BGZ14" s="108">
        <v>600</v>
      </c>
      <c r="BHA14" s="109">
        <f t="shared" si="119"/>
        <v>21000</v>
      </c>
      <c r="BHB14" s="110"/>
      <c r="BHC14" s="108" t="s">
        <v>35</v>
      </c>
      <c r="BHF14" s="105" t="s">
        <v>48</v>
      </c>
      <c r="BHG14" s="105"/>
      <c r="BHH14" s="105"/>
      <c r="BHI14" s="106" t="s">
        <v>40</v>
      </c>
      <c r="BHJ14" s="106"/>
      <c r="BHK14" s="107"/>
      <c r="BHL14" s="108">
        <v>600</v>
      </c>
      <c r="BHM14" s="109">
        <f t="shared" si="120"/>
        <v>4200</v>
      </c>
      <c r="BHN14" s="110"/>
      <c r="BHO14" s="108" t="s">
        <v>35</v>
      </c>
      <c r="BHR14" s="105" t="s">
        <v>48</v>
      </c>
      <c r="BHS14" s="105"/>
      <c r="BHT14" s="105"/>
      <c r="BHU14" s="106" t="s">
        <v>40</v>
      </c>
      <c r="BHV14" s="106"/>
      <c r="BHW14" s="107"/>
      <c r="BHX14" s="108">
        <v>600</v>
      </c>
      <c r="BHY14" s="109">
        <f t="shared" si="121"/>
        <v>8400</v>
      </c>
      <c r="BHZ14" s="110"/>
      <c r="BIA14" s="108" t="s">
        <v>35</v>
      </c>
      <c r="BID14" s="105" t="s">
        <v>48</v>
      </c>
      <c r="BIE14" s="105"/>
      <c r="BIF14" s="105"/>
      <c r="BIG14" s="106" t="s">
        <v>40</v>
      </c>
      <c r="BIH14" s="106"/>
      <c r="BII14" s="107"/>
      <c r="BIJ14" s="108">
        <v>600</v>
      </c>
      <c r="BIK14" s="109">
        <f t="shared" si="122"/>
        <v>21000</v>
      </c>
      <c r="BIL14" s="110"/>
      <c r="BIM14" s="108" t="s">
        <v>35</v>
      </c>
      <c r="BIP14" s="105" t="s">
        <v>48</v>
      </c>
      <c r="BIQ14" s="105"/>
      <c r="BIR14" s="105"/>
      <c r="BIS14" s="106" t="s">
        <v>40</v>
      </c>
      <c r="BIT14" s="106"/>
      <c r="BIU14" s="107"/>
      <c r="BIV14" s="108">
        <v>600</v>
      </c>
      <c r="BIW14" s="109">
        <f t="shared" si="123"/>
        <v>21000</v>
      </c>
      <c r="BIX14" s="110"/>
      <c r="BIY14" s="108" t="s">
        <v>35</v>
      </c>
      <c r="BJB14" s="105" t="s">
        <v>48</v>
      </c>
      <c r="BJC14" s="105"/>
      <c r="BJD14" s="105"/>
      <c r="BJE14" s="106" t="s">
        <v>40</v>
      </c>
      <c r="BJF14" s="106"/>
      <c r="BJG14" s="107"/>
      <c r="BJH14" s="108">
        <v>600</v>
      </c>
      <c r="BJI14" s="109">
        <f t="shared" si="124"/>
        <v>21000</v>
      </c>
      <c r="BJJ14" s="110"/>
      <c r="BJK14" s="108" t="s">
        <v>35</v>
      </c>
      <c r="BJN14" s="105" t="s">
        <v>48</v>
      </c>
      <c r="BJO14" s="105"/>
      <c r="BJP14" s="105"/>
      <c r="BJQ14" s="106" t="s">
        <v>40</v>
      </c>
      <c r="BJR14" s="106"/>
      <c r="BJS14" s="107"/>
      <c r="BJT14" s="108">
        <v>600</v>
      </c>
      <c r="BJU14" s="109">
        <f t="shared" si="125"/>
        <v>21000</v>
      </c>
      <c r="BJV14" s="110"/>
      <c r="BJW14" s="108" t="s">
        <v>35</v>
      </c>
      <c r="BJZ14" s="105" t="s">
        <v>48</v>
      </c>
      <c r="BKA14" s="105"/>
      <c r="BKB14" s="105"/>
      <c r="BKC14" s="106" t="s">
        <v>40</v>
      </c>
      <c r="BKD14" s="106"/>
      <c r="BKE14" s="107"/>
      <c r="BKF14" s="108">
        <v>600</v>
      </c>
      <c r="BKG14" s="109">
        <f t="shared" si="126"/>
        <v>1800</v>
      </c>
      <c r="BKH14" s="110"/>
      <c r="BKI14" s="108" t="s">
        <v>35</v>
      </c>
      <c r="BKL14" s="105" t="s">
        <v>48</v>
      </c>
      <c r="BKM14" s="105"/>
      <c r="BKN14" s="105"/>
      <c r="BKO14" s="106" t="s">
        <v>40</v>
      </c>
      <c r="BKP14" s="106"/>
      <c r="BKQ14" s="107"/>
      <c r="BKR14" s="108">
        <v>600</v>
      </c>
      <c r="BKS14" s="109">
        <f t="shared" si="127"/>
        <v>21000</v>
      </c>
      <c r="BKT14" s="110"/>
      <c r="BKU14" s="108" t="s">
        <v>35</v>
      </c>
      <c r="BKX14" s="105" t="s">
        <v>48</v>
      </c>
      <c r="BKY14" s="105"/>
      <c r="BKZ14" s="105"/>
      <c r="BLA14" s="106" t="s">
        <v>40</v>
      </c>
      <c r="BLB14" s="106"/>
      <c r="BLC14" s="107"/>
      <c r="BLD14" s="108">
        <v>600</v>
      </c>
      <c r="BLE14" s="109">
        <f t="shared" si="128"/>
        <v>21000</v>
      </c>
      <c r="BLF14" s="110"/>
      <c r="BLG14" s="108" t="s">
        <v>35</v>
      </c>
      <c r="BLJ14" s="105" t="s">
        <v>48</v>
      </c>
      <c r="BLK14" s="105"/>
      <c r="BLL14" s="105"/>
      <c r="BLM14" s="106" t="s">
        <v>40</v>
      </c>
      <c r="BLN14" s="106"/>
      <c r="BLO14" s="107"/>
      <c r="BLP14" s="108">
        <v>600</v>
      </c>
      <c r="BLQ14" s="109">
        <f t="shared" si="129"/>
        <v>21000</v>
      </c>
      <c r="BLR14" s="110"/>
      <c r="BLS14" s="108" t="s">
        <v>35</v>
      </c>
      <c r="BLV14" s="105" t="s">
        <v>48</v>
      </c>
      <c r="BLW14" s="105"/>
      <c r="BLX14" s="105"/>
      <c r="BLY14" s="106" t="s">
        <v>40</v>
      </c>
      <c r="BLZ14" s="106"/>
      <c r="BMA14" s="107"/>
      <c r="BMB14" s="108">
        <v>600</v>
      </c>
      <c r="BMC14" s="109">
        <f t="shared" si="130"/>
        <v>21000</v>
      </c>
      <c r="BMD14" s="110"/>
      <c r="BME14" s="108" t="s">
        <v>35</v>
      </c>
      <c r="BMH14" s="105" t="s">
        <v>48</v>
      </c>
      <c r="BMI14" s="105"/>
      <c r="BMJ14" s="105"/>
      <c r="BMK14" s="106" t="s">
        <v>40</v>
      </c>
      <c r="BML14" s="106"/>
      <c r="BMM14" s="107"/>
      <c r="BMN14" s="108">
        <v>600</v>
      </c>
      <c r="BMO14" s="109">
        <f t="shared" si="131"/>
        <v>21000</v>
      </c>
      <c r="BMP14" s="110"/>
      <c r="BMQ14" s="108" t="s">
        <v>35</v>
      </c>
      <c r="BMT14" s="105" t="s">
        <v>48</v>
      </c>
      <c r="BMU14" s="105"/>
      <c r="BMV14" s="105"/>
      <c r="BMW14" s="106" t="s">
        <v>49</v>
      </c>
      <c r="BMX14" s="106"/>
      <c r="BMY14" s="107"/>
      <c r="BMZ14" s="108">
        <v>600</v>
      </c>
      <c r="BNA14" s="109">
        <f t="shared" si="132"/>
        <v>21000</v>
      </c>
      <c r="BNB14" s="110"/>
      <c r="BNC14" s="108" t="s">
        <v>35</v>
      </c>
      <c r="BNF14" s="105" t="s">
        <v>48</v>
      </c>
      <c r="BNG14" s="105"/>
      <c r="BNH14" s="105"/>
      <c r="BNI14" s="106" t="s">
        <v>49</v>
      </c>
      <c r="BNJ14" s="106"/>
      <c r="BNK14" s="107"/>
      <c r="BNL14" s="108">
        <v>600</v>
      </c>
      <c r="BNM14" s="109">
        <f t="shared" si="133"/>
        <v>21000</v>
      </c>
      <c r="BNN14" s="110"/>
      <c r="BNO14" s="108" t="s">
        <v>35</v>
      </c>
      <c r="BNR14" s="105" t="s">
        <v>48</v>
      </c>
      <c r="BNS14" s="105"/>
      <c r="BNT14" s="105"/>
      <c r="BNU14" s="106" t="s">
        <v>49</v>
      </c>
      <c r="BNV14" s="106"/>
      <c r="BNW14" s="107"/>
      <c r="BNX14" s="108">
        <v>600</v>
      </c>
      <c r="BNY14" s="109">
        <f t="shared" si="134"/>
        <v>21000</v>
      </c>
      <c r="BNZ14" s="110"/>
      <c r="BOA14" s="108" t="s">
        <v>35</v>
      </c>
      <c r="BOD14" s="105" t="s">
        <v>48</v>
      </c>
      <c r="BOE14" s="105"/>
      <c r="BOF14" s="105"/>
      <c r="BOG14" s="106" t="s">
        <v>49</v>
      </c>
      <c r="BOH14" s="106"/>
      <c r="BOI14" s="107"/>
      <c r="BOJ14" s="108">
        <v>600</v>
      </c>
      <c r="BOK14" s="109">
        <f t="shared" si="135"/>
        <v>21000</v>
      </c>
      <c r="BOL14" s="110"/>
      <c r="BOM14" s="108" t="s">
        <v>35</v>
      </c>
      <c r="BOP14" s="105" t="s">
        <v>48</v>
      </c>
      <c r="BOQ14" s="105"/>
      <c r="BOR14" s="105"/>
      <c r="BOS14" s="106" t="s">
        <v>49</v>
      </c>
      <c r="BOT14" s="106"/>
      <c r="BOU14" s="107"/>
      <c r="BOV14" s="108">
        <v>600</v>
      </c>
      <c r="BOW14" s="109">
        <f t="shared" si="136"/>
        <v>21000</v>
      </c>
      <c r="BOX14" s="110"/>
      <c r="BOY14" s="108" t="s">
        <v>35</v>
      </c>
      <c r="BPB14" s="105" t="s">
        <v>48</v>
      </c>
      <c r="BPC14" s="105"/>
      <c r="BPD14" s="105"/>
      <c r="BPE14" s="106" t="s">
        <v>49</v>
      </c>
      <c r="BPF14" s="106"/>
      <c r="BPG14" s="107"/>
      <c r="BPH14" s="108">
        <v>600</v>
      </c>
      <c r="BPI14" s="109">
        <f t="shared" si="137"/>
        <v>21000</v>
      </c>
      <c r="BPJ14" s="110"/>
      <c r="BPK14" s="108" t="s">
        <v>35</v>
      </c>
      <c r="BPN14" s="105" t="s">
        <v>48</v>
      </c>
      <c r="BPO14" s="105"/>
      <c r="BPP14" s="105"/>
      <c r="BPQ14" s="106" t="s">
        <v>49</v>
      </c>
      <c r="BPR14" s="106"/>
      <c r="BPS14" s="107"/>
      <c r="BPT14" s="108">
        <v>600</v>
      </c>
      <c r="BPU14" s="109">
        <f t="shared" si="138"/>
        <v>21000</v>
      </c>
      <c r="BPV14" s="110"/>
      <c r="BPW14" s="108" t="s">
        <v>35</v>
      </c>
      <c r="BPZ14" s="105" t="s">
        <v>48</v>
      </c>
      <c r="BQA14" s="105"/>
      <c r="BQB14" s="105"/>
      <c r="BQC14" s="106" t="s">
        <v>49</v>
      </c>
      <c r="BQD14" s="106"/>
      <c r="BQE14" s="107"/>
      <c r="BQF14" s="108">
        <v>600</v>
      </c>
      <c r="BQG14" s="109">
        <f t="shared" si="139"/>
        <v>21000</v>
      </c>
      <c r="BQH14" s="110"/>
      <c r="BQI14" s="108" t="s">
        <v>35</v>
      </c>
      <c r="BQL14" s="105" t="s">
        <v>48</v>
      </c>
      <c r="BQM14" s="105"/>
      <c r="BQN14" s="105"/>
      <c r="BQO14" s="106" t="s">
        <v>49</v>
      </c>
      <c r="BQP14" s="106"/>
      <c r="BQQ14" s="107"/>
      <c r="BQR14" s="108">
        <v>600</v>
      </c>
      <c r="BQS14" s="109">
        <f t="shared" si="140"/>
        <v>21000</v>
      </c>
      <c r="BQT14" s="110"/>
      <c r="BQU14" s="108" t="s">
        <v>35</v>
      </c>
      <c r="BQX14" s="105" t="s">
        <v>48</v>
      </c>
      <c r="BQY14" s="105"/>
      <c r="BQZ14" s="105"/>
      <c r="BRA14" s="106" t="s">
        <v>49</v>
      </c>
      <c r="BRB14" s="106"/>
      <c r="BRC14" s="107"/>
      <c r="BRD14" s="108">
        <v>600</v>
      </c>
      <c r="BRE14" s="109">
        <f t="shared" si="141"/>
        <v>21000</v>
      </c>
      <c r="BRF14" s="110"/>
      <c r="BRG14" s="108" t="s">
        <v>35</v>
      </c>
      <c r="BRJ14" s="105" t="s">
        <v>48</v>
      </c>
      <c r="BRK14" s="105"/>
      <c r="BRL14" s="105"/>
      <c r="BRM14" s="106" t="s">
        <v>49</v>
      </c>
      <c r="BRN14" s="106"/>
      <c r="BRO14" s="107"/>
      <c r="BRP14" s="108">
        <v>600</v>
      </c>
      <c r="BRQ14" s="109">
        <f t="shared" si="142"/>
        <v>21000</v>
      </c>
      <c r="BRR14" s="110"/>
      <c r="BRS14" s="108" t="s">
        <v>35</v>
      </c>
      <c r="BRV14" s="105" t="s">
        <v>48</v>
      </c>
      <c r="BRW14" s="105"/>
      <c r="BRX14" s="105"/>
      <c r="BRY14" s="106" t="s">
        <v>49</v>
      </c>
      <c r="BRZ14" s="106"/>
      <c r="BSA14" s="107"/>
      <c r="BSB14" s="108">
        <v>600</v>
      </c>
      <c r="BSC14" s="109">
        <f t="shared" si="143"/>
        <v>21000</v>
      </c>
      <c r="BSD14" s="110"/>
      <c r="BSE14" s="108" t="s">
        <v>35</v>
      </c>
      <c r="BSH14" s="105" t="s">
        <v>48</v>
      </c>
      <c r="BSI14" s="105"/>
      <c r="BSJ14" s="105"/>
      <c r="BSK14" s="106" t="s">
        <v>49</v>
      </c>
      <c r="BSL14" s="106"/>
      <c r="BSM14" s="107"/>
      <c r="BSN14" s="108">
        <v>600</v>
      </c>
      <c r="BSO14" s="109">
        <f t="shared" si="144"/>
        <v>21000</v>
      </c>
      <c r="BSP14" s="110"/>
      <c r="BSQ14" s="108" t="s">
        <v>35</v>
      </c>
      <c r="BST14" s="105" t="s">
        <v>48</v>
      </c>
      <c r="BSU14" s="105"/>
      <c r="BSV14" s="105"/>
      <c r="BSW14" s="106" t="s">
        <v>49</v>
      </c>
      <c r="BSX14" s="106"/>
      <c r="BSY14" s="107"/>
      <c r="BSZ14" s="108">
        <v>600</v>
      </c>
      <c r="BTA14" s="109">
        <f t="shared" si="145"/>
        <v>21000</v>
      </c>
      <c r="BTB14" s="110"/>
      <c r="BTC14" s="108" t="s">
        <v>35</v>
      </c>
      <c r="BTF14" s="105" t="s">
        <v>48</v>
      </c>
      <c r="BTG14" s="105"/>
      <c r="BTH14" s="105"/>
      <c r="BTI14" s="106" t="s">
        <v>49</v>
      </c>
      <c r="BTJ14" s="106"/>
      <c r="BTK14" s="107"/>
      <c r="BTL14" s="108">
        <v>600</v>
      </c>
      <c r="BTM14" s="109">
        <f t="shared" si="146"/>
        <v>21000</v>
      </c>
      <c r="BTN14" s="110"/>
      <c r="BTO14" s="108" t="s">
        <v>35</v>
      </c>
      <c r="BTR14" s="105" t="s">
        <v>48</v>
      </c>
      <c r="BTS14" s="105"/>
      <c r="BTT14" s="105"/>
      <c r="BTU14" s="106" t="s">
        <v>49</v>
      </c>
      <c r="BTV14" s="106"/>
      <c r="BTW14" s="107"/>
      <c r="BTX14" s="108">
        <v>600</v>
      </c>
      <c r="BTY14" s="109">
        <f t="shared" si="147"/>
        <v>21000</v>
      </c>
      <c r="BTZ14" s="110"/>
      <c r="BUA14" s="108" t="s">
        <v>35</v>
      </c>
      <c r="BUD14" s="105" t="s">
        <v>48</v>
      </c>
      <c r="BUE14" s="105"/>
      <c r="BUF14" s="105"/>
      <c r="BUG14" s="106" t="s">
        <v>49</v>
      </c>
      <c r="BUH14" s="106"/>
      <c r="BUI14" s="107"/>
      <c r="BUJ14" s="108">
        <v>600</v>
      </c>
      <c r="BUK14" s="109">
        <f t="shared" si="148"/>
        <v>21000</v>
      </c>
      <c r="BUL14" s="110"/>
      <c r="BUM14" s="108" t="s">
        <v>35</v>
      </c>
      <c r="BUP14" s="105" t="s">
        <v>48</v>
      </c>
      <c r="BUQ14" s="105"/>
      <c r="BUR14" s="105"/>
      <c r="BUS14" s="106" t="s">
        <v>49</v>
      </c>
      <c r="BUT14" s="106"/>
      <c r="BUU14" s="107"/>
      <c r="BUV14" s="108">
        <v>600</v>
      </c>
      <c r="BUW14" s="109">
        <f t="shared" si="149"/>
        <v>21000</v>
      </c>
      <c r="BUX14" s="110"/>
      <c r="BUY14" s="108" t="s">
        <v>35</v>
      </c>
      <c r="BVB14" s="105" t="s">
        <v>48</v>
      </c>
      <c r="BVC14" s="105"/>
      <c r="BVD14" s="105"/>
      <c r="BVE14" s="106" t="s">
        <v>49</v>
      </c>
      <c r="BVF14" s="106"/>
      <c r="BVG14" s="107"/>
      <c r="BVH14" s="108">
        <v>600</v>
      </c>
      <c r="BVI14" s="109">
        <f t="shared" si="150"/>
        <v>21000</v>
      </c>
      <c r="BVJ14" s="110"/>
      <c r="BVK14" s="108" t="s">
        <v>35</v>
      </c>
      <c r="BVN14" s="105" t="s">
        <v>48</v>
      </c>
      <c r="BVO14" s="105"/>
      <c r="BVP14" s="105"/>
      <c r="BVQ14" s="106" t="s">
        <v>49</v>
      </c>
      <c r="BVR14" s="106"/>
      <c r="BVS14" s="107"/>
      <c r="BVT14" s="108">
        <v>600</v>
      </c>
      <c r="BVU14" s="109">
        <f t="shared" si="151"/>
        <v>21000</v>
      </c>
      <c r="BVV14" s="110"/>
      <c r="BVW14" s="108" t="s">
        <v>35</v>
      </c>
      <c r="BVZ14" s="105" t="s">
        <v>48</v>
      </c>
      <c r="BWA14" s="105"/>
      <c r="BWB14" s="105"/>
      <c r="BWC14" s="106" t="s">
        <v>49</v>
      </c>
      <c r="BWD14" s="106"/>
      <c r="BWE14" s="107"/>
      <c r="BWF14" s="108">
        <v>600</v>
      </c>
      <c r="BWG14" s="109">
        <f t="shared" si="152"/>
        <v>21000</v>
      </c>
      <c r="BWH14" s="110"/>
      <c r="BWI14" s="108" t="s">
        <v>35</v>
      </c>
      <c r="BWL14" s="105" t="s">
        <v>48</v>
      </c>
      <c r="BWM14" s="105"/>
      <c r="BWN14" s="105"/>
      <c r="BWO14" s="106" t="s">
        <v>49</v>
      </c>
      <c r="BWP14" s="106"/>
      <c r="BWQ14" s="107"/>
      <c r="BWR14" s="108">
        <v>600</v>
      </c>
      <c r="BWS14" s="109">
        <f t="shared" si="153"/>
        <v>21000</v>
      </c>
      <c r="BWT14" s="110"/>
      <c r="BWU14" s="108" t="s">
        <v>35</v>
      </c>
      <c r="BWX14" s="105" t="s">
        <v>48</v>
      </c>
      <c r="BWY14" s="105"/>
      <c r="BWZ14" s="105"/>
      <c r="BXA14" s="106" t="s">
        <v>49</v>
      </c>
      <c r="BXB14" s="106"/>
      <c r="BXC14" s="107"/>
      <c r="BXD14" s="108">
        <v>600</v>
      </c>
      <c r="BXE14" s="109">
        <f t="shared" si="154"/>
        <v>21000</v>
      </c>
      <c r="BXF14" s="110"/>
      <c r="BXG14" s="108" t="s">
        <v>35</v>
      </c>
      <c r="BXJ14" s="105" t="s">
        <v>48</v>
      </c>
      <c r="BXK14" s="105"/>
      <c r="BXL14" s="105"/>
      <c r="BXM14" s="106" t="s">
        <v>49</v>
      </c>
      <c r="BXN14" s="106"/>
      <c r="BXO14" s="107"/>
      <c r="BXP14" s="108">
        <v>600</v>
      </c>
      <c r="BXQ14" s="109">
        <f t="shared" si="155"/>
        <v>21000</v>
      </c>
      <c r="BXR14" s="110"/>
      <c r="BXS14" s="108" t="s">
        <v>35</v>
      </c>
      <c r="BXV14" s="105" t="s">
        <v>48</v>
      </c>
      <c r="BXW14" s="105"/>
      <c r="BXX14" s="105"/>
      <c r="BXY14" s="106" t="s">
        <v>50</v>
      </c>
      <c r="BXZ14" s="106"/>
      <c r="BYA14" s="107"/>
      <c r="BYB14" s="108">
        <v>600</v>
      </c>
      <c r="BYC14" s="109">
        <f t="shared" si="156"/>
        <v>21000</v>
      </c>
      <c r="BYD14" s="110"/>
      <c r="BYE14" s="108" t="s">
        <v>35</v>
      </c>
      <c r="BYH14" s="105" t="s">
        <v>48</v>
      </c>
      <c r="BYI14" s="105"/>
      <c r="BYJ14" s="105"/>
      <c r="BYK14" s="106" t="s">
        <v>50</v>
      </c>
      <c r="BYL14" s="106"/>
      <c r="BYM14" s="107"/>
      <c r="BYN14" s="108">
        <v>600</v>
      </c>
      <c r="BYO14" s="109">
        <f t="shared" si="157"/>
        <v>21000</v>
      </c>
      <c r="BYP14" s="110"/>
      <c r="BYQ14" s="108" t="s">
        <v>35</v>
      </c>
      <c r="BYT14" s="105" t="s">
        <v>48</v>
      </c>
      <c r="BYU14" s="105"/>
      <c r="BYV14" s="105"/>
      <c r="BYW14" s="106" t="s">
        <v>50</v>
      </c>
      <c r="BYX14" s="106"/>
      <c r="BYY14" s="107"/>
      <c r="BYZ14" s="108">
        <v>600</v>
      </c>
      <c r="BZA14" s="109">
        <f t="shared" si="158"/>
        <v>21000</v>
      </c>
      <c r="BZB14" s="110"/>
      <c r="BZC14" s="108" t="s">
        <v>35</v>
      </c>
      <c r="BZF14" s="105" t="s">
        <v>48</v>
      </c>
      <c r="BZG14" s="105"/>
      <c r="BZH14" s="105"/>
      <c r="BZI14" s="106" t="s">
        <v>50</v>
      </c>
      <c r="BZJ14" s="106"/>
      <c r="BZK14" s="107"/>
      <c r="BZL14" s="108">
        <v>600</v>
      </c>
      <c r="BZM14" s="109">
        <f t="shared" si="159"/>
        <v>21000</v>
      </c>
      <c r="BZN14" s="110"/>
      <c r="BZO14" s="108" t="s">
        <v>35</v>
      </c>
      <c r="BZR14" s="105" t="s">
        <v>48</v>
      </c>
      <c r="BZS14" s="105"/>
      <c r="BZT14" s="105"/>
      <c r="BZU14" s="106" t="s">
        <v>50</v>
      </c>
      <c r="BZV14" s="106"/>
      <c r="BZW14" s="107"/>
      <c r="BZX14" s="108">
        <v>600</v>
      </c>
      <c r="BZY14" s="109">
        <f t="shared" si="160"/>
        <v>21000</v>
      </c>
      <c r="BZZ14" s="110"/>
      <c r="CAA14" s="108" t="s">
        <v>35</v>
      </c>
      <c r="CAD14" s="105" t="s">
        <v>48</v>
      </c>
      <c r="CAE14" s="105"/>
      <c r="CAF14" s="105"/>
      <c r="CAG14" s="106" t="s">
        <v>50</v>
      </c>
      <c r="CAH14" s="106"/>
      <c r="CAI14" s="107"/>
      <c r="CAJ14" s="108">
        <v>600</v>
      </c>
      <c r="CAK14" s="109">
        <f t="shared" si="161"/>
        <v>21000</v>
      </c>
      <c r="CAL14" s="110"/>
      <c r="CAM14" s="108" t="s">
        <v>35</v>
      </c>
      <c r="CAP14" s="105" t="s">
        <v>48</v>
      </c>
      <c r="CAQ14" s="105"/>
      <c r="CAR14" s="105"/>
      <c r="CAS14" s="106" t="s">
        <v>50</v>
      </c>
      <c r="CAT14" s="106"/>
      <c r="CAU14" s="107"/>
      <c r="CAV14" s="108">
        <v>600</v>
      </c>
      <c r="CAW14" s="109">
        <f t="shared" si="162"/>
        <v>21000</v>
      </c>
      <c r="CAX14" s="110"/>
      <c r="CAY14" s="108" t="s">
        <v>35</v>
      </c>
      <c r="CBB14" s="105" t="s">
        <v>48</v>
      </c>
      <c r="CBC14" s="105"/>
      <c r="CBD14" s="105"/>
      <c r="CBE14" s="106" t="s">
        <v>50</v>
      </c>
      <c r="CBF14" s="106"/>
      <c r="CBG14" s="107"/>
      <c r="CBH14" s="108">
        <v>600</v>
      </c>
      <c r="CBI14" s="109">
        <f t="shared" si="163"/>
        <v>21000</v>
      </c>
      <c r="CBJ14" s="110"/>
      <c r="CBK14" s="108" t="s">
        <v>35</v>
      </c>
      <c r="CBN14" s="105" t="s">
        <v>48</v>
      </c>
      <c r="CBO14" s="105"/>
      <c r="CBP14" s="105"/>
      <c r="CBQ14" s="106" t="s">
        <v>50</v>
      </c>
      <c r="CBR14" s="106"/>
      <c r="CBS14" s="107"/>
      <c r="CBT14" s="108">
        <v>600</v>
      </c>
      <c r="CBU14" s="109">
        <f t="shared" si="164"/>
        <v>21000</v>
      </c>
      <c r="CBV14" s="110"/>
      <c r="CBW14" s="108" t="s">
        <v>35</v>
      </c>
      <c r="CBZ14" s="105" t="s">
        <v>48</v>
      </c>
      <c r="CCA14" s="105"/>
      <c r="CCB14" s="105"/>
      <c r="CCC14" s="106" t="s">
        <v>50</v>
      </c>
      <c r="CCD14" s="106"/>
      <c r="CCE14" s="107"/>
      <c r="CCF14" s="108">
        <v>600</v>
      </c>
      <c r="CCG14" s="109">
        <f t="shared" si="165"/>
        <v>21000</v>
      </c>
      <c r="CCH14" s="110"/>
      <c r="CCI14" s="108" t="s">
        <v>35</v>
      </c>
      <c r="CCL14" s="105"/>
      <c r="CCM14" s="105"/>
      <c r="CCN14" s="105"/>
      <c r="CCO14" s="106"/>
      <c r="CCP14" s="106"/>
      <c r="CCQ14" s="107"/>
      <c r="CCR14" s="108"/>
      <c r="CCS14" s="109">
        <f t="shared" si="166"/>
        <v>0</v>
      </c>
      <c r="CCT14" s="110"/>
      <c r="CCU14" s="108" t="s">
        <v>35</v>
      </c>
      <c r="CCX14" s="105" t="s">
        <v>48</v>
      </c>
      <c r="CCY14" s="105"/>
      <c r="CCZ14" s="105"/>
      <c r="CDA14" s="106" t="s">
        <v>50</v>
      </c>
      <c r="CDB14" s="106"/>
      <c r="CDC14" s="107"/>
      <c r="CDD14" s="108">
        <v>600</v>
      </c>
      <c r="CDE14" s="109">
        <f t="shared" si="167"/>
        <v>21000</v>
      </c>
      <c r="CDF14" s="110"/>
      <c r="CDG14" s="108" t="s">
        <v>35</v>
      </c>
      <c r="CDJ14" s="105" t="s">
        <v>48</v>
      </c>
      <c r="CDK14" s="105"/>
      <c r="CDL14" s="105"/>
      <c r="CDM14" s="106" t="s">
        <v>50</v>
      </c>
      <c r="CDN14" s="106"/>
      <c r="CDO14" s="107"/>
      <c r="CDP14" s="108">
        <v>600</v>
      </c>
      <c r="CDQ14" s="109">
        <f t="shared" si="168"/>
        <v>21000</v>
      </c>
      <c r="CDR14" s="110"/>
      <c r="CDS14" s="108" t="s">
        <v>35</v>
      </c>
      <c r="CDV14" s="105" t="s">
        <v>48</v>
      </c>
      <c r="CDW14" s="105"/>
      <c r="CDX14" s="105"/>
      <c r="CDY14" s="106" t="s">
        <v>50</v>
      </c>
      <c r="CDZ14" s="106"/>
      <c r="CEA14" s="107"/>
      <c r="CEB14" s="108">
        <v>600</v>
      </c>
      <c r="CEC14" s="109">
        <f t="shared" si="169"/>
        <v>21000</v>
      </c>
      <c r="CED14" s="110"/>
      <c r="CEE14" s="108" t="s">
        <v>35</v>
      </c>
      <c r="CEH14" s="105" t="s">
        <v>48</v>
      </c>
      <c r="CEI14" s="105"/>
      <c r="CEJ14" s="105"/>
      <c r="CEK14" s="106" t="s">
        <v>50</v>
      </c>
      <c r="CEL14" s="106"/>
      <c r="CEM14" s="107"/>
      <c r="CEN14" s="108">
        <v>600</v>
      </c>
      <c r="CEO14" s="109">
        <f t="shared" si="170"/>
        <v>21000</v>
      </c>
      <c r="CEP14" s="110"/>
      <c r="CEQ14" s="108" t="s">
        <v>35</v>
      </c>
      <c r="CET14" s="105" t="s">
        <v>48</v>
      </c>
      <c r="CEU14" s="105"/>
      <c r="CEV14" s="105"/>
      <c r="CEW14" s="106" t="s">
        <v>50</v>
      </c>
      <c r="CEX14" s="106"/>
      <c r="CEY14" s="107"/>
      <c r="CEZ14" s="108">
        <v>600</v>
      </c>
      <c r="CFA14" s="109">
        <f t="shared" si="171"/>
        <v>21000</v>
      </c>
      <c r="CFB14" s="110"/>
      <c r="CFC14" s="108" t="s">
        <v>35</v>
      </c>
      <c r="CFF14" s="105" t="s">
        <v>48</v>
      </c>
      <c r="CFG14" s="105"/>
      <c r="CFH14" s="105"/>
      <c r="CFI14" s="106" t="s">
        <v>50</v>
      </c>
      <c r="CFJ14" s="106"/>
      <c r="CFK14" s="107"/>
      <c r="CFL14" s="108">
        <v>600</v>
      </c>
      <c r="CFM14" s="109">
        <f t="shared" si="172"/>
        <v>21000</v>
      </c>
      <c r="CFN14" s="110"/>
      <c r="CFO14" s="108" t="s">
        <v>35</v>
      </c>
      <c r="CFR14" s="105" t="s">
        <v>48</v>
      </c>
      <c r="CFS14" s="105"/>
      <c r="CFT14" s="105"/>
      <c r="CFU14" s="106" t="s">
        <v>50</v>
      </c>
      <c r="CFV14" s="106"/>
      <c r="CFW14" s="107"/>
      <c r="CFX14" s="108">
        <v>600</v>
      </c>
      <c r="CFY14" s="109">
        <f t="shared" si="173"/>
        <v>21000</v>
      </c>
      <c r="CFZ14" s="110"/>
      <c r="CGA14" s="108" t="s">
        <v>35</v>
      </c>
      <c r="CGD14" s="105" t="s">
        <v>48</v>
      </c>
      <c r="CGE14" s="105"/>
      <c r="CGF14" s="105"/>
      <c r="CGG14" s="106" t="s">
        <v>50</v>
      </c>
      <c r="CGH14" s="106"/>
      <c r="CGI14" s="107"/>
      <c r="CGJ14" s="108">
        <v>600</v>
      </c>
      <c r="CGK14" s="109">
        <f t="shared" si="174"/>
        <v>21000</v>
      </c>
      <c r="CGL14" s="110"/>
      <c r="CGM14" s="108" t="s">
        <v>35</v>
      </c>
      <c r="CGP14" s="105" t="s">
        <v>48</v>
      </c>
      <c r="CGQ14" s="105"/>
      <c r="CGR14" s="105"/>
      <c r="CGS14" s="106" t="s">
        <v>50</v>
      </c>
      <c r="CGT14" s="106"/>
      <c r="CGU14" s="107"/>
      <c r="CGV14" s="108">
        <v>600</v>
      </c>
      <c r="CGW14" s="109">
        <f t="shared" si="175"/>
        <v>21000</v>
      </c>
      <c r="CGX14" s="110"/>
      <c r="CGY14" s="108" t="s">
        <v>35</v>
      </c>
      <c r="CHB14" s="105" t="s">
        <v>48</v>
      </c>
      <c r="CHC14" s="105"/>
      <c r="CHD14" s="105"/>
      <c r="CHE14" s="106" t="s">
        <v>50</v>
      </c>
      <c r="CHF14" s="106"/>
      <c r="CHG14" s="107"/>
      <c r="CHH14" s="108">
        <v>600</v>
      </c>
      <c r="CHI14" s="109">
        <f t="shared" si="176"/>
        <v>21000</v>
      </c>
      <c r="CHJ14" s="110"/>
      <c r="CHK14" s="108" t="s">
        <v>35</v>
      </c>
      <c r="CHN14" s="105" t="s">
        <v>48</v>
      </c>
      <c r="CHO14" s="105"/>
      <c r="CHP14" s="105"/>
      <c r="CHQ14" s="106" t="s">
        <v>50</v>
      </c>
      <c r="CHR14" s="106"/>
      <c r="CHS14" s="107"/>
      <c r="CHT14" s="108">
        <v>600</v>
      </c>
      <c r="CHU14" s="109">
        <f t="shared" si="177"/>
        <v>21000</v>
      </c>
      <c r="CHV14" s="110"/>
      <c r="CHW14" s="108" t="s">
        <v>35</v>
      </c>
      <c r="CHZ14" s="105" t="s">
        <v>48</v>
      </c>
      <c r="CIA14" s="105"/>
      <c r="CIB14" s="105"/>
      <c r="CIC14" s="106" t="s">
        <v>50</v>
      </c>
      <c r="CID14" s="106"/>
      <c r="CIE14" s="107"/>
      <c r="CIF14" s="108">
        <v>600</v>
      </c>
      <c r="CIG14" s="109">
        <f t="shared" si="178"/>
        <v>21000</v>
      </c>
      <c r="CIH14" s="110"/>
      <c r="CII14" s="108" t="s">
        <v>35</v>
      </c>
      <c r="CIL14" s="105" t="s">
        <v>48</v>
      </c>
      <c r="CIM14" s="105"/>
      <c r="CIN14" s="105"/>
      <c r="CIO14" s="106" t="s">
        <v>50</v>
      </c>
      <c r="CIP14" s="106"/>
      <c r="CIQ14" s="107"/>
      <c r="CIR14" s="108">
        <v>600</v>
      </c>
      <c r="CIS14" s="109">
        <f t="shared" si="179"/>
        <v>21000</v>
      </c>
      <c r="CIT14" s="110"/>
      <c r="CIU14" s="108" t="s">
        <v>35</v>
      </c>
      <c r="CIX14" s="105" t="s">
        <v>48</v>
      </c>
      <c r="CIY14" s="105"/>
      <c r="CIZ14" s="105"/>
      <c r="CJA14" s="106" t="s">
        <v>50</v>
      </c>
      <c r="CJB14" s="106"/>
      <c r="CJC14" s="107"/>
      <c r="CJD14" s="108">
        <v>600</v>
      </c>
      <c r="CJE14" s="109">
        <f t="shared" si="180"/>
        <v>21000</v>
      </c>
      <c r="CJF14" s="110"/>
      <c r="CJG14" s="108" t="s">
        <v>35</v>
      </c>
      <c r="CJJ14" s="105" t="s">
        <v>48</v>
      </c>
      <c r="CJK14" s="105"/>
      <c r="CJL14" s="105"/>
      <c r="CJM14" s="106" t="s">
        <v>50</v>
      </c>
      <c r="CJN14" s="106"/>
      <c r="CJO14" s="107"/>
      <c r="CJP14" s="108">
        <v>600</v>
      </c>
      <c r="CJQ14" s="109">
        <f t="shared" si="181"/>
        <v>21000</v>
      </c>
      <c r="CJR14" s="110"/>
      <c r="CJS14" s="108" t="s">
        <v>35</v>
      </c>
      <c r="CJV14" s="105" t="s">
        <v>48</v>
      </c>
      <c r="CJW14" s="105"/>
      <c r="CJX14" s="105"/>
      <c r="CJY14" s="106" t="s">
        <v>50</v>
      </c>
      <c r="CJZ14" s="106"/>
      <c r="CKA14" s="107"/>
      <c r="CKB14" s="108">
        <v>600</v>
      </c>
      <c r="CKC14" s="109">
        <f t="shared" si="182"/>
        <v>21000</v>
      </c>
      <c r="CKD14" s="110"/>
      <c r="CKE14" s="108" t="s">
        <v>35</v>
      </c>
      <c r="CKH14" s="105" t="s">
        <v>48</v>
      </c>
      <c r="CKI14" s="105"/>
      <c r="CKJ14" s="105"/>
      <c r="CKK14" s="106" t="s">
        <v>50</v>
      </c>
      <c r="CKL14" s="106"/>
      <c r="CKM14" s="107"/>
      <c r="CKN14" s="108">
        <v>600</v>
      </c>
      <c r="CKO14" s="109">
        <f t="shared" si="183"/>
        <v>21000</v>
      </c>
      <c r="CKP14" s="110"/>
      <c r="CKQ14" s="108" t="s">
        <v>35</v>
      </c>
      <c r="CKT14" s="105" t="s">
        <v>48</v>
      </c>
      <c r="CKU14" s="105"/>
      <c r="CKV14" s="105"/>
      <c r="CKW14" s="106" t="s">
        <v>50</v>
      </c>
      <c r="CKX14" s="106"/>
      <c r="CKY14" s="107"/>
      <c r="CKZ14" s="108">
        <v>600</v>
      </c>
      <c r="CLA14" s="109">
        <f t="shared" si="184"/>
        <v>21000</v>
      </c>
      <c r="CLB14" s="110"/>
      <c r="CLC14" s="108" t="s">
        <v>35</v>
      </c>
      <c r="CLF14" s="105" t="s">
        <v>48</v>
      </c>
      <c r="CLG14" s="105"/>
      <c r="CLH14" s="105"/>
      <c r="CLI14" s="106" t="s">
        <v>50</v>
      </c>
      <c r="CLJ14" s="106"/>
      <c r="CLK14" s="107"/>
      <c r="CLL14" s="108">
        <v>600</v>
      </c>
      <c r="CLM14" s="109">
        <f t="shared" si="185"/>
        <v>21000</v>
      </c>
      <c r="CLN14" s="110"/>
      <c r="CLO14" s="108" t="s">
        <v>35</v>
      </c>
      <c r="CLR14" s="105" t="s">
        <v>48</v>
      </c>
      <c r="CLS14" s="105"/>
      <c r="CLT14" s="105"/>
      <c r="CLU14" s="106" t="s">
        <v>50</v>
      </c>
      <c r="CLV14" s="106"/>
      <c r="CLW14" s="107"/>
      <c r="CLX14" s="108">
        <v>600</v>
      </c>
      <c r="CLY14" s="109">
        <f t="shared" si="186"/>
        <v>21000</v>
      </c>
      <c r="CLZ14" s="110"/>
      <c r="CMA14" s="108" t="s">
        <v>35</v>
      </c>
      <c r="CMD14" s="105" t="s">
        <v>48</v>
      </c>
      <c r="CME14" s="105"/>
      <c r="CMF14" s="105"/>
      <c r="CMG14" s="106" t="s">
        <v>50</v>
      </c>
      <c r="CMH14" s="106"/>
      <c r="CMI14" s="107"/>
      <c r="CMJ14" s="108">
        <v>600</v>
      </c>
      <c r="CMK14" s="109">
        <f t="shared" si="187"/>
        <v>21000</v>
      </c>
      <c r="CML14" s="110"/>
      <c r="CMM14" s="108" t="s">
        <v>35</v>
      </c>
      <c r="CMP14" s="105" t="s">
        <v>48</v>
      </c>
      <c r="CMQ14" s="105"/>
      <c r="CMR14" s="105"/>
      <c r="CMS14" s="106" t="s">
        <v>50</v>
      </c>
      <c r="CMT14" s="106"/>
      <c r="CMU14" s="107"/>
      <c r="CMV14" s="108">
        <v>600</v>
      </c>
      <c r="CMW14" s="109">
        <f t="shared" si="188"/>
        <v>21000</v>
      </c>
      <c r="CMX14" s="110"/>
      <c r="CMY14" s="108" t="s">
        <v>35</v>
      </c>
      <c r="CNB14" s="105" t="s">
        <v>48</v>
      </c>
      <c r="CNC14" s="105"/>
      <c r="CND14" s="105"/>
      <c r="CNE14" s="106" t="s">
        <v>50</v>
      </c>
      <c r="CNF14" s="106"/>
      <c r="CNG14" s="107"/>
      <c r="CNH14" s="108">
        <v>600</v>
      </c>
      <c r="CNI14" s="109">
        <f t="shared" si="189"/>
        <v>21000</v>
      </c>
      <c r="CNJ14" s="110"/>
      <c r="CNK14" s="108" t="s">
        <v>35</v>
      </c>
      <c r="CNN14" s="105" t="s">
        <v>48</v>
      </c>
      <c r="CNO14" s="105"/>
      <c r="CNP14" s="105"/>
      <c r="CNQ14" s="106" t="s">
        <v>50</v>
      </c>
      <c r="CNR14" s="106"/>
      <c r="CNS14" s="107"/>
      <c r="CNT14" s="108">
        <v>600</v>
      </c>
      <c r="CNU14" s="109">
        <f t="shared" si="190"/>
        <v>21000</v>
      </c>
      <c r="CNV14" s="110"/>
      <c r="CNW14" s="108" t="s">
        <v>35</v>
      </c>
      <c r="CNZ14" s="105" t="s">
        <v>48</v>
      </c>
      <c r="COA14" s="105"/>
      <c r="COB14" s="105"/>
      <c r="COC14" s="106" t="s">
        <v>50</v>
      </c>
      <c r="COD14" s="106"/>
      <c r="COE14" s="107"/>
      <c r="COF14" s="108">
        <v>600</v>
      </c>
      <c r="COG14" s="109">
        <f t="shared" si="191"/>
        <v>21000</v>
      </c>
      <c r="COH14" s="110"/>
      <c r="COI14" s="108" t="s">
        <v>35</v>
      </c>
      <c r="COL14" s="105" t="s">
        <v>48</v>
      </c>
      <c r="COM14" s="105"/>
      <c r="CON14" s="105"/>
      <c r="COO14" s="106" t="s">
        <v>50</v>
      </c>
      <c r="COP14" s="106"/>
      <c r="COQ14" s="107"/>
      <c r="COR14" s="108">
        <v>600</v>
      </c>
      <c r="COS14" s="109">
        <f t="shared" ref="COS14:COS20" si="194">+COR14*$BZZ$7/1000</f>
        <v>21000</v>
      </c>
      <c r="COT14" s="110"/>
      <c r="COU14" s="108" t="s">
        <v>35</v>
      </c>
      <c r="COX14" s="105" t="s">
        <v>48</v>
      </c>
      <c r="COY14" s="105"/>
      <c r="COZ14" s="105"/>
      <c r="CPA14" s="106" t="s">
        <v>50</v>
      </c>
      <c r="CPB14" s="106"/>
      <c r="CPC14" s="107"/>
      <c r="CPD14" s="108">
        <v>600</v>
      </c>
      <c r="CPE14" s="109">
        <f t="shared" ref="CPE14:CPE19" si="195">+CPD14*$BZZ$7/1000</f>
        <v>21000</v>
      </c>
      <c r="CPF14" s="110"/>
      <c r="CPG14" s="108" t="s">
        <v>35</v>
      </c>
      <c r="CPJ14" s="105" t="s">
        <v>48</v>
      </c>
      <c r="CPK14" s="105"/>
      <c r="CPL14" s="105"/>
      <c r="CPM14" s="106" t="s">
        <v>50</v>
      </c>
      <c r="CPN14" s="106"/>
      <c r="CPO14" s="107"/>
      <c r="CPP14" s="108">
        <v>600</v>
      </c>
      <c r="CPQ14" s="109">
        <f t="shared" ref="CPQ14:CPQ19" si="196">+CPP14*$BZZ$7/1000</f>
        <v>21000</v>
      </c>
      <c r="CPR14" s="110"/>
      <c r="CPS14" s="108" t="s">
        <v>35</v>
      </c>
      <c r="CPV14" s="105" t="s">
        <v>48</v>
      </c>
      <c r="CPW14" s="105"/>
      <c r="CPX14" s="105"/>
      <c r="CPY14" s="106" t="s">
        <v>50</v>
      </c>
      <c r="CPZ14" s="106"/>
      <c r="CQA14" s="107"/>
      <c r="CQB14" s="108">
        <v>600</v>
      </c>
      <c r="CQC14" s="109">
        <f t="shared" ref="CQC14:CQC19" si="197">+CQB14*$BZZ$7/1000</f>
        <v>21000</v>
      </c>
      <c r="CQD14" s="110"/>
      <c r="CQE14" s="108" t="s">
        <v>35</v>
      </c>
      <c r="CQH14" s="105" t="s">
        <v>48</v>
      </c>
      <c r="CQI14" s="105"/>
      <c r="CQJ14" s="105"/>
      <c r="CQK14" s="106" t="s">
        <v>50</v>
      </c>
      <c r="CQL14" s="106"/>
      <c r="CQM14" s="107"/>
      <c r="CQN14" s="108">
        <v>600</v>
      </c>
      <c r="CQO14" s="109">
        <f t="shared" ref="CQO14:CQO19" si="198">+CQN14*$BZZ$7/1000</f>
        <v>21000</v>
      </c>
      <c r="CQP14" s="110"/>
      <c r="CQQ14" s="108" t="s">
        <v>35</v>
      </c>
      <c r="CQT14" s="105" t="s">
        <v>48</v>
      </c>
      <c r="CQU14" s="105"/>
      <c r="CQV14" s="105"/>
      <c r="CQW14" s="106" t="s">
        <v>50</v>
      </c>
      <c r="CQX14" s="106"/>
      <c r="CQY14" s="107"/>
      <c r="CQZ14" s="108">
        <v>600</v>
      </c>
      <c r="CRA14" s="109">
        <f t="shared" ref="CRA14:CRA19" si="199">+CQZ14*$BZZ$7/1000</f>
        <v>21000</v>
      </c>
      <c r="CRB14" s="110"/>
      <c r="CRC14" s="108" t="s">
        <v>35</v>
      </c>
      <c r="CRF14" s="105" t="s">
        <v>48</v>
      </c>
      <c r="CRG14" s="105"/>
      <c r="CRH14" s="105"/>
      <c r="CRI14" s="106" t="s">
        <v>50</v>
      </c>
      <c r="CRJ14" s="106"/>
      <c r="CRK14" s="107"/>
      <c r="CRL14" s="108">
        <v>600</v>
      </c>
      <c r="CRM14" s="109">
        <f t="shared" ref="CRM14:CRM19" si="200">+CRL14*$BZZ$7/1000</f>
        <v>21000</v>
      </c>
      <c r="CRN14" s="110"/>
      <c r="CRO14" s="108" t="s">
        <v>35</v>
      </c>
      <c r="CRR14" s="105" t="s">
        <v>48</v>
      </c>
      <c r="CRS14" s="105"/>
      <c r="CRT14" s="105"/>
      <c r="CRU14" s="106" t="s">
        <v>50</v>
      </c>
      <c r="CRV14" s="106"/>
      <c r="CRW14" s="107"/>
      <c r="CRX14" s="108">
        <v>600</v>
      </c>
      <c r="CRY14" s="109">
        <f t="shared" ref="CRY14:CRY19" si="201">+CRX14*$BZZ$7/1000</f>
        <v>21000</v>
      </c>
      <c r="CRZ14" s="110"/>
      <c r="CSA14" s="108" t="s">
        <v>35</v>
      </c>
      <c r="CSD14" s="105" t="s">
        <v>48</v>
      </c>
      <c r="CSE14" s="105"/>
      <c r="CSF14" s="105"/>
      <c r="CSG14" s="106" t="s">
        <v>50</v>
      </c>
      <c r="CSH14" s="106"/>
      <c r="CSI14" s="107"/>
      <c r="CSJ14" s="108">
        <v>600</v>
      </c>
      <c r="CSK14" s="109">
        <f t="shared" ref="CSK14:CSK19" si="202">+CSJ14*$BZZ$7/1000</f>
        <v>21000</v>
      </c>
      <c r="CSL14" s="110"/>
      <c r="CSM14" s="108" t="s">
        <v>35</v>
      </c>
      <c r="CSP14" s="105" t="s">
        <v>48</v>
      </c>
      <c r="CSQ14" s="105"/>
      <c r="CSR14" s="105"/>
      <c r="CSS14" s="106" t="s">
        <v>50</v>
      </c>
      <c r="CST14" s="106"/>
      <c r="CSU14" s="107"/>
      <c r="CSV14" s="108">
        <v>600</v>
      </c>
      <c r="CSW14" s="109">
        <f t="shared" ref="CSW14:CSW19" si="203">+CSV14*$BZZ$7/1000</f>
        <v>21000</v>
      </c>
      <c r="CSX14" s="110"/>
      <c r="CSY14" s="108" t="s">
        <v>35</v>
      </c>
      <c r="CTB14" s="105" t="s">
        <v>48</v>
      </c>
      <c r="CTC14" s="105"/>
      <c r="CTD14" s="105"/>
      <c r="CTE14" s="106" t="s">
        <v>50</v>
      </c>
      <c r="CTF14" s="106"/>
      <c r="CTG14" s="107"/>
      <c r="CTH14" s="108">
        <v>600</v>
      </c>
      <c r="CTI14" s="109">
        <f t="shared" ref="CTI14:CTI19" si="204">+CTH14*$BZZ$7/1000</f>
        <v>21000</v>
      </c>
      <c r="CTJ14" s="110"/>
      <c r="CTK14" s="108" t="s">
        <v>35</v>
      </c>
      <c r="CTN14" s="105" t="s">
        <v>48</v>
      </c>
      <c r="CTO14" s="105"/>
      <c r="CTP14" s="105"/>
      <c r="CTQ14" s="106" t="s">
        <v>50</v>
      </c>
      <c r="CTR14" s="106"/>
      <c r="CTS14" s="107"/>
      <c r="CTT14" s="108">
        <v>600</v>
      </c>
      <c r="CTU14" s="109">
        <f t="shared" ref="CTU14:CTU19" si="205">+CTT14*$BZZ$7/1000</f>
        <v>21000</v>
      </c>
      <c r="CTV14" s="110"/>
      <c r="CTW14" s="108" t="s">
        <v>35</v>
      </c>
      <c r="CTZ14" s="105" t="s">
        <v>48</v>
      </c>
      <c r="CUA14" s="105"/>
      <c r="CUB14" s="105"/>
      <c r="CUC14" s="106" t="s">
        <v>50</v>
      </c>
      <c r="CUD14" s="106"/>
      <c r="CUE14" s="107"/>
      <c r="CUF14" s="108">
        <v>600</v>
      </c>
      <c r="CUG14" s="109">
        <f t="shared" ref="CUG14:CUG19" si="206">+CUF14*$BZZ$7/1000</f>
        <v>21000</v>
      </c>
      <c r="CUH14" s="110"/>
      <c r="CUI14" s="108" t="s">
        <v>35</v>
      </c>
      <c r="CUL14" s="105" t="s">
        <v>48</v>
      </c>
      <c r="CUM14" s="105"/>
      <c r="CUN14" s="105"/>
      <c r="CUO14" s="106" t="s">
        <v>50</v>
      </c>
      <c r="CUP14" s="106"/>
      <c r="CUQ14" s="107"/>
      <c r="CUR14" s="108">
        <v>600</v>
      </c>
      <c r="CUS14" s="109">
        <f t="shared" ref="CUS14:CUS19" si="207">+CUR14*$BZZ$7/1000</f>
        <v>21000</v>
      </c>
      <c r="CUT14" s="110"/>
      <c r="CUU14" s="108" t="s">
        <v>35</v>
      </c>
      <c r="CUX14" s="105" t="s">
        <v>48</v>
      </c>
      <c r="CUY14" s="105"/>
      <c r="CUZ14" s="105"/>
      <c r="CVA14" s="106" t="s">
        <v>50</v>
      </c>
      <c r="CVB14" s="106"/>
      <c r="CVC14" s="107"/>
      <c r="CVD14" s="108">
        <v>600</v>
      </c>
      <c r="CVE14" s="109">
        <f t="shared" ref="CVE14:CVE19" si="208">+CVD14*$BZZ$7/1000</f>
        <v>21000</v>
      </c>
      <c r="CVF14" s="110"/>
      <c r="CVG14" s="108" t="s">
        <v>35</v>
      </c>
      <c r="CVJ14" s="105" t="s">
        <v>48</v>
      </c>
      <c r="CVK14" s="105"/>
      <c r="CVL14" s="105"/>
      <c r="CVM14" s="106" t="s">
        <v>50</v>
      </c>
      <c r="CVN14" s="106"/>
      <c r="CVO14" s="107"/>
      <c r="CVP14" s="108">
        <v>600</v>
      </c>
      <c r="CVQ14" s="109">
        <f t="shared" ref="CVQ14:CVQ19" si="209">+CVP14*$BZZ$7/1000</f>
        <v>21000</v>
      </c>
      <c r="CVR14" s="110"/>
      <c r="CVS14" s="108" t="s">
        <v>35</v>
      </c>
      <c r="CVV14" s="105" t="s">
        <v>48</v>
      </c>
      <c r="CVW14" s="105"/>
      <c r="CVX14" s="105"/>
      <c r="CVY14" s="106" t="s">
        <v>50</v>
      </c>
      <c r="CVZ14" s="106"/>
      <c r="CWA14" s="107"/>
      <c r="CWB14" s="108">
        <v>600</v>
      </c>
      <c r="CWC14" s="109">
        <f t="shared" si="192"/>
        <v>84000</v>
      </c>
      <c r="CWD14" s="110"/>
      <c r="CWE14" s="108" t="str">
        <f t="shared" si="193"/>
        <v>kg</v>
      </c>
    </row>
    <row r="15" spans="1:1023 1026:2631" ht="15.75" customHeight="1" x14ac:dyDescent="0.25">
      <c r="A15" s="112"/>
      <c r="B15" s="113"/>
      <c r="C15" s="114"/>
      <c r="D15" s="115"/>
      <c r="E15" s="92"/>
      <c r="F15" s="93">
        <f>E15*$L$7</f>
        <v>0</v>
      </c>
      <c r="H15" s="94"/>
      <c r="I15" s="94"/>
      <c r="J15" s="94"/>
      <c r="K15" s="95"/>
      <c r="L15" s="95"/>
      <c r="O15" s="112"/>
      <c r="P15" s="113"/>
      <c r="Q15" s="114"/>
      <c r="R15" s="115"/>
      <c r="S15" s="92"/>
      <c r="T15" s="93">
        <f t="shared" ref="T15:T22" si="210">S15*$Z$7</f>
        <v>0</v>
      </c>
      <c r="V15" s="94"/>
      <c r="W15" s="94"/>
      <c r="X15" s="94"/>
      <c r="Y15" s="95"/>
      <c r="Z15" s="95"/>
      <c r="AC15" s="112"/>
      <c r="AD15" s="113"/>
      <c r="AE15" s="114"/>
      <c r="AF15" s="115"/>
      <c r="AG15" s="92"/>
      <c r="AH15" s="93">
        <f t="shared" si="1"/>
        <v>0</v>
      </c>
      <c r="AJ15" s="94"/>
      <c r="AK15" s="94"/>
      <c r="AL15" s="94"/>
      <c r="AM15" s="95"/>
      <c r="AN15" s="95"/>
      <c r="AQ15" s="112"/>
      <c r="AR15" s="113"/>
      <c r="AS15" s="114"/>
      <c r="AT15" s="115"/>
      <c r="AU15" s="92"/>
      <c r="AV15" s="93">
        <f t="shared" si="2"/>
        <v>0</v>
      </c>
      <c r="AX15" s="94"/>
      <c r="AY15" s="94"/>
      <c r="AZ15" s="94"/>
      <c r="BA15" s="95"/>
      <c r="BB15" s="95"/>
      <c r="BE15" s="112"/>
      <c r="BF15" s="113"/>
      <c r="BG15" s="114"/>
      <c r="BH15" s="115"/>
      <c r="BI15" s="92"/>
      <c r="BJ15" s="93">
        <f t="shared" si="3"/>
        <v>0</v>
      </c>
      <c r="BL15" s="94"/>
      <c r="BM15" s="94"/>
      <c r="BN15" s="94"/>
      <c r="BO15" s="95"/>
      <c r="BP15" s="95"/>
      <c r="BS15" s="112"/>
      <c r="BT15" s="113"/>
      <c r="BU15" s="114"/>
      <c r="BV15" s="115"/>
      <c r="BW15" s="92"/>
      <c r="BX15" s="93">
        <f t="shared" si="4"/>
        <v>0</v>
      </c>
      <c r="BZ15" s="94"/>
      <c r="CA15" s="94"/>
      <c r="CB15" s="94"/>
      <c r="CC15" s="95"/>
      <c r="CD15" s="95"/>
      <c r="CG15" s="112"/>
      <c r="CH15" s="113"/>
      <c r="CI15" s="114"/>
      <c r="CJ15" s="115"/>
      <c r="CK15" s="92"/>
      <c r="CL15" s="93">
        <f t="shared" si="5"/>
        <v>0</v>
      </c>
      <c r="CN15" s="94"/>
      <c r="CO15" s="94"/>
      <c r="CP15" s="94"/>
      <c r="CQ15" s="95"/>
      <c r="CR15" s="95"/>
      <c r="CU15" s="112"/>
      <c r="CV15" s="113"/>
      <c r="CW15" s="114"/>
      <c r="CX15" s="115"/>
      <c r="CY15" s="92"/>
      <c r="CZ15" s="93">
        <f t="shared" si="6"/>
        <v>0</v>
      </c>
      <c r="DB15" s="94"/>
      <c r="DC15" s="94"/>
      <c r="DD15" s="94"/>
      <c r="DE15" s="95"/>
      <c r="DF15" s="95"/>
      <c r="DI15" s="112"/>
      <c r="DJ15" s="113"/>
      <c r="DK15" s="114"/>
      <c r="DL15" s="115"/>
      <c r="DM15" s="92"/>
      <c r="DN15" s="93">
        <f t="shared" si="7"/>
        <v>0</v>
      </c>
      <c r="DP15" s="94"/>
      <c r="DQ15" s="94"/>
      <c r="DR15" s="94"/>
      <c r="DS15" s="95"/>
      <c r="DT15" s="95"/>
      <c r="DW15" s="112"/>
      <c r="DX15" s="113"/>
      <c r="DY15" s="114"/>
      <c r="DZ15" s="115"/>
      <c r="EA15" s="92"/>
      <c r="EB15" s="93">
        <f t="shared" si="8"/>
        <v>0</v>
      </c>
      <c r="ED15" s="94"/>
      <c r="EE15" s="94"/>
      <c r="EF15" s="94"/>
      <c r="EG15" s="95"/>
      <c r="EH15" s="95"/>
      <c r="EK15" s="112"/>
      <c r="EL15" s="113"/>
      <c r="EM15" s="114"/>
      <c r="EN15" s="115"/>
      <c r="EO15" s="92"/>
      <c r="EP15" s="93">
        <f t="shared" si="9"/>
        <v>0</v>
      </c>
      <c r="ER15" s="94"/>
      <c r="ES15" s="94"/>
      <c r="ET15" s="94"/>
      <c r="EU15" s="95"/>
      <c r="EV15" s="95"/>
      <c r="EY15" s="112"/>
      <c r="EZ15" s="113"/>
      <c r="FA15" s="114"/>
      <c r="FB15" s="115"/>
      <c r="FC15" s="92"/>
      <c r="FD15" s="93">
        <f t="shared" si="10"/>
        <v>0</v>
      </c>
      <c r="FF15" s="94"/>
      <c r="FG15" s="94"/>
      <c r="FH15" s="94"/>
      <c r="FI15" s="95"/>
      <c r="FJ15" s="95"/>
      <c r="FM15" s="112"/>
      <c r="FN15" s="113"/>
      <c r="FO15" s="114"/>
      <c r="FP15" s="115"/>
      <c r="FQ15" s="92"/>
      <c r="FR15" s="93">
        <f t="shared" si="11"/>
        <v>0</v>
      </c>
      <c r="FT15" s="94"/>
      <c r="FU15" s="94"/>
      <c r="FV15" s="94"/>
      <c r="FW15" s="95"/>
      <c r="FX15" s="95"/>
      <c r="GA15" s="112"/>
      <c r="GB15" s="113"/>
      <c r="GC15" s="114"/>
      <c r="GD15" s="115"/>
      <c r="GE15" s="92"/>
      <c r="GF15" s="93">
        <f t="shared" si="12"/>
        <v>0</v>
      </c>
      <c r="GH15" s="94"/>
      <c r="GI15" s="94"/>
      <c r="GJ15" s="94"/>
      <c r="GK15" s="95"/>
      <c r="GL15" s="95"/>
      <c r="GO15" s="112"/>
      <c r="GP15" s="113"/>
      <c r="GQ15" s="114"/>
      <c r="GR15" s="115"/>
      <c r="GS15" s="92"/>
      <c r="GT15" s="93">
        <f t="shared" si="13"/>
        <v>0</v>
      </c>
      <c r="GV15" s="94"/>
      <c r="GW15" s="94"/>
      <c r="GX15" s="94"/>
      <c r="GY15" s="95"/>
      <c r="GZ15" s="95"/>
      <c r="HC15" s="112"/>
      <c r="HD15" s="113"/>
      <c r="HE15" s="114"/>
      <c r="HF15" s="115"/>
      <c r="HG15" s="92"/>
      <c r="HH15" s="93">
        <f t="shared" si="14"/>
        <v>0</v>
      </c>
      <c r="HJ15" s="94"/>
      <c r="HK15" s="94"/>
      <c r="HL15" s="94"/>
      <c r="HM15" s="95"/>
      <c r="HN15" s="95"/>
      <c r="HQ15" s="112"/>
      <c r="HR15" s="113"/>
      <c r="HS15" s="114"/>
      <c r="HT15" s="115"/>
      <c r="HU15" s="92"/>
      <c r="HV15" s="93">
        <f t="shared" si="15"/>
        <v>0</v>
      </c>
      <c r="HX15" s="94"/>
      <c r="HY15" s="94"/>
      <c r="HZ15" s="94"/>
      <c r="IA15" s="95"/>
      <c r="IB15" s="95"/>
      <c r="IE15" s="112"/>
      <c r="IF15" s="113"/>
      <c r="IG15" s="114"/>
      <c r="IH15" s="115"/>
      <c r="II15" s="92"/>
      <c r="IJ15" s="93">
        <f t="shared" si="16"/>
        <v>0</v>
      </c>
      <c r="IL15" s="94"/>
      <c r="IM15" s="94"/>
      <c r="IN15" s="94"/>
      <c r="IO15" s="95"/>
      <c r="IP15" s="95"/>
      <c r="IS15" s="112"/>
      <c r="IT15" s="113"/>
      <c r="IU15" s="114"/>
      <c r="IV15" s="115"/>
      <c r="IW15" s="92"/>
      <c r="IX15" s="93">
        <f t="shared" si="17"/>
        <v>0</v>
      </c>
      <c r="IZ15" s="94"/>
      <c r="JA15" s="94"/>
      <c r="JB15" s="94"/>
      <c r="JC15" s="95"/>
      <c r="JD15" s="95"/>
      <c r="JG15" s="112"/>
      <c r="JH15" s="113"/>
      <c r="JI15" s="114"/>
      <c r="JJ15" s="115"/>
      <c r="JK15" s="92"/>
      <c r="JL15" s="93">
        <f t="shared" si="18"/>
        <v>0</v>
      </c>
      <c r="JN15" s="94"/>
      <c r="JO15" s="94"/>
      <c r="JP15" s="94"/>
      <c r="JQ15" s="95"/>
      <c r="JR15" s="95"/>
      <c r="JU15" s="112"/>
      <c r="JV15" s="113"/>
      <c r="JW15" s="114"/>
      <c r="JX15" s="115"/>
      <c r="JY15" s="92"/>
      <c r="JZ15" s="93">
        <f t="shared" si="19"/>
        <v>0</v>
      </c>
      <c r="KB15" s="94"/>
      <c r="KC15" s="94"/>
      <c r="KD15" s="94"/>
      <c r="KE15" s="95"/>
      <c r="KF15" s="95"/>
      <c r="KI15" s="112"/>
      <c r="KJ15" s="113"/>
      <c r="KK15" s="114"/>
      <c r="KL15" s="115"/>
      <c r="KM15" s="92"/>
      <c r="KN15" s="93">
        <f t="shared" si="20"/>
        <v>0</v>
      </c>
      <c r="KP15" s="94"/>
      <c r="KQ15" s="94"/>
      <c r="KR15" s="94"/>
      <c r="KS15" s="95"/>
      <c r="KT15" s="95"/>
      <c r="KW15" s="112"/>
      <c r="KX15" s="113"/>
      <c r="KY15" s="114"/>
      <c r="KZ15" s="115"/>
      <c r="LA15" s="92"/>
      <c r="LB15" s="93">
        <f t="shared" si="21"/>
        <v>0</v>
      </c>
      <c r="LD15" s="94"/>
      <c r="LE15" s="94"/>
      <c r="LF15" s="94"/>
      <c r="LG15" s="95"/>
      <c r="LH15" s="95"/>
      <c r="LK15" s="112"/>
      <c r="LL15" s="113"/>
      <c r="LM15" s="114"/>
      <c r="LN15" s="115"/>
      <c r="LO15" s="92"/>
      <c r="LP15" s="93">
        <f t="shared" si="22"/>
        <v>0</v>
      </c>
      <c r="LR15" s="94"/>
      <c r="LS15" s="94"/>
      <c r="LT15" s="94"/>
      <c r="LU15" s="95"/>
      <c r="LV15" s="95"/>
      <c r="LY15" s="112"/>
      <c r="LZ15" s="113"/>
      <c r="MA15" s="114"/>
      <c r="MB15" s="115"/>
      <c r="MC15" s="92"/>
      <c r="MD15" s="93">
        <f t="shared" si="23"/>
        <v>0</v>
      </c>
      <c r="MF15" s="94"/>
      <c r="MG15" s="94"/>
      <c r="MH15" s="94"/>
      <c r="MI15" s="95"/>
      <c r="MJ15" s="95"/>
      <c r="MM15" s="112"/>
      <c r="MN15" s="113"/>
      <c r="MO15" s="114"/>
      <c r="MP15" s="115"/>
      <c r="MQ15" s="92"/>
      <c r="MR15" s="93">
        <f t="shared" si="24"/>
        <v>0</v>
      </c>
      <c r="MT15" s="94"/>
      <c r="MU15" s="94"/>
      <c r="MV15" s="94"/>
      <c r="MW15" s="95"/>
      <c r="MX15" s="95"/>
      <c r="NA15" s="112"/>
      <c r="NB15" s="113"/>
      <c r="NC15" s="114"/>
      <c r="ND15" s="115"/>
      <c r="NE15" s="92"/>
      <c r="NF15" s="93">
        <f t="shared" si="25"/>
        <v>0</v>
      </c>
      <c r="NH15" s="94"/>
      <c r="NI15" s="94"/>
      <c r="NJ15" s="94"/>
      <c r="NK15" s="95"/>
      <c r="NL15" s="95"/>
      <c r="NO15" s="112"/>
      <c r="NP15" s="113"/>
      <c r="NQ15" s="114"/>
      <c r="NR15" s="115"/>
      <c r="NS15" s="92"/>
      <c r="NT15" s="93">
        <f t="shared" si="26"/>
        <v>0</v>
      </c>
      <c r="NV15" s="94"/>
      <c r="NW15" s="94"/>
      <c r="NX15" s="94"/>
      <c r="NY15" s="95"/>
      <c r="NZ15" s="95"/>
      <c r="OC15" s="112"/>
      <c r="OD15" s="113"/>
      <c r="OE15" s="114"/>
      <c r="OF15" s="115"/>
      <c r="OG15" s="92"/>
      <c r="OH15" s="93">
        <f t="shared" si="27"/>
        <v>0</v>
      </c>
      <c r="OJ15" s="94"/>
      <c r="OK15" s="94"/>
      <c r="OL15" s="94"/>
      <c r="OM15" s="95"/>
      <c r="ON15" s="95"/>
      <c r="OQ15" s="112"/>
      <c r="OR15" s="113"/>
      <c r="OS15" s="114"/>
      <c r="OT15" s="115"/>
      <c r="OU15" s="92"/>
      <c r="OV15" s="93">
        <f t="shared" si="28"/>
        <v>0</v>
      </c>
      <c r="OX15" s="94"/>
      <c r="OY15" s="94"/>
      <c r="OZ15" s="94"/>
      <c r="PA15" s="95"/>
      <c r="PB15" s="95"/>
      <c r="PE15" s="112"/>
      <c r="PF15" s="113"/>
      <c r="PG15" s="114"/>
      <c r="PH15" s="115"/>
      <c r="PI15" s="92"/>
      <c r="PJ15" s="93">
        <f t="shared" si="29"/>
        <v>0</v>
      </c>
      <c r="PL15" s="94"/>
      <c r="PM15" s="94"/>
      <c r="PN15" s="94"/>
      <c r="PO15" s="95"/>
      <c r="PP15" s="95"/>
      <c r="PS15" s="112"/>
      <c r="PT15" s="113"/>
      <c r="PU15" s="114"/>
      <c r="PV15" s="115"/>
      <c r="PW15" s="92"/>
      <c r="PX15" s="93">
        <f t="shared" si="30"/>
        <v>0</v>
      </c>
      <c r="PZ15" s="94"/>
      <c r="QA15" s="94"/>
      <c r="QB15" s="94"/>
      <c r="QC15" s="95"/>
      <c r="QD15" s="95"/>
      <c r="QG15" s="112"/>
      <c r="QH15" s="113"/>
      <c r="QI15" s="114"/>
      <c r="QJ15" s="115"/>
      <c r="QK15" s="92"/>
      <c r="QL15" s="93">
        <f t="shared" si="31"/>
        <v>0</v>
      </c>
      <c r="QN15" s="94"/>
      <c r="QO15" s="94"/>
      <c r="QP15" s="94"/>
      <c r="QQ15" s="95"/>
      <c r="QR15" s="95"/>
      <c r="QU15" s="112"/>
      <c r="QV15" s="113"/>
      <c r="QW15" s="114"/>
      <c r="QX15" s="115"/>
      <c r="QY15" s="92"/>
      <c r="QZ15" s="93">
        <f t="shared" si="32"/>
        <v>0</v>
      </c>
      <c r="RB15" s="94"/>
      <c r="RC15" s="94"/>
      <c r="RD15" s="94"/>
      <c r="RE15" s="95"/>
      <c r="RF15" s="95"/>
      <c r="RI15" s="112"/>
      <c r="RJ15" s="113"/>
      <c r="RK15" s="114"/>
      <c r="RL15" s="115"/>
      <c r="RM15" s="92"/>
      <c r="RN15" s="93">
        <f t="shared" si="33"/>
        <v>0</v>
      </c>
      <c r="RP15" s="94"/>
      <c r="RQ15" s="94"/>
      <c r="RR15" s="94"/>
      <c r="RS15" s="95"/>
      <c r="RT15" s="95"/>
      <c r="RW15" s="112"/>
      <c r="RX15" s="113"/>
      <c r="RY15" s="114"/>
      <c r="RZ15" s="115"/>
      <c r="SA15" s="92"/>
      <c r="SB15" s="93">
        <f t="shared" si="34"/>
        <v>0</v>
      </c>
      <c r="SD15" s="94"/>
      <c r="SE15" s="94"/>
      <c r="SF15" s="94"/>
      <c r="SG15" s="95"/>
      <c r="SH15" s="95"/>
      <c r="SK15" s="112"/>
      <c r="SL15" s="113"/>
      <c r="SM15" s="114"/>
      <c r="SN15" s="115"/>
      <c r="SO15" s="92"/>
      <c r="SP15" s="93">
        <f t="shared" si="35"/>
        <v>0</v>
      </c>
      <c r="SR15" s="94"/>
      <c r="SS15" s="94"/>
      <c r="ST15" s="94"/>
      <c r="SU15" s="95"/>
      <c r="SV15" s="95"/>
      <c r="SY15" s="112"/>
      <c r="SZ15" s="113"/>
      <c r="TA15" s="114"/>
      <c r="TB15" s="115"/>
      <c r="TC15" s="92"/>
      <c r="TD15" s="93">
        <f t="shared" si="36"/>
        <v>0</v>
      </c>
      <c r="TF15" s="94"/>
      <c r="TG15" s="94"/>
      <c r="TH15" s="94"/>
      <c r="TI15" s="95"/>
      <c r="TJ15" s="95"/>
      <c r="TM15" s="112"/>
      <c r="TN15" s="113"/>
      <c r="TO15" s="114"/>
      <c r="TP15" s="115"/>
      <c r="TQ15" s="92"/>
      <c r="TR15" s="93">
        <f t="shared" si="37"/>
        <v>0</v>
      </c>
      <c r="TT15" s="94"/>
      <c r="TU15" s="94"/>
      <c r="TV15" s="94"/>
      <c r="TW15" s="95"/>
      <c r="TX15" s="95"/>
      <c r="UA15" s="112"/>
      <c r="UB15" s="113"/>
      <c r="UC15" s="114"/>
      <c r="UD15" s="115"/>
      <c r="UE15" s="92"/>
      <c r="UF15" s="93">
        <f t="shared" si="38"/>
        <v>0</v>
      </c>
      <c r="UH15" s="94"/>
      <c r="UI15" s="94"/>
      <c r="UJ15" s="94"/>
      <c r="UK15" s="95"/>
      <c r="UL15" s="95"/>
      <c r="UO15" s="112"/>
      <c r="UP15" s="113"/>
      <c r="UQ15" s="114"/>
      <c r="UR15" s="115"/>
      <c r="US15" s="92"/>
      <c r="UT15" s="93">
        <f t="shared" si="39"/>
        <v>0</v>
      </c>
      <c r="UV15" s="94"/>
      <c r="UW15" s="94"/>
      <c r="UX15" s="94"/>
      <c r="UY15" s="95"/>
      <c r="UZ15" s="95"/>
      <c r="VC15" s="112"/>
      <c r="VD15" s="113"/>
      <c r="VE15" s="114"/>
      <c r="VF15" s="115"/>
      <c r="VG15" s="92"/>
      <c r="VH15" s="93">
        <f t="shared" si="40"/>
        <v>0</v>
      </c>
      <c r="VJ15" s="94"/>
      <c r="VK15" s="94"/>
      <c r="VL15" s="94"/>
      <c r="VM15" s="95"/>
      <c r="VN15" s="95"/>
      <c r="VQ15" s="112"/>
      <c r="VR15" s="113"/>
      <c r="VS15" s="114"/>
      <c r="VT15" s="115"/>
      <c r="VU15" s="92"/>
      <c r="VV15" s="93">
        <f t="shared" si="41"/>
        <v>0</v>
      </c>
      <c r="VX15" s="94"/>
      <c r="VY15" s="94"/>
      <c r="VZ15" s="94"/>
      <c r="WA15" s="95"/>
      <c r="WB15" s="95"/>
      <c r="WE15" s="112"/>
      <c r="WF15" s="113"/>
      <c r="WG15" s="114"/>
      <c r="WH15" s="115"/>
      <c r="WI15" s="92"/>
      <c r="WJ15" s="93">
        <f t="shared" si="42"/>
        <v>0</v>
      </c>
      <c r="WL15" s="94"/>
      <c r="WM15" s="94"/>
      <c r="WN15" s="94"/>
      <c r="WO15" s="95"/>
      <c r="WP15" s="95"/>
      <c r="WS15" s="112"/>
      <c r="WT15" s="113"/>
      <c r="WU15" s="114"/>
      <c r="WV15" s="115"/>
      <c r="WW15" s="92"/>
      <c r="WX15" s="93">
        <f t="shared" si="43"/>
        <v>0</v>
      </c>
      <c r="WZ15" s="94"/>
      <c r="XA15" s="94"/>
      <c r="XB15" s="94"/>
      <c r="XC15" s="95"/>
      <c r="XD15" s="95"/>
      <c r="XG15" s="112"/>
      <c r="XH15" s="113"/>
      <c r="XI15" s="114"/>
      <c r="XJ15" s="115"/>
      <c r="XK15" s="92"/>
      <c r="XL15" s="93">
        <f t="shared" si="44"/>
        <v>0</v>
      </c>
      <c r="XN15" s="94"/>
      <c r="XO15" s="94"/>
      <c r="XP15" s="94"/>
      <c r="XQ15" s="95"/>
      <c r="XR15" s="95"/>
      <c r="XU15" s="112"/>
      <c r="XV15" s="113"/>
      <c r="XW15" s="114"/>
      <c r="XX15" s="115"/>
      <c r="XY15" s="92"/>
      <c r="XZ15" s="93">
        <f t="shared" si="45"/>
        <v>0</v>
      </c>
      <c r="YB15" s="94"/>
      <c r="YC15" s="94"/>
      <c r="YD15" s="94"/>
      <c r="YE15" s="95"/>
      <c r="YF15" s="95"/>
      <c r="YI15" s="112"/>
      <c r="YJ15" s="113"/>
      <c r="YK15" s="114"/>
      <c r="YL15" s="115"/>
      <c r="YM15" s="92"/>
      <c r="YN15" s="93">
        <f t="shared" si="46"/>
        <v>0</v>
      </c>
      <c r="YP15" s="94"/>
      <c r="YQ15" s="94"/>
      <c r="YR15" s="94"/>
      <c r="YS15" s="95"/>
      <c r="YT15" s="95"/>
      <c r="YW15" s="112"/>
      <c r="YX15" s="113"/>
      <c r="YY15" s="114"/>
      <c r="YZ15" s="115"/>
      <c r="ZA15" s="92"/>
      <c r="ZB15" s="93"/>
      <c r="ZD15" s="94"/>
      <c r="ZE15" s="94"/>
      <c r="ZF15" s="94"/>
      <c r="ZG15" s="95"/>
      <c r="ZH15" s="95"/>
      <c r="ZK15" s="112"/>
      <c r="ZL15" s="113"/>
      <c r="ZM15" s="114"/>
      <c r="ZN15" s="115"/>
      <c r="ZO15" s="92"/>
      <c r="ZP15" s="93"/>
      <c r="ZR15" s="94"/>
      <c r="ZS15" s="94"/>
      <c r="ZT15" s="94"/>
      <c r="ZU15" s="95"/>
      <c r="ZV15" s="95"/>
      <c r="ZZ15" s="105"/>
      <c r="AAA15" s="105"/>
      <c r="AAB15" s="105"/>
      <c r="AAC15" s="106"/>
      <c r="AAD15" s="106"/>
      <c r="AAE15" s="107"/>
      <c r="AAF15" s="108"/>
      <c r="AAG15" s="109">
        <f>+AAF15*$J$7/1000</f>
        <v>0</v>
      </c>
      <c r="AAH15" s="110"/>
      <c r="AAI15" s="108" t="s">
        <v>35</v>
      </c>
      <c r="AAM15" s="105"/>
      <c r="AAN15" s="105"/>
      <c r="AAO15" s="105"/>
      <c r="AAP15" s="106"/>
      <c r="AAQ15" s="106"/>
      <c r="AAR15" s="107"/>
      <c r="AAS15" s="108"/>
      <c r="AAT15" s="109">
        <f t="shared" si="50"/>
        <v>0</v>
      </c>
      <c r="AAU15" s="110"/>
      <c r="AAV15" s="108" t="s">
        <v>35</v>
      </c>
      <c r="AAZ15" s="105"/>
      <c r="ABA15" s="105"/>
      <c r="ABB15" s="105"/>
      <c r="ABC15" s="106"/>
      <c r="ABD15" s="106"/>
      <c r="ABE15" s="107"/>
      <c r="ABF15" s="108"/>
      <c r="ABG15" s="109">
        <f t="shared" si="51"/>
        <v>0</v>
      </c>
      <c r="ABH15" s="110"/>
      <c r="ABI15" s="108" t="s">
        <v>35</v>
      </c>
      <c r="ABM15" s="105"/>
      <c r="ABN15" s="105"/>
      <c r="ABO15" s="105"/>
      <c r="ABP15" s="106"/>
      <c r="ABQ15" s="106"/>
      <c r="ABR15" s="107"/>
      <c r="ABS15" s="108"/>
      <c r="ABT15" s="109">
        <f t="shared" si="52"/>
        <v>0</v>
      </c>
      <c r="ABU15" s="110"/>
      <c r="ABV15" s="108" t="s">
        <v>35</v>
      </c>
      <c r="ABZ15" s="105"/>
      <c r="ACA15" s="105"/>
      <c r="ACB15" s="105"/>
      <c r="ACC15" s="106"/>
      <c r="ACD15" s="106"/>
      <c r="ACE15" s="107"/>
      <c r="ACF15" s="108"/>
      <c r="ACG15" s="109">
        <f t="shared" si="53"/>
        <v>0</v>
      </c>
      <c r="ACH15" s="110"/>
      <c r="ACI15" s="108" t="s">
        <v>35</v>
      </c>
      <c r="ACM15" s="105"/>
      <c r="ACN15" s="105"/>
      <c r="ACO15" s="105"/>
      <c r="ACP15" s="106"/>
      <c r="ACQ15" s="106"/>
      <c r="ACR15" s="107"/>
      <c r="ACS15" s="108"/>
      <c r="ACT15" s="109">
        <f t="shared" si="54"/>
        <v>0</v>
      </c>
      <c r="ACU15" s="110"/>
      <c r="ACV15" s="108" t="s">
        <v>35</v>
      </c>
      <c r="ACZ15" s="105"/>
      <c r="ADA15" s="105"/>
      <c r="ADB15" s="105"/>
      <c r="ADC15" s="106"/>
      <c r="ADD15" s="106"/>
      <c r="ADE15" s="107"/>
      <c r="ADF15" s="108"/>
      <c r="ADG15" s="109">
        <f t="shared" si="55"/>
        <v>0</v>
      </c>
      <c r="ADH15" s="110"/>
      <c r="ADI15" s="108" t="s">
        <v>35</v>
      </c>
      <c r="ADM15" s="105"/>
      <c r="ADN15" s="105"/>
      <c r="ADO15" s="105"/>
      <c r="ADP15" s="106"/>
      <c r="ADQ15" s="106"/>
      <c r="ADR15" s="107"/>
      <c r="ADS15" s="108"/>
      <c r="ADT15" s="109">
        <f t="shared" ref="ADT15:ADT16" si="211">+ADS15*$ADH$7/1000</f>
        <v>0</v>
      </c>
      <c r="ADU15" s="110"/>
      <c r="ADV15" s="108" t="s">
        <v>35</v>
      </c>
      <c r="ADZ15" s="105"/>
      <c r="AEA15" s="105"/>
      <c r="AEB15" s="105"/>
      <c r="AEC15" s="106"/>
      <c r="AED15" s="106"/>
      <c r="AEE15" s="107"/>
      <c r="AEF15" s="108"/>
      <c r="AEG15" s="109">
        <f t="shared" ref="AEG15:AEG16" si="212">+AEF15*$ADH$7/1000</f>
        <v>0</v>
      </c>
      <c r="AEH15" s="110"/>
      <c r="AEI15" s="108" t="s">
        <v>35</v>
      </c>
      <c r="AEM15" s="105"/>
      <c r="AEN15" s="105"/>
      <c r="AEO15" s="105"/>
      <c r="AEP15" s="106"/>
      <c r="AEQ15" s="106"/>
      <c r="AER15" s="107"/>
      <c r="AES15" s="108"/>
      <c r="AET15" s="109">
        <f t="shared" si="58"/>
        <v>0</v>
      </c>
      <c r="AEU15" s="110"/>
      <c r="AEV15" s="108" t="s">
        <v>35</v>
      </c>
      <c r="AEZ15" s="105"/>
      <c r="AFA15" s="105"/>
      <c r="AFB15" s="105"/>
      <c r="AFC15" s="106"/>
      <c r="AFD15" s="106"/>
      <c r="AFE15" s="107"/>
      <c r="AFF15" s="108"/>
      <c r="AFG15" s="109">
        <f t="shared" ref="AFG15" si="213">+AFF15*$AEU$7/1000</f>
        <v>0</v>
      </c>
      <c r="AFH15" s="110"/>
      <c r="AFI15" s="108" t="s">
        <v>35</v>
      </c>
      <c r="AFM15" s="105"/>
      <c r="AFN15" s="105"/>
      <c r="AFO15" s="105"/>
      <c r="AFP15" s="106"/>
      <c r="AFQ15" s="106"/>
      <c r="AFR15" s="107"/>
      <c r="AFS15" s="108"/>
      <c r="AFT15" s="109">
        <f t="shared" ref="AFT15" si="214">+AFS15*$AEU$7/1000</f>
        <v>0</v>
      </c>
      <c r="AFU15" s="110"/>
      <c r="AFV15" s="108" t="s">
        <v>35</v>
      </c>
      <c r="AFZ15" s="105"/>
      <c r="AGA15" s="105"/>
      <c r="AGB15" s="105"/>
      <c r="AGC15" s="106"/>
      <c r="AGD15" s="106"/>
      <c r="AGE15" s="107"/>
      <c r="AGF15" s="108"/>
      <c r="AGG15" s="109">
        <f t="shared" si="61"/>
        <v>0</v>
      </c>
      <c r="AGH15" s="110"/>
      <c r="AGI15" s="108" t="s">
        <v>35</v>
      </c>
      <c r="AGL15" s="105"/>
      <c r="AGM15" s="105"/>
      <c r="AGN15" s="105"/>
      <c r="AGO15" s="106"/>
      <c r="AGP15" s="106"/>
      <c r="AGQ15" s="107"/>
      <c r="AGR15" s="108"/>
      <c r="AGS15" s="109">
        <f t="shared" si="62"/>
        <v>0</v>
      </c>
      <c r="AGT15" s="110"/>
      <c r="AGU15" s="108" t="s">
        <v>35</v>
      </c>
      <c r="AGX15" s="105"/>
      <c r="AGY15" s="105"/>
      <c r="AGZ15" s="105"/>
      <c r="AHA15" s="106"/>
      <c r="AHB15" s="106"/>
      <c r="AHC15" s="107"/>
      <c r="AHD15" s="108"/>
      <c r="AHE15" s="109">
        <f t="shared" si="63"/>
        <v>0</v>
      </c>
      <c r="AHF15" s="110"/>
      <c r="AHG15" s="108" t="s">
        <v>35</v>
      </c>
      <c r="AHJ15" s="105"/>
      <c r="AHK15" s="105"/>
      <c r="AHL15" s="105"/>
      <c r="AHM15" s="106"/>
      <c r="AHN15" s="106"/>
      <c r="AHO15" s="107"/>
      <c r="AHP15" s="108"/>
      <c r="AHQ15" s="109">
        <f t="shared" si="64"/>
        <v>0</v>
      </c>
      <c r="AHR15" s="110"/>
      <c r="AHS15" s="108" t="s">
        <v>35</v>
      </c>
      <c r="AHV15" s="105"/>
      <c r="AHW15" s="105"/>
      <c r="AHX15" s="105"/>
      <c r="AHY15" s="106"/>
      <c r="AHZ15" s="106"/>
      <c r="AIA15" s="107"/>
      <c r="AIB15" s="108"/>
      <c r="AIC15" s="109">
        <f t="shared" si="65"/>
        <v>0</v>
      </c>
      <c r="AID15" s="110"/>
      <c r="AIE15" s="108" t="s">
        <v>35</v>
      </c>
      <c r="AIH15" s="105"/>
      <c r="AII15" s="105"/>
      <c r="AIJ15" s="105"/>
      <c r="AIK15" s="106"/>
      <c r="AIL15" s="106"/>
      <c r="AIM15" s="107"/>
      <c r="AIN15" s="108"/>
      <c r="AIO15" s="109">
        <f t="shared" ref="AIO15" si="215">+AIN15*$AID$7/1000</f>
        <v>0</v>
      </c>
      <c r="AIP15" s="110"/>
      <c r="AIQ15" s="108" t="s">
        <v>35</v>
      </c>
      <c r="AIT15" s="105"/>
      <c r="AIU15" s="105"/>
      <c r="AIV15" s="105"/>
      <c r="AIW15" s="106"/>
      <c r="AIX15" s="106"/>
      <c r="AIY15" s="107"/>
      <c r="AIZ15" s="108"/>
      <c r="AJA15" s="109">
        <f t="shared" ref="AJA15" si="216">+AIZ15*$AID$7/1000</f>
        <v>0</v>
      </c>
      <c r="AJB15" s="110"/>
      <c r="AJC15" s="108" t="s">
        <v>35</v>
      </c>
      <c r="AJF15" s="105"/>
      <c r="AJG15" s="105"/>
      <c r="AJH15" s="105"/>
      <c r="AJI15" s="106"/>
      <c r="AJJ15" s="106"/>
      <c r="AJK15" s="107"/>
      <c r="AJL15" s="108"/>
      <c r="AJM15" s="109">
        <f t="shared" si="68"/>
        <v>0</v>
      </c>
      <c r="AJN15" s="110"/>
      <c r="AJO15" s="108" t="s">
        <v>35</v>
      </c>
      <c r="AJR15" s="105"/>
      <c r="AJS15" s="105"/>
      <c r="AJT15" s="105"/>
      <c r="AJU15" s="106"/>
      <c r="AJV15" s="106"/>
      <c r="AJW15" s="107"/>
      <c r="AJX15" s="108"/>
      <c r="AJY15" s="109">
        <f t="shared" ref="AJY15" si="217">+AJX15*$AJN$7/1000</f>
        <v>0</v>
      </c>
      <c r="AJZ15" s="110"/>
      <c r="AKA15" s="108" t="s">
        <v>35</v>
      </c>
      <c r="AKD15" s="105"/>
      <c r="AKE15" s="105"/>
      <c r="AKF15" s="105"/>
      <c r="AKG15" s="106"/>
      <c r="AKH15" s="106"/>
      <c r="AKI15" s="107"/>
      <c r="AKJ15" s="108"/>
      <c r="AKK15" s="109">
        <f t="shared" ref="AKK15" si="218">+AKJ15*$AJN$7/1000</f>
        <v>0</v>
      </c>
      <c r="AKL15" s="110"/>
      <c r="AKM15" s="108" t="s">
        <v>35</v>
      </c>
      <c r="AKP15" s="105"/>
      <c r="AKQ15" s="105"/>
      <c r="AKR15" s="105"/>
      <c r="AKS15" s="106"/>
      <c r="AKT15" s="106"/>
      <c r="AKU15" s="107"/>
      <c r="AKV15" s="108"/>
      <c r="AKW15" s="109">
        <f t="shared" si="71"/>
        <v>0</v>
      </c>
      <c r="AKX15" s="110"/>
      <c r="AKY15" s="108" t="s">
        <v>35</v>
      </c>
      <c r="ALB15" s="105"/>
      <c r="ALC15" s="105"/>
      <c r="ALD15" s="105"/>
      <c r="ALE15" s="106"/>
      <c r="ALF15" s="106"/>
      <c r="ALG15" s="107"/>
      <c r="ALH15" s="108"/>
      <c r="ALI15" s="109">
        <f t="shared" ref="ALI15:ALI16" si="219">+ALH15*$AKX$7/1000</f>
        <v>0</v>
      </c>
      <c r="ALJ15" s="110"/>
      <c r="ALK15" s="108" t="s">
        <v>35</v>
      </c>
      <c r="ALN15" s="105"/>
      <c r="ALO15" s="105"/>
      <c r="ALP15" s="105"/>
      <c r="ALQ15" s="106"/>
      <c r="ALR15" s="106"/>
      <c r="ALS15" s="107"/>
      <c r="ALT15" s="108"/>
      <c r="ALU15" s="109">
        <f t="shared" ref="ALU15:ALU16" si="220">+ALT15*$AKX$7/1000</f>
        <v>0</v>
      </c>
      <c r="ALV15" s="110"/>
      <c r="ALW15" s="108" t="s">
        <v>35</v>
      </c>
      <c r="ALZ15" s="105"/>
      <c r="AMA15" s="105"/>
      <c r="AMB15" s="105"/>
      <c r="AMC15" s="106"/>
      <c r="AMD15" s="106"/>
      <c r="AME15" s="107"/>
      <c r="AMF15" s="108"/>
      <c r="AMG15" s="109">
        <f t="shared" ref="AMG15:AMG16" si="221">+AMF15*$AKX$7/1000</f>
        <v>0</v>
      </c>
      <c r="AMH15" s="110"/>
      <c r="AMI15" s="108" t="s">
        <v>35</v>
      </c>
      <c r="AML15" s="105"/>
      <c r="AMM15" s="105"/>
      <c r="AMN15" s="105"/>
      <c r="AMO15" s="106"/>
      <c r="AMP15" s="106"/>
      <c r="AMQ15" s="107"/>
      <c r="AMR15" s="108"/>
      <c r="AMS15" s="109">
        <f t="shared" ref="AMS15:AMS16" si="222">+AMR15*$AKX$7/1000</f>
        <v>0</v>
      </c>
      <c r="AMT15" s="110"/>
      <c r="AMU15" s="108" t="s">
        <v>35</v>
      </c>
      <c r="AMX15" s="105"/>
      <c r="AMY15" s="105"/>
      <c r="AMZ15" s="105"/>
      <c r="ANA15" s="106"/>
      <c r="ANB15" s="106"/>
      <c r="ANC15" s="107"/>
      <c r="AND15" s="108"/>
      <c r="ANE15" s="109">
        <f t="shared" si="76"/>
        <v>0</v>
      </c>
      <c r="ANF15" s="110"/>
      <c r="ANG15" s="108" t="s">
        <v>35</v>
      </c>
      <c r="ANJ15" s="105"/>
      <c r="ANK15" s="105"/>
      <c r="ANL15" s="105"/>
      <c r="ANM15" s="106"/>
      <c r="ANN15" s="106"/>
      <c r="ANO15" s="107"/>
      <c r="ANP15" s="108"/>
      <c r="ANQ15" s="109">
        <f t="shared" si="77"/>
        <v>0</v>
      </c>
      <c r="ANR15" s="110"/>
      <c r="ANS15" s="108" t="s">
        <v>35</v>
      </c>
      <c r="ANV15" s="105"/>
      <c r="ANW15" s="105"/>
      <c r="ANX15" s="105"/>
      <c r="ANY15" s="106"/>
      <c r="ANZ15" s="106"/>
      <c r="AOA15" s="107"/>
      <c r="AOB15" s="108"/>
      <c r="AOC15" s="109">
        <f t="shared" si="78"/>
        <v>0</v>
      </c>
      <c r="AOD15" s="110"/>
      <c r="AOE15" s="108" t="s">
        <v>35</v>
      </c>
      <c r="AOH15" s="105"/>
      <c r="AOI15" s="105"/>
      <c r="AOJ15" s="105"/>
      <c r="AOK15" s="106"/>
      <c r="AOL15" s="106"/>
      <c r="AOM15" s="107"/>
      <c r="AON15" s="108"/>
      <c r="AOO15" s="109">
        <f t="shared" si="79"/>
        <v>0</v>
      </c>
      <c r="AOP15" s="110"/>
      <c r="AOQ15" s="108" t="s">
        <v>35</v>
      </c>
      <c r="AOT15" s="105"/>
      <c r="AOU15" s="105"/>
      <c r="AOV15" s="105"/>
      <c r="AOW15" s="106"/>
      <c r="AOX15" s="106"/>
      <c r="AOY15" s="107"/>
      <c r="AOZ15" s="108"/>
      <c r="APA15" s="109">
        <f t="shared" si="80"/>
        <v>0</v>
      </c>
      <c r="APB15" s="110"/>
      <c r="APC15" s="108" t="s">
        <v>35</v>
      </c>
      <c r="APF15" s="105"/>
      <c r="APG15" s="105"/>
      <c r="APH15" s="105"/>
      <c r="API15" s="106"/>
      <c r="APJ15" s="106"/>
      <c r="APK15" s="107"/>
      <c r="APL15" s="108"/>
      <c r="APM15" s="109">
        <f t="shared" si="81"/>
        <v>0</v>
      </c>
      <c r="APN15" s="110"/>
      <c r="APO15" s="108" t="s">
        <v>35</v>
      </c>
      <c r="APR15" s="105"/>
      <c r="APS15" s="105"/>
      <c r="APT15" s="105"/>
      <c r="APU15" s="106"/>
      <c r="APV15" s="106"/>
      <c r="APW15" s="107"/>
      <c r="APX15" s="108"/>
      <c r="APY15" s="109">
        <f t="shared" si="82"/>
        <v>0</v>
      </c>
      <c r="APZ15" s="110"/>
      <c r="AQA15" s="108" t="s">
        <v>35</v>
      </c>
      <c r="AQD15" s="105"/>
      <c r="AQE15" s="105"/>
      <c r="AQF15" s="105"/>
      <c r="AQG15" s="106"/>
      <c r="AQH15" s="106"/>
      <c r="AQI15" s="107"/>
      <c r="AQJ15" s="108"/>
      <c r="AQK15" s="109">
        <f t="shared" si="83"/>
        <v>0</v>
      </c>
      <c r="AQL15" s="110"/>
      <c r="AQM15" s="108" t="s">
        <v>35</v>
      </c>
      <c r="AQP15" s="105"/>
      <c r="AQQ15" s="105"/>
      <c r="AQR15" s="105"/>
      <c r="AQS15" s="106"/>
      <c r="AQT15" s="106"/>
      <c r="AQU15" s="107"/>
      <c r="AQV15" s="108"/>
      <c r="AQW15" s="109">
        <f t="shared" si="84"/>
        <v>0</v>
      </c>
      <c r="AQX15" s="110"/>
      <c r="AQY15" s="108" t="s">
        <v>35</v>
      </c>
      <c r="ARB15" s="105"/>
      <c r="ARC15" s="105"/>
      <c r="ARD15" s="105"/>
      <c r="ARE15" s="106"/>
      <c r="ARF15" s="106"/>
      <c r="ARG15" s="107"/>
      <c r="ARH15" s="108"/>
      <c r="ARI15" s="109">
        <f t="shared" si="85"/>
        <v>0</v>
      </c>
      <c r="ARJ15" s="110"/>
      <c r="ARK15" s="108" t="s">
        <v>35</v>
      </c>
      <c r="ARN15" s="105"/>
      <c r="ARO15" s="105"/>
      <c r="ARP15" s="105"/>
      <c r="ARQ15" s="106"/>
      <c r="ARR15" s="106"/>
      <c r="ARS15" s="107"/>
      <c r="ART15" s="108"/>
      <c r="ARU15" s="109">
        <f t="shared" si="86"/>
        <v>0</v>
      </c>
      <c r="ARV15" s="110"/>
      <c r="ARW15" s="108" t="s">
        <v>35</v>
      </c>
      <c r="ARZ15" s="105"/>
      <c r="ASA15" s="105"/>
      <c r="ASB15" s="105"/>
      <c r="ASC15" s="106"/>
      <c r="ASD15" s="106"/>
      <c r="ASE15" s="107"/>
      <c r="ASF15" s="108"/>
      <c r="ASG15" s="109">
        <f t="shared" si="87"/>
        <v>0</v>
      </c>
      <c r="ASH15" s="110"/>
      <c r="ASI15" s="108" t="s">
        <v>35</v>
      </c>
      <c r="ASL15" s="105"/>
      <c r="ASM15" s="105"/>
      <c r="ASN15" s="105"/>
      <c r="ASO15" s="106"/>
      <c r="ASP15" s="106"/>
      <c r="ASQ15" s="107"/>
      <c r="ASR15" s="108"/>
      <c r="ASS15" s="109">
        <f t="shared" si="88"/>
        <v>0</v>
      </c>
      <c r="AST15" s="110"/>
      <c r="ASU15" s="108" t="s">
        <v>35</v>
      </c>
      <c r="ASX15" s="105"/>
      <c r="ASY15" s="105"/>
      <c r="ASZ15" s="105"/>
      <c r="ATA15" s="106"/>
      <c r="ATB15" s="106"/>
      <c r="ATC15" s="107"/>
      <c r="ATD15" s="108"/>
      <c r="ATE15" s="109">
        <f t="shared" si="89"/>
        <v>0</v>
      </c>
      <c r="ATF15" s="110"/>
      <c r="ATG15" s="108" t="s">
        <v>35</v>
      </c>
      <c r="ATJ15" s="105"/>
      <c r="ATK15" s="105"/>
      <c r="ATL15" s="105"/>
      <c r="ATM15" s="106"/>
      <c r="ATN15" s="106"/>
      <c r="ATO15" s="107"/>
      <c r="ATP15" s="108"/>
      <c r="ATQ15" s="109">
        <f t="shared" si="90"/>
        <v>0</v>
      </c>
      <c r="ATR15" s="110"/>
      <c r="ATS15" s="108" t="s">
        <v>35</v>
      </c>
      <c r="ATV15" s="105"/>
      <c r="ATW15" s="105"/>
      <c r="ATX15" s="105"/>
      <c r="ATY15" s="106"/>
      <c r="ATZ15" s="106"/>
      <c r="AUA15" s="107"/>
      <c r="AUB15" s="108"/>
      <c r="AUC15" s="109">
        <f t="shared" si="91"/>
        <v>0</v>
      </c>
      <c r="AUD15" s="110"/>
      <c r="AUE15" s="108" t="s">
        <v>35</v>
      </c>
      <c r="AUH15" s="105"/>
      <c r="AUI15" s="105"/>
      <c r="AUJ15" s="105"/>
      <c r="AUK15" s="106"/>
      <c r="AUL15" s="106"/>
      <c r="AUM15" s="107"/>
      <c r="AUN15" s="108"/>
      <c r="AUO15" s="109">
        <f t="shared" si="92"/>
        <v>0</v>
      </c>
      <c r="AUP15" s="110"/>
      <c r="AUQ15" s="108" t="s">
        <v>35</v>
      </c>
      <c r="AUT15" s="105"/>
      <c r="AUU15" s="105"/>
      <c r="AUV15" s="105"/>
      <c r="AUW15" s="106"/>
      <c r="AUX15" s="106"/>
      <c r="AUY15" s="107"/>
      <c r="AUZ15" s="108"/>
      <c r="AVA15" s="109">
        <f t="shared" si="93"/>
        <v>0</v>
      </c>
      <c r="AVB15" s="110"/>
      <c r="AVC15" s="108" t="s">
        <v>35</v>
      </c>
      <c r="AVF15" s="105"/>
      <c r="AVG15" s="105"/>
      <c r="AVH15" s="105"/>
      <c r="AVI15" s="106"/>
      <c r="AVJ15" s="106"/>
      <c r="AVK15" s="107"/>
      <c r="AVL15" s="108"/>
      <c r="AVM15" s="109">
        <f t="shared" si="94"/>
        <v>0</v>
      </c>
      <c r="AVN15" s="110"/>
      <c r="AVO15" s="108" t="s">
        <v>35</v>
      </c>
      <c r="AVR15" s="105"/>
      <c r="AVS15" s="105"/>
      <c r="AVT15" s="105"/>
      <c r="AVU15" s="106"/>
      <c r="AVV15" s="106"/>
      <c r="AVW15" s="107"/>
      <c r="AVX15" s="108"/>
      <c r="AVY15" s="109">
        <f t="shared" si="95"/>
        <v>0</v>
      </c>
      <c r="AVZ15" s="110"/>
      <c r="AWA15" s="108" t="s">
        <v>35</v>
      </c>
      <c r="AWD15" s="105"/>
      <c r="AWE15" s="105"/>
      <c r="AWF15" s="105"/>
      <c r="AWG15" s="106"/>
      <c r="AWH15" s="106"/>
      <c r="AWI15" s="107"/>
      <c r="AWJ15" s="108"/>
      <c r="AWK15" s="109">
        <f t="shared" si="96"/>
        <v>0</v>
      </c>
      <c r="AWL15" s="110"/>
      <c r="AWM15" s="108" t="s">
        <v>35</v>
      </c>
      <c r="AWP15" s="105"/>
      <c r="AWQ15" s="105"/>
      <c r="AWR15" s="105"/>
      <c r="AWS15" s="106"/>
      <c r="AWT15" s="106"/>
      <c r="AWU15" s="107"/>
      <c r="AWV15" s="108"/>
      <c r="AWW15" s="109">
        <f t="shared" si="97"/>
        <v>0</v>
      </c>
      <c r="AWX15" s="110"/>
      <c r="AWY15" s="108" t="s">
        <v>35</v>
      </c>
      <c r="AXB15" s="105"/>
      <c r="AXC15" s="105"/>
      <c r="AXD15" s="105"/>
      <c r="AXE15" s="106"/>
      <c r="AXF15" s="106"/>
      <c r="AXG15" s="107"/>
      <c r="AXH15" s="108"/>
      <c r="AXI15" s="109">
        <f t="shared" si="98"/>
        <v>0</v>
      </c>
      <c r="AXJ15" s="110"/>
      <c r="AXK15" s="108" t="s">
        <v>35</v>
      </c>
      <c r="AXN15" s="105"/>
      <c r="AXO15" s="105"/>
      <c r="AXP15" s="105"/>
      <c r="AXQ15" s="106"/>
      <c r="AXR15" s="106"/>
      <c r="AXS15" s="107"/>
      <c r="AXT15" s="108"/>
      <c r="AXU15" s="109">
        <f t="shared" si="99"/>
        <v>0</v>
      </c>
      <c r="AXV15" s="110"/>
      <c r="AXW15" s="108" t="s">
        <v>35</v>
      </c>
      <c r="AXZ15" s="105"/>
      <c r="AYA15" s="105"/>
      <c r="AYB15" s="105"/>
      <c r="AYC15" s="106"/>
      <c r="AYD15" s="106"/>
      <c r="AYE15" s="107"/>
      <c r="AYF15" s="108"/>
      <c r="AYG15" s="109">
        <f t="shared" si="100"/>
        <v>0</v>
      </c>
      <c r="AYH15" s="110"/>
      <c r="AYI15" s="108" t="s">
        <v>35</v>
      </c>
      <c r="AYL15" s="105"/>
      <c r="AYM15" s="105"/>
      <c r="AYN15" s="105"/>
      <c r="AYO15" s="106"/>
      <c r="AYP15" s="106"/>
      <c r="AYQ15" s="107"/>
      <c r="AYR15" s="108"/>
      <c r="AYS15" s="109">
        <f t="shared" si="101"/>
        <v>0</v>
      </c>
      <c r="AYT15" s="110"/>
      <c r="AYU15" s="108" t="s">
        <v>35</v>
      </c>
      <c r="AYX15" s="105"/>
      <c r="AYY15" s="105"/>
      <c r="AYZ15" s="105"/>
      <c r="AZA15" s="106"/>
      <c r="AZB15" s="106"/>
      <c r="AZC15" s="107"/>
      <c r="AZD15" s="108"/>
      <c r="AZE15" s="109">
        <f t="shared" si="102"/>
        <v>0</v>
      </c>
      <c r="AZF15" s="110"/>
      <c r="AZG15" s="108" t="s">
        <v>35</v>
      </c>
      <c r="AZJ15" s="105"/>
      <c r="AZK15" s="105"/>
      <c r="AZL15" s="105"/>
      <c r="AZM15" s="106"/>
      <c r="AZN15" s="106"/>
      <c r="AZO15" s="107"/>
      <c r="AZP15" s="108"/>
      <c r="AZQ15" s="109">
        <f t="shared" si="103"/>
        <v>0</v>
      </c>
      <c r="AZR15" s="110"/>
      <c r="AZS15" s="108" t="s">
        <v>35</v>
      </c>
      <c r="AZV15" s="105"/>
      <c r="AZW15" s="105"/>
      <c r="AZX15" s="105"/>
      <c r="AZY15" s="106"/>
      <c r="AZZ15" s="106"/>
      <c r="BAA15" s="107"/>
      <c r="BAB15" s="108"/>
      <c r="BAC15" s="109">
        <f t="shared" si="104"/>
        <v>0</v>
      </c>
      <c r="BAD15" s="110"/>
      <c r="BAE15" s="108" t="s">
        <v>35</v>
      </c>
      <c r="BAH15" s="105"/>
      <c r="BAI15" s="105"/>
      <c r="BAJ15" s="105"/>
      <c r="BAK15" s="106"/>
      <c r="BAL15" s="106"/>
      <c r="BAM15" s="107"/>
      <c r="BAN15" s="108"/>
      <c r="BAO15" s="109">
        <f t="shared" si="105"/>
        <v>0</v>
      </c>
      <c r="BAP15" s="110"/>
      <c r="BAQ15" s="108" t="s">
        <v>35</v>
      </c>
      <c r="BAT15" s="105"/>
      <c r="BAU15" s="105"/>
      <c r="BAV15" s="105"/>
      <c r="BAW15" s="106"/>
      <c r="BAX15" s="106"/>
      <c r="BAY15" s="107"/>
      <c r="BAZ15" s="108"/>
      <c r="BBA15" s="109">
        <f t="shared" si="106"/>
        <v>0</v>
      </c>
      <c r="BBB15" s="110"/>
      <c r="BBC15" s="108" t="s">
        <v>35</v>
      </c>
      <c r="BBF15" s="105"/>
      <c r="BBG15" s="105"/>
      <c r="BBH15" s="105"/>
      <c r="BBI15" s="106"/>
      <c r="BBJ15" s="106"/>
      <c r="BBK15" s="107"/>
      <c r="BBL15" s="108"/>
      <c r="BBM15" s="109">
        <f t="shared" si="107"/>
        <v>0</v>
      </c>
      <c r="BBN15" s="110"/>
      <c r="BBO15" s="108" t="s">
        <v>35</v>
      </c>
      <c r="BBR15" s="105"/>
      <c r="BBS15" s="105"/>
      <c r="BBT15" s="105"/>
      <c r="BBU15" s="106"/>
      <c r="BBV15" s="106"/>
      <c r="BBW15" s="107"/>
      <c r="BBX15" s="108"/>
      <c r="BBY15" s="109">
        <f t="shared" si="108"/>
        <v>0</v>
      </c>
      <c r="BBZ15" s="110"/>
      <c r="BCA15" s="108" t="s">
        <v>35</v>
      </c>
      <c r="BCD15" s="105"/>
      <c r="BCE15" s="105"/>
      <c r="BCF15" s="105"/>
      <c r="BCG15" s="106"/>
      <c r="BCH15" s="106"/>
      <c r="BCI15" s="107"/>
      <c r="BCJ15" s="108"/>
      <c r="BCK15" s="109">
        <f t="shared" si="109"/>
        <v>0</v>
      </c>
      <c r="BCL15" s="110"/>
      <c r="BCM15" s="108" t="s">
        <v>35</v>
      </c>
      <c r="BCP15" s="105"/>
      <c r="BCQ15" s="105"/>
      <c r="BCR15" s="105"/>
      <c r="BCS15" s="106"/>
      <c r="BCT15" s="106"/>
      <c r="BCU15" s="107"/>
      <c r="BCV15" s="108"/>
      <c r="BCW15" s="109">
        <f t="shared" si="110"/>
        <v>0</v>
      </c>
      <c r="BCX15" s="110"/>
      <c r="BCY15" s="108" t="s">
        <v>35</v>
      </c>
      <c r="BDB15" s="105"/>
      <c r="BDC15" s="105"/>
      <c r="BDD15" s="105"/>
      <c r="BDE15" s="106"/>
      <c r="BDF15" s="106"/>
      <c r="BDG15" s="107"/>
      <c r="BDH15" s="108"/>
      <c r="BDI15" s="109">
        <f t="shared" si="111"/>
        <v>0</v>
      </c>
      <c r="BDJ15" s="110"/>
      <c r="BDK15" s="108" t="s">
        <v>35</v>
      </c>
      <c r="BDN15" s="105"/>
      <c r="BDO15" s="105"/>
      <c r="BDP15" s="105"/>
      <c r="BDQ15" s="106"/>
      <c r="BDR15" s="106"/>
      <c r="BDS15" s="107"/>
      <c r="BDT15" s="108"/>
      <c r="BDU15" s="109">
        <f t="shared" si="112"/>
        <v>0</v>
      </c>
      <c r="BDV15" s="110"/>
      <c r="BDW15" s="108" t="s">
        <v>35</v>
      </c>
      <c r="BDZ15" s="105"/>
      <c r="BEA15" s="105"/>
      <c r="BEB15" s="105"/>
      <c r="BEC15" s="106"/>
      <c r="BED15" s="106"/>
      <c r="BEE15" s="107"/>
      <c r="BEF15" s="108"/>
      <c r="BEG15" s="109">
        <f t="shared" si="113"/>
        <v>0</v>
      </c>
      <c r="BEH15" s="110"/>
      <c r="BEI15" s="108" t="s">
        <v>35</v>
      </c>
      <c r="BEL15" s="105"/>
      <c r="BEM15" s="105"/>
      <c r="BEN15" s="105"/>
      <c r="BEO15" s="106"/>
      <c r="BEP15" s="106"/>
      <c r="BEQ15" s="107"/>
      <c r="BER15" s="108"/>
      <c r="BES15" s="109">
        <f t="shared" si="114"/>
        <v>0</v>
      </c>
      <c r="BET15" s="110"/>
      <c r="BEU15" s="108" t="s">
        <v>35</v>
      </c>
      <c r="BEX15" s="105"/>
      <c r="BEY15" s="105"/>
      <c r="BEZ15" s="105"/>
      <c r="BFA15" s="106"/>
      <c r="BFB15" s="106"/>
      <c r="BFC15" s="107"/>
      <c r="BFD15" s="108"/>
      <c r="BFE15" s="109">
        <f t="shared" si="115"/>
        <v>0</v>
      </c>
      <c r="BFF15" s="110"/>
      <c r="BFG15" s="108" t="s">
        <v>35</v>
      </c>
      <c r="BFJ15" s="105"/>
      <c r="BFK15" s="105"/>
      <c r="BFL15" s="105"/>
      <c r="BFM15" s="106"/>
      <c r="BFN15" s="106"/>
      <c r="BFO15" s="107"/>
      <c r="BFP15" s="108"/>
      <c r="BFQ15" s="109">
        <f t="shared" si="116"/>
        <v>0</v>
      </c>
      <c r="BFR15" s="110"/>
      <c r="BFS15" s="108" t="s">
        <v>35</v>
      </c>
      <c r="BFV15" s="105"/>
      <c r="BFW15" s="105"/>
      <c r="BFX15" s="105"/>
      <c r="BFY15" s="106"/>
      <c r="BFZ15" s="106"/>
      <c r="BGA15" s="107"/>
      <c r="BGB15" s="108"/>
      <c r="BGC15" s="109">
        <f t="shared" si="117"/>
        <v>0</v>
      </c>
      <c r="BGD15" s="110"/>
      <c r="BGE15" s="108" t="s">
        <v>35</v>
      </c>
      <c r="BGH15" s="105"/>
      <c r="BGI15" s="105"/>
      <c r="BGJ15" s="105"/>
      <c r="BGK15" s="106"/>
      <c r="BGL15" s="106"/>
      <c r="BGM15" s="107"/>
      <c r="BGN15" s="108"/>
      <c r="BGO15" s="109">
        <f t="shared" si="118"/>
        <v>0</v>
      </c>
      <c r="BGP15" s="110"/>
      <c r="BGQ15" s="108" t="s">
        <v>35</v>
      </c>
      <c r="BGT15" s="105"/>
      <c r="BGU15" s="105"/>
      <c r="BGV15" s="105"/>
      <c r="BGW15" s="106"/>
      <c r="BGX15" s="106"/>
      <c r="BGY15" s="107"/>
      <c r="BGZ15" s="108"/>
      <c r="BHA15" s="109">
        <f t="shared" si="119"/>
        <v>0</v>
      </c>
      <c r="BHB15" s="110"/>
      <c r="BHC15" s="108" t="s">
        <v>35</v>
      </c>
      <c r="BHF15" s="105"/>
      <c r="BHG15" s="105"/>
      <c r="BHH15" s="105"/>
      <c r="BHI15" s="106"/>
      <c r="BHJ15" s="106"/>
      <c r="BHK15" s="107"/>
      <c r="BHL15" s="108"/>
      <c r="BHM15" s="109">
        <f t="shared" si="120"/>
        <v>0</v>
      </c>
      <c r="BHN15" s="110"/>
      <c r="BHO15" s="108" t="s">
        <v>35</v>
      </c>
      <c r="BHR15" s="105"/>
      <c r="BHS15" s="105"/>
      <c r="BHT15" s="105"/>
      <c r="BHU15" s="106"/>
      <c r="BHV15" s="106"/>
      <c r="BHW15" s="107"/>
      <c r="BHX15" s="108"/>
      <c r="BHY15" s="109">
        <f t="shared" si="121"/>
        <v>0</v>
      </c>
      <c r="BHZ15" s="110"/>
      <c r="BIA15" s="108" t="s">
        <v>35</v>
      </c>
      <c r="BID15" s="105"/>
      <c r="BIE15" s="105"/>
      <c r="BIF15" s="105"/>
      <c r="BIG15" s="106"/>
      <c r="BIH15" s="106"/>
      <c r="BII15" s="107"/>
      <c r="BIJ15" s="108"/>
      <c r="BIK15" s="109">
        <f t="shared" si="122"/>
        <v>0</v>
      </c>
      <c r="BIL15" s="110"/>
      <c r="BIM15" s="108" t="s">
        <v>35</v>
      </c>
      <c r="BIP15" s="105"/>
      <c r="BIQ15" s="105"/>
      <c r="BIR15" s="105"/>
      <c r="BIS15" s="106"/>
      <c r="BIT15" s="106"/>
      <c r="BIU15" s="107"/>
      <c r="BIV15" s="108"/>
      <c r="BIW15" s="109">
        <f t="shared" si="123"/>
        <v>0</v>
      </c>
      <c r="BIX15" s="110"/>
      <c r="BIY15" s="108" t="s">
        <v>35</v>
      </c>
      <c r="BJB15" s="105"/>
      <c r="BJC15" s="105"/>
      <c r="BJD15" s="105"/>
      <c r="BJE15" s="106"/>
      <c r="BJF15" s="106"/>
      <c r="BJG15" s="107"/>
      <c r="BJH15" s="108"/>
      <c r="BJI15" s="109">
        <f t="shared" si="124"/>
        <v>0</v>
      </c>
      <c r="BJJ15" s="110"/>
      <c r="BJK15" s="108" t="s">
        <v>35</v>
      </c>
      <c r="BJN15" s="105"/>
      <c r="BJO15" s="105"/>
      <c r="BJP15" s="105"/>
      <c r="BJQ15" s="106"/>
      <c r="BJR15" s="106"/>
      <c r="BJS15" s="107"/>
      <c r="BJT15" s="108"/>
      <c r="BJU15" s="109">
        <f t="shared" si="125"/>
        <v>0</v>
      </c>
      <c r="BJV15" s="110"/>
      <c r="BJW15" s="108" t="s">
        <v>35</v>
      </c>
      <c r="BJZ15" s="105"/>
      <c r="BKA15" s="105"/>
      <c r="BKB15" s="105"/>
      <c r="BKC15" s="106"/>
      <c r="BKD15" s="106"/>
      <c r="BKE15" s="107"/>
      <c r="BKF15" s="108"/>
      <c r="BKG15" s="109">
        <f t="shared" si="126"/>
        <v>0</v>
      </c>
      <c r="BKH15" s="110"/>
      <c r="BKI15" s="108" t="s">
        <v>35</v>
      </c>
      <c r="BKL15" s="105"/>
      <c r="BKM15" s="105"/>
      <c r="BKN15" s="105"/>
      <c r="BKO15" s="106"/>
      <c r="BKP15" s="106"/>
      <c r="BKQ15" s="107"/>
      <c r="BKR15" s="108"/>
      <c r="BKS15" s="109">
        <f t="shared" si="127"/>
        <v>0</v>
      </c>
      <c r="BKT15" s="110"/>
      <c r="BKU15" s="108" t="s">
        <v>35</v>
      </c>
      <c r="BKX15" s="105"/>
      <c r="BKY15" s="105"/>
      <c r="BKZ15" s="105"/>
      <c r="BLA15" s="106"/>
      <c r="BLB15" s="106"/>
      <c r="BLC15" s="107"/>
      <c r="BLD15" s="108"/>
      <c r="BLE15" s="109">
        <f t="shared" si="128"/>
        <v>0</v>
      </c>
      <c r="BLF15" s="110"/>
      <c r="BLG15" s="108" t="s">
        <v>35</v>
      </c>
      <c r="BLJ15" s="105"/>
      <c r="BLK15" s="105"/>
      <c r="BLL15" s="105"/>
      <c r="BLM15" s="106"/>
      <c r="BLN15" s="106"/>
      <c r="BLO15" s="107"/>
      <c r="BLP15" s="108"/>
      <c r="BLQ15" s="109">
        <f t="shared" si="129"/>
        <v>0</v>
      </c>
      <c r="BLR15" s="110"/>
      <c r="BLS15" s="108" t="s">
        <v>35</v>
      </c>
      <c r="BLV15" s="105"/>
      <c r="BLW15" s="105"/>
      <c r="BLX15" s="105"/>
      <c r="BLY15" s="106"/>
      <c r="BLZ15" s="106"/>
      <c r="BMA15" s="107"/>
      <c r="BMB15" s="108"/>
      <c r="BMC15" s="109">
        <f t="shared" si="130"/>
        <v>0</v>
      </c>
      <c r="BMD15" s="110"/>
      <c r="BME15" s="108" t="s">
        <v>35</v>
      </c>
      <c r="BMH15" s="105"/>
      <c r="BMI15" s="105"/>
      <c r="BMJ15" s="105"/>
      <c r="BMK15" s="106"/>
      <c r="BML15" s="106"/>
      <c r="BMM15" s="107"/>
      <c r="BMN15" s="108"/>
      <c r="BMO15" s="109">
        <f t="shared" si="131"/>
        <v>0</v>
      </c>
      <c r="BMP15" s="110"/>
      <c r="BMQ15" s="108" t="s">
        <v>35</v>
      </c>
      <c r="BMT15" s="105"/>
      <c r="BMU15" s="105"/>
      <c r="BMV15" s="105"/>
      <c r="BMW15" s="106"/>
      <c r="BMX15" s="106"/>
      <c r="BMY15" s="107"/>
      <c r="BMZ15" s="108"/>
      <c r="BNA15" s="109">
        <f t="shared" si="132"/>
        <v>0</v>
      </c>
      <c r="BNB15" s="110"/>
      <c r="BNC15" s="108" t="s">
        <v>35</v>
      </c>
      <c r="BNF15" s="105"/>
      <c r="BNG15" s="105"/>
      <c r="BNH15" s="105"/>
      <c r="BNI15" s="106"/>
      <c r="BNJ15" s="106"/>
      <c r="BNK15" s="107"/>
      <c r="BNL15" s="108"/>
      <c r="BNM15" s="109">
        <f t="shared" si="133"/>
        <v>0</v>
      </c>
      <c r="BNN15" s="110"/>
      <c r="BNO15" s="108" t="s">
        <v>35</v>
      </c>
      <c r="BNR15" s="105"/>
      <c r="BNS15" s="105"/>
      <c r="BNT15" s="105"/>
      <c r="BNU15" s="106"/>
      <c r="BNV15" s="106"/>
      <c r="BNW15" s="107"/>
      <c r="BNX15" s="108"/>
      <c r="BNY15" s="109">
        <f t="shared" si="134"/>
        <v>0</v>
      </c>
      <c r="BNZ15" s="110"/>
      <c r="BOA15" s="108" t="s">
        <v>35</v>
      </c>
      <c r="BOD15" s="105"/>
      <c r="BOE15" s="105"/>
      <c r="BOF15" s="105"/>
      <c r="BOG15" s="106"/>
      <c r="BOH15" s="106"/>
      <c r="BOI15" s="107"/>
      <c r="BOJ15" s="108"/>
      <c r="BOK15" s="109">
        <f t="shared" si="135"/>
        <v>0</v>
      </c>
      <c r="BOL15" s="110"/>
      <c r="BOM15" s="108" t="s">
        <v>35</v>
      </c>
      <c r="BOP15" s="105"/>
      <c r="BOQ15" s="105"/>
      <c r="BOR15" s="105"/>
      <c r="BOS15" s="106"/>
      <c r="BOT15" s="106"/>
      <c r="BOU15" s="107"/>
      <c r="BOV15" s="108"/>
      <c r="BOW15" s="109">
        <f t="shared" si="136"/>
        <v>0</v>
      </c>
      <c r="BOX15" s="110"/>
      <c r="BOY15" s="108" t="s">
        <v>35</v>
      </c>
      <c r="BPB15" s="105"/>
      <c r="BPC15" s="105"/>
      <c r="BPD15" s="105"/>
      <c r="BPE15" s="106"/>
      <c r="BPF15" s="106"/>
      <c r="BPG15" s="107"/>
      <c r="BPH15" s="108"/>
      <c r="BPI15" s="109">
        <f t="shared" si="137"/>
        <v>0</v>
      </c>
      <c r="BPJ15" s="110"/>
      <c r="BPK15" s="108" t="s">
        <v>35</v>
      </c>
      <c r="BPN15" s="105"/>
      <c r="BPO15" s="105"/>
      <c r="BPP15" s="105"/>
      <c r="BPQ15" s="106"/>
      <c r="BPR15" s="106"/>
      <c r="BPS15" s="107"/>
      <c r="BPT15" s="108"/>
      <c r="BPU15" s="109">
        <f t="shared" si="138"/>
        <v>0</v>
      </c>
      <c r="BPV15" s="110"/>
      <c r="BPW15" s="108" t="s">
        <v>35</v>
      </c>
      <c r="BPZ15" s="105"/>
      <c r="BQA15" s="105"/>
      <c r="BQB15" s="105"/>
      <c r="BQC15" s="106"/>
      <c r="BQD15" s="106"/>
      <c r="BQE15" s="107"/>
      <c r="BQF15" s="108"/>
      <c r="BQG15" s="109">
        <f t="shared" si="139"/>
        <v>0</v>
      </c>
      <c r="BQH15" s="110"/>
      <c r="BQI15" s="108" t="s">
        <v>35</v>
      </c>
      <c r="BQL15" s="105"/>
      <c r="BQM15" s="105"/>
      <c r="BQN15" s="105"/>
      <c r="BQO15" s="106"/>
      <c r="BQP15" s="106"/>
      <c r="BQQ15" s="107"/>
      <c r="BQR15" s="108"/>
      <c r="BQS15" s="109">
        <f t="shared" si="140"/>
        <v>0</v>
      </c>
      <c r="BQT15" s="110"/>
      <c r="BQU15" s="108" t="s">
        <v>35</v>
      </c>
      <c r="BQX15" s="105"/>
      <c r="BQY15" s="105"/>
      <c r="BQZ15" s="105"/>
      <c r="BRA15" s="106"/>
      <c r="BRB15" s="106"/>
      <c r="BRC15" s="107"/>
      <c r="BRD15" s="108"/>
      <c r="BRE15" s="109">
        <f t="shared" si="141"/>
        <v>0</v>
      </c>
      <c r="BRF15" s="110"/>
      <c r="BRG15" s="108" t="s">
        <v>35</v>
      </c>
      <c r="BRJ15" s="105"/>
      <c r="BRK15" s="105"/>
      <c r="BRL15" s="105"/>
      <c r="BRM15" s="106"/>
      <c r="BRN15" s="106"/>
      <c r="BRO15" s="107"/>
      <c r="BRP15" s="108"/>
      <c r="BRQ15" s="109">
        <f t="shared" si="142"/>
        <v>0</v>
      </c>
      <c r="BRR15" s="110"/>
      <c r="BRS15" s="108" t="s">
        <v>35</v>
      </c>
      <c r="BRV15" s="105"/>
      <c r="BRW15" s="105"/>
      <c r="BRX15" s="105"/>
      <c r="BRY15" s="106"/>
      <c r="BRZ15" s="106"/>
      <c r="BSA15" s="107"/>
      <c r="BSB15" s="108"/>
      <c r="BSC15" s="109">
        <f t="shared" si="143"/>
        <v>0</v>
      </c>
      <c r="BSD15" s="110"/>
      <c r="BSE15" s="108" t="s">
        <v>35</v>
      </c>
      <c r="BSH15" s="105"/>
      <c r="BSI15" s="105"/>
      <c r="BSJ15" s="105"/>
      <c r="BSK15" s="106"/>
      <c r="BSL15" s="106"/>
      <c r="BSM15" s="107"/>
      <c r="BSN15" s="108"/>
      <c r="BSO15" s="109">
        <f t="shared" si="144"/>
        <v>0</v>
      </c>
      <c r="BSP15" s="110"/>
      <c r="BSQ15" s="108" t="s">
        <v>35</v>
      </c>
      <c r="BST15" s="105"/>
      <c r="BSU15" s="105"/>
      <c r="BSV15" s="105"/>
      <c r="BSW15" s="106"/>
      <c r="BSX15" s="106"/>
      <c r="BSY15" s="107"/>
      <c r="BSZ15" s="108"/>
      <c r="BTA15" s="109">
        <f t="shared" si="145"/>
        <v>0</v>
      </c>
      <c r="BTB15" s="110"/>
      <c r="BTC15" s="108" t="s">
        <v>35</v>
      </c>
      <c r="BTF15" s="105"/>
      <c r="BTG15" s="105"/>
      <c r="BTH15" s="105"/>
      <c r="BTI15" s="106"/>
      <c r="BTJ15" s="106"/>
      <c r="BTK15" s="107"/>
      <c r="BTL15" s="108"/>
      <c r="BTM15" s="109">
        <f t="shared" si="146"/>
        <v>0</v>
      </c>
      <c r="BTN15" s="110"/>
      <c r="BTO15" s="108" t="s">
        <v>35</v>
      </c>
      <c r="BTR15" s="105"/>
      <c r="BTS15" s="105"/>
      <c r="BTT15" s="105"/>
      <c r="BTU15" s="106"/>
      <c r="BTV15" s="106"/>
      <c r="BTW15" s="107"/>
      <c r="BTX15" s="108"/>
      <c r="BTY15" s="109">
        <f t="shared" si="147"/>
        <v>0</v>
      </c>
      <c r="BTZ15" s="110"/>
      <c r="BUA15" s="108" t="s">
        <v>35</v>
      </c>
      <c r="BUD15" s="105"/>
      <c r="BUE15" s="105"/>
      <c r="BUF15" s="105"/>
      <c r="BUG15" s="106"/>
      <c r="BUH15" s="106"/>
      <c r="BUI15" s="107"/>
      <c r="BUJ15" s="108"/>
      <c r="BUK15" s="109">
        <f t="shared" si="148"/>
        <v>0</v>
      </c>
      <c r="BUL15" s="110"/>
      <c r="BUM15" s="108" t="s">
        <v>35</v>
      </c>
      <c r="BUP15" s="105"/>
      <c r="BUQ15" s="105"/>
      <c r="BUR15" s="105"/>
      <c r="BUS15" s="106"/>
      <c r="BUT15" s="106"/>
      <c r="BUU15" s="107"/>
      <c r="BUV15" s="108"/>
      <c r="BUW15" s="109">
        <f t="shared" si="149"/>
        <v>0</v>
      </c>
      <c r="BUX15" s="110"/>
      <c r="BUY15" s="108" t="s">
        <v>35</v>
      </c>
      <c r="BVB15" s="105"/>
      <c r="BVC15" s="105"/>
      <c r="BVD15" s="105"/>
      <c r="BVE15" s="106"/>
      <c r="BVF15" s="106"/>
      <c r="BVG15" s="107"/>
      <c r="BVH15" s="108"/>
      <c r="BVI15" s="109">
        <f t="shared" si="150"/>
        <v>0</v>
      </c>
      <c r="BVJ15" s="110"/>
      <c r="BVK15" s="108" t="s">
        <v>35</v>
      </c>
      <c r="BVN15" s="105"/>
      <c r="BVO15" s="105"/>
      <c r="BVP15" s="105"/>
      <c r="BVQ15" s="106"/>
      <c r="BVR15" s="106"/>
      <c r="BVS15" s="107"/>
      <c r="BVT15" s="108"/>
      <c r="BVU15" s="109">
        <f t="shared" si="151"/>
        <v>0</v>
      </c>
      <c r="BVV15" s="110"/>
      <c r="BVW15" s="108" t="s">
        <v>35</v>
      </c>
      <c r="BVZ15" s="105"/>
      <c r="BWA15" s="105"/>
      <c r="BWB15" s="105"/>
      <c r="BWC15" s="106"/>
      <c r="BWD15" s="106"/>
      <c r="BWE15" s="107"/>
      <c r="BWF15" s="108"/>
      <c r="BWG15" s="109">
        <f t="shared" si="152"/>
        <v>0</v>
      </c>
      <c r="BWH15" s="110"/>
      <c r="BWI15" s="108" t="s">
        <v>35</v>
      </c>
      <c r="BWL15" s="105"/>
      <c r="BWM15" s="105"/>
      <c r="BWN15" s="105"/>
      <c r="BWO15" s="106"/>
      <c r="BWP15" s="106"/>
      <c r="BWQ15" s="107"/>
      <c r="BWR15" s="108"/>
      <c r="BWS15" s="109">
        <f t="shared" si="153"/>
        <v>0</v>
      </c>
      <c r="BWT15" s="110"/>
      <c r="BWU15" s="108" t="s">
        <v>35</v>
      </c>
      <c r="BWX15" s="105"/>
      <c r="BWY15" s="105"/>
      <c r="BWZ15" s="105"/>
      <c r="BXA15" s="106"/>
      <c r="BXB15" s="106"/>
      <c r="BXC15" s="107"/>
      <c r="BXD15" s="108"/>
      <c r="BXE15" s="109">
        <f t="shared" si="154"/>
        <v>0</v>
      </c>
      <c r="BXF15" s="110"/>
      <c r="BXG15" s="108" t="s">
        <v>35</v>
      </c>
      <c r="BXJ15" s="105"/>
      <c r="BXK15" s="105"/>
      <c r="BXL15" s="105"/>
      <c r="BXM15" s="106"/>
      <c r="BXN15" s="106"/>
      <c r="BXO15" s="107"/>
      <c r="BXP15" s="108"/>
      <c r="BXQ15" s="109">
        <f t="shared" si="155"/>
        <v>0</v>
      </c>
      <c r="BXR15" s="110"/>
      <c r="BXS15" s="108" t="s">
        <v>35</v>
      </c>
      <c r="BXV15" s="105"/>
      <c r="BXW15" s="105"/>
      <c r="BXX15" s="105"/>
      <c r="BXY15" s="106"/>
      <c r="BXZ15" s="106"/>
      <c r="BYA15" s="107"/>
      <c r="BYB15" s="108"/>
      <c r="BYC15" s="109">
        <f t="shared" si="156"/>
        <v>0</v>
      </c>
      <c r="BYD15" s="110"/>
      <c r="BYE15" s="108" t="s">
        <v>35</v>
      </c>
      <c r="BYH15" s="105"/>
      <c r="BYI15" s="105"/>
      <c r="BYJ15" s="105"/>
      <c r="BYK15" s="106"/>
      <c r="BYL15" s="106"/>
      <c r="BYM15" s="107"/>
      <c r="BYN15" s="108"/>
      <c r="BYO15" s="109">
        <f t="shared" si="157"/>
        <v>0</v>
      </c>
      <c r="BYP15" s="110"/>
      <c r="BYQ15" s="108" t="s">
        <v>35</v>
      </c>
      <c r="BYT15" s="105"/>
      <c r="BYU15" s="105"/>
      <c r="BYV15" s="105"/>
      <c r="BYW15" s="106"/>
      <c r="BYX15" s="106"/>
      <c r="BYY15" s="107"/>
      <c r="BYZ15" s="108"/>
      <c r="BZA15" s="109">
        <f t="shared" si="158"/>
        <v>0</v>
      </c>
      <c r="BZB15" s="110"/>
      <c r="BZC15" s="108" t="s">
        <v>35</v>
      </c>
      <c r="BZF15" s="105"/>
      <c r="BZG15" s="105"/>
      <c r="BZH15" s="105"/>
      <c r="BZI15" s="106"/>
      <c r="BZJ15" s="106"/>
      <c r="BZK15" s="107"/>
      <c r="BZL15" s="108"/>
      <c r="BZM15" s="109">
        <f t="shared" si="159"/>
        <v>0</v>
      </c>
      <c r="BZN15" s="110"/>
      <c r="BZO15" s="108" t="s">
        <v>35</v>
      </c>
      <c r="BZR15" s="105"/>
      <c r="BZS15" s="105"/>
      <c r="BZT15" s="105"/>
      <c r="BZU15" s="106"/>
      <c r="BZV15" s="106"/>
      <c r="BZW15" s="107"/>
      <c r="BZX15" s="108"/>
      <c r="BZY15" s="109">
        <f t="shared" si="160"/>
        <v>0</v>
      </c>
      <c r="BZZ15" s="110"/>
      <c r="CAA15" s="108" t="s">
        <v>35</v>
      </c>
      <c r="CAD15" s="105"/>
      <c r="CAE15" s="105"/>
      <c r="CAF15" s="105"/>
      <c r="CAG15" s="106"/>
      <c r="CAH15" s="106"/>
      <c r="CAI15" s="107"/>
      <c r="CAJ15" s="108"/>
      <c r="CAK15" s="109">
        <f t="shared" si="161"/>
        <v>0</v>
      </c>
      <c r="CAL15" s="110"/>
      <c r="CAM15" s="108" t="s">
        <v>35</v>
      </c>
      <c r="CAP15" s="105"/>
      <c r="CAQ15" s="105"/>
      <c r="CAR15" s="105"/>
      <c r="CAS15" s="106"/>
      <c r="CAT15" s="106"/>
      <c r="CAU15" s="107"/>
      <c r="CAV15" s="108"/>
      <c r="CAW15" s="109">
        <f t="shared" si="162"/>
        <v>0</v>
      </c>
      <c r="CAX15" s="110"/>
      <c r="CAY15" s="108" t="s">
        <v>35</v>
      </c>
      <c r="CBB15" s="105"/>
      <c r="CBC15" s="105"/>
      <c r="CBD15" s="105"/>
      <c r="CBE15" s="106"/>
      <c r="CBF15" s="106"/>
      <c r="CBG15" s="107"/>
      <c r="CBH15" s="108"/>
      <c r="CBI15" s="109">
        <f t="shared" si="163"/>
        <v>0</v>
      </c>
      <c r="CBJ15" s="110"/>
      <c r="CBK15" s="108" t="s">
        <v>35</v>
      </c>
      <c r="CBN15" s="105"/>
      <c r="CBO15" s="105"/>
      <c r="CBP15" s="105"/>
      <c r="CBQ15" s="106"/>
      <c r="CBR15" s="106"/>
      <c r="CBS15" s="107"/>
      <c r="CBT15" s="108"/>
      <c r="CBU15" s="109">
        <f t="shared" si="164"/>
        <v>0</v>
      </c>
      <c r="CBV15" s="110"/>
      <c r="CBW15" s="108" t="s">
        <v>35</v>
      </c>
      <c r="CBZ15" s="105"/>
      <c r="CCA15" s="105"/>
      <c r="CCB15" s="105"/>
      <c r="CCC15" s="106"/>
      <c r="CCD15" s="106"/>
      <c r="CCE15" s="107"/>
      <c r="CCF15" s="108"/>
      <c r="CCG15" s="109">
        <f t="shared" si="165"/>
        <v>0</v>
      </c>
      <c r="CCH15" s="110"/>
      <c r="CCI15" s="108" t="s">
        <v>35</v>
      </c>
      <c r="CCL15" s="105"/>
      <c r="CCM15" s="105"/>
      <c r="CCN15" s="105"/>
      <c r="CCO15" s="106"/>
      <c r="CCP15" s="106"/>
      <c r="CCQ15" s="107"/>
      <c r="CCR15" s="108"/>
      <c r="CCS15" s="109">
        <f t="shared" si="166"/>
        <v>0</v>
      </c>
      <c r="CCT15" s="110"/>
      <c r="CCU15" s="108" t="s">
        <v>35</v>
      </c>
      <c r="CCX15" s="105"/>
      <c r="CCY15" s="105"/>
      <c r="CCZ15" s="105"/>
      <c r="CDA15" s="106"/>
      <c r="CDB15" s="106"/>
      <c r="CDC15" s="107"/>
      <c r="CDD15" s="108"/>
      <c r="CDE15" s="109">
        <f t="shared" si="167"/>
        <v>0</v>
      </c>
      <c r="CDF15" s="110"/>
      <c r="CDG15" s="108" t="s">
        <v>35</v>
      </c>
      <c r="CDJ15" s="105"/>
      <c r="CDK15" s="105"/>
      <c r="CDL15" s="105"/>
      <c r="CDM15" s="106"/>
      <c r="CDN15" s="106"/>
      <c r="CDO15" s="107"/>
      <c r="CDP15" s="108"/>
      <c r="CDQ15" s="109">
        <f t="shared" si="168"/>
        <v>0</v>
      </c>
      <c r="CDR15" s="110"/>
      <c r="CDS15" s="108" t="s">
        <v>35</v>
      </c>
      <c r="CDV15" s="105"/>
      <c r="CDW15" s="105"/>
      <c r="CDX15" s="105"/>
      <c r="CDY15" s="106"/>
      <c r="CDZ15" s="106"/>
      <c r="CEA15" s="107"/>
      <c r="CEB15" s="108"/>
      <c r="CEC15" s="109">
        <f t="shared" si="169"/>
        <v>0</v>
      </c>
      <c r="CED15" s="110"/>
      <c r="CEE15" s="108" t="s">
        <v>35</v>
      </c>
      <c r="CEH15" s="105"/>
      <c r="CEI15" s="105"/>
      <c r="CEJ15" s="105"/>
      <c r="CEK15" s="106"/>
      <c r="CEL15" s="106"/>
      <c r="CEM15" s="107"/>
      <c r="CEN15" s="108"/>
      <c r="CEO15" s="109">
        <f t="shared" si="170"/>
        <v>0</v>
      </c>
      <c r="CEP15" s="110"/>
      <c r="CEQ15" s="108" t="s">
        <v>35</v>
      </c>
      <c r="CET15" s="105"/>
      <c r="CEU15" s="105"/>
      <c r="CEV15" s="105"/>
      <c r="CEW15" s="106"/>
      <c r="CEX15" s="106"/>
      <c r="CEY15" s="107"/>
      <c r="CEZ15" s="108"/>
      <c r="CFA15" s="109">
        <f t="shared" si="171"/>
        <v>0</v>
      </c>
      <c r="CFB15" s="110"/>
      <c r="CFC15" s="108" t="s">
        <v>35</v>
      </c>
      <c r="CFF15" s="105"/>
      <c r="CFG15" s="105"/>
      <c r="CFH15" s="105"/>
      <c r="CFI15" s="106"/>
      <c r="CFJ15" s="106"/>
      <c r="CFK15" s="107"/>
      <c r="CFL15" s="108"/>
      <c r="CFM15" s="109">
        <f t="shared" si="172"/>
        <v>0</v>
      </c>
      <c r="CFN15" s="110"/>
      <c r="CFO15" s="108" t="s">
        <v>35</v>
      </c>
      <c r="CFR15" s="105"/>
      <c r="CFS15" s="105"/>
      <c r="CFT15" s="105"/>
      <c r="CFU15" s="106"/>
      <c r="CFV15" s="106"/>
      <c r="CFW15" s="107"/>
      <c r="CFX15" s="108"/>
      <c r="CFY15" s="109">
        <f t="shared" si="173"/>
        <v>0</v>
      </c>
      <c r="CFZ15" s="110"/>
      <c r="CGA15" s="108" t="s">
        <v>35</v>
      </c>
      <c r="CGD15" s="105"/>
      <c r="CGE15" s="105"/>
      <c r="CGF15" s="105"/>
      <c r="CGG15" s="106"/>
      <c r="CGH15" s="106"/>
      <c r="CGI15" s="107"/>
      <c r="CGJ15" s="108"/>
      <c r="CGK15" s="109">
        <f t="shared" si="174"/>
        <v>0</v>
      </c>
      <c r="CGL15" s="110"/>
      <c r="CGM15" s="108" t="s">
        <v>35</v>
      </c>
      <c r="CGP15" s="105"/>
      <c r="CGQ15" s="105"/>
      <c r="CGR15" s="105"/>
      <c r="CGS15" s="106"/>
      <c r="CGT15" s="106"/>
      <c r="CGU15" s="107"/>
      <c r="CGV15" s="108"/>
      <c r="CGW15" s="109">
        <f t="shared" si="175"/>
        <v>0</v>
      </c>
      <c r="CGX15" s="110"/>
      <c r="CGY15" s="108" t="s">
        <v>35</v>
      </c>
      <c r="CHB15" s="105"/>
      <c r="CHC15" s="105"/>
      <c r="CHD15" s="105"/>
      <c r="CHE15" s="106"/>
      <c r="CHF15" s="106"/>
      <c r="CHG15" s="107"/>
      <c r="CHH15" s="108"/>
      <c r="CHI15" s="109">
        <f t="shared" si="176"/>
        <v>0</v>
      </c>
      <c r="CHJ15" s="110"/>
      <c r="CHK15" s="108" t="s">
        <v>35</v>
      </c>
      <c r="CHN15" s="105"/>
      <c r="CHO15" s="105"/>
      <c r="CHP15" s="105"/>
      <c r="CHQ15" s="106"/>
      <c r="CHR15" s="106"/>
      <c r="CHS15" s="107"/>
      <c r="CHT15" s="108"/>
      <c r="CHU15" s="109">
        <f t="shared" si="177"/>
        <v>0</v>
      </c>
      <c r="CHV15" s="110"/>
      <c r="CHW15" s="108" t="s">
        <v>35</v>
      </c>
      <c r="CHZ15" s="105"/>
      <c r="CIA15" s="105"/>
      <c r="CIB15" s="105"/>
      <c r="CIC15" s="106"/>
      <c r="CID15" s="106"/>
      <c r="CIE15" s="107"/>
      <c r="CIF15" s="108"/>
      <c r="CIG15" s="109">
        <f t="shared" si="178"/>
        <v>0</v>
      </c>
      <c r="CIH15" s="110"/>
      <c r="CII15" s="108" t="s">
        <v>35</v>
      </c>
      <c r="CIL15" s="105"/>
      <c r="CIM15" s="105"/>
      <c r="CIN15" s="105"/>
      <c r="CIO15" s="106"/>
      <c r="CIP15" s="106"/>
      <c r="CIQ15" s="107"/>
      <c r="CIR15" s="108"/>
      <c r="CIS15" s="109">
        <f t="shared" si="179"/>
        <v>0</v>
      </c>
      <c r="CIT15" s="110"/>
      <c r="CIU15" s="108" t="s">
        <v>35</v>
      </c>
      <c r="CIX15" s="105"/>
      <c r="CIY15" s="105"/>
      <c r="CIZ15" s="105"/>
      <c r="CJA15" s="106"/>
      <c r="CJB15" s="106"/>
      <c r="CJC15" s="107"/>
      <c r="CJD15" s="108"/>
      <c r="CJE15" s="109">
        <f t="shared" si="180"/>
        <v>0</v>
      </c>
      <c r="CJF15" s="110"/>
      <c r="CJG15" s="108" t="s">
        <v>35</v>
      </c>
      <c r="CJJ15" s="105"/>
      <c r="CJK15" s="105"/>
      <c r="CJL15" s="105"/>
      <c r="CJM15" s="106"/>
      <c r="CJN15" s="106"/>
      <c r="CJO15" s="107"/>
      <c r="CJP15" s="108"/>
      <c r="CJQ15" s="109">
        <f t="shared" si="181"/>
        <v>0</v>
      </c>
      <c r="CJR15" s="110"/>
      <c r="CJS15" s="108" t="s">
        <v>35</v>
      </c>
      <c r="CJV15" s="105"/>
      <c r="CJW15" s="105"/>
      <c r="CJX15" s="105"/>
      <c r="CJY15" s="106"/>
      <c r="CJZ15" s="106"/>
      <c r="CKA15" s="107"/>
      <c r="CKB15" s="108"/>
      <c r="CKC15" s="109">
        <f t="shared" si="182"/>
        <v>0</v>
      </c>
      <c r="CKD15" s="110"/>
      <c r="CKE15" s="108" t="s">
        <v>35</v>
      </c>
      <c r="CKH15" s="105"/>
      <c r="CKI15" s="105"/>
      <c r="CKJ15" s="105"/>
      <c r="CKK15" s="106"/>
      <c r="CKL15" s="106"/>
      <c r="CKM15" s="107"/>
      <c r="CKN15" s="108"/>
      <c r="CKO15" s="109">
        <f t="shared" si="183"/>
        <v>0</v>
      </c>
      <c r="CKP15" s="110"/>
      <c r="CKQ15" s="108" t="s">
        <v>35</v>
      </c>
      <c r="CKT15" s="105"/>
      <c r="CKU15" s="105"/>
      <c r="CKV15" s="105"/>
      <c r="CKW15" s="106"/>
      <c r="CKX15" s="106"/>
      <c r="CKY15" s="107"/>
      <c r="CKZ15" s="108"/>
      <c r="CLA15" s="109">
        <f t="shared" si="184"/>
        <v>0</v>
      </c>
      <c r="CLB15" s="110"/>
      <c r="CLC15" s="108" t="s">
        <v>35</v>
      </c>
      <c r="CLF15" s="105"/>
      <c r="CLG15" s="105"/>
      <c r="CLH15" s="105"/>
      <c r="CLI15" s="106"/>
      <c r="CLJ15" s="106"/>
      <c r="CLK15" s="107"/>
      <c r="CLL15" s="108"/>
      <c r="CLM15" s="109">
        <f t="shared" si="185"/>
        <v>0</v>
      </c>
      <c r="CLN15" s="110"/>
      <c r="CLO15" s="108" t="s">
        <v>35</v>
      </c>
      <c r="CLR15" s="105"/>
      <c r="CLS15" s="105"/>
      <c r="CLT15" s="105"/>
      <c r="CLU15" s="106"/>
      <c r="CLV15" s="106"/>
      <c r="CLW15" s="107"/>
      <c r="CLX15" s="108"/>
      <c r="CLY15" s="109">
        <f t="shared" si="186"/>
        <v>0</v>
      </c>
      <c r="CLZ15" s="110"/>
      <c r="CMA15" s="108" t="s">
        <v>35</v>
      </c>
      <c r="CMD15" s="105"/>
      <c r="CME15" s="105"/>
      <c r="CMF15" s="105"/>
      <c r="CMG15" s="106"/>
      <c r="CMH15" s="106"/>
      <c r="CMI15" s="107"/>
      <c r="CMJ15" s="108"/>
      <c r="CMK15" s="109">
        <f t="shared" si="187"/>
        <v>0</v>
      </c>
      <c r="CML15" s="110"/>
      <c r="CMM15" s="108" t="s">
        <v>35</v>
      </c>
      <c r="CMP15" s="105"/>
      <c r="CMQ15" s="105"/>
      <c r="CMR15" s="105"/>
      <c r="CMS15" s="106"/>
      <c r="CMT15" s="106"/>
      <c r="CMU15" s="107"/>
      <c r="CMV15" s="108"/>
      <c r="CMW15" s="109">
        <f t="shared" si="188"/>
        <v>0</v>
      </c>
      <c r="CMX15" s="110"/>
      <c r="CMY15" s="108" t="s">
        <v>35</v>
      </c>
      <c r="CNB15" s="105"/>
      <c r="CNC15" s="105"/>
      <c r="CND15" s="105"/>
      <c r="CNE15" s="106"/>
      <c r="CNF15" s="106"/>
      <c r="CNG15" s="107"/>
      <c r="CNH15" s="108"/>
      <c r="CNI15" s="109">
        <f t="shared" si="189"/>
        <v>0</v>
      </c>
      <c r="CNJ15" s="110"/>
      <c r="CNK15" s="108" t="s">
        <v>35</v>
      </c>
      <c r="CNN15" s="105"/>
      <c r="CNO15" s="105"/>
      <c r="CNP15" s="105"/>
      <c r="CNQ15" s="106"/>
      <c r="CNR15" s="106"/>
      <c r="CNS15" s="107"/>
      <c r="CNT15" s="108"/>
      <c r="CNU15" s="109">
        <f t="shared" si="190"/>
        <v>0</v>
      </c>
      <c r="CNV15" s="110"/>
      <c r="CNW15" s="108" t="s">
        <v>35</v>
      </c>
      <c r="CNZ15" s="105"/>
      <c r="COA15" s="105"/>
      <c r="COB15" s="105"/>
      <c r="COC15" s="106"/>
      <c r="COD15" s="106"/>
      <c r="COE15" s="107"/>
      <c r="COF15" s="108"/>
      <c r="COG15" s="109">
        <f t="shared" si="191"/>
        <v>0</v>
      </c>
      <c r="COH15" s="110"/>
      <c r="COI15" s="108" t="s">
        <v>35</v>
      </c>
      <c r="COL15" s="105"/>
      <c r="COM15" s="105"/>
      <c r="CON15" s="105"/>
      <c r="COO15" s="106"/>
      <c r="COP15" s="106"/>
      <c r="COQ15" s="107"/>
      <c r="COR15" s="108"/>
      <c r="COS15" s="109">
        <f t="shared" si="194"/>
        <v>0</v>
      </c>
      <c r="COT15" s="110"/>
      <c r="COU15" s="108" t="s">
        <v>35</v>
      </c>
      <c r="COX15" s="105"/>
      <c r="COY15" s="105"/>
      <c r="COZ15" s="105"/>
      <c r="CPA15" s="106"/>
      <c r="CPB15" s="106"/>
      <c r="CPC15" s="107"/>
      <c r="CPD15" s="108"/>
      <c r="CPE15" s="109">
        <f t="shared" si="195"/>
        <v>0</v>
      </c>
      <c r="CPF15" s="110"/>
      <c r="CPG15" s="108" t="s">
        <v>35</v>
      </c>
      <c r="CPJ15" s="105"/>
      <c r="CPK15" s="105"/>
      <c r="CPL15" s="105"/>
      <c r="CPM15" s="106"/>
      <c r="CPN15" s="106"/>
      <c r="CPO15" s="107"/>
      <c r="CPP15" s="108"/>
      <c r="CPQ15" s="109">
        <f t="shared" si="196"/>
        <v>0</v>
      </c>
      <c r="CPR15" s="110"/>
      <c r="CPS15" s="108" t="s">
        <v>35</v>
      </c>
      <c r="CPV15" s="105"/>
      <c r="CPW15" s="105"/>
      <c r="CPX15" s="105"/>
      <c r="CPY15" s="106"/>
      <c r="CPZ15" s="106"/>
      <c r="CQA15" s="107"/>
      <c r="CQB15" s="108"/>
      <c r="CQC15" s="109">
        <f t="shared" si="197"/>
        <v>0</v>
      </c>
      <c r="CQD15" s="110"/>
      <c r="CQE15" s="108" t="s">
        <v>35</v>
      </c>
      <c r="CQH15" s="105"/>
      <c r="CQI15" s="105"/>
      <c r="CQJ15" s="105"/>
      <c r="CQK15" s="106"/>
      <c r="CQL15" s="106"/>
      <c r="CQM15" s="107"/>
      <c r="CQN15" s="108"/>
      <c r="CQO15" s="109">
        <f t="shared" si="198"/>
        <v>0</v>
      </c>
      <c r="CQP15" s="110"/>
      <c r="CQQ15" s="108" t="s">
        <v>35</v>
      </c>
      <c r="CQT15" s="105"/>
      <c r="CQU15" s="105"/>
      <c r="CQV15" s="105"/>
      <c r="CQW15" s="106"/>
      <c r="CQX15" s="106"/>
      <c r="CQY15" s="107"/>
      <c r="CQZ15" s="108"/>
      <c r="CRA15" s="109">
        <f t="shared" si="199"/>
        <v>0</v>
      </c>
      <c r="CRB15" s="110"/>
      <c r="CRC15" s="108" t="s">
        <v>35</v>
      </c>
      <c r="CRF15" s="105"/>
      <c r="CRG15" s="105"/>
      <c r="CRH15" s="105"/>
      <c r="CRI15" s="106"/>
      <c r="CRJ15" s="106"/>
      <c r="CRK15" s="107"/>
      <c r="CRL15" s="108"/>
      <c r="CRM15" s="109">
        <f t="shared" si="200"/>
        <v>0</v>
      </c>
      <c r="CRN15" s="110"/>
      <c r="CRO15" s="108" t="s">
        <v>35</v>
      </c>
      <c r="CRR15" s="105"/>
      <c r="CRS15" s="105"/>
      <c r="CRT15" s="105"/>
      <c r="CRU15" s="106"/>
      <c r="CRV15" s="106"/>
      <c r="CRW15" s="107"/>
      <c r="CRX15" s="108"/>
      <c r="CRY15" s="109">
        <f t="shared" si="201"/>
        <v>0</v>
      </c>
      <c r="CRZ15" s="110"/>
      <c r="CSA15" s="108" t="s">
        <v>35</v>
      </c>
      <c r="CSD15" s="105"/>
      <c r="CSE15" s="105"/>
      <c r="CSF15" s="105"/>
      <c r="CSG15" s="106"/>
      <c r="CSH15" s="106"/>
      <c r="CSI15" s="107"/>
      <c r="CSJ15" s="108"/>
      <c r="CSK15" s="109">
        <f t="shared" si="202"/>
        <v>0</v>
      </c>
      <c r="CSL15" s="110"/>
      <c r="CSM15" s="108" t="s">
        <v>35</v>
      </c>
      <c r="CSP15" s="105"/>
      <c r="CSQ15" s="105"/>
      <c r="CSR15" s="105"/>
      <c r="CSS15" s="106"/>
      <c r="CST15" s="106"/>
      <c r="CSU15" s="107"/>
      <c r="CSV15" s="108"/>
      <c r="CSW15" s="109">
        <f t="shared" si="203"/>
        <v>0</v>
      </c>
      <c r="CSX15" s="110"/>
      <c r="CSY15" s="108" t="s">
        <v>35</v>
      </c>
      <c r="CTB15" s="105"/>
      <c r="CTC15" s="105"/>
      <c r="CTD15" s="105"/>
      <c r="CTE15" s="106"/>
      <c r="CTF15" s="106"/>
      <c r="CTG15" s="107"/>
      <c r="CTH15" s="108"/>
      <c r="CTI15" s="109">
        <f t="shared" si="204"/>
        <v>0</v>
      </c>
      <c r="CTJ15" s="110"/>
      <c r="CTK15" s="108" t="s">
        <v>35</v>
      </c>
      <c r="CTN15" s="105"/>
      <c r="CTO15" s="105"/>
      <c r="CTP15" s="105"/>
      <c r="CTQ15" s="106"/>
      <c r="CTR15" s="106"/>
      <c r="CTS15" s="107"/>
      <c r="CTT15" s="108"/>
      <c r="CTU15" s="109">
        <f t="shared" si="205"/>
        <v>0</v>
      </c>
      <c r="CTV15" s="110"/>
      <c r="CTW15" s="108" t="s">
        <v>35</v>
      </c>
      <c r="CTZ15" s="105"/>
      <c r="CUA15" s="105"/>
      <c r="CUB15" s="105"/>
      <c r="CUC15" s="106"/>
      <c r="CUD15" s="106"/>
      <c r="CUE15" s="107"/>
      <c r="CUF15" s="108"/>
      <c r="CUG15" s="109">
        <f t="shared" si="206"/>
        <v>0</v>
      </c>
      <c r="CUH15" s="110"/>
      <c r="CUI15" s="108" t="s">
        <v>35</v>
      </c>
      <c r="CUL15" s="105"/>
      <c r="CUM15" s="105"/>
      <c r="CUN15" s="105"/>
      <c r="CUO15" s="106"/>
      <c r="CUP15" s="106"/>
      <c r="CUQ15" s="107"/>
      <c r="CUR15" s="108"/>
      <c r="CUS15" s="109">
        <f t="shared" si="207"/>
        <v>0</v>
      </c>
      <c r="CUT15" s="110"/>
      <c r="CUU15" s="108" t="s">
        <v>35</v>
      </c>
      <c r="CUX15" s="105"/>
      <c r="CUY15" s="105"/>
      <c r="CUZ15" s="105"/>
      <c r="CVA15" s="106"/>
      <c r="CVB15" s="106"/>
      <c r="CVC15" s="107"/>
      <c r="CVD15" s="108"/>
      <c r="CVE15" s="109">
        <f t="shared" si="208"/>
        <v>0</v>
      </c>
      <c r="CVF15" s="110"/>
      <c r="CVG15" s="108" t="s">
        <v>35</v>
      </c>
      <c r="CVJ15" s="105"/>
      <c r="CVK15" s="105"/>
      <c r="CVL15" s="105"/>
      <c r="CVM15" s="106"/>
      <c r="CVN15" s="106"/>
      <c r="CVO15" s="107"/>
      <c r="CVP15" s="108"/>
      <c r="CVQ15" s="109">
        <f t="shared" si="209"/>
        <v>0</v>
      </c>
      <c r="CVR15" s="110"/>
      <c r="CVS15" s="108" t="s">
        <v>35</v>
      </c>
      <c r="CVV15" s="105"/>
      <c r="CVW15" s="105"/>
      <c r="CVX15" s="105"/>
      <c r="CVY15" s="106"/>
      <c r="CVZ15" s="106"/>
      <c r="CWA15" s="107"/>
      <c r="CWB15" s="108"/>
      <c r="CWC15" s="109" t="str">
        <f t="shared" si="192"/>
        <v/>
      </c>
      <c r="CWD15" s="110"/>
      <c r="CWE15" s="108" t="str">
        <f t="shared" si="193"/>
        <v/>
      </c>
    </row>
    <row r="16" spans="1:1023 1026:2631" x14ac:dyDescent="0.25">
      <c r="A16" s="116"/>
      <c r="B16" s="43"/>
      <c r="C16" s="44"/>
      <c r="D16" s="45"/>
      <c r="E16" s="92"/>
      <c r="F16" s="93">
        <f t="shared" si="0"/>
        <v>0</v>
      </c>
      <c r="H16" s="94"/>
      <c r="I16" s="94"/>
      <c r="J16" s="94"/>
      <c r="K16" s="95"/>
      <c r="L16" s="95"/>
      <c r="O16" s="116"/>
      <c r="P16" s="43"/>
      <c r="Q16" s="44"/>
      <c r="R16" s="45"/>
      <c r="S16" s="92"/>
      <c r="T16" s="93">
        <f t="shared" si="210"/>
        <v>0</v>
      </c>
      <c r="V16" s="94"/>
      <c r="W16" s="94"/>
      <c r="X16" s="94"/>
      <c r="Y16" s="95"/>
      <c r="Z16" s="95"/>
      <c r="AC16" s="116"/>
      <c r="AD16" s="43"/>
      <c r="AE16" s="44"/>
      <c r="AF16" s="45"/>
      <c r="AG16" s="92"/>
      <c r="AH16" s="93">
        <f t="shared" si="1"/>
        <v>0</v>
      </c>
      <c r="AJ16" s="94"/>
      <c r="AK16" s="94"/>
      <c r="AL16" s="94"/>
      <c r="AM16" s="95"/>
      <c r="AN16" s="95"/>
      <c r="AQ16" s="116"/>
      <c r="AR16" s="43"/>
      <c r="AS16" s="44"/>
      <c r="AT16" s="45"/>
      <c r="AU16" s="92"/>
      <c r="AV16" s="93">
        <f t="shared" si="2"/>
        <v>0</v>
      </c>
      <c r="AX16" s="94"/>
      <c r="AY16" s="94"/>
      <c r="AZ16" s="94"/>
      <c r="BA16" s="95"/>
      <c r="BB16" s="95"/>
      <c r="BE16" s="116"/>
      <c r="BF16" s="43"/>
      <c r="BG16" s="44"/>
      <c r="BH16" s="45"/>
      <c r="BI16" s="92"/>
      <c r="BJ16" s="93">
        <f t="shared" si="3"/>
        <v>0</v>
      </c>
      <c r="BL16" s="94"/>
      <c r="BM16" s="94"/>
      <c r="BN16" s="94"/>
      <c r="BO16" s="95"/>
      <c r="BP16" s="95"/>
      <c r="BS16" s="116"/>
      <c r="BT16" s="43"/>
      <c r="BU16" s="44"/>
      <c r="BV16" s="45"/>
      <c r="BW16" s="92"/>
      <c r="BX16" s="93">
        <f t="shared" si="4"/>
        <v>0</v>
      </c>
      <c r="BZ16" s="94"/>
      <c r="CA16" s="94"/>
      <c r="CB16" s="94"/>
      <c r="CC16" s="95"/>
      <c r="CD16" s="95"/>
      <c r="CG16" s="116"/>
      <c r="CH16" s="43"/>
      <c r="CI16" s="44"/>
      <c r="CJ16" s="45"/>
      <c r="CK16" s="92"/>
      <c r="CL16" s="93">
        <f t="shared" si="5"/>
        <v>0</v>
      </c>
      <c r="CN16" s="94"/>
      <c r="CO16" s="94"/>
      <c r="CP16" s="94"/>
      <c r="CQ16" s="95"/>
      <c r="CR16" s="95"/>
      <c r="CU16" s="116"/>
      <c r="CV16" s="43"/>
      <c r="CW16" s="44"/>
      <c r="CX16" s="45"/>
      <c r="CY16" s="92"/>
      <c r="CZ16" s="93">
        <f t="shared" si="6"/>
        <v>0</v>
      </c>
      <c r="DB16" s="94"/>
      <c r="DC16" s="94"/>
      <c r="DD16" s="94"/>
      <c r="DE16" s="95"/>
      <c r="DF16" s="95"/>
      <c r="DI16" s="116"/>
      <c r="DJ16" s="43"/>
      <c r="DK16" s="44"/>
      <c r="DL16" s="45"/>
      <c r="DM16" s="92"/>
      <c r="DN16" s="93">
        <f t="shared" si="7"/>
        <v>0</v>
      </c>
      <c r="DP16" s="94"/>
      <c r="DQ16" s="94"/>
      <c r="DR16" s="94"/>
      <c r="DS16" s="95"/>
      <c r="DT16" s="95"/>
      <c r="DW16" s="116"/>
      <c r="DX16" s="43"/>
      <c r="DY16" s="44"/>
      <c r="DZ16" s="45"/>
      <c r="EA16" s="92"/>
      <c r="EB16" s="93">
        <f t="shared" si="8"/>
        <v>0</v>
      </c>
      <c r="ED16" s="94"/>
      <c r="EE16" s="94"/>
      <c r="EF16" s="94"/>
      <c r="EG16" s="95"/>
      <c r="EH16" s="95"/>
      <c r="EK16" s="116"/>
      <c r="EL16" s="43"/>
      <c r="EM16" s="44"/>
      <c r="EN16" s="45"/>
      <c r="EO16" s="92"/>
      <c r="EP16" s="93">
        <f t="shared" si="9"/>
        <v>0</v>
      </c>
      <c r="ER16" s="94"/>
      <c r="ES16" s="94"/>
      <c r="ET16" s="94"/>
      <c r="EU16" s="95"/>
      <c r="EV16" s="95"/>
      <c r="EY16" s="116"/>
      <c r="EZ16" s="43"/>
      <c r="FA16" s="44"/>
      <c r="FB16" s="45"/>
      <c r="FC16" s="92"/>
      <c r="FD16" s="93">
        <f t="shared" si="10"/>
        <v>0</v>
      </c>
      <c r="FF16" s="94"/>
      <c r="FG16" s="94"/>
      <c r="FH16" s="94"/>
      <c r="FI16" s="95"/>
      <c r="FJ16" s="95"/>
      <c r="FM16" s="116"/>
      <c r="FN16" s="43"/>
      <c r="FO16" s="44"/>
      <c r="FP16" s="45"/>
      <c r="FQ16" s="92"/>
      <c r="FR16" s="93">
        <f t="shared" si="11"/>
        <v>0</v>
      </c>
      <c r="FT16" s="94"/>
      <c r="FU16" s="94"/>
      <c r="FV16" s="94"/>
      <c r="FW16" s="95"/>
      <c r="FX16" s="95"/>
      <c r="GA16" s="116"/>
      <c r="GB16" s="43"/>
      <c r="GC16" s="44"/>
      <c r="GD16" s="45"/>
      <c r="GE16" s="92"/>
      <c r="GF16" s="93">
        <f t="shared" si="12"/>
        <v>0</v>
      </c>
      <c r="GH16" s="94"/>
      <c r="GI16" s="94"/>
      <c r="GJ16" s="94"/>
      <c r="GK16" s="95"/>
      <c r="GL16" s="95"/>
      <c r="GO16" s="116"/>
      <c r="GP16" s="43"/>
      <c r="GQ16" s="44"/>
      <c r="GR16" s="45"/>
      <c r="GS16" s="92"/>
      <c r="GT16" s="93">
        <f t="shared" si="13"/>
        <v>0</v>
      </c>
      <c r="GV16" s="94"/>
      <c r="GW16" s="94"/>
      <c r="GX16" s="94"/>
      <c r="GY16" s="95"/>
      <c r="GZ16" s="95"/>
      <c r="HC16" s="116"/>
      <c r="HD16" s="43"/>
      <c r="HE16" s="44"/>
      <c r="HF16" s="45"/>
      <c r="HG16" s="92"/>
      <c r="HH16" s="93">
        <f t="shared" si="14"/>
        <v>0</v>
      </c>
      <c r="HJ16" s="94"/>
      <c r="HK16" s="94"/>
      <c r="HL16" s="94"/>
      <c r="HM16" s="95"/>
      <c r="HN16" s="95"/>
      <c r="HQ16" s="116"/>
      <c r="HR16" s="43"/>
      <c r="HS16" s="44"/>
      <c r="HT16" s="45"/>
      <c r="HU16" s="92"/>
      <c r="HV16" s="93">
        <f t="shared" si="15"/>
        <v>0</v>
      </c>
      <c r="HX16" s="94"/>
      <c r="HY16" s="94"/>
      <c r="HZ16" s="94"/>
      <c r="IA16" s="95"/>
      <c r="IB16" s="95"/>
      <c r="IE16" s="116"/>
      <c r="IF16" s="43"/>
      <c r="IG16" s="44"/>
      <c r="IH16" s="45"/>
      <c r="II16" s="92"/>
      <c r="IJ16" s="93">
        <f t="shared" si="16"/>
        <v>0</v>
      </c>
      <c r="IL16" s="94"/>
      <c r="IM16" s="94"/>
      <c r="IN16" s="94"/>
      <c r="IO16" s="95"/>
      <c r="IP16" s="95"/>
      <c r="IS16" s="116"/>
      <c r="IT16" s="43"/>
      <c r="IU16" s="44"/>
      <c r="IV16" s="45"/>
      <c r="IW16" s="92"/>
      <c r="IX16" s="93">
        <f t="shared" si="17"/>
        <v>0</v>
      </c>
      <c r="IZ16" s="94"/>
      <c r="JA16" s="94"/>
      <c r="JB16" s="94"/>
      <c r="JC16" s="95"/>
      <c r="JD16" s="95"/>
      <c r="JG16" s="116"/>
      <c r="JH16" s="43"/>
      <c r="JI16" s="44"/>
      <c r="JJ16" s="45"/>
      <c r="JK16" s="92"/>
      <c r="JL16" s="93">
        <f t="shared" si="18"/>
        <v>0</v>
      </c>
      <c r="JN16" s="94"/>
      <c r="JO16" s="94"/>
      <c r="JP16" s="94"/>
      <c r="JQ16" s="95"/>
      <c r="JR16" s="95"/>
      <c r="JU16" s="116"/>
      <c r="JV16" s="43"/>
      <c r="JW16" s="44"/>
      <c r="JX16" s="45"/>
      <c r="JY16" s="92"/>
      <c r="JZ16" s="93">
        <f t="shared" si="19"/>
        <v>0</v>
      </c>
      <c r="KB16" s="94"/>
      <c r="KC16" s="94"/>
      <c r="KD16" s="94"/>
      <c r="KE16" s="95"/>
      <c r="KF16" s="95"/>
      <c r="KI16" s="116"/>
      <c r="KJ16" s="43"/>
      <c r="KK16" s="44"/>
      <c r="KL16" s="45"/>
      <c r="KM16" s="92"/>
      <c r="KN16" s="93">
        <f t="shared" si="20"/>
        <v>0</v>
      </c>
      <c r="KP16" s="94"/>
      <c r="KQ16" s="94"/>
      <c r="KR16" s="94"/>
      <c r="KS16" s="95"/>
      <c r="KT16" s="95"/>
      <c r="KW16" s="116"/>
      <c r="KX16" s="43"/>
      <c r="KY16" s="44"/>
      <c r="KZ16" s="45"/>
      <c r="LA16" s="92"/>
      <c r="LB16" s="93">
        <f t="shared" si="21"/>
        <v>0</v>
      </c>
      <c r="LD16" s="94"/>
      <c r="LE16" s="94"/>
      <c r="LF16" s="94"/>
      <c r="LG16" s="95"/>
      <c r="LH16" s="95"/>
      <c r="LK16" s="116"/>
      <c r="LL16" s="43"/>
      <c r="LM16" s="44"/>
      <c r="LN16" s="45"/>
      <c r="LO16" s="92"/>
      <c r="LP16" s="93">
        <f t="shared" si="22"/>
        <v>0</v>
      </c>
      <c r="LR16" s="94"/>
      <c r="LS16" s="94"/>
      <c r="LT16" s="94"/>
      <c r="LU16" s="95"/>
      <c r="LV16" s="95"/>
      <c r="LY16" s="116"/>
      <c r="LZ16" s="43"/>
      <c r="MA16" s="44"/>
      <c r="MB16" s="45"/>
      <c r="MC16" s="92"/>
      <c r="MD16" s="93">
        <f t="shared" si="23"/>
        <v>0</v>
      </c>
      <c r="MF16" s="94"/>
      <c r="MG16" s="94"/>
      <c r="MH16" s="94"/>
      <c r="MI16" s="95"/>
      <c r="MJ16" s="95"/>
      <c r="MM16" s="116"/>
      <c r="MN16" s="43"/>
      <c r="MO16" s="44"/>
      <c r="MP16" s="45"/>
      <c r="MQ16" s="92"/>
      <c r="MR16" s="93">
        <f t="shared" si="24"/>
        <v>0</v>
      </c>
      <c r="MT16" s="94"/>
      <c r="MU16" s="94"/>
      <c r="MV16" s="94"/>
      <c r="MW16" s="95"/>
      <c r="MX16" s="95"/>
      <c r="NA16" s="116"/>
      <c r="NB16" s="43"/>
      <c r="NC16" s="44"/>
      <c r="ND16" s="45"/>
      <c r="NE16" s="92"/>
      <c r="NF16" s="93">
        <f t="shared" si="25"/>
        <v>0</v>
      </c>
      <c r="NH16" s="94"/>
      <c r="NI16" s="94"/>
      <c r="NJ16" s="94"/>
      <c r="NK16" s="95"/>
      <c r="NL16" s="95"/>
      <c r="NO16" s="116"/>
      <c r="NP16" s="43"/>
      <c r="NQ16" s="44"/>
      <c r="NR16" s="45"/>
      <c r="NS16" s="92"/>
      <c r="NT16" s="93">
        <f t="shared" si="26"/>
        <v>0</v>
      </c>
      <c r="NV16" s="94"/>
      <c r="NW16" s="94"/>
      <c r="NX16" s="94"/>
      <c r="NY16" s="95"/>
      <c r="NZ16" s="95"/>
      <c r="OC16" s="116"/>
      <c r="OD16" s="43"/>
      <c r="OE16" s="44"/>
      <c r="OF16" s="45"/>
      <c r="OG16" s="92"/>
      <c r="OH16" s="93">
        <f t="shared" si="27"/>
        <v>0</v>
      </c>
      <c r="OJ16" s="94"/>
      <c r="OK16" s="94"/>
      <c r="OL16" s="94"/>
      <c r="OM16" s="95"/>
      <c r="ON16" s="95"/>
      <c r="OQ16" s="116"/>
      <c r="OR16" s="43"/>
      <c r="OS16" s="44"/>
      <c r="OT16" s="45"/>
      <c r="OU16" s="92"/>
      <c r="OV16" s="93">
        <f t="shared" si="28"/>
        <v>0</v>
      </c>
      <c r="OX16" s="94"/>
      <c r="OY16" s="94"/>
      <c r="OZ16" s="94"/>
      <c r="PA16" s="95"/>
      <c r="PB16" s="95"/>
      <c r="PE16" s="116"/>
      <c r="PF16" s="43"/>
      <c r="PG16" s="44"/>
      <c r="PH16" s="45"/>
      <c r="PI16" s="92"/>
      <c r="PJ16" s="93">
        <f t="shared" si="29"/>
        <v>0</v>
      </c>
      <c r="PL16" s="94"/>
      <c r="PM16" s="94"/>
      <c r="PN16" s="94"/>
      <c r="PO16" s="95"/>
      <c r="PP16" s="95"/>
      <c r="PS16" s="116"/>
      <c r="PT16" s="43"/>
      <c r="PU16" s="44"/>
      <c r="PV16" s="45"/>
      <c r="PW16" s="92"/>
      <c r="PX16" s="93">
        <f t="shared" si="30"/>
        <v>0</v>
      </c>
      <c r="PZ16" s="94"/>
      <c r="QA16" s="94"/>
      <c r="QB16" s="94"/>
      <c r="QC16" s="95"/>
      <c r="QD16" s="95"/>
      <c r="QG16" s="116"/>
      <c r="QH16" s="43"/>
      <c r="QI16" s="44"/>
      <c r="QJ16" s="45"/>
      <c r="QK16" s="92"/>
      <c r="QL16" s="93">
        <f t="shared" si="31"/>
        <v>0</v>
      </c>
      <c r="QN16" s="94"/>
      <c r="QO16" s="94"/>
      <c r="QP16" s="94"/>
      <c r="QQ16" s="95"/>
      <c r="QR16" s="95"/>
      <c r="QU16" s="116"/>
      <c r="QV16" s="43"/>
      <c r="QW16" s="44"/>
      <c r="QX16" s="45"/>
      <c r="QY16" s="92"/>
      <c r="QZ16" s="93">
        <f t="shared" si="32"/>
        <v>0</v>
      </c>
      <c r="RB16" s="94"/>
      <c r="RC16" s="94"/>
      <c r="RD16" s="94"/>
      <c r="RE16" s="95"/>
      <c r="RF16" s="95"/>
      <c r="RI16" s="116"/>
      <c r="RJ16" s="43"/>
      <c r="RK16" s="44"/>
      <c r="RL16" s="45"/>
      <c r="RM16" s="92"/>
      <c r="RN16" s="93">
        <f t="shared" si="33"/>
        <v>0</v>
      </c>
      <c r="RP16" s="94"/>
      <c r="RQ16" s="94"/>
      <c r="RR16" s="94"/>
      <c r="RS16" s="95"/>
      <c r="RT16" s="95"/>
      <c r="RW16" s="116"/>
      <c r="RX16" s="43"/>
      <c r="RY16" s="44"/>
      <c r="RZ16" s="45"/>
      <c r="SA16" s="92"/>
      <c r="SB16" s="93">
        <f t="shared" si="34"/>
        <v>0</v>
      </c>
      <c r="SD16" s="94"/>
      <c r="SE16" s="94"/>
      <c r="SF16" s="94"/>
      <c r="SG16" s="95"/>
      <c r="SH16" s="95"/>
      <c r="SK16" s="116"/>
      <c r="SL16" s="43"/>
      <c r="SM16" s="44"/>
      <c r="SN16" s="45"/>
      <c r="SO16" s="92"/>
      <c r="SP16" s="93">
        <f t="shared" si="35"/>
        <v>0</v>
      </c>
      <c r="SR16" s="94"/>
      <c r="SS16" s="94"/>
      <c r="ST16" s="94"/>
      <c r="SU16" s="95"/>
      <c r="SV16" s="95"/>
      <c r="SY16" s="116"/>
      <c r="SZ16" s="43"/>
      <c r="TA16" s="44"/>
      <c r="TB16" s="45"/>
      <c r="TC16" s="92"/>
      <c r="TD16" s="93">
        <f t="shared" si="36"/>
        <v>0</v>
      </c>
      <c r="TF16" s="94"/>
      <c r="TG16" s="94"/>
      <c r="TH16" s="94"/>
      <c r="TI16" s="95"/>
      <c r="TJ16" s="95"/>
      <c r="TM16" s="116"/>
      <c r="TN16" s="43"/>
      <c r="TO16" s="44"/>
      <c r="TP16" s="45"/>
      <c r="TQ16" s="92"/>
      <c r="TR16" s="93">
        <f t="shared" si="37"/>
        <v>0</v>
      </c>
      <c r="TT16" s="94"/>
      <c r="TU16" s="94"/>
      <c r="TV16" s="94"/>
      <c r="TW16" s="95"/>
      <c r="TX16" s="95"/>
      <c r="UA16" s="116"/>
      <c r="UB16" s="43"/>
      <c r="UC16" s="44"/>
      <c r="UD16" s="45"/>
      <c r="UE16" s="92"/>
      <c r="UF16" s="93">
        <f t="shared" si="38"/>
        <v>0</v>
      </c>
      <c r="UH16" s="94"/>
      <c r="UI16" s="94"/>
      <c r="UJ16" s="94"/>
      <c r="UK16" s="95"/>
      <c r="UL16" s="95"/>
      <c r="UO16" s="116"/>
      <c r="UP16" s="43"/>
      <c r="UQ16" s="44"/>
      <c r="UR16" s="45"/>
      <c r="US16" s="92"/>
      <c r="UT16" s="93">
        <f t="shared" si="39"/>
        <v>0</v>
      </c>
      <c r="UV16" s="94"/>
      <c r="UW16" s="94"/>
      <c r="UX16" s="94"/>
      <c r="UY16" s="95"/>
      <c r="UZ16" s="95"/>
      <c r="VC16" s="116"/>
      <c r="VD16" s="43"/>
      <c r="VE16" s="44"/>
      <c r="VF16" s="45"/>
      <c r="VG16" s="92"/>
      <c r="VH16" s="93">
        <f t="shared" si="40"/>
        <v>0</v>
      </c>
      <c r="VJ16" s="94"/>
      <c r="VK16" s="94"/>
      <c r="VL16" s="94"/>
      <c r="VM16" s="95"/>
      <c r="VN16" s="95"/>
      <c r="VQ16" s="116"/>
      <c r="VR16" s="43"/>
      <c r="VS16" s="44"/>
      <c r="VT16" s="45"/>
      <c r="VU16" s="92"/>
      <c r="VV16" s="93">
        <f t="shared" si="41"/>
        <v>0</v>
      </c>
      <c r="VX16" s="94"/>
      <c r="VY16" s="94"/>
      <c r="VZ16" s="94"/>
      <c r="WA16" s="95"/>
      <c r="WB16" s="95"/>
      <c r="WE16" s="116"/>
      <c r="WF16" s="43"/>
      <c r="WG16" s="44"/>
      <c r="WH16" s="45"/>
      <c r="WI16" s="92"/>
      <c r="WJ16" s="93">
        <f t="shared" si="42"/>
        <v>0</v>
      </c>
      <c r="WL16" s="94"/>
      <c r="WM16" s="94"/>
      <c r="WN16" s="94"/>
      <c r="WO16" s="95"/>
      <c r="WP16" s="95"/>
      <c r="WS16" s="116"/>
      <c r="WT16" s="43"/>
      <c r="WU16" s="44"/>
      <c r="WV16" s="45"/>
      <c r="WW16" s="92"/>
      <c r="WX16" s="93">
        <f t="shared" si="43"/>
        <v>0</v>
      </c>
      <c r="WZ16" s="94"/>
      <c r="XA16" s="94"/>
      <c r="XB16" s="94"/>
      <c r="XC16" s="95"/>
      <c r="XD16" s="95"/>
      <c r="XG16" s="116"/>
      <c r="XH16" s="43"/>
      <c r="XI16" s="44"/>
      <c r="XJ16" s="45"/>
      <c r="XK16" s="92"/>
      <c r="XL16" s="93">
        <f t="shared" si="44"/>
        <v>0</v>
      </c>
      <c r="XN16" s="94"/>
      <c r="XO16" s="94"/>
      <c r="XP16" s="94"/>
      <c r="XQ16" s="95"/>
      <c r="XR16" s="95"/>
      <c r="XU16" s="116"/>
      <c r="XV16" s="43"/>
      <c r="XW16" s="44"/>
      <c r="XX16" s="45"/>
      <c r="XY16" s="92"/>
      <c r="XZ16" s="93">
        <f t="shared" si="45"/>
        <v>0</v>
      </c>
      <c r="YB16" s="94"/>
      <c r="YC16" s="94"/>
      <c r="YD16" s="94"/>
      <c r="YE16" s="95"/>
      <c r="YF16" s="95"/>
      <c r="YI16" s="116"/>
      <c r="YJ16" s="43"/>
      <c r="YK16" s="44"/>
      <c r="YL16" s="45"/>
      <c r="YM16" s="92"/>
      <c r="YN16" s="93">
        <f t="shared" si="46"/>
        <v>0</v>
      </c>
      <c r="YP16" s="94"/>
      <c r="YQ16" s="94"/>
      <c r="YR16" s="94"/>
      <c r="YS16" s="95"/>
      <c r="YT16" s="95"/>
      <c r="YW16" s="116"/>
      <c r="YX16" s="43"/>
      <c r="YY16" s="44"/>
      <c r="YZ16" s="45"/>
      <c r="ZA16" s="92"/>
      <c r="ZB16" s="93"/>
      <c r="ZD16" s="94"/>
      <c r="ZE16" s="94"/>
      <c r="ZF16" s="94"/>
      <c r="ZG16" s="95"/>
      <c r="ZH16" s="95"/>
      <c r="ZK16" s="116"/>
      <c r="ZL16" s="43"/>
      <c r="ZM16" s="44"/>
      <c r="ZN16" s="45"/>
      <c r="ZO16" s="92"/>
      <c r="ZP16" s="93"/>
      <c r="ZR16" s="94"/>
      <c r="ZS16" s="94"/>
      <c r="ZT16" s="94"/>
      <c r="ZU16" s="95"/>
      <c r="ZV16" s="95"/>
      <c r="ZZ16" s="105"/>
      <c r="AAA16" s="105"/>
      <c r="AAB16" s="105"/>
      <c r="AAC16" s="106"/>
      <c r="AAD16" s="106"/>
      <c r="AAE16" s="107"/>
      <c r="AAF16" s="108"/>
      <c r="AAG16" s="109">
        <f>+AAF16*$J$7/1000</f>
        <v>0</v>
      </c>
      <c r="AAH16" s="110"/>
      <c r="AAI16" s="108" t="s">
        <v>35</v>
      </c>
      <c r="AAM16" s="105"/>
      <c r="AAN16" s="105"/>
      <c r="AAO16" s="105"/>
      <c r="AAP16" s="106"/>
      <c r="AAQ16" s="106"/>
      <c r="AAR16" s="107"/>
      <c r="AAS16" s="108"/>
      <c r="AAT16" s="109">
        <f>+AAS16*$J$7/1000</f>
        <v>0</v>
      </c>
      <c r="AAU16" s="110"/>
      <c r="AAV16" s="108" t="s">
        <v>35</v>
      </c>
      <c r="AAZ16" s="105"/>
      <c r="ABA16" s="105"/>
      <c r="ABB16" s="105"/>
      <c r="ABC16" s="106"/>
      <c r="ABD16" s="106"/>
      <c r="ABE16" s="107"/>
      <c r="ABF16" s="108"/>
      <c r="ABG16" s="109">
        <f>+ABF16*$J$7/1000</f>
        <v>0</v>
      </c>
      <c r="ABH16" s="110"/>
      <c r="ABI16" s="108" t="s">
        <v>35</v>
      </c>
      <c r="ABM16" s="105"/>
      <c r="ABN16" s="105"/>
      <c r="ABO16" s="105"/>
      <c r="ABP16" s="106"/>
      <c r="ABQ16" s="106"/>
      <c r="ABR16" s="107"/>
      <c r="ABS16" s="108"/>
      <c r="ABT16" s="109">
        <f>+ABS16*$J$7/1000</f>
        <v>0</v>
      </c>
      <c r="ABU16" s="110"/>
      <c r="ABV16" s="108" t="s">
        <v>35</v>
      </c>
      <c r="ABZ16" s="105"/>
      <c r="ACA16" s="105"/>
      <c r="ACB16" s="105"/>
      <c r="ACC16" s="106"/>
      <c r="ACD16" s="106"/>
      <c r="ACE16" s="107"/>
      <c r="ACF16" s="108"/>
      <c r="ACG16" s="109">
        <f t="shared" si="53"/>
        <v>0</v>
      </c>
      <c r="ACH16" s="110"/>
      <c r="ACI16" s="108" t="s">
        <v>35</v>
      </c>
      <c r="ACM16" s="105"/>
      <c r="ACN16" s="105"/>
      <c r="ACO16" s="105"/>
      <c r="ACP16" s="106"/>
      <c r="ACQ16" s="106"/>
      <c r="ACR16" s="107"/>
      <c r="ACS16" s="108"/>
      <c r="ACT16" s="109">
        <f t="shared" si="54"/>
        <v>0</v>
      </c>
      <c r="ACU16" s="110"/>
      <c r="ACV16" s="108" t="s">
        <v>35</v>
      </c>
      <c r="ACZ16" s="105"/>
      <c r="ADA16" s="105"/>
      <c r="ADB16" s="105"/>
      <c r="ADC16" s="106"/>
      <c r="ADD16" s="106"/>
      <c r="ADE16" s="107"/>
      <c r="ADF16" s="108"/>
      <c r="ADG16" s="109">
        <f t="shared" si="55"/>
        <v>0</v>
      </c>
      <c r="ADH16" s="110"/>
      <c r="ADI16" s="108" t="s">
        <v>35</v>
      </c>
      <c r="ADM16" s="105"/>
      <c r="ADN16" s="105"/>
      <c r="ADO16" s="105"/>
      <c r="ADP16" s="106"/>
      <c r="ADQ16" s="106"/>
      <c r="ADR16" s="107"/>
      <c r="ADS16" s="108"/>
      <c r="ADT16" s="109">
        <f t="shared" si="211"/>
        <v>0</v>
      </c>
      <c r="ADU16" s="110"/>
      <c r="ADV16" s="108" t="s">
        <v>35</v>
      </c>
      <c r="ADZ16" s="105"/>
      <c r="AEA16" s="105"/>
      <c r="AEB16" s="105"/>
      <c r="AEC16" s="106"/>
      <c r="AED16" s="106"/>
      <c r="AEE16" s="107"/>
      <c r="AEF16" s="108"/>
      <c r="AEG16" s="109">
        <f t="shared" si="212"/>
        <v>0</v>
      </c>
      <c r="AEH16" s="110"/>
      <c r="AEI16" s="108" t="s">
        <v>35</v>
      </c>
      <c r="AEM16" s="105"/>
      <c r="AEN16" s="105"/>
      <c r="AEO16" s="105"/>
      <c r="AEP16" s="106"/>
      <c r="AEQ16" s="106"/>
      <c r="AER16" s="107"/>
      <c r="AES16" s="108"/>
      <c r="AET16" s="109">
        <f t="shared" ref="AET16" si="223">+AES16*$ADH$7/1000</f>
        <v>0</v>
      </c>
      <c r="AEU16" s="110"/>
      <c r="AEV16" s="108" t="s">
        <v>35</v>
      </c>
      <c r="AEZ16" s="105"/>
      <c r="AFA16" s="105"/>
      <c r="AFB16" s="105"/>
      <c r="AFC16" s="106"/>
      <c r="AFD16" s="106"/>
      <c r="AFE16" s="107"/>
      <c r="AFF16" s="108"/>
      <c r="AFG16" s="109">
        <f t="shared" ref="AFG16" si="224">+AFF16*$ADH$7/1000</f>
        <v>0</v>
      </c>
      <c r="AFH16" s="110"/>
      <c r="AFI16" s="108" t="s">
        <v>35</v>
      </c>
      <c r="AFM16" s="105"/>
      <c r="AFN16" s="105"/>
      <c r="AFO16" s="105"/>
      <c r="AFP16" s="106"/>
      <c r="AFQ16" s="106"/>
      <c r="AFR16" s="107"/>
      <c r="AFS16" s="108"/>
      <c r="AFT16" s="109">
        <f t="shared" ref="AFT16" si="225">+AFS16*$ADH$7/1000</f>
        <v>0</v>
      </c>
      <c r="AFU16" s="110"/>
      <c r="AFV16" s="108" t="s">
        <v>35</v>
      </c>
      <c r="AFZ16" s="105"/>
      <c r="AGA16" s="105"/>
      <c r="AGB16" s="105"/>
      <c r="AGC16" s="106"/>
      <c r="AGD16" s="106"/>
      <c r="AGE16" s="107"/>
      <c r="AGF16" s="108"/>
      <c r="AGG16" s="109">
        <f t="shared" ref="AGG16" si="226">+AGF16*$ADH$7/1000</f>
        <v>0</v>
      </c>
      <c r="AGH16" s="110"/>
      <c r="AGI16" s="108" t="s">
        <v>35</v>
      </c>
      <c r="AGL16" s="105"/>
      <c r="AGM16" s="105"/>
      <c r="AGN16" s="105"/>
      <c r="AGO16" s="106"/>
      <c r="AGP16" s="106"/>
      <c r="AGQ16" s="107"/>
      <c r="AGR16" s="108"/>
      <c r="AGS16" s="109">
        <f t="shared" ref="AGS16" si="227">+AGR16*$ADH$7/1000</f>
        <v>0</v>
      </c>
      <c r="AGT16" s="110"/>
      <c r="AGU16" s="108" t="s">
        <v>35</v>
      </c>
      <c r="AGX16" s="105"/>
      <c r="AGY16" s="105"/>
      <c r="AGZ16" s="105"/>
      <c r="AHA16" s="106"/>
      <c r="AHB16" s="106"/>
      <c r="AHC16" s="107"/>
      <c r="AHD16" s="108"/>
      <c r="AHE16" s="109">
        <f t="shared" ref="AHE16" si="228">+AHD16*$ADH$7/1000</f>
        <v>0</v>
      </c>
      <c r="AHF16" s="110"/>
      <c r="AHG16" s="108" t="s">
        <v>35</v>
      </c>
      <c r="AHJ16" s="105"/>
      <c r="AHK16" s="105"/>
      <c r="AHL16" s="105"/>
      <c r="AHM16" s="106"/>
      <c r="AHN16" s="106"/>
      <c r="AHO16" s="107"/>
      <c r="AHP16" s="108"/>
      <c r="AHQ16" s="109">
        <f t="shared" ref="AHQ16" si="229">+AHP16*$ADH$7/1000</f>
        <v>0</v>
      </c>
      <c r="AHR16" s="110"/>
      <c r="AHS16" s="108" t="s">
        <v>35</v>
      </c>
      <c r="AHV16" s="105"/>
      <c r="AHW16" s="105"/>
      <c r="AHX16" s="105"/>
      <c r="AHY16" s="106"/>
      <c r="AHZ16" s="106"/>
      <c r="AIA16" s="107"/>
      <c r="AIB16" s="108"/>
      <c r="AIC16" s="109">
        <f t="shared" ref="AIC16" si="230">+AIB16*$ADH$7/1000</f>
        <v>0</v>
      </c>
      <c r="AID16" s="110"/>
      <c r="AIE16" s="108" t="s">
        <v>35</v>
      </c>
      <c r="AIH16" s="105"/>
      <c r="AII16" s="105"/>
      <c r="AIJ16" s="105"/>
      <c r="AIK16" s="106"/>
      <c r="AIL16" s="106"/>
      <c r="AIM16" s="107"/>
      <c r="AIN16" s="108"/>
      <c r="AIO16" s="109">
        <f t="shared" ref="AIO16" si="231">+AIN16*$ADH$7/1000</f>
        <v>0</v>
      </c>
      <c r="AIP16" s="110"/>
      <c r="AIQ16" s="108" t="s">
        <v>35</v>
      </c>
      <c r="AIT16" s="105"/>
      <c r="AIU16" s="105"/>
      <c r="AIV16" s="105"/>
      <c r="AIW16" s="106"/>
      <c r="AIX16" s="106"/>
      <c r="AIY16" s="107"/>
      <c r="AIZ16" s="108"/>
      <c r="AJA16" s="109">
        <f t="shared" ref="AJA16" si="232">+AIZ16*$ADH$7/1000</f>
        <v>0</v>
      </c>
      <c r="AJB16" s="110"/>
      <c r="AJC16" s="108" t="s">
        <v>35</v>
      </c>
      <c r="AJF16" s="105"/>
      <c r="AJG16" s="105"/>
      <c r="AJH16" s="105"/>
      <c r="AJI16" s="106"/>
      <c r="AJJ16" s="106"/>
      <c r="AJK16" s="107"/>
      <c r="AJL16" s="108"/>
      <c r="AJM16" s="109">
        <f t="shared" ref="AJM16" si="233">+AJL16*$ADH$7/1000</f>
        <v>0</v>
      </c>
      <c r="AJN16" s="110"/>
      <c r="AJO16" s="108" t="s">
        <v>35</v>
      </c>
      <c r="AJR16" s="105"/>
      <c r="AJS16" s="105"/>
      <c r="AJT16" s="105"/>
      <c r="AJU16" s="106"/>
      <c r="AJV16" s="106"/>
      <c r="AJW16" s="107"/>
      <c r="AJX16" s="108"/>
      <c r="AJY16" s="109">
        <f t="shared" ref="AJY16" si="234">+AJX16*$ADH$7/1000</f>
        <v>0</v>
      </c>
      <c r="AJZ16" s="110"/>
      <c r="AKA16" s="108" t="s">
        <v>35</v>
      </c>
      <c r="AKD16" s="105"/>
      <c r="AKE16" s="105"/>
      <c r="AKF16" s="105"/>
      <c r="AKG16" s="106"/>
      <c r="AKH16" s="106"/>
      <c r="AKI16" s="107"/>
      <c r="AKJ16" s="108"/>
      <c r="AKK16" s="109">
        <f t="shared" ref="AKK16" si="235">+AKJ16*$ADH$7/1000</f>
        <v>0</v>
      </c>
      <c r="AKL16" s="110"/>
      <c r="AKM16" s="108" t="s">
        <v>35</v>
      </c>
      <c r="AKP16" s="105"/>
      <c r="AKQ16" s="105"/>
      <c r="AKR16" s="105"/>
      <c r="AKS16" s="106"/>
      <c r="AKT16" s="106"/>
      <c r="AKU16" s="107"/>
      <c r="AKV16" s="108"/>
      <c r="AKW16" s="109">
        <f t="shared" si="71"/>
        <v>0</v>
      </c>
      <c r="AKX16" s="110"/>
      <c r="AKY16" s="108" t="s">
        <v>35</v>
      </c>
      <c r="ALB16" s="105"/>
      <c r="ALC16" s="105"/>
      <c r="ALD16" s="105"/>
      <c r="ALE16" s="106"/>
      <c r="ALF16" s="106"/>
      <c r="ALG16" s="107"/>
      <c r="ALH16" s="108"/>
      <c r="ALI16" s="109">
        <f t="shared" si="219"/>
        <v>0</v>
      </c>
      <c r="ALJ16" s="110"/>
      <c r="ALK16" s="108" t="s">
        <v>35</v>
      </c>
      <c r="ALN16" s="105"/>
      <c r="ALO16" s="105"/>
      <c r="ALP16" s="105"/>
      <c r="ALQ16" s="106"/>
      <c r="ALR16" s="106"/>
      <c r="ALS16" s="107"/>
      <c r="ALT16" s="108"/>
      <c r="ALU16" s="109">
        <f t="shared" si="220"/>
        <v>0</v>
      </c>
      <c r="ALV16" s="110"/>
      <c r="ALW16" s="108" t="s">
        <v>35</v>
      </c>
      <c r="ALZ16" s="105"/>
      <c r="AMA16" s="105"/>
      <c r="AMB16" s="105"/>
      <c r="AMC16" s="106"/>
      <c r="AMD16" s="106"/>
      <c r="AME16" s="107"/>
      <c r="AMF16" s="108"/>
      <c r="AMG16" s="109">
        <f t="shared" si="221"/>
        <v>0</v>
      </c>
      <c r="AMH16" s="110"/>
      <c r="AMI16" s="108" t="s">
        <v>35</v>
      </c>
      <c r="AML16" s="105"/>
      <c r="AMM16" s="105"/>
      <c r="AMN16" s="105"/>
      <c r="AMO16" s="106"/>
      <c r="AMP16" s="106"/>
      <c r="AMQ16" s="107"/>
      <c r="AMR16" s="108"/>
      <c r="AMS16" s="109">
        <f t="shared" si="222"/>
        <v>0</v>
      </c>
      <c r="AMT16" s="110"/>
      <c r="AMU16" s="108" t="s">
        <v>35</v>
      </c>
      <c r="AMX16" s="105"/>
      <c r="AMY16" s="105"/>
      <c r="AMZ16" s="105"/>
      <c r="ANA16" s="106"/>
      <c r="ANB16" s="106"/>
      <c r="ANC16" s="107"/>
      <c r="AND16" s="108"/>
      <c r="ANE16" s="109">
        <f t="shared" si="76"/>
        <v>0</v>
      </c>
      <c r="ANF16" s="110"/>
      <c r="ANG16" s="108" t="s">
        <v>35</v>
      </c>
      <c r="ANJ16" s="105"/>
      <c r="ANK16" s="105"/>
      <c r="ANL16" s="105"/>
      <c r="ANM16" s="106"/>
      <c r="ANN16" s="106"/>
      <c r="ANO16" s="107"/>
      <c r="ANP16" s="108"/>
      <c r="ANQ16" s="109">
        <f t="shared" si="77"/>
        <v>0</v>
      </c>
      <c r="ANR16" s="110"/>
      <c r="ANS16" s="108" t="s">
        <v>35</v>
      </c>
      <c r="ANV16" s="105"/>
      <c r="ANW16" s="105"/>
      <c r="ANX16" s="105"/>
      <c r="ANY16" s="106"/>
      <c r="ANZ16" s="106"/>
      <c r="AOA16" s="107"/>
      <c r="AOB16" s="108"/>
      <c r="AOC16" s="109">
        <f t="shared" si="78"/>
        <v>0</v>
      </c>
      <c r="AOD16" s="110"/>
      <c r="AOE16" s="108" t="s">
        <v>35</v>
      </c>
      <c r="AOH16" s="105"/>
      <c r="AOI16" s="105"/>
      <c r="AOJ16" s="105"/>
      <c r="AOK16" s="106"/>
      <c r="AOL16" s="106"/>
      <c r="AOM16" s="107"/>
      <c r="AON16" s="108"/>
      <c r="AOO16" s="109">
        <f t="shared" ref="AOO16:AOO20" si="236">+AON16*$AOD$7/1000</f>
        <v>0</v>
      </c>
      <c r="AOP16" s="110"/>
      <c r="AOQ16" s="108" t="s">
        <v>35</v>
      </c>
      <c r="AOT16" s="105"/>
      <c r="AOU16" s="105"/>
      <c r="AOV16" s="105"/>
      <c r="AOW16" s="106"/>
      <c r="AOX16" s="106"/>
      <c r="AOY16" s="107"/>
      <c r="AOZ16" s="108"/>
      <c r="APA16" s="109">
        <f t="shared" si="80"/>
        <v>0</v>
      </c>
      <c r="APB16" s="110"/>
      <c r="APC16" s="108" t="s">
        <v>35</v>
      </c>
      <c r="APF16" s="105"/>
      <c r="APG16" s="105"/>
      <c r="APH16" s="105"/>
      <c r="API16" s="106"/>
      <c r="APJ16" s="106"/>
      <c r="APK16" s="107"/>
      <c r="APL16" s="108"/>
      <c r="APM16" s="109">
        <f t="shared" si="81"/>
        <v>0</v>
      </c>
      <c r="APN16" s="110"/>
      <c r="APO16" s="108" t="s">
        <v>35</v>
      </c>
      <c r="APR16" s="105"/>
      <c r="APS16" s="105"/>
      <c r="APT16" s="105"/>
      <c r="APU16" s="106"/>
      <c r="APV16" s="106"/>
      <c r="APW16" s="107"/>
      <c r="APX16" s="108"/>
      <c r="APY16" s="109">
        <f t="shared" si="82"/>
        <v>0</v>
      </c>
      <c r="APZ16" s="110"/>
      <c r="AQA16" s="108" t="s">
        <v>35</v>
      </c>
      <c r="AQD16" s="105"/>
      <c r="AQE16" s="105"/>
      <c r="AQF16" s="105"/>
      <c r="AQG16" s="106"/>
      <c r="AQH16" s="106"/>
      <c r="AQI16" s="107"/>
      <c r="AQJ16" s="108"/>
      <c r="AQK16" s="109">
        <f t="shared" si="83"/>
        <v>0</v>
      </c>
      <c r="AQL16" s="110"/>
      <c r="AQM16" s="108" t="s">
        <v>35</v>
      </c>
      <c r="AQP16" s="105"/>
      <c r="AQQ16" s="105"/>
      <c r="AQR16" s="105"/>
      <c r="AQS16" s="106"/>
      <c r="AQT16" s="106"/>
      <c r="AQU16" s="107"/>
      <c r="AQV16" s="108"/>
      <c r="AQW16" s="109">
        <f t="shared" si="84"/>
        <v>0</v>
      </c>
      <c r="AQX16" s="110"/>
      <c r="AQY16" s="108" t="s">
        <v>35</v>
      </c>
      <c r="ARB16" s="105"/>
      <c r="ARC16" s="105"/>
      <c r="ARD16" s="105"/>
      <c r="ARE16" s="106"/>
      <c r="ARF16" s="106"/>
      <c r="ARG16" s="107"/>
      <c r="ARH16" s="108"/>
      <c r="ARI16" s="109">
        <f t="shared" si="85"/>
        <v>0</v>
      </c>
      <c r="ARJ16" s="110"/>
      <c r="ARK16" s="108" t="s">
        <v>35</v>
      </c>
      <c r="ARN16" s="105"/>
      <c r="ARO16" s="105"/>
      <c r="ARP16" s="105"/>
      <c r="ARQ16" s="106"/>
      <c r="ARR16" s="106"/>
      <c r="ARS16" s="107"/>
      <c r="ART16" s="108"/>
      <c r="ARU16" s="109">
        <f t="shared" si="86"/>
        <v>0</v>
      </c>
      <c r="ARV16" s="110"/>
      <c r="ARW16" s="108" t="s">
        <v>35</v>
      </c>
      <c r="ARZ16" s="105"/>
      <c r="ASA16" s="105"/>
      <c r="ASB16" s="105"/>
      <c r="ASC16" s="106"/>
      <c r="ASD16" s="106"/>
      <c r="ASE16" s="107"/>
      <c r="ASF16" s="108"/>
      <c r="ASG16" s="109">
        <f t="shared" si="87"/>
        <v>0</v>
      </c>
      <c r="ASH16" s="110"/>
      <c r="ASI16" s="108" t="s">
        <v>35</v>
      </c>
      <c r="ASL16" s="105"/>
      <c r="ASM16" s="105"/>
      <c r="ASN16" s="105"/>
      <c r="ASO16" s="106"/>
      <c r="ASP16" s="106"/>
      <c r="ASQ16" s="107"/>
      <c r="ASR16" s="108"/>
      <c r="ASS16" s="109">
        <f t="shared" si="88"/>
        <v>0</v>
      </c>
      <c r="AST16" s="110"/>
      <c r="ASU16" s="108" t="s">
        <v>35</v>
      </c>
      <c r="ASX16" s="105"/>
      <c r="ASY16" s="105"/>
      <c r="ASZ16" s="105"/>
      <c r="ATA16" s="106"/>
      <c r="ATB16" s="106"/>
      <c r="ATC16" s="107"/>
      <c r="ATD16" s="108"/>
      <c r="ATE16" s="109">
        <f t="shared" si="89"/>
        <v>0</v>
      </c>
      <c r="ATF16" s="110"/>
      <c r="ATG16" s="108" t="s">
        <v>35</v>
      </c>
      <c r="ATJ16" s="105"/>
      <c r="ATK16" s="105"/>
      <c r="ATL16" s="105"/>
      <c r="ATM16" s="106"/>
      <c r="ATN16" s="106"/>
      <c r="ATO16" s="107"/>
      <c r="ATP16" s="108"/>
      <c r="ATQ16" s="109">
        <f t="shared" si="90"/>
        <v>0</v>
      </c>
      <c r="ATR16" s="110"/>
      <c r="ATS16" s="108" t="s">
        <v>35</v>
      </c>
      <c r="ATV16" s="105"/>
      <c r="ATW16" s="105"/>
      <c r="ATX16" s="105"/>
      <c r="ATY16" s="106"/>
      <c r="ATZ16" s="106"/>
      <c r="AUA16" s="107"/>
      <c r="AUB16" s="108"/>
      <c r="AUC16" s="109">
        <f t="shared" si="91"/>
        <v>0</v>
      </c>
      <c r="AUD16" s="110"/>
      <c r="AUE16" s="108" t="s">
        <v>35</v>
      </c>
      <c r="AUH16" s="105"/>
      <c r="AUI16" s="105"/>
      <c r="AUJ16" s="105"/>
      <c r="AUK16" s="106"/>
      <c r="AUL16" s="106"/>
      <c r="AUM16" s="107"/>
      <c r="AUN16" s="108"/>
      <c r="AUO16" s="109">
        <f t="shared" si="92"/>
        <v>0</v>
      </c>
      <c r="AUP16" s="110"/>
      <c r="AUQ16" s="108" t="s">
        <v>35</v>
      </c>
      <c r="AUT16" s="105"/>
      <c r="AUU16" s="105"/>
      <c r="AUV16" s="105"/>
      <c r="AUW16" s="106"/>
      <c r="AUX16" s="106"/>
      <c r="AUY16" s="107"/>
      <c r="AUZ16" s="108"/>
      <c r="AVA16" s="109">
        <f t="shared" si="93"/>
        <v>0</v>
      </c>
      <c r="AVB16" s="110"/>
      <c r="AVC16" s="108" t="s">
        <v>35</v>
      </c>
      <c r="AVF16" s="105"/>
      <c r="AVG16" s="105"/>
      <c r="AVH16" s="105"/>
      <c r="AVI16" s="106"/>
      <c r="AVJ16" s="106"/>
      <c r="AVK16" s="107"/>
      <c r="AVL16" s="108"/>
      <c r="AVM16" s="109">
        <f t="shared" si="94"/>
        <v>0</v>
      </c>
      <c r="AVN16" s="110"/>
      <c r="AVO16" s="108" t="s">
        <v>35</v>
      </c>
      <c r="AVR16" s="105"/>
      <c r="AVS16" s="105"/>
      <c r="AVT16" s="105"/>
      <c r="AVU16" s="106"/>
      <c r="AVV16" s="106"/>
      <c r="AVW16" s="107"/>
      <c r="AVX16" s="108"/>
      <c r="AVY16" s="109">
        <f t="shared" si="95"/>
        <v>0</v>
      </c>
      <c r="AVZ16" s="110"/>
      <c r="AWA16" s="108" t="s">
        <v>35</v>
      </c>
      <c r="AWD16" s="105"/>
      <c r="AWE16" s="105"/>
      <c r="AWF16" s="105"/>
      <c r="AWG16" s="106"/>
      <c r="AWH16" s="106"/>
      <c r="AWI16" s="107"/>
      <c r="AWJ16" s="108"/>
      <c r="AWK16" s="109">
        <f t="shared" si="96"/>
        <v>0</v>
      </c>
      <c r="AWL16" s="110"/>
      <c r="AWM16" s="108" t="s">
        <v>35</v>
      </c>
      <c r="AWP16" s="105"/>
      <c r="AWQ16" s="105"/>
      <c r="AWR16" s="105"/>
      <c r="AWS16" s="106"/>
      <c r="AWT16" s="106"/>
      <c r="AWU16" s="107"/>
      <c r="AWV16" s="108"/>
      <c r="AWW16" s="109">
        <f t="shared" si="97"/>
        <v>0</v>
      </c>
      <c r="AWX16" s="110"/>
      <c r="AWY16" s="108" t="s">
        <v>35</v>
      </c>
      <c r="AXB16" s="105"/>
      <c r="AXC16" s="105"/>
      <c r="AXD16" s="105"/>
      <c r="AXE16" s="106"/>
      <c r="AXF16" s="106"/>
      <c r="AXG16" s="107"/>
      <c r="AXH16" s="108"/>
      <c r="AXI16" s="109">
        <f t="shared" si="98"/>
        <v>0</v>
      </c>
      <c r="AXJ16" s="110"/>
      <c r="AXK16" s="108" t="s">
        <v>35</v>
      </c>
      <c r="AXN16" s="105"/>
      <c r="AXO16" s="105"/>
      <c r="AXP16" s="105"/>
      <c r="AXQ16" s="106"/>
      <c r="AXR16" s="106"/>
      <c r="AXS16" s="107"/>
      <c r="AXT16" s="108"/>
      <c r="AXU16" s="109">
        <f t="shared" si="99"/>
        <v>0</v>
      </c>
      <c r="AXV16" s="110"/>
      <c r="AXW16" s="108" t="s">
        <v>35</v>
      </c>
      <c r="AXZ16" s="105"/>
      <c r="AYA16" s="105"/>
      <c r="AYB16" s="105"/>
      <c r="AYC16" s="106"/>
      <c r="AYD16" s="106"/>
      <c r="AYE16" s="107"/>
      <c r="AYF16" s="108"/>
      <c r="AYG16" s="109">
        <f t="shared" si="100"/>
        <v>0</v>
      </c>
      <c r="AYH16" s="110"/>
      <c r="AYI16" s="108" t="s">
        <v>35</v>
      </c>
      <c r="AYL16" s="105"/>
      <c r="AYM16" s="105"/>
      <c r="AYN16" s="105"/>
      <c r="AYO16" s="106"/>
      <c r="AYP16" s="106"/>
      <c r="AYQ16" s="107"/>
      <c r="AYR16" s="108"/>
      <c r="AYS16" s="109">
        <f t="shared" si="101"/>
        <v>0</v>
      </c>
      <c r="AYT16" s="110"/>
      <c r="AYU16" s="108" t="s">
        <v>35</v>
      </c>
      <c r="AYX16" s="105"/>
      <c r="AYY16" s="105"/>
      <c r="AYZ16" s="105"/>
      <c r="AZA16" s="106"/>
      <c r="AZB16" s="106"/>
      <c r="AZC16" s="107"/>
      <c r="AZD16" s="108"/>
      <c r="AZE16" s="109">
        <f t="shared" si="102"/>
        <v>0</v>
      </c>
      <c r="AZF16" s="110"/>
      <c r="AZG16" s="108" t="s">
        <v>35</v>
      </c>
      <c r="AZJ16" s="105"/>
      <c r="AZK16" s="105"/>
      <c r="AZL16" s="105"/>
      <c r="AZM16" s="106"/>
      <c r="AZN16" s="106"/>
      <c r="AZO16" s="107"/>
      <c r="AZP16" s="108"/>
      <c r="AZQ16" s="109">
        <f t="shared" si="103"/>
        <v>0</v>
      </c>
      <c r="AZR16" s="110"/>
      <c r="AZS16" s="108" t="s">
        <v>35</v>
      </c>
      <c r="AZV16" s="105"/>
      <c r="AZW16" s="105"/>
      <c r="AZX16" s="105"/>
      <c r="AZY16" s="106"/>
      <c r="AZZ16" s="106"/>
      <c r="BAA16" s="107"/>
      <c r="BAB16" s="108"/>
      <c r="BAC16" s="109">
        <f t="shared" si="104"/>
        <v>0</v>
      </c>
      <c r="BAD16" s="110"/>
      <c r="BAE16" s="108" t="s">
        <v>35</v>
      </c>
      <c r="BAH16" s="105"/>
      <c r="BAI16" s="105"/>
      <c r="BAJ16" s="105"/>
      <c r="BAK16" s="106"/>
      <c r="BAL16" s="106"/>
      <c r="BAM16" s="107"/>
      <c r="BAN16" s="108"/>
      <c r="BAO16" s="109">
        <f t="shared" si="105"/>
        <v>0</v>
      </c>
      <c r="BAP16" s="110"/>
      <c r="BAQ16" s="108" t="s">
        <v>35</v>
      </c>
      <c r="BAT16" s="105"/>
      <c r="BAU16" s="105"/>
      <c r="BAV16" s="105"/>
      <c r="BAW16" s="106"/>
      <c r="BAX16" s="106"/>
      <c r="BAY16" s="107"/>
      <c r="BAZ16" s="108"/>
      <c r="BBA16" s="109">
        <f t="shared" si="106"/>
        <v>0</v>
      </c>
      <c r="BBB16" s="110"/>
      <c r="BBC16" s="108" t="s">
        <v>35</v>
      </c>
      <c r="BBF16" s="105"/>
      <c r="BBG16" s="105"/>
      <c r="BBH16" s="105"/>
      <c r="BBI16" s="106"/>
      <c r="BBJ16" s="106"/>
      <c r="BBK16" s="107"/>
      <c r="BBL16" s="108"/>
      <c r="BBM16" s="109">
        <f t="shared" si="107"/>
        <v>0</v>
      </c>
      <c r="BBN16" s="110"/>
      <c r="BBO16" s="108" t="s">
        <v>35</v>
      </c>
      <c r="BBR16" s="105"/>
      <c r="BBS16" s="105"/>
      <c r="BBT16" s="105"/>
      <c r="BBU16" s="106"/>
      <c r="BBV16" s="106"/>
      <c r="BBW16" s="107"/>
      <c r="BBX16" s="108"/>
      <c r="BBY16" s="109">
        <f t="shared" si="108"/>
        <v>0</v>
      </c>
      <c r="BBZ16" s="110"/>
      <c r="BCA16" s="108" t="s">
        <v>35</v>
      </c>
      <c r="BCD16" s="105"/>
      <c r="BCE16" s="105"/>
      <c r="BCF16" s="105"/>
      <c r="BCG16" s="106"/>
      <c r="BCH16" s="106"/>
      <c r="BCI16" s="107"/>
      <c r="BCJ16" s="108"/>
      <c r="BCK16" s="109">
        <f t="shared" si="109"/>
        <v>0</v>
      </c>
      <c r="BCL16" s="110"/>
      <c r="BCM16" s="108" t="s">
        <v>35</v>
      </c>
      <c r="BCP16" s="105"/>
      <c r="BCQ16" s="105"/>
      <c r="BCR16" s="105"/>
      <c r="BCS16" s="106"/>
      <c r="BCT16" s="106"/>
      <c r="BCU16" s="107"/>
      <c r="BCV16" s="108"/>
      <c r="BCW16" s="109">
        <f t="shared" si="110"/>
        <v>0</v>
      </c>
      <c r="BCX16" s="110"/>
      <c r="BCY16" s="108" t="s">
        <v>35</v>
      </c>
      <c r="BDB16" s="105"/>
      <c r="BDC16" s="105"/>
      <c r="BDD16" s="105"/>
      <c r="BDE16" s="106"/>
      <c r="BDF16" s="106"/>
      <c r="BDG16" s="107"/>
      <c r="BDH16" s="108"/>
      <c r="BDI16" s="109">
        <f t="shared" si="111"/>
        <v>0</v>
      </c>
      <c r="BDJ16" s="110"/>
      <c r="BDK16" s="108" t="s">
        <v>35</v>
      </c>
      <c r="BDN16" s="105"/>
      <c r="BDO16" s="105"/>
      <c r="BDP16" s="105"/>
      <c r="BDQ16" s="106"/>
      <c r="BDR16" s="106"/>
      <c r="BDS16" s="107"/>
      <c r="BDT16" s="108"/>
      <c r="BDU16" s="109">
        <f t="shared" si="112"/>
        <v>0</v>
      </c>
      <c r="BDV16" s="110"/>
      <c r="BDW16" s="108" t="s">
        <v>35</v>
      </c>
      <c r="BDZ16" s="105"/>
      <c r="BEA16" s="105"/>
      <c r="BEB16" s="105"/>
      <c r="BEC16" s="106"/>
      <c r="BED16" s="106"/>
      <c r="BEE16" s="107"/>
      <c r="BEF16" s="108"/>
      <c r="BEG16" s="109">
        <f t="shared" si="113"/>
        <v>0</v>
      </c>
      <c r="BEH16" s="110"/>
      <c r="BEI16" s="108" t="s">
        <v>35</v>
      </c>
      <c r="BEL16" s="105"/>
      <c r="BEM16" s="105"/>
      <c r="BEN16" s="105"/>
      <c r="BEO16" s="106"/>
      <c r="BEP16" s="106"/>
      <c r="BEQ16" s="107"/>
      <c r="BER16" s="108"/>
      <c r="BES16" s="109">
        <f t="shared" si="114"/>
        <v>0</v>
      </c>
      <c r="BET16" s="110"/>
      <c r="BEU16" s="108" t="s">
        <v>35</v>
      </c>
      <c r="BEX16" s="105"/>
      <c r="BEY16" s="105"/>
      <c r="BEZ16" s="105"/>
      <c r="BFA16" s="106"/>
      <c r="BFB16" s="106"/>
      <c r="BFC16" s="107"/>
      <c r="BFD16" s="108"/>
      <c r="BFE16" s="109">
        <f t="shared" si="115"/>
        <v>0</v>
      </c>
      <c r="BFF16" s="110"/>
      <c r="BFG16" s="108" t="s">
        <v>35</v>
      </c>
      <c r="BFJ16" s="105"/>
      <c r="BFK16" s="105"/>
      <c r="BFL16" s="105"/>
      <c r="BFM16" s="106"/>
      <c r="BFN16" s="106"/>
      <c r="BFO16" s="107"/>
      <c r="BFP16" s="108"/>
      <c r="BFQ16" s="109">
        <f t="shared" si="116"/>
        <v>0</v>
      </c>
      <c r="BFR16" s="110"/>
      <c r="BFS16" s="108" t="s">
        <v>35</v>
      </c>
      <c r="BFV16" s="105"/>
      <c r="BFW16" s="105"/>
      <c r="BFX16" s="105"/>
      <c r="BFY16" s="106"/>
      <c r="BFZ16" s="106"/>
      <c r="BGA16" s="107"/>
      <c r="BGB16" s="108"/>
      <c r="BGC16" s="109">
        <f t="shared" si="117"/>
        <v>0</v>
      </c>
      <c r="BGD16" s="110"/>
      <c r="BGE16" s="108" t="s">
        <v>35</v>
      </c>
      <c r="BGH16" s="105"/>
      <c r="BGI16" s="105"/>
      <c r="BGJ16" s="105"/>
      <c r="BGK16" s="106"/>
      <c r="BGL16" s="106"/>
      <c r="BGM16" s="107"/>
      <c r="BGN16" s="108"/>
      <c r="BGO16" s="109">
        <f t="shared" si="118"/>
        <v>0</v>
      </c>
      <c r="BGP16" s="110"/>
      <c r="BGQ16" s="108" t="s">
        <v>35</v>
      </c>
      <c r="BGT16" s="105"/>
      <c r="BGU16" s="105"/>
      <c r="BGV16" s="105"/>
      <c r="BGW16" s="106"/>
      <c r="BGX16" s="106"/>
      <c r="BGY16" s="107"/>
      <c r="BGZ16" s="108"/>
      <c r="BHA16" s="109">
        <f t="shared" si="119"/>
        <v>0</v>
      </c>
      <c r="BHB16" s="110"/>
      <c r="BHC16" s="108" t="s">
        <v>35</v>
      </c>
      <c r="BHF16" s="105"/>
      <c r="BHG16" s="105"/>
      <c r="BHH16" s="105"/>
      <c r="BHI16" s="106"/>
      <c r="BHJ16" s="106"/>
      <c r="BHK16" s="107"/>
      <c r="BHL16" s="108"/>
      <c r="BHM16" s="109">
        <f t="shared" si="120"/>
        <v>0</v>
      </c>
      <c r="BHN16" s="110"/>
      <c r="BHO16" s="108" t="s">
        <v>35</v>
      </c>
      <c r="BHR16" s="105"/>
      <c r="BHS16" s="105"/>
      <c r="BHT16" s="105"/>
      <c r="BHU16" s="106"/>
      <c r="BHV16" s="106"/>
      <c r="BHW16" s="107"/>
      <c r="BHX16" s="108"/>
      <c r="BHY16" s="109">
        <f t="shared" si="121"/>
        <v>0</v>
      </c>
      <c r="BHZ16" s="110"/>
      <c r="BIA16" s="108" t="s">
        <v>35</v>
      </c>
      <c r="BID16" s="105"/>
      <c r="BIE16" s="105"/>
      <c r="BIF16" s="105"/>
      <c r="BIG16" s="106"/>
      <c r="BIH16" s="106"/>
      <c r="BII16" s="107"/>
      <c r="BIJ16" s="108"/>
      <c r="BIK16" s="109">
        <f t="shared" si="122"/>
        <v>0</v>
      </c>
      <c r="BIL16" s="110"/>
      <c r="BIM16" s="108" t="s">
        <v>35</v>
      </c>
      <c r="BIP16" s="105"/>
      <c r="BIQ16" s="105"/>
      <c r="BIR16" s="105"/>
      <c r="BIS16" s="106"/>
      <c r="BIT16" s="106"/>
      <c r="BIU16" s="107"/>
      <c r="BIV16" s="108"/>
      <c r="BIW16" s="109">
        <f t="shared" si="123"/>
        <v>0</v>
      </c>
      <c r="BIX16" s="110"/>
      <c r="BIY16" s="108" t="s">
        <v>35</v>
      </c>
      <c r="BJB16" s="105"/>
      <c r="BJC16" s="105"/>
      <c r="BJD16" s="105"/>
      <c r="BJE16" s="106"/>
      <c r="BJF16" s="106"/>
      <c r="BJG16" s="107"/>
      <c r="BJH16" s="108"/>
      <c r="BJI16" s="109">
        <f t="shared" si="124"/>
        <v>0</v>
      </c>
      <c r="BJJ16" s="110"/>
      <c r="BJK16" s="108" t="s">
        <v>35</v>
      </c>
      <c r="BJN16" s="105"/>
      <c r="BJO16" s="105"/>
      <c r="BJP16" s="105"/>
      <c r="BJQ16" s="106"/>
      <c r="BJR16" s="106"/>
      <c r="BJS16" s="107"/>
      <c r="BJT16" s="108"/>
      <c r="BJU16" s="109">
        <f t="shared" si="125"/>
        <v>0</v>
      </c>
      <c r="BJV16" s="110"/>
      <c r="BJW16" s="108" t="s">
        <v>35</v>
      </c>
      <c r="BJZ16" s="105"/>
      <c r="BKA16" s="105"/>
      <c r="BKB16" s="105"/>
      <c r="BKC16" s="106"/>
      <c r="BKD16" s="106"/>
      <c r="BKE16" s="107"/>
      <c r="BKF16" s="108"/>
      <c r="BKG16" s="109">
        <f t="shared" si="126"/>
        <v>0</v>
      </c>
      <c r="BKH16" s="110"/>
      <c r="BKI16" s="108" t="s">
        <v>35</v>
      </c>
      <c r="BKL16" s="105"/>
      <c r="BKM16" s="105"/>
      <c r="BKN16" s="105"/>
      <c r="BKO16" s="106"/>
      <c r="BKP16" s="106"/>
      <c r="BKQ16" s="107"/>
      <c r="BKR16" s="108"/>
      <c r="BKS16" s="109">
        <f t="shared" si="127"/>
        <v>0</v>
      </c>
      <c r="BKT16" s="110"/>
      <c r="BKU16" s="108" t="s">
        <v>35</v>
      </c>
      <c r="BKX16" s="105"/>
      <c r="BKY16" s="105"/>
      <c r="BKZ16" s="105"/>
      <c r="BLA16" s="106"/>
      <c r="BLB16" s="106"/>
      <c r="BLC16" s="107"/>
      <c r="BLD16" s="108"/>
      <c r="BLE16" s="109">
        <f t="shared" si="128"/>
        <v>0</v>
      </c>
      <c r="BLF16" s="110"/>
      <c r="BLG16" s="108" t="s">
        <v>35</v>
      </c>
      <c r="BLJ16" s="105"/>
      <c r="BLK16" s="105"/>
      <c r="BLL16" s="105"/>
      <c r="BLM16" s="106"/>
      <c r="BLN16" s="106"/>
      <c r="BLO16" s="107"/>
      <c r="BLP16" s="108"/>
      <c r="BLQ16" s="109">
        <f t="shared" si="129"/>
        <v>0</v>
      </c>
      <c r="BLR16" s="110"/>
      <c r="BLS16" s="108" t="s">
        <v>35</v>
      </c>
      <c r="BLV16" s="105"/>
      <c r="BLW16" s="105"/>
      <c r="BLX16" s="105"/>
      <c r="BLY16" s="106"/>
      <c r="BLZ16" s="106"/>
      <c r="BMA16" s="107"/>
      <c r="BMB16" s="108"/>
      <c r="BMC16" s="109">
        <f t="shared" si="130"/>
        <v>0</v>
      </c>
      <c r="BMD16" s="110"/>
      <c r="BME16" s="108" t="s">
        <v>35</v>
      </c>
      <c r="BMH16" s="105"/>
      <c r="BMI16" s="105"/>
      <c r="BMJ16" s="105"/>
      <c r="BMK16" s="106"/>
      <c r="BML16" s="106"/>
      <c r="BMM16" s="107"/>
      <c r="BMN16" s="108"/>
      <c r="BMO16" s="109">
        <f t="shared" si="131"/>
        <v>0</v>
      </c>
      <c r="BMP16" s="110"/>
      <c r="BMQ16" s="108" t="s">
        <v>35</v>
      </c>
      <c r="BMT16" s="105"/>
      <c r="BMU16" s="105"/>
      <c r="BMV16" s="105"/>
      <c r="BMW16" s="106"/>
      <c r="BMX16" s="106"/>
      <c r="BMY16" s="107"/>
      <c r="BMZ16" s="108"/>
      <c r="BNA16" s="109">
        <f t="shared" si="132"/>
        <v>0</v>
      </c>
      <c r="BNB16" s="110"/>
      <c r="BNC16" s="108" t="s">
        <v>35</v>
      </c>
      <c r="BNF16" s="105"/>
      <c r="BNG16" s="105"/>
      <c r="BNH16" s="105"/>
      <c r="BNI16" s="106"/>
      <c r="BNJ16" s="106"/>
      <c r="BNK16" s="107"/>
      <c r="BNL16" s="108"/>
      <c r="BNM16" s="109">
        <f t="shared" si="133"/>
        <v>0</v>
      </c>
      <c r="BNN16" s="110"/>
      <c r="BNO16" s="108" t="s">
        <v>35</v>
      </c>
      <c r="BNR16" s="105"/>
      <c r="BNS16" s="105"/>
      <c r="BNT16" s="105"/>
      <c r="BNU16" s="106"/>
      <c r="BNV16" s="106"/>
      <c r="BNW16" s="107"/>
      <c r="BNX16" s="108"/>
      <c r="BNY16" s="109">
        <f t="shared" si="134"/>
        <v>0</v>
      </c>
      <c r="BNZ16" s="110"/>
      <c r="BOA16" s="108" t="s">
        <v>35</v>
      </c>
      <c r="BOD16" s="105"/>
      <c r="BOE16" s="105"/>
      <c r="BOF16" s="105"/>
      <c r="BOG16" s="106"/>
      <c r="BOH16" s="106"/>
      <c r="BOI16" s="107"/>
      <c r="BOJ16" s="108"/>
      <c r="BOK16" s="109">
        <f t="shared" si="135"/>
        <v>0</v>
      </c>
      <c r="BOL16" s="110"/>
      <c r="BOM16" s="108" t="s">
        <v>35</v>
      </c>
      <c r="BOP16" s="105"/>
      <c r="BOQ16" s="105"/>
      <c r="BOR16" s="105"/>
      <c r="BOS16" s="106"/>
      <c r="BOT16" s="106"/>
      <c r="BOU16" s="107"/>
      <c r="BOV16" s="108"/>
      <c r="BOW16" s="109">
        <f t="shared" si="136"/>
        <v>0</v>
      </c>
      <c r="BOX16" s="110"/>
      <c r="BOY16" s="108" t="s">
        <v>35</v>
      </c>
      <c r="BPB16" s="105"/>
      <c r="BPC16" s="105"/>
      <c r="BPD16" s="105"/>
      <c r="BPE16" s="106"/>
      <c r="BPF16" s="106"/>
      <c r="BPG16" s="107"/>
      <c r="BPH16" s="108"/>
      <c r="BPI16" s="109">
        <f t="shared" si="137"/>
        <v>0</v>
      </c>
      <c r="BPJ16" s="110"/>
      <c r="BPK16" s="108" t="s">
        <v>35</v>
      </c>
      <c r="BPN16" s="105"/>
      <c r="BPO16" s="105"/>
      <c r="BPP16" s="105"/>
      <c r="BPQ16" s="106"/>
      <c r="BPR16" s="106"/>
      <c r="BPS16" s="107"/>
      <c r="BPT16" s="108"/>
      <c r="BPU16" s="109">
        <f t="shared" si="138"/>
        <v>0</v>
      </c>
      <c r="BPV16" s="110"/>
      <c r="BPW16" s="108" t="s">
        <v>35</v>
      </c>
      <c r="BPZ16" s="105"/>
      <c r="BQA16" s="105"/>
      <c r="BQB16" s="105"/>
      <c r="BQC16" s="106"/>
      <c r="BQD16" s="106"/>
      <c r="BQE16" s="107"/>
      <c r="BQF16" s="108"/>
      <c r="BQG16" s="109">
        <f t="shared" si="139"/>
        <v>0</v>
      </c>
      <c r="BQH16" s="110"/>
      <c r="BQI16" s="108" t="s">
        <v>35</v>
      </c>
      <c r="BQL16" s="105"/>
      <c r="BQM16" s="105"/>
      <c r="BQN16" s="105"/>
      <c r="BQO16" s="106"/>
      <c r="BQP16" s="106"/>
      <c r="BQQ16" s="107"/>
      <c r="BQR16" s="108"/>
      <c r="BQS16" s="109">
        <f t="shared" si="140"/>
        <v>0</v>
      </c>
      <c r="BQT16" s="110"/>
      <c r="BQU16" s="108" t="s">
        <v>35</v>
      </c>
      <c r="BQX16" s="105"/>
      <c r="BQY16" s="105"/>
      <c r="BQZ16" s="105"/>
      <c r="BRA16" s="106"/>
      <c r="BRB16" s="106"/>
      <c r="BRC16" s="107"/>
      <c r="BRD16" s="108"/>
      <c r="BRE16" s="109">
        <f t="shared" si="141"/>
        <v>0</v>
      </c>
      <c r="BRF16" s="110"/>
      <c r="BRG16" s="108" t="s">
        <v>35</v>
      </c>
      <c r="BRJ16" s="105"/>
      <c r="BRK16" s="105"/>
      <c r="BRL16" s="105"/>
      <c r="BRM16" s="106"/>
      <c r="BRN16" s="106"/>
      <c r="BRO16" s="107"/>
      <c r="BRP16" s="108"/>
      <c r="BRQ16" s="109">
        <f t="shared" si="142"/>
        <v>0</v>
      </c>
      <c r="BRR16" s="110"/>
      <c r="BRS16" s="108" t="s">
        <v>35</v>
      </c>
      <c r="BRV16" s="105"/>
      <c r="BRW16" s="105"/>
      <c r="BRX16" s="105"/>
      <c r="BRY16" s="106"/>
      <c r="BRZ16" s="106"/>
      <c r="BSA16" s="107"/>
      <c r="BSB16" s="108"/>
      <c r="BSC16" s="109">
        <f t="shared" si="143"/>
        <v>0</v>
      </c>
      <c r="BSD16" s="110"/>
      <c r="BSE16" s="108" t="s">
        <v>35</v>
      </c>
      <c r="BSH16" s="105"/>
      <c r="BSI16" s="105"/>
      <c r="BSJ16" s="105"/>
      <c r="BSK16" s="106"/>
      <c r="BSL16" s="106"/>
      <c r="BSM16" s="107"/>
      <c r="BSN16" s="108"/>
      <c r="BSO16" s="109">
        <f t="shared" si="144"/>
        <v>0</v>
      </c>
      <c r="BSP16" s="110"/>
      <c r="BSQ16" s="108" t="s">
        <v>35</v>
      </c>
      <c r="BST16" s="105"/>
      <c r="BSU16" s="105"/>
      <c r="BSV16" s="105"/>
      <c r="BSW16" s="106"/>
      <c r="BSX16" s="106"/>
      <c r="BSY16" s="107"/>
      <c r="BSZ16" s="108"/>
      <c r="BTA16" s="109">
        <f t="shared" si="145"/>
        <v>0</v>
      </c>
      <c r="BTB16" s="110"/>
      <c r="BTC16" s="108" t="s">
        <v>35</v>
      </c>
      <c r="BTF16" s="105"/>
      <c r="BTG16" s="105"/>
      <c r="BTH16" s="105"/>
      <c r="BTI16" s="106"/>
      <c r="BTJ16" s="106"/>
      <c r="BTK16" s="107"/>
      <c r="BTL16" s="108"/>
      <c r="BTM16" s="109">
        <f t="shared" si="146"/>
        <v>0</v>
      </c>
      <c r="BTN16" s="110"/>
      <c r="BTO16" s="108" t="s">
        <v>35</v>
      </c>
      <c r="BTR16" s="105"/>
      <c r="BTS16" s="105"/>
      <c r="BTT16" s="105"/>
      <c r="BTU16" s="106"/>
      <c r="BTV16" s="106"/>
      <c r="BTW16" s="107"/>
      <c r="BTX16" s="108"/>
      <c r="BTY16" s="109">
        <f t="shared" si="147"/>
        <v>0</v>
      </c>
      <c r="BTZ16" s="110"/>
      <c r="BUA16" s="108" t="s">
        <v>35</v>
      </c>
      <c r="BUD16" s="105"/>
      <c r="BUE16" s="105"/>
      <c r="BUF16" s="105"/>
      <c r="BUG16" s="106"/>
      <c r="BUH16" s="106"/>
      <c r="BUI16" s="107"/>
      <c r="BUJ16" s="108"/>
      <c r="BUK16" s="109">
        <f t="shared" si="148"/>
        <v>0</v>
      </c>
      <c r="BUL16" s="110"/>
      <c r="BUM16" s="108" t="s">
        <v>35</v>
      </c>
      <c r="BUP16" s="105"/>
      <c r="BUQ16" s="105"/>
      <c r="BUR16" s="105"/>
      <c r="BUS16" s="106"/>
      <c r="BUT16" s="106"/>
      <c r="BUU16" s="107"/>
      <c r="BUV16" s="108"/>
      <c r="BUW16" s="109">
        <f t="shared" si="149"/>
        <v>0</v>
      </c>
      <c r="BUX16" s="110"/>
      <c r="BUY16" s="108" t="s">
        <v>35</v>
      </c>
      <c r="BVB16" s="105"/>
      <c r="BVC16" s="105"/>
      <c r="BVD16" s="105"/>
      <c r="BVE16" s="106"/>
      <c r="BVF16" s="106"/>
      <c r="BVG16" s="107"/>
      <c r="BVH16" s="108"/>
      <c r="BVI16" s="109">
        <f t="shared" si="150"/>
        <v>0</v>
      </c>
      <c r="BVJ16" s="110"/>
      <c r="BVK16" s="108" t="s">
        <v>35</v>
      </c>
      <c r="BVN16" s="105"/>
      <c r="BVO16" s="105"/>
      <c r="BVP16" s="105"/>
      <c r="BVQ16" s="106"/>
      <c r="BVR16" s="106"/>
      <c r="BVS16" s="107"/>
      <c r="BVT16" s="108"/>
      <c r="BVU16" s="109">
        <f t="shared" si="151"/>
        <v>0</v>
      </c>
      <c r="BVV16" s="110"/>
      <c r="BVW16" s="108" t="s">
        <v>35</v>
      </c>
      <c r="BVZ16" s="105"/>
      <c r="BWA16" s="105"/>
      <c r="BWB16" s="105"/>
      <c r="BWC16" s="106"/>
      <c r="BWD16" s="106"/>
      <c r="BWE16" s="107"/>
      <c r="BWF16" s="108"/>
      <c r="BWG16" s="109">
        <f t="shared" si="152"/>
        <v>0</v>
      </c>
      <c r="BWH16" s="110"/>
      <c r="BWI16" s="108" t="s">
        <v>35</v>
      </c>
      <c r="BWL16" s="105"/>
      <c r="BWM16" s="105"/>
      <c r="BWN16" s="105"/>
      <c r="BWO16" s="106"/>
      <c r="BWP16" s="106"/>
      <c r="BWQ16" s="107"/>
      <c r="BWR16" s="108"/>
      <c r="BWS16" s="109">
        <f t="shared" si="153"/>
        <v>0</v>
      </c>
      <c r="BWT16" s="110"/>
      <c r="BWU16" s="108" t="s">
        <v>35</v>
      </c>
      <c r="BWX16" s="105"/>
      <c r="BWY16" s="105"/>
      <c r="BWZ16" s="105"/>
      <c r="BXA16" s="106"/>
      <c r="BXB16" s="106"/>
      <c r="BXC16" s="107"/>
      <c r="BXD16" s="108"/>
      <c r="BXE16" s="109">
        <f t="shared" si="154"/>
        <v>0</v>
      </c>
      <c r="BXF16" s="110"/>
      <c r="BXG16" s="108" t="s">
        <v>35</v>
      </c>
      <c r="BXJ16" s="105"/>
      <c r="BXK16" s="105"/>
      <c r="BXL16" s="105"/>
      <c r="BXM16" s="106"/>
      <c r="BXN16" s="106"/>
      <c r="BXO16" s="107"/>
      <c r="BXP16" s="108"/>
      <c r="BXQ16" s="109">
        <f t="shared" si="155"/>
        <v>0</v>
      </c>
      <c r="BXR16" s="110"/>
      <c r="BXS16" s="108" t="s">
        <v>35</v>
      </c>
      <c r="BXV16" s="105"/>
      <c r="BXW16" s="105"/>
      <c r="BXX16" s="105"/>
      <c r="BXY16" s="106"/>
      <c r="BXZ16" s="106"/>
      <c r="BYA16" s="107"/>
      <c r="BYB16" s="108"/>
      <c r="BYC16" s="109">
        <f t="shared" si="156"/>
        <v>0</v>
      </c>
      <c r="BYD16" s="110"/>
      <c r="BYE16" s="108" t="s">
        <v>35</v>
      </c>
      <c r="BYH16" s="105"/>
      <c r="BYI16" s="105"/>
      <c r="BYJ16" s="105"/>
      <c r="BYK16" s="106"/>
      <c r="BYL16" s="106"/>
      <c r="BYM16" s="107"/>
      <c r="BYN16" s="108"/>
      <c r="BYO16" s="109">
        <f t="shared" si="157"/>
        <v>0</v>
      </c>
      <c r="BYP16" s="110"/>
      <c r="BYQ16" s="108" t="s">
        <v>35</v>
      </c>
      <c r="BYT16" s="105"/>
      <c r="BYU16" s="105"/>
      <c r="BYV16" s="105"/>
      <c r="BYW16" s="106"/>
      <c r="BYX16" s="106"/>
      <c r="BYY16" s="107"/>
      <c r="BYZ16" s="108"/>
      <c r="BZA16" s="109">
        <f t="shared" si="158"/>
        <v>0</v>
      </c>
      <c r="BZB16" s="110"/>
      <c r="BZC16" s="108" t="s">
        <v>35</v>
      </c>
      <c r="BZF16" s="105"/>
      <c r="BZG16" s="105"/>
      <c r="BZH16" s="105"/>
      <c r="BZI16" s="106"/>
      <c r="BZJ16" s="106"/>
      <c r="BZK16" s="107"/>
      <c r="BZL16" s="108"/>
      <c r="BZM16" s="109">
        <f t="shared" si="159"/>
        <v>0</v>
      </c>
      <c r="BZN16" s="110"/>
      <c r="BZO16" s="108" t="s">
        <v>35</v>
      </c>
      <c r="BZR16" s="105"/>
      <c r="BZS16" s="105"/>
      <c r="BZT16" s="105"/>
      <c r="BZU16" s="106"/>
      <c r="BZV16" s="106"/>
      <c r="BZW16" s="107"/>
      <c r="BZX16" s="108"/>
      <c r="BZY16" s="109">
        <f t="shared" si="160"/>
        <v>0</v>
      </c>
      <c r="BZZ16" s="110"/>
      <c r="CAA16" s="108" t="s">
        <v>35</v>
      </c>
      <c r="CAD16" s="105"/>
      <c r="CAE16" s="105"/>
      <c r="CAF16" s="105"/>
      <c r="CAG16" s="106"/>
      <c r="CAH16" s="106"/>
      <c r="CAI16" s="107"/>
      <c r="CAJ16" s="108"/>
      <c r="CAK16" s="109">
        <f t="shared" si="161"/>
        <v>0</v>
      </c>
      <c r="CAL16" s="110"/>
      <c r="CAM16" s="108" t="s">
        <v>35</v>
      </c>
      <c r="CAP16" s="105"/>
      <c r="CAQ16" s="105"/>
      <c r="CAR16" s="105"/>
      <c r="CAS16" s="106"/>
      <c r="CAT16" s="106"/>
      <c r="CAU16" s="107"/>
      <c r="CAV16" s="108"/>
      <c r="CAW16" s="109">
        <f t="shared" si="162"/>
        <v>0</v>
      </c>
      <c r="CAX16" s="110"/>
      <c r="CAY16" s="108" t="s">
        <v>35</v>
      </c>
      <c r="CBB16" s="105"/>
      <c r="CBC16" s="105"/>
      <c r="CBD16" s="105"/>
      <c r="CBE16" s="106"/>
      <c r="CBF16" s="106"/>
      <c r="CBG16" s="107"/>
      <c r="CBH16" s="108"/>
      <c r="CBI16" s="109">
        <f t="shared" si="163"/>
        <v>0</v>
      </c>
      <c r="CBJ16" s="110"/>
      <c r="CBK16" s="108" t="s">
        <v>35</v>
      </c>
      <c r="CBN16" s="105"/>
      <c r="CBO16" s="105"/>
      <c r="CBP16" s="105"/>
      <c r="CBQ16" s="106"/>
      <c r="CBR16" s="106"/>
      <c r="CBS16" s="107"/>
      <c r="CBT16" s="108"/>
      <c r="CBU16" s="109">
        <f t="shared" si="164"/>
        <v>0</v>
      </c>
      <c r="CBV16" s="110"/>
      <c r="CBW16" s="108" t="s">
        <v>35</v>
      </c>
      <c r="CBZ16" s="105"/>
      <c r="CCA16" s="105"/>
      <c r="CCB16" s="105"/>
      <c r="CCC16" s="106"/>
      <c r="CCD16" s="106"/>
      <c r="CCE16" s="107"/>
      <c r="CCF16" s="108"/>
      <c r="CCG16" s="109">
        <f t="shared" si="165"/>
        <v>0</v>
      </c>
      <c r="CCH16" s="110"/>
      <c r="CCI16" s="108" t="s">
        <v>35</v>
      </c>
      <c r="CCL16" s="105"/>
      <c r="CCM16" s="105"/>
      <c r="CCN16" s="105"/>
      <c r="CCO16" s="106"/>
      <c r="CCP16" s="106"/>
      <c r="CCQ16" s="107"/>
      <c r="CCR16" s="108"/>
      <c r="CCS16" s="109">
        <f t="shared" si="166"/>
        <v>0</v>
      </c>
      <c r="CCT16" s="110"/>
      <c r="CCU16" s="108" t="s">
        <v>35</v>
      </c>
      <c r="CCX16" s="105"/>
      <c r="CCY16" s="105"/>
      <c r="CCZ16" s="105"/>
      <c r="CDA16" s="106"/>
      <c r="CDB16" s="106"/>
      <c r="CDC16" s="107"/>
      <c r="CDD16" s="108"/>
      <c r="CDE16" s="109">
        <f t="shared" si="167"/>
        <v>0</v>
      </c>
      <c r="CDF16" s="110"/>
      <c r="CDG16" s="108" t="s">
        <v>35</v>
      </c>
      <c r="CDJ16" s="105"/>
      <c r="CDK16" s="105"/>
      <c r="CDL16" s="105"/>
      <c r="CDM16" s="106"/>
      <c r="CDN16" s="106"/>
      <c r="CDO16" s="107"/>
      <c r="CDP16" s="108"/>
      <c r="CDQ16" s="109">
        <f t="shared" si="168"/>
        <v>0</v>
      </c>
      <c r="CDR16" s="110"/>
      <c r="CDS16" s="108" t="s">
        <v>35</v>
      </c>
      <c r="CDV16" s="105"/>
      <c r="CDW16" s="105"/>
      <c r="CDX16" s="105"/>
      <c r="CDY16" s="106"/>
      <c r="CDZ16" s="106"/>
      <c r="CEA16" s="107"/>
      <c r="CEB16" s="108"/>
      <c r="CEC16" s="109">
        <f t="shared" si="169"/>
        <v>0</v>
      </c>
      <c r="CED16" s="110"/>
      <c r="CEE16" s="108" t="s">
        <v>35</v>
      </c>
      <c r="CEH16" s="105"/>
      <c r="CEI16" s="105"/>
      <c r="CEJ16" s="105"/>
      <c r="CEK16" s="106"/>
      <c r="CEL16" s="106"/>
      <c r="CEM16" s="107"/>
      <c r="CEN16" s="108"/>
      <c r="CEO16" s="109">
        <f t="shared" si="170"/>
        <v>0</v>
      </c>
      <c r="CEP16" s="110"/>
      <c r="CEQ16" s="108" t="s">
        <v>35</v>
      </c>
      <c r="CET16" s="105"/>
      <c r="CEU16" s="105"/>
      <c r="CEV16" s="105"/>
      <c r="CEW16" s="106"/>
      <c r="CEX16" s="106"/>
      <c r="CEY16" s="107"/>
      <c r="CEZ16" s="108"/>
      <c r="CFA16" s="109">
        <f t="shared" si="171"/>
        <v>0</v>
      </c>
      <c r="CFB16" s="110"/>
      <c r="CFC16" s="108" t="s">
        <v>35</v>
      </c>
      <c r="CFF16" s="105"/>
      <c r="CFG16" s="105"/>
      <c r="CFH16" s="105"/>
      <c r="CFI16" s="106"/>
      <c r="CFJ16" s="106"/>
      <c r="CFK16" s="107"/>
      <c r="CFL16" s="108"/>
      <c r="CFM16" s="109">
        <f t="shared" si="172"/>
        <v>0</v>
      </c>
      <c r="CFN16" s="110"/>
      <c r="CFO16" s="108" t="s">
        <v>35</v>
      </c>
      <c r="CFR16" s="105"/>
      <c r="CFS16" s="105"/>
      <c r="CFT16" s="105"/>
      <c r="CFU16" s="106"/>
      <c r="CFV16" s="106"/>
      <c r="CFW16" s="107"/>
      <c r="CFX16" s="108"/>
      <c r="CFY16" s="109">
        <f t="shared" si="173"/>
        <v>0</v>
      </c>
      <c r="CFZ16" s="110"/>
      <c r="CGA16" s="108" t="s">
        <v>35</v>
      </c>
      <c r="CGD16" s="105"/>
      <c r="CGE16" s="105"/>
      <c r="CGF16" s="105"/>
      <c r="CGG16" s="106"/>
      <c r="CGH16" s="106"/>
      <c r="CGI16" s="107"/>
      <c r="CGJ16" s="108"/>
      <c r="CGK16" s="109">
        <f t="shared" si="174"/>
        <v>0</v>
      </c>
      <c r="CGL16" s="110"/>
      <c r="CGM16" s="108" t="s">
        <v>35</v>
      </c>
      <c r="CGP16" s="105"/>
      <c r="CGQ16" s="105"/>
      <c r="CGR16" s="105"/>
      <c r="CGS16" s="106"/>
      <c r="CGT16" s="106"/>
      <c r="CGU16" s="107"/>
      <c r="CGV16" s="108"/>
      <c r="CGW16" s="109">
        <f t="shared" si="175"/>
        <v>0</v>
      </c>
      <c r="CGX16" s="110"/>
      <c r="CGY16" s="108" t="s">
        <v>35</v>
      </c>
      <c r="CHB16" s="105"/>
      <c r="CHC16" s="105"/>
      <c r="CHD16" s="105"/>
      <c r="CHE16" s="106"/>
      <c r="CHF16" s="106"/>
      <c r="CHG16" s="107"/>
      <c r="CHH16" s="108"/>
      <c r="CHI16" s="109">
        <f t="shared" si="176"/>
        <v>0</v>
      </c>
      <c r="CHJ16" s="110"/>
      <c r="CHK16" s="108" t="s">
        <v>35</v>
      </c>
      <c r="CHN16" s="105"/>
      <c r="CHO16" s="105"/>
      <c r="CHP16" s="105"/>
      <c r="CHQ16" s="106"/>
      <c r="CHR16" s="106"/>
      <c r="CHS16" s="107"/>
      <c r="CHT16" s="108"/>
      <c r="CHU16" s="109">
        <f t="shared" si="177"/>
        <v>0</v>
      </c>
      <c r="CHV16" s="110"/>
      <c r="CHW16" s="108" t="s">
        <v>35</v>
      </c>
      <c r="CHZ16" s="105"/>
      <c r="CIA16" s="105"/>
      <c r="CIB16" s="105"/>
      <c r="CIC16" s="106"/>
      <c r="CID16" s="106"/>
      <c r="CIE16" s="107"/>
      <c r="CIF16" s="108"/>
      <c r="CIG16" s="109">
        <f t="shared" si="178"/>
        <v>0</v>
      </c>
      <c r="CIH16" s="110"/>
      <c r="CII16" s="108" t="s">
        <v>35</v>
      </c>
      <c r="CIL16" s="105"/>
      <c r="CIM16" s="105"/>
      <c r="CIN16" s="105"/>
      <c r="CIO16" s="106"/>
      <c r="CIP16" s="106"/>
      <c r="CIQ16" s="107"/>
      <c r="CIR16" s="108"/>
      <c r="CIS16" s="109">
        <f t="shared" si="179"/>
        <v>0</v>
      </c>
      <c r="CIT16" s="110"/>
      <c r="CIU16" s="108" t="s">
        <v>35</v>
      </c>
      <c r="CIX16" s="105"/>
      <c r="CIY16" s="105"/>
      <c r="CIZ16" s="105"/>
      <c r="CJA16" s="106"/>
      <c r="CJB16" s="106"/>
      <c r="CJC16" s="107"/>
      <c r="CJD16" s="108"/>
      <c r="CJE16" s="109">
        <f t="shared" si="180"/>
        <v>0</v>
      </c>
      <c r="CJF16" s="110"/>
      <c r="CJG16" s="108" t="s">
        <v>35</v>
      </c>
      <c r="CJJ16" s="105"/>
      <c r="CJK16" s="105"/>
      <c r="CJL16" s="105"/>
      <c r="CJM16" s="106"/>
      <c r="CJN16" s="106"/>
      <c r="CJO16" s="107"/>
      <c r="CJP16" s="108"/>
      <c r="CJQ16" s="109">
        <f t="shared" si="181"/>
        <v>0</v>
      </c>
      <c r="CJR16" s="110"/>
      <c r="CJS16" s="108" t="s">
        <v>35</v>
      </c>
      <c r="CJV16" s="105"/>
      <c r="CJW16" s="105"/>
      <c r="CJX16" s="105"/>
      <c r="CJY16" s="106"/>
      <c r="CJZ16" s="106"/>
      <c r="CKA16" s="107"/>
      <c r="CKB16" s="108"/>
      <c r="CKC16" s="109">
        <f t="shared" si="182"/>
        <v>0</v>
      </c>
      <c r="CKD16" s="110"/>
      <c r="CKE16" s="108" t="s">
        <v>35</v>
      </c>
      <c r="CKH16" s="105"/>
      <c r="CKI16" s="105"/>
      <c r="CKJ16" s="105"/>
      <c r="CKK16" s="106"/>
      <c r="CKL16" s="106"/>
      <c r="CKM16" s="107"/>
      <c r="CKN16" s="108"/>
      <c r="CKO16" s="109">
        <f t="shared" si="183"/>
        <v>0</v>
      </c>
      <c r="CKP16" s="110"/>
      <c r="CKQ16" s="108" t="s">
        <v>35</v>
      </c>
      <c r="CKT16" s="105"/>
      <c r="CKU16" s="105"/>
      <c r="CKV16" s="105"/>
      <c r="CKW16" s="106"/>
      <c r="CKX16" s="106"/>
      <c r="CKY16" s="107"/>
      <c r="CKZ16" s="108"/>
      <c r="CLA16" s="109">
        <f t="shared" si="184"/>
        <v>0</v>
      </c>
      <c r="CLB16" s="110"/>
      <c r="CLC16" s="108" t="s">
        <v>35</v>
      </c>
      <c r="CLF16" s="105"/>
      <c r="CLG16" s="105"/>
      <c r="CLH16" s="105"/>
      <c r="CLI16" s="106"/>
      <c r="CLJ16" s="106"/>
      <c r="CLK16" s="107"/>
      <c r="CLL16" s="108"/>
      <c r="CLM16" s="109">
        <f t="shared" si="185"/>
        <v>0</v>
      </c>
      <c r="CLN16" s="110"/>
      <c r="CLO16" s="108" t="s">
        <v>35</v>
      </c>
      <c r="CLR16" s="105"/>
      <c r="CLS16" s="105"/>
      <c r="CLT16" s="105"/>
      <c r="CLU16" s="106"/>
      <c r="CLV16" s="106"/>
      <c r="CLW16" s="107"/>
      <c r="CLX16" s="108"/>
      <c r="CLY16" s="109">
        <f t="shared" si="186"/>
        <v>0</v>
      </c>
      <c r="CLZ16" s="110"/>
      <c r="CMA16" s="108" t="s">
        <v>35</v>
      </c>
      <c r="CMD16" s="105"/>
      <c r="CME16" s="105"/>
      <c r="CMF16" s="105"/>
      <c r="CMG16" s="106"/>
      <c r="CMH16" s="106"/>
      <c r="CMI16" s="107"/>
      <c r="CMJ16" s="108"/>
      <c r="CMK16" s="109">
        <f t="shared" si="187"/>
        <v>0</v>
      </c>
      <c r="CML16" s="110"/>
      <c r="CMM16" s="108" t="s">
        <v>35</v>
      </c>
      <c r="CMP16" s="105"/>
      <c r="CMQ16" s="105"/>
      <c r="CMR16" s="105"/>
      <c r="CMS16" s="106"/>
      <c r="CMT16" s="106"/>
      <c r="CMU16" s="107"/>
      <c r="CMV16" s="108"/>
      <c r="CMW16" s="109">
        <f t="shared" si="188"/>
        <v>0</v>
      </c>
      <c r="CMX16" s="110"/>
      <c r="CMY16" s="108" t="s">
        <v>35</v>
      </c>
      <c r="CNB16" s="105"/>
      <c r="CNC16" s="105"/>
      <c r="CND16" s="105"/>
      <c r="CNE16" s="106"/>
      <c r="CNF16" s="106"/>
      <c r="CNG16" s="107"/>
      <c r="CNH16" s="108"/>
      <c r="CNI16" s="109">
        <f t="shared" si="189"/>
        <v>0</v>
      </c>
      <c r="CNJ16" s="110"/>
      <c r="CNK16" s="108" t="s">
        <v>35</v>
      </c>
      <c r="CNN16" s="105"/>
      <c r="CNO16" s="105"/>
      <c r="CNP16" s="105"/>
      <c r="CNQ16" s="106"/>
      <c r="CNR16" s="106"/>
      <c r="CNS16" s="107"/>
      <c r="CNT16" s="108"/>
      <c r="CNU16" s="109">
        <f t="shared" si="190"/>
        <v>0</v>
      </c>
      <c r="CNV16" s="110"/>
      <c r="CNW16" s="108" t="s">
        <v>35</v>
      </c>
      <c r="CNZ16" s="105"/>
      <c r="COA16" s="105"/>
      <c r="COB16" s="105"/>
      <c r="COC16" s="106"/>
      <c r="COD16" s="106"/>
      <c r="COE16" s="107"/>
      <c r="COF16" s="108"/>
      <c r="COG16" s="109">
        <f t="shared" si="191"/>
        <v>0</v>
      </c>
      <c r="COH16" s="110"/>
      <c r="COI16" s="108" t="s">
        <v>35</v>
      </c>
      <c r="COL16" s="105"/>
      <c r="COM16" s="105"/>
      <c r="CON16" s="105"/>
      <c r="COO16" s="106"/>
      <c r="COP16" s="106"/>
      <c r="COQ16" s="107"/>
      <c r="COR16" s="108"/>
      <c r="COS16" s="109">
        <f t="shared" si="194"/>
        <v>0</v>
      </c>
      <c r="COT16" s="110"/>
      <c r="COU16" s="108" t="s">
        <v>35</v>
      </c>
      <c r="COX16" s="105"/>
      <c r="COY16" s="105"/>
      <c r="COZ16" s="105"/>
      <c r="CPA16" s="106"/>
      <c r="CPB16" s="106"/>
      <c r="CPC16" s="107"/>
      <c r="CPD16" s="108"/>
      <c r="CPE16" s="109">
        <f t="shared" si="195"/>
        <v>0</v>
      </c>
      <c r="CPF16" s="110"/>
      <c r="CPG16" s="108" t="s">
        <v>35</v>
      </c>
      <c r="CPJ16" s="105"/>
      <c r="CPK16" s="105"/>
      <c r="CPL16" s="105"/>
      <c r="CPM16" s="106"/>
      <c r="CPN16" s="106"/>
      <c r="CPO16" s="107"/>
      <c r="CPP16" s="108"/>
      <c r="CPQ16" s="109">
        <f t="shared" si="196"/>
        <v>0</v>
      </c>
      <c r="CPR16" s="110"/>
      <c r="CPS16" s="108" t="s">
        <v>35</v>
      </c>
      <c r="CPV16" s="105"/>
      <c r="CPW16" s="105"/>
      <c r="CPX16" s="105"/>
      <c r="CPY16" s="106"/>
      <c r="CPZ16" s="106"/>
      <c r="CQA16" s="107"/>
      <c r="CQB16" s="108"/>
      <c r="CQC16" s="109">
        <f t="shared" si="197"/>
        <v>0</v>
      </c>
      <c r="CQD16" s="110"/>
      <c r="CQE16" s="108" t="s">
        <v>35</v>
      </c>
      <c r="CQH16" s="105"/>
      <c r="CQI16" s="105"/>
      <c r="CQJ16" s="105"/>
      <c r="CQK16" s="106"/>
      <c r="CQL16" s="106"/>
      <c r="CQM16" s="107"/>
      <c r="CQN16" s="108"/>
      <c r="CQO16" s="109">
        <f t="shared" si="198"/>
        <v>0</v>
      </c>
      <c r="CQP16" s="110"/>
      <c r="CQQ16" s="108" t="s">
        <v>35</v>
      </c>
      <c r="CQT16" s="105"/>
      <c r="CQU16" s="105"/>
      <c r="CQV16" s="105"/>
      <c r="CQW16" s="106"/>
      <c r="CQX16" s="106"/>
      <c r="CQY16" s="107"/>
      <c r="CQZ16" s="108"/>
      <c r="CRA16" s="109">
        <f t="shared" si="199"/>
        <v>0</v>
      </c>
      <c r="CRB16" s="110"/>
      <c r="CRC16" s="108" t="s">
        <v>35</v>
      </c>
      <c r="CRF16" s="105"/>
      <c r="CRG16" s="105"/>
      <c r="CRH16" s="105"/>
      <c r="CRI16" s="106"/>
      <c r="CRJ16" s="106"/>
      <c r="CRK16" s="107"/>
      <c r="CRL16" s="108"/>
      <c r="CRM16" s="109">
        <f t="shared" si="200"/>
        <v>0</v>
      </c>
      <c r="CRN16" s="110"/>
      <c r="CRO16" s="108" t="s">
        <v>35</v>
      </c>
      <c r="CRR16" s="105"/>
      <c r="CRS16" s="105"/>
      <c r="CRT16" s="105"/>
      <c r="CRU16" s="106"/>
      <c r="CRV16" s="106"/>
      <c r="CRW16" s="107"/>
      <c r="CRX16" s="108"/>
      <c r="CRY16" s="109">
        <f t="shared" si="201"/>
        <v>0</v>
      </c>
      <c r="CRZ16" s="110"/>
      <c r="CSA16" s="108" t="s">
        <v>35</v>
      </c>
      <c r="CSD16" s="105"/>
      <c r="CSE16" s="105"/>
      <c r="CSF16" s="105"/>
      <c r="CSG16" s="106"/>
      <c r="CSH16" s="106"/>
      <c r="CSI16" s="107"/>
      <c r="CSJ16" s="108"/>
      <c r="CSK16" s="109">
        <f t="shared" si="202"/>
        <v>0</v>
      </c>
      <c r="CSL16" s="110"/>
      <c r="CSM16" s="108" t="s">
        <v>35</v>
      </c>
      <c r="CSP16" s="105"/>
      <c r="CSQ16" s="105"/>
      <c r="CSR16" s="105"/>
      <c r="CSS16" s="106"/>
      <c r="CST16" s="106"/>
      <c r="CSU16" s="107"/>
      <c r="CSV16" s="108"/>
      <c r="CSW16" s="109">
        <f t="shared" si="203"/>
        <v>0</v>
      </c>
      <c r="CSX16" s="110"/>
      <c r="CSY16" s="108" t="s">
        <v>35</v>
      </c>
      <c r="CTB16" s="105"/>
      <c r="CTC16" s="105"/>
      <c r="CTD16" s="105"/>
      <c r="CTE16" s="106"/>
      <c r="CTF16" s="106"/>
      <c r="CTG16" s="107"/>
      <c r="CTH16" s="108"/>
      <c r="CTI16" s="109">
        <f t="shared" si="204"/>
        <v>0</v>
      </c>
      <c r="CTJ16" s="110"/>
      <c r="CTK16" s="108" t="s">
        <v>35</v>
      </c>
      <c r="CTN16" s="105"/>
      <c r="CTO16" s="105"/>
      <c r="CTP16" s="105"/>
      <c r="CTQ16" s="106"/>
      <c r="CTR16" s="106"/>
      <c r="CTS16" s="107"/>
      <c r="CTT16" s="108"/>
      <c r="CTU16" s="109">
        <f t="shared" si="205"/>
        <v>0</v>
      </c>
      <c r="CTV16" s="110"/>
      <c r="CTW16" s="108" t="s">
        <v>35</v>
      </c>
      <c r="CTZ16" s="105"/>
      <c r="CUA16" s="105"/>
      <c r="CUB16" s="105"/>
      <c r="CUC16" s="106"/>
      <c r="CUD16" s="106"/>
      <c r="CUE16" s="107"/>
      <c r="CUF16" s="108"/>
      <c r="CUG16" s="109">
        <f t="shared" si="206"/>
        <v>0</v>
      </c>
      <c r="CUH16" s="110"/>
      <c r="CUI16" s="108" t="s">
        <v>35</v>
      </c>
      <c r="CUL16" s="105"/>
      <c r="CUM16" s="105"/>
      <c r="CUN16" s="105"/>
      <c r="CUO16" s="106"/>
      <c r="CUP16" s="106"/>
      <c r="CUQ16" s="107"/>
      <c r="CUR16" s="108"/>
      <c r="CUS16" s="109">
        <f t="shared" si="207"/>
        <v>0</v>
      </c>
      <c r="CUT16" s="110"/>
      <c r="CUU16" s="108" t="s">
        <v>35</v>
      </c>
      <c r="CUX16" s="105"/>
      <c r="CUY16" s="105"/>
      <c r="CUZ16" s="105"/>
      <c r="CVA16" s="106"/>
      <c r="CVB16" s="106"/>
      <c r="CVC16" s="107"/>
      <c r="CVD16" s="108"/>
      <c r="CVE16" s="109">
        <f t="shared" si="208"/>
        <v>0</v>
      </c>
      <c r="CVF16" s="110"/>
      <c r="CVG16" s="108" t="s">
        <v>35</v>
      </c>
      <c r="CVJ16" s="105"/>
      <c r="CVK16" s="105"/>
      <c r="CVL16" s="105"/>
      <c r="CVM16" s="106"/>
      <c r="CVN16" s="106"/>
      <c r="CVO16" s="107"/>
      <c r="CVP16" s="108"/>
      <c r="CVQ16" s="109">
        <f t="shared" si="209"/>
        <v>0</v>
      </c>
      <c r="CVR16" s="110"/>
      <c r="CVS16" s="108" t="s">
        <v>35</v>
      </c>
      <c r="CVV16" s="105"/>
      <c r="CVW16" s="105"/>
      <c r="CVX16" s="105"/>
      <c r="CVY16" s="106"/>
      <c r="CVZ16" s="106"/>
      <c r="CWA16" s="107"/>
      <c r="CWB16" s="108"/>
      <c r="CWC16" s="109" t="str">
        <f t="shared" si="192"/>
        <v/>
      </c>
      <c r="CWD16" s="110"/>
      <c r="CWE16" s="108" t="str">
        <f t="shared" si="193"/>
        <v/>
      </c>
    </row>
    <row r="17" spans="1:1023 1026:2631" x14ac:dyDescent="0.25">
      <c r="A17" s="116"/>
      <c r="B17" s="43"/>
      <c r="C17" s="44"/>
      <c r="D17" s="45"/>
      <c r="E17" s="92"/>
      <c r="F17" s="93">
        <f t="shared" si="0"/>
        <v>0</v>
      </c>
      <c r="H17" s="94"/>
      <c r="I17" s="94"/>
      <c r="J17" s="94"/>
      <c r="K17" s="95"/>
      <c r="L17" s="95"/>
      <c r="O17" s="116"/>
      <c r="P17" s="43"/>
      <c r="Q17" s="44"/>
      <c r="R17" s="45"/>
      <c r="S17" s="92"/>
      <c r="T17" s="93">
        <f t="shared" si="210"/>
        <v>0</v>
      </c>
      <c r="V17" s="94"/>
      <c r="W17" s="94"/>
      <c r="X17" s="94"/>
      <c r="Y17" s="95"/>
      <c r="Z17" s="95"/>
      <c r="AC17" s="116"/>
      <c r="AD17" s="43"/>
      <c r="AE17" s="44"/>
      <c r="AF17" s="45"/>
      <c r="AG17" s="92"/>
      <c r="AH17" s="93">
        <f t="shared" si="1"/>
        <v>0</v>
      </c>
      <c r="AJ17" s="94"/>
      <c r="AK17" s="94"/>
      <c r="AL17" s="94"/>
      <c r="AM17" s="95"/>
      <c r="AN17" s="95"/>
      <c r="AQ17" s="116"/>
      <c r="AR17" s="43"/>
      <c r="AS17" s="44"/>
      <c r="AT17" s="45"/>
      <c r="AU17" s="92"/>
      <c r="AV17" s="93">
        <f t="shared" si="2"/>
        <v>0</v>
      </c>
      <c r="AX17" s="94"/>
      <c r="AY17" s="94"/>
      <c r="AZ17" s="94"/>
      <c r="BA17" s="95"/>
      <c r="BB17" s="95"/>
      <c r="BE17" s="116"/>
      <c r="BF17" s="43"/>
      <c r="BG17" s="44"/>
      <c r="BH17" s="45"/>
      <c r="BI17" s="92"/>
      <c r="BJ17" s="93">
        <f t="shared" si="3"/>
        <v>0</v>
      </c>
      <c r="BL17" s="94"/>
      <c r="BM17" s="94"/>
      <c r="BN17" s="94"/>
      <c r="BO17" s="95"/>
      <c r="BP17" s="95"/>
      <c r="BS17" s="116"/>
      <c r="BT17" s="43"/>
      <c r="BU17" s="44"/>
      <c r="BV17" s="45"/>
      <c r="BW17" s="92"/>
      <c r="BX17" s="93">
        <f t="shared" si="4"/>
        <v>0</v>
      </c>
      <c r="BZ17" s="94"/>
      <c r="CA17" s="94"/>
      <c r="CB17" s="94"/>
      <c r="CC17" s="95"/>
      <c r="CD17" s="95"/>
      <c r="CG17" s="116"/>
      <c r="CH17" s="43"/>
      <c r="CI17" s="44"/>
      <c r="CJ17" s="45"/>
      <c r="CK17" s="92"/>
      <c r="CL17" s="93">
        <f t="shared" si="5"/>
        <v>0</v>
      </c>
      <c r="CN17" s="94"/>
      <c r="CO17" s="94"/>
      <c r="CP17" s="94"/>
      <c r="CQ17" s="95"/>
      <c r="CR17" s="95"/>
      <c r="CU17" s="116"/>
      <c r="CV17" s="43"/>
      <c r="CW17" s="44"/>
      <c r="CX17" s="45"/>
      <c r="CY17" s="92"/>
      <c r="CZ17" s="93">
        <f t="shared" si="6"/>
        <v>0</v>
      </c>
      <c r="DB17" s="94"/>
      <c r="DC17" s="94"/>
      <c r="DD17" s="94"/>
      <c r="DE17" s="95"/>
      <c r="DF17" s="95"/>
      <c r="DI17" s="116"/>
      <c r="DJ17" s="43"/>
      <c r="DK17" s="44"/>
      <c r="DL17" s="45"/>
      <c r="DM17" s="92"/>
      <c r="DN17" s="93">
        <f t="shared" si="7"/>
        <v>0</v>
      </c>
      <c r="DP17" s="94"/>
      <c r="DQ17" s="94"/>
      <c r="DR17" s="94"/>
      <c r="DS17" s="95"/>
      <c r="DT17" s="95"/>
      <c r="DW17" s="116"/>
      <c r="DX17" s="43"/>
      <c r="DY17" s="44"/>
      <c r="DZ17" s="45"/>
      <c r="EA17" s="92"/>
      <c r="EB17" s="93">
        <f t="shared" si="8"/>
        <v>0</v>
      </c>
      <c r="ED17" s="94"/>
      <c r="EE17" s="94"/>
      <c r="EF17" s="94"/>
      <c r="EG17" s="95"/>
      <c r="EH17" s="95"/>
      <c r="EK17" s="116"/>
      <c r="EL17" s="43"/>
      <c r="EM17" s="44"/>
      <c r="EN17" s="45"/>
      <c r="EO17" s="92"/>
      <c r="EP17" s="93">
        <f t="shared" si="9"/>
        <v>0</v>
      </c>
      <c r="ER17" s="94"/>
      <c r="ES17" s="94"/>
      <c r="ET17" s="94"/>
      <c r="EU17" s="95"/>
      <c r="EV17" s="95"/>
      <c r="EY17" s="116"/>
      <c r="EZ17" s="43"/>
      <c r="FA17" s="44"/>
      <c r="FB17" s="45"/>
      <c r="FC17" s="92"/>
      <c r="FD17" s="93">
        <f t="shared" si="10"/>
        <v>0</v>
      </c>
      <c r="FF17" s="94"/>
      <c r="FG17" s="94"/>
      <c r="FH17" s="94"/>
      <c r="FI17" s="95"/>
      <c r="FJ17" s="95"/>
      <c r="FM17" s="116"/>
      <c r="FN17" s="43"/>
      <c r="FO17" s="44"/>
      <c r="FP17" s="45"/>
      <c r="FQ17" s="92"/>
      <c r="FR17" s="93">
        <f t="shared" si="11"/>
        <v>0</v>
      </c>
      <c r="FT17" s="94"/>
      <c r="FU17" s="94"/>
      <c r="FV17" s="94"/>
      <c r="FW17" s="95"/>
      <c r="FX17" s="95"/>
      <c r="GA17" s="116"/>
      <c r="GB17" s="43"/>
      <c r="GC17" s="44"/>
      <c r="GD17" s="45"/>
      <c r="GE17" s="92"/>
      <c r="GF17" s="93">
        <f t="shared" si="12"/>
        <v>0</v>
      </c>
      <c r="GH17" s="94"/>
      <c r="GI17" s="94"/>
      <c r="GJ17" s="94"/>
      <c r="GK17" s="95"/>
      <c r="GL17" s="95"/>
      <c r="GO17" s="116"/>
      <c r="GP17" s="43"/>
      <c r="GQ17" s="44"/>
      <c r="GR17" s="45"/>
      <c r="GS17" s="92"/>
      <c r="GT17" s="93">
        <f t="shared" si="13"/>
        <v>0</v>
      </c>
      <c r="GV17" s="94"/>
      <c r="GW17" s="94"/>
      <c r="GX17" s="94"/>
      <c r="GY17" s="95"/>
      <c r="GZ17" s="95"/>
      <c r="HC17" s="116"/>
      <c r="HD17" s="43"/>
      <c r="HE17" s="44"/>
      <c r="HF17" s="45"/>
      <c r="HG17" s="92"/>
      <c r="HH17" s="93">
        <f t="shared" si="14"/>
        <v>0</v>
      </c>
      <c r="HJ17" s="94"/>
      <c r="HK17" s="94"/>
      <c r="HL17" s="94"/>
      <c r="HM17" s="95"/>
      <c r="HN17" s="95"/>
      <c r="HQ17" s="116"/>
      <c r="HR17" s="43"/>
      <c r="HS17" s="44"/>
      <c r="HT17" s="45"/>
      <c r="HU17" s="92"/>
      <c r="HV17" s="93">
        <f t="shared" si="15"/>
        <v>0</v>
      </c>
      <c r="HX17" s="94"/>
      <c r="HY17" s="94"/>
      <c r="HZ17" s="94"/>
      <c r="IA17" s="95"/>
      <c r="IB17" s="95"/>
      <c r="IE17" s="116"/>
      <c r="IF17" s="43"/>
      <c r="IG17" s="44"/>
      <c r="IH17" s="45"/>
      <c r="II17" s="92"/>
      <c r="IJ17" s="93">
        <f t="shared" si="16"/>
        <v>0</v>
      </c>
      <c r="IL17" s="94"/>
      <c r="IM17" s="94"/>
      <c r="IN17" s="94"/>
      <c r="IO17" s="95"/>
      <c r="IP17" s="95"/>
      <c r="IS17" s="116"/>
      <c r="IT17" s="43"/>
      <c r="IU17" s="44"/>
      <c r="IV17" s="45"/>
      <c r="IW17" s="92"/>
      <c r="IX17" s="93">
        <f t="shared" si="17"/>
        <v>0</v>
      </c>
      <c r="IZ17" s="94"/>
      <c r="JA17" s="94"/>
      <c r="JB17" s="94"/>
      <c r="JC17" s="95"/>
      <c r="JD17" s="95"/>
      <c r="JG17" s="116"/>
      <c r="JH17" s="43"/>
      <c r="JI17" s="44"/>
      <c r="JJ17" s="45"/>
      <c r="JK17" s="92"/>
      <c r="JL17" s="93">
        <f t="shared" si="18"/>
        <v>0</v>
      </c>
      <c r="JN17" s="94"/>
      <c r="JO17" s="94"/>
      <c r="JP17" s="94"/>
      <c r="JQ17" s="95"/>
      <c r="JR17" s="95"/>
      <c r="JU17" s="116"/>
      <c r="JV17" s="43"/>
      <c r="JW17" s="44"/>
      <c r="JX17" s="45"/>
      <c r="JY17" s="92"/>
      <c r="JZ17" s="93">
        <f t="shared" si="19"/>
        <v>0</v>
      </c>
      <c r="KB17" s="94"/>
      <c r="KC17" s="94"/>
      <c r="KD17" s="94"/>
      <c r="KE17" s="95"/>
      <c r="KF17" s="95"/>
      <c r="KI17" s="116"/>
      <c r="KJ17" s="43"/>
      <c r="KK17" s="44"/>
      <c r="KL17" s="45"/>
      <c r="KM17" s="92"/>
      <c r="KN17" s="93">
        <f t="shared" si="20"/>
        <v>0</v>
      </c>
      <c r="KP17" s="94"/>
      <c r="KQ17" s="94"/>
      <c r="KR17" s="94"/>
      <c r="KS17" s="95"/>
      <c r="KT17" s="95"/>
      <c r="KW17" s="116"/>
      <c r="KX17" s="43"/>
      <c r="KY17" s="44"/>
      <c r="KZ17" s="45"/>
      <c r="LA17" s="92"/>
      <c r="LB17" s="93">
        <f t="shared" si="21"/>
        <v>0</v>
      </c>
      <c r="LD17" s="94"/>
      <c r="LE17" s="94"/>
      <c r="LF17" s="94"/>
      <c r="LG17" s="95"/>
      <c r="LH17" s="95"/>
      <c r="LK17" s="116"/>
      <c r="LL17" s="43"/>
      <c r="LM17" s="44"/>
      <c r="LN17" s="45"/>
      <c r="LO17" s="92"/>
      <c r="LP17" s="93">
        <f t="shared" si="22"/>
        <v>0</v>
      </c>
      <c r="LR17" s="94"/>
      <c r="LS17" s="94"/>
      <c r="LT17" s="94"/>
      <c r="LU17" s="95"/>
      <c r="LV17" s="95"/>
      <c r="LY17" s="116"/>
      <c r="LZ17" s="43"/>
      <c r="MA17" s="44"/>
      <c r="MB17" s="45"/>
      <c r="MC17" s="92"/>
      <c r="MD17" s="93">
        <f t="shared" si="23"/>
        <v>0</v>
      </c>
      <c r="MF17" s="94"/>
      <c r="MG17" s="94"/>
      <c r="MH17" s="94"/>
      <c r="MI17" s="95"/>
      <c r="MJ17" s="95"/>
      <c r="MM17" s="116"/>
      <c r="MN17" s="43"/>
      <c r="MO17" s="44"/>
      <c r="MP17" s="45"/>
      <c r="MQ17" s="92"/>
      <c r="MR17" s="93">
        <f t="shared" si="24"/>
        <v>0</v>
      </c>
      <c r="MT17" s="94"/>
      <c r="MU17" s="94"/>
      <c r="MV17" s="94"/>
      <c r="MW17" s="95"/>
      <c r="MX17" s="95"/>
      <c r="NA17" s="116"/>
      <c r="NB17" s="43"/>
      <c r="NC17" s="44"/>
      <c r="ND17" s="45"/>
      <c r="NE17" s="92"/>
      <c r="NF17" s="93">
        <f t="shared" si="25"/>
        <v>0</v>
      </c>
      <c r="NH17" s="94"/>
      <c r="NI17" s="94"/>
      <c r="NJ17" s="94"/>
      <c r="NK17" s="95"/>
      <c r="NL17" s="95"/>
      <c r="NO17" s="116"/>
      <c r="NP17" s="43"/>
      <c r="NQ17" s="44"/>
      <c r="NR17" s="45"/>
      <c r="NS17" s="92"/>
      <c r="NT17" s="93">
        <f t="shared" si="26"/>
        <v>0</v>
      </c>
      <c r="NV17" s="94"/>
      <c r="NW17" s="94"/>
      <c r="NX17" s="94"/>
      <c r="NY17" s="95"/>
      <c r="NZ17" s="95"/>
      <c r="OC17" s="116"/>
      <c r="OD17" s="43"/>
      <c r="OE17" s="44"/>
      <c r="OF17" s="45"/>
      <c r="OG17" s="92"/>
      <c r="OH17" s="93">
        <f t="shared" si="27"/>
        <v>0</v>
      </c>
      <c r="OJ17" s="94"/>
      <c r="OK17" s="94"/>
      <c r="OL17" s="94"/>
      <c r="OM17" s="95"/>
      <c r="ON17" s="95"/>
      <c r="OQ17" s="116"/>
      <c r="OR17" s="43"/>
      <c r="OS17" s="44"/>
      <c r="OT17" s="45"/>
      <c r="OU17" s="92"/>
      <c r="OV17" s="93">
        <f t="shared" si="28"/>
        <v>0</v>
      </c>
      <c r="OX17" s="94"/>
      <c r="OY17" s="94"/>
      <c r="OZ17" s="94"/>
      <c r="PA17" s="95"/>
      <c r="PB17" s="95"/>
      <c r="PE17" s="116"/>
      <c r="PF17" s="43"/>
      <c r="PG17" s="44"/>
      <c r="PH17" s="45"/>
      <c r="PI17" s="92"/>
      <c r="PJ17" s="93">
        <f t="shared" si="29"/>
        <v>0</v>
      </c>
      <c r="PL17" s="94"/>
      <c r="PM17" s="94"/>
      <c r="PN17" s="94"/>
      <c r="PO17" s="95"/>
      <c r="PP17" s="95"/>
      <c r="PS17" s="116"/>
      <c r="PT17" s="43"/>
      <c r="PU17" s="44"/>
      <c r="PV17" s="45"/>
      <c r="PW17" s="92"/>
      <c r="PX17" s="93">
        <f t="shared" si="30"/>
        <v>0</v>
      </c>
      <c r="PZ17" s="94"/>
      <c r="QA17" s="94"/>
      <c r="QB17" s="94"/>
      <c r="QC17" s="95"/>
      <c r="QD17" s="95"/>
      <c r="QG17" s="116"/>
      <c r="QH17" s="43"/>
      <c r="QI17" s="44"/>
      <c r="QJ17" s="45"/>
      <c r="QK17" s="92"/>
      <c r="QL17" s="93">
        <f t="shared" si="31"/>
        <v>0</v>
      </c>
      <c r="QN17" s="94"/>
      <c r="QO17" s="94"/>
      <c r="QP17" s="94"/>
      <c r="QQ17" s="95"/>
      <c r="QR17" s="95"/>
      <c r="QU17" s="116"/>
      <c r="QV17" s="43"/>
      <c r="QW17" s="44"/>
      <c r="QX17" s="45"/>
      <c r="QY17" s="92"/>
      <c r="QZ17" s="93">
        <f t="shared" si="32"/>
        <v>0</v>
      </c>
      <c r="RB17" s="94"/>
      <c r="RC17" s="94"/>
      <c r="RD17" s="94"/>
      <c r="RE17" s="95"/>
      <c r="RF17" s="95"/>
      <c r="RI17" s="116"/>
      <c r="RJ17" s="43"/>
      <c r="RK17" s="44"/>
      <c r="RL17" s="45"/>
      <c r="RM17" s="92"/>
      <c r="RN17" s="93">
        <f t="shared" si="33"/>
        <v>0</v>
      </c>
      <c r="RP17" s="94"/>
      <c r="RQ17" s="94"/>
      <c r="RR17" s="94"/>
      <c r="RS17" s="95"/>
      <c r="RT17" s="95"/>
      <c r="RW17" s="116"/>
      <c r="RX17" s="43"/>
      <c r="RY17" s="44"/>
      <c r="RZ17" s="45"/>
      <c r="SA17" s="92"/>
      <c r="SB17" s="93">
        <f t="shared" si="34"/>
        <v>0</v>
      </c>
      <c r="SD17" s="94"/>
      <c r="SE17" s="94"/>
      <c r="SF17" s="94"/>
      <c r="SG17" s="95"/>
      <c r="SH17" s="95"/>
      <c r="SK17" s="116"/>
      <c r="SL17" s="43"/>
      <c r="SM17" s="44"/>
      <c r="SN17" s="45"/>
      <c r="SO17" s="92"/>
      <c r="SP17" s="93">
        <f t="shared" si="35"/>
        <v>0</v>
      </c>
      <c r="SR17" s="94"/>
      <c r="SS17" s="94"/>
      <c r="ST17" s="94"/>
      <c r="SU17" s="95"/>
      <c r="SV17" s="95"/>
      <c r="SY17" s="116"/>
      <c r="SZ17" s="43"/>
      <c r="TA17" s="44"/>
      <c r="TB17" s="45"/>
      <c r="TC17" s="92"/>
      <c r="TD17" s="93">
        <f t="shared" si="36"/>
        <v>0</v>
      </c>
      <c r="TF17" s="94"/>
      <c r="TG17" s="94"/>
      <c r="TH17" s="94"/>
      <c r="TI17" s="95"/>
      <c r="TJ17" s="95"/>
      <c r="TM17" s="116"/>
      <c r="TN17" s="43"/>
      <c r="TO17" s="44"/>
      <c r="TP17" s="45"/>
      <c r="TQ17" s="92"/>
      <c r="TR17" s="93">
        <f t="shared" si="37"/>
        <v>0</v>
      </c>
      <c r="TT17" s="94"/>
      <c r="TU17" s="94"/>
      <c r="TV17" s="94"/>
      <c r="TW17" s="95"/>
      <c r="TX17" s="95"/>
      <c r="UA17" s="116"/>
      <c r="UB17" s="43"/>
      <c r="UC17" s="44"/>
      <c r="UD17" s="45"/>
      <c r="UE17" s="92"/>
      <c r="UF17" s="93">
        <f t="shared" si="38"/>
        <v>0</v>
      </c>
      <c r="UH17" s="94"/>
      <c r="UI17" s="94"/>
      <c r="UJ17" s="94"/>
      <c r="UK17" s="95"/>
      <c r="UL17" s="95"/>
      <c r="UO17" s="116"/>
      <c r="UP17" s="43"/>
      <c r="UQ17" s="44"/>
      <c r="UR17" s="45"/>
      <c r="US17" s="92"/>
      <c r="UT17" s="93">
        <f t="shared" si="39"/>
        <v>0</v>
      </c>
      <c r="UV17" s="94"/>
      <c r="UW17" s="94"/>
      <c r="UX17" s="94"/>
      <c r="UY17" s="95"/>
      <c r="UZ17" s="95"/>
      <c r="VC17" s="116"/>
      <c r="VD17" s="43"/>
      <c r="VE17" s="44"/>
      <c r="VF17" s="45"/>
      <c r="VG17" s="92"/>
      <c r="VH17" s="93">
        <f t="shared" si="40"/>
        <v>0</v>
      </c>
      <c r="VJ17" s="94"/>
      <c r="VK17" s="94"/>
      <c r="VL17" s="94"/>
      <c r="VM17" s="95"/>
      <c r="VN17" s="95"/>
      <c r="VQ17" s="116"/>
      <c r="VR17" s="43"/>
      <c r="VS17" s="44"/>
      <c r="VT17" s="45"/>
      <c r="VU17" s="92"/>
      <c r="VV17" s="93">
        <f t="shared" si="41"/>
        <v>0</v>
      </c>
      <c r="VX17" s="94"/>
      <c r="VY17" s="94"/>
      <c r="VZ17" s="94"/>
      <c r="WA17" s="95"/>
      <c r="WB17" s="95"/>
      <c r="WE17" s="116"/>
      <c r="WF17" s="43"/>
      <c r="WG17" s="44"/>
      <c r="WH17" s="45"/>
      <c r="WI17" s="92"/>
      <c r="WJ17" s="93">
        <f t="shared" si="42"/>
        <v>0</v>
      </c>
      <c r="WL17" s="94"/>
      <c r="WM17" s="94"/>
      <c r="WN17" s="94"/>
      <c r="WO17" s="95"/>
      <c r="WP17" s="95"/>
      <c r="WS17" s="116"/>
      <c r="WT17" s="43"/>
      <c r="WU17" s="44"/>
      <c r="WV17" s="45"/>
      <c r="WW17" s="92"/>
      <c r="WX17" s="93">
        <f t="shared" si="43"/>
        <v>0</v>
      </c>
      <c r="WZ17" s="94"/>
      <c r="XA17" s="94"/>
      <c r="XB17" s="94"/>
      <c r="XC17" s="95"/>
      <c r="XD17" s="95"/>
      <c r="XG17" s="116"/>
      <c r="XH17" s="43"/>
      <c r="XI17" s="44"/>
      <c r="XJ17" s="45"/>
      <c r="XK17" s="92"/>
      <c r="XL17" s="93">
        <f t="shared" si="44"/>
        <v>0</v>
      </c>
      <c r="XN17" s="94"/>
      <c r="XO17" s="94"/>
      <c r="XP17" s="94"/>
      <c r="XQ17" s="95"/>
      <c r="XR17" s="95"/>
      <c r="XU17" s="116"/>
      <c r="XV17" s="43"/>
      <c r="XW17" s="44"/>
      <c r="XX17" s="45"/>
      <c r="XY17" s="92"/>
      <c r="XZ17" s="93">
        <f t="shared" si="45"/>
        <v>0</v>
      </c>
      <c r="YB17" s="94"/>
      <c r="YC17" s="94"/>
      <c r="YD17" s="94"/>
      <c r="YE17" s="95"/>
      <c r="YF17" s="95"/>
      <c r="YI17" s="116"/>
      <c r="YJ17" s="43"/>
      <c r="YK17" s="44"/>
      <c r="YL17" s="45"/>
      <c r="YM17" s="92"/>
      <c r="YN17" s="93">
        <f t="shared" si="46"/>
        <v>0</v>
      </c>
      <c r="YP17" s="94"/>
      <c r="YQ17" s="94"/>
      <c r="YR17" s="94"/>
      <c r="YS17" s="95"/>
      <c r="YT17" s="95"/>
      <c r="YW17" s="116"/>
      <c r="YX17" s="43"/>
      <c r="YY17" s="44"/>
      <c r="YZ17" s="45"/>
      <c r="ZA17" s="92"/>
      <c r="ZB17" s="93"/>
      <c r="ZD17" s="94"/>
      <c r="ZE17" s="94"/>
      <c r="ZF17" s="94"/>
      <c r="ZG17" s="95"/>
      <c r="ZH17" s="95"/>
      <c r="ZK17" s="116"/>
      <c r="ZL17" s="43"/>
      <c r="ZM17" s="44"/>
      <c r="ZN17" s="45"/>
      <c r="ZO17" s="92"/>
      <c r="ZP17" s="93"/>
      <c r="ZR17" s="94"/>
      <c r="ZS17" s="94"/>
      <c r="ZT17" s="94"/>
      <c r="ZU17" s="95"/>
      <c r="ZV17" s="95"/>
      <c r="ZZ17" s="105"/>
      <c r="AAA17" s="105"/>
      <c r="AAB17" s="105"/>
      <c r="AAC17" s="106"/>
      <c r="AAD17" s="106"/>
      <c r="AAE17" s="107"/>
      <c r="AAF17" s="108"/>
      <c r="AAG17" s="109">
        <f t="shared" si="49"/>
        <v>0</v>
      </c>
      <c r="AAH17" s="110"/>
      <c r="AAI17" s="108" t="s">
        <v>35</v>
      </c>
      <c r="AAM17" s="105"/>
      <c r="AAN17" s="105"/>
      <c r="AAO17" s="105"/>
      <c r="AAP17" s="106"/>
      <c r="AAQ17" s="106"/>
      <c r="AAR17" s="107"/>
      <c r="AAS17" s="108"/>
      <c r="AAT17" s="109">
        <f t="shared" ref="AAT17:AAT18" si="237">+AAS17*$J$7/1000</f>
        <v>0</v>
      </c>
      <c r="AAU17" s="110"/>
      <c r="AAV17" s="108" t="s">
        <v>35</v>
      </c>
      <c r="AAZ17" s="105"/>
      <c r="ABA17" s="105"/>
      <c r="ABB17" s="105"/>
      <c r="ABC17" s="106"/>
      <c r="ABD17" s="106"/>
      <c r="ABE17" s="107"/>
      <c r="ABF17" s="108"/>
      <c r="ABG17" s="109">
        <f t="shared" ref="ABG17:ABG18" si="238">+ABF17*$J$7/1000</f>
        <v>0</v>
      </c>
      <c r="ABH17" s="110"/>
      <c r="ABI17" s="108" t="s">
        <v>35</v>
      </c>
      <c r="ABM17" s="105"/>
      <c r="ABN17" s="105"/>
      <c r="ABO17" s="105"/>
      <c r="ABP17" s="106"/>
      <c r="ABQ17" s="106"/>
      <c r="ABR17" s="107"/>
      <c r="ABS17" s="108"/>
      <c r="ABT17" s="109">
        <f t="shared" ref="ABT17:ABT18" si="239">+ABS17*$J$7/1000</f>
        <v>0</v>
      </c>
      <c r="ABU17" s="110"/>
      <c r="ABV17" s="108" t="s">
        <v>35</v>
      </c>
      <c r="ABZ17" s="105"/>
      <c r="ACA17" s="105"/>
      <c r="ACB17" s="105"/>
      <c r="ACC17" s="106"/>
      <c r="ACD17" s="106"/>
      <c r="ACE17" s="107"/>
      <c r="ACF17" s="108"/>
      <c r="ACG17" s="109">
        <f t="shared" ref="ACG17:ACG18" si="240">+ACF17*$J$7/1000</f>
        <v>0</v>
      </c>
      <c r="ACH17" s="110"/>
      <c r="ACI17" s="108" t="s">
        <v>35</v>
      </c>
      <c r="ACM17" s="105"/>
      <c r="ACN17" s="105"/>
      <c r="ACO17" s="105"/>
      <c r="ACP17" s="106"/>
      <c r="ACQ17" s="106"/>
      <c r="ACR17" s="107"/>
      <c r="ACS17" s="108"/>
      <c r="ACT17" s="109">
        <f t="shared" ref="ACT17:ACT18" si="241">+ACS17*$J$7/1000</f>
        <v>0</v>
      </c>
      <c r="ACU17" s="110"/>
      <c r="ACV17" s="108" t="s">
        <v>35</v>
      </c>
      <c r="ACZ17" s="105"/>
      <c r="ADA17" s="105"/>
      <c r="ADB17" s="105"/>
      <c r="ADC17" s="106"/>
      <c r="ADD17" s="106"/>
      <c r="ADE17" s="107"/>
      <c r="ADF17" s="108"/>
      <c r="ADG17" s="109">
        <f t="shared" ref="ADG17:ADG18" si="242">+ADF17*$J$7/1000</f>
        <v>0</v>
      </c>
      <c r="ADH17" s="110"/>
      <c r="ADI17" s="108" t="s">
        <v>35</v>
      </c>
      <c r="ADM17" s="105"/>
      <c r="ADN17" s="105"/>
      <c r="ADO17" s="105"/>
      <c r="ADP17" s="106"/>
      <c r="ADQ17" s="106"/>
      <c r="ADR17" s="107"/>
      <c r="ADS17" s="108"/>
      <c r="ADT17" s="109">
        <f t="shared" ref="ADT17:ADT18" si="243">+ADS17*$J$7/1000</f>
        <v>0</v>
      </c>
      <c r="ADU17" s="110"/>
      <c r="ADV17" s="108" t="s">
        <v>35</v>
      </c>
      <c r="ADZ17" s="105"/>
      <c r="AEA17" s="105"/>
      <c r="AEB17" s="105"/>
      <c r="AEC17" s="106"/>
      <c r="AED17" s="106"/>
      <c r="AEE17" s="107"/>
      <c r="AEF17" s="108"/>
      <c r="AEG17" s="109">
        <f t="shared" ref="AEG17:AEG18" si="244">+AEF17*$J$7/1000</f>
        <v>0</v>
      </c>
      <c r="AEH17" s="110"/>
      <c r="AEI17" s="108" t="s">
        <v>35</v>
      </c>
      <c r="AEM17" s="105"/>
      <c r="AEN17" s="105"/>
      <c r="AEO17" s="105"/>
      <c r="AEP17" s="106"/>
      <c r="AEQ17" s="106"/>
      <c r="AER17" s="107"/>
      <c r="AES17" s="108"/>
      <c r="AET17" s="109">
        <f t="shared" ref="AET17:AET18" si="245">+AES17*$J$7/1000</f>
        <v>0</v>
      </c>
      <c r="AEU17" s="110"/>
      <c r="AEV17" s="108" t="s">
        <v>35</v>
      </c>
      <c r="AEZ17" s="105"/>
      <c r="AFA17" s="105"/>
      <c r="AFB17" s="105"/>
      <c r="AFC17" s="106"/>
      <c r="AFD17" s="106"/>
      <c r="AFE17" s="107"/>
      <c r="AFF17" s="108"/>
      <c r="AFG17" s="109">
        <f t="shared" ref="AFG17:AFG18" si="246">+AFF17*$J$7/1000</f>
        <v>0</v>
      </c>
      <c r="AFH17" s="110"/>
      <c r="AFI17" s="108" t="s">
        <v>35</v>
      </c>
      <c r="AFM17" s="105"/>
      <c r="AFN17" s="105"/>
      <c r="AFO17" s="105"/>
      <c r="AFP17" s="106"/>
      <c r="AFQ17" s="106"/>
      <c r="AFR17" s="107"/>
      <c r="AFS17" s="108"/>
      <c r="AFT17" s="109">
        <f t="shared" ref="AFT17:AFT18" si="247">+AFS17*$J$7/1000</f>
        <v>0</v>
      </c>
      <c r="AFU17" s="110"/>
      <c r="AFV17" s="108" t="s">
        <v>35</v>
      </c>
      <c r="AFZ17" s="105"/>
      <c r="AGA17" s="105"/>
      <c r="AGB17" s="105"/>
      <c r="AGC17" s="106"/>
      <c r="AGD17" s="106"/>
      <c r="AGE17" s="107"/>
      <c r="AGF17" s="108"/>
      <c r="AGG17" s="109">
        <f t="shared" ref="AGG17:AGG18" si="248">+AGF17*$J$7/1000</f>
        <v>0</v>
      </c>
      <c r="AGH17" s="110"/>
      <c r="AGI17" s="108" t="s">
        <v>35</v>
      </c>
      <c r="AGL17" s="105"/>
      <c r="AGM17" s="105"/>
      <c r="AGN17" s="105"/>
      <c r="AGO17" s="106"/>
      <c r="AGP17" s="106"/>
      <c r="AGQ17" s="107"/>
      <c r="AGR17" s="108"/>
      <c r="AGS17" s="109">
        <f t="shared" ref="AGS17:AGS18" si="249">+AGR17*$J$7/1000</f>
        <v>0</v>
      </c>
      <c r="AGT17" s="110"/>
      <c r="AGU17" s="108" t="s">
        <v>35</v>
      </c>
      <c r="AGX17" s="105"/>
      <c r="AGY17" s="105"/>
      <c r="AGZ17" s="105"/>
      <c r="AHA17" s="106"/>
      <c r="AHB17" s="106"/>
      <c r="AHC17" s="107"/>
      <c r="AHD17" s="108"/>
      <c r="AHE17" s="109">
        <f t="shared" ref="AHE17:AHE18" si="250">+AHD17*$J$7/1000</f>
        <v>0</v>
      </c>
      <c r="AHF17" s="110"/>
      <c r="AHG17" s="108" t="s">
        <v>35</v>
      </c>
      <c r="AHJ17" s="105"/>
      <c r="AHK17" s="105"/>
      <c r="AHL17" s="105"/>
      <c r="AHM17" s="106"/>
      <c r="AHN17" s="106"/>
      <c r="AHO17" s="107"/>
      <c r="AHP17" s="108"/>
      <c r="AHQ17" s="109">
        <f t="shared" ref="AHQ17:AHQ18" si="251">+AHP17*$J$7/1000</f>
        <v>0</v>
      </c>
      <c r="AHR17" s="110"/>
      <c r="AHS17" s="108" t="s">
        <v>35</v>
      </c>
      <c r="AHV17" s="105"/>
      <c r="AHW17" s="105"/>
      <c r="AHX17" s="105"/>
      <c r="AHY17" s="106"/>
      <c r="AHZ17" s="106"/>
      <c r="AIA17" s="107"/>
      <c r="AIB17" s="108"/>
      <c r="AIC17" s="109">
        <f t="shared" ref="AIC17:AIC18" si="252">+AIB17*$J$7/1000</f>
        <v>0</v>
      </c>
      <c r="AID17" s="110"/>
      <c r="AIE17" s="108" t="s">
        <v>35</v>
      </c>
      <c r="AIH17" s="105"/>
      <c r="AII17" s="105"/>
      <c r="AIJ17" s="105"/>
      <c r="AIK17" s="106"/>
      <c r="AIL17" s="106"/>
      <c r="AIM17" s="107"/>
      <c r="AIN17" s="108"/>
      <c r="AIO17" s="109">
        <f t="shared" ref="AIO17:AIO18" si="253">+AIN17*$J$7/1000</f>
        <v>0</v>
      </c>
      <c r="AIP17" s="110"/>
      <c r="AIQ17" s="108" t="s">
        <v>35</v>
      </c>
      <c r="AIT17" s="105"/>
      <c r="AIU17" s="105"/>
      <c r="AIV17" s="105"/>
      <c r="AIW17" s="106"/>
      <c r="AIX17" s="106"/>
      <c r="AIY17" s="107"/>
      <c r="AIZ17" s="108"/>
      <c r="AJA17" s="109">
        <f t="shared" ref="AJA17:AJA18" si="254">+AIZ17*$J$7/1000</f>
        <v>0</v>
      </c>
      <c r="AJB17" s="110"/>
      <c r="AJC17" s="108" t="s">
        <v>35</v>
      </c>
      <c r="AJF17" s="105"/>
      <c r="AJG17" s="105"/>
      <c r="AJH17" s="105"/>
      <c r="AJI17" s="106"/>
      <c r="AJJ17" s="106"/>
      <c r="AJK17" s="107"/>
      <c r="AJL17" s="108"/>
      <c r="AJM17" s="109">
        <f t="shared" ref="AJM17:AJM18" si="255">+AJL17*$J$7/1000</f>
        <v>0</v>
      </c>
      <c r="AJN17" s="110"/>
      <c r="AJO17" s="108" t="s">
        <v>35</v>
      </c>
      <c r="AJR17" s="105"/>
      <c r="AJS17" s="105"/>
      <c r="AJT17" s="105"/>
      <c r="AJU17" s="106"/>
      <c r="AJV17" s="106"/>
      <c r="AJW17" s="107"/>
      <c r="AJX17" s="108"/>
      <c r="AJY17" s="109">
        <f t="shared" ref="AJY17:AJY18" si="256">+AJX17*$J$7/1000</f>
        <v>0</v>
      </c>
      <c r="AJZ17" s="110"/>
      <c r="AKA17" s="108" t="s">
        <v>35</v>
      </c>
      <c r="AKD17" s="105"/>
      <c r="AKE17" s="105"/>
      <c r="AKF17" s="105"/>
      <c r="AKG17" s="106"/>
      <c r="AKH17" s="106"/>
      <c r="AKI17" s="107"/>
      <c r="AKJ17" s="108"/>
      <c r="AKK17" s="109">
        <f t="shared" ref="AKK17:AKK18" si="257">+AKJ17*$J$7/1000</f>
        <v>0</v>
      </c>
      <c r="AKL17" s="110"/>
      <c r="AKM17" s="108" t="s">
        <v>35</v>
      </c>
      <c r="AKP17" s="105"/>
      <c r="AKQ17" s="105"/>
      <c r="AKR17" s="105"/>
      <c r="AKS17" s="106"/>
      <c r="AKT17" s="106"/>
      <c r="AKU17" s="107"/>
      <c r="AKV17" s="108"/>
      <c r="AKW17" s="109">
        <f t="shared" ref="AKW17:AKW18" si="258">+AKV17*$J$7/1000</f>
        <v>0</v>
      </c>
      <c r="AKX17" s="110"/>
      <c r="AKY17" s="108" t="s">
        <v>35</v>
      </c>
      <c r="ALB17" s="105"/>
      <c r="ALC17" s="105"/>
      <c r="ALD17" s="105"/>
      <c r="ALE17" s="106"/>
      <c r="ALF17" s="106"/>
      <c r="ALG17" s="107"/>
      <c r="ALH17" s="108"/>
      <c r="ALI17" s="109">
        <f t="shared" ref="ALI17:ALI18" si="259">+ALH17*$J$7/1000</f>
        <v>0</v>
      </c>
      <c r="ALJ17" s="110"/>
      <c r="ALK17" s="108" t="s">
        <v>35</v>
      </c>
      <c r="ALN17" s="105"/>
      <c r="ALO17" s="105"/>
      <c r="ALP17" s="105"/>
      <c r="ALQ17" s="106"/>
      <c r="ALR17" s="106"/>
      <c r="ALS17" s="107"/>
      <c r="ALT17" s="108"/>
      <c r="ALU17" s="109">
        <f t="shared" ref="ALU17:ALU18" si="260">+ALT17*$J$7/1000</f>
        <v>0</v>
      </c>
      <c r="ALV17" s="110"/>
      <c r="ALW17" s="108" t="s">
        <v>35</v>
      </c>
      <c r="ALZ17" s="105"/>
      <c r="AMA17" s="105"/>
      <c r="AMB17" s="105"/>
      <c r="AMC17" s="106"/>
      <c r="AMD17" s="106"/>
      <c r="AME17" s="107"/>
      <c r="AMF17" s="108"/>
      <c r="AMG17" s="109">
        <f t="shared" ref="AMG17:AMG18" si="261">+AMF17*$J$7/1000</f>
        <v>0</v>
      </c>
      <c r="AMH17" s="110"/>
      <c r="AMI17" s="108" t="s">
        <v>35</v>
      </c>
      <c r="AML17" s="105"/>
      <c r="AMM17" s="105"/>
      <c r="AMN17" s="105"/>
      <c r="AMO17" s="106"/>
      <c r="AMP17" s="106"/>
      <c r="AMQ17" s="107"/>
      <c r="AMR17" s="108"/>
      <c r="AMS17" s="109">
        <f t="shared" ref="AMS17:AMS18" si="262">+AMR17*$J$7/1000</f>
        <v>0</v>
      </c>
      <c r="AMT17" s="110"/>
      <c r="AMU17" s="108" t="s">
        <v>35</v>
      </c>
      <c r="AMX17" s="105"/>
      <c r="AMY17" s="105"/>
      <c r="AMZ17" s="105"/>
      <c r="ANA17" s="106"/>
      <c r="ANB17" s="106"/>
      <c r="ANC17" s="107"/>
      <c r="AND17" s="108"/>
      <c r="ANE17" s="109">
        <f t="shared" si="76"/>
        <v>0</v>
      </c>
      <c r="ANF17" s="110"/>
      <c r="ANG17" s="108" t="s">
        <v>35</v>
      </c>
      <c r="ANJ17" s="105"/>
      <c r="ANK17" s="105"/>
      <c r="ANL17" s="105"/>
      <c r="ANM17" s="106"/>
      <c r="ANN17" s="106"/>
      <c r="ANO17" s="107"/>
      <c r="ANP17" s="108"/>
      <c r="ANQ17" s="109">
        <f t="shared" si="77"/>
        <v>0</v>
      </c>
      <c r="ANR17" s="110"/>
      <c r="ANS17" s="108" t="s">
        <v>35</v>
      </c>
      <c r="ANV17" s="105"/>
      <c r="ANW17" s="105"/>
      <c r="ANX17" s="105"/>
      <c r="ANY17" s="106"/>
      <c r="ANZ17" s="106"/>
      <c r="AOA17" s="107"/>
      <c r="AOB17" s="108"/>
      <c r="AOC17" s="109">
        <f t="shared" si="78"/>
        <v>0</v>
      </c>
      <c r="AOD17" s="110"/>
      <c r="AOE17" s="108" t="s">
        <v>35</v>
      </c>
      <c r="AOH17" s="105"/>
      <c r="AOI17" s="105"/>
      <c r="AOJ17" s="105"/>
      <c r="AOK17" s="106"/>
      <c r="AOL17" s="106"/>
      <c r="AOM17" s="107"/>
      <c r="AON17" s="108"/>
      <c r="AOO17" s="109">
        <f t="shared" si="236"/>
        <v>0</v>
      </c>
      <c r="AOP17" s="110"/>
      <c r="AOQ17" s="108" t="s">
        <v>35</v>
      </c>
      <c r="AOT17" s="105"/>
      <c r="AOU17" s="105"/>
      <c r="AOV17" s="105"/>
      <c r="AOW17" s="106"/>
      <c r="AOX17" s="106"/>
      <c r="AOY17" s="107"/>
      <c r="AOZ17" s="108"/>
      <c r="APA17" s="109">
        <f t="shared" si="80"/>
        <v>0</v>
      </c>
      <c r="APB17" s="110"/>
      <c r="APC17" s="108" t="s">
        <v>35</v>
      </c>
      <c r="APF17" s="105"/>
      <c r="APG17" s="105"/>
      <c r="APH17" s="105"/>
      <c r="API17" s="106"/>
      <c r="APJ17" s="106"/>
      <c r="APK17" s="107"/>
      <c r="APL17" s="108"/>
      <c r="APM17" s="109">
        <f t="shared" si="81"/>
        <v>0</v>
      </c>
      <c r="APN17" s="110"/>
      <c r="APO17" s="108" t="s">
        <v>35</v>
      </c>
      <c r="APR17" s="105"/>
      <c r="APS17" s="105"/>
      <c r="APT17" s="105"/>
      <c r="APU17" s="106"/>
      <c r="APV17" s="106"/>
      <c r="APW17" s="107"/>
      <c r="APX17" s="108"/>
      <c r="APY17" s="109">
        <f t="shared" si="82"/>
        <v>0</v>
      </c>
      <c r="APZ17" s="110"/>
      <c r="AQA17" s="108" t="s">
        <v>35</v>
      </c>
      <c r="AQD17" s="105"/>
      <c r="AQE17" s="105"/>
      <c r="AQF17" s="105"/>
      <c r="AQG17" s="106"/>
      <c r="AQH17" s="106"/>
      <c r="AQI17" s="107"/>
      <c r="AQJ17" s="108"/>
      <c r="AQK17" s="109">
        <f t="shared" si="83"/>
        <v>0</v>
      </c>
      <c r="AQL17" s="110"/>
      <c r="AQM17" s="108" t="s">
        <v>35</v>
      </c>
      <c r="AQP17" s="105"/>
      <c r="AQQ17" s="105"/>
      <c r="AQR17" s="105"/>
      <c r="AQS17" s="106"/>
      <c r="AQT17" s="106"/>
      <c r="AQU17" s="107"/>
      <c r="AQV17" s="108"/>
      <c r="AQW17" s="109">
        <f t="shared" si="84"/>
        <v>0</v>
      </c>
      <c r="AQX17" s="110"/>
      <c r="AQY17" s="108" t="s">
        <v>35</v>
      </c>
      <c r="ARB17" s="105"/>
      <c r="ARC17" s="105"/>
      <c r="ARD17" s="105"/>
      <c r="ARE17" s="106"/>
      <c r="ARF17" s="106"/>
      <c r="ARG17" s="107"/>
      <c r="ARH17" s="108"/>
      <c r="ARI17" s="109">
        <f t="shared" si="85"/>
        <v>0</v>
      </c>
      <c r="ARJ17" s="110"/>
      <c r="ARK17" s="108" t="s">
        <v>35</v>
      </c>
      <c r="ARN17" s="105"/>
      <c r="ARO17" s="105"/>
      <c r="ARP17" s="105"/>
      <c r="ARQ17" s="106"/>
      <c r="ARR17" s="106"/>
      <c r="ARS17" s="107"/>
      <c r="ART17" s="108"/>
      <c r="ARU17" s="109">
        <f t="shared" si="86"/>
        <v>0</v>
      </c>
      <c r="ARV17" s="110"/>
      <c r="ARW17" s="108" t="s">
        <v>35</v>
      </c>
      <c r="ARZ17" s="105"/>
      <c r="ASA17" s="105"/>
      <c r="ASB17" s="105"/>
      <c r="ASC17" s="106"/>
      <c r="ASD17" s="106"/>
      <c r="ASE17" s="107"/>
      <c r="ASF17" s="108"/>
      <c r="ASG17" s="109">
        <f t="shared" si="87"/>
        <v>0</v>
      </c>
      <c r="ASH17" s="110"/>
      <c r="ASI17" s="108" t="s">
        <v>35</v>
      </c>
      <c r="ASL17" s="105"/>
      <c r="ASM17" s="105"/>
      <c r="ASN17" s="105"/>
      <c r="ASO17" s="106"/>
      <c r="ASP17" s="106"/>
      <c r="ASQ17" s="107"/>
      <c r="ASR17" s="108"/>
      <c r="ASS17" s="109">
        <f t="shared" si="88"/>
        <v>0</v>
      </c>
      <c r="AST17" s="110"/>
      <c r="ASU17" s="108" t="s">
        <v>35</v>
      </c>
      <c r="ASX17" s="105"/>
      <c r="ASY17" s="105"/>
      <c r="ASZ17" s="105"/>
      <c r="ATA17" s="106"/>
      <c r="ATB17" s="106"/>
      <c r="ATC17" s="107"/>
      <c r="ATD17" s="108"/>
      <c r="ATE17" s="109">
        <f t="shared" si="89"/>
        <v>0</v>
      </c>
      <c r="ATF17" s="110"/>
      <c r="ATG17" s="108" t="s">
        <v>35</v>
      </c>
      <c r="ATJ17" s="105"/>
      <c r="ATK17" s="105"/>
      <c r="ATL17" s="105"/>
      <c r="ATM17" s="106"/>
      <c r="ATN17" s="106"/>
      <c r="ATO17" s="107"/>
      <c r="ATP17" s="108"/>
      <c r="ATQ17" s="109">
        <f t="shared" si="90"/>
        <v>0</v>
      </c>
      <c r="ATR17" s="110"/>
      <c r="ATS17" s="108" t="s">
        <v>35</v>
      </c>
      <c r="ATV17" s="105"/>
      <c r="ATW17" s="105"/>
      <c r="ATX17" s="105"/>
      <c r="ATY17" s="106"/>
      <c r="ATZ17" s="106"/>
      <c r="AUA17" s="107"/>
      <c r="AUB17" s="108"/>
      <c r="AUC17" s="109">
        <f t="shared" si="91"/>
        <v>0</v>
      </c>
      <c r="AUD17" s="110"/>
      <c r="AUE17" s="108" t="s">
        <v>35</v>
      </c>
      <c r="AUH17" s="105"/>
      <c r="AUI17" s="105"/>
      <c r="AUJ17" s="105"/>
      <c r="AUK17" s="106"/>
      <c r="AUL17" s="106"/>
      <c r="AUM17" s="107"/>
      <c r="AUN17" s="108"/>
      <c r="AUO17" s="109">
        <f t="shared" si="92"/>
        <v>0</v>
      </c>
      <c r="AUP17" s="110"/>
      <c r="AUQ17" s="108" t="s">
        <v>35</v>
      </c>
      <c r="AUT17" s="105"/>
      <c r="AUU17" s="105"/>
      <c r="AUV17" s="105"/>
      <c r="AUW17" s="106"/>
      <c r="AUX17" s="106"/>
      <c r="AUY17" s="107"/>
      <c r="AUZ17" s="108"/>
      <c r="AVA17" s="109">
        <f t="shared" si="93"/>
        <v>0</v>
      </c>
      <c r="AVB17" s="110"/>
      <c r="AVC17" s="108" t="s">
        <v>35</v>
      </c>
      <c r="AVF17" s="105"/>
      <c r="AVG17" s="105"/>
      <c r="AVH17" s="105"/>
      <c r="AVI17" s="106"/>
      <c r="AVJ17" s="106"/>
      <c r="AVK17" s="107"/>
      <c r="AVL17" s="108"/>
      <c r="AVM17" s="109">
        <f t="shared" si="94"/>
        <v>0</v>
      </c>
      <c r="AVN17" s="110"/>
      <c r="AVO17" s="108" t="s">
        <v>35</v>
      </c>
      <c r="AVR17" s="105"/>
      <c r="AVS17" s="105"/>
      <c r="AVT17" s="105"/>
      <c r="AVU17" s="106"/>
      <c r="AVV17" s="106"/>
      <c r="AVW17" s="107"/>
      <c r="AVX17" s="108"/>
      <c r="AVY17" s="109">
        <f t="shared" si="95"/>
        <v>0</v>
      </c>
      <c r="AVZ17" s="110"/>
      <c r="AWA17" s="108" t="s">
        <v>35</v>
      </c>
      <c r="AWD17" s="105"/>
      <c r="AWE17" s="105"/>
      <c r="AWF17" s="105"/>
      <c r="AWG17" s="106"/>
      <c r="AWH17" s="106"/>
      <c r="AWI17" s="107"/>
      <c r="AWJ17" s="108"/>
      <c r="AWK17" s="109">
        <f t="shared" si="96"/>
        <v>0</v>
      </c>
      <c r="AWL17" s="110"/>
      <c r="AWM17" s="108" t="s">
        <v>35</v>
      </c>
      <c r="AWP17" s="105"/>
      <c r="AWQ17" s="105"/>
      <c r="AWR17" s="105"/>
      <c r="AWS17" s="106"/>
      <c r="AWT17" s="106"/>
      <c r="AWU17" s="107"/>
      <c r="AWV17" s="108"/>
      <c r="AWW17" s="109">
        <f t="shared" si="97"/>
        <v>0</v>
      </c>
      <c r="AWX17" s="110"/>
      <c r="AWY17" s="108" t="s">
        <v>35</v>
      </c>
      <c r="AXB17" s="105"/>
      <c r="AXC17" s="105"/>
      <c r="AXD17" s="105"/>
      <c r="AXE17" s="106"/>
      <c r="AXF17" s="106"/>
      <c r="AXG17" s="107"/>
      <c r="AXH17" s="108"/>
      <c r="AXI17" s="109">
        <f t="shared" si="98"/>
        <v>0</v>
      </c>
      <c r="AXJ17" s="110"/>
      <c r="AXK17" s="108" t="s">
        <v>35</v>
      </c>
      <c r="AXN17" s="105"/>
      <c r="AXO17" s="105"/>
      <c r="AXP17" s="105"/>
      <c r="AXQ17" s="106"/>
      <c r="AXR17" s="106"/>
      <c r="AXS17" s="107"/>
      <c r="AXT17" s="108"/>
      <c r="AXU17" s="109">
        <f t="shared" si="99"/>
        <v>0</v>
      </c>
      <c r="AXV17" s="110"/>
      <c r="AXW17" s="108" t="s">
        <v>35</v>
      </c>
      <c r="AXZ17" s="105"/>
      <c r="AYA17" s="105"/>
      <c r="AYB17" s="105"/>
      <c r="AYC17" s="106"/>
      <c r="AYD17" s="106"/>
      <c r="AYE17" s="107"/>
      <c r="AYF17" s="108"/>
      <c r="AYG17" s="109">
        <f t="shared" si="100"/>
        <v>0</v>
      </c>
      <c r="AYH17" s="110"/>
      <c r="AYI17" s="108" t="s">
        <v>35</v>
      </c>
      <c r="AYL17" s="105"/>
      <c r="AYM17" s="105"/>
      <c r="AYN17" s="105"/>
      <c r="AYO17" s="106"/>
      <c r="AYP17" s="106"/>
      <c r="AYQ17" s="107"/>
      <c r="AYR17" s="108"/>
      <c r="AYS17" s="109">
        <f t="shared" si="101"/>
        <v>0</v>
      </c>
      <c r="AYT17" s="110"/>
      <c r="AYU17" s="108" t="s">
        <v>35</v>
      </c>
      <c r="AYX17" s="105"/>
      <c r="AYY17" s="105"/>
      <c r="AYZ17" s="105"/>
      <c r="AZA17" s="106"/>
      <c r="AZB17" s="106"/>
      <c r="AZC17" s="107"/>
      <c r="AZD17" s="108"/>
      <c r="AZE17" s="109">
        <f t="shared" si="102"/>
        <v>0</v>
      </c>
      <c r="AZF17" s="110"/>
      <c r="AZG17" s="108" t="s">
        <v>35</v>
      </c>
      <c r="AZJ17" s="105"/>
      <c r="AZK17" s="105"/>
      <c r="AZL17" s="105"/>
      <c r="AZM17" s="106"/>
      <c r="AZN17" s="106"/>
      <c r="AZO17" s="107"/>
      <c r="AZP17" s="108"/>
      <c r="AZQ17" s="109">
        <f t="shared" si="103"/>
        <v>0</v>
      </c>
      <c r="AZR17" s="110"/>
      <c r="AZS17" s="108" t="s">
        <v>35</v>
      </c>
      <c r="AZV17" s="105"/>
      <c r="AZW17" s="105"/>
      <c r="AZX17" s="105"/>
      <c r="AZY17" s="106"/>
      <c r="AZZ17" s="106"/>
      <c r="BAA17" s="107"/>
      <c r="BAB17" s="108"/>
      <c r="BAC17" s="109">
        <f t="shared" si="104"/>
        <v>0</v>
      </c>
      <c r="BAD17" s="110"/>
      <c r="BAE17" s="108" t="s">
        <v>35</v>
      </c>
      <c r="BAH17" s="105"/>
      <c r="BAI17" s="105"/>
      <c r="BAJ17" s="105"/>
      <c r="BAK17" s="106"/>
      <c r="BAL17" s="106"/>
      <c r="BAM17" s="107"/>
      <c r="BAN17" s="108"/>
      <c r="BAO17" s="109">
        <f t="shared" si="105"/>
        <v>0</v>
      </c>
      <c r="BAP17" s="110"/>
      <c r="BAQ17" s="108" t="s">
        <v>35</v>
      </c>
      <c r="BAT17" s="105"/>
      <c r="BAU17" s="105"/>
      <c r="BAV17" s="105"/>
      <c r="BAW17" s="106"/>
      <c r="BAX17" s="106"/>
      <c r="BAY17" s="107"/>
      <c r="BAZ17" s="108"/>
      <c r="BBA17" s="109">
        <f t="shared" si="106"/>
        <v>0</v>
      </c>
      <c r="BBB17" s="110"/>
      <c r="BBC17" s="108" t="s">
        <v>35</v>
      </c>
      <c r="BBF17" s="105"/>
      <c r="BBG17" s="105"/>
      <c r="BBH17" s="105"/>
      <c r="BBI17" s="106"/>
      <c r="BBJ17" s="106"/>
      <c r="BBK17" s="107"/>
      <c r="BBL17" s="108"/>
      <c r="BBM17" s="109">
        <f t="shared" si="107"/>
        <v>0</v>
      </c>
      <c r="BBN17" s="110"/>
      <c r="BBO17" s="108" t="s">
        <v>35</v>
      </c>
      <c r="BBR17" s="105"/>
      <c r="BBS17" s="105"/>
      <c r="BBT17" s="105"/>
      <c r="BBU17" s="106"/>
      <c r="BBV17" s="106"/>
      <c r="BBW17" s="107"/>
      <c r="BBX17" s="108"/>
      <c r="BBY17" s="109">
        <f t="shared" si="108"/>
        <v>0</v>
      </c>
      <c r="BBZ17" s="110"/>
      <c r="BCA17" s="108" t="s">
        <v>35</v>
      </c>
      <c r="BCD17" s="105"/>
      <c r="BCE17" s="105"/>
      <c r="BCF17" s="105"/>
      <c r="BCG17" s="106"/>
      <c r="BCH17" s="106"/>
      <c r="BCI17" s="107"/>
      <c r="BCJ17" s="108"/>
      <c r="BCK17" s="109">
        <f t="shared" si="109"/>
        <v>0</v>
      </c>
      <c r="BCL17" s="110"/>
      <c r="BCM17" s="108" t="s">
        <v>35</v>
      </c>
      <c r="BCP17" s="105"/>
      <c r="BCQ17" s="105"/>
      <c r="BCR17" s="105"/>
      <c r="BCS17" s="106"/>
      <c r="BCT17" s="106"/>
      <c r="BCU17" s="107"/>
      <c r="BCV17" s="108"/>
      <c r="BCW17" s="109">
        <f t="shared" si="110"/>
        <v>0</v>
      </c>
      <c r="BCX17" s="110"/>
      <c r="BCY17" s="108" t="s">
        <v>35</v>
      </c>
      <c r="BDB17" s="105"/>
      <c r="BDC17" s="105"/>
      <c r="BDD17" s="105"/>
      <c r="BDE17" s="106"/>
      <c r="BDF17" s="106"/>
      <c r="BDG17" s="107"/>
      <c r="BDH17" s="108"/>
      <c r="BDI17" s="109">
        <f t="shared" si="111"/>
        <v>0</v>
      </c>
      <c r="BDJ17" s="110"/>
      <c r="BDK17" s="108" t="s">
        <v>35</v>
      </c>
      <c r="BDN17" s="105"/>
      <c r="BDO17" s="105"/>
      <c r="BDP17" s="105"/>
      <c r="BDQ17" s="106"/>
      <c r="BDR17" s="106"/>
      <c r="BDS17" s="107"/>
      <c r="BDT17" s="108"/>
      <c r="BDU17" s="109">
        <f t="shared" si="112"/>
        <v>0</v>
      </c>
      <c r="BDV17" s="110"/>
      <c r="BDW17" s="108" t="s">
        <v>35</v>
      </c>
      <c r="BDZ17" s="105"/>
      <c r="BEA17" s="105"/>
      <c r="BEB17" s="105"/>
      <c r="BEC17" s="106"/>
      <c r="BED17" s="106"/>
      <c r="BEE17" s="107"/>
      <c r="BEF17" s="108"/>
      <c r="BEG17" s="109">
        <f t="shared" si="113"/>
        <v>0</v>
      </c>
      <c r="BEH17" s="110"/>
      <c r="BEI17" s="108" t="s">
        <v>35</v>
      </c>
      <c r="BEL17" s="105"/>
      <c r="BEM17" s="105"/>
      <c r="BEN17" s="105"/>
      <c r="BEO17" s="106"/>
      <c r="BEP17" s="106"/>
      <c r="BEQ17" s="107"/>
      <c r="BER17" s="108"/>
      <c r="BES17" s="109">
        <f t="shared" si="114"/>
        <v>0</v>
      </c>
      <c r="BET17" s="110"/>
      <c r="BEU17" s="108" t="s">
        <v>35</v>
      </c>
      <c r="BEX17" s="105"/>
      <c r="BEY17" s="105"/>
      <c r="BEZ17" s="105"/>
      <c r="BFA17" s="106"/>
      <c r="BFB17" s="106"/>
      <c r="BFC17" s="107"/>
      <c r="BFD17" s="108"/>
      <c r="BFE17" s="109">
        <f t="shared" si="115"/>
        <v>0</v>
      </c>
      <c r="BFF17" s="110"/>
      <c r="BFG17" s="108" t="s">
        <v>35</v>
      </c>
      <c r="BFJ17" s="105"/>
      <c r="BFK17" s="105"/>
      <c r="BFL17" s="105"/>
      <c r="BFM17" s="106"/>
      <c r="BFN17" s="106"/>
      <c r="BFO17" s="107"/>
      <c r="BFP17" s="108"/>
      <c r="BFQ17" s="109">
        <f t="shared" si="116"/>
        <v>0</v>
      </c>
      <c r="BFR17" s="110"/>
      <c r="BFS17" s="108" t="s">
        <v>35</v>
      </c>
      <c r="BFV17" s="105"/>
      <c r="BFW17" s="105"/>
      <c r="BFX17" s="105"/>
      <c r="BFY17" s="106"/>
      <c r="BFZ17" s="106"/>
      <c r="BGA17" s="107"/>
      <c r="BGB17" s="108"/>
      <c r="BGC17" s="109">
        <f t="shared" si="117"/>
        <v>0</v>
      </c>
      <c r="BGD17" s="110"/>
      <c r="BGE17" s="108" t="s">
        <v>35</v>
      </c>
      <c r="BGH17" s="105"/>
      <c r="BGI17" s="105"/>
      <c r="BGJ17" s="105"/>
      <c r="BGK17" s="106"/>
      <c r="BGL17" s="106"/>
      <c r="BGM17" s="107"/>
      <c r="BGN17" s="108"/>
      <c r="BGO17" s="109">
        <f t="shared" si="118"/>
        <v>0</v>
      </c>
      <c r="BGP17" s="110"/>
      <c r="BGQ17" s="108" t="s">
        <v>35</v>
      </c>
      <c r="BGT17" s="105"/>
      <c r="BGU17" s="105"/>
      <c r="BGV17" s="105"/>
      <c r="BGW17" s="106"/>
      <c r="BGX17" s="106"/>
      <c r="BGY17" s="107"/>
      <c r="BGZ17" s="108"/>
      <c r="BHA17" s="109">
        <f t="shared" si="119"/>
        <v>0</v>
      </c>
      <c r="BHB17" s="110"/>
      <c r="BHC17" s="108" t="s">
        <v>35</v>
      </c>
      <c r="BHF17" s="105"/>
      <c r="BHG17" s="105"/>
      <c r="BHH17" s="105"/>
      <c r="BHI17" s="106"/>
      <c r="BHJ17" s="106"/>
      <c r="BHK17" s="107"/>
      <c r="BHL17" s="108"/>
      <c r="BHM17" s="109">
        <f t="shared" si="120"/>
        <v>0</v>
      </c>
      <c r="BHN17" s="110"/>
      <c r="BHO17" s="108" t="s">
        <v>35</v>
      </c>
      <c r="BHR17" s="105"/>
      <c r="BHS17" s="105"/>
      <c r="BHT17" s="105"/>
      <c r="BHU17" s="106"/>
      <c r="BHV17" s="106"/>
      <c r="BHW17" s="107"/>
      <c r="BHX17" s="108"/>
      <c r="BHY17" s="109">
        <f t="shared" si="121"/>
        <v>0</v>
      </c>
      <c r="BHZ17" s="110"/>
      <c r="BIA17" s="108" t="s">
        <v>35</v>
      </c>
      <c r="BID17" s="105"/>
      <c r="BIE17" s="105"/>
      <c r="BIF17" s="105"/>
      <c r="BIG17" s="106"/>
      <c r="BIH17" s="106"/>
      <c r="BII17" s="107"/>
      <c r="BIJ17" s="108"/>
      <c r="BIK17" s="109">
        <f t="shared" si="122"/>
        <v>0</v>
      </c>
      <c r="BIL17" s="110"/>
      <c r="BIM17" s="108" t="s">
        <v>35</v>
      </c>
      <c r="BIP17" s="105"/>
      <c r="BIQ17" s="105"/>
      <c r="BIR17" s="105"/>
      <c r="BIS17" s="106"/>
      <c r="BIT17" s="106"/>
      <c r="BIU17" s="107"/>
      <c r="BIV17" s="108"/>
      <c r="BIW17" s="109">
        <f t="shared" si="123"/>
        <v>0</v>
      </c>
      <c r="BIX17" s="110"/>
      <c r="BIY17" s="108" t="s">
        <v>35</v>
      </c>
      <c r="BJB17" s="105"/>
      <c r="BJC17" s="105"/>
      <c r="BJD17" s="105"/>
      <c r="BJE17" s="106"/>
      <c r="BJF17" s="106"/>
      <c r="BJG17" s="107"/>
      <c r="BJH17" s="108"/>
      <c r="BJI17" s="109">
        <f t="shared" si="124"/>
        <v>0</v>
      </c>
      <c r="BJJ17" s="110"/>
      <c r="BJK17" s="108" t="s">
        <v>35</v>
      </c>
      <c r="BJN17" s="105"/>
      <c r="BJO17" s="105"/>
      <c r="BJP17" s="105"/>
      <c r="BJQ17" s="106"/>
      <c r="BJR17" s="106"/>
      <c r="BJS17" s="107"/>
      <c r="BJT17" s="108"/>
      <c r="BJU17" s="109">
        <f t="shared" si="125"/>
        <v>0</v>
      </c>
      <c r="BJV17" s="110"/>
      <c r="BJW17" s="108" t="s">
        <v>35</v>
      </c>
      <c r="BJZ17" s="105"/>
      <c r="BKA17" s="105"/>
      <c r="BKB17" s="105"/>
      <c r="BKC17" s="106"/>
      <c r="BKD17" s="106"/>
      <c r="BKE17" s="107"/>
      <c r="BKF17" s="108"/>
      <c r="BKG17" s="109">
        <f t="shared" si="126"/>
        <v>0</v>
      </c>
      <c r="BKH17" s="110"/>
      <c r="BKI17" s="108" t="s">
        <v>35</v>
      </c>
      <c r="BKL17" s="105"/>
      <c r="BKM17" s="105"/>
      <c r="BKN17" s="105"/>
      <c r="BKO17" s="106"/>
      <c r="BKP17" s="106"/>
      <c r="BKQ17" s="107"/>
      <c r="BKR17" s="108"/>
      <c r="BKS17" s="109">
        <f t="shared" si="127"/>
        <v>0</v>
      </c>
      <c r="BKT17" s="110"/>
      <c r="BKU17" s="108" t="s">
        <v>35</v>
      </c>
      <c r="BKX17" s="105"/>
      <c r="BKY17" s="105"/>
      <c r="BKZ17" s="105"/>
      <c r="BLA17" s="106"/>
      <c r="BLB17" s="106"/>
      <c r="BLC17" s="107"/>
      <c r="BLD17" s="108"/>
      <c r="BLE17" s="109">
        <f t="shared" si="128"/>
        <v>0</v>
      </c>
      <c r="BLF17" s="110"/>
      <c r="BLG17" s="108" t="s">
        <v>35</v>
      </c>
      <c r="BLJ17" s="105"/>
      <c r="BLK17" s="105"/>
      <c r="BLL17" s="105"/>
      <c r="BLM17" s="106"/>
      <c r="BLN17" s="106"/>
      <c r="BLO17" s="107"/>
      <c r="BLP17" s="108"/>
      <c r="BLQ17" s="109">
        <f t="shared" si="129"/>
        <v>0</v>
      </c>
      <c r="BLR17" s="110"/>
      <c r="BLS17" s="108" t="s">
        <v>35</v>
      </c>
      <c r="BLV17" s="105"/>
      <c r="BLW17" s="105"/>
      <c r="BLX17" s="105"/>
      <c r="BLY17" s="106"/>
      <c r="BLZ17" s="106"/>
      <c r="BMA17" s="107"/>
      <c r="BMB17" s="108"/>
      <c r="BMC17" s="109">
        <f t="shared" si="130"/>
        <v>0</v>
      </c>
      <c r="BMD17" s="110"/>
      <c r="BME17" s="108" t="s">
        <v>35</v>
      </c>
      <c r="BMH17" s="105"/>
      <c r="BMI17" s="105"/>
      <c r="BMJ17" s="105"/>
      <c r="BMK17" s="106"/>
      <c r="BML17" s="106"/>
      <c r="BMM17" s="107"/>
      <c r="BMN17" s="108"/>
      <c r="BMO17" s="109">
        <f t="shared" si="131"/>
        <v>0</v>
      </c>
      <c r="BMP17" s="110"/>
      <c r="BMQ17" s="108" t="s">
        <v>35</v>
      </c>
      <c r="BMT17" s="105"/>
      <c r="BMU17" s="105"/>
      <c r="BMV17" s="105"/>
      <c r="BMW17" s="106"/>
      <c r="BMX17" s="106"/>
      <c r="BMY17" s="107"/>
      <c r="BMZ17" s="108"/>
      <c r="BNA17" s="109">
        <f t="shared" si="132"/>
        <v>0</v>
      </c>
      <c r="BNB17" s="110"/>
      <c r="BNC17" s="108" t="s">
        <v>35</v>
      </c>
      <c r="BNF17" s="105"/>
      <c r="BNG17" s="105"/>
      <c r="BNH17" s="105"/>
      <c r="BNI17" s="106"/>
      <c r="BNJ17" s="106"/>
      <c r="BNK17" s="107"/>
      <c r="BNL17" s="108"/>
      <c r="BNM17" s="109">
        <f t="shared" si="133"/>
        <v>0</v>
      </c>
      <c r="BNN17" s="110"/>
      <c r="BNO17" s="108" t="s">
        <v>35</v>
      </c>
      <c r="BNR17" s="105"/>
      <c r="BNS17" s="105"/>
      <c r="BNT17" s="105"/>
      <c r="BNU17" s="106"/>
      <c r="BNV17" s="106"/>
      <c r="BNW17" s="107"/>
      <c r="BNX17" s="108"/>
      <c r="BNY17" s="109">
        <f t="shared" si="134"/>
        <v>0</v>
      </c>
      <c r="BNZ17" s="110"/>
      <c r="BOA17" s="108" t="s">
        <v>35</v>
      </c>
      <c r="BOD17" s="105"/>
      <c r="BOE17" s="105"/>
      <c r="BOF17" s="105"/>
      <c r="BOG17" s="106"/>
      <c r="BOH17" s="106"/>
      <c r="BOI17" s="107"/>
      <c r="BOJ17" s="108"/>
      <c r="BOK17" s="109">
        <f t="shared" si="135"/>
        <v>0</v>
      </c>
      <c r="BOL17" s="110"/>
      <c r="BOM17" s="108" t="s">
        <v>35</v>
      </c>
      <c r="BOP17" s="105"/>
      <c r="BOQ17" s="105"/>
      <c r="BOR17" s="105"/>
      <c r="BOS17" s="106"/>
      <c r="BOT17" s="106"/>
      <c r="BOU17" s="107"/>
      <c r="BOV17" s="108"/>
      <c r="BOW17" s="109">
        <f t="shared" si="136"/>
        <v>0</v>
      </c>
      <c r="BOX17" s="110"/>
      <c r="BOY17" s="108" t="s">
        <v>35</v>
      </c>
      <c r="BPB17" s="105"/>
      <c r="BPC17" s="105"/>
      <c r="BPD17" s="105"/>
      <c r="BPE17" s="106"/>
      <c r="BPF17" s="106"/>
      <c r="BPG17" s="107"/>
      <c r="BPH17" s="108"/>
      <c r="BPI17" s="109">
        <f t="shared" si="137"/>
        <v>0</v>
      </c>
      <c r="BPJ17" s="110"/>
      <c r="BPK17" s="108" t="s">
        <v>35</v>
      </c>
      <c r="BPN17" s="105"/>
      <c r="BPO17" s="105"/>
      <c r="BPP17" s="105"/>
      <c r="BPQ17" s="106"/>
      <c r="BPR17" s="106"/>
      <c r="BPS17" s="107"/>
      <c r="BPT17" s="108"/>
      <c r="BPU17" s="109">
        <f t="shared" si="138"/>
        <v>0</v>
      </c>
      <c r="BPV17" s="110"/>
      <c r="BPW17" s="108" t="s">
        <v>35</v>
      </c>
      <c r="BPZ17" s="105"/>
      <c r="BQA17" s="105"/>
      <c r="BQB17" s="105"/>
      <c r="BQC17" s="106"/>
      <c r="BQD17" s="106"/>
      <c r="BQE17" s="107"/>
      <c r="BQF17" s="108"/>
      <c r="BQG17" s="109">
        <f t="shared" si="139"/>
        <v>0</v>
      </c>
      <c r="BQH17" s="110"/>
      <c r="BQI17" s="108" t="s">
        <v>35</v>
      </c>
      <c r="BQL17" s="105"/>
      <c r="BQM17" s="105"/>
      <c r="BQN17" s="105"/>
      <c r="BQO17" s="106"/>
      <c r="BQP17" s="106"/>
      <c r="BQQ17" s="107"/>
      <c r="BQR17" s="108"/>
      <c r="BQS17" s="109">
        <f t="shared" si="140"/>
        <v>0</v>
      </c>
      <c r="BQT17" s="110"/>
      <c r="BQU17" s="108" t="s">
        <v>35</v>
      </c>
      <c r="BQX17" s="105"/>
      <c r="BQY17" s="105"/>
      <c r="BQZ17" s="105"/>
      <c r="BRA17" s="106"/>
      <c r="BRB17" s="106"/>
      <c r="BRC17" s="107"/>
      <c r="BRD17" s="108"/>
      <c r="BRE17" s="109">
        <f t="shared" si="141"/>
        <v>0</v>
      </c>
      <c r="BRF17" s="110"/>
      <c r="BRG17" s="108" t="s">
        <v>35</v>
      </c>
      <c r="BRJ17" s="105"/>
      <c r="BRK17" s="105"/>
      <c r="BRL17" s="105"/>
      <c r="BRM17" s="106"/>
      <c r="BRN17" s="106"/>
      <c r="BRO17" s="107"/>
      <c r="BRP17" s="108"/>
      <c r="BRQ17" s="109">
        <f t="shared" si="142"/>
        <v>0</v>
      </c>
      <c r="BRR17" s="110"/>
      <c r="BRS17" s="108" t="s">
        <v>35</v>
      </c>
      <c r="BRV17" s="105"/>
      <c r="BRW17" s="105"/>
      <c r="BRX17" s="105"/>
      <c r="BRY17" s="106"/>
      <c r="BRZ17" s="106"/>
      <c r="BSA17" s="107"/>
      <c r="BSB17" s="108"/>
      <c r="BSC17" s="109">
        <f t="shared" si="143"/>
        <v>0</v>
      </c>
      <c r="BSD17" s="110"/>
      <c r="BSE17" s="108" t="s">
        <v>35</v>
      </c>
      <c r="BSH17" s="105"/>
      <c r="BSI17" s="105"/>
      <c r="BSJ17" s="105"/>
      <c r="BSK17" s="106"/>
      <c r="BSL17" s="106"/>
      <c r="BSM17" s="107"/>
      <c r="BSN17" s="108"/>
      <c r="BSO17" s="109">
        <f t="shared" si="144"/>
        <v>0</v>
      </c>
      <c r="BSP17" s="110"/>
      <c r="BSQ17" s="108" t="s">
        <v>35</v>
      </c>
      <c r="BST17" s="105"/>
      <c r="BSU17" s="105"/>
      <c r="BSV17" s="105"/>
      <c r="BSW17" s="106"/>
      <c r="BSX17" s="106"/>
      <c r="BSY17" s="107"/>
      <c r="BSZ17" s="108"/>
      <c r="BTA17" s="109">
        <f t="shared" si="145"/>
        <v>0</v>
      </c>
      <c r="BTB17" s="110"/>
      <c r="BTC17" s="108" t="s">
        <v>35</v>
      </c>
      <c r="BTF17" s="105"/>
      <c r="BTG17" s="105"/>
      <c r="BTH17" s="105"/>
      <c r="BTI17" s="106"/>
      <c r="BTJ17" s="106"/>
      <c r="BTK17" s="107"/>
      <c r="BTL17" s="108"/>
      <c r="BTM17" s="109">
        <f t="shared" si="146"/>
        <v>0</v>
      </c>
      <c r="BTN17" s="110"/>
      <c r="BTO17" s="108" t="s">
        <v>35</v>
      </c>
      <c r="BTR17" s="105"/>
      <c r="BTS17" s="105"/>
      <c r="BTT17" s="105"/>
      <c r="BTU17" s="106"/>
      <c r="BTV17" s="106"/>
      <c r="BTW17" s="107"/>
      <c r="BTX17" s="108"/>
      <c r="BTY17" s="109">
        <f t="shared" si="147"/>
        <v>0</v>
      </c>
      <c r="BTZ17" s="110"/>
      <c r="BUA17" s="108" t="s">
        <v>35</v>
      </c>
      <c r="BUD17" s="105"/>
      <c r="BUE17" s="105"/>
      <c r="BUF17" s="105"/>
      <c r="BUG17" s="106"/>
      <c r="BUH17" s="106"/>
      <c r="BUI17" s="107"/>
      <c r="BUJ17" s="108"/>
      <c r="BUK17" s="109">
        <f t="shared" si="148"/>
        <v>0</v>
      </c>
      <c r="BUL17" s="110"/>
      <c r="BUM17" s="108" t="s">
        <v>35</v>
      </c>
      <c r="BUP17" s="105"/>
      <c r="BUQ17" s="105"/>
      <c r="BUR17" s="105"/>
      <c r="BUS17" s="106"/>
      <c r="BUT17" s="106"/>
      <c r="BUU17" s="107"/>
      <c r="BUV17" s="108"/>
      <c r="BUW17" s="109">
        <f t="shared" si="149"/>
        <v>0</v>
      </c>
      <c r="BUX17" s="110"/>
      <c r="BUY17" s="108" t="s">
        <v>35</v>
      </c>
      <c r="BVB17" s="105"/>
      <c r="BVC17" s="105"/>
      <c r="BVD17" s="105"/>
      <c r="BVE17" s="106"/>
      <c r="BVF17" s="106"/>
      <c r="BVG17" s="107"/>
      <c r="BVH17" s="108"/>
      <c r="BVI17" s="109">
        <f t="shared" si="150"/>
        <v>0</v>
      </c>
      <c r="BVJ17" s="110"/>
      <c r="BVK17" s="108" t="s">
        <v>35</v>
      </c>
      <c r="BVN17" s="105"/>
      <c r="BVO17" s="105"/>
      <c r="BVP17" s="105"/>
      <c r="BVQ17" s="106"/>
      <c r="BVR17" s="106"/>
      <c r="BVS17" s="107"/>
      <c r="BVT17" s="108"/>
      <c r="BVU17" s="109">
        <f t="shared" si="151"/>
        <v>0</v>
      </c>
      <c r="BVV17" s="110"/>
      <c r="BVW17" s="108" t="s">
        <v>35</v>
      </c>
      <c r="BVZ17" s="105"/>
      <c r="BWA17" s="105"/>
      <c r="BWB17" s="105"/>
      <c r="BWC17" s="106"/>
      <c r="BWD17" s="106"/>
      <c r="BWE17" s="107"/>
      <c r="BWF17" s="108"/>
      <c r="BWG17" s="109">
        <f t="shared" si="152"/>
        <v>0</v>
      </c>
      <c r="BWH17" s="110"/>
      <c r="BWI17" s="108" t="s">
        <v>35</v>
      </c>
      <c r="BWL17" s="105"/>
      <c r="BWM17" s="105"/>
      <c r="BWN17" s="105"/>
      <c r="BWO17" s="106"/>
      <c r="BWP17" s="106"/>
      <c r="BWQ17" s="107"/>
      <c r="BWR17" s="108"/>
      <c r="BWS17" s="109">
        <f t="shared" si="153"/>
        <v>0</v>
      </c>
      <c r="BWT17" s="110"/>
      <c r="BWU17" s="108" t="s">
        <v>35</v>
      </c>
      <c r="BWX17" s="105"/>
      <c r="BWY17" s="105"/>
      <c r="BWZ17" s="105"/>
      <c r="BXA17" s="106"/>
      <c r="BXB17" s="106"/>
      <c r="BXC17" s="107"/>
      <c r="BXD17" s="108"/>
      <c r="BXE17" s="109">
        <f t="shared" si="154"/>
        <v>0</v>
      </c>
      <c r="BXF17" s="110"/>
      <c r="BXG17" s="108" t="s">
        <v>35</v>
      </c>
      <c r="BXJ17" s="105"/>
      <c r="BXK17" s="105"/>
      <c r="BXL17" s="105"/>
      <c r="BXM17" s="106"/>
      <c r="BXN17" s="106"/>
      <c r="BXO17" s="107"/>
      <c r="BXP17" s="108"/>
      <c r="BXQ17" s="109">
        <f t="shared" si="155"/>
        <v>0</v>
      </c>
      <c r="BXR17" s="110"/>
      <c r="BXS17" s="108" t="s">
        <v>35</v>
      </c>
      <c r="BXV17" s="105"/>
      <c r="BXW17" s="105"/>
      <c r="BXX17" s="105"/>
      <c r="BXY17" s="106"/>
      <c r="BXZ17" s="106"/>
      <c r="BYA17" s="107"/>
      <c r="BYB17" s="108"/>
      <c r="BYC17" s="109">
        <f t="shared" si="156"/>
        <v>0</v>
      </c>
      <c r="BYD17" s="110"/>
      <c r="BYE17" s="108" t="s">
        <v>35</v>
      </c>
      <c r="BYH17" s="105"/>
      <c r="BYI17" s="105"/>
      <c r="BYJ17" s="105"/>
      <c r="BYK17" s="106"/>
      <c r="BYL17" s="106"/>
      <c r="BYM17" s="107"/>
      <c r="BYN17" s="108"/>
      <c r="BYO17" s="109">
        <f t="shared" si="157"/>
        <v>0</v>
      </c>
      <c r="BYP17" s="110"/>
      <c r="BYQ17" s="108" t="s">
        <v>35</v>
      </c>
      <c r="BYT17" s="105"/>
      <c r="BYU17" s="105"/>
      <c r="BYV17" s="105"/>
      <c r="BYW17" s="106"/>
      <c r="BYX17" s="106"/>
      <c r="BYY17" s="107"/>
      <c r="BYZ17" s="108"/>
      <c r="BZA17" s="109">
        <f t="shared" si="158"/>
        <v>0</v>
      </c>
      <c r="BZB17" s="110"/>
      <c r="BZC17" s="108" t="s">
        <v>35</v>
      </c>
      <c r="BZF17" s="105"/>
      <c r="BZG17" s="105"/>
      <c r="BZH17" s="105"/>
      <c r="BZI17" s="106"/>
      <c r="BZJ17" s="106"/>
      <c r="BZK17" s="107"/>
      <c r="BZL17" s="108"/>
      <c r="BZM17" s="109">
        <f t="shared" si="159"/>
        <v>0</v>
      </c>
      <c r="BZN17" s="110"/>
      <c r="BZO17" s="108" t="s">
        <v>35</v>
      </c>
      <c r="BZR17" s="105"/>
      <c r="BZS17" s="105"/>
      <c r="BZT17" s="105"/>
      <c r="BZU17" s="106"/>
      <c r="BZV17" s="106"/>
      <c r="BZW17" s="107"/>
      <c r="BZX17" s="108"/>
      <c r="BZY17" s="109">
        <f t="shared" si="160"/>
        <v>0</v>
      </c>
      <c r="BZZ17" s="110"/>
      <c r="CAA17" s="108" t="s">
        <v>35</v>
      </c>
      <c r="CAD17" s="105"/>
      <c r="CAE17" s="105"/>
      <c r="CAF17" s="105"/>
      <c r="CAG17" s="106"/>
      <c r="CAH17" s="106"/>
      <c r="CAI17" s="107"/>
      <c r="CAJ17" s="108"/>
      <c r="CAK17" s="109">
        <f t="shared" si="161"/>
        <v>0</v>
      </c>
      <c r="CAL17" s="110"/>
      <c r="CAM17" s="108" t="s">
        <v>35</v>
      </c>
      <c r="CAP17" s="105"/>
      <c r="CAQ17" s="105"/>
      <c r="CAR17" s="105"/>
      <c r="CAS17" s="106"/>
      <c r="CAT17" s="106"/>
      <c r="CAU17" s="107"/>
      <c r="CAV17" s="108"/>
      <c r="CAW17" s="109">
        <f t="shared" si="162"/>
        <v>0</v>
      </c>
      <c r="CAX17" s="110"/>
      <c r="CAY17" s="108" t="s">
        <v>35</v>
      </c>
      <c r="CBB17" s="105"/>
      <c r="CBC17" s="105"/>
      <c r="CBD17" s="105"/>
      <c r="CBE17" s="106"/>
      <c r="CBF17" s="106"/>
      <c r="CBG17" s="107"/>
      <c r="CBH17" s="108"/>
      <c r="CBI17" s="109">
        <f t="shared" si="163"/>
        <v>0</v>
      </c>
      <c r="CBJ17" s="110"/>
      <c r="CBK17" s="108" t="s">
        <v>35</v>
      </c>
      <c r="CBN17" s="105"/>
      <c r="CBO17" s="105"/>
      <c r="CBP17" s="105"/>
      <c r="CBQ17" s="106"/>
      <c r="CBR17" s="106"/>
      <c r="CBS17" s="107"/>
      <c r="CBT17" s="108"/>
      <c r="CBU17" s="109">
        <f t="shared" si="164"/>
        <v>0</v>
      </c>
      <c r="CBV17" s="110"/>
      <c r="CBW17" s="108" t="s">
        <v>35</v>
      </c>
      <c r="CBZ17" s="105"/>
      <c r="CCA17" s="105"/>
      <c r="CCB17" s="105"/>
      <c r="CCC17" s="106"/>
      <c r="CCD17" s="106"/>
      <c r="CCE17" s="107"/>
      <c r="CCF17" s="108"/>
      <c r="CCG17" s="109">
        <f t="shared" si="165"/>
        <v>0</v>
      </c>
      <c r="CCH17" s="110"/>
      <c r="CCI17" s="108" t="s">
        <v>35</v>
      </c>
      <c r="CCL17" s="105"/>
      <c r="CCM17" s="105"/>
      <c r="CCN17" s="105"/>
      <c r="CCO17" s="106"/>
      <c r="CCP17" s="106"/>
      <c r="CCQ17" s="107"/>
      <c r="CCR17" s="108"/>
      <c r="CCS17" s="109">
        <f t="shared" si="166"/>
        <v>0</v>
      </c>
      <c r="CCT17" s="110"/>
      <c r="CCU17" s="108" t="s">
        <v>35</v>
      </c>
      <c r="CCX17" s="105"/>
      <c r="CCY17" s="105"/>
      <c r="CCZ17" s="105"/>
      <c r="CDA17" s="106"/>
      <c r="CDB17" s="106"/>
      <c r="CDC17" s="107"/>
      <c r="CDD17" s="108"/>
      <c r="CDE17" s="109">
        <f t="shared" si="167"/>
        <v>0</v>
      </c>
      <c r="CDF17" s="110"/>
      <c r="CDG17" s="108" t="s">
        <v>35</v>
      </c>
      <c r="CDJ17" s="105"/>
      <c r="CDK17" s="105"/>
      <c r="CDL17" s="105"/>
      <c r="CDM17" s="106"/>
      <c r="CDN17" s="106"/>
      <c r="CDO17" s="107"/>
      <c r="CDP17" s="108"/>
      <c r="CDQ17" s="109">
        <f t="shared" si="168"/>
        <v>0</v>
      </c>
      <c r="CDR17" s="110"/>
      <c r="CDS17" s="108" t="s">
        <v>35</v>
      </c>
      <c r="CDV17" s="105"/>
      <c r="CDW17" s="105"/>
      <c r="CDX17" s="105"/>
      <c r="CDY17" s="106"/>
      <c r="CDZ17" s="106"/>
      <c r="CEA17" s="107"/>
      <c r="CEB17" s="108"/>
      <c r="CEC17" s="109">
        <f t="shared" si="169"/>
        <v>0</v>
      </c>
      <c r="CED17" s="110"/>
      <c r="CEE17" s="108" t="s">
        <v>35</v>
      </c>
      <c r="CEH17" s="105"/>
      <c r="CEI17" s="105"/>
      <c r="CEJ17" s="105"/>
      <c r="CEK17" s="106"/>
      <c r="CEL17" s="106"/>
      <c r="CEM17" s="107"/>
      <c r="CEN17" s="108"/>
      <c r="CEO17" s="109">
        <f t="shared" si="170"/>
        <v>0</v>
      </c>
      <c r="CEP17" s="110"/>
      <c r="CEQ17" s="108" t="s">
        <v>35</v>
      </c>
      <c r="CET17" s="105"/>
      <c r="CEU17" s="105"/>
      <c r="CEV17" s="105"/>
      <c r="CEW17" s="106"/>
      <c r="CEX17" s="106"/>
      <c r="CEY17" s="107"/>
      <c r="CEZ17" s="108"/>
      <c r="CFA17" s="109">
        <f t="shared" si="171"/>
        <v>0</v>
      </c>
      <c r="CFB17" s="110"/>
      <c r="CFC17" s="108" t="s">
        <v>35</v>
      </c>
      <c r="CFF17" s="105"/>
      <c r="CFG17" s="105"/>
      <c r="CFH17" s="105"/>
      <c r="CFI17" s="106"/>
      <c r="CFJ17" s="106"/>
      <c r="CFK17" s="107"/>
      <c r="CFL17" s="108"/>
      <c r="CFM17" s="109">
        <f t="shared" si="172"/>
        <v>0</v>
      </c>
      <c r="CFN17" s="110"/>
      <c r="CFO17" s="108" t="s">
        <v>35</v>
      </c>
      <c r="CFR17" s="105"/>
      <c r="CFS17" s="105"/>
      <c r="CFT17" s="105"/>
      <c r="CFU17" s="106"/>
      <c r="CFV17" s="106"/>
      <c r="CFW17" s="107"/>
      <c r="CFX17" s="108"/>
      <c r="CFY17" s="109">
        <f t="shared" si="173"/>
        <v>0</v>
      </c>
      <c r="CFZ17" s="110"/>
      <c r="CGA17" s="108" t="s">
        <v>35</v>
      </c>
      <c r="CGD17" s="105"/>
      <c r="CGE17" s="105"/>
      <c r="CGF17" s="105"/>
      <c r="CGG17" s="106"/>
      <c r="CGH17" s="106"/>
      <c r="CGI17" s="107"/>
      <c r="CGJ17" s="108"/>
      <c r="CGK17" s="109">
        <f t="shared" si="174"/>
        <v>0</v>
      </c>
      <c r="CGL17" s="110"/>
      <c r="CGM17" s="108" t="s">
        <v>35</v>
      </c>
      <c r="CGP17" s="105"/>
      <c r="CGQ17" s="105"/>
      <c r="CGR17" s="105"/>
      <c r="CGS17" s="106"/>
      <c r="CGT17" s="106"/>
      <c r="CGU17" s="107"/>
      <c r="CGV17" s="108"/>
      <c r="CGW17" s="109">
        <f t="shared" si="175"/>
        <v>0</v>
      </c>
      <c r="CGX17" s="110"/>
      <c r="CGY17" s="108" t="s">
        <v>35</v>
      </c>
      <c r="CHB17" s="105"/>
      <c r="CHC17" s="105"/>
      <c r="CHD17" s="105"/>
      <c r="CHE17" s="106"/>
      <c r="CHF17" s="106"/>
      <c r="CHG17" s="107"/>
      <c r="CHH17" s="108"/>
      <c r="CHI17" s="109">
        <f t="shared" si="176"/>
        <v>0</v>
      </c>
      <c r="CHJ17" s="110"/>
      <c r="CHK17" s="108" t="s">
        <v>35</v>
      </c>
      <c r="CHN17" s="105"/>
      <c r="CHO17" s="105"/>
      <c r="CHP17" s="105"/>
      <c r="CHQ17" s="106"/>
      <c r="CHR17" s="106"/>
      <c r="CHS17" s="107"/>
      <c r="CHT17" s="108"/>
      <c r="CHU17" s="109">
        <f t="shared" si="177"/>
        <v>0</v>
      </c>
      <c r="CHV17" s="110"/>
      <c r="CHW17" s="108" t="s">
        <v>35</v>
      </c>
      <c r="CHZ17" s="105"/>
      <c r="CIA17" s="105"/>
      <c r="CIB17" s="105"/>
      <c r="CIC17" s="106"/>
      <c r="CID17" s="106"/>
      <c r="CIE17" s="107"/>
      <c r="CIF17" s="108"/>
      <c r="CIG17" s="109">
        <f t="shared" si="178"/>
        <v>0</v>
      </c>
      <c r="CIH17" s="110"/>
      <c r="CII17" s="108" t="s">
        <v>35</v>
      </c>
      <c r="CIL17" s="105"/>
      <c r="CIM17" s="105"/>
      <c r="CIN17" s="105"/>
      <c r="CIO17" s="106"/>
      <c r="CIP17" s="106"/>
      <c r="CIQ17" s="107"/>
      <c r="CIR17" s="108"/>
      <c r="CIS17" s="109">
        <f t="shared" si="179"/>
        <v>0</v>
      </c>
      <c r="CIT17" s="110"/>
      <c r="CIU17" s="108" t="s">
        <v>35</v>
      </c>
      <c r="CIX17" s="105"/>
      <c r="CIY17" s="105"/>
      <c r="CIZ17" s="105"/>
      <c r="CJA17" s="106"/>
      <c r="CJB17" s="106"/>
      <c r="CJC17" s="107"/>
      <c r="CJD17" s="108"/>
      <c r="CJE17" s="109">
        <f t="shared" si="180"/>
        <v>0</v>
      </c>
      <c r="CJF17" s="110"/>
      <c r="CJG17" s="108" t="s">
        <v>35</v>
      </c>
      <c r="CJJ17" s="105"/>
      <c r="CJK17" s="105"/>
      <c r="CJL17" s="105"/>
      <c r="CJM17" s="106"/>
      <c r="CJN17" s="106"/>
      <c r="CJO17" s="107"/>
      <c r="CJP17" s="108"/>
      <c r="CJQ17" s="109">
        <f t="shared" si="181"/>
        <v>0</v>
      </c>
      <c r="CJR17" s="110"/>
      <c r="CJS17" s="108" t="s">
        <v>35</v>
      </c>
      <c r="CJV17" s="105"/>
      <c r="CJW17" s="105"/>
      <c r="CJX17" s="105"/>
      <c r="CJY17" s="106"/>
      <c r="CJZ17" s="106"/>
      <c r="CKA17" s="107"/>
      <c r="CKB17" s="108"/>
      <c r="CKC17" s="109">
        <f t="shared" si="182"/>
        <v>0</v>
      </c>
      <c r="CKD17" s="110"/>
      <c r="CKE17" s="108" t="s">
        <v>35</v>
      </c>
      <c r="CKH17" s="105"/>
      <c r="CKI17" s="105"/>
      <c r="CKJ17" s="105"/>
      <c r="CKK17" s="106"/>
      <c r="CKL17" s="106"/>
      <c r="CKM17" s="107"/>
      <c r="CKN17" s="108"/>
      <c r="CKO17" s="109">
        <f t="shared" si="183"/>
        <v>0</v>
      </c>
      <c r="CKP17" s="110"/>
      <c r="CKQ17" s="108" t="s">
        <v>35</v>
      </c>
      <c r="CKT17" s="105"/>
      <c r="CKU17" s="105"/>
      <c r="CKV17" s="105"/>
      <c r="CKW17" s="106"/>
      <c r="CKX17" s="106"/>
      <c r="CKY17" s="107"/>
      <c r="CKZ17" s="108"/>
      <c r="CLA17" s="109">
        <f t="shared" si="184"/>
        <v>0</v>
      </c>
      <c r="CLB17" s="110"/>
      <c r="CLC17" s="108" t="s">
        <v>35</v>
      </c>
      <c r="CLF17" s="105"/>
      <c r="CLG17" s="105"/>
      <c r="CLH17" s="105"/>
      <c r="CLI17" s="106"/>
      <c r="CLJ17" s="106"/>
      <c r="CLK17" s="107"/>
      <c r="CLL17" s="108"/>
      <c r="CLM17" s="109">
        <f t="shared" si="185"/>
        <v>0</v>
      </c>
      <c r="CLN17" s="110"/>
      <c r="CLO17" s="108" t="s">
        <v>35</v>
      </c>
      <c r="CLR17" s="105"/>
      <c r="CLS17" s="105"/>
      <c r="CLT17" s="105"/>
      <c r="CLU17" s="106"/>
      <c r="CLV17" s="106"/>
      <c r="CLW17" s="107"/>
      <c r="CLX17" s="108"/>
      <c r="CLY17" s="109">
        <f t="shared" si="186"/>
        <v>0</v>
      </c>
      <c r="CLZ17" s="110"/>
      <c r="CMA17" s="108" t="s">
        <v>35</v>
      </c>
      <c r="CMD17" s="105"/>
      <c r="CME17" s="105"/>
      <c r="CMF17" s="105"/>
      <c r="CMG17" s="106"/>
      <c r="CMH17" s="106"/>
      <c r="CMI17" s="107"/>
      <c r="CMJ17" s="108"/>
      <c r="CMK17" s="109">
        <f t="shared" si="187"/>
        <v>0</v>
      </c>
      <c r="CML17" s="110"/>
      <c r="CMM17" s="108" t="s">
        <v>35</v>
      </c>
      <c r="CMP17" s="105"/>
      <c r="CMQ17" s="105"/>
      <c r="CMR17" s="105"/>
      <c r="CMS17" s="106"/>
      <c r="CMT17" s="106"/>
      <c r="CMU17" s="107"/>
      <c r="CMV17" s="108"/>
      <c r="CMW17" s="109">
        <f t="shared" si="188"/>
        <v>0</v>
      </c>
      <c r="CMX17" s="110"/>
      <c r="CMY17" s="108" t="s">
        <v>35</v>
      </c>
      <c r="CNB17" s="105"/>
      <c r="CNC17" s="105"/>
      <c r="CND17" s="105"/>
      <c r="CNE17" s="106"/>
      <c r="CNF17" s="106"/>
      <c r="CNG17" s="107"/>
      <c r="CNH17" s="108"/>
      <c r="CNI17" s="109">
        <f t="shared" si="189"/>
        <v>0</v>
      </c>
      <c r="CNJ17" s="110"/>
      <c r="CNK17" s="108" t="s">
        <v>35</v>
      </c>
      <c r="CNN17" s="105"/>
      <c r="CNO17" s="105"/>
      <c r="CNP17" s="105"/>
      <c r="CNQ17" s="106"/>
      <c r="CNR17" s="106"/>
      <c r="CNS17" s="107"/>
      <c r="CNT17" s="108"/>
      <c r="CNU17" s="109">
        <f t="shared" si="190"/>
        <v>0</v>
      </c>
      <c r="CNV17" s="110"/>
      <c r="CNW17" s="108" t="s">
        <v>35</v>
      </c>
      <c r="CNZ17" s="105"/>
      <c r="COA17" s="105"/>
      <c r="COB17" s="105"/>
      <c r="COC17" s="106"/>
      <c r="COD17" s="106"/>
      <c r="COE17" s="107"/>
      <c r="COF17" s="108"/>
      <c r="COG17" s="109">
        <f t="shared" si="191"/>
        <v>0</v>
      </c>
      <c r="COH17" s="110"/>
      <c r="COI17" s="108" t="s">
        <v>35</v>
      </c>
      <c r="COL17" s="105"/>
      <c r="COM17" s="105"/>
      <c r="CON17" s="105"/>
      <c r="COO17" s="106"/>
      <c r="COP17" s="106"/>
      <c r="COQ17" s="107"/>
      <c r="COR17" s="108"/>
      <c r="COS17" s="109">
        <f t="shared" si="194"/>
        <v>0</v>
      </c>
      <c r="COT17" s="110"/>
      <c r="COU17" s="108" t="s">
        <v>35</v>
      </c>
      <c r="COX17" s="105"/>
      <c r="COY17" s="105"/>
      <c r="COZ17" s="105"/>
      <c r="CPA17" s="106"/>
      <c r="CPB17" s="106"/>
      <c r="CPC17" s="107"/>
      <c r="CPD17" s="108"/>
      <c r="CPE17" s="109">
        <f t="shared" si="195"/>
        <v>0</v>
      </c>
      <c r="CPF17" s="110"/>
      <c r="CPG17" s="108" t="s">
        <v>35</v>
      </c>
      <c r="CPJ17" s="105"/>
      <c r="CPK17" s="105"/>
      <c r="CPL17" s="105"/>
      <c r="CPM17" s="106"/>
      <c r="CPN17" s="106"/>
      <c r="CPO17" s="107"/>
      <c r="CPP17" s="108"/>
      <c r="CPQ17" s="109">
        <f t="shared" si="196"/>
        <v>0</v>
      </c>
      <c r="CPR17" s="110"/>
      <c r="CPS17" s="108" t="s">
        <v>35</v>
      </c>
      <c r="CPV17" s="105"/>
      <c r="CPW17" s="105"/>
      <c r="CPX17" s="105"/>
      <c r="CPY17" s="106"/>
      <c r="CPZ17" s="106"/>
      <c r="CQA17" s="107"/>
      <c r="CQB17" s="108"/>
      <c r="CQC17" s="109">
        <f t="shared" si="197"/>
        <v>0</v>
      </c>
      <c r="CQD17" s="110"/>
      <c r="CQE17" s="108" t="s">
        <v>35</v>
      </c>
      <c r="CQH17" s="105"/>
      <c r="CQI17" s="105"/>
      <c r="CQJ17" s="105"/>
      <c r="CQK17" s="106"/>
      <c r="CQL17" s="106"/>
      <c r="CQM17" s="107"/>
      <c r="CQN17" s="108"/>
      <c r="CQO17" s="109">
        <f t="shared" si="198"/>
        <v>0</v>
      </c>
      <c r="CQP17" s="110"/>
      <c r="CQQ17" s="108" t="s">
        <v>35</v>
      </c>
      <c r="CQT17" s="105"/>
      <c r="CQU17" s="105"/>
      <c r="CQV17" s="105"/>
      <c r="CQW17" s="106"/>
      <c r="CQX17" s="106"/>
      <c r="CQY17" s="107"/>
      <c r="CQZ17" s="108"/>
      <c r="CRA17" s="109">
        <f t="shared" si="199"/>
        <v>0</v>
      </c>
      <c r="CRB17" s="110"/>
      <c r="CRC17" s="108" t="s">
        <v>35</v>
      </c>
      <c r="CRF17" s="105"/>
      <c r="CRG17" s="105"/>
      <c r="CRH17" s="105"/>
      <c r="CRI17" s="106"/>
      <c r="CRJ17" s="106"/>
      <c r="CRK17" s="107"/>
      <c r="CRL17" s="108"/>
      <c r="CRM17" s="109">
        <f t="shared" si="200"/>
        <v>0</v>
      </c>
      <c r="CRN17" s="110"/>
      <c r="CRO17" s="108" t="s">
        <v>35</v>
      </c>
      <c r="CRR17" s="105"/>
      <c r="CRS17" s="105"/>
      <c r="CRT17" s="105"/>
      <c r="CRU17" s="106"/>
      <c r="CRV17" s="106"/>
      <c r="CRW17" s="107"/>
      <c r="CRX17" s="108"/>
      <c r="CRY17" s="109">
        <f t="shared" si="201"/>
        <v>0</v>
      </c>
      <c r="CRZ17" s="110"/>
      <c r="CSA17" s="108" t="s">
        <v>35</v>
      </c>
      <c r="CSD17" s="105"/>
      <c r="CSE17" s="105"/>
      <c r="CSF17" s="105"/>
      <c r="CSG17" s="106"/>
      <c r="CSH17" s="106"/>
      <c r="CSI17" s="107"/>
      <c r="CSJ17" s="108"/>
      <c r="CSK17" s="109">
        <f t="shared" si="202"/>
        <v>0</v>
      </c>
      <c r="CSL17" s="110"/>
      <c r="CSM17" s="108" t="s">
        <v>35</v>
      </c>
      <c r="CSP17" s="105"/>
      <c r="CSQ17" s="105"/>
      <c r="CSR17" s="105"/>
      <c r="CSS17" s="106"/>
      <c r="CST17" s="106"/>
      <c r="CSU17" s="107"/>
      <c r="CSV17" s="108"/>
      <c r="CSW17" s="109">
        <f t="shared" si="203"/>
        <v>0</v>
      </c>
      <c r="CSX17" s="110"/>
      <c r="CSY17" s="108" t="s">
        <v>35</v>
      </c>
      <c r="CTB17" s="105"/>
      <c r="CTC17" s="105"/>
      <c r="CTD17" s="105"/>
      <c r="CTE17" s="106"/>
      <c r="CTF17" s="106"/>
      <c r="CTG17" s="107"/>
      <c r="CTH17" s="108"/>
      <c r="CTI17" s="109">
        <f t="shared" si="204"/>
        <v>0</v>
      </c>
      <c r="CTJ17" s="110"/>
      <c r="CTK17" s="108" t="s">
        <v>35</v>
      </c>
      <c r="CTN17" s="105"/>
      <c r="CTO17" s="105"/>
      <c r="CTP17" s="105"/>
      <c r="CTQ17" s="106"/>
      <c r="CTR17" s="106"/>
      <c r="CTS17" s="107"/>
      <c r="CTT17" s="108"/>
      <c r="CTU17" s="109">
        <f t="shared" si="205"/>
        <v>0</v>
      </c>
      <c r="CTV17" s="110"/>
      <c r="CTW17" s="108" t="s">
        <v>35</v>
      </c>
      <c r="CTZ17" s="105"/>
      <c r="CUA17" s="105"/>
      <c r="CUB17" s="105"/>
      <c r="CUC17" s="106"/>
      <c r="CUD17" s="106"/>
      <c r="CUE17" s="107"/>
      <c r="CUF17" s="108"/>
      <c r="CUG17" s="109">
        <f t="shared" si="206"/>
        <v>0</v>
      </c>
      <c r="CUH17" s="110"/>
      <c r="CUI17" s="108" t="s">
        <v>35</v>
      </c>
      <c r="CUL17" s="105"/>
      <c r="CUM17" s="105"/>
      <c r="CUN17" s="105"/>
      <c r="CUO17" s="106"/>
      <c r="CUP17" s="106"/>
      <c r="CUQ17" s="107"/>
      <c r="CUR17" s="108"/>
      <c r="CUS17" s="109">
        <f t="shared" si="207"/>
        <v>0</v>
      </c>
      <c r="CUT17" s="110"/>
      <c r="CUU17" s="108" t="s">
        <v>35</v>
      </c>
      <c r="CUX17" s="105"/>
      <c r="CUY17" s="105"/>
      <c r="CUZ17" s="105"/>
      <c r="CVA17" s="106"/>
      <c r="CVB17" s="106"/>
      <c r="CVC17" s="107"/>
      <c r="CVD17" s="108"/>
      <c r="CVE17" s="109">
        <f t="shared" si="208"/>
        <v>0</v>
      </c>
      <c r="CVF17" s="110"/>
      <c r="CVG17" s="108" t="s">
        <v>35</v>
      </c>
      <c r="CVJ17" s="105"/>
      <c r="CVK17" s="105"/>
      <c r="CVL17" s="105"/>
      <c r="CVM17" s="106"/>
      <c r="CVN17" s="106"/>
      <c r="CVO17" s="107"/>
      <c r="CVP17" s="108"/>
      <c r="CVQ17" s="109">
        <f t="shared" si="209"/>
        <v>0</v>
      </c>
      <c r="CVR17" s="110"/>
      <c r="CVS17" s="108" t="s">
        <v>35</v>
      </c>
      <c r="CVV17" s="105"/>
      <c r="CVW17" s="105"/>
      <c r="CVX17" s="105"/>
      <c r="CVY17" s="106"/>
      <c r="CVZ17" s="106"/>
      <c r="CWA17" s="107"/>
      <c r="CWB17" s="108"/>
      <c r="CWC17" s="109" t="str">
        <f t="shared" si="192"/>
        <v/>
      </c>
      <c r="CWD17" s="110"/>
      <c r="CWE17" s="108" t="str">
        <f t="shared" si="193"/>
        <v/>
      </c>
    </row>
    <row r="18" spans="1:1023 1026:2631" ht="15" customHeight="1" x14ac:dyDescent="0.25">
      <c r="A18" s="116"/>
      <c r="B18" s="117"/>
      <c r="C18" s="118"/>
      <c r="D18" s="119"/>
      <c r="E18" s="120"/>
      <c r="F18" s="93">
        <f t="shared" si="0"/>
        <v>0</v>
      </c>
      <c r="H18" s="94"/>
      <c r="I18" s="94"/>
      <c r="J18" s="94"/>
      <c r="K18" s="95"/>
      <c r="L18" s="95"/>
      <c r="O18" s="116"/>
      <c r="P18" s="117"/>
      <c r="Q18" s="118"/>
      <c r="R18" s="119"/>
      <c r="S18" s="120"/>
      <c r="T18" s="93">
        <f t="shared" si="210"/>
        <v>0</v>
      </c>
      <c r="V18" s="94"/>
      <c r="W18" s="94"/>
      <c r="X18" s="94"/>
      <c r="Y18" s="95"/>
      <c r="Z18" s="95"/>
      <c r="AC18" s="116"/>
      <c r="AD18" s="117"/>
      <c r="AE18" s="118"/>
      <c r="AF18" s="119"/>
      <c r="AG18" s="120"/>
      <c r="AH18" s="93">
        <f t="shared" si="1"/>
        <v>0</v>
      </c>
      <c r="AJ18" s="94"/>
      <c r="AK18" s="94"/>
      <c r="AL18" s="94"/>
      <c r="AM18" s="95"/>
      <c r="AN18" s="95"/>
      <c r="AQ18" s="116"/>
      <c r="AR18" s="117"/>
      <c r="AS18" s="118"/>
      <c r="AT18" s="119"/>
      <c r="AU18" s="120"/>
      <c r="AV18" s="93">
        <f t="shared" si="2"/>
        <v>0</v>
      </c>
      <c r="AX18" s="94"/>
      <c r="AY18" s="94"/>
      <c r="AZ18" s="94"/>
      <c r="BA18" s="95"/>
      <c r="BB18" s="95"/>
      <c r="BE18" s="116"/>
      <c r="BF18" s="117"/>
      <c r="BG18" s="118"/>
      <c r="BH18" s="119"/>
      <c r="BI18" s="120"/>
      <c r="BJ18" s="93">
        <f t="shared" si="3"/>
        <v>0</v>
      </c>
      <c r="BL18" s="94"/>
      <c r="BM18" s="94"/>
      <c r="BN18" s="94"/>
      <c r="BO18" s="95"/>
      <c r="BP18" s="95"/>
      <c r="BS18" s="116"/>
      <c r="BT18" s="117"/>
      <c r="BU18" s="118"/>
      <c r="BV18" s="119"/>
      <c r="BW18" s="120"/>
      <c r="BX18" s="93">
        <f t="shared" si="4"/>
        <v>0</v>
      </c>
      <c r="BZ18" s="94"/>
      <c r="CA18" s="94"/>
      <c r="CB18" s="94"/>
      <c r="CC18" s="95"/>
      <c r="CD18" s="95"/>
      <c r="CG18" s="116"/>
      <c r="CH18" s="117"/>
      <c r="CI18" s="118"/>
      <c r="CJ18" s="119"/>
      <c r="CK18" s="120"/>
      <c r="CL18" s="93">
        <f t="shared" si="5"/>
        <v>0</v>
      </c>
      <c r="CN18" s="94"/>
      <c r="CO18" s="94"/>
      <c r="CP18" s="94"/>
      <c r="CQ18" s="95"/>
      <c r="CR18" s="95"/>
      <c r="CU18" s="116"/>
      <c r="CV18" s="117"/>
      <c r="CW18" s="118"/>
      <c r="CX18" s="119"/>
      <c r="CY18" s="120"/>
      <c r="CZ18" s="93">
        <f t="shared" si="6"/>
        <v>0</v>
      </c>
      <c r="DB18" s="94"/>
      <c r="DC18" s="94"/>
      <c r="DD18" s="94"/>
      <c r="DE18" s="95"/>
      <c r="DF18" s="95"/>
      <c r="DI18" s="116"/>
      <c r="DJ18" s="117"/>
      <c r="DK18" s="118"/>
      <c r="DL18" s="119"/>
      <c r="DM18" s="120"/>
      <c r="DN18" s="93">
        <f t="shared" si="7"/>
        <v>0</v>
      </c>
      <c r="DP18" s="94"/>
      <c r="DQ18" s="94"/>
      <c r="DR18" s="94"/>
      <c r="DS18" s="95"/>
      <c r="DT18" s="95"/>
      <c r="DW18" s="116"/>
      <c r="DX18" s="117"/>
      <c r="DY18" s="118"/>
      <c r="DZ18" s="119"/>
      <c r="EA18" s="120"/>
      <c r="EB18" s="93">
        <f t="shared" si="8"/>
        <v>0</v>
      </c>
      <c r="ED18" s="94"/>
      <c r="EE18" s="94"/>
      <c r="EF18" s="94"/>
      <c r="EG18" s="95"/>
      <c r="EH18" s="95"/>
      <c r="EK18" s="116"/>
      <c r="EL18" s="117"/>
      <c r="EM18" s="118"/>
      <c r="EN18" s="119"/>
      <c r="EO18" s="120"/>
      <c r="EP18" s="93">
        <f t="shared" si="9"/>
        <v>0</v>
      </c>
      <c r="ER18" s="94"/>
      <c r="ES18" s="94"/>
      <c r="ET18" s="94"/>
      <c r="EU18" s="95"/>
      <c r="EV18" s="95"/>
      <c r="EY18" s="116"/>
      <c r="EZ18" s="117"/>
      <c r="FA18" s="118"/>
      <c r="FB18" s="119"/>
      <c r="FC18" s="120"/>
      <c r="FD18" s="93">
        <f t="shared" si="10"/>
        <v>0</v>
      </c>
      <c r="FF18" s="94"/>
      <c r="FG18" s="94"/>
      <c r="FH18" s="94"/>
      <c r="FI18" s="95"/>
      <c r="FJ18" s="95"/>
      <c r="FM18" s="116"/>
      <c r="FN18" s="117"/>
      <c r="FO18" s="118"/>
      <c r="FP18" s="119"/>
      <c r="FQ18" s="120"/>
      <c r="FR18" s="93">
        <f t="shared" si="11"/>
        <v>0</v>
      </c>
      <c r="FT18" s="94"/>
      <c r="FU18" s="94"/>
      <c r="FV18" s="94"/>
      <c r="FW18" s="95"/>
      <c r="FX18" s="95"/>
      <c r="GA18" s="116"/>
      <c r="GB18" s="117"/>
      <c r="GC18" s="118"/>
      <c r="GD18" s="119"/>
      <c r="GE18" s="120"/>
      <c r="GF18" s="93">
        <f t="shared" si="12"/>
        <v>0</v>
      </c>
      <c r="GH18" s="94"/>
      <c r="GI18" s="94"/>
      <c r="GJ18" s="94"/>
      <c r="GK18" s="95"/>
      <c r="GL18" s="95"/>
      <c r="GO18" s="116"/>
      <c r="GP18" s="117"/>
      <c r="GQ18" s="118"/>
      <c r="GR18" s="119"/>
      <c r="GS18" s="120"/>
      <c r="GT18" s="93">
        <f t="shared" si="13"/>
        <v>0</v>
      </c>
      <c r="GV18" s="94"/>
      <c r="GW18" s="94"/>
      <c r="GX18" s="94"/>
      <c r="GY18" s="95"/>
      <c r="GZ18" s="95"/>
      <c r="HC18" s="116"/>
      <c r="HD18" s="117"/>
      <c r="HE18" s="118"/>
      <c r="HF18" s="119"/>
      <c r="HG18" s="120"/>
      <c r="HH18" s="93">
        <f t="shared" si="14"/>
        <v>0</v>
      </c>
      <c r="HJ18" s="94"/>
      <c r="HK18" s="94"/>
      <c r="HL18" s="94"/>
      <c r="HM18" s="95"/>
      <c r="HN18" s="95"/>
      <c r="HQ18" s="116"/>
      <c r="HR18" s="117"/>
      <c r="HS18" s="118"/>
      <c r="HT18" s="119"/>
      <c r="HU18" s="120"/>
      <c r="HV18" s="93">
        <f t="shared" si="15"/>
        <v>0</v>
      </c>
      <c r="HX18" s="94"/>
      <c r="HY18" s="94"/>
      <c r="HZ18" s="94"/>
      <c r="IA18" s="95"/>
      <c r="IB18" s="95"/>
      <c r="IE18" s="116"/>
      <c r="IF18" s="117"/>
      <c r="IG18" s="118"/>
      <c r="IH18" s="119"/>
      <c r="II18" s="120"/>
      <c r="IJ18" s="93">
        <f t="shared" si="16"/>
        <v>0</v>
      </c>
      <c r="IL18" s="94"/>
      <c r="IM18" s="94"/>
      <c r="IN18" s="94"/>
      <c r="IO18" s="95"/>
      <c r="IP18" s="95"/>
      <c r="IS18" s="116"/>
      <c r="IT18" s="117"/>
      <c r="IU18" s="118"/>
      <c r="IV18" s="119"/>
      <c r="IW18" s="120"/>
      <c r="IX18" s="93">
        <f t="shared" si="17"/>
        <v>0</v>
      </c>
      <c r="IZ18" s="94"/>
      <c r="JA18" s="94"/>
      <c r="JB18" s="94"/>
      <c r="JC18" s="95"/>
      <c r="JD18" s="95"/>
      <c r="JG18" s="116"/>
      <c r="JH18" s="117"/>
      <c r="JI18" s="118"/>
      <c r="JJ18" s="119"/>
      <c r="JK18" s="120"/>
      <c r="JL18" s="93">
        <f t="shared" si="18"/>
        <v>0</v>
      </c>
      <c r="JN18" s="94"/>
      <c r="JO18" s="94"/>
      <c r="JP18" s="94"/>
      <c r="JQ18" s="95"/>
      <c r="JR18" s="95"/>
      <c r="JU18" s="116"/>
      <c r="JV18" s="117"/>
      <c r="JW18" s="118"/>
      <c r="JX18" s="119"/>
      <c r="JY18" s="120"/>
      <c r="JZ18" s="93">
        <f t="shared" si="19"/>
        <v>0</v>
      </c>
      <c r="KB18" s="94"/>
      <c r="KC18" s="94"/>
      <c r="KD18" s="94"/>
      <c r="KE18" s="95"/>
      <c r="KF18" s="95"/>
      <c r="KI18" s="116"/>
      <c r="KJ18" s="117"/>
      <c r="KK18" s="118"/>
      <c r="KL18" s="119"/>
      <c r="KM18" s="120"/>
      <c r="KN18" s="93">
        <f t="shared" si="20"/>
        <v>0</v>
      </c>
      <c r="KP18" s="94"/>
      <c r="KQ18" s="94"/>
      <c r="KR18" s="94"/>
      <c r="KS18" s="95"/>
      <c r="KT18" s="95"/>
      <c r="KW18" s="116"/>
      <c r="KX18" s="117"/>
      <c r="KY18" s="118"/>
      <c r="KZ18" s="119"/>
      <c r="LA18" s="120"/>
      <c r="LB18" s="93">
        <f t="shared" si="21"/>
        <v>0</v>
      </c>
      <c r="LD18" s="94"/>
      <c r="LE18" s="94"/>
      <c r="LF18" s="94"/>
      <c r="LG18" s="95"/>
      <c r="LH18" s="95"/>
      <c r="LK18" s="116"/>
      <c r="LL18" s="117"/>
      <c r="LM18" s="118"/>
      <c r="LN18" s="119"/>
      <c r="LO18" s="120"/>
      <c r="LP18" s="93">
        <f t="shared" si="22"/>
        <v>0</v>
      </c>
      <c r="LR18" s="94"/>
      <c r="LS18" s="94"/>
      <c r="LT18" s="94"/>
      <c r="LU18" s="95"/>
      <c r="LV18" s="95"/>
      <c r="LY18" s="116"/>
      <c r="LZ18" s="117"/>
      <c r="MA18" s="118"/>
      <c r="MB18" s="119"/>
      <c r="MC18" s="120"/>
      <c r="MD18" s="93">
        <f t="shared" si="23"/>
        <v>0</v>
      </c>
      <c r="MF18" s="94"/>
      <c r="MG18" s="94"/>
      <c r="MH18" s="94"/>
      <c r="MI18" s="95"/>
      <c r="MJ18" s="95"/>
      <c r="MM18" s="116"/>
      <c r="MN18" s="117"/>
      <c r="MO18" s="118"/>
      <c r="MP18" s="119"/>
      <c r="MQ18" s="120"/>
      <c r="MR18" s="93">
        <f t="shared" si="24"/>
        <v>0</v>
      </c>
      <c r="MT18" s="94"/>
      <c r="MU18" s="94"/>
      <c r="MV18" s="94"/>
      <c r="MW18" s="95"/>
      <c r="MX18" s="95"/>
      <c r="NA18" s="116"/>
      <c r="NB18" s="117"/>
      <c r="NC18" s="118"/>
      <c r="ND18" s="119"/>
      <c r="NE18" s="120"/>
      <c r="NF18" s="93">
        <f t="shared" si="25"/>
        <v>0</v>
      </c>
      <c r="NH18" s="94"/>
      <c r="NI18" s="94"/>
      <c r="NJ18" s="94"/>
      <c r="NK18" s="95"/>
      <c r="NL18" s="95"/>
      <c r="NO18" s="116"/>
      <c r="NP18" s="117"/>
      <c r="NQ18" s="118"/>
      <c r="NR18" s="119"/>
      <c r="NS18" s="120"/>
      <c r="NT18" s="93">
        <f t="shared" si="26"/>
        <v>0</v>
      </c>
      <c r="NV18" s="94"/>
      <c r="NW18" s="94"/>
      <c r="NX18" s="94"/>
      <c r="NY18" s="95"/>
      <c r="NZ18" s="95"/>
      <c r="OC18" s="116"/>
      <c r="OD18" s="117"/>
      <c r="OE18" s="118"/>
      <c r="OF18" s="119"/>
      <c r="OG18" s="120"/>
      <c r="OH18" s="93">
        <f t="shared" si="27"/>
        <v>0</v>
      </c>
      <c r="OJ18" s="94"/>
      <c r="OK18" s="94"/>
      <c r="OL18" s="94"/>
      <c r="OM18" s="95"/>
      <c r="ON18" s="95"/>
      <c r="OQ18" s="116"/>
      <c r="OR18" s="117"/>
      <c r="OS18" s="118"/>
      <c r="OT18" s="119"/>
      <c r="OU18" s="120"/>
      <c r="OV18" s="93">
        <f t="shared" si="28"/>
        <v>0</v>
      </c>
      <c r="OX18" s="94"/>
      <c r="OY18" s="94"/>
      <c r="OZ18" s="94"/>
      <c r="PA18" s="95"/>
      <c r="PB18" s="95"/>
      <c r="PE18" s="116"/>
      <c r="PF18" s="117"/>
      <c r="PG18" s="118"/>
      <c r="PH18" s="119"/>
      <c r="PI18" s="120"/>
      <c r="PJ18" s="93">
        <f t="shared" si="29"/>
        <v>0</v>
      </c>
      <c r="PL18" s="94"/>
      <c r="PM18" s="94"/>
      <c r="PN18" s="94"/>
      <c r="PO18" s="95"/>
      <c r="PP18" s="95"/>
      <c r="PS18" s="116"/>
      <c r="PT18" s="117"/>
      <c r="PU18" s="118"/>
      <c r="PV18" s="119"/>
      <c r="PW18" s="120"/>
      <c r="PX18" s="93">
        <f t="shared" si="30"/>
        <v>0</v>
      </c>
      <c r="PZ18" s="94"/>
      <c r="QA18" s="94"/>
      <c r="QB18" s="94"/>
      <c r="QC18" s="95"/>
      <c r="QD18" s="95"/>
      <c r="QG18" s="116"/>
      <c r="QH18" s="117"/>
      <c r="QI18" s="118"/>
      <c r="QJ18" s="119"/>
      <c r="QK18" s="120"/>
      <c r="QL18" s="93">
        <f t="shared" si="31"/>
        <v>0</v>
      </c>
      <c r="QN18" s="94"/>
      <c r="QO18" s="94"/>
      <c r="QP18" s="94"/>
      <c r="QQ18" s="95"/>
      <c r="QR18" s="95"/>
      <c r="QU18" s="116"/>
      <c r="QV18" s="117"/>
      <c r="QW18" s="118"/>
      <c r="QX18" s="119"/>
      <c r="QY18" s="120"/>
      <c r="QZ18" s="93">
        <f t="shared" si="32"/>
        <v>0</v>
      </c>
      <c r="RB18" s="94"/>
      <c r="RC18" s="94"/>
      <c r="RD18" s="94"/>
      <c r="RE18" s="95"/>
      <c r="RF18" s="95"/>
      <c r="RI18" s="116"/>
      <c r="RJ18" s="117"/>
      <c r="RK18" s="118"/>
      <c r="RL18" s="119"/>
      <c r="RM18" s="120"/>
      <c r="RN18" s="93">
        <f t="shared" si="33"/>
        <v>0</v>
      </c>
      <c r="RP18" s="94"/>
      <c r="RQ18" s="94"/>
      <c r="RR18" s="94"/>
      <c r="RS18" s="95"/>
      <c r="RT18" s="95"/>
      <c r="RW18" s="116"/>
      <c r="RX18" s="117"/>
      <c r="RY18" s="118"/>
      <c r="RZ18" s="119"/>
      <c r="SA18" s="120"/>
      <c r="SB18" s="93">
        <f t="shared" si="34"/>
        <v>0</v>
      </c>
      <c r="SD18" s="94"/>
      <c r="SE18" s="94"/>
      <c r="SF18" s="94"/>
      <c r="SG18" s="95"/>
      <c r="SH18" s="95"/>
      <c r="SK18" s="116"/>
      <c r="SL18" s="117"/>
      <c r="SM18" s="118"/>
      <c r="SN18" s="119"/>
      <c r="SO18" s="120"/>
      <c r="SP18" s="93">
        <f t="shared" si="35"/>
        <v>0</v>
      </c>
      <c r="SR18" s="94"/>
      <c r="SS18" s="94"/>
      <c r="ST18" s="94"/>
      <c r="SU18" s="95"/>
      <c r="SV18" s="95"/>
      <c r="SY18" s="116"/>
      <c r="SZ18" s="117"/>
      <c r="TA18" s="118"/>
      <c r="TB18" s="119"/>
      <c r="TC18" s="120"/>
      <c r="TD18" s="93">
        <f t="shared" si="36"/>
        <v>0</v>
      </c>
      <c r="TF18" s="94"/>
      <c r="TG18" s="94"/>
      <c r="TH18" s="94"/>
      <c r="TI18" s="95"/>
      <c r="TJ18" s="95"/>
      <c r="TM18" s="116"/>
      <c r="TN18" s="117"/>
      <c r="TO18" s="118"/>
      <c r="TP18" s="119"/>
      <c r="TQ18" s="120"/>
      <c r="TR18" s="93">
        <f t="shared" si="37"/>
        <v>0</v>
      </c>
      <c r="TT18" s="94"/>
      <c r="TU18" s="94"/>
      <c r="TV18" s="94"/>
      <c r="TW18" s="95"/>
      <c r="TX18" s="95"/>
      <c r="UA18" s="116"/>
      <c r="UB18" s="117"/>
      <c r="UC18" s="118"/>
      <c r="UD18" s="119"/>
      <c r="UE18" s="120"/>
      <c r="UF18" s="93">
        <f t="shared" si="38"/>
        <v>0</v>
      </c>
      <c r="UH18" s="94"/>
      <c r="UI18" s="94"/>
      <c r="UJ18" s="94"/>
      <c r="UK18" s="95"/>
      <c r="UL18" s="95"/>
      <c r="UO18" s="116"/>
      <c r="UP18" s="117"/>
      <c r="UQ18" s="118"/>
      <c r="UR18" s="119"/>
      <c r="US18" s="120"/>
      <c r="UT18" s="93">
        <f t="shared" si="39"/>
        <v>0</v>
      </c>
      <c r="UV18" s="94"/>
      <c r="UW18" s="94"/>
      <c r="UX18" s="94"/>
      <c r="UY18" s="95"/>
      <c r="UZ18" s="95"/>
      <c r="VC18" s="116"/>
      <c r="VD18" s="117"/>
      <c r="VE18" s="118"/>
      <c r="VF18" s="119"/>
      <c r="VG18" s="120"/>
      <c r="VH18" s="93">
        <f t="shared" si="40"/>
        <v>0</v>
      </c>
      <c r="VJ18" s="94"/>
      <c r="VK18" s="94"/>
      <c r="VL18" s="94"/>
      <c r="VM18" s="95"/>
      <c r="VN18" s="95"/>
      <c r="VQ18" s="116"/>
      <c r="VR18" s="117"/>
      <c r="VS18" s="118"/>
      <c r="VT18" s="119"/>
      <c r="VU18" s="120"/>
      <c r="VV18" s="93">
        <f t="shared" si="41"/>
        <v>0</v>
      </c>
      <c r="VX18" s="94"/>
      <c r="VY18" s="94"/>
      <c r="VZ18" s="94"/>
      <c r="WA18" s="95"/>
      <c r="WB18" s="95"/>
      <c r="WE18" s="116"/>
      <c r="WF18" s="117"/>
      <c r="WG18" s="118"/>
      <c r="WH18" s="119"/>
      <c r="WI18" s="120"/>
      <c r="WJ18" s="93">
        <f t="shared" si="42"/>
        <v>0</v>
      </c>
      <c r="WL18" s="94"/>
      <c r="WM18" s="94"/>
      <c r="WN18" s="94"/>
      <c r="WO18" s="95"/>
      <c r="WP18" s="95"/>
      <c r="WS18" s="116"/>
      <c r="WT18" s="117"/>
      <c r="WU18" s="118"/>
      <c r="WV18" s="119"/>
      <c r="WW18" s="120"/>
      <c r="WX18" s="93">
        <f t="shared" si="43"/>
        <v>0</v>
      </c>
      <c r="WZ18" s="94"/>
      <c r="XA18" s="94"/>
      <c r="XB18" s="94"/>
      <c r="XC18" s="95"/>
      <c r="XD18" s="95"/>
      <c r="XG18" s="116"/>
      <c r="XH18" s="117"/>
      <c r="XI18" s="118"/>
      <c r="XJ18" s="119"/>
      <c r="XK18" s="120"/>
      <c r="XL18" s="93">
        <f t="shared" si="44"/>
        <v>0</v>
      </c>
      <c r="XN18" s="94"/>
      <c r="XO18" s="94"/>
      <c r="XP18" s="94"/>
      <c r="XQ18" s="95"/>
      <c r="XR18" s="95"/>
      <c r="XU18" s="116"/>
      <c r="XV18" s="117"/>
      <c r="XW18" s="118"/>
      <c r="XX18" s="119"/>
      <c r="XY18" s="120"/>
      <c r="XZ18" s="93">
        <f t="shared" si="45"/>
        <v>0</v>
      </c>
      <c r="YB18" s="94"/>
      <c r="YC18" s="94"/>
      <c r="YD18" s="94"/>
      <c r="YE18" s="95"/>
      <c r="YF18" s="95"/>
      <c r="YI18" s="116"/>
      <c r="YJ18" s="117"/>
      <c r="YK18" s="118"/>
      <c r="YL18" s="119"/>
      <c r="YM18" s="120"/>
      <c r="YN18" s="93">
        <f t="shared" si="46"/>
        <v>0</v>
      </c>
      <c r="YP18" s="94"/>
      <c r="YQ18" s="94"/>
      <c r="YR18" s="94"/>
      <c r="YS18" s="95"/>
      <c r="YT18" s="95"/>
      <c r="YW18" s="116"/>
      <c r="YX18" s="117"/>
      <c r="YY18" s="118"/>
      <c r="YZ18" s="119"/>
      <c r="ZA18" s="120"/>
      <c r="ZB18" s="93"/>
      <c r="ZD18" s="94"/>
      <c r="ZE18" s="94"/>
      <c r="ZF18" s="94"/>
      <c r="ZG18" s="95"/>
      <c r="ZH18" s="95"/>
      <c r="ZK18" s="116"/>
      <c r="ZL18" s="117"/>
      <c r="ZM18" s="118"/>
      <c r="ZN18" s="119"/>
      <c r="ZO18" s="120"/>
      <c r="ZP18" s="93"/>
      <c r="ZR18" s="94"/>
      <c r="ZS18" s="94"/>
      <c r="ZT18" s="94"/>
      <c r="ZU18" s="95"/>
      <c r="ZV18" s="95"/>
      <c r="ZZ18" s="105"/>
      <c r="AAA18" s="105"/>
      <c r="AAB18" s="105"/>
      <c r="AAC18" s="106"/>
      <c r="AAD18" s="106"/>
      <c r="AAE18" s="107"/>
      <c r="AAF18" s="108"/>
      <c r="AAG18" s="109">
        <f t="shared" si="49"/>
        <v>0</v>
      </c>
      <c r="AAH18" s="110"/>
      <c r="AAI18" s="108" t="s">
        <v>35</v>
      </c>
      <c r="AAM18" s="105"/>
      <c r="AAN18" s="105"/>
      <c r="AAO18" s="105"/>
      <c r="AAP18" s="106"/>
      <c r="AAQ18" s="106"/>
      <c r="AAR18" s="107"/>
      <c r="AAS18" s="108"/>
      <c r="AAT18" s="109">
        <f t="shared" si="237"/>
        <v>0</v>
      </c>
      <c r="AAU18" s="110"/>
      <c r="AAV18" s="108" t="s">
        <v>35</v>
      </c>
      <c r="AAZ18" s="105"/>
      <c r="ABA18" s="105"/>
      <c r="ABB18" s="105"/>
      <c r="ABC18" s="106"/>
      <c r="ABD18" s="106"/>
      <c r="ABE18" s="107"/>
      <c r="ABF18" s="108"/>
      <c r="ABG18" s="109">
        <f t="shared" si="238"/>
        <v>0</v>
      </c>
      <c r="ABH18" s="110"/>
      <c r="ABI18" s="108" t="s">
        <v>35</v>
      </c>
      <c r="ABM18" s="105"/>
      <c r="ABN18" s="105"/>
      <c r="ABO18" s="105"/>
      <c r="ABP18" s="106"/>
      <c r="ABQ18" s="106"/>
      <c r="ABR18" s="107"/>
      <c r="ABS18" s="108"/>
      <c r="ABT18" s="109">
        <f t="shared" si="239"/>
        <v>0</v>
      </c>
      <c r="ABU18" s="110"/>
      <c r="ABV18" s="108" t="s">
        <v>35</v>
      </c>
      <c r="ABZ18" s="105"/>
      <c r="ACA18" s="105"/>
      <c r="ACB18" s="105"/>
      <c r="ACC18" s="106"/>
      <c r="ACD18" s="106"/>
      <c r="ACE18" s="107"/>
      <c r="ACF18" s="108"/>
      <c r="ACG18" s="109">
        <f t="shared" si="240"/>
        <v>0</v>
      </c>
      <c r="ACH18" s="110"/>
      <c r="ACI18" s="108" t="s">
        <v>35</v>
      </c>
      <c r="ACM18" s="105"/>
      <c r="ACN18" s="105"/>
      <c r="ACO18" s="105"/>
      <c r="ACP18" s="106"/>
      <c r="ACQ18" s="106"/>
      <c r="ACR18" s="107"/>
      <c r="ACS18" s="108"/>
      <c r="ACT18" s="109">
        <f t="shared" si="241"/>
        <v>0</v>
      </c>
      <c r="ACU18" s="110"/>
      <c r="ACV18" s="108" t="s">
        <v>35</v>
      </c>
      <c r="ACZ18" s="105"/>
      <c r="ADA18" s="105"/>
      <c r="ADB18" s="105"/>
      <c r="ADC18" s="106"/>
      <c r="ADD18" s="106"/>
      <c r="ADE18" s="107"/>
      <c r="ADF18" s="108"/>
      <c r="ADG18" s="109">
        <f t="shared" si="242"/>
        <v>0</v>
      </c>
      <c r="ADH18" s="110"/>
      <c r="ADI18" s="108" t="s">
        <v>35</v>
      </c>
      <c r="ADM18" s="105"/>
      <c r="ADN18" s="105"/>
      <c r="ADO18" s="105"/>
      <c r="ADP18" s="106"/>
      <c r="ADQ18" s="106"/>
      <c r="ADR18" s="107"/>
      <c r="ADS18" s="108"/>
      <c r="ADT18" s="109">
        <f t="shared" si="243"/>
        <v>0</v>
      </c>
      <c r="ADU18" s="110"/>
      <c r="ADV18" s="108" t="s">
        <v>35</v>
      </c>
      <c r="ADZ18" s="105"/>
      <c r="AEA18" s="105"/>
      <c r="AEB18" s="105"/>
      <c r="AEC18" s="106"/>
      <c r="AED18" s="106"/>
      <c r="AEE18" s="107"/>
      <c r="AEF18" s="108"/>
      <c r="AEG18" s="109">
        <f t="shared" si="244"/>
        <v>0</v>
      </c>
      <c r="AEH18" s="110"/>
      <c r="AEI18" s="108" t="s">
        <v>35</v>
      </c>
      <c r="AEM18" s="105"/>
      <c r="AEN18" s="105"/>
      <c r="AEO18" s="105"/>
      <c r="AEP18" s="106"/>
      <c r="AEQ18" s="106"/>
      <c r="AER18" s="107"/>
      <c r="AES18" s="108"/>
      <c r="AET18" s="109">
        <f t="shared" si="245"/>
        <v>0</v>
      </c>
      <c r="AEU18" s="110"/>
      <c r="AEV18" s="108" t="s">
        <v>35</v>
      </c>
      <c r="AEZ18" s="105"/>
      <c r="AFA18" s="105"/>
      <c r="AFB18" s="105"/>
      <c r="AFC18" s="106"/>
      <c r="AFD18" s="106"/>
      <c r="AFE18" s="107"/>
      <c r="AFF18" s="108"/>
      <c r="AFG18" s="109">
        <f t="shared" si="246"/>
        <v>0</v>
      </c>
      <c r="AFH18" s="110"/>
      <c r="AFI18" s="108" t="s">
        <v>35</v>
      </c>
      <c r="AFM18" s="105"/>
      <c r="AFN18" s="105"/>
      <c r="AFO18" s="105"/>
      <c r="AFP18" s="106"/>
      <c r="AFQ18" s="106"/>
      <c r="AFR18" s="107"/>
      <c r="AFS18" s="108"/>
      <c r="AFT18" s="109">
        <f t="shared" si="247"/>
        <v>0</v>
      </c>
      <c r="AFU18" s="110"/>
      <c r="AFV18" s="108" t="s">
        <v>35</v>
      </c>
      <c r="AFZ18" s="105"/>
      <c r="AGA18" s="105"/>
      <c r="AGB18" s="105"/>
      <c r="AGC18" s="106"/>
      <c r="AGD18" s="106"/>
      <c r="AGE18" s="107"/>
      <c r="AGF18" s="108"/>
      <c r="AGG18" s="109">
        <f t="shared" si="248"/>
        <v>0</v>
      </c>
      <c r="AGH18" s="110"/>
      <c r="AGI18" s="108" t="s">
        <v>35</v>
      </c>
      <c r="AGL18" s="105"/>
      <c r="AGM18" s="105"/>
      <c r="AGN18" s="105"/>
      <c r="AGO18" s="106"/>
      <c r="AGP18" s="106"/>
      <c r="AGQ18" s="107"/>
      <c r="AGR18" s="108"/>
      <c r="AGS18" s="109">
        <f t="shared" si="249"/>
        <v>0</v>
      </c>
      <c r="AGT18" s="110"/>
      <c r="AGU18" s="108" t="s">
        <v>35</v>
      </c>
      <c r="AGX18" s="105"/>
      <c r="AGY18" s="105"/>
      <c r="AGZ18" s="105"/>
      <c r="AHA18" s="106"/>
      <c r="AHB18" s="106"/>
      <c r="AHC18" s="107"/>
      <c r="AHD18" s="108"/>
      <c r="AHE18" s="109">
        <f t="shared" si="250"/>
        <v>0</v>
      </c>
      <c r="AHF18" s="110"/>
      <c r="AHG18" s="108" t="s">
        <v>35</v>
      </c>
      <c r="AHJ18" s="105"/>
      <c r="AHK18" s="105"/>
      <c r="AHL18" s="105"/>
      <c r="AHM18" s="106"/>
      <c r="AHN18" s="106"/>
      <c r="AHO18" s="107"/>
      <c r="AHP18" s="108"/>
      <c r="AHQ18" s="109">
        <f t="shared" si="251"/>
        <v>0</v>
      </c>
      <c r="AHR18" s="110"/>
      <c r="AHS18" s="108" t="s">
        <v>35</v>
      </c>
      <c r="AHV18" s="105"/>
      <c r="AHW18" s="105"/>
      <c r="AHX18" s="105"/>
      <c r="AHY18" s="106"/>
      <c r="AHZ18" s="106"/>
      <c r="AIA18" s="107"/>
      <c r="AIB18" s="108"/>
      <c r="AIC18" s="109">
        <f t="shared" si="252"/>
        <v>0</v>
      </c>
      <c r="AID18" s="110"/>
      <c r="AIE18" s="108" t="s">
        <v>35</v>
      </c>
      <c r="AIH18" s="105"/>
      <c r="AII18" s="105"/>
      <c r="AIJ18" s="105"/>
      <c r="AIK18" s="106"/>
      <c r="AIL18" s="106"/>
      <c r="AIM18" s="107"/>
      <c r="AIN18" s="108"/>
      <c r="AIO18" s="109">
        <f t="shared" si="253"/>
        <v>0</v>
      </c>
      <c r="AIP18" s="110"/>
      <c r="AIQ18" s="108" t="s">
        <v>35</v>
      </c>
      <c r="AIT18" s="105"/>
      <c r="AIU18" s="105"/>
      <c r="AIV18" s="105"/>
      <c r="AIW18" s="106"/>
      <c r="AIX18" s="106"/>
      <c r="AIY18" s="107"/>
      <c r="AIZ18" s="108"/>
      <c r="AJA18" s="109">
        <f t="shared" si="254"/>
        <v>0</v>
      </c>
      <c r="AJB18" s="110"/>
      <c r="AJC18" s="108" t="s">
        <v>35</v>
      </c>
      <c r="AJF18" s="105"/>
      <c r="AJG18" s="105"/>
      <c r="AJH18" s="105"/>
      <c r="AJI18" s="106"/>
      <c r="AJJ18" s="106"/>
      <c r="AJK18" s="107"/>
      <c r="AJL18" s="108"/>
      <c r="AJM18" s="109">
        <f t="shared" si="255"/>
        <v>0</v>
      </c>
      <c r="AJN18" s="110"/>
      <c r="AJO18" s="108" t="s">
        <v>35</v>
      </c>
      <c r="AJR18" s="105"/>
      <c r="AJS18" s="105"/>
      <c r="AJT18" s="105"/>
      <c r="AJU18" s="106"/>
      <c r="AJV18" s="106"/>
      <c r="AJW18" s="107"/>
      <c r="AJX18" s="108"/>
      <c r="AJY18" s="109">
        <f t="shared" si="256"/>
        <v>0</v>
      </c>
      <c r="AJZ18" s="110"/>
      <c r="AKA18" s="108" t="s">
        <v>35</v>
      </c>
      <c r="AKD18" s="105"/>
      <c r="AKE18" s="105"/>
      <c r="AKF18" s="105"/>
      <c r="AKG18" s="106"/>
      <c r="AKH18" s="106"/>
      <c r="AKI18" s="107"/>
      <c r="AKJ18" s="108"/>
      <c r="AKK18" s="109">
        <f t="shared" si="257"/>
        <v>0</v>
      </c>
      <c r="AKL18" s="110"/>
      <c r="AKM18" s="108" t="s">
        <v>35</v>
      </c>
      <c r="AKP18" s="105"/>
      <c r="AKQ18" s="105"/>
      <c r="AKR18" s="105"/>
      <c r="AKS18" s="106"/>
      <c r="AKT18" s="106"/>
      <c r="AKU18" s="107"/>
      <c r="AKV18" s="108"/>
      <c r="AKW18" s="109">
        <f t="shared" si="258"/>
        <v>0</v>
      </c>
      <c r="AKX18" s="110"/>
      <c r="AKY18" s="108" t="s">
        <v>35</v>
      </c>
      <c r="ALB18" s="105"/>
      <c r="ALC18" s="105"/>
      <c r="ALD18" s="105"/>
      <c r="ALE18" s="106"/>
      <c r="ALF18" s="106"/>
      <c r="ALG18" s="107"/>
      <c r="ALH18" s="108"/>
      <c r="ALI18" s="109">
        <f t="shared" si="259"/>
        <v>0</v>
      </c>
      <c r="ALJ18" s="110"/>
      <c r="ALK18" s="108" t="s">
        <v>35</v>
      </c>
      <c r="ALN18" s="105"/>
      <c r="ALO18" s="105"/>
      <c r="ALP18" s="105"/>
      <c r="ALQ18" s="106"/>
      <c r="ALR18" s="106"/>
      <c r="ALS18" s="107"/>
      <c r="ALT18" s="108"/>
      <c r="ALU18" s="109">
        <f t="shared" si="260"/>
        <v>0</v>
      </c>
      <c r="ALV18" s="110"/>
      <c r="ALW18" s="108" t="s">
        <v>35</v>
      </c>
      <c r="ALZ18" s="105"/>
      <c r="AMA18" s="105"/>
      <c r="AMB18" s="105"/>
      <c r="AMC18" s="106"/>
      <c r="AMD18" s="106"/>
      <c r="AME18" s="107"/>
      <c r="AMF18" s="108"/>
      <c r="AMG18" s="109">
        <f t="shared" si="261"/>
        <v>0</v>
      </c>
      <c r="AMH18" s="110"/>
      <c r="AMI18" s="108" t="s">
        <v>35</v>
      </c>
      <c r="AML18" s="105"/>
      <c r="AMM18" s="105"/>
      <c r="AMN18" s="105"/>
      <c r="AMO18" s="106"/>
      <c r="AMP18" s="106"/>
      <c r="AMQ18" s="107"/>
      <c r="AMR18" s="108"/>
      <c r="AMS18" s="109">
        <f t="shared" si="262"/>
        <v>0</v>
      </c>
      <c r="AMT18" s="110"/>
      <c r="AMU18" s="108" t="s">
        <v>35</v>
      </c>
      <c r="AMX18" s="105"/>
      <c r="AMY18" s="105"/>
      <c r="AMZ18" s="105"/>
      <c r="ANA18" s="106"/>
      <c r="ANB18" s="106"/>
      <c r="ANC18" s="107"/>
      <c r="AND18" s="108"/>
      <c r="ANE18" s="109">
        <f t="shared" si="76"/>
        <v>0</v>
      </c>
      <c r="ANF18" s="110"/>
      <c r="ANG18" s="108" t="s">
        <v>35</v>
      </c>
      <c r="ANJ18" s="105"/>
      <c r="ANK18" s="105"/>
      <c r="ANL18" s="105"/>
      <c r="ANM18" s="106"/>
      <c r="ANN18" s="106"/>
      <c r="ANO18" s="107"/>
      <c r="ANP18" s="108"/>
      <c r="ANQ18" s="109">
        <f t="shared" si="77"/>
        <v>0</v>
      </c>
      <c r="ANR18" s="110"/>
      <c r="ANS18" s="108" t="s">
        <v>35</v>
      </c>
      <c r="ANV18" s="105"/>
      <c r="ANW18" s="105"/>
      <c r="ANX18" s="105"/>
      <c r="ANY18" s="106"/>
      <c r="ANZ18" s="106"/>
      <c r="AOA18" s="107"/>
      <c r="AOB18" s="108"/>
      <c r="AOC18" s="109">
        <f t="shared" si="78"/>
        <v>0</v>
      </c>
      <c r="AOD18" s="110"/>
      <c r="AOE18" s="108" t="s">
        <v>35</v>
      </c>
      <c r="AOH18" s="105"/>
      <c r="AOI18" s="105"/>
      <c r="AOJ18" s="105"/>
      <c r="AOK18" s="106"/>
      <c r="AOL18" s="106"/>
      <c r="AOM18" s="107"/>
      <c r="AON18" s="108"/>
      <c r="AOO18" s="109">
        <f t="shared" si="236"/>
        <v>0</v>
      </c>
      <c r="AOP18" s="110"/>
      <c r="AOQ18" s="108" t="s">
        <v>35</v>
      </c>
      <c r="AOT18" s="105"/>
      <c r="AOU18" s="105"/>
      <c r="AOV18" s="105"/>
      <c r="AOW18" s="106"/>
      <c r="AOX18" s="106"/>
      <c r="AOY18" s="107"/>
      <c r="AOZ18" s="108"/>
      <c r="APA18" s="109">
        <f t="shared" si="80"/>
        <v>0</v>
      </c>
      <c r="APB18" s="110"/>
      <c r="APC18" s="108" t="s">
        <v>35</v>
      </c>
      <c r="APF18" s="105"/>
      <c r="APG18" s="105"/>
      <c r="APH18" s="105"/>
      <c r="API18" s="106"/>
      <c r="APJ18" s="106"/>
      <c r="APK18" s="107"/>
      <c r="APL18" s="108"/>
      <c r="APM18" s="109">
        <f t="shared" si="81"/>
        <v>0</v>
      </c>
      <c r="APN18" s="110"/>
      <c r="APO18" s="108" t="s">
        <v>35</v>
      </c>
      <c r="APR18" s="105"/>
      <c r="APS18" s="105"/>
      <c r="APT18" s="105"/>
      <c r="APU18" s="106"/>
      <c r="APV18" s="106"/>
      <c r="APW18" s="107"/>
      <c r="APX18" s="108"/>
      <c r="APY18" s="109">
        <f t="shared" si="82"/>
        <v>0</v>
      </c>
      <c r="APZ18" s="110"/>
      <c r="AQA18" s="108" t="s">
        <v>35</v>
      </c>
      <c r="AQD18" s="105"/>
      <c r="AQE18" s="105"/>
      <c r="AQF18" s="105"/>
      <c r="AQG18" s="106"/>
      <c r="AQH18" s="106"/>
      <c r="AQI18" s="107"/>
      <c r="AQJ18" s="108"/>
      <c r="AQK18" s="109">
        <f t="shared" si="83"/>
        <v>0</v>
      </c>
      <c r="AQL18" s="110"/>
      <c r="AQM18" s="108" t="s">
        <v>35</v>
      </c>
      <c r="AQP18" s="105"/>
      <c r="AQQ18" s="105"/>
      <c r="AQR18" s="105"/>
      <c r="AQS18" s="106"/>
      <c r="AQT18" s="106"/>
      <c r="AQU18" s="107"/>
      <c r="AQV18" s="108"/>
      <c r="AQW18" s="109">
        <f t="shared" si="84"/>
        <v>0</v>
      </c>
      <c r="AQX18" s="110"/>
      <c r="AQY18" s="108" t="s">
        <v>35</v>
      </c>
      <c r="ARB18" s="105"/>
      <c r="ARC18" s="105"/>
      <c r="ARD18" s="105"/>
      <c r="ARE18" s="106"/>
      <c r="ARF18" s="106"/>
      <c r="ARG18" s="107"/>
      <c r="ARH18" s="108"/>
      <c r="ARI18" s="109">
        <f t="shared" si="85"/>
        <v>0</v>
      </c>
      <c r="ARJ18" s="110"/>
      <c r="ARK18" s="108" t="s">
        <v>35</v>
      </c>
      <c r="ARN18" s="105"/>
      <c r="ARO18" s="105"/>
      <c r="ARP18" s="105"/>
      <c r="ARQ18" s="106"/>
      <c r="ARR18" s="106"/>
      <c r="ARS18" s="107"/>
      <c r="ART18" s="108"/>
      <c r="ARU18" s="109">
        <f t="shared" si="86"/>
        <v>0</v>
      </c>
      <c r="ARV18" s="110"/>
      <c r="ARW18" s="108" t="s">
        <v>35</v>
      </c>
      <c r="ARZ18" s="105"/>
      <c r="ASA18" s="105"/>
      <c r="ASB18" s="105"/>
      <c r="ASC18" s="106"/>
      <c r="ASD18" s="106"/>
      <c r="ASE18" s="107"/>
      <c r="ASF18" s="108"/>
      <c r="ASG18" s="109">
        <f t="shared" si="87"/>
        <v>0</v>
      </c>
      <c r="ASH18" s="110"/>
      <c r="ASI18" s="108" t="s">
        <v>35</v>
      </c>
      <c r="ASL18" s="105"/>
      <c r="ASM18" s="105"/>
      <c r="ASN18" s="105"/>
      <c r="ASO18" s="106"/>
      <c r="ASP18" s="106"/>
      <c r="ASQ18" s="107"/>
      <c r="ASR18" s="108"/>
      <c r="ASS18" s="109">
        <f t="shared" si="88"/>
        <v>0</v>
      </c>
      <c r="AST18" s="110"/>
      <c r="ASU18" s="108" t="s">
        <v>35</v>
      </c>
      <c r="ASX18" s="105"/>
      <c r="ASY18" s="105"/>
      <c r="ASZ18" s="105"/>
      <c r="ATA18" s="106"/>
      <c r="ATB18" s="106"/>
      <c r="ATC18" s="107"/>
      <c r="ATD18" s="108"/>
      <c r="ATE18" s="109">
        <f t="shared" si="89"/>
        <v>0</v>
      </c>
      <c r="ATF18" s="110"/>
      <c r="ATG18" s="108" t="s">
        <v>35</v>
      </c>
      <c r="ATJ18" s="105"/>
      <c r="ATK18" s="105"/>
      <c r="ATL18" s="105"/>
      <c r="ATM18" s="106"/>
      <c r="ATN18" s="106"/>
      <c r="ATO18" s="107"/>
      <c r="ATP18" s="108"/>
      <c r="ATQ18" s="109">
        <f t="shared" si="90"/>
        <v>0</v>
      </c>
      <c r="ATR18" s="110"/>
      <c r="ATS18" s="108" t="s">
        <v>35</v>
      </c>
      <c r="ATV18" s="105"/>
      <c r="ATW18" s="105"/>
      <c r="ATX18" s="105"/>
      <c r="ATY18" s="106"/>
      <c r="ATZ18" s="106"/>
      <c r="AUA18" s="107"/>
      <c r="AUB18" s="108"/>
      <c r="AUC18" s="109">
        <f t="shared" si="91"/>
        <v>0</v>
      </c>
      <c r="AUD18" s="110"/>
      <c r="AUE18" s="108" t="s">
        <v>35</v>
      </c>
      <c r="AUH18" s="105"/>
      <c r="AUI18" s="105"/>
      <c r="AUJ18" s="105"/>
      <c r="AUK18" s="106"/>
      <c r="AUL18" s="106"/>
      <c r="AUM18" s="107"/>
      <c r="AUN18" s="108"/>
      <c r="AUO18" s="109">
        <f t="shared" si="92"/>
        <v>0</v>
      </c>
      <c r="AUP18" s="110"/>
      <c r="AUQ18" s="108" t="s">
        <v>35</v>
      </c>
      <c r="AUT18" s="105"/>
      <c r="AUU18" s="105"/>
      <c r="AUV18" s="105"/>
      <c r="AUW18" s="106"/>
      <c r="AUX18" s="106"/>
      <c r="AUY18" s="107"/>
      <c r="AUZ18" s="108"/>
      <c r="AVA18" s="109">
        <f t="shared" si="93"/>
        <v>0</v>
      </c>
      <c r="AVB18" s="110"/>
      <c r="AVC18" s="108" t="s">
        <v>35</v>
      </c>
      <c r="AVF18" s="105"/>
      <c r="AVG18" s="105"/>
      <c r="AVH18" s="105"/>
      <c r="AVI18" s="106"/>
      <c r="AVJ18" s="106"/>
      <c r="AVK18" s="107"/>
      <c r="AVL18" s="108"/>
      <c r="AVM18" s="109">
        <f t="shared" si="94"/>
        <v>0</v>
      </c>
      <c r="AVN18" s="110"/>
      <c r="AVO18" s="108" t="s">
        <v>35</v>
      </c>
      <c r="AVR18" s="105"/>
      <c r="AVS18" s="105"/>
      <c r="AVT18" s="105"/>
      <c r="AVU18" s="106"/>
      <c r="AVV18" s="106"/>
      <c r="AVW18" s="107"/>
      <c r="AVX18" s="108"/>
      <c r="AVY18" s="109">
        <f t="shared" si="95"/>
        <v>0</v>
      </c>
      <c r="AVZ18" s="110"/>
      <c r="AWA18" s="108" t="s">
        <v>35</v>
      </c>
      <c r="AWD18" s="105"/>
      <c r="AWE18" s="105"/>
      <c r="AWF18" s="105"/>
      <c r="AWG18" s="106"/>
      <c r="AWH18" s="106"/>
      <c r="AWI18" s="107"/>
      <c r="AWJ18" s="108"/>
      <c r="AWK18" s="109">
        <f t="shared" si="96"/>
        <v>0</v>
      </c>
      <c r="AWL18" s="110"/>
      <c r="AWM18" s="108" t="s">
        <v>35</v>
      </c>
      <c r="AWP18" s="105"/>
      <c r="AWQ18" s="105"/>
      <c r="AWR18" s="105"/>
      <c r="AWS18" s="106"/>
      <c r="AWT18" s="106"/>
      <c r="AWU18" s="107"/>
      <c r="AWV18" s="108"/>
      <c r="AWW18" s="109">
        <f t="shared" si="97"/>
        <v>0</v>
      </c>
      <c r="AWX18" s="110"/>
      <c r="AWY18" s="108" t="s">
        <v>35</v>
      </c>
      <c r="AXB18" s="105"/>
      <c r="AXC18" s="105"/>
      <c r="AXD18" s="105"/>
      <c r="AXE18" s="106"/>
      <c r="AXF18" s="106"/>
      <c r="AXG18" s="107"/>
      <c r="AXH18" s="108"/>
      <c r="AXI18" s="109">
        <f t="shared" si="98"/>
        <v>0</v>
      </c>
      <c r="AXJ18" s="110"/>
      <c r="AXK18" s="108" t="s">
        <v>35</v>
      </c>
      <c r="AXN18" s="105"/>
      <c r="AXO18" s="105"/>
      <c r="AXP18" s="105"/>
      <c r="AXQ18" s="106"/>
      <c r="AXR18" s="106"/>
      <c r="AXS18" s="107"/>
      <c r="AXT18" s="108"/>
      <c r="AXU18" s="109">
        <f t="shared" si="99"/>
        <v>0</v>
      </c>
      <c r="AXV18" s="110"/>
      <c r="AXW18" s="108" t="s">
        <v>35</v>
      </c>
      <c r="AXZ18" s="105"/>
      <c r="AYA18" s="105"/>
      <c r="AYB18" s="105"/>
      <c r="AYC18" s="106"/>
      <c r="AYD18" s="106"/>
      <c r="AYE18" s="107"/>
      <c r="AYF18" s="108"/>
      <c r="AYG18" s="109">
        <f t="shared" si="100"/>
        <v>0</v>
      </c>
      <c r="AYH18" s="110"/>
      <c r="AYI18" s="108" t="s">
        <v>35</v>
      </c>
      <c r="AYL18" s="105"/>
      <c r="AYM18" s="105"/>
      <c r="AYN18" s="105"/>
      <c r="AYO18" s="106"/>
      <c r="AYP18" s="106"/>
      <c r="AYQ18" s="107"/>
      <c r="AYR18" s="108"/>
      <c r="AYS18" s="109">
        <f t="shared" si="101"/>
        <v>0</v>
      </c>
      <c r="AYT18" s="110"/>
      <c r="AYU18" s="108" t="s">
        <v>35</v>
      </c>
      <c r="AYX18" s="105"/>
      <c r="AYY18" s="105"/>
      <c r="AYZ18" s="105"/>
      <c r="AZA18" s="106"/>
      <c r="AZB18" s="106"/>
      <c r="AZC18" s="107"/>
      <c r="AZD18" s="108"/>
      <c r="AZE18" s="109">
        <f t="shared" si="102"/>
        <v>0</v>
      </c>
      <c r="AZF18" s="110"/>
      <c r="AZG18" s="108" t="s">
        <v>35</v>
      </c>
      <c r="AZJ18" s="105"/>
      <c r="AZK18" s="105"/>
      <c r="AZL18" s="105"/>
      <c r="AZM18" s="106"/>
      <c r="AZN18" s="106"/>
      <c r="AZO18" s="107"/>
      <c r="AZP18" s="108"/>
      <c r="AZQ18" s="109">
        <f t="shared" si="103"/>
        <v>0</v>
      </c>
      <c r="AZR18" s="110"/>
      <c r="AZS18" s="108" t="s">
        <v>35</v>
      </c>
      <c r="AZV18" s="105"/>
      <c r="AZW18" s="105"/>
      <c r="AZX18" s="105"/>
      <c r="AZY18" s="106"/>
      <c r="AZZ18" s="106"/>
      <c r="BAA18" s="107"/>
      <c r="BAB18" s="108"/>
      <c r="BAC18" s="109">
        <f t="shared" si="104"/>
        <v>0</v>
      </c>
      <c r="BAD18" s="110"/>
      <c r="BAE18" s="108" t="s">
        <v>35</v>
      </c>
      <c r="BAH18" s="105"/>
      <c r="BAI18" s="105"/>
      <c r="BAJ18" s="105"/>
      <c r="BAK18" s="106"/>
      <c r="BAL18" s="106"/>
      <c r="BAM18" s="107"/>
      <c r="BAN18" s="108"/>
      <c r="BAO18" s="109">
        <f t="shared" si="105"/>
        <v>0</v>
      </c>
      <c r="BAP18" s="110"/>
      <c r="BAQ18" s="108" t="s">
        <v>35</v>
      </c>
      <c r="BAT18" s="105"/>
      <c r="BAU18" s="105"/>
      <c r="BAV18" s="105"/>
      <c r="BAW18" s="106"/>
      <c r="BAX18" s="106"/>
      <c r="BAY18" s="107"/>
      <c r="BAZ18" s="108"/>
      <c r="BBA18" s="109">
        <f t="shared" si="106"/>
        <v>0</v>
      </c>
      <c r="BBB18" s="110"/>
      <c r="BBC18" s="108" t="s">
        <v>35</v>
      </c>
      <c r="BBF18" s="105"/>
      <c r="BBG18" s="105"/>
      <c r="BBH18" s="105"/>
      <c r="BBI18" s="106"/>
      <c r="BBJ18" s="106"/>
      <c r="BBK18" s="107"/>
      <c r="BBL18" s="108"/>
      <c r="BBM18" s="109">
        <f t="shared" si="107"/>
        <v>0</v>
      </c>
      <c r="BBN18" s="110"/>
      <c r="BBO18" s="108" t="s">
        <v>35</v>
      </c>
      <c r="BBR18" s="105"/>
      <c r="BBS18" s="105"/>
      <c r="BBT18" s="105"/>
      <c r="BBU18" s="106"/>
      <c r="BBV18" s="106"/>
      <c r="BBW18" s="107"/>
      <c r="BBX18" s="108"/>
      <c r="BBY18" s="109">
        <f t="shared" si="108"/>
        <v>0</v>
      </c>
      <c r="BBZ18" s="110"/>
      <c r="BCA18" s="108" t="s">
        <v>35</v>
      </c>
      <c r="BCD18" s="105"/>
      <c r="BCE18" s="105"/>
      <c r="BCF18" s="105"/>
      <c r="BCG18" s="106"/>
      <c r="BCH18" s="106"/>
      <c r="BCI18" s="107"/>
      <c r="BCJ18" s="108"/>
      <c r="BCK18" s="109">
        <f t="shared" si="109"/>
        <v>0</v>
      </c>
      <c r="BCL18" s="110"/>
      <c r="BCM18" s="108" t="s">
        <v>35</v>
      </c>
      <c r="BCP18" s="105"/>
      <c r="BCQ18" s="105"/>
      <c r="BCR18" s="105"/>
      <c r="BCS18" s="106"/>
      <c r="BCT18" s="106"/>
      <c r="BCU18" s="107"/>
      <c r="BCV18" s="108"/>
      <c r="BCW18" s="109">
        <f t="shared" si="110"/>
        <v>0</v>
      </c>
      <c r="BCX18" s="110"/>
      <c r="BCY18" s="108" t="s">
        <v>35</v>
      </c>
      <c r="BDB18" s="105"/>
      <c r="BDC18" s="105"/>
      <c r="BDD18" s="105"/>
      <c r="BDE18" s="106"/>
      <c r="BDF18" s="106"/>
      <c r="BDG18" s="107"/>
      <c r="BDH18" s="108"/>
      <c r="BDI18" s="109">
        <f t="shared" si="111"/>
        <v>0</v>
      </c>
      <c r="BDJ18" s="110"/>
      <c r="BDK18" s="108" t="s">
        <v>35</v>
      </c>
      <c r="BDN18" s="105"/>
      <c r="BDO18" s="105"/>
      <c r="BDP18" s="105"/>
      <c r="BDQ18" s="106"/>
      <c r="BDR18" s="106"/>
      <c r="BDS18" s="107"/>
      <c r="BDT18" s="108"/>
      <c r="BDU18" s="109">
        <f t="shared" si="112"/>
        <v>0</v>
      </c>
      <c r="BDV18" s="110"/>
      <c r="BDW18" s="108" t="s">
        <v>35</v>
      </c>
      <c r="BDZ18" s="105"/>
      <c r="BEA18" s="105"/>
      <c r="BEB18" s="105"/>
      <c r="BEC18" s="106"/>
      <c r="BED18" s="106"/>
      <c r="BEE18" s="107"/>
      <c r="BEF18" s="108"/>
      <c r="BEG18" s="109">
        <f t="shared" si="113"/>
        <v>0</v>
      </c>
      <c r="BEH18" s="110"/>
      <c r="BEI18" s="108" t="s">
        <v>35</v>
      </c>
      <c r="BEL18" s="105"/>
      <c r="BEM18" s="105"/>
      <c r="BEN18" s="105"/>
      <c r="BEO18" s="106"/>
      <c r="BEP18" s="106"/>
      <c r="BEQ18" s="107"/>
      <c r="BER18" s="108"/>
      <c r="BES18" s="109">
        <f t="shared" si="114"/>
        <v>0</v>
      </c>
      <c r="BET18" s="110"/>
      <c r="BEU18" s="108" t="s">
        <v>35</v>
      </c>
      <c r="BEX18" s="105"/>
      <c r="BEY18" s="105"/>
      <c r="BEZ18" s="105"/>
      <c r="BFA18" s="106"/>
      <c r="BFB18" s="106"/>
      <c r="BFC18" s="107"/>
      <c r="BFD18" s="108"/>
      <c r="BFE18" s="109">
        <f t="shared" si="115"/>
        <v>0</v>
      </c>
      <c r="BFF18" s="110"/>
      <c r="BFG18" s="108" t="s">
        <v>35</v>
      </c>
      <c r="BFJ18" s="105"/>
      <c r="BFK18" s="105"/>
      <c r="BFL18" s="105"/>
      <c r="BFM18" s="106"/>
      <c r="BFN18" s="106"/>
      <c r="BFO18" s="107"/>
      <c r="BFP18" s="108"/>
      <c r="BFQ18" s="109">
        <f t="shared" si="116"/>
        <v>0</v>
      </c>
      <c r="BFR18" s="110"/>
      <c r="BFS18" s="108" t="s">
        <v>35</v>
      </c>
      <c r="BFV18" s="105"/>
      <c r="BFW18" s="105"/>
      <c r="BFX18" s="105"/>
      <c r="BFY18" s="106"/>
      <c r="BFZ18" s="106"/>
      <c r="BGA18" s="107"/>
      <c r="BGB18" s="108"/>
      <c r="BGC18" s="109">
        <f t="shared" si="117"/>
        <v>0</v>
      </c>
      <c r="BGD18" s="110"/>
      <c r="BGE18" s="108" t="s">
        <v>35</v>
      </c>
      <c r="BGH18" s="105"/>
      <c r="BGI18" s="105"/>
      <c r="BGJ18" s="105"/>
      <c r="BGK18" s="106"/>
      <c r="BGL18" s="106"/>
      <c r="BGM18" s="107"/>
      <c r="BGN18" s="108"/>
      <c r="BGO18" s="109">
        <f t="shared" si="118"/>
        <v>0</v>
      </c>
      <c r="BGP18" s="110"/>
      <c r="BGQ18" s="108" t="s">
        <v>35</v>
      </c>
      <c r="BGT18" s="105"/>
      <c r="BGU18" s="105"/>
      <c r="BGV18" s="105"/>
      <c r="BGW18" s="106" t="s">
        <v>51</v>
      </c>
      <c r="BGX18" s="106"/>
      <c r="BGY18" s="107"/>
      <c r="BGZ18" s="108"/>
      <c r="BHA18" s="109">
        <f t="shared" si="119"/>
        <v>0</v>
      </c>
      <c r="BHB18" s="110"/>
      <c r="BHC18" s="108" t="s">
        <v>35</v>
      </c>
      <c r="BHF18" s="105"/>
      <c r="BHG18" s="105"/>
      <c r="BHH18" s="105"/>
      <c r="BHI18" s="106" t="s">
        <v>51</v>
      </c>
      <c r="BHJ18" s="106"/>
      <c r="BHK18" s="107"/>
      <c r="BHL18" s="108"/>
      <c r="BHM18" s="109">
        <f t="shared" si="120"/>
        <v>0</v>
      </c>
      <c r="BHN18" s="110"/>
      <c r="BHO18" s="108" t="s">
        <v>35</v>
      </c>
      <c r="BHR18" s="105"/>
      <c r="BHS18" s="105"/>
      <c r="BHT18" s="105"/>
      <c r="BHU18" s="106" t="s">
        <v>51</v>
      </c>
      <c r="BHV18" s="106"/>
      <c r="BHW18" s="107"/>
      <c r="BHX18" s="108"/>
      <c r="BHY18" s="109">
        <f t="shared" si="121"/>
        <v>0</v>
      </c>
      <c r="BHZ18" s="110"/>
      <c r="BIA18" s="108" t="s">
        <v>35</v>
      </c>
      <c r="BID18" s="105"/>
      <c r="BIE18" s="105"/>
      <c r="BIF18" s="105"/>
      <c r="BIG18" s="106" t="s">
        <v>51</v>
      </c>
      <c r="BIH18" s="106"/>
      <c r="BII18" s="107"/>
      <c r="BIJ18" s="108"/>
      <c r="BIK18" s="109">
        <f t="shared" si="122"/>
        <v>0</v>
      </c>
      <c r="BIL18" s="110"/>
      <c r="BIM18" s="108" t="s">
        <v>35</v>
      </c>
      <c r="BIP18" s="105"/>
      <c r="BIQ18" s="105"/>
      <c r="BIR18" s="105"/>
      <c r="BIS18" s="106"/>
      <c r="BIT18" s="106"/>
      <c r="BIU18" s="107"/>
      <c r="BIV18" s="108"/>
      <c r="BIW18" s="109">
        <f t="shared" si="123"/>
        <v>0</v>
      </c>
      <c r="BIX18" s="110"/>
      <c r="BIY18" s="108" t="s">
        <v>35</v>
      </c>
      <c r="BJB18" s="105"/>
      <c r="BJC18" s="105"/>
      <c r="BJD18" s="105"/>
      <c r="BJE18" s="106"/>
      <c r="BJF18" s="106"/>
      <c r="BJG18" s="107"/>
      <c r="BJH18" s="108"/>
      <c r="BJI18" s="109">
        <f t="shared" si="124"/>
        <v>0</v>
      </c>
      <c r="BJJ18" s="110"/>
      <c r="BJK18" s="108" t="s">
        <v>35</v>
      </c>
      <c r="BJN18" s="105"/>
      <c r="BJO18" s="105"/>
      <c r="BJP18" s="105"/>
      <c r="BJQ18" s="106"/>
      <c r="BJR18" s="106"/>
      <c r="BJS18" s="107"/>
      <c r="BJT18" s="108"/>
      <c r="BJU18" s="109">
        <f t="shared" si="125"/>
        <v>0</v>
      </c>
      <c r="BJV18" s="110"/>
      <c r="BJW18" s="108" t="s">
        <v>35</v>
      </c>
      <c r="BJZ18" s="105"/>
      <c r="BKA18" s="105"/>
      <c r="BKB18" s="105"/>
      <c r="BKC18" s="106"/>
      <c r="BKD18" s="106"/>
      <c r="BKE18" s="107"/>
      <c r="BKF18" s="108"/>
      <c r="BKG18" s="109">
        <f t="shared" si="126"/>
        <v>0</v>
      </c>
      <c r="BKH18" s="110"/>
      <c r="BKI18" s="108" t="s">
        <v>35</v>
      </c>
      <c r="BKL18" s="105"/>
      <c r="BKM18" s="105"/>
      <c r="BKN18" s="105"/>
      <c r="BKO18" s="106"/>
      <c r="BKP18" s="106"/>
      <c r="BKQ18" s="107"/>
      <c r="BKR18" s="108"/>
      <c r="BKS18" s="109">
        <f t="shared" si="127"/>
        <v>0</v>
      </c>
      <c r="BKT18" s="110"/>
      <c r="BKU18" s="108" t="s">
        <v>35</v>
      </c>
      <c r="BKX18" s="105"/>
      <c r="BKY18" s="105"/>
      <c r="BKZ18" s="105"/>
      <c r="BLA18" s="106"/>
      <c r="BLB18" s="106"/>
      <c r="BLC18" s="107"/>
      <c r="BLD18" s="108"/>
      <c r="BLE18" s="109">
        <f t="shared" si="128"/>
        <v>0</v>
      </c>
      <c r="BLF18" s="110"/>
      <c r="BLG18" s="108" t="s">
        <v>35</v>
      </c>
      <c r="BLJ18" s="105"/>
      <c r="BLK18" s="105"/>
      <c r="BLL18" s="105"/>
      <c r="BLM18" s="106"/>
      <c r="BLN18" s="106"/>
      <c r="BLO18" s="107"/>
      <c r="BLP18" s="108"/>
      <c r="BLQ18" s="109">
        <f t="shared" si="129"/>
        <v>0</v>
      </c>
      <c r="BLR18" s="110"/>
      <c r="BLS18" s="108" t="s">
        <v>35</v>
      </c>
      <c r="BLV18" s="105"/>
      <c r="BLW18" s="105"/>
      <c r="BLX18" s="105"/>
      <c r="BLY18" s="106"/>
      <c r="BLZ18" s="106"/>
      <c r="BMA18" s="107"/>
      <c r="BMB18" s="108"/>
      <c r="BMC18" s="109">
        <f t="shared" si="130"/>
        <v>0</v>
      </c>
      <c r="BMD18" s="110"/>
      <c r="BME18" s="108" t="s">
        <v>35</v>
      </c>
      <c r="BMH18" s="105"/>
      <c r="BMI18" s="105"/>
      <c r="BMJ18" s="105"/>
      <c r="BMK18" s="106"/>
      <c r="BML18" s="106"/>
      <c r="BMM18" s="107"/>
      <c r="BMN18" s="108"/>
      <c r="BMO18" s="109">
        <f t="shared" si="131"/>
        <v>0</v>
      </c>
      <c r="BMP18" s="110"/>
      <c r="BMQ18" s="108" t="s">
        <v>35</v>
      </c>
      <c r="BMT18" s="105"/>
      <c r="BMU18" s="105"/>
      <c r="BMV18" s="105"/>
      <c r="BMW18" s="106"/>
      <c r="BMX18" s="106"/>
      <c r="BMY18" s="107"/>
      <c r="BMZ18" s="108"/>
      <c r="BNA18" s="109">
        <f t="shared" si="132"/>
        <v>0</v>
      </c>
      <c r="BNB18" s="110"/>
      <c r="BNC18" s="108" t="s">
        <v>35</v>
      </c>
      <c r="BNF18" s="105"/>
      <c r="BNG18" s="105"/>
      <c r="BNH18" s="105"/>
      <c r="BNI18" s="106"/>
      <c r="BNJ18" s="106"/>
      <c r="BNK18" s="107"/>
      <c r="BNL18" s="108"/>
      <c r="BNM18" s="109">
        <f t="shared" si="133"/>
        <v>0</v>
      </c>
      <c r="BNN18" s="110"/>
      <c r="BNO18" s="108" t="s">
        <v>35</v>
      </c>
      <c r="BNR18" s="105"/>
      <c r="BNS18" s="105"/>
      <c r="BNT18" s="105"/>
      <c r="BNU18" s="106"/>
      <c r="BNV18" s="106"/>
      <c r="BNW18" s="107"/>
      <c r="BNX18" s="108"/>
      <c r="BNY18" s="109">
        <f t="shared" si="134"/>
        <v>0</v>
      </c>
      <c r="BNZ18" s="110"/>
      <c r="BOA18" s="108" t="s">
        <v>35</v>
      </c>
      <c r="BOD18" s="105"/>
      <c r="BOE18" s="105"/>
      <c r="BOF18" s="105"/>
      <c r="BOG18" s="106"/>
      <c r="BOH18" s="106"/>
      <c r="BOI18" s="107"/>
      <c r="BOJ18" s="108"/>
      <c r="BOK18" s="109">
        <f t="shared" si="135"/>
        <v>0</v>
      </c>
      <c r="BOL18" s="110"/>
      <c r="BOM18" s="108" t="s">
        <v>35</v>
      </c>
      <c r="BOP18" s="105"/>
      <c r="BOQ18" s="105"/>
      <c r="BOR18" s="105"/>
      <c r="BOS18" s="106"/>
      <c r="BOT18" s="106"/>
      <c r="BOU18" s="107"/>
      <c r="BOV18" s="108"/>
      <c r="BOW18" s="109">
        <f t="shared" si="136"/>
        <v>0</v>
      </c>
      <c r="BOX18" s="110"/>
      <c r="BOY18" s="108" t="s">
        <v>35</v>
      </c>
      <c r="BPB18" s="105"/>
      <c r="BPC18" s="105"/>
      <c r="BPD18" s="105"/>
      <c r="BPE18" s="106"/>
      <c r="BPF18" s="106"/>
      <c r="BPG18" s="107"/>
      <c r="BPH18" s="108"/>
      <c r="BPI18" s="109">
        <f t="shared" si="137"/>
        <v>0</v>
      </c>
      <c r="BPJ18" s="110"/>
      <c r="BPK18" s="108" t="s">
        <v>35</v>
      </c>
      <c r="BPN18" s="105"/>
      <c r="BPO18" s="105"/>
      <c r="BPP18" s="105"/>
      <c r="BPQ18" s="106"/>
      <c r="BPR18" s="106"/>
      <c r="BPS18" s="107"/>
      <c r="BPT18" s="108"/>
      <c r="BPU18" s="109">
        <f t="shared" si="138"/>
        <v>0</v>
      </c>
      <c r="BPV18" s="110"/>
      <c r="BPW18" s="108" t="s">
        <v>35</v>
      </c>
      <c r="BPZ18" s="105"/>
      <c r="BQA18" s="105"/>
      <c r="BQB18" s="105"/>
      <c r="BQC18" s="106"/>
      <c r="BQD18" s="106"/>
      <c r="BQE18" s="107"/>
      <c r="BQF18" s="108"/>
      <c r="BQG18" s="109">
        <f t="shared" si="139"/>
        <v>0</v>
      </c>
      <c r="BQH18" s="110"/>
      <c r="BQI18" s="108" t="s">
        <v>35</v>
      </c>
      <c r="BQL18" s="105"/>
      <c r="BQM18" s="105"/>
      <c r="BQN18" s="105"/>
      <c r="BQO18" s="106"/>
      <c r="BQP18" s="106"/>
      <c r="BQQ18" s="107"/>
      <c r="BQR18" s="108"/>
      <c r="BQS18" s="109">
        <f t="shared" si="140"/>
        <v>0</v>
      </c>
      <c r="BQT18" s="110"/>
      <c r="BQU18" s="108" t="s">
        <v>35</v>
      </c>
      <c r="BQX18" s="105"/>
      <c r="BQY18" s="105"/>
      <c r="BQZ18" s="105"/>
      <c r="BRA18" s="106"/>
      <c r="BRB18" s="106"/>
      <c r="BRC18" s="107"/>
      <c r="BRD18" s="108"/>
      <c r="BRE18" s="109">
        <f t="shared" si="141"/>
        <v>0</v>
      </c>
      <c r="BRF18" s="110"/>
      <c r="BRG18" s="108" t="s">
        <v>35</v>
      </c>
      <c r="BRJ18" s="105"/>
      <c r="BRK18" s="105"/>
      <c r="BRL18" s="105"/>
      <c r="BRM18" s="106"/>
      <c r="BRN18" s="106"/>
      <c r="BRO18" s="107"/>
      <c r="BRP18" s="108"/>
      <c r="BRQ18" s="109">
        <f t="shared" si="142"/>
        <v>0</v>
      </c>
      <c r="BRR18" s="110"/>
      <c r="BRS18" s="108" t="s">
        <v>35</v>
      </c>
      <c r="BRV18" s="105"/>
      <c r="BRW18" s="105"/>
      <c r="BRX18" s="105"/>
      <c r="BRY18" s="106"/>
      <c r="BRZ18" s="106"/>
      <c r="BSA18" s="107"/>
      <c r="BSB18" s="108"/>
      <c r="BSC18" s="109">
        <f t="shared" si="143"/>
        <v>0</v>
      </c>
      <c r="BSD18" s="110"/>
      <c r="BSE18" s="108" t="s">
        <v>35</v>
      </c>
      <c r="BSH18" s="105"/>
      <c r="BSI18" s="105"/>
      <c r="BSJ18" s="105"/>
      <c r="BSK18" s="106"/>
      <c r="BSL18" s="106"/>
      <c r="BSM18" s="107"/>
      <c r="BSN18" s="108"/>
      <c r="BSO18" s="109">
        <f t="shared" si="144"/>
        <v>0</v>
      </c>
      <c r="BSP18" s="110"/>
      <c r="BSQ18" s="108" t="s">
        <v>35</v>
      </c>
      <c r="BST18" s="105"/>
      <c r="BSU18" s="105"/>
      <c r="BSV18" s="105"/>
      <c r="BSW18" s="106"/>
      <c r="BSX18" s="106"/>
      <c r="BSY18" s="107"/>
      <c r="BSZ18" s="108"/>
      <c r="BTA18" s="109">
        <f t="shared" si="145"/>
        <v>0</v>
      </c>
      <c r="BTB18" s="110"/>
      <c r="BTC18" s="108" t="s">
        <v>35</v>
      </c>
      <c r="BTF18" s="105"/>
      <c r="BTG18" s="105"/>
      <c r="BTH18" s="105"/>
      <c r="BTI18" s="106"/>
      <c r="BTJ18" s="106"/>
      <c r="BTK18" s="107"/>
      <c r="BTL18" s="108"/>
      <c r="BTM18" s="109">
        <f t="shared" si="146"/>
        <v>0</v>
      </c>
      <c r="BTN18" s="110"/>
      <c r="BTO18" s="108" t="s">
        <v>35</v>
      </c>
      <c r="BTR18" s="105"/>
      <c r="BTS18" s="105"/>
      <c r="BTT18" s="105"/>
      <c r="BTU18" s="106"/>
      <c r="BTV18" s="106"/>
      <c r="BTW18" s="107"/>
      <c r="BTX18" s="108"/>
      <c r="BTY18" s="109">
        <f t="shared" si="147"/>
        <v>0</v>
      </c>
      <c r="BTZ18" s="110"/>
      <c r="BUA18" s="108" t="s">
        <v>35</v>
      </c>
      <c r="BUD18" s="105"/>
      <c r="BUE18" s="105"/>
      <c r="BUF18" s="105"/>
      <c r="BUG18" s="106"/>
      <c r="BUH18" s="106"/>
      <c r="BUI18" s="107"/>
      <c r="BUJ18" s="108"/>
      <c r="BUK18" s="109">
        <f t="shared" si="148"/>
        <v>0</v>
      </c>
      <c r="BUL18" s="110"/>
      <c r="BUM18" s="108" t="s">
        <v>35</v>
      </c>
      <c r="BUP18" s="105"/>
      <c r="BUQ18" s="105"/>
      <c r="BUR18" s="105"/>
      <c r="BUS18" s="106"/>
      <c r="BUT18" s="106"/>
      <c r="BUU18" s="107"/>
      <c r="BUV18" s="108"/>
      <c r="BUW18" s="109">
        <f t="shared" si="149"/>
        <v>0</v>
      </c>
      <c r="BUX18" s="110"/>
      <c r="BUY18" s="108" t="s">
        <v>35</v>
      </c>
      <c r="BVB18" s="105"/>
      <c r="BVC18" s="105"/>
      <c r="BVD18" s="105"/>
      <c r="BVE18" s="106"/>
      <c r="BVF18" s="106"/>
      <c r="BVG18" s="107"/>
      <c r="BVH18" s="108"/>
      <c r="BVI18" s="109">
        <f t="shared" si="150"/>
        <v>0</v>
      </c>
      <c r="BVJ18" s="110"/>
      <c r="BVK18" s="108" t="s">
        <v>35</v>
      </c>
      <c r="BVN18" s="105"/>
      <c r="BVO18" s="105"/>
      <c r="BVP18" s="105"/>
      <c r="BVQ18" s="106"/>
      <c r="BVR18" s="106"/>
      <c r="BVS18" s="107"/>
      <c r="BVT18" s="108"/>
      <c r="BVU18" s="109">
        <f t="shared" si="151"/>
        <v>0</v>
      </c>
      <c r="BVV18" s="110"/>
      <c r="BVW18" s="108" t="s">
        <v>35</v>
      </c>
      <c r="BVZ18" s="105"/>
      <c r="BWA18" s="105"/>
      <c r="BWB18" s="105"/>
      <c r="BWC18" s="106"/>
      <c r="BWD18" s="106"/>
      <c r="BWE18" s="107"/>
      <c r="BWF18" s="108"/>
      <c r="BWG18" s="109">
        <f t="shared" si="152"/>
        <v>0</v>
      </c>
      <c r="BWH18" s="110"/>
      <c r="BWI18" s="108" t="s">
        <v>35</v>
      </c>
      <c r="BWL18" s="105"/>
      <c r="BWM18" s="105"/>
      <c r="BWN18" s="105"/>
      <c r="BWO18" s="106"/>
      <c r="BWP18" s="106"/>
      <c r="BWQ18" s="107"/>
      <c r="BWR18" s="108"/>
      <c r="BWS18" s="109">
        <f t="shared" si="153"/>
        <v>0</v>
      </c>
      <c r="BWT18" s="110"/>
      <c r="BWU18" s="108" t="s">
        <v>35</v>
      </c>
      <c r="BWX18" s="105"/>
      <c r="BWY18" s="105"/>
      <c r="BWZ18" s="105"/>
      <c r="BXA18" s="106"/>
      <c r="BXB18" s="106"/>
      <c r="BXC18" s="107"/>
      <c r="BXD18" s="108"/>
      <c r="BXE18" s="109">
        <f t="shared" si="154"/>
        <v>0</v>
      </c>
      <c r="BXF18" s="110"/>
      <c r="BXG18" s="108" t="s">
        <v>35</v>
      </c>
      <c r="BXJ18" s="105"/>
      <c r="BXK18" s="105"/>
      <c r="BXL18" s="105"/>
      <c r="BXM18" s="106"/>
      <c r="BXN18" s="106"/>
      <c r="BXO18" s="107"/>
      <c r="BXP18" s="108"/>
      <c r="BXQ18" s="109">
        <f t="shared" si="155"/>
        <v>0</v>
      </c>
      <c r="BXR18" s="110"/>
      <c r="BXS18" s="108" t="s">
        <v>35</v>
      </c>
      <c r="BXV18" s="105"/>
      <c r="BXW18" s="105"/>
      <c r="BXX18" s="105"/>
      <c r="BXY18" s="106"/>
      <c r="BXZ18" s="106"/>
      <c r="BYA18" s="107"/>
      <c r="BYB18" s="108"/>
      <c r="BYC18" s="109">
        <f t="shared" si="156"/>
        <v>0</v>
      </c>
      <c r="BYD18" s="110"/>
      <c r="BYE18" s="108" t="s">
        <v>35</v>
      </c>
      <c r="BYH18" s="105"/>
      <c r="BYI18" s="105"/>
      <c r="BYJ18" s="105"/>
      <c r="BYK18" s="106"/>
      <c r="BYL18" s="106"/>
      <c r="BYM18" s="107"/>
      <c r="BYN18" s="108"/>
      <c r="BYO18" s="109">
        <f t="shared" si="157"/>
        <v>0</v>
      </c>
      <c r="BYP18" s="110"/>
      <c r="BYQ18" s="108" t="s">
        <v>35</v>
      </c>
      <c r="BYT18" s="105"/>
      <c r="BYU18" s="105"/>
      <c r="BYV18" s="105"/>
      <c r="BYW18" s="106"/>
      <c r="BYX18" s="106"/>
      <c r="BYY18" s="107"/>
      <c r="BYZ18" s="108"/>
      <c r="BZA18" s="109">
        <f t="shared" si="158"/>
        <v>0</v>
      </c>
      <c r="BZB18" s="110"/>
      <c r="BZC18" s="108" t="s">
        <v>35</v>
      </c>
      <c r="BZF18" s="105"/>
      <c r="BZG18" s="105"/>
      <c r="BZH18" s="105"/>
      <c r="BZI18" s="106"/>
      <c r="BZJ18" s="106"/>
      <c r="BZK18" s="107"/>
      <c r="BZL18" s="108"/>
      <c r="BZM18" s="109">
        <f t="shared" si="159"/>
        <v>0</v>
      </c>
      <c r="BZN18" s="110"/>
      <c r="BZO18" s="108" t="s">
        <v>35</v>
      </c>
      <c r="BZR18" s="105"/>
      <c r="BZS18" s="105"/>
      <c r="BZT18" s="105"/>
      <c r="BZU18" s="106"/>
      <c r="BZV18" s="106"/>
      <c r="BZW18" s="107"/>
      <c r="BZX18" s="108"/>
      <c r="BZY18" s="109">
        <f t="shared" si="160"/>
        <v>0</v>
      </c>
      <c r="BZZ18" s="110"/>
      <c r="CAA18" s="108" t="s">
        <v>35</v>
      </c>
      <c r="CAD18" s="105"/>
      <c r="CAE18" s="105"/>
      <c r="CAF18" s="105"/>
      <c r="CAG18" s="106"/>
      <c r="CAH18" s="106"/>
      <c r="CAI18" s="107"/>
      <c r="CAJ18" s="108"/>
      <c r="CAK18" s="109">
        <f t="shared" si="161"/>
        <v>0</v>
      </c>
      <c r="CAL18" s="110"/>
      <c r="CAM18" s="108" t="s">
        <v>35</v>
      </c>
      <c r="CAP18" s="105"/>
      <c r="CAQ18" s="105"/>
      <c r="CAR18" s="105"/>
      <c r="CAS18" s="106"/>
      <c r="CAT18" s="106"/>
      <c r="CAU18" s="107"/>
      <c r="CAV18" s="108"/>
      <c r="CAW18" s="109">
        <f t="shared" si="162"/>
        <v>0</v>
      </c>
      <c r="CAX18" s="110"/>
      <c r="CAY18" s="108" t="s">
        <v>35</v>
      </c>
      <c r="CBB18" s="105"/>
      <c r="CBC18" s="105"/>
      <c r="CBD18" s="105"/>
      <c r="CBE18" s="106"/>
      <c r="CBF18" s="106"/>
      <c r="CBG18" s="107"/>
      <c r="CBH18" s="108"/>
      <c r="CBI18" s="109">
        <f t="shared" si="163"/>
        <v>0</v>
      </c>
      <c r="CBJ18" s="110"/>
      <c r="CBK18" s="108" t="s">
        <v>35</v>
      </c>
      <c r="CBN18" s="105"/>
      <c r="CBO18" s="105"/>
      <c r="CBP18" s="105"/>
      <c r="CBQ18" s="106"/>
      <c r="CBR18" s="106"/>
      <c r="CBS18" s="107"/>
      <c r="CBT18" s="108"/>
      <c r="CBU18" s="109">
        <f t="shared" si="164"/>
        <v>0</v>
      </c>
      <c r="CBV18" s="110"/>
      <c r="CBW18" s="108" t="s">
        <v>35</v>
      </c>
      <c r="CBZ18" s="105"/>
      <c r="CCA18" s="105"/>
      <c r="CCB18" s="105"/>
      <c r="CCC18" s="106"/>
      <c r="CCD18" s="106"/>
      <c r="CCE18" s="107"/>
      <c r="CCF18" s="108"/>
      <c r="CCG18" s="109">
        <f t="shared" si="165"/>
        <v>0</v>
      </c>
      <c r="CCH18" s="110"/>
      <c r="CCI18" s="108" t="s">
        <v>35</v>
      </c>
      <c r="CCL18" s="105"/>
      <c r="CCM18" s="105"/>
      <c r="CCN18" s="105"/>
      <c r="CCO18" s="106"/>
      <c r="CCP18" s="106"/>
      <c r="CCQ18" s="107"/>
      <c r="CCR18" s="108"/>
      <c r="CCS18" s="109">
        <f t="shared" si="166"/>
        <v>0</v>
      </c>
      <c r="CCT18" s="110"/>
      <c r="CCU18" s="108" t="s">
        <v>35</v>
      </c>
      <c r="CCX18" s="105"/>
      <c r="CCY18" s="105"/>
      <c r="CCZ18" s="105"/>
      <c r="CDA18" s="106"/>
      <c r="CDB18" s="106"/>
      <c r="CDC18" s="107"/>
      <c r="CDD18" s="108"/>
      <c r="CDE18" s="109">
        <f t="shared" si="167"/>
        <v>0</v>
      </c>
      <c r="CDF18" s="110"/>
      <c r="CDG18" s="108" t="s">
        <v>35</v>
      </c>
      <c r="CDJ18" s="105"/>
      <c r="CDK18" s="105"/>
      <c r="CDL18" s="105"/>
      <c r="CDM18" s="106"/>
      <c r="CDN18" s="106"/>
      <c r="CDO18" s="107"/>
      <c r="CDP18" s="108"/>
      <c r="CDQ18" s="109">
        <f t="shared" si="168"/>
        <v>0</v>
      </c>
      <c r="CDR18" s="110"/>
      <c r="CDS18" s="108" t="s">
        <v>35</v>
      </c>
      <c r="CDV18" s="105"/>
      <c r="CDW18" s="105"/>
      <c r="CDX18" s="105"/>
      <c r="CDY18" s="106"/>
      <c r="CDZ18" s="106"/>
      <c r="CEA18" s="107"/>
      <c r="CEB18" s="108"/>
      <c r="CEC18" s="109">
        <f t="shared" si="169"/>
        <v>0</v>
      </c>
      <c r="CED18" s="110"/>
      <c r="CEE18" s="108" t="s">
        <v>35</v>
      </c>
      <c r="CEH18" s="105"/>
      <c r="CEI18" s="105"/>
      <c r="CEJ18" s="105"/>
      <c r="CEK18" s="106"/>
      <c r="CEL18" s="106"/>
      <c r="CEM18" s="107"/>
      <c r="CEN18" s="108"/>
      <c r="CEO18" s="109">
        <f t="shared" si="170"/>
        <v>0</v>
      </c>
      <c r="CEP18" s="110"/>
      <c r="CEQ18" s="108" t="s">
        <v>35</v>
      </c>
      <c r="CET18" s="105"/>
      <c r="CEU18" s="105"/>
      <c r="CEV18" s="105"/>
      <c r="CEW18" s="106"/>
      <c r="CEX18" s="106"/>
      <c r="CEY18" s="107"/>
      <c r="CEZ18" s="108"/>
      <c r="CFA18" s="109">
        <f t="shared" si="171"/>
        <v>0</v>
      </c>
      <c r="CFB18" s="110"/>
      <c r="CFC18" s="108" t="s">
        <v>35</v>
      </c>
      <c r="CFF18" s="105"/>
      <c r="CFG18" s="105"/>
      <c r="CFH18" s="105"/>
      <c r="CFI18" s="106"/>
      <c r="CFJ18" s="106"/>
      <c r="CFK18" s="107"/>
      <c r="CFL18" s="108"/>
      <c r="CFM18" s="109">
        <f t="shared" si="172"/>
        <v>0</v>
      </c>
      <c r="CFN18" s="110"/>
      <c r="CFO18" s="108" t="s">
        <v>35</v>
      </c>
      <c r="CFR18" s="105"/>
      <c r="CFS18" s="105"/>
      <c r="CFT18" s="105"/>
      <c r="CFU18" s="106"/>
      <c r="CFV18" s="106"/>
      <c r="CFW18" s="107"/>
      <c r="CFX18" s="108"/>
      <c r="CFY18" s="109">
        <f t="shared" si="173"/>
        <v>0</v>
      </c>
      <c r="CFZ18" s="110"/>
      <c r="CGA18" s="108" t="s">
        <v>35</v>
      </c>
      <c r="CGD18" s="105"/>
      <c r="CGE18" s="105"/>
      <c r="CGF18" s="105"/>
      <c r="CGG18" s="106"/>
      <c r="CGH18" s="106"/>
      <c r="CGI18" s="107"/>
      <c r="CGJ18" s="108"/>
      <c r="CGK18" s="109">
        <f t="shared" si="174"/>
        <v>0</v>
      </c>
      <c r="CGL18" s="110"/>
      <c r="CGM18" s="108" t="s">
        <v>35</v>
      </c>
      <c r="CGP18" s="105"/>
      <c r="CGQ18" s="105"/>
      <c r="CGR18" s="105"/>
      <c r="CGS18" s="106"/>
      <c r="CGT18" s="106"/>
      <c r="CGU18" s="107"/>
      <c r="CGV18" s="108"/>
      <c r="CGW18" s="109">
        <f t="shared" si="175"/>
        <v>0</v>
      </c>
      <c r="CGX18" s="110"/>
      <c r="CGY18" s="108" t="s">
        <v>35</v>
      </c>
      <c r="CHB18" s="105"/>
      <c r="CHC18" s="105"/>
      <c r="CHD18" s="105"/>
      <c r="CHE18" s="106"/>
      <c r="CHF18" s="106"/>
      <c r="CHG18" s="107"/>
      <c r="CHH18" s="108"/>
      <c r="CHI18" s="109">
        <f t="shared" si="176"/>
        <v>0</v>
      </c>
      <c r="CHJ18" s="110"/>
      <c r="CHK18" s="108" t="s">
        <v>35</v>
      </c>
      <c r="CHN18" s="105"/>
      <c r="CHO18" s="105"/>
      <c r="CHP18" s="105"/>
      <c r="CHQ18" s="106"/>
      <c r="CHR18" s="106"/>
      <c r="CHS18" s="107"/>
      <c r="CHT18" s="108"/>
      <c r="CHU18" s="109">
        <f t="shared" si="177"/>
        <v>0</v>
      </c>
      <c r="CHV18" s="110"/>
      <c r="CHW18" s="108" t="s">
        <v>35</v>
      </c>
      <c r="CHZ18" s="105"/>
      <c r="CIA18" s="105"/>
      <c r="CIB18" s="105"/>
      <c r="CIC18" s="106"/>
      <c r="CID18" s="106"/>
      <c r="CIE18" s="107"/>
      <c r="CIF18" s="108"/>
      <c r="CIG18" s="109">
        <f t="shared" si="178"/>
        <v>0</v>
      </c>
      <c r="CIH18" s="110"/>
      <c r="CII18" s="108" t="s">
        <v>35</v>
      </c>
      <c r="CIL18" s="105"/>
      <c r="CIM18" s="105"/>
      <c r="CIN18" s="105"/>
      <c r="CIO18" s="106"/>
      <c r="CIP18" s="106"/>
      <c r="CIQ18" s="107"/>
      <c r="CIR18" s="108"/>
      <c r="CIS18" s="109">
        <f t="shared" si="179"/>
        <v>0</v>
      </c>
      <c r="CIT18" s="110"/>
      <c r="CIU18" s="108" t="s">
        <v>35</v>
      </c>
      <c r="CIX18" s="105"/>
      <c r="CIY18" s="105"/>
      <c r="CIZ18" s="105"/>
      <c r="CJA18" s="106"/>
      <c r="CJB18" s="106"/>
      <c r="CJC18" s="107"/>
      <c r="CJD18" s="108"/>
      <c r="CJE18" s="109">
        <f t="shared" si="180"/>
        <v>0</v>
      </c>
      <c r="CJF18" s="110"/>
      <c r="CJG18" s="108" t="s">
        <v>35</v>
      </c>
      <c r="CJJ18" s="105"/>
      <c r="CJK18" s="105"/>
      <c r="CJL18" s="105"/>
      <c r="CJM18" s="106"/>
      <c r="CJN18" s="106"/>
      <c r="CJO18" s="107"/>
      <c r="CJP18" s="108"/>
      <c r="CJQ18" s="109">
        <f t="shared" si="181"/>
        <v>0</v>
      </c>
      <c r="CJR18" s="110"/>
      <c r="CJS18" s="108" t="s">
        <v>35</v>
      </c>
      <c r="CJV18" s="105"/>
      <c r="CJW18" s="105"/>
      <c r="CJX18" s="105"/>
      <c r="CJY18" s="106"/>
      <c r="CJZ18" s="106"/>
      <c r="CKA18" s="107"/>
      <c r="CKB18" s="108"/>
      <c r="CKC18" s="109">
        <f t="shared" si="182"/>
        <v>0</v>
      </c>
      <c r="CKD18" s="110"/>
      <c r="CKE18" s="108" t="s">
        <v>35</v>
      </c>
      <c r="CKH18" s="105"/>
      <c r="CKI18" s="105"/>
      <c r="CKJ18" s="105"/>
      <c r="CKK18" s="106"/>
      <c r="CKL18" s="106"/>
      <c r="CKM18" s="107"/>
      <c r="CKN18" s="108"/>
      <c r="CKO18" s="109">
        <f t="shared" si="183"/>
        <v>0</v>
      </c>
      <c r="CKP18" s="110"/>
      <c r="CKQ18" s="108" t="s">
        <v>35</v>
      </c>
      <c r="CKT18" s="105"/>
      <c r="CKU18" s="105"/>
      <c r="CKV18" s="105"/>
      <c r="CKW18" s="106"/>
      <c r="CKX18" s="106"/>
      <c r="CKY18" s="107"/>
      <c r="CKZ18" s="108"/>
      <c r="CLA18" s="109">
        <f t="shared" si="184"/>
        <v>0</v>
      </c>
      <c r="CLB18" s="110"/>
      <c r="CLC18" s="108" t="s">
        <v>35</v>
      </c>
      <c r="CLF18" s="105"/>
      <c r="CLG18" s="105"/>
      <c r="CLH18" s="105"/>
      <c r="CLI18" s="106"/>
      <c r="CLJ18" s="106"/>
      <c r="CLK18" s="107"/>
      <c r="CLL18" s="108"/>
      <c r="CLM18" s="109">
        <f t="shared" si="185"/>
        <v>0</v>
      </c>
      <c r="CLN18" s="110"/>
      <c r="CLO18" s="108" t="s">
        <v>35</v>
      </c>
      <c r="CLR18" s="105"/>
      <c r="CLS18" s="105"/>
      <c r="CLT18" s="105"/>
      <c r="CLU18" s="106"/>
      <c r="CLV18" s="106"/>
      <c r="CLW18" s="107"/>
      <c r="CLX18" s="108"/>
      <c r="CLY18" s="109">
        <f t="shared" si="186"/>
        <v>0</v>
      </c>
      <c r="CLZ18" s="110"/>
      <c r="CMA18" s="108" t="s">
        <v>35</v>
      </c>
      <c r="CMD18" s="105"/>
      <c r="CME18" s="105"/>
      <c r="CMF18" s="105"/>
      <c r="CMG18" s="106"/>
      <c r="CMH18" s="106"/>
      <c r="CMI18" s="107"/>
      <c r="CMJ18" s="108"/>
      <c r="CMK18" s="109">
        <f t="shared" si="187"/>
        <v>0</v>
      </c>
      <c r="CML18" s="110"/>
      <c r="CMM18" s="108" t="s">
        <v>35</v>
      </c>
      <c r="CMP18" s="105"/>
      <c r="CMQ18" s="105"/>
      <c r="CMR18" s="105"/>
      <c r="CMS18" s="106"/>
      <c r="CMT18" s="106"/>
      <c r="CMU18" s="107"/>
      <c r="CMV18" s="108"/>
      <c r="CMW18" s="109">
        <f t="shared" si="188"/>
        <v>0</v>
      </c>
      <c r="CMX18" s="110"/>
      <c r="CMY18" s="108" t="s">
        <v>35</v>
      </c>
      <c r="CNB18" s="105"/>
      <c r="CNC18" s="105"/>
      <c r="CND18" s="105"/>
      <c r="CNE18" s="106"/>
      <c r="CNF18" s="106"/>
      <c r="CNG18" s="107"/>
      <c r="CNH18" s="108"/>
      <c r="CNI18" s="109">
        <f t="shared" si="189"/>
        <v>0</v>
      </c>
      <c r="CNJ18" s="110"/>
      <c r="CNK18" s="108" t="s">
        <v>35</v>
      </c>
      <c r="CNN18" s="105"/>
      <c r="CNO18" s="105"/>
      <c r="CNP18" s="105"/>
      <c r="CNQ18" s="106"/>
      <c r="CNR18" s="106"/>
      <c r="CNS18" s="107"/>
      <c r="CNT18" s="108"/>
      <c r="CNU18" s="109">
        <f t="shared" si="190"/>
        <v>0</v>
      </c>
      <c r="CNV18" s="110"/>
      <c r="CNW18" s="108" t="s">
        <v>35</v>
      </c>
      <c r="CNZ18" s="105"/>
      <c r="COA18" s="105"/>
      <c r="COB18" s="105"/>
      <c r="COC18" s="106"/>
      <c r="COD18" s="106"/>
      <c r="COE18" s="107"/>
      <c r="COF18" s="108"/>
      <c r="COG18" s="109">
        <f t="shared" si="191"/>
        <v>0</v>
      </c>
      <c r="COH18" s="110"/>
      <c r="COI18" s="108" t="s">
        <v>35</v>
      </c>
      <c r="COL18" s="105"/>
      <c r="COM18" s="105"/>
      <c r="CON18" s="105"/>
      <c r="COO18" s="106"/>
      <c r="COP18" s="106"/>
      <c r="COQ18" s="107"/>
      <c r="COR18" s="108"/>
      <c r="COS18" s="109">
        <f t="shared" si="194"/>
        <v>0</v>
      </c>
      <c r="COT18" s="110"/>
      <c r="COU18" s="108" t="s">
        <v>35</v>
      </c>
      <c r="COX18" s="105"/>
      <c r="COY18" s="105"/>
      <c r="COZ18" s="105"/>
      <c r="CPA18" s="106"/>
      <c r="CPB18" s="106"/>
      <c r="CPC18" s="107"/>
      <c r="CPD18" s="108"/>
      <c r="CPE18" s="109">
        <f t="shared" si="195"/>
        <v>0</v>
      </c>
      <c r="CPF18" s="110"/>
      <c r="CPG18" s="108" t="s">
        <v>35</v>
      </c>
      <c r="CPJ18" s="105"/>
      <c r="CPK18" s="105"/>
      <c r="CPL18" s="105"/>
      <c r="CPM18" s="106"/>
      <c r="CPN18" s="106"/>
      <c r="CPO18" s="107"/>
      <c r="CPP18" s="108"/>
      <c r="CPQ18" s="109">
        <f t="shared" si="196"/>
        <v>0</v>
      </c>
      <c r="CPR18" s="110"/>
      <c r="CPS18" s="108" t="s">
        <v>35</v>
      </c>
      <c r="CPV18" s="105"/>
      <c r="CPW18" s="105"/>
      <c r="CPX18" s="105"/>
      <c r="CPY18" s="106"/>
      <c r="CPZ18" s="106"/>
      <c r="CQA18" s="107"/>
      <c r="CQB18" s="108"/>
      <c r="CQC18" s="109">
        <f t="shared" si="197"/>
        <v>0</v>
      </c>
      <c r="CQD18" s="110"/>
      <c r="CQE18" s="108" t="s">
        <v>35</v>
      </c>
      <c r="CQH18" s="105"/>
      <c r="CQI18" s="105"/>
      <c r="CQJ18" s="105"/>
      <c r="CQK18" s="106"/>
      <c r="CQL18" s="106"/>
      <c r="CQM18" s="107"/>
      <c r="CQN18" s="108"/>
      <c r="CQO18" s="109">
        <f t="shared" si="198"/>
        <v>0</v>
      </c>
      <c r="CQP18" s="110"/>
      <c r="CQQ18" s="108" t="s">
        <v>35</v>
      </c>
      <c r="CQT18" s="105"/>
      <c r="CQU18" s="105"/>
      <c r="CQV18" s="105"/>
      <c r="CQW18" s="106"/>
      <c r="CQX18" s="106"/>
      <c r="CQY18" s="107"/>
      <c r="CQZ18" s="108"/>
      <c r="CRA18" s="109">
        <f t="shared" si="199"/>
        <v>0</v>
      </c>
      <c r="CRB18" s="110"/>
      <c r="CRC18" s="108" t="s">
        <v>35</v>
      </c>
      <c r="CRF18" s="105"/>
      <c r="CRG18" s="105"/>
      <c r="CRH18" s="105"/>
      <c r="CRI18" s="106"/>
      <c r="CRJ18" s="106"/>
      <c r="CRK18" s="107"/>
      <c r="CRL18" s="108"/>
      <c r="CRM18" s="109">
        <f t="shared" si="200"/>
        <v>0</v>
      </c>
      <c r="CRN18" s="110"/>
      <c r="CRO18" s="108" t="s">
        <v>35</v>
      </c>
      <c r="CRR18" s="105"/>
      <c r="CRS18" s="105"/>
      <c r="CRT18" s="105"/>
      <c r="CRU18" s="106"/>
      <c r="CRV18" s="106"/>
      <c r="CRW18" s="107"/>
      <c r="CRX18" s="108"/>
      <c r="CRY18" s="109">
        <f t="shared" si="201"/>
        <v>0</v>
      </c>
      <c r="CRZ18" s="110"/>
      <c r="CSA18" s="108" t="s">
        <v>35</v>
      </c>
      <c r="CSD18" s="105"/>
      <c r="CSE18" s="105"/>
      <c r="CSF18" s="105"/>
      <c r="CSG18" s="106"/>
      <c r="CSH18" s="106"/>
      <c r="CSI18" s="107"/>
      <c r="CSJ18" s="108"/>
      <c r="CSK18" s="109">
        <f t="shared" si="202"/>
        <v>0</v>
      </c>
      <c r="CSL18" s="110"/>
      <c r="CSM18" s="108" t="s">
        <v>35</v>
      </c>
      <c r="CSP18" s="105"/>
      <c r="CSQ18" s="105"/>
      <c r="CSR18" s="105"/>
      <c r="CSS18" s="106"/>
      <c r="CST18" s="106"/>
      <c r="CSU18" s="107"/>
      <c r="CSV18" s="108"/>
      <c r="CSW18" s="109">
        <f t="shared" si="203"/>
        <v>0</v>
      </c>
      <c r="CSX18" s="110"/>
      <c r="CSY18" s="108" t="s">
        <v>35</v>
      </c>
      <c r="CTB18" s="105"/>
      <c r="CTC18" s="105"/>
      <c r="CTD18" s="105"/>
      <c r="CTE18" s="106"/>
      <c r="CTF18" s="106"/>
      <c r="CTG18" s="107"/>
      <c r="CTH18" s="108"/>
      <c r="CTI18" s="109">
        <f t="shared" si="204"/>
        <v>0</v>
      </c>
      <c r="CTJ18" s="110"/>
      <c r="CTK18" s="108" t="s">
        <v>35</v>
      </c>
      <c r="CTN18" s="105"/>
      <c r="CTO18" s="105"/>
      <c r="CTP18" s="105"/>
      <c r="CTQ18" s="106"/>
      <c r="CTR18" s="106"/>
      <c r="CTS18" s="107"/>
      <c r="CTT18" s="108"/>
      <c r="CTU18" s="109">
        <f t="shared" si="205"/>
        <v>0</v>
      </c>
      <c r="CTV18" s="110"/>
      <c r="CTW18" s="108" t="s">
        <v>35</v>
      </c>
      <c r="CTZ18" s="105"/>
      <c r="CUA18" s="105"/>
      <c r="CUB18" s="105"/>
      <c r="CUC18" s="106"/>
      <c r="CUD18" s="106"/>
      <c r="CUE18" s="107"/>
      <c r="CUF18" s="108"/>
      <c r="CUG18" s="109">
        <f t="shared" si="206"/>
        <v>0</v>
      </c>
      <c r="CUH18" s="110"/>
      <c r="CUI18" s="108" t="s">
        <v>35</v>
      </c>
      <c r="CUL18" s="105"/>
      <c r="CUM18" s="105"/>
      <c r="CUN18" s="105"/>
      <c r="CUO18" s="106"/>
      <c r="CUP18" s="106"/>
      <c r="CUQ18" s="107"/>
      <c r="CUR18" s="108"/>
      <c r="CUS18" s="109">
        <f t="shared" si="207"/>
        <v>0</v>
      </c>
      <c r="CUT18" s="110"/>
      <c r="CUU18" s="108" t="s">
        <v>35</v>
      </c>
      <c r="CUX18" s="105"/>
      <c r="CUY18" s="105"/>
      <c r="CUZ18" s="105"/>
      <c r="CVA18" s="106"/>
      <c r="CVB18" s="106"/>
      <c r="CVC18" s="107"/>
      <c r="CVD18" s="108"/>
      <c r="CVE18" s="109">
        <f t="shared" si="208"/>
        <v>0</v>
      </c>
      <c r="CVF18" s="110"/>
      <c r="CVG18" s="108" t="s">
        <v>35</v>
      </c>
      <c r="CVJ18" s="105"/>
      <c r="CVK18" s="105"/>
      <c r="CVL18" s="105"/>
      <c r="CVM18" s="106"/>
      <c r="CVN18" s="106"/>
      <c r="CVO18" s="107"/>
      <c r="CVP18" s="108"/>
      <c r="CVQ18" s="109">
        <f t="shared" si="209"/>
        <v>0</v>
      </c>
      <c r="CVR18" s="110"/>
      <c r="CVS18" s="108" t="s">
        <v>35</v>
      </c>
      <c r="CVV18" s="105"/>
      <c r="CVW18" s="105"/>
      <c r="CVX18" s="105"/>
      <c r="CVY18" s="106"/>
      <c r="CVZ18" s="106"/>
      <c r="CWA18" s="107"/>
      <c r="CWB18" s="108"/>
      <c r="CWC18" s="109" t="str">
        <f t="shared" si="192"/>
        <v/>
      </c>
      <c r="CWD18" s="110"/>
      <c r="CWE18" s="108" t="str">
        <f t="shared" si="193"/>
        <v/>
      </c>
    </row>
    <row r="19" spans="1:1023 1026:2631" ht="12" customHeight="1" x14ac:dyDescent="0.25">
      <c r="A19" s="116"/>
      <c r="B19" s="121"/>
      <c r="C19" s="122"/>
      <c r="D19" s="123"/>
      <c r="E19" s="120"/>
      <c r="F19" s="93">
        <f t="shared" si="0"/>
        <v>0</v>
      </c>
      <c r="H19" s="94"/>
      <c r="I19" s="94"/>
      <c r="J19" s="94"/>
      <c r="K19" s="95"/>
      <c r="L19" s="95"/>
      <c r="O19" s="116"/>
      <c r="P19" s="121"/>
      <c r="Q19" s="122"/>
      <c r="R19" s="123"/>
      <c r="S19" s="120"/>
      <c r="T19" s="93">
        <f t="shared" si="210"/>
        <v>0</v>
      </c>
      <c r="V19" s="94"/>
      <c r="W19" s="94"/>
      <c r="X19" s="94"/>
      <c r="Y19" s="95"/>
      <c r="Z19" s="95"/>
      <c r="AC19" s="116"/>
      <c r="AD19" s="121"/>
      <c r="AE19" s="122"/>
      <c r="AF19" s="123"/>
      <c r="AG19" s="120"/>
      <c r="AH19" s="93">
        <f t="shared" si="1"/>
        <v>0</v>
      </c>
      <c r="AJ19" s="94"/>
      <c r="AK19" s="94"/>
      <c r="AL19" s="94"/>
      <c r="AM19" s="95"/>
      <c r="AN19" s="95"/>
      <c r="AQ19" s="116"/>
      <c r="AR19" s="121"/>
      <c r="AS19" s="122"/>
      <c r="AT19" s="123"/>
      <c r="AU19" s="120"/>
      <c r="AV19" s="93">
        <f t="shared" si="2"/>
        <v>0</v>
      </c>
      <c r="AX19" s="94"/>
      <c r="AY19" s="94"/>
      <c r="AZ19" s="94"/>
      <c r="BA19" s="95"/>
      <c r="BB19" s="95"/>
      <c r="BE19" s="116"/>
      <c r="BF19" s="121"/>
      <c r="BG19" s="122"/>
      <c r="BH19" s="123"/>
      <c r="BI19" s="120"/>
      <c r="BJ19" s="93">
        <f t="shared" si="3"/>
        <v>0</v>
      </c>
      <c r="BL19" s="94"/>
      <c r="BM19" s="94"/>
      <c r="BN19" s="94"/>
      <c r="BO19" s="95"/>
      <c r="BP19" s="95"/>
      <c r="BS19" s="116"/>
      <c r="BT19" s="121"/>
      <c r="BU19" s="122"/>
      <c r="BV19" s="123"/>
      <c r="BW19" s="120"/>
      <c r="BX19" s="93">
        <f t="shared" si="4"/>
        <v>0</v>
      </c>
      <c r="BZ19" s="94"/>
      <c r="CA19" s="94"/>
      <c r="CB19" s="94"/>
      <c r="CC19" s="95"/>
      <c r="CD19" s="95"/>
      <c r="CG19" s="116"/>
      <c r="CH19" s="121"/>
      <c r="CI19" s="122"/>
      <c r="CJ19" s="123"/>
      <c r="CK19" s="120"/>
      <c r="CL19" s="93">
        <f t="shared" si="5"/>
        <v>0</v>
      </c>
      <c r="CN19" s="94"/>
      <c r="CO19" s="94"/>
      <c r="CP19" s="94"/>
      <c r="CQ19" s="95"/>
      <c r="CR19" s="95"/>
      <c r="CU19" s="116"/>
      <c r="CV19" s="121"/>
      <c r="CW19" s="122"/>
      <c r="CX19" s="123"/>
      <c r="CY19" s="120"/>
      <c r="CZ19" s="93">
        <f t="shared" si="6"/>
        <v>0</v>
      </c>
      <c r="DB19" s="94"/>
      <c r="DC19" s="94"/>
      <c r="DD19" s="94"/>
      <c r="DE19" s="95"/>
      <c r="DF19" s="95"/>
      <c r="DI19" s="116"/>
      <c r="DJ19" s="121"/>
      <c r="DK19" s="122"/>
      <c r="DL19" s="123"/>
      <c r="DM19" s="120"/>
      <c r="DN19" s="93">
        <f t="shared" si="7"/>
        <v>0</v>
      </c>
      <c r="DP19" s="94"/>
      <c r="DQ19" s="94"/>
      <c r="DR19" s="94"/>
      <c r="DS19" s="95"/>
      <c r="DT19" s="95"/>
      <c r="DW19" s="116"/>
      <c r="DX19" s="121"/>
      <c r="DY19" s="122"/>
      <c r="DZ19" s="123"/>
      <c r="EA19" s="120"/>
      <c r="EB19" s="93">
        <f t="shared" si="8"/>
        <v>0</v>
      </c>
      <c r="ED19" s="94"/>
      <c r="EE19" s="94"/>
      <c r="EF19" s="94"/>
      <c r="EG19" s="95"/>
      <c r="EH19" s="95"/>
      <c r="EK19" s="116"/>
      <c r="EL19" s="121"/>
      <c r="EM19" s="122"/>
      <c r="EN19" s="123"/>
      <c r="EO19" s="120"/>
      <c r="EP19" s="93">
        <f t="shared" si="9"/>
        <v>0</v>
      </c>
      <c r="ER19" s="94"/>
      <c r="ES19" s="94"/>
      <c r="ET19" s="94"/>
      <c r="EU19" s="95"/>
      <c r="EV19" s="95"/>
      <c r="EY19" s="116"/>
      <c r="EZ19" s="121"/>
      <c r="FA19" s="122"/>
      <c r="FB19" s="123"/>
      <c r="FC19" s="120"/>
      <c r="FD19" s="93">
        <f t="shared" si="10"/>
        <v>0</v>
      </c>
      <c r="FF19" s="94"/>
      <c r="FG19" s="94"/>
      <c r="FH19" s="94"/>
      <c r="FI19" s="95"/>
      <c r="FJ19" s="95"/>
      <c r="FM19" s="116"/>
      <c r="FN19" s="121"/>
      <c r="FO19" s="122"/>
      <c r="FP19" s="123"/>
      <c r="FQ19" s="120"/>
      <c r="FR19" s="93">
        <f t="shared" si="11"/>
        <v>0</v>
      </c>
      <c r="FT19" s="94"/>
      <c r="FU19" s="94"/>
      <c r="FV19" s="94"/>
      <c r="FW19" s="95"/>
      <c r="FX19" s="95"/>
      <c r="GA19" s="116"/>
      <c r="GB19" s="121"/>
      <c r="GC19" s="122"/>
      <c r="GD19" s="123"/>
      <c r="GE19" s="120"/>
      <c r="GF19" s="93">
        <f t="shared" si="12"/>
        <v>0</v>
      </c>
      <c r="GH19" s="94"/>
      <c r="GI19" s="94"/>
      <c r="GJ19" s="94"/>
      <c r="GK19" s="95"/>
      <c r="GL19" s="95"/>
      <c r="GO19" s="116"/>
      <c r="GP19" s="121"/>
      <c r="GQ19" s="122"/>
      <c r="GR19" s="123"/>
      <c r="GS19" s="120"/>
      <c r="GT19" s="93">
        <f t="shared" si="13"/>
        <v>0</v>
      </c>
      <c r="GV19" s="94"/>
      <c r="GW19" s="94"/>
      <c r="GX19" s="94"/>
      <c r="GY19" s="95"/>
      <c r="GZ19" s="95"/>
      <c r="HC19" s="116"/>
      <c r="HD19" s="121"/>
      <c r="HE19" s="122"/>
      <c r="HF19" s="123"/>
      <c r="HG19" s="120"/>
      <c r="HH19" s="93">
        <f t="shared" si="14"/>
        <v>0</v>
      </c>
      <c r="HJ19" s="94"/>
      <c r="HK19" s="94"/>
      <c r="HL19" s="94"/>
      <c r="HM19" s="95"/>
      <c r="HN19" s="95"/>
      <c r="HQ19" s="116"/>
      <c r="HR19" s="121"/>
      <c r="HS19" s="122"/>
      <c r="HT19" s="123"/>
      <c r="HU19" s="120"/>
      <c r="HV19" s="93">
        <f t="shared" si="15"/>
        <v>0</v>
      </c>
      <c r="HX19" s="94"/>
      <c r="HY19" s="94"/>
      <c r="HZ19" s="94"/>
      <c r="IA19" s="95"/>
      <c r="IB19" s="95"/>
      <c r="IE19" s="116"/>
      <c r="IF19" s="121"/>
      <c r="IG19" s="122"/>
      <c r="IH19" s="123"/>
      <c r="II19" s="120"/>
      <c r="IJ19" s="93">
        <f t="shared" si="16"/>
        <v>0</v>
      </c>
      <c r="IL19" s="94"/>
      <c r="IM19" s="94"/>
      <c r="IN19" s="94"/>
      <c r="IO19" s="95"/>
      <c r="IP19" s="95"/>
      <c r="IS19" s="116"/>
      <c r="IT19" s="121"/>
      <c r="IU19" s="122"/>
      <c r="IV19" s="123"/>
      <c r="IW19" s="120"/>
      <c r="IX19" s="93">
        <f t="shared" si="17"/>
        <v>0</v>
      </c>
      <c r="IZ19" s="94"/>
      <c r="JA19" s="94"/>
      <c r="JB19" s="94"/>
      <c r="JC19" s="95"/>
      <c r="JD19" s="95"/>
      <c r="JG19" s="116"/>
      <c r="JH19" s="121"/>
      <c r="JI19" s="122"/>
      <c r="JJ19" s="123"/>
      <c r="JK19" s="120"/>
      <c r="JL19" s="93">
        <f t="shared" si="18"/>
        <v>0</v>
      </c>
      <c r="JN19" s="94"/>
      <c r="JO19" s="94"/>
      <c r="JP19" s="94"/>
      <c r="JQ19" s="95"/>
      <c r="JR19" s="95"/>
      <c r="JU19" s="116"/>
      <c r="JV19" s="121"/>
      <c r="JW19" s="122"/>
      <c r="JX19" s="123"/>
      <c r="JY19" s="120"/>
      <c r="JZ19" s="93">
        <f t="shared" si="19"/>
        <v>0</v>
      </c>
      <c r="KB19" s="94"/>
      <c r="KC19" s="94"/>
      <c r="KD19" s="94"/>
      <c r="KE19" s="95"/>
      <c r="KF19" s="95"/>
      <c r="KI19" s="116"/>
      <c r="KJ19" s="121"/>
      <c r="KK19" s="122"/>
      <c r="KL19" s="123"/>
      <c r="KM19" s="120"/>
      <c r="KN19" s="93">
        <f t="shared" si="20"/>
        <v>0</v>
      </c>
      <c r="KP19" s="94"/>
      <c r="KQ19" s="94"/>
      <c r="KR19" s="94"/>
      <c r="KS19" s="95"/>
      <c r="KT19" s="95"/>
      <c r="KW19" s="116"/>
      <c r="KX19" s="121"/>
      <c r="KY19" s="122"/>
      <c r="KZ19" s="123"/>
      <c r="LA19" s="120"/>
      <c r="LB19" s="93">
        <f t="shared" si="21"/>
        <v>0</v>
      </c>
      <c r="LD19" s="94"/>
      <c r="LE19" s="94"/>
      <c r="LF19" s="94"/>
      <c r="LG19" s="95"/>
      <c r="LH19" s="95"/>
      <c r="LK19" s="116"/>
      <c r="LL19" s="121"/>
      <c r="LM19" s="122"/>
      <c r="LN19" s="123"/>
      <c r="LO19" s="120"/>
      <c r="LP19" s="93">
        <f t="shared" si="22"/>
        <v>0</v>
      </c>
      <c r="LR19" s="94"/>
      <c r="LS19" s="94"/>
      <c r="LT19" s="94"/>
      <c r="LU19" s="95"/>
      <c r="LV19" s="95"/>
      <c r="LY19" s="116"/>
      <c r="LZ19" s="121"/>
      <c r="MA19" s="122"/>
      <c r="MB19" s="123"/>
      <c r="MC19" s="120"/>
      <c r="MD19" s="93">
        <f t="shared" si="23"/>
        <v>0</v>
      </c>
      <c r="MF19" s="94"/>
      <c r="MG19" s="94"/>
      <c r="MH19" s="94"/>
      <c r="MI19" s="95"/>
      <c r="MJ19" s="95"/>
      <c r="MM19" s="116"/>
      <c r="MN19" s="121"/>
      <c r="MO19" s="122"/>
      <c r="MP19" s="123"/>
      <c r="MQ19" s="120"/>
      <c r="MR19" s="93">
        <f t="shared" si="24"/>
        <v>0</v>
      </c>
      <c r="MT19" s="94"/>
      <c r="MU19" s="94"/>
      <c r="MV19" s="94"/>
      <c r="MW19" s="95"/>
      <c r="MX19" s="95"/>
      <c r="NA19" s="116"/>
      <c r="NB19" s="121"/>
      <c r="NC19" s="122"/>
      <c r="ND19" s="123"/>
      <c r="NE19" s="120"/>
      <c r="NF19" s="93">
        <f t="shared" si="25"/>
        <v>0</v>
      </c>
      <c r="NH19" s="94"/>
      <c r="NI19" s="94"/>
      <c r="NJ19" s="94"/>
      <c r="NK19" s="95"/>
      <c r="NL19" s="95"/>
      <c r="NO19" s="116"/>
      <c r="NP19" s="121"/>
      <c r="NQ19" s="122"/>
      <c r="NR19" s="123"/>
      <c r="NS19" s="120"/>
      <c r="NT19" s="93">
        <f t="shared" si="26"/>
        <v>0</v>
      </c>
      <c r="NV19" s="94"/>
      <c r="NW19" s="94"/>
      <c r="NX19" s="94"/>
      <c r="NY19" s="95"/>
      <c r="NZ19" s="95"/>
      <c r="OC19" s="116"/>
      <c r="OD19" s="121"/>
      <c r="OE19" s="122"/>
      <c r="OF19" s="123"/>
      <c r="OG19" s="120"/>
      <c r="OH19" s="93">
        <f t="shared" si="27"/>
        <v>0</v>
      </c>
      <c r="OJ19" s="94"/>
      <c r="OK19" s="94"/>
      <c r="OL19" s="94"/>
      <c r="OM19" s="95"/>
      <c r="ON19" s="95"/>
      <c r="OQ19" s="116"/>
      <c r="OR19" s="121"/>
      <c r="OS19" s="122"/>
      <c r="OT19" s="123"/>
      <c r="OU19" s="120"/>
      <c r="OV19" s="93">
        <f t="shared" si="28"/>
        <v>0</v>
      </c>
      <c r="OX19" s="94"/>
      <c r="OY19" s="94"/>
      <c r="OZ19" s="94"/>
      <c r="PA19" s="95"/>
      <c r="PB19" s="95"/>
      <c r="PE19" s="116"/>
      <c r="PF19" s="121"/>
      <c r="PG19" s="122"/>
      <c r="PH19" s="123"/>
      <c r="PI19" s="120"/>
      <c r="PJ19" s="93">
        <f t="shared" si="29"/>
        <v>0</v>
      </c>
      <c r="PL19" s="94"/>
      <c r="PM19" s="94"/>
      <c r="PN19" s="94"/>
      <c r="PO19" s="95"/>
      <c r="PP19" s="95"/>
      <c r="PS19" s="116"/>
      <c r="PT19" s="121"/>
      <c r="PU19" s="122"/>
      <c r="PV19" s="123"/>
      <c r="PW19" s="120"/>
      <c r="PX19" s="93">
        <f t="shared" si="30"/>
        <v>0</v>
      </c>
      <c r="PZ19" s="94"/>
      <c r="QA19" s="94"/>
      <c r="QB19" s="94"/>
      <c r="QC19" s="95"/>
      <c r="QD19" s="95"/>
      <c r="QG19" s="116"/>
      <c r="QH19" s="121"/>
      <c r="QI19" s="122"/>
      <c r="QJ19" s="123"/>
      <c r="QK19" s="120"/>
      <c r="QL19" s="93">
        <f t="shared" si="31"/>
        <v>0</v>
      </c>
      <c r="QN19" s="94"/>
      <c r="QO19" s="94"/>
      <c r="QP19" s="94"/>
      <c r="QQ19" s="95"/>
      <c r="QR19" s="95"/>
      <c r="QU19" s="116"/>
      <c r="QV19" s="121"/>
      <c r="QW19" s="122"/>
      <c r="QX19" s="123"/>
      <c r="QY19" s="120"/>
      <c r="QZ19" s="93">
        <f t="shared" si="32"/>
        <v>0</v>
      </c>
      <c r="RB19" s="94"/>
      <c r="RC19" s="94"/>
      <c r="RD19" s="94"/>
      <c r="RE19" s="95"/>
      <c r="RF19" s="95"/>
      <c r="RI19" s="116"/>
      <c r="RJ19" s="121"/>
      <c r="RK19" s="122"/>
      <c r="RL19" s="123"/>
      <c r="RM19" s="120"/>
      <c r="RN19" s="93">
        <f t="shared" si="33"/>
        <v>0</v>
      </c>
      <c r="RP19" s="94"/>
      <c r="RQ19" s="94"/>
      <c r="RR19" s="94"/>
      <c r="RS19" s="95"/>
      <c r="RT19" s="95"/>
      <c r="RW19" s="116"/>
      <c r="RX19" s="121"/>
      <c r="RY19" s="122"/>
      <c r="RZ19" s="123"/>
      <c r="SA19" s="120"/>
      <c r="SB19" s="93">
        <f t="shared" si="34"/>
        <v>0</v>
      </c>
      <c r="SD19" s="94"/>
      <c r="SE19" s="94"/>
      <c r="SF19" s="94"/>
      <c r="SG19" s="95"/>
      <c r="SH19" s="95"/>
      <c r="SK19" s="116"/>
      <c r="SL19" s="121"/>
      <c r="SM19" s="122"/>
      <c r="SN19" s="123"/>
      <c r="SO19" s="120"/>
      <c r="SP19" s="93">
        <f t="shared" si="35"/>
        <v>0</v>
      </c>
      <c r="SR19" s="94"/>
      <c r="SS19" s="94"/>
      <c r="ST19" s="94"/>
      <c r="SU19" s="95"/>
      <c r="SV19" s="95"/>
      <c r="SY19" s="116"/>
      <c r="SZ19" s="121"/>
      <c r="TA19" s="122"/>
      <c r="TB19" s="123"/>
      <c r="TC19" s="120"/>
      <c r="TD19" s="93">
        <f t="shared" si="36"/>
        <v>0</v>
      </c>
      <c r="TF19" s="94"/>
      <c r="TG19" s="94"/>
      <c r="TH19" s="94"/>
      <c r="TI19" s="95"/>
      <c r="TJ19" s="95"/>
      <c r="TM19" s="116"/>
      <c r="TN19" s="121"/>
      <c r="TO19" s="122"/>
      <c r="TP19" s="123"/>
      <c r="TQ19" s="120"/>
      <c r="TR19" s="93">
        <f t="shared" si="37"/>
        <v>0</v>
      </c>
      <c r="TT19" s="94"/>
      <c r="TU19" s="94"/>
      <c r="TV19" s="94"/>
      <c r="TW19" s="95"/>
      <c r="TX19" s="95"/>
      <c r="UA19" s="116"/>
      <c r="UB19" s="121"/>
      <c r="UC19" s="122"/>
      <c r="UD19" s="123"/>
      <c r="UE19" s="120"/>
      <c r="UF19" s="93">
        <f t="shared" si="38"/>
        <v>0</v>
      </c>
      <c r="UH19" s="94"/>
      <c r="UI19" s="94"/>
      <c r="UJ19" s="94"/>
      <c r="UK19" s="95"/>
      <c r="UL19" s="95"/>
      <c r="UO19" s="116"/>
      <c r="UP19" s="121"/>
      <c r="UQ19" s="122"/>
      <c r="UR19" s="123"/>
      <c r="US19" s="120"/>
      <c r="UT19" s="93">
        <f t="shared" si="39"/>
        <v>0</v>
      </c>
      <c r="UV19" s="94"/>
      <c r="UW19" s="94"/>
      <c r="UX19" s="94"/>
      <c r="UY19" s="95"/>
      <c r="UZ19" s="95"/>
      <c r="VC19" s="116"/>
      <c r="VD19" s="121"/>
      <c r="VE19" s="122"/>
      <c r="VF19" s="123"/>
      <c r="VG19" s="120"/>
      <c r="VH19" s="93">
        <f t="shared" si="40"/>
        <v>0</v>
      </c>
      <c r="VJ19" s="94"/>
      <c r="VK19" s="94"/>
      <c r="VL19" s="94"/>
      <c r="VM19" s="95"/>
      <c r="VN19" s="95"/>
      <c r="VQ19" s="116"/>
      <c r="VR19" s="121"/>
      <c r="VS19" s="122"/>
      <c r="VT19" s="123"/>
      <c r="VU19" s="120"/>
      <c r="VV19" s="93">
        <f t="shared" si="41"/>
        <v>0</v>
      </c>
      <c r="VX19" s="94"/>
      <c r="VY19" s="94"/>
      <c r="VZ19" s="94"/>
      <c r="WA19" s="95"/>
      <c r="WB19" s="95"/>
      <c r="WE19" s="116"/>
      <c r="WF19" s="121"/>
      <c r="WG19" s="122"/>
      <c r="WH19" s="123"/>
      <c r="WI19" s="120"/>
      <c r="WJ19" s="93">
        <f t="shared" si="42"/>
        <v>0</v>
      </c>
      <c r="WL19" s="94"/>
      <c r="WM19" s="94"/>
      <c r="WN19" s="94"/>
      <c r="WO19" s="95"/>
      <c r="WP19" s="95"/>
      <c r="WS19" s="116"/>
      <c r="WT19" s="121"/>
      <c r="WU19" s="122"/>
      <c r="WV19" s="123"/>
      <c r="WW19" s="120"/>
      <c r="WX19" s="93">
        <f t="shared" si="43"/>
        <v>0</v>
      </c>
      <c r="WZ19" s="94"/>
      <c r="XA19" s="94"/>
      <c r="XB19" s="94"/>
      <c r="XC19" s="95"/>
      <c r="XD19" s="95"/>
      <c r="XG19" s="116"/>
      <c r="XH19" s="121"/>
      <c r="XI19" s="122"/>
      <c r="XJ19" s="123"/>
      <c r="XK19" s="120"/>
      <c r="XL19" s="93">
        <f t="shared" si="44"/>
        <v>0</v>
      </c>
      <c r="XN19" s="94"/>
      <c r="XO19" s="94"/>
      <c r="XP19" s="94"/>
      <c r="XQ19" s="95"/>
      <c r="XR19" s="95"/>
      <c r="XU19" s="116"/>
      <c r="XV19" s="121"/>
      <c r="XW19" s="122"/>
      <c r="XX19" s="123"/>
      <c r="XY19" s="120"/>
      <c r="XZ19" s="93">
        <f t="shared" si="45"/>
        <v>0</v>
      </c>
      <c r="YB19" s="94"/>
      <c r="YC19" s="94"/>
      <c r="YD19" s="94"/>
      <c r="YE19" s="95"/>
      <c r="YF19" s="95"/>
      <c r="YI19" s="116"/>
      <c r="YJ19" s="121"/>
      <c r="YK19" s="122"/>
      <c r="YL19" s="123"/>
      <c r="YM19" s="120"/>
      <c r="YN19" s="93">
        <f t="shared" si="46"/>
        <v>0</v>
      </c>
      <c r="YP19" s="94"/>
      <c r="YQ19" s="94"/>
      <c r="YR19" s="94"/>
      <c r="YS19" s="95"/>
      <c r="YT19" s="95"/>
      <c r="YW19" s="116"/>
      <c r="YX19" s="121"/>
      <c r="YY19" s="122"/>
      <c r="YZ19" s="123"/>
      <c r="ZA19" s="120"/>
      <c r="ZB19" s="93"/>
      <c r="ZD19" s="94"/>
      <c r="ZE19" s="94"/>
      <c r="ZF19" s="94"/>
      <c r="ZG19" s="95"/>
      <c r="ZH19" s="95"/>
      <c r="ZK19" s="116"/>
      <c r="ZL19" s="121"/>
      <c r="ZM19" s="122"/>
      <c r="ZN19" s="123"/>
      <c r="ZO19" s="120"/>
      <c r="ZP19" s="93"/>
      <c r="ZR19" s="94"/>
      <c r="ZS19" s="94"/>
      <c r="ZT19" s="94"/>
      <c r="ZU19" s="95"/>
      <c r="ZV19" s="95"/>
      <c r="ZZ19" s="105"/>
      <c r="AAA19" s="105"/>
      <c r="AAB19" s="105"/>
      <c r="AAC19" s="106"/>
      <c r="AAD19" s="106"/>
      <c r="AAE19" s="107"/>
      <c r="AAF19" s="108"/>
      <c r="AAG19" s="109">
        <f>+AAF19*$J$7/1000</f>
        <v>0</v>
      </c>
      <c r="AAH19" s="110"/>
      <c r="AAI19" s="108" t="s">
        <v>35</v>
      </c>
      <c r="AAM19" s="105"/>
      <c r="AAN19" s="105"/>
      <c r="AAO19" s="105"/>
      <c r="AAP19" s="106"/>
      <c r="AAQ19" s="106"/>
      <c r="AAR19" s="107"/>
      <c r="AAS19" s="108"/>
      <c r="AAT19" s="109">
        <f>+AAS19*$J$7/1000</f>
        <v>0</v>
      </c>
      <c r="AAU19" s="110"/>
      <c r="AAV19" s="108" t="s">
        <v>35</v>
      </c>
      <c r="AAZ19" s="105"/>
      <c r="ABA19" s="105"/>
      <c r="ABB19" s="105"/>
      <c r="ABC19" s="106"/>
      <c r="ABD19" s="106"/>
      <c r="ABE19" s="107"/>
      <c r="ABF19" s="108"/>
      <c r="ABG19" s="109">
        <f>+ABF19*$J$7/1000</f>
        <v>0</v>
      </c>
      <c r="ABH19" s="110"/>
      <c r="ABI19" s="108" t="s">
        <v>35</v>
      </c>
      <c r="ABM19" s="105"/>
      <c r="ABN19" s="105"/>
      <c r="ABO19" s="105"/>
      <c r="ABP19" s="106"/>
      <c r="ABQ19" s="106"/>
      <c r="ABR19" s="107"/>
      <c r="ABS19" s="108"/>
      <c r="ABT19" s="109">
        <f>+ABS19*$J$7/1000</f>
        <v>0</v>
      </c>
      <c r="ABU19" s="110"/>
      <c r="ABV19" s="108" t="s">
        <v>35</v>
      </c>
      <c r="ABZ19" s="105"/>
      <c r="ACA19" s="105"/>
      <c r="ACB19" s="105"/>
      <c r="ACC19" s="106"/>
      <c r="ACD19" s="106"/>
      <c r="ACE19" s="107"/>
      <c r="ACF19" s="108"/>
      <c r="ACG19" s="109">
        <f>+ACF19*$J$7/1000</f>
        <v>0</v>
      </c>
      <c r="ACH19" s="110"/>
      <c r="ACI19" s="108" t="s">
        <v>35</v>
      </c>
      <c r="ACM19" s="105"/>
      <c r="ACN19" s="105"/>
      <c r="ACO19" s="105"/>
      <c r="ACP19" s="106"/>
      <c r="ACQ19" s="106"/>
      <c r="ACR19" s="107"/>
      <c r="ACS19" s="108"/>
      <c r="ACT19" s="109">
        <f>+ACS19*$J$7/1000</f>
        <v>0</v>
      </c>
      <c r="ACU19" s="110"/>
      <c r="ACV19" s="108" t="s">
        <v>35</v>
      </c>
      <c r="ACZ19" s="105"/>
      <c r="ADA19" s="105"/>
      <c r="ADB19" s="105"/>
      <c r="ADC19" s="106"/>
      <c r="ADD19" s="106"/>
      <c r="ADE19" s="107"/>
      <c r="ADF19" s="108"/>
      <c r="ADG19" s="109">
        <f>+ADF19*$J$7/1000</f>
        <v>0</v>
      </c>
      <c r="ADH19" s="110"/>
      <c r="ADI19" s="108" t="s">
        <v>35</v>
      </c>
      <c r="ADM19" s="105"/>
      <c r="ADN19" s="105"/>
      <c r="ADO19" s="105"/>
      <c r="ADP19" s="106"/>
      <c r="ADQ19" s="106"/>
      <c r="ADR19" s="107"/>
      <c r="ADS19" s="108"/>
      <c r="ADT19" s="109">
        <f>+ADS19*$J$7/1000</f>
        <v>0</v>
      </c>
      <c r="ADU19" s="110"/>
      <c r="ADV19" s="108" t="s">
        <v>35</v>
      </c>
      <c r="ADZ19" s="105"/>
      <c r="AEA19" s="105"/>
      <c r="AEB19" s="105"/>
      <c r="AEC19" s="106"/>
      <c r="AED19" s="106"/>
      <c r="AEE19" s="107"/>
      <c r="AEF19" s="108"/>
      <c r="AEG19" s="109">
        <f>+AEF19*$J$7/1000</f>
        <v>0</v>
      </c>
      <c r="AEH19" s="110"/>
      <c r="AEI19" s="108" t="s">
        <v>35</v>
      </c>
      <c r="AEM19" s="105"/>
      <c r="AEN19" s="105"/>
      <c r="AEO19" s="105"/>
      <c r="AEP19" s="106"/>
      <c r="AEQ19" s="106"/>
      <c r="AER19" s="107"/>
      <c r="AES19" s="108"/>
      <c r="AET19" s="109">
        <f>+AES19*$J$7/1000</f>
        <v>0</v>
      </c>
      <c r="AEU19" s="110"/>
      <c r="AEV19" s="108" t="s">
        <v>35</v>
      </c>
      <c r="AEZ19" s="105"/>
      <c r="AFA19" s="105"/>
      <c r="AFB19" s="105"/>
      <c r="AFC19" s="106"/>
      <c r="AFD19" s="106"/>
      <c r="AFE19" s="107"/>
      <c r="AFF19" s="108"/>
      <c r="AFG19" s="109">
        <f>+AFF19*$J$7/1000</f>
        <v>0</v>
      </c>
      <c r="AFH19" s="110"/>
      <c r="AFI19" s="108" t="s">
        <v>35</v>
      </c>
      <c r="AFM19" s="105"/>
      <c r="AFN19" s="105"/>
      <c r="AFO19" s="105"/>
      <c r="AFP19" s="106"/>
      <c r="AFQ19" s="106"/>
      <c r="AFR19" s="107"/>
      <c r="AFS19" s="108"/>
      <c r="AFT19" s="109">
        <f>+AFS19*$J$7/1000</f>
        <v>0</v>
      </c>
      <c r="AFU19" s="110"/>
      <c r="AFV19" s="108" t="s">
        <v>35</v>
      </c>
      <c r="AFZ19" s="105"/>
      <c r="AGA19" s="105"/>
      <c r="AGB19" s="105"/>
      <c r="AGC19" s="106"/>
      <c r="AGD19" s="106"/>
      <c r="AGE19" s="107"/>
      <c r="AGF19" s="108"/>
      <c r="AGG19" s="109">
        <f>+AGF19*$J$7/1000</f>
        <v>0</v>
      </c>
      <c r="AGH19" s="110"/>
      <c r="AGI19" s="108" t="s">
        <v>35</v>
      </c>
      <c r="AGL19" s="105"/>
      <c r="AGM19" s="105"/>
      <c r="AGN19" s="105"/>
      <c r="AGO19" s="106"/>
      <c r="AGP19" s="106"/>
      <c r="AGQ19" s="107"/>
      <c r="AGR19" s="108"/>
      <c r="AGS19" s="109">
        <f>+AGR19*$J$7/1000</f>
        <v>0</v>
      </c>
      <c r="AGT19" s="110"/>
      <c r="AGU19" s="108" t="s">
        <v>35</v>
      </c>
      <c r="AGX19" s="105"/>
      <c r="AGY19" s="105"/>
      <c r="AGZ19" s="105"/>
      <c r="AHA19" s="106"/>
      <c r="AHB19" s="106"/>
      <c r="AHC19" s="107"/>
      <c r="AHD19" s="108"/>
      <c r="AHE19" s="109">
        <f>+AHD19*$J$7/1000</f>
        <v>0</v>
      </c>
      <c r="AHF19" s="110"/>
      <c r="AHG19" s="108" t="s">
        <v>35</v>
      </c>
      <c r="AHJ19" s="105"/>
      <c r="AHK19" s="105"/>
      <c r="AHL19" s="105"/>
      <c r="AHM19" s="106"/>
      <c r="AHN19" s="106"/>
      <c r="AHO19" s="107"/>
      <c r="AHP19" s="108"/>
      <c r="AHQ19" s="109">
        <f>+AHP19*$J$7/1000</f>
        <v>0</v>
      </c>
      <c r="AHR19" s="110"/>
      <c r="AHS19" s="108" t="s">
        <v>35</v>
      </c>
      <c r="AHV19" s="105"/>
      <c r="AHW19" s="105"/>
      <c r="AHX19" s="105"/>
      <c r="AHY19" s="106"/>
      <c r="AHZ19" s="106"/>
      <c r="AIA19" s="107"/>
      <c r="AIB19" s="108"/>
      <c r="AIC19" s="109">
        <f>+AIB19*$J$7/1000</f>
        <v>0</v>
      </c>
      <c r="AID19" s="110"/>
      <c r="AIE19" s="108" t="s">
        <v>35</v>
      </c>
      <c r="AIH19" s="105"/>
      <c r="AII19" s="105"/>
      <c r="AIJ19" s="105"/>
      <c r="AIK19" s="106"/>
      <c r="AIL19" s="106"/>
      <c r="AIM19" s="107"/>
      <c r="AIN19" s="108"/>
      <c r="AIO19" s="109">
        <f>+AIN19*$J$7/1000</f>
        <v>0</v>
      </c>
      <c r="AIP19" s="110"/>
      <c r="AIQ19" s="108" t="s">
        <v>35</v>
      </c>
      <c r="AIT19" s="105"/>
      <c r="AIU19" s="105"/>
      <c r="AIV19" s="105"/>
      <c r="AIW19" s="106"/>
      <c r="AIX19" s="106"/>
      <c r="AIY19" s="107"/>
      <c r="AIZ19" s="108"/>
      <c r="AJA19" s="109">
        <f>+AIZ19*$J$7/1000</f>
        <v>0</v>
      </c>
      <c r="AJB19" s="110"/>
      <c r="AJC19" s="108" t="s">
        <v>35</v>
      </c>
      <c r="AJF19" s="105"/>
      <c r="AJG19" s="105"/>
      <c r="AJH19" s="105"/>
      <c r="AJI19" s="106"/>
      <c r="AJJ19" s="106"/>
      <c r="AJK19" s="107"/>
      <c r="AJL19" s="108"/>
      <c r="AJM19" s="109">
        <f>+AJL19*$J$7/1000</f>
        <v>0</v>
      </c>
      <c r="AJN19" s="110"/>
      <c r="AJO19" s="108" t="s">
        <v>35</v>
      </c>
      <c r="AJR19" s="105"/>
      <c r="AJS19" s="105"/>
      <c r="AJT19" s="105"/>
      <c r="AJU19" s="106"/>
      <c r="AJV19" s="106"/>
      <c r="AJW19" s="107"/>
      <c r="AJX19" s="108"/>
      <c r="AJY19" s="109">
        <f>+AJX19*$J$7/1000</f>
        <v>0</v>
      </c>
      <c r="AJZ19" s="110"/>
      <c r="AKA19" s="108" t="s">
        <v>35</v>
      </c>
      <c r="AKD19" s="105"/>
      <c r="AKE19" s="105"/>
      <c r="AKF19" s="105"/>
      <c r="AKG19" s="106"/>
      <c r="AKH19" s="106"/>
      <c r="AKI19" s="107"/>
      <c r="AKJ19" s="108"/>
      <c r="AKK19" s="109">
        <f>+AKJ19*$J$7/1000</f>
        <v>0</v>
      </c>
      <c r="AKL19" s="110"/>
      <c r="AKM19" s="108" t="s">
        <v>35</v>
      </c>
      <c r="AKP19" s="105"/>
      <c r="AKQ19" s="105"/>
      <c r="AKR19" s="105"/>
      <c r="AKS19" s="106"/>
      <c r="AKT19" s="106"/>
      <c r="AKU19" s="107"/>
      <c r="AKV19" s="108"/>
      <c r="AKW19" s="109">
        <f>+AKV19*$J$7/1000</f>
        <v>0</v>
      </c>
      <c r="AKX19" s="110"/>
      <c r="AKY19" s="108" t="s">
        <v>35</v>
      </c>
      <c r="ALB19" s="105"/>
      <c r="ALC19" s="105"/>
      <c r="ALD19" s="105"/>
      <c r="ALE19" s="106"/>
      <c r="ALF19" s="106"/>
      <c r="ALG19" s="107"/>
      <c r="ALH19" s="108"/>
      <c r="ALI19" s="109">
        <f>+ALH19*$J$7/1000</f>
        <v>0</v>
      </c>
      <c r="ALJ19" s="110"/>
      <c r="ALK19" s="108" t="s">
        <v>35</v>
      </c>
      <c r="ALN19" s="105"/>
      <c r="ALO19" s="105"/>
      <c r="ALP19" s="105"/>
      <c r="ALQ19" s="106"/>
      <c r="ALR19" s="106"/>
      <c r="ALS19" s="107"/>
      <c r="ALT19" s="108"/>
      <c r="ALU19" s="109">
        <f>+ALT19*$J$7/1000</f>
        <v>0</v>
      </c>
      <c r="ALV19" s="110"/>
      <c r="ALW19" s="108" t="s">
        <v>35</v>
      </c>
      <c r="ALZ19" s="105"/>
      <c r="AMA19" s="105"/>
      <c r="AMB19" s="105"/>
      <c r="AMC19" s="106"/>
      <c r="AMD19" s="106"/>
      <c r="AME19" s="107"/>
      <c r="AMF19" s="108"/>
      <c r="AMG19" s="109">
        <f>+AMF19*$J$7/1000</f>
        <v>0</v>
      </c>
      <c r="AMH19" s="110"/>
      <c r="AMI19" s="108" t="s">
        <v>35</v>
      </c>
      <c r="AML19" s="105"/>
      <c r="AMM19" s="105"/>
      <c r="AMN19" s="105"/>
      <c r="AMO19" s="106"/>
      <c r="AMP19" s="106"/>
      <c r="AMQ19" s="107"/>
      <c r="AMR19" s="108"/>
      <c r="AMS19" s="109">
        <f>+AMR19*$J$7/1000</f>
        <v>0</v>
      </c>
      <c r="AMT19" s="110"/>
      <c r="AMU19" s="108" t="s">
        <v>35</v>
      </c>
      <c r="AMX19" s="105"/>
      <c r="AMY19" s="105"/>
      <c r="AMZ19" s="105"/>
      <c r="ANA19" s="106"/>
      <c r="ANB19" s="106"/>
      <c r="ANC19" s="107"/>
      <c r="AND19" s="108"/>
      <c r="ANE19" s="109">
        <f t="shared" si="76"/>
        <v>0</v>
      </c>
      <c r="ANF19" s="110"/>
      <c r="ANG19" s="108" t="s">
        <v>35</v>
      </c>
      <c r="ANJ19" s="105"/>
      <c r="ANK19" s="105"/>
      <c r="ANL19" s="105"/>
      <c r="ANM19" s="106"/>
      <c r="ANN19" s="106"/>
      <c r="ANO19" s="107"/>
      <c r="ANP19" s="108"/>
      <c r="ANQ19" s="109">
        <f t="shared" si="77"/>
        <v>0</v>
      </c>
      <c r="ANR19" s="110"/>
      <c r="ANS19" s="108" t="s">
        <v>35</v>
      </c>
      <c r="ANV19" s="105"/>
      <c r="ANW19" s="105"/>
      <c r="ANX19" s="105"/>
      <c r="ANY19" s="106"/>
      <c r="ANZ19" s="106"/>
      <c r="AOA19" s="107"/>
      <c r="AOB19" s="108"/>
      <c r="AOC19" s="109">
        <f t="shared" si="78"/>
        <v>0</v>
      </c>
      <c r="AOD19" s="110"/>
      <c r="AOE19" s="108" t="s">
        <v>35</v>
      </c>
      <c r="AOH19" s="105"/>
      <c r="AOI19" s="105"/>
      <c r="AOJ19" s="105"/>
      <c r="AOK19" s="106"/>
      <c r="AOL19" s="106"/>
      <c r="AOM19" s="107"/>
      <c r="AON19" s="108"/>
      <c r="AOO19" s="109">
        <f t="shared" si="236"/>
        <v>0</v>
      </c>
      <c r="AOP19" s="110"/>
      <c r="AOQ19" s="108" t="s">
        <v>35</v>
      </c>
      <c r="AOT19" s="105"/>
      <c r="AOU19" s="105"/>
      <c r="AOV19" s="105"/>
      <c r="AOW19" s="106"/>
      <c r="AOX19" s="106"/>
      <c r="AOY19" s="107"/>
      <c r="AOZ19" s="108"/>
      <c r="APA19" s="109">
        <f t="shared" si="80"/>
        <v>0</v>
      </c>
      <c r="APB19" s="110"/>
      <c r="APC19" s="108" t="s">
        <v>35</v>
      </c>
      <c r="APF19" s="105"/>
      <c r="APG19" s="105"/>
      <c r="APH19" s="105"/>
      <c r="API19" s="106"/>
      <c r="APJ19" s="106"/>
      <c r="APK19" s="107"/>
      <c r="APL19" s="108"/>
      <c r="APM19" s="109">
        <f t="shared" si="81"/>
        <v>0</v>
      </c>
      <c r="APN19" s="110"/>
      <c r="APO19" s="108" t="s">
        <v>35</v>
      </c>
      <c r="APR19" s="105"/>
      <c r="APS19" s="105"/>
      <c r="APT19" s="105"/>
      <c r="APU19" s="106"/>
      <c r="APV19" s="106"/>
      <c r="APW19" s="107"/>
      <c r="APX19" s="108"/>
      <c r="APY19" s="109">
        <f t="shared" si="82"/>
        <v>0</v>
      </c>
      <c r="APZ19" s="110"/>
      <c r="AQA19" s="108" t="s">
        <v>35</v>
      </c>
      <c r="AQD19" s="105"/>
      <c r="AQE19" s="105"/>
      <c r="AQF19" s="105"/>
      <c r="AQG19" s="106"/>
      <c r="AQH19" s="106"/>
      <c r="AQI19" s="107"/>
      <c r="AQJ19" s="108"/>
      <c r="AQK19" s="109">
        <f t="shared" si="83"/>
        <v>0</v>
      </c>
      <c r="AQL19" s="110"/>
      <c r="AQM19" s="108" t="s">
        <v>35</v>
      </c>
      <c r="AQP19" s="105"/>
      <c r="AQQ19" s="105"/>
      <c r="AQR19" s="105"/>
      <c r="AQS19" s="106"/>
      <c r="AQT19" s="106"/>
      <c r="AQU19" s="107"/>
      <c r="AQV19" s="108"/>
      <c r="AQW19" s="109">
        <f t="shared" si="84"/>
        <v>0</v>
      </c>
      <c r="AQX19" s="110"/>
      <c r="AQY19" s="108" t="s">
        <v>35</v>
      </c>
      <c r="ARB19" s="105"/>
      <c r="ARC19" s="105"/>
      <c r="ARD19" s="105"/>
      <c r="ARE19" s="106"/>
      <c r="ARF19" s="106"/>
      <c r="ARG19" s="107"/>
      <c r="ARH19" s="108"/>
      <c r="ARI19" s="109">
        <f t="shared" si="85"/>
        <v>0</v>
      </c>
      <c r="ARJ19" s="110"/>
      <c r="ARK19" s="108" t="s">
        <v>35</v>
      </c>
      <c r="ARN19" s="105"/>
      <c r="ARO19" s="105"/>
      <c r="ARP19" s="105"/>
      <c r="ARQ19" s="106"/>
      <c r="ARR19" s="106"/>
      <c r="ARS19" s="107"/>
      <c r="ART19" s="108"/>
      <c r="ARU19" s="109">
        <f t="shared" si="86"/>
        <v>0</v>
      </c>
      <c r="ARV19" s="110"/>
      <c r="ARW19" s="108" t="s">
        <v>35</v>
      </c>
      <c r="ARZ19" s="105"/>
      <c r="ASA19" s="105"/>
      <c r="ASB19" s="105"/>
      <c r="ASC19" s="106"/>
      <c r="ASD19" s="106"/>
      <c r="ASE19" s="107"/>
      <c r="ASF19" s="108"/>
      <c r="ASG19" s="109">
        <f t="shared" si="87"/>
        <v>0</v>
      </c>
      <c r="ASH19" s="110"/>
      <c r="ASI19" s="108" t="s">
        <v>35</v>
      </c>
      <c r="ASL19" s="105"/>
      <c r="ASM19" s="105"/>
      <c r="ASN19" s="105"/>
      <c r="ASO19" s="106"/>
      <c r="ASP19" s="106"/>
      <c r="ASQ19" s="107"/>
      <c r="ASR19" s="108"/>
      <c r="ASS19" s="109">
        <f t="shared" si="88"/>
        <v>0</v>
      </c>
      <c r="AST19" s="110"/>
      <c r="ASU19" s="108" t="s">
        <v>35</v>
      </c>
      <c r="ASX19" s="105"/>
      <c r="ASY19" s="105"/>
      <c r="ASZ19" s="105"/>
      <c r="ATA19" s="106"/>
      <c r="ATB19" s="106"/>
      <c r="ATC19" s="107"/>
      <c r="ATD19" s="108"/>
      <c r="ATE19" s="109">
        <f t="shared" si="89"/>
        <v>0</v>
      </c>
      <c r="ATF19" s="110"/>
      <c r="ATG19" s="108" t="s">
        <v>35</v>
      </c>
      <c r="ATJ19" s="105"/>
      <c r="ATK19" s="105"/>
      <c r="ATL19" s="105"/>
      <c r="ATM19" s="106"/>
      <c r="ATN19" s="106"/>
      <c r="ATO19" s="107"/>
      <c r="ATP19" s="108"/>
      <c r="ATQ19" s="109">
        <f t="shared" si="90"/>
        <v>0</v>
      </c>
      <c r="ATR19" s="110"/>
      <c r="ATS19" s="108" t="s">
        <v>35</v>
      </c>
      <c r="ATV19" s="105"/>
      <c r="ATW19" s="105"/>
      <c r="ATX19" s="105"/>
      <c r="ATY19" s="106"/>
      <c r="ATZ19" s="106"/>
      <c r="AUA19" s="107"/>
      <c r="AUB19" s="108"/>
      <c r="AUC19" s="109">
        <f t="shared" si="91"/>
        <v>0</v>
      </c>
      <c r="AUD19" s="110"/>
      <c r="AUE19" s="108" t="s">
        <v>35</v>
      </c>
      <c r="AUH19" s="105"/>
      <c r="AUI19" s="105"/>
      <c r="AUJ19" s="105"/>
      <c r="AUK19" s="106"/>
      <c r="AUL19" s="106"/>
      <c r="AUM19" s="107"/>
      <c r="AUN19" s="108"/>
      <c r="AUO19" s="109">
        <f t="shared" si="92"/>
        <v>0</v>
      </c>
      <c r="AUP19" s="110"/>
      <c r="AUQ19" s="108" t="s">
        <v>35</v>
      </c>
      <c r="AUT19" s="105"/>
      <c r="AUU19" s="105"/>
      <c r="AUV19" s="105"/>
      <c r="AUW19" s="106"/>
      <c r="AUX19" s="106"/>
      <c r="AUY19" s="107"/>
      <c r="AUZ19" s="108"/>
      <c r="AVA19" s="109">
        <f t="shared" si="93"/>
        <v>0</v>
      </c>
      <c r="AVB19" s="110"/>
      <c r="AVC19" s="108" t="s">
        <v>35</v>
      </c>
      <c r="AVF19" s="105"/>
      <c r="AVG19" s="105"/>
      <c r="AVH19" s="105"/>
      <c r="AVI19" s="106"/>
      <c r="AVJ19" s="106"/>
      <c r="AVK19" s="107"/>
      <c r="AVL19" s="108"/>
      <c r="AVM19" s="109">
        <f t="shared" si="94"/>
        <v>0</v>
      </c>
      <c r="AVN19" s="110"/>
      <c r="AVO19" s="108" t="s">
        <v>35</v>
      </c>
      <c r="AVR19" s="105"/>
      <c r="AVS19" s="105"/>
      <c r="AVT19" s="105"/>
      <c r="AVU19" s="106"/>
      <c r="AVV19" s="106"/>
      <c r="AVW19" s="107"/>
      <c r="AVX19" s="108"/>
      <c r="AVY19" s="109">
        <f t="shared" si="95"/>
        <v>0</v>
      </c>
      <c r="AVZ19" s="110"/>
      <c r="AWA19" s="108" t="s">
        <v>35</v>
      </c>
      <c r="AWD19" s="105"/>
      <c r="AWE19" s="105"/>
      <c r="AWF19" s="105"/>
      <c r="AWG19" s="106"/>
      <c r="AWH19" s="106"/>
      <c r="AWI19" s="107"/>
      <c r="AWJ19" s="108"/>
      <c r="AWK19" s="109">
        <f t="shared" si="96"/>
        <v>0</v>
      </c>
      <c r="AWL19" s="110"/>
      <c r="AWM19" s="108" t="s">
        <v>35</v>
      </c>
      <c r="AWP19" s="105"/>
      <c r="AWQ19" s="105"/>
      <c r="AWR19" s="105"/>
      <c r="AWS19" s="106"/>
      <c r="AWT19" s="106"/>
      <c r="AWU19" s="107"/>
      <c r="AWV19" s="108"/>
      <c r="AWW19" s="109">
        <f t="shared" si="97"/>
        <v>0</v>
      </c>
      <c r="AWX19" s="110"/>
      <c r="AWY19" s="108" t="s">
        <v>35</v>
      </c>
      <c r="AXB19" s="105"/>
      <c r="AXC19" s="105"/>
      <c r="AXD19" s="105"/>
      <c r="AXE19" s="106"/>
      <c r="AXF19" s="106"/>
      <c r="AXG19" s="107"/>
      <c r="AXH19" s="108"/>
      <c r="AXI19" s="109">
        <f t="shared" si="98"/>
        <v>0</v>
      </c>
      <c r="AXJ19" s="110"/>
      <c r="AXK19" s="108" t="s">
        <v>35</v>
      </c>
      <c r="AXN19" s="105"/>
      <c r="AXO19" s="105"/>
      <c r="AXP19" s="105"/>
      <c r="AXQ19" s="106"/>
      <c r="AXR19" s="106"/>
      <c r="AXS19" s="107"/>
      <c r="AXT19" s="108"/>
      <c r="AXU19" s="109">
        <f t="shared" si="99"/>
        <v>0</v>
      </c>
      <c r="AXV19" s="110"/>
      <c r="AXW19" s="108" t="s">
        <v>35</v>
      </c>
      <c r="AXZ19" s="105"/>
      <c r="AYA19" s="105"/>
      <c r="AYB19" s="105"/>
      <c r="AYC19" s="106"/>
      <c r="AYD19" s="106"/>
      <c r="AYE19" s="107"/>
      <c r="AYF19" s="108"/>
      <c r="AYG19" s="109">
        <f t="shared" si="100"/>
        <v>0</v>
      </c>
      <c r="AYH19" s="110"/>
      <c r="AYI19" s="108" t="s">
        <v>35</v>
      </c>
      <c r="AYL19" s="105"/>
      <c r="AYM19" s="105"/>
      <c r="AYN19" s="105"/>
      <c r="AYO19" s="106"/>
      <c r="AYP19" s="106"/>
      <c r="AYQ19" s="107"/>
      <c r="AYR19" s="108"/>
      <c r="AYS19" s="109">
        <f t="shared" si="101"/>
        <v>0</v>
      </c>
      <c r="AYT19" s="110"/>
      <c r="AYU19" s="108" t="s">
        <v>35</v>
      </c>
      <c r="AYX19" s="105"/>
      <c r="AYY19" s="105"/>
      <c r="AYZ19" s="105"/>
      <c r="AZA19" s="106"/>
      <c r="AZB19" s="106"/>
      <c r="AZC19" s="107"/>
      <c r="AZD19" s="108"/>
      <c r="AZE19" s="109">
        <f t="shared" si="102"/>
        <v>0</v>
      </c>
      <c r="AZF19" s="110"/>
      <c r="AZG19" s="108" t="s">
        <v>35</v>
      </c>
      <c r="AZJ19" s="105"/>
      <c r="AZK19" s="105"/>
      <c r="AZL19" s="105"/>
      <c r="AZM19" s="106"/>
      <c r="AZN19" s="106"/>
      <c r="AZO19" s="107"/>
      <c r="AZP19" s="108"/>
      <c r="AZQ19" s="109">
        <f t="shared" si="103"/>
        <v>0</v>
      </c>
      <c r="AZR19" s="110"/>
      <c r="AZS19" s="108" t="s">
        <v>35</v>
      </c>
      <c r="AZV19" s="105"/>
      <c r="AZW19" s="105"/>
      <c r="AZX19" s="105"/>
      <c r="AZY19" s="106"/>
      <c r="AZZ19" s="106"/>
      <c r="BAA19" s="107"/>
      <c r="BAB19" s="108"/>
      <c r="BAC19" s="109">
        <f t="shared" si="104"/>
        <v>0</v>
      </c>
      <c r="BAD19" s="110"/>
      <c r="BAE19" s="108" t="s">
        <v>35</v>
      </c>
      <c r="BAH19" s="105"/>
      <c r="BAI19" s="105"/>
      <c r="BAJ19" s="105"/>
      <c r="BAK19" s="106"/>
      <c r="BAL19" s="106"/>
      <c r="BAM19" s="107"/>
      <c r="BAN19" s="108"/>
      <c r="BAO19" s="109">
        <f t="shared" si="105"/>
        <v>0</v>
      </c>
      <c r="BAP19" s="110"/>
      <c r="BAQ19" s="108" t="s">
        <v>35</v>
      </c>
      <c r="BAT19" s="105"/>
      <c r="BAU19" s="105"/>
      <c r="BAV19" s="105"/>
      <c r="BAW19" s="106"/>
      <c r="BAX19" s="106"/>
      <c r="BAY19" s="107"/>
      <c r="BAZ19" s="108"/>
      <c r="BBA19" s="109">
        <f t="shared" si="106"/>
        <v>0</v>
      </c>
      <c r="BBB19" s="110"/>
      <c r="BBC19" s="108" t="s">
        <v>35</v>
      </c>
      <c r="BBF19" s="105"/>
      <c r="BBG19" s="105"/>
      <c r="BBH19" s="105"/>
      <c r="BBI19" s="106"/>
      <c r="BBJ19" s="106"/>
      <c r="BBK19" s="107"/>
      <c r="BBL19" s="108"/>
      <c r="BBM19" s="109">
        <f t="shared" si="107"/>
        <v>0</v>
      </c>
      <c r="BBN19" s="110"/>
      <c r="BBO19" s="108" t="s">
        <v>35</v>
      </c>
      <c r="BBR19" s="105"/>
      <c r="BBS19" s="105"/>
      <c r="BBT19" s="105"/>
      <c r="BBU19" s="106"/>
      <c r="BBV19" s="106"/>
      <c r="BBW19" s="107"/>
      <c r="BBX19" s="108"/>
      <c r="BBY19" s="109">
        <f t="shared" si="108"/>
        <v>0</v>
      </c>
      <c r="BBZ19" s="110"/>
      <c r="BCA19" s="108" t="s">
        <v>35</v>
      </c>
      <c r="BCD19" s="105"/>
      <c r="BCE19" s="105"/>
      <c r="BCF19" s="105"/>
      <c r="BCG19" s="106"/>
      <c r="BCH19" s="106"/>
      <c r="BCI19" s="107"/>
      <c r="BCJ19" s="108"/>
      <c r="BCK19" s="109">
        <f t="shared" si="109"/>
        <v>0</v>
      </c>
      <c r="BCL19" s="110"/>
      <c r="BCM19" s="108" t="s">
        <v>35</v>
      </c>
      <c r="BCP19" s="105"/>
      <c r="BCQ19" s="105"/>
      <c r="BCR19" s="105"/>
      <c r="BCS19" s="106"/>
      <c r="BCT19" s="106"/>
      <c r="BCU19" s="107"/>
      <c r="BCV19" s="108"/>
      <c r="BCW19" s="109">
        <f t="shared" si="110"/>
        <v>0</v>
      </c>
      <c r="BCX19" s="110"/>
      <c r="BCY19" s="108" t="s">
        <v>35</v>
      </c>
      <c r="BDB19" s="105"/>
      <c r="BDC19" s="105"/>
      <c r="BDD19" s="105"/>
      <c r="BDE19" s="106"/>
      <c r="BDF19" s="106"/>
      <c r="BDG19" s="107"/>
      <c r="BDH19" s="108"/>
      <c r="BDI19" s="109">
        <f t="shared" si="111"/>
        <v>0</v>
      </c>
      <c r="BDJ19" s="110"/>
      <c r="BDK19" s="108" t="s">
        <v>35</v>
      </c>
      <c r="BDN19" s="105"/>
      <c r="BDO19" s="105"/>
      <c r="BDP19" s="105"/>
      <c r="BDQ19" s="106"/>
      <c r="BDR19" s="106"/>
      <c r="BDS19" s="107"/>
      <c r="BDT19" s="108"/>
      <c r="BDU19" s="109">
        <f t="shared" si="112"/>
        <v>0</v>
      </c>
      <c r="BDV19" s="110"/>
      <c r="BDW19" s="108" t="s">
        <v>35</v>
      </c>
      <c r="BDZ19" s="105"/>
      <c r="BEA19" s="105"/>
      <c r="BEB19" s="105"/>
      <c r="BEC19" s="106"/>
      <c r="BED19" s="106"/>
      <c r="BEE19" s="107"/>
      <c r="BEF19" s="108"/>
      <c r="BEG19" s="109">
        <f t="shared" si="113"/>
        <v>0</v>
      </c>
      <c r="BEH19" s="110"/>
      <c r="BEI19" s="108" t="s">
        <v>35</v>
      </c>
      <c r="BEL19" s="105"/>
      <c r="BEM19" s="105"/>
      <c r="BEN19" s="105"/>
      <c r="BEO19" s="106"/>
      <c r="BEP19" s="106"/>
      <c r="BEQ19" s="107"/>
      <c r="BER19" s="108"/>
      <c r="BES19" s="109">
        <f t="shared" si="114"/>
        <v>0</v>
      </c>
      <c r="BET19" s="110"/>
      <c r="BEU19" s="108" t="s">
        <v>35</v>
      </c>
      <c r="BEX19" s="105"/>
      <c r="BEY19" s="105"/>
      <c r="BEZ19" s="105"/>
      <c r="BFA19" s="106"/>
      <c r="BFB19" s="106"/>
      <c r="BFC19" s="107"/>
      <c r="BFD19" s="108"/>
      <c r="BFE19" s="109">
        <f t="shared" si="115"/>
        <v>0</v>
      </c>
      <c r="BFF19" s="110"/>
      <c r="BFG19" s="108" t="s">
        <v>35</v>
      </c>
      <c r="BFJ19" s="105"/>
      <c r="BFK19" s="105"/>
      <c r="BFL19" s="105"/>
      <c r="BFM19" s="106"/>
      <c r="BFN19" s="106"/>
      <c r="BFO19" s="107"/>
      <c r="BFP19" s="108"/>
      <c r="BFQ19" s="109">
        <f t="shared" si="116"/>
        <v>0</v>
      </c>
      <c r="BFR19" s="110"/>
      <c r="BFS19" s="108" t="s">
        <v>35</v>
      </c>
      <c r="BFV19" s="105"/>
      <c r="BFW19" s="105"/>
      <c r="BFX19" s="105"/>
      <c r="BFY19" s="106"/>
      <c r="BFZ19" s="106"/>
      <c r="BGA19" s="107"/>
      <c r="BGB19" s="108"/>
      <c r="BGC19" s="109">
        <f t="shared" si="117"/>
        <v>0</v>
      </c>
      <c r="BGD19" s="110"/>
      <c r="BGE19" s="108" t="s">
        <v>35</v>
      </c>
      <c r="BGH19" s="105"/>
      <c r="BGI19" s="105"/>
      <c r="BGJ19" s="105"/>
      <c r="BGK19" s="106"/>
      <c r="BGL19" s="106"/>
      <c r="BGM19" s="107"/>
      <c r="BGN19" s="108"/>
      <c r="BGO19" s="109">
        <f t="shared" si="118"/>
        <v>0</v>
      </c>
      <c r="BGP19" s="110"/>
      <c r="BGQ19" s="108" t="s">
        <v>35</v>
      </c>
      <c r="BGT19" s="105"/>
      <c r="BGU19" s="105"/>
      <c r="BGV19" s="105"/>
      <c r="BGW19" s="106"/>
      <c r="BGX19" s="106"/>
      <c r="BGY19" s="107"/>
      <c r="BGZ19" s="108"/>
      <c r="BHA19" s="109">
        <f t="shared" si="119"/>
        <v>0</v>
      </c>
      <c r="BHB19" s="110"/>
      <c r="BHC19" s="108" t="s">
        <v>35</v>
      </c>
      <c r="BHF19" s="105"/>
      <c r="BHG19" s="105"/>
      <c r="BHH19" s="105"/>
      <c r="BHI19" s="106"/>
      <c r="BHJ19" s="106"/>
      <c r="BHK19" s="107"/>
      <c r="BHL19" s="108"/>
      <c r="BHM19" s="109">
        <f t="shared" si="120"/>
        <v>0</v>
      </c>
      <c r="BHN19" s="110"/>
      <c r="BHO19" s="108" t="s">
        <v>35</v>
      </c>
      <c r="BHR19" s="105"/>
      <c r="BHS19" s="105"/>
      <c r="BHT19" s="105"/>
      <c r="BHU19" s="106"/>
      <c r="BHV19" s="106"/>
      <c r="BHW19" s="107"/>
      <c r="BHX19" s="108"/>
      <c r="BHY19" s="109">
        <f t="shared" si="121"/>
        <v>0</v>
      </c>
      <c r="BHZ19" s="110"/>
      <c r="BIA19" s="108" t="s">
        <v>35</v>
      </c>
      <c r="BID19" s="105"/>
      <c r="BIE19" s="105"/>
      <c r="BIF19" s="105"/>
      <c r="BIG19" s="106"/>
      <c r="BIH19" s="106"/>
      <c r="BII19" s="107"/>
      <c r="BIJ19" s="108"/>
      <c r="BIK19" s="109">
        <f t="shared" si="122"/>
        <v>0</v>
      </c>
      <c r="BIL19" s="110"/>
      <c r="BIM19" s="108" t="s">
        <v>35</v>
      </c>
      <c r="BIP19" s="105"/>
      <c r="BIQ19" s="105"/>
      <c r="BIR19" s="105"/>
      <c r="BIS19" s="106"/>
      <c r="BIT19" s="106"/>
      <c r="BIU19" s="107"/>
      <c r="BIV19" s="108"/>
      <c r="BIW19" s="109">
        <f t="shared" si="123"/>
        <v>0</v>
      </c>
      <c r="BIX19" s="110"/>
      <c r="BIY19" s="108" t="s">
        <v>35</v>
      </c>
      <c r="BJB19" s="105"/>
      <c r="BJC19" s="105"/>
      <c r="BJD19" s="105"/>
      <c r="BJE19" s="106"/>
      <c r="BJF19" s="106"/>
      <c r="BJG19" s="107"/>
      <c r="BJH19" s="108"/>
      <c r="BJI19" s="109">
        <f t="shared" si="124"/>
        <v>0</v>
      </c>
      <c r="BJJ19" s="110"/>
      <c r="BJK19" s="108" t="s">
        <v>35</v>
      </c>
      <c r="BJN19" s="105"/>
      <c r="BJO19" s="105"/>
      <c r="BJP19" s="105"/>
      <c r="BJQ19" s="106"/>
      <c r="BJR19" s="106"/>
      <c r="BJS19" s="107"/>
      <c r="BJT19" s="108"/>
      <c r="BJU19" s="109">
        <f t="shared" si="125"/>
        <v>0</v>
      </c>
      <c r="BJV19" s="110"/>
      <c r="BJW19" s="108" t="s">
        <v>35</v>
      </c>
      <c r="BJZ19" s="105"/>
      <c r="BKA19" s="105"/>
      <c r="BKB19" s="105"/>
      <c r="BKC19" s="106"/>
      <c r="BKD19" s="106"/>
      <c r="BKE19" s="107"/>
      <c r="BKF19" s="108"/>
      <c r="BKG19" s="109">
        <f t="shared" si="126"/>
        <v>0</v>
      </c>
      <c r="BKH19" s="110"/>
      <c r="BKI19" s="108" t="s">
        <v>35</v>
      </c>
      <c r="BKL19" s="105"/>
      <c r="BKM19" s="105"/>
      <c r="BKN19" s="105"/>
      <c r="BKO19" s="106"/>
      <c r="BKP19" s="106"/>
      <c r="BKQ19" s="107"/>
      <c r="BKR19" s="108"/>
      <c r="BKS19" s="109">
        <f t="shared" si="127"/>
        <v>0</v>
      </c>
      <c r="BKT19" s="110"/>
      <c r="BKU19" s="108" t="s">
        <v>35</v>
      </c>
      <c r="BKX19" s="105"/>
      <c r="BKY19" s="105"/>
      <c r="BKZ19" s="105"/>
      <c r="BLA19" s="106"/>
      <c r="BLB19" s="106"/>
      <c r="BLC19" s="107"/>
      <c r="BLD19" s="108"/>
      <c r="BLE19" s="109">
        <f t="shared" si="128"/>
        <v>0</v>
      </c>
      <c r="BLF19" s="110"/>
      <c r="BLG19" s="108" t="s">
        <v>35</v>
      </c>
      <c r="BLJ19" s="105"/>
      <c r="BLK19" s="105"/>
      <c r="BLL19" s="105"/>
      <c r="BLM19" s="106"/>
      <c r="BLN19" s="106"/>
      <c r="BLO19" s="107"/>
      <c r="BLP19" s="108"/>
      <c r="BLQ19" s="109">
        <f t="shared" si="129"/>
        <v>0</v>
      </c>
      <c r="BLR19" s="110"/>
      <c r="BLS19" s="108" t="s">
        <v>35</v>
      </c>
      <c r="BLV19" s="105"/>
      <c r="BLW19" s="105"/>
      <c r="BLX19" s="105"/>
      <c r="BLY19" s="106"/>
      <c r="BLZ19" s="106"/>
      <c r="BMA19" s="107"/>
      <c r="BMB19" s="108"/>
      <c r="BMC19" s="109">
        <f t="shared" si="130"/>
        <v>0</v>
      </c>
      <c r="BMD19" s="110"/>
      <c r="BME19" s="108" t="s">
        <v>35</v>
      </c>
      <c r="BMH19" s="105"/>
      <c r="BMI19" s="105"/>
      <c r="BMJ19" s="105"/>
      <c r="BMK19" s="106"/>
      <c r="BML19" s="106"/>
      <c r="BMM19" s="107"/>
      <c r="BMN19" s="108"/>
      <c r="BMO19" s="109">
        <f t="shared" si="131"/>
        <v>0</v>
      </c>
      <c r="BMP19" s="110"/>
      <c r="BMQ19" s="108" t="s">
        <v>35</v>
      </c>
      <c r="BMT19" s="105"/>
      <c r="BMU19" s="105"/>
      <c r="BMV19" s="105"/>
      <c r="BMW19" s="106"/>
      <c r="BMX19" s="106"/>
      <c r="BMY19" s="107"/>
      <c r="BMZ19" s="108"/>
      <c r="BNA19" s="109">
        <f t="shared" si="132"/>
        <v>0</v>
      </c>
      <c r="BNB19" s="110"/>
      <c r="BNC19" s="108" t="s">
        <v>35</v>
      </c>
      <c r="BNF19" s="105"/>
      <c r="BNG19" s="105"/>
      <c r="BNH19" s="105"/>
      <c r="BNI19" s="106"/>
      <c r="BNJ19" s="106"/>
      <c r="BNK19" s="107"/>
      <c r="BNL19" s="108"/>
      <c r="BNM19" s="109">
        <f t="shared" si="133"/>
        <v>0</v>
      </c>
      <c r="BNN19" s="110"/>
      <c r="BNO19" s="108" t="s">
        <v>35</v>
      </c>
      <c r="BNR19" s="105"/>
      <c r="BNS19" s="105"/>
      <c r="BNT19" s="105"/>
      <c r="BNU19" s="106"/>
      <c r="BNV19" s="106"/>
      <c r="BNW19" s="107"/>
      <c r="BNX19" s="108"/>
      <c r="BNY19" s="109">
        <f t="shared" si="134"/>
        <v>0</v>
      </c>
      <c r="BNZ19" s="110"/>
      <c r="BOA19" s="108" t="s">
        <v>35</v>
      </c>
      <c r="BOD19" s="105"/>
      <c r="BOE19" s="105"/>
      <c r="BOF19" s="105"/>
      <c r="BOG19" s="106"/>
      <c r="BOH19" s="106"/>
      <c r="BOI19" s="107"/>
      <c r="BOJ19" s="108"/>
      <c r="BOK19" s="109">
        <f t="shared" si="135"/>
        <v>0</v>
      </c>
      <c r="BOL19" s="110"/>
      <c r="BOM19" s="108" t="s">
        <v>35</v>
      </c>
      <c r="BOP19" s="105"/>
      <c r="BOQ19" s="105"/>
      <c r="BOR19" s="105"/>
      <c r="BOS19" s="106"/>
      <c r="BOT19" s="106"/>
      <c r="BOU19" s="107"/>
      <c r="BOV19" s="108"/>
      <c r="BOW19" s="109">
        <f t="shared" si="136"/>
        <v>0</v>
      </c>
      <c r="BOX19" s="110"/>
      <c r="BOY19" s="108" t="s">
        <v>35</v>
      </c>
      <c r="BPB19" s="105"/>
      <c r="BPC19" s="105"/>
      <c r="BPD19" s="105"/>
      <c r="BPE19" s="106"/>
      <c r="BPF19" s="106"/>
      <c r="BPG19" s="107"/>
      <c r="BPH19" s="108"/>
      <c r="BPI19" s="109">
        <f t="shared" si="137"/>
        <v>0</v>
      </c>
      <c r="BPJ19" s="110"/>
      <c r="BPK19" s="108" t="s">
        <v>35</v>
      </c>
      <c r="BPN19" s="105"/>
      <c r="BPO19" s="105"/>
      <c r="BPP19" s="105"/>
      <c r="BPQ19" s="106"/>
      <c r="BPR19" s="106"/>
      <c r="BPS19" s="107"/>
      <c r="BPT19" s="108"/>
      <c r="BPU19" s="109">
        <f t="shared" si="138"/>
        <v>0</v>
      </c>
      <c r="BPV19" s="110"/>
      <c r="BPW19" s="108" t="s">
        <v>35</v>
      </c>
      <c r="BPZ19" s="105"/>
      <c r="BQA19" s="105"/>
      <c r="BQB19" s="105"/>
      <c r="BQC19" s="106"/>
      <c r="BQD19" s="106"/>
      <c r="BQE19" s="107"/>
      <c r="BQF19" s="108"/>
      <c r="BQG19" s="109">
        <f t="shared" si="139"/>
        <v>0</v>
      </c>
      <c r="BQH19" s="110"/>
      <c r="BQI19" s="108" t="s">
        <v>35</v>
      </c>
      <c r="BQL19" s="105"/>
      <c r="BQM19" s="105"/>
      <c r="BQN19" s="105"/>
      <c r="BQO19" s="106"/>
      <c r="BQP19" s="106"/>
      <c r="BQQ19" s="107"/>
      <c r="BQR19" s="108"/>
      <c r="BQS19" s="109">
        <f t="shared" si="140"/>
        <v>0</v>
      </c>
      <c r="BQT19" s="110"/>
      <c r="BQU19" s="108" t="s">
        <v>35</v>
      </c>
      <c r="BQX19" s="105"/>
      <c r="BQY19" s="105"/>
      <c r="BQZ19" s="105"/>
      <c r="BRA19" s="106"/>
      <c r="BRB19" s="106"/>
      <c r="BRC19" s="107"/>
      <c r="BRD19" s="108"/>
      <c r="BRE19" s="109">
        <f t="shared" si="141"/>
        <v>0</v>
      </c>
      <c r="BRF19" s="110"/>
      <c r="BRG19" s="108" t="s">
        <v>35</v>
      </c>
      <c r="BRJ19" s="105"/>
      <c r="BRK19" s="105"/>
      <c r="BRL19" s="105"/>
      <c r="BRM19" s="106"/>
      <c r="BRN19" s="106"/>
      <c r="BRO19" s="107"/>
      <c r="BRP19" s="108"/>
      <c r="BRQ19" s="109">
        <f t="shared" si="142"/>
        <v>0</v>
      </c>
      <c r="BRR19" s="110"/>
      <c r="BRS19" s="108" t="s">
        <v>35</v>
      </c>
      <c r="BRV19" s="105"/>
      <c r="BRW19" s="105"/>
      <c r="BRX19" s="105"/>
      <c r="BRY19" s="106"/>
      <c r="BRZ19" s="106"/>
      <c r="BSA19" s="107"/>
      <c r="BSB19" s="108"/>
      <c r="BSC19" s="109">
        <f t="shared" si="143"/>
        <v>0</v>
      </c>
      <c r="BSD19" s="110"/>
      <c r="BSE19" s="108" t="s">
        <v>35</v>
      </c>
      <c r="BSH19" s="105"/>
      <c r="BSI19" s="105"/>
      <c r="BSJ19" s="105"/>
      <c r="BSK19" s="106"/>
      <c r="BSL19" s="106"/>
      <c r="BSM19" s="107"/>
      <c r="BSN19" s="108"/>
      <c r="BSO19" s="109">
        <f t="shared" si="144"/>
        <v>0</v>
      </c>
      <c r="BSP19" s="110"/>
      <c r="BSQ19" s="108" t="s">
        <v>35</v>
      </c>
      <c r="BST19" s="105"/>
      <c r="BSU19" s="105"/>
      <c r="BSV19" s="105"/>
      <c r="BSW19" s="106"/>
      <c r="BSX19" s="106"/>
      <c r="BSY19" s="107"/>
      <c r="BSZ19" s="108"/>
      <c r="BTA19" s="109">
        <f t="shared" si="145"/>
        <v>0</v>
      </c>
      <c r="BTB19" s="110"/>
      <c r="BTC19" s="108" t="s">
        <v>35</v>
      </c>
      <c r="BTF19" s="105"/>
      <c r="BTG19" s="105"/>
      <c r="BTH19" s="105"/>
      <c r="BTI19" s="106"/>
      <c r="BTJ19" s="106"/>
      <c r="BTK19" s="107"/>
      <c r="BTL19" s="108"/>
      <c r="BTM19" s="109">
        <f t="shared" si="146"/>
        <v>0</v>
      </c>
      <c r="BTN19" s="110"/>
      <c r="BTO19" s="108" t="s">
        <v>35</v>
      </c>
      <c r="BTR19" s="105"/>
      <c r="BTS19" s="105"/>
      <c r="BTT19" s="105"/>
      <c r="BTU19" s="106"/>
      <c r="BTV19" s="106"/>
      <c r="BTW19" s="107"/>
      <c r="BTX19" s="108"/>
      <c r="BTY19" s="109">
        <f t="shared" si="147"/>
        <v>0</v>
      </c>
      <c r="BTZ19" s="110"/>
      <c r="BUA19" s="108" t="s">
        <v>35</v>
      </c>
      <c r="BUD19" s="105"/>
      <c r="BUE19" s="105"/>
      <c r="BUF19" s="105"/>
      <c r="BUG19" s="106"/>
      <c r="BUH19" s="106"/>
      <c r="BUI19" s="107"/>
      <c r="BUJ19" s="108"/>
      <c r="BUK19" s="109">
        <f t="shared" si="148"/>
        <v>0</v>
      </c>
      <c r="BUL19" s="110"/>
      <c r="BUM19" s="108" t="s">
        <v>35</v>
      </c>
      <c r="BUP19" s="105"/>
      <c r="BUQ19" s="105"/>
      <c r="BUR19" s="105"/>
      <c r="BUS19" s="106"/>
      <c r="BUT19" s="106"/>
      <c r="BUU19" s="107"/>
      <c r="BUV19" s="108"/>
      <c r="BUW19" s="109">
        <f t="shared" si="149"/>
        <v>0</v>
      </c>
      <c r="BUX19" s="110"/>
      <c r="BUY19" s="108" t="s">
        <v>35</v>
      </c>
      <c r="BVB19" s="105"/>
      <c r="BVC19" s="105"/>
      <c r="BVD19" s="105"/>
      <c r="BVE19" s="106"/>
      <c r="BVF19" s="106"/>
      <c r="BVG19" s="107"/>
      <c r="BVH19" s="108"/>
      <c r="BVI19" s="109">
        <f t="shared" si="150"/>
        <v>0</v>
      </c>
      <c r="BVJ19" s="110"/>
      <c r="BVK19" s="108" t="s">
        <v>35</v>
      </c>
      <c r="BVN19" s="105"/>
      <c r="BVO19" s="105"/>
      <c r="BVP19" s="105"/>
      <c r="BVQ19" s="106"/>
      <c r="BVR19" s="106"/>
      <c r="BVS19" s="107"/>
      <c r="BVT19" s="108"/>
      <c r="BVU19" s="109">
        <f t="shared" si="151"/>
        <v>0</v>
      </c>
      <c r="BVV19" s="110"/>
      <c r="BVW19" s="108" t="s">
        <v>35</v>
      </c>
      <c r="BVZ19" s="105"/>
      <c r="BWA19" s="105"/>
      <c r="BWB19" s="105"/>
      <c r="BWC19" s="106"/>
      <c r="BWD19" s="106"/>
      <c r="BWE19" s="107"/>
      <c r="BWF19" s="108"/>
      <c r="BWG19" s="109">
        <f t="shared" si="152"/>
        <v>0</v>
      </c>
      <c r="BWH19" s="110"/>
      <c r="BWI19" s="108" t="s">
        <v>35</v>
      </c>
      <c r="BWL19" s="105"/>
      <c r="BWM19" s="105"/>
      <c r="BWN19" s="105"/>
      <c r="BWO19" s="106"/>
      <c r="BWP19" s="106"/>
      <c r="BWQ19" s="107"/>
      <c r="BWR19" s="108"/>
      <c r="BWS19" s="109">
        <f t="shared" si="153"/>
        <v>0</v>
      </c>
      <c r="BWT19" s="110"/>
      <c r="BWU19" s="108" t="s">
        <v>35</v>
      </c>
      <c r="BWX19" s="105"/>
      <c r="BWY19" s="105"/>
      <c r="BWZ19" s="105"/>
      <c r="BXA19" s="106"/>
      <c r="BXB19" s="106"/>
      <c r="BXC19" s="107"/>
      <c r="BXD19" s="108"/>
      <c r="BXE19" s="109">
        <f t="shared" si="154"/>
        <v>0</v>
      </c>
      <c r="BXF19" s="110"/>
      <c r="BXG19" s="108" t="s">
        <v>35</v>
      </c>
      <c r="BXJ19" s="105"/>
      <c r="BXK19" s="105"/>
      <c r="BXL19" s="105"/>
      <c r="BXM19" s="106"/>
      <c r="BXN19" s="106"/>
      <c r="BXO19" s="107"/>
      <c r="BXP19" s="108"/>
      <c r="BXQ19" s="109">
        <f t="shared" si="155"/>
        <v>0</v>
      </c>
      <c r="BXR19" s="110"/>
      <c r="BXS19" s="108" t="s">
        <v>35</v>
      </c>
      <c r="BXV19" s="105"/>
      <c r="BXW19" s="105"/>
      <c r="BXX19" s="105"/>
      <c r="BXY19" s="106"/>
      <c r="BXZ19" s="106"/>
      <c r="BYA19" s="107"/>
      <c r="BYB19" s="108"/>
      <c r="BYC19" s="109">
        <f t="shared" si="156"/>
        <v>0</v>
      </c>
      <c r="BYD19" s="110"/>
      <c r="BYE19" s="108" t="s">
        <v>35</v>
      </c>
      <c r="BYH19" s="105"/>
      <c r="BYI19" s="105"/>
      <c r="BYJ19" s="105"/>
      <c r="BYK19" s="106"/>
      <c r="BYL19" s="106"/>
      <c r="BYM19" s="107"/>
      <c r="BYN19" s="108"/>
      <c r="BYO19" s="109">
        <f t="shared" si="157"/>
        <v>0</v>
      </c>
      <c r="BYP19" s="110"/>
      <c r="BYQ19" s="108" t="s">
        <v>35</v>
      </c>
      <c r="BYT19" s="105"/>
      <c r="BYU19" s="105"/>
      <c r="BYV19" s="105"/>
      <c r="BYW19" s="106"/>
      <c r="BYX19" s="106"/>
      <c r="BYY19" s="107"/>
      <c r="BYZ19" s="108"/>
      <c r="BZA19" s="109">
        <f t="shared" si="158"/>
        <v>0</v>
      </c>
      <c r="BZB19" s="110"/>
      <c r="BZC19" s="108" t="s">
        <v>35</v>
      </c>
      <c r="BZF19" s="105"/>
      <c r="BZG19" s="105"/>
      <c r="BZH19" s="105"/>
      <c r="BZI19" s="106"/>
      <c r="BZJ19" s="106"/>
      <c r="BZK19" s="107"/>
      <c r="BZL19" s="108"/>
      <c r="BZM19" s="109">
        <f t="shared" si="159"/>
        <v>0</v>
      </c>
      <c r="BZN19" s="110"/>
      <c r="BZO19" s="108" t="s">
        <v>35</v>
      </c>
      <c r="BZR19" s="105"/>
      <c r="BZS19" s="105"/>
      <c r="BZT19" s="105"/>
      <c r="BZU19" s="106"/>
      <c r="BZV19" s="106"/>
      <c r="BZW19" s="107"/>
      <c r="BZX19" s="108"/>
      <c r="BZY19" s="109">
        <f t="shared" si="160"/>
        <v>0</v>
      </c>
      <c r="BZZ19" s="110"/>
      <c r="CAA19" s="108" t="s">
        <v>35</v>
      </c>
      <c r="CAD19" s="105"/>
      <c r="CAE19" s="105"/>
      <c r="CAF19" s="105"/>
      <c r="CAG19" s="106"/>
      <c r="CAH19" s="106"/>
      <c r="CAI19" s="107"/>
      <c r="CAJ19" s="108"/>
      <c r="CAK19" s="109">
        <f t="shared" si="161"/>
        <v>0</v>
      </c>
      <c r="CAL19" s="110"/>
      <c r="CAM19" s="108" t="s">
        <v>35</v>
      </c>
      <c r="CAP19" s="105"/>
      <c r="CAQ19" s="105"/>
      <c r="CAR19" s="105"/>
      <c r="CAS19" s="106"/>
      <c r="CAT19" s="106"/>
      <c r="CAU19" s="107"/>
      <c r="CAV19" s="108"/>
      <c r="CAW19" s="109">
        <f t="shared" si="162"/>
        <v>0</v>
      </c>
      <c r="CAX19" s="110"/>
      <c r="CAY19" s="108" t="s">
        <v>35</v>
      </c>
      <c r="CBB19" s="105"/>
      <c r="CBC19" s="105"/>
      <c r="CBD19" s="105"/>
      <c r="CBE19" s="106"/>
      <c r="CBF19" s="106"/>
      <c r="CBG19" s="107"/>
      <c r="CBH19" s="108"/>
      <c r="CBI19" s="109">
        <f t="shared" si="163"/>
        <v>0</v>
      </c>
      <c r="CBJ19" s="110"/>
      <c r="CBK19" s="108" t="s">
        <v>35</v>
      </c>
      <c r="CBN19" s="105"/>
      <c r="CBO19" s="105"/>
      <c r="CBP19" s="105"/>
      <c r="CBQ19" s="106"/>
      <c r="CBR19" s="106"/>
      <c r="CBS19" s="107"/>
      <c r="CBT19" s="108"/>
      <c r="CBU19" s="109">
        <f t="shared" si="164"/>
        <v>0</v>
      </c>
      <c r="CBV19" s="110"/>
      <c r="CBW19" s="108" t="s">
        <v>35</v>
      </c>
      <c r="CBZ19" s="105"/>
      <c r="CCA19" s="105"/>
      <c r="CCB19" s="105"/>
      <c r="CCC19" s="106"/>
      <c r="CCD19" s="106"/>
      <c r="CCE19" s="107"/>
      <c r="CCF19" s="108"/>
      <c r="CCG19" s="109">
        <f t="shared" si="165"/>
        <v>0</v>
      </c>
      <c r="CCH19" s="110"/>
      <c r="CCI19" s="108" t="s">
        <v>35</v>
      </c>
      <c r="CCL19" s="105"/>
      <c r="CCM19" s="105"/>
      <c r="CCN19" s="105"/>
      <c r="CCO19" s="106"/>
      <c r="CCP19" s="106"/>
      <c r="CCQ19" s="107"/>
      <c r="CCR19" s="108"/>
      <c r="CCS19" s="109">
        <f t="shared" si="166"/>
        <v>0</v>
      </c>
      <c r="CCT19" s="110"/>
      <c r="CCU19" s="108" t="s">
        <v>35</v>
      </c>
      <c r="CCX19" s="105"/>
      <c r="CCY19" s="105"/>
      <c r="CCZ19" s="105"/>
      <c r="CDA19" s="106"/>
      <c r="CDB19" s="106"/>
      <c r="CDC19" s="107"/>
      <c r="CDD19" s="108"/>
      <c r="CDE19" s="109">
        <f t="shared" si="167"/>
        <v>0</v>
      </c>
      <c r="CDF19" s="110"/>
      <c r="CDG19" s="108" t="s">
        <v>35</v>
      </c>
      <c r="CDJ19" s="105"/>
      <c r="CDK19" s="105"/>
      <c r="CDL19" s="105"/>
      <c r="CDM19" s="106"/>
      <c r="CDN19" s="106"/>
      <c r="CDO19" s="107"/>
      <c r="CDP19" s="108"/>
      <c r="CDQ19" s="109">
        <f t="shared" si="168"/>
        <v>0</v>
      </c>
      <c r="CDR19" s="110"/>
      <c r="CDS19" s="108" t="s">
        <v>35</v>
      </c>
      <c r="CDV19" s="105"/>
      <c r="CDW19" s="105"/>
      <c r="CDX19" s="105"/>
      <c r="CDY19" s="106"/>
      <c r="CDZ19" s="106"/>
      <c r="CEA19" s="107"/>
      <c r="CEB19" s="108"/>
      <c r="CEC19" s="109">
        <f t="shared" si="169"/>
        <v>0</v>
      </c>
      <c r="CED19" s="110"/>
      <c r="CEE19" s="108" t="s">
        <v>35</v>
      </c>
      <c r="CEH19" s="105"/>
      <c r="CEI19" s="105"/>
      <c r="CEJ19" s="105"/>
      <c r="CEK19" s="106"/>
      <c r="CEL19" s="106"/>
      <c r="CEM19" s="107"/>
      <c r="CEN19" s="108"/>
      <c r="CEO19" s="109">
        <f t="shared" si="170"/>
        <v>0</v>
      </c>
      <c r="CEP19" s="110"/>
      <c r="CEQ19" s="108" t="s">
        <v>35</v>
      </c>
      <c r="CET19" s="105"/>
      <c r="CEU19" s="105"/>
      <c r="CEV19" s="105"/>
      <c r="CEW19" s="106"/>
      <c r="CEX19" s="106"/>
      <c r="CEY19" s="107"/>
      <c r="CEZ19" s="108"/>
      <c r="CFA19" s="109">
        <f t="shared" si="171"/>
        <v>0</v>
      </c>
      <c r="CFB19" s="110"/>
      <c r="CFC19" s="108" t="s">
        <v>35</v>
      </c>
      <c r="CFF19" s="105"/>
      <c r="CFG19" s="105"/>
      <c r="CFH19" s="105"/>
      <c r="CFI19" s="106"/>
      <c r="CFJ19" s="106"/>
      <c r="CFK19" s="107"/>
      <c r="CFL19" s="108"/>
      <c r="CFM19" s="109">
        <f t="shared" si="172"/>
        <v>0</v>
      </c>
      <c r="CFN19" s="110"/>
      <c r="CFO19" s="108" t="s">
        <v>35</v>
      </c>
      <c r="CFR19" s="105"/>
      <c r="CFS19" s="105"/>
      <c r="CFT19" s="105"/>
      <c r="CFU19" s="106"/>
      <c r="CFV19" s="106"/>
      <c r="CFW19" s="107"/>
      <c r="CFX19" s="108"/>
      <c r="CFY19" s="109">
        <f t="shared" si="173"/>
        <v>0</v>
      </c>
      <c r="CFZ19" s="110"/>
      <c r="CGA19" s="108" t="s">
        <v>35</v>
      </c>
      <c r="CGD19" s="105"/>
      <c r="CGE19" s="105"/>
      <c r="CGF19" s="105"/>
      <c r="CGG19" s="106"/>
      <c r="CGH19" s="106"/>
      <c r="CGI19" s="107"/>
      <c r="CGJ19" s="108"/>
      <c r="CGK19" s="109">
        <f t="shared" si="174"/>
        <v>0</v>
      </c>
      <c r="CGL19" s="110"/>
      <c r="CGM19" s="108" t="s">
        <v>35</v>
      </c>
      <c r="CGP19" s="105"/>
      <c r="CGQ19" s="105"/>
      <c r="CGR19" s="105"/>
      <c r="CGS19" s="106"/>
      <c r="CGT19" s="106"/>
      <c r="CGU19" s="107"/>
      <c r="CGV19" s="108"/>
      <c r="CGW19" s="109">
        <f t="shared" si="175"/>
        <v>0</v>
      </c>
      <c r="CGX19" s="110"/>
      <c r="CGY19" s="108" t="s">
        <v>35</v>
      </c>
      <c r="CHB19" s="105"/>
      <c r="CHC19" s="105"/>
      <c r="CHD19" s="105"/>
      <c r="CHE19" s="106"/>
      <c r="CHF19" s="106"/>
      <c r="CHG19" s="107"/>
      <c r="CHH19" s="108"/>
      <c r="CHI19" s="109">
        <f t="shared" si="176"/>
        <v>0</v>
      </c>
      <c r="CHJ19" s="110"/>
      <c r="CHK19" s="108" t="s">
        <v>35</v>
      </c>
      <c r="CHN19" s="105"/>
      <c r="CHO19" s="105"/>
      <c r="CHP19" s="105"/>
      <c r="CHQ19" s="106"/>
      <c r="CHR19" s="106"/>
      <c r="CHS19" s="107"/>
      <c r="CHT19" s="108"/>
      <c r="CHU19" s="109">
        <f t="shared" si="177"/>
        <v>0</v>
      </c>
      <c r="CHV19" s="110"/>
      <c r="CHW19" s="108" t="s">
        <v>35</v>
      </c>
      <c r="CHZ19" s="105"/>
      <c r="CIA19" s="105"/>
      <c r="CIB19" s="105"/>
      <c r="CIC19" s="106"/>
      <c r="CID19" s="106"/>
      <c r="CIE19" s="107"/>
      <c r="CIF19" s="108"/>
      <c r="CIG19" s="109">
        <f t="shared" si="178"/>
        <v>0</v>
      </c>
      <c r="CIH19" s="110"/>
      <c r="CII19" s="108" t="s">
        <v>35</v>
      </c>
      <c r="CIL19" s="105"/>
      <c r="CIM19" s="105"/>
      <c r="CIN19" s="105"/>
      <c r="CIO19" s="106"/>
      <c r="CIP19" s="106"/>
      <c r="CIQ19" s="107"/>
      <c r="CIR19" s="108"/>
      <c r="CIS19" s="109">
        <f t="shared" si="179"/>
        <v>0</v>
      </c>
      <c r="CIT19" s="110"/>
      <c r="CIU19" s="108" t="s">
        <v>35</v>
      </c>
      <c r="CIX19" s="105"/>
      <c r="CIY19" s="105"/>
      <c r="CIZ19" s="105"/>
      <c r="CJA19" s="106"/>
      <c r="CJB19" s="106"/>
      <c r="CJC19" s="107"/>
      <c r="CJD19" s="108"/>
      <c r="CJE19" s="109">
        <f t="shared" si="180"/>
        <v>0</v>
      </c>
      <c r="CJF19" s="110"/>
      <c r="CJG19" s="108" t="s">
        <v>35</v>
      </c>
      <c r="CJJ19" s="105"/>
      <c r="CJK19" s="105"/>
      <c r="CJL19" s="105"/>
      <c r="CJM19" s="106"/>
      <c r="CJN19" s="106"/>
      <c r="CJO19" s="107"/>
      <c r="CJP19" s="108"/>
      <c r="CJQ19" s="109">
        <f t="shared" si="181"/>
        <v>0</v>
      </c>
      <c r="CJR19" s="110"/>
      <c r="CJS19" s="108" t="s">
        <v>35</v>
      </c>
      <c r="CJV19" s="105"/>
      <c r="CJW19" s="105"/>
      <c r="CJX19" s="105"/>
      <c r="CJY19" s="106"/>
      <c r="CJZ19" s="106"/>
      <c r="CKA19" s="107"/>
      <c r="CKB19" s="108"/>
      <c r="CKC19" s="109">
        <f t="shared" si="182"/>
        <v>0</v>
      </c>
      <c r="CKD19" s="110"/>
      <c r="CKE19" s="108" t="s">
        <v>35</v>
      </c>
      <c r="CKH19" s="105"/>
      <c r="CKI19" s="105"/>
      <c r="CKJ19" s="105"/>
      <c r="CKK19" s="106"/>
      <c r="CKL19" s="106"/>
      <c r="CKM19" s="107"/>
      <c r="CKN19" s="108"/>
      <c r="CKO19" s="109">
        <f t="shared" si="183"/>
        <v>0</v>
      </c>
      <c r="CKP19" s="110"/>
      <c r="CKQ19" s="108" t="s">
        <v>35</v>
      </c>
      <c r="CKT19" s="105"/>
      <c r="CKU19" s="105"/>
      <c r="CKV19" s="105"/>
      <c r="CKW19" s="106"/>
      <c r="CKX19" s="106"/>
      <c r="CKY19" s="107"/>
      <c r="CKZ19" s="108"/>
      <c r="CLA19" s="109">
        <f t="shared" si="184"/>
        <v>0</v>
      </c>
      <c r="CLB19" s="110"/>
      <c r="CLC19" s="108" t="s">
        <v>35</v>
      </c>
      <c r="CLF19" s="105"/>
      <c r="CLG19" s="105"/>
      <c r="CLH19" s="105"/>
      <c r="CLI19" s="106"/>
      <c r="CLJ19" s="106"/>
      <c r="CLK19" s="107"/>
      <c r="CLL19" s="108"/>
      <c r="CLM19" s="109">
        <f t="shared" si="185"/>
        <v>0</v>
      </c>
      <c r="CLN19" s="110"/>
      <c r="CLO19" s="108" t="s">
        <v>35</v>
      </c>
      <c r="CLR19" s="105"/>
      <c r="CLS19" s="105"/>
      <c r="CLT19" s="105"/>
      <c r="CLU19" s="106"/>
      <c r="CLV19" s="106"/>
      <c r="CLW19" s="107"/>
      <c r="CLX19" s="108"/>
      <c r="CLY19" s="109">
        <f t="shared" si="186"/>
        <v>0</v>
      </c>
      <c r="CLZ19" s="110"/>
      <c r="CMA19" s="108" t="s">
        <v>35</v>
      </c>
      <c r="CMD19" s="105"/>
      <c r="CME19" s="105"/>
      <c r="CMF19" s="105"/>
      <c r="CMG19" s="106"/>
      <c r="CMH19" s="106"/>
      <c r="CMI19" s="107"/>
      <c r="CMJ19" s="108"/>
      <c r="CMK19" s="109">
        <f t="shared" si="187"/>
        <v>0</v>
      </c>
      <c r="CML19" s="110"/>
      <c r="CMM19" s="108" t="s">
        <v>35</v>
      </c>
      <c r="CMP19" s="105"/>
      <c r="CMQ19" s="105"/>
      <c r="CMR19" s="105"/>
      <c r="CMS19" s="106"/>
      <c r="CMT19" s="106"/>
      <c r="CMU19" s="107"/>
      <c r="CMV19" s="108"/>
      <c r="CMW19" s="109">
        <f t="shared" si="188"/>
        <v>0</v>
      </c>
      <c r="CMX19" s="110"/>
      <c r="CMY19" s="108" t="s">
        <v>35</v>
      </c>
      <c r="CNB19" s="105"/>
      <c r="CNC19" s="105"/>
      <c r="CND19" s="105"/>
      <c r="CNE19" s="106"/>
      <c r="CNF19" s="106"/>
      <c r="CNG19" s="107"/>
      <c r="CNH19" s="108"/>
      <c r="CNI19" s="109">
        <f t="shared" si="189"/>
        <v>0</v>
      </c>
      <c r="CNJ19" s="110"/>
      <c r="CNK19" s="108" t="s">
        <v>35</v>
      </c>
      <c r="CNN19" s="105"/>
      <c r="CNO19" s="105"/>
      <c r="CNP19" s="105"/>
      <c r="CNQ19" s="106"/>
      <c r="CNR19" s="106"/>
      <c r="CNS19" s="107"/>
      <c r="CNT19" s="108"/>
      <c r="CNU19" s="109">
        <f t="shared" si="190"/>
        <v>0</v>
      </c>
      <c r="CNV19" s="110"/>
      <c r="CNW19" s="108" t="s">
        <v>35</v>
      </c>
      <c r="CNZ19" s="105"/>
      <c r="COA19" s="105"/>
      <c r="COB19" s="105"/>
      <c r="COC19" s="106"/>
      <c r="COD19" s="106"/>
      <c r="COE19" s="107"/>
      <c r="COF19" s="108"/>
      <c r="COG19" s="109">
        <f t="shared" si="191"/>
        <v>0</v>
      </c>
      <c r="COH19" s="110"/>
      <c r="COI19" s="108" t="s">
        <v>35</v>
      </c>
      <c r="COL19" s="105"/>
      <c r="COM19" s="105"/>
      <c r="CON19" s="105"/>
      <c r="COO19" s="106"/>
      <c r="COP19" s="106"/>
      <c r="COQ19" s="107"/>
      <c r="COR19" s="108"/>
      <c r="COS19" s="109">
        <f t="shared" si="194"/>
        <v>0</v>
      </c>
      <c r="COT19" s="110"/>
      <c r="COU19" s="108" t="s">
        <v>35</v>
      </c>
      <c r="COX19" s="105"/>
      <c r="COY19" s="105"/>
      <c r="COZ19" s="105"/>
      <c r="CPA19" s="106"/>
      <c r="CPB19" s="106"/>
      <c r="CPC19" s="107"/>
      <c r="CPD19" s="108"/>
      <c r="CPE19" s="109">
        <f t="shared" si="195"/>
        <v>0</v>
      </c>
      <c r="CPF19" s="110"/>
      <c r="CPG19" s="108" t="s">
        <v>35</v>
      </c>
      <c r="CPJ19" s="105"/>
      <c r="CPK19" s="105"/>
      <c r="CPL19" s="105"/>
      <c r="CPM19" s="106"/>
      <c r="CPN19" s="106"/>
      <c r="CPO19" s="107"/>
      <c r="CPP19" s="108"/>
      <c r="CPQ19" s="109">
        <f t="shared" si="196"/>
        <v>0</v>
      </c>
      <c r="CPR19" s="110"/>
      <c r="CPS19" s="108" t="s">
        <v>35</v>
      </c>
      <c r="CPV19" s="105"/>
      <c r="CPW19" s="105"/>
      <c r="CPX19" s="105"/>
      <c r="CPY19" s="106"/>
      <c r="CPZ19" s="106"/>
      <c r="CQA19" s="107"/>
      <c r="CQB19" s="108"/>
      <c r="CQC19" s="109">
        <f t="shared" si="197"/>
        <v>0</v>
      </c>
      <c r="CQD19" s="110"/>
      <c r="CQE19" s="108" t="s">
        <v>35</v>
      </c>
      <c r="CQH19" s="105"/>
      <c r="CQI19" s="105"/>
      <c r="CQJ19" s="105"/>
      <c r="CQK19" s="106"/>
      <c r="CQL19" s="106"/>
      <c r="CQM19" s="107"/>
      <c r="CQN19" s="108"/>
      <c r="CQO19" s="109">
        <f t="shared" si="198"/>
        <v>0</v>
      </c>
      <c r="CQP19" s="110"/>
      <c r="CQQ19" s="108" t="s">
        <v>35</v>
      </c>
      <c r="CQT19" s="105"/>
      <c r="CQU19" s="105"/>
      <c r="CQV19" s="105"/>
      <c r="CQW19" s="106"/>
      <c r="CQX19" s="106"/>
      <c r="CQY19" s="107"/>
      <c r="CQZ19" s="108"/>
      <c r="CRA19" s="109">
        <f t="shared" si="199"/>
        <v>0</v>
      </c>
      <c r="CRB19" s="110"/>
      <c r="CRC19" s="108" t="s">
        <v>35</v>
      </c>
      <c r="CRF19" s="105"/>
      <c r="CRG19" s="105"/>
      <c r="CRH19" s="105"/>
      <c r="CRI19" s="106"/>
      <c r="CRJ19" s="106"/>
      <c r="CRK19" s="107"/>
      <c r="CRL19" s="108"/>
      <c r="CRM19" s="109">
        <f t="shared" si="200"/>
        <v>0</v>
      </c>
      <c r="CRN19" s="110"/>
      <c r="CRO19" s="108" t="s">
        <v>35</v>
      </c>
      <c r="CRR19" s="105"/>
      <c r="CRS19" s="105"/>
      <c r="CRT19" s="105"/>
      <c r="CRU19" s="106"/>
      <c r="CRV19" s="106"/>
      <c r="CRW19" s="107"/>
      <c r="CRX19" s="108"/>
      <c r="CRY19" s="109">
        <f t="shared" si="201"/>
        <v>0</v>
      </c>
      <c r="CRZ19" s="110"/>
      <c r="CSA19" s="108" t="s">
        <v>35</v>
      </c>
      <c r="CSD19" s="105"/>
      <c r="CSE19" s="105"/>
      <c r="CSF19" s="105"/>
      <c r="CSG19" s="106"/>
      <c r="CSH19" s="106"/>
      <c r="CSI19" s="107"/>
      <c r="CSJ19" s="108"/>
      <c r="CSK19" s="109">
        <f t="shared" si="202"/>
        <v>0</v>
      </c>
      <c r="CSL19" s="110"/>
      <c r="CSM19" s="108" t="s">
        <v>35</v>
      </c>
      <c r="CSP19" s="105"/>
      <c r="CSQ19" s="105"/>
      <c r="CSR19" s="105"/>
      <c r="CSS19" s="106"/>
      <c r="CST19" s="106"/>
      <c r="CSU19" s="107"/>
      <c r="CSV19" s="108"/>
      <c r="CSW19" s="109">
        <f t="shared" si="203"/>
        <v>0</v>
      </c>
      <c r="CSX19" s="110"/>
      <c r="CSY19" s="108" t="s">
        <v>35</v>
      </c>
      <c r="CTB19" s="105"/>
      <c r="CTC19" s="105"/>
      <c r="CTD19" s="105"/>
      <c r="CTE19" s="106"/>
      <c r="CTF19" s="106"/>
      <c r="CTG19" s="107"/>
      <c r="CTH19" s="108"/>
      <c r="CTI19" s="109">
        <f t="shared" si="204"/>
        <v>0</v>
      </c>
      <c r="CTJ19" s="110"/>
      <c r="CTK19" s="108" t="s">
        <v>35</v>
      </c>
      <c r="CTN19" s="105"/>
      <c r="CTO19" s="105"/>
      <c r="CTP19" s="105"/>
      <c r="CTQ19" s="106"/>
      <c r="CTR19" s="106"/>
      <c r="CTS19" s="107"/>
      <c r="CTT19" s="108"/>
      <c r="CTU19" s="109">
        <f t="shared" si="205"/>
        <v>0</v>
      </c>
      <c r="CTV19" s="110"/>
      <c r="CTW19" s="108" t="s">
        <v>35</v>
      </c>
      <c r="CTZ19" s="105"/>
      <c r="CUA19" s="105"/>
      <c r="CUB19" s="105"/>
      <c r="CUC19" s="106"/>
      <c r="CUD19" s="106"/>
      <c r="CUE19" s="107"/>
      <c r="CUF19" s="108"/>
      <c r="CUG19" s="109">
        <f t="shared" si="206"/>
        <v>0</v>
      </c>
      <c r="CUH19" s="110"/>
      <c r="CUI19" s="108" t="s">
        <v>35</v>
      </c>
      <c r="CUL19" s="105"/>
      <c r="CUM19" s="105"/>
      <c r="CUN19" s="105"/>
      <c r="CUO19" s="106"/>
      <c r="CUP19" s="106"/>
      <c r="CUQ19" s="107"/>
      <c r="CUR19" s="108"/>
      <c r="CUS19" s="109">
        <f t="shared" si="207"/>
        <v>0</v>
      </c>
      <c r="CUT19" s="110"/>
      <c r="CUU19" s="108" t="s">
        <v>35</v>
      </c>
      <c r="CUX19" s="105"/>
      <c r="CUY19" s="105"/>
      <c r="CUZ19" s="105"/>
      <c r="CVA19" s="106"/>
      <c r="CVB19" s="106"/>
      <c r="CVC19" s="107"/>
      <c r="CVD19" s="108"/>
      <c r="CVE19" s="109">
        <f t="shared" si="208"/>
        <v>0</v>
      </c>
      <c r="CVF19" s="110"/>
      <c r="CVG19" s="108" t="s">
        <v>35</v>
      </c>
      <c r="CVJ19" s="105">
        <f>27000/25</f>
        <v>1080</v>
      </c>
      <c r="CVK19" s="105"/>
      <c r="CVL19" s="105"/>
      <c r="CVM19" s="106"/>
      <c r="CVN19" s="106"/>
      <c r="CVO19" s="107"/>
      <c r="CVP19" s="108"/>
      <c r="CVQ19" s="109">
        <f t="shared" si="209"/>
        <v>0</v>
      </c>
      <c r="CVR19" s="110"/>
      <c r="CVS19" s="108" t="s">
        <v>35</v>
      </c>
      <c r="CVV19" s="105"/>
      <c r="CVW19" s="105"/>
      <c r="CVX19" s="105"/>
      <c r="CVY19" s="106"/>
      <c r="CVZ19" s="106"/>
      <c r="CWA19" s="107"/>
      <c r="CWB19" s="108"/>
      <c r="CWC19" s="109" t="str">
        <f t="shared" si="192"/>
        <v/>
      </c>
      <c r="CWD19" s="110"/>
      <c r="CWE19" s="108" t="str">
        <f t="shared" si="193"/>
        <v/>
      </c>
    </row>
    <row r="20" spans="1:1023 1026:2631" ht="13.5" customHeight="1" x14ac:dyDescent="0.25">
      <c r="A20" s="124"/>
      <c r="B20" s="125"/>
      <c r="C20" s="125"/>
      <c r="D20" s="125"/>
      <c r="E20" s="120"/>
      <c r="F20" s="93">
        <f t="shared" si="0"/>
        <v>0</v>
      </c>
      <c r="H20" s="94"/>
      <c r="I20" s="94"/>
      <c r="J20" s="94"/>
      <c r="K20" s="95"/>
      <c r="L20" s="95"/>
      <c r="O20" s="124"/>
      <c r="P20" s="125"/>
      <c r="Q20" s="125"/>
      <c r="R20" s="125"/>
      <c r="S20" s="120"/>
      <c r="T20" s="93">
        <f t="shared" si="210"/>
        <v>0</v>
      </c>
      <c r="V20" s="94"/>
      <c r="W20" s="94"/>
      <c r="X20" s="94"/>
      <c r="Y20" s="95"/>
      <c r="Z20" s="95"/>
      <c r="AC20" s="124"/>
      <c r="AD20" s="117"/>
      <c r="AE20" s="118"/>
      <c r="AF20" s="119"/>
      <c r="AG20" s="120"/>
      <c r="AH20" s="93">
        <f t="shared" si="1"/>
        <v>0</v>
      </c>
      <c r="AJ20" s="94"/>
      <c r="AK20" s="94"/>
      <c r="AL20" s="94"/>
      <c r="AM20" s="95"/>
      <c r="AN20" s="95"/>
      <c r="AQ20" s="124"/>
      <c r="AR20" s="125"/>
      <c r="AS20" s="125"/>
      <c r="AT20" s="125"/>
      <c r="AU20" s="120"/>
      <c r="AV20" s="93">
        <f t="shared" si="2"/>
        <v>0</v>
      </c>
      <c r="AX20" s="94"/>
      <c r="AY20" s="94"/>
      <c r="AZ20" s="94"/>
      <c r="BA20" s="95"/>
      <c r="BB20" s="95"/>
      <c r="BE20" s="124"/>
      <c r="BF20" s="125"/>
      <c r="BG20" s="125"/>
      <c r="BH20" s="125"/>
      <c r="BI20" s="120"/>
      <c r="BJ20" s="93">
        <f t="shared" si="3"/>
        <v>0</v>
      </c>
      <c r="BL20" s="94"/>
      <c r="BM20" s="94"/>
      <c r="BN20" s="94"/>
      <c r="BO20" s="95"/>
      <c r="BP20" s="95"/>
      <c r="BS20" s="124"/>
      <c r="BT20" s="125"/>
      <c r="BU20" s="125"/>
      <c r="BV20" s="125"/>
      <c r="BW20" s="120"/>
      <c r="BX20" s="93">
        <f t="shared" si="4"/>
        <v>0</v>
      </c>
      <c r="BZ20" s="94"/>
      <c r="CA20" s="94"/>
      <c r="CB20" s="94"/>
      <c r="CC20" s="95"/>
      <c r="CD20" s="95"/>
      <c r="CG20" s="124"/>
      <c r="CH20" s="125"/>
      <c r="CI20" s="125"/>
      <c r="CJ20" s="125"/>
      <c r="CK20" s="120"/>
      <c r="CL20" s="93">
        <f t="shared" si="5"/>
        <v>0</v>
      </c>
      <c r="CN20" s="94"/>
      <c r="CO20" s="94"/>
      <c r="CP20" s="94"/>
      <c r="CQ20" s="95"/>
      <c r="CR20" s="95"/>
      <c r="CU20" s="124"/>
      <c r="CV20" s="125"/>
      <c r="CW20" s="125"/>
      <c r="CX20" s="125"/>
      <c r="CY20" s="120"/>
      <c r="CZ20" s="93">
        <f t="shared" si="6"/>
        <v>0</v>
      </c>
      <c r="DB20" s="94"/>
      <c r="DC20" s="94"/>
      <c r="DD20" s="94"/>
      <c r="DE20" s="95"/>
      <c r="DF20" s="95"/>
      <c r="DI20" s="124"/>
      <c r="DJ20" s="125"/>
      <c r="DK20" s="125"/>
      <c r="DL20" s="125"/>
      <c r="DM20" s="120"/>
      <c r="DN20" s="93">
        <f t="shared" si="7"/>
        <v>0</v>
      </c>
      <c r="DP20" s="94"/>
      <c r="DQ20" s="94"/>
      <c r="DR20" s="94"/>
      <c r="DS20" s="95"/>
      <c r="DT20" s="95"/>
      <c r="DW20" s="124"/>
      <c r="DX20" s="125"/>
      <c r="DY20" s="125"/>
      <c r="DZ20" s="125"/>
      <c r="EA20" s="120"/>
      <c r="EB20" s="93">
        <f t="shared" si="8"/>
        <v>0</v>
      </c>
      <c r="ED20" s="94"/>
      <c r="EE20" s="94"/>
      <c r="EF20" s="94"/>
      <c r="EG20" s="95"/>
      <c r="EH20" s="95"/>
      <c r="EK20" s="124"/>
      <c r="EL20" s="125"/>
      <c r="EM20" s="125"/>
      <c r="EN20" s="125"/>
      <c r="EO20" s="120"/>
      <c r="EP20" s="93">
        <f t="shared" si="9"/>
        <v>0</v>
      </c>
      <c r="ER20" s="94"/>
      <c r="ES20" s="94"/>
      <c r="ET20" s="94"/>
      <c r="EU20" s="95"/>
      <c r="EV20" s="95"/>
      <c r="EY20" s="124"/>
      <c r="EZ20" s="125"/>
      <c r="FA20" s="125"/>
      <c r="FB20" s="125"/>
      <c r="FC20" s="120"/>
      <c r="FD20" s="93">
        <f t="shared" si="10"/>
        <v>0</v>
      </c>
      <c r="FF20" s="94"/>
      <c r="FG20" s="94"/>
      <c r="FH20" s="94"/>
      <c r="FI20" s="95"/>
      <c r="FJ20" s="95"/>
      <c r="FM20" s="124"/>
      <c r="FN20" s="125"/>
      <c r="FO20" s="125"/>
      <c r="FP20" s="125"/>
      <c r="FQ20" s="120"/>
      <c r="FR20" s="93">
        <f t="shared" si="11"/>
        <v>0</v>
      </c>
      <c r="FT20" s="94"/>
      <c r="FU20" s="94"/>
      <c r="FV20" s="94"/>
      <c r="FW20" s="95"/>
      <c r="FX20" s="95"/>
      <c r="GA20" s="124"/>
      <c r="GB20" s="125"/>
      <c r="GC20" s="125"/>
      <c r="GD20" s="125"/>
      <c r="GE20" s="120"/>
      <c r="GF20" s="93">
        <f t="shared" si="12"/>
        <v>0</v>
      </c>
      <c r="GH20" s="94"/>
      <c r="GI20" s="94"/>
      <c r="GJ20" s="94"/>
      <c r="GK20" s="95"/>
      <c r="GL20" s="95"/>
      <c r="GO20" s="124"/>
      <c r="GP20" s="125"/>
      <c r="GQ20" s="125"/>
      <c r="GR20" s="125"/>
      <c r="GS20" s="120"/>
      <c r="GT20" s="93">
        <f t="shared" si="13"/>
        <v>0</v>
      </c>
      <c r="GV20" s="94"/>
      <c r="GW20" s="94"/>
      <c r="GX20" s="94"/>
      <c r="GY20" s="95"/>
      <c r="GZ20" s="95"/>
      <c r="HC20" s="124"/>
      <c r="HD20" s="125"/>
      <c r="HE20" s="125"/>
      <c r="HF20" s="125"/>
      <c r="HG20" s="120"/>
      <c r="HH20" s="93">
        <f t="shared" si="14"/>
        <v>0</v>
      </c>
      <c r="HJ20" s="94"/>
      <c r="HK20" s="94"/>
      <c r="HL20" s="94"/>
      <c r="HM20" s="95"/>
      <c r="HN20" s="95"/>
      <c r="HQ20" s="124"/>
      <c r="HR20" s="125"/>
      <c r="HS20" s="125"/>
      <c r="HT20" s="125"/>
      <c r="HU20" s="120"/>
      <c r="HV20" s="93">
        <f t="shared" si="15"/>
        <v>0</v>
      </c>
      <c r="HX20" s="94"/>
      <c r="HY20" s="94"/>
      <c r="HZ20" s="94"/>
      <c r="IA20" s="95"/>
      <c r="IB20" s="95"/>
      <c r="IE20" s="124"/>
      <c r="IF20" s="125"/>
      <c r="IG20" s="125"/>
      <c r="IH20" s="125"/>
      <c r="II20" s="120"/>
      <c r="IJ20" s="93">
        <f t="shared" si="16"/>
        <v>0</v>
      </c>
      <c r="IL20" s="94"/>
      <c r="IM20" s="94"/>
      <c r="IN20" s="94"/>
      <c r="IO20" s="95"/>
      <c r="IP20" s="95"/>
      <c r="IS20" s="124"/>
      <c r="IT20" s="125"/>
      <c r="IU20" s="125"/>
      <c r="IV20" s="125"/>
      <c r="IW20" s="120"/>
      <c r="IX20" s="93">
        <f t="shared" si="17"/>
        <v>0</v>
      </c>
      <c r="IZ20" s="94"/>
      <c r="JA20" s="94"/>
      <c r="JB20" s="94"/>
      <c r="JC20" s="95"/>
      <c r="JD20" s="95"/>
      <c r="JG20" s="124"/>
      <c r="JH20" s="125"/>
      <c r="JI20" s="125"/>
      <c r="JJ20" s="125"/>
      <c r="JK20" s="120"/>
      <c r="JL20" s="93">
        <f t="shared" si="18"/>
        <v>0</v>
      </c>
      <c r="JN20" s="94"/>
      <c r="JO20" s="94"/>
      <c r="JP20" s="94"/>
      <c r="JQ20" s="95"/>
      <c r="JR20" s="95"/>
      <c r="JU20" s="124"/>
      <c r="JV20" s="125"/>
      <c r="JW20" s="125"/>
      <c r="JX20" s="125"/>
      <c r="JY20" s="120"/>
      <c r="JZ20" s="93">
        <f t="shared" si="19"/>
        <v>0</v>
      </c>
      <c r="KB20" s="94"/>
      <c r="KC20" s="94"/>
      <c r="KD20" s="94"/>
      <c r="KE20" s="95"/>
      <c r="KF20" s="95"/>
      <c r="KI20" s="124"/>
      <c r="KJ20" s="125"/>
      <c r="KK20" s="125"/>
      <c r="KL20" s="125"/>
      <c r="KM20" s="120"/>
      <c r="KN20" s="93">
        <f t="shared" si="20"/>
        <v>0</v>
      </c>
      <c r="KP20" s="94"/>
      <c r="KQ20" s="94"/>
      <c r="KR20" s="94"/>
      <c r="KS20" s="95"/>
      <c r="KT20" s="95"/>
      <c r="KW20" s="124"/>
      <c r="KX20" s="125"/>
      <c r="KY20" s="125"/>
      <c r="KZ20" s="125"/>
      <c r="LA20" s="120"/>
      <c r="LB20" s="93">
        <f t="shared" si="21"/>
        <v>0</v>
      </c>
      <c r="LD20" s="94"/>
      <c r="LE20" s="94"/>
      <c r="LF20" s="94"/>
      <c r="LG20" s="95"/>
      <c r="LH20" s="95"/>
      <c r="LK20" s="124"/>
      <c r="LL20" s="125"/>
      <c r="LM20" s="125"/>
      <c r="LN20" s="125"/>
      <c r="LO20" s="120"/>
      <c r="LP20" s="93">
        <f t="shared" si="22"/>
        <v>0</v>
      </c>
      <c r="LR20" s="94"/>
      <c r="LS20" s="94"/>
      <c r="LT20" s="94"/>
      <c r="LU20" s="95"/>
      <c r="LV20" s="95"/>
      <c r="LY20" s="124"/>
      <c r="LZ20" s="125"/>
      <c r="MA20" s="125"/>
      <c r="MB20" s="125"/>
      <c r="MC20" s="120"/>
      <c r="MD20" s="93">
        <f t="shared" si="23"/>
        <v>0</v>
      </c>
      <c r="MF20" s="94"/>
      <c r="MG20" s="94"/>
      <c r="MH20" s="94"/>
      <c r="MI20" s="95"/>
      <c r="MJ20" s="95"/>
      <c r="MM20" s="124"/>
      <c r="MN20" s="125"/>
      <c r="MO20" s="125"/>
      <c r="MP20" s="125"/>
      <c r="MQ20" s="120"/>
      <c r="MR20" s="93">
        <f t="shared" si="24"/>
        <v>0</v>
      </c>
      <c r="MT20" s="94"/>
      <c r="MU20" s="94"/>
      <c r="MV20" s="94"/>
      <c r="MW20" s="95"/>
      <c r="MX20" s="95"/>
      <c r="NA20" s="124"/>
      <c r="NB20" s="125"/>
      <c r="NC20" s="125"/>
      <c r="ND20" s="125"/>
      <c r="NE20" s="120"/>
      <c r="NF20" s="93">
        <f t="shared" si="25"/>
        <v>0</v>
      </c>
      <c r="NH20" s="94"/>
      <c r="NI20" s="94"/>
      <c r="NJ20" s="94"/>
      <c r="NK20" s="95"/>
      <c r="NL20" s="95"/>
      <c r="NO20" s="124"/>
      <c r="NP20" s="125"/>
      <c r="NQ20" s="125"/>
      <c r="NR20" s="125"/>
      <c r="NS20" s="120"/>
      <c r="NT20" s="93">
        <f t="shared" si="26"/>
        <v>0</v>
      </c>
      <c r="NV20" s="94"/>
      <c r="NW20" s="94"/>
      <c r="NX20" s="94"/>
      <c r="NY20" s="95"/>
      <c r="NZ20" s="95"/>
      <c r="OC20" s="124"/>
      <c r="OD20" s="125"/>
      <c r="OE20" s="125"/>
      <c r="OF20" s="125"/>
      <c r="OG20" s="120"/>
      <c r="OH20" s="93">
        <f t="shared" si="27"/>
        <v>0</v>
      </c>
      <c r="OJ20" s="94"/>
      <c r="OK20" s="94"/>
      <c r="OL20" s="94"/>
      <c r="OM20" s="95"/>
      <c r="ON20" s="95"/>
      <c r="OQ20" s="124"/>
      <c r="OR20" s="125"/>
      <c r="OS20" s="125"/>
      <c r="OT20" s="125"/>
      <c r="OU20" s="120"/>
      <c r="OV20" s="93">
        <f t="shared" si="28"/>
        <v>0</v>
      </c>
      <c r="OX20" s="94"/>
      <c r="OY20" s="94"/>
      <c r="OZ20" s="94"/>
      <c r="PA20" s="95"/>
      <c r="PB20" s="95"/>
      <c r="PE20" s="124"/>
      <c r="PF20" s="125"/>
      <c r="PG20" s="125"/>
      <c r="PH20" s="125"/>
      <c r="PI20" s="120"/>
      <c r="PJ20" s="93">
        <f t="shared" si="29"/>
        <v>0</v>
      </c>
      <c r="PL20" s="94"/>
      <c r="PM20" s="94"/>
      <c r="PN20" s="94"/>
      <c r="PO20" s="95"/>
      <c r="PP20" s="95"/>
      <c r="PS20" s="124"/>
      <c r="PT20" s="125"/>
      <c r="PU20" s="125"/>
      <c r="PV20" s="125"/>
      <c r="PW20" s="120"/>
      <c r="PX20" s="93">
        <f t="shared" si="30"/>
        <v>0</v>
      </c>
      <c r="PZ20" s="94"/>
      <c r="QA20" s="94"/>
      <c r="QB20" s="94"/>
      <c r="QC20" s="95"/>
      <c r="QD20" s="95"/>
      <c r="QG20" s="124"/>
      <c r="QH20" s="125"/>
      <c r="QI20" s="125"/>
      <c r="QJ20" s="125"/>
      <c r="QK20" s="120"/>
      <c r="QL20" s="93">
        <f t="shared" si="31"/>
        <v>0</v>
      </c>
      <c r="QN20" s="94"/>
      <c r="QO20" s="94"/>
      <c r="QP20" s="94"/>
      <c r="QQ20" s="95"/>
      <c r="QR20" s="95"/>
      <c r="QU20" s="124"/>
      <c r="QV20" s="125"/>
      <c r="QW20" s="125"/>
      <c r="QX20" s="125"/>
      <c r="QY20" s="120"/>
      <c r="QZ20" s="93">
        <f t="shared" si="32"/>
        <v>0</v>
      </c>
      <c r="RB20" s="94"/>
      <c r="RC20" s="94"/>
      <c r="RD20" s="94"/>
      <c r="RE20" s="95"/>
      <c r="RF20" s="95"/>
      <c r="RI20" s="124"/>
      <c r="RJ20" s="125"/>
      <c r="RK20" s="125"/>
      <c r="RL20" s="125"/>
      <c r="RM20" s="120"/>
      <c r="RN20" s="93">
        <f t="shared" si="33"/>
        <v>0</v>
      </c>
      <c r="RP20" s="94"/>
      <c r="RQ20" s="94"/>
      <c r="RR20" s="94"/>
      <c r="RS20" s="95"/>
      <c r="RT20" s="95"/>
      <c r="RW20" s="124"/>
      <c r="RX20" s="125"/>
      <c r="RY20" s="125"/>
      <c r="RZ20" s="125"/>
      <c r="SA20" s="120"/>
      <c r="SB20" s="93">
        <f t="shared" si="34"/>
        <v>0</v>
      </c>
      <c r="SD20" s="94"/>
      <c r="SE20" s="94"/>
      <c r="SF20" s="94"/>
      <c r="SG20" s="95"/>
      <c r="SH20" s="95"/>
      <c r="SK20" s="124"/>
      <c r="SL20" s="125"/>
      <c r="SM20" s="125"/>
      <c r="SN20" s="125"/>
      <c r="SO20" s="120"/>
      <c r="SP20" s="93">
        <f t="shared" si="35"/>
        <v>0</v>
      </c>
      <c r="SR20" s="94"/>
      <c r="SS20" s="94"/>
      <c r="ST20" s="94"/>
      <c r="SU20" s="95"/>
      <c r="SV20" s="95"/>
      <c r="SY20" s="124"/>
      <c r="SZ20" s="125"/>
      <c r="TA20" s="125"/>
      <c r="TB20" s="125"/>
      <c r="TC20" s="120"/>
      <c r="TD20" s="93">
        <f t="shared" si="36"/>
        <v>0</v>
      </c>
      <c r="TF20" s="94"/>
      <c r="TG20" s="94"/>
      <c r="TH20" s="94"/>
      <c r="TI20" s="95"/>
      <c r="TJ20" s="95"/>
      <c r="TM20" s="124"/>
      <c r="TN20" s="125"/>
      <c r="TO20" s="125"/>
      <c r="TP20" s="125"/>
      <c r="TQ20" s="120"/>
      <c r="TR20" s="93">
        <f t="shared" si="37"/>
        <v>0</v>
      </c>
      <c r="TT20" s="94"/>
      <c r="TU20" s="94"/>
      <c r="TV20" s="94"/>
      <c r="TW20" s="95"/>
      <c r="TX20" s="95"/>
      <c r="UA20" s="124"/>
      <c r="UB20" s="125"/>
      <c r="UC20" s="125"/>
      <c r="UD20" s="125"/>
      <c r="UE20" s="120"/>
      <c r="UF20" s="93">
        <f t="shared" si="38"/>
        <v>0</v>
      </c>
      <c r="UH20" s="94"/>
      <c r="UI20" s="94"/>
      <c r="UJ20" s="94"/>
      <c r="UK20" s="95"/>
      <c r="UL20" s="95"/>
      <c r="UO20" s="124"/>
      <c r="UP20" s="125"/>
      <c r="UQ20" s="125"/>
      <c r="UR20" s="125"/>
      <c r="US20" s="120"/>
      <c r="UT20" s="93">
        <f t="shared" si="39"/>
        <v>0</v>
      </c>
      <c r="UV20" s="94"/>
      <c r="UW20" s="94"/>
      <c r="UX20" s="94"/>
      <c r="UY20" s="95"/>
      <c r="UZ20" s="95"/>
      <c r="VC20" s="124"/>
      <c r="VD20" s="125"/>
      <c r="VE20" s="125"/>
      <c r="VF20" s="125"/>
      <c r="VG20" s="120"/>
      <c r="VH20" s="93">
        <f t="shared" si="40"/>
        <v>0</v>
      </c>
      <c r="VJ20" s="94"/>
      <c r="VK20" s="94"/>
      <c r="VL20" s="94"/>
      <c r="VM20" s="95"/>
      <c r="VN20" s="95"/>
      <c r="VQ20" s="124"/>
      <c r="VR20" s="125"/>
      <c r="VS20" s="125"/>
      <c r="VT20" s="125"/>
      <c r="VU20" s="120"/>
      <c r="VV20" s="93">
        <f t="shared" si="41"/>
        <v>0</v>
      </c>
      <c r="VX20" s="94"/>
      <c r="VY20" s="94"/>
      <c r="VZ20" s="94"/>
      <c r="WA20" s="95"/>
      <c r="WB20" s="95"/>
      <c r="WE20" s="124"/>
      <c r="WF20" s="125"/>
      <c r="WG20" s="125"/>
      <c r="WH20" s="125"/>
      <c r="WI20" s="120"/>
      <c r="WJ20" s="93">
        <f t="shared" si="42"/>
        <v>0</v>
      </c>
      <c r="WL20" s="94"/>
      <c r="WM20" s="94"/>
      <c r="WN20" s="94"/>
      <c r="WO20" s="95"/>
      <c r="WP20" s="95"/>
      <c r="WS20" s="124"/>
      <c r="WT20" s="125"/>
      <c r="WU20" s="125"/>
      <c r="WV20" s="125"/>
      <c r="WW20" s="120"/>
      <c r="WX20" s="93">
        <f t="shared" si="43"/>
        <v>0</v>
      </c>
      <c r="WZ20" s="94"/>
      <c r="XA20" s="94"/>
      <c r="XB20" s="94"/>
      <c r="XC20" s="95"/>
      <c r="XD20" s="95"/>
      <c r="XG20" s="124"/>
      <c r="XH20" s="125"/>
      <c r="XI20" s="125"/>
      <c r="XJ20" s="125"/>
      <c r="XK20" s="120"/>
      <c r="XL20" s="93">
        <f t="shared" si="44"/>
        <v>0</v>
      </c>
      <c r="XN20" s="94"/>
      <c r="XO20" s="94"/>
      <c r="XP20" s="94"/>
      <c r="XQ20" s="95"/>
      <c r="XR20" s="95"/>
      <c r="XU20" s="124"/>
      <c r="XV20" s="125"/>
      <c r="XW20" s="125"/>
      <c r="XX20" s="125"/>
      <c r="XY20" s="120"/>
      <c r="XZ20" s="93">
        <f t="shared" si="45"/>
        <v>0</v>
      </c>
      <c r="YB20" s="94"/>
      <c r="YC20" s="94"/>
      <c r="YD20" s="94"/>
      <c r="YE20" s="95"/>
      <c r="YF20" s="95"/>
      <c r="YI20" s="124"/>
      <c r="YJ20" s="125"/>
      <c r="YK20" s="125"/>
      <c r="YL20" s="125"/>
      <c r="YM20" s="120"/>
      <c r="YN20" s="93">
        <f t="shared" si="46"/>
        <v>0</v>
      </c>
      <c r="YP20" s="94"/>
      <c r="YQ20" s="94"/>
      <c r="YR20" s="94"/>
      <c r="YS20" s="95"/>
      <c r="YT20" s="95"/>
      <c r="YW20" s="124"/>
      <c r="YX20" s="125"/>
      <c r="YY20" s="125"/>
      <c r="YZ20" s="125"/>
      <c r="ZA20" s="120"/>
      <c r="ZB20" s="93"/>
      <c r="ZD20" s="94"/>
      <c r="ZE20" s="94"/>
      <c r="ZF20" s="94"/>
      <c r="ZG20" s="95"/>
      <c r="ZH20" s="95"/>
      <c r="ZK20" s="124"/>
      <c r="ZL20" s="125"/>
      <c r="ZM20" s="125"/>
      <c r="ZN20" s="125"/>
      <c r="ZO20" s="120"/>
      <c r="ZP20" s="93"/>
      <c r="ZR20" s="94"/>
      <c r="ZS20" s="94"/>
      <c r="ZT20" s="94"/>
      <c r="ZU20" s="95"/>
      <c r="ZV20" s="95"/>
      <c r="ZZ20" s="126"/>
      <c r="AAA20" s="126"/>
      <c r="AAB20" s="126"/>
      <c r="AAC20" s="127"/>
      <c r="AAD20" s="106"/>
      <c r="AAE20" s="107"/>
      <c r="AAF20" s="128">
        <f>SUM(AAF12:AAF19)</f>
        <v>1000</v>
      </c>
      <c r="AAG20" s="129">
        <f>SUM(AAG12:AAH19)</f>
        <v>0</v>
      </c>
      <c r="AAH20" s="130"/>
      <c r="AAI20" s="108"/>
      <c r="AAM20" s="126"/>
      <c r="AAN20" s="126"/>
      <c r="AAO20" s="126"/>
      <c r="AAP20" s="127"/>
      <c r="AAQ20" s="106"/>
      <c r="AAR20" s="107"/>
      <c r="AAS20" s="128">
        <f>SUM(AAS12:AAS19)</f>
        <v>1000</v>
      </c>
      <c r="AAT20" s="129">
        <f>SUM(AAT12:AAU19)</f>
        <v>35000</v>
      </c>
      <c r="AAU20" s="130"/>
      <c r="AAV20" s="108"/>
      <c r="AAZ20" s="126"/>
      <c r="ABA20" s="126"/>
      <c r="ABB20" s="126"/>
      <c r="ABC20" s="127"/>
      <c r="ABD20" s="106"/>
      <c r="ABE20" s="107"/>
      <c r="ABF20" s="128">
        <f>SUM(ABF12:ABF19)</f>
        <v>1000</v>
      </c>
      <c r="ABG20" s="129">
        <f>SUM(ABG12:ABH19)</f>
        <v>35000</v>
      </c>
      <c r="ABH20" s="130"/>
      <c r="ABI20" s="108"/>
      <c r="ABM20" s="126"/>
      <c r="ABN20" s="126"/>
      <c r="ABO20" s="126"/>
      <c r="ABP20" s="127"/>
      <c r="ABQ20" s="106"/>
      <c r="ABR20" s="107"/>
      <c r="ABS20" s="128">
        <f>SUM(ABS12:ABS19)</f>
        <v>1000</v>
      </c>
      <c r="ABT20" s="129">
        <f>SUM(ABT12:ABU19)</f>
        <v>35000</v>
      </c>
      <c r="ABU20" s="130"/>
      <c r="ABV20" s="108"/>
      <c r="ABZ20" s="126"/>
      <c r="ACA20" s="126"/>
      <c r="ACB20" s="126"/>
      <c r="ACC20" s="127"/>
      <c r="ACD20" s="106"/>
      <c r="ACE20" s="107"/>
      <c r="ACF20" s="128">
        <f>SUM(ACF12:ACF19)</f>
        <v>1000</v>
      </c>
      <c r="ACG20" s="129">
        <f>SUM(ACG12:ACH19)</f>
        <v>35000</v>
      </c>
      <c r="ACH20" s="130"/>
      <c r="ACI20" s="108"/>
      <c r="ACM20" s="126"/>
      <c r="ACN20" s="126"/>
      <c r="ACO20" s="126"/>
      <c r="ACP20" s="127"/>
      <c r="ACQ20" s="106"/>
      <c r="ACR20" s="107"/>
      <c r="ACS20" s="128">
        <f>SUM(ACS12:ACS19)</f>
        <v>1000</v>
      </c>
      <c r="ACT20" s="129">
        <f>SUM(ACT12:ACU19)</f>
        <v>35000</v>
      </c>
      <c r="ACU20" s="130"/>
      <c r="ACV20" s="108"/>
      <c r="ACZ20" s="126"/>
      <c r="ADA20" s="126"/>
      <c r="ADB20" s="126"/>
      <c r="ADC20" s="127"/>
      <c r="ADD20" s="106"/>
      <c r="ADE20" s="107"/>
      <c r="ADF20" s="128">
        <f>SUM(ADF12:ADF19)</f>
        <v>1000</v>
      </c>
      <c r="ADG20" s="129">
        <f>SUM(ADG12:ADH19)</f>
        <v>35000</v>
      </c>
      <c r="ADH20" s="130"/>
      <c r="ADI20" s="108"/>
      <c r="ADM20" s="126"/>
      <c r="ADN20" s="126"/>
      <c r="ADO20" s="126"/>
      <c r="ADP20" s="127"/>
      <c r="ADQ20" s="106"/>
      <c r="ADR20" s="107"/>
      <c r="ADS20" s="128">
        <f>SUM(ADS12:ADS19)</f>
        <v>1000</v>
      </c>
      <c r="ADT20" s="129">
        <f>SUM(ADT12:ADU19)</f>
        <v>35000</v>
      </c>
      <c r="ADU20" s="130"/>
      <c r="ADV20" s="108"/>
      <c r="ADZ20" s="126"/>
      <c r="AEA20" s="126"/>
      <c r="AEB20" s="126"/>
      <c r="AEC20" s="127"/>
      <c r="AED20" s="106"/>
      <c r="AEE20" s="107"/>
      <c r="AEF20" s="128">
        <f>SUM(AEF12:AEF19)</f>
        <v>1000</v>
      </c>
      <c r="AEG20" s="129">
        <f>SUM(AEG12:AEH19)</f>
        <v>35000</v>
      </c>
      <c r="AEH20" s="130"/>
      <c r="AEI20" s="108"/>
      <c r="AEM20" s="126"/>
      <c r="AEN20" s="126"/>
      <c r="AEO20" s="126"/>
      <c r="AEP20" s="127"/>
      <c r="AEQ20" s="106"/>
      <c r="AER20" s="107"/>
      <c r="AES20" s="128">
        <f>SUM(AES12:AES19)</f>
        <v>1000</v>
      </c>
      <c r="AET20" s="129">
        <f>SUM(AET12:AEU19)</f>
        <v>35000</v>
      </c>
      <c r="AEU20" s="130"/>
      <c r="AEV20" s="108"/>
      <c r="AEZ20" s="126"/>
      <c r="AFA20" s="126"/>
      <c r="AFB20" s="126"/>
      <c r="AFC20" s="127"/>
      <c r="AFD20" s="106"/>
      <c r="AFE20" s="107"/>
      <c r="AFF20" s="128">
        <f>SUM(AFF12:AFF19)</f>
        <v>1000</v>
      </c>
      <c r="AFG20" s="129">
        <f>SUM(AFG12:AFH19)</f>
        <v>35000</v>
      </c>
      <c r="AFH20" s="130"/>
      <c r="AFI20" s="108"/>
      <c r="AFM20" s="126"/>
      <c r="AFN20" s="126"/>
      <c r="AFO20" s="126"/>
      <c r="AFP20" s="127"/>
      <c r="AFQ20" s="106"/>
      <c r="AFR20" s="107"/>
      <c r="AFS20" s="128">
        <f>SUM(AFS12:AFS19)</f>
        <v>1000</v>
      </c>
      <c r="AFT20" s="129">
        <f>SUM(AFT12:AFU19)</f>
        <v>35000</v>
      </c>
      <c r="AFU20" s="130"/>
      <c r="AFV20" s="108"/>
      <c r="AFZ20" s="126"/>
      <c r="AGA20" s="126"/>
      <c r="AGB20" s="126"/>
      <c r="AGC20" s="127"/>
      <c r="AGD20" s="106"/>
      <c r="AGE20" s="107"/>
      <c r="AGF20" s="128">
        <f>SUM(AGF12:AGF19)</f>
        <v>1000</v>
      </c>
      <c r="AGG20" s="129">
        <f>SUM(AGG12:AGH19)</f>
        <v>18000</v>
      </c>
      <c r="AGH20" s="130"/>
      <c r="AGI20" s="108"/>
      <c r="AGL20" s="126"/>
      <c r="AGM20" s="126"/>
      <c r="AGN20" s="126"/>
      <c r="AGO20" s="127"/>
      <c r="AGP20" s="106"/>
      <c r="AGQ20" s="107"/>
      <c r="AGR20" s="128">
        <f>SUM(AGR12:AGR19)</f>
        <v>1000</v>
      </c>
      <c r="AGS20" s="129">
        <f>SUM(AGS12:AGT19)</f>
        <v>22000</v>
      </c>
      <c r="AGT20" s="130"/>
      <c r="AGU20" s="108"/>
      <c r="AGX20" s="126"/>
      <c r="AGY20" s="126"/>
      <c r="AGZ20" s="126"/>
      <c r="AHA20" s="127"/>
      <c r="AHB20" s="106"/>
      <c r="AHC20" s="107"/>
      <c r="AHD20" s="128">
        <f>SUM(AHD12:AHD19)</f>
        <v>1000</v>
      </c>
      <c r="AHE20" s="129">
        <f>SUM(AHE12:AHF19)</f>
        <v>35000</v>
      </c>
      <c r="AHF20" s="130"/>
      <c r="AHG20" s="108"/>
      <c r="AHJ20" s="126"/>
      <c r="AHK20" s="126"/>
      <c r="AHL20" s="126"/>
      <c r="AHM20" s="127"/>
      <c r="AHN20" s="106"/>
      <c r="AHO20" s="107"/>
      <c r="AHP20" s="128">
        <f>SUM(AHP12:AHP19)</f>
        <v>1000</v>
      </c>
      <c r="AHQ20" s="129">
        <f>SUM(AHQ12:AHR19)</f>
        <v>35000</v>
      </c>
      <c r="AHR20" s="130"/>
      <c r="AHS20" s="108"/>
      <c r="AHV20" s="126"/>
      <c r="AHW20" s="126"/>
      <c r="AHX20" s="126"/>
      <c r="AHY20" s="127"/>
      <c r="AHZ20" s="106"/>
      <c r="AIA20" s="107"/>
      <c r="AIB20" s="128">
        <f>SUM(AIB12:AIB19)</f>
        <v>1000</v>
      </c>
      <c r="AIC20" s="129">
        <f>SUM(AIC12:AID19)</f>
        <v>35000</v>
      </c>
      <c r="AID20" s="130"/>
      <c r="AIE20" s="108"/>
      <c r="AIH20" s="126"/>
      <c r="AII20" s="126"/>
      <c r="AIJ20" s="126"/>
      <c r="AIK20" s="127"/>
      <c r="AIL20" s="106"/>
      <c r="AIM20" s="107"/>
      <c r="AIN20" s="128">
        <f>SUM(AIN12:AIN19)</f>
        <v>1000</v>
      </c>
      <c r="AIO20" s="129">
        <f>SUM(AIO12:AIP19)</f>
        <v>20000</v>
      </c>
      <c r="AIP20" s="130"/>
      <c r="AIQ20" s="108"/>
      <c r="AIT20" s="126"/>
      <c r="AIU20" s="126"/>
      <c r="AIV20" s="126"/>
      <c r="AIW20" s="127"/>
      <c r="AIX20" s="106"/>
      <c r="AIY20" s="107"/>
      <c r="AIZ20" s="128">
        <f>SUM(AIZ12:AIZ19)</f>
        <v>1000</v>
      </c>
      <c r="AJA20" s="129">
        <f>SUM(AJA12:AJB19)</f>
        <v>35000</v>
      </c>
      <c r="AJB20" s="130"/>
      <c r="AJC20" s="108"/>
      <c r="AJF20" s="126"/>
      <c r="AJG20" s="126"/>
      <c r="AJH20" s="126"/>
      <c r="AJI20" s="127"/>
      <c r="AJJ20" s="106"/>
      <c r="AJK20" s="107"/>
      <c r="AJL20" s="128">
        <f>SUM(AJL12:AJL19)</f>
        <v>1000</v>
      </c>
      <c r="AJM20" s="129">
        <f>SUM(AJM12:AJN19)</f>
        <v>35000</v>
      </c>
      <c r="AJN20" s="130"/>
      <c r="AJO20" s="108"/>
      <c r="AJR20" s="126"/>
      <c r="AJS20" s="126"/>
      <c r="AJT20" s="126"/>
      <c r="AJU20" s="127"/>
      <c r="AJV20" s="106"/>
      <c r="AJW20" s="107"/>
      <c r="AJX20" s="128">
        <f>SUM(AJX12:AJX19)</f>
        <v>1000</v>
      </c>
      <c r="AJY20" s="129">
        <f>SUM(AJY12:AJZ19)</f>
        <v>35000</v>
      </c>
      <c r="AJZ20" s="130"/>
      <c r="AKA20" s="108"/>
      <c r="AKD20" s="126"/>
      <c r="AKE20" s="126"/>
      <c r="AKF20" s="126"/>
      <c r="AKG20" s="127"/>
      <c r="AKH20" s="106"/>
      <c r="AKI20" s="107"/>
      <c r="AKJ20" s="128">
        <f>SUM(AKJ12:AKJ19)</f>
        <v>1000</v>
      </c>
      <c r="AKK20" s="129">
        <f>SUM(AKK12:AKL19)</f>
        <v>11000</v>
      </c>
      <c r="AKL20" s="130"/>
      <c r="AKM20" s="108"/>
      <c r="AKP20" s="126"/>
      <c r="AKQ20" s="126"/>
      <c r="AKR20" s="126"/>
      <c r="AKS20" s="127"/>
      <c r="AKT20" s="106"/>
      <c r="AKU20" s="107"/>
      <c r="AKV20" s="128">
        <f>SUM(AKV12:AKV19)</f>
        <v>1000</v>
      </c>
      <c r="AKW20" s="129">
        <f>SUM(AKW12:AKX19)</f>
        <v>11000</v>
      </c>
      <c r="AKX20" s="130"/>
      <c r="AKY20" s="108"/>
      <c r="ALB20" s="126"/>
      <c r="ALC20" s="126"/>
      <c r="ALD20" s="126"/>
      <c r="ALE20" s="127"/>
      <c r="ALF20" s="106"/>
      <c r="ALG20" s="107"/>
      <c r="ALH20" s="128">
        <f>SUM(ALH12:ALH19)</f>
        <v>1000</v>
      </c>
      <c r="ALI20" s="129">
        <f>SUM(ALI12:ALJ19)</f>
        <v>7000</v>
      </c>
      <c r="ALJ20" s="130"/>
      <c r="ALK20" s="108"/>
      <c r="ALN20" s="126"/>
      <c r="ALO20" s="126"/>
      <c r="ALP20" s="126"/>
      <c r="ALQ20" s="127"/>
      <c r="ALR20" s="106"/>
      <c r="ALS20" s="107"/>
      <c r="ALT20" s="128">
        <f>SUM(ALT12:ALT19)</f>
        <v>1000</v>
      </c>
      <c r="ALU20" s="129">
        <f>SUM(ALU12:ALV19)</f>
        <v>35000</v>
      </c>
      <c r="ALV20" s="130"/>
      <c r="ALW20" s="108"/>
      <c r="ALZ20" s="126"/>
      <c r="AMA20" s="126"/>
      <c r="AMB20" s="126"/>
      <c r="AMC20" s="127"/>
      <c r="AMD20" s="106"/>
      <c r="AME20" s="107"/>
      <c r="AMF20" s="128">
        <f>SUM(AMF12:AMF19)</f>
        <v>1000</v>
      </c>
      <c r="AMG20" s="129">
        <f>SUM(AMG12:AMH19)</f>
        <v>13000</v>
      </c>
      <c r="AMH20" s="130"/>
      <c r="AMI20" s="108"/>
      <c r="AML20" s="126"/>
      <c r="AMM20" s="126"/>
      <c r="AMN20" s="126"/>
      <c r="AMO20" s="127"/>
      <c r="AMP20" s="106"/>
      <c r="AMQ20" s="107"/>
      <c r="AMR20" s="128">
        <f>SUM(AMR12:AMR19)</f>
        <v>1000</v>
      </c>
      <c r="AMS20" s="129">
        <f>SUM(AMS12:AMT19)</f>
        <v>35000</v>
      </c>
      <c r="AMT20" s="130"/>
      <c r="AMU20" s="108"/>
      <c r="AMX20" s="126"/>
      <c r="AMY20" s="126"/>
      <c r="AMZ20" s="126"/>
      <c r="ANA20" s="127"/>
      <c r="ANB20" s="106"/>
      <c r="ANC20" s="107"/>
      <c r="AND20" s="128">
        <f>SUM(AND12:AND19)</f>
        <v>1000</v>
      </c>
      <c r="ANE20" s="109">
        <f t="shared" si="76"/>
        <v>14000</v>
      </c>
      <c r="ANF20" s="110"/>
      <c r="ANG20" s="108"/>
      <c r="ANJ20" s="126"/>
      <c r="ANK20" s="126"/>
      <c r="ANL20" s="126"/>
      <c r="ANM20" s="127"/>
      <c r="ANN20" s="106"/>
      <c r="ANO20" s="107"/>
      <c r="ANP20" s="128">
        <f>SUM(ANP12:ANP19)</f>
        <v>1000</v>
      </c>
      <c r="ANQ20" s="109">
        <f t="shared" si="77"/>
        <v>35000</v>
      </c>
      <c r="ANR20" s="110"/>
      <c r="ANS20" s="108"/>
      <c r="ANV20" s="126"/>
      <c r="ANW20" s="126"/>
      <c r="ANX20" s="126"/>
      <c r="ANY20" s="127"/>
      <c r="ANZ20" s="106"/>
      <c r="AOA20" s="107"/>
      <c r="AOB20" s="128">
        <f>SUM(AOB12:AOB19)</f>
        <v>1000</v>
      </c>
      <c r="AOC20" s="109">
        <f t="shared" si="78"/>
        <v>35000</v>
      </c>
      <c r="AOD20" s="110"/>
      <c r="AOE20" s="108"/>
      <c r="AOH20" s="126"/>
      <c r="AOI20" s="126"/>
      <c r="AOJ20" s="126"/>
      <c r="AOK20" s="127"/>
      <c r="AOL20" s="106"/>
      <c r="AOM20" s="107"/>
      <c r="AON20" s="128">
        <f>SUM(AON12:AON19)</f>
        <v>1000</v>
      </c>
      <c r="AOO20" s="109">
        <f t="shared" si="236"/>
        <v>35000</v>
      </c>
      <c r="AOP20" s="110"/>
      <c r="AOQ20" s="108"/>
      <c r="AOT20" s="126"/>
      <c r="AOU20" s="126"/>
      <c r="AOV20" s="126"/>
      <c r="AOW20" s="127"/>
      <c r="AOX20" s="106"/>
      <c r="AOY20" s="107"/>
      <c r="AOZ20" s="128">
        <f>SUM(AOZ12:AOZ19)</f>
        <v>1000</v>
      </c>
      <c r="APA20" s="109">
        <f t="shared" si="80"/>
        <v>35000</v>
      </c>
      <c r="APB20" s="110"/>
      <c r="APC20" s="108"/>
      <c r="APF20" s="126"/>
      <c r="APG20" s="126"/>
      <c r="APH20" s="126"/>
      <c r="API20" s="127"/>
      <c r="APJ20" s="106"/>
      <c r="APK20" s="107"/>
      <c r="APL20" s="128">
        <f>SUM(APL12:APL19)</f>
        <v>1000</v>
      </c>
      <c r="APM20" s="109">
        <f t="shared" si="81"/>
        <v>35000</v>
      </c>
      <c r="APN20" s="110"/>
      <c r="APO20" s="108"/>
      <c r="APR20" s="126"/>
      <c r="APS20" s="126"/>
      <c r="APT20" s="126"/>
      <c r="APU20" s="127"/>
      <c r="APV20" s="106"/>
      <c r="APW20" s="107"/>
      <c r="APX20" s="128">
        <f>SUM(APX12:APX19)</f>
        <v>1000</v>
      </c>
      <c r="APY20" s="109">
        <f t="shared" si="82"/>
        <v>35000</v>
      </c>
      <c r="APZ20" s="110"/>
      <c r="AQA20" s="108"/>
      <c r="AQD20" s="126"/>
      <c r="AQE20" s="126"/>
      <c r="AQF20" s="126"/>
      <c r="AQG20" s="127"/>
      <c r="AQH20" s="106"/>
      <c r="AQI20" s="107"/>
      <c r="AQJ20" s="128">
        <f>SUM(AQJ12:AQJ19)</f>
        <v>1000</v>
      </c>
      <c r="AQK20" s="109">
        <f t="shared" si="83"/>
        <v>6000</v>
      </c>
      <c r="AQL20" s="110"/>
      <c r="AQM20" s="108"/>
      <c r="AQP20" s="126"/>
      <c r="AQQ20" s="126"/>
      <c r="AQR20" s="126"/>
      <c r="AQS20" s="127"/>
      <c r="AQT20" s="106"/>
      <c r="AQU20" s="107"/>
      <c r="AQV20" s="128">
        <f>SUM(AQV12:AQV19)</f>
        <v>1000</v>
      </c>
      <c r="AQW20" s="109">
        <f t="shared" si="84"/>
        <v>35000</v>
      </c>
      <c r="AQX20" s="110"/>
      <c r="AQY20" s="108"/>
      <c r="ARB20" s="126"/>
      <c r="ARC20" s="126"/>
      <c r="ARD20" s="126"/>
      <c r="ARE20" s="127"/>
      <c r="ARF20" s="106"/>
      <c r="ARG20" s="107"/>
      <c r="ARH20" s="128">
        <f>SUM(ARH12:ARH19)</f>
        <v>1000</v>
      </c>
      <c r="ARI20" s="109">
        <f t="shared" si="85"/>
        <v>35000</v>
      </c>
      <c r="ARJ20" s="110"/>
      <c r="ARK20" s="108"/>
      <c r="ARN20" s="126"/>
      <c r="ARO20" s="126"/>
      <c r="ARP20" s="126"/>
      <c r="ARQ20" s="127"/>
      <c r="ARR20" s="106"/>
      <c r="ARS20" s="107"/>
      <c r="ART20" s="128">
        <f>SUM(ART12:ART19)</f>
        <v>1000</v>
      </c>
      <c r="ARU20" s="109">
        <f t="shared" si="86"/>
        <v>20000</v>
      </c>
      <c r="ARV20" s="110"/>
      <c r="ARW20" s="108"/>
      <c r="ARZ20" s="126"/>
      <c r="ASA20" s="126"/>
      <c r="ASB20" s="126"/>
      <c r="ASC20" s="127"/>
      <c r="ASD20" s="106"/>
      <c r="ASE20" s="107"/>
      <c r="ASF20" s="128">
        <f>SUM(ASF12:ASF19)</f>
        <v>1000</v>
      </c>
      <c r="ASG20" s="109">
        <f t="shared" si="87"/>
        <v>35000</v>
      </c>
      <c r="ASH20" s="110"/>
      <c r="ASI20" s="108"/>
      <c r="ASL20" s="126"/>
      <c r="ASM20" s="126"/>
      <c r="ASN20" s="126"/>
      <c r="ASO20" s="127"/>
      <c r="ASP20" s="106"/>
      <c r="ASQ20" s="107"/>
      <c r="ASR20" s="128">
        <f>SUM(ASR12:ASR19)</f>
        <v>1000</v>
      </c>
      <c r="ASS20" s="109">
        <f t="shared" si="88"/>
        <v>35000</v>
      </c>
      <c r="AST20" s="110"/>
      <c r="ASU20" s="108"/>
      <c r="ASX20" s="126"/>
      <c r="ASY20" s="126"/>
      <c r="ASZ20" s="126"/>
      <c r="ATA20" s="127"/>
      <c r="ATB20" s="106"/>
      <c r="ATC20" s="107"/>
      <c r="ATD20" s="128">
        <f>SUM(ATD12:ATD19)</f>
        <v>1000</v>
      </c>
      <c r="ATE20" s="109">
        <f t="shared" si="89"/>
        <v>6000</v>
      </c>
      <c r="ATF20" s="110"/>
      <c r="ATG20" s="108"/>
      <c r="ATJ20" s="126"/>
      <c r="ATK20" s="126"/>
      <c r="ATL20" s="126"/>
      <c r="ATM20" s="127"/>
      <c r="ATN20" s="106"/>
      <c r="ATO20" s="107"/>
      <c r="ATP20" s="128">
        <f>SUM(ATP12:ATP19)</f>
        <v>1000</v>
      </c>
      <c r="ATQ20" s="109">
        <f t="shared" si="90"/>
        <v>35000</v>
      </c>
      <c r="ATR20" s="110"/>
      <c r="ATS20" s="108"/>
      <c r="ATV20" s="126"/>
      <c r="ATW20" s="126"/>
      <c r="ATX20" s="126"/>
      <c r="ATY20" s="127"/>
      <c r="ATZ20" s="106"/>
      <c r="AUA20" s="107"/>
      <c r="AUB20" s="128">
        <f>SUM(AUB12:AUB19)</f>
        <v>1000</v>
      </c>
      <c r="AUC20" s="109">
        <f t="shared" si="91"/>
        <v>35000</v>
      </c>
      <c r="AUD20" s="110"/>
      <c r="AUE20" s="108"/>
      <c r="AUH20" s="126"/>
      <c r="AUI20" s="126"/>
      <c r="AUJ20" s="126"/>
      <c r="AUK20" s="127"/>
      <c r="AUL20" s="106"/>
      <c r="AUM20" s="107"/>
      <c r="AUN20" s="128">
        <f>SUM(AUN12:AUN19)</f>
        <v>1000</v>
      </c>
      <c r="AUO20" s="109">
        <f t="shared" si="92"/>
        <v>35000</v>
      </c>
      <c r="AUP20" s="110"/>
      <c r="AUQ20" s="108"/>
      <c r="AUT20" s="126"/>
      <c r="AUU20" s="126"/>
      <c r="AUV20" s="126"/>
      <c r="AUW20" s="127"/>
      <c r="AUX20" s="106"/>
      <c r="AUY20" s="107"/>
      <c r="AUZ20" s="128">
        <f>SUM(AUZ12:AUZ19)</f>
        <v>1000</v>
      </c>
      <c r="AVA20" s="109">
        <f t="shared" si="93"/>
        <v>10000</v>
      </c>
      <c r="AVB20" s="110"/>
      <c r="AVC20" s="108"/>
      <c r="AVF20" s="126"/>
      <c r="AVG20" s="126"/>
      <c r="AVH20" s="126"/>
      <c r="AVI20" s="127"/>
      <c r="AVJ20" s="106"/>
      <c r="AVK20" s="107"/>
      <c r="AVL20" s="128">
        <f>SUM(AVL12:AVL19)</f>
        <v>1000</v>
      </c>
      <c r="AVM20" s="109">
        <f t="shared" si="94"/>
        <v>35000</v>
      </c>
      <c r="AVN20" s="110"/>
      <c r="AVO20" s="108"/>
      <c r="AVR20" s="126"/>
      <c r="AVS20" s="126"/>
      <c r="AVT20" s="126"/>
      <c r="AVU20" s="127"/>
      <c r="AVV20" s="106"/>
      <c r="AVW20" s="107"/>
      <c r="AVX20" s="128">
        <f>SUM(AVX12:AVX19)</f>
        <v>1000</v>
      </c>
      <c r="AVY20" s="109">
        <f t="shared" si="95"/>
        <v>35000</v>
      </c>
      <c r="AVZ20" s="110"/>
      <c r="AWA20" s="108"/>
      <c r="AWD20" s="126"/>
      <c r="AWE20" s="126"/>
      <c r="AWF20" s="126"/>
      <c r="AWG20" s="127"/>
      <c r="AWH20" s="106"/>
      <c r="AWI20" s="107"/>
      <c r="AWJ20" s="128">
        <f>SUM(AWJ12:AWJ19)</f>
        <v>1000</v>
      </c>
      <c r="AWK20" s="109">
        <f t="shared" si="96"/>
        <v>35000</v>
      </c>
      <c r="AWL20" s="110"/>
      <c r="AWM20" s="108"/>
      <c r="AWP20" s="126"/>
      <c r="AWQ20" s="126"/>
      <c r="AWR20" s="126"/>
      <c r="AWS20" s="127"/>
      <c r="AWT20" s="106"/>
      <c r="AWU20" s="107"/>
      <c r="AWV20" s="128">
        <f>SUM(AWV12:AWV19)</f>
        <v>1000</v>
      </c>
      <c r="AWW20" s="109">
        <f t="shared" si="97"/>
        <v>35000</v>
      </c>
      <c r="AWX20" s="110"/>
      <c r="AWY20" s="108"/>
      <c r="AXB20" s="126"/>
      <c r="AXC20" s="126"/>
      <c r="AXD20" s="126"/>
      <c r="AXE20" s="127"/>
      <c r="AXF20" s="106"/>
      <c r="AXG20" s="107"/>
      <c r="AXH20" s="128">
        <f>SUM(AXH12:AXH19)</f>
        <v>1000</v>
      </c>
      <c r="AXI20" s="109">
        <f t="shared" si="98"/>
        <v>35000</v>
      </c>
      <c r="AXJ20" s="110"/>
      <c r="AXK20" s="108"/>
      <c r="AXN20" s="126"/>
      <c r="AXO20" s="126"/>
      <c r="AXP20" s="126"/>
      <c r="AXQ20" s="127"/>
      <c r="AXR20" s="106"/>
      <c r="AXS20" s="107"/>
      <c r="AXT20" s="128">
        <f>SUM(AXT12:AXT19)</f>
        <v>1000</v>
      </c>
      <c r="AXU20" s="109">
        <f t="shared" si="99"/>
        <v>35000</v>
      </c>
      <c r="AXV20" s="110"/>
      <c r="AXW20" s="108"/>
      <c r="AXZ20" s="126"/>
      <c r="AYA20" s="126"/>
      <c r="AYB20" s="126"/>
      <c r="AYC20" s="127"/>
      <c r="AYD20" s="106"/>
      <c r="AYE20" s="107"/>
      <c r="AYF20" s="128">
        <f>SUM(AYF12:AYF19)</f>
        <v>1000</v>
      </c>
      <c r="AYG20" s="109">
        <f t="shared" si="100"/>
        <v>35000</v>
      </c>
      <c r="AYH20" s="110"/>
      <c r="AYI20" s="108"/>
      <c r="AYL20" s="126"/>
      <c r="AYM20" s="126"/>
      <c r="AYN20" s="126"/>
      <c r="AYO20" s="127"/>
      <c r="AYP20" s="106"/>
      <c r="AYQ20" s="107"/>
      <c r="AYR20" s="128">
        <f>SUM(AYR12:AYR19)</f>
        <v>1000</v>
      </c>
      <c r="AYS20" s="109">
        <f t="shared" si="101"/>
        <v>35000</v>
      </c>
      <c r="AYT20" s="110"/>
      <c r="AYU20" s="108"/>
      <c r="AYX20" s="126"/>
      <c r="AYY20" s="126"/>
      <c r="AYZ20" s="126"/>
      <c r="AZA20" s="127"/>
      <c r="AZB20" s="106"/>
      <c r="AZC20" s="107"/>
      <c r="AZD20" s="128">
        <f>SUM(AZD12:AZD19)</f>
        <v>1000</v>
      </c>
      <c r="AZE20" s="109">
        <f t="shared" si="102"/>
        <v>7000</v>
      </c>
      <c r="AZF20" s="110"/>
      <c r="AZG20" s="108"/>
      <c r="AZJ20" s="126"/>
      <c r="AZK20" s="126"/>
      <c r="AZL20" s="126"/>
      <c r="AZM20" s="127"/>
      <c r="AZN20" s="106"/>
      <c r="AZO20" s="107"/>
      <c r="AZP20" s="128">
        <f>SUM(AZP12:AZP19)</f>
        <v>1000</v>
      </c>
      <c r="AZQ20" s="109">
        <f t="shared" si="103"/>
        <v>35000</v>
      </c>
      <c r="AZR20" s="110"/>
      <c r="AZS20" s="108"/>
      <c r="AZV20" s="126"/>
      <c r="AZW20" s="126"/>
      <c r="AZX20" s="126"/>
      <c r="AZY20" s="127"/>
      <c r="AZZ20" s="106"/>
      <c r="BAA20" s="107"/>
      <c r="BAB20" s="128">
        <f>SUM(BAB12:BAB19)</f>
        <v>1000</v>
      </c>
      <c r="BAC20" s="109">
        <f t="shared" si="104"/>
        <v>35000</v>
      </c>
      <c r="BAD20" s="110"/>
      <c r="BAE20" s="108"/>
      <c r="BAH20" s="126"/>
      <c r="BAI20" s="126"/>
      <c r="BAJ20" s="126"/>
      <c r="BAK20" s="127"/>
      <c r="BAL20" s="106"/>
      <c r="BAM20" s="107"/>
      <c r="BAN20" s="128">
        <f>SUM(BAN12:BAN19)</f>
        <v>1000</v>
      </c>
      <c r="BAO20" s="109">
        <f t="shared" si="105"/>
        <v>35000</v>
      </c>
      <c r="BAP20" s="110"/>
      <c r="BAQ20" s="108"/>
      <c r="BAT20" s="126"/>
      <c r="BAU20" s="126"/>
      <c r="BAV20" s="126"/>
      <c r="BAW20" s="127"/>
      <c r="BAX20" s="106"/>
      <c r="BAY20" s="107"/>
      <c r="BAZ20" s="128">
        <f>SUM(BAZ12:BAZ19)</f>
        <v>1000</v>
      </c>
      <c r="BBA20" s="109">
        <f t="shared" si="106"/>
        <v>35000</v>
      </c>
      <c r="BBB20" s="110"/>
      <c r="BBC20" s="108"/>
      <c r="BBF20" s="126"/>
      <c r="BBG20" s="126"/>
      <c r="BBH20" s="126"/>
      <c r="BBI20" s="127"/>
      <c r="BBJ20" s="106"/>
      <c r="BBK20" s="107"/>
      <c r="BBL20" s="128">
        <f>SUM(BBL12:BBL19)</f>
        <v>1000</v>
      </c>
      <c r="BBM20" s="109">
        <f t="shared" si="107"/>
        <v>35000</v>
      </c>
      <c r="BBN20" s="110"/>
      <c r="BBO20" s="108"/>
      <c r="BBR20" s="126"/>
      <c r="BBS20" s="126"/>
      <c r="BBT20" s="126"/>
      <c r="BBU20" s="127"/>
      <c r="BBV20" s="106"/>
      <c r="BBW20" s="107"/>
      <c r="BBX20" s="128">
        <f>SUM(BBX12:BBX19)</f>
        <v>1000</v>
      </c>
      <c r="BBY20" s="109">
        <f t="shared" si="108"/>
        <v>35000</v>
      </c>
      <c r="BBZ20" s="110"/>
      <c r="BCA20" s="108"/>
      <c r="BCD20" s="126"/>
      <c r="BCE20" s="126"/>
      <c r="BCF20" s="126"/>
      <c r="BCG20" s="127"/>
      <c r="BCH20" s="106"/>
      <c r="BCI20" s="107"/>
      <c r="BCJ20" s="128">
        <f>SUM(BCJ12:BCJ19)</f>
        <v>1000</v>
      </c>
      <c r="BCK20" s="109">
        <f t="shared" si="109"/>
        <v>35000</v>
      </c>
      <c r="BCL20" s="110"/>
      <c r="BCM20" s="108"/>
      <c r="BCP20" s="126"/>
      <c r="BCQ20" s="126"/>
      <c r="BCR20" s="126"/>
      <c r="BCS20" s="127"/>
      <c r="BCT20" s="106"/>
      <c r="BCU20" s="107"/>
      <c r="BCV20" s="128">
        <f>SUM(BCV12:BCV19)</f>
        <v>1000</v>
      </c>
      <c r="BCW20" s="109">
        <f t="shared" si="110"/>
        <v>35000</v>
      </c>
      <c r="BCX20" s="110"/>
      <c r="BCY20" s="108"/>
      <c r="BDB20" s="126"/>
      <c r="BDC20" s="126"/>
      <c r="BDD20" s="126"/>
      <c r="BDE20" s="127"/>
      <c r="BDF20" s="106"/>
      <c r="BDG20" s="107"/>
      <c r="BDH20" s="128">
        <f>SUM(BDH12:BDH19)</f>
        <v>1000</v>
      </c>
      <c r="BDI20" s="109">
        <f t="shared" si="111"/>
        <v>14000</v>
      </c>
      <c r="BDJ20" s="110"/>
      <c r="BDK20" s="108"/>
      <c r="BDN20" s="126"/>
      <c r="BDO20" s="126"/>
      <c r="BDP20" s="126"/>
      <c r="BDQ20" s="127"/>
      <c r="BDR20" s="106"/>
      <c r="BDS20" s="107"/>
      <c r="BDT20" s="128">
        <f>SUM(BDT12:BDT19)</f>
        <v>1000</v>
      </c>
      <c r="BDU20" s="109">
        <f t="shared" si="112"/>
        <v>35000</v>
      </c>
      <c r="BDV20" s="110"/>
      <c r="BDW20" s="108"/>
      <c r="BDZ20" s="126"/>
      <c r="BEA20" s="126"/>
      <c r="BEB20" s="126"/>
      <c r="BEC20" s="127"/>
      <c r="BED20" s="106"/>
      <c r="BEE20" s="107"/>
      <c r="BEF20" s="128">
        <f>SUM(BEF12:BEF19)</f>
        <v>1000</v>
      </c>
      <c r="BEG20" s="109">
        <f t="shared" si="113"/>
        <v>35000</v>
      </c>
      <c r="BEH20" s="110"/>
      <c r="BEI20" s="108"/>
      <c r="BEL20" s="126"/>
      <c r="BEM20" s="126"/>
      <c r="BEN20" s="126"/>
      <c r="BEO20" s="127"/>
      <c r="BEP20" s="106"/>
      <c r="BEQ20" s="107"/>
      <c r="BER20" s="128">
        <f>SUM(BER12:BER19)</f>
        <v>1000</v>
      </c>
      <c r="BES20" s="109">
        <f t="shared" si="114"/>
        <v>35000</v>
      </c>
      <c r="BET20" s="110"/>
      <c r="BEU20" s="108"/>
      <c r="BEX20" s="126"/>
      <c r="BEY20" s="126"/>
      <c r="BEZ20" s="126"/>
      <c r="BFA20" s="127"/>
      <c r="BFB20" s="106"/>
      <c r="BFC20" s="107"/>
      <c r="BFD20" s="128">
        <f>SUM(BFD12:BFD19)</f>
        <v>1000</v>
      </c>
      <c r="BFE20" s="109">
        <f t="shared" si="115"/>
        <v>35000</v>
      </c>
      <c r="BFF20" s="110"/>
      <c r="BFG20" s="108"/>
      <c r="BFJ20" s="126"/>
      <c r="BFK20" s="126"/>
      <c r="BFL20" s="126"/>
      <c r="BFM20" s="127"/>
      <c r="BFN20" s="106"/>
      <c r="BFO20" s="107"/>
      <c r="BFP20" s="128">
        <f>SUM(BFP12:BFP19)</f>
        <v>1000</v>
      </c>
      <c r="BFQ20" s="109">
        <f t="shared" si="116"/>
        <v>35000</v>
      </c>
      <c r="BFR20" s="110"/>
      <c r="BFS20" s="108"/>
      <c r="BFV20" s="126"/>
      <c r="BFW20" s="126"/>
      <c r="BFX20" s="126"/>
      <c r="BFY20" s="127"/>
      <c r="BFZ20" s="106"/>
      <c r="BGA20" s="107"/>
      <c r="BGB20" s="128">
        <f>SUM(BGB12:BGB19)</f>
        <v>1000</v>
      </c>
      <c r="BGC20" s="109">
        <f t="shared" si="117"/>
        <v>35000</v>
      </c>
      <c r="BGD20" s="110"/>
      <c r="BGE20" s="108"/>
      <c r="BGH20" s="126"/>
      <c r="BGI20" s="126"/>
      <c r="BGJ20" s="126"/>
      <c r="BGK20" s="127"/>
      <c r="BGL20" s="106"/>
      <c r="BGM20" s="107"/>
      <c r="BGN20" s="128">
        <f>SUM(BGN12:BGN19)</f>
        <v>1000</v>
      </c>
      <c r="BGO20" s="109">
        <f t="shared" si="118"/>
        <v>35000</v>
      </c>
      <c r="BGP20" s="110"/>
      <c r="BGQ20" s="108"/>
      <c r="BGT20" s="126"/>
      <c r="BGU20" s="126"/>
      <c r="BGV20" s="126"/>
      <c r="BGW20" s="127"/>
      <c r="BGX20" s="106"/>
      <c r="BGY20" s="107"/>
      <c r="BGZ20" s="128">
        <f>SUM(BGZ12:BGZ19)</f>
        <v>1000</v>
      </c>
      <c r="BHA20" s="109">
        <f t="shared" si="119"/>
        <v>35000</v>
      </c>
      <c r="BHB20" s="110"/>
      <c r="BHC20" s="108"/>
      <c r="BHF20" s="126"/>
      <c r="BHG20" s="126"/>
      <c r="BHH20" s="126"/>
      <c r="BHI20" s="127"/>
      <c r="BHJ20" s="106"/>
      <c r="BHK20" s="107"/>
      <c r="BHL20" s="128">
        <f>SUM(BHL12:BHL19)</f>
        <v>1000</v>
      </c>
      <c r="BHM20" s="109">
        <f t="shared" si="120"/>
        <v>7000</v>
      </c>
      <c r="BHN20" s="110"/>
      <c r="BHO20" s="108"/>
      <c r="BHR20" s="126"/>
      <c r="BHS20" s="126"/>
      <c r="BHT20" s="126"/>
      <c r="BHU20" s="127"/>
      <c r="BHV20" s="106"/>
      <c r="BHW20" s="107"/>
      <c r="BHX20" s="128">
        <f>SUM(BHX12:BHX19)</f>
        <v>1000</v>
      </c>
      <c r="BHY20" s="109">
        <f t="shared" si="121"/>
        <v>14000</v>
      </c>
      <c r="BHZ20" s="110"/>
      <c r="BIA20" s="108"/>
      <c r="BID20" s="126"/>
      <c r="BIE20" s="126"/>
      <c r="BIF20" s="126"/>
      <c r="BIG20" s="127"/>
      <c r="BIH20" s="106"/>
      <c r="BII20" s="107"/>
      <c r="BIJ20" s="128">
        <f>SUM(BIJ12:BIJ19)</f>
        <v>1000</v>
      </c>
      <c r="BIK20" s="109">
        <f t="shared" si="122"/>
        <v>35000</v>
      </c>
      <c r="BIL20" s="110"/>
      <c r="BIM20" s="108"/>
      <c r="BIP20" s="126"/>
      <c r="BIQ20" s="126"/>
      <c r="BIR20" s="126"/>
      <c r="BIS20" s="127"/>
      <c r="BIT20" s="106"/>
      <c r="BIU20" s="107"/>
      <c r="BIV20" s="128">
        <f>SUM(BIV12:BIV19)</f>
        <v>1000</v>
      </c>
      <c r="BIW20" s="109">
        <f t="shared" si="123"/>
        <v>35000</v>
      </c>
      <c r="BIX20" s="110"/>
      <c r="BIY20" s="108"/>
      <c r="BJB20" s="126"/>
      <c r="BJC20" s="126"/>
      <c r="BJD20" s="126"/>
      <c r="BJE20" s="127"/>
      <c r="BJF20" s="106"/>
      <c r="BJG20" s="107"/>
      <c r="BJH20" s="128">
        <f>SUM(BJH12:BJH19)</f>
        <v>1000</v>
      </c>
      <c r="BJI20" s="109">
        <f t="shared" si="124"/>
        <v>35000</v>
      </c>
      <c r="BJJ20" s="110"/>
      <c r="BJK20" s="108"/>
      <c r="BJN20" s="126"/>
      <c r="BJO20" s="126"/>
      <c r="BJP20" s="126"/>
      <c r="BJQ20" s="127"/>
      <c r="BJR20" s="106"/>
      <c r="BJS20" s="107"/>
      <c r="BJT20" s="128">
        <f>SUM(BJT12:BJT19)</f>
        <v>1000</v>
      </c>
      <c r="BJU20" s="109">
        <f t="shared" si="125"/>
        <v>35000</v>
      </c>
      <c r="BJV20" s="110"/>
      <c r="BJW20" s="108"/>
      <c r="BJZ20" s="126"/>
      <c r="BKA20" s="126"/>
      <c r="BKB20" s="126"/>
      <c r="BKC20" s="127"/>
      <c r="BKD20" s="106"/>
      <c r="BKE20" s="107"/>
      <c r="BKF20" s="128">
        <f>SUM(BKF12:BKF19)</f>
        <v>1000</v>
      </c>
      <c r="BKG20" s="109">
        <f t="shared" si="126"/>
        <v>3000</v>
      </c>
      <c r="BKH20" s="110"/>
      <c r="BKI20" s="108"/>
      <c r="BKL20" s="126"/>
      <c r="BKM20" s="126"/>
      <c r="BKN20" s="126"/>
      <c r="BKO20" s="127"/>
      <c r="BKP20" s="106"/>
      <c r="BKQ20" s="107"/>
      <c r="BKR20" s="128">
        <f>SUM(BKR12:BKR19)</f>
        <v>1000</v>
      </c>
      <c r="BKS20" s="109">
        <f t="shared" si="127"/>
        <v>35000</v>
      </c>
      <c r="BKT20" s="110"/>
      <c r="BKU20" s="108"/>
      <c r="BKX20" s="126"/>
      <c r="BKY20" s="126"/>
      <c r="BKZ20" s="126"/>
      <c r="BLA20" s="127"/>
      <c r="BLB20" s="106"/>
      <c r="BLC20" s="107"/>
      <c r="BLD20" s="128">
        <f>SUM(BLD12:BLD19)</f>
        <v>1000</v>
      </c>
      <c r="BLE20" s="109">
        <f t="shared" si="128"/>
        <v>35000</v>
      </c>
      <c r="BLF20" s="110"/>
      <c r="BLG20" s="108"/>
      <c r="BLJ20" s="126"/>
      <c r="BLK20" s="126"/>
      <c r="BLL20" s="126"/>
      <c r="BLM20" s="127"/>
      <c r="BLN20" s="106"/>
      <c r="BLO20" s="107"/>
      <c r="BLP20" s="128">
        <f>SUM(BLP12:BLP19)</f>
        <v>1000</v>
      </c>
      <c r="BLQ20" s="109">
        <f t="shared" si="129"/>
        <v>35000</v>
      </c>
      <c r="BLR20" s="110"/>
      <c r="BLS20" s="108"/>
      <c r="BLV20" s="126"/>
      <c r="BLW20" s="126"/>
      <c r="BLX20" s="126"/>
      <c r="BLY20" s="127"/>
      <c r="BLZ20" s="106"/>
      <c r="BMA20" s="107"/>
      <c r="BMB20" s="128">
        <f>SUM(BMB12:BMB19)</f>
        <v>1000</v>
      </c>
      <c r="BMC20" s="109">
        <f t="shared" si="130"/>
        <v>35000</v>
      </c>
      <c r="BMD20" s="110"/>
      <c r="BME20" s="108"/>
      <c r="BMH20" s="126"/>
      <c r="BMI20" s="126"/>
      <c r="BMJ20" s="126"/>
      <c r="BMK20" s="127"/>
      <c r="BML20" s="106"/>
      <c r="BMM20" s="107"/>
      <c r="BMN20" s="128">
        <f>SUM(BMN12:BMN19)</f>
        <v>1000</v>
      </c>
      <c r="BMO20" s="109">
        <f t="shared" si="131"/>
        <v>35000</v>
      </c>
      <c r="BMP20" s="110"/>
      <c r="BMQ20" s="108"/>
      <c r="BMT20" s="126"/>
      <c r="BMU20" s="126"/>
      <c r="BMV20" s="126"/>
      <c r="BMW20" s="127"/>
      <c r="BMX20" s="106"/>
      <c r="BMY20" s="107"/>
      <c r="BMZ20" s="128">
        <f>SUM(BMZ12:BMZ19)</f>
        <v>1000</v>
      </c>
      <c r="BNA20" s="109">
        <f t="shared" si="132"/>
        <v>35000</v>
      </c>
      <c r="BNB20" s="110"/>
      <c r="BNC20" s="108"/>
      <c r="BNF20" s="126"/>
      <c r="BNG20" s="126"/>
      <c r="BNH20" s="126"/>
      <c r="BNI20" s="127"/>
      <c r="BNJ20" s="106"/>
      <c r="BNK20" s="107"/>
      <c r="BNL20" s="128">
        <f>SUM(BNL12:BNL19)</f>
        <v>1000</v>
      </c>
      <c r="BNM20" s="109">
        <f t="shared" si="133"/>
        <v>35000</v>
      </c>
      <c r="BNN20" s="110"/>
      <c r="BNO20" s="108"/>
      <c r="BNR20" s="126"/>
      <c r="BNS20" s="126"/>
      <c r="BNT20" s="126"/>
      <c r="BNU20" s="127"/>
      <c r="BNV20" s="106"/>
      <c r="BNW20" s="107"/>
      <c r="BNX20" s="128">
        <f>SUM(BNX12:BNX19)</f>
        <v>1000</v>
      </c>
      <c r="BNY20" s="109">
        <f t="shared" si="134"/>
        <v>35000</v>
      </c>
      <c r="BNZ20" s="110"/>
      <c r="BOA20" s="108"/>
      <c r="BOD20" s="126"/>
      <c r="BOE20" s="126"/>
      <c r="BOF20" s="126"/>
      <c r="BOG20" s="127"/>
      <c r="BOH20" s="106"/>
      <c r="BOI20" s="107"/>
      <c r="BOJ20" s="128">
        <f>SUM(BOJ12:BOJ19)</f>
        <v>1000</v>
      </c>
      <c r="BOK20" s="109">
        <f t="shared" si="135"/>
        <v>35000</v>
      </c>
      <c r="BOL20" s="110"/>
      <c r="BOM20" s="108"/>
      <c r="BOP20" s="126"/>
      <c r="BOQ20" s="126"/>
      <c r="BOR20" s="126"/>
      <c r="BOS20" s="127"/>
      <c r="BOT20" s="106"/>
      <c r="BOU20" s="107"/>
      <c r="BOV20" s="128">
        <f>SUM(BOV12:BOV19)</f>
        <v>1000</v>
      </c>
      <c r="BOW20" s="109">
        <f t="shared" si="136"/>
        <v>35000</v>
      </c>
      <c r="BOX20" s="110"/>
      <c r="BOY20" s="108"/>
      <c r="BPB20" s="126"/>
      <c r="BPC20" s="126"/>
      <c r="BPD20" s="126"/>
      <c r="BPE20" s="127"/>
      <c r="BPF20" s="106"/>
      <c r="BPG20" s="107"/>
      <c r="BPH20" s="128">
        <f>SUM(BPH12:BPH19)</f>
        <v>1000</v>
      </c>
      <c r="BPI20" s="109">
        <f t="shared" si="137"/>
        <v>35000</v>
      </c>
      <c r="BPJ20" s="110"/>
      <c r="BPK20" s="108"/>
      <c r="BPN20" s="126"/>
      <c r="BPO20" s="126"/>
      <c r="BPP20" s="126"/>
      <c r="BPQ20" s="127"/>
      <c r="BPR20" s="106"/>
      <c r="BPS20" s="107"/>
      <c r="BPT20" s="128">
        <f>SUM(BPT12:BPT19)</f>
        <v>1000</v>
      </c>
      <c r="BPU20" s="109">
        <f t="shared" si="138"/>
        <v>35000</v>
      </c>
      <c r="BPV20" s="110"/>
      <c r="BPW20" s="108"/>
      <c r="BPZ20" s="126"/>
      <c r="BQA20" s="126"/>
      <c r="BQB20" s="126"/>
      <c r="BQC20" s="127"/>
      <c r="BQD20" s="106"/>
      <c r="BQE20" s="107"/>
      <c r="BQF20" s="128">
        <f>SUM(BQF12:BQF19)</f>
        <v>1000</v>
      </c>
      <c r="BQG20" s="109">
        <f t="shared" si="139"/>
        <v>35000</v>
      </c>
      <c r="BQH20" s="110"/>
      <c r="BQI20" s="108"/>
      <c r="BQL20" s="126"/>
      <c r="BQM20" s="126"/>
      <c r="BQN20" s="126"/>
      <c r="BQO20" s="127"/>
      <c r="BQP20" s="106"/>
      <c r="BQQ20" s="107"/>
      <c r="BQR20" s="128">
        <f>SUM(BQR12:BQR19)</f>
        <v>1000</v>
      </c>
      <c r="BQS20" s="109">
        <f t="shared" si="140"/>
        <v>35000</v>
      </c>
      <c r="BQT20" s="110"/>
      <c r="BQU20" s="108"/>
      <c r="BQX20" s="126"/>
      <c r="BQY20" s="126"/>
      <c r="BQZ20" s="126"/>
      <c r="BRA20" s="127"/>
      <c r="BRB20" s="106"/>
      <c r="BRC20" s="107"/>
      <c r="BRD20" s="128">
        <f>SUM(BRD12:BRD19)</f>
        <v>1000</v>
      </c>
      <c r="BRE20" s="109">
        <f t="shared" si="141"/>
        <v>35000</v>
      </c>
      <c r="BRF20" s="110"/>
      <c r="BRG20" s="108"/>
      <c r="BRJ20" s="126"/>
      <c r="BRK20" s="126"/>
      <c r="BRL20" s="126"/>
      <c r="BRM20" s="127"/>
      <c r="BRN20" s="106"/>
      <c r="BRO20" s="107"/>
      <c r="BRP20" s="128">
        <f>SUM(BRP12:BRP19)</f>
        <v>1000</v>
      </c>
      <c r="BRQ20" s="109">
        <f t="shared" si="142"/>
        <v>35000</v>
      </c>
      <c r="BRR20" s="110"/>
      <c r="BRS20" s="108"/>
      <c r="BRV20" s="126"/>
      <c r="BRW20" s="126"/>
      <c r="BRX20" s="126"/>
      <c r="BRY20" s="127"/>
      <c r="BRZ20" s="106"/>
      <c r="BSA20" s="107"/>
      <c r="BSB20" s="128">
        <f>SUM(BSB12:BSB19)</f>
        <v>1000</v>
      </c>
      <c r="BSC20" s="109">
        <f t="shared" si="143"/>
        <v>35000</v>
      </c>
      <c r="BSD20" s="110"/>
      <c r="BSE20" s="108"/>
      <c r="BSH20" s="126"/>
      <c r="BSI20" s="126"/>
      <c r="BSJ20" s="126"/>
      <c r="BSK20" s="127"/>
      <c r="BSL20" s="106"/>
      <c r="BSM20" s="107"/>
      <c r="BSN20" s="128">
        <f>SUM(BSN12:BSN19)</f>
        <v>1000</v>
      </c>
      <c r="BSO20" s="109">
        <f t="shared" si="144"/>
        <v>35000</v>
      </c>
      <c r="BSP20" s="110"/>
      <c r="BSQ20" s="108"/>
      <c r="BST20" s="126"/>
      <c r="BSU20" s="126"/>
      <c r="BSV20" s="126"/>
      <c r="BSW20" s="127"/>
      <c r="BSX20" s="106"/>
      <c r="BSY20" s="107"/>
      <c r="BSZ20" s="128">
        <f>SUM(BSZ12:BSZ19)</f>
        <v>1000</v>
      </c>
      <c r="BTA20" s="109">
        <f t="shared" si="145"/>
        <v>35000</v>
      </c>
      <c r="BTB20" s="110"/>
      <c r="BTC20" s="108"/>
      <c r="BTF20" s="126"/>
      <c r="BTG20" s="126"/>
      <c r="BTH20" s="126"/>
      <c r="BTI20" s="127"/>
      <c r="BTJ20" s="106"/>
      <c r="BTK20" s="107"/>
      <c r="BTL20" s="128">
        <f>SUM(BTL12:BTL19)</f>
        <v>1000</v>
      </c>
      <c r="BTM20" s="109">
        <f t="shared" si="146"/>
        <v>35000</v>
      </c>
      <c r="BTN20" s="110"/>
      <c r="BTO20" s="108"/>
      <c r="BTR20" s="126"/>
      <c r="BTS20" s="126"/>
      <c r="BTT20" s="126"/>
      <c r="BTU20" s="127"/>
      <c r="BTV20" s="106"/>
      <c r="BTW20" s="107"/>
      <c r="BTX20" s="128">
        <f>SUM(BTX12:BTX19)</f>
        <v>1000</v>
      </c>
      <c r="BTY20" s="109">
        <f t="shared" si="147"/>
        <v>35000</v>
      </c>
      <c r="BTZ20" s="110"/>
      <c r="BUA20" s="108"/>
      <c r="BUD20" s="126"/>
      <c r="BUE20" s="126"/>
      <c r="BUF20" s="126"/>
      <c r="BUG20" s="127"/>
      <c r="BUH20" s="106"/>
      <c r="BUI20" s="107"/>
      <c r="BUJ20" s="128">
        <f>SUM(BUJ12:BUJ19)</f>
        <v>1000</v>
      </c>
      <c r="BUK20" s="109">
        <f t="shared" si="148"/>
        <v>35000</v>
      </c>
      <c r="BUL20" s="110"/>
      <c r="BUM20" s="108"/>
      <c r="BUP20" s="126"/>
      <c r="BUQ20" s="126"/>
      <c r="BUR20" s="126"/>
      <c r="BUS20" s="127"/>
      <c r="BUT20" s="106"/>
      <c r="BUU20" s="107"/>
      <c r="BUV20" s="128">
        <f>SUM(BUV12:BUV19)</f>
        <v>1000</v>
      </c>
      <c r="BUW20" s="109">
        <f t="shared" si="149"/>
        <v>35000</v>
      </c>
      <c r="BUX20" s="110"/>
      <c r="BUY20" s="108"/>
      <c r="BVB20" s="126"/>
      <c r="BVC20" s="126"/>
      <c r="BVD20" s="126"/>
      <c r="BVE20" s="127"/>
      <c r="BVF20" s="106"/>
      <c r="BVG20" s="107"/>
      <c r="BVH20" s="128">
        <f>SUM(BVH12:BVH19)</f>
        <v>1000</v>
      </c>
      <c r="BVI20" s="109">
        <f t="shared" si="150"/>
        <v>35000</v>
      </c>
      <c r="BVJ20" s="110"/>
      <c r="BVK20" s="108"/>
      <c r="BVN20" s="126"/>
      <c r="BVO20" s="126"/>
      <c r="BVP20" s="126"/>
      <c r="BVQ20" s="127"/>
      <c r="BVR20" s="106"/>
      <c r="BVS20" s="107"/>
      <c r="BVT20" s="128">
        <f>SUM(BVT12:BVT19)</f>
        <v>1000</v>
      </c>
      <c r="BVU20" s="109">
        <f t="shared" si="151"/>
        <v>35000</v>
      </c>
      <c r="BVV20" s="110"/>
      <c r="BVW20" s="108"/>
      <c r="BVZ20" s="126"/>
      <c r="BWA20" s="126"/>
      <c r="BWB20" s="126"/>
      <c r="BWC20" s="127"/>
      <c r="BWD20" s="106"/>
      <c r="BWE20" s="107"/>
      <c r="BWF20" s="128">
        <f>SUM(BWF12:BWF19)</f>
        <v>1000</v>
      </c>
      <c r="BWG20" s="109">
        <f t="shared" si="152"/>
        <v>35000</v>
      </c>
      <c r="BWH20" s="110"/>
      <c r="BWI20" s="108"/>
      <c r="BWL20" s="126"/>
      <c r="BWM20" s="126"/>
      <c r="BWN20" s="126"/>
      <c r="BWO20" s="127"/>
      <c r="BWP20" s="106"/>
      <c r="BWQ20" s="107"/>
      <c r="BWR20" s="128">
        <f>SUM(BWR12:BWR19)</f>
        <v>1000</v>
      </c>
      <c r="BWS20" s="109">
        <f t="shared" si="153"/>
        <v>35000</v>
      </c>
      <c r="BWT20" s="110"/>
      <c r="BWU20" s="108"/>
      <c r="BWX20" s="126"/>
      <c r="BWY20" s="126"/>
      <c r="BWZ20" s="126"/>
      <c r="BXA20" s="127"/>
      <c r="BXB20" s="106"/>
      <c r="BXC20" s="107"/>
      <c r="BXD20" s="128">
        <f>SUM(BXD12:BXD19)</f>
        <v>1000</v>
      </c>
      <c r="BXE20" s="109">
        <f t="shared" si="154"/>
        <v>35000</v>
      </c>
      <c r="BXF20" s="110"/>
      <c r="BXG20" s="108"/>
      <c r="BXJ20" s="126"/>
      <c r="BXK20" s="126"/>
      <c r="BXL20" s="126"/>
      <c r="BXM20" s="127"/>
      <c r="BXN20" s="106"/>
      <c r="BXO20" s="107"/>
      <c r="BXP20" s="128">
        <f>SUM(BXP12:BXP19)</f>
        <v>1000</v>
      </c>
      <c r="BXQ20" s="109">
        <f t="shared" si="155"/>
        <v>35000</v>
      </c>
      <c r="BXR20" s="110"/>
      <c r="BXS20" s="108"/>
      <c r="BXV20" s="126"/>
      <c r="BXW20" s="126"/>
      <c r="BXX20" s="126"/>
      <c r="BXY20" s="127"/>
      <c r="BXZ20" s="106"/>
      <c r="BYA20" s="107"/>
      <c r="BYB20" s="128">
        <f>SUM(BYB12:BYB19)</f>
        <v>1000</v>
      </c>
      <c r="BYC20" s="109">
        <f t="shared" si="156"/>
        <v>35000</v>
      </c>
      <c r="BYD20" s="110"/>
      <c r="BYE20" s="108"/>
      <c r="BYH20" s="126"/>
      <c r="BYI20" s="126"/>
      <c r="BYJ20" s="126"/>
      <c r="BYK20" s="127"/>
      <c r="BYL20" s="106"/>
      <c r="BYM20" s="107"/>
      <c r="BYN20" s="128">
        <f>SUM(BYN12:BYN19)</f>
        <v>1000</v>
      </c>
      <c r="BYO20" s="109">
        <f t="shared" si="157"/>
        <v>35000</v>
      </c>
      <c r="BYP20" s="110"/>
      <c r="BYQ20" s="108"/>
      <c r="BYT20" s="126"/>
      <c r="BYU20" s="126"/>
      <c r="BYV20" s="126"/>
      <c r="BYW20" s="127"/>
      <c r="BYX20" s="106"/>
      <c r="BYY20" s="107"/>
      <c r="BYZ20" s="128">
        <f>SUM(BYZ12:BYZ19)</f>
        <v>1000</v>
      </c>
      <c r="BZA20" s="109">
        <f t="shared" si="158"/>
        <v>35000</v>
      </c>
      <c r="BZB20" s="110"/>
      <c r="BZC20" s="108"/>
      <c r="BZF20" s="126"/>
      <c r="BZG20" s="126"/>
      <c r="BZH20" s="126"/>
      <c r="BZI20" s="127"/>
      <c r="BZJ20" s="106"/>
      <c r="BZK20" s="107"/>
      <c r="BZL20" s="128">
        <f>SUM(BZL12:BZL19)</f>
        <v>1000</v>
      </c>
      <c r="BZM20" s="109">
        <f t="shared" si="159"/>
        <v>35000</v>
      </c>
      <c r="BZN20" s="110"/>
      <c r="BZO20" s="108"/>
      <c r="BZR20" s="126"/>
      <c r="BZS20" s="126"/>
      <c r="BZT20" s="126"/>
      <c r="BZU20" s="127"/>
      <c r="BZV20" s="106"/>
      <c r="BZW20" s="107"/>
      <c r="BZX20" s="128">
        <f>SUM(BZX12:BZX19)</f>
        <v>1000</v>
      </c>
      <c r="BZY20" s="109">
        <f t="shared" si="160"/>
        <v>35000</v>
      </c>
      <c r="BZZ20" s="110"/>
      <c r="CAA20" s="108"/>
      <c r="CAD20" s="126"/>
      <c r="CAE20" s="126"/>
      <c r="CAF20" s="126"/>
      <c r="CAG20" s="127"/>
      <c r="CAH20" s="106"/>
      <c r="CAI20" s="107"/>
      <c r="CAJ20" s="128">
        <f>SUM(CAJ12:CAJ19)</f>
        <v>1000</v>
      </c>
      <c r="CAK20" s="109">
        <f t="shared" si="161"/>
        <v>35000</v>
      </c>
      <c r="CAL20" s="110"/>
      <c r="CAM20" s="108"/>
      <c r="CAP20" s="126"/>
      <c r="CAQ20" s="126"/>
      <c r="CAR20" s="126"/>
      <c r="CAS20" s="127"/>
      <c r="CAT20" s="106"/>
      <c r="CAU20" s="107"/>
      <c r="CAV20" s="128">
        <f>SUM(CAV12:CAV19)</f>
        <v>1000</v>
      </c>
      <c r="CAW20" s="109">
        <f t="shared" si="162"/>
        <v>35000</v>
      </c>
      <c r="CAX20" s="110"/>
      <c r="CAY20" s="108"/>
      <c r="CBB20" s="126"/>
      <c r="CBC20" s="126"/>
      <c r="CBD20" s="126"/>
      <c r="CBE20" s="127"/>
      <c r="CBF20" s="106"/>
      <c r="CBG20" s="107"/>
      <c r="CBH20" s="128">
        <f>SUM(CBH12:CBH19)</f>
        <v>1000</v>
      </c>
      <c r="CBI20" s="109">
        <f t="shared" si="163"/>
        <v>35000</v>
      </c>
      <c r="CBJ20" s="110"/>
      <c r="CBK20" s="108"/>
      <c r="CBN20" s="126"/>
      <c r="CBO20" s="126"/>
      <c r="CBP20" s="126"/>
      <c r="CBQ20" s="127"/>
      <c r="CBR20" s="106"/>
      <c r="CBS20" s="107"/>
      <c r="CBT20" s="128">
        <f>SUM(CBT12:CBT19)</f>
        <v>1000</v>
      </c>
      <c r="CBU20" s="109">
        <f t="shared" si="164"/>
        <v>35000</v>
      </c>
      <c r="CBV20" s="110"/>
      <c r="CBW20" s="108"/>
      <c r="CBZ20" s="126"/>
      <c r="CCA20" s="126"/>
      <c r="CCB20" s="126"/>
      <c r="CCC20" s="127"/>
      <c r="CCD20" s="106"/>
      <c r="CCE20" s="107"/>
      <c r="CCF20" s="128">
        <f>SUM(CCF12:CCF19)</f>
        <v>1000</v>
      </c>
      <c r="CCG20" s="109">
        <f t="shared" si="165"/>
        <v>35000</v>
      </c>
      <c r="CCH20" s="110"/>
      <c r="CCI20" s="108"/>
      <c r="CCL20" s="126"/>
      <c r="CCM20" s="126"/>
      <c r="CCN20" s="126"/>
      <c r="CCO20" s="127"/>
      <c r="CCP20" s="106"/>
      <c r="CCQ20" s="107"/>
      <c r="CCR20" s="128">
        <f>SUM(CCR12:CCR19)</f>
        <v>1000</v>
      </c>
      <c r="CCS20" s="109">
        <f t="shared" si="166"/>
        <v>35000</v>
      </c>
      <c r="CCT20" s="110"/>
      <c r="CCU20" s="108"/>
      <c r="CCX20" s="126"/>
      <c r="CCY20" s="126"/>
      <c r="CCZ20" s="126"/>
      <c r="CDA20" s="127"/>
      <c r="CDB20" s="106"/>
      <c r="CDC20" s="107"/>
      <c r="CDD20" s="128">
        <f>SUM(CDD12:CDD19)</f>
        <v>1000</v>
      </c>
      <c r="CDE20" s="109">
        <f t="shared" si="167"/>
        <v>35000</v>
      </c>
      <c r="CDF20" s="110"/>
      <c r="CDG20" s="108"/>
      <c r="CDJ20" s="126"/>
      <c r="CDK20" s="126"/>
      <c r="CDL20" s="126"/>
      <c r="CDM20" s="127"/>
      <c r="CDN20" s="106"/>
      <c r="CDO20" s="107"/>
      <c r="CDP20" s="128">
        <f>SUM(CDP12:CDP19)</f>
        <v>1000</v>
      </c>
      <c r="CDQ20" s="109">
        <f t="shared" si="168"/>
        <v>35000</v>
      </c>
      <c r="CDR20" s="110"/>
      <c r="CDS20" s="108"/>
      <c r="CDV20" s="126"/>
      <c r="CDW20" s="126"/>
      <c r="CDX20" s="126"/>
      <c r="CDY20" s="127"/>
      <c r="CDZ20" s="106"/>
      <c r="CEA20" s="107"/>
      <c r="CEB20" s="128">
        <f>SUM(CEB12:CEB19)</f>
        <v>1000</v>
      </c>
      <c r="CEC20" s="109">
        <f t="shared" si="169"/>
        <v>35000</v>
      </c>
      <c r="CED20" s="110"/>
      <c r="CEE20" s="108"/>
      <c r="CEH20" s="126"/>
      <c r="CEI20" s="126"/>
      <c r="CEJ20" s="126"/>
      <c r="CEK20" s="127"/>
      <c r="CEL20" s="106"/>
      <c r="CEM20" s="107"/>
      <c r="CEN20" s="128">
        <f>SUM(CEN12:CEN19)</f>
        <v>1000</v>
      </c>
      <c r="CEO20" s="109">
        <f t="shared" si="170"/>
        <v>35000</v>
      </c>
      <c r="CEP20" s="110"/>
      <c r="CEQ20" s="108"/>
      <c r="CET20" s="126"/>
      <c r="CEU20" s="126"/>
      <c r="CEV20" s="126"/>
      <c r="CEW20" s="127"/>
      <c r="CEX20" s="106"/>
      <c r="CEY20" s="107"/>
      <c r="CEZ20" s="128">
        <f>SUM(CEZ12:CEZ19)</f>
        <v>1000</v>
      </c>
      <c r="CFA20" s="109">
        <f t="shared" si="171"/>
        <v>35000</v>
      </c>
      <c r="CFB20" s="110"/>
      <c r="CFC20" s="108"/>
      <c r="CFF20" s="126"/>
      <c r="CFG20" s="126"/>
      <c r="CFH20" s="126"/>
      <c r="CFI20" s="127"/>
      <c r="CFJ20" s="106"/>
      <c r="CFK20" s="107"/>
      <c r="CFL20" s="128">
        <f>SUM(CFL12:CFL19)</f>
        <v>1000</v>
      </c>
      <c r="CFM20" s="109">
        <f t="shared" si="172"/>
        <v>35000</v>
      </c>
      <c r="CFN20" s="110"/>
      <c r="CFO20" s="108"/>
      <c r="CFR20" s="126"/>
      <c r="CFS20" s="126"/>
      <c r="CFT20" s="126"/>
      <c r="CFU20" s="127"/>
      <c r="CFV20" s="106"/>
      <c r="CFW20" s="107"/>
      <c r="CFX20" s="128">
        <f>SUM(CFX12:CFX19)</f>
        <v>1000</v>
      </c>
      <c r="CFY20" s="109">
        <f t="shared" si="173"/>
        <v>35000</v>
      </c>
      <c r="CFZ20" s="110"/>
      <c r="CGA20" s="108"/>
      <c r="CGD20" s="126"/>
      <c r="CGE20" s="126"/>
      <c r="CGF20" s="126"/>
      <c r="CGG20" s="127"/>
      <c r="CGH20" s="106"/>
      <c r="CGI20" s="107"/>
      <c r="CGJ20" s="128">
        <f>SUM(CGJ12:CGJ19)</f>
        <v>1000</v>
      </c>
      <c r="CGK20" s="109">
        <f t="shared" si="174"/>
        <v>35000</v>
      </c>
      <c r="CGL20" s="110"/>
      <c r="CGM20" s="108"/>
      <c r="CGP20" s="126"/>
      <c r="CGQ20" s="126"/>
      <c r="CGR20" s="126"/>
      <c r="CGS20" s="127"/>
      <c r="CGT20" s="106"/>
      <c r="CGU20" s="107"/>
      <c r="CGV20" s="128">
        <f>SUM(CGV12:CGV19)</f>
        <v>1000</v>
      </c>
      <c r="CGW20" s="109">
        <f t="shared" si="175"/>
        <v>35000</v>
      </c>
      <c r="CGX20" s="110"/>
      <c r="CGY20" s="108"/>
      <c r="CHB20" s="126"/>
      <c r="CHC20" s="126"/>
      <c r="CHD20" s="126"/>
      <c r="CHE20" s="127"/>
      <c r="CHF20" s="106"/>
      <c r="CHG20" s="107"/>
      <c r="CHH20" s="128">
        <f>SUM(CHH12:CHH19)</f>
        <v>1000</v>
      </c>
      <c r="CHI20" s="109">
        <f t="shared" si="176"/>
        <v>35000</v>
      </c>
      <c r="CHJ20" s="110"/>
      <c r="CHK20" s="108"/>
      <c r="CHN20" s="126"/>
      <c r="CHO20" s="126"/>
      <c r="CHP20" s="126"/>
      <c r="CHQ20" s="127"/>
      <c r="CHR20" s="106"/>
      <c r="CHS20" s="107"/>
      <c r="CHT20" s="128">
        <f>SUM(CHT12:CHT19)</f>
        <v>1000</v>
      </c>
      <c r="CHU20" s="109">
        <f t="shared" si="177"/>
        <v>35000</v>
      </c>
      <c r="CHV20" s="110"/>
      <c r="CHW20" s="108"/>
      <c r="CHZ20" s="126"/>
      <c r="CIA20" s="126"/>
      <c r="CIB20" s="126"/>
      <c r="CIC20" s="127"/>
      <c r="CID20" s="106"/>
      <c r="CIE20" s="107"/>
      <c r="CIF20" s="128">
        <f>SUM(CIF12:CIF19)</f>
        <v>1000</v>
      </c>
      <c r="CIG20" s="109">
        <f t="shared" si="178"/>
        <v>35000</v>
      </c>
      <c r="CIH20" s="110"/>
      <c r="CII20" s="108"/>
      <c r="CIL20" s="126"/>
      <c r="CIM20" s="126"/>
      <c r="CIN20" s="126"/>
      <c r="CIO20" s="127"/>
      <c r="CIP20" s="106"/>
      <c r="CIQ20" s="107"/>
      <c r="CIR20" s="128">
        <f>SUM(CIR12:CIR19)</f>
        <v>1000</v>
      </c>
      <c r="CIS20" s="109">
        <f t="shared" si="179"/>
        <v>35000</v>
      </c>
      <c r="CIT20" s="110"/>
      <c r="CIU20" s="108"/>
      <c r="CIX20" s="126"/>
      <c r="CIY20" s="126"/>
      <c r="CIZ20" s="126"/>
      <c r="CJA20" s="127"/>
      <c r="CJB20" s="106"/>
      <c r="CJC20" s="107"/>
      <c r="CJD20" s="128">
        <f>SUM(CJD12:CJD19)</f>
        <v>1000</v>
      </c>
      <c r="CJE20" s="109">
        <f t="shared" si="180"/>
        <v>35000</v>
      </c>
      <c r="CJF20" s="110"/>
      <c r="CJG20" s="108"/>
      <c r="CJJ20" s="126"/>
      <c r="CJK20" s="126"/>
      <c r="CJL20" s="126"/>
      <c r="CJM20" s="127"/>
      <c r="CJN20" s="106"/>
      <c r="CJO20" s="107"/>
      <c r="CJP20" s="128">
        <f>SUM(CJP12:CJP19)</f>
        <v>1000</v>
      </c>
      <c r="CJQ20" s="109">
        <f t="shared" si="181"/>
        <v>35000</v>
      </c>
      <c r="CJR20" s="110"/>
      <c r="CJS20" s="108"/>
      <c r="CJV20" s="126"/>
      <c r="CJW20" s="126"/>
      <c r="CJX20" s="126"/>
      <c r="CJY20" s="127"/>
      <c r="CJZ20" s="106"/>
      <c r="CKA20" s="107"/>
      <c r="CKB20" s="128">
        <f>SUM(CKB12:CKB19)</f>
        <v>1000</v>
      </c>
      <c r="CKC20" s="109">
        <f t="shared" si="182"/>
        <v>35000</v>
      </c>
      <c r="CKD20" s="110"/>
      <c r="CKE20" s="108"/>
      <c r="CKH20" s="126"/>
      <c r="CKI20" s="126"/>
      <c r="CKJ20" s="126"/>
      <c r="CKK20" s="127"/>
      <c r="CKL20" s="106"/>
      <c r="CKM20" s="107"/>
      <c r="CKN20" s="128">
        <f>SUM(CKN12:CKN19)</f>
        <v>1000</v>
      </c>
      <c r="CKO20" s="109">
        <f t="shared" si="183"/>
        <v>35000</v>
      </c>
      <c r="CKP20" s="110"/>
      <c r="CKQ20" s="108"/>
      <c r="CKT20" s="126"/>
      <c r="CKU20" s="126"/>
      <c r="CKV20" s="126"/>
      <c r="CKW20" s="127"/>
      <c r="CKX20" s="106"/>
      <c r="CKY20" s="107"/>
      <c r="CKZ20" s="128">
        <f>SUM(CKZ12:CKZ19)</f>
        <v>1000</v>
      </c>
      <c r="CLA20" s="109">
        <f t="shared" si="184"/>
        <v>35000</v>
      </c>
      <c r="CLB20" s="110"/>
      <c r="CLC20" s="108"/>
      <c r="CLF20" s="126"/>
      <c r="CLG20" s="126"/>
      <c r="CLH20" s="126"/>
      <c r="CLI20" s="127"/>
      <c r="CLJ20" s="106"/>
      <c r="CLK20" s="107"/>
      <c r="CLL20" s="128">
        <f>SUM(CLL12:CLL19)</f>
        <v>1000</v>
      </c>
      <c r="CLM20" s="109">
        <f t="shared" si="185"/>
        <v>35000</v>
      </c>
      <c r="CLN20" s="110"/>
      <c r="CLO20" s="108"/>
      <c r="CLR20" s="126"/>
      <c r="CLS20" s="126"/>
      <c r="CLT20" s="126"/>
      <c r="CLU20" s="127"/>
      <c r="CLV20" s="106"/>
      <c r="CLW20" s="107"/>
      <c r="CLX20" s="128">
        <f>SUM(CLX12:CLX19)</f>
        <v>1000</v>
      </c>
      <c r="CLY20" s="109">
        <f t="shared" si="186"/>
        <v>35000</v>
      </c>
      <c r="CLZ20" s="110"/>
      <c r="CMA20" s="108"/>
      <c r="CMD20" s="126"/>
      <c r="CME20" s="126"/>
      <c r="CMF20" s="126"/>
      <c r="CMG20" s="127"/>
      <c r="CMH20" s="106"/>
      <c r="CMI20" s="107"/>
      <c r="CMJ20" s="128">
        <f>SUM(CMJ12:CMJ19)</f>
        <v>1000</v>
      </c>
      <c r="CMK20" s="109">
        <f t="shared" si="187"/>
        <v>35000</v>
      </c>
      <c r="CML20" s="110"/>
      <c r="CMM20" s="108"/>
      <c r="CMP20" s="126"/>
      <c r="CMQ20" s="126"/>
      <c r="CMR20" s="126"/>
      <c r="CMS20" s="127"/>
      <c r="CMT20" s="106"/>
      <c r="CMU20" s="107"/>
      <c r="CMV20" s="128">
        <f>SUM(CMV12:CMV19)</f>
        <v>1000</v>
      </c>
      <c r="CMW20" s="109">
        <f t="shared" si="188"/>
        <v>35000</v>
      </c>
      <c r="CMX20" s="110"/>
      <c r="CMY20" s="108"/>
      <c r="CNB20" s="126"/>
      <c r="CNC20" s="126"/>
      <c r="CND20" s="126"/>
      <c r="CNE20" s="127"/>
      <c r="CNF20" s="106"/>
      <c r="CNG20" s="107"/>
      <c r="CNH20" s="128">
        <f>SUM(CNH12:CNH19)</f>
        <v>1000</v>
      </c>
      <c r="CNI20" s="109">
        <f t="shared" si="189"/>
        <v>35000</v>
      </c>
      <c r="CNJ20" s="110"/>
      <c r="CNK20" s="108"/>
      <c r="CNN20" s="126"/>
      <c r="CNO20" s="126"/>
      <c r="CNP20" s="126"/>
      <c r="CNQ20" s="127"/>
      <c r="CNR20" s="106"/>
      <c r="CNS20" s="107"/>
      <c r="CNT20" s="128">
        <f>SUM(CNT12:CNT19)</f>
        <v>1000</v>
      </c>
      <c r="CNU20" s="109">
        <f t="shared" si="190"/>
        <v>35000</v>
      </c>
      <c r="CNV20" s="110"/>
      <c r="CNW20" s="108"/>
      <c r="CNZ20" s="126"/>
      <c r="COA20" s="126"/>
      <c r="COB20" s="126"/>
      <c r="COC20" s="127"/>
      <c r="COD20" s="106"/>
      <c r="COE20" s="107"/>
      <c r="COF20" s="128">
        <f>SUM(COF12:COF19)</f>
        <v>1000</v>
      </c>
      <c r="COG20" s="109">
        <f t="shared" si="191"/>
        <v>35000</v>
      </c>
      <c r="COH20" s="110"/>
      <c r="COI20" s="108"/>
      <c r="COL20" s="126"/>
      <c r="COM20" s="126"/>
      <c r="CON20" s="126"/>
      <c r="COO20" s="127"/>
      <c r="COP20" s="106"/>
      <c r="COQ20" s="107"/>
      <c r="COR20" s="128">
        <f>SUM(COR12:COR19)</f>
        <v>1000</v>
      </c>
      <c r="COS20" s="109">
        <f t="shared" si="194"/>
        <v>35000</v>
      </c>
      <c r="COT20" s="110"/>
      <c r="COU20" s="108"/>
      <c r="COX20" s="126"/>
      <c r="COY20" s="126"/>
      <c r="COZ20" s="126"/>
      <c r="CPA20" s="127"/>
      <c r="CPB20" s="106"/>
      <c r="CPC20" s="107"/>
      <c r="CPD20" s="128">
        <f>SUM(CPD12:CPD19)</f>
        <v>1000</v>
      </c>
      <c r="CPE20" s="109">
        <f>SUM(CPE12:CPF19)</f>
        <v>35000</v>
      </c>
      <c r="CPF20" s="110"/>
      <c r="CPG20" s="108"/>
      <c r="CPJ20" s="126"/>
      <c r="CPK20" s="126"/>
      <c r="CPL20" s="126"/>
      <c r="CPM20" s="127"/>
      <c r="CPN20" s="106"/>
      <c r="CPO20" s="107"/>
      <c r="CPP20" s="128">
        <f>SUM(CPP12:CPP19)</f>
        <v>1000</v>
      </c>
      <c r="CPQ20" s="109">
        <f>SUM(CPQ12:CPR19)</f>
        <v>35000</v>
      </c>
      <c r="CPR20" s="110"/>
      <c r="CPS20" s="108"/>
      <c r="CPV20" s="126"/>
      <c r="CPW20" s="126"/>
      <c r="CPX20" s="126"/>
      <c r="CPY20" s="127"/>
      <c r="CPZ20" s="106"/>
      <c r="CQA20" s="107"/>
      <c r="CQB20" s="128">
        <f>SUM(CQB12:CQB19)</f>
        <v>1000</v>
      </c>
      <c r="CQC20" s="109">
        <f>SUM(CQC12:CQD19)</f>
        <v>35000</v>
      </c>
      <c r="CQD20" s="110"/>
      <c r="CQE20" s="108"/>
      <c r="CQH20" s="126"/>
      <c r="CQI20" s="126"/>
      <c r="CQJ20" s="126"/>
      <c r="CQK20" s="127"/>
      <c r="CQL20" s="106"/>
      <c r="CQM20" s="107"/>
      <c r="CQN20" s="128">
        <f>SUM(CQN12:CQN19)</f>
        <v>1000</v>
      </c>
      <c r="CQO20" s="109">
        <f>SUM(CQO12:CQP19)</f>
        <v>35000</v>
      </c>
      <c r="CQP20" s="110"/>
      <c r="CQQ20" s="108"/>
      <c r="CQT20" s="126"/>
      <c r="CQU20" s="126"/>
      <c r="CQV20" s="126"/>
      <c r="CQW20" s="127"/>
      <c r="CQX20" s="106"/>
      <c r="CQY20" s="107"/>
      <c r="CQZ20" s="128">
        <f>SUM(CQZ12:CQZ19)</f>
        <v>1000</v>
      </c>
      <c r="CRA20" s="109">
        <f>SUM(CRA12:CRB19)</f>
        <v>35000</v>
      </c>
      <c r="CRB20" s="110"/>
      <c r="CRC20" s="108"/>
      <c r="CRF20" s="126"/>
      <c r="CRG20" s="126"/>
      <c r="CRH20" s="126"/>
      <c r="CRI20" s="127"/>
      <c r="CRJ20" s="106"/>
      <c r="CRK20" s="107"/>
      <c r="CRL20" s="128">
        <f>SUM(CRL12:CRL19)</f>
        <v>1000</v>
      </c>
      <c r="CRM20" s="109">
        <f>SUM(CRM12:CRN19)</f>
        <v>35000</v>
      </c>
      <c r="CRN20" s="110"/>
      <c r="CRO20" s="108"/>
      <c r="CRR20" s="126"/>
      <c r="CRS20" s="126"/>
      <c r="CRT20" s="126"/>
      <c r="CRU20" s="127"/>
      <c r="CRV20" s="106"/>
      <c r="CRW20" s="107"/>
      <c r="CRX20" s="128">
        <f>SUM(CRX12:CRX19)</f>
        <v>1000</v>
      </c>
      <c r="CRY20" s="109">
        <f>SUM(CRY12:CRZ19)</f>
        <v>35000</v>
      </c>
      <c r="CRZ20" s="110"/>
      <c r="CSA20" s="108"/>
      <c r="CSD20" s="126"/>
      <c r="CSE20" s="126"/>
      <c r="CSF20" s="126"/>
      <c r="CSG20" s="127"/>
      <c r="CSH20" s="106"/>
      <c r="CSI20" s="107"/>
      <c r="CSJ20" s="128">
        <f>SUM(CSJ12:CSJ19)</f>
        <v>1000</v>
      </c>
      <c r="CSK20" s="109">
        <f>SUM(CSK12:CSL19)</f>
        <v>35000</v>
      </c>
      <c r="CSL20" s="110"/>
      <c r="CSM20" s="108"/>
      <c r="CSP20" s="126"/>
      <c r="CSQ20" s="126"/>
      <c r="CSR20" s="126"/>
      <c r="CSS20" s="127"/>
      <c r="CST20" s="106"/>
      <c r="CSU20" s="107"/>
      <c r="CSV20" s="128">
        <f>SUM(CSV12:CSV19)</f>
        <v>1000</v>
      </c>
      <c r="CSW20" s="109">
        <f>SUM(CSW12:CSX19)</f>
        <v>35000</v>
      </c>
      <c r="CSX20" s="110"/>
      <c r="CSY20" s="108"/>
      <c r="CTB20" s="126"/>
      <c r="CTC20" s="126"/>
      <c r="CTD20" s="126"/>
      <c r="CTE20" s="127"/>
      <c r="CTF20" s="106"/>
      <c r="CTG20" s="107"/>
      <c r="CTH20" s="128">
        <f>SUM(CTH12:CTH19)</f>
        <v>1000</v>
      </c>
      <c r="CTI20" s="109">
        <f>SUM(CTI12:CTJ19)</f>
        <v>35000</v>
      </c>
      <c r="CTJ20" s="110"/>
      <c r="CTK20" s="108"/>
      <c r="CTN20" s="126"/>
      <c r="CTO20" s="126"/>
      <c r="CTP20" s="126"/>
      <c r="CTQ20" s="127"/>
      <c r="CTR20" s="106"/>
      <c r="CTS20" s="107"/>
      <c r="CTT20" s="128">
        <f>SUM(CTT12:CTT19)</f>
        <v>1000</v>
      </c>
      <c r="CTU20" s="109">
        <f>SUM(CTU12:CTV19)</f>
        <v>35000</v>
      </c>
      <c r="CTV20" s="110"/>
      <c r="CTW20" s="108"/>
      <c r="CTZ20" s="126"/>
      <c r="CUA20" s="126"/>
      <c r="CUB20" s="126"/>
      <c r="CUC20" s="127"/>
      <c r="CUD20" s="106"/>
      <c r="CUE20" s="107"/>
      <c r="CUF20" s="128">
        <f>SUM(CUF12:CUF19)</f>
        <v>1000</v>
      </c>
      <c r="CUG20" s="109">
        <f>SUM(CUG12:CUH19)</f>
        <v>35000</v>
      </c>
      <c r="CUH20" s="110"/>
      <c r="CUI20" s="108"/>
      <c r="CUL20" s="126"/>
      <c r="CUM20" s="126"/>
      <c r="CUN20" s="126"/>
      <c r="CUO20" s="127"/>
      <c r="CUP20" s="106"/>
      <c r="CUQ20" s="107"/>
      <c r="CUR20" s="128">
        <f>SUM(CUR12:CUR19)</f>
        <v>1000</v>
      </c>
      <c r="CUS20" s="109">
        <f>SUM(CUS12:CUT19)</f>
        <v>35000</v>
      </c>
      <c r="CUT20" s="110"/>
      <c r="CUU20" s="108"/>
      <c r="CUX20" s="126"/>
      <c r="CUY20" s="126"/>
      <c r="CUZ20" s="126"/>
      <c r="CVA20" s="127"/>
      <c r="CVB20" s="106"/>
      <c r="CVC20" s="107"/>
      <c r="CVD20" s="128">
        <f>SUM(CVD12:CVD19)</f>
        <v>1000</v>
      </c>
      <c r="CVE20" s="109">
        <f>SUM(CVE12:CVF19)</f>
        <v>35000</v>
      </c>
      <c r="CVF20" s="110"/>
      <c r="CVG20" s="108"/>
      <c r="CVJ20" s="126"/>
      <c r="CVK20" s="126"/>
      <c r="CVL20" s="126"/>
      <c r="CVM20" s="127"/>
      <c r="CVN20" s="106"/>
      <c r="CVO20" s="107"/>
      <c r="CVP20" s="128">
        <f>SUM(CVP12:CVP19)</f>
        <v>1000</v>
      </c>
      <c r="CVQ20" s="109">
        <f>SUM(CVQ12:CVR19)</f>
        <v>35000</v>
      </c>
      <c r="CVR20" s="110"/>
      <c r="CVS20" s="108"/>
      <c r="CVV20" s="126"/>
      <c r="CVW20" s="126"/>
      <c r="CVX20" s="126"/>
      <c r="CVY20" s="127"/>
      <c r="CVZ20" s="106"/>
      <c r="CWA20" s="107"/>
      <c r="CWB20" s="128">
        <f>IF(SUM(CWB12:CWB19)=0,"",SUM(CWB12:CWB19))</f>
        <v>1000</v>
      </c>
      <c r="CWC20" s="109">
        <f>IF(SUM(CWC12:CWC19)=0,"",SUM(CWC12:CWC19))</f>
        <v>140000</v>
      </c>
      <c r="CWD20" s="110"/>
      <c r="CWE20" s="108" t="str">
        <f>IF(CWC20=CWD7,"OK","REV")</f>
        <v>OK</v>
      </c>
    </row>
    <row r="21" spans="1:1023 1026:2631" x14ac:dyDescent="0.25">
      <c r="A21" s="88"/>
      <c r="B21" s="131"/>
      <c r="C21" s="132"/>
      <c r="D21" s="133"/>
      <c r="E21" s="134"/>
      <c r="F21" s="135">
        <f>E21*$L$7</f>
        <v>0</v>
      </c>
      <c r="H21" s="94"/>
      <c r="I21" s="94"/>
      <c r="J21" s="94"/>
      <c r="K21" s="95"/>
      <c r="L21" s="95"/>
      <c r="O21" s="88"/>
      <c r="P21" s="131"/>
      <c r="Q21" s="132"/>
      <c r="R21" s="133"/>
      <c r="S21" s="134"/>
      <c r="T21" s="93">
        <f t="shared" si="210"/>
        <v>0</v>
      </c>
      <c r="V21" s="94"/>
      <c r="W21" s="94"/>
      <c r="X21" s="94"/>
      <c r="Y21" s="95"/>
      <c r="Z21" s="95"/>
      <c r="AC21" s="88"/>
      <c r="AD21" s="131"/>
      <c r="AE21" s="132"/>
      <c r="AF21" s="133"/>
      <c r="AG21" s="134"/>
      <c r="AH21" s="93">
        <f t="shared" si="1"/>
        <v>0</v>
      </c>
      <c r="AJ21" s="94"/>
      <c r="AK21" s="94"/>
      <c r="AL21" s="94"/>
      <c r="AM21" s="95"/>
      <c r="AN21" s="95"/>
      <c r="AQ21" s="88"/>
      <c r="AR21" s="131"/>
      <c r="AS21" s="132"/>
      <c r="AT21" s="133"/>
      <c r="AU21" s="134"/>
      <c r="AV21" s="93">
        <f t="shared" si="2"/>
        <v>0</v>
      </c>
      <c r="AX21" s="94"/>
      <c r="AY21" s="94"/>
      <c r="AZ21" s="94"/>
      <c r="BA21" s="95"/>
      <c r="BB21" s="95"/>
      <c r="BE21" s="88"/>
      <c r="BF21" s="131"/>
      <c r="BG21" s="132"/>
      <c r="BH21" s="133"/>
      <c r="BI21" s="134"/>
      <c r="BJ21" s="93">
        <f t="shared" si="3"/>
        <v>0</v>
      </c>
      <c r="BL21" s="94"/>
      <c r="BM21" s="94"/>
      <c r="BN21" s="94"/>
      <c r="BO21" s="95"/>
      <c r="BP21" s="95"/>
      <c r="BS21" s="88"/>
      <c r="BT21" s="131"/>
      <c r="BU21" s="132"/>
      <c r="BV21" s="133"/>
      <c r="BW21" s="134"/>
      <c r="BX21" s="93">
        <f t="shared" si="4"/>
        <v>0</v>
      </c>
      <c r="BZ21" s="94"/>
      <c r="CA21" s="94"/>
      <c r="CB21" s="94"/>
      <c r="CC21" s="95"/>
      <c r="CD21" s="95"/>
      <c r="CG21" s="88"/>
      <c r="CH21" s="131"/>
      <c r="CI21" s="132"/>
      <c r="CJ21" s="133"/>
      <c r="CK21" s="134"/>
      <c r="CL21" s="93">
        <f t="shared" si="5"/>
        <v>0</v>
      </c>
      <c r="CN21" s="94"/>
      <c r="CO21" s="94"/>
      <c r="CP21" s="94"/>
      <c r="CQ21" s="95"/>
      <c r="CR21" s="95"/>
      <c r="CU21" s="88"/>
      <c r="CV21" s="131"/>
      <c r="CW21" s="132"/>
      <c r="CX21" s="133"/>
      <c r="CY21" s="134"/>
      <c r="CZ21" s="93">
        <f t="shared" si="6"/>
        <v>0</v>
      </c>
      <c r="DB21" s="94"/>
      <c r="DC21" s="94"/>
      <c r="DD21" s="94"/>
      <c r="DE21" s="95"/>
      <c r="DF21" s="95"/>
      <c r="DI21" s="88"/>
      <c r="DJ21" s="131"/>
      <c r="DK21" s="132"/>
      <c r="DL21" s="133"/>
      <c r="DM21" s="134"/>
      <c r="DN21" s="93">
        <f t="shared" si="7"/>
        <v>0</v>
      </c>
      <c r="DP21" s="94"/>
      <c r="DQ21" s="94"/>
      <c r="DR21" s="94"/>
      <c r="DS21" s="95"/>
      <c r="DT21" s="95"/>
      <c r="DW21" s="88"/>
      <c r="DX21" s="131"/>
      <c r="DY21" s="132"/>
      <c r="DZ21" s="133"/>
      <c r="EA21" s="134"/>
      <c r="EB21" s="93">
        <f t="shared" si="8"/>
        <v>0</v>
      </c>
      <c r="ED21" s="94"/>
      <c r="EE21" s="94"/>
      <c r="EF21" s="94"/>
      <c r="EG21" s="95"/>
      <c r="EH21" s="95"/>
      <c r="EK21" s="88"/>
      <c r="EL21" s="131"/>
      <c r="EM21" s="132"/>
      <c r="EN21" s="133"/>
      <c r="EO21" s="134"/>
      <c r="EP21" s="93">
        <f t="shared" si="9"/>
        <v>0</v>
      </c>
      <c r="ER21" s="94"/>
      <c r="ES21" s="94"/>
      <c r="ET21" s="94"/>
      <c r="EU21" s="95"/>
      <c r="EV21" s="95"/>
      <c r="EY21" s="88"/>
      <c r="EZ21" s="131"/>
      <c r="FA21" s="132"/>
      <c r="FB21" s="133"/>
      <c r="FC21" s="134"/>
      <c r="FD21" s="93">
        <f t="shared" si="10"/>
        <v>0</v>
      </c>
      <c r="FF21" s="94"/>
      <c r="FG21" s="94"/>
      <c r="FH21" s="94"/>
      <c r="FI21" s="95"/>
      <c r="FJ21" s="95"/>
      <c r="FM21" s="88"/>
      <c r="FN21" s="131"/>
      <c r="FO21" s="132"/>
      <c r="FP21" s="133"/>
      <c r="FQ21" s="134"/>
      <c r="FR21" s="93">
        <f t="shared" si="11"/>
        <v>0</v>
      </c>
      <c r="FT21" s="94"/>
      <c r="FU21" s="94"/>
      <c r="FV21" s="94"/>
      <c r="FW21" s="95"/>
      <c r="FX21" s="95"/>
      <c r="GA21" s="88"/>
      <c r="GB21" s="131"/>
      <c r="GC21" s="132"/>
      <c r="GD21" s="133"/>
      <c r="GE21" s="134"/>
      <c r="GF21" s="93">
        <f t="shared" si="12"/>
        <v>0</v>
      </c>
      <c r="GH21" s="94"/>
      <c r="GI21" s="94"/>
      <c r="GJ21" s="94"/>
      <c r="GK21" s="95"/>
      <c r="GL21" s="95"/>
      <c r="GO21" s="88"/>
      <c r="GP21" s="131"/>
      <c r="GQ21" s="132"/>
      <c r="GR21" s="133"/>
      <c r="GS21" s="134"/>
      <c r="GT21" s="93">
        <f t="shared" si="13"/>
        <v>0</v>
      </c>
      <c r="GV21" s="94"/>
      <c r="GW21" s="94"/>
      <c r="GX21" s="94"/>
      <c r="GY21" s="95"/>
      <c r="GZ21" s="95"/>
      <c r="HC21" s="88"/>
      <c r="HD21" s="131"/>
      <c r="HE21" s="132"/>
      <c r="HF21" s="133"/>
      <c r="HG21" s="134"/>
      <c r="HH21" s="93">
        <f t="shared" si="14"/>
        <v>0</v>
      </c>
      <c r="HJ21" s="94"/>
      <c r="HK21" s="94"/>
      <c r="HL21" s="94"/>
      <c r="HM21" s="95"/>
      <c r="HN21" s="95"/>
      <c r="HQ21" s="88"/>
      <c r="HR21" s="131"/>
      <c r="HS21" s="132"/>
      <c r="HT21" s="133"/>
      <c r="HU21" s="134"/>
      <c r="HV21" s="93">
        <f t="shared" si="15"/>
        <v>0</v>
      </c>
      <c r="HX21" s="94"/>
      <c r="HY21" s="94"/>
      <c r="HZ21" s="94"/>
      <c r="IA21" s="95"/>
      <c r="IB21" s="95"/>
      <c r="IE21" s="88"/>
      <c r="IF21" s="131"/>
      <c r="IG21" s="132"/>
      <c r="IH21" s="133"/>
      <c r="II21" s="134"/>
      <c r="IJ21" s="93">
        <f t="shared" si="16"/>
        <v>0</v>
      </c>
      <c r="IL21" s="94"/>
      <c r="IM21" s="94"/>
      <c r="IN21" s="94"/>
      <c r="IO21" s="95"/>
      <c r="IP21" s="95"/>
      <c r="IS21" s="88"/>
      <c r="IT21" s="131"/>
      <c r="IU21" s="132"/>
      <c r="IV21" s="133"/>
      <c r="IW21" s="134"/>
      <c r="IX21" s="93">
        <f t="shared" si="17"/>
        <v>0</v>
      </c>
      <c r="IZ21" s="94"/>
      <c r="JA21" s="94"/>
      <c r="JB21" s="94"/>
      <c r="JC21" s="95"/>
      <c r="JD21" s="95"/>
      <c r="JG21" s="88"/>
      <c r="JH21" s="131"/>
      <c r="JI21" s="132"/>
      <c r="JJ21" s="133"/>
      <c r="JK21" s="134"/>
      <c r="JL21" s="93">
        <f t="shared" si="18"/>
        <v>0</v>
      </c>
      <c r="JN21" s="94"/>
      <c r="JO21" s="94"/>
      <c r="JP21" s="94"/>
      <c r="JQ21" s="95"/>
      <c r="JR21" s="95"/>
      <c r="JU21" s="88"/>
      <c r="JV21" s="131"/>
      <c r="JW21" s="132"/>
      <c r="JX21" s="133"/>
      <c r="JY21" s="134"/>
      <c r="JZ21" s="93">
        <f t="shared" si="19"/>
        <v>0</v>
      </c>
      <c r="KB21" s="94"/>
      <c r="KC21" s="94"/>
      <c r="KD21" s="94"/>
      <c r="KE21" s="95"/>
      <c r="KF21" s="95"/>
      <c r="KI21" s="88"/>
      <c r="KJ21" s="131"/>
      <c r="KK21" s="132"/>
      <c r="KL21" s="133"/>
      <c r="KM21" s="134"/>
      <c r="KN21" s="93">
        <f t="shared" si="20"/>
        <v>0</v>
      </c>
      <c r="KP21" s="94"/>
      <c r="KQ21" s="94"/>
      <c r="KR21" s="94"/>
      <c r="KS21" s="95"/>
      <c r="KT21" s="95"/>
      <c r="KW21" s="116"/>
      <c r="KX21" s="131"/>
      <c r="KY21" s="132"/>
      <c r="KZ21" s="133"/>
      <c r="LA21" s="134"/>
      <c r="LB21" s="93">
        <f t="shared" si="21"/>
        <v>0</v>
      </c>
      <c r="LD21" s="94"/>
      <c r="LE21" s="94"/>
      <c r="LF21" s="94"/>
      <c r="LG21" s="95"/>
      <c r="LH21" s="95"/>
      <c r="LK21" s="116"/>
      <c r="LL21" s="131"/>
      <c r="LM21" s="132"/>
      <c r="LN21" s="133"/>
      <c r="LO21" s="134"/>
      <c r="LP21" s="93">
        <f t="shared" si="22"/>
        <v>0</v>
      </c>
      <c r="LR21" s="94"/>
      <c r="LS21" s="94"/>
      <c r="LT21" s="94"/>
      <c r="LU21" s="95"/>
      <c r="LV21" s="95"/>
      <c r="LY21" s="116"/>
      <c r="LZ21" s="131"/>
      <c r="MA21" s="132"/>
      <c r="MB21" s="133"/>
      <c r="MC21" s="134"/>
      <c r="MD21" s="93">
        <f t="shared" si="23"/>
        <v>0</v>
      </c>
      <c r="MF21" s="94"/>
      <c r="MG21" s="94"/>
      <c r="MH21" s="94"/>
      <c r="MI21" s="95"/>
      <c r="MJ21" s="95"/>
      <c r="MM21" s="116"/>
      <c r="MN21" s="131"/>
      <c r="MO21" s="132"/>
      <c r="MP21" s="133"/>
      <c r="MQ21" s="134"/>
      <c r="MR21" s="93">
        <f t="shared" si="24"/>
        <v>0</v>
      </c>
      <c r="MT21" s="94"/>
      <c r="MU21" s="94"/>
      <c r="MV21" s="94"/>
      <c r="MW21" s="95"/>
      <c r="MX21" s="95"/>
      <c r="NA21" s="116"/>
      <c r="NB21" s="131"/>
      <c r="NC21" s="132"/>
      <c r="ND21" s="133"/>
      <c r="NE21" s="134"/>
      <c r="NF21" s="93">
        <f t="shared" si="25"/>
        <v>0</v>
      </c>
      <c r="NH21" s="94"/>
      <c r="NI21" s="94"/>
      <c r="NJ21" s="94"/>
      <c r="NK21" s="95"/>
      <c r="NL21" s="95"/>
      <c r="NO21" s="116"/>
      <c r="NP21" s="131"/>
      <c r="NQ21" s="132"/>
      <c r="NR21" s="133"/>
      <c r="NS21" s="134"/>
      <c r="NT21" s="93">
        <f t="shared" si="26"/>
        <v>0</v>
      </c>
      <c r="NV21" s="94"/>
      <c r="NW21" s="94"/>
      <c r="NX21" s="94"/>
      <c r="NY21" s="95"/>
      <c r="NZ21" s="95"/>
      <c r="OC21" s="116"/>
      <c r="OD21" s="131"/>
      <c r="OE21" s="132"/>
      <c r="OF21" s="133"/>
      <c r="OG21" s="134"/>
      <c r="OH21" s="93">
        <f t="shared" si="27"/>
        <v>0</v>
      </c>
      <c r="OJ21" s="94"/>
      <c r="OK21" s="94"/>
      <c r="OL21" s="94"/>
      <c r="OM21" s="95"/>
      <c r="ON21" s="95"/>
      <c r="OQ21" s="116"/>
      <c r="OR21" s="131"/>
      <c r="OS21" s="132"/>
      <c r="OT21" s="133"/>
      <c r="OU21" s="134"/>
      <c r="OV21" s="93">
        <f t="shared" si="28"/>
        <v>0</v>
      </c>
      <c r="OX21" s="94"/>
      <c r="OY21" s="94"/>
      <c r="OZ21" s="94"/>
      <c r="PA21" s="95"/>
      <c r="PB21" s="95"/>
      <c r="PE21" s="116"/>
      <c r="PF21" s="131"/>
      <c r="PG21" s="132"/>
      <c r="PH21" s="133"/>
      <c r="PI21" s="134"/>
      <c r="PJ21" s="93">
        <f t="shared" si="29"/>
        <v>0</v>
      </c>
      <c r="PL21" s="94"/>
      <c r="PM21" s="94"/>
      <c r="PN21" s="94"/>
      <c r="PO21" s="95"/>
      <c r="PP21" s="95"/>
      <c r="PS21" s="116"/>
      <c r="PT21" s="131"/>
      <c r="PU21" s="132"/>
      <c r="PV21" s="133"/>
      <c r="PW21" s="134"/>
      <c r="PX21" s="93">
        <f t="shared" si="30"/>
        <v>0</v>
      </c>
      <c r="PZ21" s="94"/>
      <c r="QA21" s="94"/>
      <c r="QB21" s="94"/>
      <c r="QC21" s="95"/>
      <c r="QD21" s="95"/>
      <c r="QG21" s="116"/>
      <c r="QH21" s="131"/>
      <c r="QI21" s="132"/>
      <c r="QJ21" s="133"/>
      <c r="QK21" s="134"/>
      <c r="QL21" s="93">
        <f t="shared" si="31"/>
        <v>0</v>
      </c>
      <c r="QN21" s="94"/>
      <c r="QO21" s="94"/>
      <c r="QP21" s="94"/>
      <c r="QQ21" s="95"/>
      <c r="QR21" s="95"/>
      <c r="QU21" s="116"/>
      <c r="QV21" s="131"/>
      <c r="QW21" s="132"/>
      <c r="QX21" s="133"/>
      <c r="QY21" s="134"/>
      <c r="QZ21" s="93">
        <f t="shared" si="32"/>
        <v>0</v>
      </c>
      <c r="RB21" s="94"/>
      <c r="RC21" s="94"/>
      <c r="RD21" s="94"/>
      <c r="RE21" s="95"/>
      <c r="RF21" s="95"/>
      <c r="RI21" s="116"/>
      <c r="RJ21" s="131"/>
      <c r="RK21" s="132"/>
      <c r="RL21" s="133"/>
      <c r="RM21" s="134"/>
      <c r="RN21" s="93">
        <f t="shared" si="33"/>
        <v>0</v>
      </c>
      <c r="RP21" s="94"/>
      <c r="RQ21" s="94"/>
      <c r="RR21" s="94"/>
      <c r="RS21" s="95"/>
      <c r="RT21" s="95"/>
      <c r="RW21" s="116"/>
      <c r="RX21" s="131"/>
      <c r="RY21" s="132"/>
      <c r="RZ21" s="133"/>
      <c r="SA21" s="134"/>
      <c r="SB21" s="93">
        <f t="shared" si="34"/>
        <v>0</v>
      </c>
      <c r="SD21" s="94"/>
      <c r="SE21" s="94"/>
      <c r="SF21" s="94"/>
      <c r="SG21" s="95"/>
      <c r="SH21" s="95"/>
      <c r="SK21" s="116"/>
      <c r="SL21" s="131"/>
      <c r="SM21" s="132"/>
      <c r="SN21" s="133"/>
      <c r="SO21" s="134"/>
      <c r="SP21" s="93">
        <f t="shared" si="35"/>
        <v>0</v>
      </c>
      <c r="SR21" s="94"/>
      <c r="SS21" s="94"/>
      <c r="ST21" s="94"/>
      <c r="SU21" s="95"/>
      <c r="SV21" s="95"/>
      <c r="SY21" s="116"/>
      <c r="SZ21" s="131"/>
      <c r="TA21" s="132"/>
      <c r="TB21" s="133"/>
      <c r="TC21" s="134"/>
      <c r="TD21" s="93">
        <f t="shared" si="36"/>
        <v>0</v>
      </c>
      <c r="TF21" s="94"/>
      <c r="TG21" s="94"/>
      <c r="TH21" s="94"/>
      <c r="TI21" s="95"/>
      <c r="TJ21" s="95"/>
      <c r="TM21" s="116"/>
      <c r="TN21" s="131"/>
      <c r="TO21" s="132"/>
      <c r="TP21" s="133"/>
      <c r="TQ21" s="134"/>
      <c r="TR21" s="93">
        <f t="shared" si="37"/>
        <v>0</v>
      </c>
      <c r="TT21" s="94"/>
      <c r="TU21" s="94"/>
      <c r="TV21" s="94"/>
      <c r="TW21" s="95"/>
      <c r="TX21" s="95"/>
      <c r="UA21" s="116"/>
      <c r="UB21" s="131"/>
      <c r="UC21" s="132"/>
      <c r="UD21" s="133"/>
      <c r="UE21" s="134"/>
      <c r="UF21" s="93">
        <f t="shared" si="38"/>
        <v>0</v>
      </c>
      <c r="UH21" s="94"/>
      <c r="UI21" s="94"/>
      <c r="UJ21" s="94"/>
      <c r="UK21" s="95"/>
      <c r="UL21" s="95"/>
      <c r="UO21" s="116"/>
      <c r="UP21" s="131"/>
      <c r="UQ21" s="132"/>
      <c r="UR21" s="133"/>
      <c r="US21" s="134"/>
      <c r="UT21" s="93">
        <f t="shared" si="39"/>
        <v>0</v>
      </c>
      <c r="UV21" s="94"/>
      <c r="UW21" s="94"/>
      <c r="UX21" s="94"/>
      <c r="UY21" s="95"/>
      <c r="UZ21" s="95"/>
      <c r="VC21" s="116"/>
      <c r="VD21" s="131"/>
      <c r="VE21" s="132"/>
      <c r="VF21" s="133"/>
      <c r="VG21" s="134"/>
      <c r="VH21" s="93">
        <f t="shared" si="40"/>
        <v>0</v>
      </c>
      <c r="VJ21" s="94"/>
      <c r="VK21" s="94"/>
      <c r="VL21" s="94"/>
      <c r="VM21" s="95"/>
      <c r="VN21" s="95"/>
      <c r="VQ21" s="116"/>
      <c r="VR21" s="131"/>
      <c r="VS21" s="132"/>
      <c r="VT21" s="133"/>
      <c r="VU21" s="134"/>
      <c r="VV21" s="93">
        <f t="shared" si="41"/>
        <v>0</v>
      </c>
      <c r="VX21" s="94"/>
      <c r="VY21" s="94"/>
      <c r="VZ21" s="94"/>
      <c r="WA21" s="95"/>
      <c r="WB21" s="95"/>
      <c r="WE21" s="116"/>
      <c r="WF21" s="131"/>
      <c r="WG21" s="132"/>
      <c r="WH21" s="133"/>
      <c r="WI21" s="134"/>
      <c r="WJ21" s="93">
        <f t="shared" si="42"/>
        <v>0</v>
      </c>
      <c r="WL21" s="94"/>
      <c r="WM21" s="94"/>
      <c r="WN21" s="94"/>
      <c r="WO21" s="95"/>
      <c r="WP21" s="95"/>
      <c r="WS21" s="116"/>
      <c r="WT21" s="131"/>
      <c r="WU21" s="132"/>
      <c r="WV21" s="133"/>
      <c r="WW21" s="134"/>
      <c r="WX21" s="93">
        <f t="shared" si="43"/>
        <v>0</v>
      </c>
      <c r="WZ21" s="94"/>
      <c r="XA21" s="94"/>
      <c r="XB21" s="94"/>
      <c r="XC21" s="95"/>
      <c r="XD21" s="95"/>
      <c r="XG21" s="116"/>
      <c r="XH21" s="131"/>
      <c r="XI21" s="132"/>
      <c r="XJ21" s="133"/>
      <c r="XK21" s="134"/>
      <c r="XL21" s="93">
        <f t="shared" si="44"/>
        <v>0</v>
      </c>
      <c r="XN21" s="94"/>
      <c r="XO21" s="94"/>
      <c r="XP21" s="94"/>
      <c r="XQ21" s="95"/>
      <c r="XR21" s="95"/>
      <c r="XU21" s="116"/>
      <c r="XV21" s="131"/>
      <c r="XW21" s="132"/>
      <c r="XX21" s="133"/>
      <c r="XY21" s="134"/>
      <c r="XZ21" s="93">
        <f t="shared" si="45"/>
        <v>0</v>
      </c>
      <c r="YB21" s="94"/>
      <c r="YC21" s="94"/>
      <c r="YD21" s="94"/>
      <c r="YE21" s="95"/>
      <c r="YF21" s="95"/>
      <c r="YI21" s="116"/>
      <c r="YJ21" s="131"/>
      <c r="YK21" s="132"/>
      <c r="YL21" s="133"/>
      <c r="YM21" s="134"/>
      <c r="YN21" s="93">
        <f t="shared" si="46"/>
        <v>0</v>
      </c>
      <c r="YP21" s="94"/>
      <c r="YQ21" s="94"/>
      <c r="YR21" s="94"/>
      <c r="YS21" s="95"/>
      <c r="YT21" s="95"/>
      <c r="YW21" s="116"/>
      <c r="YX21" s="131"/>
      <c r="YY21" s="132"/>
      <c r="YZ21" s="133"/>
      <c r="ZA21" s="134"/>
      <c r="ZB21" s="93"/>
      <c r="ZD21" s="94"/>
      <c r="ZE21" s="94"/>
      <c r="ZF21" s="94"/>
      <c r="ZG21" s="95"/>
      <c r="ZH21" s="95"/>
      <c r="ZK21" s="116"/>
      <c r="ZL21" s="131"/>
      <c r="ZM21" s="132"/>
      <c r="ZN21" s="133"/>
      <c r="ZO21" s="134"/>
      <c r="ZP21" s="93"/>
      <c r="ZR21" s="94"/>
      <c r="ZS21" s="94"/>
      <c r="ZT21" s="94"/>
      <c r="ZU21" s="95"/>
      <c r="ZV21" s="95"/>
      <c r="ZZ21" s="8"/>
      <c r="AAA21" s="8"/>
      <c r="AAB21" s="8"/>
      <c r="AAC21" s="136"/>
      <c r="AAD21" s="136"/>
      <c r="AAE21" s="136"/>
      <c r="AAF21" s="137"/>
      <c r="AAG21" s="137"/>
      <c r="AAH21" s="137"/>
      <c r="AAI21" s="138"/>
      <c r="AAM21" s="8"/>
      <c r="AAN21" s="8"/>
      <c r="AAO21" s="8"/>
      <c r="AAP21" s="136"/>
      <c r="AAQ21" s="136"/>
      <c r="AAR21" s="136"/>
      <c r="AAS21" s="137"/>
      <c r="AAT21" s="137"/>
      <c r="AAU21" s="137"/>
      <c r="AAV21" s="138"/>
      <c r="AAZ21" s="8"/>
      <c r="ABA21" s="8"/>
      <c r="ABB21" s="8"/>
      <c r="ABC21" s="136"/>
      <c r="ABD21" s="136"/>
      <c r="ABE21" s="136"/>
      <c r="ABF21" s="137"/>
      <c r="ABG21" s="137"/>
      <c r="ABH21" s="137"/>
      <c r="ABI21" s="138"/>
      <c r="ABM21" s="8"/>
      <c r="ABN21" s="8"/>
      <c r="ABO21" s="8"/>
      <c r="ABP21" s="136"/>
      <c r="ABQ21" s="136"/>
      <c r="ABR21" s="136"/>
      <c r="ABS21" s="137"/>
      <c r="ABT21" s="137"/>
      <c r="ABU21" s="137"/>
      <c r="ABV21" s="138"/>
      <c r="ABZ21" s="8"/>
      <c r="ACA21" s="8"/>
      <c r="ACB21" s="8"/>
      <c r="ACC21" s="136"/>
      <c r="ACD21" s="136"/>
      <c r="ACE21" s="136"/>
      <c r="ACF21" s="137"/>
      <c r="ACG21" s="137"/>
      <c r="ACH21" s="137"/>
      <c r="ACI21" s="138"/>
      <c r="ACM21" s="8"/>
      <c r="ACN21" s="8"/>
      <c r="ACO21" s="8"/>
      <c r="ACP21" s="136"/>
      <c r="ACQ21" s="136"/>
      <c r="ACR21" s="136"/>
      <c r="ACS21" s="137"/>
      <c r="ACT21" s="137"/>
      <c r="ACU21" s="137"/>
      <c r="ACV21" s="138"/>
      <c r="ACZ21" s="8"/>
      <c r="ADA21" s="8"/>
      <c r="ADB21" s="8"/>
      <c r="ADC21" s="136"/>
      <c r="ADD21" s="136"/>
      <c r="ADE21" s="136"/>
      <c r="ADF21" s="137"/>
      <c r="ADG21" s="137"/>
      <c r="ADH21" s="137"/>
      <c r="ADI21" s="138"/>
      <c r="ADM21" s="8"/>
      <c r="ADN21" s="8"/>
      <c r="ADO21" s="8"/>
      <c r="ADP21" s="136"/>
      <c r="ADQ21" s="136"/>
      <c r="ADR21" s="136"/>
      <c r="ADS21" s="137"/>
      <c r="ADT21" s="137"/>
      <c r="ADU21" s="137"/>
      <c r="ADV21" s="138"/>
      <c r="ADZ21" s="8"/>
      <c r="AEA21" s="8"/>
      <c r="AEB21" s="8"/>
      <c r="AEC21" s="136"/>
      <c r="AED21" s="136"/>
      <c r="AEE21" s="136"/>
      <c r="AEF21" s="137"/>
      <c r="AEG21" s="137"/>
      <c r="AEH21" s="137"/>
      <c r="AEI21" s="138"/>
      <c r="AEM21" s="8"/>
      <c r="AEN21" s="8"/>
      <c r="AEO21" s="8"/>
      <c r="AEP21" s="136"/>
      <c r="AEQ21" s="136"/>
      <c r="AER21" s="136"/>
      <c r="AES21" s="137"/>
      <c r="AET21" s="137"/>
      <c r="AEU21" s="137"/>
      <c r="AEV21" s="138"/>
      <c r="AEZ21" s="8"/>
      <c r="AFA21" s="8"/>
      <c r="AFB21" s="8"/>
      <c r="AFC21" s="136"/>
      <c r="AFD21" s="136"/>
      <c r="AFE21" s="136"/>
      <c r="AFF21" s="137"/>
      <c r="AFG21" s="137"/>
      <c r="AFH21" s="137"/>
      <c r="AFI21" s="138"/>
      <c r="AFM21" s="8"/>
      <c r="AFN21" s="8"/>
      <c r="AFO21" s="8"/>
      <c r="AFP21" s="136"/>
      <c r="AFQ21" s="136"/>
      <c r="AFR21" s="136"/>
      <c r="AFS21" s="137"/>
      <c r="AFT21" s="137"/>
      <c r="AFU21" s="137"/>
      <c r="AFV21" s="138"/>
      <c r="AFZ21" s="8"/>
      <c r="AGA21" s="8"/>
      <c r="AGB21" s="8"/>
      <c r="AGC21" s="136"/>
      <c r="AGD21" s="136"/>
      <c r="AGE21" s="136"/>
      <c r="AGF21" s="137"/>
      <c r="AGG21" s="137"/>
      <c r="AGH21" s="137"/>
      <c r="AGI21" s="138"/>
      <c r="AGL21" s="8"/>
      <c r="AGM21" s="8"/>
      <c r="AGN21" s="8"/>
      <c r="AGO21" s="136"/>
      <c r="AGP21" s="136"/>
      <c r="AGQ21" s="136"/>
      <c r="AGR21" s="137"/>
      <c r="AGS21" s="137"/>
      <c r="AGT21" s="137"/>
      <c r="AGU21" s="138"/>
      <c r="AGX21" s="8"/>
      <c r="AGY21" s="8"/>
      <c r="AGZ21" s="8"/>
      <c r="AHA21" s="136"/>
      <c r="AHB21" s="136"/>
      <c r="AHC21" s="136"/>
      <c r="AHD21" s="137"/>
      <c r="AHE21" s="137"/>
      <c r="AHF21" s="137"/>
      <c r="AHG21" s="138"/>
      <c r="AHJ21" s="8"/>
      <c r="AHK21" s="8"/>
      <c r="AHL21" s="8"/>
      <c r="AHM21" s="136"/>
      <c r="AHN21" s="136"/>
      <c r="AHO21" s="136"/>
      <c r="AHP21" s="137"/>
      <c r="AHQ21" s="137"/>
      <c r="AHR21" s="137"/>
      <c r="AHS21" s="138"/>
      <c r="AHV21" s="8"/>
      <c r="AHW21" s="8"/>
      <c r="AHX21" s="8"/>
      <c r="AHY21" s="136"/>
      <c r="AHZ21" s="136"/>
      <c r="AIA21" s="136"/>
      <c r="AIB21" s="137"/>
      <c r="AIC21" s="137"/>
      <c r="AID21" s="137"/>
      <c r="AIE21" s="138"/>
      <c r="AIH21" s="8"/>
      <c r="AII21" s="8"/>
      <c r="AIJ21" s="8"/>
      <c r="AIK21" s="136"/>
      <c r="AIL21" s="136"/>
      <c r="AIM21" s="136"/>
      <c r="AIN21" s="137"/>
      <c r="AIO21" s="137"/>
      <c r="AIP21" s="137"/>
      <c r="AIQ21" s="138"/>
      <c r="AIT21" s="8"/>
      <c r="AIU21" s="8"/>
      <c r="AIV21" s="8"/>
      <c r="AIW21" s="136"/>
      <c r="AIX21" s="136"/>
      <c r="AIY21" s="136"/>
      <c r="AIZ21" s="137"/>
      <c r="AJA21" s="137"/>
      <c r="AJB21" s="137"/>
      <c r="AJC21" s="138"/>
      <c r="AJF21" s="8"/>
      <c r="AJG21" s="8"/>
      <c r="AJH21" s="8"/>
      <c r="AJI21" s="136"/>
      <c r="AJJ21" s="136"/>
      <c r="AJK21" s="136"/>
      <c r="AJL21" s="137"/>
      <c r="AJM21" s="137"/>
      <c r="AJN21" s="137"/>
      <c r="AJO21" s="138"/>
      <c r="AJR21" s="8"/>
      <c r="AJS21" s="8"/>
      <c r="AJT21" s="8"/>
      <c r="AJU21" s="136"/>
      <c r="AJV21" s="136"/>
      <c r="AJW21" s="136"/>
      <c r="AJX21" s="137"/>
      <c r="AJY21" s="137"/>
      <c r="AJZ21" s="137"/>
      <c r="AKA21" s="138"/>
      <c r="AKD21" s="8"/>
      <c r="AKE21" s="8"/>
      <c r="AKF21" s="8"/>
      <c r="AKG21" s="136"/>
      <c r="AKH21" s="136"/>
      <c r="AKI21" s="136"/>
      <c r="AKJ21" s="137"/>
      <c r="AKK21" s="137"/>
      <c r="AKL21" s="137"/>
      <c r="AKM21" s="138"/>
      <c r="AKP21" s="8"/>
      <c r="AKQ21" s="8"/>
      <c r="AKR21" s="8"/>
      <c r="AKS21" s="136"/>
      <c r="AKT21" s="136"/>
      <c r="AKU21" s="136"/>
      <c r="AKV21" s="137"/>
      <c r="AKW21" s="137"/>
      <c r="AKX21" s="137"/>
      <c r="AKY21" s="138"/>
      <c r="ALB21" s="8"/>
      <c r="ALC21" s="8"/>
      <c r="ALD21" s="8"/>
      <c r="ALE21" s="136"/>
      <c r="ALF21" s="136"/>
      <c r="ALG21" s="136"/>
      <c r="ALH21" s="137"/>
      <c r="ALI21" s="137"/>
      <c r="ALJ21" s="137"/>
      <c r="ALK21" s="138"/>
      <c r="ALN21" s="8"/>
      <c r="ALO21" s="8"/>
      <c r="ALP21" s="8"/>
      <c r="ALQ21" s="136"/>
      <c r="ALR21" s="136"/>
      <c r="ALS21" s="136"/>
      <c r="ALT21" s="137"/>
      <c r="ALU21" s="137"/>
      <c r="ALV21" s="137"/>
      <c r="ALW21" s="138"/>
      <c r="ALZ21" s="8"/>
      <c r="AMA21" s="8"/>
      <c r="AMB21" s="8"/>
      <c r="AMC21" s="136"/>
      <c r="AMD21" s="136"/>
      <c r="AME21" s="136"/>
      <c r="AMF21" s="137"/>
      <c r="AMG21" s="137"/>
      <c r="AMH21" s="137"/>
      <c r="AMI21" s="138"/>
      <c r="AML21" s="8"/>
      <c r="AMM21" s="8"/>
      <c r="AMN21" s="8"/>
      <c r="AMO21" s="136"/>
      <c r="AMP21" s="136"/>
      <c r="AMQ21" s="136"/>
      <c r="AMR21" s="137"/>
      <c r="AMS21" s="137"/>
      <c r="AMT21" s="137"/>
      <c r="AMU21" s="138"/>
      <c r="AMX21" s="8"/>
      <c r="AMY21" s="8"/>
      <c r="AMZ21" s="8"/>
      <c r="ANA21" s="136"/>
      <c r="ANB21" s="136"/>
      <c r="ANC21" s="136"/>
      <c r="AND21" s="137"/>
      <c r="ANE21" s="137"/>
      <c r="ANF21" s="137"/>
      <c r="ANG21" s="138"/>
      <c r="ANJ21" s="8"/>
      <c r="ANK21" s="8"/>
      <c r="ANL21" s="8"/>
      <c r="ANM21" s="136"/>
      <c r="ANN21" s="136"/>
      <c r="ANO21" s="136"/>
      <c r="ANP21" s="137"/>
      <c r="ANQ21" s="137"/>
      <c r="ANR21" s="137"/>
      <c r="ANS21" s="138"/>
      <c r="ANV21" s="8"/>
      <c r="ANW21" s="8"/>
      <c r="ANX21" s="8"/>
      <c r="ANY21" s="136"/>
      <c r="ANZ21" s="136"/>
      <c r="AOA21" s="136"/>
      <c r="AOB21" s="137"/>
      <c r="AOC21" s="137"/>
      <c r="AOD21" s="137"/>
      <c r="AOE21" s="138"/>
      <c r="AOH21" s="8"/>
      <c r="AOI21" s="8"/>
      <c r="AOJ21" s="8"/>
      <c r="AOK21" s="136"/>
      <c r="AOL21" s="136"/>
      <c r="AOM21" s="136"/>
      <c r="AON21" s="137"/>
      <c r="AOO21" s="137"/>
      <c r="AOP21" s="137"/>
      <c r="AOQ21" s="138"/>
      <c r="AOT21" s="8"/>
      <c r="AOU21" s="8"/>
      <c r="AOV21" s="8"/>
      <c r="AOW21" s="136"/>
      <c r="AOX21" s="136"/>
      <c r="AOY21" s="136"/>
      <c r="AOZ21" s="137"/>
      <c r="APA21" s="137"/>
      <c r="APB21" s="137"/>
      <c r="APC21" s="138"/>
      <c r="APF21" s="8"/>
      <c r="APG21" s="8"/>
      <c r="APH21" s="8"/>
      <c r="API21" s="136"/>
      <c r="APJ21" s="136"/>
      <c r="APK21" s="136"/>
      <c r="APL21" s="137"/>
      <c r="APM21" s="137"/>
      <c r="APN21" s="137"/>
      <c r="APO21" s="138"/>
      <c r="APR21" s="8"/>
      <c r="APS21" s="8"/>
      <c r="APT21" s="8"/>
      <c r="APU21" s="136"/>
      <c r="APV21" s="136"/>
      <c r="APW21" s="136"/>
      <c r="APX21" s="137"/>
      <c r="APY21" s="137"/>
      <c r="APZ21" s="137"/>
      <c r="AQA21" s="138"/>
      <c r="AQD21" s="8"/>
      <c r="AQE21" s="8"/>
      <c r="AQF21" s="8"/>
      <c r="AQG21" s="136"/>
      <c r="AQH21" s="136"/>
      <c r="AQI21" s="136"/>
      <c r="AQJ21" s="137"/>
      <c r="AQK21" s="137"/>
      <c r="AQL21" s="137"/>
      <c r="AQM21" s="138"/>
      <c r="AQP21" s="8"/>
      <c r="AQQ21" s="8"/>
      <c r="AQR21" s="8"/>
      <c r="AQS21" s="136"/>
      <c r="AQT21" s="136"/>
      <c r="AQU21" s="136"/>
      <c r="AQV21" s="137"/>
      <c r="AQW21" s="137"/>
      <c r="AQX21" s="137"/>
      <c r="AQY21" s="138"/>
      <c r="ARB21" s="8"/>
      <c r="ARC21" s="8"/>
      <c r="ARD21" s="8"/>
      <c r="ARE21" s="136"/>
      <c r="ARF21" s="136"/>
      <c r="ARG21" s="136"/>
      <c r="ARH21" s="137"/>
      <c r="ARI21" s="137"/>
      <c r="ARJ21" s="137"/>
      <c r="ARK21" s="138"/>
      <c r="ARN21" s="8"/>
      <c r="ARO21" s="8"/>
      <c r="ARP21" s="8"/>
      <c r="ARQ21" s="136"/>
      <c r="ARR21" s="136"/>
      <c r="ARS21" s="136"/>
      <c r="ART21" s="137"/>
      <c r="ARU21" s="137"/>
      <c r="ARV21" s="137"/>
      <c r="ARW21" s="138"/>
      <c r="ARZ21" s="8"/>
      <c r="ASA21" s="8"/>
      <c r="ASB21" s="8"/>
      <c r="ASC21" s="136"/>
      <c r="ASD21" s="136"/>
      <c r="ASE21" s="136"/>
      <c r="ASF21" s="137"/>
      <c r="ASG21" s="137"/>
      <c r="ASH21" s="137"/>
      <c r="ASI21" s="138"/>
      <c r="ASL21" s="8"/>
      <c r="ASM21" s="8"/>
      <c r="ASN21" s="8"/>
      <c r="ASO21" s="136"/>
      <c r="ASP21" s="136"/>
      <c r="ASQ21" s="136"/>
      <c r="ASR21" s="137"/>
      <c r="ASS21" s="137"/>
      <c r="AST21" s="137"/>
      <c r="ASU21" s="138"/>
      <c r="ASX21" s="8"/>
      <c r="ASY21" s="8"/>
      <c r="ASZ21" s="8"/>
      <c r="ATA21" s="136"/>
      <c r="ATB21" s="136"/>
      <c r="ATC21" s="136"/>
      <c r="ATD21" s="137"/>
      <c r="ATE21" s="137"/>
      <c r="ATF21" s="137"/>
      <c r="ATG21" s="138"/>
      <c r="ATJ21" s="8"/>
      <c r="ATK21" s="8"/>
      <c r="ATL21" s="8"/>
      <c r="ATM21" s="136"/>
      <c r="ATN21" s="136"/>
      <c r="ATO21" s="136"/>
      <c r="ATP21" s="137"/>
      <c r="ATQ21" s="137"/>
      <c r="ATR21" s="137"/>
      <c r="ATS21" s="138"/>
      <c r="ATV21" s="8"/>
      <c r="ATW21" s="8"/>
      <c r="ATX21" s="8"/>
      <c r="ATY21" s="136"/>
      <c r="ATZ21" s="136"/>
      <c r="AUA21" s="136"/>
      <c r="AUB21" s="137"/>
      <c r="AUC21" s="137"/>
      <c r="AUD21" s="137"/>
      <c r="AUE21" s="138"/>
      <c r="AUH21" s="8"/>
      <c r="AUI21" s="8"/>
      <c r="AUJ21" s="8"/>
      <c r="AUK21" s="136"/>
      <c r="AUL21" s="136"/>
      <c r="AUM21" s="136"/>
      <c r="AUN21" s="137"/>
      <c r="AUO21" s="137"/>
      <c r="AUP21" s="137"/>
      <c r="AUQ21" s="138"/>
      <c r="AUT21" s="8"/>
      <c r="AUU21" s="8"/>
      <c r="AUV21" s="8"/>
      <c r="AUW21" s="136"/>
      <c r="AUX21" s="136"/>
      <c r="AUY21" s="136"/>
      <c r="AUZ21" s="137"/>
      <c r="AVA21" s="137"/>
      <c r="AVB21" s="137"/>
      <c r="AVC21" s="138"/>
      <c r="AVF21" s="8"/>
      <c r="AVG21" s="8"/>
      <c r="AVH21" s="8"/>
      <c r="AVI21" s="136"/>
      <c r="AVJ21" s="136"/>
      <c r="AVK21" s="136"/>
      <c r="AVL21" s="137"/>
      <c r="AVM21" s="137"/>
      <c r="AVN21" s="137"/>
      <c r="AVO21" s="138"/>
      <c r="AVR21" s="8"/>
      <c r="AVS21" s="8"/>
      <c r="AVT21" s="8"/>
      <c r="AVU21" s="136"/>
      <c r="AVV21" s="136"/>
      <c r="AVW21" s="136"/>
      <c r="AVX21" s="137"/>
      <c r="AVY21" s="137"/>
      <c r="AVZ21" s="137"/>
      <c r="AWA21" s="138"/>
      <c r="AWD21" s="8"/>
      <c r="AWE21" s="8"/>
      <c r="AWF21" s="8"/>
      <c r="AWG21" s="136"/>
      <c r="AWH21" s="136"/>
      <c r="AWI21" s="136"/>
      <c r="AWJ21" s="137"/>
      <c r="AWK21" s="137"/>
      <c r="AWL21" s="137"/>
      <c r="AWM21" s="138"/>
      <c r="AWP21" s="8"/>
      <c r="AWQ21" s="8"/>
      <c r="AWR21" s="8"/>
      <c r="AWS21" s="136"/>
      <c r="AWT21" s="136"/>
      <c r="AWU21" s="136"/>
      <c r="AWV21" s="137"/>
      <c r="AWW21" s="137"/>
      <c r="AWX21" s="137"/>
      <c r="AWY21" s="138"/>
      <c r="AXB21" s="8"/>
      <c r="AXC21" s="8"/>
      <c r="AXD21" s="8"/>
      <c r="AXE21" s="136"/>
      <c r="AXF21" s="136"/>
      <c r="AXG21" s="136"/>
      <c r="AXH21" s="137"/>
      <c r="AXI21" s="137"/>
      <c r="AXJ21" s="137"/>
      <c r="AXK21" s="138"/>
      <c r="AXN21" s="8"/>
      <c r="AXO21" s="8"/>
      <c r="AXP21" s="8"/>
      <c r="AXQ21" s="136"/>
      <c r="AXR21" s="136"/>
      <c r="AXS21" s="136"/>
      <c r="AXT21" s="137"/>
      <c r="AXU21" s="137"/>
      <c r="AXV21" s="137"/>
      <c r="AXW21" s="138"/>
      <c r="AXZ21" s="8"/>
      <c r="AYA21" s="8"/>
      <c r="AYB21" s="8"/>
      <c r="AYC21" s="136"/>
      <c r="AYD21" s="136"/>
      <c r="AYE21" s="136"/>
      <c r="AYF21" s="137"/>
      <c r="AYG21" s="137"/>
      <c r="AYH21" s="137"/>
      <c r="AYI21" s="138"/>
      <c r="AYL21" s="8"/>
      <c r="AYM21" s="8"/>
      <c r="AYN21" s="8"/>
      <c r="AYO21" s="136"/>
      <c r="AYP21" s="136"/>
      <c r="AYQ21" s="136"/>
      <c r="AYR21" s="137"/>
      <c r="AYS21" s="137"/>
      <c r="AYT21" s="137"/>
      <c r="AYU21" s="138"/>
      <c r="AYX21" s="8"/>
      <c r="AYY21" s="8"/>
      <c r="AYZ21" s="8"/>
      <c r="AZA21" s="136"/>
      <c r="AZB21" s="136"/>
      <c r="AZC21" s="136"/>
      <c r="AZD21" s="137"/>
      <c r="AZE21" s="137"/>
      <c r="AZF21" s="137"/>
      <c r="AZG21" s="138"/>
      <c r="AZJ21" s="8"/>
      <c r="AZK21" s="8"/>
      <c r="AZL21" s="8"/>
      <c r="AZM21" s="136"/>
      <c r="AZN21" s="136"/>
      <c r="AZO21" s="136"/>
      <c r="AZP21" s="137"/>
      <c r="AZQ21" s="137"/>
      <c r="AZR21" s="137"/>
      <c r="AZS21" s="138"/>
      <c r="AZV21" s="8"/>
      <c r="AZW21" s="8"/>
      <c r="AZX21" s="8"/>
      <c r="AZY21" s="136"/>
      <c r="AZZ21" s="136"/>
      <c r="BAA21" s="136"/>
      <c r="BAB21" s="137"/>
      <c r="BAC21" s="137"/>
      <c r="BAD21" s="137"/>
      <c r="BAE21" s="138"/>
      <c r="BAH21" s="8"/>
      <c r="BAI21" s="8"/>
      <c r="BAJ21" s="8"/>
      <c r="BAK21" s="136"/>
      <c r="BAL21" s="136"/>
      <c r="BAM21" s="136"/>
      <c r="BAN21" s="137"/>
      <c r="BAO21" s="137"/>
      <c r="BAP21" s="137"/>
      <c r="BAQ21" s="138"/>
      <c r="BAT21" s="8"/>
      <c r="BAU21" s="8"/>
      <c r="BAV21" s="8"/>
      <c r="BAW21" s="136"/>
      <c r="BAX21" s="136"/>
      <c r="BAY21" s="136"/>
      <c r="BAZ21" s="137"/>
      <c r="BBA21" s="137"/>
      <c r="BBB21" s="137"/>
      <c r="BBC21" s="138"/>
      <c r="BBF21" s="8"/>
      <c r="BBG21" s="8"/>
      <c r="BBH21" s="8"/>
      <c r="BBI21" s="136"/>
      <c r="BBJ21" s="136"/>
      <c r="BBK21" s="136"/>
      <c r="BBL21" s="137"/>
      <c r="BBM21" s="137"/>
      <c r="BBN21" s="137"/>
      <c r="BBO21" s="138"/>
      <c r="BBR21" s="8"/>
      <c r="BBS21" s="8"/>
      <c r="BBT21" s="8"/>
      <c r="BBU21" s="136"/>
      <c r="BBV21" s="136"/>
      <c r="BBW21" s="136"/>
      <c r="BBX21" s="137"/>
      <c r="BBY21" s="137"/>
      <c r="BBZ21" s="137"/>
      <c r="BCA21" s="138"/>
      <c r="BCD21" s="8"/>
      <c r="BCE21" s="8"/>
      <c r="BCF21" s="8"/>
      <c r="BCG21" s="136"/>
      <c r="BCH21" s="136"/>
      <c r="BCI21" s="136"/>
      <c r="BCJ21" s="137"/>
      <c r="BCK21" s="137"/>
      <c r="BCL21" s="137"/>
      <c r="BCM21" s="138"/>
      <c r="BCP21" s="8"/>
      <c r="BCQ21" s="8"/>
      <c r="BCR21" s="8"/>
      <c r="BCS21" s="136"/>
      <c r="BCT21" s="136"/>
      <c r="BCU21" s="136"/>
      <c r="BCV21" s="137"/>
      <c r="BCW21" s="137"/>
      <c r="BCX21" s="137"/>
      <c r="BCY21" s="138"/>
      <c r="BDB21" s="8"/>
      <c r="BDC21" s="8"/>
      <c r="BDD21" s="8"/>
      <c r="BDE21" s="136"/>
      <c r="BDF21" s="136"/>
      <c r="BDG21" s="136"/>
      <c r="BDH21" s="137"/>
      <c r="BDI21" s="137"/>
      <c r="BDJ21" s="137"/>
      <c r="BDK21" s="138"/>
      <c r="BDN21" s="8"/>
      <c r="BDO21" s="8"/>
      <c r="BDP21" s="8"/>
      <c r="BDQ21" s="136"/>
      <c r="BDR21" s="136"/>
      <c r="BDS21" s="136"/>
      <c r="BDT21" s="137"/>
      <c r="BDU21" s="137"/>
      <c r="BDV21" s="137"/>
      <c r="BDW21" s="138"/>
      <c r="BDZ21" s="8"/>
      <c r="BEA21" s="8"/>
      <c r="BEB21" s="8"/>
      <c r="BEC21" s="136"/>
      <c r="BED21" s="136"/>
      <c r="BEE21" s="136"/>
      <c r="BEF21" s="137"/>
      <c r="BEG21" s="137"/>
      <c r="BEH21" s="137"/>
      <c r="BEI21" s="138"/>
      <c r="BEL21" s="8"/>
      <c r="BEM21" s="8"/>
      <c r="BEN21" s="8"/>
      <c r="BEO21" s="136"/>
      <c r="BEP21" s="136"/>
      <c r="BEQ21" s="136"/>
      <c r="BER21" s="137"/>
      <c r="BES21" s="137"/>
      <c r="BET21" s="137"/>
      <c r="BEU21" s="138"/>
      <c r="BEX21" s="8"/>
      <c r="BEY21" s="8"/>
      <c r="BEZ21" s="8"/>
      <c r="BFA21" s="136"/>
      <c r="BFB21" s="136"/>
      <c r="BFC21" s="136"/>
      <c r="BFD21" s="137"/>
      <c r="BFE21" s="137"/>
      <c r="BFF21" s="137"/>
      <c r="BFG21" s="138"/>
      <c r="BFJ21" s="8"/>
      <c r="BFK21" s="8"/>
      <c r="BFL21" s="8"/>
      <c r="BFM21" s="136"/>
      <c r="BFN21" s="136"/>
      <c r="BFO21" s="136"/>
      <c r="BFP21" s="137"/>
      <c r="BFQ21" s="137"/>
      <c r="BFR21" s="137"/>
      <c r="BFS21" s="138"/>
      <c r="BFV21" s="8"/>
      <c r="BFW21" s="8"/>
      <c r="BFX21" s="8"/>
      <c r="BFY21" s="136"/>
      <c r="BFZ21" s="136"/>
      <c r="BGA21" s="136"/>
      <c r="BGB21" s="137"/>
      <c r="BGC21" s="137"/>
      <c r="BGD21" s="137"/>
      <c r="BGE21" s="138"/>
      <c r="BGH21" s="8"/>
      <c r="BGI21" s="8"/>
      <c r="BGJ21" s="8"/>
      <c r="BGK21" s="136"/>
      <c r="BGL21" s="136"/>
      <c r="BGM21" s="136"/>
      <c r="BGN21" s="137"/>
      <c r="BGO21" s="137"/>
      <c r="BGP21" s="137"/>
      <c r="BGQ21" s="138"/>
      <c r="BGT21" s="8"/>
      <c r="BGU21" s="8"/>
      <c r="BGV21" s="8"/>
      <c r="BGW21" s="136"/>
      <c r="BGX21" s="136"/>
      <c r="BGY21" s="136"/>
      <c r="BGZ21" s="137"/>
      <c r="BHA21" s="137"/>
      <c r="BHB21" s="137"/>
      <c r="BHC21" s="138"/>
      <c r="BHF21" s="8"/>
      <c r="BHG21" s="8"/>
      <c r="BHH21" s="8"/>
      <c r="BHI21" s="136"/>
      <c r="BHJ21" s="136"/>
      <c r="BHK21" s="136"/>
      <c r="BHL21" s="137"/>
      <c r="BHM21" s="137"/>
      <c r="BHN21" s="137"/>
      <c r="BHO21" s="138"/>
      <c r="BHR21" s="8"/>
      <c r="BHS21" s="8"/>
      <c r="BHT21" s="8"/>
      <c r="BHU21" s="136"/>
      <c r="BHV21" s="136"/>
      <c r="BHW21" s="136"/>
      <c r="BHX21" s="137"/>
      <c r="BHY21" s="137"/>
      <c r="BHZ21" s="137"/>
      <c r="BIA21" s="138"/>
      <c r="BID21" s="8"/>
      <c r="BIE21" s="8"/>
      <c r="BIF21" s="8"/>
      <c r="BIG21" s="136"/>
      <c r="BIH21" s="136"/>
      <c r="BII21" s="136"/>
      <c r="BIJ21" s="137"/>
      <c r="BIK21" s="137"/>
      <c r="BIL21" s="137"/>
      <c r="BIM21" s="138"/>
      <c r="BIP21" s="8"/>
      <c r="BIQ21" s="8"/>
      <c r="BIR21" s="8"/>
      <c r="BIS21" s="136"/>
      <c r="BIT21" s="136"/>
      <c r="BIU21" s="136"/>
      <c r="BIV21" s="137"/>
      <c r="BIW21" s="137"/>
      <c r="BIX21" s="137"/>
      <c r="BIY21" s="138"/>
      <c r="BJB21" s="8"/>
      <c r="BJC21" s="8"/>
      <c r="BJD21" s="8"/>
      <c r="BJE21" s="136"/>
      <c r="BJF21" s="136"/>
      <c r="BJG21" s="136"/>
      <c r="BJH21" s="137"/>
      <c r="BJI21" s="137"/>
      <c r="BJJ21" s="137"/>
      <c r="BJK21" s="138"/>
      <c r="BJN21" s="8"/>
      <c r="BJO21" s="8"/>
      <c r="BJP21" s="8"/>
      <c r="BJQ21" s="136"/>
      <c r="BJR21" s="136"/>
      <c r="BJS21" s="136"/>
      <c r="BJT21" s="137"/>
      <c r="BJU21" s="137"/>
      <c r="BJV21" s="137"/>
      <c r="BJW21" s="138"/>
      <c r="BJZ21" s="8"/>
      <c r="BKA21" s="8"/>
      <c r="BKB21" s="8"/>
      <c r="BKC21" s="136"/>
      <c r="BKD21" s="136"/>
      <c r="BKE21" s="136"/>
      <c r="BKF21" s="137"/>
      <c r="BKG21" s="137"/>
      <c r="BKH21" s="137"/>
      <c r="BKI21" s="138"/>
      <c r="BKL21" s="8"/>
      <c r="BKM21" s="8"/>
      <c r="BKN21" s="8"/>
      <c r="BKO21" s="136"/>
      <c r="BKP21" s="136"/>
      <c r="BKQ21" s="136"/>
      <c r="BKR21" s="137"/>
      <c r="BKS21" s="137"/>
      <c r="BKT21" s="137"/>
      <c r="BKU21" s="138"/>
      <c r="BKX21" s="8"/>
      <c r="BKY21" s="8"/>
      <c r="BKZ21" s="8"/>
      <c r="BLA21" s="136"/>
      <c r="BLB21" s="136"/>
      <c r="BLC21" s="136"/>
      <c r="BLD21" s="137"/>
      <c r="BLE21" s="137"/>
      <c r="BLF21" s="137"/>
      <c r="BLG21" s="138"/>
      <c r="BLJ21" s="8"/>
      <c r="BLK21" s="8"/>
      <c r="BLL21" s="8"/>
      <c r="BLM21" s="136"/>
      <c r="BLN21" s="136"/>
      <c r="BLO21" s="136"/>
      <c r="BLP21" s="137"/>
      <c r="BLQ21" s="137"/>
      <c r="BLR21" s="137"/>
      <c r="BLS21" s="138"/>
      <c r="BLV21" s="8"/>
      <c r="BLW21" s="8"/>
      <c r="BLX21" s="8"/>
      <c r="BLY21" s="136"/>
      <c r="BLZ21" s="136"/>
      <c r="BMA21" s="136"/>
      <c r="BMB21" s="137"/>
      <c r="BMC21" s="137"/>
      <c r="BMD21" s="137"/>
      <c r="BME21" s="138"/>
      <c r="BMH21" s="8"/>
      <c r="BMI21" s="8"/>
      <c r="BMJ21" s="8"/>
      <c r="BMK21" s="136"/>
      <c r="BML21" s="136"/>
      <c r="BMM21" s="136"/>
      <c r="BMN21" s="137"/>
      <c r="BMO21" s="137"/>
      <c r="BMP21" s="137"/>
      <c r="BMQ21" s="138"/>
      <c r="BMT21" s="8"/>
      <c r="BMU21" s="8"/>
      <c r="BMV21" s="8"/>
      <c r="BMW21" s="136"/>
      <c r="BMX21" s="136"/>
      <c r="BMY21" s="136"/>
      <c r="BMZ21" s="137"/>
      <c r="BNA21" s="137"/>
      <c r="BNB21" s="137"/>
      <c r="BNC21" s="138"/>
      <c r="BNF21" s="8"/>
      <c r="BNG21" s="8"/>
      <c r="BNH21" s="8"/>
      <c r="BNI21" s="136"/>
      <c r="BNJ21" s="136"/>
      <c r="BNK21" s="136"/>
      <c r="BNL21" s="137"/>
      <c r="BNM21" s="137"/>
      <c r="BNN21" s="137"/>
      <c r="BNO21" s="138"/>
      <c r="BNR21" s="8"/>
      <c r="BNS21" s="8"/>
      <c r="BNT21" s="8"/>
      <c r="BNU21" s="136"/>
      <c r="BNV21" s="136"/>
      <c r="BNW21" s="136"/>
      <c r="BNX21" s="137"/>
      <c r="BNY21" s="137"/>
      <c r="BNZ21" s="137"/>
      <c r="BOA21" s="138"/>
      <c r="BOD21" s="8"/>
      <c r="BOE21" s="8"/>
      <c r="BOF21" s="8"/>
      <c r="BOG21" s="136"/>
      <c r="BOH21" s="136"/>
      <c r="BOI21" s="136"/>
      <c r="BOJ21" s="137"/>
      <c r="BOK21" s="137"/>
      <c r="BOL21" s="137"/>
      <c r="BOM21" s="138"/>
      <c r="BOP21" s="8"/>
      <c r="BOQ21" s="8"/>
      <c r="BOR21" s="8"/>
      <c r="BOS21" s="136"/>
      <c r="BOT21" s="136"/>
      <c r="BOU21" s="136"/>
      <c r="BOV21" s="137"/>
      <c r="BOW21" s="137"/>
      <c r="BOX21" s="137"/>
      <c r="BOY21" s="138"/>
      <c r="BPB21" s="8"/>
      <c r="BPC21" s="8"/>
      <c r="BPD21" s="8"/>
      <c r="BPE21" s="136"/>
      <c r="BPF21" s="136"/>
      <c r="BPG21" s="136"/>
      <c r="BPH21" s="137"/>
      <c r="BPI21" s="137"/>
      <c r="BPJ21" s="137"/>
      <c r="BPK21" s="138"/>
      <c r="BPN21" s="8"/>
      <c r="BPO21" s="8"/>
      <c r="BPP21" s="8"/>
      <c r="BPQ21" s="136"/>
      <c r="BPR21" s="136"/>
      <c r="BPS21" s="136"/>
      <c r="BPT21" s="137"/>
      <c r="BPU21" s="137"/>
      <c r="BPV21" s="137"/>
      <c r="BPW21" s="138"/>
      <c r="BPZ21" s="8"/>
      <c r="BQA21" s="8"/>
      <c r="BQB21" s="8"/>
      <c r="BQC21" s="136"/>
      <c r="BQD21" s="136"/>
      <c r="BQE21" s="136"/>
      <c r="BQF21" s="137"/>
      <c r="BQG21" s="137"/>
      <c r="BQH21" s="137"/>
      <c r="BQI21" s="138"/>
      <c r="BQL21" s="8"/>
      <c r="BQM21" s="8"/>
      <c r="BQN21" s="8"/>
      <c r="BQO21" s="136"/>
      <c r="BQP21" s="136"/>
      <c r="BQQ21" s="136"/>
      <c r="BQR21" s="137"/>
      <c r="BQS21" s="137"/>
      <c r="BQT21" s="137"/>
      <c r="BQU21" s="138"/>
      <c r="BQX21" s="8"/>
      <c r="BQY21" s="8"/>
      <c r="BQZ21" s="8"/>
      <c r="BRA21" s="136"/>
      <c r="BRB21" s="136"/>
      <c r="BRC21" s="136"/>
      <c r="BRD21" s="137"/>
      <c r="BRE21" s="137"/>
      <c r="BRF21" s="137"/>
      <c r="BRG21" s="138"/>
      <c r="BRJ21" s="8"/>
      <c r="BRK21" s="8"/>
      <c r="BRL21" s="8"/>
      <c r="BRM21" s="136"/>
      <c r="BRN21" s="136"/>
      <c r="BRO21" s="136"/>
      <c r="BRP21" s="137"/>
      <c r="BRQ21" s="137"/>
      <c r="BRR21" s="137"/>
      <c r="BRS21" s="138"/>
      <c r="BRV21" s="8"/>
      <c r="BRW21" s="8"/>
      <c r="BRX21" s="8"/>
      <c r="BRY21" s="136"/>
      <c r="BRZ21" s="136"/>
      <c r="BSA21" s="136"/>
      <c r="BSB21" s="137"/>
      <c r="BSC21" s="137"/>
      <c r="BSD21" s="137"/>
      <c r="BSE21" s="138"/>
      <c r="BSH21" s="8"/>
      <c r="BSI21" s="8"/>
      <c r="BSJ21" s="8"/>
      <c r="BSK21" s="136"/>
      <c r="BSL21" s="136"/>
      <c r="BSM21" s="136"/>
      <c r="BSN21" s="137"/>
      <c r="BSO21" s="137"/>
      <c r="BSP21" s="137"/>
      <c r="BSQ21" s="138"/>
      <c r="BST21" s="8"/>
      <c r="BSU21" s="8"/>
      <c r="BSV21" s="8"/>
      <c r="BSW21" s="136"/>
      <c r="BSX21" s="136"/>
      <c r="BSY21" s="136"/>
      <c r="BSZ21" s="137"/>
      <c r="BTA21" s="137"/>
      <c r="BTB21" s="137"/>
      <c r="BTC21" s="138"/>
      <c r="BTF21" s="8"/>
      <c r="BTG21" s="8"/>
      <c r="BTH21" s="8"/>
      <c r="BTI21" s="136"/>
      <c r="BTJ21" s="136"/>
      <c r="BTK21" s="136"/>
      <c r="BTL21" s="137"/>
      <c r="BTM21" s="137"/>
      <c r="BTN21" s="137"/>
      <c r="BTO21" s="138"/>
      <c r="BTR21" s="8"/>
      <c r="BTS21" s="8"/>
      <c r="BTT21" s="8"/>
      <c r="BTU21" s="136"/>
      <c r="BTV21" s="136"/>
      <c r="BTW21" s="136"/>
      <c r="BTX21" s="137"/>
      <c r="BTY21" s="137"/>
      <c r="BTZ21" s="137"/>
      <c r="BUA21" s="138"/>
      <c r="BUD21" s="8"/>
      <c r="BUE21" s="8"/>
      <c r="BUF21" s="8"/>
      <c r="BUG21" s="136"/>
      <c r="BUH21" s="136"/>
      <c r="BUI21" s="136"/>
      <c r="BUJ21" s="137"/>
      <c r="BUK21" s="137"/>
      <c r="BUL21" s="137"/>
      <c r="BUM21" s="138"/>
      <c r="BUP21" s="8"/>
      <c r="BUQ21" s="8"/>
      <c r="BUR21" s="8"/>
      <c r="BUS21" s="136"/>
      <c r="BUT21" s="136"/>
      <c r="BUU21" s="136"/>
      <c r="BUV21" s="137"/>
      <c r="BUW21" s="137"/>
      <c r="BUX21" s="137"/>
      <c r="BUY21" s="138"/>
      <c r="BVB21" s="8"/>
      <c r="BVC21" s="8"/>
      <c r="BVD21" s="8"/>
      <c r="BVE21" s="136"/>
      <c r="BVF21" s="136"/>
      <c r="BVG21" s="136"/>
      <c r="BVH21" s="137"/>
      <c r="BVI21" s="137"/>
      <c r="BVJ21" s="137"/>
      <c r="BVK21" s="138"/>
      <c r="BVN21" s="8"/>
      <c r="BVO21" s="8"/>
      <c r="BVP21" s="8"/>
      <c r="BVQ21" s="136"/>
      <c r="BVR21" s="136"/>
      <c r="BVS21" s="136"/>
      <c r="BVT21" s="137"/>
      <c r="BVU21" s="137"/>
      <c r="BVV21" s="137"/>
      <c r="BVW21" s="138"/>
      <c r="BVZ21" s="8"/>
      <c r="BWA21" s="8"/>
      <c r="BWB21" s="8"/>
      <c r="BWC21" s="136"/>
      <c r="BWD21" s="136"/>
      <c r="BWE21" s="136"/>
      <c r="BWF21" s="137"/>
      <c r="BWG21" s="137"/>
      <c r="BWH21" s="137"/>
      <c r="BWI21" s="138"/>
      <c r="BWL21" s="8"/>
      <c r="BWM21" s="8"/>
      <c r="BWN21" s="8"/>
      <c r="BWO21" s="136"/>
      <c r="BWP21" s="136"/>
      <c r="BWQ21" s="136"/>
      <c r="BWR21" s="137"/>
      <c r="BWS21" s="137"/>
      <c r="BWT21" s="137"/>
      <c r="BWU21" s="138"/>
      <c r="BWX21" s="8"/>
      <c r="BWY21" s="8"/>
      <c r="BWZ21" s="8"/>
      <c r="BXA21" s="136"/>
      <c r="BXB21" s="136"/>
      <c r="BXC21" s="136"/>
      <c r="BXD21" s="137"/>
      <c r="BXE21" s="137"/>
      <c r="BXF21" s="137"/>
      <c r="BXG21" s="138"/>
      <c r="BXJ21" s="8"/>
      <c r="BXK21" s="8"/>
      <c r="BXL21" s="8"/>
      <c r="BXM21" s="136"/>
      <c r="BXN21" s="136"/>
      <c r="BXO21" s="136"/>
      <c r="BXP21" s="137"/>
      <c r="BXQ21" s="137"/>
      <c r="BXR21" s="137"/>
      <c r="BXS21" s="138"/>
      <c r="BXV21" s="8"/>
      <c r="BXW21" s="8"/>
      <c r="BXX21" s="8"/>
      <c r="BXY21" s="136"/>
      <c r="BXZ21" s="136"/>
      <c r="BYA21" s="136"/>
      <c r="BYB21" s="137"/>
      <c r="BYC21" s="137"/>
      <c r="BYD21" s="137"/>
      <c r="BYE21" s="138"/>
      <c r="BYH21" s="8"/>
      <c r="BYI21" s="8"/>
      <c r="BYJ21" s="8"/>
      <c r="BYK21" s="136"/>
      <c r="BYL21" s="136"/>
      <c r="BYM21" s="136"/>
      <c r="BYN21" s="137"/>
      <c r="BYO21" s="137"/>
      <c r="BYP21" s="137"/>
      <c r="BYQ21" s="138"/>
      <c r="BYT21" s="8"/>
      <c r="BYU21" s="8"/>
      <c r="BYV21" s="8"/>
      <c r="BYW21" s="136"/>
      <c r="BYX21" s="136"/>
      <c r="BYY21" s="136"/>
      <c r="BYZ21" s="137"/>
      <c r="BZA21" s="137"/>
      <c r="BZB21" s="137"/>
      <c r="BZC21" s="138"/>
      <c r="BZF21" s="8"/>
      <c r="BZG21" s="8"/>
      <c r="BZH21" s="8"/>
      <c r="BZI21" s="136"/>
      <c r="BZJ21" s="136"/>
      <c r="BZK21" s="136"/>
      <c r="BZL21" s="137"/>
      <c r="BZM21" s="137"/>
      <c r="BZN21" s="137"/>
      <c r="BZO21" s="138"/>
      <c r="BZR21" s="8"/>
      <c r="BZS21" s="8"/>
      <c r="BZT21" s="8"/>
      <c r="BZU21" s="136"/>
      <c r="BZV21" s="136"/>
      <c r="BZW21" s="136"/>
      <c r="BZX21" s="137"/>
      <c r="BZY21" s="137"/>
      <c r="BZZ21" s="137"/>
      <c r="CAA21" s="138"/>
      <c r="CAD21" s="8"/>
      <c r="CAE21" s="8"/>
      <c r="CAF21" s="8"/>
      <c r="CAG21" s="136"/>
      <c r="CAH21" s="136"/>
      <c r="CAI21" s="136"/>
      <c r="CAJ21" s="137"/>
      <c r="CAK21" s="137"/>
      <c r="CAL21" s="137"/>
      <c r="CAM21" s="138"/>
      <c r="CAP21" s="8"/>
      <c r="CAQ21" s="8"/>
      <c r="CAR21" s="8"/>
      <c r="CAS21" s="136"/>
      <c r="CAT21" s="136"/>
      <c r="CAU21" s="136"/>
      <c r="CAV21" s="137"/>
      <c r="CAW21" s="137"/>
      <c r="CAX21" s="137"/>
      <c r="CAY21" s="138"/>
      <c r="CBB21" s="8"/>
      <c r="CBC21" s="8"/>
      <c r="CBD21" s="8"/>
      <c r="CBE21" s="136"/>
      <c r="CBF21" s="136"/>
      <c r="CBG21" s="136"/>
      <c r="CBH21" s="137"/>
      <c r="CBI21" s="137"/>
      <c r="CBJ21" s="137"/>
      <c r="CBK21" s="138"/>
      <c r="CBN21" s="8"/>
      <c r="CBO21" s="8"/>
      <c r="CBP21" s="8"/>
      <c r="CBQ21" s="136"/>
      <c r="CBR21" s="136"/>
      <c r="CBS21" s="136"/>
      <c r="CBT21" s="137"/>
      <c r="CBU21" s="137"/>
      <c r="CBV21" s="137"/>
      <c r="CBW21" s="138"/>
      <c r="CBZ21" s="8"/>
      <c r="CCA21" s="8"/>
      <c r="CCB21" s="8"/>
      <c r="CCC21" s="136"/>
      <c r="CCD21" s="136"/>
      <c r="CCE21" s="136"/>
      <c r="CCF21" s="137"/>
      <c r="CCG21" s="137"/>
      <c r="CCH21" s="137"/>
      <c r="CCI21" s="138"/>
      <c r="CCL21" s="8"/>
      <c r="CCM21" s="8"/>
      <c r="CCN21" s="8"/>
      <c r="CCO21" s="136"/>
      <c r="CCP21" s="136"/>
      <c r="CCQ21" s="136"/>
      <c r="CCR21" s="137"/>
      <c r="CCS21" s="137"/>
      <c r="CCT21" s="137"/>
      <c r="CCU21" s="138"/>
      <c r="CCX21" s="8"/>
      <c r="CCY21" s="8"/>
      <c r="CCZ21" s="8"/>
      <c r="CDA21" s="136"/>
      <c r="CDB21" s="136"/>
      <c r="CDC21" s="136"/>
      <c r="CDD21" s="137"/>
      <c r="CDE21" s="137"/>
      <c r="CDF21" s="137"/>
      <c r="CDG21" s="138"/>
      <c r="CDJ21" s="8"/>
      <c r="CDK21" s="8"/>
      <c r="CDL21" s="8"/>
      <c r="CDM21" s="136"/>
      <c r="CDN21" s="136"/>
      <c r="CDO21" s="136"/>
      <c r="CDP21" s="137"/>
      <c r="CDQ21" s="137"/>
      <c r="CDR21" s="137"/>
      <c r="CDS21" s="138"/>
      <c r="CDV21" s="8"/>
      <c r="CDW21" s="8"/>
      <c r="CDX21" s="8"/>
      <c r="CDY21" s="136"/>
      <c r="CDZ21" s="136"/>
      <c r="CEA21" s="136"/>
      <c r="CEB21" s="137"/>
      <c r="CEC21" s="137"/>
      <c r="CED21" s="137"/>
      <c r="CEE21" s="138"/>
      <c r="CEH21" s="8"/>
      <c r="CEI21" s="8"/>
      <c r="CEJ21" s="8"/>
      <c r="CEK21" s="136"/>
      <c r="CEL21" s="136"/>
      <c r="CEM21" s="136"/>
      <c r="CEN21" s="137"/>
      <c r="CEO21" s="137"/>
      <c r="CEP21" s="137"/>
      <c r="CEQ21" s="138"/>
      <c r="CET21" s="8"/>
      <c r="CEU21" s="8"/>
      <c r="CEV21" s="8"/>
      <c r="CEW21" s="136"/>
      <c r="CEX21" s="136"/>
      <c r="CEY21" s="136"/>
      <c r="CEZ21" s="137"/>
      <c r="CFA21" s="137"/>
      <c r="CFB21" s="137"/>
      <c r="CFC21" s="138"/>
      <c r="CFF21" s="8"/>
      <c r="CFG21" s="8"/>
      <c r="CFH21" s="8"/>
      <c r="CFI21" s="136"/>
      <c r="CFJ21" s="136"/>
      <c r="CFK21" s="136"/>
      <c r="CFL21" s="137"/>
      <c r="CFM21" s="137"/>
      <c r="CFN21" s="137"/>
      <c r="CFO21" s="138"/>
      <c r="CFR21" s="8"/>
      <c r="CFS21" s="8"/>
      <c r="CFT21" s="8"/>
      <c r="CFU21" s="136"/>
      <c r="CFV21" s="136"/>
      <c r="CFW21" s="136"/>
      <c r="CFX21" s="137"/>
      <c r="CFY21" s="137"/>
      <c r="CFZ21" s="137"/>
      <c r="CGA21" s="138"/>
      <c r="CGD21" s="8"/>
      <c r="CGE21" s="8"/>
      <c r="CGF21" s="8"/>
      <c r="CGG21" s="136"/>
      <c r="CGH21" s="136"/>
      <c r="CGI21" s="136"/>
      <c r="CGJ21" s="137"/>
      <c r="CGK21" s="137"/>
      <c r="CGL21" s="137"/>
      <c r="CGM21" s="138"/>
      <c r="CGP21" s="8"/>
      <c r="CGQ21" s="8"/>
      <c r="CGR21" s="8"/>
      <c r="CGS21" s="136"/>
      <c r="CGT21" s="136"/>
      <c r="CGU21" s="136"/>
      <c r="CGV21" s="137"/>
      <c r="CGW21" s="137"/>
      <c r="CGX21" s="137"/>
      <c r="CGY21" s="138"/>
      <c r="CHB21" s="8"/>
      <c r="CHC21" s="8"/>
      <c r="CHD21" s="8"/>
      <c r="CHE21" s="136"/>
      <c r="CHF21" s="136"/>
      <c r="CHG21" s="136"/>
      <c r="CHH21" s="137"/>
      <c r="CHI21" s="137"/>
      <c r="CHJ21" s="137"/>
      <c r="CHK21" s="138"/>
      <c r="CHN21" s="8"/>
      <c r="CHO21" s="8"/>
      <c r="CHP21" s="8"/>
      <c r="CHQ21" s="136"/>
      <c r="CHR21" s="136"/>
      <c r="CHS21" s="136"/>
      <c r="CHT21" s="137"/>
      <c r="CHU21" s="137"/>
      <c r="CHV21" s="137"/>
      <c r="CHW21" s="138"/>
      <c r="CHZ21" s="8"/>
      <c r="CIA21" s="8"/>
      <c r="CIB21" s="8"/>
      <c r="CIC21" s="136"/>
      <c r="CID21" s="136"/>
      <c r="CIE21" s="136"/>
      <c r="CIF21" s="137"/>
      <c r="CIG21" s="137"/>
      <c r="CIH21" s="137"/>
      <c r="CII21" s="138"/>
      <c r="CIL21" s="8"/>
      <c r="CIM21" s="8"/>
      <c r="CIN21" s="8"/>
      <c r="CIO21" s="136"/>
      <c r="CIP21" s="136"/>
      <c r="CIQ21" s="136"/>
      <c r="CIR21" s="137"/>
      <c r="CIS21" s="137"/>
      <c r="CIT21" s="137"/>
      <c r="CIU21" s="138"/>
      <c r="CIX21" s="8"/>
      <c r="CIY21" s="8"/>
      <c r="CIZ21" s="8"/>
      <c r="CJA21" s="136"/>
      <c r="CJB21" s="136"/>
      <c r="CJC21" s="136"/>
      <c r="CJD21" s="137"/>
      <c r="CJE21" s="137"/>
      <c r="CJF21" s="137"/>
      <c r="CJG21" s="138"/>
      <c r="CJJ21" s="8"/>
      <c r="CJK21" s="8"/>
      <c r="CJL21" s="8"/>
      <c r="CJM21" s="136"/>
      <c r="CJN21" s="136"/>
      <c r="CJO21" s="136"/>
      <c r="CJP21" s="137"/>
      <c r="CJQ21" s="137"/>
      <c r="CJR21" s="137"/>
      <c r="CJS21" s="138"/>
      <c r="CJV21" s="8"/>
      <c r="CJW21" s="8"/>
      <c r="CJX21" s="8"/>
      <c r="CJY21" s="136"/>
      <c r="CJZ21" s="136"/>
      <c r="CKA21" s="136"/>
      <c r="CKB21" s="137"/>
      <c r="CKC21" s="137"/>
      <c r="CKD21" s="137"/>
      <c r="CKE21" s="138"/>
      <c r="CKH21" s="8"/>
      <c r="CKI21" s="8"/>
      <c r="CKJ21" s="8"/>
      <c r="CKK21" s="136"/>
      <c r="CKL21" s="136"/>
      <c r="CKM21" s="136"/>
      <c r="CKN21" s="137"/>
      <c r="CKO21" s="137"/>
      <c r="CKP21" s="137"/>
      <c r="CKQ21" s="138"/>
      <c r="CKT21" s="8"/>
      <c r="CKU21" s="8"/>
      <c r="CKV21" s="8"/>
      <c r="CKW21" s="136"/>
      <c r="CKX21" s="136"/>
      <c r="CKY21" s="136"/>
      <c r="CKZ21" s="137"/>
      <c r="CLA21" s="137"/>
      <c r="CLB21" s="137"/>
      <c r="CLC21" s="138"/>
      <c r="CLF21" s="8"/>
      <c r="CLG21" s="8"/>
      <c r="CLH21" s="8"/>
      <c r="CLI21" s="136"/>
      <c r="CLJ21" s="136"/>
      <c r="CLK21" s="136"/>
      <c r="CLL21" s="137"/>
      <c r="CLM21" s="137"/>
      <c r="CLN21" s="137"/>
      <c r="CLO21" s="138"/>
      <c r="CLR21" s="8"/>
      <c r="CLS21" s="8"/>
      <c r="CLT21" s="8"/>
      <c r="CLU21" s="136"/>
      <c r="CLV21" s="136"/>
      <c r="CLW21" s="136"/>
      <c r="CLX21" s="137"/>
      <c r="CLY21" s="137"/>
      <c r="CLZ21" s="137"/>
      <c r="CMA21" s="138"/>
      <c r="CMD21" s="8"/>
      <c r="CME21" s="8"/>
      <c r="CMF21" s="8"/>
      <c r="CMG21" s="136"/>
      <c r="CMH21" s="136"/>
      <c r="CMI21" s="136"/>
      <c r="CMJ21" s="137"/>
      <c r="CMK21" s="137"/>
      <c r="CML21" s="137"/>
      <c r="CMM21" s="138"/>
      <c r="CMP21" s="8"/>
      <c r="CMQ21" s="8"/>
      <c r="CMR21" s="8"/>
      <c r="CMS21" s="136"/>
      <c r="CMT21" s="136"/>
      <c r="CMU21" s="136"/>
      <c r="CMV21" s="137"/>
      <c r="CMW21" s="137"/>
      <c r="CMX21" s="137"/>
      <c r="CMY21" s="138"/>
      <c r="CNB21" s="8"/>
      <c r="CNC21" s="8"/>
      <c r="CND21" s="8"/>
      <c r="CNE21" s="136"/>
      <c r="CNF21" s="136"/>
      <c r="CNG21" s="136"/>
      <c r="CNH21" s="137"/>
      <c r="CNI21" s="137"/>
      <c r="CNJ21" s="137"/>
      <c r="CNK21" s="138"/>
      <c r="CNN21" s="8"/>
      <c r="CNO21" s="8"/>
      <c r="CNP21" s="8"/>
      <c r="CNQ21" s="136"/>
      <c r="CNR21" s="136"/>
      <c r="CNS21" s="136"/>
      <c r="CNT21" s="137"/>
      <c r="CNU21" s="137"/>
      <c r="CNV21" s="137"/>
      <c r="CNW21" s="138"/>
      <c r="CNZ21" s="8"/>
      <c r="COA21" s="8"/>
      <c r="COB21" s="8"/>
      <c r="COC21" s="136"/>
      <c r="COD21" s="136"/>
      <c r="COE21" s="136"/>
      <c r="COF21" s="137"/>
      <c r="COG21" s="137"/>
      <c r="COH21" s="137"/>
      <c r="COI21" s="138"/>
      <c r="COL21" s="8"/>
      <c r="COM21" s="8"/>
      <c r="CON21" s="8"/>
      <c r="COO21" s="136"/>
      <c r="COP21" s="136"/>
      <c r="COQ21" s="136"/>
      <c r="COR21" s="137"/>
      <c r="COS21" s="137"/>
      <c r="COT21" s="137"/>
      <c r="COU21" s="138"/>
      <c r="COX21" s="8"/>
      <c r="COY21" s="8"/>
      <c r="COZ21" s="8"/>
      <c r="CPA21" s="136"/>
      <c r="CPB21" s="136"/>
      <c r="CPC21" s="136"/>
      <c r="CPD21" s="137"/>
      <c r="CPE21" s="137"/>
      <c r="CPF21" s="137"/>
      <c r="CPG21" s="138"/>
      <c r="CPJ21" s="8"/>
      <c r="CPK21" s="8"/>
      <c r="CPL21" s="8"/>
      <c r="CPM21" s="136"/>
      <c r="CPN21" s="136"/>
      <c r="CPO21" s="136"/>
      <c r="CPP21" s="137"/>
      <c r="CPQ21" s="137"/>
      <c r="CPR21" s="137"/>
      <c r="CPS21" s="138"/>
      <c r="CPV21" s="8"/>
      <c r="CPW21" s="8"/>
      <c r="CPX21" s="8"/>
      <c r="CPY21" s="136"/>
      <c r="CPZ21" s="136"/>
      <c r="CQA21" s="136"/>
      <c r="CQB21" s="137"/>
      <c r="CQC21" s="137"/>
      <c r="CQD21" s="137"/>
      <c r="CQE21" s="138"/>
      <c r="CQH21" s="8"/>
      <c r="CQI21" s="8"/>
      <c r="CQJ21" s="8"/>
      <c r="CQK21" s="136"/>
      <c r="CQL21" s="136"/>
      <c r="CQM21" s="136"/>
      <c r="CQN21" s="137"/>
      <c r="CQO21" s="137"/>
      <c r="CQP21" s="137"/>
      <c r="CQQ21" s="138"/>
      <c r="CQT21" s="8"/>
      <c r="CQU21" s="8"/>
      <c r="CQV21" s="8"/>
      <c r="CQW21" s="136"/>
      <c r="CQX21" s="136"/>
      <c r="CQY21" s="136"/>
      <c r="CQZ21" s="137"/>
      <c r="CRA21" s="137"/>
      <c r="CRB21" s="137"/>
      <c r="CRC21" s="138"/>
      <c r="CRF21" s="8"/>
      <c r="CRG21" s="8"/>
      <c r="CRH21" s="8"/>
      <c r="CRI21" s="136"/>
      <c r="CRJ21" s="136"/>
      <c r="CRK21" s="136"/>
      <c r="CRL21" s="137"/>
      <c r="CRM21" s="137"/>
      <c r="CRN21" s="137"/>
      <c r="CRO21" s="138"/>
      <c r="CRR21" s="8"/>
      <c r="CRS21" s="8"/>
      <c r="CRT21" s="8"/>
      <c r="CRU21" s="136"/>
      <c r="CRV21" s="136"/>
      <c r="CRW21" s="136"/>
      <c r="CRX21" s="137"/>
      <c r="CRY21" s="137"/>
      <c r="CRZ21" s="137"/>
      <c r="CSA21" s="138"/>
      <c r="CSD21" s="8"/>
      <c r="CSE21" s="8"/>
      <c r="CSF21" s="8"/>
      <c r="CSG21" s="136"/>
      <c r="CSH21" s="136"/>
      <c r="CSI21" s="136"/>
      <c r="CSJ21" s="137"/>
      <c r="CSK21" s="137"/>
      <c r="CSL21" s="137"/>
      <c r="CSM21" s="138"/>
      <c r="CSP21" s="8"/>
      <c r="CSQ21" s="8"/>
      <c r="CSR21" s="8"/>
      <c r="CSS21" s="136"/>
      <c r="CST21" s="136"/>
      <c r="CSU21" s="136"/>
      <c r="CSV21" s="137"/>
      <c r="CSW21" s="137"/>
      <c r="CSX21" s="137"/>
      <c r="CSY21" s="138"/>
      <c r="CTB21" s="8"/>
      <c r="CTC21" s="8"/>
      <c r="CTD21" s="8"/>
      <c r="CTE21" s="136"/>
      <c r="CTF21" s="136"/>
      <c r="CTG21" s="136"/>
      <c r="CTH21" s="137"/>
      <c r="CTI21" s="137"/>
      <c r="CTJ21" s="137"/>
      <c r="CTK21" s="138"/>
      <c r="CTN21" s="8"/>
      <c r="CTO21" s="8"/>
      <c r="CTP21" s="8"/>
      <c r="CTQ21" s="136"/>
      <c r="CTR21" s="136"/>
      <c r="CTS21" s="136"/>
      <c r="CTT21" s="137"/>
      <c r="CTU21" s="137"/>
      <c r="CTV21" s="137"/>
      <c r="CTW21" s="138"/>
      <c r="CTZ21" s="8"/>
      <c r="CUA21" s="8"/>
      <c r="CUB21" s="8"/>
      <c r="CUC21" s="136"/>
      <c r="CUD21" s="136"/>
      <c r="CUE21" s="136"/>
      <c r="CUF21" s="137"/>
      <c r="CUG21" s="137"/>
      <c r="CUH21" s="137"/>
      <c r="CUI21" s="138"/>
      <c r="CUL21" s="8"/>
      <c r="CUM21" s="8"/>
      <c r="CUN21" s="8"/>
      <c r="CUO21" s="136"/>
      <c r="CUP21" s="136"/>
      <c r="CUQ21" s="136"/>
      <c r="CUR21" s="137"/>
      <c r="CUS21" s="137"/>
      <c r="CUT21" s="137"/>
      <c r="CUU21" s="138"/>
      <c r="CUX21" s="8"/>
      <c r="CUY21" s="8"/>
      <c r="CUZ21" s="8"/>
      <c r="CVA21" s="136"/>
      <c r="CVB21" s="136"/>
      <c r="CVC21" s="136"/>
      <c r="CVD21" s="137"/>
      <c r="CVE21" s="137"/>
      <c r="CVF21" s="137"/>
      <c r="CVG21" s="138"/>
      <c r="CVJ21" s="8"/>
      <c r="CVK21" s="8"/>
      <c r="CVL21" s="8"/>
      <c r="CVM21" s="136"/>
      <c r="CVN21" s="136"/>
      <c r="CVO21" s="136"/>
      <c r="CVP21" s="137"/>
      <c r="CVQ21" s="137"/>
      <c r="CVR21" s="137"/>
      <c r="CVS21" s="138"/>
      <c r="CVV21" s="8"/>
      <c r="CVW21" s="8"/>
      <c r="CVX21" s="8"/>
      <c r="CVY21" s="136"/>
      <c r="CVZ21" s="136"/>
      <c r="CWA21" s="136"/>
      <c r="CWB21" s="137"/>
      <c r="CWC21" s="137"/>
      <c r="CWD21" s="137"/>
      <c r="CWE21" s="138"/>
    </row>
    <row r="22" spans="1:1023 1026:2631" ht="22.5" x14ac:dyDescent="0.25">
      <c r="A22" s="139"/>
      <c r="B22" s="43"/>
      <c r="C22" s="44"/>
      <c r="D22" s="45"/>
      <c r="E22" s="120"/>
      <c r="F22" s="135">
        <f>E22*$L$7</f>
        <v>0</v>
      </c>
      <c r="H22" s="94"/>
      <c r="I22" s="94"/>
      <c r="J22" s="94"/>
      <c r="K22" s="95"/>
      <c r="L22" s="95"/>
      <c r="O22" s="139"/>
      <c r="P22" s="43"/>
      <c r="Q22" s="44"/>
      <c r="R22" s="45"/>
      <c r="S22" s="120"/>
      <c r="T22" s="93">
        <f t="shared" si="210"/>
        <v>0</v>
      </c>
      <c r="V22" s="94"/>
      <c r="W22" s="94"/>
      <c r="X22" s="94"/>
      <c r="Y22" s="95"/>
      <c r="Z22" s="95"/>
      <c r="AC22" s="139"/>
      <c r="AD22" s="43"/>
      <c r="AE22" s="44"/>
      <c r="AF22" s="45"/>
      <c r="AG22" s="120"/>
      <c r="AH22" s="93">
        <f t="shared" si="1"/>
        <v>0</v>
      </c>
      <c r="AJ22" s="94"/>
      <c r="AK22" s="94"/>
      <c r="AL22" s="94"/>
      <c r="AM22" s="95"/>
      <c r="AN22" s="95"/>
      <c r="AQ22" s="139"/>
      <c r="AR22" s="43"/>
      <c r="AS22" s="44"/>
      <c r="AT22" s="45"/>
      <c r="AU22" s="120"/>
      <c r="AV22" s="93">
        <f t="shared" si="2"/>
        <v>0</v>
      </c>
      <c r="AX22" s="94"/>
      <c r="AY22" s="94"/>
      <c r="AZ22" s="94"/>
      <c r="BA22" s="95"/>
      <c r="BB22" s="95"/>
      <c r="BE22" s="139"/>
      <c r="BF22" s="43"/>
      <c r="BG22" s="44"/>
      <c r="BH22" s="45"/>
      <c r="BI22" s="120"/>
      <c r="BJ22" s="93">
        <f t="shared" si="3"/>
        <v>0</v>
      </c>
      <c r="BL22" s="94"/>
      <c r="BM22" s="94"/>
      <c r="BN22" s="94"/>
      <c r="BO22" s="95"/>
      <c r="BP22" s="95"/>
      <c r="BS22" s="139"/>
      <c r="BT22" s="43"/>
      <c r="BU22" s="44"/>
      <c r="BV22" s="45"/>
      <c r="BW22" s="120"/>
      <c r="BX22" s="93">
        <f t="shared" si="4"/>
        <v>0</v>
      </c>
      <c r="BZ22" s="94"/>
      <c r="CA22" s="94"/>
      <c r="CB22" s="94"/>
      <c r="CC22" s="95"/>
      <c r="CD22" s="95"/>
      <c r="CG22" s="139"/>
      <c r="CH22" s="43"/>
      <c r="CI22" s="44"/>
      <c r="CJ22" s="45"/>
      <c r="CK22" s="120"/>
      <c r="CL22" s="93">
        <f t="shared" si="5"/>
        <v>0</v>
      </c>
      <c r="CN22" s="94"/>
      <c r="CO22" s="94"/>
      <c r="CP22" s="94"/>
      <c r="CQ22" s="95"/>
      <c r="CR22" s="95"/>
      <c r="CU22" s="139"/>
      <c r="CV22" s="43"/>
      <c r="CW22" s="44"/>
      <c r="CX22" s="45"/>
      <c r="CY22" s="120"/>
      <c r="CZ22" s="93">
        <f t="shared" si="6"/>
        <v>0</v>
      </c>
      <c r="DB22" s="94"/>
      <c r="DC22" s="94"/>
      <c r="DD22" s="94"/>
      <c r="DE22" s="95"/>
      <c r="DF22" s="95"/>
      <c r="DI22" s="139"/>
      <c r="DJ22" s="43"/>
      <c r="DK22" s="44"/>
      <c r="DL22" s="45"/>
      <c r="DM22" s="120"/>
      <c r="DN22" s="93">
        <f t="shared" si="7"/>
        <v>0</v>
      </c>
      <c r="DP22" s="94"/>
      <c r="DQ22" s="94"/>
      <c r="DR22" s="94"/>
      <c r="DS22" s="95"/>
      <c r="DT22" s="95"/>
      <c r="DW22" s="139"/>
      <c r="DX22" s="43"/>
      <c r="DY22" s="44"/>
      <c r="DZ22" s="45"/>
      <c r="EA22" s="120"/>
      <c r="EB22" s="93">
        <f t="shared" si="8"/>
        <v>0</v>
      </c>
      <c r="ED22" s="94"/>
      <c r="EE22" s="94"/>
      <c r="EF22" s="94"/>
      <c r="EG22" s="95"/>
      <c r="EH22" s="95"/>
      <c r="EK22" s="139"/>
      <c r="EL22" s="43"/>
      <c r="EM22" s="44"/>
      <c r="EN22" s="45"/>
      <c r="EO22" s="120"/>
      <c r="EP22" s="93">
        <f t="shared" si="9"/>
        <v>0</v>
      </c>
      <c r="ER22" s="94"/>
      <c r="ES22" s="94"/>
      <c r="ET22" s="94"/>
      <c r="EU22" s="95"/>
      <c r="EV22" s="95"/>
      <c r="EY22" s="139"/>
      <c r="EZ22" s="43"/>
      <c r="FA22" s="44"/>
      <c r="FB22" s="45"/>
      <c r="FC22" s="120"/>
      <c r="FD22" s="93">
        <f t="shared" si="10"/>
        <v>0</v>
      </c>
      <c r="FF22" s="94"/>
      <c r="FG22" s="94"/>
      <c r="FH22" s="94"/>
      <c r="FI22" s="95"/>
      <c r="FJ22" s="95"/>
      <c r="FM22" s="139"/>
      <c r="FN22" s="43"/>
      <c r="FO22" s="44"/>
      <c r="FP22" s="45"/>
      <c r="FQ22" s="120"/>
      <c r="FR22" s="93">
        <f t="shared" si="11"/>
        <v>0</v>
      </c>
      <c r="FT22" s="94"/>
      <c r="FU22" s="94"/>
      <c r="FV22" s="94"/>
      <c r="FW22" s="95"/>
      <c r="FX22" s="95"/>
      <c r="GA22" s="139"/>
      <c r="GB22" s="43"/>
      <c r="GC22" s="44"/>
      <c r="GD22" s="45"/>
      <c r="GE22" s="120"/>
      <c r="GF22" s="93">
        <f t="shared" si="12"/>
        <v>0</v>
      </c>
      <c r="GH22" s="94"/>
      <c r="GI22" s="94"/>
      <c r="GJ22" s="94"/>
      <c r="GK22" s="95"/>
      <c r="GL22" s="95"/>
      <c r="GO22" s="139"/>
      <c r="GP22" s="43"/>
      <c r="GQ22" s="44"/>
      <c r="GR22" s="45"/>
      <c r="GS22" s="120"/>
      <c r="GT22" s="93">
        <f t="shared" si="13"/>
        <v>0</v>
      </c>
      <c r="GV22" s="94"/>
      <c r="GW22" s="94"/>
      <c r="GX22" s="94"/>
      <c r="GY22" s="95"/>
      <c r="GZ22" s="95"/>
      <c r="HC22" s="139"/>
      <c r="HD22" s="43"/>
      <c r="HE22" s="44"/>
      <c r="HF22" s="45"/>
      <c r="HG22" s="120"/>
      <c r="HH22" s="93">
        <f t="shared" si="14"/>
        <v>0</v>
      </c>
      <c r="HJ22" s="94"/>
      <c r="HK22" s="94"/>
      <c r="HL22" s="94"/>
      <c r="HM22" s="95"/>
      <c r="HN22" s="95"/>
      <c r="HQ22" s="139"/>
      <c r="HR22" s="43"/>
      <c r="HS22" s="44"/>
      <c r="HT22" s="45"/>
      <c r="HU22" s="120"/>
      <c r="HV22" s="93">
        <f t="shared" si="15"/>
        <v>0</v>
      </c>
      <c r="HX22" s="94"/>
      <c r="HY22" s="94"/>
      <c r="HZ22" s="94"/>
      <c r="IA22" s="95"/>
      <c r="IB22" s="95"/>
      <c r="IE22" s="139"/>
      <c r="IF22" s="43"/>
      <c r="IG22" s="44"/>
      <c r="IH22" s="45"/>
      <c r="II22" s="120"/>
      <c r="IJ22" s="93">
        <f t="shared" si="16"/>
        <v>0</v>
      </c>
      <c r="IL22" s="94"/>
      <c r="IM22" s="94"/>
      <c r="IN22" s="94"/>
      <c r="IO22" s="95"/>
      <c r="IP22" s="95"/>
      <c r="IS22" s="139"/>
      <c r="IT22" s="43"/>
      <c r="IU22" s="44"/>
      <c r="IV22" s="45"/>
      <c r="IW22" s="120"/>
      <c r="IX22" s="93">
        <f t="shared" si="17"/>
        <v>0</v>
      </c>
      <c r="IZ22" s="94"/>
      <c r="JA22" s="94"/>
      <c r="JB22" s="94"/>
      <c r="JC22" s="95"/>
      <c r="JD22" s="95"/>
      <c r="JG22" s="139"/>
      <c r="JH22" s="43"/>
      <c r="JI22" s="44"/>
      <c r="JJ22" s="45"/>
      <c r="JK22" s="120"/>
      <c r="JL22" s="93">
        <f t="shared" si="18"/>
        <v>0</v>
      </c>
      <c r="JN22" s="94"/>
      <c r="JO22" s="94"/>
      <c r="JP22" s="94"/>
      <c r="JQ22" s="95"/>
      <c r="JR22" s="95"/>
      <c r="JU22" s="139"/>
      <c r="JV22" s="43"/>
      <c r="JW22" s="44"/>
      <c r="JX22" s="45"/>
      <c r="JY22" s="120"/>
      <c r="JZ22" s="93">
        <f t="shared" si="19"/>
        <v>0</v>
      </c>
      <c r="KB22" s="94"/>
      <c r="KC22" s="94"/>
      <c r="KD22" s="94"/>
      <c r="KE22" s="95"/>
      <c r="KF22" s="95"/>
      <c r="KI22" s="139"/>
      <c r="KJ22" s="43"/>
      <c r="KK22" s="44"/>
      <c r="KL22" s="45"/>
      <c r="KM22" s="120"/>
      <c r="KN22" s="93">
        <f t="shared" si="20"/>
        <v>0</v>
      </c>
      <c r="KP22" s="94"/>
      <c r="KQ22" s="94"/>
      <c r="KR22" s="94"/>
      <c r="KS22" s="95"/>
      <c r="KT22" s="95"/>
      <c r="KW22" s="140"/>
      <c r="KX22" s="43"/>
      <c r="KY22" s="44"/>
      <c r="KZ22" s="45"/>
      <c r="LA22" s="120"/>
      <c r="LB22" s="93">
        <f t="shared" si="21"/>
        <v>0</v>
      </c>
      <c r="LD22" s="94"/>
      <c r="LE22" s="94"/>
      <c r="LF22" s="94"/>
      <c r="LG22" s="95"/>
      <c r="LH22" s="95"/>
      <c r="LK22" s="140"/>
      <c r="LL22" s="43"/>
      <c r="LM22" s="44"/>
      <c r="LN22" s="45"/>
      <c r="LO22" s="120"/>
      <c r="LP22" s="93">
        <f t="shared" si="22"/>
        <v>0</v>
      </c>
      <c r="LR22" s="94"/>
      <c r="LS22" s="94"/>
      <c r="LT22" s="94"/>
      <c r="LU22" s="95"/>
      <c r="LV22" s="95"/>
      <c r="LY22" s="140"/>
      <c r="LZ22" s="43"/>
      <c r="MA22" s="44"/>
      <c r="MB22" s="45"/>
      <c r="MC22" s="120"/>
      <c r="MD22" s="93">
        <f t="shared" si="23"/>
        <v>0</v>
      </c>
      <c r="MF22" s="94"/>
      <c r="MG22" s="94"/>
      <c r="MH22" s="94"/>
      <c r="MI22" s="95"/>
      <c r="MJ22" s="95"/>
      <c r="MM22" s="140"/>
      <c r="MN22" s="43"/>
      <c r="MO22" s="44"/>
      <c r="MP22" s="45"/>
      <c r="MQ22" s="120"/>
      <c r="MR22" s="93">
        <f t="shared" si="24"/>
        <v>0</v>
      </c>
      <c r="MT22" s="94"/>
      <c r="MU22" s="94"/>
      <c r="MV22" s="94"/>
      <c r="MW22" s="95"/>
      <c r="MX22" s="95"/>
      <c r="NA22" s="140"/>
      <c r="NB22" s="43"/>
      <c r="NC22" s="44"/>
      <c r="ND22" s="45"/>
      <c r="NE22" s="120"/>
      <c r="NF22" s="93">
        <f t="shared" si="25"/>
        <v>0</v>
      </c>
      <c r="NH22" s="94"/>
      <c r="NI22" s="94"/>
      <c r="NJ22" s="94"/>
      <c r="NK22" s="95"/>
      <c r="NL22" s="95"/>
      <c r="NO22" s="140"/>
      <c r="NP22" s="43"/>
      <c r="NQ22" s="44"/>
      <c r="NR22" s="45"/>
      <c r="NS22" s="120"/>
      <c r="NT22" s="93">
        <f t="shared" si="26"/>
        <v>0</v>
      </c>
      <c r="NV22" s="94"/>
      <c r="NW22" s="94"/>
      <c r="NX22" s="94"/>
      <c r="NY22" s="95"/>
      <c r="NZ22" s="95"/>
      <c r="OC22" s="140"/>
      <c r="OD22" s="43"/>
      <c r="OE22" s="44"/>
      <c r="OF22" s="45"/>
      <c r="OG22" s="120"/>
      <c r="OH22" s="93">
        <f t="shared" si="27"/>
        <v>0</v>
      </c>
      <c r="OJ22" s="94"/>
      <c r="OK22" s="94"/>
      <c r="OL22" s="94"/>
      <c r="OM22" s="95"/>
      <c r="ON22" s="95"/>
      <c r="OQ22" s="140"/>
      <c r="OR22" s="43"/>
      <c r="OS22" s="44"/>
      <c r="OT22" s="45"/>
      <c r="OU22" s="120"/>
      <c r="OV22" s="93">
        <f t="shared" si="28"/>
        <v>0</v>
      </c>
      <c r="OX22" s="94"/>
      <c r="OY22" s="94"/>
      <c r="OZ22" s="94"/>
      <c r="PA22" s="95"/>
      <c r="PB22" s="95"/>
      <c r="PE22" s="140"/>
      <c r="PF22" s="43"/>
      <c r="PG22" s="44"/>
      <c r="PH22" s="45"/>
      <c r="PI22" s="120"/>
      <c r="PJ22" s="93">
        <f t="shared" si="29"/>
        <v>0</v>
      </c>
      <c r="PL22" s="94"/>
      <c r="PM22" s="94"/>
      <c r="PN22" s="94"/>
      <c r="PO22" s="95"/>
      <c r="PP22" s="95"/>
      <c r="PS22" s="140"/>
      <c r="PT22" s="43"/>
      <c r="PU22" s="44"/>
      <c r="PV22" s="45"/>
      <c r="PW22" s="120"/>
      <c r="PX22" s="93">
        <f t="shared" si="30"/>
        <v>0</v>
      </c>
      <c r="PZ22" s="94"/>
      <c r="QA22" s="94"/>
      <c r="QB22" s="94"/>
      <c r="QC22" s="95"/>
      <c r="QD22" s="95"/>
      <c r="QG22" s="140"/>
      <c r="QH22" s="43"/>
      <c r="QI22" s="44"/>
      <c r="QJ22" s="45"/>
      <c r="QK22" s="120"/>
      <c r="QL22" s="93">
        <f t="shared" si="31"/>
        <v>0</v>
      </c>
      <c r="QN22" s="94"/>
      <c r="QO22" s="94"/>
      <c r="QP22" s="94"/>
      <c r="QQ22" s="95"/>
      <c r="QR22" s="95"/>
      <c r="QU22" s="140"/>
      <c r="QV22" s="43"/>
      <c r="QW22" s="44"/>
      <c r="QX22" s="45"/>
      <c r="QY22" s="120"/>
      <c r="QZ22" s="93">
        <f t="shared" si="32"/>
        <v>0</v>
      </c>
      <c r="RB22" s="94"/>
      <c r="RC22" s="94"/>
      <c r="RD22" s="94"/>
      <c r="RE22" s="95"/>
      <c r="RF22" s="95"/>
      <c r="RI22" s="140"/>
      <c r="RJ22" s="43"/>
      <c r="RK22" s="44"/>
      <c r="RL22" s="45"/>
      <c r="RM22" s="120"/>
      <c r="RN22" s="93">
        <f t="shared" si="33"/>
        <v>0</v>
      </c>
      <c r="RP22" s="94"/>
      <c r="RQ22" s="94"/>
      <c r="RR22" s="94"/>
      <c r="RS22" s="95"/>
      <c r="RT22" s="95"/>
      <c r="RW22" s="140"/>
      <c r="RX22" s="43"/>
      <c r="RY22" s="44"/>
      <c r="RZ22" s="45"/>
      <c r="SA22" s="120"/>
      <c r="SB22" s="93">
        <f t="shared" si="34"/>
        <v>0</v>
      </c>
      <c r="SD22" s="94"/>
      <c r="SE22" s="94"/>
      <c r="SF22" s="94"/>
      <c r="SG22" s="95"/>
      <c r="SH22" s="95"/>
      <c r="SK22" s="140"/>
      <c r="SL22" s="43"/>
      <c r="SM22" s="44"/>
      <c r="SN22" s="45"/>
      <c r="SO22" s="120"/>
      <c r="SP22" s="93">
        <f t="shared" si="35"/>
        <v>0</v>
      </c>
      <c r="SR22" s="94"/>
      <c r="SS22" s="94"/>
      <c r="ST22" s="94"/>
      <c r="SU22" s="95"/>
      <c r="SV22" s="95"/>
      <c r="SY22" s="140"/>
      <c r="SZ22" s="43"/>
      <c r="TA22" s="44"/>
      <c r="TB22" s="45"/>
      <c r="TC22" s="120"/>
      <c r="TD22" s="93">
        <f t="shared" si="36"/>
        <v>0</v>
      </c>
      <c r="TF22" s="94"/>
      <c r="TG22" s="94"/>
      <c r="TH22" s="94"/>
      <c r="TI22" s="95"/>
      <c r="TJ22" s="95"/>
      <c r="TM22" s="140"/>
      <c r="TN22" s="43"/>
      <c r="TO22" s="44"/>
      <c r="TP22" s="45"/>
      <c r="TQ22" s="120"/>
      <c r="TR22" s="93">
        <f t="shared" si="37"/>
        <v>0</v>
      </c>
      <c r="TT22" s="94"/>
      <c r="TU22" s="94"/>
      <c r="TV22" s="94"/>
      <c r="TW22" s="95"/>
      <c r="TX22" s="95"/>
      <c r="UA22" s="140"/>
      <c r="UB22" s="43"/>
      <c r="UC22" s="44"/>
      <c r="UD22" s="45"/>
      <c r="UE22" s="120"/>
      <c r="UF22" s="93">
        <f t="shared" si="38"/>
        <v>0</v>
      </c>
      <c r="UH22" s="94"/>
      <c r="UI22" s="94"/>
      <c r="UJ22" s="94"/>
      <c r="UK22" s="95"/>
      <c r="UL22" s="95"/>
      <c r="UO22" s="140"/>
      <c r="UP22" s="43"/>
      <c r="UQ22" s="44"/>
      <c r="UR22" s="45"/>
      <c r="US22" s="120"/>
      <c r="UT22" s="93">
        <f t="shared" si="39"/>
        <v>0</v>
      </c>
      <c r="UV22" s="94"/>
      <c r="UW22" s="94"/>
      <c r="UX22" s="94"/>
      <c r="UY22" s="95"/>
      <c r="UZ22" s="95"/>
      <c r="VC22" s="140"/>
      <c r="VD22" s="43"/>
      <c r="VE22" s="44"/>
      <c r="VF22" s="45"/>
      <c r="VG22" s="120"/>
      <c r="VH22" s="93">
        <f t="shared" si="40"/>
        <v>0</v>
      </c>
      <c r="VJ22" s="94"/>
      <c r="VK22" s="94"/>
      <c r="VL22" s="94"/>
      <c r="VM22" s="95"/>
      <c r="VN22" s="95"/>
      <c r="VQ22" s="140"/>
      <c r="VR22" s="43"/>
      <c r="VS22" s="44"/>
      <c r="VT22" s="45"/>
      <c r="VU22" s="120"/>
      <c r="VV22" s="93">
        <f t="shared" si="41"/>
        <v>0</v>
      </c>
      <c r="VX22" s="94"/>
      <c r="VY22" s="94"/>
      <c r="VZ22" s="94"/>
      <c r="WA22" s="95"/>
      <c r="WB22" s="95"/>
      <c r="WE22" s="140"/>
      <c r="WF22" s="43"/>
      <c r="WG22" s="44"/>
      <c r="WH22" s="45"/>
      <c r="WI22" s="120"/>
      <c r="WJ22" s="93">
        <f t="shared" si="42"/>
        <v>0</v>
      </c>
      <c r="WL22" s="94"/>
      <c r="WM22" s="94"/>
      <c r="WN22" s="94"/>
      <c r="WO22" s="95"/>
      <c r="WP22" s="95"/>
      <c r="WS22" s="140"/>
      <c r="WT22" s="43"/>
      <c r="WU22" s="44"/>
      <c r="WV22" s="45"/>
      <c r="WW22" s="120"/>
      <c r="WX22" s="93">
        <f t="shared" si="43"/>
        <v>0</v>
      </c>
      <c r="WZ22" s="94"/>
      <c r="XA22" s="94"/>
      <c r="XB22" s="94"/>
      <c r="XC22" s="95"/>
      <c r="XD22" s="95"/>
      <c r="XG22" s="140"/>
      <c r="XH22" s="43"/>
      <c r="XI22" s="44"/>
      <c r="XJ22" s="45"/>
      <c r="XK22" s="120"/>
      <c r="XL22" s="93">
        <f t="shared" si="44"/>
        <v>0</v>
      </c>
      <c r="XN22" s="94"/>
      <c r="XO22" s="94"/>
      <c r="XP22" s="94"/>
      <c r="XQ22" s="95"/>
      <c r="XR22" s="95"/>
      <c r="XU22" s="140"/>
      <c r="XV22" s="43"/>
      <c r="XW22" s="44"/>
      <c r="XX22" s="45"/>
      <c r="XY22" s="120"/>
      <c r="XZ22" s="93">
        <f t="shared" si="45"/>
        <v>0</v>
      </c>
      <c r="YB22" s="94"/>
      <c r="YC22" s="94"/>
      <c r="YD22" s="94"/>
      <c r="YE22" s="95"/>
      <c r="YF22" s="95"/>
      <c r="YI22" s="140"/>
      <c r="YJ22" s="43"/>
      <c r="YK22" s="44"/>
      <c r="YL22" s="45"/>
      <c r="YM22" s="120"/>
      <c r="YN22" s="93">
        <f t="shared" si="46"/>
        <v>0</v>
      </c>
      <c r="YP22" s="94"/>
      <c r="YQ22" s="94"/>
      <c r="YR22" s="94"/>
      <c r="YS22" s="95"/>
      <c r="YT22" s="95"/>
      <c r="YW22" s="140"/>
      <c r="YX22" s="43"/>
      <c r="YY22" s="44"/>
      <c r="YZ22" s="45"/>
      <c r="ZA22" s="120"/>
      <c r="ZB22" s="93"/>
      <c r="ZD22" s="94"/>
      <c r="ZE22" s="94"/>
      <c r="ZF22" s="94"/>
      <c r="ZG22" s="95"/>
      <c r="ZH22" s="95"/>
      <c r="ZK22" s="140"/>
      <c r="ZL22" s="43"/>
      <c r="ZM22" s="44"/>
      <c r="ZN22" s="45"/>
      <c r="ZO22" s="120"/>
      <c r="ZP22" s="93"/>
      <c r="ZR22" s="94"/>
      <c r="ZS22" s="94"/>
      <c r="ZT22" s="94"/>
      <c r="ZU22" s="95"/>
      <c r="ZV22" s="95"/>
      <c r="ZZ22" s="141"/>
      <c r="AAA22" s="141"/>
      <c r="AAB22" s="141"/>
      <c r="AAC22" s="142" t="s">
        <v>52</v>
      </c>
      <c r="AAD22" s="142"/>
      <c r="AAE22" s="142"/>
      <c r="AAF22" s="143" t="s">
        <v>53</v>
      </c>
      <c r="AAG22" s="144" t="s">
        <v>54</v>
      </c>
      <c r="AAH22" s="144"/>
      <c r="AAI22" s="141"/>
      <c r="AAM22" s="141"/>
      <c r="AAN22" s="141"/>
      <c r="AAO22" s="141"/>
      <c r="AAP22" s="142" t="s">
        <v>52</v>
      </c>
      <c r="AAQ22" s="142"/>
      <c r="AAR22" s="142"/>
      <c r="AAS22" s="143" t="s">
        <v>53</v>
      </c>
      <c r="AAT22" s="144" t="s">
        <v>54</v>
      </c>
      <c r="AAU22" s="144"/>
      <c r="AAV22" s="141"/>
      <c r="AAZ22" s="141"/>
      <c r="ABA22" s="141"/>
      <c r="ABB22" s="141"/>
      <c r="ABC22" s="142" t="s">
        <v>52</v>
      </c>
      <c r="ABD22" s="142"/>
      <c r="ABE22" s="142"/>
      <c r="ABF22" s="143" t="s">
        <v>53</v>
      </c>
      <c r="ABG22" s="144" t="s">
        <v>54</v>
      </c>
      <c r="ABH22" s="144"/>
      <c r="ABI22" s="141"/>
      <c r="ABM22" s="141"/>
      <c r="ABN22" s="141"/>
      <c r="ABO22" s="141"/>
      <c r="ABP22" s="142" t="s">
        <v>52</v>
      </c>
      <c r="ABQ22" s="142"/>
      <c r="ABR22" s="142"/>
      <c r="ABS22" s="143" t="s">
        <v>53</v>
      </c>
      <c r="ABT22" s="144" t="s">
        <v>54</v>
      </c>
      <c r="ABU22" s="144"/>
      <c r="ABV22" s="141"/>
      <c r="ABZ22" s="141"/>
      <c r="ACA22" s="141"/>
      <c r="ACB22" s="141"/>
      <c r="ACC22" s="142" t="s">
        <v>52</v>
      </c>
      <c r="ACD22" s="142"/>
      <c r="ACE22" s="142"/>
      <c r="ACF22" s="143" t="s">
        <v>53</v>
      </c>
      <c r="ACG22" s="144" t="s">
        <v>54</v>
      </c>
      <c r="ACH22" s="144"/>
      <c r="ACI22" s="141"/>
      <c r="ACM22" s="141"/>
      <c r="ACN22" s="141"/>
      <c r="ACO22" s="141"/>
      <c r="ACP22" s="142" t="s">
        <v>52</v>
      </c>
      <c r="ACQ22" s="142"/>
      <c r="ACR22" s="142"/>
      <c r="ACS22" s="143" t="s">
        <v>53</v>
      </c>
      <c r="ACT22" s="144" t="s">
        <v>54</v>
      </c>
      <c r="ACU22" s="144"/>
      <c r="ACV22" s="141"/>
      <c r="ACZ22" s="141"/>
      <c r="ADA22" s="141"/>
      <c r="ADB22" s="141"/>
      <c r="ADC22" s="142" t="s">
        <v>52</v>
      </c>
      <c r="ADD22" s="142"/>
      <c r="ADE22" s="142"/>
      <c r="ADF22" s="143" t="s">
        <v>53</v>
      </c>
      <c r="ADG22" s="144" t="s">
        <v>54</v>
      </c>
      <c r="ADH22" s="144"/>
      <c r="ADI22" s="141"/>
      <c r="ADM22" s="141"/>
      <c r="ADN22" s="141"/>
      <c r="ADO22" s="141"/>
      <c r="ADP22" s="142" t="s">
        <v>52</v>
      </c>
      <c r="ADQ22" s="142"/>
      <c r="ADR22" s="142"/>
      <c r="ADS22" s="143" t="s">
        <v>53</v>
      </c>
      <c r="ADT22" s="144" t="s">
        <v>54</v>
      </c>
      <c r="ADU22" s="144"/>
      <c r="ADV22" s="141"/>
      <c r="ADZ22" s="141"/>
      <c r="AEA22" s="141"/>
      <c r="AEB22" s="141"/>
      <c r="AEC22" s="142" t="s">
        <v>52</v>
      </c>
      <c r="AED22" s="142"/>
      <c r="AEE22" s="142"/>
      <c r="AEF22" s="143" t="s">
        <v>53</v>
      </c>
      <c r="AEG22" s="144" t="s">
        <v>54</v>
      </c>
      <c r="AEH22" s="144"/>
      <c r="AEI22" s="141"/>
      <c r="AEM22" s="141"/>
      <c r="AEN22" s="141"/>
      <c r="AEO22" s="141"/>
      <c r="AEP22" s="142" t="s">
        <v>52</v>
      </c>
      <c r="AEQ22" s="142"/>
      <c r="AER22" s="142"/>
      <c r="AES22" s="143" t="s">
        <v>53</v>
      </c>
      <c r="AET22" s="144" t="s">
        <v>54</v>
      </c>
      <c r="AEU22" s="144"/>
      <c r="AEV22" s="141"/>
      <c r="AEZ22" s="141"/>
      <c r="AFA22" s="141"/>
      <c r="AFB22" s="141"/>
      <c r="AFC22" s="142" t="s">
        <v>52</v>
      </c>
      <c r="AFD22" s="142"/>
      <c r="AFE22" s="142"/>
      <c r="AFF22" s="143" t="s">
        <v>53</v>
      </c>
      <c r="AFG22" s="144" t="s">
        <v>54</v>
      </c>
      <c r="AFH22" s="144"/>
      <c r="AFI22" s="141"/>
      <c r="AFM22" s="141"/>
      <c r="AFN22" s="141"/>
      <c r="AFO22" s="141"/>
      <c r="AFP22" s="142" t="s">
        <v>52</v>
      </c>
      <c r="AFQ22" s="142"/>
      <c r="AFR22" s="142"/>
      <c r="AFS22" s="143" t="s">
        <v>53</v>
      </c>
      <c r="AFT22" s="144" t="s">
        <v>54</v>
      </c>
      <c r="AFU22" s="144"/>
      <c r="AFV22" s="141"/>
      <c r="AFZ22" s="141"/>
      <c r="AGA22" s="141"/>
      <c r="AGB22" s="141"/>
      <c r="AGC22" s="142" t="s">
        <v>52</v>
      </c>
      <c r="AGD22" s="142"/>
      <c r="AGE22" s="142"/>
      <c r="AGF22" s="143" t="s">
        <v>53</v>
      </c>
      <c r="AGG22" s="144" t="s">
        <v>54</v>
      </c>
      <c r="AGH22" s="144"/>
      <c r="AGI22" s="141"/>
      <c r="AGL22" s="141"/>
      <c r="AGM22" s="141"/>
      <c r="AGN22" s="141"/>
      <c r="AGO22" s="142" t="s">
        <v>52</v>
      </c>
      <c r="AGP22" s="142"/>
      <c r="AGQ22" s="142"/>
      <c r="AGR22" s="143" t="s">
        <v>53</v>
      </c>
      <c r="AGS22" s="144" t="s">
        <v>54</v>
      </c>
      <c r="AGT22" s="144"/>
      <c r="AGU22" s="141"/>
      <c r="AGX22" s="141"/>
      <c r="AGY22" s="141"/>
      <c r="AGZ22" s="141"/>
      <c r="AHA22" s="142" t="s">
        <v>52</v>
      </c>
      <c r="AHB22" s="142"/>
      <c r="AHC22" s="142"/>
      <c r="AHD22" s="143" t="s">
        <v>53</v>
      </c>
      <c r="AHE22" s="144" t="s">
        <v>54</v>
      </c>
      <c r="AHF22" s="144"/>
      <c r="AHG22" s="141"/>
      <c r="AHJ22" s="141"/>
      <c r="AHK22" s="141"/>
      <c r="AHL22" s="141"/>
      <c r="AHM22" s="142" t="s">
        <v>52</v>
      </c>
      <c r="AHN22" s="142"/>
      <c r="AHO22" s="142"/>
      <c r="AHP22" s="143" t="s">
        <v>53</v>
      </c>
      <c r="AHQ22" s="144" t="s">
        <v>54</v>
      </c>
      <c r="AHR22" s="144"/>
      <c r="AHS22" s="141"/>
      <c r="AHV22" s="141"/>
      <c r="AHW22" s="141"/>
      <c r="AHX22" s="141"/>
      <c r="AHY22" s="142" t="s">
        <v>52</v>
      </c>
      <c r="AHZ22" s="142"/>
      <c r="AIA22" s="142"/>
      <c r="AIB22" s="143" t="s">
        <v>53</v>
      </c>
      <c r="AIC22" s="144" t="s">
        <v>54</v>
      </c>
      <c r="AID22" s="144"/>
      <c r="AIE22" s="141"/>
      <c r="AIH22" s="141"/>
      <c r="AII22" s="141"/>
      <c r="AIJ22" s="141"/>
      <c r="AIK22" s="142" t="s">
        <v>52</v>
      </c>
      <c r="AIL22" s="142"/>
      <c r="AIM22" s="142"/>
      <c r="AIN22" s="143" t="s">
        <v>53</v>
      </c>
      <c r="AIO22" s="144" t="s">
        <v>54</v>
      </c>
      <c r="AIP22" s="144"/>
      <c r="AIQ22" s="141"/>
      <c r="AIT22" s="141"/>
      <c r="AIU22" s="141"/>
      <c r="AIV22" s="141"/>
      <c r="AIW22" s="142" t="s">
        <v>52</v>
      </c>
      <c r="AIX22" s="142"/>
      <c r="AIY22" s="142"/>
      <c r="AIZ22" s="143" t="s">
        <v>53</v>
      </c>
      <c r="AJA22" s="144" t="s">
        <v>54</v>
      </c>
      <c r="AJB22" s="144"/>
      <c r="AJC22" s="141"/>
      <c r="AJF22" s="141"/>
      <c r="AJG22" s="141"/>
      <c r="AJH22" s="141"/>
      <c r="AJI22" s="142" t="s">
        <v>52</v>
      </c>
      <c r="AJJ22" s="142"/>
      <c r="AJK22" s="142"/>
      <c r="AJL22" s="143" t="s">
        <v>53</v>
      </c>
      <c r="AJM22" s="144" t="s">
        <v>54</v>
      </c>
      <c r="AJN22" s="144"/>
      <c r="AJO22" s="141"/>
      <c r="AJR22" s="141"/>
      <c r="AJS22" s="141"/>
      <c r="AJT22" s="141"/>
      <c r="AJU22" s="142" t="s">
        <v>52</v>
      </c>
      <c r="AJV22" s="142"/>
      <c r="AJW22" s="142"/>
      <c r="AJX22" s="143" t="s">
        <v>53</v>
      </c>
      <c r="AJY22" s="144" t="s">
        <v>54</v>
      </c>
      <c r="AJZ22" s="144"/>
      <c r="AKA22" s="141"/>
      <c r="AKD22" s="141"/>
      <c r="AKE22" s="141"/>
      <c r="AKF22" s="141"/>
      <c r="AKG22" s="142" t="s">
        <v>52</v>
      </c>
      <c r="AKH22" s="142"/>
      <c r="AKI22" s="142"/>
      <c r="AKJ22" s="143" t="s">
        <v>53</v>
      </c>
      <c r="AKK22" s="144" t="s">
        <v>54</v>
      </c>
      <c r="AKL22" s="144"/>
      <c r="AKM22" s="141"/>
      <c r="AKP22" s="141"/>
      <c r="AKQ22" s="141"/>
      <c r="AKR22" s="141"/>
      <c r="AKS22" s="142" t="s">
        <v>52</v>
      </c>
      <c r="AKT22" s="142"/>
      <c r="AKU22" s="142"/>
      <c r="AKV22" s="143" t="s">
        <v>53</v>
      </c>
      <c r="AKW22" s="144" t="s">
        <v>54</v>
      </c>
      <c r="AKX22" s="144"/>
      <c r="AKY22" s="141"/>
      <c r="ALB22" s="141"/>
      <c r="ALC22" s="141"/>
      <c r="ALD22" s="141"/>
      <c r="ALE22" s="142" t="s">
        <v>52</v>
      </c>
      <c r="ALF22" s="142"/>
      <c r="ALG22" s="142"/>
      <c r="ALH22" s="143" t="s">
        <v>53</v>
      </c>
      <c r="ALI22" s="144" t="s">
        <v>54</v>
      </c>
      <c r="ALJ22" s="144"/>
      <c r="ALK22" s="141"/>
      <c r="ALN22" s="141"/>
      <c r="ALO22" s="141"/>
      <c r="ALP22" s="141"/>
      <c r="ALQ22" s="142" t="s">
        <v>52</v>
      </c>
      <c r="ALR22" s="142"/>
      <c r="ALS22" s="142"/>
      <c r="ALT22" s="143" t="s">
        <v>53</v>
      </c>
      <c r="ALU22" s="144" t="s">
        <v>54</v>
      </c>
      <c r="ALV22" s="144"/>
      <c r="ALW22" s="141"/>
      <c r="ALZ22" s="141"/>
      <c r="AMA22" s="141"/>
      <c r="AMB22" s="141"/>
      <c r="AMC22" s="142" t="s">
        <v>52</v>
      </c>
      <c r="AMD22" s="142"/>
      <c r="AME22" s="142"/>
      <c r="AMF22" s="143" t="s">
        <v>53</v>
      </c>
      <c r="AMG22" s="144" t="s">
        <v>54</v>
      </c>
      <c r="AMH22" s="144"/>
      <c r="AMI22" s="141"/>
      <c r="AML22" s="141"/>
      <c r="AMM22" s="141"/>
      <c r="AMN22" s="141"/>
      <c r="AMO22" s="142" t="s">
        <v>52</v>
      </c>
      <c r="AMP22" s="142"/>
      <c r="AMQ22" s="142"/>
      <c r="AMR22" s="143" t="s">
        <v>53</v>
      </c>
      <c r="AMS22" s="144" t="s">
        <v>54</v>
      </c>
      <c r="AMT22" s="144"/>
      <c r="AMU22" s="141"/>
      <c r="AMX22" s="141"/>
      <c r="AMY22" s="141"/>
      <c r="AMZ22" s="141"/>
      <c r="ANA22" s="142" t="s">
        <v>52</v>
      </c>
      <c r="ANB22" s="142"/>
      <c r="ANC22" s="142"/>
      <c r="AND22" s="143" t="s">
        <v>53</v>
      </c>
      <c r="ANE22" s="144" t="s">
        <v>54</v>
      </c>
      <c r="ANF22" s="144"/>
      <c r="ANG22" s="141"/>
      <c r="ANJ22" s="141"/>
      <c r="ANK22" s="141"/>
      <c r="ANL22" s="141"/>
      <c r="ANM22" s="142" t="s">
        <v>52</v>
      </c>
      <c r="ANN22" s="142"/>
      <c r="ANO22" s="142"/>
      <c r="ANP22" s="143" t="s">
        <v>53</v>
      </c>
      <c r="ANQ22" s="144" t="s">
        <v>54</v>
      </c>
      <c r="ANR22" s="144"/>
      <c r="ANS22" s="141"/>
      <c r="ANV22" s="141"/>
      <c r="ANW22" s="141"/>
      <c r="ANX22" s="141"/>
      <c r="ANY22" s="142" t="s">
        <v>52</v>
      </c>
      <c r="ANZ22" s="142"/>
      <c r="AOA22" s="142"/>
      <c r="AOB22" s="143" t="s">
        <v>53</v>
      </c>
      <c r="AOC22" s="144" t="s">
        <v>54</v>
      </c>
      <c r="AOD22" s="144"/>
      <c r="AOE22" s="141"/>
      <c r="AOH22" s="141"/>
      <c r="AOI22" s="141"/>
      <c r="AOJ22" s="141"/>
      <c r="AOK22" s="142" t="s">
        <v>52</v>
      </c>
      <c r="AOL22" s="142"/>
      <c r="AOM22" s="142"/>
      <c r="AON22" s="143" t="s">
        <v>53</v>
      </c>
      <c r="AOO22" s="144" t="s">
        <v>54</v>
      </c>
      <c r="AOP22" s="144"/>
      <c r="AOQ22" s="141"/>
      <c r="AOT22" s="141"/>
      <c r="AOU22" s="141"/>
      <c r="AOV22" s="141"/>
      <c r="AOW22" s="142" t="s">
        <v>52</v>
      </c>
      <c r="AOX22" s="142"/>
      <c r="AOY22" s="142"/>
      <c r="AOZ22" s="143" t="s">
        <v>53</v>
      </c>
      <c r="APA22" s="144" t="s">
        <v>54</v>
      </c>
      <c r="APB22" s="144"/>
      <c r="APC22" s="141"/>
      <c r="APF22" s="141"/>
      <c r="APG22" s="141"/>
      <c r="APH22" s="141"/>
      <c r="API22" s="142" t="s">
        <v>52</v>
      </c>
      <c r="APJ22" s="142"/>
      <c r="APK22" s="142"/>
      <c r="APL22" s="143" t="s">
        <v>53</v>
      </c>
      <c r="APM22" s="144" t="s">
        <v>54</v>
      </c>
      <c r="APN22" s="144"/>
      <c r="APO22" s="141"/>
      <c r="APR22" s="141"/>
      <c r="APS22" s="141"/>
      <c r="APT22" s="141"/>
      <c r="APU22" s="142" t="s">
        <v>52</v>
      </c>
      <c r="APV22" s="142"/>
      <c r="APW22" s="142"/>
      <c r="APX22" s="143" t="s">
        <v>53</v>
      </c>
      <c r="APY22" s="144" t="s">
        <v>54</v>
      </c>
      <c r="APZ22" s="144"/>
      <c r="AQA22" s="141"/>
      <c r="AQD22" s="141"/>
      <c r="AQE22" s="141"/>
      <c r="AQF22" s="141"/>
      <c r="AQG22" s="142" t="s">
        <v>52</v>
      </c>
      <c r="AQH22" s="142"/>
      <c r="AQI22" s="142"/>
      <c r="AQJ22" s="143" t="s">
        <v>53</v>
      </c>
      <c r="AQK22" s="144" t="s">
        <v>54</v>
      </c>
      <c r="AQL22" s="144"/>
      <c r="AQM22" s="141"/>
      <c r="AQP22" s="141"/>
      <c r="AQQ22" s="141"/>
      <c r="AQR22" s="141"/>
      <c r="AQS22" s="142" t="s">
        <v>52</v>
      </c>
      <c r="AQT22" s="142"/>
      <c r="AQU22" s="142"/>
      <c r="AQV22" s="143" t="s">
        <v>53</v>
      </c>
      <c r="AQW22" s="144" t="s">
        <v>54</v>
      </c>
      <c r="AQX22" s="144"/>
      <c r="AQY22" s="141"/>
      <c r="ARB22" s="141"/>
      <c r="ARC22" s="141"/>
      <c r="ARD22" s="141"/>
      <c r="ARE22" s="142" t="s">
        <v>52</v>
      </c>
      <c r="ARF22" s="142"/>
      <c r="ARG22" s="142"/>
      <c r="ARH22" s="143" t="s">
        <v>53</v>
      </c>
      <c r="ARI22" s="144" t="s">
        <v>54</v>
      </c>
      <c r="ARJ22" s="144"/>
      <c r="ARK22" s="141"/>
      <c r="ARN22" s="141"/>
      <c r="ARO22" s="141"/>
      <c r="ARP22" s="141"/>
      <c r="ARQ22" s="142" t="s">
        <v>52</v>
      </c>
      <c r="ARR22" s="142"/>
      <c r="ARS22" s="142"/>
      <c r="ART22" s="143" t="s">
        <v>53</v>
      </c>
      <c r="ARU22" s="144" t="s">
        <v>54</v>
      </c>
      <c r="ARV22" s="144"/>
      <c r="ARW22" s="141"/>
      <c r="ARZ22" s="141"/>
      <c r="ASA22" s="141"/>
      <c r="ASB22" s="141"/>
      <c r="ASC22" s="142" t="s">
        <v>52</v>
      </c>
      <c r="ASD22" s="142"/>
      <c r="ASE22" s="142"/>
      <c r="ASF22" s="143" t="s">
        <v>53</v>
      </c>
      <c r="ASG22" s="144" t="s">
        <v>54</v>
      </c>
      <c r="ASH22" s="144"/>
      <c r="ASI22" s="141"/>
      <c r="ASL22" s="141"/>
      <c r="ASM22" s="141"/>
      <c r="ASN22" s="141"/>
      <c r="ASO22" s="142" t="s">
        <v>52</v>
      </c>
      <c r="ASP22" s="142"/>
      <c r="ASQ22" s="142"/>
      <c r="ASR22" s="143" t="s">
        <v>53</v>
      </c>
      <c r="ASS22" s="144" t="s">
        <v>54</v>
      </c>
      <c r="AST22" s="144"/>
      <c r="ASU22" s="141"/>
      <c r="ASX22" s="141"/>
      <c r="ASY22" s="141"/>
      <c r="ASZ22" s="141"/>
      <c r="ATA22" s="142" t="s">
        <v>52</v>
      </c>
      <c r="ATB22" s="142"/>
      <c r="ATC22" s="142"/>
      <c r="ATD22" s="143" t="s">
        <v>53</v>
      </c>
      <c r="ATE22" s="144" t="s">
        <v>54</v>
      </c>
      <c r="ATF22" s="144"/>
      <c r="ATG22" s="141"/>
      <c r="ATJ22" s="141"/>
      <c r="ATK22" s="141"/>
      <c r="ATL22" s="141"/>
      <c r="ATM22" s="142" t="s">
        <v>52</v>
      </c>
      <c r="ATN22" s="142"/>
      <c r="ATO22" s="142"/>
      <c r="ATP22" s="143" t="s">
        <v>53</v>
      </c>
      <c r="ATQ22" s="144" t="s">
        <v>54</v>
      </c>
      <c r="ATR22" s="144"/>
      <c r="ATS22" s="141"/>
      <c r="ATV22" s="141"/>
      <c r="ATW22" s="141"/>
      <c r="ATX22" s="141"/>
      <c r="ATY22" s="142" t="s">
        <v>52</v>
      </c>
      <c r="ATZ22" s="142"/>
      <c r="AUA22" s="142"/>
      <c r="AUB22" s="143" t="s">
        <v>53</v>
      </c>
      <c r="AUC22" s="144" t="s">
        <v>54</v>
      </c>
      <c r="AUD22" s="144"/>
      <c r="AUE22" s="141"/>
      <c r="AUH22" s="141"/>
      <c r="AUI22" s="141"/>
      <c r="AUJ22" s="141"/>
      <c r="AUK22" s="142" t="s">
        <v>52</v>
      </c>
      <c r="AUL22" s="142"/>
      <c r="AUM22" s="142"/>
      <c r="AUN22" s="143" t="s">
        <v>53</v>
      </c>
      <c r="AUO22" s="144" t="s">
        <v>54</v>
      </c>
      <c r="AUP22" s="144"/>
      <c r="AUQ22" s="141"/>
      <c r="AUT22" s="141"/>
      <c r="AUU22" s="141"/>
      <c r="AUV22" s="141"/>
      <c r="AUW22" s="142" t="s">
        <v>52</v>
      </c>
      <c r="AUX22" s="142"/>
      <c r="AUY22" s="142"/>
      <c r="AUZ22" s="143" t="s">
        <v>53</v>
      </c>
      <c r="AVA22" s="144" t="s">
        <v>54</v>
      </c>
      <c r="AVB22" s="144"/>
      <c r="AVC22" s="141"/>
      <c r="AVF22" s="141"/>
      <c r="AVG22" s="141"/>
      <c r="AVH22" s="141"/>
      <c r="AVI22" s="142" t="s">
        <v>52</v>
      </c>
      <c r="AVJ22" s="142"/>
      <c r="AVK22" s="142"/>
      <c r="AVL22" s="143" t="s">
        <v>53</v>
      </c>
      <c r="AVM22" s="144" t="s">
        <v>54</v>
      </c>
      <c r="AVN22" s="144"/>
      <c r="AVO22" s="141"/>
      <c r="AVR22" s="141"/>
      <c r="AVS22" s="141"/>
      <c r="AVT22" s="141"/>
      <c r="AVU22" s="142" t="s">
        <v>52</v>
      </c>
      <c r="AVV22" s="142"/>
      <c r="AVW22" s="142"/>
      <c r="AVX22" s="143" t="s">
        <v>53</v>
      </c>
      <c r="AVY22" s="144" t="s">
        <v>54</v>
      </c>
      <c r="AVZ22" s="144"/>
      <c r="AWA22" s="141"/>
      <c r="AWD22" s="141"/>
      <c r="AWE22" s="141"/>
      <c r="AWF22" s="141"/>
      <c r="AWG22" s="142" t="s">
        <v>52</v>
      </c>
      <c r="AWH22" s="142"/>
      <c r="AWI22" s="142"/>
      <c r="AWJ22" s="143" t="s">
        <v>53</v>
      </c>
      <c r="AWK22" s="144" t="s">
        <v>54</v>
      </c>
      <c r="AWL22" s="144"/>
      <c r="AWM22" s="141"/>
      <c r="AWP22" s="141"/>
      <c r="AWQ22" s="141"/>
      <c r="AWR22" s="141"/>
      <c r="AWS22" s="142" t="s">
        <v>52</v>
      </c>
      <c r="AWT22" s="142"/>
      <c r="AWU22" s="142"/>
      <c r="AWV22" s="143" t="s">
        <v>53</v>
      </c>
      <c r="AWW22" s="144" t="s">
        <v>54</v>
      </c>
      <c r="AWX22" s="144"/>
      <c r="AWY22" s="141"/>
      <c r="AXB22" s="141"/>
      <c r="AXC22" s="141"/>
      <c r="AXD22" s="141"/>
      <c r="AXE22" s="142" t="s">
        <v>52</v>
      </c>
      <c r="AXF22" s="142"/>
      <c r="AXG22" s="142"/>
      <c r="AXH22" s="143" t="s">
        <v>53</v>
      </c>
      <c r="AXI22" s="144" t="s">
        <v>54</v>
      </c>
      <c r="AXJ22" s="144"/>
      <c r="AXK22" s="141"/>
      <c r="AXN22" s="141"/>
      <c r="AXO22" s="141"/>
      <c r="AXP22" s="141"/>
      <c r="AXQ22" s="142" t="s">
        <v>52</v>
      </c>
      <c r="AXR22" s="142"/>
      <c r="AXS22" s="142"/>
      <c r="AXT22" s="143" t="s">
        <v>53</v>
      </c>
      <c r="AXU22" s="144" t="s">
        <v>54</v>
      </c>
      <c r="AXV22" s="144"/>
      <c r="AXW22" s="141"/>
      <c r="AXZ22" s="141"/>
      <c r="AYA22" s="141"/>
      <c r="AYB22" s="141"/>
      <c r="AYC22" s="142" t="s">
        <v>52</v>
      </c>
      <c r="AYD22" s="142"/>
      <c r="AYE22" s="142"/>
      <c r="AYF22" s="143" t="s">
        <v>53</v>
      </c>
      <c r="AYG22" s="144" t="s">
        <v>54</v>
      </c>
      <c r="AYH22" s="144"/>
      <c r="AYI22" s="141"/>
      <c r="AYL22" s="141"/>
      <c r="AYM22" s="141"/>
      <c r="AYN22" s="141"/>
      <c r="AYO22" s="142" t="s">
        <v>52</v>
      </c>
      <c r="AYP22" s="142"/>
      <c r="AYQ22" s="142"/>
      <c r="AYR22" s="143" t="s">
        <v>53</v>
      </c>
      <c r="AYS22" s="144" t="s">
        <v>54</v>
      </c>
      <c r="AYT22" s="144"/>
      <c r="AYU22" s="141"/>
      <c r="AYX22" s="141"/>
      <c r="AYY22" s="141"/>
      <c r="AYZ22" s="141"/>
      <c r="AZA22" s="142" t="s">
        <v>52</v>
      </c>
      <c r="AZB22" s="142"/>
      <c r="AZC22" s="142"/>
      <c r="AZD22" s="143" t="s">
        <v>53</v>
      </c>
      <c r="AZE22" s="144" t="s">
        <v>54</v>
      </c>
      <c r="AZF22" s="144"/>
      <c r="AZG22" s="141"/>
      <c r="AZJ22" s="141"/>
      <c r="AZK22" s="141"/>
      <c r="AZL22" s="141"/>
      <c r="AZM22" s="142" t="s">
        <v>52</v>
      </c>
      <c r="AZN22" s="142"/>
      <c r="AZO22" s="142"/>
      <c r="AZP22" s="143" t="s">
        <v>53</v>
      </c>
      <c r="AZQ22" s="144" t="s">
        <v>54</v>
      </c>
      <c r="AZR22" s="144"/>
      <c r="AZS22" s="141"/>
      <c r="AZV22" s="141"/>
      <c r="AZW22" s="141"/>
      <c r="AZX22" s="141"/>
      <c r="AZY22" s="142" t="s">
        <v>52</v>
      </c>
      <c r="AZZ22" s="142"/>
      <c r="BAA22" s="142"/>
      <c r="BAB22" s="143" t="s">
        <v>53</v>
      </c>
      <c r="BAC22" s="144" t="s">
        <v>54</v>
      </c>
      <c r="BAD22" s="144"/>
      <c r="BAE22" s="141"/>
      <c r="BAH22" s="141"/>
      <c r="BAI22" s="141"/>
      <c r="BAJ22" s="141"/>
      <c r="BAK22" s="142" t="s">
        <v>52</v>
      </c>
      <c r="BAL22" s="142"/>
      <c r="BAM22" s="142"/>
      <c r="BAN22" s="143" t="s">
        <v>53</v>
      </c>
      <c r="BAO22" s="144" t="s">
        <v>54</v>
      </c>
      <c r="BAP22" s="144"/>
      <c r="BAQ22" s="141"/>
      <c r="BAT22" s="141"/>
      <c r="BAU22" s="141"/>
      <c r="BAV22" s="141"/>
      <c r="BAW22" s="142" t="s">
        <v>52</v>
      </c>
      <c r="BAX22" s="142"/>
      <c r="BAY22" s="142"/>
      <c r="BAZ22" s="143" t="s">
        <v>53</v>
      </c>
      <c r="BBA22" s="144" t="s">
        <v>54</v>
      </c>
      <c r="BBB22" s="144"/>
      <c r="BBC22" s="141"/>
      <c r="BBF22" s="141"/>
      <c r="BBG22" s="141"/>
      <c r="BBH22" s="141"/>
      <c r="BBI22" s="142" t="s">
        <v>52</v>
      </c>
      <c r="BBJ22" s="142"/>
      <c r="BBK22" s="142"/>
      <c r="BBL22" s="143" t="s">
        <v>53</v>
      </c>
      <c r="BBM22" s="144" t="s">
        <v>54</v>
      </c>
      <c r="BBN22" s="144"/>
      <c r="BBO22" s="141"/>
      <c r="BBR22" s="141"/>
      <c r="BBS22" s="141"/>
      <c r="BBT22" s="141"/>
      <c r="BBU22" s="142" t="s">
        <v>52</v>
      </c>
      <c r="BBV22" s="142"/>
      <c r="BBW22" s="142"/>
      <c r="BBX22" s="143" t="s">
        <v>53</v>
      </c>
      <c r="BBY22" s="144" t="s">
        <v>54</v>
      </c>
      <c r="BBZ22" s="144"/>
      <c r="BCA22" s="141"/>
      <c r="BCD22" s="141"/>
      <c r="BCE22" s="141"/>
      <c r="BCF22" s="141"/>
      <c r="BCG22" s="142" t="s">
        <v>52</v>
      </c>
      <c r="BCH22" s="142"/>
      <c r="BCI22" s="142"/>
      <c r="BCJ22" s="143" t="s">
        <v>53</v>
      </c>
      <c r="BCK22" s="144" t="s">
        <v>54</v>
      </c>
      <c r="BCL22" s="144"/>
      <c r="BCM22" s="141"/>
      <c r="BCP22" s="141"/>
      <c r="BCQ22" s="141"/>
      <c r="BCR22" s="141"/>
      <c r="BCS22" s="142" t="s">
        <v>52</v>
      </c>
      <c r="BCT22" s="142"/>
      <c r="BCU22" s="142"/>
      <c r="BCV22" s="143" t="s">
        <v>53</v>
      </c>
      <c r="BCW22" s="144" t="s">
        <v>54</v>
      </c>
      <c r="BCX22" s="144"/>
      <c r="BCY22" s="141"/>
      <c r="BDB22" s="141"/>
      <c r="BDC22" s="141"/>
      <c r="BDD22" s="141"/>
      <c r="BDE22" s="142" t="s">
        <v>52</v>
      </c>
      <c r="BDF22" s="142"/>
      <c r="BDG22" s="142"/>
      <c r="BDH22" s="143" t="s">
        <v>53</v>
      </c>
      <c r="BDI22" s="144" t="s">
        <v>54</v>
      </c>
      <c r="BDJ22" s="144"/>
      <c r="BDK22" s="141"/>
      <c r="BDN22" s="141"/>
      <c r="BDO22" s="141"/>
      <c r="BDP22" s="141"/>
      <c r="BDQ22" s="142" t="s">
        <v>52</v>
      </c>
      <c r="BDR22" s="142"/>
      <c r="BDS22" s="142"/>
      <c r="BDT22" s="143" t="s">
        <v>53</v>
      </c>
      <c r="BDU22" s="144" t="s">
        <v>54</v>
      </c>
      <c r="BDV22" s="144"/>
      <c r="BDW22" s="141"/>
      <c r="BDZ22" s="141"/>
      <c r="BEA22" s="141"/>
      <c r="BEB22" s="141"/>
      <c r="BEC22" s="142" t="s">
        <v>52</v>
      </c>
      <c r="BED22" s="142"/>
      <c r="BEE22" s="142"/>
      <c r="BEF22" s="143" t="s">
        <v>53</v>
      </c>
      <c r="BEG22" s="144" t="s">
        <v>54</v>
      </c>
      <c r="BEH22" s="144"/>
      <c r="BEI22" s="141"/>
      <c r="BEL22" s="141"/>
      <c r="BEM22" s="141"/>
      <c r="BEN22" s="141"/>
      <c r="BEO22" s="142" t="s">
        <v>52</v>
      </c>
      <c r="BEP22" s="142"/>
      <c r="BEQ22" s="142"/>
      <c r="BER22" s="143" t="s">
        <v>53</v>
      </c>
      <c r="BES22" s="144" t="s">
        <v>54</v>
      </c>
      <c r="BET22" s="144"/>
      <c r="BEU22" s="141"/>
      <c r="BEX22" s="141"/>
      <c r="BEY22" s="141"/>
      <c r="BEZ22" s="141"/>
      <c r="BFA22" s="142" t="s">
        <v>52</v>
      </c>
      <c r="BFB22" s="142"/>
      <c r="BFC22" s="142"/>
      <c r="BFD22" s="143" t="s">
        <v>53</v>
      </c>
      <c r="BFE22" s="144" t="s">
        <v>54</v>
      </c>
      <c r="BFF22" s="144"/>
      <c r="BFG22" s="141"/>
      <c r="BFJ22" s="141"/>
      <c r="BFK22" s="141"/>
      <c r="BFL22" s="141"/>
      <c r="BFM22" s="142" t="s">
        <v>52</v>
      </c>
      <c r="BFN22" s="142"/>
      <c r="BFO22" s="142"/>
      <c r="BFP22" s="143" t="s">
        <v>53</v>
      </c>
      <c r="BFQ22" s="144" t="s">
        <v>54</v>
      </c>
      <c r="BFR22" s="144"/>
      <c r="BFS22" s="141"/>
      <c r="BFV22" s="141"/>
      <c r="BFW22" s="141"/>
      <c r="BFX22" s="141"/>
      <c r="BFY22" s="142" t="s">
        <v>52</v>
      </c>
      <c r="BFZ22" s="142"/>
      <c r="BGA22" s="142"/>
      <c r="BGB22" s="143" t="s">
        <v>53</v>
      </c>
      <c r="BGC22" s="144" t="s">
        <v>54</v>
      </c>
      <c r="BGD22" s="144"/>
      <c r="BGE22" s="141"/>
      <c r="BGH22" s="141"/>
      <c r="BGI22" s="141"/>
      <c r="BGJ22" s="141"/>
      <c r="BGK22" s="142" t="s">
        <v>52</v>
      </c>
      <c r="BGL22" s="142"/>
      <c r="BGM22" s="142"/>
      <c r="BGN22" s="143" t="s">
        <v>53</v>
      </c>
      <c r="BGO22" s="144" t="s">
        <v>54</v>
      </c>
      <c r="BGP22" s="144"/>
      <c r="BGQ22" s="141"/>
      <c r="BGT22" s="141"/>
      <c r="BGU22" s="141"/>
      <c r="BGV22" s="141"/>
      <c r="BGW22" s="142" t="s">
        <v>52</v>
      </c>
      <c r="BGX22" s="142"/>
      <c r="BGY22" s="142"/>
      <c r="BGZ22" s="143" t="s">
        <v>53</v>
      </c>
      <c r="BHA22" s="144" t="s">
        <v>54</v>
      </c>
      <c r="BHB22" s="144"/>
      <c r="BHC22" s="141"/>
      <c r="BHF22" s="141"/>
      <c r="BHG22" s="141"/>
      <c r="BHH22" s="141"/>
      <c r="BHI22" s="142" t="s">
        <v>52</v>
      </c>
      <c r="BHJ22" s="142"/>
      <c r="BHK22" s="142"/>
      <c r="BHL22" s="143" t="s">
        <v>53</v>
      </c>
      <c r="BHM22" s="144" t="s">
        <v>54</v>
      </c>
      <c r="BHN22" s="144"/>
      <c r="BHO22" s="141"/>
      <c r="BHR22" s="141"/>
      <c r="BHS22" s="141"/>
      <c r="BHT22" s="141"/>
      <c r="BHU22" s="142" t="s">
        <v>52</v>
      </c>
      <c r="BHV22" s="142"/>
      <c r="BHW22" s="142"/>
      <c r="BHX22" s="143" t="s">
        <v>53</v>
      </c>
      <c r="BHY22" s="144" t="s">
        <v>54</v>
      </c>
      <c r="BHZ22" s="144"/>
      <c r="BIA22" s="141"/>
      <c r="BID22" s="141"/>
      <c r="BIE22" s="141"/>
      <c r="BIF22" s="141"/>
      <c r="BIG22" s="142" t="s">
        <v>52</v>
      </c>
      <c r="BIH22" s="142"/>
      <c r="BII22" s="142"/>
      <c r="BIJ22" s="143" t="s">
        <v>53</v>
      </c>
      <c r="BIK22" s="144" t="s">
        <v>54</v>
      </c>
      <c r="BIL22" s="144"/>
      <c r="BIM22" s="141"/>
      <c r="BIP22" s="141"/>
      <c r="BIQ22" s="141"/>
      <c r="BIR22" s="141"/>
      <c r="BIS22" s="142" t="s">
        <v>52</v>
      </c>
      <c r="BIT22" s="142"/>
      <c r="BIU22" s="142"/>
      <c r="BIV22" s="143" t="s">
        <v>53</v>
      </c>
      <c r="BIW22" s="144" t="s">
        <v>54</v>
      </c>
      <c r="BIX22" s="144"/>
      <c r="BIY22" s="141"/>
      <c r="BJB22" s="141"/>
      <c r="BJC22" s="141"/>
      <c r="BJD22" s="141"/>
      <c r="BJE22" s="142" t="s">
        <v>52</v>
      </c>
      <c r="BJF22" s="142"/>
      <c r="BJG22" s="142"/>
      <c r="BJH22" s="143" t="s">
        <v>53</v>
      </c>
      <c r="BJI22" s="144" t="s">
        <v>54</v>
      </c>
      <c r="BJJ22" s="144"/>
      <c r="BJK22" s="141"/>
      <c r="BJN22" s="141"/>
      <c r="BJO22" s="141"/>
      <c r="BJP22" s="141"/>
      <c r="BJQ22" s="142" t="s">
        <v>52</v>
      </c>
      <c r="BJR22" s="142"/>
      <c r="BJS22" s="142"/>
      <c r="BJT22" s="143" t="s">
        <v>53</v>
      </c>
      <c r="BJU22" s="144" t="s">
        <v>54</v>
      </c>
      <c r="BJV22" s="144"/>
      <c r="BJW22" s="141"/>
      <c r="BJZ22" s="141"/>
      <c r="BKA22" s="141"/>
      <c r="BKB22" s="141"/>
      <c r="BKC22" s="142" t="s">
        <v>52</v>
      </c>
      <c r="BKD22" s="142"/>
      <c r="BKE22" s="142"/>
      <c r="BKF22" s="143" t="s">
        <v>53</v>
      </c>
      <c r="BKG22" s="144" t="s">
        <v>54</v>
      </c>
      <c r="BKH22" s="144"/>
      <c r="BKI22" s="141"/>
      <c r="BKL22" s="141"/>
      <c r="BKM22" s="141"/>
      <c r="BKN22" s="141"/>
      <c r="BKO22" s="142" t="s">
        <v>52</v>
      </c>
      <c r="BKP22" s="142"/>
      <c r="BKQ22" s="142"/>
      <c r="BKR22" s="143" t="s">
        <v>53</v>
      </c>
      <c r="BKS22" s="144" t="s">
        <v>54</v>
      </c>
      <c r="BKT22" s="144"/>
      <c r="BKU22" s="141"/>
      <c r="BKX22" s="141"/>
      <c r="BKY22" s="141"/>
      <c r="BKZ22" s="141"/>
      <c r="BLA22" s="142" t="s">
        <v>52</v>
      </c>
      <c r="BLB22" s="142"/>
      <c r="BLC22" s="142"/>
      <c r="BLD22" s="143" t="s">
        <v>53</v>
      </c>
      <c r="BLE22" s="144" t="s">
        <v>54</v>
      </c>
      <c r="BLF22" s="144"/>
      <c r="BLG22" s="141"/>
      <c r="BLJ22" s="141"/>
      <c r="BLK22" s="141"/>
      <c r="BLL22" s="141"/>
      <c r="BLM22" s="142" t="s">
        <v>52</v>
      </c>
      <c r="BLN22" s="142"/>
      <c r="BLO22" s="142"/>
      <c r="BLP22" s="143" t="s">
        <v>53</v>
      </c>
      <c r="BLQ22" s="144" t="s">
        <v>54</v>
      </c>
      <c r="BLR22" s="144"/>
      <c r="BLS22" s="141"/>
      <c r="BLV22" s="141"/>
      <c r="BLW22" s="141"/>
      <c r="BLX22" s="141"/>
      <c r="BLY22" s="142" t="s">
        <v>52</v>
      </c>
      <c r="BLZ22" s="142"/>
      <c r="BMA22" s="142"/>
      <c r="BMB22" s="143" t="s">
        <v>53</v>
      </c>
      <c r="BMC22" s="144" t="s">
        <v>54</v>
      </c>
      <c r="BMD22" s="144"/>
      <c r="BME22" s="141"/>
      <c r="BMH22" s="141"/>
      <c r="BMI22" s="141"/>
      <c r="BMJ22" s="141"/>
      <c r="BMK22" s="142" t="s">
        <v>52</v>
      </c>
      <c r="BML22" s="142"/>
      <c r="BMM22" s="142"/>
      <c r="BMN22" s="143" t="s">
        <v>53</v>
      </c>
      <c r="BMO22" s="144" t="s">
        <v>54</v>
      </c>
      <c r="BMP22" s="144"/>
      <c r="BMQ22" s="141"/>
      <c r="BMT22" s="141"/>
      <c r="BMU22" s="141"/>
      <c r="BMV22" s="141"/>
      <c r="BMW22" s="142" t="s">
        <v>52</v>
      </c>
      <c r="BMX22" s="142"/>
      <c r="BMY22" s="142"/>
      <c r="BMZ22" s="143" t="s">
        <v>53</v>
      </c>
      <c r="BNA22" s="144" t="s">
        <v>54</v>
      </c>
      <c r="BNB22" s="144"/>
      <c r="BNC22" s="141"/>
      <c r="BNF22" s="141"/>
      <c r="BNG22" s="141"/>
      <c r="BNH22" s="141"/>
      <c r="BNI22" s="142" t="s">
        <v>52</v>
      </c>
      <c r="BNJ22" s="142"/>
      <c r="BNK22" s="142"/>
      <c r="BNL22" s="143" t="s">
        <v>53</v>
      </c>
      <c r="BNM22" s="144" t="s">
        <v>54</v>
      </c>
      <c r="BNN22" s="144"/>
      <c r="BNO22" s="141"/>
      <c r="BNR22" s="141"/>
      <c r="BNS22" s="141"/>
      <c r="BNT22" s="141"/>
      <c r="BNU22" s="142" t="s">
        <v>52</v>
      </c>
      <c r="BNV22" s="142"/>
      <c r="BNW22" s="142"/>
      <c r="BNX22" s="143" t="s">
        <v>53</v>
      </c>
      <c r="BNY22" s="144" t="s">
        <v>54</v>
      </c>
      <c r="BNZ22" s="144"/>
      <c r="BOA22" s="141"/>
      <c r="BOD22" s="141"/>
      <c r="BOE22" s="141"/>
      <c r="BOF22" s="141"/>
      <c r="BOG22" s="142" t="s">
        <v>52</v>
      </c>
      <c r="BOH22" s="142"/>
      <c r="BOI22" s="142"/>
      <c r="BOJ22" s="143" t="s">
        <v>53</v>
      </c>
      <c r="BOK22" s="144" t="s">
        <v>54</v>
      </c>
      <c r="BOL22" s="144"/>
      <c r="BOM22" s="141"/>
      <c r="BOP22" s="141"/>
      <c r="BOQ22" s="141"/>
      <c r="BOR22" s="141"/>
      <c r="BOS22" s="142" t="s">
        <v>52</v>
      </c>
      <c r="BOT22" s="142"/>
      <c r="BOU22" s="142"/>
      <c r="BOV22" s="143" t="s">
        <v>53</v>
      </c>
      <c r="BOW22" s="144" t="s">
        <v>54</v>
      </c>
      <c r="BOX22" s="144"/>
      <c r="BOY22" s="141"/>
      <c r="BPB22" s="141"/>
      <c r="BPC22" s="141"/>
      <c r="BPD22" s="141"/>
      <c r="BPE22" s="142" t="s">
        <v>52</v>
      </c>
      <c r="BPF22" s="142"/>
      <c r="BPG22" s="142"/>
      <c r="BPH22" s="143" t="s">
        <v>53</v>
      </c>
      <c r="BPI22" s="144" t="s">
        <v>54</v>
      </c>
      <c r="BPJ22" s="144"/>
      <c r="BPK22" s="141"/>
      <c r="BPN22" s="141"/>
      <c r="BPO22" s="141"/>
      <c r="BPP22" s="141"/>
      <c r="BPQ22" s="142" t="s">
        <v>52</v>
      </c>
      <c r="BPR22" s="142"/>
      <c r="BPS22" s="142"/>
      <c r="BPT22" s="143" t="s">
        <v>53</v>
      </c>
      <c r="BPU22" s="144" t="s">
        <v>54</v>
      </c>
      <c r="BPV22" s="144"/>
      <c r="BPW22" s="141"/>
      <c r="BPZ22" s="141"/>
      <c r="BQA22" s="141"/>
      <c r="BQB22" s="141"/>
      <c r="BQC22" s="142" t="s">
        <v>52</v>
      </c>
      <c r="BQD22" s="142"/>
      <c r="BQE22" s="142"/>
      <c r="BQF22" s="143" t="s">
        <v>53</v>
      </c>
      <c r="BQG22" s="144" t="s">
        <v>54</v>
      </c>
      <c r="BQH22" s="144"/>
      <c r="BQI22" s="141"/>
      <c r="BQL22" s="141"/>
      <c r="BQM22" s="141"/>
      <c r="BQN22" s="141"/>
      <c r="BQO22" s="142" t="s">
        <v>52</v>
      </c>
      <c r="BQP22" s="142"/>
      <c r="BQQ22" s="142"/>
      <c r="BQR22" s="143" t="s">
        <v>53</v>
      </c>
      <c r="BQS22" s="144" t="s">
        <v>54</v>
      </c>
      <c r="BQT22" s="144"/>
      <c r="BQU22" s="141"/>
      <c r="BQX22" s="141"/>
      <c r="BQY22" s="141"/>
      <c r="BQZ22" s="141"/>
      <c r="BRA22" s="142" t="s">
        <v>52</v>
      </c>
      <c r="BRB22" s="142"/>
      <c r="BRC22" s="142"/>
      <c r="BRD22" s="143" t="s">
        <v>53</v>
      </c>
      <c r="BRE22" s="144" t="s">
        <v>54</v>
      </c>
      <c r="BRF22" s="144"/>
      <c r="BRG22" s="141"/>
      <c r="BRJ22" s="141"/>
      <c r="BRK22" s="141"/>
      <c r="BRL22" s="141"/>
      <c r="BRM22" s="142" t="s">
        <v>52</v>
      </c>
      <c r="BRN22" s="142"/>
      <c r="BRO22" s="142"/>
      <c r="BRP22" s="143" t="s">
        <v>53</v>
      </c>
      <c r="BRQ22" s="144" t="s">
        <v>54</v>
      </c>
      <c r="BRR22" s="144"/>
      <c r="BRS22" s="141"/>
      <c r="BRV22" s="141"/>
      <c r="BRW22" s="141"/>
      <c r="BRX22" s="141"/>
      <c r="BRY22" s="142" t="s">
        <v>52</v>
      </c>
      <c r="BRZ22" s="142"/>
      <c r="BSA22" s="142"/>
      <c r="BSB22" s="143" t="s">
        <v>53</v>
      </c>
      <c r="BSC22" s="144" t="s">
        <v>54</v>
      </c>
      <c r="BSD22" s="144"/>
      <c r="BSE22" s="141"/>
      <c r="BSH22" s="141"/>
      <c r="BSI22" s="141"/>
      <c r="BSJ22" s="141"/>
      <c r="BSK22" s="142" t="s">
        <v>52</v>
      </c>
      <c r="BSL22" s="142"/>
      <c r="BSM22" s="142"/>
      <c r="BSN22" s="143" t="s">
        <v>53</v>
      </c>
      <c r="BSO22" s="144" t="s">
        <v>54</v>
      </c>
      <c r="BSP22" s="144"/>
      <c r="BSQ22" s="141"/>
      <c r="BST22" s="141"/>
      <c r="BSU22" s="141"/>
      <c r="BSV22" s="141"/>
      <c r="BSW22" s="142" t="s">
        <v>52</v>
      </c>
      <c r="BSX22" s="142"/>
      <c r="BSY22" s="142"/>
      <c r="BSZ22" s="143" t="s">
        <v>53</v>
      </c>
      <c r="BTA22" s="144" t="s">
        <v>54</v>
      </c>
      <c r="BTB22" s="144"/>
      <c r="BTC22" s="141"/>
      <c r="BTF22" s="141"/>
      <c r="BTG22" s="141"/>
      <c r="BTH22" s="141"/>
      <c r="BTI22" s="142" t="s">
        <v>52</v>
      </c>
      <c r="BTJ22" s="142"/>
      <c r="BTK22" s="142"/>
      <c r="BTL22" s="143" t="s">
        <v>53</v>
      </c>
      <c r="BTM22" s="144" t="s">
        <v>54</v>
      </c>
      <c r="BTN22" s="144"/>
      <c r="BTO22" s="141"/>
      <c r="BTR22" s="141"/>
      <c r="BTS22" s="141"/>
      <c r="BTT22" s="141"/>
      <c r="BTU22" s="142" t="s">
        <v>52</v>
      </c>
      <c r="BTV22" s="142"/>
      <c r="BTW22" s="142"/>
      <c r="BTX22" s="143" t="s">
        <v>53</v>
      </c>
      <c r="BTY22" s="144" t="s">
        <v>54</v>
      </c>
      <c r="BTZ22" s="144"/>
      <c r="BUA22" s="141"/>
      <c r="BUD22" s="141"/>
      <c r="BUE22" s="141"/>
      <c r="BUF22" s="141"/>
      <c r="BUG22" s="142" t="s">
        <v>52</v>
      </c>
      <c r="BUH22" s="142"/>
      <c r="BUI22" s="142"/>
      <c r="BUJ22" s="143" t="s">
        <v>53</v>
      </c>
      <c r="BUK22" s="144" t="s">
        <v>54</v>
      </c>
      <c r="BUL22" s="144"/>
      <c r="BUM22" s="141"/>
      <c r="BUP22" s="141"/>
      <c r="BUQ22" s="141"/>
      <c r="BUR22" s="141"/>
      <c r="BUS22" s="142" t="s">
        <v>52</v>
      </c>
      <c r="BUT22" s="142"/>
      <c r="BUU22" s="142"/>
      <c r="BUV22" s="143" t="s">
        <v>53</v>
      </c>
      <c r="BUW22" s="144" t="s">
        <v>54</v>
      </c>
      <c r="BUX22" s="144"/>
      <c r="BUY22" s="141"/>
      <c r="BVB22" s="141"/>
      <c r="BVC22" s="141"/>
      <c r="BVD22" s="141"/>
      <c r="BVE22" s="142" t="s">
        <v>52</v>
      </c>
      <c r="BVF22" s="142"/>
      <c r="BVG22" s="142"/>
      <c r="BVH22" s="143" t="s">
        <v>53</v>
      </c>
      <c r="BVI22" s="144" t="s">
        <v>54</v>
      </c>
      <c r="BVJ22" s="144"/>
      <c r="BVK22" s="141"/>
      <c r="BVN22" s="141"/>
      <c r="BVO22" s="141"/>
      <c r="BVP22" s="141"/>
      <c r="BVQ22" s="142" t="s">
        <v>52</v>
      </c>
      <c r="BVR22" s="142"/>
      <c r="BVS22" s="142"/>
      <c r="BVT22" s="143" t="s">
        <v>53</v>
      </c>
      <c r="BVU22" s="144" t="s">
        <v>54</v>
      </c>
      <c r="BVV22" s="144"/>
      <c r="BVW22" s="141"/>
      <c r="BVZ22" s="141"/>
      <c r="BWA22" s="141"/>
      <c r="BWB22" s="141"/>
      <c r="BWC22" s="142" t="s">
        <v>52</v>
      </c>
      <c r="BWD22" s="142"/>
      <c r="BWE22" s="142"/>
      <c r="BWF22" s="143" t="s">
        <v>53</v>
      </c>
      <c r="BWG22" s="144" t="s">
        <v>54</v>
      </c>
      <c r="BWH22" s="144"/>
      <c r="BWI22" s="141"/>
      <c r="BWL22" s="141"/>
      <c r="BWM22" s="141"/>
      <c r="BWN22" s="141"/>
      <c r="BWO22" s="142" t="s">
        <v>52</v>
      </c>
      <c r="BWP22" s="142"/>
      <c r="BWQ22" s="142"/>
      <c r="BWR22" s="143" t="s">
        <v>53</v>
      </c>
      <c r="BWS22" s="144" t="s">
        <v>54</v>
      </c>
      <c r="BWT22" s="144"/>
      <c r="BWU22" s="141"/>
      <c r="BWX22" s="141"/>
      <c r="BWY22" s="141"/>
      <c r="BWZ22" s="141"/>
      <c r="BXA22" s="142" t="s">
        <v>52</v>
      </c>
      <c r="BXB22" s="142"/>
      <c r="BXC22" s="142"/>
      <c r="BXD22" s="143" t="s">
        <v>53</v>
      </c>
      <c r="BXE22" s="144" t="s">
        <v>54</v>
      </c>
      <c r="BXF22" s="144"/>
      <c r="BXG22" s="141"/>
      <c r="BXJ22" s="141"/>
      <c r="BXK22" s="141"/>
      <c r="BXL22" s="141"/>
      <c r="BXM22" s="142" t="s">
        <v>52</v>
      </c>
      <c r="BXN22" s="142"/>
      <c r="BXO22" s="142"/>
      <c r="BXP22" s="143" t="s">
        <v>53</v>
      </c>
      <c r="BXQ22" s="144" t="s">
        <v>54</v>
      </c>
      <c r="BXR22" s="144"/>
      <c r="BXS22" s="141"/>
      <c r="BXV22" s="141"/>
      <c r="BXW22" s="141"/>
      <c r="BXX22" s="141"/>
      <c r="BXY22" s="142" t="s">
        <v>52</v>
      </c>
      <c r="BXZ22" s="142"/>
      <c r="BYA22" s="142"/>
      <c r="BYB22" s="143" t="s">
        <v>53</v>
      </c>
      <c r="BYC22" s="144" t="s">
        <v>54</v>
      </c>
      <c r="BYD22" s="144"/>
      <c r="BYE22" s="141"/>
      <c r="BYH22" s="141"/>
      <c r="BYI22" s="141"/>
      <c r="BYJ22" s="141"/>
      <c r="BYK22" s="142" t="s">
        <v>52</v>
      </c>
      <c r="BYL22" s="142"/>
      <c r="BYM22" s="142"/>
      <c r="BYN22" s="143" t="s">
        <v>53</v>
      </c>
      <c r="BYO22" s="144" t="s">
        <v>54</v>
      </c>
      <c r="BYP22" s="144"/>
      <c r="BYQ22" s="141"/>
      <c r="BYT22" s="141"/>
      <c r="BYU22" s="141"/>
      <c r="BYV22" s="141"/>
      <c r="BYW22" s="142" t="s">
        <v>52</v>
      </c>
      <c r="BYX22" s="142"/>
      <c r="BYY22" s="142"/>
      <c r="BYZ22" s="143" t="s">
        <v>53</v>
      </c>
      <c r="BZA22" s="144" t="s">
        <v>54</v>
      </c>
      <c r="BZB22" s="144"/>
      <c r="BZC22" s="141"/>
      <c r="BZF22" s="141"/>
      <c r="BZG22" s="141"/>
      <c r="BZH22" s="141"/>
      <c r="BZI22" s="142" t="s">
        <v>52</v>
      </c>
      <c r="BZJ22" s="142"/>
      <c r="BZK22" s="142"/>
      <c r="BZL22" s="143" t="s">
        <v>53</v>
      </c>
      <c r="BZM22" s="144" t="s">
        <v>54</v>
      </c>
      <c r="BZN22" s="144"/>
      <c r="BZO22" s="141"/>
      <c r="BZR22" s="141"/>
      <c r="BZS22" s="141"/>
      <c r="BZT22" s="141"/>
      <c r="BZU22" s="142" t="s">
        <v>52</v>
      </c>
      <c r="BZV22" s="142"/>
      <c r="BZW22" s="142"/>
      <c r="BZX22" s="143" t="s">
        <v>53</v>
      </c>
      <c r="BZY22" s="144" t="s">
        <v>54</v>
      </c>
      <c r="BZZ22" s="144"/>
      <c r="CAA22" s="141"/>
      <c r="CAD22" s="141"/>
      <c r="CAE22" s="141"/>
      <c r="CAF22" s="141"/>
      <c r="CAG22" s="142" t="s">
        <v>52</v>
      </c>
      <c r="CAH22" s="142"/>
      <c r="CAI22" s="142"/>
      <c r="CAJ22" s="143" t="s">
        <v>53</v>
      </c>
      <c r="CAK22" s="144" t="s">
        <v>54</v>
      </c>
      <c r="CAL22" s="144"/>
      <c r="CAM22" s="141"/>
      <c r="CAP22" s="141"/>
      <c r="CAQ22" s="141"/>
      <c r="CAR22" s="141"/>
      <c r="CAS22" s="142" t="s">
        <v>52</v>
      </c>
      <c r="CAT22" s="142"/>
      <c r="CAU22" s="142"/>
      <c r="CAV22" s="143" t="s">
        <v>53</v>
      </c>
      <c r="CAW22" s="144" t="s">
        <v>54</v>
      </c>
      <c r="CAX22" s="144"/>
      <c r="CAY22" s="141"/>
      <c r="CBB22" s="141"/>
      <c r="CBC22" s="141"/>
      <c r="CBD22" s="141"/>
      <c r="CBE22" s="142" t="s">
        <v>52</v>
      </c>
      <c r="CBF22" s="142"/>
      <c r="CBG22" s="142"/>
      <c r="CBH22" s="143" t="s">
        <v>53</v>
      </c>
      <c r="CBI22" s="144" t="s">
        <v>54</v>
      </c>
      <c r="CBJ22" s="144"/>
      <c r="CBK22" s="141"/>
      <c r="CBN22" s="141"/>
      <c r="CBO22" s="141"/>
      <c r="CBP22" s="141"/>
      <c r="CBQ22" s="142" t="s">
        <v>52</v>
      </c>
      <c r="CBR22" s="142"/>
      <c r="CBS22" s="142"/>
      <c r="CBT22" s="143" t="s">
        <v>53</v>
      </c>
      <c r="CBU22" s="144" t="s">
        <v>54</v>
      </c>
      <c r="CBV22" s="144"/>
      <c r="CBW22" s="141"/>
      <c r="CBZ22" s="141"/>
      <c r="CCA22" s="141"/>
      <c r="CCB22" s="141"/>
      <c r="CCC22" s="142" t="s">
        <v>52</v>
      </c>
      <c r="CCD22" s="142"/>
      <c r="CCE22" s="142"/>
      <c r="CCF22" s="143" t="s">
        <v>53</v>
      </c>
      <c r="CCG22" s="144" t="s">
        <v>54</v>
      </c>
      <c r="CCH22" s="144"/>
      <c r="CCI22" s="141"/>
      <c r="CCL22" s="141"/>
      <c r="CCM22" s="141"/>
      <c r="CCN22" s="141"/>
      <c r="CCO22" s="142" t="s">
        <v>52</v>
      </c>
      <c r="CCP22" s="142"/>
      <c r="CCQ22" s="142"/>
      <c r="CCR22" s="143" t="s">
        <v>53</v>
      </c>
      <c r="CCS22" s="144" t="s">
        <v>54</v>
      </c>
      <c r="CCT22" s="144"/>
      <c r="CCU22" s="141"/>
      <c r="CCX22" s="141"/>
      <c r="CCY22" s="141"/>
      <c r="CCZ22" s="141"/>
      <c r="CDA22" s="142" t="s">
        <v>52</v>
      </c>
      <c r="CDB22" s="142"/>
      <c r="CDC22" s="142"/>
      <c r="CDD22" s="143" t="s">
        <v>53</v>
      </c>
      <c r="CDE22" s="144" t="s">
        <v>54</v>
      </c>
      <c r="CDF22" s="144"/>
      <c r="CDG22" s="141"/>
      <c r="CDJ22" s="141"/>
      <c r="CDK22" s="141"/>
      <c r="CDL22" s="141"/>
      <c r="CDM22" s="142" t="s">
        <v>52</v>
      </c>
      <c r="CDN22" s="142"/>
      <c r="CDO22" s="142"/>
      <c r="CDP22" s="143" t="s">
        <v>53</v>
      </c>
      <c r="CDQ22" s="144" t="s">
        <v>54</v>
      </c>
      <c r="CDR22" s="144"/>
      <c r="CDS22" s="141"/>
      <c r="CDV22" s="141"/>
      <c r="CDW22" s="141"/>
      <c r="CDX22" s="141"/>
      <c r="CDY22" s="142" t="s">
        <v>52</v>
      </c>
      <c r="CDZ22" s="142"/>
      <c r="CEA22" s="142"/>
      <c r="CEB22" s="143" t="s">
        <v>53</v>
      </c>
      <c r="CEC22" s="144" t="s">
        <v>54</v>
      </c>
      <c r="CED22" s="144"/>
      <c r="CEE22" s="141"/>
      <c r="CEH22" s="141"/>
      <c r="CEI22" s="141"/>
      <c r="CEJ22" s="141"/>
      <c r="CEK22" s="142" t="s">
        <v>52</v>
      </c>
      <c r="CEL22" s="142"/>
      <c r="CEM22" s="142"/>
      <c r="CEN22" s="143" t="s">
        <v>53</v>
      </c>
      <c r="CEO22" s="144" t="s">
        <v>54</v>
      </c>
      <c r="CEP22" s="144"/>
      <c r="CEQ22" s="141"/>
      <c r="CET22" s="141"/>
      <c r="CEU22" s="141"/>
      <c r="CEV22" s="141"/>
      <c r="CEW22" s="142" t="s">
        <v>52</v>
      </c>
      <c r="CEX22" s="142"/>
      <c r="CEY22" s="142"/>
      <c r="CEZ22" s="143" t="s">
        <v>53</v>
      </c>
      <c r="CFA22" s="144" t="s">
        <v>54</v>
      </c>
      <c r="CFB22" s="144"/>
      <c r="CFC22" s="141"/>
      <c r="CFF22" s="141"/>
      <c r="CFG22" s="141"/>
      <c r="CFH22" s="141"/>
      <c r="CFI22" s="142" t="s">
        <v>52</v>
      </c>
      <c r="CFJ22" s="142"/>
      <c r="CFK22" s="142"/>
      <c r="CFL22" s="143" t="s">
        <v>53</v>
      </c>
      <c r="CFM22" s="144" t="s">
        <v>54</v>
      </c>
      <c r="CFN22" s="144"/>
      <c r="CFO22" s="141"/>
      <c r="CFR22" s="141"/>
      <c r="CFS22" s="141"/>
      <c r="CFT22" s="141"/>
      <c r="CFU22" s="142" t="s">
        <v>52</v>
      </c>
      <c r="CFV22" s="142"/>
      <c r="CFW22" s="142"/>
      <c r="CFX22" s="143" t="s">
        <v>53</v>
      </c>
      <c r="CFY22" s="144" t="s">
        <v>54</v>
      </c>
      <c r="CFZ22" s="144"/>
      <c r="CGA22" s="141"/>
      <c r="CGD22" s="141"/>
      <c r="CGE22" s="141"/>
      <c r="CGF22" s="141"/>
      <c r="CGG22" s="142" t="s">
        <v>52</v>
      </c>
      <c r="CGH22" s="142"/>
      <c r="CGI22" s="142"/>
      <c r="CGJ22" s="143" t="s">
        <v>53</v>
      </c>
      <c r="CGK22" s="144" t="s">
        <v>54</v>
      </c>
      <c r="CGL22" s="144"/>
      <c r="CGM22" s="141"/>
      <c r="CGP22" s="141"/>
      <c r="CGQ22" s="141"/>
      <c r="CGR22" s="141"/>
      <c r="CGS22" s="142" t="s">
        <v>52</v>
      </c>
      <c r="CGT22" s="142"/>
      <c r="CGU22" s="142"/>
      <c r="CGV22" s="143" t="s">
        <v>53</v>
      </c>
      <c r="CGW22" s="144" t="s">
        <v>54</v>
      </c>
      <c r="CGX22" s="144"/>
      <c r="CGY22" s="141"/>
      <c r="CHB22" s="141"/>
      <c r="CHC22" s="141"/>
      <c r="CHD22" s="141"/>
      <c r="CHE22" s="142" t="s">
        <v>52</v>
      </c>
      <c r="CHF22" s="142"/>
      <c r="CHG22" s="142"/>
      <c r="CHH22" s="143" t="s">
        <v>53</v>
      </c>
      <c r="CHI22" s="144" t="s">
        <v>54</v>
      </c>
      <c r="CHJ22" s="144"/>
      <c r="CHK22" s="141"/>
      <c r="CHN22" s="141"/>
      <c r="CHO22" s="141"/>
      <c r="CHP22" s="141"/>
      <c r="CHQ22" s="142" t="s">
        <v>52</v>
      </c>
      <c r="CHR22" s="142"/>
      <c r="CHS22" s="142"/>
      <c r="CHT22" s="143" t="s">
        <v>53</v>
      </c>
      <c r="CHU22" s="144" t="s">
        <v>54</v>
      </c>
      <c r="CHV22" s="144"/>
      <c r="CHW22" s="141"/>
      <c r="CHZ22" s="141"/>
      <c r="CIA22" s="141"/>
      <c r="CIB22" s="141"/>
      <c r="CIC22" s="142" t="s">
        <v>52</v>
      </c>
      <c r="CID22" s="142"/>
      <c r="CIE22" s="142"/>
      <c r="CIF22" s="143" t="s">
        <v>53</v>
      </c>
      <c r="CIG22" s="144" t="s">
        <v>54</v>
      </c>
      <c r="CIH22" s="144"/>
      <c r="CII22" s="141"/>
      <c r="CIL22" s="141"/>
      <c r="CIM22" s="141"/>
      <c r="CIN22" s="141"/>
      <c r="CIO22" s="142" t="s">
        <v>52</v>
      </c>
      <c r="CIP22" s="142"/>
      <c r="CIQ22" s="142"/>
      <c r="CIR22" s="143" t="s">
        <v>53</v>
      </c>
      <c r="CIS22" s="144" t="s">
        <v>54</v>
      </c>
      <c r="CIT22" s="144"/>
      <c r="CIU22" s="141"/>
      <c r="CIX22" s="141"/>
      <c r="CIY22" s="141"/>
      <c r="CIZ22" s="141"/>
      <c r="CJA22" s="142" t="s">
        <v>52</v>
      </c>
      <c r="CJB22" s="142"/>
      <c r="CJC22" s="142"/>
      <c r="CJD22" s="143" t="s">
        <v>53</v>
      </c>
      <c r="CJE22" s="144" t="s">
        <v>54</v>
      </c>
      <c r="CJF22" s="144"/>
      <c r="CJG22" s="141"/>
      <c r="CJJ22" s="141"/>
      <c r="CJK22" s="141"/>
      <c r="CJL22" s="141"/>
      <c r="CJM22" s="142" t="s">
        <v>52</v>
      </c>
      <c r="CJN22" s="142"/>
      <c r="CJO22" s="142"/>
      <c r="CJP22" s="143" t="s">
        <v>53</v>
      </c>
      <c r="CJQ22" s="144" t="s">
        <v>54</v>
      </c>
      <c r="CJR22" s="144"/>
      <c r="CJS22" s="141"/>
      <c r="CJV22" s="141"/>
      <c r="CJW22" s="141"/>
      <c r="CJX22" s="141"/>
      <c r="CJY22" s="142" t="s">
        <v>52</v>
      </c>
      <c r="CJZ22" s="142"/>
      <c r="CKA22" s="142"/>
      <c r="CKB22" s="143" t="s">
        <v>53</v>
      </c>
      <c r="CKC22" s="144" t="s">
        <v>54</v>
      </c>
      <c r="CKD22" s="144"/>
      <c r="CKE22" s="141"/>
      <c r="CKH22" s="141"/>
      <c r="CKI22" s="141"/>
      <c r="CKJ22" s="141"/>
      <c r="CKK22" s="142" t="s">
        <v>52</v>
      </c>
      <c r="CKL22" s="142"/>
      <c r="CKM22" s="142"/>
      <c r="CKN22" s="143" t="s">
        <v>53</v>
      </c>
      <c r="CKO22" s="144" t="s">
        <v>54</v>
      </c>
      <c r="CKP22" s="144"/>
      <c r="CKQ22" s="141"/>
      <c r="CKT22" s="141"/>
      <c r="CKU22" s="141"/>
      <c r="CKV22" s="141"/>
      <c r="CKW22" s="142" t="s">
        <v>52</v>
      </c>
      <c r="CKX22" s="142"/>
      <c r="CKY22" s="142"/>
      <c r="CKZ22" s="143" t="s">
        <v>53</v>
      </c>
      <c r="CLA22" s="144" t="s">
        <v>54</v>
      </c>
      <c r="CLB22" s="144"/>
      <c r="CLC22" s="141"/>
      <c r="CLF22" s="141"/>
      <c r="CLG22" s="141"/>
      <c r="CLH22" s="141"/>
      <c r="CLI22" s="142" t="s">
        <v>52</v>
      </c>
      <c r="CLJ22" s="142"/>
      <c r="CLK22" s="142"/>
      <c r="CLL22" s="143" t="s">
        <v>53</v>
      </c>
      <c r="CLM22" s="144" t="s">
        <v>54</v>
      </c>
      <c r="CLN22" s="144"/>
      <c r="CLO22" s="141"/>
      <c r="CLR22" s="141"/>
      <c r="CLS22" s="141"/>
      <c r="CLT22" s="141"/>
      <c r="CLU22" s="142" t="s">
        <v>52</v>
      </c>
      <c r="CLV22" s="142"/>
      <c r="CLW22" s="142"/>
      <c r="CLX22" s="143" t="s">
        <v>53</v>
      </c>
      <c r="CLY22" s="144" t="s">
        <v>54</v>
      </c>
      <c r="CLZ22" s="144"/>
      <c r="CMA22" s="141"/>
      <c r="CMD22" s="141"/>
      <c r="CME22" s="141"/>
      <c r="CMF22" s="141"/>
      <c r="CMG22" s="142" t="s">
        <v>52</v>
      </c>
      <c r="CMH22" s="142"/>
      <c r="CMI22" s="142"/>
      <c r="CMJ22" s="143" t="s">
        <v>53</v>
      </c>
      <c r="CMK22" s="144" t="s">
        <v>54</v>
      </c>
      <c r="CML22" s="144"/>
      <c r="CMM22" s="141"/>
      <c r="CMP22" s="141"/>
      <c r="CMQ22" s="141"/>
      <c r="CMR22" s="141"/>
      <c r="CMS22" s="142" t="s">
        <v>52</v>
      </c>
      <c r="CMT22" s="142"/>
      <c r="CMU22" s="142"/>
      <c r="CMV22" s="143" t="s">
        <v>53</v>
      </c>
      <c r="CMW22" s="144" t="s">
        <v>54</v>
      </c>
      <c r="CMX22" s="144"/>
      <c r="CMY22" s="141"/>
      <c r="CNB22" s="141"/>
      <c r="CNC22" s="141"/>
      <c r="CND22" s="141"/>
      <c r="CNE22" s="142" t="s">
        <v>52</v>
      </c>
      <c r="CNF22" s="142"/>
      <c r="CNG22" s="142"/>
      <c r="CNH22" s="143" t="s">
        <v>53</v>
      </c>
      <c r="CNI22" s="144" t="s">
        <v>54</v>
      </c>
      <c r="CNJ22" s="144"/>
      <c r="CNK22" s="141"/>
      <c r="CNN22" s="141"/>
      <c r="CNO22" s="141"/>
      <c r="CNP22" s="141"/>
      <c r="CNQ22" s="142" t="s">
        <v>52</v>
      </c>
      <c r="CNR22" s="142"/>
      <c r="CNS22" s="142"/>
      <c r="CNT22" s="143" t="s">
        <v>53</v>
      </c>
      <c r="CNU22" s="144" t="s">
        <v>54</v>
      </c>
      <c r="CNV22" s="144"/>
      <c r="CNW22" s="141"/>
      <c r="CNZ22" s="141"/>
      <c r="COA22" s="141"/>
      <c r="COB22" s="141"/>
      <c r="COC22" s="142" t="s">
        <v>52</v>
      </c>
      <c r="COD22" s="142"/>
      <c r="COE22" s="142"/>
      <c r="COF22" s="143" t="s">
        <v>53</v>
      </c>
      <c r="COG22" s="144" t="s">
        <v>54</v>
      </c>
      <c r="COH22" s="144"/>
      <c r="COI22" s="141"/>
      <c r="COL22" s="141"/>
      <c r="COM22" s="141"/>
      <c r="CON22" s="141"/>
      <c r="COO22" s="142" t="s">
        <v>52</v>
      </c>
      <c r="COP22" s="142"/>
      <c r="COQ22" s="142"/>
      <c r="COR22" s="143" t="s">
        <v>53</v>
      </c>
      <c r="COS22" s="144" t="s">
        <v>54</v>
      </c>
      <c r="COT22" s="144"/>
      <c r="COU22" s="141"/>
      <c r="COX22" s="141"/>
      <c r="COY22" s="141"/>
      <c r="COZ22" s="141"/>
      <c r="CPA22" s="142" t="s">
        <v>52</v>
      </c>
      <c r="CPB22" s="142"/>
      <c r="CPC22" s="142"/>
      <c r="CPD22" s="143" t="s">
        <v>53</v>
      </c>
      <c r="CPE22" s="144" t="s">
        <v>54</v>
      </c>
      <c r="CPF22" s="144"/>
      <c r="CPG22" s="141"/>
      <c r="CPJ22" s="141"/>
      <c r="CPK22" s="141"/>
      <c r="CPL22" s="141"/>
      <c r="CPM22" s="142" t="s">
        <v>52</v>
      </c>
      <c r="CPN22" s="142"/>
      <c r="CPO22" s="142"/>
      <c r="CPP22" s="143" t="s">
        <v>53</v>
      </c>
      <c r="CPQ22" s="144" t="s">
        <v>54</v>
      </c>
      <c r="CPR22" s="144"/>
      <c r="CPS22" s="141"/>
      <c r="CPV22" s="141"/>
      <c r="CPW22" s="141"/>
      <c r="CPX22" s="141"/>
      <c r="CPY22" s="142" t="s">
        <v>52</v>
      </c>
      <c r="CPZ22" s="142"/>
      <c r="CQA22" s="142"/>
      <c r="CQB22" s="143" t="s">
        <v>53</v>
      </c>
      <c r="CQC22" s="144" t="s">
        <v>54</v>
      </c>
      <c r="CQD22" s="144"/>
      <c r="CQE22" s="141"/>
      <c r="CQH22" s="141"/>
      <c r="CQI22" s="141"/>
      <c r="CQJ22" s="141"/>
      <c r="CQK22" s="142" t="s">
        <v>52</v>
      </c>
      <c r="CQL22" s="142"/>
      <c r="CQM22" s="142"/>
      <c r="CQN22" s="143" t="s">
        <v>53</v>
      </c>
      <c r="CQO22" s="144" t="s">
        <v>54</v>
      </c>
      <c r="CQP22" s="144"/>
      <c r="CQQ22" s="141"/>
      <c r="CQT22" s="141"/>
      <c r="CQU22" s="141"/>
      <c r="CQV22" s="141"/>
      <c r="CQW22" s="142" t="s">
        <v>52</v>
      </c>
      <c r="CQX22" s="142"/>
      <c r="CQY22" s="142"/>
      <c r="CQZ22" s="143" t="s">
        <v>53</v>
      </c>
      <c r="CRA22" s="144" t="s">
        <v>54</v>
      </c>
      <c r="CRB22" s="144"/>
      <c r="CRC22" s="141"/>
      <c r="CRF22" s="141"/>
      <c r="CRG22" s="141"/>
      <c r="CRH22" s="141"/>
      <c r="CRI22" s="142" t="s">
        <v>52</v>
      </c>
      <c r="CRJ22" s="142"/>
      <c r="CRK22" s="142"/>
      <c r="CRL22" s="143" t="s">
        <v>53</v>
      </c>
      <c r="CRM22" s="144" t="s">
        <v>54</v>
      </c>
      <c r="CRN22" s="144"/>
      <c r="CRO22" s="141"/>
      <c r="CRR22" s="141"/>
      <c r="CRS22" s="141"/>
      <c r="CRT22" s="141"/>
      <c r="CRU22" s="142" t="s">
        <v>52</v>
      </c>
      <c r="CRV22" s="142"/>
      <c r="CRW22" s="142"/>
      <c r="CRX22" s="143" t="s">
        <v>53</v>
      </c>
      <c r="CRY22" s="144" t="s">
        <v>54</v>
      </c>
      <c r="CRZ22" s="144"/>
      <c r="CSA22" s="141"/>
      <c r="CSD22" s="141"/>
      <c r="CSE22" s="141"/>
      <c r="CSF22" s="141"/>
      <c r="CSG22" s="142" t="s">
        <v>52</v>
      </c>
      <c r="CSH22" s="142"/>
      <c r="CSI22" s="142"/>
      <c r="CSJ22" s="143" t="s">
        <v>53</v>
      </c>
      <c r="CSK22" s="144" t="s">
        <v>54</v>
      </c>
      <c r="CSL22" s="144"/>
      <c r="CSM22" s="141"/>
      <c r="CSP22" s="141"/>
      <c r="CSQ22" s="141"/>
      <c r="CSR22" s="141"/>
      <c r="CSS22" s="142" t="s">
        <v>52</v>
      </c>
      <c r="CST22" s="142"/>
      <c r="CSU22" s="142"/>
      <c r="CSV22" s="143" t="s">
        <v>53</v>
      </c>
      <c r="CSW22" s="144" t="s">
        <v>54</v>
      </c>
      <c r="CSX22" s="144"/>
      <c r="CSY22" s="141"/>
      <c r="CTB22" s="141"/>
      <c r="CTC22" s="141"/>
      <c r="CTD22" s="141"/>
      <c r="CTE22" s="142" t="s">
        <v>52</v>
      </c>
      <c r="CTF22" s="142"/>
      <c r="CTG22" s="142"/>
      <c r="CTH22" s="143" t="s">
        <v>53</v>
      </c>
      <c r="CTI22" s="144" t="s">
        <v>54</v>
      </c>
      <c r="CTJ22" s="144"/>
      <c r="CTK22" s="141"/>
      <c r="CTN22" s="141"/>
      <c r="CTO22" s="141"/>
      <c r="CTP22" s="141"/>
      <c r="CTQ22" s="142" t="s">
        <v>52</v>
      </c>
      <c r="CTR22" s="142"/>
      <c r="CTS22" s="142"/>
      <c r="CTT22" s="143" t="s">
        <v>53</v>
      </c>
      <c r="CTU22" s="144" t="s">
        <v>54</v>
      </c>
      <c r="CTV22" s="144"/>
      <c r="CTW22" s="141"/>
      <c r="CTZ22" s="141"/>
      <c r="CUA22" s="141"/>
      <c r="CUB22" s="141"/>
      <c r="CUC22" s="142" t="s">
        <v>52</v>
      </c>
      <c r="CUD22" s="142"/>
      <c r="CUE22" s="142"/>
      <c r="CUF22" s="143" t="s">
        <v>53</v>
      </c>
      <c r="CUG22" s="144" t="s">
        <v>54</v>
      </c>
      <c r="CUH22" s="144"/>
      <c r="CUI22" s="141"/>
      <c r="CUL22" s="141"/>
      <c r="CUM22" s="141"/>
      <c r="CUN22" s="141"/>
      <c r="CUO22" s="142" t="s">
        <v>52</v>
      </c>
      <c r="CUP22" s="142"/>
      <c r="CUQ22" s="142"/>
      <c r="CUR22" s="143" t="s">
        <v>53</v>
      </c>
      <c r="CUS22" s="144" t="s">
        <v>54</v>
      </c>
      <c r="CUT22" s="144"/>
      <c r="CUU22" s="141"/>
      <c r="CUX22" s="141"/>
      <c r="CUY22" s="141"/>
      <c r="CUZ22" s="141"/>
      <c r="CVA22" s="142" t="s">
        <v>52</v>
      </c>
      <c r="CVB22" s="142"/>
      <c r="CVC22" s="142"/>
      <c r="CVD22" s="143" t="s">
        <v>53</v>
      </c>
      <c r="CVE22" s="144" t="s">
        <v>54</v>
      </c>
      <c r="CVF22" s="144"/>
      <c r="CVG22" s="141"/>
      <c r="CVJ22" s="141"/>
      <c r="CVK22" s="141"/>
      <c r="CVL22" s="141"/>
      <c r="CVM22" s="142" t="s">
        <v>52</v>
      </c>
      <c r="CVN22" s="142"/>
      <c r="CVO22" s="142"/>
      <c r="CVP22" s="143" t="s">
        <v>53</v>
      </c>
      <c r="CVQ22" s="144" t="s">
        <v>54</v>
      </c>
      <c r="CVR22" s="144"/>
      <c r="CVS22" s="141"/>
      <c r="CVV22" s="141"/>
      <c r="CVW22" s="141"/>
      <c r="CVX22" s="141"/>
      <c r="CVY22" s="142" t="s">
        <v>52</v>
      </c>
      <c r="CVZ22" s="142"/>
      <c r="CWA22" s="142"/>
      <c r="CWB22" s="143" t="s">
        <v>53</v>
      </c>
      <c r="CWC22" s="144" t="s">
        <v>54</v>
      </c>
      <c r="CWD22" s="144"/>
      <c r="CWE22" s="141"/>
    </row>
    <row r="23" spans="1:1023 1026:2631" x14ac:dyDescent="0.25">
      <c r="A23" s="140"/>
      <c r="F23" s="145"/>
      <c r="H23" s="94"/>
      <c r="I23" s="94"/>
      <c r="J23" s="94"/>
      <c r="K23" s="95"/>
      <c r="L23" s="95"/>
      <c r="O23" s="140"/>
      <c r="T23" s="145"/>
      <c r="V23" s="94"/>
      <c r="W23" s="94"/>
      <c r="X23" s="94"/>
      <c r="Y23" s="95"/>
      <c r="Z23" s="95"/>
      <c r="AC23" s="140"/>
      <c r="AH23" s="145"/>
      <c r="AJ23" s="94"/>
      <c r="AK23" s="94"/>
      <c r="AL23" s="94"/>
      <c r="AM23" s="95"/>
      <c r="AN23" s="95"/>
      <c r="AQ23" s="140"/>
      <c r="AV23" s="145"/>
      <c r="AX23" s="94"/>
      <c r="AY23" s="94"/>
      <c r="AZ23" s="94"/>
      <c r="BA23" s="95"/>
      <c r="BB23" s="95"/>
      <c r="BE23" s="140"/>
      <c r="BJ23" s="145"/>
      <c r="BL23" s="94"/>
      <c r="BM23" s="94"/>
      <c r="BN23" s="94"/>
      <c r="BO23" s="95"/>
      <c r="BP23" s="95"/>
      <c r="BS23" s="140"/>
      <c r="BX23" s="145"/>
      <c r="BZ23" s="94"/>
      <c r="CA23" s="94"/>
      <c r="CB23" s="94"/>
      <c r="CC23" s="95"/>
      <c r="CD23" s="95"/>
      <c r="CG23" s="140"/>
      <c r="CL23" s="145"/>
      <c r="CN23" s="94"/>
      <c r="CO23" s="94"/>
      <c r="CP23" s="94"/>
      <c r="CQ23" s="95"/>
      <c r="CR23" s="95"/>
      <c r="CU23" s="140"/>
      <c r="CZ23" s="145"/>
      <c r="DB23" s="94"/>
      <c r="DC23" s="94"/>
      <c r="DD23" s="94"/>
      <c r="DE23" s="95"/>
      <c r="DF23" s="95"/>
      <c r="DI23" s="140"/>
      <c r="DN23" s="145"/>
      <c r="DP23" s="94"/>
      <c r="DQ23" s="94"/>
      <c r="DR23" s="94"/>
      <c r="DS23" s="95"/>
      <c r="DT23" s="95"/>
      <c r="DW23" s="140"/>
      <c r="EB23" s="145"/>
      <c r="ED23" s="94"/>
      <c r="EE23" s="94"/>
      <c r="EF23" s="94"/>
      <c r="EG23" s="95"/>
      <c r="EH23" s="95"/>
      <c r="EK23" s="140"/>
      <c r="EP23" s="145"/>
      <c r="ER23" s="94"/>
      <c r="ES23" s="94"/>
      <c r="ET23" s="94"/>
      <c r="EU23" s="95"/>
      <c r="EV23" s="95"/>
      <c r="EY23" s="140"/>
      <c r="FD23" s="145"/>
      <c r="FF23" s="94"/>
      <c r="FG23" s="94"/>
      <c r="FH23" s="94"/>
      <c r="FI23" s="95"/>
      <c r="FJ23" s="95"/>
      <c r="FM23" s="140"/>
      <c r="FR23" s="145"/>
      <c r="FT23" s="94"/>
      <c r="FU23" s="94"/>
      <c r="FV23" s="94"/>
      <c r="FW23" s="95"/>
      <c r="FX23" s="95"/>
      <c r="GA23" s="140"/>
      <c r="GF23" s="145"/>
      <c r="GH23" s="94"/>
      <c r="GI23" s="94"/>
      <c r="GJ23" s="94"/>
      <c r="GK23" s="95"/>
      <c r="GL23" s="95"/>
      <c r="GO23" s="140"/>
      <c r="GT23" s="145"/>
      <c r="GV23" s="94"/>
      <c r="GW23" s="94"/>
      <c r="GX23" s="94"/>
      <c r="GY23" s="95"/>
      <c r="GZ23" s="95"/>
      <c r="HC23" s="140"/>
      <c r="HH23" s="145"/>
      <c r="HJ23" s="94"/>
      <c r="HK23" s="94"/>
      <c r="HL23" s="94"/>
      <c r="HM23" s="95"/>
      <c r="HN23" s="95"/>
      <c r="HQ23" s="140"/>
      <c r="HV23" s="145"/>
      <c r="HX23" s="94"/>
      <c r="HY23" s="94"/>
      <c r="HZ23" s="94"/>
      <c r="IA23" s="95"/>
      <c r="IB23" s="95"/>
      <c r="IE23" s="140"/>
      <c r="IJ23" s="145"/>
      <c r="IL23" s="94"/>
      <c r="IM23" s="94"/>
      <c r="IN23" s="94"/>
      <c r="IO23" s="95"/>
      <c r="IP23" s="95"/>
      <c r="IS23" s="140"/>
      <c r="IX23" s="145"/>
      <c r="IZ23" s="94"/>
      <c r="JA23" s="94"/>
      <c r="JB23" s="94"/>
      <c r="JC23" s="95"/>
      <c r="JD23" s="95"/>
      <c r="JG23" s="140"/>
      <c r="JL23" s="145"/>
      <c r="JN23" s="94"/>
      <c r="JO23" s="94"/>
      <c r="JP23" s="94"/>
      <c r="JQ23" s="95"/>
      <c r="JR23" s="95"/>
      <c r="JU23" s="140"/>
      <c r="JZ23" s="145"/>
      <c r="KB23" s="94"/>
      <c r="KC23" s="94"/>
      <c r="KD23" s="94"/>
      <c r="KE23" s="95"/>
      <c r="KF23" s="95"/>
      <c r="KI23" s="140"/>
      <c r="KN23" s="145"/>
      <c r="KP23" s="94"/>
      <c r="KQ23" s="94"/>
      <c r="KR23" s="94"/>
      <c r="KS23" s="95"/>
      <c r="KT23" s="95"/>
      <c r="KW23" s="140"/>
      <c r="LA23" s="146"/>
      <c r="LB23" s="145"/>
      <c r="LD23" s="94"/>
      <c r="LE23" s="94"/>
      <c r="LF23" s="94"/>
      <c r="LG23" s="95"/>
      <c r="LH23" s="95"/>
      <c r="LK23" s="140"/>
      <c r="LO23" s="146"/>
      <c r="LP23" s="145"/>
      <c r="LR23" s="94"/>
      <c r="LS23" s="94"/>
      <c r="LT23" s="94"/>
      <c r="LU23" s="95"/>
      <c r="LV23" s="95"/>
      <c r="LY23" s="140"/>
      <c r="MC23" s="146"/>
      <c r="MD23" s="145"/>
      <c r="MF23" s="94"/>
      <c r="MG23" s="94"/>
      <c r="MH23" s="94"/>
      <c r="MI23" s="95"/>
      <c r="MJ23" s="95"/>
      <c r="MM23" s="140"/>
      <c r="MQ23" s="146"/>
      <c r="MR23" s="145"/>
      <c r="MT23" s="94"/>
      <c r="MU23" s="94"/>
      <c r="MV23" s="94"/>
      <c r="MW23" s="95"/>
      <c r="MX23" s="95"/>
      <c r="NA23" s="140"/>
      <c r="NE23" s="146"/>
      <c r="NF23" s="145"/>
      <c r="NH23" s="94"/>
      <c r="NI23" s="94"/>
      <c r="NJ23" s="94"/>
      <c r="NK23" s="95"/>
      <c r="NL23" s="95"/>
      <c r="NO23" s="140"/>
      <c r="NS23" s="146"/>
      <c r="NT23" s="145"/>
      <c r="NV23" s="94"/>
      <c r="NW23" s="94"/>
      <c r="NX23" s="94"/>
      <c r="NY23" s="95"/>
      <c r="NZ23" s="95"/>
      <c r="OC23" s="140"/>
      <c r="OG23" s="146"/>
      <c r="OH23" s="145"/>
      <c r="OJ23" s="94"/>
      <c r="OK23" s="94"/>
      <c r="OL23" s="94"/>
      <c r="OM23" s="95"/>
      <c r="ON23" s="95"/>
      <c r="OQ23" s="140"/>
      <c r="OU23" s="146"/>
      <c r="OV23" s="93">
        <f t="shared" si="28"/>
        <v>0</v>
      </c>
      <c r="OX23" s="94"/>
      <c r="OY23" s="94"/>
      <c r="OZ23" s="94"/>
      <c r="PA23" s="95"/>
      <c r="PB23" s="95"/>
      <c r="PE23" s="140"/>
      <c r="PI23" s="146"/>
      <c r="PJ23" s="93">
        <f t="shared" si="29"/>
        <v>0</v>
      </c>
      <c r="PL23" s="94"/>
      <c r="PM23" s="94"/>
      <c r="PN23" s="94"/>
      <c r="PO23" s="95"/>
      <c r="PP23" s="95"/>
      <c r="PS23" s="140"/>
      <c r="PW23" s="146"/>
      <c r="PX23" s="93">
        <f t="shared" si="30"/>
        <v>0</v>
      </c>
      <c r="PZ23" s="94"/>
      <c r="QA23" s="94"/>
      <c r="QB23" s="94"/>
      <c r="QC23" s="95"/>
      <c r="QD23" s="95"/>
      <c r="QG23" s="140"/>
      <c r="QK23" s="146"/>
      <c r="QL23" s="93">
        <f t="shared" si="31"/>
        <v>0</v>
      </c>
      <c r="QN23" s="94"/>
      <c r="QO23" s="94"/>
      <c r="QP23" s="94"/>
      <c r="QQ23" s="95"/>
      <c r="QR23" s="95"/>
      <c r="QU23" s="140"/>
      <c r="QY23" s="146"/>
      <c r="QZ23" s="93">
        <f t="shared" si="32"/>
        <v>0</v>
      </c>
      <c r="RB23" s="94"/>
      <c r="RC23" s="94"/>
      <c r="RD23" s="94"/>
      <c r="RE23" s="95"/>
      <c r="RF23" s="95"/>
      <c r="RI23" s="140"/>
      <c r="RM23" s="146"/>
      <c r="RN23" s="93">
        <f t="shared" si="33"/>
        <v>0</v>
      </c>
      <c r="RP23" s="94"/>
      <c r="RQ23" s="94"/>
      <c r="RR23" s="94"/>
      <c r="RS23" s="95"/>
      <c r="RT23" s="95"/>
      <c r="RW23" s="140"/>
      <c r="SA23" s="146"/>
      <c r="SB23" s="93">
        <f t="shared" si="34"/>
        <v>0</v>
      </c>
      <c r="SD23" s="94"/>
      <c r="SE23" s="94"/>
      <c r="SF23" s="94"/>
      <c r="SG23" s="95"/>
      <c r="SH23" s="95"/>
      <c r="SK23" s="140"/>
      <c r="SO23" s="146"/>
      <c r="SP23" s="93">
        <f t="shared" si="35"/>
        <v>0</v>
      </c>
      <c r="SR23" s="94"/>
      <c r="SS23" s="94"/>
      <c r="ST23" s="94"/>
      <c r="SU23" s="95"/>
      <c r="SV23" s="95"/>
      <c r="SY23" s="140"/>
      <c r="TC23" s="146"/>
      <c r="TD23" s="93">
        <f t="shared" si="36"/>
        <v>0</v>
      </c>
      <c r="TF23" s="94"/>
      <c r="TG23" s="94"/>
      <c r="TH23" s="94"/>
      <c r="TI23" s="95"/>
      <c r="TJ23" s="95"/>
      <c r="TM23" s="140"/>
      <c r="TQ23" s="146"/>
      <c r="TR23" s="93">
        <f t="shared" si="37"/>
        <v>0</v>
      </c>
      <c r="TT23" s="94"/>
      <c r="TU23" s="94"/>
      <c r="TV23" s="94"/>
      <c r="TW23" s="95"/>
      <c r="TX23" s="95"/>
      <c r="UA23" s="140"/>
      <c r="UE23" s="146"/>
      <c r="UF23" s="93">
        <f t="shared" si="38"/>
        <v>0</v>
      </c>
      <c r="UH23" s="94"/>
      <c r="UI23" s="94"/>
      <c r="UJ23" s="94"/>
      <c r="UK23" s="95"/>
      <c r="UL23" s="95"/>
      <c r="UO23" s="140"/>
      <c r="US23" s="146"/>
      <c r="UT23" s="93">
        <f t="shared" si="39"/>
        <v>0</v>
      </c>
      <c r="UV23" s="94"/>
      <c r="UW23" s="94"/>
      <c r="UX23" s="94"/>
      <c r="UY23" s="95"/>
      <c r="UZ23" s="95"/>
      <c r="VC23" s="140"/>
      <c r="VG23" s="146"/>
      <c r="VH23" s="93">
        <f t="shared" si="40"/>
        <v>0</v>
      </c>
      <c r="VJ23" s="94"/>
      <c r="VK23" s="94"/>
      <c r="VL23" s="94"/>
      <c r="VM23" s="95"/>
      <c r="VN23" s="95"/>
      <c r="VQ23" s="140"/>
      <c r="VU23" s="146"/>
      <c r="VV23" s="93">
        <f t="shared" si="41"/>
        <v>0</v>
      </c>
      <c r="VX23" s="94"/>
      <c r="VY23" s="94"/>
      <c r="VZ23" s="94"/>
      <c r="WA23" s="95"/>
      <c r="WB23" s="95"/>
      <c r="WE23" s="140"/>
      <c r="WI23" s="146"/>
      <c r="WJ23" s="93">
        <f t="shared" si="42"/>
        <v>0</v>
      </c>
      <c r="WL23" s="94"/>
      <c r="WM23" s="94"/>
      <c r="WN23" s="94"/>
      <c r="WO23" s="95"/>
      <c r="WP23" s="95"/>
      <c r="WS23" s="140"/>
      <c r="WW23" s="146"/>
      <c r="WX23" s="93">
        <f t="shared" si="43"/>
        <v>0</v>
      </c>
      <c r="WZ23" s="94"/>
      <c r="XA23" s="94"/>
      <c r="XB23" s="94"/>
      <c r="XC23" s="95"/>
      <c r="XD23" s="95"/>
      <c r="XG23" s="140"/>
      <c r="XK23" s="146"/>
      <c r="XL23" s="93">
        <f t="shared" si="44"/>
        <v>0</v>
      </c>
      <c r="XN23" s="94"/>
      <c r="XO23" s="94"/>
      <c r="XP23" s="94"/>
      <c r="XQ23" s="95"/>
      <c r="XR23" s="95"/>
      <c r="XU23" s="140"/>
      <c r="XY23" s="146"/>
      <c r="XZ23" s="93">
        <f t="shared" ref="XZ23" si="263">XY23*$XR$7</f>
        <v>0</v>
      </c>
      <c r="YB23" s="94"/>
      <c r="YC23" s="94"/>
      <c r="YD23" s="94"/>
      <c r="YE23" s="95"/>
      <c r="YF23" s="95"/>
      <c r="YI23" s="140"/>
      <c r="YM23" s="146"/>
      <c r="YN23" s="93">
        <f t="shared" si="46"/>
        <v>0</v>
      </c>
      <c r="YP23" s="94"/>
      <c r="YQ23" s="94"/>
      <c r="YR23" s="94"/>
      <c r="YS23" s="95"/>
      <c r="YT23" s="95"/>
      <c r="YW23" s="140"/>
      <c r="ZA23" s="146"/>
      <c r="ZB23" s="93"/>
      <c r="ZD23" s="94"/>
      <c r="ZE23" s="94"/>
      <c r="ZF23" s="94"/>
      <c r="ZG23" s="95"/>
      <c r="ZH23" s="95"/>
      <c r="ZK23" s="140"/>
      <c r="ZO23" s="146"/>
      <c r="ZP23" s="93"/>
      <c r="ZR23" s="94"/>
      <c r="ZS23" s="94"/>
      <c r="ZT23" s="94"/>
      <c r="ZU23" s="95"/>
      <c r="ZV23" s="95"/>
      <c r="ZZ23" s="147"/>
      <c r="AAA23" s="147"/>
      <c r="AAB23" s="147"/>
      <c r="AAC23" s="148" t="s">
        <v>52</v>
      </c>
      <c r="AAD23" s="149"/>
      <c r="AAE23" s="150"/>
      <c r="AAF23" s="151"/>
      <c r="AAG23" s="152" t="str">
        <f>IFERROR($J$7/AAF23,"-")</f>
        <v>-</v>
      </c>
      <c r="AAH23" s="153"/>
      <c r="AAI23" s="108" t="s">
        <v>55</v>
      </c>
      <c r="AAM23" s="147"/>
      <c r="AAN23" s="147"/>
      <c r="AAO23" s="147"/>
      <c r="AAP23" s="148" t="s">
        <v>52</v>
      </c>
      <c r="AAQ23" s="149"/>
      <c r="AAR23" s="150"/>
      <c r="AAS23" s="151"/>
      <c r="AAT23" s="152" t="str">
        <f>IFERROR($J$7/AAS23,"-")</f>
        <v>-</v>
      </c>
      <c r="AAU23" s="153"/>
      <c r="AAV23" s="108" t="s">
        <v>55</v>
      </c>
      <c r="AAZ23" s="147"/>
      <c r="ABA23" s="147"/>
      <c r="ABB23" s="147"/>
      <c r="ABC23" s="148" t="s">
        <v>52</v>
      </c>
      <c r="ABD23" s="149"/>
      <c r="ABE23" s="150"/>
      <c r="ABF23" s="151"/>
      <c r="ABG23" s="152" t="str">
        <f>IFERROR($J$7/ABF23,"-")</f>
        <v>-</v>
      </c>
      <c r="ABH23" s="153"/>
      <c r="ABI23" s="108" t="s">
        <v>55</v>
      </c>
      <c r="ABM23" s="147"/>
      <c r="ABN23" s="147"/>
      <c r="ABO23" s="147"/>
      <c r="ABP23" s="148" t="s">
        <v>52</v>
      </c>
      <c r="ABQ23" s="149"/>
      <c r="ABR23" s="150"/>
      <c r="ABS23" s="151"/>
      <c r="ABT23" s="152" t="str">
        <f>IFERROR($J$7/ABS23,"-")</f>
        <v>-</v>
      </c>
      <c r="ABU23" s="153"/>
      <c r="ABV23" s="108" t="s">
        <v>55</v>
      </c>
      <c r="ABZ23" s="147"/>
      <c r="ACA23" s="147"/>
      <c r="ACB23" s="147"/>
      <c r="ACC23" s="148" t="s">
        <v>52</v>
      </c>
      <c r="ACD23" s="149"/>
      <c r="ACE23" s="150"/>
      <c r="ACF23" s="151"/>
      <c r="ACG23" s="152" t="str">
        <f>IFERROR($J$7/ACF23,"-")</f>
        <v>-</v>
      </c>
      <c r="ACH23" s="153"/>
      <c r="ACI23" s="108" t="s">
        <v>55</v>
      </c>
      <c r="ACM23" s="147"/>
      <c r="ACN23" s="147"/>
      <c r="ACO23" s="147"/>
      <c r="ACP23" s="148" t="s">
        <v>52</v>
      </c>
      <c r="ACQ23" s="149"/>
      <c r="ACR23" s="150"/>
      <c r="ACS23" s="151"/>
      <c r="ACT23" s="152" t="str">
        <f>IFERROR($J$7/ACS23,"-")</f>
        <v>-</v>
      </c>
      <c r="ACU23" s="153"/>
      <c r="ACV23" s="108" t="s">
        <v>55</v>
      </c>
      <c r="ACZ23" s="147"/>
      <c r="ADA23" s="147"/>
      <c r="ADB23" s="147"/>
      <c r="ADC23" s="148" t="s">
        <v>52</v>
      </c>
      <c r="ADD23" s="149"/>
      <c r="ADE23" s="150"/>
      <c r="ADF23" s="151"/>
      <c r="ADG23" s="152" t="str">
        <f>IFERROR($J$7/ADF23,"-")</f>
        <v>-</v>
      </c>
      <c r="ADH23" s="153"/>
      <c r="ADI23" s="108" t="s">
        <v>55</v>
      </c>
      <c r="ADM23" s="147"/>
      <c r="ADN23" s="147"/>
      <c r="ADO23" s="147"/>
      <c r="ADP23" s="148" t="s">
        <v>52</v>
      </c>
      <c r="ADQ23" s="149"/>
      <c r="ADR23" s="150"/>
      <c r="ADS23" s="151"/>
      <c r="ADT23" s="152" t="str">
        <f>IFERROR($J$7/ADS23,"-")</f>
        <v>-</v>
      </c>
      <c r="ADU23" s="153"/>
      <c r="ADV23" s="108" t="s">
        <v>55</v>
      </c>
      <c r="ADZ23" s="147"/>
      <c r="AEA23" s="147"/>
      <c r="AEB23" s="147"/>
      <c r="AEC23" s="148" t="s">
        <v>52</v>
      </c>
      <c r="AED23" s="149"/>
      <c r="AEE23" s="150"/>
      <c r="AEF23" s="151"/>
      <c r="AEG23" s="152" t="str">
        <f>IFERROR($J$7/AEF23,"-")</f>
        <v>-</v>
      </c>
      <c r="AEH23" s="153"/>
      <c r="AEI23" s="108" t="s">
        <v>55</v>
      </c>
      <c r="AEM23" s="147"/>
      <c r="AEN23" s="147"/>
      <c r="AEO23" s="147"/>
      <c r="AEP23" s="148" t="s">
        <v>52</v>
      </c>
      <c r="AEQ23" s="149"/>
      <c r="AER23" s="150"/>
      <c r="AES23" s="151"/>
      <c r="AET23" s="152" t="str">
        <f>IFERROR($J$7/AES23,"-")</f>
        <v>-</v>
      </c>
      <c r="AEU23" s="153"/>
      <c r="AEV23" s="108" t="s">
        <v>55</v>
      </c>
      <c r="AEZ23" s="147"/>
      <c r="AFA23" s="147"/>
      <c r="AFB23" s="147"/>
      <c r="AFC23" s="148" t="s">
        <v>52</v>
      </c>
      <c r="AFD23" s="149"/>
      <c r="AFE23" s="150"/>
      <c r="AFF23" s="151"/>
      <c r="AFG23" s="152" t="str">
        <f>IFERROR($J$7/AFF23,"-")</f>
        <v>-</v>
      </c>
      <c r="AFH23" s="153"/>
      <c r="AFI23" s="108" t="s">
        <v>55</v>
      </c>
      <c r="AFM23" s="147"/>
      <c r="AFN23" s="147"/>
      <c r="AFO23" s="147"/>
      <c r="AFP23" s="148" t="s">
        <v>52</v>
      </c>
      <c r="AFQ23" s="149"/>
      <c r="AFR23" s="150"/>
      <c r="AFS23" s="151"/>
      <c r="AFT23" s="152" t="str">
        <f>IFERROR($J$7/AFS23,"-")</f>
        <v>-</v>
      </c>
      <c r="AFU23" s="153"/>
      <c r="AFV23" s="108" t="s">
        <v>55</v>
      </c>
      <c r="AFZ23" s="147"/>
      <c r="AGA23" s="147"/>
      <c r="AGB23" s="147"/>
      <c r="AGC23" s="148" t="s">
        <v>52</v>
      </c>
      <c r="AGD23" s="149"/>
      <c r="AGE23" s="150"/>
      <c r="AGF23" s="151"/>
      <c r="AGG23" s="152" t="str">
        <f>IFERROR($J$7/AGF23,"-")</f>
        <v>-</v>
      </c>
      <c r="AGH23" s="153"/>
      <c r="AGI23" s="108" t="s">
        <v>55</v>
      </c>
      <c r="AGL23" s="147"/>
      <c r="AGM23" s="147"/>
      <c r="AGN23" s="147"/>
      <c r="AGO23" s="148" t="s">
        <v>52</v>
      </c>
      <c r="AGP23" s="149"/>
      <c r="AGQ23" s="150"/>
      <c r="AGR23" s="151"/>
      <c r="AGS23" s="152" t="str">
        <f>IFERROR($J$7/AGR23,"-")</f>
        <v>-</v>
      </c>
      <c r="AGT23" s="153"/>
      <c r="AGU23" s="108" t="s">
        <v>55</v>
      </c>
      <c r="AGX23" s="147"/>
      <c r="AGY23" s="147"/>
      <c r="AGZ23" s="147"/>
      <c r="AHA23" s="148" t="s">
        <v>52</v>
      </c>
      <c r="AHB23" s="149"/>
      <c r="AHC23" s="150"/>
      <c r="AHD23" s="151"/>
      <c r="AHE23" s="152" t="str">
        <f>IFERROR($J$7/AHD23,"-")</f>
        <v>-</v>
      </c>
      <c r="AHF23" s="153"/>
      <c r="AHG23" s="108" t="s">
        <v>55</v>
      </c>
      <c r="AHJ23" s="147"/>
      <c r="AHK23" s="147"/>
      <c r="AHL23" s="147"/>
      <c r="AHM23" s="148" t="s">
        <v>52</v>
      </c>
      <c r="AHN23" s="149"/>
      <c r="AHO23" s="150"/>
      <c r="AHP23" s="151"/>
      <c r="AHQ23" s="152" t="str">
        <f>IFERROR($J$7/AHP23,"-")</f>
        <v>-</v>
      </c>
      <c r="AHR23" s="153"/>
      <c r="AHS23" s="108" t="s">
        <v>55</v>
      </c>
      <c r="AHV23" s="147"/>
      <c r="AHW23" s="147"/>
      <c r="AHX23" s="147"/>
      <c r="AHY23" s="148" t="s">
        <v>52</v>
      </c>
      <c r="AHZ23" s="149"/>
      <c r="AIA23" s="150"/>
      <c r="AIB23" s="151"/>
      <c r="AIC23" s="152" t="str">
        <f>IFERROR($J$7/AIB23,"-")</f>
        <v>-</v>
      </c>
      <c r="AID23" s="153"/>
      <c r="AIE23" s="108" t="s">
        <v>55</v>
      </c>
      <c r="AIH23" s="147"/>
      <c r="AII23" s="147"/>
      <c r="AIJ23" s="147"/>
      <c r="AIK23" s="148" t="s">
        <v>52</v>
      </c>
      <c r="AIL23" s="149"/>
      <c r="AIM23" s="150"/>
      <c r="AIN23" s="151"/>
      <c r="AIO23" s="152" t="str">
        <f>IFERROR($J$7/AIN23,"-")</f>
        <v>-</v>
      </c>
      <c r="AIP23" s="153"/>
      <c r="AIQ23" s="108" t="s">
        <v>55</v>
      </c>
      <c r="AIT23" s="147"/>
      <c r="AIU23" s="147"/>
      <c r="AIV23" s="147"/>
      <c r="AIW23" s="148" t="s">
        <v>52</v>
      </c>
      <c r="AIX23" s="149"/>
      <c r="AIY23" s="150"/>
      <c r="AIZ23" s="151"/>
      <c r="AJA23" s="152" t="str">
        <f>IFERROR($J$7/AIZ23,"-")</f>
        <v>-</v>
      </c>
      <c r="AJB23" s="153"/>
      <c r="AJC23" s="108" t="s">
        <v>55</v>
      </c>
      <c r="AJF23" s="147"/>
      <c r="AJG23" s="147"/>
      <c r="AJH23" s="147"/>
      <c r="AJI23" s="148" t="s">
        <v>52</v>
      </c>
      <c r="AJJ23" s="149"/>
      <c r="AJK23" s="150"/>
      <c r="AJL23" s="151"/>
      <c r="AJM23" s="152" t="str">
        <f>IFERROR($J$7/AJL23,"-")</f>
        <v>-</v>
      </c>
      <c r="AJN23" s="153"/>
      <c r="AJO23" s="108" t="s">
        <v>55</v>
      </c>
      <c r="AJR23" s="147"/>
      <c r="AJS23" s="147"/>
      <c r="AJT23" s="147"/>
      <c r="AJU23" s="148" t="s">
        <v>52</v>
      </c>
      <c r="AJV23" s="149"/>
      <c r="AJW23" s="150"/>
      <c r="AJX23" s="151"/>
      <c r="AJY23" s="152" t="str">
        <f>IFERROR($J$7/AJX23,"-")</f>
        <v>-</v>
      </c>
      <c r="AJZ23" s="153"/>
      <c r="AKA23" s="108" t="s">
        <v>55</v>
      </c>
      <c r="AKD23" s="147"/>
      <c r="AKE23" s="147"/>
      <c r="AKF23" s="147"/>
      <c r="AKG23" s="148" t="s">
        <v>52</v>
      </c>
      <c r="AKH23" s="149"/>
      <c r="AKI23" s="150"/>
      <c r="AKJ23" s="151"/>
      <c r="AKK23" s="152" t="str">
        <f>IFERROR($J$7/AKJ23,"-")</f>
        <v>-</v>
      </c>
      <c r="AKL23" s="153"/>
      <c r="AKM23" s="108" t="s">
        <v>55</v>
      </c>
      <c r="AKP23" s="147"/>
      <c r="AKQ23" s="147"/>
      <c r="AKR23" s="147"/>
      <c r="AKS23" s="148" t="s">
        <v>52</v>
      </c>
      <c r="AKT23" s="149"/>
      <c r="AKU23" s="150"/>
      <c r="AKV23" s="151"/>
      <c r="AKW23" s="152" t="str">
        <f>IFERROR($J$7/AKV23,"-")</f>
        <v>-</v>
      </c>
      <c r="AKX23" s="153"/>
      <c r="AKY23" s="108" t="s">
        <v>55</v>
      </c>
      <c r="ALB23" s="147"/>
      <c r="ALC23" s="147"/>
      <c r="ALD23" s="147"/>
      <c r="ALE23" s="148" t="s">
        <v>52</v>
      </c>
      <c r="ALF23" s="149"/>
      <c r="ALG23" s="150"/>
      <c r="ALH23" s="151"/>
      <c r="ALI23" s="152" t="str">
        <f>IFERROR($J$7/ALH23,"-")</f>
        <v>-</v>
      </c>
      <c r="ALJ23" s="153"/>
      <c r="ALK23" s="108" t="s">
        <v>55</v>
      </c>
      <c r="ALN23" s="147"/>
      <c r="ALO23" s="147"/>
      <c r="ALP23" s="147"/>
      <c r="ALQ23" s="148" t="s">
        <v>52</v>
      </c>
      <c r="ALR23" s="149"/>
      <c r="ALS23" s="150"/>
      <c r="ALT23" s="151"/>
      <c r="ALU23" s="152" t="str">
        <f>IFERROR($J$7/ALT23,"-")</f>
        <v>-</v>
      </c>
      <c r="ALV23" s="153"/>
      <c r="ALW23" s="108" t="s">
        <v>55</v>
      </c>
      <c r="ALZ23" s="147"/>
      <c r="AMA23" s="147"/>
      <c r="AMB23" s="147"/>
      <c r="AMC23" s="148" t="s">
        <v>52</v>
      </c>
      <c r="AMD23" s="149"/>
      <c r="AME23" s="150"/>
      <c r="AMF23" s="151"/>
      <c r="AMG23" s="152" t="str">
        <f>IFERROR($J$7/AMF23,"-")</f>
        <v>-</v>
      </c>
      <c r="AMH23" s="153"/>
      <c r="AMI23" s="108" t="s">
        <v>55</v>
      </c>
      <c r="AML23" s="147"/>
      <c r="AMM23" s="147"/>
      <c r="AMN23" s="147"/>
      <c r="AMO23" s="148" t="s">
        <v>52</v>
      </c>
      <c r="AMP23" s="149"/>
      <c r="AMQ23" s="150"/>
      <c r="AMR23" s="151"/>
      <c r="AMS23" s="152" t="str">
        <f>IFERROR($J$7/AMR23,"-")</f>
        <v>-</v>
      </c>
      <c r="AMT23" s="153"/>
      <c r="AMU23" s="108" t="s">
        <v>55</v>
      </c>
      <c r="AMX23" s="147"/>
      <c r="AMY23" s="147"/>
      <c r="AMZ23" s="147"/>
      <c r="ANA23" s="148" t="s">
        <v>52</v>
      </c>
      <c r="ANB23" s="149"/>
      <c r="ANC23" s="150"/>
      <c r="AND23" s="151"/>
      <c r="ANE23" s="152" t="str">
        <f>IFERROR($J$7/AND23,"-")</f>
        <v>-</v>
      </c>
      <c r="ANF23" s="153"/>
      <c r="ANG23" s="108" t="s">
        <v>55</v>
      </c>
      <c r="ANJ23" s="147"/>
      <c r="ANK23" s="147"/>
      <c r="ANL23" s="147"/>
      <c r="ANM23" s="148" t="s">
        <v>52</v>
      </c>
      <c r="ANN23" s="149"/>
      <c r="ANO23" s="150"/>
      <c r="ANP23" s="151"/>
      <c r="ANQ23" s="152" t="str">
        <f>IFERROR($J$7/ANP23,"-")</f>
        <v>-</v>
      </c>
      <c r="ANR23" s="153"/>
      <c r="ANS23" s="108" t="s">
        <v>55</v>
      </c>
      <c r="ANV23" s="147"/>
      <c r="ANW23" s="147"/>
      <c r="ANX23" s="147"/>
      <c r="ANY23" s="148" t="s">
        <v>52</v>
      </c>
      <c r="ANZ23" s="149"/>
      <c r="AOA23" s="150"/>
      <c r="AOB23" s="151"/>
      <c r="AOC23" s="152" t="str">
        <f>IFERROR($J$7/AOB23,"-")</f>
        <v>-</v>
      </c>
      <c r="AOD23" s="153"/>
      <c r="AOE23" s="108" t="s">
        <v>55</v>
      </c>
      <c r="AOH23" s="147"/>
      <c r="AOI23" s="147"/>
      <c r="AOJ23" s="147"/>
      <c r="AOK23" s="148" t="s">
        <v>52</v>
      </c>
      <c r="AOL23" s="149"/>
      <c r="AOM23" s="150"/>
      <c r="AON23" s="151"/>
      <c r="AOO23" s="152" t="str">
        <f>IFERROR($J$7/AON23,"-")</f>
        <v>-</v>
      </c>
      <c r="AOP23" s="153"/>
      <c r="AOQ23" s="108" t="s">
        <v>55</v>
      </c>
      <c r="AOT23" s="147"/>
      <c r="AOU23" s="147"/>
      <c r="AOV23" s="147"/>
      <c r="AOW23" s="148" t="s">
        <v>52</v>
      </c>
      <c r="AOX23" s="149"/>
      <c r="AOY23" s="150"/>
      <c r="AOZ23" s="151"/>
      <c r="APA23" s="152" t="str">
        <f>IFERROR($J$7/AOZ23,"-")</f>
        <v>-</v>
      </c>
      <c r="APB23" s="153"/>
      <c r="APC23" s="108" t="s">
        <v>55</v>
      </c>
      <c r="APF23" s="147"/>
      <c r="APG23" s="147"/>
      <c r="APH23" s="147"/>
      <c r="API23" s="148" t="s">
        <v>52</v>
      </c>
      <c r="APJ23" s="149"/>
      <c r="APK23" s="150"/>
      <c r="APL23" s="151"/>
      <c r="APM23" s="152" t="str">
        <f>IFERROR($J$7/APL23,"-")</f>
        <v>-</v>
      </c>
      <c r="APN23" s="153"/>
      <c r="APO23" s="108" t="s">
        <v>55</v>
      </c>
      <c r="APR23" s="147"/>
      <c r="APS23" s="147"/>
      <c r="APT23" s="147"/>
      <c r="APU23" s="148" t="s">
        <v>52</v>
      </c>
      <c r="APV23" s="149"/>
      <c r="APW23" s="150"/>
      <c r="APX23" s="151"/>
      <c r="APY23" s="152" t="str">
        <f>IFERROR($J$7/APX23,"-")</f>
        <v>-</v>
      </c>
      <c r="APZ23" s="153"/>
      <c r="AQA23" s="108" t="s">
        <v>55</v>
      </c>
      <c r="AQD23" s="147"/>
      <c r="AQE23" s="147"/>
      <c r="AQF23" s="147"/>
      <c r="AQG23" s="148" t="s">
        <v>52</v>
      </c>
      <c r="AQH23" s="149"/>
      <c r="AQI23" s="150"/>
      <c r="AQJ23" s="151"/>
      <c r="AQK23" s="152" t="str">
        <f>IFERROR($J$7/AQJ23,"-")</f>
        <v>-</v>
      </c>
      <c r="AQL23" s="153"/>
      <c r="AQM23" s="108" t="s">
        <v>55</v>
      </c>
      <c r="AQP23" s="147"/>
      <c r="AQQ23" s="147"/>
      <c r="AQR23" s="147"/>
      <c r="AQS23" s="148" t="s">
        <v>52</v>
      </c>
      <c r="AQT23" s="149"/>
      <c r="AQU23" s="150"/>
      <c r="AQV23" s="151"/>
      <c r="AQW23" s="152" t="str">
        <f>IFERROR($J$7/AQV23,"-")</f>
        <v>-</v>
      </c>
      <c r="AQX23" s="153"/>
      <c r="AQY23" s="108" t="s">
        <v>55</v>
      </c>
      <c r="ARB23" s="147"/>
      <c r="ARC23" s="147"/>
      <c r="ARD23" s="147"/>
      <c r="ARE23" s="148" t="s">
        <v>52</v>
      </c>
      <c r="ARF23" s="149"/>
      <c r="ARG23" s="150"/>
      <c r="ARH23" s="151"/>
      <c r="ARI23" s="152" t="str">
        <f>IFERROR($J$7/ARH23,"-")</f>
        <v>-</v>
      </c>
      <c r="ARJ23" s="153"/>
      <c r="ARK23" s="108" t="s">
        <v>55</v>
      </c>
      <c r="ARN23" s="147"/>
      <c r="ARO23" s="147"/>
      <c r="ARP23" s="147"/>
      <c r="ARQ23" s="148" t="s">
        <v>52</v>
      </c>
      <c r="ARR23" s="149"/>
      <c r="ARS23" s="150"/>
      <c r="ART23" s="151"/>
      <c r="ARU23" s="152" t="str">
        <f>IFERROR($J$7/ART23,"-")</f>
        <v>-</v>
      </c>
      <c r="ARV23" s="153"/>
      <c r="ARW23" s="108" t="s">
        <v>55</v>
      </c>
      <c r="ARZ23" s="147"/>
      <c r="ASA23" s="147"/>
      <c r="ASB23" s="147"/>
      <c r="ASC23" s="148" t="s">
        <v>52</v>
      </c>
      <c r="ASD23" s="149"/>
      <c r="ASE23" s="150"/>
      <c r="ASF23" s="151"/>
      <c r="ASG23" s="152" t="str">
        <f>IFERROR($J$7/ASF23,"-")</f>
        <v>-</v>
      </c>
      <c r="ASH23" s="153"/>
      <c r="ASI23" s="108" t="s">
        <v>55</v>
      </c>
      <c r="ASL23" s="147"/>
      <c r="ASM23" s="147"/>
      <c r="ASN23" s="147"/>
      <c r="ASO23" s="148" t="s">
        <v>52</v>
      </c>
      <c r="ASP23" s="149"/>
      <c r="ASQ23" s="150"/>
      <c r="ASR23" s="151"/>
      <c r="ASS23" s="152" t="str">
        <f>IFERROR($J$7/ASR23,"-")</f>
        <v>-</v>
      </c>
      <c r="AST23" s="153"/>
      <c r="ASU23" s="108" t="s">
        <v>55</v>
      </c>
      <c r="ASX23" s="147"/>
      <c r="ASY23" s="147"/>
      <c r="ASZ23" s="147"/>
      <c r="ATA23" s="148" t="s">
        <v>52</v>
      </c>
      <c r="ATB23" s="149"/>
      <c r="ATC23" s="150"/>
      <c r="ATD23" s="151"/>
      <c r="ATE23" s="152" t="str">
        <f>IFERROR($J$7/ATD23,"-")</f>
        <v>-</v>
      </c>
      <c r="ATF23" s="153"/>
      <c r="ATG23" s="108" t="s">
        <v>55</v>
      </c>
      <c r="ATJ23" s="147"/>
      <c r="ATK23" s="147"/>
      <c r="ATL23" s="147"/>
      <c r="ATM23" s="148" t="s">
        <v>52</v>
      </c>
      <c r="ATN23" s="149"/>
      <c r="ATO23" s="150"/>
      <c r="ATP23" s="151"/>
      <c r="ATQ23" s="152" t="str">
        <f>IFERROR($J$7/ATP23,"-")</f>
        <v>-</v>
      </c>
      <c r="ATR23" s="153"/>
      <c r="ATS23" s="108" t="s">
        <v>55</v>
      </c>
      <c r="ATV23" s="147"/>
      <c r="ATW23" s="147"/>
      <c r="ATX23" s="147"/>
      <c r="ATY23" s="148" t="s">
        <v>52</v>
      </c>
      <c r="ATZ23" s="149"/>
      <c r="AUA23" s="150"/>
      <c r="AUB23" s="151"/>
      <c r="AUC23" s="152" t="str">
        <f>IFERROR($J$7/AUB23,"-")</f>
        <v>-</v>
      </c>
      <c r="AUD23" s="153"/>
      <c r="AUE23" s="108" t="s">
        <v>55</v>
      </c>
      <c r="AUH23" s="147"/>
      <c r="AUI23" s="147"/>
      <c r="AUJ23" s="147"/>
      <c r="AUK23" s="148" t="s">
        <v>52</v>
      </c>
      <c r="AUL23" s="149"/>
      <c r="AUM23" s="150"/>
      <c r="AUN23" s="151"/>
      <c r="AUO23" s="152" t="str">
        <f>IFERROR($J$7/AUN23,"-")</f>
        <v>-</v>
      </c>
      <c r="AUP23" s="153"/>
      <c r="AUQ23" s="108" t="s">
        <v>55</v>
      </c>
      <c r="AUT23" s="147"/>
      <c r="AUU23" s="147"/>
      <c r="AUV23" s="147"/>
      <c r="AUW23" s="148" t="s">
        <v>52</v>
      </c>
      <c r="AUX23" s="149"/>
      <c r="AUY23" s="150"/>
      <c r="AUZ23" s="151"/>
      <c r="AVA23" s="152" t="str">
        <f>IFERROR($J$7/AUZ23,"-")</f>
        <v>-</v>
      </c>
      <c r="AVB23" s="153"/>
      <c r="AVC23" s="108" t="s">
        <v>55</v>
      </c>
      <c r="AVF23" s="147"/>
      <c r="AVG23" s="147"/>
      <c r="AVH23" s="147"/>
      <c r="AVI23" s="148" t="s">
        <v>52</v>
      </c>
      <c r="AVJ23" s="149"/>
      <c r="AVK23" s="150"/>
      <c r="AVL23" s="151"/>
      <c r="AVM23" s="152" t="str">
        <f>IFERROR($J$7/AVL23,"-")</f>
        <v>-</v>
      </c>
      <c r="AVN23" s="153"/>
      <c r="AVO23" s="108" t="s">
        <v>55</v>
      </c>
      <c r="AVR23" s="147"/>
      <c r="AVS23" s="147"/>
      <c r="AVT23" s="147"/>
      <c r="AVU23" s="148" t="s">
        <v>52</v>
      </c>
      <c r="AVV23" s="149"/>
      <c r="AVW23" s="150"/>
      <c r="AVX23" s="151"/>
      <c r="AVY23" s="152" t="str">
        <f>IFERROR($J$7/AVX23,"-")</f>
        <v>-</v>
      </c>
      <c r="AVZ23" s="153"/>
      <c r="AWA23" s="108" t="s">
        <v>55</v>
      </c>
      <c r="AWD23" s="147"/>
      <c r="AWE23" s="147"/>
      <c r="AWF23" s="147"/>
      <c r="AWG23" s="148" t="s">
        <v>52</v>
      </c>
      <c r="AWH23" s="149"/>
      <c r="AWI23" s="150"/>
      <c r="AWJ23" s="151"/>
      <c r="AWK23" s="152" t="str">
        <f>IFERROR($J$7/AWJ23,"-")</f>
        <v>-</v>
      </c>
      <c r="AWL23" s="153"/>
      <c r="AWM23" s="108" t="s">
        <v>55</v>
      </c>
      <c r="AWP23" s="147"/>
      <c r="AWQ23" s="147"/>
      <c r="AWR23" s="147"/>
      <c r="AWS23" s="148" t="s">
        <v>52</v>
      </c>
      <c r="AWT23" s="149"/>
      <c r="AWU23" s="150"/>
      <c r="AWV23" s="151"/>
      <c r="AWW23" s="152" t="str">
        <f>IFERROR($J$7/AWV23,"-")</f>
        <v>-</v>
      </c>
      <c r="AWX23" s="153"/>
      <c r="AWY23" s="108" t="s">
        <v>55</v>
      </c>
      <c r="AXB23" s="147"/>
      <c r="AXC23" s="147"/>
      <c r="AXD23" s="147"/>
      <c r="AXE23" s="148" t="s">
        <v>52</v>
      </c>
      <c r="AXF23" s="149"/>
      <c r="AXG23" s="150"/>
      <c r="AXH23" s="151"/>
      <c r="AXI23" s="152" t="str">
        <f>IFERROR($J$7/AXH23,"-")</f>
        <v>-</v>
      </c>
      <c r="AXJ23" s="153"/>
      <c r="AXK23" s="108" t="s">
        <v>55</v>
      </c>
      <c r="AXN23" s="147"/>
      <c r="AXO23" s="147"/>
      <c r="AXP23" s="147"/>
      <c r="AXQ23" s="148" t="s">
        <v>52</v>
      </c>
      <c r="AXR23" s="149"/>
      <c r="AXS23" s="150"/>
      <c r="AXT23" s="151"/>
      <c r="AXU23" s="152" t="str">
        <f>IFERROR($J$7/AXT23,"-")</f>
        <v>-</v>
      </c>
      <c r="AXV23" s="153"/>
      <c r="AXW23" s="108" t="s">
        <v>55</v>
      </c>
      <c r="AXZ23" s="147"/>
      <c r="AYA23" s="147"/>
      <c r="AYB23" s="147"/>
      <c r="AYC23" s="148" t="s">
        <v>52</v>
      </c>
      <c r="AYD23" s="149"/>
      <c r="AYE23" s="150"/>
      <c r="AYF23" s="151"/>
      <c r="AYG23" s="152" t="str">
        <f>IFERROR($J$7/AYF23,"-")</f>
        <v>-</v>
      </c>
      <c r="AYH23" s="153"/>
      <c r="AYI23" s="108" t="s">
        <v>55</v>
      </c>
      <c r="AYL23" s="147"/>
      <c r="AYM23" s="147"/>
      <c r="AYN23" s="147"/>
      <c r="AYO23" s="148" t="s">
        <v>52</v>
      </c>
      <c r="AYP23" s="149"/>
      <c r="AYQ23" s="150"/>
      <c r="AYR23" s="151"/>
      <c r="AYS23" s="152" t="str">
        <f>IFERROR($J$7/AYR23,"-")</f>
        <v>-</v>
      </c>
      <c r="AYT23" s="153"/>
      <c r="AYU23" s="108" t="s">
        <v>55</v>
      </c>
      <c r="AYX23" s="147"/>
      <c r="AYY23" s="147"/>
      <c r="AYZ23" s="147"/>
      <c r="AZA23" s="148" t="s">
        <v>52</v>
      </c>
      <c r="AZB23" s="149"/>
      <c r="AZC23" s="150"/>
      <c r="AZD23" s="151"/>
      <c r="AZE23" s="152" t="str">
        <f>IFERROR($J$7/AZD23,"-")</f>
        <v>-</v>
      </c>
      <c r="AZF23" s="153"/>
      <c r="AZG23" s="108" t="s">
        <v>55</v>
      </c>
      <c r="AZJ23" s="147"/>
      <c r="AZK23" s="147"/>
      <c r="AZL23" s="147"/>
      <c r="AZM23" s="148" t="s">
        <v>52</v>
      </c>
      <c r="AZN23" s="149"/>
      <c r="AZO23" s="150"/>
      <c r="AZP23" s="151"/>
      <c r="AZQ23" s="152" t="str">
        <f>IFERROR($J$7/AZP23,"-")</f>
        <v>-</v>
      </c>
      <c r="AZR23" s="153"/>
      <c r="AZS23" s="108" t="s">
        <v>55</v>
      </c>
      <c r="AZV23" s="147"/>
      <c r="AZW23" s="147"/>
      <c r="AZX23" s="147"/>
      <c r="AZY23" s="148" t="s">
        <v>52</v>
      </c>
      <c r="AZZ23" s="149"/>
      <c r="BAA23" s="150"/>
      <c r="BAB23" s="151"/>
      <c r="BAC23" s="152" t="str">
        <f>IFERROR($J$7/BAB23,"-")</f>
        <v>-</v>
      </c>
      <c r="BAD23" s="153"/>
      <c r="BAE23" s="108" t="s">
        <v>55</v>
      </c>
      <c r="BAH23" s="147"/>
      <c r="BAI23" s="147"/>
      <c r="BAJ23" s="147"/>
      <c r="BAK23" s="148" t="s">
        <v>52</v>
      </c>
      <c r="BAL23" s="149"/>
      <c r="BAM23" s="150"/>
      <c r="BAN23" s="151"/>
      <c r="BAO23" s="152" t="str">
        <f>IFERROR($J$7/BAN23,"-")</f>
        <v>-</v>
      </c>
      <c r="BAP23" s="153"/>
      <c r="BAQ23" s="108" t="s">
        <v>55</v>
      </c>
      <c r="BAT23" s="147"/>
      <c r="BAU23" s="147"/>
      <c r="BAV23" s="147"/>
      <c r="BAW23" s="148" t="s">
        <v>52</v>
      </c>
      <c r="BAX23" s="149"/>
      <c r="BAY23" s="150"/>
      <c r="BAZ23" s="151"/>
      <c r="BBA23" s="152" t="str">
        <f>IFERROR($J$7/BAZ23,"-")</f>
        <v>-</v>
      </c>
      <c r="BBB23" s="153"/>
      <c r="BBC23" s="108" t="s">
        <v>55</v>
      </c>
      <c r="BBF23" s="147"/>
      <c r="BBG23" s="147"/>
      <c r="BBH23" s="147"/>
      <c r="BBI23" s="148" t="s">
        <v>52</v>
      </c>
      <c r="BBJ23" s="149"/>
      <c r="BBK23" s="150"/>
      <c r="BBL23" s="151"/>
      <c r="BBM23" s="152" t="str">
        <f>IFERROR($J$7/BBL23,"-")</f>
        <v>-</v>
      </c>
      <c r="BBN23" s="153"/>
      <c r="BBO23" s="108" t="s">
        <v>55</v>
      </c>
      <c r="BBR23" s="147"/>
      <c r="BBS23" s="147"/>
      <c r="BBT23" s="147"/>
      <c r="BBU23" s="148" t="s">
        <v>52</v>
      </c>
      <c r="BBV23" s="149"/>
      <c r="BBW23" s="150"/>
      <c r="BBX23" s="151"/>
      <c r="BBY23" s="152" t="str">
        <f>IFERROR($J$7/BBX23,"-")</f>
        <v>-</v>
      </c>
      <c r="BBZ23" s="153"/>
      <c r="BCA23" s="108" t="s">
        <v>55</v>
      </c>
      <c r="BCD23" s="147"/>
      <c r="BCE23" s="147"/>
      <c r="BCF23" s="147"/>
      <c r="BCG23" s="148" t="s">
        <v>52</v>
      </c>
      <c r="BCH23" s="149"/>
      <c r="BCI23" s="150"/>
      <c r="BCJ23" s="151"/>
      <c r="BCK23" s="152" t="str">
        <f>IFERROR($J$7/BCJ23,"-")</f>
        <v>-</v>
      </c>
      <c r="BCL23" s="153"/>
      <c r="BCM23" s="108" t="s">
        <v>55</v>
      </c>
      <c r="BCP23" s="147"/>
      <c r="BCQ23" s="147"/>
      <c r="BCR23" s="147"/>
      <c r="BCS23" s="148" t="s">
        <v>52</v>
      </c>
      <c r="BCT23" s="149"/>
      <c r="BCU23" s="150"/>
      <c r="BCV23" s="151"/>
      <c r="BCW23" s="152" t="str">
        <f>IFERROR($J$7/BCV23,"-")</f>
        <v>-</v>
      </c>
      <c r="BCX23" s="153"/>
      <c r="BCY23" s="108" t="s">
        <v>55</v>
      </c>
      <c r="BDB23" s="147"/>
      <c r="BDC23" s="147"/>
      <c r="BDD23" s="147"/>
      <c r="BDE23" s="148" t="s">
        <v>52</v>
      </c>
      <c r="BDF23" s="149"/>
      <c r="BDG23" s="150"/>
      <c r="BDH23" s="151"/>
      <c r="BDI23" s="152" t="str">
        <f>IFERROR($J$7/BDH23,"-")</f>
        <v>-</v>
      </c>
      <c r="BDJ23" s="153"/>
      <c r="BDK23" s="108" t="s">
        <v>55</v>
      </c>
      <c r="BDN23" s="147"/>
      <c r="BDO23" s="147"/>
      <c r="BDP23" s="147"/>
      <c r="BDQ23" s="148" t="s">
        <v>52</v>
      </c>
      <c r="BDR23" s="149"/>
      <c r="BDS23" s="150"/>
      <c r="BDT23" s="151"/>
      <c r="BDU23" s="152" t="str">
        <f>IFERROR($J$7/BDT23,"-")</f>
        <v>-</v>
      </c>
      <c r="BDV23" s="153"/>
      <c r="BDW23" s="108" t="s">
        <v>55</v>
      </c>
      <c r="BDZ23" s="147"/>
      <c r="BEA23" s="147"/>
      <c r="BEB23" s="147"/>
      <c r="BEC23" s="148" t="s">
        <v>52</v>
      </c>
      <c r="BED23" s="149"/>
      <c r="BEE23" s="150"/>
      <c r="BEF23" s="151"/>
      <c r="BEG23" s="152" t="str">
        <f>IFERROR($J$7/BEF23,"-")</f>
        <v>-</v>
      </c>
      <c r="BEH23" s="153"/>
      <c r="BEI23" s="108" t="s">
        <v>55</v>
      </c>
      <c r="BEL23" s="147"/>
      <c r="BEM23" s="147"/>
      <c r="BEN23" s="147"/>
      <c r="BEO23" s="148" t="s">
        <v>52</v>
      </c>
      <c r="BEP23" s="149"/>
      <c r="BEQ23" s="150"/>
      <c r="BER23" s="151"/>
      <c r="BES23" s="152" t="str">
        <f>IFERROR($J$7/BER23,"-")</f>
        <v>-</v>
      </c>
      <c r="BET23" s="153"/>
      <c r="BEU23" s="108" t="s">
        <v>55</v>
      </c>
      <c r="BEX23" s="147"/>
      <c r="BEY23" s="147"/>
      <c r="BEZ23" s="147"/>
      <c r="BFA23" s="148" t="s">
        <v>52</v>
      </c>
      <c r="BFB23" s="149"/>
      <c r="BFC23" s="150"/>
      <c r="BFD23" s="151"/>
      <c r="BFE23" s="152" t="str">
        <f>IFERROR($J$7/BFD23,"-")</f>
        <v>-</v>
      </c>
      <c r="BFF23" s="153"/>
      <c r="BFG23" s="108" t="s">
        <v>55</v>
      </c>
      <c r="BFJ23" s="147"/>
      <c r="BFK23" s="147"/>
      <c r="BFL23" s="147"/>
      <c r="BFM23" s="148" t="s">
        <v>52</v>
      </c>
      <c r="BFN23" s="149"/>
      <c r="BFO23" s="150"/>
      <c r="BFP23" s="151"/>
      <c r="BFQ23" s="152" t="str">
        <f>IFERROR($J$7/BFP23,"-")</f>
        <v>-</v>
      </c>
      <c r="BFR23" s="153"/>
      <c r="BFS23" s="108" t="s">
        <v>55</v>
      </c>
      <c r="BFV23" s="147"/>
      <c r="BFW23" s="147"/>
      <c r="BFX23" s="147"/>
      <c r="BFY23" s="148" t="s">
        <v>52</v>
      </c>
      <c r="BFZ23" s="149"/>
      <c r="BGA23" s="150"/>
      <c r="BGB23" s="151"/>
      <c r="BGC23" s="152" t="str">
        <f>IFERROR($J$7/BGB23,"-")</f>
        <v>-</v>
      </c>
      <c r="BGD23" s="153"/>
      <c r="BGE23" s="108" t="s">
        <v>55</v>
      </c>
      <c r="BGH23" s="147"/>
      <c r="BGI23" s="147"/>
      <c r="BGJ23" s="147"/>
      <c r="BGK23" s="148" t="s">
        <v>52</v>
      </c>
      <c r="BGL23" s="149"/>
      <c r="BGM23" s="150"/>
      <c r="BGN23" s="151"/>
      <c r="BGO23" s="152" t="str">
        <f>IFERROR($J$7/BGN23,"-")</f>
        <v>-</v>
      </c>
      <c r="BGP23" s="153"/>
      <c r="BGQ23" s="108" t="s">
        <v>55</v>
      </c>
      <c r="BGT23" s="147"/>
      <c r="BGU23" s="147"/>
      <c r="BGV23" s="147"/>
      <c r="BGW23" s="148" t="s">
        <v>52</v>
      </c>
      <c r="BGX23" s="149"/>
      <c r="BGY23" s="150"/>
      <c r="BGZ23" s="151"/>
      <c r="BHA23" s="152" t="str">
        <f>IFERROR($J$7/BGZ23,"-")</f>
        <v>-</v>
      </c>
      <c r="BHB23" s="153"/>
      <c r="BHC23" s="108" t="s">
        <v>55</v>
      </c>
      <c r="BHF23" s="147"/>
      <c r="BHG23" s="147"/>
      <c r="BHH23" s="147"/>
      <c r="BHI23" s="148" t="s">
        <v>52</v>
      </c>
      <c r="BHJ23" s="149"/>
      <c r="BHK23" s="150"/>
      <c r="BHL23" s="151"/>
      <c r="BHM23" s="152" t="str">
        <f>IFERROR($J$7/BHL23,"-")</f>
        <v>-</v>
      </c>
      <c r="BHN23" s="153"/>
      <c r="BHO23" s="108" t="s">
        <v>55</v>
      </c>
      <c r="BHR23" s="147"/>
      <c r="BHS23" s="147"/>
      <c r="BHT23" s="147"/>
      <c r="BHU23" s="148" t="s">
        <v>52</v>
      </c>
      <c r="BHV23" s="149"/>
      <c r="BHW23" s="150"/>
      <c r="BHX23" s="151"/>
      <c r="BHY23" s="152" t="str">
        <f>IFERROR($J$7/BHX23,"-")</f>
        <v>-</v>
      </c>
      <c r="BHZ23" s="153"/>
      <c r="BIA23" s="108" t="s">
        <v>55</v>
      </c>
      <c r="BID23" s="147"/>
      <c r="BIE23" s="147"/>
      <c r="BIF23" s="147"/>
      <c r="BIG23" s="148" t="s">
        <v>52</v>
      </c>
      <c r="BIH23" s="149"/>
      <c r="BII23" s="150"/>
      <c r="BIJ23" s="151"/>
      <c r="BIK23" s="152" t="str">
        <f>IFERROR($J$7/BIJ23,"-")</f>
        <v>-</v>
      </c>
      <c r="BIL23" s="153"/>
      <c r="BIM23" s="108" t="s">
        <v>55</v>
      </c>
      <c r="BIP23" s="147"/>
      <c r="BIQ23" s="147"/>
      <c r="BIR23" s="147"/>
      <c r="BIS23" s="148" t="s">
        <v>52</v>
      </c>
      <c r="BIT23" s="149"/>
      <c r="BIU23" s="150"/>
      <c r="BIV23" s="151"/>
      <c r="BIW23" s="152" t="str">
        <f>IFERROR($J$7/BIV23,"-")</f>
        <v>-</v>
      </c>
      <c r="BIX23" s="153"/>
      <c r="BIY23" s="108" t="s">
        <v>55</v>
      </c>
      <c r="BJB23" s="147"/>
      <c r="BJC23" s="147"/>
      <c r="BJD23" s="147"/>
      <c r="BJE23" s="148" t="s">
        <v>52</v>
      </c>
      <c r="BJF23" s="149"/>
      <c r="BJG23" s="150"/>
      <c r="BJH23" s="151"/>
      <c r="BJI23" s="152" t="str">
        <f>IFERROR($J$7/BJH23,"-")</f>
        <v>-</v>
      </c>
      <c r="BJJ23" s="153"/>
      <c r="BJK23" s="108" t="s">
        <v>55</v>
      </c>
      <c r="BJN23" s="147"/>
      <c r="BJO23" s="147"/>
      <c r="BJP23" s="147"/>
      <c r="BJQ23" s="148" t="s">
        <v>52</v>
      </c>
      <c r="BJR23" s="149"/>
      <c r="BJS23" s="150"/>
      <c r="BJT23" s="151"/>
      <c r="BJU23" s="152" t="str">
        <f>IFERROR($J$7/BJT23,"-")</f>
        <v>-</v>
      </c>
      <c r="BJV23" s="153"/>
      <c r="BJW23" s="108" t="s">
        <v>55</v>
      </c>
      <c r="BJZ23" s="147"/>
      <c r="BKA23" s="147"/>
      <c r="BKB23" s="147"/>
      <c r="BKC23" s="148" t="s">
        <v>52</v>
      </c>
      <c r="BKD23" s="149"/>
      <c r="BKE23" s="150"/>
      <c r="BKF23" s="151"/>
      <c r="BKG23" s="152" t="str">
        <f>IFERROR($J$7/BKF23,"-")</f>
        <v>-</v>
      </c>
      <c r="BKH23" s="153"/>
      <c r="BKI23" s="108" t="s">
        <v>55</v>
      </c>
      <c r="BKL23" s="147"/>
      <c r="BKM23" s="147"/>
      <c r="BKN23" s="147"/>
      <c r="BKO23" s="148" t="s">
        <v>52</v>
      </c>
      <c r="BKP23" s="149"/>
      <c r="BKQ23" s="150"/>
      <c r="BKR23" s="151"/>
      <c r="BKS23" s="152" t="str">
        <f>IFERROR($J$7/BKR23,"-")</f>
        <v>-</v>
      </c>
      <c r="BKT23" s="153"/>
      <c r="BKU23" s="108" t="s">
        <v>55</v>
      </c>
      <c r="BKX23" s="147"/>
      <c r="BKY23" s="147"/>
      <c r="BKZ23" s="147"/>
      <c r="BLA23" s="148" t="s">
        <v>52</v>
      </c>
      <c r="BLB23" s="149"/>
      <c r="BLC23" s="150"/>
      <c r="BLD23" s="151"/>
      <c r="BLE23" s="152" t="str">
        <f>IFERROR($J$7/BLD23,"-")</f>
        <v>-</v>
      </c>
      <c r="BLF23" s="153"/>
      <c r="BLG23" s="108" t="s">
        <v>55</v>
      </c>
      <c r="BLJ23" s="147"/>
      <c r="BLK23" s="147"/>
      <c r="BLL23" s="147"/>
      <c r="BLM23" s="148" t="s">
        <v>52</v>
      </c>
      <c r="BLN23" s="149"/>
      <c r="BLO23" s="150"/>
      <c r="BLP23" s="151"/>
      <c r="BLQ23" s="152" t="str">
        <f>IFERROR($J$7/BLP23,"-")</f>
        <v>-</v>
      </c>
      <c r="BLR23" s="153"/>
      <c r="BLS23" s="108" t="s">
        <v>55</v>
      </c>
      <c r="BLV23" s="147"/>
      <c r="BLW23" s="147"/>
      <c r="BLX23" s="147"/>
      <c r="BLY23" s="148" t="s">
        <v>52</v>
      </c>
      <c r="BLZ23" s="149"/>
      <c r="BMA23" s="150"/>
      <c r="BMB23" s="151"/>
      <c r="BMC23" s="152" t="str">
        <f>IFERROR($J$7/BMB23,"-")</f>
        <v>-</v>
      </c>
      <c r="BMD23" s="153"/>
      <c r="BME23" s="108" t="s">
        <v>55</v>
      </c>
      <c r="BMH23" s="147"/>
      <c r="BMI23" s="147"/>
      <c r="BMJ23" s="147"/>
      <c r="BMK23" s="148" t="s">
        <v>52</v>
      </c>
      <c r="BML23" s="149"/>
      <c r="BMM23" s="150"/>
      <c r="BMN23" s="151"/>
      <c r="BMO23" s="152" t="str">
        <f>IFERROR($J$7/BMN23,"-")</f>
        <v>-</v>
      </c>
      <c r="BMP23" s="153"/>
      <c r="BMQ23" s="108" t="s">
        <v>55</v>
      </c>
      <c r="BMT23" s="147"/>
      <c r="BMU23" s="147"/>
      <c r="BMV23" s="147"/>
      <c r="BMW23" s="148" t="s">
        <v>52</v>
      </c>
      <c r="BMX23" s="149"/>
      <c r="BMY23" s="150"/>
      <c r="BMZ23" s="151"/>
      <c r="BNA23" s="152" t="str">
        <f>IFERROR($J$7/BMZ23,"-")</f>
        <v>-</v>
      </c>
      <c r="BNB23" s="153"/>
      <c r="BNC23" s="108" t="s">
        <v>55</v>
      </c>
      <c r="BNF23" s="147"/>
      <c r="BNG23" s="147"/>
      <c r="BNH23" s="147"/>
      <c r="BNI23" s="148" t="s">
        <v>52</v>
      </c>
      <c r="BNJ23" s="149"/>
      <c r="BNK23" s="150"/>
      <c r="BNL23" s="151"/>
      <c r="BNM23" s="152" t="str">
        <f>IFERROR($J$7/BNL23,"-")</f>
        <v>-</v>
      </c>
      <c r="BNN23" s="153"/>
      <c r="BNO23" s="108" t="s">
        <v>55</v>
      </c>
      <c r="BNR23" s="147"/>
      <c r="BNS23" s="147"/>
      <c r="BNT23" s="147"/>
      <c r="BNU23" s="148" t="s">
        <v>52</v>
      </c>
      <c r="BNV23" s="149"/>
      <c r="BNW23" s="150"/>
      <c r="BNX23" s="151"/>
      <c r="BNY23" s="152" t="str">
        <f>IFERROR($J$7/BNX23,"-")</f>
        <v>-</v>
      </c>
      <c r="BNZ23" s="153"/>
      <c r="BOA23" s="108" t="s">
        <v>55</v>
      </c>
      <c r="BOD23" s="147"/>
      <c r="BOE23" s="147"/>
      <c r="BOF23" s="147"/>
      <c r="BOG23" s="148" t="s">
        <v>52</v>
      </c>
      <c r="BOH23" s="149"/>
      <c r="BOI23" s="150"/>
      <c r="BOJ23" s="151"/>
      <c r="BOK23" s="152" t="str">
        <f>IFERROR($J$7/BOJ23,"-")</f>
        <v>-</v>
      </c>
      <c r="BOL23" s="153"/>
      <c r="BOM23" s="108" t="s">
        <v>55</v>
      </c>
      <c r="BOP23" s="147"/>
      <c r="BOQ23" s="147"/>
      <c r="BOR23" s="147"/>
      <c r="BOS23" s="148" t="s">
        <v>52</v>
      </c>
      <c r="BOT23" s="149"/>
      <c r="BOU23" s="150"/>
      <c r="BOV23" s="151"/>
      <c r="BOW23" s="152" t="str">
        <f>IFERROR($J$7/BOV23,"-")</f>
        <v>-</v>
      </c>
      <c r="BOX23" s="153"/>
      <c r="BOY23" s="108" t="s">
        <v>55</v>
      </c>
      <c r="BPB23" s="147"/>
      <c r="BPC23" s="147"/>
      <c r="BPD23" s="147"/>
      <c r="BPE23" s="148" t="s">
        <v>52</v>
      </c>
      <c r="BPF23" s="149"/>
      <c r="BPG23" s="150"/>
      <c r="BPH23" s="151"/>
      <c r="BPI23" s="152" t="str">
        <f>IFERROR($J$7/BPH23,"-")</f>
        <v>-</v>
      </c>
      <c r="BPJ23" s="153"/>
      <c r="BPK23" s="108" t="s">
        <v>55</v>
      </c>
      <c r="BPN23" s="147"/>
      <c r="BPO23" s="147"/>
      <c r="BPP23" s="147"/>
      <c r="BPQ23" s="148" t="s">
        <v>52</v>
      </c>
      <c r="BPR23" s="149"/>
      <c r="BPS23" s="150"/>
      <c r="BPT23" s="151"/>
      <c r="BPU23" s="152" t="str">
        <f>IFERROR($J$7/BPT23,"-")</f>
        <v>-</v>
      </c>
      <c r="BPV23" s="153"/>
      <c r="BPW23" s="108" t="s">
        <v>55</v>
      </c>
      <c r="BPZ23" s="147"/>
      <c r="BQA23" s="147"/>
      <c r="BQB23" s="147"/>
      <c r="BQC23" s="148" t="s">
        <v>52</v>
      </c>
      <c r="BQD23" s="149"/>
      <c r="BQE23" s="150"/>
      <c r="BQF23" s="151"/>
      <c r="BQG23" s="152" t="str">
        <f>IFERROR($J$7/BQF23,"-")</f>
        <v>-</v>
      </c>
      <c r="BQH23" s="153"/>
      <c r="BQI23" s="108" t="s">
        <v>55</v>
      </c>
      <c r="BQL23" s="147"/>
      <c r="BQM23" s="147"/>
      <c r="BQN23" s="147"/>
      <c r="BQO23" s="148" t="s">
        <v>52</v>
      </c>
      <c r="BQP23" s="149"/>
      <c r="BQQ23" s="150"/>
      <c r="BQR23" s="151"/>
      <c r="BQS23" s="152" t="str">
        <f>IFERROR($J$7/BQR23,"-")</f>
        <v>-</v>
      </c>
      <c r="BQT23" s="153"/>
      <c r="BQU23" s="108" t="s">
        <v>55</v>
      </c>
      <c r="BQX23" s="147"/>
      <c r="BQY23" s="147"/>
      <c r="BQZ23" s="147"/>
      <c r="BRA23" s="148" t="s">
        <v>52</v>
      </c>
      <c r="BRB23" s="149"/>
      <c r="BRC23" s="150"/>
      <c r="BRD23" s="151"/>
      <c r="BRE23" s="152" t="str">
        <f>IFERROR($J$7/BRD23,"-")</f>
        <v>-</v>
      </c>
      <c r="BRF23" s="153"/>
      <c r="BRG23" s="108" t="s">
        <v>55</v>
      </c>
      <c r="BRJ23" s="147"/>
      <c r="BRK23" s="147"/>
      <c r="BRL23" s="147"/>
      <c r="BRM23" s="148" t="s">
        <v>52</v>
      </c>
      <c r="BRN23" s="149"/>
      <c r="BRO23" s="150"/>
      <c r="BRP23" s="151"/>
      <c r="BRQ23" s="152" t="str">
        <f>IFERROR($J$7/BRP23,"-")</f>
        <v>-</v>
      </c>
      <c r="BRR23" s="153"/>
      <c r="BRS23" s="108" t="s">
        <v>55</v>
      </c>
      <c r="BRV23" s="147"/>
      <c r="BRW23" s="147"/>
      <c r="BRX23" s="147"/>
      <c r="BRY23" s="148" t="s">
        <v>52</v>
      </c>
      <c r="BRZ23" s="149"/>
      <c r="BSA23" s="150"/>
      <c r="BSB23" s="151"/>
      <c r="BSC23" s="152" t="str">
        <f>IFERROR($J$7/BSB23,"-")</f>
        <v>-</v>
      </c>
      <c r="BSD23" s="153"/>
      <c r="BSE23" s="108" t="s">
        <v>55</v>
      </c>
      <c r="BSH23" s="147"/>
      <c r="BSI23" s="147"/>
      <c r="BSJ23" s="147"/>
      <c r="BSK23" s="148" t="s">
        <v>52</v>
      </c>
      <c r="BSL23" s="149"/>
      <c r="BSM23" s="150"/>
      <c r="BSN23" s="151"/>
      <c r="BSO23" s="152" t="str">
        <f>IFERROR($J$7/BSN23,"-")</f>
        <v>-</v>
      </c>
      <c r="BSP23" s="153"/>
      <c r="BSQ23" s="108" t="s">
        <v>55</v>
      </c>
      <c r="BST23" s="147"/>
      <c r="BSU23" s="147"/>
      <c r="BSV23" s="147"/>
      <c r="BSW23" s="148" t="s">
        <v>52</v>
      </c>
      <c r="BSX23" s="149"/>
      <c r="BSY23" s="150"/>
      <c r="BSZ23" s="151"/>
      <c r="BTA23" s="152" t="str">
        <f>IFERROR($J$7/BSZ23,"-")</f>
        <v>-</v>
      </c>
      <c r="BTB23" s="153"/>
      <c r="BTC23" s="108" t="s">
        <v>55</v>
      </c>
      <c r="BTF23" s="147"/>
      <c r="BTG23" s="147"/>
      <c r="BTH23" s="147"/>
      <c r="BTI23" s="148" t="s">
        <v>52</v>
      </c>
      <c r="BTJ23" s="149"/>
      <c r="BTK23" s="150"/>
      <c r="BTL23" s="151"/>
      <c r="BTM23" s="152" t="str">
        <f>IFERROR($J$7/BTL23,"-")</f>
        <v>-</v>
      </c>
      <c r="BTN23" s="153"/>
      <c r="BTO23" s="108" t="s">
        <v>55</v>
      </c>
      <c r="BTR23" s="147"/>
      <c r="BTS23" s="147"/>
      <c r="BTT23" s="147"/>
      <c r="BTU23" s="148" t="s">
        <v>52</v>
      </c>
      <c r="BTV23" s="149"/>
      <c r="BTW23" s="150"/>
      <c r="BTX23" s="151"/>
      <c r="BTY23" s="152" t="str">
        <f>IFERROR($J$7/BTX23,"-")</f>
        <v>-</v>
      </c>
      <c r="BTZ23" s="153"/>
      <c r="BUA23" s="108" t="s">
        <v>55</v>
      </c>
      <c r="BUD23" s="147"/>
      <c r="BUE23" s="147"/>
      <c r="BUF23" s="147"/>
      <c r="BUG23" s="148" t="s">
        <v>52</v>
      </c>
      <c r="BUH23" s="149"/>
      <c r="BUI23" s="150"/>
      <c r="BUJ23" s="151"/>
      <c r="BUK23" s="152" t="str">
        <f>IFERROR($J$7/BUJ23,"-")</f>
        <v>-</v>
      </c>
      <c r="BUL23" s="153"/>
      <c r="BUM23" s="108" t="s">
        <v>55</v>
      </c>
      <c r="BUP23" s="147"/>
      <c r="BUQ23" s="147"/>
      <c r="BUR23" s="147"/>
      <c r="BUS23" s="148" t="s">
        <v>52</v>
      </c>
      <c r="BUT23" s="149"/>
      <c r="BUU23" s="150"/>
      <c r="BUV23" s="151"/>
      <c r="BUW23" s="152" t="str">
        <f>IFERROR($J$7/BUV23,"-")</f>
        <v>-</v>
      </c>
      <c r="BUX23" s="153"/>
      <c r="BUY23" s="108" t="s">
        <v>55</v>
      </c>
      <c r="BVB23" s="147"/>
      <c r="BVC23" s="147"/>
      <c r="BVD23" s="147"/>
      <c r="BVE23" s="148" t="s">
        <v>52</v>
      </c>
      <c r="BVF23" s="149"/>
      <c r="BVG23" s="150"/>
      <c r="BVH23" s="151"/>
      <c r="BVI23" s="152" t="str">
        <f>IFERROR($J$7/BVH23,"-")</f>
        <v>-</v>
      </c>
      <c r="BVJ23" s="153"/>
      <c r="BVK23" s="108" t="s">
        <v>55</v>
      </c>
      <c r="BVN23" s="147"/>
      <c r="BVO23" s="147"/>
      <c r="BVP23" s="147"/>
      <c r="BVQ23" s="148" t="s">
        <v>52</v>
      </c>
      <c r="BVR23" s="149"/>
      <c r="BVS23" s="150"/>
      <c r="BVT23" s="151"/>
      <c r="BVU23" s="152" t="str">
        <f>IFERROR($J$7/BVT23,"-")</f>
        <v>-</v>
      </c>
      <c r="BVV23" s="153"/>
      <c r="BVW23" s="108" t="s">
        <v>55</v>
      </c>
      <c r="BVZ23" s="147"/>
      <c r="BWA23" s="147"/>
      <c r="BWB23" s="147"/>
      <c r="BWC23" s="148" t="s">
        <v>52</v>
      </c>
      <c r="BWD23" s="149"/>
      <c r="BWE23" s="150"/>
      <c r="BWF23" s="151"/>
      <c r="BWG23" s="152" t="str">
        <f>IFERROR($J$7/BWF23,"-")</f>
        <v>-</v>
      </c>
      <c r="BWH23" s="153"/>
      <c r="BWI23" s="108" t="s">
        <v>55</v>
      </c>
      <c r="BWL23" s="147"/>
      <c r="BWM23" s="147"/>
      <c r="BWN23" s="147"/>
      <c r="BWO23" s="148" t="s">
        <v>52</v>
      </c>
      <c r="BWP23" s="149"/>
      <c r="BWQ23" s="150"/>
      <c r="BWR23" s="151"/>
      <c r="BWS23" s="152" t="str">
        <f>IFERROR($J$7/BWR23,"-")</f>
        <v>-</v>
      </c>
      <c r="BWT23" s="153"/>
      <c r="BWU23" s="108" t="s">
        <v>55</v>
      </c>
      <c r="BWX23" s="147"/>
      <c r="BWY23" s="147"/>
      <c r="BWZ23" s="147"/>
      <c r="BXA23" s="148" t="s">
        <v>52</v>
      </c>
      <c r="BXB23" s="149"/>
      <c r="BXC23" s="150"/>
      <c r="BXD23" s="151"/>
      <c r="BXE23" s="152" t="str">
        <f>IFERROR($J$7/BXD23,"-")</f>
        <v>-</v>
      </c>
      <c r="BXF23" s="153"/>
      <c r="BXG23" s="108" t="s">
        <v>55</v>
      </c>
      <c r="BXJ23" s="147"/>
      <c r="BXK23" s="147"/>
      <c r="BXL23" s="147"/>
      <c r="BXM23" s="148" t="s">
        <v>52</v>
      </c>
      <c r="BXN23" s="149"/>
      <c r="BXO23" s="150"/>
      <c r="BXP23" s="151"/>
      <c r="BXQ23" s="152" t="str">
        <f>IFERROR($J$7/BXP23,"-")</f>
        <v>-</v>
      </c>
      <c r="BXR23" s="153"/>
      <c r="BXS23" s="108" t="s">
        <v>55</v>
      </c>
      <c r="BXV23" s="147"/>
      <c r="BXW23" s="147"/>
      <c r="BXX23" s="147"/>
      <c r="BXY23" s="148" t="s">
        <v>52</v>
      </c>
      <c r="BXZ23" s="149"/>
      <c r="BYA23" s="150"/>
      <c r="BYB23" s="151"/>
      <c r="BYC23" s="152" t="str">
        <f>IFERROR($J$7/BYB23,"-")</f>
        <v>-</v>
      </c>
      <c r="BYD23" s="153"/>
      <c r="BYE23" s="108" t="s">
        <v>55</v>
      </c>
      <c r="BYH23" s="147"/>
      <c r="BYI23" s="147"/>
      <c r="BYJ23" s="147"/>
      <c r="BYK23" s="148" t="s">
        <v>52</v>
      </c>
      <c r="BYL23" s="149"/>
      <c r="BYM23" s="150"/>
      <c r="BYN23" s="151"/>
      <c r="BYO23" s="152" t="str">
        <f>IFERROR($J$7/BYN23,"-")</f>
        <v>-</v>
      </c>
      <c r="BYP23" s="153"/>
      <c r="BYQ23" s="108" t="s">
        <v>55</v>
      </c>
      <c r="BYT23" s="147"/>
      <c r="BYU23" s="147"/>
      <c r="BYV23" s="147"/>
      <c r="BYW23" s="148" t="s">
        <v>52</v>
      </c>
      <c r="BYX23" s="149"/>
      <c r="BYY23" s="150"/>
      <c r="BYZ23" s="151"/>
      <c r="BZA23" s="152" t="str">
        <f>IFERROR($J$7/BYZ23,"-")</f>
        <v>-</v>
      </c>
      <c r="BZB23" s="153"/>
      <c r="BZC23" s="108" t="s">
        <v>55</v>
      </c>
      <c r="BZF23" s="147"/>
      <c r="BZG23" s="147"/>
      <c r="BZH23" s="147"/>
      <c r="BZI23" s="148" t="s">
        <v>52</v>
      </c>
      <c r="BZJ23" s="149"/>
      <c r="BZK23" s="150"/>
      <c r="BZL23" s="151"/>
      <c r="BZM23" s="152" t="str">
        <f>IFERROR($J$7/BZL23,"-")</f>
        <v>-</v>
      </c>
      <c r="BZN23" s="153"/>
      <c r="BZO23" s="108" t="s">
        <v>55</v>
      </c>
      <c r="BZR23" s="147"/>
      <c r="BZS23" s="147"/>
      <c r="BZT23" s="147"/>
      <c r="BZU23" s="148" t="s">
        <v>52</v>
      </c>
      <c r="BZV23" s="149"/>
      <c r="BZW23" s="150"/>
      <c r="BZX23" s="151"/>
      <c r="BZY23" s="152" t="str">
        <f>IFERROR($J$7/BZX23,"-")</f>
        <v>-</v>
      </c>
      <c r="BZZ23" s="153"/>
      <c r="CAA23" s="108" t="s">
        <v>55</v>
      </c>
      <c r="CAD23" s="147"/>
      <c r="CAE23" s="147"/>
      <c r="CAF23" s="147"/>
      <c r="CAG23" s="148" t="s">
        <v>52</v>
      </c>
      <c r="CAH23" s="149"/>
      <c r="CAI23" s="150"/>
      <c r="CAJ23" s="151"/>
      <c r="CAK23" s="152" t="str">
        <f>IFERROR($J$7/CAJ23,"-")</f>
        <v>-</v>
      </c>
      <c r="CAL23" s="153"/>
      <c r="CAM23" s="108" t="s">
        <v>55</v>
      </c>
      <c r="CAP23" s="147"/>
      <c r="CAQ23" s="147"/>
      <c r="CAR23" s="147"/>
      <c r="CAS23" s="148" t="s">
        <v>52</v>
      </c>
      <c r="CAT23" s="149"/>
      <c r="CAU23" s="150"/>
      <c r="CAV23" s="151"/>
      <c r="CAW23" s="152" t="str">
        <f>IFERROR($J$7/CAV23,"-")</f>
        <v>-</v>
      </c>
      <c r="CAX23" s="153"/>
      <c r="CAY23" s="108" t="s">
        <v>55</v>
      </c>
      <c r="CBB23" s="147"/>
      <c r="CBC23" s="147"/>
      <c r="CBD23" s="147"/>
      <c r="CBE23" s="148" t="s">
        <v>52</v>
      </c>
      <c r="CBF23" s="149"/>
      <c r="CBG23" s="150"/>
      <c r="CBH23" s="151"/>
      <c r="CBI23" s="152" t="str">
        <f>IFERROR($J$7/CBH23,"-")</f>
        <v>-</v>
      </c>
      <c r="CBJ23" s="153"/>
      <c r="CBK23" s="108" t="s">
        <v>55</v>
      </c>
      <c r="CBN23" s="147"/>
      <c r="CBO23" s="147"/>
      <c r="CBP23" s="147"/>
      <c r="CBQ23" s="148" t="s">
        <v>52</v>
      </c>
      <c r="CBR23" s="149"/>
      <c r="CBS23" s="150"/>
      <c r="CBT23" s="151"/>
      <c r="CBU23" s="152" t="str">
        <f>IFERROR($J$7/CBT23,"-")</f>
        <v>-</v>
      </c>
      <c r="CBV23" s="153"/>
      <c r="CBW23" s="108" t="s">
        <v>55</v>
      </c>
      <c r="CBZ23" s="147"/>
      <c r="CCA23" s="147"/>
      <c r="CCB23" s="147"/>
      <c r="CCC23" s="148" t="s">
        <v>52</v>
      </c>
      <c r="CCD23" s="149"/>
      <c r="CCE23" s="150"/>
      <c r="CCF23" s="151"/>
      <c r="CCG23" s="152" t="str">
        <f>IFERROR($J$7/CCF23,"-")</f>
        <v>-</v>
      </c>
      <c r="CCH23" s="153"/>
      <c r="CCI23" s="108" t="s">
        <v>55</v>
      </c>
      <c r="CCL23" s="147"/>
      <c r="CCM23" s="147"/>
      <c r="CCN23" s="147"/>
      <c r="CCO23" s="148" t="s">
        <v>52</v>
      </c>
      <c r="CCP23" s="149"/>
      <c r="CCQ23" s="150"/>
      <c r="CCR23" s="151"/>
      <c r="CCS23" s="152" t="str">
        <f>IFERROR($J$7/CCR23,"-")</f>
        <v>-</v>
      </c>
      <c r="CCT23" s="153"/>
      <c r="CCU23" s="108" t="s">
        <v>55</v>
      </c>
      <c r="CCX23" s="147"/>
      <c r="CCY23" s="147"/>
      <c r="CCZ23" s="147"/>
      <c r="CDA23" s="148" t="s">
        <v>52</v>
      </c>
      <c r="CDB23" s="149"/>
      <c r="CDC23" s="150"/>
      <c r="CDD23" s="151"/>
      <c r="CDE23" s="152" t="str">
        <f>IFERROR($J$7/CDD23,"-")</f>
        <v>-</v>
      </c>
      <c r="CDF23" s="153"/>
      <c r="CDG23" s="108" t="s">
        <v>55</v>
      </c>
      <c r="CDJ23" s="147"/>
      <c r="CDK23" s="147"/>
      <c r="CDL23" s="147"/>
      <c r="CDM23" s="148" t="s">
        <v>52</v>
      </c>
      <c r="CDN23" s="149"/>
      <c r="CDO23" s="150"/>
      <c r="CDP23" s="151"/>
      <c r="CDQ23" s="152" t="str">
        <f>IFERROR($J$7/CDP23,"-")</f>
        <v>-</v>
      </c>
      <c r="CDR23" s="153"/>
      <c r="CDS23" s="108" t="s">
        <v>55</v>
      </c>
      <c r="CDV23" s="147"/>
      <c r="CDW23" s="147"/>
      <c r="CDX23" s="147"/>
      <c r="CDY23" s="148" t="s">
        <v>52</v>
      </c>
      <c r="CDZ23" s="149"/>
      <c r="CEA23" s="150"/>
      <c r="CEB23" s="151"/>
      <c r="CEC23" s="152" t="str">
        <f>IFERROR($J$7/CEB23,"-")</f>
        <v>-</v>
      </c>
      <c r="CED23" s="153"/>
      <c r="CEE23" s="108" t="s">
        <v>55</v>
      </c>
      <c r="CEH23" s="147"/>
      <c r="CEI23" s="147"/>
      <c r="CEJ23" s="147"/>
      <c r="CEK23" s="148" t="s">
        <v>52</v>
      </c>
      <c r="CEL23" s="149"/>
      <c r="CEM23" s="150"/>
      <c r="CEN23" s="151"/>
      <c r="CEO23" s="152" t="str">
        <f>IFERROR($J$7/CEN23,"-")</f>
        <v>-</v>
      </c>
      <c r="CEP23" s="153"/>
      <c r="CEQ23" s="108" t="s">
        <v>55</v>
      </c>
      <c r="CET23" s="147"/>
      <c r="CEU23" s="147"/>
      <c r="CEV23" s="147"/>
      <c r="CEW23" s="148" t="s">
        <v>52</v>
      </c>
      <c r="CEX23" s="149"/>
      <c r="CEY23" s="150"/>
      <c r="CEZ23" s="151"/>
      <c r="CFA23" s="152" t="str">
        <f>IFERROR($J$7/CEZ23,"-")</f>
        <v>-</v>
      </c>
      <c r="CFB23" s="153"/>
      <c r="CFC23" s="108" t="s">
        <v>55</v>
      </c>
      <c r="CFF23" s="147"/>
      <c r="CFG23" s="147"/>
      <c r="CFH23" s="147"/>
      <c r="CFI23" s="148" t="s">
        <v>52</v>
      </c>
      <c r="CFJ23" s="149"/>
      <c r="CFK23" s="150"/>
      <c r="CFL23" s="151"/>
      <c r="CFM23" s="152" t="str">
        <f>IFERROR($J$7/CFL23,"-")</f>
        <v>-</v>
      </c>
      <c r="CFN23" s="153"/>
      <c r="CFO23" s="108" t="s">
        <v>55</v>
      </c>
      <c r="CFR23" s="147"/>
      <c r="CFS23" s="147"/>
      <c r="CFT23" s="147"/>
      <c r="CFU23" s="148" t="s">
        <v>52</v>
      </c>
      <c r="CFV23" s="149"/>
      <c r="CFW23" s="150"/>
      <c r="CFX23" s="151"/>
      <c r="CFY23" s="152" t="str">
        <f>IFERROR($J$7/CFX23,"-")</f>
        <v>-</v>
      </c>
      <c r="CFZ23" s="153"/>
      <c r="CGA23" s="108" t="s">
        <v>55</v>
      </c>
      <c r="CGD23" s="147"/>
      <c r="CGE23" s="147"/>
      <c r="CGF23" s="147"/>
      <c r="CGG23" s="148" t="s">
        <v>52</v>
      </c>
      <c r="CGH23" s="149"/>
      <c r="CGI23" s="150"/>
      <c r="CGJ23" s="151"/>
      <c r="CGK23" s="152" t="str">
        <f>IFERROR($J$7/CGJ23,"-")</f>
        <v>-</v>
      </c>
      <c r="CGL23" s="153"/>
      <c r="CGM23" s="108" t="s">
        <v>55</v>
      </c>
      <c r="CGP23" s="147"/>
      <c r="CGQ23" s="147"/>
      <c r="CGR23" s="147"/>
      <c r="CGS23" s="148" t="s">
        <v>52</v>
      </c>
      <c r="CGT23" s="149"/>
      <c r="CGU23" s="150"/>
      <c r="CGV23" s="151"/>
      <c r="CGW23" s="152" t="str">
        <f>IFERROR($J$7/CGV23,"-")</f>
        <v>-</v>
      </c>
      <c r="CGX23" s="153"/>
      <c r="CGY23" s="108" t="s">
        <v>55</v>
      </c>
      <c r="CHB23" s="147"/>
      <c r="CHC23" s="147"/>
      <c r="CHD23" s="147"/>
      <c r="CHE23" s="148" t="s">
        <v>52</v>
      </c>
      <c r="CHF23" s="149"/>
      <c r="CHG23" s="150"/>
      <c r="CHH23" s="151"/>
      <c r="CHI23" s="152" t="str">
        <f>IFERROR($J$7/CHH23,"-")</f>
        <v>-</v>
      </c>
      <c r="CHJ23" s="153"/>
      <c r="CHK23" s="108" t="s">
        <v>55</v>
      </c>
      <c r="CHN23" s="147"/>
      <c r="CHO23" s="147"/>
      <c r="CHP23" s="147"/>
      <c r="CHQ23" s="148" t="s">
        <v>52</v>
      </c>
      <c r="CHR23" s="149"/>
      <c r="CHS23" s="150"/>
      <c r="CHT23" s="151"/>
      <c r="CHU23" s="152" t="str">
        <f>IFERROR($J$7/CHT23,"-")</f>
        <v>-</v>
      </c>
      <c r="CHV23" s="153"/>
      <c r="CHW23" s="108" t="s">
        <v>55</v>
      </c>
      <c r="CHZ23" s="147"/>
      <c r="CIA23" s="147"/>
      <c r="CIB23" s="147"/>
      <c r="CIC23" s="148" t="s">
        <v>52</v>
      </c>
      <c r="CID23" s="149"/>
      <c r="CIE23" s="150"/>
      <c r="CIF23" s="151"/>
      <c r="CIG23" s="152" t="str">
        <f>IFERROR($J$7/CIF23,"-")</f>
        <v>-</v>
      </c>
      <c r="CIH23" s="153"/>
      <c r="CII23" s="108" t="s">
        <v>55</v>
      </c>
      <c r="CIL23" s="147"/>
      <c r="CIM23" s="147"/>
      <c r="CIN23" s="147"/>
      <c r="CIO23" s="148" t="s">
        <v>52</v>
      </c>
      <c r="CIP23" s="149"/>
      <c r="CIQ23" s="150"/>
      <c r="CIR23" s="151"/>
      <c r="CIS23" s="152" t="str">
        <f>IFERROR($J$7/CIR23,"-")</f>
        <v>-</v>
      </c>
      <c r="CIT23" s="153"/>
      <c r="CIU23" s="108" t="s">
        <v>55</v>
      </c>
      <c r="CIX23" s="147"/>
      <c r="CIY23" s="147"/>
      <c r="CIZ23" s="147"/>
      <c r="CJA23" s="148" t="s">
        <v>52</v>
      </c>
      <c r="CJB23" s="149"/>
      <c r="CJC23" s="150"/>
      <c r="CJD23" s="151"/>
      <c r="CJE23" s="152" t="str">
        <f>IFERROR($J$7/CJD23,"-")</f>
        <v>-</v>
      </c>
      <c r="CJF23" s="153"/>
      <c r="CJG23" s="108" t="s">
        <v>55</v>
      </c>
      <c r="CJJ23" s="147"/>
      <c r="CJK23" s="147"/>
      <c r="CJL23" s="147"/>
      <c r="CJM23" s="148" t="s">
        <v>52</v>
      </c>
      <c r="CJN23" s="149"/>
      <c r="CJO23" s="150"/>
      <c r="CJP23" s="151"/>
      <c r="CJQ23" s="152" t="str">
        <f>IFERROR($J$7/CJP23,"-")</f>
        <v>-</v>
      </c>
      <c r="CJR23" s="153"/>
      <c r="CJS23" s="108" t="s">
        <v>55</v>
      </c>
      <c r="CJV23" s="147"/>
      <c r="CJW23" s="147"/>
      <c r="CJX23" s="147"/>
      <c r="CJY23" s="148" t="s">
        <v>52</v>
      </c>
      <c r="CJZ23" s="149"/>
      <c r="CKA23" s="150"/>
      <c r="CKB23" s="151"/>
      <c r="CKC23" s="152" t="str">
        <f>IFERROR($J$7/CKB23,"-")</f>
        <v>-</v>
      </c>
      <c r="CKD23" s="153"/>
      <c r="CKE23" s="108" t="s">
        <v>55</v>
      </c>
      <c r="CKH23" s="147"/>
      <c r="CKI23" s="147"/>
      <c r="CKJ23" s="147"/>
      <c r="CKK23" s="148" t="s">
        <v>52</v>
      </c>
      <c r="CKL23" s="149"/>
      <c r="CKM23" s="150"/>
      <c r="CKN23" s="151"/>
      <c r="CKO23" s="152" t="str">
        <f>IFERROR($J$7/CKN23,"-")</f>
        <v>-</v>
      </c>
      <c r="CKP23" s="153"/>
      <c r="CKQ23" s="108" t="s">
        <v>55</v>
      </c>
      <c r="CKT23" s="147"/>
      <c r="CKU23" s="147"/>
      <c r="CKV23" s="147"/>
      <c r="CKW23" s="148" t="s">
        <v>52</v>
      </c>
      <c r="CKX23" s="149"/>
      <c r="CKY23" s="150"/>
      <c r="CKZ23" s="151"/>
      <c r="CLA23" s="152" t="str">
        <f>IFERROR($J$7/CKZ23,"-")</f>
        <v>-</v>
      </c>
      <c r="CLB23" s="153"/>
      <c r="CLC23" s="108" t="s">
        <v>55</v>
      </c>
      <c r="CLF23" s="147"/>
      <c r="CLG23" s="147"/>
      <c r="CLH23" s="147"/>
      <c r="CLI23" s="148" t="s">
        <v>52</v>
      </c>
      <c r="CLJ23" s="149"/>
      <c r="CLK23" s="150"/>
      <c r="CLL23" s="151"/>
      <c r="CLM23" s="152" t="str">
        <f>IFERROR($J$7/CLL23,"-")</f>
        <v>-</v>
      </c>
      <c r="CLN23" s="153"/>
      <c r="CLO23" s="108" t="s">
        <v>55</v>
      </c>
      <c r="CLR23" s="147"/>
      <c r="CLS23" s="147"/>
      <c r="CLT23" s="147"/>
      <c r="CLU23" s="148" t="s">
        <v>52</v>
      </c>
      <c r="CLV23" s="149"/>
      <c r="CLW23" s="150"/>
      <c r="CLX23" s="151"/>
      <c r="CLY23" s="152" t="str">
        <f>IFERROR($J$7/CLX23,"-")</f>
        <v>-</v>
      </c>
      <c r="CLZ23" s="153"/>
      <c r="CMA23" s="108" t="s">
        <v>55</v>
      </c>
      <c r="CMD23" s="147"/>
      <c r="CME23" s="147"/>
      <c r="CMF23" s="147"/>
      <c r="CMG23" s="148" t="s">
        <v>52</v>
      </c>
      <c r="CMH23" s="149"/>
      <c r="CMI23" s="150"/>
      <c r="CMJ23" s="151"/>
      <c r="CMK23" s="152" t="str">
        <f>IFERROR($J$7/CMJ23,"-")</f>
        <v>-</v>
      </c>
      <c r="CML23" s="153"/>
      <c r="CMM23" s="108" t="s">
        <v>55</v>
      </c>
      <c r="CMP23" s="147"/>
      <c r="CMQ23" s="147"/>
      <c r="CMR23" s="147"/>
      <c r="CMS23" s="148" t="s">
        <v>52</v>
      </c>
      <c r="CMT23" s="149"/>
      <c r="CMU23" s="150"/>
      <c r="CMV23" s="151"/>
      <c r="CMW23" s="152" t="str">
        <f>IFERROR($J$7/CMV23,"-")</f>
        <v>-</v>
      </c>
      <c r="CMX23" s="153"/>
      <c r="CMY23" s="108" t="s">
        <v>55</v>
      </c>
      <c r="CNB23" s="147"/>
      <c r="CNC23" s="147"/>
      <c r="CND23" s="147"/>
      <c r="CNE23" s="148" t="s">
        <v>52</v>
      </c>
      <c r="CNF23" s="149"/>
      <c r="CNG23" s="150"/>
      <c r="CNH23" s="151"/>
      <c r="CNI23" s="152" t="str">
        <f>IFERROR($J$7/CNH23,"-")</f>
        <v>-</v>
      </c>
      <c r="CNJ23" s="153"/>
      <c r="CNK23" s="108" t="s">
        <v>55</v>
      </c>
      <c r="CNN23" s="147"/>
      <c r="CNO23" s="147"/>
      <c r="CNP23" s="147"/>
      <c r="CNQ23" s="148" t="s">
        <v>52</v>
      </c>
      <c r="CNR23" s="149"/>
      <c r="CNS23" s="150"/>
      <c r="CNT23" s="151"/>
      <c r="CNU23" s="152" t="str">
        <f>IFERROR($J$7/CNT23,"-")</f>
        <v>-</v>
      </c>
      <c r="CNV23" s="153"/>
      <c r="CNW23" s="108" t="s">
        <v>55</v>
      </c>
      <c r="CNZ23" s="147"/>
      <c r="COA23" s="147"/>
      <c r="COB23" s="147"/>
      <c r="COC23" s="148" t="s">
        <v>52</v>
      </c>
      <c r="COD23" s="149"/>
      <c r="COE23" s="150"/>
      <c r="COF23" s="151"/>
      <c r="COG23" s="152" t="str">
        <f>IFERROR($J$7/COF23,"-")</f>
        <v>-</v>
      </c>
      <c r="COH23" s="153"/>
      <c r="COI23" s="108" t="s">
        <v>55</v>
      </c>
      <c r="COL23" s="147"/>
      <c r="COM23" s="147"/>
      <c r="CON23" s="147"/>
      <c r="COO23" s="148" t="s">
        <v>52</v>
      </c>
      <c r="COP23" s="149"/>
      <c r="COQ23" s="150"/>
      <c r="COR23" s="151"/>
      <c r="COS23" s="152" t="str">
        <f>IFERROR($J$7/COR23,"-")</f>
        <v>-</v>
      </c>
      <c r="COT23" s="153"/>
      <c r="COU23" s="108" t="s">
        <v>55</v>
      </c>
      <c r="COX23" s="147"/>
      <c r="COY23" s="147"/>
      <c r="COZ23" s="147"/>
      <c r="CPA23" s="148" t="s">
        <v>52</v>
      </c>
      <c r="CPB23" s="149"/>
      <c r="CPC23" s="150"/>
      <c r="CPD23" s="151"/>
      <c r="CPE23" s="152" t="str">
        <f>IFERROR($J$7/CPD23,"-")</f>
        <v>-</v>
      </c>
      <c r="CPF23" s="153"/>
      <c r="CPG23" s="108" t="s">
        <v>55</v>
      </c>
      <c r="CPJ23" s="147"/>
      <c r="CPK23" s="147"/>
      <c r="CPL23" s="147"/>
      <c r="CPM23" s="148" t="s">
        <v>52</v>
      </c>
      <c r="CPN23" s="149"/>
      <c r="CPO23" s="150"/>
      <c r="CPP23" s="151"/>
      <c r="CPQ23" s="152" t="str">
        <f>IFERROR($J$7/CPP23,"-")</f>
        <v>-</v>
      </c>
      <c r="CPR23" s="153"/>
      <c r="CPS23" s="108" t="s">
        <v>55</v>
      </c>
      <c r="CPV23" s="147"/>
      <c r="CPW23" s="147"/>
      <c r="CPX23" s="147"/>
      <c r="CPY23" s="148" t="s">
        <v>52</v>
      </c>
      <c r="CPZ23" s="149"/>
      <c r="CQA23" s="150"/>
      <c r="CQB23" s="151"/>
      <c r="CQC23" s="152" t="str">
        <f>IFERROR($J$7/CQB23,"-")</f>
        <v>-</v>
      </c>
      <c r="CQD23" s="153"/>
      <c r="CQE23" s="108" t="s">
        <v>55</v>
      </c>
      <c r="CQH23" s="147"/>
      <c r="CQI23" s="147"/>
      <c r="CQJ23" s="147"/>
      <c r="CQK23" s="148" t="s">
        <v>52</v>
      </c>
      <c r="CQL23" s="149"/>
      <c r="CQM23" s="150"/>
      <c r="CQN23" s="151"/>
      <c r="CQO23" s="152" t="str">
        <f>IFERROR($J$7/CQN23,"-")</f>
        <v>-</v>
      </c>
      <c r="CQP23" s="153"/>
      <c r="CQQ23" s="108" t="s">
        <v>55</v>
      </c>
      <c r="CQT23" s="147"/>
      <c r="CQU23" s="147"/>
      <c r="CQV23" s="147"/>
      <c r="CQW23" s="148" t="s">
        <v>52</v>
      </c>
      <c r="CQX23" s="149"/>
      <c r="CQY23" s="150"/>
      <c r="CQZ23" s="151"/>
      <c r="CRA23" s="152" t="str">
        <f>IFERROR($J$7/CQZ23,"-")</f>
        <v>-</v>
      </c>
      <c r="CRB23" s="153"/>
      <c r="CRC23" s="108" t="s">
        <v>55</v>
      </c>
      <c r="CRF23" s="147"/>
      <c r="CRG23" s="147"/>
      <c r="CRH23" s="147"/>
      <c r="CRI23" s="148" t="s">
        <v>52</v>
      </c>
      <c r="CRJ23" s="149"/>
      <c r="CRK23" s="150"/>
      <c r="CRL23" s="151"/>
      <c r="CRM23" s="152" t="str">
        <f>IFERROR($J$7/CRL23,"-")</f>
        <v>-</v>
      </c>
      <c r="CRN23" s="153"/>
      <c r="CRO23" s="108" t="s">
        <v>55</v>
      </c>
      <c r="CRR23" s="147"/>
      <c r="CRS23" s="147"/>
      <c r="CRT23" s="147"/>
      <c r="CRU23" s="148" t="s">
        <v>52</v>
      </c>
      <c r="CRV23" s="149"/>
      <c r="CRW23" s="150"/>
      <c r="CRX23" s="151"/>
      <c r="CRY23" s="152" t="str">
        <f>IFERROR($J$7/CRX23,"-")</f>
        <v>-</v>
      </c>
      <c r="CRZ23" s="153"/>
      <c r="CSA23" s="108" t="s">
        <v>55</v>
      </c>
      <c r="CSD23" s="147"/>
      <c r="CSE23" s="147"/>
      <c r="CSF23" s="147"/>
      <c r="CSG23" s="148" t="s">
        <v>52</v>
      </c>
      <c r="CSH23" s="149"/>
      <c r="CSI23" s="150"/>
      <c r="CSJ23" s="151"/>
      <c r="CSK23" s="152" t="str">
        <f>IFERROR($J$7/CSJ23,"-")</f>
        <v>-</v>
      </c>
      <c r="CSL23" s="153"/>
      <c r="CSM23" s="108" t="s">
        <v>55</v>
      </c>
      <c r="CSP23" s="147"/>
      <c r="CSQ23" s="147"/>
      <c r="CSR23" s="147"/>
      <c r="CSS23" s="148" t="s">
        <v>52</v>
      </c>
      <c r="CST23" s="149"/>
      <c r="CSU23" s="150"/>
      <c r="CSV23" s="151"/>
      <c r="CSW23" s="152" t="str">
        <f>IFERROR($J$7/CSV23,"-")</f>
        <v>-</v>
      </c>
      <c r="CSX23" s="153"/>
      <c r="CSY23" s="108" t="s">
        <v>55</v>
      </c>
      <c r="CTB23" s="147"/>
      <c r="CTC23" s="147"/>
      <c r="CTD23" s="147"/>
      <c r="CTE23" s="148" t="s">
        <v>52</v>
      </c>
      <c r="CTF23" s="149"/>
      <c r="CTG23" s="150"/>
      <c r="CTH23" s="151"/>
      <c r="CTI23" s="152" t="str">
        <f>IFERROR($J$7/CTH23,"-")</f>
        <v>-</v>
      </c>
      <c r="CTJ23" s="153"/>
      <c r="CTK23" s="108" t="s">
        <v>55</v>
      </c>
      <c r="CTN23" s="147"/>
      <c r="CTO23" s="147"/>
      <c r="CTP23" s="147"/>
      <c r="CTQ23" s="148" t="s">
        <v>52</v>
      </c>
      <c r="CTR23" s="149"/>
      <c r="CTS23" s="150"/>
      <c r="CTT23" s="151"/>
      <c r="CTU23" s="152" t="str">
        <f>IFERROR($J$7/CTT23,"-")</f>
        <v>-</v>
      </c>
      <c r="CTV23" s="153"/>
      <c r="CTW23" s="108" t="s">
        <v>55</v>
      </c>
      <c r="CTZ23" s="147"/>
      <c r="CUA23" s="147"/>
      <c r="CUB23" s="147"/>
      <c r="CUC23" s="148" t="s">
        <v>52</v>
      </c>
      <c r="CUD23" s="149"/>
      <c r="CUE23" s="150"/>
      <c r="CUF23" s="151"/>
      <c r="CUG23" s="152" t="str">
        <f>IFERROR($J$7/CUF23,"-")</f>
        <v>-</v>
      </c>
      <c r="CUH23" s="153"/>
      <c r="CUI23" s="108" t="s">
        <v>55</v>
      </c>
      <c r="CUL23" s="147"/>
      <c r="CUM23" s="147"/>
      <c r="CUN23" s="147"/>
      <c r="CUO23" s="148" t="s">
        <v>52</v>
      </c>
      <c r="CUP23" s="149"/>
      <c r="CUQ23" s="150"/>
      <c r="CUR23" s="151"/>
      <c r="CUS23" s="152" t="str">
        <f>IFERROR($J$7/CUR23,"-")</f>
        <v>-</v>
      </c>
      <c r="CUT23" s="153"/>
      <c r="CUU23" s="108" t="s">
        <v>55</v>
      </c>
      <c r="CUX23" s="147"/>
      <c r="CUY23" s="147"/>
      <c r="CUZ23" s="147"/>
      <c r="CVA23" s="148" t="s">
        <v>52</v>
      </c>
      <c r="CVB23" s="149"/>
      <c r="CVC23" s="150"/>
      <c r="CVD23" s="151"/>
      <c r="CVE23" s="152" t="str">
        <f>IFERROR($J$7/CVD23,"-")</f>
        <v>-</v>
      </c>
      <c r="CVF23" s="153"/>
      <c r="CVG23" s="108" t="s">
        <v>55</v>
      </c>
      <c r="CVJ23" s="147"/>
      <c r="CVK23" s="147"/>
      <c r="CVL23" s="147"/>
      <c r="CVM23" s="148" t="s">
        <v>52</v>
      </c>
      <c r="CVN23" s="149"/>
      <c r="CVO23" s="150"/>
      <c r="CVP23" s="151"/>
      <c r="CVQ23" s="152" t="str">
        <f>IFERROR($J$7/CVP23,"-")</f>
        <v>-</v>
      </c>
      <c r="CVR23" s="153"/>
      <c r="CVS23" s="108" t="s">
        <v>55</v>
      </c>
      <c r="CVV23" s="147"/>
      <c r="CVW23" s="147"/>
      <c r="CVX23" s="147"/>
      <c r="CVY23" s="148" t="s">
        <v>52</v>
      </c>
      <c r="CVZ23" s="149"/>
      <c r="CWA23" s="150"/>
      <c r="CWB23" s="151"/>
      <c r="CWC23" s="152" t="str">
        <f>IFERROR($J$7/CWB23,"-")</f>
        <v>-</v>
      </c>
      <c r="CWD23" s="153"/>
      <c r="CWE23" s="108" t="s">
        <v>55</v>
      </c>
    </row>
    <row r="24" spans="1:1023 1026:2631" x14ac:dyDescent="0.25">
      <c r="A24" s="146"/>
      <c r="B24" s="154"/>
      <c r="C24" s="155"/>
      <c r="D24" s="156"/>
      <c r="E24" s="157">
        <f>SUM(E11:E22)</f>
        <v>1.05</v>
      </c>
      <c r="F24" s="158">
        <f>SUM(F11:F23)</f>
        <v>36750</v>
      </c>
      <c r="H24" s="94"/>
      <c r="I24" s="94"/>
      <c r="J24" s="94"/>
      <c r="K24" s="95"/>
      <c r="L24" s="95"/>
      <c r="O24" s="146"/>
      <c r="P24" s="154"/>
      <c r="Q24" s="155"/>
      <c r="R24" s="156"/>
      <c r="S24" s="157">
        <f>SUM(S11:S22)</f>
        <v>1.05</v>
      </c>
      <c r="T24" s="158">
        <f>SUM(T11:T23)</f>
        <v>36750</v>
      </c>
      <c r="V24" s="94"/>
      <c r="W24" s="94"/>
      <c r="X24" s="94"/>
      <c r="Y24" s="95"/>
      <c r="Z24" s="95"/>
      <c r="AC24" s="146"/>
      <c r="AD24" s="154"/>
      <c r="AE24" s="155"/>
      <c r="AF24" s="156"/>
      <c r="AG24" s="157">
        <f>SUM(AG11:AG22)</f>
        <v>1.05</v>
      </c>
      <c r="AH24" s="158">
        <f>SUM(AH11:AH23)</f>
        <v>34650</v>
      </c>
      <c r="AJ24" s="94"/>
      <c r="AK24" s="94"/>
      <c r="AL24" s="94"/>
      <c r="AM24" s="95"/>
      <c r="AN24" s="95"/>
      <c r="AQ24" s="146"/>
      <c r="AR24" s="154"/>
      <c r="AS24" s="155"/>
      <c r="AT24" s="156"/>
      <c r="AU24" s="157">
        <f>SUM(AU11:AU22)</f>
        <v>1.05</v>
      </c>
      <c r="AV24" s="158">
        <f>SUM(AV11:AV23)</f>
        <v>28350</v>
      </c>
      <c r="AX24" s="94"/>
      <c r="AY24" s="94"/>
      <c r="AZ24" s="94"/>
      <c r="BA24" s="95"/>
      <c r="BB24" s="95"/>
      <c r="BE24" s="146"/>
      <c r="BF24" s="154"/>
      <c r="BG24" s="155"/>
      <c r="BH24" s="156"/>
      <c r="BI24" s="157">
        <f>SUM(BI11:BI22)</f>
        <v>1.05</v>
      </c>
      <c r="BJ24" s="158">
        <f>SUM(BJ11:BJ23)</f>
        <v>36750</v>
      </c>
      <c r="BL24" s="94"/>
      <c r="BM24" s="94"/>
      <c r="BN24" s="94"/>
      <c r="BO24" s="95"/>
      <c r="BP24" s="95"/>
      <c r="BS24" s="146"/>
      <c r="BT24" s="154"/>
      <c r="BU24" s="155"/>
      <c r="BV24" s="156"/>
      <c r="BW24" s="157">
        <f>SUM(BW11:BW22)</f>
        <v>1.05</v>
      </c>
      <c r="BX24" s="158">
        <f>SUM(BX11:BX23)</f>
        <v>32550</v>
      </c>
      <c r="BZ24" s="94"/>
      <c r="CA24" s="94"/>
      <c r="CB24" s="94"/>
      <c r="CC24" s="95"/>
      <c r="CD24" s="95"/>
      <c r="CG24" s="146"/>
      <c r="CH24" s="154"/>
      <c r="CI24" s="155"/>
      <c r="CJ24" s="156"/>
      <c r="CK24" s="157">
        <f>SUM(CK11:CK22)</f>
        <v>1.05</v>
      </c>
      <c r="CL24" s="158">
        <f>SUM(CL11:CL23)</f>
        <v>36750</v>
      </c>
      <c r="CN24" s="94"/>
      <c r="CO24" s="94"/>
      <c r="CP24" s="94"/>
      <c r="CQ24" s="95"/>
      <c r="CR24" s="95"/>
      <c r="CU24" s="146"/>
      <c r="CV24" s="154"/>
      <c r="CW24" s="155"/>
      <c r="CX24" s="156"/>
      <c r="CY24" s="157">
        <f>SUM(CY11:CY22)</f>
        <v>1.05</v>
      </c>
      <c r="CZ24" s="158">
        <f>SUM(CZ11:CZ23)</f>
        <v>36750</v>
      </c>
      <c r="DB24" s="94"/>
      <c r="DC24" s="94"/>
      <c r="DD24" s="94"/>
      <c r="DE24" s="95"/>
      <c r="DF24" s="95"/>
      <c r="DI24" s="146"/>
      <c r="DJ24" s="154"/>
      <c r="DK24" s="155"/>
      <c r="DL24" s="156"/>
      <c r="DM24" s="157">
        <f>SUM(DM11:DM22)</f>
        <v>1.05</v>
      </c>
      <c r="DN24" s="158">
        <f>SUM(DN11:DN23)</f>
        <v>36750</v>
      </c>
      <c r="DP24" s="94"/>
      <c r="DQ24" s="94"/>
      <c r="DR24" s="94"/>
      <c r="DS24" s="95"/>
      <c r="DT24" s="95"/>
      <c r="DW24" s="146"/>
      <c r="DX24" s="154"/>
      <c r="DY24" s="155"/>
      <c r="DZ24" s="156"/>
      <c r="EA24" s="157">
        <f>SUM(EA11:EA22)</f>
        <v>1.05</v>
      </c>
      <c r="EB24" s="158">
        <f>SUM(EB11:EB23)</f>
        <v>36750</v>
      </c>
      <c r="ED24" s="94"/>
      <c r="EE24" s="94"/>
      <c r="EF24" s="94"/>
      <c r="EG24" s="95"/>
      <c r="EH24" s="95"/>
      <c r="EK24" s="146"/>
      <c r="EL24" s="154"/>
      <c r="EM24" s="155"/>
      <c r="EN24" s="156"/>
      <c r="EO24" s="157">
        <f>SUM(EO11:EO22)</f>
        <v>1</v>
      </c>
      <c r="EP24" s="158">
        <f>SUM(EP11:EP23)</f>
        <v>35000</v>
      </c>
      <c r="ER24" s="94"/>
      <c r="ES24" s="94"/>
      <c r="ET24" s="94"/>
      <c r="EU24" s="95"/>
      <c r="EV24" s="95"/>
      <c r="EY24" s="146"/>
      <c r="EZ24" s="154"/>
      <c r="FA24" s="155"/>
      <c r="FB24" s="156"/>
      <c r="FC24" s="159">
        <f>SUM(FC11:FC22)</f>
        <v>1</v>
      </c>
      <c r="FD24" s="160">
        <f>SUM(FD11:FD23)</f>
        <v>35000</v>
      </c>
      <c r="FF24" s="94"/>
      <c r="FG24" s="94"/>
      <c r="FH24" s="94"/>
      <c r="FI24" s="95"/>
      <c r="FJ24" s="95"/>
      <c r="FM24" s="146"/>
      <c r="FN24" s="154"/>
      <c r="FO24" s="155"/>
      <c r="FP24" s="156"/>
      <c r="FQ24" s="159">
        <f>SUM(FQ11:FQ22)</f>
        <v>1</v>
      </c>
      <c r="FR24" s="160">
        <f>SUM(FR11:FR23)</f>
        <v>35000</v>
      </c>
      <c r="FT24" s="94"/>
      <c r="FU24" s="94"/>
      <c r="FV24" s="94"/>
      <c r="FW24" s="95"/>
      <c r="FX24" s="95"/>
      <c r="GA24" s="146"/>
      <c r="GB24" s="154"/>
      <c r="GC24" s="155"/>
      <c r="GD24" s="156"/>
      <c r="GE24" s="159">
        <f>SUM(GE11:GE22)</f>
        <v>1</v>
      </c>
      <c r="GF24" s="160">
        <f>SUM(GF11:GF23)</f>
        <v>35000</v>
      </c>
      <c r="GH24" s="94"/>
      <c r="GI24" s="94"/>
      <c r="GJ24" s="94"/>
      <c r="GK24" s="95"/>
      <c r="GL24" s="95"/>
      <c r="GO24" s="146"/>
      <c r="GP24" s="154"/>
      <c r="GQ24" s="155"/>
      <c r="GR24" s="156"/>
      <c r="GS24" s="159">
        <f>SUM(GS11:GS22)</f>
        <v>1</v>
      </c>
      <c r="GT24" s="160">
        <f>SUM(GT11:GT23)</f>
        <v>35000</v>
      </c>
      <c r="GV24" s="94"/>
      <c r="GW24" s="94"/>
      <c r="GX24" s="94"/>
      <c r="GY24" s="95"/>
      <c r="GZ24" s="95"/>
      <c r="HC24" s="146"/>
      <c r="HD24" s="154"/>
      <c r="HE24" s="155"/>
      <c r="HF24" s="156"/>
      <c r="HG24" s="159">
        <f>SUM(HG11:HG22)</f>
        <v>1</v>
      </c>
      <c r="HH24" s="160">
        <f>SUM(HH11:HH23)</f>
        <v>35000</v>
      </c>
      <c r="HJ24" s="94"/>
      <c r="HK24" s="94"/>
      <c r="HL24" s="94"/>
      <c r="HM24" s="95"/>
      <c r="HN24" s="95"/>
      <c r="HQ24" s="146"/>
      <c r="HR24" s="154"/>
      <c r="HS24" s="155"/>
      <c r="HT24" s="156"/>
      <c r="HU24" s="159">
        <f>SUM(HU11:HU22)</f>
        <v>1</v>
      </c>
      <c r="HV24" s="160">
        <f>SUM(HV11:HV23)</f>
        <v>35000</v>
      </c>
      <c r="HX24" s="94"/>
      <c r="HY24" s="94"/>
      <c r="HZ24" s="94"/>
      <c r="IA24" s="95"/>
      <c r="IB24" s="95"/>
      <c r="IE24" s="146"/>
      <c r="IF24" s="154"/>
      <c r="IG24" s="155"/>
      <c r="IH24" s="156"/>
      <c r="II24" s="159">
        <f>SUM(II11:II22)</f>
        <v>1</v>
      </c>
      <c r="IJ24" s="160">
        <f>SUM(IJ11:IJ23)</f>
        <v>35000</v>
      </c>
      <c r="IL24" s="94"/>
      <c r="IM24" s="94"/>
      <c r="IN24" s="94"/>
      <c r="IO24" s="95"/>
      <c r="IP24" s="95"/>
      <c r="IS24" s="146"/>
      <c r="IT24" s="154"/>
      <c r="IU24" s="155"/>
      <c r="IV24" s="156"/>
      <c r="IW24" s="159">
        <f>SUM(IW11:IW22)</f>
        <v>1</v>
      </c>
      <c r="IX24" s="160">
        <f>SUM(IX11:IX23)</f>
        <v>35000</v>
      </c>
      <c r="IZ24" s="94"/>
      <c r="JA24" s="94"/>
      <c r="JB24" s="94"/>
      <c r="JC24" s="95"/>
      <c r="JD24" s="95"/>
      <c r="JG24" s="146"/>
      <c r="JH24" s="154"/>
      <c r="JI24" s="155"/>
      <c r="JJ24" s="156"/>
      <c r="JK24" s="159">
        <f>SUM(JK11:JK22)</f>
        <v>1</v>
      </c>
      <c r="JL24" s="160">
        <f>SUM(JL11:JL23)</f>
        <v>35000</v>
      </c>
      <c r="JN24" s="94"/>
      <c r="JO24" s="94"/>
      <c r="JP24" s="94"/>
      <c r="JQ24" s="95"/>
      <c r="JR24" s="95"/>
      <c r="JU24" s="146"/>
      <c r="JV24" s="154"/>
      <c r="JW24" s="155"/>
      <c r="JX24" s="156"/>
      <c r="JY24" s="159">
        <f>SUM(JY11:JY22)</f>
        <v>1</v>
      </c>
      <c r="JZ24" s="160">
        <f>SUM(JZ11:JZ23)</f>
        <v>35000</v>
      </c>
      <c r="KB24" s="94"/>
      <c r="KC24" s="94"/>
      <c r="KD24" s="94"/>
      <c r="KE24" s="95"/>
      <c r="KF24" s="95"/>
      <c r="KI24" s="146"/>
      <c r="KJ24" s="154"/>
      <c r="KK24" s="155"/>
      <c r="KL24" s="156"/>
      <c r="KM24" s="159">
        <f>SUM(KM11:KM22)</f>
        <v>1</v>
      </c>
      <c r="KN24" s="160">
        <f>SUM(KN11:KN23)</f>
        <v>35000</v>
      </c>
      <c r="KP24" s="94"/>
      <c r="KQ24" s="94"/>
      <c r="KR24" s="94"/>
      <c r="KS24" s="95"/>
      <c r="KT24" s="95"/>
      <c r="KW24" s="146"/>
      <c r="KX24" s="154"/>
      <c r="KY24" s="155"/>
      <c r="KZ24" s="156"/>
      <c r="LA24" s="159">
        <f>SUM(LA11:LA22)</f>
        <v>1</v>
      </c>
      <c r="LB24" s="160">
        <f>SUM(LB11:LB23)</f>
        <v>35000</v>
      </c>
      <c r="LD24" s="94"/>
      <c r="LE24" s="94"/>
      <c r="LF24" s="94"/>
      <c r="LG24" s="95"/>
      <c r="LH24" s="95"/>
      <c r="LK24" s="146"/>
      <c r="LL24" s="154"/>
      <c r="LM24" s="155"/>
      <c r="LN24" s="156"/>
      <c r="LO24" s="159">
        <f>SUM(LO11:LO22)</f>
        <v>1</v>
      </c>
      <c r="LP24" s="160">
        <f>SUM(LP11:LP23)</f>
        <v>35000</v>
      </c>
      <c r="LR24" s="94"/>
      <c r="LS24" s="94"/>
      <c r="LT24" s="94"/>
      <c r="LU24" s="95"/>
      <c r="LV24" s="95"/>
      <c r="LY24" s="146"/>
      <c r="LZ24" s="154"/>
      <c r="MA24" s="155"/>
      <c r="MB24" s="156"/>
      <c r="MC24" s="159">
        <f>SUM(MC11:MC22)</f>
        <v>1</v>
      </c>
      <c r="MD24" s="160">
        <f>SUM(MD11:MD23)</f>
        <v>35000</v>
      </c>
      <c r="MF24" s="94"/>
      <c r="MG24" s="94"/>
      <c r="MH24" s="94"/>
      <c r="MI24" s="95"/>
      <c r="MJ24" s="95"/>
      <c r="MM24" s="146"/>
      <c r="MN24" s="154"/>
      <c r="MO24" s="155"/>
      <c r="MP24" s="156"/>
      <c r="MQ24" s="159">
        <f>SUM(MQ11:MQ22)</f>
        <v>1</v>
      </c>
      <c r="MR24" s="160">
        <f>SUM(MR11:MR23)</f>
        <v>35000</v>
      </c>
      <c r="MT24" s="94"/>
      <c r="MU24" s="94"/>
      <c r="MV24" s="94"/>
      <c r="MW24" s="95"/>
      <c r="MX24" s="95"/>
      <c r="NA24" s="146"/>
      <c r="NB24" s="154"/>
      <c r="NC24" s="155"/>
      <c r="ND24" s="156"/>
      <c r="NE24" s="159">
        <f>SUM(NE11:NE22)</f>
        <v>1</v>
      </c>
      <c r="NF24" s="160">
        <f>SUM(NF11:NF23)</f>
        <v>35000</v>
      </c>
      <c r="NH24" s="94"/>
      <c r="NI24" s="94"/>
      <c r="NJ24" s="94"/>
      <c r="NK24" s="95"/>
      <c r="NL24" s="95"/>
      <c r="NO24" s="146"/>
      <c r="NP24" s="154"/>
      <c r="NQ24" s="155"/>
      <c r="NR24" s="156"/>
      <c r="NS24" s="159">
        <f>SUM(NS11:NS22)</f>
        <v>1</v>
      </c>
      <c r="NT24" s="160">
        <f>SUM(NT11:NT23)</f>
        <v>35000</v>
      </c>
      <c r="NV24" s="94"/>
      <c r="NW24" s="94"/>
      <c r="NX24" s="94"/>
      <c r="NY24" s="95"/>
      <c r="NZ24" s="95"/>
      <c r="OC24" s="146"/>
      <c r="OD24" s="154"/>
      <c r="OE24" s="155"/>
      <c r="OF24" s="156"/>
      <c r="OG24" s="159">
        <f>SUM(OG11:OG22)</f>
        <v>1</v>
      </c>
      <c r="OH24" s="160">
        <f>SUM(OH11:OH23)</f>
        <v>35000</v>
      </c>
      <c r="OJ24" s="94"/>
      <c r="OK24" s="94"/>
      <c r="OL24" s="94"/>
      <c r="OM24" s="95"/>
      <c r="ON24" s="95"/>
      <c r="OQ24" s="146"/>
      <c r="OR24" s="154"/>
      <c r="OS24" s="155"/>
      <c r="OT24" s="156"/>
      <c r="OU24" s="159">
        <f>SUM(OU11:OU22)</f>
        <v>1</v>
      </c>
      <c r="OV24" s="160">
        <f>SUM(OV11:OV23)</f>
        <v>35000</v>
      </c>
      <c r="OX24" s="94"/>
      <c r="OY24" s="94"/>
      <c r="OZ24" s="94"/>
      <c r="PA24" s="95"/>
      <c r="PB24" s="95"/>
      <c r="PE24" s="146"/>
      <c r="PF24" s="154"/>
      <c r="PG24" s="155"/>
      <c r="PH24" s="156"/>
      <c r="PI24" s="159">
        <f>SUM(PI11:PI22)</f>
        <v>1</v>
      </c>
      <c r="PJ24" s="160">
        <f>SUM(PJ11:PJ23)</f>
        <v>35000</v>
      </c>
      <c r="PL24" s="94"/>
      <c r="PM24" s="94"/>
      <c r="PN24" s="94"/>
      <c r="PO24" s="95"/>
      <c r="PP24" s="95"/>
      <c r="PS24" s="146"/>
      <c r="PT24" s="154"/>
      <c r="PU24" s="155"/>
      <c r="PV24" s="156"/>
      <c r="PW24" s="159">
        <f>SUM(PW11:PW22)</f>
        <v>1</v>
      </c>
      <c r="PX24" s="160">
        <f>SUM(PX11:PX23)</f>
        <v>35000</v>
      </c>
      <c r="PZ24" s="94"/>
      <c r="QA24" s="94"/>
      <c r="QB24" s="94"/>
      <c r="QC24" s="95"/>
      <c r="QD24" s="95"/>
      <c r="QG24" s="146"/>
      <c r="QH24" s="154"/>
      <c r="QI24" s="155"/>
      <c r="QJ24" s="156"/>
      <c r="QK24" s="159">
        <f>SUM(QK11:QK22)</f>
        <v>1</v>
      </c>
      <c r="QL24" s="160">
        <f>SUM(QL11:QL23)</f>
        <v>35000</v>
      </c>
      <c r="QN24" s="94"/>
      <c r="QO24" s="94"/>
      <c r="QP24" s="94"/>
      <c r="QQ24" s="95"/>
      <c r="QR24" s="95"/>
      <c r="QU24" s="146"/>
      <c r="QV24" s="154"/>
      <c r="QW24" s="155"/>
      <c r="QX24" s="156"/>
      <c r="QY24" s="159">
        <f>SUM(QY11:QY22)</f>
        <v>1</v>
      </c>
      <c r="QZ24" s="160">
        <f>SUM(QZ11:QZ23)</f>
        <v>35000</v>
      </c>
      <c r="RB24" s="94"/>
      <c r="RC24" s="94"/>
      <c r="RD24" s="94"/>
      <c r="RE24" s="95"/>
      <c r="RF24" s="95"/>
      <c r="RI24" s="146"/>
      <c r="RJ24" s="154"/>
      <c r="RK24" s="155"/>
      <c r="RL24" s="156"/>
      <c r="RM24" s="159">
        <f>SUM(RM11:RM22)</f>
        <v>1</v>
      </c>
      <c r="RN24" s="160">
        <f>SUM(RN11:RN23)</f>
        <v>35000</v>
      </c>
      <c r="RP24" s="94"/>
      <c r="RQ24" s="94"/>
      <c r="RR24" s="94"/>
      <c r="RS24" s="95"/>
      <c r="RT24" s="95"/>
      <c r="RW24" s="146"/>
      <c r="RX24" s="154"/>
      <c r="RY24" s="155"/>
      <c r="RZ24" s="156"/>
      <c r="SA24" s="159">
        <f>SUM(SA11:SA22)</f>
        <v>1</v>
      </c>
      <c r="SB24" s="160">
        <f>SUM(SB11:SB23)</f>
        <v>35000</v>
      </c>
      <c r="SD24" s="94"/>
      <c r="SE24" s="94"/>
      <c r="SF24" s="94"/>
      <c r="SG24" s="95"/>
      <c r="SH24" s="95"/>
      <c r="SK24" s="146"/>
      <c r="SL24" s="154"/>
      <c r="SM24" s="155"/>
      <c r="SN24" s="156"/>
      <c r="SO24" s="159">
        <f>SUM(SO11:SO22)</f>
        <v>1</v>
      </c>
      <c r="SP24" s="160">
        <f>SUM(SP11:SP23)</f>
        <v>35000</v>
      </c>
      <c r="SR24" s="94"/>
      <c r="SS24" s="94"/>
      <c r="ST24" s="94"/>
      <c r="SU24" s="95"/>
      <c r="SV24" s="95"/>
      <c r="SY24" s="146"/>
      <c r="SZ24" s="154"/>
      <c r="TA24" s="155"/>
      <c r="TB24" s="156"/>
      <c r="TC24" s="159">
        <f>SUM(TC11:TC22)</f>
        <v>1</v>
      </c>
      <c r="TD24" s="160">
        <f>SUM(TD11:TD23)</f>
        <v>35000</v>
      </c>
      <c r="TF24" s="94"/>
      <c r="TG24" s="94"/>
      <c r="TH24" s="94"/>
      <c r="TI24" s="95"/>
      <c r="TJ24" s="95"/>
      <c r="TM24" s="146"/>
      <c r="TN24" s="154"/>
      <c r="TO24" s="155"/>
      <c r="TP24" s="156"/>
      <c r="TQ24" s="159">
        <f>SUM(TQ11:TQ22)</f>
        <v>1</v>
      </c>
      <c r="TR24" s="160">
        <f>SUM(TR11:TR23)</f>
        <v>35000</v>
      </c>
      <c r="TT24" s="94"/>
      <c r="TU24" s="94"/>
      <c r="TV24" s="94"/>
      <c r="TW24" s="95"/>
      <c r="TX24" s="95"/>
      <c r="UA24" s="146"/>
      <c r="UB24" s="154"/>
      <c r="UC24" s="155"/>
      <c r="UD24" s="156"/>
      <c r="UE24" s="159">
        <f>SUM(UE11:UE22)</f>
        <v>1</v>
      </c>
      <c r="UF24" s="160">
        <f>SUM(UF11:UF23)</f>
        <v>35000</v>
      </c>
      <c r="UH24" s="94"/>
      <c r="UI24" s="94"/>
      <c r="UJ24" s="94"/>
      <c r="UK24" s="95"/>
      <c r="UL24" s="95"/>
      <c r="UO24" s="146"/>
      <c r="UP24" s="154"/>
      <c r="UQ24" s="155"/>
      <c r="UR24" s="156"/>
      <c r="US24" s="159">
        <f>SUM(US11:US22)</f>
        <v>1</v>
      </c>
      <c r="UT24" s="160">
        <f>SUM(UT11:UT23)</f>
        <v>35000</v>
      </c>
      <c r="UV24" s="94"/>
      <c r="UW24" s="94"/>
      <c r="UX24" s="94"/>
      <c r="UY24" s="95"/>
      <c r="UZ24" s="95"/>
      <c r="VC24" s="146"/>
      <c r="VD24" s="154"/>
      <c r="VE24" s="155"/>
      <c r="VF24" s="156"/>
      <c r="VG24" s="159">
        <f>SUM(VG11:VG22)</f>
        <v>1</v>
      </c>
      <c r="VH24" s="160">
        <f>SUM(VH11:VH23)</f>
        <v>35000</v>
      </c>
      <c r="VJ24" s="94"/>
      <c r="VK24" s="94"/>
      <c r="VL24" s="94"/>
      <c r="VM24" s="95"/>
      <c r="VN24" s="95"/>
      <c r="VQ24" s="146"/>
      <c r="VR24" s="154"/>
      <c r="VS24" s="155"/>
      <c r="VT24" s="156"/>
      <c r="VU24" s="159">
        <f>SUM(VU11:VU22)</f>
        <v>1</v>
      </c>
      <c r="VV24" s="160">
        <f>SUM(VV11:VV23)</f>
        <v>35000</v>
      </c>
      <c r="VX24" s="94"/>
      <c r="VY24" s="94"/>
      <c r="VZ24" s="94"/>
      <c r="WA24" s="95"/>
      <c r="WB24" s="95"/>
      <c r="WE24" s="146"/>
      <c r="WF24" s="154"/>
      <c r="WG24" s="155"/>
      <c r="WH24" s="156"/>
      <c r="WI24" s="159">
        <f>SUM(WI11:WI22)</f>
        <v>1</v>
      </c>
      <c r="WJ24" s="160">
        <f>SUM(WJ11:WJ23)</f>
        <v>35000</v>
      </c>
      <c r="WL24" s="94"/>
      <c r="WM24" s="94"/>
      <c r="WN24" s="94"/>
      <c r="WO24" s="95"/>
      <c r="WP24" s="95"/>
      <c r="WS24" s="146"/>
      <c r="WT24" s="154"/>
      <c r="WU24" s="155"/>
      <c r="WV24" s="156"/>
      <c r="WW24" s="159">
        <f>SUM(WW11:WW22)</f>
        <v>1</v>
      </c>
      <c r="WX24" s="160">
        <f>SUM(WX11:WX23)</f>
        <v>35000</v>
      </c>
      <c r="WZ24" s="94"/>
      <c r="XA24" s="94"/>
      <c r="XB24" s="94"/>
      <c r="XC24" s="95"/>
      <c r="XD24" s="95"/>
      <c r="XG24" s="146"/>
      <c r="XH24" s="154"/>
      <c r="XI24" s="155"/>
      <c r="XJ24" s="156"/>
      <c r="XK24" s="159">
        <f>SUM(XK11:XK22)</f>
        <v>1</v>
      </c>
      <c r="XL24" s="160">
        <f>SUM(XL11:XL23)</f>
        <v>35000</v>
      </c>
      <c r="XN24" s="94"/>
      <c r="XO24" s="94"/>
      <c r="XP24" s="94"/>
      <c r="XQ24" s="95"/>
      <c r="XR24" s="95"/>
      <c r="XU24" s="146"/>
      <c r="XV24" s="154"/>
      <c r="XW24" s="155"/>
      <c r="XX24" s="156"/>
      <c r="XY24" s="159">
        <f>SUM(XY11:XY22)</f>
        <v>1</v>
      </c>
      <c r="XZ24" s="160">
        <f>SUM(XZ11:XZ23)</f>
        <v>35000</v>
      </c>
      <c r="YB24" s="94"/>
      <c r="YC24" s="94"/>
      <c r="YD24" s="94"/>
      <c r="YE24" s="95"/>
      <c r="YF24" s="95"/>
      <c r="YI24" s="146"/>
      <c r="YJ24" s="154"/>
      <c r="YK24" s="155"/>
      <c r="YL24" s="156"/>
      <c r="YM24" s="159">
        <f>SUM(YM11:YM22)</f>
        <v>1</v>
      </c>
      <c r="YN24" s="160">
        <f>SUM(YN11:YN23)</f>
        <v>10000</v>
      </c>
      <c r="YP24" s="94"/>
      <c r="YQ24" s="94"/>
      <c r="YR24" s="94"/>
      <c r="YS24" s="95"/>
      <c r="YT24" s="95"/>
      <c r="YW24" s="146"/>
      <c r="YX24" s="154"/>
      <c r="YY24" s="155"/>
      <c r="YZ24" s="156"/>
      <c r="ZA24" s="159">
        <f>SUM(ZA11:ZA22)</f>
        <v>1</v>
      </c>
      <c r="ZB24" s="160">
        <f>SUM(ZB11:ZB23)</f>
        <v>35000</v>
      </c>
      <c r="ZD24" s="94"/>
      <c r="ZE24" s="94"/>
      <c r="ZF24" s="94"/>
      <c r="ZG24" s="95"/>
      <c r="ZH24" s="95"/>
      <c r="ZK24" s="146"/>
      <c r="ZL24" s="154"/>
      <c r="ZM24" s="155"/>
      <c r="ZN24" s="156"/>
      <c r="ZO24" s="159">
        <f>SUM(ZO11:ZO22)</f>
        <v>1</v>
      </c>
      <c r="ZP24" s="160">
        <f>SUM(ZP11:ZP23)</f>
        <v>35000</v>
      </c>
      <c r="ZR24" s="94"/>
      <c r="ZS24" s="94"/>
      <c r="ZT24" s="94"/>
      <c r="ZU24" s="95"/>
      <c r="ZV24" s="95"/>
      <c r="ZZ24" s="147"/>
      <c r="AAA24" s="147"/>
      <c r="AAB24" s="147"/>
      <c r="AAC24" s="161" t="s">
        <v>56</v>
      </c>
      <c r="AAD24" s="161"/>
      <c r="AAE24" s="161"/>
      <c r="AAF24" s="151">
        <v>35</v>
      </c>
      <c r="AAG24" s="152"/>
      <c r="AAH24" s="153"/>
      <c r="AAI24" s="108" t="s">
        <v>55</v>
      </c>
      <c r="AAM24" s="147"/>
      <c r="AAN24" s="147"/>
      <c r="AAO24" s="147"/>
      <c r="AAP24" s="161" t="s">
        <v>56</v>
      </c>
      <c r="AAQ24" s="161"/>
      <c r="AAR24" s="161"/>
      <c r="AAS24" s="151">
        <v>35</v>
      </c>
      <c r="AAT24" s="152"/>
      <c r="AAU24" s="153"/>
      <c r="AAV24" s="108" t="s">
        <v>55</v>
      </c>
      <c r="AAZ24" s="147"/>
      <c r="ABA24" s="147"/>
      <c r="ABB24" s="147"/>
      <c r="ABC24" s="161" t="s">
        <v>56</v>
      </c>
      <c r="ABD24" s="161"/>
      <c r="ABE24" s="161"/>
      <c r="ABF24" s="151">
        <v>35</v>
      </c>
      <c r="ABG24" s="152"/>
      <c r="ABH24" s="153"/>
      <c r="ABI24" s="108" t="s">
        <v>55</v>
      </c>
      <c r="ABM24" s="147"/>
      <c r="ABN24" s="147"/>
      <c r="ABO24" s="147"/>
      <c r="ABP24" s="161" t="s">
        <v>56</v>
      </c>
      <c r="ABQ24" s="161"/>
      <c r="ABR24" s="161"/>
      <c r="ABS24" s="151">
        <v>35</v>
      </c>
      <c r="ABT24" s="152"/>
      <c r="ABU24" s="153"/>
      <c r="ABV24" s="108" t="s">
        <v>55</v>
      </c>
      <c r="ABZ24" s="147"/>
      <c r="ACA24" s="147"/>
      <c r="ACB24" s="147"/>
      <c r="ACC24" s="161" t="s">
        <v>56</v>
      </c>
      <c r="ACD24" s="161"/>
      <c r="ACE24" s="161"/>
      <c r="ACF24" s="151">
        <v>35</v>
      </c>
      <c r="ACG24" s="152"/>
      <c r="ACH24" s="153"/>
      <c r="ACI24" s="108" t="s">
        <v>55</v>
      </c>
      <c r="ACM24" s="147"/>
      <c r="ACN24" s="147"/>
      <c r="ACO24" s="147"/>
      <c r="ACP24" s="161" t="s">
        <v>56</v>
      </c>
      <c r="ACQ24" s="161"/>
      <c r="ACR24" s="161"/>
      <c r="ACS24" s="151">
        <v>35</v>
      </c>
      <c r="ACT24" s="152"/>
      <c r="ACU24" s="153"/>
      <c r="ACV24" s="108" t="s">
        <v>55</v>
      </c>
      <c r="ACZ24" s="147"/>
      <c r="ADA24" s="147"/>
      <c r="ADB24" s="147"/>
      <c r="ADC24" s="161" t="s">
        <v>56</v>
      </c>
      <c r="ADD24" s="161"/>
      <c r="ADE24" s="161"/>
      <c r="ADF24" s="151">
        <v>35</v>
      </c>
      <c r="ADG24" s="152"/>
      <c r="ADH24" s="153"/>
      <c r="ADI24" s="108" t="s">
        <v>55</v>
      </c>
      <c r="ADM24" s="147"/>
      <c r="ADN24" s="147"/>
      <c r="ADO24" s="147"/>
      <c r="ADP24" s="161" t="s">
        <v>56</v>
      </c>
      <c r="ADQ24" s="161"/>
      <c r="ADR24" s="161"/>
      <c r="ADS24" s="151">
        <v>1000</v>
      </c>
      <c r="ADT24" s="152">
        <v>35</v>
      </c>
      <c r="ADU24" s="153"/>
      <c r="ADV24" s="108" t="s">
        <v>55</v>
      </c>
      <c r="ADZ24" s="147"/>
      <c r="AEA24" s="147"/>
      <c r="AEB24" s="147"/>
      <c r="AEC24" s="161" t="s">
        <v>56</v>
      </c>
      <c r="AED24" s="161"/>
      <c r="AEE24" s="161"/>
      <c r="AEF24" s="151">
        <v>1000</v>
      </c>
      <c r="AEG24" s="152">
        <v>35</v>
      </c>
      <c r="AEH24" s="153"/>
      <c r="AEI24" s="108" t="s">
        <v>55</v>
      </c>
      <c r="AEM24" s="147"/>
      <c r="AEN24" s="147"/>
      <c r="AEO24" s="147"/>
      <c r="AEP24" s="161" t="s">
        <v>56</v>
      </c>
      <c r="AEQ24" s="161"/>
      <c r="AER24" s="161"/>
      <c r="AES24" s="151">
        <v>1000</v>
      </c>
      <c r="AET24" s="152">
        <v>35</v>
      </c>
      <c r="AEU24" s="153"/>
      <c r="AEV24" s="108" t="s">
        <v>55</v>
      </c>
      <c r="AEZ24" s="147"/>
      <c r="AFA24" s="147"/>
      <c r="AFB24" s="147"/>
      <c r="AFC24" s="161" t="s">
        <v>56</v>
      </c>
      <c r="AFD24" s="161"/>
      <c r="AFE24" s="161"/>
      <c r="AFF24" s="151">
        <v>1000</v>
      </c>
      <c r="AFG24" s="152">
        <v>35</v>
      </c>
      <c r="AFH24" s="153"/>
      <c r="AFI24" s="108" t="s">
        <v>55</v>
      </c>
      <c r="AFM24" s="147"/>
      <c r="AFN24" s="147"/>
      <c r="AFO24" s="147"/>
      <c r="AFP24" s="161" t="s">
        <v>56</v>
      </c>
      <c r="AFQ24" s="161"/>
      <c r="AFR24" s="161"/>
      <c r="AFS24" s="151">
        <v>1000</v>
      </c>
      <c r="AFT24" s="152">
        <v>35</v>
      </c>
      <c r="AFU24" s="153"/>
      <c r="AFV24" s="108" t="s">
        <v>55</v>
      </c>
      <c r="AFZ24" s="147"/>
      <c r="AGA24" s="147"/>
      <c r="AGB24" s="147"/>
      <c r="AGC24" s="161" t="s">
        <v>56</v>
      </c>
      <c r="AGD24" s="161"/>
      <c r="AGE24" s="161"/>
      <c r="AGF24" s="151">
        <v>1000</v>
      </c>
      <c r="AGG24" s="152">
        <v>35</v>
      </c>
      <c r="AGH24" s="153"/>
      <c r="AGI24" s="108" t="s">
        <v>55</v>
      </c>
      <c r="AGL24" s="147"/>
      <c r="AGM24" s="147"/>
      <c r="AGN24" s="147"/>
      <c r="AGO24" s="161" t="s">
        <v>56</v>
      </c>
      <c r="AGP24" s="161"/>
      <c r="AGQ24" s="161"/>
      <c r="AGR24" s="151">
        <v>1000</v>
      </c>
      <c r="AGS24" s="152">
        <v>35</v>
      </c>
      <c r="AGT24" s="153"/>
      <c r="AGU24" s="108" t="s">
        <v>55</v>
      </c>
      <c r="AGX24" s="147"/>
      <c r="AGY24" s="147"/>
      <c r="AGZ24" s="147"/>
      <c r="AHA24" s="161" t="s">
        <v>56</v>
      </c>
      <c r="AHB24" s="161"/>
      <c r="AHC24" s="161"/>
      <c r="AHD24" s="151">
        <v>1000</v>
      </c>
      <c r="AHE24" s="152">
        <v>35</v>
      </c>
      <c r="AHF24" s="153"/>
      <c r="AHG24" s="108" t="s">
        <v>55</v>
      </c>
      <c r="AHJ24" s="147"/>
      <c r="AHK24" s="147"/>
      <c r="AHL24" s="147"/>
      <c r="AHM24" s="161" t="s">
        <v>56</v>
      </c>
      <c r="AHN24" s="161"/>
      <c r="AHO24" s="161"/>
      <c r="AHP24" s="151">
        <v>1000</v>
      </c>
      <c r="AHQ24" s="152">
        <v>35</v>
      </c>
      <c r="AHR24" s="153"/>
      <c r="AHS24" s="108" t="s">
        <v>55</v>
      </c>
      <c r="AHV24" s="147"/>
      <c r="AHW24" s="147"/>
      <c r="AHX24" s="147"/>
      <c r="AHY24" s="161" t="s">
        <v>56</v>
      </c>
      <c r="AHZ24" s="161"/>
      <c r="AIA24" s="161"/>
      <c r="AIB24" s="151">
        <v>1000</v>
      </c>
      <c r="AIC24" s="152">
        <v>35</v>
      </c>
      <c r="AID24" s="153"/>
      <c r="AIE24" s="108" t="s">
        <v>55</v>
      </c>
      <c r="AIH24" s="147"/>
      <c r="AII24" s="147"/>
      <c r="AIJ24" s="147"/>
      <c r="AIK24" s="161" t="s">
        <v>56</v>
      </c>
      <c r="AIL24" s="161"/>
      <c r="AIM24" s="161"/>
      <c r="AIN24" s="151">
        <v>1000</v>
      </c>
      <c r="AIO24" s="152">
        <v>35</v>
      </c>
      <c r="AIP24" s="153"/>
      <c r="AIQ24" s="108" t="s">
        <v>55</v>
      </c>
      <c r="AIT24" s="147"/>
      <c r="AIU24" s="147"/>
      <c r="AIV24" s="147"/>
      <c r="AIW24" s="161" t="s">
        <v>56</v>
      </c>
      <c r="AIX24" s="161"/>
      <c r="AIY24" s="161"/>
      <c r="AIZ24" s="151">
        <v>1000</v>
      </c>
      <c r="AJA24" s="152">
        <v>35</v>
      </c>
      <c r="AJB24" s="153"/>
      <c r="AJC24" s="108" t="s">
        <v>55</v>
      </c>
      <c r="AJF24" s="147"/>
      <c r="AJG24" s="147"/>
      <c r="AJH24" s="147"/>
      <c r="AJI24" s="161" t="s">
        <v>56</v>
      </c>
      <c r="AJJ24" s="161"/>
      <c r="AJK24" s="161"/>
      <c r="AJL24" s="151">
        <v>1000</v>
      </c>
      <c r="AJM24" s="152">
        <v>35</v>
      </c>
      <c r="AJN24" s="153"/>
      <c r="AJO24" s="108" t="s">
        <v>55</v>
      </c>
      <c r="AJR24" s="147"/>
      <c r="AJS24" s="147"/>
      <c r="AJT24" s="147"/>
      <c r="AJU24" s="161" t="s">
        <v>56</v>
      </c>
      <c r="AJV24" s="161"/>
      <c r="AJW24" s="161"/>
      <c r="AJX24" s="151">
        <v>1000</v>
      </c>
      <c r="AJY24" s="152">
        <v>35</v>
      </c>
      <c r="AJZ24" s="153"/>
      <c r="AKA24" s="108" t="s">
        <v>55</v>
      </c>
      <c r="AKD24" s="147"/>
      <c r="AKE24" s="147"/>
      <c r="AKF24" s="147"/>
      <c r="AKG24" s="161" t="s">
        <v>56</v>
      </c>
      <c r="AKH24" s="161"/>
      <c r="AKI24" s="161"/>
      <c r="AKJ24" s="151">
        <v>1000</v>
      </c>
      <c r="AKK24" s="152">
        <v>35</v>
      </c>
      <c r="AKL24" s="153"/>
      <c r="AKM24" s="108" t="s">
        <v>55</v>
      </c>
      <c r="AKP24" s="147"/>
      <c r="AKQ24" s="147"/>
      <c r="AKR24" s="147"/>
      <c r="AKS24" s="161" t="s">
        <v>56</v>
      </c>
      <c r="AKT24" s="161"/>
      <c r="AKU24" s="161"/>
      <c r="AKV24" s="151">
        <v>1000</v>
      </c>
      <c r="AKW24" s="152">
        <v>35</v>
      </c>
      <c r="AKX24" s="153"/>
      <c r="AKY24" s="108" t="s">
        <v>55</v>
      </c>
      <c r="ALB24" s="147"/>
      <c r="ALC24" s="147"/>
      <c r="ALD24" s="147"/>
      <c r="ALE24" s="161" t="s">
        <v>56</v>
      </c>
      <c r="ALF24" s="161"/>
      <c r="ALG24" s="161"/>
      <c r="ALH24" s="151">
        <v>1000</v>
      </c>
      <c r="ALI24" s="152">
        <v>35</v>
      </c>
      <c r="ALJ24" s="153"/>
      <c r="ALK24" s="108" t="s">
        <v>55</v>
      </c>
      <c r="ALN24" s="147"/>
      <c r="ALO24" s="147"/>
      <c r="ALP24" s="147"/>
      <c r="ALQ24" s="161" t="s">
        <v>56</v>
      </c>
      <c r="ALR24" s="161"/>
      <c r="ALS24" s="161"/>
      <c r="ALT24" s="151">
        <v>1000</v>
      </c>
      <c r="ALU24" s="152">
        <v>35</v>
      </c>
      <c r="ALV24" s="153"/>
      <c r="ALW24" s="108" t="s">
        <v>55</v>
      </c>
      <c r="ALZ24" s="147"/>
      <c r="AMA24" s="147"/>
      <c r="AMB24" s="147"/>
      <c r="AMC24" s="161" t="s">
        <v>56</v>
      </c>
      <c r="AMD24" s="161"/>
      <c r="AME24" s="161"/>
      <c r="AMF24" s="151">
        <v>1000</v>
      </c>
      <c r="AMG24" s="152">
        <v>35</v>
      </c>
      <c r="AMH24" s="153"/>
      <c r="AMI24" s="108" t="s">
        <v>55</v>
      </c>
      <c r="AML24" s="147"/>
      <c r="AMM24" s="147"/>
      <c r="AMN24" s="147"/>
      <c r="AMO24" s="161" t="s">
        <v>56</v>
      </c>
      <c r="AMP24" s="161"/>
      <c r="AMQ24" s="161"/>
      <c r="AMR24" s="151">
        <v>1000</v>
      </c>
      <c r="AMS24" s="152">
        <v>35</v>
      </c>
      <c r="AMT24" s="153"/>
      <c r="AMU24" s="108" t="s">
        <v>55</v>
      </c>
      <c r="AMX24" s="147"/>
      <c r="AMY24" s="147"/>
      <c r="AMZ24" s="147"/>
      <c r="ANA24" s="161" t="s">
        <v>56</v>
      </c>
      <c r="ANB24" s="161"/>
      <c r="ANC24" s="161"/>
      <c r="AND24" s="151">
        <v>1000</v>
      </c>
      <c r="ANE24" s="152">
        <v>35</v>
      </c>
      <c r="ANF24" s="153"/>
      <c r="ANG24" s="108" t="s">
        <v>55</v>
      </c>
      <c r="ANJ24" s="147"/>
      <c r="ANK24" s="147"/>
      <c r="ANL24" s="147"/>
      <c r="ANM24" s="161" t="s">
        <v>56</v>
      </c>
      <c r="ANN24" s="161"/>
      <c r="ANO24" s="161"/>
      <c r="ANP24" s="151">
        <v>1000</v>
      </c>
      <c r="ANQ24" s="152">
        <v>35</v>
      </c>
      <c r="ANR24" s="153"/>
      <c r="ANS24" s="108" t="s">
        <v>55</v>
      </c>
      <c r="ANV24" s="147"/>
      <c r="ANW24" s="147"/>
      <c r="ANX24" s="147"/>
      <c r="ANY24" s="161" t="s">
        <v>56</v>
      </c>
      <c r="ANZ24" s="161"/>
      <c r="AOA24" s="161"/>
      <c r="AOB24" s="151">
        <v>1000</v>
      </c>
      <c r="AOC24" s="152">
        <v>35</v>
      </c>
      <c r="AOD24" s="153"/>
      <c r="AOE24" s="108" t="s">
        <v>55</v>
      </c>
      <c r="AOH24" s="147"/>
      <c r="AOI24" s="147"/>
      <c r="AOJ24" s="147"/>
      <c r="AOK24" s="161" t="s">
        <v>56</v>
      </c>
      <c r="AOL24" s="161"/>
      <c r="AOM24" s="161"/>
      <c r="AON24" s="151">
        <v>1000</v>
      </c>
      <c r="AOO24" s="152">
        <v>35</v>
      </c>
      <c r="AOP24" s="153"/>
      <c r="AOQ24" s="108" t="s">
        <v>55</v>
      </c>
      <c r="AOT24" s="147"/>
      <c r="AOU24" s="147"/>
      <c r="AOV24" s="147"/>
      <c r="AOW24" s="161" t="s">
        <v>56</v>
      </c>
      <c r="AOX24" s="161"/>
      <c r="AOY24" s="161"/>
      <c r="AOZ24" s="151">
        <v>1000</v>
      </c>
      <c r="APA24" s="152">
        <v>35</v>
      </c>
      <c r="APB24" s="153"/>
      <c r="APC24" s="108" t="s">
        <v>55</v>
      </c>
      <c r="APF24" s="147"/>
      <c r="APG24" s="147"/>
      <c r="APH24" s="147"/>
      <c r="API24" s="161" t="s">
        <v>56</v>
      </c>
      <c r="APJ24" s="161"/>
      <c r="APK24" s="161"/>
      <c r="APL24" s="151">
        <v>1000</v>
      </c>
      <c r="APM24" s="152">
        <v>35</v>
      </c>
      <c r="APN24" s="153"/>
      <c r="APO24" s="108" t="s">
        <v>55</v>
      </c>
      <c r="APR24" s="147"/>
      <c r="APS24" s="147"/>
      <c r="APT24" s="147"/>
      <c r="APU24" s="161" t="s">
        <v>56</v>
      </c>
      <c r="APV24" s="161"/>
      <c r="APW24" s="161"/>
      <c r="APX24" s="151">
        <v>1000</v>
      </c>
      <c r="APY24" s="152">
        <v>35</v>
      </c>
      <c r="APZ24" s="153"/>
      <c r="AQA24" s="108" t="s">
        <v>55</v>
      </c>
      <c r="AQD24" s="147"/>
      <c r="AQE24" s="147"/>
      <c r="AQF24" s="147"/>
      <c r="AQG24" s="161" t="s">
        <v>56</v>
      </c>
      <c r="AQH24" s="161"/>
      <c r="AQI24" s="161"/>
      <c r="AQJ24" s="151">
        <v>1000</v>
      </c>
      <c r="AQK24" s="152">
        <v>35</v>
      </c>
      <c r="AQL24" s="153"/>
      <c r="AQM24" s="108" t="s">
        <v>55</v>
      </c>
      <c r="AQP24" s="147"/>
      <c r="AQQ24" s="147"/>
      <c r="AQR24" s="147"/>
      <c r="AQS24" s="161" t="s">
        <v>56</v>
      </c>
      <c r="AQT24" s="161"/>
      <c r="AQU24" s="161"/>
      <c r="AQV24" s="151">
        <v>1000</v>
      </c>
      <c r="AQW24" s="152">
        <v>35</v>
      </c>
      <c r="AQX24" s="153"/>
      <c r="AQY24" s="108" t="s">
        <v>55</v>
      </c>
      <c r="ARB24" s="147"/>
      <c r="ARC24" s="147"/>
      <c r="ARD24" s="147"/>
      <c r="ARE24" s="161" t="s">
        <v>56</v>
      </c>
      <c r="ARF24" s="161"/>
      <c r="ARG24" s="161"/>
      <c r="ARH24" s="151">
        <v>1000</v>
      </c>
      <c r="ARI24" s="152">
        <v>35</v>
      </c>
      <c r="ARJ24" s="153"/>
      <c r="ARK24" s="108" t="s">
        <v>55</v>
      </c>
      <c r="ARN24" s="147"/>
      <c r="ARO24" s="147"/>
      <c r="ARP24" s="147"/>
      <c r="ARQ24" s="161" t="s">
        <v>56</v>
      </c>
      <c r="ARR24" s="161"/>
      <c r="ARS24" s="161"/>
      <c r="ART24" s="151">
        <v>1000</v>
      </c>
      <c r="ARU24" s="152">
        <v>35</v>
      </c>
      <c r="ARV24" s="153"/>
      <c r="ARW24" s="108" t="s">
        <v>55</v>
      </c>
      <c r="ARZ24" s="147"/>
      <c r="ASA24" s="147"/>
      <c r="ASB24" s="147"/>
      <c r="ASC24" s="161" t="s">
        <v>56</v>
      </c>
      <c r="ASD24" s="161"/>
      <c r="ASE24" s="161"/>
      <c r="ASF24" s="151">
        <v>1000</v>
      </c>
      <c r="ASG24" s="152">
        <v>35</v>
      </c>
      <c r="ASH24" s="153"/>
      <c r="ASI24" s="108" t="s">
        <v>55</v>
      </c>
      <c r="ASL24" s="147"/>
      <c r="ASM24" s="147"/>
      <c r="ASN24" s="147"/>
      <c r="ASO24" s="161" t="s">
        <v>56</v>
      </c>
      <c r="ASP24" s="161"/>
      <c r="ASQ24" s="161"/>
      <c r="ASR24" s="151">
        <v>1000</v>
      </c>
      <c r="ASS24" s="152">
        <v>35</v>
      </c>
      <c r="AST24" s="153"/>
      <c r="ASU24" s="108" t="s">
        <v>55</v>
      </c>
      <c r="ASX24" s="147"/>
      <c r="ASY24" s="147"/>
      <c r="ASZ24" s="147"/>
      <c r="ATA24" s="161" t="s">
        <v>56</v>
      </c>
      <c r="ATB24" s="161"/>
      <c r="ATC24" s="161"/>
      <c r="ATD24" s="151">
        <v>1000</v>
      </c>
      <c r="ATE24" s="152">
        <v>35</v>
      </c>
      <c r="ATF24" s="153"/>
      <c r="ATG24" s="108" t="s">
        <v>55</v>
      </c>
      <c r="ATJ24" s="147"/>
      <c r="ATK24" s="147"/>
      <c r="ATL24" s="147"/>
      <c r="ATM24" s="161" t="s">
        <v>56</v>
      </c>
      <c r="ATN24" s="161"/>
      <c r="ATO24" s="161"/>
      <c r="ATP24" s="151">
        <v>1000</v>
      </c>
      <c r="ATQ24" s="152">
        <v>35</v>
      </c>
      <c r="ATR24" s="153"/>
      <c r="ATS24" s="108" t="s">
        <v>55</v>
      </c>
      <c r="ATV24" s="147"/>
      <c r="ATW24" s="147"/>
      <c r="ATX24" s="147"/>
      <c r="ATY24" s="161" t="s">
        <v>56</v>
      </c>
      <c r="ATZ24" s="161"/>
      <c r="AUA24" s="161"/>
      <c r="AUB24" s="151">
        <v>1000</v>
      </c>
      <c r="AUC24" s="152">
        <v>35</v>
      </c>
      <c r="AUD24" s="153"/>
      <c r="AUE24" s="108" t="s">
        <v>55</v>
      </c>
      <c r="AUH24" s="147"/>
      <c r="AUI24" s="147"/>
      <c r="AUJ24" s="147"/>
      <c r="AUK24" s="161" t="s">
        <v>56</v>
      </c>
      <c r="AUL24" s="161"/>
      <c r="AUM24" s="161"/>
      <c r="AUN24" s="151">
        <v>1000</v>
      </c>
      <c r="AUO24" s="152">
        <v>35</v>
      </c>
      <c r="AUP24" s="153"/>
      <c r="AUQ24" s="108" t="s">
        <v>55</v>
      </c>
      <c r="AUT24" s="147"/>
      <c r="AUU24" s="147"/>
      <c r="AUV24" s="147"/>
      <c r="AUW24" s="161" t="s">
        <v>56</v>
      </c>
      <c r="AUX24" s="161"/>
      <c r="AUY24" s="161"/>
      <c r="AUZ24" s="151">
        <v>1000</v>
      </c>
      <c r="AVA24" s="152">
        <v>35</v>
      </c>
      <c r="AVB24" s="153"/>
      <c r="AVC24" s="108" t="s">
        <v>55</v>
      </c>
      <c r="AVF24" s="147"/>
      <c r="AVG24" s="147"/>
      <c r="AVH24" s="147"/>
      <c r="AVI24" s="161" t="s">
        <v>56</v>
      </c>
      <c r="AVJ24" s="161"/>
      <c r="AVK24" s="161"/>
      <c r="AVL24" s="151">
        <v>1000</v>
      </c>
      <c r="AVM24" s="152">
        <v>35</v>
      </c>
      <c r="AVN24" s="153"/>
      <c r="AVO24" s="108" t="s">
        <v>55</v>
      </c>
      <c r="AVR24" s="147"/>
      <c r="AVS24" s="147"/>
      <c r="AVT24" s="147"/>
      <c r="AVU24" s="161" t="s">
        <v>56</v>
      </c>
      <c r="AVV24" s="161"/>
      <c r="AVW24" s="161"/>
      <c r="AVX24" s="151">
        <v>1000</v>
      </c>
      <c r="AVY24" s="152">
        <v>35</v>
      </c>
      <c r="AVZ24" s="153"/>
      <c r="AWA24" s="108" t="s">
        <v>55</v>
      </c>
      <c r="AWD24" s="147"/>
      <c r="AWE24" s="147"/>
      <c r="AWF24" s="147"/>
      <c r="AWG24" s="161" t="s">
        <v>56</v>
      </c>
      <c r="AWH24" s="161"/>
      <c r="AWI24" s="161"/>
      <c r="AWJ24" s="151">
        <v>1000</v>
      </c>
      <c r="AWK24" s="152">
        <v>35</v>
      </c>
      <c r="AWL24" s="153"/>
      <c r="AWM24" s="108" t="s">
        <v>55</v>
      </c>
      <c r="AWP24" s="147"/>
      <c r="AWQ24" s="147"/>
      <c r="AWR24" s="147"/>
      <c r="AWS24" s="161" t="s">
        <v>56</v>
      </c>
      <c r="AWT24" s="161"/>
      <c r="AWU24" s="161"/>
      <c r="AWV24" s="151">
        <v>1000</v>
      </c>
      <c r="AWW24" s="152">
        <v>35</v>
      </c>
      <c r="AWX24" s="153"/>
      <c r="AWY24" s="108" t="s">
        <v>55</v>
      </c>
      <c r="AXB24" s="147"/>
      <c r="AXC24" s="147"/>
      <c r="AXD24" s="147"/>
      <c r="AXE24" s="161" t="s">
        <v>56</v>
      </c>
      <c r="AXF24" s="161"/>
      <c r="AXG24" s="161"/>
      <c r="AXH24" s="151">
        <v>1000</v>
      </c>
      <c r="AXI24" s="152">
        <v>35</v>
      </c>
      <c r="AXJ24" s="153"/>
      <c r="AXK24" s="108" t="s">
        <v>55</v>
      </c>
      <c r="AXN24" s="147"/>
      <c r="AXO24" s="147"/>
      <c r="AXP24" s="147"/>
      <c r="AXQ24" s="161" t="s">
        <v>56</v>
      </c>
      <c r="AXR24" s="161"/>
      <c r="AXS24" s="161"/>
      <c r="AXT24" s="151">
        <v>1000</v>
      </c>
      <c r="AXU24" s="152">
        <v>35</v>
      </c>
      <c r="AXV24" s="153"/>
      <c r="AXW24" s="108" t="s">
        <v>55</v>
      </c>
      <c r="AXZ24" s="147"/>
      <c r="AYA24" s="147"/>
      <c r="AYB24" s="147"/>
      <c r="AYC24" s="161" t="s">
        <v>56</v>
      </c>
      <c r="AYD24" s="161"/>
      <c r="AYE24" s="161"/>
      <c r="AYF24" s="151">
        <v>1000</v>
      </c>
      <c r="AYG24" s="152">
        <v>35</v>
      </c>
      <c r="AYH24" s="153"/>
      <c r="AYI24" s="108" t="s">
        <v>55</v>
      </c>
      <c r="AYL24" s="147"/>
      <c r="AYM24" s="147"/>
      <c r="AYN24" s="147"/>
      <c r="AYO24" s="161" t="s">
        <v>56</v>
      </c>
      <c r="AYP24" s="161"/>
      <c r="AYQ24" s="161"/>
      <c r="AYR24" s="151">
        <v>1000</v>
      </c>
      <c r="AYS24" s="152">
        <v>35</v>
      </c>
      <c r="AYT24" s="153"/>
      <c r="AYU24" s="108" t="s">
        <v>55</v>
      </c>
      <c r="AYX24" s="147"/>
      <c r="AYY24" s="147"/>
      <c r="AYZ24" s="147"/>
      <c r="AZA24" s="161" t="s">
        <v>56</v>
      </c>
      <c r="AZB24" s="161"/>
      <c r="AZC24" s="161"/>
      <c r="AZD24" s="151">
        <v>1000</v>
      </c>
      <c r="AZE24" s="152">
        <v>35</v>
      </c>
      <c r="AZF24" s="153"/>
      <c r="AZG24" s="108" t="s">
        <v>55</v>
      </c>
      <c r="AZJ24" s="147"/>
      <c r="AZK24" s="147"/>
      <c r="AZL24" s="147"/>
      <c r="AZM24" s="161" t="s">
        <v>56</v>
      </c>
      <c r="AZN24" s="161"/>
      <c r="AZO24" s="161"/>
      <c r="AZP24" s="151">
        <v>1000</v>
      </c>
      <c r="AZQ24" s="152">
        <v>35</v>
      </c>
      <c r="AZR24" s="153"/>
      <c r="AZS24" s="108" t="s">
        <v>55</v>
      </c>
      <c r="AZV24" s="147"/>
      <c r="AZW24" s="147"/>
      <c r="AZX24" s="147"/>
      <c r="AZY24" s="161" t="s">
        <v>56</v>
      </c>
      <c r="AZZ24" s="161"/>
      <c r="BAA24" s="161"/>
      <c r="BAB24" s="151">
        <v>1000</v>
      </c>
      <c r="BAC24" s="152">
        <v>35</v>
      </c>
      <c r="BAD24" s="153"/>
      <c r="BAE24" s="108" t="s">
        <v>55</v>
      </c>
      <c r="BAH24" s="147"/>
      <c r="BAI24" s="147"/>
      <c r="BAJ24" s="147"/>
      <c r="BAK24" s="161" t="s">
        <v>56</v>
      </c>
      <c r="BAL24" s="161"/>
      <c r="BAM24" s="161"/>
      <c r="BAN24" s="151">
        <v>1000</v>
      </c>
      <c r="BAO24" s="152">
        <v>35</v>
      </c>
      <c r="BAP24" s="153"/>
      <c r="BAQ24" s="108" t="s">
        <v>55</v>
      </c>
      <c r="BAT24" s="147"/>
      <c r="BAU24" s="147"/>
      <c r="BAV24" s="147"/>
      <c r="BAW24" s="161" t="s">
        <v>56</v>
      </c>
      <c r="BAX24" s="161"/>
      <c r="BAY24" s="161"/>
      <c r="BAZ24" s="151">
        <v>1000</v>
      </c>
      <c r="BBA24" s="152">
        <v>35</v>
      </c>
      <c r="BBB24" s="153"/>
      <c r="BBC24" s="108" t="s">
        <v>55</v>
      </c>
      <c r="BBF24" s="147"/>
      <c r="BBG24" s="147"/>
      <c r="BBH24" s="147"/>
      <c r="BBI24" s="161" t="s">
        <v>56</v>
      </c>
      <c r="BBJ24" s="161"/>
      <c r="BBK24" s="161"/>
      <c r="BBL24" s="151">
        <v>1000</v>
      </c>
      <c r="BBM24" s="152">
        <v>35</v>
      </c>
      <c r="BBN24" s="153"/>
      <c r="BBO24" s="108" t="s">
        <v>55</v>
      </c>
      <c r="BBR24" s="147"/>
      <c r="BBS24" s="147"/>
      <c r="BBT24" s="147"/>
      <c r="BBU24" s="161" t="s">
        <v>56</v>
      </c>
      <c r="BBV24" s="161"/>
      <c r="BBW24" s="161"/>
      <c r="BBX24" s="151">
        <v>1000</v>
      </c>
      <c r="BBY24" s="152">
        <v>35</v>
      </c>
      <c r="BBZ24" s="153"/>
      <c r="BCA24" s="108" t="s">
        <v>55</v>
      </c>
      <c r="BCD24" s="147"/>
      <c r="BCE24" s="147"/>
      <c r="BCF24" s="147"/>
      <c r="BCG24" s="161" t="s">
        <v>56</v>
      </c>
      <c r="BCH24" s="161"/>
      <c r="BCI24" s="161"/>
      <c r="BCJ24" s="151">
        <v>1000</v>
      </c>
      <c r="BCK24" s="152">
        <v>35</v>
      </c>
      <c r="BCL24" s="153"/>
      <c r="BCM24" s="108" t="s">
        <v>55</v>
      </c>
      <c r="BCP24" s="147"/>
      <c r="BCQ24" s="147"/>
      <c r="BCR24" s="147"/>
      <c r="BCS24" s="161" t="s">
        <v>56</v>
      </c>
      <c r="BCT24" s="161"/>
      <c r="BCU24" s="161"/>
      <c r="BCV24" s="151">
        <v>1000</v>
      </c>
      <c r="BCW24" s="152">
        <v>35</v>
      </c>
      <c r="BCX24" s="153"/>
      <c r="BCY24" s="108" t="s">
        <v>55</v>
      </c>
      <c r="BDB24" s="147"/>
      <c r="BDC24" s="147"/>
      <c r="BDD24" s="147"/>
      <c r="BDE24" s="161" t="s">
        <v>56</v>
      </c>
      <c r="BDF24" s="161"/>
      <c r="BDG24" s="161"/>
      <c r="BDH24" s="151">
        <v>1000</v>
      </c>
      <c r="BDI24" s="152">
        <v>35</v>
      </c>
      <c r="BDJ24" s="153"/>
      <c r="BDK24" s="108" t="s">
        <v>55</v>
      </c>
      <c r="BDN24" s="147"/>
      <c r="BDO24" s="147"/>
      <c r="BDP24" s="147"/>
      <c r="BDQ24" s="161" t="s">
        <v>56</v>
      </c>
      <c r="BDR24" s="161"/>
      <c r="BDS24" s="161"/>
      <c r="BDT24" s="151">
        <v>1000</v>
      </c>
      <c r="BDU24" s="152">
        <v>35</v>
      </c>
      <c r="BDV24" s="153"/>
      <c r="BDW24" s="108" t="s">
        <v>55</v>
      </c>
      <c r="BDZ24" s="147"/>
      <c r="BEA24" s="147"/>
      <c r="BEB24" s="147"/>
      <c r="BEC24" s="161" t="s">
        <v>56</v>
      </c>
      <c r="BED24" s="161"/>
      <c r="BEE24" s="161"/>
      <c r="BEF24" s="151">
        <v>1000</v>
      </c>
      <c r="BEG24" s="152">
        <v>35</v>
      </c>
      <c r="BEH24" s="153"/>
      <c r="BEI24" s="108" t="s">
        <v>55</v>
      </c>
      <c r="BEL24" s="147"/>
      <c r="BEM24" s="147"/>
      <c r="BEN24" s="147"/>
      <c r="BEO24" s="161" t="s">
        <v>56</v>
      </c>
      <c r="BEP24" s="161"/>
      <c r="BEQ24" s="161"/>
      <c r="BER24" s="151">
        <v>1000</v>
      </c>
      <c r="BES24" s="152">
        <v>35</v>
      </c>
      <c r="BET24" s="153"/>
      <c r="BEU24" s="108" t="s">
        <v>55</v>
      </c>
      <c r="BEX24" s="147"/>
      <c r="BEY24" s="147"/>
      <c r="BEZ24" s="147"/>
      <c r="BFA24" s="161" t="s">
        <v>56</v>
      </c>
      <c r="BFB24" s="161"/>
      <c r="BFC24" s="161"/>
      <c r="BFD24" s="151">
        <v>1000</v>
      </c>
      <c r="BFE24" s="152">
        <v>35</v>
      </c>
      <c r="BFF24" s="153"/>
      <c r="BFG24" s="108" t="s">
        <v>55</v>
      </c>
      <c r="BFJ24" s="147"/>
      <c r="BFK24" s="147"/>
      <c r="BFL24" s="147"/>
      <c r="BFM24" s="161" t="s">
        <v>56</v>
      </c>
      <c r="BFN24" s="161"/>
      <c r="BFO24" s="161"/>
      <c r="BFP24" s="151">
        <v>1000</v>
      </c>
      <c r="BFQ24" s="152">
        <v>35</v>
      </c>
      <c r="BFR24" s="153"/>
      <c r="BFS24" s="108" t="s">
        <v>55</v>
      </c>
      <c r="BFV24" s="147"/>
      <c r="BFW24" s="147"/>
      <c r="BFX24" s="147"/>
      <c r="BFY24" s="161" t="s">
        <v>56</v>
      </c>
      <c r="BFZ24" s="161"/>
      <c r="BGA24" s="161"/>
      <c r="BGB24" s="151">
        <v>1000</v>
      </c>
      <c r="BGC24" s="152">
        <v>35</v>
      </c>
      <c r="BGD24" s="153"/>
      <c r="BGE24" s="108" t="s">
        <v>55</v>
      </c>
      <c r="BGH24" s="147"/>
      <c r="BGI24" s="147"/>
      <c r="BGJ24" s="147"/>
      <c r="BGK24" s="161" t="s">
        <v>56</v>
      </c>
      <c r="BGL24" s="161"/>
      <c r="BGM24" s="161"/>
      <c r="BGN24" s="151">
        <v>1000</v>
      </c>
      <c r="BGO24" s="152">
        <v>35</v>
      </c>
      <c r="BGP24" s="153"/>
      <c r="BGQ24" s="108" t="s">
        <v>55</v>
      </c>
      <c r="BGT24" s="147"/>
      <c r="BGU24" s="147"/>
      <c r="BGV24" s="147"/>
      <c r="BGW24" s="161" t="s">
        <v>56</v>
      </c>
      <c r="BGX24" s="161"/>
      <c r="BGY24" s="161"/>
      <c r="BGZ24" s="151">
        <v>1000</v>
      </c>
      <c r="BHA24" s="152">
        <v>35</v>
      </c>
      <c r="BHB24" s="153"/>
      <c r="BHC24" s="108" t="s">
        <v>55</v>
      </c>
      <c r="BHF24" s="147"/>
      <c r="BHG24" s="147"/>
      <c r="BHH24" s="147"/>
      <c r="BHI24" s="161" t="s">
        <v>56</v>
      </c>
      <c r="BHJ24" s="161"/>
      <c r="BHK24" s="161"/>
      <c r="BHL24" s="151">
        <v>1000</v>
      </c>
      <c r="BHM24" s="152">
        <v>35</v>
      </c>
      <c r="BHN24" s="153"/>
      <c r="BHO24" s="108" t="s">
        <v>55</v>
      </c>
      <c r="BHR24" s="147"/>
      <c r="BHS24" s="147"/>
      <c r="BHT24" s="147"/>
      <c r="BHU24" s="161" t="s">
        <v>56</v>
      </c>
      <c r="BHV24" s="161"/>
      <c r="BHW24" s="161"/>
      <c r="BHX24" s="151">
        <v>1000</v>
      </c>
      <c r="BHY24" s="152">
        <v>35</v>
      </c>
      <c r="BHZ24" s="153"/>
      <c r="BIA24" s="108" t="s">
        <v>55</v>
      </c>
      <c r="BID24" s="147"/>
      <c r="BIE24" s="147"/>
      <c r="BIF24" s="147"/>
      <c r="BIG24" s="161" t="s">
        <v>56</v>
      </c>
      <c r="BIH24" s="161"/>
      <c r="BII24" s="161"/>
      <c r="BIJ24" s="151">
        <v>1000</v>
      </c>
      <c r="BIK24" s="152">
        <v>35</v>
      </c>
      <c r="BIL24" s="153"/>
      <c r="BIM24" s="108" t="s">
        <v>55</v>
      </c>
      <c r="BIP24" s="147"/>
      <c r="BIQ24" s="147"/>
      <c r="BIR24" s="147"/>
      <c r="BIS24" s="161" t="s">
        <v>56</v>
      </c>
      <c r="BIT24" s="161"/>
      <c r="BIU24" s="161"/>
      <c r="BIV24" s="151">
        <v>1000</v>
      </c>
      <c r="BIW24" s="152">
        <v>35</v>
      </c>
      <c r="BIX24" s="153"/>
      <c r="BIY24" s="108" t="s">
        <v>55</v>
      </c>
      <c r="BJB24" s="147"/>
      <c r="BJC24" s="147"/>
      <c r="BJD24" s="147"/>
      <c r="BJE24" s="161" t="s">
        <v>56</v>
      </c>
      <c r="BJF24" s="161"/>
      <c r="BJG24" s="161"/>
      <c r="BJH24" s="151">
        <v>1000</v>
      </c>
      <c r="BJI24" s="152">
        <v>35</v>
      </c>
      <c r="BJJ24" s="153"/>
      <c r="BJK24" s="108" t="s">
        <v>55</v>
      </c>
      <c r="BJN24" s="147"/>
      <c r="BJO24" s="147"/>
      <c r="BJP24" s="147"/>
      <c r="BJQ24" s="161" t="s">
        <v>56</v>
      </c>
      <c r="BJR24" s="161"/>
      <c r="BJS24" s="161"/>
      <c r="BJT24" s="151">
        <v>1000</v>
      </c>
      <c r="BJU24" s="152">
        <v>35</v>
      </c>
      <c r="BJV24" s="153"/>
      <c r="BJW24" s="108" t="s">
        <v>55</v>
      </c>
      <c r="BJZ24" s="147"/>
      <c r="BKA24" s="147"/>
      <c r="BKB24" s="147"/>
      <c r="BKC24" s="161" t="s">
        <v>56</v>
      </c>
      <c r="BKD24" s="161"/>
      <c r="BKE24" s="161"/>
      <c r="BKF24" s="151">
        <v>1000</v>
      </c>
      <c r="BKG24" s="152">
        <v>35</v>
      </c>
      <c r="BKH24" s="153"/>
      <c r="BKI24" s="108" t="s">
        <v>55</v>
      </c>
      <c r="BKL24" s="147"/>
      <c r="BKM24" s="147"/>
      <c r="BKN24" s="147"/>
      <c r="BKO24" s="161" t="s">
        <v>56</v>
      </c>
      <c r="BKP24" s="161"/>
      <c r="BKQ24" s="161"/>
      <c r="BKR24" s="151">
        <v>1000</v>
      </c>
      <c r="BKS24" s="152">
        <v>35</v>
      </c>
      <c r="BKT24" s="153"/>
      <c r="BKU24" s="108" t="s">
        <v>55</v>
      </c>
      <c r="BKX24" s="147"/>
      <c r="BKY24" s="147"/>
      <c r="BKZ24" s="147"/>
      <c r="BLA24" s="161" t="s">
        <v>56</v>
      </c>
      <c r="BLB24" s="161"/>
      <c r="BLC24" s="161"/>
      <c r="BLD24" s="151">
        <v>1000</v>
      </c>
      <c r="BLE24" s="152">
        <v>35</v>
      </c>
      <c r="BLF24" s="153"/>
      <c r="BLG24" s="108" t="s">
        <v>55</v>
      </c>
      <c r="BLJ24" s="147"/>
      <c r="BLK24" s="147"/>
      <c r="BLL24" s="147"/>
      <c r="BLM24" s="161" t="s">
        <v>56</v>
      </c>
      <c r="BLN24" s="161"/>
      <c r="BLO24" s="161"/>
      <c r="BLP24" s="151">
        <v>1000</v>
      </c>
      <c r="BLQ24" s="152">
        <v>35</v>
      </c>
      <c r="BLR24" s="153"/>
      <c r="BLS24" s="108" t="s">
        <v>55</v>
      </c>
      <c r="BLV24" s="147"/>
      <c r="BLW24" s="147"/>
      <c r="BLX24" s="147"/>
      <c r="BLY24" s="161" t="s">
        <v>56</v>
      </c>
      <c r="BLZ24" s="161"/>
      <c r="BMA24" s="161"/>
      <c r="BMB24" s="151">
        <v>1000</v>
      </c>
      <c r="BMC24" s="152">
        <v>35</v>
      </c>
      <c r="BMD24" s="153"/>
      <c r="BME24" s="108" t="s">
        <v>55</v>
      </c>
      <c r="BMH24" s="147"/>
      <c r="BMI24" s="147"/>
      <c r="BMJ24" s="147"/>
      <c r="BMK24" s="161" t="s">
        <v>56</v>
      </c>
      <c r="BML24" s="161"/>
      <c r="BMM24" s="161"/>
      <c r="BMN24" s="151">
        <v>1000</v>
      </c>
      <c r="BMO24" s="152">
        <v>35</v>
      </c>
      <c r="BMP24" s="153"/>
      <c r="BMQ24" s="108" t="s">
        <v>55</v>
      </c>
      <c r="BMT24" s="147"/>
      <c r="BMU24" s="147"/>
      <c r="BMV24" s="147"/>
      <c r="BMW24" s="161" t="s">
        <v>56</v>
      </c>
      <c r="BMX24" s="161"/>
      <c r="BMY24" s="161"/>
      <c r="BMZ24" s="151">
        <v>1000</v>
      </c>
      <c r="BNA24" s="152">
        <v>35</v>
      </c>
      <c r="BNB24" s="153"/>
      <c r="BNC24" s="108" t="s">
        <v>55</v>
      </c>
      <c r="BNF24" s="147"/>
      <c r="BNG24" s="147"/>
      <c r="BNH24" s="147"/>
      <c r="BNI24" s="161" t="s">
        <v>56</v>
      </c>
      <c r="BNJ24" s="161"/>
      <c r="BNK24" s="161"/>
      <c r="BNL24" s="151">
        <v>1000</v>
      </c>
      <c r="BNM24" s="152">
        <v>35</v>
      </c>
      <c r="BNN24" s="153"/>
      <c r="BNO24" s="108" t="s">
        <v>55</v>
      </c>
      <c r="BNR24" s="147"/>
      <c r="BNS24" s="147"/>
      <c r="BNT24" s="147"/>
      <c r="BNU24" s="161" t="s">
        <v>56</v>
      </c>
      <c r="BNV24" s="161"/>
      <c r="BNW24" s="161"/>
      <c r="BNX24" s="151">
        <v>1000</v>
      </c>
      <c r="BNY24" s="152">
        <v>35</v>
      </c>
      <c r="BNZ24" s="153"/>
      <c r="BOA24" s="108" t="s">
        <v>55</v>
      </c>
      <c r="BOD24" s="147"/>
      <c r="BOE24" s="147"/>
      <c r="BOF24" s="147"/>
      <c r="BOG24" s="161" t="s">
        <v>56</v>
      </c>
      <c r="BOH24" s="161"/>
      <c r="BOI24" s="161"/>
      <c r="BOJ24" s="151">
        <v>1000</v>
      </c>
      <c r="BOK24" s="152">
        <v>35</v>
      </c>
      <c r="BOL24" s="153"/>
      <c r="BOM24" s="108" t="s">
        <v>55</v>
      </c>
      <c r="BOP24" s="147"/>
      <c r="BOQ24" s="147"/>
      <c r="BOR24" s="147"/>
      <c r="BOS24" s="161" t="s">
        <v>56</v>
      </c>
      <c r="BOT24" s="161"/>
      <c r="BOU24" s="161"/>
      <c r="BOV24" s="151">
        <v>1000</v>
      </c>
      <c r="BOW24" s="152">
        <v>35</v>
      </c>
      <c r="BOX24" s="153"/>
      <c r="BOY24" s="108" t="s">
        <v>55</v>
      </c>
      <c r="BPB24" s="147"/>
      <c r="BPC24" s="147"/>
      <c r="BPD24" s="147"/>
      <c r="BPE24" s="161" t="s">
        <v>56</v>
      </c>
      <c r="BPF24" s="161"/>
      <c r="BPG24" s="161"/>
      <c r="BPH24" s="151">
        <v>1000</v>
      </c>
      <c r="BPI24" s="152">
        <v>35</v>
      </c>
      <c r="BPJ24" s="153"/>
      <c r="BPK24" s="108" t="s">
        <v>55</v>
      </c>
      <c r="BPN24" s="147"/>
      <c r="BPO24" s="147"/>
      <c r="BPP24" s="147"/>
      <c r="BPQ24" s="161" t="s">
        <v>56</v>
      </c>
      <c r="BPR24" s="161"/>
      <c r="BPS24" s="161"/>
      <c r="BPT24" s="151">
        <v>1000</v>
      </c>
      <c r="BPU24" s="152">
        <v>35</v>
      </c>
      <c r="BPV24" s="153"/>
      <c r="BPW24" s="108" t="s">
        <v>55</v>
      </c>
      <c r="BPZ24" s="147"/>
      <c r="BQA24" s="147"/>
      <c r="BQB24" s="147"/>
      <c r="BQC24" s="161" t="s">
        <v>56</v>
      </c>
      <c r="BQD24" s="161"/>
      <c r="BQE24" s="161"/>
      <c r="BQF24" s="151">
        <v>1000</v>
      </c>
      <c r="BQG24" s="152">
        <v>35</v>
      </c>
      <c r="BQH24" s="153"/>
      <c r="BQI24" s="108" t="s">
        <v>55</v>
      </c>
      <c r="BQL24" s="147"/>
      <c r="BQM24" s="147"/>
      <c r="BQN24" s="147"/>
      <c r="BQO24" s="161" t="s">
        <v>56</v>
      </c>
      <c r="BQP24" s="161"/>
      <c r="BQQ24" s="161"/>
      <c r="BQR24" s="151">
        <v>1000</v>
      </c>
      <c r="BQS24" s="152">
        <v>35</v>
      </c>
      <c r="BQT24" s="153"/>
      <c r="BQU24" s="108" t="s">
        <v>55</v>
      </c>
      <c r="BQX24" s="147"/>
      <c r="BQY24" s="147"/>
      <c r="BQZ24" s="147"/>
      <c r="BRA24" s="161" t="s">
        <v>56</v>
      </c>
      <c r="BRB24" s="161"/>
      <c r="BRC24" s="161"/>
      <c r="BRD24" s="151">
        <v>1000</v>
      </c>
      <c r="BRE24" s="152">
        <v>35</v>
      </c>
      <c r="BRF24" s="153"/>
      <c r="BRG24" s="108" t="s">
        <v>55</v>
      </c>
      <c r="BRJ24" s="147"/>
      <c r="BRK24" s="147"/>
      <c r="BRL24" s="147"/>
      <c r="BRM24" s="161" t="s">
        <v>56</v>
      </c>
      <c r="BRN24" s="161"/>
      <c r="BRO24" s="161"/>
      <c r="BRP24" s="151">
        <v>1000</v>
      </c>
      <c r="BRQ24" s="152">
        <v>35</v>
      </c>
      <c r="BRR24" s="153"/>
      <c r="BRS24" s="108" t="s">
        <v>55</v>
      </c>
      <c r="BRV24" s="147"/>
      <c r="BRW24" s="147"/>
      <c r="BRX24" s="147"/>
      <c r="BRY24" s="161" t="s">
        <v>56</v>
      </c>
      <c r="BRZ24" s="161"/>
      <c r="BSA24" s="161"/>
      <c r="BSB24" s="151">
        <v>1000</v>
      </c>
      <c r="BSC24" s="152">
        <v>35</v>
      </c>
      <c r="BSD24" s="153"/>
      <c r="BSE24" s="108" t="s">
        <v>55</v>
      </c>
      <c r="BSH24" s="147"/>
      <c r="BSI24" s="147"/>
      <c r="BSJ24" s="147"/>
      <c r="BSK24" s="161" t="s">
        <v>56</v>
      </c>
      <c r="BSL24" s="161"/>
      <c r="BSM24" s="161"/>
      <c r="BSN24" s="151">
        <v>1000</v>
      </c>
      <c r="BSO24" s="152">
        <v>35</v>
      </c>
      <c r="BSP24" s="153"/>
      <c r="BSQ24" s="108" t="s">
        <v>55</v>
      </c>
      <c r="BST24" s="147"/>
      <c r="BSU24" s="147"/>
      <c r="BSV24" s="147"/>
      <c r="BSW24" s="161" t="s">
        <v>56</v>
      </c>
      <c r="BSX24" s="161"/>
      <c r="BSY24" s="161"/>
      <c r="BSZ24" s="151">
        <v>1000</v>
      </c>
      <c r="BTA24" s="152">
        <v>35</v>
      </c>
      <c r="BTB24" s="153"/>
      <c r="BTC24" s="108" t="s">
        <v>55</v>
      </c>
      <c r="BTF24" s="147"/>
      <c r="BTG24" s="147"/>
      <c r="BTH24" s="147"/>
      <c r="BTI24" s="161" t="s">
        <v>56</v>
      </c>
      <c r="BTJ24" s="161"/>
      <c r="BTK24" s="161"/>
      <c r="BTL24" s="151">
        <v>1000</v>
      </c>
      <c r="BTM24" s="152">
        <v>35</v>
      </c>
      <c r="BTN24" s="153"/>
      <c r="BTO24" s="108" t="s">
        <v>55</v>
      </c>
      <c r="BTR24" s="147"/>
      <c r="BTS24" s="147"/>
      <c r="BTT24" s="147"/>
      <c r="BTU24" s="161" t="s">
        <v>56</v>
      </c>
      <c r="BTV24" s="161"/>
      <c r="BTW24" s="161"/>
      <c r="BTX24" s="151">
        <v>1000</v>
      </c>
      <c r="BTY24" s="152">
        <v>35</v>
      </c>
      <c r="BTZ24" s="153"/>
      <c r="BUA24" s="108" t="s">
        <v>55</v>
      </c>
      <c r="BUD24" s="147"/>
      <c r="BUE24" s="147"/>
      <c r="BUF24" s="147"/>
      <c r="BUG24" s="161" t="s">
        <v>56</v>
      </c>
      <c r="BUH24" s="161"/>
      <c r="BUI24" s="161"/>
      <c r="BUJ24" s="151">
        <v>1000</v>
      </c>
      <c r="BUK24" s="152">
        <v>35</v>
      </c>
      <c r="BUL24" s="153"/>
      <c r="BUM24" s="108" t="s">
        <v>55</v>
      </c>
      <c r="BUP24" s="147"/>
      <c r="BUQ24" s="147"/>
      <c r="BUR24" s="147"/>
      <c r="BUS24" s="161" t="s">
        <v>56</v>
      </c>
      <c r="BUT24" s="161"/>
      <c r="BUU24" s="161"/>
      <c r="BUV24" s="151">
        <v>1000</v>
      </c>
      <c r="BUW24" s="152">
        <v>35</v>
      </c>
      <c r="BUX24" s="153"/>
      <c r="BUY24" s="108" t="s">
        <v>55</v>
      </c>
      <c r="BVB24" s="147"/>
      <c r="BVC24" s="147"/>
      <c r="BVD24" s="147"/>
      <c r="BVE24" s="161" t="s">
        <v>56</v>
      </c>
      <c r="BVF24" s="161"/>
      <c r="BVG24" s="161"/>
      <c r="BVH24" s="151">
        <v>1000</v>
      </c>
      <c r="BVI24" s="152">
        <v>35</v>
      </c>
      <c r="BVJ24" s="153"/>
      <c r="BVK24" s="108" t="s">
        <v>55</v>
      </c>
      <c r="BVN24" s="147"/>
      <c r="BVO24" s="147"/>
      <c r="BVP24" s="147"/>
      <c r="BVQ24" s="161" t="s">
        <v>56</v>
      </c>
      <c r="BVR24" s="161"/>
      <c r="BVS24" s="161"/>
      <c r="BVT24" s="151">
        <v>1000</v>
      </c>
      <c r="BVU24" s="152">
        <v>35</v>
      </c>
      <c r="BVV24" s="153"/>
      <c r="BVW24" s="108" t="s">
        <v>55</v>
      </c>
      <c r="BVZ24" s="147"/>
      <c r="BWA24" s="147"/>
      <c r="BWB24" s="147"/>
      <c r="BWC24" s="161" t="s">
        <v>56</v>
      </c>
      <c r="BWD24" s="161"/>
      <c r="BWE24" s="161"/>
      <c r="BWF24" s="151">
        <v>1000</v>
      </c>
      <c r="BWG24" s="152">
        <v>35</v>
      </c>
      <c r="BWH24" s="153"/>
      <c r="BWI24" s="108" t="s">
        <v>55</v>
      </c>
      <c r="BWL24" s="147"/>
      <c r="BWM24" s="147"/>
      <c r="BWN24" s="147"/>
      <c r="BWO24" s="161" t="s">
        <v>56</v>
      </c>
      <c r="BWP24" s="161"/>
      <c r="BWQ24" s="161"/>
      <c r="BWR24" s="151">
        <v>1000</v>
      </c>
      <c r="BWS24" s="152">
        <v>35</v>
      </c>
      <c r="BWT24" s="153"/>
      <c r="BWU24" s="108" t="s">
        <v>55</v>
      </c>
      <c r="BWX24" s="147"/>
      <c r="BWY24" s="147"/>
      <c r="BWZ24" s="147"/>
      <c r="BXA24" s="161" t="s">
        <v>56</v>
      </c>
      <c r="BXB24" s="161"/>
      <c r="BXC24" s="161"/>
      <c r="BXD24" s="151">
        <v>1000</v>
      </c>
      <c r="BXE24" s="152">
        <v>35</v>
      </c>
      <c r="BXF24" s="153"/>
      <c r="BXG24" s="108" t="s">
        <v>55</v>
      </c>
      <c r="BXJ24" s="147"/>
      <c r="BXK24" s="147"/>
      <c r="BXL24" s="147"/>
      <c r="BXM24" s="161" t="s">
        <v>56</v>
      </c>
      <c r="BXN24" s="161"/>
      <c r="BXO24" s="161"/>
      <c r="BXP24" s="151">
        <v>1000</v>
      </c>
      <c r="BXQ24" s="152">
        <v>35</v>
      </c>
      <c r="BXR24" s="153"/>
      <c r="BXS24" s="108" t="s">
        <v>55</v>
      </c>
      <c r="BXV24" s="147"/>
      <c r="BXW24" s="147"/>
      <c r="BXX24" s="147"/>
      <c r="BXY24" s="161" t="s">
        <v>56</v>
      </c>
      <c r="BXZ24" s="161"/>
      <c r="BYA24" s="161"/>
      <c r="BYB24" s="151">
        <v>1000</v>
      </c>
      <c r="BYC24" s="152">
        <v>35</v>
      </c>
      <c r="BYD24" s="153"/>
      <c r="BYE24" s="108" t="s">
        <v>55</v>
      </c>
      <c r="BYH24" s="147"/>
      <c r="BYI24" s="147"/>
      <c r="BYJ24" s="147"/>
      <c r="BYK24" s="161" t="s">
        <v>56</v>
      </c>
      <c r="BYL24" s="161"/>
      <c r="BYM24" s="161"/>
      <c r="BYN24" s="151">
        <v>1000</v>
      </c>
      <c r="BYO24" s="152">
        <v>35</v>
      </c>
      <c r="BYP24" s="153"/>
      <c r="BYQ24" s="108" t="s">
        <v>55</v>
      </c>
      <c r="BYT24" s="147"/>
      <c r="BYU24" s="147"/>
      <c r="BYV24" s="147"/>
      <c r="BYW24" s="161" t="s">
        <v>56</v>
      </c>
      <c r="BYX24" s="161"/>
      <c r="BYY24" s="161"/>
      <c r="BYZ24" s="151">
        <v>1000</v>
      </c>
      <c r="BZA24" s="152">
        <v>35</v>
      </c>
      <c r="BZB24" s="153"/>
      <c r="BZC24" s="108" t="s">
        <v>55</v>
      </c>
      <c r="BZF24" s="147"/>
      <c r="BZG24" s="147"/>
      <c r="BZH24" s="147"/>
      <c r="BZI24" s="161" t="s">
        <v>56</v>
      </c>
      <c r="BZJ24" s="161"/>
      <c r="BZK24" s="161"/>
      <c r="BZL24" s="151">
        <v>1000</v>
      </c>
      <c r="BZM24" s="152">
        <v>35</v>
      </c>
      <c r="BZN24" s="153"/>
      <c r="BZO24" s="108" t="s">
        <v>55</v>
      </c>
      <c r="BZR24" s="147"/>
      <c r="BZS24" s="147"/>
      <c r="BZT24" s="147"/>
      <c r="BZU24" s="161" t="s">
        <v>56</v>
      </c>
      <c r="BZV24" s="161"/>
      <c r="BZW24" s="161"/>
      <c r="BZX24" s="151">
        <v>1000</v>
      </c>
      <c r="BZY24" s="152">
        <v>35</v>
      </c>
      <c r="BZZ24" s="153"/>
      <c r="CAA24" s="108" t="s">
        <v>55</v>
      </c>
      <c r="CAD24" s="147"/>
      <c r="CAE24" s="147"/>
      <c r="CAF24" s="147"/>
      <c r="CAG24" s="161" t="s">
        <v>56</v>
      </c>
      <c r="CAH24" s="161"/>
      <c r="CAI24" s="161"/>
      <c r="CAJ24" s="151">
        <v>1000</v>
      </c>
      <c r="CAK24" s="152">
        <v>35</v>
      </c>
      <c r="CAL24" s="153"/>
      <c r="CAM24" s="108" t="s">
        <v>55</v>
      </c>
      <c r="CAP24" s="147"/>
      <c r="CAQ24" s="147"/>
      <c r="CAR24" s="147"/>
      <c r="CAS24" s="161" t="s">
        <v>56</v>
      </c>
      <c r="CAT24" s="161"/>
      <c r="CAU24" s="161"/>
      <c r="CAV24" s="151">
        <v>1000</v>
      </c>
      <c r="CAW24" s="152">
        <v>35</v>
      </c>
      <c r="CAX24" s="153"/>
      <c r="CAY24" s="108" t="s">
        <v>55</v>
      </c>
      <c r="CBB24" s="147"/>
      <c r="CBC24" s="147"/>
      <c r="CBD24" s="147"/>
      <c r="CBE24" s="161" t="s">
        <v>56</v>
      </c>
      <c r="CBF24" s="161"/>
      <c r="CBG24" s="161"/>
      <c r="CBH24" s="151">
        <v>1000</v>
      </c>
      <c r="CBI24" s="152">
        <v>35</v>
      </c>
      <c r="CBJ24" s="153"/>
      <c r="CBK24" s="108" t="s">
        <v>55</v>
      </c>
      <c r="CBN24" s="147"/>
      <c r="CBO24" s="147"/>
      <c r="CBP24" s="147"/>
      <c r="CBQ24" s="161" t="s">
        <v>56</v>
      </c>
      <c r="CBR24" s="161"/>
      <c r="CBS24" s="161"/>
      <c r="CBT24" s="151">
        <v>1000</v>
      </c>
      <c r="CBU24" s="152">
        <v>35</v>
      </c>
      <c r="CBV24" s="153"/>
      <c r="CBW24" s="108" t="s">
        <v>55</v>
      </c>
      <c r="CBZ24" s="147"/>
      <c r="CCA24" s="147"/>
      <c r="CCB24" s="147"/>
      <c r="CCC24" s="161" t="s">
        <v>56</v>
      </c>
      <c r="CCD24" s="161"/>
      <c r="CCE24" s="161"/>
      <c r="CCF24" s="151">
        <v>1000</v>
      </c>
      <c r="CCG24" s="152">
        <v>35</v>
      </c>
      <c r="CCH24" s="153"/>
      <c r="CCI24" s="108" t="s">
        <v>55</v>
      </c>
      <c r="CCL24" s="147"/>
      <c r="CCM24" s="147"/>
      <c r="CCN24" s="147"/>
      <c r="CCO24" s="161" t="s">
        <v>56</v>
      </c>
      <c r="CCP24" s="161"/>
      <c r="CCQ24" s="161"/>
      <c r="CCR24" s="151">
        <v>1000</v>
      </c>
      <c r="CCS24" s="152">
        <v>35</v>
      </c>
      <c r="CCT24" s="153"/>
      <c r="CCU24" s="108" t="s">
        <v>55</v>
      </c>
      <c r="CCX24" s="147"/>
      <c r="CCY24" s="147"/>
      <c r="CCZ24" s="147"/>
      <c r="CDA24" s="161" t="s">
        <v>56</v>
      </c>
      <c r="CDB24" s="161"/>
      <c r="CDC24" s="161"/>
      <c r="CDD24" s="151">
        <v>1000</v>
      </c>
      <c r="CDE24" s="152">
        <v>35</v>
      </c>
      <c r="CDF24" s="153"/>
      <c r="CDG24" s="108" t="s">
        <v>55</v>
      </c>
      <c r="CDJ24" s="147"/>
      <c r="CDK24" s="147"/>
      <c r="CDL24" s="147"/>
      <c r="CDM24" s="161" t="s">
        <v>56</v>
      </c>
      <c r="CDN24" s="161"/>
      <c r="CDO24" s="161"/>
      <c r="CDP24" s="151">
        <v>1000</v>
      </c>
      <c r="CDQ24" s="152">
        <v>35</v>
      </c>
      <c r="CDR24" s="153"/>
      <c r="CDS24" s="108" t="s">
        <v>55</v>
      </c>
      <c r="CDV24" s="147"/>
      <c r="CDW24" s="147"/>
      <c r="CDX24" s="147"/>
      <c r="CDY24" s="161" t="s">
        <v>56</v>
      </c>
      <c r="CDZ24" s="161"/>
      <c r="CEA24" s="161"/>
      <c r="CEB24" s="151">
        <v>1000</v>
      </c>
      <c r="CEC24" s="152">
        <v>35</v>
      </c>
      <c r="CED24" s="153"/>
      <c r="CEE24" s="108" t="s">
        <v>55</v>
      </c>
      <c r="CEH24" s="147"/>
      <c r="CEI24" s="147"/>
      <c r="CEJ24" s="147"/>
      <c r="CEK24" s="161" t="s">
        <v>56</v>
      </c>
      <c r="CEL24" s="161"/>
      <c r="CEM24" s="161"/>
      <c r="CEN24" s="151">
        <v>1000</v>
      </c>
      <c r="CEO24" s="152">
        <v>35</v>
      </c>
      <c r="CEP24" s="153"/>
      <c r="CEQ24" s="108" t="s">
        <v>55</v>
      </c>
      <c r="CET24" s="147"/>
      <c r="CEU24" s="147"/>
      <c r="CEV24" s="147"/>
      <c r="CEW24" s="161" t="s">
        <v>56</v>
      </c>
      <c r="CEX24" s="161"/>
      <c r="CEY24" s="161"/>
      <c r="CEZ24" s="151">
        <v>1000</v>
      </c>
      <c r="CFA24" s="152">
        <v>35</v>
      </c>
      <c r="CFB24" s="153"/>
      <c r="CFC24" s="108" t="s">
        <v>55</v>
      </c>
      <c r="CFF24" s="147"/>
      <c r="CFG24" s="147"/>
      <c r="CFH24" s="147"/>
      <c r="CFI24" s="161" t="s">
        <v>56</v>
      </c>
      <c r="CFJ24" s="161"/>
      <c r="CFK24" s="161"/>
      <c r="CFL24" s="151">
        <v>1000</v>
      </c>
      <c r="CFM24" s="152">
        <v>35</v>
      </c>
      <c r="CFN24" s="153"/>
      <c r="CFO24" s="108" t="s">
        <v>55</v>
      </c>
      <c r="CFR24" s="147"/>
      <c r="CFS24" s="147"/>
      <c r="CFT24" s="147"/>
      <c r="CFU24" s="161" t="s">
        <v>56</v>
      </c>
      <c r="CFV24" s="161"/>
      <c r="CFW24" s="161"/>
      <c r="CFX24" s="151">
        <v>1000</v>
      </c>
      <c r="CFY24" s="152">
        <v>35</v>
      </c>
      <c r="CFZ24" s="153"/>
      <c r="CGA24" s="108" t="s">
        <v>55</v>
      </c>
      <c r="CGD24" s="147"/>
      <c r="CGE24" s="147"/>
      <c r="CGF24" s="147"/>
      <c r="CGG24" s="161" t="s">
        <v>56</v>
      </c>
      <c r="CGH24" s="161"/>
      <c r="CGI24" s="161"/>
      <c r="CGJ24" s="151">
        <v>1000</v>
      </c>
      <c r="CGK24" s="152">
        <v>35</v>
      </c>
      <c r="CGL24" s="153"/>
      <c r="CGM24" s="108" t="s">
        <v>55</v>
      </c>
      <c r="CGP24" s="147"/>
      <c r="CGQ24" s="147"/>
      <c r="CGR24" s="147"/>
      <c r="CGS24" s="161" t="s">
        <v>56</v>
      </c>
      <c r="CGT24" s="161"/>
      <c r="CGU24" s="161"/>
      <c r="CGV24" s="151">
        <v>1000</v>
      </c>
      <c r="CGW24" s="152">
        <v>35</v>
      </c>
      <c r="CGX24" s="153"/>
      <c r="CGY24" s="108" t="s">
        <v>55</v>
      </c>
      <c r="CHB24" s="147"/>
      <c r="CHC24" s="147"/>
      <c r="CHD24" s="147"/>
      <c r="CHE24" s="161" t="s">
        <v>56</v>
      </c>
      <c r="CHF24" s="161"/>
      <c r="CHG24" s="161"/>
      <c r="CHH24" s="151">
        <v>1000</v>
      </c>
      <c r="CHI24" s="152">
        <v>35</v>
      </c>
      <c r="CHJ24" s="153"/>
      <c r="CHK24" s="108" t="s">
        <v>55</v>
      </c>
      <c r="CHN24" s="147"/>
      <c r="CHO24" s="147"/>
      <c r="CHP24" s="147"/>
      <c r="CHQ24" s="161" t="s">
        <v>56</v>
      </c>
      <c r="CHR24" s="161"/>
      <c r="CHS24" s="161"/>
      <c r="CHT24" s="151">
        <v>1000</v>
      </c>
      <c r="CHU24" s="152">
        <v>35</v>
      </c>
      <c r="CHV24" s="153"/>
      <c r="CHW24" s="108" t="s">
        <v>55</v>
      </c>
      <c r="CHZ24" s="147"/>
      <c r="CIA24" s="147"/>
      <c r="CIB24" s="147"/>
      <c r="CIC24" s="161" t="s">
        <v>56</v>
      </c>
      <c r="CID24" s="161"/>
      <c r="CIE24" s="161"/>
      <c r="CIF24" s="151">
        <v>1000</v>
      </c>
      <c r="CIG24" s="152">
        <v>35</v>
      </c>
      <c r="CIH24" s="153"/>
      <c r="CII24" s="108" t="s">
        <v>55</v>
      </c>
      <c r="CIL24" s="147"/>
      <c r="CIM24" s="147"/>
      <c r="CIN24" s="147"/>
      <c r="CIO24" s="161" t="s">
        <v>56</v>
      </c>
      <c r="CIP24" s="161"/>
      <c r="CIQ24" s="161"/>
      <c r="CIR24" s="151">
        <v>1000</v>
      </c>
      <c r="CIS24" s="152">
        <v>35</v>
      </c>
      <c r="CIT24" s="153"/>
      <c r="CIU24" s="108" t="s">
        <v>55</v>
      </c>
      <c r="CIX24" s="147"/>
      <c r="CIY24" s="147"/>
      <c r="CIZ24" s="147"/>
      <c r="CJA24" s="161" t="s">
        <v>56</v>
      </c>
      <c r="CJB24" s="161"/>
      <c r="CJC24" s="161"/>
      <c r="CJD24" s="151">
        <v>1000</v>
      </c>
      <c r="CJE24" s="152">
        <v>35</v>
      </c>
      <c r="CJF24" s="153"/>
      <c r="CJG24" s="108" t="s">
        <v>55</v>
      </c>
      <c r="CJJ24" s="147"/>
      <c r="CJK24" s="147"/>
      <c r="CJL24" s="147"/>
      <c r="CJM24" s="161" t="s">
        <v>56</v>
      </c>
      <c r="CJN24" s="161"/>
      <c r="CJO24" s="161"/>
      <c r="CJP24" s="151">
        <v>1000</v>
      </c>
      <c r="CJQ24" s="152">
        <v>35</v>
      </c>
      <c r="CJR24" s="153"/>
      <c r="CJS24" s="108" t="s">
        <v>55</v>
      </c>
      <c r="CJV24" s="147"/>
      <c r="CJW24" s="147"/>
      <c r="CJX24" s="147"/>
      <c r="CJY24" s="161" t="s">
        <v>56</v>
      </c>
      <c r="CJZ24" s="161"/>
      <c r="CKA24" s="161"/>
      <c r="CKB24" s="151">
        <v>1000</v>
      </c>
      <c r="CKC24" s="152">
        <v>35</v>
      </c>
      <c r="CKD24" s="153"/>
      <c r="CKE24" s="108" t="s">
        <v>55</v>
      </c>
      <c r="CKH24" s="147"/>
      <c r="CKI24" s="147"/>
      <c r="CKJ24" s="147"/>
      <c r="CKK24" s="161" t="s">
        <v>56</v>
      </c>
      <c r="CKL24" s="161"/>
      <c r="CKM24" s="161"/>
      <c r="CKN24" s="151">
        <v>1000</v>
      </c>
      <c r="CKO24" s="152">
        <v>35</v>
      </c>
      <c r="CKP24" s="153"/>
      <c r="CKQ24" s="108" t="s">
        <v>55</v>
      </c>
      <c r="CKT24" s="147"/>
      <c r="CKU24" s="147"/>
      <c r="CKV24" s="147"/>
      <c r="CKW24" s="161" t="s">
        <v>56</v>
      </c>
      <c r="CKX24" s="161"/>
      <c r="CKY24" s="161"/>
      <c r="CKZ24" s="151">
        <v>1000</v>
      </c>
      <c r="CLA24" s="152">
        <v>35</v>
      </c>
      <c r="CLB24" s="153"/>
      <c r="CLC24" s="108" t="s">
        <v>55</v>
      </c>
      <c r="CLF24" s="147"/>
      <c r="CLG24" s="147"/>
      <c r="CLH24" s="147"/>
      <c r="CLI24" s="161" t="s">
        <v>56</v>
      </c>
      <c r="CLJ24" s="161"/>
      <c r="CLK24" s="161"/>
      <c r="CLL24" s="151">
        <v>1000</v>
      </c>
      <c r="CLM24" s="152">
        <v>35</v>
      </c>
      <c r="CLN24" s="153"/>
      <c r="CLO24" s="108" t="s">
        <v>55</v>
      </c>
      <c r="CLR24" s="147"/>
      <c r="CLS24" s="147"/>
      <c r="CLT24" s="147"/>
      <c r="CLU24" s="161" t="s">
        <v>56</v>
      </c>
      <c r="CLV24" s="161"/>
      <c r="CLW24" s="161"/>
      <c r="CLX24" s="151">
        <v>1000</v>
      </c>
      <c r="CLY24" s="152">
        <v>35</v>
      </c>
      <c r="CLZ24" s="153"/>
      <c r="CMA24" s="108" t="s">
        <v>55</v>
      </c>
      <c r="CMD24" s="147"/>
      <c r="CME24" s="147"/>
      <c r="CMF24" s="147"/>
      <c r="CMG24" s="161" t="s">
        <v>56</v>
      </c>
      <c r="CMH24" s="161"/>
      <c r="CMI24" s="161"/>
      <c r="CMJ24" s="151">
        <v>1000</v>
      </c>
      <c r="CMK24" s="152">
        <v>35</v>
      </c>
      <c r="CML24" s="153"/>
      <c r="CMM24" s="108" t="s">
        <v>55</v>
      </c>
      <c r="CMP24" s="147"/>
      <c r="CMQ24" s="147"/>
      <c r="CMR24" s="147"/>
      <c r="CMS24" s="161" t="s">
        <v>56</v>
      </c>
      <c r="CMT24" s="161"/>
      <c r="CMU24" s="161"/>
      <c r="CMV24" s="151">
        <v>1000</v>
      </c>
      <c r="CMW24" s="152">
        <v>35</v>
      </c>
      <c r="CMX24" s="153"/>
      <c r="CMY24" s="108" t="s">
        <v>55</v>
      </c>
      <c r="CNB24" s="147"/>
      <c r="CNC24" s="147"/>
      <c r="CND24" s="147"/>
      <c r="CNE24" s="161" t="s">
        <v>56</v>
      </c>
      <c r="CNF24" s="161"/>
      <c r="CNG24" s="161"/>
      <c r="CNH24" s="151">
        <v>1000</v>
      </c>
      <c r="CNI24" s="152">
        <v>35</v>
      </c>
      <c r="CNJ24" s="153"/>
      <c r="CNK24" s="108" t="s">
        <v>55</v>
      </c>
      <c r="CNN24" s="147"/>
      <c r="CNO24" s="147"/>
      <c r="CNP24" s="147"/>
      <c r="CNQ24" s="161" t="s">
        <v>56</v>
      </c>
      <c r="CNR24" s="161"/>
      <c r="CNS24" s="161"/>
      <c r="CNT24" s="151">
        <v>1000</v>
      </c>
      <c r="CNU24" s="152">
        <v>35</v>
      </c>
      <c r="CNV24" s="153"/>
      <c r="CNW24" s="108" t="s">
        <v>55</v>
      </c>
      <c r="CNZ24" s="147"/>
      <c r="COA24" s="147"/>
      <c r="COB24" s="147"/>
      <c r="COC24" s="161" t="s">
        <v>56</v>
      </c>
      <c r="COD24" s="161"/>
      <c r="COE24" s="161"/>
      <c r="COF24" s="151">
        <v>1000</v>
      </c>
      <c r="COG24" s="152">
        <v>35</v>
      </c>
      <c r="COH24" s="153"/>
      <c r="COI24" s="108" t="s">
        <v>55</v>
      </c>
      <c r="COL24" s="147"/>
      <c r="COM24" s="147"/>
      <c r="CON24" s="147"/>
      <c r="COO24" s="161" t="s">
        <v>56</v>
      </c>
      <c r="COP24" s="161"/>
      <c r="COQ24" s="161"/>
      <c r="COR24" s="151">
        <v>1000</v>
      </c>
      <c r="COS24" s="152">
        <v>35</v>
      </c>
      <c r="COT24" s="153"/>
      <c r="COU24" s="108" t="s">
        <v>55</v>
      </c>
      <c r="COX24" s="147"/>
      <c r="COY24" s="147"/>
      <c r="COZ24" s="147"/>
      <c r="CPA24" s="161" t="s">
        <v>56</v>
      </c>
      <c r="CPB24" s="161"/>
      <c r="CPC24" s="161"/>
      <c r="CPD24" s="151">
        <v>1000</v>
      </c>
      <c r="CPE24" s="152">
        <v>35</v>
      </c>
      <c r="CPF24" s="153"/>
      <c r="CPG24" s="108" t="s">
        <v>55</v>
      </c>
      <c r="CPJ24" s="147"/>
      <c r="CPK24" s="147"/>
      <c r="CPL24" s="147"/>
      <c r="CPM24" s="161" t="s">
        <v>56</v>
      </c>
      <c r="CPN24" s="161"/>
      <c r="CPO24" s="161"/>
      <c r="CPP24" s="151">
        <v>1000</v>
      </c>
      <c r="CPQ24" s="152">
        <v>35</v>
      </c>
      <c r="CPR24" s="153"/>
      <c r="CPS24" s="108" t="s">
        <v>55</v>
      </c>
      <c r="CPV24" s="147"/>
      <c r="CPW24" s="147"/>
      <c r="CPX24" s="147"/>
      <c r="CPY24" s="161" t="s">
        <v>56</v>
      </c>
      <c r="CPZ24" s="161"/>
      <c r="CQA24" s="161"/>
      <c r="CQB24" s="151">
        <v>1000</v>
      </c>
      <c r="CQC24" s="152">
        <v>35</v>
      </c>
      <c r="CQD24" s="153"/>
      <c r="CQE24" s="108" t="s">
        <v>55</v>
      </c>
      <c r="CQH24" s="147"/>
      <c r="CQI24" s="147"/>
      <c r="CQJ24" s="147"/>
      <c r="CQK24" s="161" t="s">
        <v>56</v>
      </c>
      <c r="CQL24" s="161"/>
      <c r="CQM24" s="161"/>
      <c r="CQN24" s="151">
        <v>1000</v>
      </c>
      <c r="CQO24" s="152">
        <v>35</v>
      </c>
      <c r="CQP24" s="153"/>
      <c r="CQQ24" s="108" t="s">
        <v>55</v>
      </c>
      <c r="CQT24" s="147"/>
      <c r="CQU24" s="147"/>
      <c r="CQV24" s="147"/>
      <c r="CQW24" s="161" t="s">
        <v>56</v>
      </c>
      <c r="CQX24" s="161"/>
      <c r="CQY24" s="161"/>
      <c r="CQZ24" s="151">
        <v>1000</v>
      </c>
      <c r="CRA24" s="152">
        <v>35</v>
      </c>
      <c r="CRB24" s="153"/>
      <c r="CRC24" s="108" t="s">
        <v>55</v>
      </c>
      <c r="CRF24" s="147"/>
      <c r="CRG24" s="147"/>
      <c r="CRH24" s="147"/>
      <c r="CRI24" s="161" t="s">
        <v>56</v>
      </c>
      <c r="CRJ24" s="161"/>
      <c r="CRK24" s="161"/>
      <c r="CRL24" s="151">
        <v>1000</v>
      </c>
      <c r="CRM24" s="152">
        <v>35</v>
      </c>
      <c r="CRN24" s="153"/>
      <c r="CRO24" s="108" t="s">
        <v>55</v>
      </c>
      <c r="CRR24" s="147"/>
      <c r="CRS24" s="147"/>
      <c r="CRT24" s="147"/>
      <c r="CRU24" s="161" t="s">
        <v>56</v>
      </c>
      <c r="CRV24" s="161"/>
      <c r="CRW24" s="161"/>
      <c r="CRX24" s="151">
        <v>1000</v>
      </c>
      <c r="CRY24" s="152">
        <v>35</v>
      </c>
      <c r="CRZ24" s="153"/>
      <c r="CSA24" s="108" t="s">
        <v>55</v>
      </c>
      <c r="CSD24" s="147"/>
      <c r="CSE24" s="147"/>
      <c r="CSF24" s="147"/>
      <c r="CSG24" s="161" t="s">
        <v>56</v>
      </c>
      <c r="CSH24" s="161"/>
      <c r="CSI24" s="161"/>
      <c r="CSJ24" s="151">
        <v>1000</v>
      </c>
      <c r="CSK24" s="152">
        <v>35</v>
      </c>
      <c r="CSL24" s="153"/>
      <c r="CSM24" s="108" t="s">
        <v>55</v>
      </c>
      <c r="CSP24" s="147"/>
      <c r="CSQ24" s="147"/>
      <c r="CSR24" s="147"/>
      <c r="CSS24" s="161" t="s">
        <v>56</v>
      </c>
      <c r="CST24" s="161"/>
      <c r="CSU24" s="161"/>
      <c r="CSV24" s="151">
        <v>1000</v>
      </c>
      <c r="CSW24" s="152">
        <v>35</v>
      </c>
      <c r="CSX24" s="153"/>
      <c r="CSY24" s="108" t="s">
        <v>55</v>
      </c>
      <c r="CTB24" s="147"/>
      <c r="CTC24" s="147"/>
      <c r="CTD24" s="147"/>
      <c r="CTE24" s="161" t="s">
        <v>56</v>
      </c>
      <c r="CTF24" s="161"/>
      <c r="CTG24" s="161"/>
      <c r="CTH24" s="151">
        <v>1000</v>
      </c>
      <c r="CTI24" s="152">
        <v>35</v>
      </c>
      <c r="CTJ24" s="153"/>
      <c r="CTK24" s="108" t="s">
        <v>55</v>
      </c>
      <c r="CTN24" s="147"/>
      <c r="CTO24" s="147"/>
      <c r="CTP24" s="147"/>
      <c r="CTQ24" s="161" t="s">
        <v>56</v>
      </c>
      <c r="CTR24" s="161"/>
      <c r="CTS24" s="161"/>
      <c r="CTT24" s="151">
        <v>1000</v>
      </c>
      <c r="CTU24" s="152">
        <v>35</v>
      </c>
      <c r="CTV24" s="153"/>
      <c r="CTW24" s="108" t="s">
        <v>55</v>
      </c>
      <c r="CTZ24" s="147"/>
      <c r="CUA24" s="147"/>
      <c r="CUB24" s="147"/>
      <c r="CUC24" s="161" t="s">
        <v>56</v>
      </c>
      <c r="CUD24" s="161"/>
      <c r="CUE24" s="161"/>
      <c r="CUF24" s="151">
        <v>1000</v>
      </c>
      <c r="CUG24" s="152">
        <v>35</v>
      </c>
      <c r="CUH24" s="153"/>
      <c r="CUI24" s="108" t="s">
        <v>55</v>
      </c>
      <c r="CUL24" s="147"/>
      <c r="CUM24" s="147"/>
      <c r="CUN24" s="147"/>
      <c r="CUO24" s="161" t="s">
        <v>56</v>
      </c>
      <c r="CUP24" s="161"/>
      <c r="CUQ24" s="161"/>
      <c r="CUR24" s="151">
        <v>1000</v>
      </c>
      <c r="CUS24" s="152">
        <v>35</v>
      </c>
      <c r="CUT24" s="153"/>
      <c r="CUU24" s="108" t="s">
        <v>55</v>
      </c>
      <c r="CUX24" s="147"/>
      <c r="CUY24" s="147"/>
      <c r="CUZ24" s="147"/>
      <c r="CVA24" s="161" t="s">
        <v>56</v>
      </c>
      <c r="CVB24" s="161"/>
      <c r="CVC24" s="161"/>
      <c r="CVD24" s="151">
        <v>1000</v>
      </c>
      <c r="CVE24" s="152">
        <v>35</v>
      </c>
      <c r="CVF24" s="153"/>
      <c r="CVG24" s="108" t="s">
        <v>55</v>
      </c>
      <c r="CVJ24" s="147"/>
      <c r="CVK24" s="147"/>
      <c r="CVL24" s="147"/>
      <c r="CVM24" s="161" t="s">
        <v>56</v>
      </c>
      <c r="CVN24" s="161"/>
      <c r="CVO24" s="161"/>
      <c r="CVP24" s="151">
        <v>1000</v>
      </c>
      <c r="CVQ24" s="152">
        <v>35</v>
      </c>
      <c r="CVR24" s="153"/>
      <c r="CVS24" s="108" t="s">
        <v>55</v>
      </c>
      <c r="CVV24" s="147"/>
      <c r="CVW24" s="147"/>
      <c r="CVX24" s="147"/>
      <c r="CVY24" s="161" t="s">
        <v>56</v>
      </c>
      <c r="CVZ24" s="161"/>
      <c r="CWA24" s="161"/>
      <c r="CWB24" s="151">
        <v>1000</v>
      </c>
      <c r="CWC24" s="152">
        <v>35</v>
      </c>
      <c r="CWD24" s="153"/>
      <c r="CWE24" s="108" t="s">
        <v>55</v>
      </c>
    </row>
    <row r="25" spans="1:1023 1026:2631" x14ac:dyDescent="0.25">
      <c r="H25" s="154"/>
      <c r="I25" s="155"/>
      <c r="J25" s="156"/>
      <c r="K25" s="162"/>
      <c r="L25" s="163"/>
      <c r="V25" s="154"/>
      <c r="W25" s="155"/>
      <c r="X25" s="156"/>
      <c r="Y25" s="162"/>
      <c r="Z25" s="163"/>
      <c r="AJ25" s="154"/>
      <c r="AK25" s="155"/>
      <c r="AL25" s="156"/>
      <c r="AM25" s="162"/>
      <c r="AN25" s="163"/>
      <c r="AX25" s="154"/>
      <c r="AY25" s="155"/>
      <c r="AZ25" s="156"/>
      <c r="BA25" s="162"/>
      <c r="BB25" s="163"/>
      <c r="BL25" s="154"/>
      <c r="BM25" s="155"/>
      <c r="BN25" s="156"/>
      <c r="BO25" s="162"/>
      <c r="BP25" s="163"/>
      <c r="BZ25" s="154"/>
      <c r="CA25" s="155"/>
      <c r="CB25" s="156"/>
      <c r="CC25" s="162"/>
      <c r="CD25" s="163"/>
      <c r="CN25" s="154"/>
      <c r="CO25" s="155"/>
      <c r="CP25" s="156"/>
      <c r="CQ25" s="162"/>
      <c r="CR25" s="163"/>
      <c r="DB25" s="154"/>
      <c r="DC25" s="155"/>
      <c r="DD25" s="156"/>
      <c r="DE25" s="162"/>
      <c r="DF25" s="163"/>
      <c r="DP25" s="154"/>
      <c r="DQ25" s="155"/>
      <c r="DR25" s="156"/>
      <c r="DS25" s="162"/>
      <c r="DT25" s="163"/>
      <c r="ED25" s="154"/>
      <c r="EE25" s="155"/>
      <c r="EF25" s="156"/>
      <c r="EG25" s="162"/>
      <c r="EH25" s="163"/>
      <c r="ER25" s="154"/>
      <c r="ES25" s="155"/>
      <c r="ET25" s="156"/>
      <c r="EU25" s="162"/>
      <c r="EV25" s="163"/>
      <c r="FF25" s="154"/>
      <c r="FG25" s="155"/>
      <c r="FH25" s="156"/>
      <c r="FI25" s="162"/>
      <c r="FJ25" s="163"/>
      <c r="FT25" s="154"/>
      <c r="FU25" s="155"/>
      <c r="FV25" s="156"/>
      <c r="FW25" s="162"/>
      <c r="FX25" s="163"/>
      <c r="GH25" s="154"/>
      <c r="GI25" s="155"/>
      <c r="GJ25" s="156"/>
      <c r="GK25" s="162"/>
      <c r="GL25" s="163"/>
      <c r="GV25" s="154"/>
      <c r="GW25" s="155"/>
      <c r="GX25" s="156"/>
      <c r="GY25" s="162"/>
      <c r="GZ25" s="163"/>
      <c r="HJ25" s="154"/>
      <c r="HK25" s="155"/>
      <c r="HL25" s="156"/>
      <c r="HM25" s="162"/>
      <c r="HN25" s="163"/>
      <c r="HX25" s="154"/>
      <c r="HY25" s="155"/>
      <c r="HZ25" s="156"/>
      <c r="IA25" s="162"/>
      <c r="IB25" s="163"/>
      <c r="IL25" s="154"/>
      <c r="IM25" s="155"/>
      <c r="IN25" s="156"/>
      <c r="IO25" s="162"/>
      <c r="IP25" s="163"/>
      <c r="IZ25" s="154"/>
      <c r="JA25" s="155"/>
      <c r="JB25" s="156"/>
      <c r="JC25" s="162"/>
      <c r="JD25" s="163"/>
      <c r="JN25" s="154"/>
      <c r="JO25" s="155"/>
      <c r="JP25" s="156"/>
      <c r="JQ25" s="162"/>
      <c r="JR25" s="163"/>
      <c r="KB25" s="154"/>
      <c r="KC25" s="155"/>
      <c r="KD25" s="156"/>
      <c r="KE25" s="162"/>
      <c r="KF25" s="163"/>
      <c r="KP25" s="154"/>
      <c r="KQ25" s="155"/>
      <c r="KR25" s="156"/>
      <c r="KS25" s="162"/>
      <c r="KT25" s="163"/>
      <c r="LD25" s="154"/>
      <c r="LE25" s="155"/>
      <c r="LF25" s="156"/>
      <c r="LG25" s="162"/>
      <c r="LH25" s="163"/>
      <c r="LR25" s="154"/>
      <c r="LS25" s="155"/>
      <c r="LT25" s="156"/>
      <c r="LU25" s="162"/>
      <c r="LV25" s="163"/>
      <c r="MF25" s="154"/>
      <c r="MG25" s="155"/>
      <c r="MH25" s="156"/>
      <c r="MI25" s="162"/>
      <c r="MJ25" s="163"/>
      <c r="MT25" s="154"/>
      <c r="MU25" s="155"/>
      <c r="MV25" s="156"/>
      <c r="MW25" s="162"/>
      <c r="MX25" s="163"/>
      <c r="NH25" s="154"/>
      <c r="NI25" s="155"/>
      <c r="NJ25" s="156"/>
      <c r="NK25" s="162"/>
      <c r="NL25" s="163"/>
      <c r="NV25" s="154"/>
      <c r="NW25" s="155"/>
      <c r="NX25" s="156"/>
      <c r="NY25" s="162"/>
      <c r="NZ25" s="163"/>
      <c r="OJ25" s="154"/>
      <c r="OK25" s="155"/>
      <c r="OL25" s="156"/>
      <c r="OM25" s="162"/>
      <c r="ON25" s="163"/>
      <c r="OX25" s="154"/>
      <c r="OY25" s="155"/>
      <c r="OZ25" s="156"/>
      <c r="PA25" s="162"/>
      <c r="PB25" s="163"/>
      <c r="PL25" s="154"/>
      <c r="PM25" s="155"/>
      <c r="PN25" s="156"/>
      <c r="PO25" s="162"/>
      <c r="PP25" s="163"/>
      <c r="PZ25" s="154"/>
      <c r="QA25" s="155"/>
      <c r="QB25" s="156"/>
      <c r="QC25" s="162"/>
      <c r="QD25" s="163"/>
      <c r="QN25" s="154"/>
      <c r="QO25" s="155"/>
      <c r="QP25" s="156"/>
      <c r="QQ25" s="162"/>
      <c r="QR25" s="163"/>
      <c r="RB25" s="154"/>
      <c r="RC25" s="155"/>
      <c r="RD25" s="156"/>
      <c r="RE25" s="162"/>
      <c r="RF25" s="163"/>
      <c r="RP25" s="154"/>
      <c r="RQ25" s="155"/>
      <c r="RR25" s="156"/>
      <c r="RS25" s="162"/>
      <c r="RT25" s="163"/>
      <c r="SD25" s="154"/>
      <c r="SE25" s="155"/>
      <c r="SF25" s="156"/>
      <c r="SG25" s="162"/>
      <c r="SH25" s="163"/>
      <c r="SR25" s="154"/>
      <c r="SS25" s="155"/>
      <c r="ST25" s="156"/>
      <c r="SU25" s="162"/>
      <c r="SV25" s="163"/>
      <c r="TF25" s="154"/>
      <c r="TG25" s="155"/>
      <c r="TH25" s="156"/>
      <c r="TI25" s="162"/>
      <c r="TJ25" s="163"/>
      <c r="TT25" s="154"/>
      <c r="TU25" s="155"/>
      <c r="TV25" s="156"/>
      <c r="TW25" s="162"/>
      <c r="TX25" s="163"/>
      <c r="UH25" s="154"/>
      <c r="UI25" s="155"/>
      <c r="UJ25" s="156"/>
      <c r="UK25" s="162"/>
      <c r="UL25" s="163"/>
      <c r="UV25" s="154"/>
      <c r="UW25" s="155"/>
      <c r="UX25" s="156"/>
      <c r="UY25" s="162"/>
      <c r="UZ25" s="163"/>
      <c r="VJ25" s="154"/>
      <c r="VK25" s="155"/>
      <c r="VL25" s="156"/>
      <c r="VM25" s="162"/>
      <c r="VN25" s="163"/>
      <c r="VX25" s="154"/>
      <c r="VY25" s="155"/>
      <c r="VZ25" s="156"/>
      <c r="WA25" s="162"/>
      <c r="WB25" s="163"/>
      <c r="WL25" s="154"/>
      <c r="WM25" s="155"/>
      <c r="WN25" s="156"/>
      <c r="WO25" s="162"/>
      <c r="WP25" s="163"/>
      <c r="WZ25" s="154"/>
      <c r="XA25" s="155"/>
      <c r="XB25" s="156"/>
      <c r="XC25" s="162"/>
      <c r="XD25" s="163"/>
      <c r="XN25" s="154"/>
      <c r="XO25" s="155"/>
      <c r="XP25" s="156"/>
      <c r="XQ25" s="162"/>
      <c r="XR25" s="163"/>
      <c r="YB25" s="154"/>
      <c r="YC25" s="155"/>
      <c r="YD25" s="156"/>
      <c r="YE25" s="162"/>
      <c r="YF25" s="163"/>
      <c r="YP25" s="154"/>
      <c r="YQ25" s="155"/>
      <c r="YR25" s="156"/>
      <c r="YS25" s="162"/>
      <c r="YT25" s="163"/>
      <c r="ZD25" s="154"/>
      <c r="ZE25" s="155"/>
      <c r="ZF25" s="156"/>
      <c r="ZG25" s="162"/>
      <c r="ZH25" s="163"/>
      <c r="ZR25" s="154"/>
      <c r="ZS25" s="155"/>
      <c r="ZT25" s="156"/>
      <c r="ZU25" s="162"/>
      <c r="ZV25" s="163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R25" s="164" t="s">
        <v>57</v>
      </c>
      <c r="BHS25" s="164"/>
      <c r="BHT25" s="164"/>
      <c r="BHU25" s="164"/>
      <c r="BHV25" s="164"/>
      <c r="BHW25" s="164"/>
      <c r="BHX25" s="164"/>
      <c r="BHY25" s="164"/>
      <c r="BHZ25" s="164"/>
      <c r="BIA25" s="164"/>
      <c r="BID25" s="164" t="s">
        <v>57</v>
      </c>
      <c r="BIE25" s="164"/>
      <c r="BIF25" s="164"/>
      <c r="BIG25" s="164"/>
      <c r="BIH25" s="164"/>
      <c r="BII25" s="164"/>
      <c r="BIJ25" s="164"/>
      <c r="BIK25" s="164"/>
      <c r="BIL25" s="164"/>
      <c r="BIM25" s="164"/>
      <c r="BIP25" s="164" t="s">
        <v>57</v>
      </c>
      <c r="BIQ25" s="164"/>
      <c r="BIR25" s="164"/>
      <c r="BIS25" s="164"/>
      <c r="BIT25" s="164"/>
      <c r="BIU25" s="164"/>
      <c r="BIV25" s="164"/>
      <c r="BIW25" s="164"/>
      <c r="BIX25" s="164"/>
      <c r="BIY25" s="164"/>
      <c r="BJB25" s="164" t="s">
        <v>57</v>
      </c>
      <c r="BJC25" s="164"/>
      <c r="BJD25" s="164"/>
      <c r="BJE25" s="164"/>
      <c r="BJF25" s="164"/>
      <c r="BJG25" s="164"/>
      <c r="BJH25" s="164"/>
      <c r="BJI25" s="164"/>
      <c r="BJJ25" s="164"/>
      <c r="BJK25" s="164"/>
      <c r="BJN25" s="164" t="s">
        <v>57</v>
      </c>
      <c r="BJO25" s="164"/>
      <c r="BJP25" s="164"/>
      <c r="BJQ25" s="164"/>
      <c r="BJR25" s="164"/>
      <c r="BJS25" s="164"/>
      <c r="BJT25" s="164"/>
      <c r="BJU25" s="164"/>
      <c r="BJV25" s="164"/>
      <c r="BJW25" s="164"/>
      <c r="BJZ25" s="164" t="s">
        <v>57</v>
      </c>
      <c r="BKA25" s="164"/>
      <c r="BKB25" s="164"/>
      <c r="BKC25" s="164"/>
      <c r="BKD25" s="164"/>
      <c r="BKE25" s="164"/>
      <c r="BKF25" s="164"/>
      <c r="BKG25" s="164"/>
      <c r="BKH25" s="164"/>
      <c r="BKI25" s="164"/>
      <c r="BKL25" s="164" t="s">
        <v>57</v>
      </c>
      <c r="BKM25" s="164"/>
      <c r="BKN25" s="164"/>
      <c r="BKO25" s="164"/>
      <c r="BKP25" s="164"/>
      <c r="BKQ25" s="164"/>
      <c r="BKR25" s="164"/>
      <c r="BKS25" s="164"/>
      <c r="BKT25" s="164"/>
      <c r="BKU25" s="164"/>
      <c r="BKX25" s="164" t="s">
        <v>57</v>
      </c>
      <c r="BKY25" s="164"/>
      <c r="BKZ25" s="164"/>
      <c r="BLA25" s="164"/>
      <c r="BLB25" s="164"/>
      <c r="BLC25" s="164"/>
      <c r="BLD25" s="164"/>
      <c r="BLE25" s="164"/>
      <c r="BLF25" s="164"/>
      <c r="BLG25" s="164"/>
      <c r="BLJ25" s="164" t="s">
        <v>57</v>
      </c>
      <c r="BLK25" s="164"/>
      <c r="BLL25" s="164"/>
      <c r="BLM25" s="164"/>
      <c r="BLN25" s="164"/>
      <c r="BLO25" s="164"/>
      <c r="BLP25" s="164"/>
      <c r="BLQ25" s="164"/>
      <c r="BLR25" s="164"/>
      <c r="BLS25" s="164"/>
      <c r="BLV25" s="164" t="s">
        <v>57</v>
      </c>
      <c r="BLW25" s="164"/>
      <c r="BLX25" s="164"/>
      <c r="BLY25" s="164"/>
      <c r="BLZ25" s="164"/>
      <c r="BMA25" s="164"/>
      <c r="BMB25" s="164"/>
      <c r="BMC25" s="164"/>
      <c r="BMD25" s="164"/>
      <c r="BME25" s="164"/>
      <c r="BMH25" s="164" t="s">
        <v>57</v>
      </c>
      <c r="BMI25" s="164"/>
      <c r="BMJ25" s="164"/>
      <c r="BMK25" s="164"/>
      <c r="BML25" s="164"/>
      <c r="BMM25" s="164"/>
      <c r="BMN25" s="164"/>
      <c r="BMO25" s="164"/>
      <c r="BMP25" s="164"/>
      <c r="BMQ25" s="164"/>
      <c r="BMT25" s="164" t="s">
        <v>57</v>
      </c>
      <c r="BMU25" s="164"/>
      <c r="BMV25" s="164"/>
      <c r="BMW25" s="164"/>
      <c r="BMX25" s="164"/>
      <c r="BMY25" s="164"/>
      <c r="BMZ25" s="164"/>
      <c r="BNA25" s="164"/>
      <c r="BNB25" s="164"/>
      <c r="BNC25" s="164"/>
      <c r="BNF25" s="164" t="s">
        <v>57</v>
      </c>
      <c r="BNG25" s="164"/>
      <c r="BNH25" s="164"/>
      <c r="BNI25" s="164"/>
      <c r="BNJ25" s="164"/>
      <c r="BNK25" s="164"/>
      <c r="BNL25" s="164"/>
      <c r="BNM25" s="164"/>
      <c r="BNN25" s="164"/>
      <c r="BNO25" s="164"/>
      <c r="BNR25" s="164" t="s">
        <v>57</v>
      </c>
      <c r="BNS25" s="164"/>
      <c r="BNT25" s="164"/>
      <c r="BNU25" s="164"/>
      <c r="BNV25" s="164"/>
      <c r="BNW25" s="164"/>
      <c r="BNX25" s="164"/>
      <c r="BNY25" s="164"/>
      <c r="BNZ25" s="164"/>
      <c r="BOA25" s="164"/>
      <c r="BOD25" s="164" t="s">
        <v>57</v>
      </c>
      <c r="BOE25" s="164"/>
      <c r="BOF25" s="164"/>
      <c r="BOG25" s="164"/>
      <c r="BOH25" s="164"/>
      <c r="BOI25" s="164"/>
      <c r="BOJ25" s="164"/>
      <c r="BOK25" s="164"/>
      <c r="BOL25" s="164"/>
      <c r="BOM25" s="164"/>
      <c r="BOP25" s="164" t="s">
        <v>57</v>
      </c>
      <c r="BOQ25" s="164"/>
      <c r="BOR25" s="164"/>
      <c r="BOS25" s="164"/>
      <c r="BOT25" s="164"/>
      <c r="BOU25" s="164"/>
      <c r="BOV25" s="164"/>
      <c r="BOW25" s="164"/>
      <c r="BOX25" s="164"/>
      <c r="BOY25" s="164"/>
      <c r="BPB25" s="164" t="s">
        <v>57</v>
      </c>
      <c r="BPC25" s="164"/>
      <c r="BPD25" s="164"/>
      <c r="BPE25" s="164"/>
      <c r="BPF25" s="164"/>
      <c r="BPG25" s="164"/>
      <c r="BPH25" s="164"/>
      <c r="BPI25" s="164"/>
      <c r="BPJ25" s="164"/>
      <c r="BPK25" s="164"/>
      <c r="BPN25" s="164" t="s">
        <v>57</v>
      </c>
      <c r="BPO25" s="164"/>
      <c r="BPP25" s="164"/>
      <c r="BPQ25" s="164"/>
      <c r="BPR25" s="164"/>
      <c r="BPS25" s="164"/>
      <c r="BPT25" s="164"/>
      <c r="BPU25" s="164"/>
      <c r="BPV25" s="164"/>
      <c r="BPW25" s="164"/>
      <c r="BPZ25" s="164" t="s">
        <v>57</v>
      </c>
      <c r="BQA25" s="164"/>
      <c r="BQB25" s="164"/>
      <c r="BQC25" s="164"/>
      <c r="BQD25" s="164"/>
      <c r="BQE25" s="164"/>
      <c r="BQF25" s="164"/>
      <c r="BQG25" s="164"/>
      <c r="BQH25" s="164"/>
      <c r="BQI25" s="164"/>
      <c r="BQL25" s="164" t="s">
        <v>57</v>
      </c>
      <c r="BQM25" s="164"/>
      <c r="BQN25" s="164"/>
      <c r="BQO25" s="164"/>
      <c r="BQP25" s="164"/>
      <c r="BQQ25" s="164"/>
      <c r="BQR25" s="164"/>
      <c r="BQS25" s="164"/>
      <c r="BQT25" s="164"/>
      <c r="BQU25" s="164"/>
      <c r="BQX25" s="164" t="s">
        <v>57</v>
      </c>
      <c r="BQY25" s="164"/>
      <c r="BQZ25" s="164"/>
      <c r="BRA25" s="164"/>
      <c r="BRB25" s="164"/>
      <c r="BRC25" s="164"/>
      <c r="BRD25" s="164"/>
      <c r="BRE25" s="164"/>
      <c r="BRF25" s="164"/>
      <c r="BRG25" s="164"/>
      <c r="BRJ25" s="164" t="s">
        <v>57</v>
      </c>
      <c r="BRK25" s="164"/>
      <c r="BRL25" s="164"/>
      <c r="BRM25" s="164"/>
      <c r="BRN25" s="164"/>
      <c r="BRO25" s="164"/>
      <c r="BRP25" s="164"/>
      <c r="BRQ25" s="164"/>
      <c r="BRR25" s="164"/>
      <c r="BRS25" s="164"/>
      <c r="BRV25" s="164" t="s">
        <v>57</v>
      </c>
      <c r="BRW25" s="164"/>
      <c r="BRX25" s="164"/>
      <c r="BRY25" s="164"/>
      <c r="BRZ25" s="164"/>
      <c r="BSA25" s="164"/>
      <c r="BSB25" s="164"/>
      <c r="BSC25" s="164"/>
      <c r="BSD25" s="164"/>
      <c r="BSE25" s="164"/>
      <c r="BSH25" s="164" t="s">
        <v>57</v>
      </c>
      <c r="BSI25" s="164"/>
      <c r="BSJ25" s="164"/>
      <c r="BSK25" s="164"/>
      <c r="BSL25" s="164"/>
      <c r="BSM25" s="164"/>
      <c r="BSN25" s="164"/>
      <c r="BSO25" s="164"/>
      <c r="BSP25" s="164"/>
      <c r="BSQ25" s="164"/>
      <c r="BST25" s="164" t="s">
        <v>57</v>
      </c>
      <c r="BSU25" s="164"/>
      <c r="BSV25" s="164"/>
      <c r="BSW25" s="164"/>
      <c r="BSX25" s="164"/>
      <c r="BSY25" s="164"/>
      <c r="BSZ25" s="164"/>
      <c r="BTA25" s="164"/>
      <c r="BTB25" s="164"/>
      <c r="BTC25" s="164"/>
      <c r="BTF25" s="164" t="s">
        <v>57</v>
      </c>
      <c r="BTG25" s="164"/>
      <c r="BTH25" s="164"/>
      <c r="BTI25" s="164"/>
      <c r="BTJ25" s="164"/>
      <c r="BTK25" s="164"/>
      <c r="BTL25" s="164"/>
      <c r="BTM25" s="164"/>
      <c r="BTN25" s="164"/>
      <c r="BTO25" s="164"/>
      <c r="BTR25" s="164" t="s">
        <v>57</v>
      </c>
      <c r="BTS25" s="164"/>
      <c r="BTT25" s="164"/>
      <c r="BTU25" s="164"/>
      <c r="BTV25" s="164"/>
      <c r="BTW25" s="164"/>
      <c r="BTX25" s="164"/>
      <c r="BTY25" s="164"/>
      <c r="BTZ25" s="164"/>
      <c r="BUA25" s="164"/>
      <c r="BUD25" s="164" t="s">
        <v>57</v>
      </c>
      <c r="BUE25" s="164"/>
      <c r="BUF25" s="164"/>
      <c r="BUG25" s="164"/>
      <c r="BUH25" s="164"/>
      <c r="BUI25" s="164"/>
      <c r="BUJ25" s="164"/>
      <c r="BUK25" s="164"/>
      <c r="BUL25" s="164"/>
      <c r="BUM25" s="164"/>
      <c r="BUP25" s="164" t="s">
        <v>57</v>
      </c>
      <c r="BUQ25" s="164"/>
      <c r="BUR25" s="164"/>
      <c r="BUS25" s="164"/>
      <c r="BUT25" s="164"/>
      <c r="BUU25" s="164"/>
      <c r="BUV25" s="164"/>
      <c r="BUW25" s="164"/>
      <c r="BUX25" s="164"/>
      <c r="BUY25" s="164"/>
      <c r="BVB25" s="164" t="s">
        <v>57</v>
      </c>
      <c r="BVC25" s="164"/>
      <c r="BVD25" s="164"/>
      <c r="BVE25" s="164"/>
      <c r="BVF25" s="164"/>
      <c r="BVG25" s="164"/>
      <c r="BVH25" s="164"/>
      <c r="BVI25" s="164"/>
      <c r="BVJ25" s="164"/>
      <c r="BVK25" s="164"/>
      <c r="BVN25" s="164" t="s">
        <v>57</v>
      </c>
      <c r="BVO25" s="164"/>
      <c r="BVP25" s="164"/>
      <c r="BVQ25" s="164"/>
      <c r="BVR25" s="164"/>
      <c r="BVS25" s="164"/>
      <c r="BVT25" s="164"/>
      <c r="BVU25" s="164"/>
      <c r="BVV25" s="164"/>
      <c r="BVW25" s="164"/>
      <c r="BVZ25" s="164" t="s">
        <v>57</v>
      </c>
      <c r="BWA25" s="164"/>
      <c r="BWB25" s="164"/>
      <c r="BWC25" s="164"/>
      <c r="BWD25" s="164"/>
      <c r="BWE25" s="164"/>
      <c r="BWF25" s="164"/>
      <c r="BWG25" s="164"/>
      <c r="BWH25" s="164"/>
      <c r="BWI25" s="164"/>
      <c r="BWL25" s="164" t="s">
        <v>57</v>
      </c>
      <c r="BWM25" s="164"/>
      <c r="BWN25" s="164"/>
      <c r="BWO25" s="164"/>
      <c r="BWP25" s="164"/>
      <c r="BWQ25" s="164"/>
      <c r="BWR25" s="164"/>
      <c r="BWS25" s="164"/>
      <c r="BWT25" s="164"/>
      <c r="BWU25" s="164"/>
      <c r="BWX25" s="164" t="s">
        <v>57</v>
      </c>
      <c r="BWY25" s="164"/>
      <c r="BWZ25" s="164"/>
      <c r="BXA25" s="164"/>
      <c r="BXB25" s="164"/>
      <c r="BXC25" s="164"/>
      <c r="BXD25" s="164"/>
      <c r="BXE25" s="164"/>
      <c r="BXF25" s="164"/>
      <c r="BXG25" s="164"/>
      <c r="BXJ25" s="164" t="s">
        <v>57</v>
      </c>
      <c r="BXK25" s="164"/>
      <c r="BXL25" s="164"/>
      <c r="BXM25" s="164"/>
      <c r="BXN25" s="164"/>
      <c r="BXO25" s="164"/>
      <c r="BXP25" s="164"/>
      <c r="BXQ25" s="164"/>
      <c r="BXR25" s="164"/>
      <c r="BXS25" s="164"/>
      <c r="BXV25" s="164" t="s">
        <v>57</v>
      </c>
      <c r="BXW25" s="164"/>
      <c r="BXX25" s="164"/>
      <c r="BXY25" s="164"/>
      <c r="BXZ25" s="164"/>
      <c r="BYA25" s="164"/>
      <c r="BYB25" s="164"/>
      <c r="BYC25" s="164"/>
      <c r="BYD25" s="164"/>
      <c r="BYE25" s="164"/>
      <c r="BYH25" s="164" t="s">
        <v>57</v>
      </c>
      <c r="BYI25" s="164"/>
      <c r="BYJ25" s="164"/>
      <c r="BYK25" s="164"/>
      <c r="BYL25" s="164"/>
      <c r="BYM25" s="164"/>
      <c r="BYN25" s="164"/>
      <c r="BYO25" s="164"/>
      <c r="BYP25" s="164"/>
      <c r="BYQ25" s="164"/>
      <c r="BYT25" s="164" t="s">
        <v>57</v>
      </c>
      <c r="BYU25" s="164"/>
      <c r="BYV25" s="164"/>
      <c r="BYW25" s="164"/>
      <c r="BYX25" s="164"/>
      <c r="BYY25" s="164"/>
      <c r="BYZ25" s="164"/>
      <c r="BZA25" s="164"/>
      <c r="BZB25" s="164"/>
      <c r="BZC25" s="164"/>
      <c r="BZF25" s="164" t="s">
        <v>57</v>
      </c>
      <c r="BZG25" s="164"/>
      <c r="BZH25" s="164"/>
      <c r="BZI25" s="164"/>
      <c r="BZJ25" s="164"/>
      <c r="BZK25" s="164"/>
      <c r="BZL25" s="164"/>
      <c r="BZM25" s="164"/>
      <c r="BZN25" s="164"/>
      <c r="BZO25" s="164"/>
      <c r="BZR25" s="164" t="s">
        <v>57</v>
      </c>
      <c r="BZS25" s="164"/>
      <c r="BZT25" s="164"/>
      <c r="BZU25" s="164"/>
      <c r="BZV25" s="164"/>
      <c r="BZW25" s="164"/>
      <c r="BZX25" s="164"/>
      <c r="BZY25" s="164"/>
      <c r="BZZ25" s="164"/>
      <c r="CAA25" s="164"/>
      <c r="CAD25" s="164" t="s">
        <v>57</v>
      </c>
      <c r="CAE25" s="164"/>
      <c r="CAF25" s="164"/>
      <c r="CAG25" s="164"/>
      <c r="CAH25" s="164"/>
      <c r="CAI25" s="164"/>
      <c r="CAJ25" s="164"/>
      <c r="CAK25" s="164"/>
      <c r="CAL25" s="164"/>
      <c r="CAM25" s="164"/>
      <c r="CAP25" s="164" t="s">
        <v>57</v>
      </c>
      <c r="CAQ25" s="164"/>
      <c r="CAR25" s="164"/>
      <c r="CAS25" s="164"/>
      <c r="CAT25" s="164"/>
      <c r="CAU25" s="164"/>
      <c r="CAV25" s="164"/>
      <c r="CAW25" s="164"/>
      <c r="CAX25" s="164"/>
      <c r="CAY25" s="164"/>
      <c r="CBB25" s="164" t="s">
        <v>57</v>
      </c>
      <c r="CBC25" s="164"/>
      <c r="CBD25" s="164"/>
      <c r="CBE25" s="164"/>
      <c r="CBF25" s="164"/>
      <c r="CBG25" s="164"/>
      <c r="CBH25" s="164"/>
      <c r="CBI25" s="164"/>
      <c r="CBJ25" s="164"/>
      <c r="CBK25" s="164"/>
      <c r="CBN25" s="164" t="s">
        <v>57</v>
      </c>
      <c r="CBO25" s="164"/>
      <c r="CBP25" s="164"/>
      <c r="CBQ25" s="164"/>
      <c r="CBR25" s="164"/>
      <c r="CBS25" s="164"/>
      <c r="CBT25" s="164"/>
      <c r="CBU25" s="164"/>
      <c r="CBV25" s="164"/>
      <c r="CBW25" s="164"/>
      <c r="CBZ25" s="164" t="s">
        <v>57</v>
      </c>
      <c r="CCA25" s="164"/>
      <c r="CCB25" s="164"/>
      <c r="CCC25" s="164"/>
      <c r="CCD25" s="164"/>
      <c r="CCE25" s="164"/>
      <c r="CCF25" s="164"/>
      <c r="CCG25" s="164"/>
      <c r="CCH25" s="164"/>
      <c r="CCI25" s="164"/>
      <c r="CCL25" s="164" t="s">
        <v>57</v>
      </c>
      <c r="CCM25" s="164"/>
      <c r="CCN25" s="164"/>
      <c r="CCO25" s="164"/>
      <c r="CCP25" s="164"/>
      <c r="CCQ25" s="164"/>
      <c r="CCR25" s="164"/>
      <c r="CCS25" s="164"/>
      <c r="CCT25" s="164"/>
      <c r="CCU25" s="164"/>
      <c r="CCX25" s="164" t="s">
        <v>57</v>
      </c>
      <c r="CCY25" s="164"/>
      <c r="CCZ25" s="164"/>
      <c r="CDA25" s="164"/>
      <c r="CDB25" s="164"/>
      <c r="CDC25" s="164"/>
      <c r="CDD25" s="164"/>
      <c r="CDE25" s="164"/>
      <c r="CDF25" s="164"/>
      <c r="CDG25" s="164"/>
      <c r="CDJ25" s="164" t="s">
        <v>57</v>
      </c>
      <c r="CDK25" s="164"/>
      <c r="CDL25" s="164"/>
      <c r="CDM25" s="164"/>
      <c r="CDN25" s="164"/>
      <c r="CDO25" s="164"/>
      <c r="CDP25" s="164"/>
      <c r="CDQ25" s="164"/>
      <c r="CDR25" s="164"/>
      <c r="CDS25" s="164"/>
      <c r="CDV25" s="164" t="s">
        <v>57</v>
      </c>
      <c r="CDW25" s="164"/>
      <c r="CDX25" s="164"/>
      <c r="CDY25" s="164"/>
      <c r="CDZ25" s="164"/>
      <c r="CEA25" s="164"/>
      <c r="CEB25" s="164"/>
      <c r="CEC25" s="164"/>
      <c r="CED25" s="164"/>
      <c r="CEE25" s="164"/>
      <c r="CEH25" s="164" t="s">
        <v>57</v>
      </c>
      <c r="CEI25" s="164"/>
      <c r="CEJ25" s="164"/>
      <c r="CEK25" s="164"/>
      <c r="CEL25" s="164"/>
      <c r="CEM25" s="164"/>
      <c r="CEN25" s="164"/>
      <c r="CEO25" s="164"/>
      <c r="CEP25" s="164"/>
      <c r="CEQ25" s="164"/>
      <c r="CET25" s="164" t="s">
        <v>57</v>
      </c>
      <c r="CEU25" s="164"/>
      <c r="CEV25" s="164"/>
      <c r="CEW25" s="164"/>
      <c r="CEX25" s="164"/>
      <c r="CEY25" s="164"/>
      <c r="CEZ25" s="164"/>
      <c r="CFA25" s="164"/>
      <c r="CFB25" s="164"/>
      <c r="CFC25" s="164"/>
      <c r="CFF25" s="164" t="s">
        <v>57</v>
      </c>
      <c r="CFG25" s="164"/>
      <c r="CFH25" s="164"/>
      <c r="CFI25" s="164"/>
      <c r="CFJ25" s="164"/>
      <c r="CFK25" s="164"/>
      <c r="CFL25" s="164"/>
      <c r="CFM25" s="164"/>
      <c r="CFN25" s="164"/>
      <c r="CFO25" s="164"/>
      <c r="CFR25" s="164" t="s">
        <v>57</v>
      </c>
      <c r="CFS25" s="164"/>
      <c r="CFT25" s="164"/>
      <c r="CFU25" s="164"/>
      <c r="CFV25" s="164"/>
      <c r="CFW25" s="164"/>
      <c r="CFX25" s="164"/>
      <c r="CFY25" s="164"/>
      <c r="CFZ25" s="164"/>
      <c r="CGA25" s="164"/>
      <c r="CGD25" s="164" t="s">
        <v>57</v>
      </c>
      <c r="CGE25" s="164"/>
      <c r="CGF25" s="164"/>
      <c r="CGG25" s="164"/>
      <c r="CGH25" s="164"/>
      <c r="CGI25" s="164"/>
      <c r="CGJ25" s="164"/>
      <c r="CGK25" s="164"/>
      <c r="CGL25" s="164"/>
      <c r="CGM25" s="164"/>
      <c r="CGP25" s="164" t="s">
        <v>57</v>
      </c>
      <c r="CGQ25" s="164"/>
      <c r="CGR25" s="164"/>
      <c r="CGS25" s="164"/>
      <c r="CGT25" s="164"/>
      <c r="CGU25" s="164"/>
      <c r="CGV25" s="164"/>
      <c r="CGW25" s="164"/>
      <c r="CGX25" s="164"/>
      <c r="CGY25" s="164"/>
      <c r="CHB25" s="164" t="s">
        <v>57</v>
      </c>
      <c r="CHC25" s="164"/>
      <c r="CHD25" s="164"/>
      <c r="CHE25" s="164"/>
      <c r="CHF25" s="164"/>
      <c r="CHG25" s="164"/>
      <c r="CHH25" s="164"/>
      <c r="CHI25" s="164"/>
      <c r="CHJ25" s="164"/>
      <c r="CHK25" s="164"/>
      <c r="CHN25" s="164" t="s">
        <v>57</v>
      </c>
      <c r="CHO25" s="164"/>
      <c r="CHP25" s="164"/>
      <c r="CHQ25" s="164"/>
      <c r="CHR25" s="164"/>
      <c r="CHS25" s="164"/>
      <c r="CHT25" s="164"/>
      <c r="CHU25" s="164"/>
      <c r="CHV25" s="164"/>
      <c r="CHW25" s="164"/>
      <c r="CHZ25" s="164" t="s">
        <v>57</v>
      </c>
      <c r="CIA25" s="164"/>
      <c r="CIB25" s="164"/>
      <c r="CIC25" s="164"/>
      <c r="CID25" s="164"/>
      <c r="CIE25" s="164"/>
      <c r="CIF25" s="164"/>
      <c r="CIG25" s="164"/>
      <c r="CIH25" s="164"/>
      <c r="CII25" s="164"/>
      <c r="CIL25" s="164" t="s">
        <v>57</v>
      </c>
      <c r="CIM25" s="164"/>
      <c r="CIN25" s="164"/>
      <c r="CIO25" s="164"/>
      <c r="CIP25" s="164"/>
      <c r="CIQ25" s="164"/>
      <c r="CIR25" s="164"/>
      <c r="CIS25" s="164"/>
      <c r="CIT25" s="164"/>
      <c r="CIU25" s="164"/>
      <c r="CIX25" s="164" t="s">
        <v>57</v>
      </c>
      <c r="CIY25" s="164"/>
      <c r="CIZ25" s="164"/>
      <c r="CJA25" s="164"/>
      <c r="CJB25" s="164"/>
      <c r="CJC25" s="164"/>
      <c r="CJD25" s="164"/>
      <c r="CJE25" s="164"/>
      <c r="CJF25" s="164"/>
      <c r="CJG25" s="164"/>
      <c r="CJJ25" s="164" t="s">
        <v>57</v>
      </c>
      <c r="CJK25" s="164"/>
      <c r="CJL25" s="164"/>
      <c r="CJM25" s="164"/>
      <c r="CJN25" s="164"/>
      <c r="CJO25" s="164"/>
      <c r="CJP25" s="164"/>
      <c r="CJQ25" s="164"/>
      <c r="CJR25" s="164"/>
      <c r="CJS25" s="164"/>
      <c r="CJV25" s="164" t="s">
        <v>57</v>
      </c>
      <c r="CJW25" s="164"/>
      <c r="CJX25" s="164"/>
      <c r="CJY25" s="164"/>
      <c r="CJZ25" s="164"/>
      <c r="CKA25" s="164"/>
      <c r="CKB25" s="164"/>
      <c r="CKC25" s="164"/>
      <c r="CKD25" s="164"/>
      <c r="CKE25" s="164"/>
      <c r="CKH25" s="164" t="s">
        <v>57</v>
      </c>
      <c r="CKI25" s="164"/>
      <c r="CKJ25" s="164"/>
      <c r="CKK25" s="164"/>
      <c r="CKL25" s="164"/>
      <c r="CKM25" s="164"/>
      <c r="CKN25" s="164"/>
      <c r="CKO25" s="164"/>
      <c r="CKP25" s="164"/>
      <c r="CKQ25" s="164"/>
      <c r="CKT25" s="164" t="s">
        <v>57</v>
      </c>
      <c r="CKU25" s="164"/>
      <c r="CKV25" s="164"/>
      <c r="CKW25" s="164"/>
      <c r="CKX25" s="164"/>
      <c r="CKY25" s="164"/>
      <c r="CKZ25" s="164"/>
      <c r="CLA25" s="164"/>
      <c r="CLB25" s="164"/>
      <c r="CLC25" s="164"/>
      <c r="CLF25" s="164" t="s">
        <v>57</v>
      </c>
      <c r="CLG25" s="164"/>
      <c r="CLH25" s="164"/>
      <c r="CLI25" s="164"/>
      <c r="CLJ25" s="164"/>
      <c r="CLK25" s="164"/>
      <c r="CLL25" s="164"/>
      <c r="CLM25" s="164"/>
      <c r="CLN25" s="164"/>
      <c r="CLO25" s="164"/>
      <c r="CLR25" s="164" t="s">
        <v>57</v>
      </c>
      <c r="CLS25" s="164"/>
      <c r="CLT25" s="164"/>
      <c r="CLU25" s="164"/>
      <c r="CLV25" s="164"/>
      <c r="CLW25" s="164"/>
      <c r="CLX25" s="164"/>
      <c r="CLY25" s="164"/>
      <c r="CLZ25" s="164"/>
      <c r="CMA25" s="164"/>
      <c r="CMD25" s="164" t="s">
        <v>57</v>
      </c>
      <c r="CME25" s="164"/>
      <c r="CMF25" s="164"/>
      <c r="CMG25" s="164"/>
      <c r="CMH25" s="164"/>
      <c r="CMI25" s="164"/>
      <c r="CMJ25" s="164"/>
      <c r="CMK25" s="164"/>
      <c r="CML25" s="164"/>
      <c r="CMM25" s="164"/>
      <c r="CMP25" s="164" t="s">
        <v>57</v>
      </c>
      <c r="CMQ25" s="164"/>
      <c r="CMR25" s="164"/>
      <c r="CMS25" s="164"/>
      <c r="CMT25" s="164"/>
      <c r="CMU25" s="164"/>
      <c r="CMV25" s="164"/>
      <c r="CMW25" s="164"/>
      <c r="CMX25" s="164"/>
      <c r="CMY25" s="164"/>
      <c r="CNB25" s="164" t="s">
        <v>57</v>
      </c>
      <c r="CNC25" s="164"/>
      <c r="CND25" s="164"/>
      <c r="CNE25" s="164"/>
      <c r="CNF25" s="164"/>
      <c r="CNG25" s="164"/>
      <c r="CNH25" s="164"/>
      <c r="CNI25" s="164"/>
      <c r="CNJ25" s="164"/>
      <c r="CNK25" s="164"/>
      <c r="CNN25" s="164" t="s">
        <v>57</v>
      </c>
      <c r="CNO25" s="164"/>
      <c r="CNP25" s="164"/>
      <c r="CNQ25" s="164"/>
      <c r="CNR25" s="164"/>
      <c r="CNS25" s="164"/>
      <c r="CNT25" s="164"/>
      <c r="CNU25" s="164"/>
      <c r="CNV25" s="164"/>
      <c r="CNW25" s="164"/>
      <c r="CNZ25" s="164" t="s">
        <v>57</v>
      </c>
      <c r="COA25" s="164"/>
      <c r="COB25" s="164"/>
      <c r="COC25" s="164"/>
      <c r="COD25" s="164"/>
      <c r="COE25" s="164"/>
      <c r="COF25" s="164"/>
      <c r="COG25" s="164"/>
      <c r="COH25" s="164"/>
      <c r="COI25" s="164"/>
      <c r="COL25" s="164" t="s">
        <v>57</v>
      </c>
      <c r="COM25" s="164"/>
      <c r="CON25" s="164"/>
      <c r="COO25" s="164"/>
      <c r="COP25" s="164"/>
      <c r="COQ25" s="164"/>
      <c r="COR25" s="164"/>
      <c r="COS25" s="164"/>
      <c r="COT25" s="164"/>
      <c r="COU25" s="164"/>
      <c r="COX25" s="164" t="s">
        <v>57</v>
      </c>
      <c r="COY25" s="164"/>
      <c r="COZ25" s="164"/>
      <c r="CPA25" s="164"/>
      <c r="CPB25" s="164"/>
      <c r="CPC25" s="164"/>
      <c r="CPD25" s="164"/>
      <c r="CPE25" s="164"/>
      <c r="CPF25" s="164"/>
      <c r="CPG25" s="164"/>
      <c r="CPJ25" s="164" t="s">
        <v>57</v>
      </c>
      <c r="CPK25" s="164"/>
      <c r="CPL25" s="164"/>
      <c r="CPM25" s="164"/>
      <c r="CPN25" s="164"/>
      <c r="CPO25" s="164"/>
      <c r="CPP25" s="164"/>
      <c r="CPQ25" s="164"/>
      <c r="CPR25" s="164"/>
      <c r="CPS25" s="164"/>
      <c r="CPV25" s="164" t="s">
        <v>57</v>
      </c>
      <c r="CPW25" s="164"/>
      <c r="CPX25" s="164"/>
      <c r="CPY25" s="164"/>
      <c r="CPZ25" s="164"/>
      <c r="CQA25" s="164"/>
      <c r="CQB25" s="164"/>
      <c r="CQC25" s="164"/>
      <c r="CQD25" s="164"/>
      <c r="CQE25" s="164"/>
      <c r="CQH25" s="164" t="s">
        <v>57</v>
      </c>
      <c r="CQI25" s="164"/>
      <c r="CQJ25" s="164"/>
      <c r="CQK25" s="164"/>
      <c r="CQL25" s="164"/>
      <c r="CQM25" s="164"/>
      <c r="CQN25" s="164"/>
      <c r="CQO25" s="164"/>
      <c r="CQP25" s="164"/>
      <c r="CQQ25" s="164"/>
      <c r="CQT25" s="164" t="s">
        <v>57</v>
      </c>
      <c r="CQU25" s="164"/>
      <c r="CQV25" s="164"/>
      <c r="CQW25" s="164"/>
      <c r="CQX25" s="164"/>
      <c r="CQY25" s="164"/>
      <c r="CQZ25" s="164"/>
      <c r="CRA25" s="164"/>
      <c r="CRB25" s="164"/>
      <c r="CRC25" s="164"/>
      <c r="CRF25" s="164" t="s">
        <v>57</v>
      </c>
      <c r="CRG25" s="164"/>
      <c r="CRH25" s="164"/>
      <c r="CRI25" s="164"/>
      <c r="CRJ25" s="164"/>
      <c r="CRK25" s="164"/>
      <c r="CRL25" s="164"/>
      <c r="CRM25" s="164"/>
      <c r="CRN25" s="164"/>
      <c r="CRO25" s="164"/>
      <c r="CRR25" s="164" t="s">
        <v>57</v>
      </c>
      <c r="CRS25" s="164"/>
      <c r="CRT25" s="164"/>
      <c r="CRU25" s="164"/>
      <c r="CRV25" s="164"/>
      <c r="CRW25" s="164"/>
      <c r="CRX25" s="164"/>
      <c r="CRY25" s="164"/>
      <c r="CRZ25" s="164"/>
      <c r="CSA25" s="164"/>
      <c r="CSD25" s="164" t="s">
        <v>57</v>
      </c>
      <c r="CSE25" s="164"/>
      <c r="CSF25" s="164"/>
      <c r="CSG25" s="164"/>
      <c r="CSH25" s="164"/>
      <c r="CSI25" s="164"/>
      <c r="CSJ25" s="164"/>
      <c r="CSK25" s="164"/>
      <c r="CSL25" s="164"/>
      <c r="CSM25" s="164"/>
      <c r="CSP25" s="164" t="s">
        <v>57</v>
      </c>
      <c r="CSQ25" s="164"/>
      <c r="CSR25" s="164"/>
      <c r="CSS25" s="164"/>
      <c r="CST25" s="164"/>
      <c r="CSU25" s="164"/>
      <c r="CSV25" s="164"/>
      <c r="CSW25" s="164"/>
      <c r="CSX25" s="164"/>
      <c r="CSY25" s="164"/>
      <c r="CTB25" s="164" t="s">
        <v>57</v>
      </c>
      <c r="CTC25" s="164"/>
      <c r="CTD25" s="164"/>
      <c r="CTE25" s="164"/>
      <c r="CTF25" s="164"/>
      <c r="CTG25" s="164"/>
      <c r="CTH25" s="164"/>
      <c r="CTI25" s="164"/>
      <c r="CTJ25" s="164"/>
      <c r="CTK25" s="164"/>
      <c r="CTN25" s="164" t="s">
        <v>57</v>
      </c>
      <c r="CTO25" s="164"/>
      <c r="CTP25" s="164"/>
      <c r="CTQ25" s="164"/>
      <c r="CTR25" s="164"/>
      <c r="CTS25" s="164"/>
      <c r="CTT25" s="164"/>
      <c r="CTU25" s="164"/>
      <c r="CTV25" s="164"/>
      <c r="CTW25" s="164"/>
      <c r="CTZ25" s="164" t="s">
        <v>57</v>
      </c>
      <c r="CUA25" s="164"/>
      <c r="CUB25" s="164"/>
      <c r="CUC25" s="164"/>
      <c r="CUD25" s="164"/>
      <c r="CUE25" s="164"/>
      <c r="CUF25" s="164"/>
      <c r="CUG25" s="164"/>
      <c r="CUH25" s="164"/>
      <c r="CUI25" s="164"/>
      <c r="CUL25" s="164" t="s">
        <v>57</v>
      </c>
      <c r="CUM25" s="164"/>
      <c r="CUN25" s="164"/>
      <c r="CUO25" s="164"/>
      <c r="CUP25" s="164"/>
      <c r="CUQ25" s="164"/>
      <c r="CUR25" s="164"/>
      <c r="CUS25" s="164"/>
      <c r="CUT25" s="164"/>
      <c r="CUU25" s="164"/>
      <c r="CUX25" s="164" t="s">
        <v>57</v>
      </c>
      <c r="CUY25" s="164"/>
      <c r="CUZ25" s="164"/>
      <c r="CVA25" s="164"/>
      <c r="CVB25" s="164"/>
      <c r="CVC25" s="164"/>
      <c r="CVD25" s="164"/>
      <c r="CVE25" s="164"/>
      <c r="CVF25" s="164"/>
      <c r="CVG25" s="164"/>
      <c r="CVJ25" s="164" t="s">
        <v>57</v>
      </c>
      <c r="CVK25" s="164"/>
      <c r="CVL25" s="164"/>
      <c r="CVM25" s="164"/>
      <c r="CVN25" s="164"/>
      <c r="CVO25" s="164"/>
      <c r="CVP25" s="164"/>
      <c r="CVQ25" s="164"/>
      <c r="CVR25" s="164"/>
      <c r="CVS25" s="164"/>
      <c r="CVV25" s="164" t="s">
        <v>57</v>
      </c>
      <c r="CVW25" s="164"/>
      <c r="CVX25" s="164"/>
      <c r="CVY25" s="164"/>
      <c r="CVZ25" s="164"/>
      <c r="CWA25" s="164"/>
      <c r="CWB25" s="164"/>
      <c r="CWC25" s="164"/>
      <c r="CWD25" s="164"/>
      <c r="CWE25" s="164"/>
    </row>
    <row r="26" spans="1:1023 1026:2631" x14ac:dyDescent="0.25">
      <c r="H26" s="94" t="s">
        <v>58</v>
      </c>
      <c r="I26" s="94"/>
      <c r="J26" s="94"/>
      <c r="K26" s="162">
        <f>L7/1000</f>
        <v>35</v>
      </c>
      <c r="L26" s="163"/>
      <c r="V26" s="94" t="s">
        <v>58</v>
      </c>
      <c r="W26" s="94"/>
      <c r="X26" s="94"/>
      <c r="Y26" s="162">
        <f>Z7/1000</f>
        <v>35</v>
      </c>
      <c r="Z26" s="163"/>
      <c r="AJ26" s="94" t="s">
        <v>58</v>
      </c>
      <c r="AK26" s="94"/>
      <c r="AL26" s="94"/>
      <c r="AM26" s="162">
        <f>AN7/1000</f>
        <v>33</v>
      </c>
      <c r="AN26" s="163"/>
      <c r="AX26" s="94" t="s">
        <v>58</v>
      </c>
      <c r="AY26" s="94"/>
      <c r="AZ26" s="94"/>
      <c r="BA26" s="162">
        <f>BB7/1000</f>
        <v>27</v>
      </c>
      <c r="BB26" s="163"/>
      <c r="BL26" s="94" t="s">
        <v>58</v>
      </c>
      <c r="BM26" s="94"/>
      <c r="BN26" s="94"/>
      <c r="BO26" s="162">
        <f>BP7/1000</f>
        <v>35</v>
      </c>
      <c r="BP26" s="163"/>
      <c r="BZ26" s="94" t="s">
        <v>58</v>
      </c>
      <c r="CA26" s="94"/>
      <c r="CB26" s="94"/>
      <c r="CC26" s="162">
        <f>CD7/1000</f>
        <v>31</v>
      </c>
      <c r="CD26" s="163"/>
      <c r="CN26" s="94" t="s">
        <v>58</v>
      </c>
      <c r="CO26" s="94"/>
      <c r="CP26" s="94"/>
      <c r="CQ26" s="162">
        <f>CR7/1000</f>
        <v>35</v>
      </c>
      <c r="CR26" s="163"/>
      <c r="DB26" s="94" t="s">
        <v>58</v>
      </c>
      <c r="DC26" s="94"/>
      <c r="DD26" s="94"/>
      <c r="DE26" s="162">
        <f>DF7/1000</f>
        <v>35</v>
      </c>
      <c r="DF26" s="163"/>
      <c r="DP26" s="94" t="s">
        <v>58</v>
      </c>
      <c r="DQ26" s="94"/>
      <c r="DR26" s="94"/>
      <c r="DS26" s="162">
        <f>DT7/1000</f>
        <v>35</v>
      </c>
      <c r="DT26" s="163"/>
      <c r="ED26" s="94" t="s">
        <v>58</v>
      </c>
      <c r="EE26" s="94"/>
      <c r="EF26" s="94"/>
      <c r="EG26" s="162">
        <f>EH7/1000</f>
        <v>35</v>
      </c>
      <c r="EH26" s="163"/>
      <c r="ER26" s="94" t="s">
        <v>58</v>
      </c>
      <c r="ES26" s="94"/>
      <c r="ET26" s="94"/>
      <c r="EU26" s="162">
        <f>EV7/1000</f>
        <v>35</v>
      </c>
      <c r="EV26" s="163"/>
      <c r="FF26" s="94" t="s">
        <v>58</v>
      </c>
      <c r="FG26" s="94"/>
      <c r="FH26" s="94"/>
      <c r="FI26" s="162">
        <f>FJ7/1000</f>
        <v>35</v>
      </c>
      <c r="FJ26" s="163"/>
      <c r="FT26" s="94" t="s">
        <v>58</v>
      </c>
      <c r="FU26" s="94"/>
      <c r="FV26" s="94"/>
      <c r="FW26" s="162">
        <f>FX7/1000</f>
        <v>35</v>
      </c>
      <c r="FX26" s="163"/>
      <c r="GH26" s="94" t="s">
        <v>58</v>
      </c>
      <c r="GI26" s="94"/>
      <c r="GJ26" s="94"/>
      <c r="GK26" s="162">
        <f>GL7/1000</f>
        <v>35</v>
      </c>
      <c r="GL26" s="163"/>
      <c r="GV26" s="94" t="s">
        <v>58</v>
      </c>
      <c r="GW26" s="94"/>
      <c r="GX26" s="94"/>
      <c r="GY26" s="162">
        <f>GZ7/1000</f>
        <v>35</v>
      </c>
      <c r="GZ26" s="163"/>
      <c r="HJ26" s="94" t="s">
        <v>58</v>
      </c>
      <c r="HK26" s="94"/>
      <c r="HL26" s="94"/>
      <c r="HM26" s="162">
        <f>HN7/1000</f>
        <v>35</v>
      </c>
      <c r="HN26" s="163"/>
      <c r="HX26" s="94" t="s">
        <v>58</v>
      </c>
      <c r="HY26" s="94"/>
      <c r="HZ26" s="94"/>
      <c r="IA26" s="162">
        <f>IB7/1000</f>
        <v>35</v>
      </c>
      <c r="IB26" s="163"/>
      <c r="IL26" s="94" t="s">
        <v>58</v>
      </c>
      <c r="IM26" s="94"/>
      <c r="IN26" s="94"/>
      <c r="IO26" s="162">
        <f>IP7/1000</f>
        <v>35</v>
      </c>
      <c r="IP26" s="163"/>
      <c r="IZ26" s="94" t="s">
        <v>58</v>
      </c>
      <c r="JA26" s="94"/>
      <c r="JB26" s="94"/>
      <c r="JC26" s="162">
        <f>JD7/1000</f>
        <v>35</v>
      </c>
      <c r="JD26" s="163"/>
      <c r="JN26" s="94" t="s">
        <v>58</v>
      </c>
      <c r="JO26" s="94"/>
      <c r="JP26" s="94"/>
      <c r="JQ26" s="162">
        <f>JR7/1000</f>
        <v>35</v>
      </c>
      <c r="JR26" s="163"/>
      <c r="KB26" s="94" t="s">
        <v>58</v>
      </c>
      <c r="KC26" s="94"/>
      <c r="KD26" s="94"/>
      <c r="KE26" s="162">
        <f>KF7/1000</f>
        <v>35</v>
      </c>
      <c r="KF26" s="163"/>
      <c r="KP26" s="94" t="s">
        <v>58</v>
      </c>
      <c r="KQ26" s="94"/>
      <c r="KR26" s="94"/>
      <c r="KS26" s="162">
        <f>KT7/1000</f>
        <v>35</v>
      </c>
      <c r="KT26" s="163"/>
      <c r="LD26" s="94" t="s">
        <v>58</v>
      </c>
      <c r="LE26" s="94"/>
      <c r="LF26" s="94"/>
      <c r="LG26" s="162">
        <f>LH7/1000</f>
        <v>35</v>
      </c>
      <c r="LH26" s="163"/>
      <c r="LR26" s="94" t="s">
        <v>58</v>
      </c>
      <c r="LS26" s="94"/>
      <c r="LT26" s="94"/>
      <c r="LU26" s="162">
        <f>LV7/1000</f>
        <v>35</v>
      </c>
      <c r="LV26" s="163"/>
      <c r="MF26" s="94" t="s">
        <v>58</v>
      </c>
      <c r="MG26" s="94"/>
      <c r="MH26" s="94"/>
      <c r="MI26" s="162">
        <f>MJ7/1000</f>
        <v>35</v>
      </c>
      <c r="MJ26" s="163"/>
      <c r="MT26" s="94" t="s">
        <v>58</v>
      </c>
      <c r="MU26" s="94"/>
      <c r="MV26" s="94"/>
      <c r="MW26" s="162">
        <f>MX7/1000</f>
        <v>35</v>
      </c>
      <c r="MX26" s="163"/>
      <c r="NH26" s="94" t="s">
        <v>58</v>
      </c>
      <c r="NI26" s="94"/>
      <c r="NJ26" s="94"/>
      <c r="NK26" s="162">
        <f>NL7/1000</f>
        <v>35</v>
      </c>
      <c r="NL26" s="163"/>
      <c r="NV26" s="94" t="s">
        <v>58</v>
      </c>
      <c r="NW26" s="94"/>
      <c r="NX26" s="94"/>
      <c r="NY26" s="162">
        <f>NZ7/1000</f>
        <v>35</v>
      </c>
      <c r="NZ26" s="163"/>
      <c r="OJ26" s="94" t="s">
        <v>58</v>
      </c>
      <c r="OK26" s="94"/>
      <c r="OL26" s="94"/>
      <c r="OM26" s="162">
        <f>ON7/1000</f>
        <v>35</v>
      </c>
      <c r="ON26" s="163"/>
      <c r="OX26" s="94" t="s">
        <v>58</v>
      </c>
      <c r="OY26" s="94"/>
      <c r="OZ26" s="94"/>
      <c r="PA26" s="162">
        <f>PB7/1000</f>
        <v>35</v>
      </c>
      <c r="PB26" s="163"/>
      <c r="PL26" s="94" t="s">
        <v>58</v>
      </c>
      <c r="PM26" s="94"/>
      <c r="PN26" s="94"/>
      <c r="PO26" s="162">
        <f>PP7/1000</f>
        <v>35</v>
      </c>
      <c r="PP26" s="163"/>
      <c r="PZ26" s="94" t="s">
        <v>58</v>
      </c>
      <c r="QA26" s="94"/>
      <c r="QB26" s="94"/>
      <c r="QC26" s="162">
        <f>QD7/1000</f>
        <v>35</v>
      </c>
      <c r="QD26" s="163"/>
      <c r="QN26" s="94" t="s">
        <v>58</v>
      </c>
      <c r="QO26" s="94"/>
      <c r="QP26" s="94"/>
      <c r="QQ26" s="162">
        <f>QR7/1000</f>
        <v>35</v>
      </c>
      <c r="QR26" s="163"/>
      <c r="RB26" s="94" t="s">
        <v>58</v>
      </c>
      <c r="RC26" s="94"/>
      <c r="RD26" s="94"/>
      <c r="RE26" s="162">
        <f>RF7/1000</f>
        <v>35</v>
      </c>
      <c r="RF26" s="163"/>
      <c r="RP26" s="94" t="s">
        <v>58</v>
      </c>
      <c r="RQ26" s="94"/>
      <c r="RR26" s="94"/>
      <c r="RS26" s="162">
        <f>RT7/1000</f>
        <v>35</v>
      </c>
      <c r="RT26" s="163"/>
      <c r="SD26" s="94" t="s">
        <v>58</v>
      </c>
      <c r="SE26" s="94"/>
      <c r="SF26" s="94"/>
      <c r="SG26" s="162">
        <f>SH7/1000</f>
        <v>35</v>
      </c>
      <c r="SH26" s="163"/>
      <c r="SR26" s="94" t="s">
        <v>58</v>
      </c>
      <c r="SS26" s="94"/>
      <c r="ST26" s="94"/>
      <c r="SU26" s="162">
        <f>SV7/1000</f>
        <v>35</v>
      </c>
      <c r="SV26" s="163"/>
      <c r="TF26" s="94" t="s">
        <v>58</v>
      </c>
      <c r="TG26" s="94"/>
      <c r="TH26" s="94"/>
      <c r="TI26" s="162">
        <f>TJ7/1000</f>
        <v>35</v>
      </c>
      <c r="TJ26" s="163"/>
      <c r="TT26" s="94" t="s">
        <v>58</v>
      </c>
      <c r="TU26" s="94"/>
      <c r="TV26" s="94"/>
      <c r="TW26" s="162">
        <f>TX7/1000</f>
        <v>35</v>
      </c>
      <c r="TX26" s="163"/>
      <c r="UH26" s="94" t="s">
        <v>58</v>
      </c>
      <c r="UI26" s="94"/>
      <c r="UJ26" s="94"/>
      <c r="UK26" s="162">
        <f>UL7/1000</f>
        <v>35</v>
      </c>
      <c r="UL26" s="163"/>
      <c r="UV26" s="94" t="s">
        <v>58</v>
      </c>
      <c r="UW26" s="94"/>
      <c r="UX26" s="94"/>
      <c r="UY26" s="162">
        <f>UZ7/1000</f>
        <v>35</v>
      </c>
      <c r="UZ26" s="163"/>
      <c r="VJ26" s="94" t="s">
        <v>58</v>
      </c>
      <c r="VK26" s="94"/>
      <c r="VL26" s="94"/>
      <c r="VM26" s="162">
        <f>VN7/1000</f>
        <v>35</v>
      </c>
      <c r="VN26" s="163"/>
      <c r="VX26" s="94" t="s">
        <v>58</v>
      </c>
      <c r="VY26" s="94"/>
      <c r="VZ26" s="94"/>
      <c r="WA26" s="162">
        <f>WB7/1000</f>
        <v>35</v>
      </c>
      <c r="WB26" s="163"/>
      <c r="WL26" s="94" t="s">
        <v>58</v>
      </c>
      <c r="WM26" s="94"/>
      <c r="WN26" s="94"/>
      <c r="WO26" s="162">
        <f>WP7/1000</f>
        <v>35</v>
      </c>
      <c r="WP26" s="163"/>
      <c r="WZ26" s="94" t="s">
        <v>58</v>
      </c>
      <c r="XA26" s="94"/>
      <c r="XB26" s="94"/>
      <c r="XC26" s="162">
        <f>XD7/1000</f>
        <v>35</v>
      </c>
      <c r="XD26" s="163"/>
      <c r="XN26" s="94" t="s">
        <v>58</v>
      </c>
      <c r="XO26" s="94"/>
      <c r="XP26" s="94"/>
      <c r="XQ26" s="162">
        <f>XR7/1000</f>
        <v>35</v>
      </c>
      <c r="XR26" s="163"/>
      <c r="YB26" s="94" t="s">
        <v>58</v>
      </c>
      <c r="YC26" s="94"/>
      <c r="YD26" s="94"/>
      <c r="YE26" s="162">
        <f>YF7/1000</f>
        <v>35</v>
      </c>
      <c r="YF26" s="163"/>
      <c r="YP26" s="94" t="s">
        <v>58</v>
      </c>
      <c r="YQ26" s="94"/>
      <c r="YR26" s="94"/>
      <c r="YS26" s="162">
        <f>YT7/1000</f>
        <v>10</v>
      </c>
      <c r="YT26" s="163"/>
      <c r="ZD26" s="94" t="s">
        <v>58</v>
      </c>
      <c r="ZE26" s="94"/>
      <c r="ZF26" s="94"/>
      <c r="ZG26" s="162">
        <f>ZH7/1000</f>
        <v>35</v>
      </c>
      <c r="ZH26" s="163"/>
      <c r="ZR26" s="94" t="s">
        <v>58</v>
      </c>
      <c r="ZS26" s="94"/>
      <c r="ZT26" s="94"/>
      <c r="ZU26" s="162">
        <f>ZV7/1000</f>
        <v>35</v>
      </c>
      <c r="ZV26" s="163"/>
      <c r="ZZ26" s="165" t="s">
        <v>59</v>
      </c>
      <c r="AAA26" s="165"/>
      <c r="AAB26" s="165"/>
      <c r="AAC26" s="165"/>
      <c r="AAD26" s="165"/>
      <c r="AAE26" s="165"/>
      <c r="AAF26" s="165"/>
      <c r="AAG26" s="165"/>
      <c r="AAH26" s="165"/>
      <c r="AAI26" s="165"/>
      <c r="AAM26" s="165" t="s">
        <v>59</v>
      </c>
      <c r="AAN26" s="165"/>
      <c r="AAO26" s="165"/>
      <c r="AAP26" s="165"/>
      <c r="AAQ26" s="165"/>
      <c r="AAR26" s="165"/>
      <c r="AAS26" s="165"/>
      <c r="AAT26" s="165"/>
      <c r="AAU26" s="165"/>
      <c r="AAV26" s="165"/>
      <c r="AAZ26" s="165" t="s">
        <v>59</v>
      </c>
      <c r="ABA26" s="165"/>
      <c r="ABB26" s="165"/>
      <c r="ABC26" s="165"/>
      <c r="ABD26" s="165"/>
      <c r="ABE26" s="165"/>
      <c r="ABF26" s="165"/>
      <c r="ABG26" s="165"/>
      <c r="ABH26" s="165"/>
      <c r="ABI26" s="165"/>
      <c r="ABM26" s="165" t="s">
        <v>59</v>
      </c>
      <c r="ABN26" s="165"/>
      <c r="ABO26" s="165"/>
      <c r="ABP26" s="165"/>
      <c r="ABQ26" s="165"/>
      <c r="ABR26" s="165"/>
      <c r="ABS26" s="165"/>
      <c r="ABT26" s="165"/>
      <c r="ABU26" s="165"/>
      <c r="ABV26" s="165"/>
      <c r="ABZ26" s="165" t="s">
        <v>59</v>
      </c>
      <c r="ACA26" s="165"/>
      <c r="ACB26" s="165"/>
      <c r="ACC26" s="165"/>
      <c r="ACD26" s="165"/>
      <c r="ACE26" s="165"/>
      <c r="ACF26" s="165"/>
      <c r="ACG26" s="165"/>
      <c r="ACH26" s="165"/>
      <c r="ACI26" s="165"/>
      <c r="ACM26" s="165" t="s">
        <v>59</v>
      </c>
      <c r="ACN26" s="165"/>
      <c r="ACO26" s="165"/>
      <c r="ACP26" s="165"/>
      <c r="ACQ26" s="165"/>
      <c r="ACR26" s="165"/>
      <c r="ACS26" s="165"/>
      <c r="ACT26" s="165"/>
      <c r="ACU26" s="165"/>
      <c r="ACV26" s="165"/>
      <c r="ACZ26" s="165" t="s">
        <v>59</v>
      </c>
      <c r="ADA26" s="165"/>
      <c r="ADB26" s="165"/>
      <c r="ADC26" s="165"/>
      <c r="ADD26" s="165"/>
      <c r="ADE26" s="165"/>
      <c r="ADF26" s="165"/>
      <c r="ADG26" s="165"/>
      <c r="ADH26" s="165"/>
      <c r="ADI26" s="165"/>
      <c r="ADM26" s="165" t="s">
        <v>59</v>
      </c>
      <c r="ADN26" s="165"/>
      <c r="ADO26" s="165"/>
      <c r="ADP26" s="165"/>
      <c r="ADQ26" s="165"/>
      <c r="ADR26" s="165"/>
      <c r="ADS26" s="165"/>
      <c r="ADT26" s="165"/>
      <c r="ADU26" s="165"/>
      <c r="ADV26" s="165"/>
      <c r="ADZ26" s="165" t="s">
        <v>59</v>
      </c>
      <c r="AEA26" s="165"/>
      <c r="AEB26" s="165"/>
      <c r="AEC26" s="165"/>
      <c r="AED26" s="165"/>
      <c r="AEE26" s="165"/>
      <c r="AEF26" s="165"/>
      <c r="AEG26" s="165"/>
      <c r="AEH26" s="165"/>
      <c r="AEI26" s="165"/>
      <c r="AEM26" s="165" t="s">
        <v>59</v>
      </c>
      <c r="AEN26" s="165"/>
      <c r="AEO26" s="165"/>
      <c r="AEP26" s="165"/>
      <c r="AEQ26" s="165"/>
      <c r="AER26" s="165"/>
      <c r="AES26" s="165"/>
      <c r="AET26" s="165"/>
      <c r="AEU26" s="165"/>
      <c r="AEV26" s="165"/>
      <c r="AEZ26" s="165" t="s">
        <v>59</v>
      </c>
      <c r="AFA26" s="165"/>
      <c r="AFB26" s="165"/>
      <c r="AFC26" s="165"/>
      <c r="AFD26" s="165"/>
      <c r="AFE26" s="165"/>
      <c r="AFF26" s="165"/>
      <c r="AFG26" s="165"/>
      <c r="AFH26" s="165"/>
      <c r="AFI26" s="165"/>
      <c r="AFM26" s="165" t="s">
        <v>59</v>
      </c>
      <c r="AFN26" s="165"/>
      <c r="AFO26" s="165"/>
      <c r="AFP26" s="165"/>
      <c r="AFQ26" s="165"/>
      <c r="AFR26" s="165"/>
      <c r="AFS26" s="165"/>
      <c r="AFT26" s="165"/>
      <c r="AFU26" s="165"/>
      <c r="AFV26" s="165"/>
      <c r="AFZ26" s="165" t="s">
        <v>59</v>
      </c>
      <c r="AGA26" s="165"/>
      <c r="AGB26" s="165"/>
      <c r="AGC26" s="165"/>
      <c r="AGD26" s="165"/>
      <c r="AGE26" s="165"/>
      <c r="AGF26" s="165"/>
      <c r="AGG26" s="165"/>
      <c r="AGH26" s="165"/>
      <c r="AGI26" s="165"/>
      <c r="AGL26" s="165" t="s">
        <v>59</v>
      </c>
      <c r="AGM26" s="165"/>
      <c r="AGN26" s="165"/>
      <c r="AGO26" s="165"/>
      <c r="AGP26" s="165"/>
      <c r="AGQ26" s="165"/>
      <c r="AGR26" s="165"/>
      <c r="AGS26" s="165"/>
      <c r="AGT26" s="165"/>
      <c r="AGU26" s="165"/>
      <c r="AGX26" s="165" t="s">
        <v>59</v>
      </c>
      <c r="AGY26" s="165"/>
      <c r="AGZ26" s="165"/>
      <c r="AHA26" s="165"/>
      <c r="AHB26" s="165"/>
      <c r="AHC26" s="165"/>
      <c r="AHD26" s="165"/>
      <c r="AHE26" s="165"/>
      <c r="AHF26" s="165"/>
      <c r="AHG26" s="165"/>
      <c r="AHJ26" s="165" t="s">
        <v>59</v>
      </c>
      <c r="AHK26" s="165"/>
      <c r="AHL26" s="165"/>
      <c r="AHM26" s="165"/>
      <c r="AHN26" s="165"/>
      <c r="AHO26" s="165"/>
      <c r="AHP26" s="165"/>
      <c r="AHQ26" s="165"/>
      <c r="AHR26" s="165"/>
      <c r="AHS26" s="165"/>
      <c r="AHV26" s="165" t="s">
        <v>59</v>
      </c>
      <c r="AHW26" s="165"/>
      <c r="AHX26" s="165"/>
      <c r="AHY26" s="165"/>
      <c r="AHZ26" s="165"/>
      <c r="AIA26" s="165"/>
      <c r="AIB26" s="165"/>
      <c r="AIC26" s="165"/>
      <c r="AID26" s="165"/>
      <c r="AIE26" s="165"/>
      <c r="AIH26" s="165" t="s">
        <v>59</v>
      </c>
      <c r="AII26" s="165"/>
      <c r="AIJ26" s="165"/>
      <c r="AIK26" s="165"/>
      <c r="AIL26" s="165"/>
      <c r="AIM26" s="165"/>
      <c r="AIN26" s="165"/>
      <c r="AIO26" s="165"/>
      <c r="AIP26" s="165"/>
      <c r="AIQ26" s="165"/>
      <c r="AIT26" s="165" t="s">
        <v>59</v>
      </c>
      <c r="AIU26" s="165"/>
      <c r="AIV26" s="165"/>
      <c r="AIW26" s="165"/>
      <c r="AIX26" s="165"/>
      <c r="AIY26" s="165"/>
      <c r="AIZ26" s="165"/>
      <c r="AJA26" s="165"/>
      <c r="AJB26" s="165"/>
      <c r="AJC26" s="165"/>
      <c r="AJF26" s="165" t="s">
        <v>59</v>
      </c>
      <c r="AJG26" s="165"/>
      <c r="AJH26" s="165"/>
      <c r="AJI26" s="165"/>
      <c r="AJJ26" s="165"/>
      <c r="AJK26" s="165"/>
      <c r="AJL26" s="165"/>
      <c r="AJM26" s="165"/>
      <c r="AJN26" s="165"/>
      <c r="AJO26" s="165"/>
      <c r="AJR26" s="165" t="s">
        <v>59</v>
      </c>
      <c r="AJS26" s="165"/>
      <c r="AJT26" s="165"/>
      <c r="AJU26" s="165"/>
      <c r="AJV26" s="165"/>
      <c r="AJW26" s="165"/>
      <c r="AJX26" s="165"/>
      <c r="AJY26" s="165"/>
      <c r="AJZ26" s="165"/>
      <c r="AKA26" s="165"/>
      <c r="AKD26" s="165" t="s">
        <v>59</v>
      </c>
      <c r="AKE26" s="165"/>
      <c r="AKF26" s="165"/>
      <c r="AKG26" s="165"/>
      <c r="AKH26" s="165"/>
      <c r="AKI26" s="165"/>
      <c r="AKJ26" s="165"/>
      <c r="AKK26" s="165"/>
      <c r="AKL26" s="165"/>
      <c r="AKM26" s="165"/>
      <c r="AKP26" s="165" t="s">
        <v>59</v>
      </c>
      <c r="AKQ26" s="165"/>
      <c r="AKR26" s="165"/>
      <c r="AKS26" s="165"/>
      <c r="AKT26" s="165"/>
      <c r="AKU26" s="165"/>
      <c r="AKV26" s="165"/>
      <c r="AKW26" s="165"/>
      <c r="AKX26" s="165"/>
      <c r="AKY26" s="165"/>
      <c r="ALB26" s="165" t="s">
        <v>59</v>
      </c>
      <c r="ALC26" s="165"/>
      <c r="ALD26" s="165"/>
      <c r="ALE26" s="165"/>
      <c r="ALF26" s="165"/>
      <c r="ALG26" s="165"/>
      <c r="ALH26" s="165"/>
      <c r="ALI26" s="165"/>
      <c r="ALJ26" s="165"/>
      <c r="ALK26" s="165"/>
      <c r="ALN26" s="165" t="s">
        <v>59</v>
      </c>
      <c r="ALO26" s="165"/>
      <c r="ALP26" s="165"/>
      <c r="ALQ26" s="165"/>
      <c r="ALR26" s="165"/>
      <c r="ALS26" s="165"/>
      <c r="ALT26" s="165"/>
      <c r="ALU26" s="165"/>
      <c r="ALV26" s="165"/>
      <c r="ALW26" s="165"/>
      <c r="ALZ26" s="165" t="s">
        <v>59</v>
      </c>
      <c r="AMA26" s="165"/>
      <c r="AMB26" s="165"/>
      <c r="AMC26" s="165"/>
      <c r="AMD26" s="165"/>
      <c r="AME26" s="165"/>
      <c r="AMF26" s="165"/>
      <c r="AMG26" s="165"/>
      <c r="AMH26" s="165"/>
      <c r="AMI26" s="165"/>
      <c r="AML26" s="165" t="s">
        <v>59</v>
      </c>
      <c r="AMM26" s="165"/>
      <c r="AMN26" s="165"/>
      <c r="AMO26" s="165"/>
      <c r="AMP26" s="165"/>
      <c r="AMQ26" s="165"/>
      <c r="AMR26" s="165"/>
      <c r="AMS26" s="165"/>
      <c r="AMT26" s="165"/>
      <c r="AMU26" s="165"/>
      <c r="AMX26" s="165" t="s">
        <v>59</v>
      </c>
      <c r="AMY26" s="165"/>
      <c r="AMZ26" s="165"/>
      <c r="ANA26" s="165"/>
      <c r="ANB26" s="165"/>
      <c r="ANC26" s="165"/>
      <c r="AND26" s="165"/>
      <c r="ANE26" s="165"/>
      <c r="ANF26" s="165"/>
      <c r="ANG26" s="165"/>
      <c r="ANJ26" s="165" t="s">
        <v>59</v>
      </c>
      <c r="ANK26" s="165"/>
      <c r="ANL26" s="165"/>
      <c r="ANM26" s="165"/>
      <c r="ANN26" s="165"/>
      <c r="ANO26" s="165"/>
      <c r="ANP26" s="165"/>
      <c r="ANQ26" s="165"/>
      <c r="ANR26" s="165"/>
      <c r="ANS26" s="165"/>
      <c r="ANV26" s="165" t="s">
        <v>59</v>
      </c>
      <c r="ANW26" s="165"/>
      <c r="ANX26" s="165"/>
      <c r="ANY26" s="165"/>
      <c r="ANZ26" s="165"/>
      <c r="AOA26" s="165"/>
      <c r="AOB26" s="165"/>
      <c r="AOC26" s="165"/>
      <c r="AOD26" s="165"/>
      <c r="AOE26" s="165"/>
      <c r="AOH26" s="165" t="s">
        <v>59</v>
      </c>
      <c r="AOI26" s="165"/>
      <c r="AOJ26" s="165"/>
      <c r="AOK26" s="165"/>
      <c r="AOL26" s="165"/>
      <c r="AOM26" s="165"/>
      <c r="AON26" s="165"/>
      <c r="AOO26" s="165"/>
      <c r="AOP26" s="165"/>
      <c r="AOQ26" s="165"/>
      <c r="AOT26" s="165" t="s">
        <v>59</v>
      </c>
      <c r="AOU26" s="165"/>
      <c r="AOV26" s="165"/>
      <c r="AOW26" s="165"/>
      <c r="AOX26" s="165"/>
      <c r="AOY26" s="165"/>
      <c r="AOZ26" s="165"/>
      <c r="APA26" s="165"/>
      <c r="APB26" s="165"/>
      <c r="APC26" s="165"/>
      <c r="APF26" s="165" t="s">
        <v>59</v>
      </c>
      <c r="APG26" s="165"/>
      <c r="APH26" s="165"/>
      <c r="API26" s="165"/>
      <c r="APJ26" s="165"/>
      <c r="APK26" s="165"/>
      <c r="APL26" s="165"/>
      <c r="APM26" s="165"/>
      <c r="APN26" s="165"/>
      <c r="APO26" s="165"/>
      <c r="APR26" s="165" t="s">
        <v>59</v>
      </c>
      <c r="APS26" s="165"/>
      <c r="APT26" s="165"/>
      <c r="APU26" s="165"/>
      <c r="APV26" s="165"/>
      <c r="APW26" s="165"/>
      <c r="APX26" s="165"/>
      <c r="APY26" s="165"/>
      <c r="APZ26" s="165"/>
      <c r="AQA26" s="165"/>
      <c r="AQD26" s="165" t="s">
        <v>59</v>
      </c>
      <c r="AQE26" s="165"/>
      <c r="AQF26" s="165"/>
      <c r="AQG26" s="165"/>
      <c r="AQH26" s="165"/>
      <c r="AQI26" s="165"/>
      <c r="AQJ26" s="165"/>
      <c r="AQK26" s="165"/>
      <c r="AQL26" s="165"/>
      <c r="AQM26" s="165"/>
      <c r="AQP26" s="165" t="s">
        <v>59</v>
      </c>
      <c r="AQQ26" s="165"/>
      <c r="AQR26" s="165"/>
      <c r="AQS26" s="165"/>
      <c r="AQT26" s="165"/>
      <c r="AQU26" s="165"/>
      <c r="AQV26" s="165"/>
      <c r="AQW26" s="165"/>
      <c r="AQX26" s="165"/>
      <c r="AQY26" s="165"/>
      <c r="ARB26" s="165" t="s">
        <v>59</v>
      </c>
      <c r="ARC26" s="165"/>
      <c r="ARD26" s="165"/>
      <c r="ARE26" s="165"/>
      <c r="ARF26" s="165"/>
      <c r="ARG26" s="165"/>
      <c r="ARH26" s="165"/>
      <c r="ARI26" s="165"/>
      <c r="ARJ26" s="165"/>
      <c r="ARK26" s="165"/>
      <c r="ARN26" s="165" t="s">
        <v>59</v>
      </c>
      <c r="ARO26" s="165"/>
      <c r="ARP26" s="165"/>
      <c r="ARQ26" s="165"/>
      <c r="ARR26" s="165"/>
      <c r="ARS26" s="165"/>
      <c r="ART26" s="165"/>
      <c r="ARU26" s="165"/>
      <c r="ARV26" s="165"/>
      <c r="ARW26" s="165"/>
      <c r="ARZ26" s="165" t="s">
        <v>59</v>
      </c>
      <c r="ASA26" s="165"/>
      <c r="ASB26" s="165"/>
      <c r="ASC26" s="165"/>
      <c r="ASD26" s="165"/>
      <c r="ASE26" s="165"/>
      <c r="ASF26" s="165"/>
      <c r="ASG26" s="165"/>
      <c r="ASH26" s="165"/>
      <c r="ASI26" s="165"/>
      <c r="ASL26" s="165" t="s">
        <v>59</v>
      </c>
      <c r="ASM26" s="165"/>
      <c r="ASN26" s="165"/>
      <c r="ASO26" s="165"/>
      <c r="ASP26" s="165"/>
      <c r="ASQ26" s="165"/>
      <c r="ASR26" s="165"/>
      <c r="ASS26" s="165"/>
      <c r="AST26" s="165"/>
      <c r="ASU26" s="165"/>
      <c r="ASX26" s="165" t="s">
        <v>59</v>
      </c>
      <c r="ASY26" s="165"/>
      <c r="ASZ26" s="165"/>
      <c r="ATA26" s="165"/>
      <c r="ATB26" s="165"/>
      <c r="ATC26" s="165"/>
      <c r="ATD26" s="165"/>
      <c r="ATE26" s="165"/>
      <c r="ATF26" s="165"/>
      <c r="ATG26" s="165"/>
      <c r="ATJ26" s="165" t="s">
        <v>59</v>
      </c>
      <c r="ATK26" s="165"/>
      <c r="ATL26" s="165"/>
      <c r="ATM26" s="165"/>
      <c r="ATN26" s="165"/>
      <c r="ATO26" s="165"/>
      <c r="ATP26" s="165"/>
      <c r="ATQ26" s="165"/>
      <c r="ATR26" s="165"/>
      <c r="ATS26" s="165"/>
      <c r="ATV26" s="165" t="s">
        <v>59</v>
      </c>
      <c r="ATW26" s="165"/>
      <c r="ATX26" s="165"/>
      <c r="ATY26" s="165"/>
      <c r="ATZ26" s="165"/>
      <c r="AUA26" s="165"/>
      <c r="AUB26" s="165"/>
      <c r="AUC26" s="165"/>
      <c r="AUD26" s="165"/>
      <c r="AUE26" s="165"/>
      <c r="AUH26" s="165" t="s">
        <v>59</v>
      </c>
      <c r="AUI26" s="165"/>
      <c r="AUJ26" s="165"/>
      <c r="AUK26" s="165"/>
      <c r="AUL26" s="165"/>
      <c r="AUM26" s="165"/>
      <c r="AUN26" s="165"/>
      <c r="AUO26" s="165"/>
      <c r="AUP26" s="165"/>
      <c r="AUQ26" s="165"/>
      <c r="AUT26" s="165" t="s">
        <v>59</v>
      </c>
      <c r="AUU26" s="165"/>
      <c r="AUV26" s="165"/>
      <c r="AUW26" s="165"/>
      <c r="AUX26" s="165"/>
      <c r="AUY26" s="165"/>
      <c r="AUZ26" s="165"/>
      <c r="AVA26" s="165"/>
      <c r="AVB26" s="165"/>
      <c r="AVC26" s="165"/>
      <c r="AVF26" s="165" t="s">
        <v>59</v>
      </c>
      <c r="AVG26" s="165"/>
      <c r="AVH26" s="165"/>
      <c r="AVI26" s="165"/>
      <c r="AVJ26" s="165"/>
      <c r="AVK26" s="165"/>
      <c r="AVL26" s="165"/>
      <c r="AVM26" s="165"/>
      <c r="AVN26" s="165"/>
      <c r="AVO26" s="165"/>
      <c r="AVR26" s="165" t="s">
        <v>59</v>
      </c>
      <c r="AVS26" s="165"/>
      <c r="AVT26" s="165"/>
      <c r="AVU26" s="165"/>
      <c r="AVV26" s="165"/>
      <c r="AVW26" s="165"/>
      <c r="AVX26" s="165"/>
      <c r="AVY26" s="165"/>
      <c r="AVZ26" s="165"/>
      <c r="AWA26" s="165"/>
      <c r="AWD26" s="165" t="s">
        <v>59</v>
      </c>
      <c r="AWE26" s="165"/>
      <c r="AWF26" s="165"/>
      <c r="AWG26" s="165"/>
      <c r="AWH26" s="165"/>
      <c r="AWI26" s="165"/>
      <c r="AWJ26" s="165"/>
      <c r="AWK26" s="165"/>
      <c r="AWL26" s="165"/>
      <c r="AWM26" s="165"/>
      <c r="AWP26" s="165" t="s">
        <v>59</v>
      </c>
      <c r="AWQ26" s="165"/>
      <c r="AWR26" s="165"/>
      <c r="AWS26" s="165"/>
      <c r="AWT26" s="165"/>
      <c r="AWU26" s="165"/>
      <c r="AWV26" s="165"/>
      <c r="AWW26" s="165"/>
      <c r="AWX26" s="165"/>
      <c r="AWY26" s="165"/>
      <c r="AXB26" s="165" t="s">
        <v>59</v>
      </c>
      <c r="AXC26" s="165"/>
      <c r="AXD26" s="165"/>
      <c r="AXE26" s="165"/>
      <c r="AXF26" s="165"/>
      <c r="AXG26" s="165"/>
      <c r="AXH26" s="165"/>
      <c r="AXI26" s="165"/>
      <c r="AXJ26" s="165"/>
      <c r="AXK26" s="165"/>
      <c r="AXN26" s="165" t="s">
        <v>59</v>
      </c>
      <c r="AXO26" s="165"/>
      <c r="AXP26" s="165"/>
      <c r="AXQ26" s="165"/>
      <c r="AXR26" s="165"/>
      <c r="AXS26" s="165"/>
      <c r="AXT26" s="165"/>
      <c r="AXU26" s="165"/>
      <c r="AXV26" s="165"/>
      <c r="AXW26" s="165"/>
      <c r="AXZ26" s="165" t="s">
        <v>59</v>
      </c>
      <c r="AYA26" s="165"/>
      <c r="AYB26" s="165"/>
      <c r="AYC26" s="165"/>
      <c r="AYD26" s="165"/>
      <c r="AYE26" s="165"/>
      <c r="AYF26" s="165"/>
      <c r="AYG26" s="165"/>
      <c r="AYH26" s="165"/>
      <c r="AYI26" s="165"/>
      <c r="AYL26" s="165" t="s">
        <v>59</v>
      </c>
      <c r="AYM26" s="165"/>
      <c r="AYN26" s="165"/>
      <c r="AYO26" s="165"/>
      <c r="AYP26" s="165"/>
      <c r="AYQ26" s="165"/>
      <c r="AYR26" s="165"/>
      <c r="AYS26" s="165"/>
      <c r="AYT26" s="165"/>
      <c r="AYU26" s="165"/>
      <c r="AYX26" s="165" t="s">
        <v>59</v>
      </c>
      <c r="AYY26" s="165"/>
      <c r="AYZ26" s="165"/>
      <c r="AZA26" s="165"/>
      <c r="AZB26" s="165"/>
      <c r="AZC26" s="165"/>
      <c r="AZD26" s="165"/>
      <c r="AZE26" s="165"/>
      <c r="AZF26" s="165"/>
      <c r="AZG26" s="165"/>
      <c r="AZJ26" s="165" t="s">
        <v>59</v>
      </c>
      <c r="AZK26" s="165"/>
      <c r="AZL26" s="165"/>
      <c r="AZM26" s="165"/>
      <c r="AZN26" s="165"/>
      <c r="AZO26" s="165"/>
      <c r="AZP26" s="165"/>
      <c r="AZQ26" s="165"/>
      <c r="AZR26" s="165"/>
      <c r="AZS26" s="165"/>
      <c r="AZV26" s="165" t="s">
        <v>59</v>
      </c>
      <c r="AZW26" s="165"/>
      <c r="AZX26" s="165"/>
      <c r="AZY26" s="165"/>
      <c r="AZZ26" s="165"/>
      <c r="BAA26" s="165"/>
      <c r="BAB26" s="165"/>
      <c r="BAC26" s="165"/>
      <c r="BAD26" s="165"/>
      <c r="BAE26" s="165"/>
      <c r="BAH26" s="165" t="s">
        <v>59</v>
      </c>
      <c r="BAI26" s="165"/>
      <c r="BAJ26" s="165"/>
      <c r="BAK26" s="165"/>
      <c r="BAL26" s="165"/>
      <c r="BAM26" s="165"/>
      <c r="BAN26" s="165"/>
      <c r="BAO26" s="165"/>
      <c r="BAP26" s="165"/>
      <c r="BAQ26" s="165"/>
      <c r="BAT26" s="165" t="s">
        <v>59</v>
      </c>
      <c r="BAU26" s="165"/>
      <c r="BAV26" s="165"/>
      <c r="BAW26" s="165"/>
      <c r="BAX26" s="165"/>
      <c r="BAY26" s="165"/>
      <c r="BAZ26" s="165"/>
      <c r="BBA26" s="165"/>
      <c r="BBB26" s="165"/>
      <c r="BBC26" s="165"/>
      <c r="BBF26" s="165" t="s">
        <v>59</v>
      </c>
      <c r="BBG26" s="165"/>
      <c r="BBH26" s="165"/>
      <c r="BBI26" s="165"/>
      <c r="BBJ26" s="165"/>
      <c r="BBK26" s="165"/>
      <c r="BBL26" s="165"/>
      <c r="BBM26" s="165"/>
      <c r="BBN26" s="165"/>
      <c r="BBO26" s="165"/>
      <c r="BBR26" s="165" t="s">
        <v>59</v>
      </c>
      <c r="BBS26" s="165"/>
      <c r="BBT26" s="165"/>
      <c r="BBU26" s="165"/>
      <c r="BBV26" s="165"/>
      <c r="BBW26" s="165"/>
      <c r="BBX26" s="165"/>
      <c r="BBY26" s="165"/>
      <c r="BBZ26" s="165"/>
      <c r="BCA26" s="165"/>
      <c r="BCD26" s="165" t="s">
        <v>59</v>
      </c>
      <c r="BCE26" s="165"/>
      <c r="BCF26" s="165"/>
      <c r="BCG26" s="165"/>
      <c r="BCH26" s="165"/>
      <c r="BCI26" s="165"/>
      <c r="BCJ26" s="165"/>
      <c r="BCK26" s="165"/>
      <c r="BCL26" s="165"/>
      <c r="BCM26" s="165"/>
      <c r="BCP26" s="165" t="s">
        <v>59</v>
      </c>
      <c r="BCQ26" s="165"/>
      <c r="BCR26" s="165"/>
      <c r="BCS26" s="165"/>
      <c r="BCT26" s="165"/>
      <c r="BCU26" s="165"/>
      <c r="BCV26" s="165"/>
      <c r="BCW26" s="165"/>
      <c r="BCX26" s="165"/>
      <c r="BCY26" s="165"/>
      <c r="BDB26" s="165" t="s">
        <v>59</v>
      </c>
      <c r="BDC26" s="165"/>
      <c r="BDD26" s="165"/>
      <c r="BDE26" s="165"/>
      <c r="BDF26" s="165"/>
      <c r="BDG26" s="165"/>
      <c r="BDH26" s="165"/>
      <c r="BDI26" s="165"/>
      <c r="BDJ26" s="165"/>
      <c r="BDK26" s="165"/>
      <c r="BDN26" s="165" t="s">
        <v>59</v>
      </c>
      <c r="BDO26" s="165"/>
      <c r="BDP26" s="165"/>
      <c r="BDQ26" s="165"/>
      <c r="BDR26" s="165"/>
      <c r="BDS26" s="165"/>
      <c r="BDT26" s="165"/>
      <c r="BDU26" s="165"/>
      <c r="BDV26" s="165"/>
      <c r="BDW26" s="165"/>
      <c r="BDZ26" s="165" t="s">
        <v>59</v>
      </c>
      <c r="BEA26" s="165"/>
      <c r="BEB26" s="165"/>
      <c r="BEC26" s="165"/>
      <c r="BED26" s="165"/>
      <c r="BEE26" s="165"/>
      <c r="BEF26" s="165"/>
      <c r="BEG26" s="165"/>
      <c r="BEH26" s="165"/>
      <c r="BEI26" s="165"/>
      <c r="BEL26" s="165" t="s">
        <v>59</v>
      </c>
      <c r="BEM26" s="165"/>
      <c r="BEN26" s="165"/>
      <c r="BEO26" s="165"/>
      <c r="BEP26" s="165"/>
      <c r="BEQ26" s="165"/>
      <c r="BER26" s="165"/>
      <c r="BES26" s="165"/>
      <c r="BET26" s="165"/>
      <c r="BEU26" s="165"/>
      <c r="BEX26" s="165" t="s">
        <v>59</v>
      </c>
      <c r="BEY26" s="165"/>
      <c r="BEZ26" s="165"/>
      <c r="BFA26" s="165"/>
      <c r="BFB26" s="165"/>
      <c r="BFC26" s="165"/>
      <c r="BFD26" s="165"/>
      <c r="BFE26" s="165"/>
      <c r="BFF26" s="165"/>
      <c r="BFG26" s="165"/>
      <c r="BFJ26" s="165" t="s">
        <v>59</v>
      </c>
      <c r="BFK26" s="165"/>
      <c r="BFL26" s="165"/>
      <c r="BFM26" s="165"/>
      <c r="BFN26" s="165"/>
      <c r="BFO26" s="165"/>
      <c r="BFP26" s="165"/>
      <c r="BFQ26" s="165"/>
      <c r="BFR26" s="165"/>
      <c r="BFS26" s="165"/>
      <c r="BFV26" s="165" t="s">
        <v>59</v>
      </c>
      <c r="BFW26" s="165"/>
      <c r="BFX26" s="165"/>
      <c r="BFY26" s="165"/>
      <c r="BFZ26" s="165"/>
      <c r="BGA26" s="165"/>
      <c r="BGB26" s="165"/>
      <c r="BGC26" s="165"/>
      <c r="BGD26" s="165"/>
      <c r="BGE26" s="165"/>
      <c r="BGH26" s="165" t="s">
        <v>59</v>
      </c>
      <c r="BGI26" s="165"/>
      <c r="BGJ26" s="165"/>
      <c r="BGK26" s="165"/>
      <c r="BGL26" s="165"/>
      <c r="BGM26" s="165"/>
      <c r="BGN26" s="165"/>
      <c r="BGO26" s="165"/>
      <c r="BGP26" s="165"/>
      <c r="BGQ26" s="165"/>
      <c r="BGT26" s="165" t="s">
        <v>59</v>
      </c>
      <c r="BGU26" s="165"/>
      <c r="BGV26" s="165"/>
      <c r="BGW26" s="165"/>
      <c r="BGX26" s="165"/>
      <c r="BGY26" s="165"/>
      <c r="BGZ26" s="165"/>
      <c r="BHA26" s="165"/>
      <c r="BHB26" s="165"/>
      <c r="BHC26" s="165"/>
      <c r="BHF26" s="165" t="s">
        <v>59</v>
      </c>
      <c r="BHG26" s="165"/>
      <c r="BHH26" s="165"/>
      <c r="BHI26" s="165"/>
      <c r="BHJ26" s="165"/>
      <c r="BHK26" s="165"/>
      <c r="BHL26" s="165"/>
      <c r="BHM26" s="165"/>
      <c r="BHN26" s="165"/>
      <c r="BHO26" s="165"/>
      <c r="BHR26" s="165"/>
      <c r="BHS26" s="165"/>
      <c r="BHT26" s="165"/>
      <c r="BHU26" s="165"/>
      <c r="BHV26" s="165"/>
      <c r="BHW26" s="165"/>
      <c r="BHX26" s="165"/>
      <c r="BHY26" s="165"/>
      <c r="BHZ26" s="165"/>
      <c r="BIA26" s="165"/>
      <c r="BID26" s="165"/>
      <c r="BIE26" s="165"/>
      <c r="BIF26" s="165"/>
      <c r="BIG26" s="165"/>
      <c r="BIH26" s="165"/>
      <c r="BII26" s="165"/>
      <c r="BIJ26" s="165"/>
      <c r="BIK26" s="165"/>
      <c r="BIL26" s="165"/>
      <c r="BIM26" s="165"/>
      <c r="BIP26" s="165"/>
      <c r="BIQ26" s="165"/>
      <c r="BIR26" s="165"/>
      <c r="BIS26" s="165"/>
      <c r="BIT26" s="165"/>
      <c r="BIU26" s="165"/>
      <c r="BIV26" s="165"/>
      <c r="BIW26" s="165"/>
      <c r="BIX26" s="165"/>
      <c r="BIY26" s="165"/>
      <c r="BJB26" s="165"/>
      <c r="BJC26" s="165"/>
      <c r="BJD26" s="165"/>
      <c r="BJE26" s="165"/>
      <c r="BJF26" s="165"/>
      <c r="BJG26" s="165"/>
      <c r="BJH26" s="165"/>
      <c r="BJI26" s="165"/>
      <c r="BJJ26" s="165"/>
      <c r="BJK26" s="165"/>
      <c r="BJN26" s="165"/>
      <c r="BJO26" s="165"/>
      <c r="BJP26" s="165"/>
      <c r="BJQ26" s="165"/>
      <c r="BJR26" s="165"/>
      <c r="BJS26" s="165"/>
      <c r="BJT26" s="165"/>
      <c r="BJU26" s="165"/>
      <c r="BJV26" s="165"/>
      <c r="BJW26" s="165"/>
      <c r="BJZ26" s="165"/>
      <c r="BKA26" s="165"/>
      <c r="BKB26" s="165"/>
      <c r="BKC26" s="165"/>
      <c r="BKD26" s="165"/>
      <c r="BKE26" s="165"/>
      <c r="BKF26" s="165"/>
      <c r="BKG26" s="165"/>
      <c r="BKH26" s="165"/>
      <c r="BKI26" s="165"/>
      <c r="BKL26" s="165"/>
      <c r="BKM26" s="165"/>
      <c r="BKN26" s="165"/>
      <c r="BKO26" s="165"/>
      <c r="BKP26" s="165"/>
      <c r="BKQ26" s="165"/>
      <c r="BKR26" s="165"/>
      <c r="BKS26" s="165"/>
      <c r="BKT26" s="165"/>
      <c r="BKU26" s="165"/>
      <c r="BKX26" s="165"/>
      <c r="BKY26" s="165"/>
      <c r="BKZ26" s="165"/>
      <c r="BLA26" s="165"/>
      <c r="BLB26" s="165"/>
      <c r="BLC26" s="165"/>
      <c r="BLD26" s="165"/>
      <c r="BLE26" s="165"/>
      <c r="BLF26" s="165"/>
      <c r="BLG26" s="165"/>
      <c r="BLJ26" s="165"/>
      <c r="BLK26" s="165"/>
      <c r="BLL26" s="165"/>
      <c r="BLM26" s="165"/>
      <c r="BLN26" s="165"/>
      <c r="BLO26" s="165"/>
      <c r="BLP26" s="165"/>
      <c r="BLQ26" s="165"/>
      <c r="BLR26" s="165"/>
      <c r="BLS26" s="165"/>
      <c r="BLV26" s="165"/>
      <c r="BLW26" s="165"/>
      <c r="BLX26" s="165"/>
      <c r="BLY26" s="165"/>
      <c r="BLZ26" s="165"/>
      <c r="BMA26" s="165"/>
      <c r="BMB26" s="165"/>
      <c r="BMC26" s="165"/>
      <c r="BMD26" s="165"/>
      <c r="BME26" s="165"/>
      <c r="BMH26" s="165"/>
      <c r="BMI26" s="165"/>
      <c r="BMJ26" s="165"/>
      <c r="BMK26" s="165"/>
      <c r="BML26" s="165"/>
      <c r="BMM26" s="165"/>
      <c r="BMN26" s="165"/>
      <c r="BMO26" s="165"/>
      <c r="BMP26" s="165"/>
      <c r="BMQ26" s="165"/>
      <c r="BMT26" s="165"/>
      <c r="BMU26" s="165"/>
      <c r="BMV26" s="165"/>
      <c r="BMW26" s="165"/>
      <c r="BMX26" s="165"/>
      <c r="BMY26" s="165"/>
      <c r="BMZ26" s="165"/>
      <c r="BNA26" s="165"/>
      <c r="BNB26" s="165"/>
      <c r="BNC26" s="165"/>
      <c r="BNF26" s="165"/>
      <c r="BNG26" s="165"/>
      <c r="BNH26" s="165"/>
      <c r="BNI26" s="165"/>
      <c r="BNJ26" s="165"/>
      <c r="BNK26" s="165"/>
      <c r="BNL26" s="165"/>
      <c r="BNM26" s="165"/>
      <c r="BNN26" s="165"/>
      <c r="BNO26" s="165"/>
      <c r="BNR26" s="165"/>
      <c r="BNS26" s="165"/>
      <c r="BNT26" s="165"/>
      <c r="BNU26" s="165"/>
      <c r="BNV26" s="165"/>
      <c r="BNW26" s="165"/>
      <c r="BNX26" s="165"/>
      <c r="BNY26" s="165"/>
      <c r="BNZ26" s="165"/>
      <c r="BOA26" s="165"/>
      <c r="BOD26" s="165"/>
      <c r="BOE26" s="165"/>
      <c r="BOF26" s="165"/>
      <c r="BOG26" s="165"/>
      <c r="BOH26" s="165"/>
      <c r="BOI26" s="165"/>
      <c r="BOJ26" s="165"/>
      <c r="BOK26" s="165"/>
      <c r="BOL26" s="165"/>
      <c r="BOM26" s="165"/>
      <c r="BOP26" s="165"/>
      <c r="BOQ26" s="165"/>
      <c r="BOR26" s="165"/>
      <c r="BOS26" s="165"/>
      <c r="BOT26" s="165"/>
      <c r="BOU26" s="165"/>
      <c r="BOV26" s="165"/>
      <c r="BOW26" s="165"/>
      <c r="BOX26" s="165"/>
      <c r="BOY26" s="165"/>
      <c r="BPB26" s="165"/>
      <c r="BPC26" s="165"/>
      <c r="BPD26" s="165"/>
      <c r="BPE26" s="165"/>
      <c r="BPF26" s="165"/>
      <c r="BPG26" s="165"/>
      <c r="BPH26" s="165"/>
      <c r="BPI26" s="165"/>
      <c r="BPJ26" s="165"/>
      <c r="BPK26" s="165"/>
      <c r="BPN26" s="165"/>
      <c r="BPO26" s="165"/>
      <c r="BPP26" s="165"/>
      <c r="BPQ26" s="165"/>
      <c r="BPR26" s="165"/>
      <c r="BPS26" s="165"/>
      <c r="BPT26" s="165"/>
      <c r="BPU26" s="165"/>
      <c r="BPV26" s="165"/>
      <c r="BPW26" s="165"/>
      <c r="BPZ26" s="165"/>
      <c r="BQA26" s="165"/>
      <c r="BQB26" s="165"/>
      <c r="BQC26" s="165"/>
      <c r="BQD26" s="165"/>
      <c r="BQE26" s="165"/>
      <c r="BQF26" s="165"/>
      <c r="BQG26" s="165"/>
      <c r="BQH26" s="165"/>
      <c r="BQI26" s="165"/>
      <c r="BQL26" s="165"/>
      <c r="BQM26" s="165"/>
      <c r="BQN26" s="165"/>
      <c r="BQO26" s="165"/>
      <c r="BQP26" s="165"/>
      <c r="BQQ26" s="165"/>
      <c r="BQR26" s="165"/>
      <c r="BQS26" s="165"/>
      <c r="BQT26" s="165"/>
      <c r="BQU26" s="165"/>
      <c r="BQX26" s="165"/>
      <c r="BQY26" s="165"/>
      <c r="BQZ26" s="165"/>
      <c r="BRA26" s="165"/>
      <c r="BRB26" s="165"/>
      <c r="BRC26" s="165"/>
      <c r="BRD26" s="165"/>
      <c r="BRE26" s="165"/>
      <c r="BRF26" s="165"/>
      <c r="BRG26" s="165"/>
      <c r="BRJ26" s="165"/>
      <c r="BRK26" s="165"/>
      <c r="BRL26" s="165"/>
      <c r="BRM26" s="165"/>
      <c r="BRN26" s="165"/>
      <c r="BRO26" s="165"/>
      <c r="BRP26" s="165"/>
      <c r="BRQ26" s="165"/>
      <c r="BRR26" s="165"/>
      <c r="BRS26" s="165"/>
      <c r="BRV26" s="165"/>
      <c r="BRW26" s="165"/>
      <c r="BRX26" s="165"/>
      <c r="BRY26" s="165"/>
      <c r="BRZ26" s="165"/>
      <c r="BSA26" s="165"/>
      <c r="BSB26" s="165"/>
      <c r="BSC26" s="165"/>
      <c r="BSD26" s="165"/>
      <c r="BSE26" s="165"/>
      <c r="BSH26" s="165"/>
      <c r="BSI26" s="165"/>
      <c r="BSJ26" s="165"/>
      <c r="BSK26" s="165"/>
      <c r="BSL26" s="165"/>
      <c r="BSM26" s="165"/>
      <c r="BSN26" s="165"/>
      <c r="BSO26" s="165"/>
      <c r="BSP26" s="165"/>
      <c r="BSQ26" s="165"/>
      <c r="BST26" s="165"/>
      <c r="BSU26" s="165"/>
      <c r="BSV26" s="165"/>
      <c r="BSW26" s="165"/>
      <c r="BSX26" s="165"/>
      <c r="BSY26" s="165"/>
      <c r="BSZ26" s="165"/>
      <c r="BTA26" s="165"/>
      <c r="BTB26" s="165"/>
      <c r="BTC26" s="165"/>
      <c r="BTF26" s="165"/>
      <c r="BTG26" s="165"/>
      <c r="BTH26" s="165"/>
      <c r="BTI26" s="165"/>
      <c r="BTJ26" s="165"/>
      <c r="BTK26" s="165"/>
      <c r="BTL26" s="165"/>
      <c r="BTM26" s="165"/>
      <c r="BTN26" s="165"/>
      <c r="BTO26" s="165"/>
      <c r="BTR26" s="165"/>
      <c r="BTS26" s="165"/>
      <c r="BTT26" s="165"/>
      <c r="BTU26" s="165"/>
      <c r="BTV26" s="165"/>
      <c r="BTW26" s="165"/>
      <c r="BTX26" s="165"/>
      <c r="BTY26" s="165"/>
      <c r="BTZ26" s="165"/>
      <c r="BUA26" s="165"/>
      <c r="BUD26" s="165"/>
      <c r="BUE26" s="165"/>
      <c r="BUF26" s="165"/>
      <c r="BUG26" s="165"/>
      <c r="BUH26" s="165"/>
      <c r="BUI26" s="165"/>
      <c r="BUJ26" s="165"/>
      <c r="BUK26" s="165"/>
      <c r="BUL26" s="165"/>
      <c r="BUM26" s="165"/>
      <c r="BUP26" s="165"/>
      <c r="BUQ26" s="165"/>
      <c r="BUR26" s="165"/>
      <c r="BUS26" s="165"/>
      <c r="BUT26" s="165"/>
      <c r="BUU26" s="165"/>
      <c r="BUV26" s="165"/>
      <c r="BUW26" s="165"/>
      <c r="BUX26" s="165"/>
      <c r="BUY26" s="165"/>
      <c r="BVB26" s="165"/>
      <c r="BVC26" s="165"/>
      <c r="BVD26" s="165"/>
      <c r="BVE26" s="165"/>
      <c r="BVF26" s="165"/>
      <c r="BVG26" s="165"/>
      <c r="BVH26" s="165"/>
      <c r="BVI26" s="165"/>
      <c r="BVJ26" s="165"/>
      <c r="BVK26" s="165"/>
      <c r="BVN26" s="165"/>
      <c r="BVO26" s="165"/>
      <c r="BVP26" s="165"/>
      <c r="BVQ26" s="165"/>
      <c r="BVR26" s="165"/>
      <c r="BVS26" s="165"/>
      <c r="BVT26" s="165"/>
      <c r="BVU26" s="165"/>
      <c r="BVV26" s="165"/>
      <c r="BVW26" s="165"/>
      <c r="BVZ26" s="165"/>
      <c r="BWA26" s="165"/>
      <c r="BWB26" s="165"/>
      <c r="BWC26" s="165"/>
      <c r="BWD26" s="165"/>
      <c r="BWE26" s="165"/>
      <c r="BWF26" s="165"/>
      <c r="BWG26" s="165"/>
      <c r="BWH26" s="165"/>
      <c r="BWI26" s="165"/>
      <c r="BWL26" s="165"/>
      <c r="BWM26" s="165"/>
      <c r="BWN26" s="165"/>
      <c r="BWO26" s="165"/>
      <c r="BWP26" s="165"/>
      <c r="BWQ26" s="165"/>
      <c r="BWR26" s="165"/>
      <c r="BWS26" s="165"/>
      <c r="BWT26" s="165"/>
      <c r="BWU26" s="165"/>
      <c r="BWX26" s="165"/>
      <c r="BWY26" s="165"/>
      <c r="BWZ26" s="165"/>
      <c r="BXA26" s="165"/>
      <c r="BXB26" s="165"/>
      <c r="BXC26" s="165"/>
      <c r="BXD26" s="165"/>
      <c r="BXE26" s="165"/>
      <c r="BXF26" s="165"/>
      <c r="BXG26" s="165"/>
      <c r="BXJ26" s="165"/>
      <c r="BXK26" s="165"/>
      <c r="BXL26" s="165"/>
      <c r="BXM26" s="165"/>
      <c r="BXN26" s="165"/>
      <c r="BXO26" s="165"/>
      <c r="BXP26" s="165"/>
      <c r="BXQ26" s="165"/>
      <c r="BXR26" s="165"/>
      <c r="BXS26" s="165"/>
      <c r="BXV26" s="165"/>
      <c r="BXW26" s="165"/>
      <c r="BXX26" s="165"/>
      <c r="BXY26" s="165"/>
      <c r="BXZ26" s="165"/>
      <c r="BYA26" s="165"/>
      <c r="BYB26" s="165"/>
      <c r="BYC26" s="165"/>
      <c r="BYD26" s="165"/>
      <c r="BYE26" s="165"/>
      <c r="BYH26" s="165"/>
      <c r="BYI26" s="165"/>
      <c r="BYJ26" s="165"/>
      <c r="BYK26" s="165"/>
      <c r="BYL26" s="165"/>
      <c r="BYM26" s="165"/>
      <c r="BYN26" s="165"/>
      <c r="BYO26" s="165"/>
      <c r="BYP26" s="165"/>
      <c r="BYQ26" s="165"/>
      <c r="BYT26" s="165"/>
      <c r="BYU26" s="165"/>
      <c r="BYV26" s="165"/>
      <c r="BYW26" s="165"/>
      <c r="BYX26" s="165"/>
      <c r="BYY26" s="165"/>
      <c r="BYZ26" s="165"/>
      <c r="BZA26" s="165"/>
      <c r="BZB26" s="165"/>
      <c r="BZC26" s="165"/>
      <c r="BZF26" s="165"/>
      <c r="BZG26" s="165"/>
      <c r="BZH26" s="165"/>
      <c r="BZI26" s="165"/>
      <c r="BZJ26" s="165"/>
      <c r="BZK26" s="165"/>
      <c r="BZL26" s="165"/>
      <c r="BZM26" s="165"/>
      <c r="BZN26" s="165"/>
      <c r="BZO26" s="165"/>
      <c r="BZR26" s="165"/>
      <c r="BZS26" s="165"/>
      <c r="BZT26" s="165"/>
      <c r="BZU26" s="165"/>
      <c r="BZV26" s="165"/>
      <c r="BZW26" s="165"/>
      <c r="BZX26" s="165"/>
      <c r="BZY26" s="165"/>
      <c r="BZZ26" s="165"/>
      <c r="CAA26" s="165"/>
      <c r="CAD26" s="165"/>
      <c r="CAE26" s="165"/>
      <c r="CAF26" s="165"/>
      <c r="CAG26" s="165"/>
      <c r="CAH26" s="165"/>
      <c r="CAI26" s="165"/>
      <c r="CAJ26" s="165"/>
      <c r="CAK26" s="165"/>
      <c r="CAL26" s="165"/>
      <c r="CAM26" s="165"/>
      <c r="CAP26" s="165"/>
      <c r="CAQ26" s="165"/>
      <c r="CAR26" s="165"/>
      <c r="CAS26" s="165"/>
      <c r="CAT26" s="165"/>
      <c r="CAU26" s="165"/>
      <c r="CAV26" s="165"/>
      <c r="CAW26" s="165"/>
      <c r="CAX26" s="165"/>
      <c r="CAY26" s="165"/>
      <c r="CBB26" s="165"/>
      <c r="CBC26" s="165"/>
      <c r="CBD26" s="165"/>
      <c r="CBE26" s="165"/>
      <c r="CBF26" s="165"/>
      <c r="CBG26" s="165"/>
      <c r="CBH26" s="165"/>
      <c r="CBI26" s="165"/>
      <c r="CBJ26" s="165"/>
      <c r="CBK26" s="165"/>
      <c r="CBN26" s="165"/>
      <c r="CBO26" s="165"/>
      <c r="CBP26" s="165"/>
      <c r="CBQ26" s="165"/>
      <c r="CBR26" s="165"/>
      <c r="CBS26" s="165"/>
      <c r="CBT26" s="165"/>
      <c r="CBU26" s="165"/>
      <c r="CBV26" s="165"/>
      <c r="CBW26" s="165"/>
      <c r="CBZ26" s="165"/>
      <c r="CCA26" s="165"/>
      <c r="CCB26" s="165"/>
      <c r="CCC26" s="165"/>
      <c r="CCD26" s="165"/>
      <c r="CCE26" s="165"/>
      <c r="CCF26" s="165"/>
      <c r="CCG26" s="165"/>
      <c r="CCH26" s="165"/>
      <c r="CCI26" s="165"/>
      <c r="CCL26" s="165"/>
      <c r="CCM26" s="165"/>
      <c r="CCN26" s="165"/>
      <c r="CCO26" s="165"/>
      <c r="CCP26" s="165"/>
      <c r="CCQ26" s="165"/>
      <c r="CCR26" s="165"/>
      <c r="CCS26" s="165"/>
      <c r="CCT26" s="165"/>
      <c r="CCU26" s="165"/>
      <c r="CCX26" s="165"/>
      <c r="CCY26" s="165"/>
      <c r="CCZ26" s="165"/>
      <c r="CDA26" s="165"/>
      <c r="CDB26" s="165"/>
      <c r="CDC26" s="165"/>
      <c r="CDD26" s="165"/>
      <c r="CDE26" s="165"/>
      <c r="CDF26" s="165"/>
      <c r="CDG26" s="165"/>
      <c r="CDJ26" s="165"/>
      <c r="CDK26" s="165"/>
      <c r="CDL26" s="165"/>
      <c r="CDM26" s="165"/>
      <c r="CDN26" s="165"/>
      <c r="CDO26" s="165"/>
      <c r="CDP26" s="165"/>
      <c r="CDQ26" s="165"/>
      <c r="CDR26" s="165"/>
      <c r="CDS26" s="165"/>
      <c r="CDV26" s="165"/>
      <c r="CDW26" s="165"/>
      <c r="CDX26" s="165"/>
      <c r="CDY26" s="165"/>
      <c r="CDZ26" s="165"/>
      <c r="CEA26" s="165"/>
      <c r="CEB26" s="165"/>
      <c r="CEC26" s="165"/>
      <c r="CED26" s="165"/>
      <c r="CEE26" s="165"/>
      <c r="CEH26" s="165"/>
      <c r="CEI26" s="165"/>
      <c r="CEJ26" s="165"/>
      <c r="CEK26" s="165"/>
      <c r="CEL26" s="165"/>
      <c r="CEM26" s="165"/>
      <c r="CEN26" s="165"/>
      <c r="CEO26" s="165"/>
      <c r="CEP26" s="165"/>
      <c r="CEQ26" s="165"/>
      <c r="CET26" s="165"/>
      <c r="CEU26" s="165"/>
      <c r="CEV26" s="165"/>
      <c r="CEW26" s="165"/>
      <c r="CEX26" s="165"/>
      <c r="CEY26" s="165"/>
      <c r="CEZ26" s="165"/>
      <c r="CFA26" s="165"/>
      <c r="CFB26" s="165"/>
      <c r="CFC26" s="165"/>
      <c r="CFF26" s="165"/>
      <c r="CFG26" s="165"/>
      <c r="CFH26" s="165"/>
      <c r="CFI26" s="165"/>
      <c r="CFJ26" s="165"/>
      <c r="CFK26" s="165"/>
      <c r="CFL26" s="165"/>
      <c r="CFM26" s="165"/>
      <c r="CFN26" s="165"/>
      <c r="CFO26" s="165"/>
      <c r="CFR26" s="165"/>
      <c r="CFS26" s="165"/>
      <c r="CFT26" s="165"/>
      <c r="CFU26" s="165"/>
      <c r="CFV26" s="165"/>
      <c r="CFW26" s="165"/>
      <c r="CFX26" s="165"/>
      <c r="CFY26" s="165"/>
      <c r="CFZ26" s="165"/>
      <c r="CGA26" s="165"/>
      <c r="CGD26" s="165"/>
      <c r="CGE26" s="165"/>
      <c r="CGF26" s="165"/>
      <c r="CGG26" s="165"/>
      <c r="CGH26" s="165"/>
      <c r="CGI26" s="165"/>
      <c r="CGJ26" s="165"/>
      <c r="CGK26" s="165"/>
      <c r="CGL26" s="165"/>
      <c r="CGM26" s="165"/>
      <c r="CGP26" s="165"/>
      <c r="CGQ26" s="165"/>
      <c r="CGR26" s="165"/>
      <c r="CGS26" s="165"/>
      <c r="CGT26" s="165"/>
      <c r="CGU26" s="165"/>
      <c r="CGV26" s="165"/>
      <c r="CGW26" s="165"/>
      <c r="CGX26" s="165"/>
      <c r="CGY26" s="165"/>
      <c r="CHB26" s="165"/>
      <c r="CHC26" s="165"/>
      <c r="CHD26" s="165"/>
      <c r="CHE26" s="165"/>
      <c r="CHF26" s="165"/>
      <c r="CHG26" s="165"/>
      <c r="CHH26" s="165"/>
      <c r="CHI26" s="165"/>
      <c r="CHJ26" s="165"/>
      <c r="CHK26" s="165"/>
      <c r="CHN26" s="165"/>
      <c r="CHO26" s="165"/>
      <c r="CHP26" s="165"/>
      <c r="CHQ26" s="165"/>
      <c r="CHR26" s="165"/>
      <c r="CHS26" s="165"/>
      <c r="CHT26" s="165"/>
      <c r="CHU26" s="165"/>
      <c r="CHV26" s="165"/>
      <c r="CHW26" s="165"/>
      <c r="CHZ26" s="165"/>
      <c r="CIA26" s="165"/>
      <c r="CIB26" s="165"/>
      <c r="CIC26" s="165"/>
      <c r="CID26" s="165"/>
      <c r="CIE26" s="165"/>
      <c r="CIF26" s="165"/>
      <c r="CIG26" s="165"/>
      <c r="CIH26" s="165"/>
      <c r="CII26" s="165"/>
      <c r="CIL26" s="165"/>
      <c r="CIM26" s="165"/>
      <c r="CIN26" s="165"/>
      <c r="CIO26" s="165"/>
      <c r="CIP26" s="165"/>
      <c r="CIQ26" s="165"/>
      <c r="CIR26" s="165"/>
      <c r="CIS26" s="165"/>
      <c r="CIT26" s="165"/>
      <c r="CIU26" s="165"/>
      <c r="CIX26" s="165"/>
      <c r="CIY26" s="165"/>
      <c r="CIZ26" s="165"/>
      <c r="CJA26" s="165"/>
      <c r="CJB26" s="165"/>
      <c r="CJC26" s="165"/>
      <c r="CJD26" s="165"/>
      <c r="CJE26" s="165"/>
      <c r="CJF26" s="165"/>
      <c r="CJG26" s="165"/>
      <c r="CJJ26" s="165"/>
      <c r="CJK26" s="165"/>
      <c r="CJL26" s="165"/>
      <c r="CJM26" s="165"/>
      <c r="CJN26" s="165"/>
      <c r="CJO26" s="165"/>
      <c r="CJP26" s="165"/>
      <c r="CJQ26" s="165"/>
      <c r="CJR26" s="165"/>
      <c r="CJS26" s="165"/>
      <c r="CJV26" s="165"/>
      <c r="CJW26" s="165"/>
      <c r="CJX26" s="165"/>
      <c r="CJY26" s="165"/>
      <c r="CJZ26" s="165"/>
      <c r="CKA26" s="165"/>
      <c r="CKB26" s="165"/>
      <c r="CKC26" s="165"/>
      <c r="CKD26" s="165"/>
      <c r="CKE26" s="165"/>
      <c r="CKH26" s="165"/>
      <c r="CKI26" s="165"/>
      <c r="CKJ26" s="165"/>
      <c r="CKK26" s="165"/>
      <c r="CKL26" s="165"/>
      <c r="CKM26" s="165"/>
      <c r="CKN26" s="165"/>
      <c r="CKO26" s="165"/>
      <c r="CKP26" s="165"/>
      <c r="CKQ26" s="165"/>
      <c r="CKT26" s="165"/>
      <c r="CKU26" s="165"/>
      <c r="CKV26" s="165"/>
      <c r="CKW26" s="165"/>
      <c r="CKX26" s="165"/>
      <c r="CKY26" s="165"/>
      <c r="CKZ26" s="165"/>
      <c r="CLA26" s="165"/>
      <c r="CLB26" s="165"/>
      <c r="CLC26" s="165"/>
      <c r="CLF26" s="165"/>
      <c r="CLG26" s="165"/>
      <c r="CLH26" s="165"/>
      <c r="CLI26" s="165"/>
      <c r="CLJ26" s="165"/>
      <c r="CLK26" s="165"/>
      <c r="CLL26" s="165"/>
      <c r="CLM26" s="165"/>
      <c r="CLN26" s="165"/>
      <c r="CLO26" s="165"/>
      <c r="CLR26" s="165"/>
      <c r="CLS26" s="165"/>
      <c r="CLT26" s="165"/>
      <c r="CLU26" s="165"/>
      <c r="CLV26" s="165"/>
      <c r="CLW26" s="165"/>
      <c r="CLX26" s="165"/>
      <c r="CLY26" s="165"/>
      <c r="CLZ26" s="165"/>
      <c r="CMA26" s="165"/>
      <c r="CMD26" s="165"/>
      <c r="CME26" s="165"/>
      <c r="CMF26" s="165"/>
      <c r="CMG26" s="165"/>
      <c r="CMH26" s="165"/>
      <c r="CMI26" s="165"/>
      <c r="CMJ26" s="165"/>
      <c r="CMK26" s="165"/>
      <c r="CML26" s="165"/>
      <c r="CMM26" s="165"/>
      <c r="CMP26" s="165"/>
      <c r="CMQ26" s="165"/>
      <c r="CMR26" s="165"/>
      <c r="CMS26" s="165"/>
      <c r="CMT26" s="165"/>
      <c r="CMU26" s="165"/>
      <c r="CMV26" s="165"/>
      <c r="CMW26" s="165"/>
      <c r="CMX26" s="165"/>
      <c r="CMY26" s="165"/>
      <c r="CNB26" s="165"/>
      <c r="CNC26" s="165"/>
      <c r="CND26" s="165"/>
      <c r="CNE26" s="165"/>
      <c r="CNF26" s="165"/>
      <c r="CNG26" s="165"/>
      <c r="CNH26" s="165"/>
      <c r="CNI26" s="165"/>
      <c r="CNJ26" s="165"/>
      <c r="CNK26" s="165"/>
      <c r="CNN26" s="165"/>
      <c r="CNO26" s="165"/>
      <c r="CNP26" s="165"/>
      <c r="CNQ26" s="165"/>
      <c r="CNR26" s="165"/>
      <c r="CNS26" s="165"/>
      <c r="CNT26" s="165"/>
      <c r="CNU26" s="165"/>
      <c r="CNV26" s="165"/>
      <c r="CNW26" s="165"/>
      <c r="CNZ26" s="165"/>
      <c r="COA26" s="165"/>
      <c r="COB26" s="165"/>
      <c r="COC26" s="165"/>
      <c r="COD26" s="165"/>
      <c r="COE26" s="165"/>
      <c r="COF26" s="165"/>
      <c r="COG26" s="165"/>
      <c r="COH26" s="165"/>
      <c r="COI26" s="165"/>
      <c r="COL26" s="165"/>
      <c r="COM26" s="165"/>
      <c r="CON26" s="165"/>
      <c r="COO26" s="165"/>
      <c r="COP26" s="165"/>
      <c r="COQ26" s="165"/>
      <c r="COR26" s="165"/>
      <c r="COS26" s="165"/>
      <c r="COT26" s="165"/>
      <c r="COU26" s="165"/>
      <c r="COX26" s="165"/>
      <c r="COY26" s="165"/>
      <c r="COZ26" s="165"/>
      <c r="CPA26" s="165"/>
      <c r="CPB26" s="165"/>
      <c r="CPC26" s="165"/>
      <c r="CPD26" s="165"/>
      <c r="CPE26" s="165"/>
      <c r="CPF26" s="165"/>
      <c r="CPG26" s="165"/>
      <c r="CPJ26" s="165"/>
      <c r="CPK26" s="165"/>
      <c r="CPL26" s="165"/>
      <c r="CPM26" s="165"/>
      <c r="CPN26" s="165"/>
      <c r="CPO26" s="165"/>
      <c r="CPP26" s="165"/>
      <c r="CPQ26" s="165"/>
      <c r="CPR26" s="165"/>
      <c r="CPS26" s="165"/>
      <c r="CPV26" s="165"/>
      <c r="CPW26" s="165"/>
      <c r="CPX26" s="165"/>
      <c r="CPY26" s="165"/>
      <c r="CPZ26" s="165"/>
      <c r="CQA26" s="165"/>
      <c r="CQB26" s="165"/>
      <c r="CQC26" s="165"/>
      <c r="CQD26" s="165"/>
      <c r="CQE26" s="165"/>
      <c r="CQH26" s="165"/>
      <c r="CQI26" s="165"/>
      <c r="CQJ26" s="165"/>
      <c r="CQK26" s="165"/>
      <c r="CQL26" s="165"/>
      <c r="CQM26" s="165"/>
      <c r="CQN26" s="165"/>
      <c r="CQO26" s="165"/>
      <c r="CQP26" s="165"/>
      <c r="CQQ26" s="165"/>
      <c r="CQT26" s="165"/>
      <c r="CQU26" s="165"/>
      <c r="CQV26" s="165"/>
      <c r="CQW26" s="165"/>
      <c r="CQX26" s="165"/>
      <c r="CQY26" s="165"/>
      <c r="CQZ26" s="165"/>
      <c r="CRA26" s="165"/>
      <c r="CRB26" s="165"/>
      <c r="CRC26" s="165"/>
      <c r="CRF26" s="165"/>
      <c r="CRG26" s="165"/>
      <c r="CRH26" s="165"/>
      <c r="CRI26" s="165"/>
      <c r="CRJ26" s="165"/>
      <c r="CRK26" s="165"/>
      <c r="CRL26" s="165"/>
      <c r="CRM26" s="165"/>
      <c r="CRN26" s="165"/>
      <c r="CRO26" s="165"/>
      <c r="CRR26" s="165"/>
      <c r="CRS26" s="165"/>
      <c r="CRT26" s="165"/>
      <c r="CRU26" s="165"/>
      <c r="CRV26" s="165"/>
      <c r="CRW26" s="165"/>
      <c r="CRX26" s="165"/>
      <c r="CRY26" s="165"/>
      <c r="CRZ26" s="165"/>
      <c r="CSA26" s="165"/>
      <c r="CSD26" s="165"/>
      <c r="CSE26" s="165"/>
      <c r="CSF26" s="165"/>
      <c r="CSG26" s="165"/>
      <c r="CSH26" s="165"/>
      <c r="CSI26" s="165"/>
      <c r="CSJ26" s="165"/>
      <c r="CSK26" s="165"/>
      <c r="CSL26" s="165"/>
      <c r="CSM26" s="165"/>
      <c r="CSP26" s="165"/>
      <c r="CSQ26" s="165"/>
      <c r="CSR26" s="165"/>
      <c r="CSS26" s="165"/>
      <c r="CST26" s="165"/>
      <c r="CSU26" s="165"/>
      <c r="CSV26" s="165"/>
      <c r="CSW26" s="165"/>
      <c r="CSX26" s="165"/>
      <c r="CSY26" s="165"/>
      <c r="CTB26" s="165"/>
      <c r="CTC26" s="165"/>
      <c r="CTD26" s="165"/>
      <c r="CTE26" s="165"/>
      <c r="CTF26" s="165"/>
      <c r="CTG26" s="165"/>
      <c r="CTH26" s="165"/>
      <c r="CTI26" s="165"/>
      <c r="CTJ26" s="165"/>
      <c r="CTK26" s="165"/>
      <c r="CTN26" s="165"/>
      <c r="CTO26" s="165"/>
      <c r="CTP26" s="165"/>
      <c r="CTQ26" s="165"/>
      <c r="CTR26" s="165"/>
      <c r="CTS26" s="165"/>
      <c r="CTT26" s="165"/>
      <c r="CTU26" s="165"/>
      <c r="CTV26" s="165"/>
      <c r="CTW26" s="165"/>
      <c r="CTZ26" s="165"/>
      <c r="CUA26" s="165"/>
      <c r="CUB26" s="165"/>
      <c r="CUC26" s="165"/>
      <c r="CUD26" s="165"/>
      <c r="CUE26" s="165"/>
      <c r="CUF26" s="165"/>
      <c r="CUG26" s="165"/>
      <c r="CUH26" s="165"/>
      <c r="CUI26" s="165"/>
      <c r="CUL26" s="165"/>
      <c r="CUM26" s="165"/>
      <c r="CUN26" s="165"/>
      <c r="CUO26" s="165"/>
      <c r="CUP26" s="165"/>
      <c r="CUQ26" s="165"/>
      <c r="CUR26" s="165"/>
      <c r="CUS26" s="165"/>
      <c r="CUT26" s="165"/>
      <c r="CUU26" s="165"/>
      <c r="CUX26" s="165"/>
      <c r="CUY26" s="165"/>
      <c r="CUZ26" s="165"/>
      <c r="CVA26" s="165"/>
      <c r="CVB26" s="165"/>
      <c r="CVC26" s="165"/>
      <c r="CVD26" s="165"/>
      <c r="CVE26" s="165"/>
      <c r="CVF26" s="165"/>
      <c r="CVG26" s="165"/>
      <c r="CVJ26" s="165"/>
      <c r="CVK26" s="165"/>
      <c r="CVL26" s="165"/>
      <c r="CVM26" s="165"/>
      <c r="CVN26" s="165"/>
      <c r="CVO26" s="165"/>
      <c r="CVP26" s="165"/>
      <c r="CVQ26" s="165"/>
      <c r="CVR26" s="165"/>
      <c r="CVS26" s="165"/>
      <c r="CVV26" s="165"/>
      <c r="CVW26" s="165"/>
      <c r="CVX26" s="165"/>
      <c r="CVY26" s="165"/>
      <c r="CVZ26" s="165"/>
      <c r="CWA26" s="165"/>
      <c r="CWB26" s="165"/>
      <c r="CWC26" s="165"/>
      <c r="CWD26" s="165"/>
      <c r="CWE26" s="165"/>
    </row>
    <row r="27" spans="1:1023 1026:2631" x14ac:dyDescent="0.25">
      <c r="H27" s="94" t="s">
        <v>60</v>
      </c>
      <c r="I27" s="94"/>
      <c r="J27" s="94"/>
      <c r="K27" s="1"/>
      <c r="L27" s="1"/>
      <c r="V27" s="94" t="s">
        <v>60</v>
      </c>
      <c r="W27" s="94"/>
      <c r="X27" s="94"/>
      <c r="Y27" s="1"/>
      <c r="Z27" s="1"/>
      <c r="AJ27" s="94" t="s">
        <v>60</v>
      </c>
      <c r="AK27" s="94"/>
      <c r="AL27" s="94"/>
      <c r="AM27" s="1"/>
      <c r="AN27" s="1"/>
      <c r="AX27" s="94" t="s">
        <v>60</v>
      </c>
      <c r="AY27" s="94"/>
      <c r="AZ27" s="94"/>
      <c r="BA27" s="1"/>
      <c r="BB27" s="1"/>
      <c r="BL27" s="94" t="s">
        <v>60</v>
      </c>
      <c r="BM27" s="94"/>
      <c r="BN27" s="94"/>
      <c r="BO27" s="1"/>
      <c r="BP27" s="1"/>
      <c r="BZ27" s="94" t="s">
        <v>60</v>
      </c>
      <c r="CA27" s="94"/>
      <c r="CB27" s="94"/>
      <c r="CC27" s="1"/>
      <c r="CD27" s="1"/>
      <c r="CN27" s="94" t="s">
        <v>60</v>
      </c>
      <c r="CO27" s="94"/>
      <c r="CP27" s="94"/>
      <c r="CQ27" s="1"/>
      <c r="CR27" s="1"/>
      <c r="DB27" s="94" t="s">
        <v>60</v>
      </c>
      <c r="DC27" s="94"/>
      <c r="DD27" s="94"/>
      <c r="DE27" s="1"/>
      <c r="DF27" s="1"/>
      <c r="DP27" s="94" t="s">
        <v>60</v>
      </c>
      <c r="DQ27" s="94"/>
      <c r="DR27" s="94"/>
      <c r="DS27" s="1"/>
      <c r="DT27" s="1"/>
      <c r="ED27" s="94" t="s">
        <v>60</v>
      </c>
      <c r="EE27" s="94"/>
      <c r="EF27" s="94"/>
      <c r="EG27" s="1"/>
      <c r="EH27" s="1"/>
      <c r="ER27" s="94" t="s">
        <v>60</v>
      </c>
      <c r="ES27" s="94"/>
      <c r="ET27" s="94"/>
      <c r="EU27" s="1"/>
      <c r="EV27" s="1"/>
      <c r="FF27" s="94" t="s">
        <v>60</v>
      </c>
      <c r="FG27" s="94"/>
      <c r="FH27" s="94"/>
      <c r="FI27" s="1"/>
      <c r="FJ27" s="1"/>
      <c r="FT27" s="94" t="s">
        <v>60</v>
      </c>
      <c r="FU27" s="94"/>
      <c r="FV27" s="94"/>
      <c r="FW27" s="1"/>
      <c r="FX27" s="1"/>
      <c r="GH27" s="94" t="s">
        <v>60</v>
      </c>
      <c r="GI27" s="94"/>
      <c r="GJ27" s="94"/>
      <c r="GK27" s="1"/>
      <c r="GL27" s="1"/>
      <c r="GV27" s="94" t="s">
        <v>60</v>
      </c>
      <c r="GW27" s="94"/>
      <c r="GX27" s="94"/>
      <c r="GY27" s="1"/>
      <c r="GZ27" s="1"/>
      <c r="HJ27" s="94" t="s">
        <v>60</v>
      </c>
      <c r="HK27" s="94"/>
      <c r="HL27" s="94"/>
      <c r="HM27" s="1"/>
      <c r="HN27" s="1"/>
      <c r="HX27" s="94" t="s">
        <v>60</v>
      </c>
      <c r="HY27" s="94"/>
      <c r="HZ27" s="94"/>
      <c r="IA27" s="1"/>
      <c r="IB27" s="1"/>
      <c r="IL27" s="94" t="s">
        <v>60</v>
      </c>
      <c r="IM27" s="94"/>
      <c r="IN27" s="94"/>
      <c r="IO27" s="1"/>
      <c r="IP27" s="1"/>
      <c r="IZ27" s="94" t="s">
        <v>60</v>
      </c>
      <c r="JA27" s="94"/>
      <c r="JB27" s="94"/>
      <c r="JC27" s="1"/>
      <c r="JD27" s="1"/>
      <c r="JN27" s="94" t="s">
        <v>60</v>
      </c>
      <c r="JO27" s="94"/>
      <c r="JP27" s="94"/>
      <c r="JQ27" s="1"/>
      <c r="JR27" s="1"/>
      <c r="KB27" s="94" t="s">
        <v>60</v>
      </c>
      <c r="KC27" s="94"/>
      <c r="KD27" s="94"/>
      <c r="KE27" s="1"/>
      <c r="KF27" s="1"/>
      <c r="KP27" s="94" t="s">
        <v>60</v>
      </c>
      <c r="KQ27" s="94"/>
      <c r="KR27" s="94"/>
      <c r="KS27" s="1"/>
      <c r="KT27" s="1"/>
      <c r="LD27" s="94" t="s">
        <v>60</v>
      </c>
      <c r="LE27" s="94"/>
      <c r="LF27" s="94"/>
      <c r="LG27" s="1"/>
      <c r="LH27" s="1"/>
      <c r="LR27" s="94" t="s">
        <v>60</v>
      </c>
      <c r="LS27" s="94"/>
      <c r="LT27" s="94"/>
      <c r="LU27" s="1"/>
      <c r="LV27" s="1"/>
      <c r="MF27" s="94" t="s">
        <v>60</v>
      </c>
      <c r="MG27" s="94"/>
      <c r="MH27" s="94"/>
      <c r="MI27" s="1"/>
      <c r="MJ27" s="1"/>
      <c r="MT27" s="94" t="s">
        <v>60</v>
      </c>
      <c r="MU27" s="94"/>
      <c r="MV27" s="94"/>
      <c r="MW27" s="1"/>
      <c r="MX27" s="1"/>
      <c r="NH27" s="94" t="s">
        <v>60</v>
      </c>
      <c r="NI27" s="94"/>
      <c r="NJ27" s="94"/>
      <c r="NK27" s="1"/>
      <c r="NL27" s="1"/>
      <c r="NV27" s="94" t="s">
        <v>60</v>
      </c>
      <c r="NW27" s="94"/>
      <c r="NX27" s="94"/>
      <c r="NY27" s="1"/>
      <c r="NZ27" s="1"/>
      <c r="OJ27" s="94" t="s">
        <v>60</v>
      </c>
      <c r="OK27" s="94"/>
      <c r="OL27" s="94"/>
      <c r="OM27" s="1"/>
      <c r="ON27" s="1"/>
      <c r="OX27" s="94" t="s">
        <v>60</v>
      </c>
      <c r="OY27" s="94"/>
      <c r="OZ27" s="94"/>
      <c r="PA27" s="1"/>
      <c r="PB27" s="1"/>
      <c r="PL27" s="94" t="s">
        <v>60</v>
      </c>
      <c r="PM27" s="94"/>
      <c r="PN27" s="94"/>
      <c r="PO27" s="1"/>
      <c r="PP27" s="1"/>
      <c r="PZ27" s="94" t="s">
        <v>60</v>
      </c>
      <c r="QA27" s="94"/>
      <c r="QB27" s="94"/>
      <c r="QC27" s="1"/>
      <c r="QD27" s="1"/>
      <c r="QN27" s="94" t="s">
        <v>60</v>
      </c>
      <c r="QO27" s="94"/>
      <c r="QP27" s="94"/>
      <c r="QQ27" s="1"/>
      <c r="QR27" s="1"/>
      <c r="RB27" s="94" t="s">
        <v>60</v>
      </c>
      <c r="RC27" s="94"/>
      <c r="RD27" s="94"/>
      <c r="RE27" s="1"/>
      <c r="RF27" s="1"/>
      <c r="RP27" s="94" t="s">
        <v>60</v>
      </c>
      <c r="RQ27" s="94"/>
      <c r="RR27" s="94"/>
      <c r="RS27" s="1"/>
      <c r="RT27" s="1"/>
      <c r="SD27" s="94" t="s">
        <v>60</v>
      </c>
      <c r="SE27" s="94"/>
      <c r="SF27" s="94"/>
      <c r="SG27" s="1"/>
      <c r="SH27" s="1"/>
      <c r="SR27" s="94" t="s">
        <v>60</v>
      </c>
      <c r="SS27" s="94"/>
      <c r="ST27" s="94"/>
      <c r="SU27" s="1"/>
      <c r="SV27" s="1"/>
      <c r="TF27" s="94" t="s">
        <v>60</v>
      </c>
      <c r="TG27" s="94"/>
      <c r="TH27" s="94"/>
      <c r="TI27" s="1"/>
      <c r="TJ27" s="1"/>
      <c r="TT27" s="94" t="s">
        <v>60</v>
      </c>
      <c r="TU27" s="94"/>
      <c r="TV27" s="94"/>
      <c r="TW27" s="1"/>
      <c r="TX27" s="1"/>
      <c r="UH27" s="94" t="s">
        <v>60</v>
      </c>
      <c r="UI27" s="94"/>
      <c r="UJ27" s="94"/>
      <c r="UK27" s="1"/>
      <c r="UL27" s="1"/>
      <c r="UV27" s="94" t="s">
        <v>60</v>
      </c>
      <c r="UW27" s="94"/>
      <c r="UX27" s="94"/>
      <c r="UY27" s="1"/>
      <c r="UZ27" s="1"/>
      <c r="VJ27" s="94" t="s">
        <v>60</v>
      </c>
      <c r="VK27" s="94"/>
      <c r="VL27" s="94"/>
      <c r="VM27" s="1"/>
      <c r="VN27" s="1"/>
      <c r="VX27" s="94" t="s">
        <v>60</v>
      </c>
      <c r="VY27" s="94"/>
      <c r="VZ27" s="94"/>
      <c r="WA27" s="1"/>
      <c r="WB27" s="1"/>
      <c r="WL27" s="94" t="s">
        <v>60</v>
      </c>
      <c r="WM27" s="94"/>
      <c r="WN27" s="94"/>
      <c r="WO27" s="1"/>
      <c r="WP27" s="1"/>
      <c r="WZ27" s="94" t="s">
        <v>60</v>
      </c>
      <c r="XA27" s="94"/>
      <c r="XB27" s="94"/>
      <c r="XC27" s="1"/>
      <c r="XD27" s="1"/>
      <c r="XN27" s="94" t="s">
        <v>60</v>
      </c>
      <c r="XO27" s="94"/>
      <c r="XP27" s="94"/>
      <c r="XQ27" s="1"/>
      <c r="XR27" s="1"/>
      <c r="YB27" s="94" t="s">
        <v>60</v>
      </c>
      <c r="YC27" s="94"/>
      <c r="YD27" s="94"/>
      <c r="YE27" s="1"/>
      <c r="YF27" s="1"/>
      <c r="YP27" s="94" t="s">
        <v>60</v>
      </c>
      <c r="YQ27" s="94"/>
      <c r="YR27" s="94"/>
      <c r="YS27" s="1"/>
      <c r="YT27" s="1"/>
      <c r="ZD27" s="94" t="s">
        <v>60</v>
      </c>
      <c r="ZE27" s="94"/>
      <c r="ZF27" s="94"/>
      <c r="ZG27" s="1"/>
      <c r="ZH27" s="1"/>
      <c r="ZR27" s="94" t="s">
        <v>60</v>
      </c>
      <c r="ZS27" s="94"/>
      <c r="ZT27" s="94"/>
      <c r="ZU27" s="1"/>
      <c r="ZV27" s="1"/>
      <c r="ZZ27" s="147"/>
      <c r="AAA27" s="147"/>
      <c r="AAB27" s="147"/>
      <c r="AAC27" s="147"/>
      <c r="AAD27" s="147"/>
      <c r="AAE27" s="147"/>
      <c r="AAF27" s="147"/>
      <c r="AAG27" s="147"/>
      <c r="AAH27" s="147"/>
      <c r="AAI27" s="147"/>
      <c r="AAM27" s="147"/>
      <c r="AAN27" s="147"/>
      <c r="AAO27" s="147"/>
      <c r="AAP27" s="147"/>
      <c r="AAQ27" s="147"/>
      <c r="AAR27" s="147"/>
      <c r="AAS27" s="147"/>
      <c r="AAT27" s="147"/>
      <c r="AAU27" s="147"/>
      <c r="AAV27" s="147"/>
      <c r="AAZ27" s="147"/>
      <c r="ABA27" s="147"/>
      <c r="ABB27" s="147"/>
      <c r="ABC27" s="147"/>
      <c r="ABD27" s="147"/>
      <c r="ABE27" s="147"/>
      <c r="ABF27" s="147"/>
      <c r="ABG27" s="147"/>
      <c r="ABH27" s="147"/>
      <c r="ABI27" s="147"/>
      <c r="ABM27" s="147"/>
      <c r="ABN27" s="147"/>
      <c r="ABO27" s="147"/>
      <c r="ABP27" s="147"/>
      <c r="ABQ27" s="147"/>
      <c r="ABR27" s="147"/>
      <c r="ABS27" s="147"/>
      <c r="ABT27" s="147"/>
      <c r="ABU27" s="147"/>
      <c r="ABV27" s="147"/>
      <c r="ABZ27" s="147"/>
      <c r="ACA27" s="147"/>
      <c r="ACB27" s="147"/>
      <c r="ACC27" s="147"/>
      <c r="ACD27" s="147"/>
      <c r="ACE27" s="147"/>
      <c r="ACF27" s="147"/>
      <c r="ACG27" s="147"/>
      <c r="ACH27" s="147"/>
      <c r="ACI27" s="147"/>
      <c r="ACM27" s="147"/>
      <c r="ACN27" s="147"/>
      <c r="ACO27" s="147"/>
      <c r="ACP27" s="147"/>
      <c r="ACQ27" s="147"/>
      <c r="ACR27" s="147"/>
      <c r="ACS27" s="147"/>
      <c r="ACT27" s="147"/>
      <c r="ACU27" s="147"/>
      <c r="ACV27" s="147"/>
      <c r="ACZ27" s="147"/>
      <c r="ADA27" s="147"/>
      <c r="ADB27" s="147"/>
      <c r="ADC27" s="147"/>
      <c r="ADD27" s="147"/>
      <c r="ADE27" s="147"/>
      <c r="ADF27" s="147"/>
      <c r="ADG27" s="147"/>
      <c r="ADH27" s="147"/>
      <c r="ADI27" s="147"/>
      <c r="ADM27" s="147"/>
      <c r="ADN27" s="147"/>
      <c r="ADO27" s="147"/>
      <c r="ADP27" s="147"/>
      <c r="ADQ27" s="147"/>
      <c r="ADR27" s="147"/>
      <c r="ADS27" s="147"/>
      <c r="ADT27" s="147"/>
      <c r="ADU27" s="147"/>
      <c r="ADV27" s="147"/>
      <c r="ADZ27" s="147"/>
      <c r="AEA27" s="147"/>
      <c r="AEB27" s="147"/>
      <c r="AEC27" s="147"/>
      <c r="AED27" s="147"/>
      <c r="AEE27" s="147"/>
      <c r="AEF27" s="147"/>
      <c r="AEG27" s="147"/>
      <c r="AEH27" s="147"/>
      <c r="AEI27" s="147"/>
      <c r="AEM27" s="147"/>
      <c r="AEN27" s="147"/>
      <c r="AEO27" s="147"/>
      <c r="AEP27" s="147"/>
      <c r="AEQ27" s="147"/>
      <c r="AER27" s="147"/>
      <c r="AES27" s="147"/>
      <c r="AET27" s="147"/>
      <c r="AEU27" s="147"/>
      <c r="AEV27" s="147"/>
      <c r="AEZ27" s="147"/>
      <c r="AFA27" s="147"/>
      <c r="AFB27" s="147"/>
      <c r="AFC27" s="147"/>
      <c r="AFD27" s="147"/>
      <c r="AFE27" s="147"/>
      <c r="AFF27" s="147"/>
      <c r="AFG27" s="147"/>
      <c r="AFH27" s="147"/>
      <c r="AFI27" s="147"/>
      <c r="AFM27" s="147"/>
      <c r="AFN27" s="147"/>
      <c r="AFO27" s="147"/>
      <c r="AFP27" s="147"/>
      <c r="AFQ27" s="147"/>
      <c r="AFR27" s="147"/>
      <c r="AFS27" s="147"/>
      <c r="AFT27" s="147"/>
      <c r="AFU27" s="147"/>
      <c r="AFV27" s="147"/>
      <c r="AFZ27" s="147"/>
      <c r="AGA27" s="147"/>
      <c r="AGB27" s="147"/>
      <c r="AGC27" s="147"/>
      <c r="AGD27" s="147"/>
      <c r="AGE27" s="147"/>
      <c r="AGF27" s="147"/>
      <c r="AGG27" s="147"/>
      <c r="AGH27" s="147"/>
      <c r="AGI27" s="147"/>
      <c r="AGL27" s="147"/>
      <c r="AGM27" s="147"/>
      <c r="AGN27" s="147"/>
      <c r="AGO27" s="147"/>
      <c r="AGP27" s="147"/>
      <c r="AGQ27" s="147"/>
      <c r="AGR27" s="147"/>
      <c r="AGS27" s="147"/>
      <c r="AGT27" s="147"/>
      <c r="AGU27" s="147"/>
      <c r="AGX27" s="147"/>
      <c r="AGY27" s="147"/>
      <c r="AGZ27" s="147"/>
      <c r="AHA27" s="147"/>
      <c r="AHB27" s="147"/>
      <c r="AHC27" s="147"/>
      <c r="AHD27" s="147"/>
      <c r="AHE27" s="147"/>
      <c r="AHF27" s="147"/>
      <c r="AHG27" s="147"/>
      <c r="AHJ27" s="147"/>
      <c r="AHK27" s="147"/>
      <c r="AHL27" s="147"/>
      <c r="AHM27" s="147"/>
      <c r="AHN27" s="147"/>
      <c r="AHO27" s="147"/>
      <c r="AHP27" s="147"/>
      <c r="AHQ27" s="147"/>
      <c r="AHR27" s="147"/>
      <c r="AHS27" s="147"/>
      <c r="AHV27" s="147"/>
      <c r="AHW27" s="147"/>
      <c r="AHX27" s="147"/>
      <c r="AHY27" s="147"/>
      <c r="AHZ27" s="147"/>
      <c r="AIA27" s="147"/>
      <c r="AIB27" s="147"/>
      <c r="AIC27" s="147"/>
      <c r="AID27" s="147"/>
      <c r="AIE27" s="147"/>
      <c r="AIH27" s="147"/>
      <c r="AII27" s="147"/>
      <c r="AIJ27" s="147"/>
      <c r="AIK27" s="147"/>
      <c r="AIL27" s="147"/>
      <c r="AIM27" s="147"/>
      <c r="AIN27" s="147"/>
      <c r="AIO27" s="147"/>
      <c r="AIP27" s="147"/>
      <c r="AIQ27" s="147"/>
      <c r="AIT27" s="147"/>
      <c r="AIU27" s="147"/>
      <c r="AIV27" s="147"/>
      <c r="AIW27" s="147"/>
      <c r="AIX27" s="147"/>
      <c r="AIY27" s="147"/>
      <c r="AIZ27" s="147"/>
      <c r="AJA27" s="147"/>
      <c r="AJB27" s="147"/>
      <c r="AJC27" s="147"/>
      <c r="AJF27" s="147"/>
      <c r="AJG27" s="147"/>
      <c r="AJH27" s="147"/>
      <c r="AJI27" s="147"/>
      <c r="AJJ27" s="147"/>
      <c r="AJK27" s="147"/>
      <c r="AJL27" s="147"/>
      <c r="AJM27" s="147"/>
      <c r="AJN27" s="147"/>
      <c r="AJO27" s="147"/>
      <c r="AJR27" s="147"/>
      <c r="AJS27" s="147"/>
      <c r="AJT27" s="147"/>
      <c r="AJU27" s="147"/>
      <c r="AJV27" s="147"/>
      <c r="AJW27" s="147"/>
      <c r="AJX27" s="147"/>
      <c r="AJY27" s="147"/>
      <c r="AJZ27" s="147"/>
      <c r="AKA27" s="147"/>
      <c r="AKD27" s="147"/>
      <c r="AKE27" s="147"/>
      <c r="AKF27" s="147"/>
      <c r="AKG27" s="147"/>
      <c r="AKH27" s="147"/>
      <c r="AKI27" s="147"/>
      <c r="AKJ27" s="147"/>
      <c r="AKK27" s="147"/>
      <c r="AKL27" s="147"/>
      <c r="AKM27" s="147"/>
      <c r="AKP27" s="147"/>
      <c r="AKQ27" s="147"/>
      <c r="AKR27" s="147"/>
      <c r="AKS27" s="147"/>
      <c r="AKT27" s="147"/>
      <c r="AKU27" s="147"/>
      <c r="AKV27" s="147"/>
      <c r="AKW27" s="147"/>
      <c r="AKX27" s="147"/>
      <c r="AKY27" s="147"/>
      <c r="ALB27" s="147"/>
      <c r="ALC27" s="147"/>
      <c r="ALD27" s="147"/>
      <c r="ALE27" s="147"/>
      <c r="ALF27" s="147"/>
      <c r="ALG27" s="147"/>
      <c r="ALH27" s="147"/>
      <c r="ALI27" s="147"/>
      <c r="ALJ27" s="147"/>
      <c r="ALK27" s="147"/>
      <c r="ALN27" s="147"/>
      <c r="ALO27" s="147"/>
      <c r="ALP27" s="147"/>
      <c r="ALQ27" s="147"/>
      <c r="ALR27" s="147"/>
      <c r="ALS27" s="147"/>
      <c r="ALT27" s="147"/>
      <c r="ALU27" s="147"/>
      <c r="ALV27" s="147"/>
      <c r="ALW27" s="147"/>
      <c r="ALZ27" s="147"/>
      <c r="AMA27" s="147"/>
      <c r="AMB27" s="147"/>
      <c r="AMC27" s="147"/>
      <c r="AMD27" s="147"/>
      <c r="AME27" s="147"/>
      <c r="AMF27" s="147"/>
      <c r="AMG27" s="147"/>
      <c r="AMH27" s="147"/>
      <c r="AMI27" s="147"/>
      <c r="AML27" s="147"/>
      <c r="AMM27" s="147"/>
      <c r="AMN27" s="147"/>
      <c r="AMO27" s="147"/>
      <c r="AMP27" s="147"/>
      <c r="AMQ27" s="147"/>
      <c r="AMR27" s="147"/>
      <c r="AMS27" s="147"/>
      <c r="AMT27" s="147"/>
      <c r="AMU27" s="147"/>
      <c r="AMX27" s="147"/>
      <c r="AMY27" s="147"/>
      <c r="AMZ27" s="147"/>
      <c r="ANA27" s="147"/>
      <c r="ANB27" s="147"/>
      <c r="ANC27" s="147"/>
      <c r="AND27" s="147"/>
      <c r="ANE27" s="147"/>
      <c r="ANF27" s="147"/>
      <c r="ANG27" s="147"/>
      <c r="ANJ27" s="147"/>
      <c r="ANK27" s="147"/>
      <c r="ANL27" s="147"/>
      <c r="ANM27" s="147"/>
      <c r="ANN27" s="147"/>
      <c r="ANO27" s="147"/>
      <c r="ANP27" s="147"/>
      <c r="ANQ27" s="147"/>
      <c r="ANR27" s="147"/>
      <c r="ANS27" s="147"/>
      <c r="ANV27" s="147"/>
      <c r="ANW27" s="147"/>
      <c r="ANX27" s="147"/>
      <c r="ANY27" s="147"/>
      <c r="ANZ27" s="147"/>
      <c r="AOA27" s="147"/>
      <c r="AOB27" s="147"/>
      <c r="AOC27" s="147"/>
      <c r="AOD27" s="147"/>
      <c r="AOE27" s="147"/>
      <c r="AOH27" s="147"/>
      <c r="AOI27" s="147"/>
      <c r="AOJ27" s="147"/>
      <c r="AOK27" s="147"/>
      <c r="AOL27" s="147"/>
      <c r="AOM27" s="147"/>
      <c r="AON27" s="147"/>
      <c r="AOO27" s="147"/>
      <c r="AOP27" s="147"/>
      <c r="AOQ27" s="147"/>
      <c r="AOT27" s="147"/>
      <c r="AOU27" s="147"/>
      <c r="AOV27" s="147"/>
      <c r="AOW27" s="147"/>
      <c r="AOX27" s="147"/>
      <c r="AOY27" s="147"/>
      <c r="AOZ27" s="147"/>
      <c r="APA27" s="147"/>
      <c r="APB27" s="147"/>
      <c r="APC27" s="147"/>
      <c r="APF27" s="147"/>
      <c r="APG27" s="147"/>
      <c r="APH27" s="147"/>
      <c r="API27" s="147"/>
      <c r="APJ27" s="147"/>
      <c r="APK27" s="147"/>
      <c r="APL27" s="147"/>
      <c r="APM27" s="147"/>
      <c r="APN27" s="147"/>
      <c r="APO27" s="147"/>
      <c r="APR27" s="147"/>
      <c r="APS27" s="147"/>
      <c r="APT27" s="147"/>
      <c r="APU27" s="147"/>
      <c r="APV27" s="147"/>
      <c r="APW27" s="147"/>
      <c r="APX27" s="147"/>
      <c r="APY27" s="147"/>
      <c r="APZ27" s="147"/>
      <c r="AQA27" s="147"/>
      <c r="AQD27" s="147"/>
      <c r="AQE27" s="147"/>
      <c r="AQF27" s="147"/>
      <c r="AQG27" s="147"/>
      <c r="AQH27" s="147"/>
      <c r="AQI27" s="147"/>
      <c r="AQJ27" s="147"/>
      <c r="AQK27" s="147"/>
      <c r="AQL27" s="147"/>
      <c r="AQM27" s="147"/>
      <c r="AQP27" s="147"/>
      <c r="AQQ27" s="147"/>
      <c r="AQR27" s="147"/>
      <c r="AQS27" s="147"/>
      <c r="AQT27" s="147"/>
      <c r="AQU27" s="147"/>
      <c r="AQV27" s="147"/>
      <c r="AQW27" s="147"/>
      <c r="AQX27" s="147"/>
      <c r="AQY27" s="147"/>
      <c r="ARB27" s="147"/>
      <c r="ARC27" s="147"/>
      <c r="ARD27" s="147"/>
      <c r="ARE27" s="147"/>
      <c r="ARF27" s="147"/>
      <c r="ARG27" s="147"/>
      <c r="ARH27" s="147"/>
      <c r="ARI27" s="147"/>
      <c r="ARJ27" s="147"/>
      <c r="ARK27" s="147"/>
      <c r="ARN27" s="147"/>
      <c r="ARO27" s="147"/>
      <c r="ARP27" s="147"/>
      <c r="ARQ27" s="147"/>
      <c r="ARR27" s="147"/>
      <c r="ARS27" s="147"/>
      <c r="ART27" s="147"/>
      <c r="ARU27" s="147"/>
      <c r="ARV27" s="147"/>
      <c r="ARW27" s="147"/>
      <c r="ARZ27" s="147"/>
      <c r="ASA27" s="147"/>
      <c r="ASB27" s="147"/>
      <c r="ASC27" s="147"/>
      <c r="ASD27" s="147"/>
      <c r="ASE27" s="147"/>
      <c r="ASF27" s="147"/>
      <c r="ASG27" s="147"/>
      <c r="ASH27" s="147"/>
      <c r="ASI27" s="147"/>
      <c r="ASL27" s="147"/>
      <c r="ASM27" s="147"/>
      <c r="ASN27" s="147"/>
      <c r="ASO27" s="147"/>
      <c r="ASP27" s="147"/>
      <c r="ASQ27" s="147"/>
      <c r="ASR27" s="147"/>
      <c r="ASS27" s="147"/>
      <c r="AST27" s="147"/>
      <c r="ASU27" s="147"/>
      <c r="ASX27" s="147"/>
      <c r="ASY27" s="147"/>
      <c r="ASZ27" s="147"/>
      <c r="ATA27" s="147"/>
      <c r="ATB27" s="147"/>
      <c r="ATC27" s="147"/>
      <c r="ATD27" s="147"/>
      <c r="ATE27" s="147"/>
      <c r="ATF27" s="147"/>
      <c r="ATG27" s="147"/>
      <c r="ATJ27" s="147"/>
      <c r="ATK27" s="147"/>
      <c r="ATL27" s="147"/>
      <c r="ATM27" s="147"/>
      <c r="ATN27" s="147"/>
      <c r="ATO27" s="147"/>
      <c r="ATP27" s="147"/>
      <c r="ATQ27" s="147"/>
      <c r="ATR27" s="147"/>
      <c r="ATS27" s="147"/>
      <c r="ATV27" s="147"/>
      <c r="ATW27" s="147"/>
      <c r="ATX27" s="147"/>
      <c r="ATY27" s="147"/>
      <c r="ATZ27" s="147"/>
      <c r="AUA27" s="147"/>
      <c r="AUB27" s="147"/>
      <c r="AUC27" s="147"/>
      <c r="AUD27" s="147"/>
      <c r="AUE27" s="147"/>
      <c r="AUH27" s="147"/>
      <c r="AUI27" s="147"/>
      <c r="AUJ27" s="147"/>
      <c r="AUK27" s="147"/>
      <c r="AUL27" s="147"/>
      <c r="AUM27" s="147"/>
      <c r="AUN27" s="147"/>
      <c r="AUO27" s="147"/>
      <c r="AUP27" s="147"/>
      <c r="AUQ27" s="147"/>
      <c r="AUT27" s="147"/>
      <c r="AUU27" s="147"/>
      <c r="AUV27" s="147"/>
      <c r="AUW27" s="147"/>
      <c r="AUX27" s="147"/>
      <c r="AUY27" s="147"/>
      <c r="AUZ27" s="147"/>
      <c r="AVA27" s="147"/>
      <c r="AVB27" s="147"/>
      <c r="AVC27" s="147"/>
      <c r="AVF27" s="147"/>
      <c r="AVG27" s="147"/>
      <c r="AVH27" s="147"/>
      <c r="AVI27" s="147"/>
      <c r="AVJ27" s="147"/>
      <c r="AVK27" s="147"/>
      <c r="AVL27" s="147"/>
      <c r="AVM27" s="147"/>
      <c r="AVN27" s="147"/>
      <c r="AVO27" s="147"/>
      <c r="AVR27" s="147"/>
      <c r="AVS27" s="147"/>
      <c r="AVT27" s="147"/>
      <c r="AVU27" s="147"/>
      <c r="AVV27" s="147"/>
      <c r="AVW27" s="147"/>
      <c r="AVX27" s="147"/>
      <c r="AVY27" s="147"/>
      <c r="AVZ27" s="147"/>
      <c r="AWA27" s="147"/>
      <c r="AWD27" s="147"/>
      <c r="AWE27" s="147"/>
      <c r="AWF27" s="147"/>
      <c r="AWG27" s="147"/>
      <c r="AWH27" s="147"/>
      <c r="AWI27" s="147"/>
      <c r="AWJ27" s="147"/>
      <c r="AWK27" s="147"/>
      <c r="AWL27" s="147"/>
      <c r="AWM27" s="147"/>
      <c r="AWP27" s="147"/>
      <c r="AWQ27" s="147"/>
      <c r="AWR27" s="147"/>
      <c r="AWS27" s="147"/>
      <c r="AWT27" s="147"/>
      <c r="AWU27" s="147"/>
      <c r="AWV27" s="147"/>
      <c r="AWW27" s="147"/>
      <c r="AWX27" s="147"/>
      <c r="AWY27" s="147"/>
      <c r="AXB27" s="147"/>
      <c r="AXC27" s="147"/>
      <c r="AXD27" s="147"/>
      <c r="AXE27" s="147"/>
      <c r="AXF27" s="147"/>
      <c r="AXG27" s="147"/>
      <c r="AXH27" s="147"/>
      <c r="AXI27" s="147"/>
      <c r="AXJ27" s="147"/>
      <c r="AXK27" s="147"/>
      <c r="AXN27" s="147"/>
      <c r="AXO27" s="147"/>
      <c r="AXP27" s="147"/>
      <c r="AXQ27" s="147"/>
      <c r="AXR27" s="147"/>
      <c r="AXS27" s="147"/>
      <c r="AXT27" s="147"/>
      <c r="AXU27" s="147"/>
      <c r="AXV27" s="147"/>
      <c r="AXW27" s="147"/>
      <c r="AXZ27" s="147"/>
      <c r="AYA27" s="147"/>
      <c r="AYB27" s="147"/>
      <c r="AYC27" s="147"/>
      <c r="AYD27" s="147"/>
      <c r="AYE27" s="147"/>
      <c r="AYF27" s="147"/>
      <c r="AYG27" s="147"/>
      <c r="AYH27" s="147"/>
      <c r="AYI27" s="147"/>
      <c r="AYL27" s="147"/>
      <c r="AYM27" s="147"/>
      <c r="AYN27" s="147"/>
      <c r="AYO27" s="147"/>
      <c r="AYP27" s="147"/>
      <c r="AYQ27" s="147"/>
      <c r="AYR27" s="147"/>
      <c r="AYS27" s="147"/>
      <c r="AYT27" s="147"/>
      <c r="AYU27" s="147"/>
      <c r="AYX27" s="147"/>
      <c r="AYY27" s="147"/>
      <c r="AYZ27" s="147"/>
      <c r="AZA27" s="147"/>
      <c r="AZB27" s="147"/>
      <c r="AZC27" s="147"/>
      <c r="AZD27" s="147"/>
      <c r="AZE27" s="147"/>
      <c r="AZF27" s="147"/>
      <c r="AZG27" s="147"/>
      <c r="AZJ27" s="147"/>
      <c r="AZK27" s="147"/>
      <c r="AZL27" s="147"/>
      <c r="AZM27" s="147"/>
      <c r="AZN27" s="147"/>
      <c r="AZO27" s="147"/>
      <c r="AZP27" s="147"/>
      <c r="AZQ27" s="147"/>
      <c r="AZR27" s="147"/>
      <c r="AZS27" s="147"/>
      <c r="AZV27" s="147"/>
      <c r="AZW27" s="147"/>
      <c r="AZX27" s="147"/>
      <c r="AZY27" s="147"/>
      <c r="AZZ27" s="147"/>
      <c r="BAA27" s="147"/>
      <c r="BAB27" s="147"/>
      <c r="BAC27" s="147"/>
      <c r="BAD27" s="147"/>
      <c r="BAE27" s="147"/>
      <c r="BAH27" s="147"/>
      <c r="BAI27" s="147"/>
      <c r="BAJ27" s="147"/>
      <c r="BAK27" s="147"/>
      <c r="BAL27" s="147"/>
      <c r="BAM27" s="147"/>
      <c r="BAN27" s="147"/>
      <c r="BAO27" s="147"/>
      <c r="BAP27" s="147"/>
      <c r="BAQ27" s="147"/>
      <c r="BAT27" s="147"/>
      <c r="BAU27" s="147"/>
      <c r="BAV27" s="147"/>
      <c r="BAW27" s="147"/>
      <c r="BAX27" s="147"/>
      <c r="BAY27" s="147"/>
      <c r="BAZ27" s="147"/>
      <c r="BBA27" s="147"/>
      <c r="BBB27" s="147"/>
      <c r="BBC27" s="147"/>
      <c r="BBF27" s="147"/>
      <c r="BBG27" s="147"/>
      <c r="BBH27" s="147"/>
      <c r="BBI27" s="147"/>
      <c r="BBJ27" s="147"/>
      <c r="BBK27" s="147"/>
      <c r="BBL27" s="147"/>
      <c r="BBM27" s="147"/>
      <c r="BBN27" s="147"/>
      <c r="BBO27" s="147"/>
      <c r="BBR27" s="147"/>
      <c r="BBS27" s="147"/>
      <c r="BBT27" s="147"/>
      <c r="BBU27" s="147"/>
      <c r="BBV27" s="147"/>
      <c r="BBW27" s="147"/>
      <c r="BBX27" s="147"/>
      <c r="BBY27" s="147"/>
      <c r="BBZ27" s="147"/>
      <c r="BCA27" s="147"/>
      <c r="BCD27" s="147"/>
      <c r="BCE27" s="147"/>
      <c r="BCF27" s="147"/>
      <c r="BCG27" s="147"/>
      <c r="BCH27" s="147"/>
      <c r="BCI27" s="147"/>
      <c r="BCJ27" s="147"/>
      <c r="BCK27" s="147"/>
      <c r="BCL27" s="147"/>
      <c r="BCM27" s="147"/>
      <c r="BCP27" s="147"/>
      <c r="BCQ27" s="147"/>
      <c r="BCR27" s="147"/>
      <c r="BCS27" s="147"/>
      <c r="BCT27" s="147"/>
      <c r="BCU27" s="147"/>
      <c r="BCV27" s="147"/>
      <c r="BCW27" s="147"/>
      <c r="BCX27" s="147"/>
      <c r="BCY27" s="147"/>
      <c r="BDB27" s="147"/>
      <c r="BDC27" s="147"/>
      <c r="BDD27" s="147"/>
      <c r="BDE27" s="147"/>
      <c r="BDF27" s="147"/>
      <c r="BDG27" s="147"/>
      <c r="BDH27" s="147"/>
      <c r="BDI27" s="147"/>
      <c r="BDJ27" s="147"/>
      <c r="BDK27" s="147"/>
      <c r="BDN27" s="147"/>
      <c r="BDO27" s="147"/>
      <c r="BDP27" s="147"/>
      <c r="BDQ27" s="147"/>
      <c r="BDR27" s="147"/>
      <c r="BDS27" s="147"/>
      <c r="BDT27" s="147"/>
      <c r="BDU27" s="147"/>
      <c r="BDV27" s="147"/>
      <c r="BDW27" s="147"/>
      <c r="BDZ27" s="147"/>
      <c r="BEA27" s="147"/>
      <c r="BEB27" s="147"/>
      <c r="BEC27" s="147"/>
      <c r="BED27" s="147"/>
      <c r="BEE27" s="147"/>
      <c r="BEF27" s="147"/>
      <c r="BEG27" s="147"/>
      <c r="BEH27" s="147"/>
      <c r="BEI27" s="147"/>
      <c r="BEL27" s="147"/>
      <c r="BEM27" s="147"/>
      <c r="BEN27" s="147"/>
      <c r="BEO27" s="147"/>
      <c r="BEP27" s="147"/>
      <c r="BEQ27" s="147"/>
      <c r="BER27" s="147"/>
      <c r="BES27" s="147"/>
      <c r="BET27" s="147"/>
      <c r="BEU27" s="147"/>
      <c r="BEX27" s="147"/>
      <c r="BEY27" s="147"/>
      <c r="BEZ27" s="147"/>
      <c r="BFA27" s="147"/>
      <c r="BFB27" s="147"/>
      <c r="BFC27" s="147"/>
      <c r="BFD27" s="147"/>
      <c r="BFE27" s="147"/>
      <c r="BFF27" s="147"/>
      <c r="BFG27" s="147"/>
      <c r="BFJ27" s="147"/>
      <c r="BFK27" s="147"/>
      <c r="BFL27" s="147"/>
      <c r="BFM27" s="147"/>
      <c r="BFN27" s="147"/>
      <c r="BFO27" s="147"/>
      <c r="BFP27" s="147"/>
      <c r="BFQ27" s="147"/>
      <c r="BFR27" s="147"/>
      <c r="BFS27" s="147"/>
      <c r="BFV27" s="147"/>
      <c r="BFW27" s="147"/>
      <c r="BFX27" s="147"/>
      <c r="BFY27" s="147"/>
      <c r="BFZ27" s="147"/>
      <c r="BGA27" s="147"/>
      <c r="BGB27" s="147"/>
      <c r="BGC27" s="147"/>
      <c r="BGD27" s="147"/>
      <c r="BGE27" s="147"/>
      <c r="BGH27" s="147"/>
      <c r="BGI27" s="147"/>
      <c r="BGJ27" s="147"/>
      <c r="BGK27" s="147"/>
      <c r="BGL27" s="147"/>
      <c r="BGM27" s="147"/>
      <c r="BGN27" s="147"/>
      <c r="BGO27" s="147"/>
      <c r="BGP27" s="147"/>
      <c r="BGQ27" s="147"/>
      <c r="BGT27" s="147"/>
      <c r="BGU27" s="147"/>
      <c r="BGV27" s="147"/>
      <c r="BGW27" s="147"/>
      <c r="BGX27" s="147"/>
      <c r="BGY27" s="147"/>
      <c r="BGZ27" s="147"/>
      <c r="BHA27" s="147"/>
      <c r="BHB27" s="147"/>
      <c r="BHC27" s="147"/>
      <c r="BHF27" s="147"/>
      <c r="BHG27" s="147"/>
      <c r="BHH27" s="147"/>
      <c r="BHI27" s="147"/>
      <c r="BHJ27" s="147"/>
      <c r="BHK27" s="147"/>
      <c r="BHL27" s="147"/>
      <c r="BHM27" s="147"/>
      <c r="BHN27" s="147"/>
      <c r="BHO27" s="147"/>
      <c r="BHR27" s="166" t="s">
        <v>61</v>
      </c>
      <c r="BHS27" s="167"/>
      <c r="BHT27" s="167"/>
      <c r="BHU27" s="167"/>
      <c r="BHV27" s="167"/>
      <c r="BHW27" s="167"/>
      <c r="BHX27" s="167"/>
      <c r="BHY27" s="167"/>
      <c r="BHZ27" s="167"/>
      <c r="BIA27" s="168"/>
      <c r="BID27" s="166" t="s">
        <v>61</v>
      </c>
      <c r="BIE27" s="167"/>
      <c r="BIF27" s="167"/>
      <c r="BIG27" s="167"/>
      <c r="BIH27" s="167"/>
      <c r="BII27" s="167"/>
      <c r="BIJ27" s="167"/>
      <c r="BIK27" s="167"/>
      <c r="BIL27" s="167"/>
      <c r="BIM27" s="168"/>
      <c r="BIP27" s="166" t="s">
        <v>61</v>
      </c>
      <c r="BIQ27" s="167"/>
      <c r="BIR27" s="167"/>
      <c r="BIS27" s="167"/>
      <c r="BIT27" s="167"/>
      <c r="BIU27" s="167"/>
      <c r="BIV27" s="167"/>
      <c r="BIW27" s="167"/>
      <c r="BIX27" s="167"/>
      <c r="BIY27" s="168"/>
      <c r="BJB27" s="166" t="s">
        <v>61</v>
      </c>
      <c r="BJC27" s="167"/>
      <c r="BJD27" s="167"/>
      <c r="BJE27" s="167"/>
      <c r="BJF27" s="167"/>
      <c r="BJG27" s="167"/>
      <c r="BJH27" s="167"/>
      <c r="BJI27" s="167"/>
      <c r="BJJ27" s="167"/>
      <c r="BJK27" s="168"/>
      <c r="BJN27" s="166" t="s">
        <v>61</v>
      </c>
      <c r="BJO27" s="167"/>
      <c r="BJP27" s="167"/>
      <c r="BJQ27" s="167"/>
      <c r="BJR27" s="167"/>
      <c r="BJS27" s="167"/>
      <c r="BJT27" s="167"/>
      <c r="BJU27" s="167"/>
      <c r="BJV27" s="167"/>
      <c r="BJW27" s="168"/>
      <c r="BJZ27" s="166" t="s">
        <v>61</v>
      </c>
      <c r="BKA27" s="167"/>
      <c r="BKB27" s="167"/>
      <c r="BKC27" s="167"/>
      <c r="BKD27" s="167"/>
      <c r="BKE27" s="167"/>
      <c r="BKF27" s="167"/>
      <c r="BKG27" s="167"/>
      <c r="BKH27" s="167"/>
      <c r="BKI27" s="168"/>
      <c r="BKL27" s="166" t="s">
        <v>61</v>
      </c>
      <c r="BKM27" s="167"/>
      <c r="BKN27" s="167"/>
      <c r="BKO27" s="167"/>
      <c r="BKP27" s="167"/>
      <c r="BKQ27" s="167"/>
      <c r="BKR27" s="167"/>
      <c r="BKS27" s="167"/>
      <c r="BKT27" s="167"/>
      <c r="BKU27" s="168"/>
      <c r="BKX27" s="166" t="s">
        <v>61</v>
      </c>
      <c r="BKY27" s="167"/>
      <c r="BKZ27" s="167"/>
      <c r="BLA27" s="167"/>
      <c r="BLB27" s="167"/>
      <c r="BLC27" s="167"/>
      <c r="BLD27" s="167"/>
      <c r="BLE27" s="167"/>
      <c r="BLF27" s="167"/>
      <c r="BLG27" s="168"/>
      <c r="BLJ27" s="166" t="s">
        <v>61</v>
      </c>
      <c r="BLK27" s="167"/>
      <c r="BLL27" s="167"/>
      <c r="BLM27" s="167"/>
      <c r="BLN27" s="167"/>
      <c r="BLO27" s="167"/>
      <c r="BLP27" s="167"/>
      <c r="BLQ27" s="167"/>
      <c r="BLR27" s="167"/>
      <c r="BLS27" s="168"/>
      <c r="BLV27" s="166" t="s">
        <v>61</v>
      </c>
      <c r="BLW27" s="167"/>
      <c r="BLX27" s="167"/>
      <c r="BLY27" s="167"/>
      <c r="BLZ27" s="167"/>
      <c r="BMA27" s="167"/>
      <c r="BMB27" s="167"/>
      <c r="BMC27" s="167"/>
      <c r="BMD27" s="167"/>
      <c r="BME27" s="168"/>
      <c r="BMH27" s="166" t="s">
        <v>61</v>
      </c>
      <c r="BMI27" s="167"/>
      <c r="BMJ27" s="167"/>
      <c r="BMK27" s="167"/>
      <c r="BML27" s="167"/>
      <c r="BMM27" s="167"/>
      <c r="BMN27" s="167"/>
      <c r="BMO27" s="167"/>
      <c r="BMP27" s="167"/>
      <c r="BMQ27" s="168"/>
      <c r="BMT27" s="166" t="s">
        <v>61</v>
      </c>
      <c r="BMU27" s="167"/>
      <c r="BMV27" s="167"/>
      <c r="BMW27" s="167"/>
      <c r="BMX27" s="167"/>
      <c r="BMY27" s="167"/>
      <c r="BMZ27" s="167"/>
      <c r="BNA27" s="167"/>
      <c r="BNB27" s="167"/>
      <c r="BNC27" s="168"/>
      <c r="BNF27" s="166" t="s">
        <v>61</v>
      </c>
      <c r="BNG27" s="167"/>
      <c r="BNH27" s="167"/>
      <c r="BNI27" s="167"/>
      <c r="BNJ27" s="167"/>
      <c r="BNK27" s="167"/>
      <c r="BNL27" s="167"/>
      <c r="BNM27" s="167"/>
      <c r="BNN27" s="167"/>
      <c r="BNO27" s="168"/>
      <c r="BNR27" s="166" t="s">
        <v>61</v>
      </c>
      <c r="BNS27" s="167"/>
      <c r="BNT27" s="167"/>
      <c r="BNU27" s="167"/>
      <c r="BNV27" s="167"/>
      <c r="BNW27" s="167"/>
      <c r="BNX27" s="167"/>
      <c r="BNY27" s="167"/>
      <c r="BNZ27" s="167"/>
      <c r="BOA27" s="168"/>
      <c r="BOD27" s="166" t="s">
        <v>61</v>
      </c>
      <c r="BOE27" s="167"/>
      <c r="BOF27" s="167"/>
      <c r="BOG27" s="167"/>
      <c r="BOH27" s="167"/>
      <c r="BOI27" s="167"/>
      <c r="BOJ27" s="167"/>
      <c r="BOK27" s="167"/>
      <c r="BOL27" s="167"/>
      <c r="BOM27" s="168"/>
      <c r="BOP27" s="166" t="s">
        <v>61</v>
      </c>
      <c r="BOQ27" s="167"/>
      <c r="BOR27" s="167"/>
      <c r="BOS27" s="167"/>
      <c r="BOT27" s="167"/>
      <c r="BOU27" s="167"/>
      <c r="BOV27" s="167"/>
      <c r="BOW27" s="167"/>
      <c r="BOX27" s="167"/>
      <c r="BOY27" s="168"/>
      <c r="BPB27" s="166" t="s">
        <v>61</v>
      </c>
      <c r="BPC27" s="167"/>
      <c r="BPD27" s="167"/>
      <c r="BPE27" s="167"/>
      <c r="BPF27" s="167"/>
      <c r="BPG27" s="167"/>
      <c r="BPH27" s="167"/>
      <c r="BPI27" s="167"/>
      <c r="BPJ27" s="167"/>
      <c r="BPK27" s="168"/>
      <c r="BPN27" s="166" t="s">
        <v>61</v>
      </c>
      <c r="BPO27" s="167"/>
      <c r="BPP27" s="167"/>
      <c r="BPQ27" s="167"/>
      <c r="BPR27" s="167"/>
      <c r="BPS27" s="167"/>
      <c r="BPT27" s="167"/>
      <c r="BPU27" s="167"/>
      <c r="BPV27" s="167"/>
      <c r="BPW27" s="168"/>
      <c r="BPZ27" s="166" t="s">
        <v>61</v>
      </c>
      <c r="BQA27" s="167"/>
      <c r="BQB27" s="167"/>
      <c r="BQC27" s="167"/>
      <c r="BQD27" s="167"/>
      <c r="BQE27" s="167"/>
      <c r="BQF27" s="167"/>
      <c r="BQG27" s="167"/>
      <c r="BQH27" s="167"/>
      <c r="BQI27" s="168"/>
      <c r="BQL27" s="166" t="s">
        <v>61</v>
      </c>
      <c r="BQM27" s="167"/>
      <c r="BQN27" s="167"/>
      <c r="BQO27" s="167"/>
      <c r="BQP27" s="167"/>
      <c r="BQQ27" s="167"/>
      <c r="BQR27" s="167"/>
      <c r="BQS27" s="167"/>
      <c r="BQT27" s="167"/>
      <c r="BQU27" s="168"/>
      <c r="BQX27" s="166" t="s">
        <v>61</v>
      </c>
      <c r="BQY27" s="167"/>
      <c r="BQZ27" s="167"/>
      <c r="BRA27" s="167"/>
      <c r="BRB27" s="167"/>
      <c r="BRC27" s="167"/>
      <c r="BRD27" s="167"/>
      <c r="BRE27" s="167"/>
      <c r="BRF27" s="167"/>
      <c r="BRG27" s="168"/>
      <c r="BRJ27" s="166" t="s">
        <v>61</v>
      </c>
      <c r="BRK27" s="167"/>
      <c r="BRL27" s="167"/>
      <c r="BRM27" s="167"/>
      <c r="BRN27" s="167"/>
      <c r="BRO27" s="167"/>
      <c r="BRP27" s="167"/>
      <c r="BRQ27" s="167"/>
      <c r="BRR27" s="167"/>
      <c r="BRS27" s="168"/>
      <c r="BRV27" s="166" t="s">
        <v>61</v>
      </c>
      <c r="BRW27" s="167"/>
      <c r="BRX27" s="167"/>
      <c r="BRY27" s="167"/>
      <c r="BRZ27" s="167"/>
      <c r="BSA27" s="167"/>
      <c r="BSB27" s="167"/>
      <c r="BSC27" s="167"/>
      <c r="BSD27" s="167"/>
      <c r="BSE27" s="168"/>
      <c r="BSH27" s="166" t="s">
        <v>61</v>
      </c>
      <c r="BSI27" s="167"/>
      <c r="BSJ27" s="167"/>
      <c r="BSK27" s="167"/>
      <c r="BSL27" s="167"/>
      <c r="BSM27" s="167"/>
      <c r="BSN27" s="167"/>
      <c r="BSO27" s="167"/>
      <c r="BSP27" s="167"/>
      <c r="BSQ27" s="168"/>
      <c r="BST27" s="166" t="s">
        <v>61</v>
      </c>
      <c r="BSU27" s="167"/>
      <c r="BSV27" s="167"/>
      <c r="BSW27" s="167"/>
      <c r="BSX27" s="167"/>
      <c r="BSY27" s="167"/>
      <c r="BSZ27" s="167"/>
      <c r="BTA27" s="167"/>
      <c r="BTB27" s="167"/>
      <c r="BTC27" s="168"/>
      <c r="BTF27" s="166" t="s">
        <v>61</v>
      </c>
      <c r="BTG27" s="167"/>
      <c r="BTH27" s="167"/>
      <c r="BTI27" s="167"/>
      <c r="BTJ27" s="167"/>
      <c r="BTK27" s="167"/>
      <c r="BTL27" s="167"/>
      <c r="BTM27" s="167"/>
      <c r="BTN27" s="167"/>
      <c r="BTO27" s="168"/>
      <c r="BTR27" s="166" t="s">
        <v>61</v>
      </c>
      <c r="BTS27" s="167"/>
      <c r="BTT27" s="167"/>
      <c r="BTU27" s="167"/>
      <c r="BTV27" s="167"/>
      <c r="BTW27" s="167"/>
      <c r="BTX27" s="167"/>
      <c r="BTY27" s="167"/>
      <c r="BTZ27" s="167"/>
      <c r="BUA27" s="168"/>
      <c r="BUD27" s="166" t="s">
        <v>61</v>
      </c>
      <c r="BUE27" s="167"/>
      <c r="BUF27" s="167"/>
      <c r="BUG27" s="167"/>
      <c r="BUH27" s="167"/>
      <c r="BUI27" s="167"/>
      <c r="BUJ27" s="167"/>
      <c r="BUK27" s="167"/>
      <c r="BUL27" s="167"/>
      <c r="BUM27" s="168"/>
      <c r="BUP27" s="166" t="s">
        <v>61</v>
      </c>
      <c r="BUQ27" s="167"/>
      <c r="BUR27" s="167"/>
      <c r="BUS27" s="167"/>
      <c r="BUT27" s="167"/>
      <c r="BUU27" s="167"/>
      <c r="BUV27" s="167"/>
      <c r="BUW27" s="167"/>
      <c r="BUX27" s="167"/>
      <c r="BUY27" s="168"/>
      <c r="BVB27" s="166" t="s">
        <v>61</v>
      </c>
      <c r="BVC27" s="167"/>
      <c r="BVD27" s="167"/>
      <c r="BVE27" s="167"/>
      <c r="BVF27" s="167"/>
      <c r="BVG27" s="167"/>
      <c r="BVH27" s="167"/>
      <c r="BVI27" s="167"/>
      <c r="BVJ27" s="167"/>
      <c r="BVK27" s="168"/>
      <c r="BVN27" s="166" t="s">
        <v>61</v>
      </c>
      <c r="BVO27" s="167"/>
      <c r="BVP27" s="167"/>
      <c r="BVQ27" s="167"/>
      <c r="BVR27" s="167"/>
      <c r="BVS27" s="167"/>
      <c r="BVT27" s="167"/>
      <c r="BVU27" s="167"/>
      <c r="BVV27" s="167"/>
      <c r="BVW27" s="168"/>
      <c r="BVZ27" s="166" t="s">
        <v>61</v>
      </c>
      <c r="BWA27" s="167"/>
      <c r="BWB27" s="167"/>
      <c r="BWC27" s="167"/>
      <c r="BWD27" s="167"/>
      <c r="BWE27" s="167"/>
      <c r="BWF27" s="167"/>
      <c r="BWG27" s="167"/>
      <c r="BWH27" s="167"/>
      <c r="BWI27" s="168"/>
      <c r="BWL27" s="166" t="s">
        <v>61</v>
      </c>
      <c r="BWM27" s="167"/>
      <c r="BWN27" s="167"/>
      <c r="BWO27" s="167"/>
      <c r="BWP27" s="167"/>
      <c r="BWQ27" s="167"/>
      <c r="BWR27" s="167"/>
      <c r="BWS27" s="167"/>
      <c r="BWT27" s="167"/>
      <c r="BWU27" s="168"/>
      <c r="BWX27" s="166" t="s">
        <v>61</v>
      </c>
      <c r="BWY27" s="167"/>
      <c r="BWZ27" s="167"/>
      <c r="BXA27" s="167"/>
      <c r="BXB27" s="167"/>
      <c r="BXC27" s="167"/>
      <c r="BXD27" s="167"/>
      <c r="BXE27" s="167"/>
      <c r="BXF27" s="167"/>
      <c r="BXG27" s="168"/>
      <c r="BXJ27" s="166" t="s">
        <v>61</v>
      </c>
      <c r="BXK27" s="167"/>
      <c r="BXL27" s="167"/>
      <c r="BXM27" s="167"/>
      <c r="BXN27" s="167"/>
      <c r="BXO27" s="167"/>
      <c r="BXP27" s="167"/>
      <c r="BXQ27" s="167"/>
      <c r="BXR27" s="167"/>
      <c r="BXS27" s="168"/>
      <c r="BXV27" s="166" t="s">
        <v>62</v>
      </c>
      <c r="BXW27" s="167"/>
      <c r="BXX27" s="167"/>
      <c r="BXY27" s="167"/>
      <c r="BXZ27" s="167"/>
      <c r="BYA27" s="167"/>
      <c r="BYB27" s="167"/>
      <c r="BYC27" s="167"/>
      <c r="BYD27" s="167"/>
      <c r="BYE27" s="168"/>
      <c r="BYH27" s="166" t="s">
        <v>63</v>
      </c>
      <c r="BYI27" s="167"/>
      <c r="BYJ27" s="167"/>
      <c r="BYK27" s="167"/>
      <c r="BYL27" s="167"/>
      <c r="BYM27" s="167"/>
      <c r="BYN27" s="167"/>
      <c r="BYO27" s="167"/>
      <c r="BYP27" s="167"/>
      <c r="BYQ27" s="168"/>
      <c r="BYT27" s="166" t="s">
        <v>63</v>
      </c>
      <c r="BYU27" s="167"/>
      <c r="BYV27" s="167"/>
      <c r="BYW27" s="167"/>
      <c r="BYX27" s="167"/>
      <c r="BYY27" s="167"/>
      <c r="BYZ27" s="167"/>
      <c r="BZA27" s="167"/>
      <c r="BZB27" s="167"/>
      <c r="BZC27" s="168"/>
      <c r="BZF27" s="166" t="s">
        <v>63</v>
      </c>
      <c r="BZG27" s="167"/>
      <c r="BZH27" s="167"/>
      <c r="BZI27" s="167"/>
      <c r="BZJ27" s="167"/>
      <c r="BZK27" s="167"/>
      <c r="BZL27" s="167"/>
      <c r="BZM27" s="167"/>
      <c r="BZN27" s="167"/>
      <c r="BZO27" s="168"/>
      <c r="BZR27" s="166" t="s">
        <v>63</v>
      </c>
      <c r="BZS27" s="167"/>
      <c r="BZT27" s="167"/>
      <c r="BZU27" s="167"/>
      <c r="BZV27" s="167"/>
      <c r="BZW27" s="167"/>
      <c r="BZX27" s="167"/>
      <c r="BZY27" s="167"/>
      <c r="BZZ27" s="167"/>
      <c r="CAA27" s="168"/>
      <c r="CAD27" s="166" t="s">
        <v>63</v>
      </c>
      <c r="CAE27" s="167"/>
      <c r="CAF27" s="167"/>
      <c r="CAG27" s="167"/>
      <c r="CAH27" s="167"/>
      <c r="CAI27" s="167"/>
      <c r="CAJ27" s="167"/>
      <c r="CAK27" s="167"/>
      <c r="CAL27" s="167"/>
      <c r="CAM27" s="168"/>
      <c r="CAP27" s="166" t="s">
        <v>63</v>
      </c>
      <c r="CAQ27" s="167"/>
      <c r="CAR27" s="167"/>
      <c r="CAS27" s="167"/>
      <c r="CAT27" s="167"/>
      <c r="CAU27" s="167"/>
      <c r="CAV27" s="167"/>
      <c r="CAW27" s="167"/>
      <c r="CAX27" s="167"/>
      <c r="CAY27" s="168"/>
      <c r="CBB27" s="166" t="s">
        <v>63</v>
      </c>
      <c r="CBC27" s="167"/>
      <c r="CBD27" s="167"/>
      <c r="CBE27" s="167"/>
      <c r="CBF27" s="167"/>
      <c r="CBG27" s="167"/>
      <c r="CBH27" s="167"/>
      <c r="CBI27" s="167"/>
      <c r="CBJ27" s="167"/>
      <c r="CBK27" s="168"/>
      <c r="CBN27" s="166" t="s">
        <v>63</v>
      </c>
      <c r="CBO27" s="167"/>
      <c r="CBP27" s="167"/>
      <c r="CBQ27" s="167"/>
      <c r="CBR27" s="167"/>
      <c r="CBS27" s="167"/>
      <c r="CBT27" s="167"/>
      <c r="CBU27" s="167"/>
      <c r="CBV27" s="167"/>
      <c r="CBW27" s="168"/>
      <c r="CBZ27" s="166" t="s">
        <v>63</v>
      </c>
      <c r="CCA27" s="167"/>
      <c r="CCB27" s="167"/>
      <c r="CCC27" s="167"/>
      <c r="CCD27" s="167"/>
      <c r="CCE27" s="167"/>
      <c r="CCF27" s="167"/>
      <c r="CCG27" s="167"/>
      <c r="CCH27" s="167"/>
      <c r="CCI27" s="168"/>
      <c r="CCL27" s="166" t="s">
        <v>63</v>
      </c>
      <c r="CCM27" s="167"/>
      <c r="CCN27" s="167"/>
      <c r="CCO27" s="167"/>
      <c r="CCP27" s="167"/>
      <c r="CCQ27" s="167"/>
      <c r="CCR27" s="167"/>
      <c r="CCS27" s="167"/>
      <c r="CCT27" s="167"/>
      <c r="CCU27" s="168"/>
      <c r="CCX27" s="166" t="s">
        <v>63</v>
      </c>
      <c r="CCY27" s="167"/>
      <c r="CCZ27" s="167"/>
      <c r="CDA27" s="167"/>
      <c r="CDB27" s="167"/>
      <c r="CDC27" s="167"/>
      <c r="CDD27" s="167"/>
      <c r="CDE27" s="167"/>
      <c r="CDF27" s="167"/>
      <c r="CDG27" s="168"/>
      <c r="CDJ27" s="166" t="s">
        <v>63</v>
      </c>
      <c r="CDK27" s="167"/>
      <c r="CDL27" s="167"/>
      <c r="CDM27" s="167"/>
      <c r="CDN27" s="167"/>
      <c r="CDO27" s="167"/>
      <c r="CDP27" s="167"/>
      <c r="CDQ27" s="167"/>
      <c r="CDR27" s="167"/>
      <c r="CDS27" s="168"/>
      <c r="CDV27" s="166" t="s">
        <v>63</v>
      </c>
      <c r="CDW27" s="167"/>
      <c r="CDX27" s="167"/>
      <c r="CDY27" s="167"/>
      <c r="CDZ27" s="167"/>
      <c r="CEA27" s="167"/>
      <c r="CEB27" s="167"/>
      <c r="CEC27" s="167"/>
      <c r="CED27" s="167"/>
      <c r="CEE27" s="168"/>
      <c r="CEH27" s="166" t="s">
        <v>63</v>
      </c>
      <c r="CEI27" s="167"/>
      <c r="CEJ27" s="167"/>
      <c r="CEK27" s="167"/>
      <c r="CEL27" s="167"/>
      <c r="CEM27" s="167"/>
      <c r="CEN27" s="167"/>
      <c r="CEO27" s="167"/>
      <c r="CEP27" s="167"/>
      <c r="CEQ27" s="168"/>
      <c r="CET27" s="166" t="s">
        <v>63</v>
      </c>
      <c r="CEU27" s="167"/>
      <c r="CEV27" s="167"/>
      <c r="CEW27" s="167"/>
      <c r="CEX27" s="167"/>
      <c r="CEY27" s="167"/>
      <c r="CEZ27" s="167"/>
      <c r="CFA27" s="167"/>
      <c r="CFB27" s="167"/>
      <c r="CFC27" s="168"/>
      <c r="CFF27" s="166" t="s">
        <v>63</v>
      </c>
      <c r="CFG27" s="167"/>
      <c r="CFH27" s="167"/>
      <c r="CFI27" s="167"/>
      <c r="CFJ27" s="167"/>
      <c r="CFK27" s="167"/>
      <c r="CFL27" s="167"/>
      <c r="CFM27" s="167"/>
      <c r="CFN27" s="167"/>
      <c r="CFO27" s="168"/>
      <c r="CFR27" s="166" t="s">
        <v>63</v>
      </c>
      <c r="CFS27" s="167"/>
      <c r="CFT27" s="167"/>
      <c r="CFU27" s="167"/>
      <c r="CFV27" s="167"/>
      <c r="CFW27" s="167"/>
      <c r="CFX27" s="167"/>
      <c r="CFY27" s="167"/>
      <c r="CFZ27" s="167"/>
      <c r="CGA27" s="168"/>
      <c r="CGD27" s="166" t="s">
        <v>63</v>
      </c>
      <c r="CGE27" s="167"/>
      <c r="CGF27" s="167"/>
      <c r="CGG27" s="167"/>
      <c r="CGH27" s="167"/>
      <c r="CGI27" s="167"/>
      <c r="CGJ27" s="167"/>
      <c r="CGK27" s="167"/>
      <c r="CGL27" s="167"/>
      <c r="CGM27" s="168"/>
      <c r="CGP27" s="166" t="s">
        <v>63</v>
      </c>
      <c r="CGQ27" s="167"/>
      <c r="CGR27" s="167"/>
      <c r="CGS27" s="167"/>
      <c r="CGT27" s="167"/>
      <c r="CGU27" s="167"/>
      <c r="CGV27" s="167"/>
      <c r="CGW27" s="167"/>
      <c r="CGX27" s="167"/>
      <c r="CGY27" s="168"/>
      <c r="CHB27" s="166" t="s">
        <v>63</v>
      </c>
      <c r="CHC27" s="167"/>
      <c r="CHD27" s="167"/>
      <c r="CHE27" s="167"/>
      <c r="CHF27" s="167"/>
      <c r="CHG27" s="167"/>
      <c r="CHH27" s="167"/>
      <c r="CHI27" s="167"/>
      <c r="CHJ27" s="167"/>
      <c r="CHK27" s="168"/>
      <c r="CHN27" s="166" t="s">
        <v>63</v>
      </c>
      <c r="CHO27" s="167"/>
      <c r="CHP27" s="167"/>
      <c r="CHQ27" s="167"/>
      <c r="CHR27" s="167"/>
      <c r="CHS27" s="167"/>
      <c r="CHT27" s="167"/>
      <c r="CHU27" s="167"/>
      <c r="CHV27" s="167"/>
      <c r="CHW27" s="168"/>
      <c r="CHZ27" s="166" t="s">
        <v>63</v>
      </c>
      <c r="CIA27" s="167"/>
      <c r="CIB27" s="167"/>
      <c r="CIC27" s="167"/>
      <c r="CID27" s="167"/>
      <c r="CIE27" s="167"/>
      <c r="CIF27" s="167"/>
      <c r="CIG27" s="167"/>
      <c r="CIH27" s="167"/>
      <c r="CII27" s="168"/>
      <c r="CIL27" s="166" t="s">
        <v>63</v>
      </c>
      <c r="CIM27" s="167"/>
      <c r="CIN27" s="167"/>
      <c r="CIO27" s="167"/>
      <c r="CIP27" s="167"/>
      <c r="CIQ27" s="167"/>
      <c r="CIR27" s="167"/>
      <c r="CIS27" s="167"/>
      <c r="CIT27" s="167"/>
      <c r="CIU27" s="168"/>
      <c r="CIX27" s="166" t="s">
        <v>63</v>
      </c>
      <c r="CIY27" s="167"/>
      <c r="CIZ27" s="167"/>
      <c r="CJA27" s="167"/>
      <c r="CJB27" s="167"/>
      <c r="CJC27" s="167"/>
      <c r="CJD27" s="167"/>
      <c r="CJE27" s="167"/>
      <c r="CJF27" s="167"/>
      <c r="CJG27" s="168"/>
      <c r="CJJ27" s="166" t="s">
        <v>63</v>
      </c>
      <c r="CJK27" s="167"/>
      <c r="CJL27" s="167"/>
      <c r="CJM27" s="167"/>
      <c r="CJN27" s="167"/>
      <c r="CJO27" s="167"/>
      <c r="CJP27" s="167"/>
      <c r="CJQ27" s="167"/>
      <c r="CJR27" s="167"/>
      <c r="CJS27" s="168"/>
      <c r="CJV27" s="166" t="s">
        <v>63</v>
      </c>
      <c r="CJW27" s="167"/>
      <c r="CJX27" s="167"/>
      <c r="CJY27" s="167"/>
      <c r="CJZ27" s="167"/>
      <c r="CKA27" s="167"/>
      <c r="CKB27" s="167"/>
      <c r="CKC27" s="167"/>
      <c r="CKD27" s="167"/>
      <c r="CKE27" s="168"/>
      <c r="CKH27" s="166" t="s">
        <v>63</v>
      </c>
      <c r="CKI27" s="167"/>
      <c r="CKJ27" s="167"/>
      <c r="CKK27" s="167"/>
      <c r="CKL27" s="167"/>
      <c r="CKM27" s="167"/>
      <c r="CKN27" s="167"/>
      <c r="CKO27" s="167"/>
      <c r="CKP27" s="167"/>
      <c r="CKQ27" s="168"/>
      <c r="CKT27" s="166" t="s">
        <v>63</v>
      </c>
      <c r="CKU27" s="167"/>
      <c r="CKV27" s="167"/>
      <c r="CKW27" s="167"/>
      <c r="CKX27" s="167"/>
      <c r="CKY27" s="167"/>
      <c r="CKZ27" s="167"/>
      <c r="CLA27" s="167"/>
      <c r="CLB27" s="167"/>
      <c r="CLC27" s="168"/>
      <c r="CLF27" s="166" t="s">
        <v>63</v>
      </c>
      <c r="CLG27" s="167"/>
      <c r="CLH27" s="167"/>
      <c r="CLI27" s="167"/>
      <c r="CLJ27" s="167"/>
      <c r="CLK27" s="167"/>
      <c r="CLL27" s="167"/>
      <c r="CLM27" s="167"/>
      <c r="CLN27" s="167"/>
      <c r="CLO27" s="168"/>
      <c r="CLR27" s="166" t="s">
        <v>63</v>
      </c>
      <c r="CLS27" s="167"/>
      <c r="CLT27" s="167"/>
      <c r="CLU27" s="167"/>
      <c r="CLV27" s="167"/>
      <c r="CLW27" s="167"/>
      <c r="CLX27" s="167"/>
      <c r="CLY27" s="167"/>
      <c r="CLZ27" s="167"/>
      <c r="CMA27" s="168"/>
      <c r="CMD27" s="166" t="s">
        <v>63</v>
      </c>
      <c r="CME27" s="167"/>
      <c r="CMF27" s="167"/>
      <c r="CMG27" s="167"/>
      <c r="CMH27" s="167"/>
      <c r="CMI27" s="167"/>
      <c r="CMJ27" s="167"/>
      <c r="CMK27" s="167"/>
      <c r="CML27" s="167"/>
      <c r="CMM27" s="168"/>
      <c r="CMP27" s="166" t="s">
        <v>63</v>
      </c>
      <c r="CMQ27" s="167"/>
      <c r="CMR27" s="167"/>
      <c r="CMS27" s="167"/>
      <c r="CMT27" s="167"/>
      <c r="CMU27" s="167"/>
      <c r="CMV27" s="167"/>
      <c r="CMW27" s="167"/>
      <c r="CMX27" s="167"/>
      <c r="CMY27" s="168"/>
      <c r="CNB27" s="166" t="s">
        <v>63</v>
      </c>
      <c r="CNC27" s="167"/>
      <c r="CND27" s="167"/>
      <c r="CNE27" s="167"/>
      <c r="CNF27" s="167"/>
      <c r="CNG27" s="167"/>
      <c r="CNH27" s="167"/>
      <c r="CNI27" s="167"/>
      <c r="CNJ27" s="167"/>
      <c r="CNK27" s="168"/>
      <c r="CNN27" s="166" t="s">
        <v>63</v>
      </c>
      <c r="CNO27" s="167"/>
      <c r="CNP27" s="167"/>
      <c r="CNQ27" s="167"/>
      <c r="CNR27" s="167"/>
      <c r="CNS27" s="167"/>
      <c r="CNT27" s="167"/>
      <c r="CNU27" s="167"/>
      <c r="CNV27" s="167"/>
      <c r="CNW27" s="168"/>
      <c r="CNZ27" s="166" t="s">
        <v>63</v>
      </c>
      <c r="COA27" s="167"/>
      <c r="COB27" s="167"/>
      <c r="COC27" s="167"/>
      <c r="COD27" s="167"/>
      <c r="COE27" s="167"/>
      <c r="COF27" s="167"/>
      <c r="COG27" s="167"/>
      <c r="COH27" s="167"/>
      <c r="COI27" s="168"/>
      <c r="COL27" s="166" t="s">
        <v>63</v>
      </c>
      <c r="COM27" s="167"/>
      <c r="CON27" s="167"/>
      <c r="COO27" s="167"/>
      <c r="COP27" s="167"/>
      <c r="COQ27" s="167"/>
      <c r="COR27" s="167"/>
      <c r="COS27" s="167"/>
      <c r="COT27" s="167"/>
      <c r="COU27" s="168"/>
      <c r="COX27" s="166" t="s">
        <v>63</v>
      </c>
      <c r="COY27" s="167"/>
      <c r="COZ27" s="167"/>
      <c r="CPA27" s="167"/>
      <c r="CPB27" s="167"/>
      <c r="CPC27" s="167"/>
      <c r="CPD27" s="167"/>
      <c r="CPE27" s="167"/>
      <c r="CPF27" s="167"/>
      <c r="CPG27" s="168"/>
      <c r="CPJ27" s="166" t="s">
        <v>63</v>
      </c>
      <c r="CPK27" s="167"/>
      <c r="CPL27" s="167"/>
      <c r="CPM27" s="167"/>
      <c r="CPN27" s="167"/>
      <c r="CPO27" s="167"/>
      <c r="CPP27" s="167"/>
      <c r="CPQ27" s="167"/>
      <c r="CPR27" s="167"/>
      <c r="CPS27" s="168"/>
      <c r="CPV27" s="166" t="s">
        <v>63</v>
      </c>
      <c r="CPW27" s="167"/>
      <c r="CPX27" s="167"/>
      <c r="CPY27" s="167"/>
      <c r="CPZ27" s="167"/>
      <c r="CQA27" s="167"/>
      <c r="CQB27" s="167"/>
      <c r="CQC27" s="167"/>
      <c r="CQD27" s="167"/>
      <c r="CQE27" s="168"/>
      <c r="CQH27" s="166" t="s">
        <v>63</v>
      </c>
      <c r="CQI27" s="167"/>
      <c r="CQJ27" s="167"/>
      <c r="CQK27" s="167"/>
      <c r="CQL27" s="167"/>
      <c r="CQM27" s="167"/>
      <c r="CQN27" s="167"/>
      <c r="CQO27" s="167"/>
      <c r="CQP27" s="167"/>
      <c r="CQQ27" s="168"/>
      <c r="CQT27" s="166" t="s">
        <v>63</v>
      </c>
      <c r="CQU27" s="167"/>
      <c r="CQV27" s="167"/>
      <c r="CQW27" s="167"/>
      <c r="CQX27" s="167"/>
      <c r="CQY27" s="167"/>
      <c r="CQZ27" s="167"/>
      <c r="CRA27" s="167"/>
      <c r="CRB27" s="167"/>
      <c r="CRC27" s="168"/>
      <c r="CRF27" s="166" t="s">
        <v>63</v>
      </c>
      <c r="CRG27" s="167"/>
      <c r="CRH27" s="167"/>
      <c r="CRI27" s="167"/>
      <c r="CRJ27" s="167"/>
      <c r="CRK27" s="167"/>
      <c r="CRL27" s="167"/>
      <c r="CRM27" s="167"/>
      <c r="CRN27" s="167"/>
      <c r="CRO27" s="168"/>
      <c r="CRR27" s="166" t="s">
        <v>63</v>
      </c>
      <c r="CRS27" s="167"/>
      <c r="CRT27" s="167"/>
      <c r="CRU27" s="167"/>
      <c r="CRV27" s="167"/>
      <c r="CRW27" s="167"/>
      <c r="CRX27" s="167"/>
      <c r="CRY27" s="167"/>
      <c r="CRZ27" s="167"/>
      <c r="CSA27" s="168"/>
      <c r="CSD27" s="166" t="s">
        <v>63</v>
      </c>
      <c r="CSE27" s="167"/>
      <c r="CSF27" s="167"/>
      <c r="CSG27" s="167"/>
      <c r="CSH27" s="167"/>
      <c r="CSI27" s="167"/>
      <c r="CSJ27" s="167"/>
      <c r="CSK27" s="167"/>
      <c r="CSL27" s="167"/>
      <c r="CSM27" s="168"/>
      <c r="CSP27" s="166" t="s">
        <v>63</v>
      </c>
      <c r="CSQ27" s="167"/>
      <c r="CSR27" s="167"/>
      <c r="CSS27" s="167"/>
      <c r="CST27" s="167"/>
      <c r="CSU27" s="167"/>
      <c r="CSV27" s="167"/>
      <c r="CSW27" s="167"/>
      <c r="CSX27" s="167"/>
      <c r="CSY27" s="168"/>
      <c r="CTB27" s="166" t="s">
        <v>63</v>
      </c>
      <c r="CTC27" s="167"/>
      <c r="CTD27" s="167"/>
      <c r="CTE27" s="167"/>
      <c r="CTF27" s="167"/>
      <c r="CTG27" s="167"/>
      <c r="CTH27" s="167"/>
      <c r="CTI27" s="167"/>
      <c r="CTJ27" s="167"/>
      <c r="CTK27" s="168"/>
      <c r="CTN27" s="166" t="s">
        <v>63</v>
      </c>
      <c r="CTO27" s="167"/>
      <c r="CTP27" s="167"/>
      <c r="CTQ27" s="167"/>
      <c r="CTR27" s="167"/>
      <c r="CTS27" s="167"/>
      <c r="CTT27" s="167"/>
      <c r="CTU27" s="167"/>
      <c r="CTV27" s="167"/>
      <c r="CTW27" s="168"/>
      <c r="CTZ27" s="166" t="s">
        <v>63</v>
      </c>
      <c r="CUA27" s="167"/>
      <c r="CUB27" s="167"/>
      <c r="CUC27" s="167"/>
      <c r="CUD27" s="167"/>
      <c r="CUE27" s="167"/>
      <c r="CUF27" s="167"/>
      <c r="CUG27" s="167"/>
      <c r="CUH27" s="167"/>
      <c r="CUI27" s="168"/>
      <c r="CUL27" s="166" t="s">
        <v>63</v>
      </c>
      <c r="CUM27" s="167"/>
      <c r="CUN27" s="167"/>
      <c r="CUO27" s="167"/>
      <c r="CUP27" s="167"/>
      <c r="CUQ27" s="167"/>
      <c r="CUR27" s="167"/>
      <c r="CUS27" s="167"/>
      <c r="CUT27" s="167"/>
      <c r="CUU27" s="168"/>
      <c r="CUX27" s="166" t="s">
        <v>63</v>
      </c>
      <c r="CUY27" s="167"/>
      <c r="CUZ27" s="167"/>
      <c r="CVA27" s="167"/>
      <c r="CVB27" s="167"/>
      <c r="CVC27" s="167"/>
      <c r="CVD27" s="167"/>
      <c r="CVE27" s="167"/>
      <c r="CVF27" s="167"/>
      <c r="CVG27" s="168"/>
      <c r="CVJ27" s="166" t="s">
        <v>63</v>
      </c>
      <c r="CVK27" s="167"/>
      <c r="CVL27" s="167"/>
      <c r="CVM27" s="167"/>
      <c r="CVN27" s="167"/>
      <c r="CVO27" s="167"/>
      <c r="CVP27" s="167"/>
      <c r="CVQ27" s="167"/>
      <c r="CVR27" s="167"/>
      <c r="CVS27" s="168"/>
      <c r="CVV27" s="166" t="s">
        <v>63</v>
      </c>
      <c r="CVW27" s="167"/>
      <c r="CVX27" s="167"/>
      <c r="CVY27" s="167"/>
      <c r="CVZ27" s="167"/>
      <c r="CWA27" s="167"/>
      <c r="CWB27" s="167"/>
      <c r="CWC27" s="167"/>
      <c r="CWD27" s="167"/>
      <c r="CWE27" s="168"/>
    </row>
    <row r="28" spans="1:1023 1026:2631" x14ac:dyDescent="0.25">
      <c r="H28" s="94" t="s">
        <v>64</v>
      </c>
      <c r="I28" s="94"/>
      <c r="J28" s="94"/>
      <c r="K28" s="1"/>
      <c r="L28" s="1"/>
      <c r="V28" s="94" t="s">
        <v>64</v>
      </c>
      <c r="W28" s="94"/>
      <c r="X28" s="94"/>
      <c r="Y28" s="1"/>
      <c r="Z28" s="1"/>
      <c r="AJ28" s="94" t="s">
        <v>64</v>
      </c>
      <c r="AK28" s="94"/>
      <c r="AL28" s="94"/>
      <c r="AM28" s="1"/>
      <c r="AN28" s="1"/>
      <c r="AX28" s="94" t="s">
        <v>64</v>
      </c>
      <c r="AY28" s="94"/>
      <c r="AZ28" s="94"/>
      <c r="BA28" s="1"/>
      <c r="BB28" s="1"/>
      <c r="BL28" s="94" t="s">
        <v>64</v>
      </c>
      <c r="BM28" s="94"/>
      <c r="BN28" s="94"/>
      <c r="BO28" s="1"/>
      <c r="BP28" s="1"/>
      <c r="BZ28" s="94" t="s">
        <v>64</v>
      </c>
      <c r="CA28" s="94"/>
      <c r="CB28" s="94"/>
      <c r="CC28" s="1"/>
      <c r="CD28" s="1"/>
      <c r="CN28" s="94" t="s">
        <v>64</v>
      </c>
      <c r="CO28" s="94"/>
      <c r="CP28" s="94"/>
      <c r="CQ28" s="1"/>
      <c r="CR28" s="1"/>
      <c r="DB28" s="94" t="s">
        <v>64</v>
      </c>
      <c r="DC28" s="94"/>
      <c r="DD28" s="94"/>
      <c r="DE28" s="1"/>
      <c r="DF28" s="1"/>
      <c r="DP28" s="94" t="s">
        <v>64</v>
      </c>
      <c r="DQ28" s="94"/>
      <c r="DR28" s="94"/>
      <c r="DS28" s="1"/>
      <c r="DT28" s="1"/>
      <c r="ED28" s="94" t="s">
        <v>64</v>
      </c>
      <c r="EE28" s="94"/>
      <c r="EF28" s="94"/>
      <c r="EG28" s="1"/>
      <c r="EH28" s="1"/>
      <c r="ER28" s="94" t="s">
        <v>64</v>
      </c>
      <c r="ES28" s="94"/>
      <c r="ET28" s="94"/>
      <c r="EU28" s="1"/>
      <c r="EV28" s="1"/>
      <c r="FF28" s="94" t="s">
        <v>64</v>
      </c>
      <c r="FG28" s="94"/>
      <c r="FH28" s="94"/>
      <c r="FI28" s="1"/>
      <c r="FJ28" s="1"/>
      <c r="FT28" s="94" t="s">
        <v>64</v>
      </c>
      <c r="FU28" s="94"/>
      <c r="FV28" s="94"/>
      <c r="FW28" s="1"/>
      <c r="FX28" s="1"/>
      <c r="GH28" s="94" t="s">
        <v>64</v>
      </c>
      <c r="GI28" s="94"/>
      <c r="GJ28" s="94"/>
      <c r="GK28" s="1"/>
      <c r="GL28" s="1"/>
      <c r="GV28" s="94" t="s">
        <v>64</v>
      </c>
      <c r="GW28" s="94"/>
      <c r="GX28" s="94"/>
      <c r="GY28" s="1"/>
      <c r="GZ28" s="1"/>
      <c r="HJ28" s="94" t="s">
        <v>64</v>
      </c>
      <c r="HK28" s="94"/>
      <c r="HL28" s="94"/>
      <c r="HM28" s="1"/>
      <c r="HN28" s="1"/>
      <c r="HX28" s="94" t="s">
        <v>64</v>
      </c>
      <c r="HY28" s="94"/>
      <c r="HZ28" s="94"/>
      <c r="IA28" s="1"/>
      <c r="IB28" s="1"/>
      <c r="IL28" s="94" t="s">
        <v>64</v>
      </c>
      <c r="IM28" s="94"/>
      <c r="IN28" s="94"/>
      <c r="IO28" s="1"/>
      <c r="IP28" s="1"/>
      <c r="IZ28" s="94" t="s">
        <v>64</v>
      </c>
      <c r="JA28" s="94"/>
      <c r="JB28" s="94"/>
      <c r="JC28" s="1"/>
      <c r="JD28" s="1"/>
      <c r="JN28" s="94" t="s">
        <v>64</v>
      </c>
      <c r="JO28" s="94"/>
      <c r="JP28" s="94"/>
      <c r="JQ28" s="1"/>
      <c r="JR28" s="1"/>
      <c r="KB28" s="94" t="s">
        <v>64</v>
      </c>
      <c r="KC28" s="94"/>
      <c r="KD28" s="94"/>
      <c r="KE28" s="1"/>
      <c r="KF28" s="1"/>
      <c r="KM28" s="103" t="s">
        <v>61</v>
      </c>
      <c r="KP28" s="94" t="s">
        <v>64</v>
      </c>
      <c r="KQ28" s="94"/>
      <c r="KR28" s="94"/>
      <c r="KS28" s="1"/>
      <c r="KT28" s="1"/>
      <c r="LD28" s="94" t="s">
        <v>64</v>
      </c>
      <c r="LE28" s="94"/>
      <c r="LF28" s="94"/>
      <c r="LG28" s="1"/>
      <c r="LH28" s="1"/>
      <c r="LR28" s="94" t="s">
        <v>64</v>
      </c>
      <c r="LS28" s="94"/>
      <c r="LT28" s="94"/>
      <c r="LU28" s="1"/>
      <c r="LV28" s="1"/>
      <c r="MF28" s="94" t="s">
        <v>64</v>
      </c>
      <c r="MG28" s="94"/>
      <c r="MH28" s="94"/>
      <c r="MI28" s="1"/>
      <c r="MJ28" s="1"/>
      <c r="MT28" s="94" t="s">
        <v>64</v>
      </c>
      <c r="MU28" s="94"/>
      <c r="MV28" s="94"/>
      <c r="MW28" s="1"/>
      <c r="MX28" s="1"/>
      <c r="NH28" s="94" t="s">
        <v>64</v>
      </c>
      <c r="NI28" s="94"/>
      <c r="NJ28" s="94"/>
      <c r="NK28" s="1"/>
      <c r="NL28" s="1"/>
      <c r="NV28" s="94" t="s">
        <v>64</v>
      </c>
      <c r="NW28" s="94"/>
      <c r="NX28" s="94"/>
      <c r="NY28" s="1"/>
      <c r="NZ28" s="1"/>
      <c r="OJ28" s="94" t="s">
        <v>64</v>
      </c>
      <c r="OK28" s="94"/>
      <c r="OL28" s="94"/>
      <c r="OM28" s="1"/>
      <c r="ON28" s="1"/>
      <c r="OX28" s="94" t="s">
        <v>64</v>
      </c>
      <c r="OY28" s="94"/>
      <c r="OZ28" s="94"/>
      <c r="PA28" s="1"/>
      <c r="PB28" s="1"/>
      <c r="PL28" s="94" t="s">
        <v>64</v>
      </c>
      <c r="PM28" s="94"/>
      <c r="PN28" s="94"/>
      <c r="PO28" s="1"/>
      <c r="PP28" s="1"/>
      <c r="PZ28" s="94" t="s">
        <v>64</v>
      </c>
      <c r="QA28" s="94"/>
      <c r="QB28" s="94"/>
      <c r="QC28" s="1"/>
      <c r="QD28" s="1"/>
      <c r="QN28" s="94" t="s">
        <v>64</v>
      </c>
      <c r="QO28" s="94"/>
      <c r="QP28" s="94"/>
      <c r="QQ28" s="1"/>
      <c r="QR28" s="1"/>
      <c r="RB28" s="94" t="s">
        <v>64</v>
      </c>
      <c r="RC28" s="94"/>
      <c r="RD28" s="94"/>
      <c r="RE28" s="1"/>
      <c r="RF28" s="1"/>
      <c r="RP28" s="94" t="s">
        <v>64</v>
      </c>
      <c r="RQ28" s="94"/>
      <c r="RR28" s="94"/>
      <c r="RS28" s="1"/>
      <c r="RT28" s="1"/>
      <c r="SD28" s="94" t="s">
        <v>64</v>
      </c>
      <c r="SE28" s="94"/>
      <c r="SF28" s="94"/>
      <c r="SG28" s="1"/>
      <c r="SH28" s="1"/>
      <c r="SR28" s="94" t="s">
        <v>64</v>
      </c>
      <c r="SS28" s="94"/>
      <c r="ST28" s="94"/>
      <c r="SU28" s="1"/>
      <c r="SV28" s="1"/>
      <c r="TF28" s="94" t="s">
        <v>64</v>
      </c>
      <c r="TG28" s="94"/>
      <c r="TH28" s="94"/>
      <c r="TI28" s="1"/>
      <c r="TJ28" s="1"/>
      <c r="TT28" s="94" t="s">
        <v>64</v>
      </c>
      <c r="TU28" s="94"/>
      <c r="TV28" s="94"/>
      <c r="TW28" s="1"/>
      <c r="TX28" s="1"/>
      <c r="UH28" s="94" t="s">
        <v>64</v>
      </c>
      <c r="UI28" s="94"/>
      <c r="UJ28" s="94"/>
      <c r="UK28" s="1"/>
      <c r="UL28" s="1"/>
      <c r="UV28" s="94" t="s">
        <v>64</v>
      </c>
      <c r="UW28" s="94"/>
      <c r="UX28" s="94"/>
      <c r="UY28" s="1"/>
      <c r="UZ28" s="1"/>
      <c r="VJ28" s="94" t="s">
        <v>64</v>
      </c>
      <c r="VK28" s="94"/>
      <c r="VL28" s="94"/>
      <c r="VM28" s="1"/>
      <c r="VN28" s="1"/>
      <c r="VX28" s="94" t="s">
        <v>64</v>
      </c>
      <c r="VY28" s="94"/>
      <c r="VZ28" s="94"/>
      <c r="WA28" s="1"/>
      <c r="WB28" s="1"/>
      <c r="WL28" s="94" t="s">
        <v>64</v>
      </c>
      <c r="WM28" s="94"/>
      <c r="WN28" s="94"/>
      <c r="WO28" s="1"/>
      <c r="WP28" s="1"/>
      <c r="WZ28" s="94" t="s">
        <v>64</v>
      </c>
      <c r="XA28" s="94"/>
      <c r="XB28" s="94"/>
      <c r="XC28" s="1"/>
      <c r="XD28" s="1"/>
      <c r="XN28" s="94" t="s">
        <v>64</v>
      </c>
      <c r="XO28" s="94"/>
      <c r="XP28" s="94"/>
      <c r="XQ28" s="1"/>
      <c r="XR28" s="1"/>
      <c r="YB28" s="94" t="s">
        <v>64</v>
      </c>
      <c r="YC28" s="94"/>
      <c r="YD28" s="94"/>
      <c r="YE28" s="1"/>
      <c r="YF28" s="1"/>
      <c r="YP28" s="94" t="s">
        <v>64</v>
      </c>
      <c r="YQ28" s="94"/>
      <c r="YR28" s="94"/>
      <c r="YS28" s="1"/>
      <c r="YT28" s="1"/>
      <c r="ZD28" s="94" t="s">
        <v>64</v>
      </c>
      <c r="ZE28" s="94"/>
      <c r="ZF28" s="94"/>
      <c r="ZG28" s="1"/>
      <c r="ZH28" s="1"/>
      <c r="ZR28" s="94" t="s">
        <v>64</v>
      </c>
      <c r="ZS28" s="94"/>
      <c r="ZT28" s="94"/>
      <c r="ZU28" s="1"/>
      <c r="ZV28" s="1"/>
      <c r="ZY28" s="86"/>
      <c r="ZZ28" s="147"/>
      <c r="AAA28" s="147"/>
      <c r="AAB28" s="147"/>
      <c r="AAC28" s="147"/>
      <c r="AAD28" s="147"/>
      <c r="AAE28" s="147"/>
      <c r="AAF28" s="147"/>
      <c r="AAG28" s="147"/>
      <c r="AAH28" s="147"/>
      <c r="AAI28" s="147"/>
      <c r="AAL28" s="86"/>
      <c r="AAM28" s="147"/>
      <c r="AAN28" s="147"/>
      <c r="AAO28" s="147"/>
      <c r="AAP28" s="147"/>
      <c r="AAQ28" s="147"/>
      <c r="AAR28" s="147"/>
      <c r="AAS28" s="147"/>
      <c r="AAT28" s="147"/>
      <c r="AAU28" s="147"/>
      <c r="AAV28" s="147"/>
      <c r="AAY28" s="86"/>
      <c r="AAZ28" s="147"/>
      <c r="ABA28" s="147"/>
      <c r="ABB28" s="147"/>
      <c r="ABC28" s="147"/>
      <c r="ABD28" s="147"/>
      <c r="ABE28" s="147"/>
      <c r="ABF28" s="147"/>
      <c r="ABG28" s="147"/>
      <c r="ABH28" s="147"/>
      <c r="ABI28" s="147"/>
      <c r="ABL28" s="86"/>
      <c r="ABM28" s="147"/>
      <c r="ABN28" s="147"/>
      <c r="ABO28" s="147"/>
      <c r="ABP28" s="147"/>
      <c r="ABQ28" s="147"/>
      <c r="ABR28" s="147"/>
      <c r="ABS28" s="147"/>
      <c r="ABT28" s="147"/>
      <c r="ABU28" s="147"/>
      <c r="ABV28" s="147"/>
      <c r="ABY28" s="86"/>
      <c r="ABZ28" s="147"/>
      <c r="ACA28" s="147"/>
      <c r="ACB28" s="147"/>
      <c r="ACC28" s="147"/>
      <c r="ACD28" s="147"/>
      <c r="ACE28" s="147"/>
      <c r="ACF28" s="147"/>
      <c r="ACG28" s="147"/>
      <c r="ACH28" s="147"/>
      <c r="ACI28" s="147"/>
      <c r="ACL28" s="86"/>
      <c r="ACM28" s="147"/>
      <c r="ACN28" s="147"/>
      <c r="ACO28" s="147"/>
      <c r="ACP28" s="147"/>
      <c r="ACQ28" s="147"/>
      <c r="ACR28" s="147"/>
      <c r="ACS28" s="147"/>
      <c r="ACT28" s="147"/>
      <c r="ACU28" s="147"/>
      <c r="ACV28" s="147"/>
      <c r="ACY28" s="86"/>
      <c r="ACZ28" s="147"/>
      <c r="ADA28" s="147"/>
      <c r="ADB28" s="147"/>
      <c r="ADC28" s="147"/>
      <c r="ADD28" s="147"/>
      <c r="ADE28" s="147"/>
      <c r="ADF28" s="147"/>
      <c r="ADG28" s="147"/>
      <c r="ADH28" s="147"/>
      <c r="ADI28" s="147"/>
      <c r="ADL28" s="86"/>
      <c r="ADM28" s="147"/>
      <c r="ADN28" s="147"/>
      <c r="ADO28" s="147"/>
      <c r="ADP28" s="147"/>
      <c r="ADQ28" s="147"/>
      <c r="ADR28" s="147"/>
      <c r="ADS28" s="147"/>
      <c r="ADT28" s="147"/>
      <c r="ADU28" s="147"/>
      <c r="ADV28" s="147"/>
      <c r="ADY28" s="86"/>
      <c r="ADZ28" s="147"/>
      <c r="AEA28" s="147"/>
      <c r="AEB28" s="147"/>
      <c r="AEC28" s="147"/>
      <c r="AED28" s="147"/>
      <c r="AEE28" s="147"/>
      <c r="AEF28" s="147"/>
      <c r="AEG28" s="147"/>
      <c r="AEH28" s="147"/>
      <c r="AEI28" s="147"/>
      <c r="AEL28" s="86"/>
      <c r="AEM28" s="147"/>
      <c r="AEN28" s="147"/>
      <c r="AEO28" s="147"/>
      <c r="AEP28" s="147"/>
      <c r="AEQ28" s="147"/>
      <c r="AER28" s="147"/>
      <c r="AES28" s="147"/>
      <c r="AET28" s="147"/>
      <c r="AEU28" s="147"/>
      <c r="AEV28" s="147"/>
      <c r="AEY28" s="86"/>
      <c r="AEZ28" s="147"/>
      <c r="AFA28" s="147"/>
      <c r="AFB28" s="147"/>
      <c r="AFC28" s="147"/>
      <c r="AFD28" s="147"/>
      <c r="AFE28" s="147"/>
      <c r="AFF28" s="147"/>
      <c r="AFG28" s="147"/>
      <c r="AFH28" s="147"/>
      <c r="AFI28" s="147"/>
      <c r="AFL28" s="86"/>
      <c r="AFM28" s="147"/>
      <c r="AFN28" s="147"/>
      <c r="AFO28" s="147"/>
      <c r="AFP28" s="147"/>
      <c r="AFQ28" s="147"/>
      <c r="AFR28" s="147"/>
      <c r="AFS28" s="147"/>
      <c r="AFT28" s="147"/>
      <c r="AFU28" s="147"/>
      <c r="AFV28" s="147"/>
      <c r="AFZ28" s="147"/>
      <c r="AGA28" s="147"/>
      <c r="AGB28" s="147"/>
      <c r="AGC28" s="147"/>
      <c r="AGD28" s="147"/>
      <c r="AGE28" s="147"/>
      <c r="AGF28" s="147"/>
      <c r="AGG28" s="147"/>
      <c r="AGH28" s="147"/>
      <c r="AGI28" s="147"/>
      <c r="AGL28" s="147"/>
      <c r="AGM28" s="147"/>
      <c r="AGN28" s="147"/>
      <c r="AGO28" s="147"/>
      <c r="AGP28" s="147"/>
      <c r="AGQ28" s="147"/>
      <c r="AGR28" s="147"/>
      <c r="AGS28" s="147"/>
      <c r="AGT28" s="147"/>
      <c r="AGU28" s="147"/>
      <c r="AGX28" s="147"/>
      <c r="AGY28" s="147"/>
      <c r="AGZ28" s="147"/>
      <c r="AHA28" s="147"/>
      <c r="AHB28" s="147"/>
      <c r="AHC28" s="147"/>
      <c r="AHD28" s="147"/>
      <c r="AHE28" s="147"/>
      <c r="AHF28" s="147"/>
      <c r="AHG28" s="147"/>
      <c r="AHJ28" s="147"/>
      <c r="AHK28" s="147"/>
      <c r="AHL28" s="147"/>
      <c r="AHM28" s="147"/>
      <c r="AHN28" s="147"/>
      <c r="AHO28" s="147"/>
      <c r="AHP28" s="147"/>
      <c r="AHQ28" s="147"/>
      <c r="AHR28" s="147"/>
      <c r="AHS28" s="147"/>
      <c r="AHV28" s="147"/>
      <c r="AHW28" s="147"/>
      <c r="AHX28" s="147"/>
      <c r="AHY28" s="147"/>
      <c r="AHZ28" s="147"/>
      <c r="AIA28" s="147"/>
      <c r="AIB28" s="147"/>
      <c r="AIC28" s="147"/>
      <c r="AID28" s="147"/>
      <c r="AIE28" s="147"/>
      <c r="AIH28" s="147"/>
      <c r="AII28" s="147"/>
      <c r="AIJ28" s="147"/>
      <c r="AIK28" s="147"/>
      <c r="AIL28" s="147"/>
      <c r="AIM28" s="147"/>
      <c r="AIN28" s="147"/>
      <c r="AIO28" s="147"/>
      <c r="AIP28" s="147"/>
      <c r="AIQ28" s="147"/>
      <c r="AIT28" s="147"/>
      <c r="AIU28" s="147"/>
      <c r="AIV28" s="147"/>
      <c r="AIW28" s="147"/>
      <c r="AIX28" s="147"/>
      <c r="AIY28" s="147"/>
      <c r="AIZ28" s="147"/>
      <c r="AJA28" s="147"/>
      <c r="AJB28" s="147"/>
      <c r="AJC28" s="147"/>
      <c r="AJF28" s="147"/>
      <c r="AJG28" s="147"/>
      <c r="AJH28" s="147"/>
      <c r="AJI28" s="147"/>
      <c r="AJJ28" s="147"/>
      <c r="AJK28" s="147"/>
      <c r="AJL28" s="147"/>
      <c r="AJM28" s="147"/>
      <c r="AJN28" s="147"/>
      <c r="AJO28" s="147"/>
      <c r="AJR28" s="147"/>
      <c r="AJS28" s="147"/>
      <c r="AJT28" s="147"/>
      <c r="AJU28" s="147"/>
      <c r="AJV28" s="147"/>
      <c r="AJW28" s="147"/>
      <c r="AJX28" s="147"/>
      <c r="AJY28" s="147"/>
      <c r="AJZ28" s="147"/>
      <c r="AKA28" s="147"/>
      <c r="AKD28" s="147"/>
      <c r="AKE28" s="147"/>
      <c r="AKF28" s="147"/>
      <c r="AKG28" s="147"/>
      <c r="AKH28" s="147"/>
      <c r="AKI28" s="147"/>
      <c r="AKJ28" s="147"/>
      <c r="AKK28" s="147"/>
      <c r="AKL28" s="147"/>
      <c r="AKM28" s="147"/>
      <c r="AKP28" s="147"/>
      <c r="AKQ28" s="147"/>
      <c r="AKR28" s="147"/>
      <c r="AKS28" s="147"/>
      <c r="AKT28" s="147"/>
      <c r="AKU28" s="147"/>
      <c r="AKV28" s="147"/>
      <c r="AKW28" s="147"/>
      <c r="AKX28" s="147"/>
      <c r="AKY28" s="147"/>
      <c r="ALB28" s="147"/>
      <c r="ALC28" s="147"/>
      <c r="ALD28" s="147"/>
      <c r="ALE28" s="147"/>
      <c r="ALF28" s="147"/>
      <c r="ALG28" s="147"/>
      <c r="ALH28" s="147"/>
      <c r="ALI28" s="147"/>
      <c r="ALJ28" s="147"/>
      <c r="ALK28" s="147"/>
      <c r="ALN28" s="147"/>
      <c r="ALO28" s="147"/>
      <c r="ALP28" s="147"/>
      <c r="ALQ28" s="147"/>
      <c r="ALR28" s="147"/>
      <c r="ALS28" s="147"/>
      <c r="ALT28" s="147"/>
      <c r="ALU28" s="147"/>
      <c r="ALV28" s="147"/>
      <c r="ALW28" s="147"/>
      <c r="ALZ28" s="147"/>
      <c r="AMA28" s="147"/>
      <c r="AMB28" s="147"/>
      <c r="AMC28" s="147"/>
      <c r="AMD28" s="147"/>
      <c r="AME28" s="147"/>
      <c r="AMF28" s="147"/>
      <c r="AMG28" s="147"/>
      <c r="AMH28" s="147"/>
      <c r="AMI28" s="147"/>
      <c r="AML28" s="147"/>
      <c r="AMM28" s="147"/>
      <c r="AMN28" s="147"/>
      <c r="AMO28" s="147"/>
      <c r="AMP28" s="147"/>
      <c r="AMQ28" s="147"/>
      <c r="AMR28" s="147"/>
      <c r="AMS28" s="147"/>
      <c r="AMT28" s="147"/>
      <c r="AMU28" s="147"/>
      <c r="AMX28" s="147"/>
      <c r="AMY28" s="147"/>
      <c r="AMZ28" s="147"/>
      <c r="ANA28" s="147"/>
      <c r="ANB28" s="147"/>
      <c r="ANC28" s="147"/>
      <c r="AND28" s="147"/>
      <c r="ANE28" s="147"/>
      <c r="ANF28" s="147"/>
      <c r="ANG28" s="147"/>
      <c r="ANJ28" s="147"/>
      <c r="ANK28" s="147"/>
      <c r="ANL28" s="147"/>
      <c r="ANM28" s="147"/>
      <c r="ANN28" s="147"/>
      <c r="ANO28" s="147"/>
      <c r="ANP28" s="147"/>
      <c r="ANQ28" s="147"/>
      <c r="ANR28" s="147"/>
      <c r="ANS28" s="147"/>
      <c r="ANV28" s="147"/>
      <c r="ANW28" s="147"/>
      <c r="ANX28" s="147"/>
      <c r="ANY28" s="147"/>
      <c r="ANZ28" s="147"/>
      <c r="AOA28" s="147"/>
      <c r="AOB28" s="147"/>
      <c r="AOC28" s="147"/>
      <c r="AOD28" s="147"/>
      <c r="AOE28" s="147"/>
      <c r="AOH28" s="147"/>
      <c r="AOI28" s="147"/>
      <c r="AOJ28" s="147"/>
      <c r="AOK28" s="147"/>
      <c r="AOL28" s="147"/>
      <c r="AOM28" s="147"/>
      <c r="AON28" s="147"/>
      <c r="AOO28" s="147"/>
      <c r="AOP28" s="147"/>
      <c r="AOQ28" s="147"/>
      <c r="AOT28" s="147"/>
      <c r="AOU28" s="147"/>
      <c r="AOV28" s="147"/>
      <c r="AOW28" s="147"/>
      <c r="AOX28" s="147"/>
      <c r="AOY28" s="147"/>
      <c r="AOZ28" s="147"/>
      <c r="APA28" s="147"/>
      <c r="APB28" s="147"/>
      <c r="APC28" s="147"/>
      <c r="APF28" s="147"/>
      <c r="APG28" s="147"/>
      <c r="APH28" s="147"/>
      <c r="API28" s="147"/>
      <c r="APJ28" s="147"/>
      <c r="APK28" s="147"/>
      <c r="APL28" s="147"/>
      <c r="APM28" s="147"/>
      <c r="APN28" s="147"/>
      <c r="APO28" s="147"/>
      <c r="APR28" s="147"/>
      <c r="APS28" s="147"/>
      <c r="APT28" s="147"/>
      <c r="APU28" s="147"/>
      <c r="APV28" s="147"/>
      <c r="APW28" s="147"/>
      <c r="APX28" s="147"/>
      <c r="APY28" s="147"/>
      <c r="APZ28" s="147"/>
      <c r="AQA28" s="147"/>
      <c r="AQD28" s="147"/>
      <c r="AQE28" s="147"/>
      <c r="AQF28" s="147"/>
      <c r="AQG28" s="147"/>
      <c r="AQH28" s="147"/>
      <c r="AQI28" s="147"/>
      <c r="AQJ28" s="147"/>
      <c r="AQK28" s="147"/>
      <c r="AQL28" s="147"/>
      <c r="AQM28" s="147"/>
      <c r="AQP28" s="147"/>
      <c r="AQQ28" s="147"/>
      <c r="AQR28" s="147"/>
      <c r="AQS28" s="147"/>
      <c r="AQT28" s="147"/>
      <c r="AQU28" s="147"/>
      <c r="AQV28" s="147"/>
      <c r="AQW28" s="147"/>
      <c r="AQX28" s="147"/>
      <c r="AQY28" s="147"/>
      <c r="ARB28" s="147"/>
      <c r="ARC28" s="147"/>
      <c r="ARD28" s="147"/>
      <c r="ARE28" s="147"/>
      <c r="ARF28" s="147"/>
      <c r="ARG28" s="147"/>
      <c r="ARH28" s="147"/>
      <c r="ARI28" s="147"/>
      <c r="ARJ28" s="147"/>
      <c r="ARK28" s="147"/>
      <c r="ARN28" s="147"/>
      <c r="ARO28" s="147"/>
      <c r="ARP28" s="147"/>
      <c r="ARQ28" s="147"/>
      <c r="ARR28" s="147"/>
      <c r="ARS28" s="147"/>
      <c r="ART28" s="147"/>
      <c r="ARU28" s="147"/>
      <c r="ARV28" s="147"/>
      <c r="ARW28" s="147"/>
      <c r="ARZ28" s="147"/>
      <c r="ASA28" s="147"/>
      <c r="ASB28" s="147"/>
      <c r="ASC28" s="147"/>
      <c r="ASD28" s="147"/>
      <c r="ASE28" s="147"/>
      <c r="ASF28" s="147"/>
      <c r="ASG28" s="147"/>
      <c r="ASH28" s="147"/>
      <c r="ASI28" s="147"/>
      <c r="ASL28" s="147"/>
      <c r="ASM28" s="147"/>
      <c r="ASN28" s="147"/>
      <c r="ASO28" s="147"/>
      <c r="ASP28" s="147"/>
      <c r="ASQ28" s="147"/>
      <c r="ASR28" s="147"/>
      <c r="ASS28" s="147"/>
      <c r="AST28" s="147"/>
      <c r="ASU28" s="147"/>
      <c r="ASX28" s="147"/>
      <c r="ASY28" s="147"/>
      <c r="ASZ28" s="147"/>
      <c r="ATA28" s="147"/>
      <c r="ATB28" s="147"/>
      <c r="ATC28" s="147"/>
      <c r="ATD28" s="147"/>
      <c r="ATE28" s="147"/>
      <c r="ATF28" s="147"/>
      <c r="ATG28" s="147"/>
      <c r="ATJ28" s="147"/>
      <c r="ATK28" s="147"/>
      <c r="ATL28" s="147"/>
      <c r="ATM28" s="147"/>
      <c r="ATN28" s="147"/>
      <c r="ATO28" s="147"/>
      <c r="ATP28" s="147"/>
      <c r="ATQ28" s="147"/>
      <c r="ATR28" s="147"/>
      <c r="ATS28" s="147"/>
      <c r="ATV28" s="147"/>
      <c r="ATW28" s="147"/>
      <c r="ATX28" s="147"/>
      <c r="ATY28" s="147"/>
      <c r="ATZ28" s="147"/>
      <c r="AUA28" s="147"/>
      <c r="AUB28" s="147"/>
      <c r="AUC28" s="147"/>
      <c r="AUD28" s="147"/>
      <c r="AUE28" s="147"/>
      <c r="AUH28" s="147"/>
      <c r="AUI28" s="147"/>
      <c r="AUJ28" s="147"/>
      <c r="AUK28" s="147"/>
      <c r="AUL28" s="147"/>
      <c r="AUM28" s="147"/>
      <c r="AUN28" s="147"/>
      <c r="AUO28" s="147"/>
      <c r="AUP28" s="147"/>
      <c r="AUQ28" s="147"/>
      <c r="AUT28" s="147"/>
      <c r="AUU28" s="147"/>
      <c r="AUV28" s="147"/>
      <c r="AUW28" s="147"/>
      <c r="AUX28" s="147"/>
      <c r="AUY28" s="147"/>
      <c r="AUZ28" s="147"/>
      <c r="AVA28" s="147"/>
      <c r="AVB28" s="147"/>
      <c r="AVC28" s="147"/>
      <c r="AVF28" s="147"/>
      <c r="AVG28" s="147"/>
      <c r="AVH28" s="147"/>
      <c r="AVI28" s="147"/>
      <c r="AVJ28" s="147"/>
      <c r="AVK28" s="147"/>
      <c r="AVL28" s="147"/>
      <c r="AVM28" s="147"/>
      <c r="AVN28" s="147"/>
      <c r="AVO28" s="147"/>
      <c r="AVR28" s="147"/>
      <c r="AVS28" s="147"/>
      <c r="AVT28" s="147"/>
      <c r="AVU28" s="147"/>
      <c r="AVV28" s="147"/>
      <c r="AVW28" s="147"/>
      <c r="AVX28" s="147"/>
      <c r="AVY28" s="147"/>
      <c r="AVZ28" s="147"/>
      <c r="AWA28" s="147"/>
      <c r="AWD28" s="147"/>
      <c r="AWE28" s="147"/>
      <c r="AWF28" s="147"/>
      <c r="AWG28" s="147"/>
      <c r="AWH28" s="147"/>
      <c r="AWI28" s="147"/>
      <c r="AWJ28" s="147"/>
      <c r="AWK28" s="147"/>
      <c r="AWL28" s="147"/>
      <c r="AWM28" s="147"/>
      <c r="AWP28" s="147"/>
      <c r="AWQ28" s="147"/>
      <c r="AWR28" s="147"/>
      <c r="AWS28" s="147"/>
      <c r="AWT28" s="147"/>
      <c r="AWU28" s="147"/>
      <c r="AWV28" s="147"/>
      <c r="AWW28" s="147"/>
      <c r="AWX28" s="147"/>
      <c r="AWY28" s="147"/>
      <c r="AXB28" s="147"/>
      <c r="AXC28" s="147"/>
      <c r="AXD28" s="147"/>
      <c r="AXE28" s="147"/>
      <c r="AXF28" s="147"/>
      <c r="AXG28" s="147"/>
      <c r="AXH28" s="147"/>
      <c r="AXI28" s="147"/>
      <c r="AXJ28" s="147"/>
      <c r="AXK28" s="147"/>
      <c r="AXN28" s="147"/>
      <c r="AXO28" s="147"/>
      <c r="AXP28" s="147"/>
      <c r="AXQ28" s="147"/>
      <c r="AXR28" s="147"/>
      <c r="AXS28" s="147"/>
      <c r="AXT28" s="147"/>
      <c r="AXU28" s="147"/>
      <c r="AXV28" s="147"/>
      <c r="AXW28" s="147"/>
      <c r="AXZ28" s="147"/>
      <c r="AYA28" s="147"/>
      <c r="AYB28" s="147"/>
      <c r="AYC28" s="147"/>
      <c r="AYD28" s="147"/>
      <c r="AYE28" s="147"/>
      <c r="AYF28" s="147"/>
      <c r="AYG28" s="147"/>
      <c r="AYH28" s="147"/>
      <c r="AYI28" s="147"/>
      <c r="AYL28" s="147"/>
      <c r="AYM28" s="147"/>
      <c r="AYN28" s="147"/>
      <c r="AYO28" s="147"/>
      <c r="AYP28" s="147"/>
      <c r="AYQ28" s="147"/>
      <c r="AYR28" s="147"/>
      <c r="AYS28" s="147"/>
      <c r="AYT28" s="147"/>
      <c r="AYU28" s="147"/>
      <c r="AYX28" s="147"/>
      <c r="AYY28" s="147"/>
      <c r="AYZ28" s="147"/>
      <c r="AZA28" s="147"/>
      <c r="AZB28" s="147"/>
      <c r="AZC28" s="147"/>
      <c r="AZD28" s="147"/>
      <c r="AZE28" s="147"/>
      <c r="AZF28" s="147"/>
      <c r="AZG28" s="147"/>
      <c r="AZJ28" s="147"/>
      <c r="AZK28" s="147"/>
      <c r="AZL28" s="147"/>
      <c r="AZM28" s="147"/>
      <c r="AZN28" s="147"/>
      <c r="AZO28" s="147"/>
      <c r="AZP28" s="147"/>
      <c r="AZQ28" s="147"/>
      <c r="AZR28" s="147"/>
      <c r="AZS28" s="147"/>
      <c r="AZV28" s="147"/>
      <c r="AZW28" s="147"/>
      <c r="AZX28" s="147"/>
      <c r="AZY28" s="147"/>
      <c r="AZZ28" s="147"/>
      <c r="BAA28" s="147"/>
      <c r="BAB28" s="147"/>
      <c r="BAC28" s="147"/>
      <c r="BAD28" s="147"/>
      <c r="BAE28" s="147"/>
      <c r="BAH28" s="147"/>
      <c r="BAI28" s="147"/>
      <c r="BAJ28" s="147"/>
      <c r="BAK28" s="147"/>
      <c r="BAL28" s="147"/>
      <c r="BAM28" s="147"/>
      <c r="BAN28" s="147"/>
      <c r="BAO28" s="147"/>
      <c r="BAP28" s="147"/>
      <c r="BAQ28" s="147"/>
      <c r="BAT28" s="147"/>
      <c r="BAU28" s="147"/>
      <c r="BAV28" s="147"/>
      <c r="BAW28" s="147"/>
      <c r="BAX28" s="147"/>
      <c r="BAY28" s="147"/>
      <c r="BAZ28" s="147"/>
      <c r="BBA28" s="147"/>
      <c r="BBB28" s="147"/>
      <c r="BBC28" s="147"/>
      <c r="BBF28" s="147"/>
      <c r="BBG28" s="147"/>
      <c r="BBH28" s="147"/>
      <c r="BBI28" s="147"/>
      <c r="BBJ28" s="147"/>
      <c r="BBK28" s="147"/>
      <c r="BBL28" s="147"/>
      <c r="BBM28" s="147"/>
      <c r="BBN28" s="147"/>
      <c r="BBO28" s="147"/>
      <c r="BBR28" s="147"/>
      <c r="BBS28" s="147"/>
      <c r="BBT28" s="147"/>
      <c r="BBU28" s="147"/>
      <c r="BBV28" s="147"/>
      <c r="BBW28" s="147"/>
      <c r="BBX28" s="147"/>
      <c r="BBY28" s="147"/>
      <c r="BBZ28" s="147"/>
      <c r="BCA28" s="147"/>
      <c r="BCD28" s="147"/>
      <c r="BCE28" s="147"/>
      <c r="BCF28" s="147"/>
      <c r="BCG28" s="147"/>
      <c r="BCH28" s="147"/>
      <c r="BCI28" s="147"/>
      <c r="BCJ28" s="147"/>
      <c r="BCK28" s="147"/>
      <c r="BCL28" s="147"/>
      <c r="BCM28" s="147"/>
      <c r="BCP28" s="147"/>
      <c r="BCQ28" s="147"/>
      <c r="BCR28" s="147"/>
      <c r="BCS28" s="147"/>
      <c r="BCT28" s="147"/>
      <c r="BCU28" s="147"/>
      <c r="BCV28" s="147"/>
      <c r="BCW28" s="147"/>
      <c r="BCX28" s="147"/>
      <c r="BCY28" s="147"/>
      <c r="BDB28" s="147"/>
      <c r="BDC28" s="147"/>
      <c r="BDD28" s="147"/>
      <c r="BDE28" s="147"/>
      <c r="BDF28" s="147"/>
      <c r="BDG28" s="147"/>
      <c r="BDH28" s="147"/>
      <c r="BDI28" s="147"/>
      <c r="BDJ28" s="147"/>
      <c r="BDK28" s="147"/>
      <c r="BDN28" s="147"/>
      <c r="BDO28" s="147"/>
      <c r="BDP28" s="147"/>
      <c r="BDQ28" s="147"/>
      <c r="BDR28" s="147"/>
      <c r="BDS28" s="147"/>
      <c r="BDT28" s="147"/>
      <c r="BDU28" s="147"/>
      <c r="BDV28" s="147"/>
      <c r="BDW28" s="147"/>
      <c r="BDZ28" s="147"/>
      <c r="BEA28" s="147"/>
      <c r="BEB28" s="147"/>
      <c r="BEC28" s="147"/>
      <c r="BED28" s="147"/>
      <c r="BEE28" s="147"/>
      <c r="BEF28" s="147"/>
      <c r="BEG28" s="147"/>
      <c r="BEH28" s="147"/>
      <c r="BEI28" s="147"/>
      <c r="BEL28" s="147"/>
      <c r="BEM28" s="147"/>
      <c r="BEN28" s="147"/>
      <c r="BEO28" s="147"/>
      <c r="BEP28" s="147"/>
      <c r="BEQ28" s="147"/>
      <c r="BER28" s="147"/>
      <c r="BES28" s="147"/>
      <c r="BET28" s="147"/>
      <c r="BEU28" s="147"/>
      <c r="BEX28" s="147"/>
      <c r="BEY28" s="147"/>
      <c r="BEZ28" s="147"/>
      <c r="BFA28" s="147"/>
      <c r="BFB28" s="147"/>
      <c r="BFC28" s="147"/>
      <c r="BFD28" s="147"/>
      <c r="BFE28" s="147"/>
      <c r="BFF28" s="147"/>
      <c r="BFG28" s="147"/>
      <c r="BFJ28" s="147"/>
      <c r="BFK28" s="147"/>
      <c r="BFL28" s="147"/>
      <c r="BFM28" s="147"/>
      <c r="BFN28" s="147"/>
      <c r="BFO28" s="147"/>
      <c r="BFP28" s="147"/>
      <c r="BFQ28" s="147"/>
      <c r="BFR28" s="147"/>
      <c r="BFS28" s="147"/>
      <c r="BFV28" s="147"/>
      <c r="BFW28" s="147"/>
      <c r="BFX28" s="147"/>
      <c r="BFY28" s="147"/>
      <c r="BFZ28" s="147"/>
      <c r="BGA28" s="147"/>
      <c r="BGB28" s="147"/>
      <c r="BGC28" s="147"/>
      <c r="BGD28" s="147"/>
      <c r="BGE28" s="147"/>
      <c r="BGH28" s="147"/>
      <c r="BGI28" s="147"/>
      <c r="BGJ28" s="147"/>
      <c r="BGK28" s="147"/>
      <c r="BGL28" s="147"/>
      <c r="BGM28" s="147"/>
      <c r="BGN28" s="147"/>
      <c r="BGO28" s="147"/>
      <c r="BGP28" s="147"/>
      <c r="BGQ28" s="147"/>
      <c r="BGT28" s="147"/>
      <c r="BGU28" s="147"/>
      <c r="BGV28" s="147"/>
      <c r="BGW28" s="147"/>
      <c r="BGX28" s="147"/>
      <c r="BGY28" s="147"/>
      <c r="BGZ28" s="147"/>
      <c r="BHA28" s="147"/>
      <c r="BHB28" s="147"/>
      <c r="BHC28" s="147"/>
      <c r="BHF28" s="147"/>
      <c r="BHG28" s="147"/>
      <c r="BHH28" s="147"/>
      <c r="BHI28" s="147"/>
      <c r="BHJ28" s="147"/>
      <c r="BHK28" s="147"/>
      <c r="BHL28" s="147"/>
      <c r="BHM28" s="147"/>
      <c r="BHN28" s="147"/>
      <c r="BHO28" s="147"/>
      <c r="BHR28" s="166" t="s">
        <v>65</v>
      </c>
      <c r="BHS28" s="167"/>
      <c r="BHT28" s="167"/>
      <c r="BHU28" s="167"/>
      <c r="BHV28" s="167"/>
      <c r="BHW28" s="167"/>
      <c r="BHX28" s="167"/>
      <c r="BHY28" s="167"/>
      <c r="BHZ28" s="167"/>
      <c r="BIA28" s="168"/>
      <c r="BID28" s="166" t="s">
        <v>65</v>
      </c>
      <c r="BIE28" s="167"/>
      <c r="BIF28" s="167"/>
      <c r="BIG28" s="167"/>
      <c r="BIH28" s="167"/>
      <c r="BII28" s="167"/>
      <c r="BIJ28" s="167"/>
      <c r="BIK28" s="167"/>
      <c r="BIL28" s="167"/>
      <c r="BIM28" s="168"/>
      <c r="BIP28" s="166" t="s">
        <v>65</v>
      </c>
      <c r="BIQ28" s="167"/>
      <c r="BIR28" s="167"/>
      <c r="BIS28" s="167"/>
      <c r="BIT28" s="167"/>
      <c r="BIU28" s="167"/>
      <c r="BIV28" s="167"/>
      <c r="BIW28" s="167"/>
      <c r="BIX28" s="167"/>
      <c r="BIY28" s="168"/>
      <c r="BJB28" s="166" t="s">
        <v>65</v>
      </c>
      <c r="BJC28" s="167"/>
      <c r="BJD28" s="167"/>
      <c r="BJE28" s="167"/>
      <c r="BJF28" s="167"/>
      <c r="BJG28" s="167"/>
      <c r="BJH28" s="167"/>
      <c r="BJI28" s="167"/>
      <c r="BJJ28" s="167"/>
      <c r="BJK28" s="168"/>
      <c r="BJN28" s="166" t="s">
        <v>65</v>
      </c>
      <c r="BJO28" s="167"/>
      <c r="BJP28" s="167"/>
      <c r="BJQ28" s="167"/>
      <c r="BJR28" s="167"/>
      <c r="BJS28" s="167"/>
      <c r="BJT28" s="167"/>
      <c r="BJU28" s="167"/>
      <c r="BJV28" s="167"/>
      <c r="BJW28" s="168"/>
      <c r="BJZ28" s="166" t="s">
        <v>65</v>
      </c>
      <c r="BKA28" s="167"/>
      <c r="BKB28" s="167"/>
      <c r="BKC28" s="167"/>
      <c r="BKD28" s="167"/>
      <c r="BKE28" s="167"/>
      <c r="BKF28" s="167"/>
      <c r="BKG28" s="167"/>
      <c r="BKH28" s="167"/>
      <c r="BKI28" s="168"/>
      <c r="BKL28" s="166" t="s">
        <v>65</v>
      </c>
      <c r="BKM28" s="167"/>
      <c r="BKN28" s="167"/>
      <c r="BKO28" s="167"/>
      <c r="BKP28" s="167"/>
      <c r="BKQ28" s="167"/>
      <c r="BKR28" s="167"/>
      <c r="BKS28" s="167"/>
      <c r="BKT28" s="167"/>
      <c r="BKU28" s="168"/>
      <c r="BKX28" s="166" t="s">
        <v>65</v>
      </c>
      <c r="BKY28" s="167"/>
      <c r="BKZ28" s="167"/>
      <c r="BLA28" s="167"/>
      <c r="BLB28" s="167"/>
      <c r="BLC28" s="167"/>
      <c r="BLD28" s="167"/>
      <c r="BLE28" s="167"/>
      <c r="BLF28" s="167"/>
      <c r="BLG28" s="168"/>
      <c r="BLJ28" s="166" t="s">
        <v>65</v>
      </c>
      <c r="BLK28" s="167"/>
      <c r="BLL28" s="167"/>
      <c r="BLM28" s="167"/>
      <c r="BLN28" s="167"/>
      <c r="BLO28" s="167"/>
      <c r="BLP28" s="167"/>
      <c r="BLQ28" s="167"/>
      <c r="BLR28" s="167"/>
      <c r="BLS28" s="168"/>
      <c r="BLV28" s="166" t="s">
        <v>65</v>
      </c>
      <c r="BLW28" s="167"/>
      <c r="BLX28" s="167"/>
      <c r="BLY28" s="167"/>
      <c r="BLZ28" s="167"/>
      <c r="BMA28" s="167"/>
      <c r="BMB28" s="167"/>
      <c r="BMC28" s="167"/>
      <c r="BMD28" s="167"/>
      <c r="BME28" s="168"/>
      <c r="BMH28" s="166" t="s">
        <v>65</v>
      </c>
      <c r="BMI28" s="167"/>
      <c r="BMJ28" s="167"/>
      <c r="BMK28" s="167"/>
      <c r="BML28" s="167"/>
      <c r="BMM28" s="167"/>
      <c r="BMN28" s="167"/>
      <c r="BMO28" s="167"/>
      <c r="BMP28" s="167"/>
      <c r="BMQ28" s="168"/>
      <c r="BMT28" s="166" t="s">
        <v>65</v>
      </c>
      <c r="BMU28" s="167"/>
      <c r="BMV28" s="167"/>
      <c r="BMW28" s="167"/>
      <c r="BMX28" s="167"/>
      <c r="BMY28" s="167"/>
      <c r="BMZ28" s="167"/>
      <c r="BNA28" s="167"/>
      <c r="BNB28" s="167"/>
      <c r="BNC28" s="168"/>
      <c r="BNF28" s="166" t="s">
        <v>65</v>
      </c>
      <c r="BNG28" s="167"/>
      <c r="BNH28" s="167"/>
      <c r="BNI28" s="167"/>
      <c r="BNJ28" s="167"/>
      <c r="BNK28" s="167"/>
      <c r="BNL28" s="167"/>
      <c r="BNM28" s="167"/>
      <c r="BNN28" s="167"/>
      <c r="BNO28" s="168"/>
      <c r="BNR28" s="166" t="s">
        <v>65</v>
      </c>
      <c r="BNS28" s="167"/>
      <c r="BNT28" s="167"/>
      <c r="BNU28" s="167"/>
      <c r="BNV28" s="167"/>
      <c r="BNW28" s="167"/>
      <c r="BNX28" s="167"/>
      <c r="BNY28" s="167"/>
      <c r="BNZ28" s="167"/>
      <c r="BOA28" s="168"/>
      <c r="BOD28" s="166" t="s">
        <v>65</v>
      </c>
      <c r="BOE28" s="167"/>
      <c r="BOF28" s="167"/>
      <c r="BOG28" s="167"/>
      <c r="BOH28" s="167"/>
      <c r="BOI28" s="167"/>
      <c r="BOJ28" s="167"/>
      <c r="BOK28" s="167"/>
      <c r="BOL28" s="167"/>
      <c r="BOM28" s="168"/>
      <c r="BOP28" s="166" t="s">
        <v>65</v>
      </c>
      <c r="BOQ28" s="167"/>
      <c r="BOR28" s="167"/>
      <c r="BOS28" s="167"/>
      <c r="BOT28" s="167"/>
      <c r="BOU28" s="167"/>
      <c r="BOV28" s="167"/>
      <c r="BOW28" s="167"/>
      <c r="BOX28" s="167"/>
      <c r="BOY28" s="168"/>
      <c r="BPB28" s="166" t="s">
        <v>65</v>
      </c>
      <c r="BPC28" s="167"/>
      <c r="BPD28" s="167"/>
      <c r="BPE28" s="167"/>
      <c r="BPF28" s="167"/>
      <c r="BPG28" s="167"/>
      <c r="BPH28" s="167"/>
      <c r="BPI28" s="167"/>
      <c r="BPJ28" s="167"/>
      <c r="BPK28" s="168"/>
      <c r="BPN28" s="166" t="s">
        <v>65</v>
      </c>
      <c r="BPO28" s="167"/>
      <c r="BPP28" s="167"/>
      <c r="BPQ28" s="167"/>
      <c r="BPR28" s="167"/>
      <c r="BPS28" s="167"/>
      <c r="BPT28" s="167"/>
      <c r="BPU28" s="167"/>
      <c r="BPV28" s="167"/>
      <c r="BPW28" s="168"/>
      <c r="BPZ28" s="166" t="s">
        <v>65</v>
      </c>
      <c r="BQA28" s="167"/>
      <c r="BQB28" s="167"/>
      <c r="BQC28" s="167"/>
      <c r="BQD28" s="167"/>
      <c r="BQE28" s="167"/>
      <c r="BQF28" s="167"/>
      <c r="BQG28" s="167"/>
      <c r="BQH28" s="167"/>
      <c r="BQI28" s="168"/>
      <c r="BQL28" s="166" t="s">
        <v>65</v>
      </c>
      <c r="BQM28" s="167"/>
      <c r="BQN28" s="167"/>
      <c r="BQO28" s="167"/>
      <c r="BQP28" s="167"/>
      <c r="BQQ28" s="167"/>
      <c r="BQR28" s="167"/>
      <c r="BQS28" s="167"/>
      <c r="BQT28" s="167"/>
      <c r="BQU28" s="168"/>
      <c r="BQX28" s="166" t="s">
        <v>65</v>
      </c>
      <c r="BQY28" s="167"/>
      <c r="BQZ28" s="167"/>
      <c r="BRA28" s="167"/>
      <c r="BRB28" s="167"/>
      <c r="BRC28" s="167"/>
      <c r="BRD28" s="167"/>
      <c r="BRE28" s="167"/>
      <c r="BRF28" s="167"/>
      <c r="BRG28" s="168"/>
      <c r="BRJ28" s="166" t="s">
        <v>65</v>
      </c>
      <c r="BRK28" s="167"/>
      <c r="BRL28" s="167"/>
      <c r="BRM28" s="167"/>
      <c r="BRN28" s="167"/>
      <c r="BRO28" s="167"/>
      <c r="BRP28" s="167"/>
      <c r="BRQ28" s="167"/>
      <c r="BRR28" s="167"/>
      <c r="BRS28" s="168"/>
      <c r="BRV28" s="166" t="s">
        <v>65</v>
      </c>
      <c r="BRW28" s="167"/>
      <c r="BRX28" s="167"/>
      <c r="BRY28" s="167"/>
      <c r="BRZ28" s="167"/>
      <c r="BSA28" s="167"/>
      <c r="BSB28" s="167"/>
      <c r="BSC28" s="167"/>
      <c r="BSD28" s="167"/>
      <c r="BSE28" s="168"/>
      <c r="BSH28" s="166" t="s">
        <v>65</v>
      </c>
      <c r="BSI28" s="167"/>
      <c r="BSJ28" s="167"/>
      <c r="BSK28" s="167"/>
      <c r="BSL28" s="167"/>
      <c r="BSM28" s="167"/>
      <c r="BSN28" s="167"/>
      <c r="BSO28" s="167"/>
      <c r="BSP28" s="167"/>
      <c r="BSQ28" s="168"/>
      <c r="BST28" s="166" t="s">
        <v>65</v>
      </c>
      <c r="BSU28" s="167"/>
      <c r="BSV28" s="167"/>
      <c r="BSW28" s="167"/>
      <c r="BSX28" s="167"/>
      <c r="BSY28" s="167"/>
      <c r="BSZ28" s="167"/>
      <c r="BTA28" s="167"/>
      <c r="BTB28" s="167"/>
      <c r="BTC28" s="168"/>
      <c r="BTF28" s="166" t="s">
        <v>65</v>
      </c>
      <c r="BTG28" s="167"/>
      <c r="BTH28" s="167"/>
      <c r="BTI28" s="167"/>
      <c r="BTJ28" s="167"/>
      <c r="BTK28" s="167"/>
      <c r="BTL28" s="167"/>
      <c r="BTM28" s="167"/>
      <c r="BTN28" s="167"/>
      <c r="BTO28" s="168"/>
      <c r="BTR28" s="166" t="s">
        <v>65</v>
      </c>
      <c r="BTS28" s="167"/>
      <c r="BTT28" s="167"/>
      <c r="BTU28" s="167"/>
      <c r="BTV28" s="167"/>
      <c r="BTW28" s="167"/>
      <c r="BTX28" s="167"/>
      <c r="BTY28" s="167"/>
      <c r="BTZ28" s="167"/>
      <c r="BUA28" s="168"/>
      <c r="BUD28" s="166" t="s">
        <v>65</v>
      </c>
      <c r="BUE28" s="167"/>
      <c r="BUF28" s="167"/>
      <c r="BUG28" s="167"/>
      <c r="BUH28" s="167"/>
      <c r="BUI28" s="167"/>
      <c r="BUJ28" s="167"/>
      <c r="BUK28" s="167"/>
      <c r="BUL28" s="167"/>
      <c r="BUM28" s="168"/>
      <c r="BUP28" s="166" t="s">
        <v>65</v>
      </c>
      <c r="BUQ28" s="167"/>
      <c r="BUR28" s="167"/>
      <c r="BUS28" s="167"/>
      <c r="BUT28" s="167"/>
      <c r="BUU28" s="167"/>
      <c r="BUV28" s="167"/>
      <c r="BUW28" s="167"/>
      <c r="BUX28" s="167"/>
      <c r="BUY28" s="168"/>
      <c r="BVB28" s="166" t="s">
        <v>65</v>
      </c>
      <c r="BVC28" s="167"/>
      <c r="BVD28" s="167"/>
      <c r="BVE28" s="167"/>
      <c r="BVF28" s="167"/>
      <c r="BVG28" s="167"/>
      <c r="BVH28" s="167"/>
      <c r="BVI28" s="167"/>
      <c r="BVJ28" s="167"/>
      <c r="BVK28" s="168"/>
      <c r="BVN28" s="166" t="s">
        <v>65</v>
      </c>
      <c r="BVO28" s="167"/>
      <c r="BVP28" s="167"/>
      <c r="BVQ28" s="167"/>
      <c r="BVR28" s="167"/>
      <c r="BVS28" s="167"/>
      <c r="BVT28" s="167"/>
      <c r="BVU28" s="167"/>
      <c r="BVV28" s="167"/>
      <c r="BVW28" s="168"/>
      <c r="BVZ28" s="166" t="s">
        <v>65</v>
      </c>
      <c r="BWA28" s="167"/>
      <c r="BWB28" s="167"/>
      <c r="BWC28" s="167"/>
      <c r="BWD28" s="167"/>
      <c r="BWE28" s="167"/>
      <c r="BWF28" s="167"/>
      <c r="BWG28" s="167"/>
      <c r="BWH28" s="167"/>
      <c r="BWI28" s="168"/>
      <c r="BWL28" s="166" t="s">
        <v>65</v>
      </c>
      <c r="BWM28" s="167"/>
      <c r="BWN28" s="167"/>
      <c r="BWO28" s="167"/>
      <c r="BWP28" s="167"/>
      <c r="BWQ28" s="167"/>
      <c r="BWR28" s="167"/>
      <c r="BWS28" s="167"/>
      <c r="BWT28" s="167"/>
      <c r="BWU28" s="168"/>
      <c r="BWX28" s="166" t="s">
        <v>65</v>
      </c>
      <c r="BWY28" s="167"/>
      <c r="BWZ28" s="167"/>
      <c r="BXA28" s="167"/>
      <c r="BXB28" s="167"/>
      <c r="BXC28" s="167"/>
      <c r="BXD28" s="167"/>
      <c r="BXE28" s="167"/>
      <c r="BXF28" s="167"/>
      <c r="BXG28" s="168"/>
      <c r="BXJ28" s="166" t="s">
        <v>65</v>
      </c>
      <c r="BXK28" s="167"/>
      <c r="BXL28" s="167"/>
      <c r="BXM28" s="167"/>
      <c r="BXN28" s="167"/>
      <c r="BXO28" s="167"/>
      <c r="BXP28" s="167"/>
      <c r="BXQ28" s="167"/>
      <c r="BXR28" s="167"/>
      <c r="BXS28" s="168"/>
      <c r="BXV28" s="166" t="s">
        <v>65</v>
      </c>
      <c r="BXW28" s="167"/>
      <c r="BXX28" s="167"/>
      <c r="BXY28" s="167"/>
      <c r="BXZ28" s="167"/>
      <c r="BYA28" s="167"/>
      <c r="BYB28" s="167"/>
      <c r="BYC28" s="167"/>
      <c r="BYD28" s="167"/>
      <c r="BYE28" s="168"/>
      <c r="BYH28" s="166" t="s">
        <v>66</v>
      </c>
      <c r="BYI28" s="167"/>
      <c r="BYJ28" s="167"/>
      <c r="BYK28" s="167"/>
      <c r="BYL28" s="167"/>
      <c r="BYM28" s="167"/>
      <c r="BYN28" s="167"/>
      <c r="BYO28" s="167"/>
      <c r="BYP28" s="167"/>
      <c r="BYQ28" s="168"/>
      <c r="BYT28" s="166" t="s">
        <v>66</v>
      </c>
      <c r="BYU28" s="167"/>
      <c r="BYV28" s="167"/>
      <c r="BYW28" s="167"/>
      <c r="BYX28" s="167"/>
      <c r="BYY28" s="167"/>
      <c r="BYZ28" s="167"/>
      <c r="BZA28" s="167"/>
      <c r="BZB28" s="167"/>
      <c r="BZC28" s="168"/>
      <c r="BZF28" s="166" t="s">
        <v>66</v>
      </c>
      <c r="BZG28" s="167"/>
      <c r="BZH28" s="167"/>
      <c r="BZI28" s="167"/>
      <c r="BZJ28" s="167"/>
      <c r="BZK28" s="167"/>
      <c r="BZL28" s="167"/>
      <c r="BZM28" s="167"/>
      <c r="BZN28" s="167"/>
      <c r="BZO28" s="168"/>
      <c r="BZR28" s="166" t="s">
        <v>66</v>
      </c>
      <c r="BZS28" s="167"/>
      <c r="BZT28" s="167"/>
      <c r="BZU28" s="167"/>
      <c r="BZV28" s="167"/>
      <c r="BZW28" s="167"/>
      <c r="BZX28" s="167"/>
      <c r="BZY28" s="167"/>
      <c r="BZZ28" s="167"/>
      <c r="CAA28" s="168"/>
      <c r="CAD28" s="166" t="s">
        <v>66</v>
      </c>
      <c r="CAE28" s="167"/>
      <c r="CAF28" s="167"/>
      <c r="CAG28" s="167"/>
      <c r="CAH28" s="167"/>
      <c r="CAI28" s="167"/>
      <c r="CAJ28" s="167"/>
      <c r="CAK28" s="167"/>
      <c r="CAL28" s="167"/>
      <c r="CAM28" s="168"/>
      <c r="CAP28" s="166" t="s">
        <v>66</v>
      </c>
      <c r="CAQ28" s="167"/>
      <c r="CAR28" s="167"/>
      <c r="CAS28" s="167"/>
      <c r="CAT28" s="167"/>
      <c r="CAU28" s="167"/>
      <c r="CAV28" s="167"/>
      <c r="CAW28" s="167"/>
      <c r="CAX28" s="167"/>
      <c r="CAY28" s="168"/>
      <c r="CBB28" s="166" t="s">
        <v>66</v>
      </c>
      <c r="CBC28" s="167"/>
      <c r="CBD28" s="167"/>
      <c r="CBE28" s="167"/>
      <c r="CBF28" s="167"/>
      <c r="CBG28" s="167"/>
      <c r="CBH28" s="167"/>
      <c r="CBI28" s="167"/>
      <c r="CBJ28" s="167"/>
      <c r="CBK28" s="168"/>
      <c r="CBN28" s="166" t="s">
        <v>66</v>
      </c>
      <c r="CBO28" s="167"/>
      <c r="CBP28" s="167"/>
      <c r="CBQ28" s="167"/>
      <c r="CBR28" s="167"/>
      <c r="CBS28" s="167"/>
      <c r="CBT28" s="167"/>
      <c r="CBU28" s="167"/>
      <c r="CBV28" s="167"/>
      <c r="CBW28" s="168"/>
      <c r="CBZ28" s="166" t="s">
        <v>66</v>
      </c>
      <c r="CCA28" s="167"/>
      <c r="CCB28" s="167"/>
      <c r="CCC28" s="167"/>
      <c r="CCD28" s="167"/>
      <c r="CCE28" s="167"/>
      <c r="CCF28" s="167"/>
      <c r="CCG28" s="167"/>
      <c r="CCH28" s="167"/>
      <c r="CCI28" s="168"/>
      <c r="CCL28" s="166" t="s">
        <v>66</v>
      </c>
      <c r="CCM28" s="167"/>
      <c r="CCN28" s="167"/>
      <c r="CCO28" s="167"/>
      <c r="CCP28" s="167"/>
      <c r="CCQ28" s="167"/>
      <c r="CCR28" s="167"/>
      <c r="CCS28" s="167"/>
      <c r="CCT28" s="167"/>
      <c r="CCU28" s="168"/>
      <c r="CCX28" s="166" t="s">
        <v>66</v>
      </c>
      <c r="CCY28" s="167"/>
      <c r="CCZ28" s="167"/>
      <c r="CDA28" s="167"/>
      <c r="CDB28" s="167"/>
      <c r="CDC28" s="167"/>
      <c r="CDD28" s="167"/>
      <c r="CDE28" s="167"/>
      <c r="CDF28" s="167"/>
      <c r="CDG28" s="168"/>
      <c r="CDJ28" s="166" t="s">
        <v>66</v>
      </c>
      <c r="CDK28" s="167"/>
      <c r="CDL28" s="167"/>
      <c r="CDM28" s="167"/>
      <c r="CDN28" s="167"/>
      <c r="CDO28" s="167"/>
      <c r="CDP28" s="167"/>
      <c r="CDQ28" s="167"/>
      <c r="CDR28" s="167"/>
      <c r="CDS28" s="168"/>
      <c r="CDV28" s="166" t="s">
        <v>66</v>
      </c>
      <c r="CDW28" s="167"/>
      <c r="CDX28" s="167"/>
      <c r="CDY28" s="167"/>
      <c r="CDZ28" s="167"/>
      <c r="CEA28" s="167"/>
      <c r="CEB28" s="167"/>
      <c r="CEC28" s="167"/>
      <c r="CED28" s="167"/>
      <c r="CEE28" s="168"/>
      <c r="CEH28" s="166" t="s">
        <v>66</v>
      </c>
      <c r="CEI28" s="167"/>
      <c r="CEJ28" s="167"/>
      <c r="CEK28" s="167"/>
      <c r="CEL28" s="167"/>
      <c r="CEM28" s="167"/>
      <c r="CEN28" s="167"/>
      <c r="CEO28" s="167"/>
      <c r="CEP28" s="167"/>
      <c r="CEQ28" s="168"/>
      <c r="CET28" s="166" t="s">
        <v>66</v>
      </c>
      <c r="CEU28" s="167"/>
      <c r="CEV28" s="167"/>
      <c r="CEW28" s="167"/>
      <c r="CEX28" s="167"/>
      <c r="CEY28" s="167"/>
      <c r="CEZ28" s="167"/>
      <c r="CFA28" s="167"/>
      <c r="CFB28" s="167"/>
      <c r="CFC28" s="168"/>
      <c r="CFF28" s="166" t="s">
        <v>66</v>
      </c>
      <c r="CFG28" s="167"/>
      <c r="CFH28" s="167"/>
      <c r="CFI28" s="167"/>
      <c r="CFJ28" s="167"/>
      <c r="CFK28" s="167"/>
      <c r="CFL28" s="167"/>
      <c r="CFM28" s="167"/>
      <c r="CFN28" s="167"/>
      <c r="CFO28" s="168"/>
      <c r="CFR28" s="166" t="s">
        <v>66</v>
      </c>
      <c r="CFS28" s="167"/>
      <c r="CFT28" s="167"/>
      <c r="CFU28" s="167"/>
      <c r="CFV28" s="167"/>
      <c r="CFW28" s="167"/>
      <c r="CFX28" s="167"/>
      <c r="CFY28" s="167"/>
      <c r="CFZ28" s="167"/>
      <c r="CGA28" s="168"/>
      <c r="CGD28" s="166" t="s">
        <v>66</v>
      </c>
      <c r="CGE28" s="167"/>
      <c r="CGF28" s="167"/>
      <c r="CGG28" s="167"/>
      <c r="CGH28" s="167"/>
      <c r="CGI28" s="167"/>
      <c r="CGJ28" s="167"/>
      <c r="CGK28" s="167"/>
      <c r="CGL28" s="167"/>
      <c r="CGM28" s="168"/>
      <c r="CGP28" s="166" t="s">
        <v>66</v>
      </c>
      <c r="CGQ28" s="167"/>
      <c r="CGR28" s="167"/>
      <c r="CGS28" s="167"/>
      <c r="CGT28" s="167"/>
      <c r="CGU28" s="167"/>
      <c r="CGV28" s="167"/>
      <c r="CGW28" s="167"/>
      <c r="CGX28" s="167"/>
      <c r="CGY28" s="168"/>
      <c r="CHB28" s="166" t="s">
        <v>66</v>
      </c>
      <c r="CHC28" s="167"/>
      <c r="CHD28" s="167"/>
      <c r="CHE28" s="167"/>
      <c r="CHF28" s="167"/>
      <c r="CHG28" s="167"/>
      <c r="CHH28" s="167"/>
      <c r="CHI28" s="167"/>
      <c r="CHJ28" s="167"/>
      <c r="CHK28" s="168"/>
      <c r="CHN28" s="166" t="s">
        <v>66</v>
      </c>
      <c r="CHO28" s="167"/>
      <c r="CHP28" s="167"/>
      <c r="CHQ28" s="167"/>
      <c r="CHR28" s="167"/>
      <c r="CHS28" s="167"/>
      <c r="CHT28" s="167"/>
      <c r="CHU28" s="167"/>
      <c r="CHV28" s="167"/>
      <c r="CHW28" s="168"/>
      <c r="CHZ28" s="166" t="s">
        <v>66</v>
      </c>
      <c r="CIA28" s="167"/>
      <c r="CIB28" s="167"/>
      <c r="CIC28" s="167"/>
      <c r="CID28" s="167"/>
      <c r="CIE28" s="167"/>
      <c r="CIF28" s="167"/>
      <c r="CIG28" s="167"/>
      <c r="CIH28" s="167"/>
      <c r="CII28" s="168"/>
      <c r="CIL28" s="166" t="s">
        <v>66</v>
      </c>
      <c r="CIM28" s="167"/>
      <c r="CIN28" s="167"/>
      <c r="CIO28" s="167"/>
      <c r="CIP28" s="167"/>
      <c r="CIQ28" s="167"/>
      <c r="CIR28" s="167"/>
      <c r="CIS28" s="167"/>
      <c r="CIT28" s="167"/>
      <c r="CIU28" s="168"/>
      <c r="CIX28" s="166" t="s">
        <v>66</v>
      </c>
      <c r="CIY28" s="167"/>
      <c r="CIZ28" s="167"/>
      <c r="CJA28" s="167"/>
      <c r="CJB28" s="167"/>
      <c r="CJC28" s="167"/>
      <c r="CJD28" s="167"/>
      <c r="CJE28" s="167"/>
      <c r="CJF28" s="167"/>
      <c r="CJG28" s="168"/>
      <c r="CJJ28" s="166" t="s">
        <v>66</v>
      </c>
      <c r="CJK28" s="167"/>
      <c r="CJL28" s="167"/>
      <c r="CJM28" s="167"/>
      <c r="CJN28" s="167"/>
      <c r="CJO28" s="167"/>
      <c r="CJP28" s="167"/>
      <c r="CJQ28" s="167"/>
      <c r="CJR28" s="167"/>
      <c r="CJS28" s="168"/>
      <c r="CJV28" s="166" t="s">
        <v>66</v>
      </c>
      <c r="CJW28" s="167"/>
      <c r="CJX28" s="167"/>
      <c r="CJY28" s="167"/>
      <c r="CJZ28" s="167"/>
      <c r="CKA28" s="167"/>
      <c r="CKB28" s="167"/>
      <c r="CKC28" s="167"/>
      <c r="CKD28" s="167"/>
      <c r="CKE28" s="168"/>
      <c r="CKH28" s="166" t="s">
        <v>66</v>
      </c>
      <c r="CKI28" s="167"/>
      <c r="CKJ28" s="167"/>
      <c r="CKK28" s="167"/>
      <c r="CKL28" s="167"/>
      <c r="CKM28" s="167"/>
      <c r="CKN28" s="167"/>
      <c r="CKO28" s="167"/>
      <c r="CKP28" s="167"/>
      <c r="CKQ28" s="168"/>
      <c r="CKT28" s="166" t="s">
        <v>66</v>
      </c>
      <c r="CKU28" s="167"/>
      <c r="CKV28" s="167"/>
      <c r="CKW28" s="167"/>
      <c r="CKX28" s="167"/>
      <c r="CKY28" s="167"/>
      <c r="CKZ28" s="167"/>
      <c r="CLA28" s="167"/>
      <c r="CLB28" s="167"/>
      <c r="CLC28" s="168"/>
      <c r="CLF28" s="166" t="s">
        <v>66</v>
      </c>
      <c r="CLG28" s="167"/>
      <c r="CLH28" s="167"/>
      <c r="CLI28" s="167"/>
      <c r="CLJ28" s="167"/>
      <c r="CLK28" s="167"/>
      <c r="CLL28" s="167"/>
      <c r="CLM28" s="167"/>
      <c r="CLN28" s="167"/>
      <c r="CLO28" s="168"/>
      <c r="CLR28" s="166" t="s">
        <v>66</v>
      </c>
      <c r="CLS28" s="167"/>
      <c r="CLT28" s="167"/>
      <c r="CLU28" s="167"/>
      <c r="CLV28" s="167"/>
      <c r="CLW28" s="167"/>
      <c r="CLX28" s="167"/>
      <c r="CLY28" s="167"/>
      <c r="CLZ28" s="167"/>
      <c r="CMA28" s="168"/>
      <c r="CMD28" s="166" t="s">
        <v>66</v>
      </c>
      <c r="CME28" s="167"/>
      <c r="CMF28" s="167"/>
      <c r="CMG28" s="167"/>
      <c r="CMH28" s="167"/>
      <c r="CMI28" s="167"/>
      <c r="CMJ28" s="167"/>
      <c r="CMK28" s="167"/>
      <c r="CML28" s="167"/>
      <c r="CMM28" s="168"/>
      <c r="CMP28" s="166" t="s">
        <v>66</v>
      </c>
      <c r="CMQ28" s="167"/>
      <c r="CMR28" s="167"/>
      <c r="CMS28" s="167"/>
      <c r="CMT28" s="167"/>
      <c r="CMU28" s="167"/>
      <c r="CMV28" s="167"/>
      <c r="CMW28" s="167"/>
      <c r="CMX28" s="167"/>
      <c r="CMY28" s="168"/>
      <c r="CNB28" s="166" t="s">
        <v>66</v>
      </c>
      <c r="CNC28" s="167"/>
      <c r="CND28" s="167"/>
      <c r="CNE28" s="167"/>
      <c r="CNF28" s="167"/>
      <c r="CNG28" s="167"/>
      <c r="CNH28" s="167"/>
      <c r="CNI28" s="167"/>
      <c r="CNJ28" s="167"/>
      <c r="CNK28" s="168"/>
      <c r="CNN28" s="166" t="s">
        <v>66</v>
      </c>
      <c r="CNO28" s="167"/>
      <c r="CNP28" s="167"/>
      <c r="CNQ28" s="167"/>
      <c r="CNR28" s="167"/>
      <c r="CNS28" s="167"/>
      <c r="CNT28" s="167"/>
      <c r="CNU28" s="167"/>
      <c r="CNV28" s="167"/>
      <c r="CNW28" s="168"/>
      <c r="CNZ28" s="166" t="s">
        <v>66</v>
      </c>
      <c r="COA28" s="167"/>
      <c r="COB28" s="167"/>
      <c r="COC28" s="167"/>
      <c r="COD28" s="167"/>
      <c r="COE28" s="167"/>
      <c r="COF28" s="167"/>
      <c r="COG28" s="167"/>
      <c r="COH28" s="167"/>
      <c r="COI28" s="168"/>
      <c r="COL28" s="166" t="s">
        <v>66</v>
      </c>
      <c r="COM28" s="167"/>
      <c r="CON28" s="167"/>
      <c r="COO28" s="167"/>
      <c r="COP28" s="167"/>
      <c r="COQ28" s="167"/>
      <c r="COR28" s="167"/>
      <c r="COS28" s="167"/>
      <c r="COT28" s="167"/>
      <c r="COU28" s="168"/>
      <c r="COX28" s="166" t="s">
        <v>66</v>
      </c>
      <c r="COY28" s="167"/>
      <c r="COZ28" s="167"/>
      <c r="CPA28" s="167"/>
      <c r="CPB28" s="167"/>
      <c r="CPC28" s="167"/>
      <c r="CPD28" s="167"/>
      <c r="CPE28" s="167"/>
      <c r="CPF28" s="167"/>
      <c r="CPG28" s="168"/>
      <c r="CPJ28" s="166" t="s">
        <v>66</v>
      </c>
      <c r="CPK28" s="167"/>
      <c r="CPL28" s="167"/>
      <c r="CPM28" s="167"/>
      <c r="CPN28" s="167"/>
      <c r="CPO28" s="167"/>
      <c r="CPP28" s="167"/>
      <c r="CPQ28" s="167"/>
      <c r="CPR28" s="167"/>
      <c r="CPS28" s="168"/>
      <c r="CPV28" s="166" t="s">
        <v>66</v>
      </c>
      <c r="CPW28" s="167"/>
      <c r="CPX28" s="167"/>
      <c r="CPY28" s="167"/>
      <c r="CPZ28" s="167"/>
      <c r="CQA28" s="167"/>
      <c r="CQB28" s="167"/>
      <c r="CQC28" s="167"/>
      <c r="CQD28" s="167"/>
      <c r="CQE28" s="168"/>
      <c r="CQH28" s="166" t="s">
        <v>66</v>
      </c>
      <c r="CQI28" s="167"/>
      <c r="CQJ28" s="167"/>
      <c r="CQK28" s="167"/>
      <c r="CQL28" s="167"/>
      <c r="CQM28" s="167"/>
      <c r="CQN28" s="167"/>
      <c r="CQO28" s="167"/>
      <c r="CQP28" s="167"/>
      <c r="CQQ28" s="168"/>
      <c r="CQT28" s="166" t="s">
        <v>66</v>
      </c>
      <c r="CQU28" s="167"/>
      <c r="CQV28" s="167"/>
      <c r="CQW28" s="167"/>
      <c r="CQX28" s="167"/>
      <c r="CQY28" s="167"/>
      <c r="CQZ28" s="167"/>
      <c r="CRA28" s="167"/>
      <c r="CRB28" s="167"/>
      <c r="CRC28" s="168"/>
      <c r="CRF28" s="166" t="s">
        <v>66</v>
      </c>
      <c r="CRG28" s="167"/>
      <c r="CRH28" s="167"/>
      <c r="CRI28" s="167"/>
      <c r="CRJ28" s="167"/>
      <c r="CRK28" s="167"/>
      <c r="CRL28" s="167"/>
      <c r="CRM28" s="167"/>
      <c r="CRN28" s="167"/>
      <c r="CRO28" s="168"/>
      <c r="CRR28" s="166" t="s">
        <v>66</v>
      </c>
      <c r="CRS28" s="167"/>
      <c r="CRT28" s="167"/>
      <c r="CRU28" s="167"/>
      <c r="CRV28" s="167"/>
      <c r="CRW28" s="167"/>
      <c r="CRX28" s="167"/>
      <c r="CRY28" s="167"/>
      <c r="CRZ28" s="167"/>
      <c r="CSA28" s="168"/>
      <c r="CSD28" s="166" t="s">
        <v>66</v>
      </c>
      <c r="CSE28" s="167"/>
      <c r="CSF28" s="167"/>
      <c r="CSG28" s="167"/>
      <c r="CSH28" s="167"/>
      <c r="CSI28" s="167"/>
      <c r="CSJ28" s="167"/>
      <c r="CSK28" s="167"/>
      <c r="CSL28" s="167"/>
      <c r="CSM28" s="168"/>
      <c r="CSP28" s="166" t="s">
        <v>66</v>
      </c>
      <c r="CSQ28" s="167"/>
      <c r="CSR28" s="167"/>
      <c r="CSS28" s="167"/>
      <c r="CST28" s="167"/>
      <c r="CSU28" s="167"/>
      <c r="CSV28" s="167"/>
      <c r="CSW28" s="167"/>
      <c r="CSX28" s="167"/>
      <c r="CSY28" s="168"/>
      <c r="CTB28" s="166" t="s">
        <v>66</v>
      </c>
      <c r="CTC28" s="167"/>
      <c r="CTD28" s="167"/>
      <c r="CTE28" s="167"/>
      <c r="CTF28" s="167"/>
      <c r="CTG28" s="167"/>
      <c r="CTH28" s="167"/>
      <c r="CTI28" s="167"/>
      <c r="CTJ28" s="167"/>
      <c r="CTK28" s="168"/>
      <c r="CTN28" s="166" t="s">
        <v>66</v>
      </c>
      <c r="CTO28" s="167"/>
      <c r="CTP28" s="167"/>
      <c r="CTQ28" s="167"/>
      <c r="CTR28" s="167"/>
      <c r="CTS28" s="167"/>
      <c r="CTT28" s="167"/>
      <c r="CTU28" s="167"/>
      <c r="CTV28" s="167"/>
      <c r="CTW28" s="168"/>
      <c r="CTZ28" s="166" t="s">
        <v>66</v>
      </c>
      <c r="CUA28" s="167"/>
      <c r="CUB28" s="167"/>
      <c r="CUC28" s="167"/>
      <c r="CUD28" s="167"/>
      <c r="CUE28" s="167"/>
      <c r="CUF28" s="167"/>
      <c r="CUG28" s="167"/>
      <c r="CUH28" s="167"/>
      <c r="CUI28" s="168"/>
      <c r="CUL28" s="166" t="s">
        <v>66</v>
      </c>
      <c r="CUM28" s="167"/>
      <c r="CUN28" s="167"/>
      <c r="CUO28" s="167"/>
      <c r="CUP28" s="167"/>
      <c r="CUQ28" s="167"/>
      <c r="CUR28" s="167"/>
      <c r="CUS28" s="167"/>
      <c r="CUT28" s="167"/>
      <c r="CUU28" s="168"/>
      <c r="CUX28" s="166" t="s">
        <v>66</v>
      </c>
      <c r="CUY28" s="167"/>
      <c r="CUZ28" s="167"/>
      <c r="CVA28" s="167"/>
      <c r="CVB28" s="167"/>
      <c r="CVC28" s="167"/>
      <c r="CVD28" s="167"/>
      <c r="CVE28" s="167"/>
      <c r="CVF28" s="167"/>
      <c r="CVG28" s="168"/>
      <c r="CVJ28" s="166" t="s">
        <v>66</v>
      </c>
      <c r="CVK28" s="167"/>
      <c r="CVL28" s="167"/>
      <c r="CVM28" s="167"/>
      <c r="CVN28" s="167"/>
      <c r="CVO28" s="167"/>
      <c r="CVP28" s="167"/>
      <c r="CVQ28" s="167"/>
      <c r="CVR28" s="167"/>
      <c r="CVS28" s="168"/>
      <c r="CVV28" s="166" t="s">
        <v>66</v>
      </c>
      <c r="CVW28" s="167"/>
      <c r="CVX28" s="167"/>
      <c r="CVY28" s="167"/>
      <c r="CVZ28" s="167"/>
      <c r="CWA28" s="167"/>
      <c r="CWB28" s="167"/>
      <c r="CWC28" s="167"/>
      <c r="CWD28" s="167"/>
      <c r="CWE28" s="168"/>
    </row>
    <row r="29" spans="1:1023 1026:2631" x14ac:dyDescent="0.25">
      <c r="C29" s="169"/>
      <c r="D29" s="169"/>
      <c r="E29" s="169"/>
      <c r="Q29" s="169"/>
      <c r="R29" s="169"/>
      <c r="S29" s="169"/>
      <c r="AE29" s="169"/>
      <c r="AF29" s="169"/>
      <c r="AG29" s="169"/>
      <c r="AS29" s="169"/>
      <c r="AT29" s="169"/>
      <c r="AU29" s="169"/>
      <c r="BG29" s="169"/>
      <c r="BH29" s="169"/>
      <c r="BI29" s="169"/>
      <c r="BU29" s="169"/>
      <c r="BV29" s="169"/>
      <c r="BW29" s="169"/>
      <c r="CI29" s="169"/>
      <c r="CJ29" s="169"/>
      <c r="CK29" s="169"/>
      <c r="CW29" s="169"/>
      <c r="CX29" s="169"/>
      <c r="CY29" s="169"/>
      <c r="DK29" s="169"/>
      <c r="DL29" s="169"/>
      <c r="DM29" s="169"/>
      <c r="DY29" s="169"/>
      <c r="DZ29" s="169"/>
      <c r="EA29" s="169"/>
      <c r="EM29" s="169"/>
      <c r="EN29" s="169"/>
      <c r="EO29" s="169"/>
      <c r="FA29" s="169"/>
      <c r="FB29" s="169"/>
      <c r="FC29" s="169"/>
      <c r="FO29" s="169"/>
      <c r="FP29" s="169"/>
      <c r="FQ29" s="169"/>
      <c r="GC29" s="169"/>
      <c r="GD29" s="169"/>
      <c r="GE29" s="169"/>
      <c r="GQ29" s="169"/>
      <c r="GR29" s="169"/>
      <c r="GS29" s="169"/>
      <c r="HE29" s="169"/>
      <c r="HF29" s="169"/>
      <c r="HG29" s="169"/>
      <c r="HS29" s="169"/>
      <c r="HT29" s="169"/>
      <c r="HU29" s="169"/>
      <c r="IG29" s="169"/>
      <c r="IH29" s="169"/>
      <c r="II29" s="169"/>
      <c r="IU29" s="169"/>
      <c r="IV29" s="169"/>
      <c r="IW29" s="169"/>
      <c r="JI29" s="169"/>
      <c r="JJ29" s="169"/>
      <c r="JK29" s="169"/>
      <c r="JW29" s="169"/>
      <c r="JX29" s="169"/>
      <c r="JY29" s="169"/>
      <c r="KK29" s="169"/>
      <c r="KL29" s="169"/>
      <c r="KM29" s="169"/>
      <c r="KY29" s="169"/>
      <c r="KZ29" s="169"/>
      <c r="LA29" s="169"/>
      <c r="LM29" s="169"/>
      <c r="LN29" s="169"/>
      <c r="LO29" s="169"/>
      <c r="MA29" s="169"/>
      <c r="MB29" s="169"/>
      <c r="MC29" s="169"/>
      <c r="MO29" s="169"/>
      <c r="MP29" s="169"/>
      <c r="MQ29" s="169"/>
      <c r="NC29" s="169"/>
      <c r="ND29" s="169"/>
      <c r="NE29" s="169"/>
      <c r="NQ29" s="169"/>
      <c r="NR29" s="169"/>
      <c r="NS29" s="169"/>
      <c r="OE29" s="169"/>
      <c r="OF29" s="169"/>
      <c r="OG29" s="169"/>
      <c r="OS29" s="169"/>
      <c r="OT29" s="169"/>
      <c r="OU29" s="169"/>
      <c r="PG29" s="169"/>
      <c r="PH29" s="169"/>
      <c r="PI29" s="169"/>
      <c r="PU29" s="169"/>
      <c r="PV29" s="169"/>
      <c r="PW29" s="169"/>
      <c r="QI29" s="169"/>
      <c r="QJ29" s="169"/>
      <c r="QK29" s="169"/>
      <c r="QW29" s="169"/>
      <c r="QX29" s="169"/>
      <c r="QY29" s="169"/>
      <c r="RK29" s="169"/>
      <c r="RL29" s="169"/>
      <c r="RM29" s="169"/>
      <c r="RY29" s="169"/>
      <c r="RZ29" s="169"/>
      <c r="SA29" s="169"/>
      <c r="SM29" s="169"/>
      <c r="SN29" s="169"/>
      <c r="SO29" s="169"/>
      <c r="TA29" s="169"/>
      <c r="TB29" s="169"/>
      <c r="TC29" s="169"/>
      <c r="TO29" s="169"/>
      <c r="TP29" s="169"/>
      <c r="TQ29" s="169"/>
      <c r="UC29" s="169"/>
      <c r="UD29" s="169"/>
      <c r="UE29" s="169"/>
      <c r="UQ29" s="169"/>
      <c r="UR29" s="169"/>
      <c r="US29" s="169"/>
      <c r="VE29" s="169"/>
      <c r="VF29" s="169"/>
      <c r="VG29" s="169"/>
      <c r="VS29" s="169"/>
      <c r="VT29" s="169"/>
      <c r="VU29" s="169"/>
      <c r="WG29" s="169"/>
      <c r="WH29" s="169"/>
      <c r="WI29" s="169"/>
      <c r="WU29" s="169"/>
      <c r="WV29" s="169"/>
      <c r="WW29" s="169"/>
      <c r="XI29" s="169"/>
      <c r="XJ29" s="169"/>
      <c r="XK29" s="169"/>
      <c r="XW29" s="169"/>
      <c r="XX29" s="169"/>
      <c r="XY29" s="169"/>
      <c r="YK29" s="169"/>
      <c r="YL29" s="169"/>
      <c r="YM29" s="169"/>
      <c r="YY29" s="169"/>
      <c r="YZ29" s="169"/>
      <c r="ZA29" s="169"/>
      <c r="ZM29" s="169"/>
      <c r="ZN29" s="169"/>
      <c r="ZO29" s="169"/>
      <c r="ZY29" s="79"/>
      <c r="ZZ29" s="147"/>
      <c r="AAA29" s="147"/>
      <c r="AAB29" s="147"/>
      <c r="AAC29" s="147"/>
      <c r="AAD29" s="147"/>
      <c r="AAE29" s="147"/>
      <c r="AAF29" s="147"/>
      <c r="AAG29" s="147"/>
      <c r="AAH29" s="147"/>
      <c r="AAI29" s="147"/>
      <c r="AAL29" s="79"/>
      <c r="AAM29" s="147"/>
      <c r="AAN29" s="147"/>
      <c r="AAO29" s="147"/>
      <c r="AAP29" s="147"/>
      <c r="AAQ29" s="147"/>
      <c r="AAR29" s="147"/>
      <c r="AAS29" s="147"/>
      <c r="AAT29" s="147"/>
      <c r="AAU29" s="147"/>
      <c r="AAV29" s="147"/>
      <c r="AAY29" s="79"/>
      <c r="AAZ29" s="147"/>
      <c r="ABA29" s="147"/>
      <c r="ABB29" s="147"/>
      <c r="ABC29" s="147"/>
      <c r="ABD29" s="147"/>
      <c r="ABE29" s="147"/>
      <c r="ABF29" s="147"/>
      <c r="ABG29" s="147"/>
      <c r="ABH29" s="147"/>
      <c r="ABI29" s="147"/>
      <c r="ABL29" s="79"/>
      <c r="ABM29" s="147"/>
      <c r="ABN29" s="147"/>
      <c r="ABO29" s="147"/>
      <c r="ABP29" s="147"/>
      <c r="ABQ29" s="147"/>
      <c r="ABR29" s="147"/>
      <c r="ABS29" s="147"/>
      <c r="ABT29" s="147"/>
      <c r="ABU29" s="147"/>
      <c r="ABV29" s="147"/>
      <c r="ABY29" s="79"/>
      <c r="ABZ29" s="147"/>
      <c r="ACA29" s="147"/>
      <c r="ACB29" s="147"/>
      <c r="ACC29" s="147"/>
      <c r="ACD29" s="147"/>
      <c r="ACE29" s="147"/>
      <c r="ACF29" s="147"/>
      <c r="ACG29" s="147"/>
      <c r="ACH29" s="147"/>
      <c r="ACI29" s="147"/>
      <c r="ACL29" s="79"/>
      <c r="ACM29" s="147"/>
      <c r="ACN29" s="147"/>
      <c r="ACO29" s="147"/>
      <c r="ACP29" s="147"/>
      <c r="ACQ29" s="147"/>
      <c r="ACR29" s="147"/>
      <c r="ACS29" s="147"/>
      <c r="ACT29" s="147"/>
      <c r="ACU29" s="147"/>
      <c r="ACV29" s="147"/>
      <c r="ACY29" s="79"/>
      <c r="ACZ29" s="147"/>
      <c r="ADA29" s="147"/>
      <c r="ADB29" s="147"/>
      <c r="ADC29" s="147"/>
      <c r="ADD29" s="147"/>
      <c r="ADE29" s="147"/>
      <c r="ADF29" s="147"/>
      <c r="ADG29" s="147"/>
      <c r="ADH29" s="147"/>
      <c r="ADI29" s="147"/>
      <c r="ADL29" s="79"/>
      <c r="ADM29" s="147"/>
      <c r="ADN29" s="147"/>
      <c r="ADO29" s="147"/>
      <c r="ADP29" s="147"/>
      <c r="ADQ29" s="147"/>
      <c r="ADR29" s="147"/>
      <c r="ADS29" s="147"/>
      <c r="ADT29" s="147"/>
      <c r="ADU29" s="147"/>
      <c r="ADV29" s="147"/>
      <c r="ADY29" s="79"/>
      <c r="ADZ29" s="147"/>
      <c r="AEA29" s="147"/>
      <c r="AEB29" s="147"/>
      <c r="AEC29" s="147"/>
      <c r="AED29" s="147"/>
      <c r="AEE29" s="147"/>
      <c r="AEF29" s="147"/>
      <c r="AEG29" s="147"/>
      <c r="AEH29" s="147"/>
      <c r="AEI29" s="147"/>
      <c r="AEL29" s="79"/>
      <c r="AEM29" s="147"/>
      <c r="AEN29" s="147"/>
      <c r="AEO29" s="147"/>
      <c r="AEP29" s="147"/>
      <c r="AEQ29" s="147"/>
      <c r="AER29" s="147"/>
      <c r="AES29" s="147"/>
      <c r="AET29" s="147"/>
      <c r="AEU29" s="147"/>
      <c r="AEV29" s="147"/>
      <c r="AEY29" s="79"/>
      <c r="AEZ29" s="147"/>
      <c r="AFA29" s="147"/>
      <c r="AFB29" s="147"/>
      <c r="AFC29" s="147"/>
      <c r="AFD29" s="147"/>
      <c r="AFE29" s="147"/>
      <c r="AFF29" s="147"/>
      <c r="AFG29" s="147"/>
      <c r="AFH29" s="147"/>
      <c r="AFI29" s="147"/>
      <c r="AFL29" s="79"/>
      <c r="AFM29" s="147"/>
      <c r="AFN29" s="147"/>
      <c r="AFO29" s="147"/>
      <c r="AFP29" s="147"/>
      <c r="AFQ29" s="147"/>
      <c r="AFR29" s="147"/>
      <c r="AFS29" s="147"/>
      <c r="AFT29" s="147"/>
      <c r="AFU29" s="147"/>
      <c r="AFV29" s="147"/>
      <c r="AFZ29" s="147"/>
      <c r="AGA29" s="147"/>
      <c r="AGB29" s="147"/>
      <c r="AGC29" s="147"/>
      <c r="AGD29" s="147"/>
      <c r="AGE29" s="147"/>
      <c r="AGF29" s="147"/>
      <c r="AGG29" s="147"/>
      <c r="AGH29" s="147"/>
      <c r="AGI29" s="147"/>
      <c r="AGL29" s="147"/>
      <c r="AGM29" s="147"/>
      <c r="AGN29" s="147"/>
      <c r="AGO29" s="147"/>
      <c r="AGP29" s="147"/>
      <c r="AGQ29" s="147"/>
      <c r="AGR29" s="147"/>
      <c r="AGS29" s="147"/>
      <c r="AGT29" s="147"/>
      <c r="AGU29" s="147"/>
      <c r="AGX29" s="147"/>
      <c r="AGY29" s="147"/>
      <c r="AGZ29" s="147"/>
      <c r="AHA29" s="147"/>
      <c r="AHB29" s="147"/>
      <c r="AHC29" s="147"/>
      <c r="AHD29" s="147"/>
      <c r="AHE29" s="147"/>
      <c r="AHF29" s="147"/>
      <c r="AHG29" s="147"/>
      <c r="AHJ29" s="147"/>
      <c r="AHK29" s="147"/>
      <c r="AHL29" s="147"/>
      <c r="AHM29" s="147"/>
      <c r="AHN29" s="147"/>
      <c r="AHO29" s="147"/>
      <c r="AHP29" s="147"/>
      <c r="AHQ29" s="147"/>
      <c r="AHR29" s="147"/>
      <c r="AHS29" s="147"/>
      <c r="AHV29" s="147"/>
      <c r="AHW29" s="147"/>
      <c r="AHX29" s="147"/>
      <c r="AHY29" s="147"/>
      <c r="AHZ29" s="147"/>
      <c r="AIA29" s="147"/>
      <c r="AIB29" s="147"/>
      <c r="AIC29" s="147"/>
      <c r="AID29" s="147"/>
      <c r="AIE29" s="147"/>
      <c r="AIH29" s="147"/>
      <c r="AII29" s="147"/>
      <c r="AIJ29" s="147"/>
      <c r="AIK29" s="147"/>
      <c r="AIL29" s="147"/>
      <c r="AIM29" s="147"/>
      <c r="AIN29" s="147"/>
      <c r="AIO29" s="147"/>
      <c r="AIP29" s="147"/>
      <c r="AIQ29" s="147"/>
      <c r="AIT29" s="147"/>
      <c r="AIU29" s="147"/>
      <c r="AIV29" s="147"/>
      <c r="AIW29" s="147"/>
      <c r="AIX29" s="147"/>
      <c r="AIY29" s="147"/>
      <c r="AIZ29" s="147"/>
      <c r="AJA29" s="147"/>
      <c r="AJB29" s="147"/>
      <c r="AJC29" s="147"/>
      <c r="AJF29" s="147"/>
      <c r="AJG29" s="147"/>
      <c r="AJH29" s="147"/>
      <c r="AJI29" s="147"/>
      <c r="AJJ29" s="147"/>
      <c r="AJK29" s="147"/>
      <c r="AJL29" s="147"/>
      <c r="AJM29" s="147"/>
      <c r="AJN29" s="147"/>
      <c r="AJO29" s="147"/>
      <c r="AJR29" s="147"/>
      <c r="AJS29" s="147"/>
      <c r="AJT29" s="147"/>
      <c r="AJU29" s="147"/>
      <c r="AJV29" s="147"/>
      <c r="AJW29" s="147"/>
      <c r="AJX29" s="147"/>
      <c r="AJY29" s="147"/>
      <c r="AJZ29" s="147"/>
      <c r="AKA29" s="147"/>
      <c r="AKD29" s="147"/>
      <c r="AKE29" s="147"/>
      <c r="AKF29" s="147"/>
      <c r="AKG29" s="147"/>
      <c r="AKH29" s="147"/>
      <c r="AKI29" s="147"/>
      <c r="AKJ29" s="147"/>
      <c r="AKK29" s="147"/>
      <c r="AKL29" s="147"/>
      <c r="AKM29" s="147"/>
      <c r="AKP29" s="147"/>
      <c r="AKQ29" s="147"/>
      <c r="AKR29" s="147"/>
      <c r="AKS29" s="147"/>
      <c r="AKT29" s="147"/>
      <c r="AKU29" s="147"/>
      <c r="AKV29" s="147"/>
      <c r="AKW29" s="147"/>
      <c r="AKX29" s="147"/>
      <c r="AKY29" s="147"/>
      <c r="ALB29" s="147"/>
      <c r="ALC29" s="147"/>
      <c r="ALD29" s="147"/>
      <c r="ALE29" s="147"/>
      <c r="ALF29" s="147"/>
      <c r="ALG29" s="147"/>
      <c r="ALH29" s="147"/>
      <c r="ALI29" s="147"/>
      <c r="ALJ29" s="147"/>
      <c r="ALK29" s="147"/>
      <c r="ALN29" s="147"/>
      <c r="ALO29" s="147"/>
      <c r="ALP29" s="147"/>
      <c r="ALQ29" s="147"/>
      <c r="ALR29" s="147"/>
      <c r="ALS29" s="147"/>
      <c r="ALT29" s="147"/>
      <c r="ALU29" s="147"/>
      <c r="ALV29" s="147"/>
      <c r="ALW29" s="147"/>
      <c r="ALZ29" s="147"/>
      <c r="AMA29" s="147"/>
      <c r="AMB29" s="147"/>
      <c r="AMC29" s="147"/>
      <c r="AMD29" s="147"/>
      <c r="AME29" s="147"/>
      <c r="AMF29" s="147"/>
      <c r="AMG29" s="147"/>
      <c r="AMH29" s="147"/>
      <c r="AMI29" s="147"/>
      <c r="AML29" s="147"/>
      <c r="AMM29" s="147"/>
      <c r="AMN29" s="147"/>
      <c r="AMO29" s="147"/>
      <c r="AMP29" s="147"/>
      <c r="AMQ29" s="147"/>
      <c r="AMR29" s="147"/>
      <c r="AMS29" s="147"/>
      <c r="AMT29" s="147"/>
      <c r="AMU29" s="147"/>
      <c r="AMX29" s="147"/>
      <c r="AMY29" s="147"/>
      <c r="AMZ29" s="147"/>
      <c r="ANA29" s="147"/>
      <c r="ANB29" s="147"/>
      <c r="ANC29" s="147"/>
      <c r="AND29" s="147"/>
      <c r="ANE29" s="147"/>
      <c r="ANF29" s="147"/>
      <c r="ANG29" s="147"/>
      <c r="ANJ29" s="147"/>
      <c r="ANK29" s="147"/>
      <c r="ANL29" s="147"/>
      <c r="ANM29" s="147"/>
      <c r="ANN29" s="147"/>
      <c r="ANO29" s="147"/>
      <c r="ANP29" s="147"/>
      <c r="ANQ29" s="147"/>
      <c r="ANR29" s="147"/>
      <c r="ANS29" s="147"/>
      <c r="ANV29" s="147"/>
      <c r="ANW29" s="147"/>
      <c r="ANX29" s="147"/>
      <c r="ANY29" s="147"/>
      <c r="ANZ29" s="147"/>
      <c r="AOA29" s="147"/>
      <c r="AOB29" s="147"/>
      <c r="AOC29" s="147"/>
      <c r="AOD29" s="147"/>
      <c r="AOE29" s="147"/>
      <c r="AOH29" s="147"/>
      <c r="AOI29" s="147"/>
      <c r="AOJ29" s="147"/>
      <c r="AOK29" s="147"/>
      <c r="AOL29" s="147"/>
      <c r="AOM29" s="147"/>
      <c r="AON29" s="147"/>
      <c r="AOO29" s="147"/>
      <c r="AOP29" s="147"/>
      <c r="AOQ29" s="147"/>
      <c r="AOT29" s="147"/>
      <c r="AOU29" s="147"/>
      <c r="AOV29" s="147"/>
      <c r="AOW29" s="147"/>
      <c r="AOX29" s="147"/>
      <c r="AOY29" s="147"/>
      <c r="AOZ29" s="147"/>
      <c r="APA29" s="147"/>
      <c r="APB29" s="147"/>
      <c r="APC29" s="147"/>
      <c r="APF29" s="147"/>
      <c r="APG29" s="147"/>
      <c r="APH29" s="147"/>
      <c r="API29" s="147"/>
      <c r="APJ29" s="147"/>
      <c r="APK29" s="147"/>
      <c r="APL29" s="147"/>
      <c r="APM29" s="147"/>
      <c r="APN29" s="147"/>
      <c r="APO29" s="147"/>
      <c r="APR29" s="147"/>
      <c r="APS29" s="147"/>
      <c r="APT29" s="147"/>
      <c r="APU29" s="147"/>
      <c r="APV29" s="147"/>
      <c r="APW29" s="147"/>
      <c r="APX29" s="147"/>
      <c r="APY29" s="147"/>
      <c r="APZ29" s="147"/>
      <c r="AQA29" s="147"/>
      <c r="AQD29" s="147"/>
      <c r="AQE29" s="147"/>
      <c r="AQF29" s="147"/>
      <c r="AQG29" s="147"/>
      <c r="AQH29" s="147"/>
      <c r="AQI29" s="147"/>
      <c r="AQJ29" s="147"/>
      <c r="AQK29" s="147"/>
      <c r="AQL29" s="147"/>
      <c r="AQM29" s="147"/>
      <c r="AQP29" s="147"/>
      <c r="AQQ29" s="147"/>
      <c r="AQR29" s="147"/>
      <c r="AQS29" s="147"/>
      <c r="AQT29" s="147"/>
      <c r="AQU29" s="147"/>
      <c r="AQV29" s="147"/>
      <c r="AQW29" s="147"/>
      <c r="AQX29" s="147"/>
      <c r="AQY29" s="147"/>
      <c r="ARB29" s="147"/>
      <c r="ARC29" s="147"/>
      <c r="ARD29" s="147"/>
      <c r="ARE29" s="147"/>
      <c r="ARF29" s="147"/>
      <c r="ARG29" s="147"/>
      <c r="ARH29" s="147"/>
      <c r="ARI29" s="147"/>
      <c r="ARJ29" s="147"/>
      <c r="ARK29" s="147"/>
      <c r="ARN29" s="147"/>
      <c r="ARO29" s="147"/>
      <c r="ARP29" s="147"/>
      <c r="ARQ29" s="147"/>
      <c r="ARR29" s="147"/>
      <c r="ARS29" s="147"/>
      <c r="ART29" s="147"/>
      <c r="ARU29" s="147"/>
      <c r="ARV29" s="147"/>
      <c r="ARW29" s="147"/>
      <c r="ARZ29" s="147"/>
      <c r="ASA29" s="147"/>
      <c r="ASB29" s="147"/>
      <c r="ASC29" s="147"/>
      <c r="ASD29" s="147"/>
      <c r="ASE29" s="147"/>
      <c r="ASF29" s="147"/>
      <c r="ASG29" s="147"/>
      <c r="ASH29" s="147"/>
      <c r="ASI29" s="147"/>
      <c r="ASL29" s="147"/>
      <c r="ASM29" s="147"/>
      <c r="ASN29" s="147"/>
      <c r="ASO29" s="147"/>
      <c r="ASP29" s="147"/>
      <c r="ASQ29" s="147"/>
      <c r="ASR29" s="147"/>
      <c r="ASS29" s="147"/>
      <c r="AST29" s="147"/>
      <c r="ASU29" s="147"/>
      <c r="ASX29" s="147"/>
      <c r="ASY29" s="147"/>
      <c r="ASZ29" s="147"/>
      <c r="ATA29" s="147"/>
      <c r="ATB29" s="147"/>
      <c r="ATC29" s="147"/>
      <c r="ATD29" s="147"/>
      <c r="ATE29" s="147"/>
      <c r="ATF29" s="147"/>
      <c r="ATG29" s="147"/>
      <c r="ATJ29" s="147"/>
      <c r="ATK29" s="147"/>
      <c r="ATL29" s="147"/>
      <c r="ATM29" s="147"/>
      <c r="ATN29" s="147"/>
      <c r="ATO29" s="147"/>
      <c r="ATP29" s="147"/>
      <c r="ATQ29" s="147"/>
      <c r="ATR29" s="147"/>
      <c r="ATS29" s="147"/>
      <c r="ATV29" s="147"/>
      <c r="ATW29" s="147"/>
      <c r="ATX29" s="147"/>
      <c r="ATY29" s="147"/>
      <c r="ATZ29" s="147"/>
      <c r="AUA29" s="147"/>
      <c r="AUB29" s="147"/>
      <c r="AUC29" s="147"/>
      <c r="AUD29" s="147"/>
      <c r="AUE29" s="147"/>
      <c r="AUH29" s="147"/>
      <c r="AUI29" s="147"/>
      <c r="AUJ29" s="147"/>
      <c r="AUK29" s="147"/>
      <c r="AUL29" s="147"/>
      <c r="AUM29" s="147"/>
      <c r="AUN29" s="147"/>
      <c r="AUO29" s="147"/>
      <c r="AUP29" s="147"/>
      <c r="AUQ29" s="147"/>
      <c r="AUT29" s="147"/>
      <c r="AUU29" s="147"/>
      <c r="AUV29" s="147"/>
      <c r="AUW29" s="147"/>
      <c r="AUX29" s="147"/>
      <c r="AUY29" s="147"/>
      <c r="AUZ29" s="147"/>
      <c r="AVA29" s="147"/>
      <c r="AVB29" s="147"/>
      <c r="AVC29" s="147"/>
      <c r="AVF29" s="147"/>
      <c r="AVG29" s="147"/>
      <c r="AVH29" s="147"/>
      <c r="AVI29" s="147"/>
      <c r="AVJ29" s="147"/>
      <c r="AVK29" s="147"/>
      <c r="AVL29" s="147"/>
      <c r="AVM29" s="147"/>
      <c r="AVN29" s="147"/>
      <c r="AVO29" s="147"/>
      <c r="AVR29" s="147"/>
      <c r="AVS29" s="147"/>
      <c r="AVT29" s="147"/>
      <c r="AVU29" s="147"/>
      <c r="AVV29" s="147"/>
      <c r="AVW29" s="147"/>
      <c r="AVX29" s="147"/>
      <c r="AVY29" s="147"/>
      <c r="AVZ29" s="147"/>
      <c r="AWA29" s="147"/>
      <c r="AWD29" s="147"/>
      <c r="AWE29" s="147"/>
      <c r="AWF29" s="147"/>
      <c r="AWG29" s="147"/>
      <c r="AWH29" s="147"/>
      <c r="AWI29" s="147"/>
      <c r="AWJ29" s="147"/>
      <c r="AWK29" s="147"/>
      <c r="AWL29" s="147"/>
      <c r="AWM29" s="147"/>
      <c r="AWP29" s="147"/>
      <c r="AWQ29" s="147"/>
      <c r="AWR29" s="147"/>
      <c r="AWS29" s="147"/>
      <c r="AWT29" s="147"/>
      <c r="AWU29" s="147"/>
      <c r="AWV29" s="147"/>
      <c r="AWW29" s="147"/>
      <c r="AWX29" s="147"/>
      <c r="AWY29" s="147"/>
      <c r="AXB29" s="147"/>
      <c r="AXC29" s="147"/>
      <c r="AXD29" s="147"/>
      <c r="AXE29" s="147"/>
      <c r="AXF29" s="147"/>
      <c r="AXG29" s="147"/>
      <c r="AXH29" s="147"/>
      <c r="AXI29" s="147"/>
      <c r="AXJ29" s="147"/>
      <c r="AXK29" s="147"/>
      <c r="AXN29" s="147"/>
      <c r="AXO29" s="147"/>
      <c r="AXP29" s="147"/>
      <c r="AXQ29" s="147"/>
      <c r="AXR29" s="147"/>
      <c r="AXS29" s="147"/>
      <c r="AXT29" s="147"/>
      <c r="AXU29" s="147"/>
      <c r="AXV29" s="147"/>
      <c r="AXW29" s="147"/>
      <c r="AXZ29" s="147"/>
      <c r="AYA29" s="147"/>
      <c r="AYB29" s="147"/>
      <c r="AYC29" s="147"/>
      <c r="AYD29" s="147"/>
      <c r="AYE29" s="147"/>
      <c r="AYF29" s="147"/>
      <c r="AYG29" s="147"/>
      <c r="AYH29" s="147"/>
      <c r="AYI29" s="147"/>
      <c r="AYL29" s="147"/>
      <c r="AYM29" s="147"/>
      <c r="AYN29" s="147"/>
      <c r="AYO29" s="147"/>
      <c r="AYP29" s="147"/>
      <c r="AYQ29" s="147"/>
      <c r="AYR29" s="147"/>
      <c r="AYS29" s="147"/>
      <c r="AYT29" s="147"/>
      <c r="AYU29" s="147"/>
      <c r="AYX29" s="147"/>
      <c r="AYY29" s="147"/>
      <c r="AYZ29" s="147"/>
      <c r="AZA29" s="147"/>
      <c r="AZB29" s="147"/>
      <c r="AZC29" s="147"/>
      <c r="AZD29" s="147"/>
      <c r="AZE29" s="147"/>
      <c r="AZF29" s="147"/>
      <c r="AZG29" s="147"/>
      <c r="AZJ29" s="147"/>
      <c r="AZK29" s="147"/>
      <c r="AZL29" s="147"/>
      <c r="AZM29" s="147"/>
      <c r="AZN29" s="147"/>
      <c r="AZO29" s="147"/>
      <c r="AZP29" s="147"/>
      <c r="AZQ29" s="147"/>
      <c r="AZR29" s="147"/>
      <c r="AZS29" s="147"/>
      <c r="AZV29" s="147"/>
      <c r="AZW29" s="147"/>
      <c r="AZX29" s="147"/>
      <c r="AZY29" s="147"/>
      <c r="AZZ29" s="147"/>
      <c r="BAA29" s="147"/>
      <c r="BAB29" s="147"/>
      <c r="BAC29" s="147"/>
      <c r="BAD29" s="147"/>
      <c r="BAE29" s="147"/>
      <c r="BAH29" s="147"/>
      <c r="BAI29" s="147"/>
      <c r="BAJ29" s="147"/>
      <c r="BAK29" s="147"/>
      <c r="BAL29" s="147"/>
      <c r="BAM29" s="147"/>
      <c r="BAN29" s="147"/>
      <c r="BAO29" s="147"/>
      <c r="BAP29" s="147"/>
      <c r="BAQ29" s="147"/>
      <c r="BAT29" s="147"/>
      <c r="BAU29" s="147"/>
      <c r="BAV29" s="147"/>
      <c r="BAW29" s="147"/>
      <c r="BAX29" s="147"/>
      <c r="BAY29" s="147"/>
      <c r="BAZ29" s="147"/>
      <c r="BBA29" s="147"/>
      <c r="BBB29" s="147"/>
      <c r="BBC29" s="147"/>
      <c r="BBF29" s="147"/>
      <c r="BBG29" s="147"/>
      <c r="BBH29" s="147"/>
      <c r="BBI29" s="147"/>
      <c r="BBJ29" s="147"/>
      <c r="BBK29" s="147"/>
      <c r="BBL29" s="147"/>
      <c r="BBM29" s="147"/>
      <c r="BBN29" s="147"/>
      <c r="BBO29" s="147"/>
      <c r="BBR29" s="147"/>
      <c r="BBS29" s="147"/>
      <c r="BBT29" s="147"/>
      <c r="BBU29" s="147"/>
      <c r="BBV29" s="147"/>
      <c r="BBW29" s="147"/>
      <c r="BBX29" s="147"/>
      <c r="BBY29" s="147"/>
      <c r="BBZ29" s="147"/>
      <c r="BCA29" s="147"/>
      <c r="BCD29" s="147"/>
      <c r="BCE29" s="147"/>
      <c r="BCF29" s="147"/>
      <c r="BCG29" s="147"/>
      <c r="BCH29" s="147"/>
      <c r="BCI29" s="147"/>
      <c r="BCJ29" s="147"/>
      <c r="BCK29" s="147"/>
      <c r="BCL29" s="147"/>
      <c r="BCM29" s="147"/>
      <c r="BCP29" s="147"/>
      <c r="BCQ29" s="147"/>
      <c r="BCR29" s="147"/>
      <c r="BCS29" s="147"/>
      <c r="BCT29" s="147"/>
      <c r="BCU29" s="147"/>
      <c r="BCV29" s="147"/>
      <c r="BCW29" s="147"/>
      <c r="BCX29" s="147"/>
      <c r="BCY29" s="147"/>
      <c r="BDB29" s="147"/>
      <c r="BDC29" s="147"/>
      <c r="BDD29" s="147"/>
      <c r="BDE29" s="147"/>
      <c r="BDF29" s="147"/>
      <c r="BDG29" s="147"/>
      <c r="BDH29" s="147"/>
      <c r="BDI29" s="147"/>
      <c r="BDJ29" s="147"/>
      <c r="BDK29" s="147"/>
      <c r="BDN29" s="147"/>
      <c r="BDO29" s="147"/>
      <c r="BDP29" s="147"/>
      <c r="BDQ29" s="147"/>
      <c r="BDR29" s="147"/>
      <c r="BDS29" s="147"/>
      <c r="BDT29" s="147"/>
      <c r="BDU29" s="147"/>
      <c r="BDV29" s="147"/>
      <c r="BDW29" s="147"/>
      <c r="BDZ29" s="147"/>
      <c r="BEA29" s="147"/>
      <c r="BEB29" s="147"/>
      <c r="BEC29" s="147"/>
      <c r="BED29" s="147"/>
      <c r="BEE29" s="147"/>
      <c r="BEF29" s="147"/>
      <c r="BEG29" s="147"/>
      <c r="BEH29" s="147"/>
      <c r="BEI29" s="147"/>
      <c r="BEL29" s="147"/>
      <c r="BEM29" s="147"/>
      <c r="BEN29" s="147"/>
      <c r="BEO29" s="147"/>
      <c r="BEP29" s="147"/>
      <c r="BEQ29" s="147"/>
      <c r="BER29" s="147"/>
      <c r="BES29" s="147"/>
      <c r="BET29" s="147"/>
      <c r="BEU29" s="147"/>
      <c r="BEX29" s="147"/>
      <c r="BEY29" s="147"/>
      <c r="BEZ29" s="147"/>
      <c r="BFA29" s="147"/>
      <c r="BFB29" s="147"/>
      <c r="BFC29" s="147"/>
      <c r="BFD29" s="147"/>
      <c r="BFE29" s="147"/>
      <c r="BFF29" s="147"/>
      <c r="BFG29" s="147"/>
      <c r="BFJ29" s="147"/>
      <c r="BFK29" s="147"/>
      <c r="BFL29" s="147"/>
      <c r="BFM29" s="147"/>
      <c r="BFN29" s="147"/>
      <c r="BFO29" s="147"/>
      <c r="BFP29" s="147"/>
      <c r="BFQ29" s="147"/>
      <c r="BFR29" s="147"/>
      <c r="BFS29" s="147"/>
      <c r="BFV29" s="147"/>
      <c r="BFW29" s="147"/>
      <c r="BFX29" s="147"/>
      <c r="BFY29" s="147"/>
      <c r="BFZ29" s="147"/>
      <c r="BGA29" s="147"/>
      <c r="BGB29" s="147"/>
      <c r="BGC29" s="147"/>
      <c r="BGD29" s="147"/>
      <c r="BGE29" s="147"/>
      <c r="BGH29" s="147"/>
      <c r="BGI29" s="147"/>
      <c r="BGJ29" s="147"/>
      <c r="BGK29" s="147"/>
      <c r="BGL29" s="147"/>
      <c r="BGM29" s="147"/>
      <c r="BGN29" s="147"/>
      <c r="BGO29" s="147"/>
      <c r="BGP29" s="147"/>
      <c r="BGQ29" s="147"/>
      <c r="BGT29" s="147"/>
      <c r="BGU29" s="147"/>
      <c r="BGV29" s="147"/>
      <c r="BGW29" s="147"/>
      <c r="BGX29" s="147"/>
      <c r="BGY29" s="147"/>
      <c r="BGZ29" s="147"/>
      <c r="BHA29" s="147"/>
      <c r="BHB29" s="147"/>
      <c r="BHC29" s="147"/>
      <c r="BHF29" s="147"/>
      <c r="BHG29" s="147"/>
      <c r="BHH29" s="147"/>
      <c r="BHI29" s="147"/>
      <c r="BHJ29" s="147"/>
      <c r="BHK29" s="147"/>
      <c r="BHL29" s="147"/>
      <c r="BHM29" s="147"/>
      <c r="BHN29" s="147"/>
      <c r="BHO29" s="147"/>
      <c r="BHR29" s="166" t="s">
        <v>67</v>
      </c>
      <c r="BHS29" s="167"/>
      <c r="BHT29" s="167"/>
      <c r="BHU29" s="167"/>
      <c r="BHV29" s="167"/>
      <c r="BHW29" s="167"/>
      <c r="BHX29" s="167"/>
      <c r="BHY29" s="167"/>
      <c r="BHZ29" s="167"/>
      <c r="BIA29" s="168"/>
      <c r="BID29" s="166" t="s">
        <v>67</v>
      </c>
      <c r="BIE29" s="167"/>
      <c r="BIF29" s="167"/>
      <c r="BIG29" s="167"/>
      <c r="BIH29" s="167"/>
      <c r="BII29" s="167"/>
      <c r="BIJ29" s="167"/>
      <c r="BIK29" s="167"/>
      <c r="BIL29" s="167"/>
      <c r="BIM29" s="168"/>
      <c r="BIP29" s="166" t="s">
        <v>67</v>
      </c>
      <c r="BIQ29" s="167"/>
      <c r="BIR29" s="167"/>
      <c r="BIS29" s="167"/>
      <c r="BIT29" s="167"/>
      <c r="BIU29" s="167"/>
      <c r="BIV29" s="167"/>
      <c r="BIW29" s="167"/>
      <c r="BIX29" s="167"/>
      <c r="BIY29" s="168"/>
      <c r="BJB29" s="166" t="s">
        <v>67</v>
      </c>
      <c r="BJC29" s="167"/>
      <c r="BJD29" s="167"/>
      <c r="BJE29" s="167"/>
      <c r="BJF29" s="167"/>
      <c r="BJG29" s="167"/>
      <c r="BJH29" s="167"/>
      <c r="BJI29" s="167"/>
      <c r="BJJ29" s="167"/>
      <c r="BJK29" s="168"/>
      <c r="BJN29" s="166" t="s">
        <v>67</v>
      </c>
      <c r="BJO29" s="167"/>
      <c r="BJP29" s="167"/>
      <c r="BJQ29" s="167"/>
      <c r="BJR29" s="167"/>
      <c r="BJS29" s="167"/>
      <c r="BJT29" s="167"/>
      <c r="BJU29" s="167"/>
      <c r="BJV29" s="167"/>
      <c r="BJW29" s="168"/>
      <c r="BJZ29" s="166" t="s">
        <v>67</v>
      </c>
      <c r="BKA29" s="167"/>
      <c r="BKB29" s="167"/>
      <c r="BKC29" s="167"/>
      <c r="BKD29" s="167"/>
      <c r="BKE29" s="167"/>
      <c r="BKF29" s="167"/>
      <c r="BKG29" s="167"/>
      <c r="BKH29" s="167"/>
      <c r="BKI29" s="168"/>
      <c r="BKL29" s="166" t="s">
        <v>67</v>
      </c>
      <c r="BKM29" s="167"/>
      <c r="BKN29" s="167"/>
      <c r="BKO29" s="167"/>
      <c r="BKP29" s="167"/>
      <c r="BKQ29" s="167"/>
      <c r="BKR29" s="167"/>
      <c r="BKS29" s="167"/>
      <c r="BKT29" s="167"/>
      <c r="BKU29" s="168"/>
      <c r="BKX29" s="166" t="s">
        <v>67</v>
      </c>
      <c r="BKY29" s="167"/>
      <c r="BKZ29" s="167"/>
      <c r="BLA29" s="167"/>
      <c r="BLB29" s="167"/>
      <c r="BLC29" s="167"/>
      <c r="BLD29" s="167"/>
      <c r="BLE29" s="167"/>
      <c r="BLF29" s="167"/>
      <c r="BLG29" s="168"/>
      <c r="BLJ29" s="166" t="s">
        <v>67</v>
      </c>
      <c r="BLK29" s="167"/>
      <c r="BLL29" s="167"/>
      <c r="BLM29" s="167"/>
      <c r="BLN29" s="167"/>
      <c r="BLO29" s="167"/>
      <c r="BLP29" s="167"/>
      <c r="BLQ29" s="167"/>
      <c r="BLR29" s="167"/>
      <c r="BLS29" s="168"/>
      <c r="BLV29" s="166" t="s">
        <v>67</v>
      </c>
      <c r="BLW29" s="167"/>
      <c r="BLX29" s="167"/>
      <c r="BLY29" s="167"/>
      <c r="BLZ29" s="167"/>
      <c r="BMA29" s="167"/>
      <c r="BMB29" s="167"/>
      <c r="BMC29" s="167"/>
      <c r="BMD29" s="167"/>
      <c r="BME29" s="168"/>
      <c r="BMH29" s="166" t="s">
        <v>67</v>
      </c>
      <c r="BMI29" s="167"/>
      <c r="BMJ29" s="167"/>
      <c r="BMK29" s="167"/>
      <c r="BML29" s="167"/>
      <c r="BMM29" s="167"/>
      <c r="BMN29" s="167"/>
      <c r="BMO29" s="167"/>
      <c r="BMP29" s="167"/>
      <c r="BMQ29" s="168"/>
      <c r="BMT29" s="166" t="s">
        <v>67</v>
      </c>
      <c r="BMU29" s="167"/>
      <c r="BMV29" s="167"/>
      <c r="BMW29" s="167"/>
      <c r="BMX29" s="167"/>
      <c r="BMY29" s="167"/>
      <c r="BMZ29" s="167"/>
      <c r="BNA29" s="167"/>
      <c r="BNB29" s="167"/>
      <c r="BNC29" s="168"/>
      <c r="BNF29" s="166" t="s">
        <v>67</v>
      </c>
      <c r="BNG29" s="167"/>
      <c r="BNH29" s="167"/>
      <c r="BNI29" s="167"/>
      <c r="BNJ29" s="167"/>
      <c r="BNK29" s="167"/>
      <c r="BNL29" s="167"/>
      <c r="BNM29" s="167"/>
      <c r="BNN29" s="167"/>
      <c r="BNO29" s="168"/>
      <c r="BNR29" s="166" t="s">
        <v>67</v>
      </c>
      <c r="BNS29" s="167"/>
      <c r="BNT29" s="167"/>
      <c r="BNU29" s="167"/>
      <c r="BNV29" s="167"/>
      <c r="BNW29" s="167"/>
      <c r="BNX29" s="167"/>
      <c r="BNY29" s="167"/>
      <c r="BNZ29" s="167"/>
      <c r="BOA29" s="168"/>
      <c r="BOD29" s="166" t="s">
        <v>67</v>
      </c>
      <c r="BOE29" s="167"/>
      <c r="BOF29" s="167"/>
      <c r="BOG29" s="167"/>
      <c r="BOH29" s="167"/>
      <c r="BOI29" s="167"/>
      <c r="BOJ29" s="167"/>
      <c r="BOK29" s="167"/>
      <c r="BOL29" s="167"/>
      <c r="BOM29" s="168"/>
      <c r="BOP29" s="166" t="s">
        <v>67</v>
      </c>
      <c r="BOQ29" s="167"/>
      <c r="BOR29" s="167"/>
      <c r="BOS29" s="167"/>
      <c r="BOT29" s="167"/>
      <c r="BOU29" s="167"/>
      <c r="BOV29" s="167"/>
      <c r="BOW29" s="167"/>
      <c r="BOX29" s="167"/>
      <c r="BOY29" s="168"/>
      <c r="BPB29" s="166" t="s">
        <v>67</v>
      </c>
      <c r="BPC29" s="167"/>
      <c r="BPD29" s="167"/>
      <c r="BPE29" s="167"/>
      <c r="BPF29" s="167"/>
      <c r="BPG29" s="167"/>
      <c r="BPH29" s="167"/>
      <c r="BPI29" s="167"/>
      <c r="BPJ29" s="167"/>
      <c r="BPK29" s="168"/>
      <c r="BPN29" s="166" t="s">
        <v>67</v>
      </c>
      <c r="BPO29" s="167"/>
      <c r="BPP29" s="167"/>
      <c r="BPQ29" s="167"/>
      <c r="BPR29" s="167"/>
      <c r="BPS29" s="167"/>
      <c r="BPT29" s="167"/>
      <c r="BPU29" s="167"/>
      <c r="BPV29" s="167"/>
      <c r="BPW29" s="168"/>
      <c r="BPZ29" s="166" t="s">
        <v>67</v>
      </c>
      <c r="BQA29" s="167"/>
      <c r="BQB29" s="167"/>
      <c r="BQC29" s="167"/>
      <c r="BQD29" s="167"/>
      <c r="BQE29" s="167"/>
      <c r="BQF29" s="167"/>
      <c r="BQG29" s="167"/>
      <c r="BQH29" s="167"/>
      <c r="BQI29" s="168"/>
      <c r="BQL29" s="166" t="s">
        <v>67</v>
      </c>
      <c r="BQM29" s="167"/>
      <c r="BQN29" s="167"/>
      <c r="BQO29" s="167"/>
      <c r="BQP29" s="167"/>
      <c r="BQQ29" s="167"/>
      <c r="BQR29" s="167"/>
      <c r="BQS29" s="167"/>
      <c r="BQT29" s="167"/>
      <c r="BQU29" s="168"/>
      <c r="BQX29" s="166" t="s">
        <v>67</v>
      </c>
      <c r="BQY29" s="167"/>
      <c r="BQZ29" s="167"/>
      <c r="BRA29" s="167"/>
      <c r="BRB29" s="167"/>
      <c r="BRC29" s="167"/>
      <c r="BRD29" s="167"/>
      <c r="BRE29" s="167"/>
      <c r="BRF29" s="167"/>
      <c r="BRG29" s="168"/>
      <c r="BRJ29" s="166" t="s">
        <v>67</v>
      </c>
      <c r="BRK29" s="167"/>
      <c r="BRL29" s="167"/>
      <c r="BRM29" s="167"/>
      <c r="BRN29" s="167"/>
      <c r="BRO29" s="167"/>
      <c r="BRP29" s="167"/>
      <c r="BRQ29" s="167"/>
      <c r="BRR29" s="167"/>
      <c r="BRS29" s="168"/>
      <c r="BRV29" s="166" t="s">
        <v>67</v>
      </c>
      <c r="BRW29" s="167"/>
      <c r="BRX29" s="167"/>
      <c r="BRY29" s="167"/>
      <c r="BRZ29" s="167"/>
      <c r="BSA29" s="167"/>
      <c r="BSB29" s="167"/>
      <c r="BSC29" s="167"/>
      <c r="BSD29" s="167"/>
      <c r="BSE29" s="168"/>
      <c r="BSH29" s="166" t="s">
        <v>67</v>
      </c>
      <c r="BSI29" s="167"/>
      <c r="BSJ29" s="167"/>
      <c r="BSK29" s="167"/>
      <c r="BSL29" s="167"/>
      <c r="BSM29" s="167"/>
      <c r="BSN29" s="167"/>
      <c r="BSO29" s="167"/>
      <c r="BSP29" s="167"/>
      <c r="BSQ29" s="168"/>
      <c r="BST29" s="166" t="s">
        <v>67</v>
      </c>
      <c r="BSU29" s="167"/>
      <c r="BSV29" s="167"/>
      <c r="BSW29" s="167"/>
      <c r="BSX29" s="167"/>
      <c r="BSY29" s="167"/>
      <c r="BSZ29" s="167"/>
      <c r="BTA29" s="167"/>
      <c r="BTB29" s="167"/>
      <c r="BTC29" s="168"/>
      <c r="BTF29" s="166" t="s">
        <v>67</v>
      </c>
      <c r="BTG29" s="167"/>
      <c r="BTH29" s="167"/>
      <c r="BTI29" s="167"/>
      <c r="BTJ29" s="167"/>
      <c r="BTK29" s="167"/>
      <c r="BTL29" s="167"/>
      <c r="BTM29" s="167"/>
      <c r="BTN29" s="167"/>
      <c r="BTO29" s="168"/>
      <c r="BTR29" s="166" t="s">
        <v>67</v>
      </c>
      <c r="BTS29" s="167"/>
      <c r="BTT29" s="167"/>
      <c r="BTU29" s="167"/>
      <c r="BTV29" s="167"/>
      <c r="BTW29" s="167"/>
      <c r="BTX29" s="167"/>
      <c r="BTY29" s="167"/>
      <c r="BTZ29" s="167"/>
      <c r="BUA29" s="168"/>
      <c r="BUD29" s="166" t="s">
        <v>67</v>
      </c>
      <c r="BUE29" s="167"/>
      <c r="BUF29" s="167"/>
      <c r="BUG29" s="167"/>
      <c r="BUH29" s="167"/>
      <c r="BUI29" s="167"/>
      <c r="BUJ29" s="167"/>
      <c r="BUK29" s="167"/>
      <c r="BUL29" s="167"/>
      <c r="BUM29" s="168"/>
      <c r="BUP29" s="166" t="s">
        <v>67</v>
      </c>
      <c r="BUQ29" s="167"/>
      <c r="BUR29" s="167"/>
      <c r="BUS29" s="167"/>
      <c r="BUT29" s="167"/>
      <c r="BUU29" s="167"/>
      <c r="BUV29" s="167"/>
      <c r="BUW29" s="167"/>
      <c r="BUX29" s="167"/>
      <c r="BUY29" s="168"/>
      <c r="BVB29" s="166" t="s">
        <v>67</v>
      </c>
      <c r="BVC29" s="167"/>
      <c r="BVD29" s="167"/>
      <c r="BVE29" s="167"/>
      <c r="BVF29" s="167"/>
      <c r="BVG29" s="167"/>
      <c r="BVH29" s="167"/>
      <c r="BVI29" s="167"/>
      <c r="BVJ29" s="167"/>
      <c r="BVK29" s="168"/>
      <c r="BVN29" s="166" t="s">
        <v>67</v>
      </c>
      <c r="BVO29" s="167"/>
      <c r="BVP29" s="167"/>
      <c r="BVQ29" s="167"/>
      <c r="BVR29" s="167"/>
      <c r="BVS29" s="167"/>
      <c r="BVT29" s="167"/>
      <c r="BVU29" s="167"/>
      <c r="BVV29" s="167"/>
      <c r="BVW29" s="168"/>
      <c r="BVZ29" s="166" t="s">
        <v>67</v>
      </c>
      <c r="BWA29" s="167"/>
      <c r="BWB29" s="167"/>
      <c r="BWC29" s="167"/>
      <c r="BWD29" s="167"/>
      <c r="BWE29" s="167"/>
      <c r="BWF29" s="167"/>
      <c r="BWG29" s="167"/>
      <c r="BWH29" s="167"/>
      <c r="BWI29" s="168"/>
      <c r="BWL29" s="166" t="s">
        <v>67</v>
      </c>
      <c r="BWM29" s="167"/>
      <c r="BWN29" s="167"/>
      <c r="BWO29" s="167"/>
      <c r="BWP29" s="167"/>
      <c r="BWQ29" s="167"/>
      <c r="BWR29" s="167"/>
      <c r="BWS29" s="167"/>
      <c r="BWT29" s="167"/>
      <c r="BWU29" s="168"/>
      <c r="BWX29" s="166" t="s">
        <v>67</v>
      </c>
      <c r="BWY29" s="167"/>
      <c r="BWZ29" s="167"/>
      <c r="BXA29" s="167"/>
      <c r="BXB29" s="167"/>
      <c r="BXC29" s="167"/>
      <c r="BXD29" s="167"/>
      <c r="BXE29" s="167"/>
      <c r="BXF29" s="167"/>
      <c r="BXG29" s="168"/>
      <c r="BXJ29" s="166" t="s">
        <v>67</v>
      </c>
      <c r="BXK29" s="167"/>
      <c r="BXL29" s="167"/>
      <c r="BXM29" s="167"/>
      <c r="BXN29" s="167"/>
      <c r="BXO29" s="167"/>
      <c r="BXP29" s="167"/>
      <c r="BXQ29" s="167"/>
      <c r="BXR29" s="167"/>
      <c r="BXS29" s="168"/>
      <c r="BXV29" s="166" t="s">
        <v>67</v>
      </c>
      <c r="BXW29" s="167"/>
      <c r="BXX29" s="167"/>
      <c r="BXY29" s="167"/>
      <c r="BXZ29" s="167"/>
      <c r="BYA29" s="167"/>
      <c r="BYB29" s="167"/>
      <c r="BYC29" s="167"/>
      <c r="BYD29" s="167"/>
      <c r="BYE29" s="168"/>
      <c r="BYH29" s="166" t="s">
        <v>68</v>
      </c>
      <c r="BYI29" s="167"/>
      <c r="BYJ29" s="167"/>
      <c r="BYK29" s="167"/>
      <c r="BYL29" s="167"/>
      <c r="BYM29" s="167"/>
      <c r="BYN29" s="167"/>
      <c r="BYO29" s="167"/>
      <c r="BYP29" s="167"/>
      <c r="BYQ29" s="168"/>
      <c r="BYT29" s="166" t="s">
        <v>68</v>
      </c>
      <c r="BYU29" s="167"/>
      <c r="BYV29" s="167"/>
      <c r="BYW29" s="167"/>
      <c r="BYX29" s="167"/>
      <c r="BYY29" s="167"/>
      <c r="BYZ29" s="167"/>
      <c r="BZA29" s="167"/>
      <c r="BZB29" s="167"/>
      <c r="BZC29" s="168"/>
      <c r="BZF29" s="166" t="s">
        <v>68</v>
      </c>
      <c r="BZG29" s="167"/>
      <c r="BZH29" s="167"/>
      <c r="BZI29" s="167"/>
      <c r="BZJ29" s="167"/>
      <c r="BZK29" s="167"/>
      <c r="BZL29" s="167"/>
      <c r="BZM29" s="167"/>
      <c r="BZN29" s="167"/>
      <c r="BZO29" s="168"/>
      <c r="BZR29" s="166" t="s">
        <v>68</v>
      </c>
      <c r="BZS29" s="167"/>
      <c r="BZT29" s="167"/>
      <c r="BZU29" s="167"/>
      <c r="BZV29" s="167"/>
      <c r="BZW29" s="167"/>
      <c r="BZX29" s="167"/>
      <c r="BZY29" s="167"/>
      <c r="BZZ29" s="167"/>
      <c r="CAA29" s="168"/>
      <c r="CAD29" s="166" t="s">
        <v>68</v>
      </c>
      <c r="CAE29" s="167"/>
      <c r="CAF29" s="167"/>
      <c r="CAG29" s="167"/>
      <c r="CAH29" s="167"/>
      <c r="CAI29" s="167"/>
      <c r="CAJ29" s="167"/>
      <c r="CAK29" s="167"/>
      <c r="CAL29" s="167"/>
      <c r="CAM29" s="168"/>
      <c r="CAP29" s="166" t="s">
        <v>68</v>
      </c>
      <c r="CAQ29" s="167"/>
      <c r="CAR29" s="167"/>
      <c r="CAS29" s="167"/>
      <c r="CAT29" s="167"/>
      <c r="CAU29" s="167"/>
      <c r="CAV29" s="167"/>
      <c r="CAW29" s="167"/>
      <c r="CAX29" s="167"/>
      <c r="CAY29" s="168"/>
      <c r="CBB29" s="166" t="s">
        <v>68</v>
      </c>
      <c r="CBC29" s="167"/>
      <c r="CBD29" s="167"/>
      <c r="CBE29" s="167"/>
      <c r="CBF29" s="167"/>
      <c r="CBG29" s="167"/>
      <c r="CBH29" s="167"/>
      <c r="CBI29" s="167"/>
      <c r="CBJ29" s="167"/>
      <c r="CBK29" s="168"/>
      <c r="CBN29" s="166" t="s">
        <v>68</v>
      </c>
      <c r="CBO29" s="167"/>
      <c r="CBP29" s="167"/>
      <c r="CBQ29" s="167"/>
      <c r="CBR29" s="167"/>
      <c r="CBS29" s="167"/>
      <c r="CBT29" s="167"/>
      <c r="CBU29" s="167"/>
      <c r="CBV29" s="167"/>
      <c r="CBW29" s="168"/>
      <c r="CBZ29" s="166" t="s">
        <v>68</v>
      </c>
      <c r="CCA29" s="167"/>
      <c r="CCB29" s="167"/>
      <c r="CCC29" s="167"/>
      <c r="CCD29" s="167"/>
      <c r="CCE29" s="167"/>
      <c r="CCF29" s="167"/>
      <c r="CCG29" s="167"/>
      <c r="CCH29" s="167"/>
      <c r="CCI29" s="168"/>
      <c r="CCL29" s="166" t="s">
        <v>68</v>
      </c>
      <c r="CCM29" s="167"/>
      <c r="CCN29" s="167"/>
      <c r="CCO29" s="167"/>
      <c r="CCP29" s="167"/>
      <c r="CCQ29" s="167"/>
      <c r="CCR29" s="167"/>
      <c r="CCS29" s="167"/>
      <c r="CCT29" s="167"/>
      <c r="CCU29" s="168"/>
      <c r="CCX29" s="166" t="s">
        <v>68</v>
      </c>
      <c r="CCY29" s="167"/>
      <c r="CCZ29" s="167"/>
      <c r="CDA29" s="167"/>
      <c r="CDB29" s="167"/>
      <c r="CDC29" s="167"/>
      <c r="CDD29" s="167"/>
      <c r="CDE29" s="167"/>
      <c r="CDF29" s="167"/>
      <c r="CDG29" s="168"/>
      <c r="CDJ29" s="166" t="s">
        <v>68</v>
      </c>
      <c r="CDK29" s="167"/>
      <c r="CDL29" s="167"/>
      <c r="CDM29" s="167"/>
      <c r="CDN29" s="167"/>
      <c r="CDO29" s="167"/>
      <c r="CDP29" s="167"/>
      <c r="CDQ29" s="167"/>
      <c r="CDR29" s="167"/>
      <c r="CDS29" s="168"/>
      <c r="CDV29" s="166" t="s">
        <v>68</v>
      </c>
      <c r="CDW29" s="167"/>
      <c r="CDX29" s="167"/>
      <c r="CDY29" s="167"/>
      <c r="CDZ29" s="167"/>
      <c r="CEA29" s="167"/>
      <c r="CEB29" s="167"/>
      <c r="CEC29" s="167"/>
      <c r="CED29" s="167"/>
      <c r="CEE29" s="168"/>
      <c r="CEH29" s="166" t="s">
        <v>68</v>
      </c>
      <c r="CEI29" s="167"/>
      <c r="CEJ29" s="167"/>
      <c r="CEK29" s="167"/>
      <c r="CEL29" s="167"/>
      <c r="CEM29" s="167"/>
      <c r="CEN29" s="167"/>
      <c r="CEO29" s="167"/>
      <c r="CEP29" s="167"/>
      <c r="CEQ29" s="168"/>
      <c r="CET29" s="166" t="s">
        <v>68</v>
      </c>
      <c r="CEU29" s="167"/>
      <c r="CEV29" s="167"/>
      <c r="CEW29" s="167"/>
      <c r="CEX29" s="167"/>
      <c r="CEY29" s="167"/>
      <c r="CEZ29" s="167"/>
      <c r="CFA29" s="167"/>
      <c r="CFB29" s="167"/>
      <c r="CFC29" s="168"/>
      <c r="CFF29" s="166" t="s">
        <v>68</v>
      </c>
      <c r="CFG29" s="167"/>
      <c r="CFH29" s="167"/>
      <c r="CFI29" s="167"/>
      <c r="CFJ29" s="167"/>
      <c r="CFK29" s="167"/>
      <c r="CFL29" s="167"/>
      <c r="CFM29" s="167"/>
      <c r="CFN29" s="167"/>
      <c r="CFO29" s="168"/>
      <c r="CFR29" s="166" t="s">
        <v>68</v>
      </c>
      <c r="CFS29" s="167"/>
      <c r="CFT29" s="167"/>
      <c r="CFU29" s="167"/>
      <c r="CFV29" s="167"/>
      <c r="CFW29" s="167"/>
      <c r="CFX29" s="167"/>
      <c r="CFY29" s="167"/>
      <c r="CFZ29" s="167"/>
      <c r="CGA29" s="168"/>
      <c r="CGD29" s="166" t="s">
        <v>68</v>
      </c>
      <c r="CGE29" s="167"/>
      <c r="CGF29" s="167"/>
      <c r="CGG29" s="167"/>
      <c r="CGH29" s="167"/>
      <c r="CGI29" s="167"/>
      <c r="CGJ29" s="167"/>
      <c r="CGK29" s="167"/>
      <c r="CGL29" s="167"/>
      <c r="CGM29" s="168"/>
      <c r="CGP29" s="166" t="s">
        <v>68</v>
      </c>
      <c r="CGQ29" s="167"/>
      <c r="CGR29" s="167"/>
      <c r="CGS29" s="167"/>
      <c r="CGT29" s="167"/>
      <c r="CGU29" s="167"/>
      <c r="CGV29" s="167"/>
      <c r="CGW29" s="167"/>
      <c r="CGX29" s="167"/>
      <c r="CGY29" s="168"/>
      <c r="CHB29" s="166" t="s">
        <v>68</v>
      </c>
      <c r="CHC29" s="167"/>
      <c r="CHD29" s="167"/>
      <c r="CHE29" s="167"/>
      <c r="CHF29" s="167"/>
      <c r="CHG29" s="167"/>
      <c r="CHH29" s="167"/>
      <c r="CHI29" s="167"/>
      <c r="CHJ29" s="167"/>
      <c r="CHK29" s="168"/>
      <c r="CHN29" s="166" t="s">
        <v>68</v>
      </c>
      <c r="CHO29" s="167"/>
      <c r="CHP29" s="167"/>
      <c r="CHQ29" s="167"/>
      <c r="CHR29" s="167"/>
      <c r="CHS29" s="167"/>
      <c r="CHT29" s="167"/>
      <c r="CHU29" s="167"/>
      <c r="CHV29" s="167"/>
      <c r="CHW29" s="168"/>
      <c r="CHZ29" s="166" t="s">
        <v>68</v>
      </c>
      <c r="CIA29" s="167"/>
      <c r="CIB29" s="167"/>
      <c r="CIC29" s="167"/>
      <c r="CID29" s="167"/>
      <c r="CIE29" s="167"/>
      <c r="CIF29" s="167"/>
      <c r="CIG29" s="167"/>
      <c r="CIH29" s="167"/>
      <c r="CII29" s="168"/>
      <c r="CIL29" s="166" t="s">
        <v>68</v>
      </c>
      <c r="CIM29" s="167"/>
      <c r="CIN29" s="167"/>
      <c r="CIO29" s="167"/>
      <c r="CIP29" s="167"/>
      <c r="CIQ29" s="167"/>
      <c r="CIR29" s="167"/>
      <c r="CIS29" s="167"/>
      <c r="CIT29" s="167"/>
      <c r="CIU29" s="168"/>
      <c r="CIX29" s="166" t="s">
        <v>68</v>
      </c>
      <c r="CIY29" s="167"/>
      <c r="CIZ29" s="167"/>
      <c r="CJA29" s="167"/>
      <c r="CJB29" s="167"/>
      <c r="CJC29" s="167"/>
      <c r="CJD29" s="167"/>
      <c r="CJE29" s="167"/>
      <c r="CJF29" s="167"/>
      <c r="CJG29" s="168"/>
      <c r="CJJ29" s="166" t="s">
        <v>68</v>
      </c>
      <c r="CJK29" s="167"/>
      <c r="CJL29" s="167"/>
      <c r="CJM29" s="167"/>
      <c r="CJN29" s="167"/>
      <c r="CJO29" s="167"/>
      <c r="CJP29" s="167"/>
      <c r="CJQ29" s="167"/>
      <c r="CJR29" s="167"/>
      <c r="CJS29" s="168"/>
      <c r="CJV29" s="166" t="s">
        <v>68</v>
      </c>
      <c r="CJW29" s="167"/>
      <c r="CJX29" s="167"/>
      <c r="CJY29" s="167"/>
      <c r="CJZ29" s="167"/>
      <c r="CKA29" s="167"/>
      <c r="CKB29" s="167"/>
      <c r="CKC29" s="167"/>
      <c r="CKD29" s="167"/>
      <c r="CKE29" s="168"/>
      <c r="CKH29" s="166" t="s">
        <v>68</v>
      </c>
      <c r="CKI29" s="167"/>
      <c r="CKJ29" s="167"/>
      <c r="CKK29" s="167"/>
      <c r="CKL29" s="167"/>
      <c r="CKM29" s="167"/>
      <c r="CKN29" s="167"/>
      <c r="CKO29" s="167"/>
      <c r="CKP29" s="167"/>
      <c r="CKQ29" s="168"/>
      <c r="CKT29" s="166" t="s">
        <v>68</v>
      </c>
      <c r="CKU29" s="167"/>
      <c r="CKV29" s="167"/>
      <c r="CKW29" s="167"/>
      <c r="CKX29" s="167"/>
      <c r="CKY29" s="167"/>
      <c r="CKZ29" s="167"/>
      <c r="CLA29" s="167"/>
      <c r="CLB29" s="167"/>
      <c r="CLC29" s="168"/>
      <c r="CLF29" s="166" t="s">
        <v>68</v>
      </c>
      <c r="CLG29" s="167"/>
      <c r="CLH29" s="167"/>
      <c r="CLI29" s="167"/>
      <c r="CLJ29" s="167"/>
      <c r="CLK29" s="167"/>
      <c r="CLL29" s="167"/>
      <c r="CLM29" s="167"/>
      <c r="CLN29" s="167"/>
      <c r="CLO29" s="168"/>
      <c r="CLR29" s="166" t="s">
        <v>68</v>
      </c>
      <c r="CLS29" s="167"/>
      <c r="CLT29" s="167"/>
      <c r="CLU29" s="167"/>
      <c r="CLV29" s="167"/>
      <c r="CLW29" s="167"/>
      <c r="CLX29" s="167"/>
      <c r="CLY29" s="167"/>
      <c r="CLZ29" s="167"/>
      <c r="CMA29" s="168"/>
      <c r="CMD29" s="166" t="s">
        <v>68</v>
      </c>
      <c r="CME29" s="167"/>
      <c r="CMF29" s="167"/>
      <c r="CMG29" s="167"/>
      <c r="CMH29" s="167"/>
      <c r="CMI29" s="167"/>
      <c r="CMJ29" s="167"/>
      <c r="CMK29" s="167"/>
      <c r="CML29" s="167"/>
      <c r="CMM29" s="168"/>
      <c r="CMP29" s="166" t="s">
        <v>68</v>
      </c>
      <c r="CMQ29" s="167"/>
      <c r="CMR29" s="167"/>
      <c r="CMS29" s="167"/>
      <c r="CMT29" s="167"/>
      <c r="CMU29" s="167"/>
      <c r="CMV29" s="167"/>
      <c r="CMW29" s="167"/>
      <c r="CMX29" s="167"/>
      <c r="CMY29" s="168"/>
      <c r="CNB29" s="166" t="s">
        <v>68</v>
      </c>
      <c r="CNC29" s="167"/>
      <c r="CND29" s="167"/>
      <c r="CNE29" s="167"/>
      <c r="CNF29" s="167"/>
      <c r="CNG29" s="167"/>
      <c r="CNH29" s="167"/>
      <c r="CNI29" s="167"/>
      <c r="CNJ29" s="167"/>
      <c r="CNK29" s="168"/>
      <c r="CNN29" s="166" t="s">
        <v>68</v>
      </c>
      <c r="CNO29" s="167"/>
      <c r="CNP29" s="167"/>
      <c r="CNQ29" s="167"/>
      <c r="CNR29" s="167"/>
      <c r="CNS29" s="167"/>
      <c r="CNT29" s="167"/>
      <c r="CNU29" s="167"/>
      <c r="CNV29" s="167"/>
      <c r="CNW29" s="168"/>
      <c r="CNZ29" s="166" t="s">
        <v>68</v>
      </c>
      <c r="COA29" s="167"/>
      <c r="COB29" s="167"/>
      <c r="COC29" s="167"/>
      <c r="COD29" s="167"/>
      <c r="COE29" s="167"/>
      <c r="COF29" s="167"/>
      <c r="COG29" s="167"/>
      <c r="COH29" s="167"/>
      <c r="COI29" s="168"/>
      <c r="COL29" s="166" t="s">
        <v>68</v>
      </c>
      <c r="COM29" s="167"/>
      <c r="CON29" s="167"/>
      <c r="COO29" s="167"/>
      <c r="COP29" s="167"/>
      <c r="COQ29" s="167"/>
      <c r="COR29" s="167"/>
      <c r="COS29" s="167"/>
      <c r="COT29" s="167"/>
      <c r="COU29" s="168"/>
      <c r="COX29" s="166" t="s">
        <v>68</v>
      </c>
      <c r="COY29" s="167"/>
      <c r="COZ29" s="167"/>
      <c r="CPA29" s="167"/>
      <c r="CPB29" s="167"/>
      <c r="CPC29" s="167"/>
      <c r="CPD29" s="167"/>
      <c r="CPE29" s="167"/>
      <c r="CPF29" s="167"/>
      <c r="CPG29" s="168"/>
      <c r="CPJ29" s="166" t="s">
        <v>68</v>
      </c>
      <c r="CPK29" s="167"/>
      <c r="CPL29" s="167"/>
      <c r="CPM29" s="167"/>
      <c r="CPN29" s="167"/>
      <c r="CPO29" s="167"/>
      <c r="CPP29" s="167"/>
      <c r="CPQ29" s="167"/>
      <c r="CPR29" s="167"/>
      <c r="CPS29" s="168"/>
      <c r="CPV29" s="166" t="s">
        <v>68</v>
      </c>
      <c r="CPW29" s="167"/>
      <c r="CPX29" s="167"/>
      <c r="CPY29" s="167"/>
      <c r="CPZ29" s="167"/>
      <c r="CQA29" s="167"/>
      <c r="CQB29" s="167"/>
      <c r="CQC29" s="167"/>
      <c r="CQD29" s="167"/>
      <c r="CQE29" s="168"/>
      <c r="CQH29" s="166" t="s">
        <v>68</v>
      </c>
      <c r="CQI29" s="167"/>
      <c r="CQJ29" s="167"/>
      <c r="CQK29" s="167"/>
      <c r="CQL29" s="167"/>
      <c r="CQM29" s="167"/>
      <c r="CQN29" s="167"/>
      <c r="CQO29" s="167"/>
      <c r="CQP29" s="167"/>
      <c r="CQQ29" s="168"/>
      <c r="CQT29" s="166" t="s">
        <v>68</v>
      </c>
      <c r="CQU29" s="167"/>
      <c r="CQV29" s="167"/>
      <c r="CQW29" s="167"/>
      <c r="CQX29" s="167"/>
      <c r="CQY29" s="167"/>
      <c r="CQZ29" s="167"/>
      <c r="CRA29" s="167"/>
      <c r="CRB29" s="167"/>
      <c r="CRC29" s="168"/>
      <c r="CRF29" s="166" t="s">
        <v>68</v>
      </c>
      <c r="CRG29" s="167"/>
      <c r="CRH29" s="167"/>
      <c r="CRI29" s="167"/>
      <c r="CRJ29" s="167"/>
      <c r="CRK29" s="167"/>
      <c r="CRL29" s="167"/>
      <c r="CRM29" s="167"/>
      <c r="CRN29" s="167"/>
      <c r="CRO29" s="168"/>
      <c r="CRR29" s="166" t="s">
        <v>68</v>
      </c>
      <c r="CRS29" s="167"/>
      <c r="CRT29" s="167"/>
      <c r="CRU29" s="167"/>
      <c r="CRV29" s="167"/>
      <c r="CRW29" s="167"/>
      <c r="CRX29" s="167"/>
      <c r="CRY29" s="167"/>
      <c r="CRZ29" s="167"/>
      <c r="CSA29" s="168"/>
      <c r="CSD29" s="166" t="s">
        <v>68</v>
      </c>
      <c r="CSE29" s="167"/>
      <c r="CSF29" s="167"/>
      <c r="CSG29" s="167"/>
      <c r="CSH29" s="167"/>
      <c r="CSI29" s="167"/>
      <c r="CSJ29" s="167"/>
      <c r="CSK29" s="167"/>
      <c r="CSL29" s="167"/>
      <c r="CSM29" s="168"/>
      <c r="CSP29" s="166" t="s">
        <v>68</v>
      </c>
      <c r="CSQ29" s="167"/>
      <c r="CSR29" s="167"/>
      <c r="CSS29" s="167"/>
      <c r="CST29" s="167"/>
      <c r="CSU29" s="167"/>
      <c r="CSV29" s="167"/>
      <c r="CSW29" s="167"/>
      <c r="CSX29" s="167"/>
      <c r="CSY29" s="168"/>
      <c r="CTB29" s="166" t="s">
        <v>68</v>
      </c>
      <c r="CTC29" s="167"/>
      <c r="CTD29" s="167"/>
      <c r="CTE29" s="167"/>
      <c r="CTF29" s="167"/>
      <c r="CTG29" s="167"/>
      <c r="CTH29" s="167"/>
      <c r="CTI29" s="167"/>
      <c r="CTJ29" s="167"/>
      <c r="CTK29" s="168"/>
      <c r="CTN29" s="166" t="s">
        <v>68</v>
      </c>
      <c r="CTO29" s="167"/>
      <c r="CTP29" s="167"/>
      <c r="CTQ29" s="167"/>
      <c r="CTR29" s="167"/>
      <c r="CTS29" s="167"/>
      <c r="CTT29" s="167"/>
      <c r="CTU29" s="167"/>
      <c r="CTV29" s="167"/>
      <c r="CTW29" s="168"/>
      <c r="CTZ29" s="166" t="s">
        <v>68</v>
      </c>
      <c r="CUA29" s="167"/>
      <c r="CUB29" s="167"/>
      <c r="CUC29" s="167"/>
      <c r="CUD29" s="167"/>
      <c r="CUE29" s="167"/>
      <c r="CUF29" s="167"/>
      <c r="CUG29" s="167"/>
      <c r="CUH29" s="167"/>
      <c r="CUI29" s="168"/>
      <c r="CUL29" s="166" t="s">
        <v>68</v>
      </c>
      <c r="CUM29" s="167"/>
      <c r="CUN29" s="167"/>
      <c r="CUO29" s="167"/>
      <c r="CUP29" s="167"/>
      <c r="CUQ29" s="167"/>
      <c r="CUR29" s="167"/>
      <c r="CUS29" s="167"/>
      <c r="CUT29" s="167"/>
      <c r="CUU29" s="168"/>
      <c r="CUX29" s="166" t="s">
        <v>68</v>
      </c>
      <c r="CUY29" s="167"/>
      <c r="CUZ29" s="167"/>
      <c r="CVA29" s="167"/>
      <c r="CVB29" s="167"/>
      <c r="CVC29" s="167"/>
      <c r="CVD29" s="167"/>
      <c r="CVE29" s="167"/>
      <c r="CVF29" s="167"/>
      <c r="CVG29" s="168"/>
      <c r="CVJ29" s="166" t="s">
        <v>68</v>
      </c>
      <c r="CVK29" s="167"/>
      <c r="CVL29" s="167"/>
      <c r="CVM29" s="167"/>
      <c r="CVN29" s="167"/>
      <c r="CVO29" s="167"/>
      <c r="CVP29" s="167"/>
      <c r="CVQ29" s="167"/>
      <c r="CVR29" s="167"/>
      <c r="CVS29" s="168"/>
      <c r="CVV29" s="166" t="s">
        <v>69</v>
      </c>
      <c r="CVW29" s="167"/>
      <c r="CVX29" s="167"/>
      <c r="CVY29" s="167"/>
      <c r="CVZ29" s="167"/>
      <c r="CWA29" s="167"/>
      <c r="CWB29" s="167"/>
      <c r="CWC29" s="167"/>
      <c r="CWD29" s="167"/>
      <c r="CWE29" s="168"/>
    </row>
    <row r="30" spans="1:1023 1026:2631" x14ac:dyDescent="0.25">
      <c r="C30" s="87"/>
      <c r="D30" s="87"/>
      <c r="E30" s="87"/>
      <c r="Q30" s="87"/>
      <c r="R30" s="87"/>
      <c r="S30" s="87"/>
      <c r="AE30" s="87"/>
      <c r="AF30" s="87"/>
      <c r="AG30" s="87"/>
      <c r="AS30" s="87"/>
      <c r="AT30" s="87"/>
      <c r="AU30" s="87"/>
      <c r="BG30" s="87"/>
      <c r="BH30" s="87"/>
      <c r="BI30" s="87"/>
      <c r="BU30" s="87"/>
      <c r="BV30" s="87"/>
      <c r="BW30" s="87"/>
      <c r="CI30" s="87"/>
      <c r="CJ30" s="87"/>
      <c r="CK30" s="87"/>
      <c r="CW30" s="87"/>
      <c r="CX30" s="87"/>
      <c r="CY30" s="87"/>
      <c r="DK30" s="87"/>
      <c r="DL30" s="87"/>
      <c r="DM30" s="87"/>
      <c r="DY30" s="87"/>
      <c r="DZ30" s="87"/>
      <c r="EA30" s="87"/>
      <c r="EM30" s="87"/>
      <c r="EN30" s="87"/>
      <c r="EO30" s="87"/>
      <c r="FA30" s="87"/>
      <c r="FB30" s="87"/>
      <c r="FC30" s="87"/>
      <c r="FO30" s="87"/>
      <c r="FP30" s="87"/>
      <c r="FQ30" s="87"/>
      <c r="GC30" s="87"/>
      <c r="GD30" s="87"/>
      <c r="GE30" s="87"/>
      <c r="GQ30" s="87"/>
      <c r="GR30" s="87"/>
      <c r="GS30" s="87"/>
      <c r="HE30" s="87"/>
      <c r="HF30" s="87"/>
      <c r="HG30" s="87"/>
      <c r="HS30" s="87"/>
      <c r="HT30" s="87"/>
      <c r="HU30" s="87"/>
      <c r="IG30" s="87"/>
      <c r="IH30" s="87"/>
      <c r="II30" s="87"/>
      <c r="IU30" s="87"/>
      <c r="IV30" s="87"/>
      <c r="IW30" s="87"/>
      <c r="JI30" s="87"/>
      <c r="JJ30" s="87"/>
      <c r="JK30" s="87"/>
      <c r="JW30" s="87"/>
      <c r="JX30" s="87"/>
      <c r="JY30" s="87"/>
      <c r="KK30" s="87"/>
      <c r="KL30" s="87"/>
      <c r="KM30" s="87"/>
      <c r="KY30" s="87"/>
      <c r="KZ30" s="87"/>
      <c r="LA30" s="87"/>
      <c r="LM30" s="87"/>
      <c r="LN30" s="87"/>
      <c r="LO30" s="87"/>
      <c r="MA30" s="87"/>
      <c r="MB30" s="87"/>
      <c r="MC30" s="87"/>
      <c r="MO30" s="87"/>
      <c r="MP30" s="87"/>
      <c r="MQ30" s="87"/>
      <c r="NC30" s="87"/>
      <c r="ND30" s="87"/>
      <c r="NE30" s="87"/>
      <c r="NQ30" s="87"/>
      <c r="NR30" s="87"/>
      <c r="NS30" s="87"/>
      <c r="OE30" s="87"/>
      <c r="OF30" s="87"/>
      <c r="OG30" s="87"/>
      <c r="OS30" s="87"/>
      <c r="OT30" s="87"/>
      <c r="OU30" s="87"/>
      <c r="PG30" s="87"/>
      <c r="PH30" s="87"/>
      <c r="PI30" s="87"/>
      <c r="PU30" s="87"/>
      <c r="PV30" s="87"/>
      <c r="PW30" s="87"/>
      <c r="QI30" s="87"/>
      <c r="QJ30" s="87"/>
      <c r="QK30" s="87"/>
      <c r="QW30" s="87"/>
      <c r="QX30" s="87"/>
      <c r="QY30" s="87"/>
      <c r="RK30" s="87"/>
      <c r="RL30" s="87"/>
      <c r="RM30" s="87"/>
      <c r="RY30" s="87"/>
      <c r="RZ30" s="87"/>
      <c r="SA30" s="87"/>
      <c r="SM30" s="87"/>
      <c r="SN30" s="87"/>
      <c r="SO30" s="87"/>
      <c r="TA30" s="87"/>
      <c r="TB30" s="87"/>
      <c r="TC30" s="87"/>
      <c r="TO30" s="87"/>
      <c r="TP30" s="87"/>
      <c r="TQ30" s="87"/>
      <c r="UC30" s="87"/>
      <c r="UD30" s="87"/>
      <c r="UE30" s="87"/>
      <c r="UQ30" s="87"/>
      <c r="UR30" s="87"/>
      <c r="US30" s="87"/>
      <c r="VE30" s="87"/>
      <c r="VF30" s="87"/>
      <c r="VG30" s="87"/>
      <c r="VS30" s="87"/>
      <c r="VT30" s="87"/>
      <c r="VU30" s="87"/>
      <c r="WG30" s="87"/>
      <c r="WH30" s="87"/>
      <c r="WI30" s="87"/>
      <c r="WU30" s="87"/>
      <c r="WV30" s="87"/>
      <c r="WW30" s="87"/>
      <c r="XI30" s="87"/>
      <c r="XJ30" s="87"/>
      <c r="XK30" s="87"/>
      <c r="XW30" s="87"/>
      <c r="XX30" s="87"/>
      <c r="XY30" s="87"/>
      <c r="YK30" s="87"/>
      <c r="YL30" s="87"/>
      <c r="YM30" s="87"/>
      <c r="YY30" s="87"/>
      <c r="YZ30" s="87"/>
      <c r="ZA30" s="87"/>
      <c r="ZM30" s="87"/>
      <c r="ZN30" s="87"/>
      <c r="ZO30" s="87"/>
      <c r="ZZ30" s="147"/>
      <c r="AAA30" s="147"/>
      <c r="AAB30" s="147"/>
      <c r="AAC30" s="147"/>
      <c r="AAD30" s="147"/>
      <c r="AAE30" s="147"/>
      <c r="AAF30" s="147"/>
      <c r="AAG30" s="147"/>
      <c r="AAH30" s="147"/>
      <c r="AAI30" s="147"/>
      <c r="AAM30" s="147"/>
      <c r="AAN30" s="147"/>
      <c r="AAO30" s="147"/>
      <c r="AAP30" s="147"/>
      <c r="AAQ30" s="147"/>
      <c r="AAR30" s="147"/>
      <c r="AAS30" s="147"/>
      <c r="AAT30" s="147"/>
      <c r="AAU30" s="147"/>
      <c r="AAV30" s="147"/>
      <c r="AAZ30" s="147"/>
      <c r="ABA30" s="147"/>
      <c r="ABB30" s="147"/>
      <c r="ABC30" s="147"/>
      <c r="ABD30" s="147"/>
      <c r="ABE30" s="147"/>
      <c r="ABF30" s="147"/>
      <c r="ABG30" s="147"/>
      <c r="ABH30" s="147"/>
      <c r="ABI30" s="147"/>
      <c r="ABM30" s="147"/>
      <c r="ABN30" s="147"/>
      <c r="ABO30" s="147"/>
      <c r="ABP30" s="147"/>
      <c r="ABQ30" s="147"/>
      <c r="ABR30" s="147"/>
      <c r="ABS30" s="147"/>
      <c r="ABT30" s="147"/>
      <c r="ABU30" s="147"/>
      <c r="ABV30" s="147"/>
      <c r="ABZ30" s="147"/>
      <c r="ACA30" s="147"/>
      <c r="ACB30" s="147"/>
      <c r="ACC30" s="147"/>
      <c r="ACD30" s="147"/>
      <c r="ACE30" s="147"/>
      <c r="ACF30" s="147"/>
      <c r="ACG30" s="147"/>
      <c r="ACH30" s="147"/>
      <c r="ACI30" s="147"/>
      <c r="ACM30" s="147"/>
      <c r="ACN30" s="147"/>
      <c r="ACO30" s="147"/>
      <c r="ACP30" s="147"/>
      <c r="ACQ30" s="147"/>
      <c r="ACR30" s="147"/>
      <c r="ACS30" s="147"/>
      <c r="ACT30" s="147"/>
      <c r="ACU30" s="147"/>
      <c r="ACV30" s="147"/>
      <c r="ACZ30" s="147"/>
      <c r="ADA30" s="147"/>
      <c r="ADB30" s="147"/>
      <c r="ADC30" s="147"/>
      <c r="ADD30" s="147"/>
      <c r="ADE30" s="147"/>
      <c r="ADF30" s="147"/>
      <c r="ADG30" s="147"/>
      <c r="ADH30" s="147"/>
      <c r="ADI30" s="147"/>
      <c r="ADM30" s="147"/>
      <c r="ADN30" s="147"/>
      <c r="ADO30" s="147"/>
      <c r="ADP30" s="147"/>
      <c r="ADQ30" s="147"/>
      <c r="ADR30" s="147"/>
      <c r="ADS30" s="147"/>
      <c r="ADT30" s="147"/>
      <c r="ADU30" s="147"/>
      <c r="ADV30" s="147"/>
      <c r="ADZ30" s="147"/>
      <c r="AEA30" s="147"/>
      <c r="AEB30" s="147"/>
      <c r="AEC30" s="147"/>
      <c r="AED30" s="147"/>
      <c r="AEE30" s="147"/>
      <c r="AEF30" s="147"/>
      <c r="AEG30" s="147"/>
      <c r="AEH30" s="147"/>
      <c r="AEI30" s="147"/>
      <c r="AEM30" s="147"/>
      <c r="AEN30" s="147"/>
      <c r="AEO30" s="147"/>
      <c r="AEP30" s="147"/>
      <c r="AEQ30" s="147"/>
      <c r="AER30" s="147"/>
      <c r="AES30" s="147"/>
      <c r="AET30" s="147"/>
      <c r="AEU30" s="147"/>
      <c r="AEV30" s="147"/>
      <c r="AEZ30" s="147"/>
      <c r="AFA30" s="147"/>
      <c r="AFB30" s="147"/>
      <c r="AFC30" s="147"/>
      <c r="AFD30" s="147"/>
      <c r="AFE30" s="147"/>
      <c r="AFF30" s="147"/>
      <c r="AFG30" s="147"/>
      <c r="AFH30" s="147"/>
      <c r="AFI30" s="147"/>
      <c r="AFM30" s="147"/>
      <c r="AFN30" s="147"/>
      <c r="AFO30" s="147"/>
      <c r="AFP30" s="147"/>
      <c r="AFQ30" s="147"/>
      <c r="AFR30" s="147"/>
      <c r="AFS30" s="147"/>
      <c r="AFT30" s="147"/>
      <c r="AFU30" s="147"/>
      <c r="AFV30" s="147"/>
      <c r="AFZ30" s="147"/>
      <c r="AGA30" s="147"/>
      <c r="AGB30" s="147"/>
      <c r="AGC30" s="147"/>
      <c r="AGD30" s="147"/>
      <c r="AGE30" s="147"/>
      <c r="AGF30" s="147"/>
      <c r="AGG30" s="147"/>
      <c r="AGH30" s="147"/>
      <c r="AGI30" s="147"/>
      <c r="AGL30" s="147"/>
      <c r="AGM30" s="147"/>
      <c r="AGN30" s="147"/>
      <c r="AGO30" s="147"/>
      <c r="AGP30" s="147"/>
      <c r="AGQ30" s="147"/>
      <c r="AGR30" s="147"/>
      <c r="AGS30" s="147"/>
      <c r="AGT30" s="147"/>
      <c r="AGU30" s="147"/>
      <c r="AGX30" s="147"/>
      <c r="AGY30" s="147"/>
      <c r="AGZ30" s="147"/>
      <c r="AHA30" s="147"/>
      <c r="AHB30" s="147"/>
      <c r="AHC30" s="147"/>
      <c r="AHD30" s="147"/>
      <c r="AHE30" s="147"/>
      <c r="AHF30" s="147"/>
      <c r="AHG30" s="147"/>
      <c r="AHJ30" s="147"/>
      <c r="AHK30" s="147"/>
      <c r="AHL30" s="147"/>
      <c r="AHM30" s="147"/>
      <c r="AHN30" s="147"/>
      <c r="AHO30" s="147"/>
      <c r="AHP30" s="147"/>
      <c r="AHQ30" s="147"/>
      <c r="AHR30" s="147"/>
      <c r="AHS30" s="147"/>
      <c r="AHV30" s="147"/>
      <c r="AHW30" s="147"/>
      <c r="AHX30" s="147"/>
      <c r="AHY30" s="147"/>
      <c r="AHZ30" s="147"/>
      <c r="AIA30" s="147"/>
      <c r="AIB30" s="147"/>
      <c r="AIC30" s="147"/>
      <c r="AID30" s="147"/>
      <c r="AIE30" s="147"/>
      <c r="AIH30" s="147"/>
      <c r="AII30" s="147"/>
      <c r="AIJ30" s="147"/>
      <c r="AIK30" s="147"/>
      <c r="AIL30" s="147"/>
      <c r="AIM30" s="147"/>
      <c r="AIN30" s="147"/>
      <c r="AIO30" s="147"/>
      <c r="AIP30" s="147"/>
      <c r="AIQ30" s="147"/>
      <c r="AIT30" s="147"/>
      <c r="AIU30" s="147"/>
      <c r="AIV30" s="147"/>
      <c r="AIW30" s="147"/>
      <c r="AIX30" s="147"/>
      <c r="AIY30" s="147"/>
      <c r="AIZ30" s="147"/>
      <c r="AJA30" s="147"/>
      <c r="AJB30" s="147"/>
      <c r="AJC30" s="147"/>
      <c r="AJF30" s="147"/>
      <c r="AJG30" s="147"/>
      <c r="AJH30" s="147"/>
      <c r="AJI30" s="147"/>
      <c r="AJJ30" s="147"/>
      <c r="AJK30" s="147"/>
      <c r="AJL30" s="147"/>
      <c r="AJM30" s="147"/>
      <c r="AJN30" s="147"/>
      <c r="AJO30" s="147"/>
      <c r="AJR30" s="147"/>
      <c r="AJS30" s="147"/>
      <c r="AJT30" s="147"/>
      <c r="AJU30" s="147"/>
      <c r="AJV30" s="147"/>
      <c r="AJW30" s="147"/>
      <c r="AJX30" s="147"/>
      <c r="AJY30" s="147"/>
      <c r="AJZ30" s="147"/>
      <c r="AKA30" s="147"/>
      <c r="AKD30" s="147"/>
      <c r="AKE30" s="147"/>
      <c r="AKF30" s="147"/>
      <c r="AKG30" s="147"/>
      <c r="AKH30" s="147"/>
      <c r="AKI30" s="147"/>
      <c r="AKJ30" s="147"/>
      <c r="AKK30" s="147"/>
      <c r="AKL30" s="147"/>
      <c r="AKM30" s="147"/>
      <c r="AKP30" s="147"/>
      <c r="AKQ30" s="147"/>
      <c r="AKR30" s="147"/>
      <c r="AKS30" s="147"/>
      <c r="AKT30" s="147"/>
      <c r="AKU30" s="147"/>
      <c r="AKV30" s="147"/>
      <c r="AKW30" s="147"/>
      <c r="AKX30" s="147"/>
      <c r="AKY30" s="147"/>
      <c r="ALB30" s="147"/>
      <c r="ALC30" s="147"/>
      <c r="ALD30" s="147"/>
      <c r="ALE30" s="147"/>
      <c r="ALF30" s="147"/>
      <c r="ALG30" s="147"/>
      <c r="ALH30" s="147"/>
      <c r="ALI30" s="147"/>
      <c r="ALJ30" s="147"/>
      <c r="ALK30" s="147"/>
      <c r="ALN30" s="147"/>
      <c r="ALO30" s="147"/>
      <c r="ALP30" s="147"/>
      <c r="ALQ30" s="147"/>
      <c r="ALR30" s="147"/>
      <c r="ALS30" s="147"/>
      <c r="ALT30" s="147"/>
      <c r="ALU30" s="147"/>
      <c r="ALV30" s="147"/>
      <c r="ALW30" s="147"/>
      <c r="ALZ30" s="147"/>
      <c r="AMA30" s="147"/>
      <c r="AMB30" s="147"/>
      <c r="AMC30" s="147"/>
      <c r="AMD30" s="147"/>
      <c r="AME30" s="147"/>
      <c r="AMF30" s="147"/>
      <c r="AMG30" s="147"/>
      <c r="AMH30" s="147"/>
      <c r="AMI30" s="147"/>
      <c r="AML30" s="147"/>
      <c r="AMM30" s="147"/>
      <c r="AMN30" s="147"/>
      <c r="AMO30" s="147"/>
      <c r="AMP30" s="147"/>
      <c r="AMQ30" s="147"/>
      <c r="AMR30" s="147"/>
      <c r="AMS30" s="147"/>
      <c r="AMT30" s="147"/>
      <c r="AMU30" s="147"/>
      <c r="AMX30" s="147"/>
      <c r="AMY30" s="147"/>
      <c r="AMZ30" s="147"/>
      <c r="ANA30" s="147"/>
      <c r="ANB30" s="147"/>
      <c r="ANC30" s="147"/>
      <c r="AND30" s="147"/>
      <c r="ANE30" s="147"/>
      <c r="ANF30" s="147"/>
      <c r="ANG30" s="147"/>
      <c r="ANJ30" s="147"/>
      <c r="ANK30" s="147"/>
      <c r="ANL30" s="147"/>
      <c r="ANM30" s="147"/>
      <c r="ANN30" s="147"/>
      <c r="ANO30" s="147"/>
      <c r="ANP30" s="147"/>
      <c r="ANQ30" s="147"/>
      <c r="ANR30" s="147"/>
      <c r="ANS30" s="147"/>
      <c r="ANV30" s="147"/>
      <c r="ANW30" s="147"/>
      <c r="ANX30" s="147"/>
      <c r="ANY30" s="147"/>
      <c r="ANZ30" s="147"/>
      <c r="AOA30" s="147"/>
      <c r="AOB30" s="147"/>
      <c r="AOC30" s="147"/>
      <c r="AOD30" s="147"/>
      <c r="AOE30" s="147"/>
      <c r="AOH30" s="147"/>
      <c r="AOI30" s="147"/>
      <c r="AOJ30" s="147"/>
      <c r="AOK30" s="147"/>
      <c r="AOL30" s="147"/>
      <c r="AOM30" s="147"/>
      <c r="AON30" s="147"/>
      <c r="AOO30" s="147"/>
      <c r="AOP30" s="147"/>
      <c r="AOQ30" s="147"/>
      <c r="AOT30" s="147"/>
      <c r="AOU30" s="147"/>
      <c r="AOV30" s="147"/>
      <c r="AOW30" s="147"/>
      <c r="AOX30" s="147"/>
      <c r="AOY30" s="147"/>
      <c r="AOZ30" s="147"/>
      <c r="APA30" s="147"/>
      <c r="APB30" s="147"/>
      <c r="APC30" s="147"/>
      <c r="APF30" s="147"/>
      <c r="APG30" s="147"/>
      <c r="APH30" s="147"/>
      <c r="API30" s="147"/>
      <c r="APJ30" s="147"/>
      <c r="APK30" s="147"/>
      <c r="APL30" s="147"/>
      <c r="APM30" s="147"/>
      <c r="APN30" s="147"/>
      <c r="APO30" s="147"/>
      <c r="APR30" s="147"/>
      <c r="APS30" s="147"/>
      <c r="APT30" s="147"/>
      <c r="APU30" s="147"/>
      <c r="APV30" s="147"/>
      <c r="APW30" s="147"/>
      <c r="APX30" s="147"/>
      <c r="APY30" s="147"/>
      <c r="APZ30" s="147"/>
      <c r="AQA30" s="147"/>
      <c r="AQD30" s="147"/>
      <c r="AQE30" s="147"/>
      <c r="AQF30" s="147"/>
      <c r="AQG30" s="147"/>
      <c r="AQH30" s="147"/>
      <c r="AQI30" s="147"/>
      <c r="AQJ30" s="147"/>
      <c r="AQK30" s="147"/>
      <c r="AQL30" s="147"/>
      <c r="AQM30" s="147"/>
      <c r="AQP30" s="147"/>
      <c r="AQQ30" s="147"/>
      <c r="AQR30" s="147"/>
      <c r="AQS30" s="147"/>
      <c r="AQT30" s="147"/>
      <c r="AQU30" s="147"/>
      <c r="AQV30" s="147"/>
      <c r="AQW30" s="147"/>
      <c r="AQX30" s="147"/>
      <c r="AQY30" s="147"/>
      <c r="ARB30" s="147"/>
      <c r="ARC30" s="147"/>
      <c r="ARD30" s="147"/>
      <c r="ARE30" s="147"/>
      <c r="ARF30" s="147"/>
      <c r="ARG30" s="147"/>
      <c r="ARH30" s="147"/>
      <c r="ARI30" s="147"/>
      <c r="ARJ30" s="147"/>
      <c r="ARK30" s="147"/>
      <c r="ARN30" s="147"/>
      <c r="ARO30" s="147"/>
      <c r="ARP30" s="147"/>
      <c r="ARQ30" s="147"/>
      <c r="ARR30" s="147"/>
      <c r="ARS30" s="147"/>
      <c r="ART30" s="147"/>
      <c r="ARU30" s="147"/>
      <c r="ARV30" s="147"/>
      <c r="ARW30" s="147"/>
      <c r="ARZ30" s="147"/>
      <c r="ASA30" s="147"/>
      <c r="ASB30" s="147"/>
      <c r="ASC30" s="147"/>
      <c r="ASD30" s="147"/>
      <c r="ASE30" s="147"/>
      <c r="ASF30" s="147"/>
      <c r="ASG30" s="147"/>
      <c r="ASH30" s="147"/>
      <c r="ASI30" s="147"/>
      <c r="ASL30" s="147"/>
      <c r="ASM30" s="147"/>
      <c r="ASN30" s="147"/>
      <c r="ASO30" s="147"/>
      <c r="ASP30" s="147"/>
      <c r="ASQ30" s="147"/>
      <c r="ASR30" s="147"/>
      <c r="ASS30" s="147"/>
      <c r="AST30" s="147"/>
      <c r="ASU30" s="147"/>
      <c r="ASX30" s="147"/>
      <c r="ASY30" s="147"/>
      <c r="ASZ30" s="147"/>
      <c r="ATA30" s="147"/>
      <c r="ATB30" s="147"/>
      <c r="ATC30" s="147"/>
      <c r="ATD30" s="147"/>
      <c r="ATE30" s="147"/>
      <c r="ATF30" s="147"/>
      <c r="ATG30" s="147"/>
      <c r="ATJ30" s="147"/>
      <c r="ATK30" s="147"/>
      <c r="ATL30" s="147"/>
      <c r="ATM30" s="147"/>
      <c r="ATN30" s="147"/>
      <c r="ATO30" s="147"/>
      <c r="ATP30" s="147"/>
      <c r="ATQ30" s="147"/>
      <c r="ATR30" s="147"/>
      <c r="ATS30" s="147"/>
      <c r="ATV30" s="147"/>
      <c r="ATW30" s="147"/>
      <c r="ATX30" s="147"/>
      <c r="ATY30" s="147"/>
      <c r="ATZ30" s="147"/>
      <c r="AUA30" s="147"/>
      <c r="AUB30" s="147"/>
      <c r="AUC30" s="147"/>
      <c r="AUD30" s="147"/>
      <c r="AUE30" s="147"/>
      <c r="AUH30" s="147"/>
      <c r="AUI30" s="147"/>
      <c r="AUJ30" s="147"/>
      <c r="AUK30" s="147"/>
      <c r="AUL30" s="147"/>
      <c r="AUM30" s="147"/>
      <c r="AUN30" s="147"/>
      <c r="AUO30" s="147"/>
      <c r="AUP30" s="147"/>
      <c r="AUQ30" s="147"/>
      <c r="AUT30" s="147"/>
      <c r="AUU30" s="147"/>
      <c r="AUV30" s="147"/>
      <c r="AUW30" s="147"/>
      <c r="AUX30" s="147"/>
      <c r="AUY30" s="147"/>
      <c r="AUZ30" s="147"/>
      <c r="AVA30" s="147"/>
      <c r="AVB30" s="147"/>
      <c r="AVC30" s="147"/>
      <c r="AVF30" s="147"/>
      <c r="AVG30" s="147"/>
      <c r="AVH30" s="147"/>
      <c r="AVI30" s="147"/>
      <c r="AVJ30" s="147"/>
      <c r="AVK30" s="147"/>
      <c r="AVL30" s="147"/>
      <c r="AVM30" s="147"/>
      <c r="AVN30" s="147"/>
      <c r="AVO30" s="147"/>
      <c r="AVR30" s="147"/>
      <c r="AVS30" s="147"/>
      <c r="AVT30" s="147"/>
      <c r="AVU30" s="147"/>
      <c r="AVV30" s="147"/>
      <c r="AVW30" s="147"/>
      <c r="AVX30" s="147"/>
      <c r="AVY30" s="147"/>
      <c r="AVZ30" s="147"/>
      <c r="AWA30" s="147"/>
      <c r="AWD30" s="147"/>
      <c r="AWE30" s="147"/>
      <c r="AWF30" s="147"/>
      <c r="AWG30" s="147"/>
      <c r="AWH30" s="147"/>
      <c r="AWI30" s="147"/>
      <c r="AWJ30" s="147"/>
      <c r="AWK30" s="147"/>
      <c r="AWL30" s="147"/>
      <c r="AWM30" s="147"/>
      <c r="AWP30" s="147"/>
      <c r="AWQ30" s="147"/>
      <c r="AWR30" s="147"/>
      <c r="AWS30" s="147"/>
      <c r="AWT30" s="147"/>
      <c r="AWU30" s="147"/>
      <c r="AWV30" s="147"/>
      <c r="AWW30" s="147"/>
      <c r="AWX30" s="147"/>
      <c r="AWY30" s="147"/>
      <c r="AXB30" s="147"/>
      <c r="AXC30" s="147"/>
      <c r="AXD30" s="147"/>
      <c r="AXE30" s="147"/>
      <c r="AXF30" s="147"/>
      <c r="AXG30" s="147"/>
      <c r="AXH30" s="147"/>
      <c r="AXI30" s="147"/>
      <c r="AXJ30" s="147"/>
      <c r="AXK30" s="147"/>
      <c r="AXN30" s="147"/>
      <c r="AXO30" s="147"/>
      <c r="AXP30" s="147"/>
      <c r="AXQ30" s="147"/>
      <c r="AXR30" s="147"/>
      <c r="AXS30" s="147"/>
      <c r="AXT30" s="147"/>
      <c r="AXU30" s="147"/>
      <c r="AXV30" s="147"/>
      <c r="AXW30" s="147"/>
      <c r="AXZ30" s="147"/>
      <c r="AYA30" s="147"/>
      <c r="AYB30" s="147"/>
      <c r="AYC30" s="147"/>
      <c r="AYD30" s="147"/>
      <c r="AYE30" s="147"/>
      <c r="AYF30" s="147"/>
      <c r="AYG30" s="147"/>
      <c r="AYH30" s="147"/>
      <c r="AYI30" s="147"/>
      <c r="AYL30" s="147"/>
      <c r="AYM30" s="147"/>
      <c r="AYN30" s="147"/>
      <c r="AYO30" s="147"/>
      <c r="AYP30" s="147"/>
      <c r="AYQ30" s="147"/>
      <c r="AYR30" s="147"/>
      <c r="AYS30" s="147"/>
      <c r="AYT30" s="147"/>
      <c r="AYU30" s="147"/>
      <c r="AYX30" s="147"/>
      <c r="AYY30" s="147"/>
      <c r="AYZ30" s="147"/>
      <c r="AZA30" s="147"/>
      <c r="AZB30" s="147"/>
      <c r="AZC30" s="147"/>
      <c r="AZD30" s="147"/>
      <c r="AZE30" s="147"/>
      <c r="AZF30" s="147"/>
      <c r="AZG30" s="147"/>
      <c r="AZJ30" s="147"/>
      <c r="AZK30" s="147"/>
      <c r="AZL30" s="147"/>
      <c r="AZM30" s="147"/>
      <c r="AZN30" s="147"/>
      <c r="AZO30" s="147"/>
      <c r="AZP30" s="147"/>
      <c r="AZQ30" s="147"/>
      <c r="AZR30" s="147"/>
      <c r="AZS30" s="147"/>
      <c r="AZV30" s="147"/>
      <c r="AZW30" s="147"/>
      <c r="AZX30" s="147"/>
      <c r="AZY30" s="147"/>
      <c r="AZZ30" s="147"/>
      <c r="BAA30" s="147"/>
      <c r="BAB30" s="147"/>
      <c r="BAC30" s="147"/>
      <c r="BAD30" s="147"/>
      <c r="BAE30" s="147"/>
      <c r="BAH30" s="147"/>
      <c r="BAI30" s="147"/>
      <c r="BAJ30" s="147"/>
      <c r="BAK30" s="147"/>
      <c r="BAL30" s="147"/>
      <c r="BAM30" s="147"/>
      <c r="BAN30" s="147"/>
      <c r="BAO30" s="147"/>
      <c r="BAP30" s="147"/>
      <c r="BAQ30" s="147"/>
      <c r="BAT30" s="147"/>
      <c r="BAU30" s="147"/>
      <c r="BAV30" s="147"/>
      <c r="BAW30" s="147"/>
      <c r="BAX30" s="147"/>
      <c r="BAY30" s="147"/>
      <c r="BAZ30" s="147"/>
      <c r="BBA30" s="147"/>
      <c r="BBB30" s="147"/>
      <c r="BBC30" s="147"/>
      <c r="BBF30" s="147"/>
      <c r="BBG30" s="147"/>
      <c r="BBH30" s="147"/>
      <c r="BBI30" s="147"/>
      <c r="BBJ30" s="147"/>
      <c r="BBK30" s="147"/>
      <c r="BBL30" s="147"/>
      <c r="BBM30" s="147"/>
      <c r="BBN30" s="147"/>
      <c r="BBO30" s="147"/>
      <c r="BBR30" s="147"/>
      <c r="BBS30" s="147"/>
      <c r="BBT30" s="147"/>
      <c r="BBU30" s="147"/>
      <c r="BBV30" s="147"/>
      <c r="BBW30" s="147"/>
      <c r="BBX30" s="147"/>
      <c r="BBY30" s="147"/>
      <c r="BBZ30" s="147"/>
      <c r="BCA30" s="147"/>
      <c r="BCD30" s="147"/>
      <c r="BCE30" s="147"/>
      <c r="BCF30" s="147"/>
      <c r="BCG30" s="147"/>
      <c r="BCH30" s="147"/>
      <c r="BCI30" s="147"/>
      <c r="BCJ30" s="147"/>
      <c r="BCK30" s="147"/>
      <c r="BCL30" s="147"/>
      <c r="BCM30" s="147"/>
      <c r="BCP30" s="147"/>
      <c r="BCQ30" s="147"/>
      <c r="BCR30" s="147"/>
      <c r="BCS30" s="147"/>
      <c r="BCT30" s="147"/>
      <c r="BCU30" s="147"/>
      <c r="BCV30" s="147"/>
      <c r="BCW30" s="147"/>
      <c r="BCX30" s="147"/>
      <c r="BCY30" s="147"/>
      <c r="BDB30" s="147"/>
      <c r="BDC30" s="147"/>
      <c r="BDD30" s="147"/>
      <c r="BDE30" s="147"/>
      <c r="BDF30" s="147"/>
      <c r="BDG30" s="147"/>
      <c r="BDH30" s="147"/>
      <c r="BDI30" s="147"/>
      <c r="BDJ30" s="147"/>
      <c r="BDK30" s="147"/>
      <c r="BDN30" s="147"/>
      <c r="BDO30" s="147"/>
      <c r="BDP30" s="147"/>
      <c r="BDQ30" s="147"/>
      <c r="BDR30" s="147"/>
      <c r="BDS30" s="147"/>
      <c r="BDT30" s="147"/>
      <c r="BDU30" s="147"/>
      <c r="BDV30" s="147"/>
      <c r="BDW30" s="147"/>
      <c r="BDZ30" s="147"/>
      <c r="BEA30" s="147"/>
      <c r="BEB30" s="147"/>
      <c r="BEC30" s="147"/>
      <c r="BED30" s="147"/>
      <c r="BEE30" s="147"/>
      <c r="BEF30" s="147"/>
      <c r="BEG30" s="147"/>
      <c r="BEH30" s="147"/>
      <c r="BEI30" s="147"/>
      <c r="BEL30" s="147"/>
      <c r="BEM30" s="147"/>
      <c r="BEN30" s="147"/>
      <c r="BEO30" s="147"/>
      <c r="BEP30" s="147"/>
      <c r="BEQ30" s="147"/>
      <c r="BER30" s="147"/>
      <c r="BES30" s="147"/>
      <c r="BET30" s="147"/>
      <c r="BEU30" s="147"/>
      <c r="BEX30" s="147"/>
      <c r="BEY30" s="147"/>
      <c r="BEZ30" s="147"/>
      <c r="BFA30" s="147"/>
      <c r="BFB30" s="147"/>
      <c r="BFC30" s="147"/>
      <c r="BFD30" s="147"/>
      <c r="BFE30" s="147"/>
      <c r="BFF30" s="147"/>
      <c r="BFG30" s="147"/>
      <c r="BFJ30" s="147"/>
      <c r="BFK30" s="147"/>
      <c r="BFL30" s="147"/>
      <c r="BFM30" s="147"/>
      <c r="BFN30" s="147"/>
      <c r="BFO30" s="147"/>
      <c r="BFP30" s="147"/>
      <c r="BFQ30" s="147"/>
      <c r="BFR30" s="147"/>
      <c r="BFS30" s="147"/>
      <c r="BFV30" s="147"/>
      <c r="BFW30" s="147"/>
      <c r="BFX30" s="147"/>
      <c r="BFY30" s="147"/>
      <c r="BFZ30" s="147"/>
      <c r="BGA30" s="147"/>
      <c r="BGB30" s="147"/>
      <c r="BGC30" s="147"/>
      <c r="BGD30" s="147"/>
      <c r="BGE30" s="147"/>
      <c r="BGH30" s="147"/>
      <c r="BGI30" s="147"/>
      <c r="BGJ30" s="147"/>
      <c r="BGK30" s="147"/>
      <c r="BGL30" s="147"/>
      <c r="BGM30" s="147"/>
      <c r="BGN30" s="147"/>
      <c r="BGO30" s="147"/>
      <c r="BGP30" s="147"/>
      <c r="BGQ30" s="147"/>
      <c r="BGT30" s="147"/>
      <c r="BGU30" s="147"/>
      <c r="BGV30" s="147"/>
      <c r="BGW30" s="147"/>
      <c r="BGX30" s="147"/>
      <c r="BGY30" s="147"/>
      <c r="BGZ30" s="147"/>
      <c r="BHA30" s="147"/>
      <c r="BHB30" s="147"/>
      <c r="BHC30" s="147"/>
      <c r="BHF30" s="147"/>
      <c r="BHG30" s="147"/>
      <c r="BHH30" s="147"/>
      <c r="BHI30" s="147"/>
      <c r="BHJ30" s="147"/>
      <c r="BHK30" s="147"/>
      <c r="BHL30" s="147"/>
      <c r="BHM30" s="147"/>
      <c r="BHN30" s="147"/>
      <c r="BHO30" s="147"/>
      <c r="BHR30" s="166" t="s">
        <v>70</v>
      </c>
      <c r="BHS30" s="167"/>
      <c r="BHT30" s="167"/>
      <c r="BHU30" s="167"/>
      <c r="BHV30" s="167"/>
      <c r="BHW30" s="167"/>
      <c r="BHX30" s="167"/>
      <c r="BHY30" s="167"/>
      <c r="BHZ30" s="167"/>
      <c r="BIA30" s="168"/>
      <c r="BID30" s="166" t="s">
        <v>70</v>
      </c>
      <c r="BIE30" s="167"/>
      <c r="BIF30" s="167"/>
      <c r="BIG30" s="167"/>
      <c r="BIH30" s="167"/>
      <c r="BII30" s="167"/>
      <c r="BIJ30" s="167"/>
      <c r="BIK30" s="167"/>
      <c r="BIL30" s="167"/>
      <c r="BIM30" s="168"/>
      <c r="BIP30" s="166" t="s">
        <v>70</v>
      </c>
      <c r="BIQ30" s="167"/>
      <c r="BIR30" s="167"/>
      <c r="BIS30" s="167"/>
      <c r="BIT30" s="167"/>
      <c r="BIU30" s="167"/>
      <c r="BIV30" s="167"/>
      <c r="BIW30" s="167"/>
      <c r="BIX30" s="167"/>
      <c r="BIY30" s="168"/>
      <c r="BJB30" s="166" t="s">
        <v>70</v>
      </c>
      <c r="BJC30" s="167"/>
      <c r="BJD30" s="167"/>
      <c r="BJE30" s="167"/>
      <c r="BJF30" s="167"/>
      <c r="BJG30" s="167"/>
      <c r="BJH30" s="167"/>
      <c r="BJI30" s="167"/>
      <c r="BJJ30" s="167"/>
      <c r="BJK30" s="168"/>
      <c r="BJN30" s="166" t="s">
        <v>70</v>
      </c>
      <c r="BJO30" s="167"/>
      <c r="BJP30" s="167"/>
      <c r="BJQ30" s="167"/>
      <c r="BJR30" s="167"/>
      <c r="BJS30" s="167"/>
      <c r="BJT30" s="167"/>
      <c r="BJU30" s="167"/>
      <c r="BJV30" s="167"/>
      <c r="BJW30" s="168"/>
      <c r="BJZ30" s="166" t="s">
        <v>70</v>
      </c>
      <c r="BKA30" s="167"/>
      <c r="BKB30" s="167"/>
      <c r="BKC30" s="167"/>
      <c r="BKD30" s="167"/>
      <c r="BKE30" s="167"/>
      <c r="BKF30" s="167"/>
      <c r="BKG30" s="167"/>
      <c r="BKH30" s="167"/>
      <c r="BKI30" s="168"/>
      <c r="BKL30" s="166" t="s">
        <v>70</v>
      </c>
      <c r="BKM30" s="167"/>
      <c r="BKN30" s="167"/>
      <c r="BKO30" s="167"/>
      <c r="BKP30" s="167"/>
      <c r="BKQ30" s="167"/>
      <c r="BKR30" s="167"/>
      <c r="BKS30" s="167"/>
      <c r="BKT30" s="167"/>
      <c r="BKU30" s="168"/>
      <c r="BKX30" s="166" t="s">
        <v>70</v>
      </c>
      <c r="BKY30" s="167"/>
      <c r="BKZ30" s="167"/>
      <c r="BLA30" s="167"/>
      <c r="BLB30" s="167"/>
      <c r="BLC30" s="167"/>
      <c r="BLD30" s="167"/>
      <c r="BLE30" s="167"/>
      <c r="BLF30" s="167"/>
      <c r="BLG30" s="168"/>
      <c r="BLJ30" s="166" t="s">
        <v>70</v>
      </c>
      <c r="BLK30" s="167"/>
      <c r="BLL30" s="167"/>
      <c r="BLM30" s="167"/>
      <c r="BLN30" s="167"/>
      <c r="BLO30" s="167"/>
      <c r="BLP30" s="167"/>
      <c r="BLQ30" s="167"/>
      <c r="BLR30" s="167"/>
      <c r="BLS30" s="168"/>
      <c r="BLV30" s="166" t="s">
        <v>70</v>
      </c>
      <c r="BLW30" s="167"/>
      <c r="BLX30" s="167"/>
      <c r="BLY30" s="167"/>
      <c r="BLZ30" s="167"/>
      <c r="BMA30" s="167"/>
      <c r="BMB30" s="167"/>
      <c r="BMC30" s="167"/>
      <c r="BMD30" s="167"/>
      <c r="BME30" s="168"/>
      <c r="BMH30" s="166" t="s">
        <v>70</v>
      </c>
      <c r="BMI30" s="167"/>
      <c r="BMJ30" s="167"/>
      <c r="BMK30" s="167"/>
      <c r="BML30" s="167"/>
      <c r="BMM30" s="167"/>
      <c r="BMN30" s="167"/>
      <c r="BMO30" s="167"/>
      <c r="BMP30" s="167"/>
      <c r="BMQ30" s="168"/>
      <c r="BMT30" s="166" t="s">
        <v>70</v>
      </c>
      <c r="BMU30" s="167"/>
      <c r="BMV30" s="167"/>
      <c r="BMW30" s="167"/>
      <c r="BMX30" s="167"/>
      <c r="BMY30" s="167"/>
      <c r="BMZ30" s="167"/>
      <c r="BNA30" s="167"/>
      <c r="BNB30" s="167"/>
      <c r="BNC30" s="168"/>
      <c r="BNF30" s="166" t="s">
        <v>70</v>
      </c>
      <c r="BNG30" s="167"/>
      <c r="BNH30" s="167"/>
      <c r="BNI30" s="167"/>
      <c r="BNJ30" s="167"/>
      <c r="BNK30" s="167"/>
      <c r="BNL30" s="167"/>
      <c r="BNM30" s="167"/>
      <c r="BNN30" s="167"/>
      <c r="BNO30" s="168"/>
      <c r="BNR30" s="166" t="s">
        <v>70</v>
      </c>
      <c r="BNS30" s="167"/>
      <c r="BNT30" s="167"/>
      <c r="BNU30" s="167"/>
      <c r="BNV30" s="167"/>
      <c r="BNW30" s="167"/>
      <c r="BNX30" s="167"/>
      <c r="BNY30" s="167"/>
      <c r="BNZ30" s="167"/>
      <c r="BOA30" s="168"/>
      <c r="BOD30" s="166" t="s">
        <v>70</v>
      </c>
      <c r="BOE30" s="167"/>
      <c r="BOF30" s="167"/>
      <c r="BOG30" s="167"/>
      <c r="BOH30" s="167"/>
      <c r="BOI30" s="167"/>
      <c r="BOJ30" s="167"/>
      <c r="BOK30" s="167"/>
      <c r="BOL30" s="167"/>
      <c r="BOM30" s="168"/>
      <c r="BOP30" s="166" t="s">
        <v>70</v>
      </c>
      <c r="BOQ30" s="167"/>
      <c r="BOR30" s="167"/>
      <c r="BOS30" s="167"/>
      <c r="BOT30" s="167"/>
      <c r="BOU30" s="167"/>
      <c r="BOV30" s="167"/>
      <c r="BOW30" s="167"/>
      <c r="BOX30" s="167"/>
      <c r="BOY30" s="168"/>
      <c r="BPB30" s="166" t="s">
        <v>70</v>
      </c>
      <c r="BPC30" s="167"/>
      <c r="BPD30" s="167"/>
      <c r="BPE30" s="167"/>
      <c r="BPF30" s="167"/>
      <c r="BPG30" s="167"/>
      <c r="BPH30" s="167"/>
      <c r="BPI30" s="167"/>
      <c r="BPJ30" s="167"/>
      <c r="BPK30" s="168"/>
      <c r="BPN30" s="166" t="s">
        <v>70</v>
      </c>
      <c r="BPO30" s="167"/>
      <c r="BPP30" s="167"/>
      <c r="BPQ30" s="167"/>
      <c r="BPR30" s="167"/>
      <c r="BPS30" s="167"/>
      <c r="BPT30" s="167"/>
      <c r="BPU30" s="167"/>
      <c r="BPV30" s="167"/>
      <c r="BPW30" s="168"/>
      <c r="BPZ30" s="166" t="s">
        <v>70</v>
      </c>
      <c r="BQA30" s="167"/>
      <c r="BQB30" s="167"/>
      <c r="BQC30" s="167"/>
      <c r="BQD30" s="167"/>
      <c r="BQE30" s="167"/>
      <c r="BQF30" s="167"/>
      <c r="BQG30" s="167"/>
      <c r="BQH30" s="167"/>
      <c r="BQI30" s="168"/>
      <c r="BQL30" s="166" t="s">
        <v>70</v>
      </c>
      <c r="BQM30" s="167"/>
      <c r="BQN30" s="167"/>
      <c r="BQO30" s="167"/>
      <c r="BQP30" s="167"/>
      <c r="BQQ30" s="167"/>
      <c r="BQR30" s="167"/>
      <c r="BQS30" s="167"/>
      <c r="BQT30" s="167"/>
      <c r="BQU30" s="168"/>
      <c r="BQX30" s="166" t="s">
        <v>70</v>
      </c>
      <c r="BQY30" s="167"/>
      <c r="BQZ30" s="167"/>
      <c r="BRA30" s="167"/>
      <c r="BRB30" s="167"/>
      <c r="BRC30" s="167"/>
      <c r="BRD30" s="167"/>
      <c r="BRE30" s="167"/>
      <c r="BRF30" s="167"/>
      <c r="BRG30" s="168"/>
      <c r="BRJ30" s="166" t="s">
        <v>70</v>
      </c>
      <c r="BRK30" s="167"/>
      <c r="BRL30" s="167"/>
      <c r="BRM30" s="167"/>
      <c r="BRN30" s="167"/>
      <c r="BRO30" s="167"/>
      <c r="BRP30" s="167"/>
      <c r="BRQ30" s="167"/>
      <c r="BRR30" s="167"/>
      <c r="BRS30" s="168"/>
      <c r="BRV30" s="166" t="s">
        <v>70</v>
      </c>
      <c r="BRW30" s="167"/>
      <c r="BRX30" s="167"/>
      <c r="BRY30" s="167"/>
      <c r="BRZ30" s="167"/>
      <c r="BSA30" s="167"/>
      <c r="BSB30" s="167"/>
      <c r="BSC30" s="167"/>
      <c r="BSD30" s="167"/>
      <c r="BSE30" s="168"/>
      <c r="BSH30" s="166" t="s">
        <v>70</v>
      </c>
      <c r="BSI30" s="167"/>
      <c r="BSJ30" s="167"/>
      <c r="BSK30" s="167"/>
      <c r="BSL30" s="167"/>
      <c r="BSM30" s="167"/>
      <c r="BSN30" s="167"/>
      <c r="BSO30" s="167"/>
      <c r="BSP30" s="167"/>
      <c r="BSQ30" s="168"/>
      <c r="BST30" s="166" t="s">
        <v>70</v>
      </c>
      <c r="BSU30" s="167"/>
      <c r="BSV30" s="167"/>
      <c r="BSW30" s="167"/>
      <c r="BSX30" s="167"/>
      <c r="BSY30" s="167"/>
      <c r="BSZ30" s="167"/>
      <c r="BTA30" s="167"/>
      <c r="BTB30" s="167"/>
      <c r="BTC30" s="168"/>
      <c r="BTF30" s="166" t="s">
        <v>70</v>
      </c>
      <c r="BTG30" s="167"/>
      <c r="BTH30" s="167"/>
      <c r="BTI30" s="167"/>
      <c r="BTJ30" s="167"/>
      <c r="BTK30" s="167"/>
      <c r="BTL30" s="167"/>
      <c r="BTM30" s="167"/>
      <c r="BTN30" s="167"/>
      <c r="BTO30" s="168"/>
      <c r="BTR30" s="166" t="s">
        <v>70</v>
      </c>
      <c r="BTS30" s="167"/>
      <c r="BTT30" s="167"/>
      <c r="BTU30" s="167"/>
      <c r="BTV30" s="167"/>
      <c r="BTW30" s="167"/>
      <c r="BTX30" s="167"/>
      <c r="BTY30" s="167"/>
      <c r="BTZ30" s="167"/>
      <c r="BUA30" s="168"/>
      <c r="BUD30" s="166" t="s">
        <v>70</v>
      </c>
      <c r="BUE30" s="167"/>
      <c r="BUF30" s="167"/>
      <c r="BUG30" s="167"/>
      <c r="BUH30" s="167"/>
      <c r="BUI30" s="167"/>
      <c r="BUJ30" s="167"/>
      <c r="BUK30" s="167"/>
      <c r="BUL30" s="167"/>
      <c r="BUM30" s="168"/>
      <c r="BUP30" s="166" t="s">
        <v>70</v>
      </c>
      <c r="BUQ30" s="167"/>
      <c r="BUR30" s="167"/>
      <c r="BUS30" s="167"/>
      <c r="BUT30" s="167"/>
      <c r="BUU30" s="167"/>
      <c r="BUV30" s="167"/>
      <c r="BUW30" s="167"/>
      <c r="BUX30" s="167"/>
      <c r="BUY30" s="168"/>
      <c r="BVB30" s="166" t="s">
        <v>70</v>
      </c>
      <c r="BVC30" s="167"/>
      <c r="BVD30" s="167"/>
      <c r="BVE30" s="167"/>
      <c r="BVF30" s="167"/>
      <c r="BVG30" s="167"/>
      <c r="BVH30" s="167"/>
      <c r="BVI30" s="167"/>
      <c r="BVJ30" s="167"/>
      <c r="BVK30" s="168"/>
      <c r="BVN30" s="166" t="s">
        <v>70</v>
      </c>
      <c r="BVO30" s="167"/>
      <c r="BVP30" s="167"/>
      <c r="BVQ30" s="167"/>
      <c r="BVR30" s="167"/>
      <c r="BVS30" s="167"/>
      <c r="BVT30" s="167"/>
      <c r="BVU30" s="167"/>
      <c r="BVV30" s="167"/>
      <c r="BVW30" s="168"/>
      <c r="BVZ30" s="166" t="s">
        <v>70</v>
      </c>
      <c r="BWA30" s="167"/>
      <c r="BWB30" s="167"/>
      <c r="BWC30" s="167"/>
      <c r="BWD30" s="167"/>
      <c r="BWE30" s="167"/>
      <c r="BWF30" s="167"/>
      <c r="BWG30" s="167"/>
      <c r="BWH30" s="167"/>
      <c r="BWI30" s="168"/>
      <c r="BWL30" s="166" t="s">
        <v>70</v>
      </c>
      <c r="BWM30" s="167"/>
      <c r="BWN30" s="167"/>
      <c r="BWO30" s="167"/>
      <c r="BWP30" s="167"/>
      <c r="BWQ30" s="167"/>
      <c r="BWR30" s="167"/>
      <c r="BWS30" s="167"/>
      <c r="BWT30" s="167"/>
      <c r="BWU30" s="168"/>
      <c r="BWX30" s="166" t="s">
        <v>70</v>
      </c>
      <c r="BWY30" s="167"/>
      <c r="BWZ30" s="167"/>
      <c r="BXA30" s="167"/>
      <c r="BXB30" s="167"/>
      <c r="BXC30" s="167"/>
      <c r="BXD30" s="167"/>
      <c r="BXE30" s="167"/>
      <c r="BXF30" s="167"/>
      <c r="BXG30" s="168"/>
      <c r="BXJ30" s="166" t="s">
        <v>70</v>
      </c>
      <c r="BXK30" s="167"/>
      <c r="BXL30" s="167"/>
      <c r="BXM30" s="167"/>
      <c r="BXN30" s="167"/>
      <c r="BXO30" s="167"/>
      <c r="BXP30" s="167"/>
      <c r="BXQ30" s="167"/>
      <c r="BXR30" s="167"/>
      <c r="BXS30" s="168"/>
      <c r="BXV30" s="166" t="s">
        <v>70</v>
      </c>
      <c r="BXW30" s="167"/>
      <c r="BXX30" s="167"/>
      <c r="BXY30" s="167"/>
      <c r="BXZ30" s="167"/>
      <c r="BYA30" s="167"/>
      <c r="BYB30" s="167"/>
      <c r="BYC30" s="167"/>
      <c r="BYD30" s="167"/>
      <c r="BYE30" s="168"/>
      <c r="BYH30" s="166" t="s">
        <v>70</v>
      </c>
      <c r="BYI30" s="167"/>
      <c r="BYJ30" s="167"/>
      <c r="BYK30" s="167"/>
      <c r="BYL30" s="167"/>
      <c r="BYM30" s="167"/>
      <c r="BYN30" s="167"/>
      <c r="BYO30" s="167"/>
      <c r="BYP30" s="167"/>
      <c r="BYQ30" s="168"/>
      <c r="BYT30" s="166" t="s">
        <v>70</v>
      </c>
      <c r="BYU30" s="167"/>
      <c r="BYV30" s="167"/>
      <c r="BYW30" s="167"/>
      <c r="BYX30" s="167"/>
      <c r="BYY30" s="167"/>
      <c r="BYZ30" s="167"/>
      <c r="BZA30" s="167"/>
      <c r="BZB30" s="167"/>
      <c r="BZC30" s="168"/>
      <c r="BZF30" s="166" t="s">
        <v>70</v>
      </c>
      <c r="BZG30" s="167"/>
      <c r="BZH30" s="167"/>
      <c r="BZI30" s="167"/>
      <c r="BZJ30" s="167"/>
      <c r="BZK30" s="167"/>
      <c r="BZL30" s="167"/>
      <c r="BZM30" s="167"/>
      <c r="BZN30" s="167"/>
      <c r="BZO30" s="168"/>
      <c r="BZR30" s="166" t="s">
        <v>70</v>
      </c>
      <c r="BZS30" s="167"/>
      <c r="BZT30" s="167"/>
      <c r="BZU30" s="167"/>
      <c r="BZV30" s="167"/>
      <c r="BZW30" s="167"/>
      <c r="BZX30" s="167"/>
      <c r="BZY30" s="167"/>
      <c r="BZZ30" s="167"/>
      <c r="CAA30" s="168"/>
      <c r="CAD30" s="166" t="s">
        <v>70</v>
      </c>
      <c r="CAE30" s="167"/>
      <c r="CAF30" s="167"/>
      <c r="CAG30" s="167"/>
      <c r="CAH30" s="167"/>
      <c r="CAI30" s="167"/>
      <c r="CAJ30" s="167"/>
      <c r="CAK30" s="167"/>
      <c r="CAL30" s="167"/>
      <c r="CAM30" s="168"/>
      <c r="CAP30" s="166" t="s">
        <v>70</v>
      </c>
      <c r="CAQ30" s="167"/>
      <c r="CAR30" s="167"/>
      <c r="CAS30" s="167"/>
      <c r="CAT30" s="167"/>
      <c r="CAU30" s="167"/>
      <c r="CAV30" s="167"/>
      <c r="CAW30" s="167"/>
      <c r="CAX30" s="167"/>
      <c r="CAY30" s="168"/>
      <c r="CBB30" s="166" t="s">
        <v>70</v>
      </c>
      <c r="CBC30" s="167"/>
      <c r="CBD30" s="167"/>
      <c r="CBE30" s="167"/>
      <c r="CBF30" s="167"/>
      <c r="CBG30" s="167"/>
      <c r="CBH30" s="167"/>
      <c r="CBI30" s="167"/>
      <c r="CBJ30" s="167"/>
      <c r="CBK30" s="168"/>
      <c r="CBN30" s="166" t="s">
        <v>70</v>
      </c>
      <c r="CBO30" s="167"/>
      <c r="CBP30" s="167"/>
      <c r="CBQ30" s="167"/>
      <c r="CBR30" s="167"/>
      <c r="CBS30" s="167"/>
      <c r="CBT30" s="167"/>
      <c r="CBU30" s="167"/>
      <c r="CBV30" s="167"/>
      <c r="CBW30" s="168"/>
      <c r="CBZ30" s="166" t="s">
        <v>70</v>
      </c>
      <c r="CCA30" s="167"/>
      <c r="CCB30" s="167"/>
      <c r="CCC30" s="167"/>
      <c r="CCD30" s="167"/>
      <c r="CCE30" s="167"/>
      <c r="CCF30" s="167"/>
      <c r="CCG30" s="167"/>
      <c r="CCH30" s="167"/>
      <c r="CCI30" s="168"/>
      <c r="CCL30" s="166" t="s">
        <v>70</v>
      </c>
      <c r="CCM30" s="167"/>
      <c r="CCN30" s="167"/>
      <c r="CCO30" s="167"/>
      <c r="CCP30" s="167"/>
      <c r="CCQ30" s="167"/>
      <c r="CCR30" s="167"/>
      <c r="CCS30" s="167"/>
      <c r="CCT30" s="167"/>
      <c r="CCU30" s="168"/>
      <c r="CCX30" s="166" t="s">
        <v>70</v>
      </c>
      <c r="CCY30" s="167"/>
      <c r="CCZ30" s="167"/>
      <c r="CDA30" s="167"/>
      <c r="CDB30" s="167"/>
      <c r="CDC30" s="167"/>
      <c r="CDD30" s="167"/>
      <c r="CDE30" s="167"/>
      <c r="CDF30" s="167"/>
      <c r="CDG30" s="168"/>
      <c r="CDJ30" s="166" t="s">
        <v>70</v>
      </c>
      <c r="CDK30" s="167"/>
      <c r="CDL30" s="167"/>
      <c r="CDM30" s="167"/>
      <c r="CDN30" s="167"/>
      <c r="CDO30" s="167"/>
      <c r="CDP30" s="167"/>
      <c r="CDQ30" s="167"/>
      <c r="CDR30" s="167"/>
      <c r="CDS30" s="168"/>
      <c r="CDV30" s="166" t="s">
        <v>70</v>
      </c>
      <c r="CDW30" s="167"/>
      <c r="CDX30" s="167"/>
      <c r="CDY30" s="167"/>
      <c r="CDZ30" s="167"/>
      <c r="CEA30" s="167"/>
      <c r="CEB30" s="167"/>
      <c r="CEC30" s="167"/>
      <c r="CED30" s="167"/>
      <c r="CEE30" s="168"/>
      <c r="CEH30" s="166" t="s">
        <v>70</v>
      </c>
      <c r="CEI30" s="167"/>
      <c r="CEJ30" s="167"/>
      <c r="CEK30" s="167"/>
      <c r="CEL30" s="167"/>
      <c r="CEM30" s="167"/>
      <c r="CEN30" s="167"/>
      <c r="CEO30" s="167"/>
      <c r="CEP30" s="167"/>
      <c r="CEQ30" s="168"/>
      <c r="CET30" s="166" t="s">
        <v>70</v>
      </c>
      <c r="CEU30" s="167"/>
      <c r="CEV30" s="167"/>
      <c r="CEW30" s="167"/>
      <c r="CEX30" s="167"/>
      <c r="CEY30" s="167"/>
      <c r="CEZ30" s="167"/>
      <c r="CFA30" s="167"/>
      <c r="CFB30" s="167"/>
      <c r="CFC30" s="168"/>
      <c r="CFF30" s="166" t="s">
        <v>70</v>
      </c>
      <c r="CFG30" s="167"/>
      <c r="CFH30" s="167"/>
      <c r="CFI30" s="167"/>
      <c r="CFJ30" s="167"/>
      <c r="CFK30" s="167"/>
      <c r="CFL30" s="167"/>
      <c r="CFM30" s="167"/>
      <c r="CFN30" s="167"/>
      <c r="CFO30" s="168"/>
      <c r="CFR30" s="166" t="s">
        <v>70</v>
      </c>
      <c r="CFS30" s="167"/>
      <c r="CFT30" s="167"/>
      <c r="CFU30" s="167"/>
      <c r="CFV30" s="167"/>
      <c r="CFW30" s="167"/>
      <c r="CFX30" s="167"/>
      <c r="CFY30" s="167"/>
      <c r="CFZ30" s="167"/>
      <c r="CGA30" s="168"/>
      <c r="CGD30" s="166" t="s">
        <v>70</v>
      </c>
      <c r="CGE30" s="167"/>
      <c r="CGF30" s="167"/>
      <c r="CGG30" s="167"/>
      <c r="CGH30" s="167"/>
      <c r="CGI30" s="167"/>
      <c r="CGJ30" s="167"/>
      <c r="CGK30" s="167"/>
      <c r="CGL30" s="167"/>
      <c r="CGM30" s="168"/>
      <c r="CGP30" s="166" t="s">
        <v>70</v>
      </c>
      <c r="CGQ30" s="167"/>
      <c r="CGR30" s="167"/>
      <c r="CGS30" s="167"/>
      <c r="CGT30" s="167"/>
      <c r="CGU30" s="167"/>
      <c r="CGV30" s="167"/>
      <c r="CGW30" s="167"/>
      <c r="CGX30" s="167"/>
      <c r="CGY30" s="168"/>
      <c r="CHB30" s="166" t="s">
        <v>70</v>
      </c>
      <c r="CHC30" s="167"/>
      <c r="CHD30" s="167"/>
      <c r="CHE30" s="167"/>
      <c r="CHF30" s="167"/>
      <c r="CHG30" s="167"/>
      <c r="CHH30" s="167"/>
      <c r="CHI30" s="167"/>
      <c r="CHJ30" s="167"/>
      <c r="CHK30" s="168"/>
      <c r="CHN30" s="166" t="s">
        <v>70</v>
      </c>
      <c r="CHO30" s="167"/>
      <c r="CHP30" s="167"/>
      <c r="CHQ30" s="167"/>
      <c r="CHR30" s="167"/>
      <c r="CHS30" s="167"/>
      <c r="CHT30" s="167"/>
      <c r="CHU30" s="167"/>
      <c r="CHV30" s="167"/>
      <c r="CHW30" s="168"/>
      <c r="CHZ30" s="166" t="s">
        <v>70</v>
      </c>
      <c r="CIA30" s="167"/>
      <c r="CIB30" s="167"/>
      <c r="CIC30" s="167"/>
      <c r="CID30" s="167"/>
      <c r="CIE30" s="167"/>
      <c r="CIF30" s="167"/>
      <c r="CIG30" s="167"/>
      <c r="CIH30" s="167"/>
      <c r="CII30" s="168"/>
      <c r="CIL30" s="166" t="s">
        <v>70</v>
      </c>
      <c r="CIM30" s="167"/>
      <c r="CIN30" s="167"/>
      <c r="CIO30" s="167"/>
      <c r="CIP30" s="167"/>
      <c r="CIQ30" s="167"/>
      <c r="CIR30" s="167"/>
      <c r="CIS30" s="167"/>
      <c r="CIT30" s="167"/>
      <c r="CIU30" s="168"/>
      <c r="CIX30" s="166" t="s">
        <v>70</v>
      </c>
      <c r="CIY30" s="167"/>
      <c r="CIZ30" s="167"/>
      <c r="CJA30" s="167"/>
      <c r="CJB30" s="167"/>
      <c r="CJC30" s="167"/>
      <c r="CJD30" s="167"/>
      <c r="CJE30" s="167"/>
      <c r="CJF30" s="167"/>
      <c r="CJG30" s="168"/>
      <c r="CJJ30" s="166" t="s">
        <v>70</v>
      </c>
      <c r="CJK30" s="167"/>
      <c r="CJL30" s="167"/>
      <c r="CJM30" s="167"/>
      <c r="CJN30" s="167"/>
      <c r="CJO30" s="167"/>
      <c r="CJP30" s="167"/>
      <c r="CJQ30" s="167"/>
      <c r="CJR30" s="167"/>
      <c r="CJS30" s="168"/>
      <c r="CJV30" s="166" t="s">
        <v>70</v>
      </c>
      <c r="CJW30" s="167"/>
      <c r="CJX30" s="167"/>
      <c r="CJY30" s="167"/>
      <c r="CJZ30" s="167"/>
      <c r="CKA30" s="167"/>
      <c r="CKB30" s="167"/>
      <c r="CKC30" s="167"/>
      <c r="CKD30" s="167"/>
      <c r="CKE30" s="168"/>
      <c r="CKH30" s="166" t="s">
        <v>70</v>
      </c>
      <c r="CKI30" s="167"/>
      <c r="CKJ30" s="167"/>
      <c r="CKK30" s="167"/>
      <c r="CKL30" s="167"/>
      <c r="CKM30" s="167"/>
      <c r="CKN30" s="167"/>
      <c r="CKO30" s="167"/>
      <c r="CKP30" s="167"/>
      <c r="CKQ30" s="168"/>
      <c r="CKT30" s="166" t="s">
        <v>70</v>
      </c>
      <c r="CKU30" s="167"/>
      <c r="CKV30" s="167"/>
      <c r="CKW30" s="167"/>
      <c r="CKX30" s="167"/>
      <c r="CKY30" s="167"/>
      <c r="CKZ30" s="167"/>
      <c r="CLA30" s="167"/>
      <c r="CLB30" s="167"/>
      <c r="CLC30" s="168"/>
      <c r="CLF30" s="166" t="s">
        <v>70</v>
      </c>
      <c r="CLG30" s="167"/>
      <c r="CLH30" s="167"/>
      <c r="CLI30" s="167"/>
      <c r="CLJ30" s="167"/>
      <c r="CLK30" s="167"/>
      <c r="CLL30" s="167"/>
      <c r="CLM30" s="167"/>
      <c r="CLN30" s="167"/>
      <c r="CLO30" s="168"/>
      <c r="CLR30" s="166" t="s">
        <v>70</v>
      </c>
      <c r="CLS30" s="167"/>
      <c r="CLT30" s="167"/>
      <c r="CLU30" s="167"/>
      <c r="CLV30" s="167"/>
      <c r="CLW30" s="167"/>
      <c r="CLX30" s="167"/>
      <c r="CLY30" s="167"/>
      <c r="CLZ30" s="167"/>
      <c r="CMA30" s="168"/>
      <c r="CMD30" s="166" t="s">
        <v>70</v>
      </c>
      <c r="CME30" s="167"/>
      <c r="CMF30" s="167"/>
      <c r="CMG30" s="167"/>
      <c r="CMH30" s="167"/>
      <c r="CMI30" s="167"/>
      <c r="CMJ30" s="167"/>
      <c r="CMK30" s="167"/>
      <c r="CML30" s="167"/>
      <c r="CMM30" s="168"/>
      <c r="CMP30" s="166" t="s">
        <v>70</v>
      </c>
      <c r="CMQ30" s="167"/>
      <c r="CMR30" s="167"/>
      <c r="CMS30" s="167"/>
      <c r="CMT30" s="167"/>
      <c r="CMU30" s="167"/>
      <c r="CMV30" s="167"/>
      <c r="CMW30" s="167"/>
      <c r="CMX30" s="167"/>
      <c r="CMY30" s="168"/>
      <c r="CNB30" s="166" t="s">
        <v>70</v>
      </c>
      <c r="CNC30" s="167"/>
      <c r="CND30" s="167"/>
      <c r="CNE30" s="167"/>
      <c r="CNF30" s="167"/>
      <c r="CNG30" s="167"/>
      <c r="CNH30" s="167"/>
      <c r="CNI30" s="167"/>
      <c r="CNJ30" s="167"/>
      <c r="CNK30" s="168"/>
      <c r="CNN30" s="166" t="s">
        <v>70</v>
      </c>
      <c r="CNO30" s="167"/>
      <c r="CNP30" s="167"/>
      <c r="CNQ30" s="167"/>
      <c r="CNR30" s="167"/>
      <c r="CNS30" s="167"/>
      <c r="CNT30" s="167"/>
      <c r="CNU30" s="167"/>
      <c r="CNV30" s="167"/>
      <c r="CNW30" s="168"/>
      <c r="CNZ30" s="166" t="s">
        <v>70</v>
      </c>
      <c r="COA30" s="167"/>
      <c r="COB30" s="167"/>
      <c r="COC30" s="167"/>
      <c r="COD30" s="167"/>
      <c r="COE30" s="167"/>
      <c r="COF30" s="167"/>
      <c r="COG30" s="167"/>
      <c r="COH30" s="167"/>
      <c r="COI30" s="168"/>
      <c r="COL30" s="166" t="s">
        <v>70</v>
      </c>
      <c r="COM30" s="167"/>
      <c r="CON30" s="167"/>
      <c r="COO30" s="167"/>
      <c r="COP30" s="167"/>
      <c r="COQ30" s="167"/>
      <c r="COR30" s="167"/>
      <c r="COS30" s="167"/>
      <c r="COT30" s="167"/>
      <c r="COU30" s="168"/>
      <c r="COX30" s="166" t="s">
        <v>70</v>
      </c>
      <c r="COY30" s="167"/>
      <c r="COZ30" s="167"/>
      <c r="CPA30" s="167"/>
      <c r="CPB30" s="167"/>
      <c r="CPC30" s="167"/>
      <c r="CPD30" s="167"/>
      <c r="CPE30" s="167"/>
      <c r="CPF30" s="167"/>
      <c r="CPG30" s="168"/>
      <c r="CPJ30" s="166" t="s">
        <v>70</v>
      </c>
      <c r="CPK30" s="167"/>
      <c r="CPL30" s="167"/>
      <c r="CPM30" s="167"/>
      <c r="CPN30" s="167"/>
      <c r="CPO30" s="167"/>
      <c r="CPP30" s="167"/>
      <c r="CPQ30" s="167"/>
      <c r="CPR30" s="167"/>
      <c r="CPS30" s="168"/>
      <c r="CPV30" s="166" t="s">
        <v>70</v>
      </c>
      <c r="CPW30" s="167"/>
      <c r="CPX30" s="167"/>
      <c r="CPY30" s="167"/>
      <c r="CPZ30" s="167"/>
      <c r="CQA30" s="167"/>
      <c r="CQB30" s="167"/>
      <c r="CQC30" s="167"/>
      <c r="CQD30" s="167"/>
      <c r="CQE30" s="168"/>
      <c r="CQH30" s="166" t="s">
        <v>70</v>
      </c>
      <c r="CQI30" s="167"/>
      <c r="CQJ30" s="167"/>
      <c r="CQK30" s="167"/>
      <c r="CQL30" s="167"/>
      <c r="CQM30" s="167"/>
      <c r="CQN30" s="167"/>
      <c r="CQO30" s="167"/>
      <c r="CQP30" s="167"/>
      <c r="CQQ30" s="168"/>
      <c r="CQT30" s="166" t="s">
        <v>70</v>
      </c>
      <c r="CQU30" s="167"/>
      <c r="CQV30" s="167"/>
      <c r="CQW30" s="167"/>
      <c r="CQX30" s="167"/>
      <c r="CQY30" s="167"/>
      <c r="CQZ30" s="167"/>
      <c r="CRA30" s="167"/>
      <c r="CRB30" s="167"/>
      <c r="CRC30" s="168"/>
      <c r="CRF30" s="166" t="s">
        <v>70</v>
      </c>
      <c r="CRG30" s="167"/>
      <c r="CRH30" s="167"/>
      <c r="CRI30" s="167"/>
      <c r="CRJ30" s="167"/>
      <c r="CRK30" s="167"/>
      <c r="CRL30" s="167"/>
      <c r="CRM30" s="167"/>
      <c r="CRN30" s="167"/>
      <c r="CRO30" s="168"/>
      <c r="CRR30" s="166" t="s">
        <v>70</v>
      </c>
      <c r="CRS30" s="167"/>
      <c r="CRT30" s="167"/>
      <c r="CRU30" s="167"/>
      <c r="CRV30" s="167"/>
      <c r="CRW30" s="167"/>
      <c r="CRX30" s="167"/>
      <c r="CRY30" s="167"/>
      <c r="CRZ30" s="167"/>
      <c r="CSA30" s="168"/>
      <c r="CSD30" s="166" t="s">
        <v>70</v>
      </c>
      <c r="CSE30" s="167"/>
      <c r="CSF30" s="167"/>
      <c r="CSG30" s="167"/>
      <c r="CSH30" s="167"/>
      <c r="CSI30" s="167"/>
      <c r="CSJ30" s="167"/>
      <c r="CSK30" s="167"/>
      <c r="CSL30" s="167"/>
      <c r="CSM30" s="168"/>
      <c r="CSP30" s="166" t="s">
        <v>70</v>
      </c>
      <c r="CSQ30" s="167"/>
      <c r="CSR30" s="167"/>
      <c r="CSS30" s="167"/>
      <c r="CST30" s="167"/>
      <c r="CSU30" s="167"/>
      <c r="CSV30" s="167"/>
      <c r="CSW30" s="167"/>
      <c r="CSX30" s="167"/>
      <c r="CSY30" s="168"/>
      <c r="CTB30" s="166" t="s">
        <v>70</v>
      </c>
      <c r="CTC30" s="167"/>
      <c r="CTD30" s="167"/>
      <c r="CTE30" s="167"/>
      <c r="CTF30" s="167"/>
      <c r="CTG30" s="167"/>
      <c r="CTH30" s="167"/>
      <c r="CTI30" s="167"/>
      <c r="CTJ30" s="167"/>
      <c r="CTK30" s="168"/>
      <c r="CTN30" s="166" t="s">
        <v>70</v>
      </c>
      <c r="CTO30" s="167"/>
      <c r="CTP30" s="167"/>
      <c r="CTQ30" s="167"/>
      <c r="CTR30" s="167"/>
      <c r="CTS30" s="167"/>
      <c r="CTT30" s="167"/>
      <c r="CTU30" s="167"/>
      <c r="CTV30" s="167"/>
      <c r="CTW30" s="168"/>
      <c r="CTZ30" s="166" t="s">
        <v>70</v>
      </c>
      <c r="CUA30" s="167"/>
      <c r="CUB30" s="167"/>
      <c r="CUC30" s="167"/>
      <c r="CUD30" s="167"/>
      <c r="CUE30" s="167"/>
      <c r="CUF30" s="167"/>
      <c r="CUG30" s="167"/>
      <c r="CUH30" s="167"/>
      <c r="CUI30" s="168"/>
      <c r="CUL30" s="166" t="s">
        <v>70</v>
      </c>
      <c r="CUM30" s="167"/>
      <c r="CUN30" s="167"/>
      <c r="CUO30" s="167"/>
      <c r="CUP30" s="167"/>
      <c r="CUQ30" s="167"/>
      <c r="CUR30" s="167"/>
      <c r="CUS30" s="167"/>
      <c r="CUT30" s="167"/>
      <c r="CUU30" s="168"/>
      <c r="CUX30" s="166" t="s">
        <v>70</v>
      </c>
      <c r="CUY30" s="167"/>
      <c r="CUZ30" s="167"/>
      <c r="CVA30" s="167"/>
      <c r="CVB30" s="167"/>
      <c r="CVC30" s="167"/>
      <c r="CVD30" s="167"/>
      <c r="CVE30" s="167"/>
      <c r="CVF30" s="167"/>
      <c r="CVG30" s="168"/>
      <c r="CVJ30" s="166" t="s">
        <v>70</v>
      </c>
      <c r="CVK30" s="167"/>
      <c r="CVL30" s="167"/>
      <c r="CVM30" s="167"/>
      <c r="CVN30" s="167"/>
      <c r="CVO30" s="167"/>
      <c r="CVP30" s="167"/>
      <c r="CVQ30" s="167"/>
      <c r="CVR30" s="167"/>
      <c r="CVS30" s="168"/>
      <c r="CVV30" s="166" t="s">
        <v>71</v>
      </c>
      <c r="CVW30" s="167"/>
      <c r="CVX30" s="167"/>
      <c r="CVY30" s="167"/>
      <c r="CVZ30" s="167"/>
      <c r="CWA30" s="167"/>
      <c r="CWB30" s="167"/>
      <c r="CWC30" s="167"/>
      <c r="CWD30" s="167"/>
      <c r="CWE30" s="168"/>
    </row>
    <row r="31" spans="1:1023 1026:2631" x14ac:dyDescent="0.25">
      <c r="C31" s="170"/>
      <c r="D31" s="170"/>
      <c r="E31" s="170"/>
      <c r="Q31" s="170"/>
      <c r="R31" s="170"/>
      <c r="S31" s="170"/>
      <c r="AE31" s="170"/>
      <c r="AF31" s="170"/>
      <c r="AG31" s="170"/>
      <c r="AS31" s="170"/>
      <c r="AT31" s="170"/>
      <c r="AU31" s="170"/>
      <c r="BG31" s="170"/>
      <c r="BH31" s="170"/>
      <c r="BI31" s="170"/>
      <c r="BU31" s="170"/>
      <c r="BV31" s="170"/>
      <c r="BW31" s="170"/>
      <c r="CI31" s="170"/>
      <c r="CJ31" s="170"/>
      <c r="CK31" s="170"/>
      <c r="CW31" s="170"/>
      <c r="CX31" s="170"/>
      <c r="CY31" s="170"/>
      <c r="DK31" s="170"/>
      <c r="DL31" s="170"/>
      <c r="DM31" s="170"/>
      <c r="DY31" s="170"/>
      <c r="DZ31" s="170"/>
      <c r="EA31" s="170"/>
      <c r="EM31" s="170"/>
      <c r="EN31" s="170"/>
      <c r="EO31" s="170"/>
      <c r="FA31" s="170"/>
      <c r="FB31" s="170"/>
      <c r="FC31" s="170"/>
      <c r="FO31" s="170"/>
      <c r="FP31" s="170"/>
      <c r="FQ31" s="170"/>
      <c r="GC31" s="170"/>
      <c r="GD31" s="170"/>
      <c r="GE31" s="170"/>
      <c r="GQ31" s="170"/>
      <c r="GR31" s="170"/>
      <c r="GS31" s="170"/>
      <c r="HE31" s="170"/>
      <c r="HF31" s="170"/>
      <c r="HG31" s="170"/>
      <c r="HS31" s="170"/>
      <c r="HT31" s="170"/>
      <c r="HU31" s="170"/>
      <c r="IG31" s="170"/>
      <c r="IH31" s="170"/>
      <c r="II31" s="170"/>
      <c r="IU31" s="170"/>
      <c r="IV31" s="170"/>
      <c r="IW31" s="170"/>
      <c r="JI31" s="170"/>
      <c r="JJ31" s="170"/>
      <c r="JK31" s="170"/>
      <c r="JW31" s="170"/>
      <c r="JX31" s="170"/>
      <c r="JY31" s="170"/>
      <c r="KK31" s="170"/>
      <c r="KL31" s="170"/>
      <c r="KM31" s="170"/>
      <c r="KY31" s="170"/>
      <c r="KZ31" s="170"/>
      <c r="LA31" s="170"/>
      <c r="LM31" s="170"/>
      <c r="LN31" s="170"/>
      <c r="LO31" s="170"/>
      <c r="MA31" s="170"/>
      <c r="MB31" s="170"/>
      <c r="MC31" s="170"/>
      <c r="MO31" s="170"/>
      <c r="MP31" s="170"/>
      <c r="MQ31" s="170"/>
      <c r="NC31" s="170"/>
      <c r="ND31" s="170"/>
      <c r="NE31" s="170"/>
      <c r="NQ31" s="170"/>
      <c r="NR31" s="170"/>
      <c r="NS31" s="170"/>
      <c r="OE31" s="170"/>
      <c r="OF31" s="170"/>
      <c r="OG31" s="170"/>
      <c r="OS31" s="170"/>
      <c r="OT31" s="170"/>
      <c r="OU31" s="170"/>
      <c r="PG31" s="170"/>
      <c r="PH31" s="170"/>
      <c r="PI31" s="170"/>
      <c r="PU31" s="170"/>
      <c r="PV31" s="170"/>
      <c r="PW31" s="170"/>
      <c r="QI31" s="170"/>
      <c r="QJ31" s="170"/>
      <c r="QK31" s="170"/>
      <c r="QW31" s="170"/>
      <c r="QX31" s="170"/>
      <c r="QY31" s="170"/>
      <c r="RK31" s="170"/>
      <c r="RL31" s="170"/>
      <c r="RM31" s="170"/>
      <c r="RY31" s="170"/>
      <c r="RZ31" s="170"/>
      <c r="SA31" s="170"/>
      <c r="SM31" s="170"/>
      <c r="SN31" s="170"/>
      <c r="SO31" s="170"/>
      <c r="TA31" s="170"/>
      <c r="TB31" s="170"/>
      <c r="TC31" s="170"/>
      <c r="TO31" s="170"/>
      <c r="TP31" s="170"/>
      <c r="TQ31" s="170"/>
      <c r="UC31" s="170"/>
      <c r="UD31" s="170"/>
      <c r="UE31" s="170"/>
      <c r="UQ31" s="170"/>
      <c r="UR31" s="170"/>
      <c r="US31" s="170"/>
      <c r="VE31" s="170"/>
      <c r="VF31" s="170"/>
      <c r="VG31" s="170"/>
      <c r="VS31" s="170"/>
      <c r="VT31" s="170"/>
      <c r="VU31" s="170"/>
      <c r="WG31" s="170"/>
      <c r="WH31" s="170"/>
      <c r="WI31" s="170"/>
      <c r="WU31" s="170"/>
      <c r="WV31" s="170"/>
      <c r="WW31" s="170"/>
      <c r="XI31" s="170"/>
      <c r="XJ31" s="170"/>
      <c r="XK31" s="170"/>
      <c r="XW31" s="170"/>
      <c r="XX31" s="170"/>
      <c r="XY31" s="170"/>
      <c r="YK31" s="170"/>
      <c r="YL31" s="170"/>
      <c r="YM31" s="170"/>
      <c r="YY31" s="170"/>
      <c r="YZ31" s="170"/>
      <c r="ZA31" s="170"/>
      <c r="ZM31" s="170"/>
      <c r="ZN31" s="170"/>
      <c r="ZO31" s="170"/>
      <c r="ZZ31" s="171"/>
      <c r="AAA31" s="171"/>
      <c r="AAB31" s="171"/>
      <c r="AAC31" s="171"/>
      <c r="AAD31" s="171"/>
      <c r="AAE31" s="171"/>
      <c r="AAF31" s="171"/>
      <c r="AAG31" s="171"/>
      <c r="AAH31" s="171"/>
      <c r="AAI31" s="171"/>
      <c r="AAM31" s="171"/>
      <c r="AAN31" s="171"/>
      <c r="AAO31" s="171"/>
      <c r="AAP31" s="171"/>
      <c r="AAQ31" s="171"/>
      <c r="AAR31" s="171"/>
      <c r="AAS31" s="171"/>
      <c r="AAT31" s="171"/>
      <c r="AAU31" s="171"/>
      <c r="AAV31" s="171"/>
      <c r="AAZ31" s="171"/>
      <c r="ABA31" s="171"/>
      <c r="ABB31" s="171"/>
      <c r="ABC31" s="171"/>
      <c r="ABD31" s="171"/>
      <c r="ABE31" s="171"/>
      <c r="ABF31" s="171"/>
      <c r="ABG31" s="171"/>
      <c r="ABH31" s="171"/>
      <c r="ABI31" s="171"/>
      <c r="ABM31" s="171"/>
      <c r="ABN31" s="171"/>
      <c r="ABO31" s="171"/>
      <c r="ABP31" s="171"/>
      <c r="ABQ31" s="171"/>
      <c r="ABR31" s="171"/>
      <c r="ABS31" s="171"/>
      <c r="ABT31" s="171"/>
      <c r="ABU31" s="171"/>
      <c r="ABV31" s="171"/>
      <c r="ABZ31" s="171"/>
      <c r="ACA31" s="171"/>
      <c r="ACB31" s="171"/>
      <c r="ACC31" s="171"/>
      <c r="ACD31" s="171"/>
      <c r="ACE31" s="171"/>
      <c r="ACF31" s="171"/>
      <c r="ACG31" s="171"/>
      <c r="ACH31" s="171"/>
      <c r="ACI31" s="171"/>
      <c r="ACM31" s="171"/>
      <c r="ACN31" s="171"/>
      <c r="ACO31" s="171"/>
      <c r="ACP31" s="171"/>
      <c r="ACQ31" s="171"/>
      <c r="ACR31" s="171"/>
      <c r="ACS31" s="171"/>
      <c r="ACT31" s="171"/>
      <c r="ACU31" s="171"/>
      <c r="ACV31" s="171"/>
      <c r="ACZ31" s="171"/>
      <c r="ADA31" s="171"/>
      <c r="ADB31" s="171"/>
      <c r="ADC31" s="171"/>
      <c r="ADD31" s="171"/>
      <c r="ADE31" s="171"/>
      <c r="ADF31" s="171"/>
      <c r="ADG31" s="171"/>
      <c r="ADH31" s="171"/>
      <c r="ADI31" s="171"/>
      <c r="ADM31" s="171"/>
      <c r="ADN31" s="171"/>
      <c r="ADO31" s="171"/>
      <c r="ADP31" s="171"/>
      <c r="ADQ31" s="171"/>
      <c r="ADR31" s="171"/>
      <c r="ADS31" s="171"/>
      <c r="ADT31" s="171"/>
      <c r="ADU31" s="171"/>
      <c r="ADV31" s="171"/>
      <c r="ADZ31" s="171"/>
      <c r="AEA31" s="171"/>
      <c r="AEB31" s="171"/>
      <c r="AEC31" s="171"/>
      <c r="AED31" s="171"/>
      <c r="AEE31" s="171"/>
      <c r="AEF31" s="171"/>
      <c r="AEG31" s="171"/>
      <c r="AEH31" s="171"/>
      <c r="AEI31" s="171"/>
      <c r="AEM31" s="171"/>
      <c r="AEN31" s="171"/>
      <c r="AEO31" s="171"/>
      <c r="AEP31" s="171"/>
      <c r="AEQ31" s="171"/>
      <c r="AER31" s="171"/>
      <c r="AES31" s="171"/>
      <c r="AET31" s="171"/>
      <c r="AEU31" s="171"/>
      <c r="AEV31" s="171"/>
      <c r="AEZ31" s="171"/>
      <c r="AFA31" s="171"/>
      <c r="AFB31" s="171"/>
      <c r="AFC31" s="171"/>
      <c r="AFD31" s="171"/>
      <c r="AFE31" s="171"/>
      <c r="AFF31" s="171"/>
      <c r="AFG31" s="171"/>
      <c r="AFH31" s="171"/>
      <c r="AFI31" s="171"/>
      <c r="AFM31" s="171"/>
      <c r="AFN31" s="171"/>
      <c r="AFO31" s="171"/>
      <c r="AFP31" s="171"/>
      <c r="AFQ31" s="171"/>
      <c r="AFR31" s="171"/>
      <c r="AFS31" s="171"/>
      <c r="AFT31" s="171"/>
      <c r="AFU31" s="171"/>
      <c r="AFV31" s="171"/>
      <c r="AFZ31" s="171"/>
      <c r="AGA31" s="171"/>
      <c r="AGB31" s="171"/>
      <c r="AGC31" s="171"/>
      <c r="AGD31" s="171"/>
      <c r="AGE31" s="171"/>
      <c r="AGF31" s="171"/>
      <c r="AGG31" s="171"/>
      <c r="AGH31" s="171"/>
      <c r="AGI31" s="171"/>
      <c r="AGL31" s="171"/>
      <c r="AGM31" s="171"/>
      <c r="AGN31" s="171"/>
      <c r="AGO31" s="171"/>
      <c r="AGP31" s="171"/>
      <c r="AGQ31" s="171"/>
      <c r="AGR31" s="171"/>
      <c r="AGS31" s="171"/>
      <c r="AGT31" s="171"/>
      <c r="AGU31" s="171"/>
      <c r="AGX31" s="171"/>
      <c r="AGY31" s="171"/>
      <c r="AGZ31" s="171"/>
      <c r="AHA31" s="171"/>
      <c r="AHB31" s="171"/>
      <c r="AHC31" s="171"/>
      <c r="AHD31" s="171"/>
      <c r="AHE31" s="171"/>
      <c r="AHF31" s="171"/>
      <c r="AHG31" s="171"/>
      <c r="AHJ31" s="171"/>
      <c r="AHK31" s="171"/>
      <c r="AHL31" s="171"/>
      <c r="AHM31" s="171"/>
      <c r="AHN31" s="171"/>
      <c r="AHO31" s="171"/>
      <c r="AHP31" s="171"/>
      <c r="AHQ31" s="171"/>
      <c r="AHR31" s="171"/>
      <c r="AHS31" s="171"/>
      <c r="AHV31" s="171"/>
      <c r="AHW31" s="171"/>
      <c r="AHX31" s="171"/>
      <c r="AHY31" s="171"/>
      <c r="AHZ31" s="171"/>
      <c r="AIA31" s="171"/>
      <c r="AIB31" s="171"/>
      <c r="AIC31" s="171"/>
      <c r="AID31" s="171"/>
      <c r="AIE31" s="171"/>
      <c r="AIH31" s="171"/>
      <c r="AII31" s="171"/>
      <c r="AIJ31" s="171"/>
      <c r="AIK31" s="171"/>
      <c r="AIL31" s="171"/>
      <c r="AIM31" s="171"/>
      <c r="AIN31" s="171"/>
      <c r="AIO31" s="171"/>
      <c r="AIP31" s="171"/>
      <c r="AIQ31" s="171"/>
      <c r="AIT31" s="171"/>
      <c r="AIU31" s="171"/>
      <c r="AIV31" s="171"/>
      <c r="AIW31" s="171"/>
      <c r="AIX31" s="171"/>
      <c r="AIY31" s="171"/>
      <c r="AIZ31" s="171"/>
      <c r="AJA31" s="171"/>
      <c r="AJB31" s="171"/>
      <c r="AJC31" s="171"/>
      <c r="AJF31" s="171"/>
      <c r="AJG31" s="171"/>
      <c r="AJH31" s="171"/>
      <c r="AJI31" s="171"/>
      <c r="AJJ31" s="171"/>
      <c r="AJK31" s="171"/>
      <c r="AJL31" s="171"/>
      <c r="AJM31" s="171"/>
      <c r="AJN31" s="171"/>
      <c r="AJO31" s="171"/>
      <c r="AJR31" s="171"/>
      <c r="AJS31" s="171"/>
      <c r="AJT31" s="171"/>
      <c r="AJU31" s="171"/>
      <c r="AJV31" s="171"/>
      <c r="AJW31" s="171"/>
      <c r="AJX31" s="171"/>
      <c r="AJY31" s="171"/>
      <c r="AJZ31" s="171"/>
      <c r="AKA31" s="171"/>
      <c r="AKD31" s="171"/>
      <c r="AKE31" s="171"/>
      <c r="AKF31" s="171"/>
      <c r="AKG31" s="171"/>
      <c r="AKH31" s="171"/>
      <c r="AKI31" s="171"/>
      <c r="AKJ31" s="171"/>
      <c r="AKK31" s="171"/>
      <c r="AKL31" s="171"/>
      <c r="AKM31" s="171"/>
      <c r="AKP31" s="171"/>
      <c r="AKQ31" s="171"/>
      <c r="AKR31" s="171"/>
      <c r="AKS31" s="171"/>
      <c r="AKT31" s="171"/>
      <c r="AKU31" s="171"/>
      <c r="AKV31" s="171"/>
      <c r="AKW31" s="171"/>
      <c r="AKX31" s="171"/>
      <c r="AKY31" s="171"/>
      <c r="ALB31" s="171"/>
      <c r="ALC31" s="171"/>
      <c r="ALD31" s="171"/>
      <c r="ALE31" s="171"/>
      <c r="ALF31" s="171"/>
      <c r="ALG31" s="171"/>
      <c r="ALH31" s="171"/>
      <c r="ALI31" s="171"/>
      <c r="ALJ31" s="171"/>
      <c r="ALK31" s="171"/>
      <c r="ALN31" s="171"/>
      <c r="ALO31" s="171"/>
      <c r="ALP31" s="171"/>
      <c r="ALQ31" s="171"/>
      <c r="ALR31" s="171"/>
      <c r="ALS31" s="171"/>
      <c r="ALT31" s="171"/>
      <c r="ALU31" s="171"/>
      <c r="ALV31" s="171"/>
      <c r="ALW31" s="171"/>
      <c r="ALZ31" s="171"/>
      <c r="AMA31" s="171"/>
      <c r="AMB31" s="171"/>
      <c r="AMC31" s="171"/>
      <c r="AMD31" s="171"/>
      <c r="AME31" s="171"/>
      <c r="AMF31" s="171"/>
      <c r="AMG31" s="171"/>
      <c r="AMH31" s="171"/>
      <c r="AMI31" s="171"/>
      <c r="AML31" s="171"/>
      <c r="AMM31" s="171"/>
      <c r="AMN31" s="171"/>
      <c r="AMO31" s="171"/>
      <c r="AMP31" s="171"/>
      <c r="AMQ31" s="171"/>
      <c r="AMR31" s="171"/>
      <c r="AMS31" s="171"/>
      <c r="AMT31" s="171"/>
      <c r="AMU31" s="171"/>
      <c r="AMX31" s="171"/>
      <c r="AMY31" s="171"/>
      <c r="AMZ31" s="171"/>
      <c r="ANA31" s="171"/>
      <c r="ANB31" s="171"/>
      <c r="ANC31" s="171"/>
      <c r="AND31" s="171"/>
      <c r="ANE31" s="171"/>
      <c r="ANF31" s="171"/>
      <c r="ANG31" s="171"/>
      <c r="ANJ31" s="171"/>
      <c r="ANK31" s="171"/>
      <c r="ANL31" s="171"/>
      <c r="ANM31" s="171"/>
      <c r="ANN31" s="171"/>
      <c r="ANO31" s="171"/>
      <c r="ANP31" s="171"/>
      <c r="ANQ31" s="171"/>
      <c r="ANR31" s="171"/>
      <c r="ANS31" s="171"/>
      <c r="ANV31" s="171"/>
      <c r="ANW31" s="171"/>
      <c r="ANX31" s="171"/>
      <c r="ANY31" s="171"/>
      <c r="ANZ31" s="171"/>
      <c r="AOA31" s="171"/>
      <c r="AOB31" s="171"/>
      <c r="AOC31" s="171"/>
      <c r="AOD31" s="171"/>
      <c r="AOE31" s="171"/>
      <c r="AOH31" s="171"/>
      <c r="AOI31" s="171"/>
      <c r="AOJ31" s="171"/>
      <c r="AOK31" s="171"/>
      <c r="AOL31" s="171"/>
      <c r="AOM31" s="171"/>
      <c r="AON31" s="171"/>
      <c r="AOO31" s="171"/>
      <c r="AOP31" s="171"/>
      <c r="AOQ31" s="171"/>
      <c r="AOT31" s="171"/>
      <c r="AOU31" s="171"/>
      <c r="AOV31" s="171"/>
      <c r="AOW31" s="171"/>
      <c r="AOX31" s="171"/>
      <c r="AOY31" s="171"/>
      <c r="AOZ31" s="171"/>
      <c r="APA31" s="171"/>
      <c r="APB31" s="171"/>
      <c r="APC31" s="171"/>
      <c r="APF31" s="171"/>
      <c r="APG31" s="171"/>
      <c r="APH31" s="171"/>
      <c r="API31" s="171"/>
      <c r="APJ31" s="171"/>
      <c r="APK31" s="171"/>
      <c r="APL31" s="171"/>
      <c r="APM31" s="171"/>
      <c r="APN31" s="171"/>
      <c r="APO31" s="171"/>
      <c r="APR31" s="171"/>
      <c r="APS31" s="171"/>
      <c r="APT31" s="171"/>
      <c r="APU31" s="171"/>
      <c r="APV31" s="171"/>
      <c r="APW31" s="171"/>
      <c r="APX31" s="171"/>
      <c r="APY31" s="171"/>
      <c r="APZ31" s="171"/>
      <c r="AQA31" s="171"/>
      <c r="AQD31" s="171"/>
      <c r="AQE31" s="171"/>
      <c r="AQF31" s="171"/>
      <c r="AQG31" s="171"/>
      <c r="AQH31" s="171"/>
      <c r="AQI31" s="171"/>
      <c r="AQJ31" s="171"/>
      <c r="AQK31" s="171"/>
      <c r="AQL31" s="171"/>
      <c r="AQM31" s="171"/>
      <c r="AQP31" s="171"/>
      <c r="AQQ31" s="171"/>
      <c r="AQR31" s="171"/>
      <c r="AQS31" s="171"/>
      <c r="AQT31" s="171"/>
      <c r="AQU31" s="171"/>
      <c r="AQV31" s="171"/>
      <c r="AQW31" s="171"/>
      <c r="AQX31" s="171"/>
      <c r="AQY31" s="171"/>
      <c r="ARB31" s="171"/>
      <c r="ARC31" s="171"/>
      <c r="ARD31" s="171"/>
      <c r="ARE31" s="171"/>
      <c r="ARF31" s="171"/>
      <c r="ARG31" s="171"/>
      <c r="ARH31" s="171"/>
      <c r="ARI31" s="171"/>
      <c r="ARJ31" s="171"/>
      <c r="ARK31" s="171"/>
      <c r="ARN31" s="171"/>
      <c r="ARO31" s="171"/>
      <c r="ARP31" s="171"/>
      <c r="ARQ31" s="171"/>
      <c r="ARR31" s="171"/>
      <c r="ARS31" s="171"/>
      <c r="ART31" s="171"/>
      <c r="ARU31" s="171"/>
      <c r="ARV31" s="171"/>
      <c r="ARW31" s="171"/>
      <c r="ARZ31" s="171"/>
      <c r="ASA31" s="171"/>
      <c r="ASB31" s="171"/>
      <c r="ASC31" s="171"/>
      <c r="ASD31" s="171"/>
      <c r="ASE31" s="171"/>
      <c r="ASF31" s="171"/>
      <c r="ASG31" s="171"/>
      <c r="ASH31" s="171"/>
      <c r="ASI31" s="171"/>
      <c r="ASL31" s="171"/>
      <c r="ASM31" s="171"/>
      <c r="ASN31" s="171"/>
      <c r="ASO31" s="171"/>
      <c r="ASP31" s="171"/>
      <c r="ASQ31" s="171"/>
      <c r="ASR31" s="171"/>
      <c r="ASS31" s="171"/>
      <c r="AST31" s="171"/>
      <c r="ASU31" s="171"/>
      <c r="ASX31" s="171"/>
      <c r="ASY31" s="171"/>
      <c r="ASZ31" s="171"/>
      <c r="ATA31" s="171"/>
      <c r="ATB31" s="171"/>
      <c r="ATC31" s="171"/>
      <c r="ATD31" s="171"/>
      <c r="ATE31" s="171"/>
      <c r="ATF31" s="171"/>
      <c r="ATG31" s="171"/>
      <c r="ATJ31" s="171"/>
      <c r="ATK31" s="171"/>
      <c r="ATL31" s="171"/>
      <c r="ATM31" s="171"/>
      <c r="ATN31" s="171"/>
      <c r="ATO31" s="171"/>
      <c r="ATP31" s="171"/>
      <c r="ATQ31" s="171"/>
      <c r="ATR31" s="171"/>
      <c r="ATS31" s="171"/>
      <c r="ATV31" s="171"/>
      <c r="ATW31" s="171"/>
      <c r="ATX31" s="171"/>
      <c r="ATY31" s="171"/>
      <c r="ATZ31" s="171"/>
      <c r="AUA31" s="171"/>
      <c r="AUB31" s="171"/>
      <c r="AUC31" s="171"/>
      <c r="AUD31" s="171"/>
      <c r="AUE31" s="171"/>
      <c r="AUH31" s="171"/>
      <c r="AUI31" s="171"/>
      <c r="AUJ31" s="171"/>
      <c r="AUK31" s="171"/>
      <c r="AUL31" s="171"/>
      <c r="AUM31" s="171"/>
      <c r="AUN31" s="171"/>
      <c r="AUO31" s="171"/>
      <c r="AUP31" s="171"/>
      <c r="AUQ31" s="171"/>
      <c r="AUT31" s="171"/>
      <c r="AUU31" s="171"/>
      <c r="AUV31" s="171"/>
      <c r="AUW31" s="171"/>
      <c r="AUX31" s="171"/>
      <c r="AUY31" s="171"/>
      <c r="AUZ31" s="171"/>
      <c r="AVA31" s="171"/>
      <c r="AVB31" s="171"/>
      <c r="AVC31" s="171"/>
      <c r="AVF31" s="171"/>
      <c r="AVG31" s="171"/>
      <c r="AVH31" s="171"/>
      <c r="AVI31" s="171"/>
      <c r="AVJ31" s="171"/>
      <c r="AVK31" s="171"/>
      <c r="AVL31" s="171"/>
      <c r="AVM31" s="171"/>
      <c r="AVN31" s="171"/>
      <c r="AVO31" s="171"/>
      <c r="AVR31" s="171"/>
      <c r="AVS31" s="171"/>
      <c r="AVT31" s="171"/>
      <c r="AVU31" s="171"/>
      <c r="AVV31" s="171"/>
      <c r="AVW31" s="171"/>
      <c r="AVX31" s="171"/>
      <c r="AVY31" s="171"/>
      <c r="AVZ31" s="171"/>
      <c r="AWA31" s="171"/>
      <c r="AWD31" s="171"/>
      <c r="AWE31" s="171"/>
      <c r="AWF31" s="171"/>
      <c r="AWG31" s="171"/>
      <c r="AWH31" s="171"/>
      <c r="AWI31" s="171"/>
      <c r="AWJ31" s="171"/>
      <c r="AWK31" s="171"/>
      <c r="AWL31" s="171"/>
      <c r="AWM31" s="171"/>
      <c r="AWP31" s="171"/>
      <c r="AWQ31" s="171"/>
      <c r="AWR31" s="171"/>
      <c r="AWS31" s="171"/>
      <c r="AWT31" s="171"/>
      <c r="AWU31" s="171"/>
      <c r="AWV31" s="171"/>
      <c r="AWW31" s="171"/>
      <c r="AWX31" s="171"/>
      <c r="AWY31" s="171"/>
      <c r="AXB31" s="171"/>
      <c r="AXC31" s="171"/>
      <c r="AXD31" s="171"/>
      <c r="AXE31" s="171"/>
      <c r="AXF31" s="171"/>
      <c r="AXG31" s="171"/>
      <c r="AXH31" s="171"/>
      <c r="AXI31" s="171"/>
      <c r="AXJ31" s="171"/>
      <c r="AXK31" s="171"/>
      <c r="AXN31" s="171"/>
      <c r="AXO31" s="171"/>
      <c r="AXP31" s="171"/>
      <c r="AXQ31" s="171"/>
      <c r="AXR31" s="171"/>
      <c r="AXS31" s="171"/>
      <c r="AXT31" s="171"/>
      <c r="AXU31" s="171"/>
      <c r="AXV31" s="171"/>
      <c r="AXW31" s="171"/>
      <c r="AXZ31" s="171"/>
      <c r="AYA31" s="171"/>
      <c r="AYB31" s="171"/>
      <c r="AYC31" s="171"/>
      <c r="AYD31" s="171"/>
      <c r="AYE31" s="171"/>
      <c r="AYF31" s="171"/>
      <c r="AYG31" s="171"/>
      <c r="AYH31" s="171"/>
      <c r="AYI31" s="171"/>
      <c r="AYL31" s="171"/>
      <c r="AYM31" s="171"/>
      <c r="AYN31" s="171"/>
      <c r="AYO31" s="171"/>
      <c r="AYP31" s="171"/>
      <c r="AYQ31" s="171"/>
      <c r="AYR31" s="171"/>
      <c r="AYS31" s="171"/>
      <c r="AYT31" s="171"/>
      <c r="AYU31" s="171"/>
      <c r="AYX31" s="171"/>
      <c r="AYY31" s="171"/>
      <c r="AYZ31" s="171"/>
      <c r="AZA31" s="171"/>
      <c r="AZB31" s="171"/>
      <c r="AZC31" s="171"/>
      <c r="AZD31" s="171"/>
      <c r="AZE31" s="171"/>
      <c r="AZF31" s="171"/>
      <c r="AZG31" s="171"/>
      <c r="AZJ31" s="171"/>
      <c r="AZK31" s="171"/>
      <c r="AZL31" s="171"/>
      <c r="AZM31" s="171"/>
      <c r="AZN31" s="171"/>
      <c r="AZO31" s="171"/>
      <c r="AZP31" s="171"/>
      <c r="AZQ31" s="171"/>
      <c r="AZR31" s="171"/>
      <c r="AZS31" s="171"/>
      <c r="AZV31" s="171"/>
      <c r="AZW31" s="171"/>
      <c r="AZX31" s="171"/>
      <c r="AZY31" s="171"/>
      <c r="AZZ31" s="171"/>
      <c r="BAA31" s="171"/>
      <c r="BAB31" s="171"/>
      <c r="BAC31" s="171"/>
      <c r="BAD31" s="171"/>
      <c r="BAE31" s="171"/>
      <c r="BAH31" s="171"/>
      <c r="BAI31" s="171"/>
      <c r="BAJ31" s="171"/>
      <c r="BAK31" s="171"/>
      <c r="BAL31" s="171"/>
      <c r="BAM31" s="171"/>
      <c r="BAN31" s="171"/>
      <c r="BAO31" s="171"/>
      <c r="BAP31" s="171"/>
      <c r="BAQ31" s="171"/>
      <c r="BAT31" s="171"/>
      <c r="BAU31" s="171"/>
      <c r="BAV31" s="171"/>
      <c r="BAW31" s="171"/>
      <c r="BAX31" s="171"/>
      <c r="BAY31" s="171"/>
      <c r="BAZ31" s="171"/>
      <c r="BBA31" s="171"/>
      <c r="BBB31" s="171"/>
      <c r="BBC31" s="171"/>
      <c r="BBF31" s="171"/>
      <c r="BBG31" s="171"/>
      <c r="BBH31" s="171"/>
      <c r="BBI31" s="171"/>
      <c r="BBJ31" s="171"/>
      <c r="BBK31" s="171"/>
      <c r="BBL31" s="171"/>
      <c r="BBM31" s="171"/>
      <c r="BBN31" s="171"/>
      <c r="BBO31" s="171"/>
      <c r="BBR31" s="171"/>
      <c r="BBS31" s="171"/>
      <c r="BBT31" s="171"/>
      <c r="BBU31" s="171"/>
      <c r="BBV31" s="171"/>
      <c r="BBW31" s="171"/>
      <c r="BBX31" s="171"/>
      <c r="BBY31" s="171"/>
      <c r="BBZ31" s="171"/>
      <c r="BCA31" s="171"/>
      <c r="BCD31" s="171"/>
      <c r="BCE31" s="171"/>
      <c r="BCF31" s="171"/>
      <c r="BCG31" s="171"/>
      <c r="BCH31" s="171"/>
      <c r="BCI31" s="171"/>
      <c r="BCJ31" s="171"/>
      <c r="BCK31" s="171"/>
      <c r="BCL31" s="171"/>
      <c r="BCM31" s="171"/>
      <c r="BCP31" s="171"/>
      <c r="BCQ31" s="171"/>
      <c r="BCR31" s="171"/>
      <c r="BCS31" s="171"/>
      <c r="BCT31" s="171"/>
      <c r="BCU31" s="171"/>
      <c r="BCV31" s="171"/>
      <c r="BCW31" s="171"/>
      <c r="BCX31" s="171"/>
      <c r="BCY31" s="171"/>
      <c r="BDB31" s="171"/>
      <c r="BDC31" s="171"/>
      <c r="BDD31" s="171"/>
      <c r="BDE31" s="171"/>
      <c r="BDF31" s="171"/>
      <c r="BDG31" s="171"/>
      <c r="BDH31" s="171"/>
      <c r="BDI31" s="171"/>
      <c r="BDJ31" s="171"/>
      <c r="BDK31" s="171"/>
      <c r="BDN31" s="171"/>
      <c r="BDO31" s="171"/>
      <c r="BDP31" s="171"/>
      <c r="BDQ31" s="171"/>
      <c r="BDR31" s="171"/>
      <c r="BDS31" s="171"/>
      <c r="BDT31" s="171"/>
      <c r="BDU31" s="171"/>
      <c r="BDV31" s="171"/>
      <c r="BDW31" s="171"/>
      <c r="BDZ31" s="171"/>
      <c r="BEA31" s="171"/>
      <c r="BEB31" s="171"/>
      <c r="BEC31" s="171"/>
      <c r="BED31" s="171"/>
      <c r="BEE31" s="171"/>
      <c r="BEF31" s="171"/>
      <c r="BEG31" s="171"/>
      <c r="BEH31" s="171"/>
      <c r="BEI31" s="171"/>
      <c r="BEL31" s="171"/>
      <c r="BEM31" s="171"/>
      <c r="BEN31" s="171"/>
      <c r="BEO31" s="171"/>
      <c r="BEP31" s="171"/>
      <c r="BEQ31" s="171"/>
      <c r="BER31" s="171"/>
      <c r="BES31" s="171"/>
      <c r="BET31" s="171"/>
      <c r="BEU31" s="171"/>
      <c r="BEX31" s="171"/>
      <c r="BEY31" s="171"/>
      <c r="BEZ31" s="171"/>
      <c r="BFA31" s="171"/>
      <c r="BFB31" s="171"/>
      <c r="BFC31" s="171"/>
      <c r="BFD31" s="171"/>
      <c r="BFE31" s="171"/>
      <c r="BFF31" s="171"/>
      <c r="BFG31" s="171"/>
      <c r="BFJ31" s="171"/>
      <c r="BFK31" s="171"/>
      <c r="BFL31" s="171"/>
      <c r="BFM31" s="171"/>
      <c r="BFN31" s="171"/>
      <c r="BFO31" s="171"/>
      <c r="BFP31" s="171"/>
      <c r="BFQ31" s="171"/>
      <c r="BFR31" s="171"/>
      <c r="BFS31" s="171"/>
      <c r="BFV31" s="171"/>
      <c r="BFW31" s="171"/>
      <c r="BFX31" s="171"/>
      <c r="BFY31" s="171"/>
      <c r="BFZ31" s="171"/>
      <c r="BGA31" s="171"/>
      <c r="BGB31" s="171"/>
      <c r="BGC31" s="171"/>
      <c r="BGD31" s="171"/>
      <c r="BGE31" s="171"/>
      <c r="BGH31" s="171"/>
      <c r="BGI31" s="171"/>
      <c r="BGJ31" s="171"/>
      <c r="BGK31" s="171"/>
      <c r="BGL31" s="171"/>
      <c r="BGM31" s="171"/>
      <c r="BGN31" s="171"/>
      <c r="BGO31" s="171"/>
      <c r="BGP31" s="171"/>
      <c r="BGQ31" s="171"/>
      <c r="BGT31" s="171"/>
      <c r="BGU31" s="171"/>
      <c r="BGV31" s="171"/>
      <c r="BGW31" s="171"/>
      <c r="BGX31" s="171"/>
      <c r="BGY31" s="171"/>
      <c r="BGZ31" s="171"/>
      <c r="BHA31" s="171"/>
      <c r="BHB31" s="171"/>
      <c r="BHC31" s="171"/>
      <c r="BHF31" s="171"/>
      <c r="BHG31" s="171"/>
      <c r="BHH31" s="171"/>
      <c r="BHI31" s="171"/>
      <c r="BHJ31" s="171"/>
      <c r="BHK31" s="171"/>
      <c r="BHL31" s="171"/>
      <c r="BHM31" s="171"/>
      <c r="BHN31" s="171"/>
      <c r="BHO31" s="171"/>
      <c r="BHR31" s="172"/>
      <c r="BHS31" s="172"/>
      <c r="BHT31" s="172"/>
      <c r="BHU31" s="172"/>
      <c r="BHV31" s="172"/>
      <c r="BHW31" s="172"/>
      <c r="BHX31" s="172"/>
      <c r="BHY31" s="172"/>
      <c r="BHZ31" s="172"/>
      <c r="BIA31" s="172"/>
      <c r="BID31" s="172"/>
      <c r="BIE31" s="172"/>
      <c r="BIF31" s="172"/>
      <c r="BIG31" s="172"/>
      <c r="BIH31" s="172"/>
      <c r="BII31" s="172"/>
      <c r="BIJ31" s="172"/>
      <c r="BIK31" s="172"/>
      <c r="BIL31" s="172"/>
      <c r="BIM31" s="172"/>
      <c r="BIP31" s="172"/>
      <c r="BIQ31" s="172"/>
      <c r="BIR31" s="172"/>
      <c r="BIS31" s="172"/>
      <c r="BIT31" s="172"/>
      <c r="BIU31" s="172"/>
      <c r="BIV31" s="172"/>
      <c r="BIW31" s="172"/>
      <c r="BIX31" s="172"/>
      <c r="BIY31" s="172"/>
      <c r="BJB31" s="172"/>
      <c r="BJC31" s="172"/>
      <c r="BJD31" s="172"/>
      <c r="BJE31" s="172"/>
      <c r="BJF31" s="172"/>
      <c r="BJG31" s="172"/>
      <c r="BJH31" s="172"/>
      <c r="BJI31" s="172"/>
      <c r="BJJ31" s="172"/>
      <c r="BJK31" s="172"/>
      <c r="BJN31" s="172"/>
      <c r="BJO31" s="172"/>
      <c r="BJP31" s="172"/>
      <c r="BJQ31" s="172"/>
      <c r="BJR31" s="172"/>
      <c r="BJS31" s="172"/>
      <c r="BJT31" s="172"/>
      <c r="BJU31" s="172"/>
      <c r="BJV31" s="172"/>
      <c r="BJW31" s="172"/>
      <c r="BJZ31" s="172"/>
      <c r="BKA31" s="172"/>
      <c r="BKB31" s="172"/>
      <c r="BKC31" s="172"/>
      <c r="BKD31" s="172"/>
      <c r="BKE31" s="172"/>
      <c r="BKF31" s="172"/>
      <c r="BKG31" s="172"/>
      <c r="BKH31" s="172"/>
      <c r="BKI31" s="172"/>
      <c r="BKL31" s="172"/>
      <c r="BKM31" s="172"/>
      <c r="BKN31" s="172"/>
      <c r="BKO31" s="172"/>
      <c r="BKP31" s="172"/>
      <c r="BKQ31" s="172"/>
      <c r="BKR31" s="172"/>
      <c r="BKS31" s="172"/>
      <c r="BKT31" s="172"/>
      <c r="BKU31" s="172"/>
      <c r="BKX31" s="172"/>
      <c r="BKY31" s="172"/>
      <c r="BKZ31" s="172"/>
      <c r="BLA31" s="172"/>
      <c r="BLB31" s="172"/>
      <c r="BLC31" s="172"/>
      <c r="BLD31" s="172"/>
      <c r="BLE31" s="172"/>
      <c r="BLF31" s="172"/>
      <c r="BLG31" s="172"/>
      <c r="BLJ31" s="172"/>
      <c r="BLK31" s="172"/>
      <c r="BLL31" s="172"/>
      <c r="BLM31" s="172"/>
      <c r="BLN31" s="172"/>
      <c r="BLO31" s="172"/>
      <c r="BLP31" s="172"/>
      <c r="BLQ31" s="172"/>
      <c r="BLR31" s="172"/>
      <c r="BLS31" s="172"/>
      <c r="BLV31" s="172"/>
      <c r="BLW31" s="172"/>
      <c r="BLX31" s="172"/>
      <c r="BLY31" s="172"/>
      <c r="BLZ31" s="172"/>
      <c r="BMA31" s="172"/>
      <c r="BMB31" s="172"/>
      <c r="BMC31" s="172"/>
      <c r="BMD31" s="172"/>
      <c r="BME31" s="172"/>
      <c r="BMH31" s="172"/>
      <c r="BMI31" s="172"/>
      <c r="BMJ31" s="172"/>
      <c r="BMK31" s="172"/>
      <c r="BML31" s="172"/>
      <c r="BMM31" s="172"/>
      <c r="BMN31" s="172"/>
      <c r="BMO31" s="172"/>
      <c r="BMP31" s="172"/>
      <c r="BMQ31" s="172"/>
      <c r="BMT31" s="172"/>
      <c r="BMU31" s="172"/>
      <c r="BMV31" s="172"/>
      <c r="BMW31" s="172"/>
      <c r="BMX31" s="172"/>
      <c r="BMY31" s="172"/>
      <c r="BMZ31" s="172"/>
      <c r="BNA31" s="172"/>
      <c r="BNB31" s="172"/>
      <c r="BNC31" s="172"/>
      <c r="BNF31" s="172"/>
      <c r="BNG31" s="172"/>
      <c r="BNH31" s="172"/>
      <c r="BNI31" s="172"/>
      <c r="BNJ31" s="172"/>
      <c r="BNK31" s="172"/>
      <c r="BNL31" s="172"/>
      <c r="BNM31" s="172"/>
      <c r="BNN31" s="172"/>
      <c r="BNO31" s="172"/>
      <c r="BNR31" s="172"/>
      <c r="BNS31" s="172"/>
      <c r="BNT31" s="172"/>
      <c r="BNU31" s="172"/>
      <c r="BNV31" s="172"/>
      <c r="BNW31" s="172"/>
      <c r="BNX31" s="172"/>
      <c r="BNY31" s="172"/>
      <c r="BNZ31" s="172"/>
      <c r="BOA31" s="172"/>
      <c r="BOD31" s="172"/>
      <c r="BOE31" s="172"/>
      <c r="BOF31" s="172"/>
      <c r="BOG31" s="172"/>
      <c r="BOH31" s="172"/>
      <c r="BOI31" s="172"/>
      <c r="BOJ31" s="172"/>
      <c r="BOK31" s="172"/>
      <c r="BOL31" s="172"/>
      <c r="BOM31" s="172"/>
      <c r="BOP31" s="172"/>
      <c r="BOQ31" s="172"/>
      <c r="BOR31" s="172"/>
      <c r="BOS31" s="172"/>
      <c r="BOT31" s="172"/>
      <c r="BOU31" s="172"/>
      <c r="BOV31" s="172"/>
      <c r="BOW31" s="172"/>
      <c r="BOX31" s="172"/>
      <c r="BOY31" s="172"/>
      <c r="BPB31" s="172"/>
      <c r="BPC31" s="172"/>
      <c r="BPD31" s="172"/>
      <c r="BPE31" s="172"/>
      <c r="BPF31" s="172"/>
      <c r="BPG31" s="172"/>
      <c r="BPH31" s="172"/>
      <c r="BPI31" s="172"/>
      <c r="BPJ31" s="172"/>
      <c r="BPK31" s="172"/>
      <c r="BPN31" s="172"/>
      <c r="BPO31" s="172"/>
      <c r="BPP31" s="172"/>
      <c r="BPQ31" s="172"/>
      <c r="BPR31" s="172"/>
      <c r="BPS31" s="172"/>
      <c r="BPT31" s="172"/>
      <c r="BPU31" s="172"/>
      <c r="BPV31" s="172"/>
      <c r="BPW31" s="172"/>
      <c r="BPZ31" s="172"/>
      <c r="BQA31" s="172"/>
      <c r="BQB31" s="172"/>
      <c r="BQC31" s="172"/>
      <c r="BQD31" s="172"/>
      <c r="BQE31" s="172"/>
      <c r="BQF31" s="172"/>
      <c r="BQG31" s="172"/>
      <c r="BQH31" s="172"/>
      <c r="BQI31" s="172"/>
      <c r="BQL31" s="172"/>
      <c r="BQM31" s="172"/>
      <c r="BQN31" s="172"/>
      <c r="BQO31" s="172"/>
      <c r="BQP31" s="172"/>
      <c r="BQQ31" s="172"/>
      <c r="BQR31" s="172"/>
      <c r="BQS31" s="172"/>
      <c r="BQT31" s="172"/>
      <c r="BQU31" s="172"/>
      <c r="BQX31" s="172"/>
      <c r="BQY31" s="172"/>
      <c r="BQZ31" s="172"/>
      <c r="BRA31" s="172"/>
      <c r="BRB31" s="172"/>
      <c r="BRC31" s="172"/>
      <c r="BRD31" s="172"/>
      <c r="BRE31" s="172"/>
      <c r="BRF31" s="172"/>
      <c r="BRG31" s="172"/>
      <c r="BRJ31" s="172"/>
      <c r="BRK31" s="172"/>
      <c r="BRL31" s="172"/>
      <c r="BRM31" s="172"/>
      <c r="BRN31" s="172"/>
      <c r="BRO31" s="172"/>
      <c r="BRP31" s="172"/>
      <c r="BRQ31" s="172"/>
      <c r="BRR31" s="172"/>
      <c r="BRS31" s="172"/>
      <c r="BRV31" s="172"/>
      <c r="BRW31" s="172"/>
      <c r="BRX31" s="172"/>
      <c r="BRY31" s="172"/>
      <c r="BRZ31" s="172"/>
      <c r="BSA31" s="172"/>
      <c r="BSB31" s="172"/>
      <c r="BSC31" s="172"/>
      <c r="BSD31" s="172"/>
      <c r="BSE31" s="172"/>
      <c r="BSH31" s="172"/>
      <c r="BSI31" s="172"/>
      <c r="BSJ31" s="172"/>
      <c r="BSK31" s="172"/>
      <c r="BSL31" s="172"/>
      <c r="BSM31" s="172"/>
      <c r="BSN31" s="172"/>
      <c r="BSO31" s="172"/>
      <c r="BSP31" s="172"/>
      <c r="BSQ31" s="172"/>
      <c r="BST31" s="172"/>
      <c r="BSU31" s="172"/>
      <c r="BSV31" s="172"/>
      <c r="BSW31" s="172"/>
      <c r="BSX31" s="172"/>
      <c r="BSY31" s="172"/>
      <c r="BSZ31" s="172"/>
      <c r="BTA31" s="172"/>
      <c r="BTB31" s="172"/>
      <c r="BTC31" s="172"/>
      <c r="BTF31" s="172"/>
      <c r="BTG31" s="172"/>
      <c r="BTH31" s="172"/>
      <c r="BTI31" s="172"/>
      <c r="BTJ31" s="172"/>
      <c r="BTK31" s="172"/>
      <c r="BTL31" s="172"/>
      <c r="BTM31" s="172"/>
      <c r="BTN31" s="172"/>
      <c r="BTO31" s="172"/>
      <c r="BTR31" s="172"/>
      <c r="BTS31" s="172"/>
      <c r="BTT31" s="172"/>
      <c r="BTU31" s="172"/>
      <c r="BTV31" s="172"/>
      <c r="BTW31" s="172"/>
      <c r="BTX31" s="172"/>
      <c r="BTY31" s="172"/>
      <c r="BTZ31" s="172"/>
      <c r="BUA31" s="172"/>
      <c r="BUD31" s="172"/>
      <c r="BUE31" s="172"/>
      <c r="BUF31" s="172"/>
      <c r="BUG31" s="172"/>
      <c r="BUH31" s="172"/>
      <c r="BUI31" s="172"/>
      <c r="BUJ31" s="172"/>
      <c r="BUK31" s="172"/>
      <c r="BUL31" s="172"/>
      <c r="BUM31" s="172"/>
      <c r="BUP31" s="172"/>
      <c r="BUQ31" s="172"/>
      <c r="BUR31" s="172"/>
      <c r="BUS31" s="172"/>
      <c r="BUT31" s="172"/>
      <c r="BUU31" s="172"/>
      <c r="BUV31" s="172"/>
      <c r="BUW31" s="172"/>
      <c r="BUX31" s="172"/>
      <c r="BUY31" s="172"/>
      <c r="BVB31" s="172"/>
      <c r="BVC31" s="172"/>
      <c r="BVD31" s="172"/>
      <c r="BVE31" s="172"/>
      <c r="BVF31" s="172"/>
      <c r="BVG31" s="172"/>
      <c r="BVH31" s="172"/>
      <c r="BVI31" s="172"/>
      <c r="BVJ31" s="172"/>
      <c r="BVK31" s="172"/>
      <c r="BVN31" s="172"/>
      <c r="BVO31" s="172"/>
      <c r="BVP31" s="172"/>
      <c r="BVQ31" s="172"/>
      <c r="BVR31" s="172"/>
      <c r="BVS31" s="172"/>
      <c r="BVT31" s="172"/>
      <c r="BVU31" s="172"/>
      <c r="BVV31" s="172"/>
      <c r="BVW31" s="172"/>
      <c r="BVZ31" s="172"/>
      <c r="BWA31" s="172"/>
      <c r="BWB31" s="172"/>
      <c r="BWC31" s="172"/>
      <c r="BWD31" s="172"/>
      <c r="BWE31" s="172"/>
      <c r="BWF31" s="172"/>
      <c r="BWG31" s="172"/>
      <c r="BWH31" s="172"/>
      <c r="BWI31" s="172"/>
      <c r="BWL31" s="172"/>
      <c r="BWM31" s="172"/>
      <c r="BWN31" s="172"/>
      <c r="BWO31" s="172"/>
      <c r="BWP31" s="172"/>
      <c r="BWQ31" s="172"/>
      <c r="BWR31" s="172"/>
      <c r="BWS31" s="172"/>
      <c r="BWT31" s="172"/>
      <c r="BWU31" s="172"/>
      <c r="BWX31" s="172"/>
      <c r="BWY31" s="172"/>
      <c r="BWZ31" s="172"/>
      <c r="BXA31" s="172"/>
      <c r="BXB31" s="172"/>
      <c r="BXC31" s="172"/>
      <c r="BXD31" s="172"/>
      <c r="BXE31" s="172"/>
      <c r="BXF31" s="172"/>
      <c r="BXG31" s="172"/>
      <c r="BXJ31" s="172"/>
      <c r="BXK31" s="172"/>
      <c r="BXL31" s="172"/>
      <c r="BXM31" s="172"/>
      <c r="BXN31" s="172"/>
      <c r="BXO31" s="172"/>
      <c r="BXP31" s="172"/>
      <c r="BXQ31" s="172"/>
      <c r="BXR31" s="172"/>
      <c r="BXS31" s="172"/>
      <c r="BXV31" s="172"/>
      <c r="BXW31" s="172"/>
      <c r="BXX31" s="172"/>
      <c r="BXY31" s="172"/>
      <c r="BXZ31" s="172"/>
      <c r="BYA31" s="172"/>
      <c r="BYB31" s="172"/>
      <c r="BYC31" s="172"/>
      <c r="BYD31" s="172"/>
      <c r="BYE31" s="172"/>
      <c r="BYH31" s="172"/>
      <c r="BYI31" s="172"/>
      <c r="BYJ31" s="172"/>
      <c r="BYK31" s="172"/>
      <c r="BYL31" s="172"/>
      <c r="BYM31" s="172"/>
      <c r="BYN31" s="172"/>
      <c r="BYO31" s="172"/>
      <c r="BYP31" s="172"/>
      <c r="BYQ31" s="172"/>
      <c r="BYT31" s="172"/>
      <c r="BYU31" s="172"/>
      <c r="BYV31" s="172"/>
      <c r="BYW31" s="172"/>
      <c r="BYX31" s="172"/>
      <c r="BYY31" s="172"/>
      <c r="BYZ31" s="172"/>
      <c r="BZA31" s="172"/>
      <c r="BZB31" s="172"/>
      <c r="BZC31" s="172"/>
      <c r="BZF31" s="172"/>
      <c r="BZG31" s="172"/>
      <c r="BZH31" s="172"/>
      <c r="BZI31" s="172"/>
      <c r="BZJ31" s="172"/>
      <c r="BZK31" s="172"/>
      <c r="BZL31" s="172"/>
      <c r="BZM31" s="172"/>
      <c r="BZN31" s="172"/>
      <c r="BZO31" s="172"/>
      <c r="BZR31" s="172"/>
      <c r="BZS31" s="172"/>
      <c r="BZT31" s="172"/>
      <c r="BZU31" s="172"/>
      <c r="BZV31" s="172"/>
      <c r="BZW31" s="172"/>
      <c r="BZX31" s="172"/>
      <c r="BZY31" s="172"/>
      <c r="BZZ31" s="172"/>
      <c r="CAA31" s="172"/>
      <c r="CAD31" s="172"/>
      <c r="CAE31" s="172"/>
      <c r="CAF31" s="172"/>
      <c r="CAG31" s="172"/>
      <c r="CAH31" s="172"/>
      <c r="CAI31" s="172"/>
      <c r="CAJ31" s="172"/>
      <c r="CAK31" s="172"/>
      <c r="CAL31" s="172"/>
      <c r="CAM31" s="172"/>
      <c r="CAP31" s="172"/>
      <c r="CAQ31" s="172"/>
      <c r="CAR31" s="172"/>
      <c r="CAS31" s="172"/>
      <c r="CAT31" s="172"/>
      <c r="CAU31" s="172"/>
      <c r="CAV31" s="172"/>
      <c r="CAW31" s="172"/>
      <c r="CAX31" s="172"/>
      <c r="CAY31" s="172"/>
      <c r="CBB31" s="172"/>
      <c r="CBC31" s="172"/>
      <c r="CBD31" s="172"/>
      <c r="CBE31" s="172"/>
      <c r="CBF31" s="172"/>
      <c r="CBG31" s="172"/>
      <c r="CBH31" s="172"/>
      <c r="CBI31" s="172"/>
      <c r="CBJ31" s="172"/>
      <c r="CBK31" s="172"/>
      <c r="CBN31" s="172"/>
      <c r="CBO31" s="172"/>
      <c r="CBP31" s="172"/>
      <c r="CBQ31" s="172"/>
      <c r="CBR31" s="172"/>
      <c r="CBS31" s="172"/>
      <c r="CBT31" s="172"/>
      <c r="CBU31" s="172"/>
      <c r="CBV31" s="172"/>
      <c r="CBW31" s="172"/>
      <c r="CBZ31" s="172"/>
      <c r="CCA31" s="172"/>
      <c r="CCB31" s="172"/>
      <c r="CCC31" s="172"/>
      <c r="CCD31" s="172"/>
      <c r="CCE31" s="172"/>
      <c r="CCF31" s="172"/>
      <c r="CCG31" s="172"/>
      <c r="CCH31" s="172"/>
      <c r="CCI31" s="172"/>
      <c r="CCL31" s="172"/>
      <c r="CCM31" s="172"/>
      <c r="CCN31" s="172"/>
      <c r="CCO31" s="172"/>
      <c r="CCP31" s="172"/>
      <c r="CCQ31" s="172"/>
      <c r="CCR31" s="172"/>
      <c r="CCS31" s="172"/>
      <c r="CCT31" s="172"/>
      <c r="CCU31" s="172"/>
      <c r="CCX31" s="172"/>
      <c r="CCY31" s="172"/>
      <c r="CCZ31" s="172"/>
      <c r="CDA31" s="172"/>
      <c r="CDB31" s="172"/>
      <c r="CDC31" s="172"/>
      <c r="CDD31" s="172"/>
      <c r="CDE31" s="172"/>
      <c r="CDF31" s="172"/>
      <c r="CDG31" s="172"/>
      <c r="CDJ31" s="172"/>
      <c r="CDK31" s="172"/>
      <c r="CDL31" s="172"/>
      <c r="CDM31" s="172"/>
      <c r="CDN31" s="172"/>
      <c r="CDO31" s="172"/>
      <c r="CDP31" s="172"/>
      <c r="CDQ31" s="172"/>
      <c r="CDR31" s="172"/>
      <c r="CDS31" s="172"/>
      <c r="CDV31" s="172"/>
      <c r="CDW31" s="172"/>
      <c r="CDX31" s="172"/>
      <c r="CDY31" s="172"/>
      <c r="CDZ31" s="172"/>
      <c r="CEA31" s="172"/>
      <c r="CEB31" s="172"/>
      <c r="CEC31" s="172"/>
      <c r="CED31" s="172"/>
      <c r="CEE31" s="172"/>
      <c r="CEH31" s="172"/>
      <c r="CEI31" s="172"/>
      <c r="CEJ31" s="172"/>
      <c r="CEK31" s="172"/>
      <c r="CEL31" s="172"/>
      <c r="CEM31" s="172"/>
      <c r="CEN31" s="172"/>
      <c r="CEO31" s="172"/>
      <c r="CEP31" s="172"/>
      <c r="CEQ31" s="172"/>
      <c r="CET31" s="172"/>
      <c r="CEU31" s="172"/>
      <c r="CEV31" s="172"/>
      <c r="CEW31" s="172"/>
      <c r="CEX31" s="172"/>
      <c r="CEY31" s="172"/>
      <c r="CEZ31" s="172"/>
      <c r="CFA31" s="172"/>
      <c r="CFB31" s="172"/>
      <c r="CFC31" s="172"/>
      <c r="CFF31" s="172"/>
      <c r="CFG31" s="172"/>
      <c r="CFH31" s="172"/>
      <c r="CFI31" s="172"/>
      <c r="CFJ31" s="172"/>
      <c r="CFK31" s="172"/>
      <c r="CFL31" s="172"/>
      <c r="CFM31" s="172"/>
      <c r="CFN31" s="172"/>
      <c r="CFO31" s="172"/>
      <c r="CFR31" s="172"/>
      <c r="CFS31" s="172"/>
      <c r="CFT31" s="172"/>
      <c r="CFU31" s="172"/>
      <c r="CFV31" s="172"/>
      <c r="CFW31" s="172"/>
      <c r="CFX31" s="172"/>
      <c r="CFY31" s="172"/>
      <c r="CFZ31" s="172"/>
      <c r="CGA31" s="172"/>
      <c r="CGD31" s="172"/>
      <c r="CGE31" s="172"/>
      <c r="CGF31" s="172"/>
      <c r="CGG31" s="172"/>
      <c r="CGH31" s="172"/>
      <c r="CGI31" s="172"/>
      <c r="CGJ31" s="172"/>
      <c r="CGK31" s="172"/>
      <c r="CGL31" s="172"/>
      <c r="CGM31" s="172"/>
      <c r="CGP31" s="172"/>
      <c r="CGQ31" s="172"/>
      <c r="CGR31" s="172"/>
      <c r="CGS31" s="172"/>
      <c r="CGT31" s="172"/>
      <c r="CGU31" s="172"/>
      <c r="CGV31" s="172"/>
      <c r="CGW31" s="172"/>
      <c r="CGX31" s="172"/>
      <c r="CGY31" s="172"/>
      <c r="CHB31" s="172"/>
      <c r="CHC31" s="172"/>
      <c r="CHD31" s="172"/>
      <c r="CHE31" s="172"/>
      <c r="CHF31" s="172"/>
      <c r="CHG31" s="172"/>
      <c r="CHH31" s="172"/>
      <c r="CHI31" s="172"/>
      <c r="CHJ31" s="172"/>
      <c r="CHK31" s="172"/>
      <c r="CHN31" s="172"/>
      <c r="CHO31" s="172"/>
      <c r="CHP31" s="172"/>
      <c r="CHQ31" s="172"/>
      <c r="CHR31" s="172"/>
      <c r="CHS31" s="172"/>
      <c r="CHT31" s="172"/>
      <c r="CHU31" s="172"/>
      <c r="CHV31" s="172"/>
      <c r="CHW31" s="172"/>
      <c r="CHZ31" s="172"/>
      <c r="CIA31" s="172"/>
      <c r="CIB31" s="172"/>
      <c r="CIC31" s="172"/>
      <c r="CID31" s="172"/>
      <c r="CIE31" s="172"/>
      <c r="CIF31" s="172"/>
      <c r="CIG31" s="172"/>
      <c r="CIH31" s="172"/>
      <c r="CII31" s="172"/>
      <c r="CIL31" s="172"/>
      <c r="CIM31" s="172"/>
      <c r="CIN31" s="172"/>
      <c r="CIO31" s="172"/>
      <c r="CIP31" s="172"/>
      <c r="CIQ31" s="172"/>
      <c r="CIR31" s="172"/>
      <c r="CIS31" s="172"/>
      <c r="CIT31" s="172"/>
      <c r="CIU31" s="172"/>
      <c r="CIX31" s="172"/>
      <c r="CIY31" s="172"/>
      <c r="CIZ31" s="172"/>
      <c r="CJA31" s="172"/>
      <c r="CJB31" s="172"/>
      <c r="CJC31" s="172"/>
      <c r="CJD31" s="172"/>
      <c r="CJE31" s="172"/>
      <c r="CJF31" s="172"/>
      <c r="CJG31" s="172"/>
      <c r="CJJ31" s="172"/>
      <c r="CJK31" s="172"/>
      <c r="CJL31" s="172"/>
      <c r="CJM31" s="172"/>
      <c r="CJN31" s="172"/>
      <c r="CJO31" s="172"/>
      <c r="CJP31" s="172"/>
      <c r="CJQ31" s="172"/>
      <c r="CJR31" s="172"/>
      <c r="CJS31" s="172"/>
      <c r="CJV31" s="172"/>
      <c r="CJW31" s="172"/>
      <c r="CJX31" s="172"/>
      <c r="CJY31" s="172"/>
      <c r="CJZ31" s="172"/>
      <c r="CKA31" s="172"/>
      <c r="CKB31" s="172"/>
      <c r="CKC31" s="172"/>
      <c r="CKD31" s="172"/>
      <c r="CKE31" s="172"/>
      <c r="CKH31" s="172"/>
      <c r="CKI31" s="172"/>
      <c r="CKJ31" s="172"/>
      <c r="CKK31" s="172"/>
      <c r="CKL31" s="172"/>
      <c r="CKM31" s="172"/>
      <c r="CKN31" s="172"/>
      <c r="CKO31" s="172"/>
      <c r="CKP31" s="172"/>
      <c r="CKQ31" s="172"/>
      <c r="CKT31" s="172"/>
      <c r="CKU31" s="172"/>
      <c r="CKV31" s="172"/>
      <c r="CKW31" s="172"/>
      <c r="CKX31" s="172"/>
      <c r="CKY31" s="172"/>
      <c r="CKZ31" s="172"/>
      <c r="CLA31" s="172"/>
      <c r="CLB31" s="172"/>
      <c r="CLC31" s="172"/>
      <c r="CLF31" s="172"/>
      <c r="CLG31" s="172"/>
      <c r="CLH31" s="172"/>
      <c r="CLI31" s="172"/>
      <c r="CLJ31" s="172"/>
      <c r="CLK31" s="172"/>
      <c r="CLL31" s="172"/>
      <c r="CLM31" s="172"/>
      <c r="CLN31" s="172"/>
      <c r="CLO31" s="172"/>
      <c r="CLR31" s="172"/>
      <c r="CLS31" s="172"/>
      <c r="CLT31" s="172"/>
      <c r="CLU31" s="172"/>
      <c r="CLV31" s="172"/>
      <c r="CLW31" s="172"/>
      <c r="CLX31" s="172"/>
      <c r="CLY31" s="172"/>
      <c r="CLZ31" s="172"/>
      <c r="CMA31" s="172"/>
      <c r="CMD31" s="172"/>
      <c r="CME31" s="172"/>
      <c r="CMF31" s="172"/>
      <c r="CMG31" s="172"/>
      <c r="CMH31" s="172"/>
      <c r="CMI31" s="172"/>
      <c r="CMJ31" s="172"/>
      <c r="CMK31" s="172"/>
      <c r="CML31" s="172"/>
      <c r="CMM31" s="172"/>
      <c r="CMP31" s="172"/>
      <c r="CMQ31" s="172"/>
      <c r="CMR31" s="172"/>
      <c r="CMS31" s="172"/>
      <c r="CMT31" s="172"/>
      <c r="CMU31" s="172"/>
      <c r="CMV31" s="172"/>
      <c r="CMW31" s="172"/>
      <c r="CMX31" s="172"/>
      <c r="CMY31" s="172"/>
      <c r="CNB31" s="172"/>
      <c r="CNC31" s="172"/>
      <c r="CND31" s="172"/>
      <c r="CNE31" s="172"/>
      <c r="CNF31" s="172"/>
      <c r="CNG31" s="172"/>
      <c r="CNH31" s="172"/>
      <c r="CNI31" s="172"/>
      <c r="CNJ31" s="172"/>
      <c r="CNK31" s="172"/>
      <c r="CNN31" s="172"/>
      <c r="CNO31" s="172"/>
      <c r="CNP31" s="172"/>
      <c r="CNQ31" s="172"/>
      <c r="CNR31" s="172"/>
      <c r="CNS31" s="172"/>
      <c r="CNT31" s="172"/>
      <c r="CNU31" s="172"/>
      <c r="CNV31" s="172"/>
      <c r="CNW31" s="172"/>
      <c r="CNZ31" s="172"/>
      <c r="COA31" s="172"/>
      <c r="COB31" s="172"/>
      <c r="COC31" s="172"/>
      <c r="COD31" s="172"/>
      <c r="COE31" s="172"/>
      <c r="COF31" s="172"/>
      <c r="COG31" s="172"/>
      <c r="COH31" s="172"/>
      <c r="COI31" s="172"/>
      <c r="COL31" s="172"/>
      <c r="COM31" s="172"/>
      <c r="CON31" s="172"/>
      <c r="COO31" s="172"/>
      <c r="COP31" s="172"/>
      <c r="COQ31" s="172"/>
      <c r="COR31" s="172"/>
      <c r="COS31" s="172"/>
      <c r="COT31" s="172"/>
      <c r="COU31" s="172"/>
      <c r="COX31" s="172"/>
      <c r="COY31" s="172"/>
      <c r="COZ31" s="172"/>
      <c r="CPA31" s="172"/>
      <c r="CPB31" s="172"/>
      <c r="CPC31" s="172"/>
      <c r="CPD31" s="172"/>
      <c r="CPE31" s="172"/>
      <c r="CPF31" s="172"/>
      <c r="CPG31" s="172"/>
      <c r="CPJ31" s="172"/>
      <c r="CPK31" s="172"/>
      <c r="CPL31" s="172"/>
      <c r="CPM31" s="172"/>
      <c r="CPN31" s="172"/>
      <c r="CPO31" s="172"/>
      <c r="CPP31" s="172"/>
      <c r="CPQ31" s="172"/>
      <c r="CPR31" s="172"/>
      <c r="CPS31" s="172"/>
      <c r="CPV31" s="172"/>
      <c r="CPW31" s="172"/>
      <c r="CPX31" s="172"/>
      <c r="CPY31" s="172"/>
      <c r="CPZ31" s="172"/>
      <c r="CQA31" s="172"/>
      <c r="CQB31" s="172"/>
      <c r="CQC31" s="172"/>
      <c r="CQD31" s="172"/>
      <c r="CQE31" s="172"/>
      <c r="CQH31" s="172"/>
      <c r="CQI31" s="172"/>
      <c r="CQJ31" s="172"/>
      <c r="CQK31" s="172"/>
      <c r="CQL31" s="172"/>
      <c r="CQM31" s="172"/>
      <c r="CQN31" s="172"/>
      <c r="CQO31" s="172"/>
      <c r="CQP31" s="172"/>
      <c r="CQQ31" s="172"/>
      <c r="CQT31" s="172"/>
      <c r="CQU31" s="172"/>
      <c r="CQV31" s="172"/>
      <c r="CQW31" s="172"/>
      <c r="CQX31" s="172"/>
      <c r="CQY31" s="172"/>
      <c r="CQZ31" s="172"/>
      <c r="CRA31" s="172"/>
      <c r="CRB31" s="172"/>
      <c r="CRC31" s="172"/>
      <c r="CRF31" s="172"/>
      <c r="CRG31" s="172"/>
      <c r="CRH31" s="172"/>
      <c r="CRI31" s="172"/>
      <c r="CRJ31" s="172"/>
      <c r="CRK31" s="172"/>
      <c r="CRL31" s="172"/>
      <c r="CRM31" s="172"/>
      <c r="CRN31" s="172"/>
      <c r="CRO31" s="172"/>
      <c r="CRR31" s="172"/>
      <c r="CRS31" s="172"/>
      <c r="CRT31" s="172"/>
      <c r="CRU31" s="172"/>
      <c r="CRV31" s="172"/>
      <c r="CRW31" s="172"/>
      <c r="CRX31" s="172"/>
      <c r="CRY31" s="172"/>
      <c r="CRZ31" s="172"/>
      <c r="CSA31" s="172"/>
      <c r="CSD31" s="172"/>
      <c r="CSE31" s="172"/>
      <c r="CSF31" s="172"/>
      <c r="CSG31" s="172"/>
      <c r="CSH31" s="172"/>
      <c r="CSI31" s="172"/>
      <c r="CSJ31" s="172"/>
      <c r="CSK31" s="172"/>
      <c r="CSL31" s="172"/>
      <c r="CSM31" s="172"/>
      <c r="CSP31" s="172"/>
      <c r="CSQ31" s="172"/>
      <c r="CSR31" s="172"/>
      <c r="CSS31" s="172"/>
      <c r="CST31" s="172"/>
      <c r="CSU31" s="172"/>
      <c r="CSV31" s="172"/>
      <c r="CSW31" s="172"/>
      <c r="CSX31" s="172"/>
      <c r="CSY31" s="172"/>
      <c r="CTB31" s="172"/>
      <c r="CTC31" s="172"/>
      <c r="CTD31" s="172"/>
      <c r="CTE31" s="172"/>
      <c r="CTF31" s="172"/>
      <c r="CTG31" s="172"/>
      <c r="CTH31" s="172"/>
      <c r="CTI31" s="172"/>
      <c r="CTJ31" s="172"/>
      <c r="CTK31" s="172"/>
      <c r="CTN31" s="172"/>
      <c r="CTO31" s="172"/>
      <c r="CTP31" s="172"/>
      <c r="CTQ31" s="172"/>
      <c r="CTR31" s="172"/>
      <c r="CTS31" s="172"/>
      <c r="CTT31" s="172"/>
      <c r="CTU31" s="172"/>
      <c r="CTV31" s="172"/>
      <c r="CTW31" s="172"/>
      <c r="CTZ31" s="172"/>
      <c r="CUA31" s="172"/>
      <c r="CUB31" s="172"/>
      <c r="CUC31" s="172"/>
      <c r="CUD31" s="172"/>
      <c r="CUE31" s="172"/>
      <c r="CUF31" s="172"/>
      <c r="CUG31" s="172"/>
      <c r="CUH31" s="172"/>
      <c r="CUI31" s="172"/>
      <c r="CUL31" s="172"/>
      <c r="CUM31" s="172"/>
      <c r="CUN31" s="172"/>
      <c r="CUO31" s="172"/>
      <c r="CUP31" s="172"/>
      <c r="CUQ31" s="172"/>
      <c r="CUR31" s="172"/>
      <c r="CUS31" s="172"/>
      <c r="CUT31" s="172"/>
      <c r="CUU31" s="172"/>
      <c r="CUX31" s="172"/>
      <c r="CUY31" s="172"/>
      <c r="CUZ31" s="172"/>
      <c r="CVA31" s="172"/>
      <c r="CVB31" s="172"/>
      <c r="CVC31" s="172"/>
      <c r="CVD31" s="172"/>
      <c r="CVE31" s="172"/>
      <c r="CVF31" s="172"/>
      <c r="CVG31" s="172"/>
      <c r="CVJ31" s="172"/>
      <c r="CVK31" s="172"/>
      <c r="CVL31" s="172"/>
      <c r="CVM31" s="172"/>
      <c r="CVN31" s="172"/>
      <c r="CVO31" s="172"/>
      <c r="CVP31" s="172"/>
      <c r="CVQ31" s="172"/>
      <c r="CVR31" s="172"/>
      <c r="CVS31" s="172"/>
      <c r="CVV31" s="172"/>
      <c r="CVW31" s="172"/>
      <c r="CVX31" s="172"/>
      <c r="CVY31" s="172"/>
      <c r="CVZ31" s="172"/>
      <c r="CWA31" s="172"/>
      <c r="CWB31" s="172"/>
      <c r="CWC31" s="172"/>
      <c r="CWD31" s="172"/>
      <c r="CWE31" s="172"/>
    </row>
    <row r="32" spans="1:1023 1026:2631" x14ac:dyDescent="0.25">
      <c r="C32" s="173" t="s">
        <v>72</v>
      </c>
      <c r="D32" s="173"/>
      <c r="E32" s="173"/>
      <c r="H32" s="174"/>
      <c r="I32" s="173" t="s">
        <v>73</v>
      </c>
      <c r="J32" s="173"/>
      <c r="K32" s="173"/>
      <c r="L32" s="175"/>
      <c r="Q32" s="173" t="s">
        <v>72</v>
      </c>
      <c r="R32" s="173"/>
      <c r="S32" s="173"/>
      <c r="V32" s="174"/>
      <c r="W32" s="173" t="s">
        <v>73</v>
      </c>
      <c r="X32" s="173"/>
      <c r="Y32" s="173"/>
      <c r="Z32" s="175"/>
      <c r="AE32" s="173" t="s">
        <v>72</v>
      </c>
      <c r="AF32" s="173"/>
      <c r="AG32" s="173"/>
      <c r="AJ32" s="174"/>
      <c r="AK32" s="173" t="s">
        <v>73</v>
      </c>
      <c r="AL32" s="173"/>
      <c r="AM32" s="173"/>
      <c r="AN32" s="175"/>
      <c r="AS32" s="173" t="s">
        <v>72</v>
      </c>
      <c r="AT32" s="173"/>
      <c r="AU32" s="173"/>
      <c r="AX32" s="174"/>
      <c r="AY32" s="173" t="s">
        <v>73</v>
      </c>
      <c r="AZ32" s="173"/>
      <c r="BA32" s="173"/>
      <c r="BB32" s="175"/>
      <c r="BG32" s="173" t="s">
        <v>72</v>
      </c>
      <c r="BH32" s="173"/>
      <c r="BI32" s="173"/>
      <c r="BL32" s="174"/>
      <c r="BM32" s="173" t="s">
        <v>73</v>
      </c>
      <c r="BN32" s="173"/>
      <c r="BO32" s="173"/>
      <c r="BP32" s="175"/>
      <c r="BU32" s="173" t="s">
        <v>72</v>
      </c>
      <c r="BV32" s="173"/>
      <c r="BW32" s="173"/>
      <c r="BZ32" s="174"/>
      <c r="CA32" s="173" t="s">
        <v>73</v>
      </c>
      <c r="CB32" s="173"/>
      <c r="CC32" s="173"/>
      <c r="CD32" s="175"/>
      <c r="CI32" s="173" t="s">
        <v>72</v>
      </c>
      <c r="CJ32" s="173"/>
      <c r="CK32" s="173"/>
      <c r="CN32" s="174"/>
      <c r="CO32" s="173" t="s">
        <v>73</v>
      </c>
      <c r="CP32" s="173"/>
      <c r="CQ32" s="173"/>
      <c r="CR32" s="175"/>
      <c r="CW32" s="173" t="s">
        <v>72</v>
      </c>
      <c r="CX32" s="173"/>
      <c r="CY32" s="173"/>
      <c r="DB32" s="174"/>
      <c r="DC32" s="173" t="s">
        <v>73</v>
      </c>
      <c r="DD32" s="173"/>
      <c r="DE32" s="173"/>
      <c r="DF32" s="175"/>
      <c r="DK32" s="173" t="s">
        <v>72</v>
      </c>
      <c r="DL32" s="173"/>
      <c r="DM32" s="173"/>
      <c r="DP32" s="174"/>
      <c r="DQ32" s="173" t="s">
        <v>73</v>
      </c>
      <c r="DR32" s="173"/>
      <c r="DS32" s="173"/>
      <c r="DT32" s="175"/>
      <c r="DY32" s="173" t="s">
        <v>72</v>
      </c>
      <c r="DZ32" s="173"/>
      <c r="EA32" s="173"/>
      <c r="ED32" s="174"/>
      <c r="EE32" s="173" t="s">
        <v>73</v>
      </c>
      <c r="EF32" s="173"/>
      <c r="EG32" s="173"/>
      <c r="EH32" s="175"/>
      <c r="EM32" s="173" t="s">
        <v>72</v>
      </c>
      <c r="EN32" s="173"/>
      <c r="EO32" s="173"/>
      <c r="ER32" s="174"/>
      <c r="ES32" s="173" t="s">
        <v>73</v>
      </c>
      <c r="ET32" s="173"/>
      <c r="EU32" s="173"/>
      <c r="EV32" s="175"/>
      <c r="FA32" s="173" t="s">
        <v>72</v>
      </c>
      <c r="FB32" s="173"/>
      <c r="FC32" s="173"/>
      <c r="FF32" s="174"/>
      <c r="FG32" s="173" t="s">
        <v>73</v>
      </c>
      <c r="FH32" s="173"/>
      <c r="FI32" s="173"/>
      <c r="FJ32" s="175"/>
      <c r="FO32" s="173" t="s">
        <v>72</v>
      </c>
      <c r="FP32" s="173"/>
      <c r="FQ32" s="173"/>
      <c r="FT32" s="174"/>
      <c r="FU32" s="173" t="s">
        <v>73</v>
      </c>
      <c r="FV32" s="173"/>
      <c r="FW32" s="173"/>
      <c r="FX32" s="175"/>
      <c r="GC32" s="173" t="s">
        <v>72</v>
      </c>
      <c r="GD32" s="173"/>
      <c r="GE32" s="173"/>
      <c r="GH32" s="174"/>
      <c r="GI32" s="173" t="s">
        <v>73</v>
      </c>
      <c r="GJ32" s="173"/>
      <c r="GK32" s="173"/>
      <c r="GL32" s="175"/>
      <c r="GQ32" s="173" t="s">
        <v>72</v>
      </c>
      <c r="GR32" s="173"/>
      <c r="GS32" s="173"/>
      <c r="GV32" s="174"/>
      <c r="GW32" s="173" t="s">
        <v>73</v>
      </c>
      <c r="GX32" s="173"/>
      <c r="GY32" s="173"/>
      <c r="GZ32" s="175"/>
      <c r="HE32" s="173" t="s">
        <v>72</v>
      </c>
      <c r="HF32" s="173"/>
      <c r="HG32" s="173"/>
      <c r="HJ32" s="174"/>
      <c r="HK32" s="173" t="s">
        <v>73</v>
      </c>
      <c r="HL32" s="173"/>
      <c r="HM32" s="173"/>
      <c r="HN32" s="175"/>
      <c r="HS32" s="173" t="s">
        <v>72</v>
      </c>
      <c r="HT32" s="173"/>
      <c r="HU32" s="173"/>
      <c r="HX32" s="174"/>
      <c r="HY32" s="173" t="s">
        <v>73</v>
      </c>
      <c r="HZ32" s="173"/>
      <c r="IA32" s="173"/>
      <c r="IB32" s="175"/>
      <c r="IG32" s="173" t="s">
        <v>72</v>
      </c>
      <c r="IH32" s="173"/>
      <c r="II32" s="173"/>
      <c r="IL32" s="174"/>
      <c r="IM32" s="173" t="s">
        <v>73</v>
      </c>
      <c r="IN32" s="173"/>
      <c r="IO32" s="173"/>
      <c r="IP32" s="175"/>
      <c r="IU32" s="173" t="s">
        <v>72</v>
      </c>
      <c r="IV32" s="173"/>
      <c r="IW32" s="173"/>
      <c r="IZ32" s="174"/>
      <c r="JA32" s="173" t="s">
        <v>73</v>
      </c>
      <c r="JB32" s="173"/>
      <c r="JC32" s="173"/>
      <c r="JD32" s="175"/>
      <c r="JI32" s="173" t="s">
        <v>72</v>
      </c>
      <c r="JJ32" s="173"/>
      <c r="JK32" s="173"/>
      <c r="JN32" s="174"/>
      <c r="JO32" s="173" t="s">
        <v>73</v>
      </c>
      <c r="JP32" s="173"/>
      <c r="JQ32" s="173"/>
      <c r="JR32" s="175"/>
      <c r="JW32" s="173" t="s">
        <v>72</v>
      </c>
      <c r="JX32" s="173"/>
      <c r="JY32" s="173"/>
      <c r="KB32" s="174"/>
      <c r="KC32" s="173" t="s">
        <v>73</v>
      </c>
      <c r="KD32" s="173"/>
      <c r="KE32" s="173"/>
      <c r="KF32" s="175"/>
      <c r="KK32" s="173" t="s">
        <v>72</v>
      </c>
      <c r="KL32" s="173"/>
      <c r="KM32" s="173"/>
      <c r="KP32" s="174"/>
      <c r="KQ32" s="173" t="s">
        <v>73</v>
      </c>
      <c r="KR32" s="173"/>
      <c r="KS32" s="173"/>
      <c r="KT32" s="175"/>
      <c r="KY32" s="173" t="s">
        <v>72</v>
      </c>
      <c r="KZ32" s="173"/>
      <c r="LA32" s="173"/>
      <c r="LD32" s="174"/>
      <c r="LE32" s="173" t="s">
        <v>73</v>
      </c>
      <c r="LF32" s="173"/>
      <c r="LG32" s="173"/>
      <c r="LH32" s="175"/>
      <c r="LM32" s="173" t="s">
        <v>72</v>
      </c>
      <c r="LN32" s="173"/>
      <c r="LO32" s="173"/>
      <c r="LR32" s="174"/>
      <c r="LS32" s="173" t="s">
        <v>73</v>
      </c>
      <c r="LT32" s="173"/>
      <c r="LU32" s="173"/>
      <c r="LV32" s="175"/>
      <c r="MA32" s="173" t="s">
        <v>72</v>
      </c>
      <c r="MB32" s="173"/>
      <c r="MC32" s="173"/>
      <c r="MF32" s="174"/>
      <c r="MG32" s="173" t="s">
        <v>73</v>
      </c>
      <c r="MH32" s="173"/>
      <c r="MI32" s="173"/>
      <c r="MJ32" s="175"/>
      <c r="MO32" s="173" t="s">
        <v>72</v>
      </c>
      <c r="MP32" s="173"/>
      <c r="MQ32" s="173"/>
      <c r="MT32" s="174"/>
      <c r="MU32" s="173" t="s">
        <v>73</v>
      </c>
      <c r="MV32" s="173"/>
      <c r="MW32" s="173"/>
      <c r="MX32" s="175"/>
      <c r="NC32" s="173" t="s">
        <v>72</v>
      </c>
      <c r="ND32" s="173"/>
      <c r="NE32" s="173"/>
      <c r="NH32" s="174"/>
      <c r="NI32" s="173" t="s">
        <v>73</v>
      </c>
      <c r="NJ32" s="173"/>
      <c r="NK32" s="173"/>
      <c r="NL32" s="175"/>
      <c r="NQ32" s="173" t="s">
        <v>72</v>
      </c>
      <c r="NR32" s="173"/>
      <c r="NS32" s="173"/>
      <c r="NV32" s="174"/>
      <c r="NW32" s="173" t="s">
        <v>73</v>
      </c>
      <c r="NX32" s="173"/>
      <c r="NY32" s="173"/>
      <c r="NZ32" s="175"/>
      <c r="OE32" s="173" t="s">
        <v>72</v>
      </c>
      <c r="OF32" s="173"/>
      <c r="OG32" s="173"/>
      <c r="OJ32" s="174"/>
      <c r="OK32" s="173" t="s">
        <v>73</v>
      </c>
      <c r="OL32" s="173"/>
      <c r="OM32" s="173"/>
      <c r="ON32" s="175"/>
      <c r="OS32" s="173" t="s">
        <v>72</v>
      </c>
      <c r="OT32" s="173"/>
      <c r="OU32" s="173"/>
      <c r="OX32" s="174"/>
      <c r="OY32" s="173" t="s">
        <v>73</v>
      </c>
      <c r="OZ32" s="173"/>
      <c r="PA32" s="173"/>
      <c r="PB32" s="175"/>
      <c r="PG32" s="173" t="s">
        <v>72</v>
      </c>
      <c r="PH32" s="173"/>
      <c r="PI32" s="173"/>
      <c r="PL32" s="174"/>
      <c r="PM32" s="173" t="s">
        <v>73</v>
      </c>
      <c r="PN32" s="173"/>
      <c r="PO32" s="173"/>
      <c r="PP32" s="175"/>
      <c r="PU32" s="173" t="s">
        <v>72</v>
      </c>
      <c r="PV32" s="173"/>
      <c r="PW32" s="173"/>
      <c r="PZ32" s="174"/>
      <c r="QA32" s="173" t="s">
        <v>73</v>
      </c>
      <c r="QB32" s="173"/>
      <c r="QC32" s="173"/>
      <c r="QD32" s="175"/>
      <c r="QI32" s="173" t="s">
        <v>72</v>
      </c>
      <c r="QJ32" s="173"/>
      <c r="QK32" s="173"/>
      <c r="QN32" s="174"/>
      <c r="QO32" s="173" t="s">
        <v>73</v>
      </c>
      <c r="QP32" s="173"/>
      <c r="QQ32" s="173"/>
      <c r="QR32" s="175"/>
      <c r="QW32" s="173" t="s">
        <v>72</v>
      </c>
      <c r="QX32" s="173"/>
      <c r="QY32" s="173"/>
      <c r="RB32" s="174"/>
      <c r="RC32" s="173" t="s">
        <v>73</v>
      </c>
      <c r="RD32" s="173"/>
      <c r="RE32" s="173"/>
      <c r="RF32" s="175"/>
      <c r="RK32" s="173" t="s">
        <v>72</v>
      </c>
      <c r="RL32" s="173"/>
      <c r="RM32" s="173"/>
      <c r="RP32" s="174"/>
      <c r="RQ32" s="173" t="s">
        <v>73</v>
      </c>
      <c r="RR32" s="173"/>
      <c r="RS32" s="173"/>
      <c r="RT32" s="175"/>
      <c r="RY32" s="173" t="s">
        <v>72</v>
      </c>
      <c r="RZ32" s="173"/>
      <c r="SA32" s="173"/>
      <c r="SD32" s="174"/>
      <c r="SE32" s="173" t="s">
        <v>73</v>
      </c>
      <c r="SF32" s="173"/>
      <c r="SG32" s="173"/>
      <c r="SH32" s="175"/>
      <c r="SM32" s="173" t="s">
        <v>72</v>
      </c>
      <c r="SN32" s="173"/>
      <c r="SO32" s="173"/>
      <c r="SR32" s="174"/>
      <c r="SS32" s="173" t="s">
        <v>73</v>
      </c>
      <c r="ST32" s="173"/>
      <c r="SU32" s="173"/>
      <c r="SV32" s="175"/>
      <c r="TA32" s="173" t="s">
        <v>72</v>
      </c>
      <c r="TB32" s="173"/>
      <c r="TC32" s="173"/>
      <c r="TF32" s="174"/>
      <c r="TG32" s="173" t="s">
        <v>73</v>
      </c>
      <c r="TH32" s="173"/>
      <c r="TI32" s="173"/>
      <c r="TJ32" s="175"/>
      <c r="TO32" s="173" t="s">
        <v>72</v>
      </c>
      <c r="TP32" s="173"/>
      <c r="TQ32" s="173"/>
      <c r="TT32" s="174"/>
      <c r="TU32" s="173" t="s">
        <v>73</v>
      </c>
      <c r="TV32" s="173"/>
      <c r="TW32" s="173"/>
      <c r="TX32" s="175"/>
      <c r="UC32" s="173" t="s">
        <v>72</v>
      </c>
      <c r="UD32" s="173"/>
      <c r="UE32" s="173"/>
      <c r="UH32" s="174"/>
      <c r="UI32" s="173" t="s">
        <v>73</v>
      </c>
      <c r="UJ32" s="173"/>
      <c r="UK32" s="173"/>
      <c r="UL32" s="175"/>
      <c r="UQ32" s="173" t="s">
        <v>72</v>
      </c>
      <c r="UR32" s="173"/>
      <c r="US32" s="173"/>
      <c r="UV32" s="174"/>
      <c r="UW32" s="173" t="s">
        <v>73</v>
      </c>
      <c r="UX32" s="173"/>
      <c r="UY32" s="173"/>
      <c r="UZ32" s="175"/>
      <c r="VE32" s="173" t="s">
        <v>72</v>
      </c>
      <c r="VF32" s="173"/>
      <c r="VG32" s="173"/>
      <c r="VJ32" s="174"/>
      <c r="VK32" s="173" t="s">
        <v>73</v>
      </c>
      <c r="VL32" s="173"/>
      <c r="VM32" s="173"/>
      <c r="VN32" s="175"/>
      <c r="VS32" s="173" t="s">
        <v>72</v>
      </c>
      <c r="VT32" s="173"/>
      <c r="VU32" s="173"/>
      <c r="VX32" s="174"/>
      <c r="VY32" s="173" t="s">
        <v>73</v>
      </c>
      <c r="VZ32" s="173"/>
      <c r="WA32" s="173"/>
      <c r="WB32" s="175"/>
      <c r="WG32" s="173" t="s">
        <v>72</v>
      </c>
      <c r="WH32" s="173"/>
      <c r="WI32" s="173"/>
      <c r="WL32" s="174"/>
      <c r="WM32" s="173" t="s">
        <v>73</v>
      </c>
      <c r="WN32" s="173"/>
      <c r="WO32" s="173"/>
      <c r="WP32" s="175"/>
      <c r="WU32" s="173" t="s">
        <v>72</v>
      </c>
      <c r="WV32" s="173"/>
      <c r="WW32" s="173"/>
      <c r="WZ32" s="174"/>
      <c r="XA32" s="173" t="s">
        <v>73</v>
      </c>
      <c r="XB32" s="173"/>
      <c r="XC32" s="173"/>
      <c r="XD32" s="175"/>
      <c r="XI32" s="173" t="s">
        <v>72</v>
      </c>
      <c r="XJ32" s="173"/>
      <c r="XK32" s="173"/>
      <c r="XN32" s="174"/>
      <c r="XO32" s="173" t="s">
        <v>73</v>
      </c>
      <c r="XP32" s="173"/>
      <c r="XQ32" s="173"/>
      <c r="XR32" s="175"/>
      <c r="XW32" s="173" t="s">
        <v>72</v>
      </c>
      <c r="XX32" s="173"/>
      <c r="XY32" s="173"/>
      <c r="YB32" s="174"/>
      <c r="YC32" s="173" t="s">
        <v>73</v>
      </c>
      <c r="YD32" s="173"/>
      <c r="YE32" s="173"/>
      <c r="YF32" s="175"/>
      <c r="YK32" s="173" t="s">
        <v>72</v>
      </c>
      <c r="YL32" s="173"/>
      <c r="YM32" s="173"/>
      <c r="YP32" s="174"/>
      <c r="YQ32" s="173" t="s">
        <v>73</v>
      </c>
      <c r="YR32" s="173"/>
      <c r="YS32" s="173"/>
      <c r="YT32" s="175"/>
      <c r="YY32" s="173" t="s">
        <v>72</v>
      </c>
      <c r="YZ32" s="173"/>
      <c r="ZA32" s="173"/>
      <c r="ZD32" s="174"/>
      <c r="ZE32" s="173" t="s">
        <v>73</v>
      </c>
      <c r="ZF32" s="173"/>
      <c r="ZG32" s="173"/>
      <c r="ZH32" s="175"/>
      <c r="ZM32" s="173" t="s">
        <v>72</v>
      </c>
      <c r="ZN32" s="173"/>
      <c r="ZO32" s="173"/>
      <c r="ZR32" s="174"/>
      <c r="ZS32" s="173" t="s">
        <v>73</v>
      </c>
      <c r="ZT32" s="173"/>
      <c r="ZU32" s="173"/>
      <c r="ZV32" s="175"/>
      <c r="ZY32" s="4"/>
      <c r="ZZ32" s="176"/>
      <c r="AAA32" s="176"/>
      <c r="AAB32" s="176"/>
      <c r="AAC32" s="176"/>
      <c r="AAD32" s="176"/>
      <c r="AAE32" s="176"/>
      <c r="AAF32" s="176"/>
      <c r="AAG32" s="176"/>
      <c r="AAH32" s="176"/>
      <c r="AAI32" s="176"/>
      <c r="AAL32" s="4"/>
      <c r="AAM32" s="176"/>
      <c r="AAN32" s="176"/>
      <c r="AAO32" s="176"/>
      <c r="AAP32" s="176"/>
      <c r="AAQ32" s="176"/>
      <c r="AAR32" s="176"/>
      <c r="AAS32" s="176"/>
      <c r="AAT32" s="176"/>
      <c r="AAU32" s="176"/>
      <c r="AAV32" s="176"/>
      <c r="AAY32" s="4"/>
      <c r="AAZ32" s="176"/>
      <c r="ABA32" s="176"/>
      <c r="ABB32" s="176"/>
      <c r="ABC32" s="176"/>
      <c r="ABD32" s="176"/>
      <c r="ABE32" s="176"/>
      <c r="ABF32" s="176"/>
      <c r="ABG32" s="176"/>
      <c r="ABH32" s="176"/>
      <c r="ABI32" s="176"/>
      <c r="ABL32" s="4"/>
      <c r="ABM32" s="176"/>
      <c r="ABN32" s="176"/>
      <c r="ABO32" s="176"/>
      <c r="ABP32" s="176"/>
      <c r="ABQ32" s="176"/>
      <c r="ABR32" s="176"/>
      <c r="ABS32" s="176"/>
      <c r="ABT32" s="176"/>
      <c r="ABU32" s="176"/>
      <c r="ABV32" s="176"/>
      <c r="ABY32" s="4"/>
      <c r="ABZ32" s="176"/>
      <c r="ACA32" s="176"/>
      <c r="ACB32" s="176"/>
      <c r="ACC32" s="176"/>
      <c r="ACD32" s="176"/>
      <c r="ACE32" s="176"/>
      <c r="ACF32" s="176"/>
      <c r="ACG32" s="176"/>
      <c r="ACH32" s="176"/>
      <c r="ACI32" s="176"/>
      <c r="ACL32" s="4"/>
      <c r="ACM32" s="176"/>
      <c r="ACN32" s="176"/>
      <c r="ACO32" s="176"/>
      <c r="ACP32" s="176"/>
      <c r="ACQ32" s="176"/>
      <c r="ACR32" s="176"/>
      <c r="ACS32" s="176"/>
      <c r="ACT32" s="176"/>
      <c r="ACU32" s="176"/>
      <c r="ACV32" s="176"/>
      <c r="ACY32" s="4"/>
      <c r="ACZ32" s="176"/>
      <c r="ADA32" s="176"/>
      <c r="ADB32" s="176"/>
      <c r="ADC32" s="176"/>
      <c r="ADD32" s="176"/>
      <c r="ADE32" s="176"/>
      <c r="ADF32" s="176"/>
      <c r="ADG32" s="176"/>
      <c r="ADH32" s="176"/>
      <c r="ADI32" s="176"/>
      <c r="ADL32" s="4"/>
      <c r="ADM32" s="176"/>
      <c r="ADN32" s="176"/>
      <c r="ADO32" s="176"/>
      <c r="ADP32" s="176"/>
      <c r="ADQ32" s="176"/>
      <c r="ADR32" s="176"/>
      <c r="ADS32" s="176"/>
      <c r="ADT32" s="176"/>
      <c r="ADU32" s="176"/>
      <c r="ADV32" s="176"/>
      <c r="ADY32" s="4"/>
      <c r="ADZ32" s="176"/>
      <c r="AEA32" s="176"/>
      <c r="AEB32" s="176"/>
      <c r="AEC32" s="176"/>
      <c r="AED32" s="176"/>
      <c r="AEE32" s="176"/>
      <c r="AEF32" s="176"/>
      <c r="AEG32" s="176"/>
      <c r="AEH32" s="176"/>
      <c r="AEI32" s="176"/>
      <c r="AEL32" s="4"/>
      <c r="AEM32" s="176"/>
      <c r="AEN32" s="176"/>
      <c r="AEO32" s="176"/>
      <c r="AEP32" s="176"/>
      <c r="AEQ32" s="176"/>
      <c r="AER32" s="176"/>
      <c r="AES32" s="176"/>
      <c r="AET32" s="176"/>
      <c r="AEU32" s="176"/>
      <c r="AEV32" s="176"/>
      <c r="AEY32" s="4"/>
      <c r="AEZ32" s="176"/>
      <c r="AFA32" s="176"/>
      <c r="AFB32" s="176"/>
      <c r="AFC32" s="176"/>
      <c r="AFD32" s="176"/>
      <c r="AFE32" s="176"/>
      <c r="AFF32" s="176"/>
      <c r="AFG32" s="176"/>
      <c r="AFH32" s="176"/>
      <c r="AFI32" s="176"/>
      <c r="AFL32" s="4"/>
      <c r="AFM32" s="176"/>
      <c r="AFN32" s="176"/>
      <c r="AFO32" s="176"/>
      <c r="AFP32" s="176"/>
      <c r="AFQ32" s="176"/>
      <c r="AFR32" s="176"/>
      <c r="AFS32" s="176"/>
      <c r="AFT32" s="176"/>
      <c r="AFU32" s="176"/>
      <c r="AFV32" s="176"/>
      <c r="AFZ32" s="176"/>
      <c r="AGA32" s="176"/>
      <c r="AGB32" s="176"/>
      <c r="AGC32" s="176"/>
      <c r="AGD32" s="176"/>
      <c r="AGE32" s="176"/>
      <c r="AGF32" s="176"/>
      <c r="AGG32" s="176"/>
      <c r="AGH32" s="176"/>
      <c r="AGI32" s="176"/>
      <c r="AGL32" s="176"/>
      <c r="AGM32" s="176"/>
      <c r="AGN32" s="176"/>
      <c r="AGO32" s="176"/>
      <c r="AGP32" s="176"/>
      <c r="AGQ32" s="176"/>
      <c r="AGR32" s="176"/>
      <c r="AGS32" s="176"/>
      <c r="AGT32" s="176"/>
      <c r="AGU32" s="176"/>
      <c r="AGX32" s="176"/>
      <c r="AGY32" s="176"/>
      <c r="AGZ32" s="176"/>
      <c r="AHA32" s="176"/>
      <c r="AHB32" s="176"/>
      <c r="AHC32" s="176"/>
      <c r="AHD32" s="176"/>
      <c r="AHE32" s="176"/>
      <c r="AHF32" s="176"/>
      <c r="AHG32" s="176"/>
      <c r="AHJ32" s="176"/>
      <c r="AHK32" s="176"/>
      <c r="AHL32" s="176"/>
      <c r="AHM32" s="176"/>
      <c r="AHN32" s="176"/>
      <c r="AHO32" s="176"/>
      <c r="AHP32" s="176"/>
      <c r="AHQ32" s="176"/>
      <c r="AHR32" s="176"/>
      <c r="AHS32" s="176"/>
      <c r="AHV32" s="176"/>
      <c r="AHW32" s="176"/>
      <c r="AHX32" s="176"/>
      <c r="AHY32" s="176"/>
      <c r="AHZ32" s="176"/>
      <c r="AIA32" s="176"/>
      <c r="AIB32" s="176"/>
      <c r="AIC32" s="176"/>
      <c r="AID32" s="176"/>
      <c r="AIE32" s="176"/>
      <c r="AIH32" s="176"/>
      <c r="AII32" s="176"/>
      <c r="AIJ32" s="176"/>
      <c r="AIK32" s="176"/>
      <c r="AIL32" s="176"/>
      <c r="AIM32" s="176"/>
      <c r="AIN32" s="176"/>
      <c r="AIO32" s="176"/>
      <c r="AIP32" s="176"/>
      <c r="AIQ32" s="176"/>
      <c r="AIT32" s="176"/>
      <c r="AIU32" s="176"/>
      <c r="AIV32" s="176"/>
      <c r="AIW32" s="176"/>
      <c r="AIX32" s="176"/>
      <c r="AIY32" s="176"/>
      <c r="AIZ32" s="176"/>
      <c r="AJA32" s="176"/>
      <c r="AJB32" s="176"/>
      <c r="AJC32" s="176"/>
      <c r="AJF32" s="176"/>
      <c r="AJG32" s="176"/>
      <c r="AJH32" s="176"/>
      <c r="AJI32" s="176"/>
      <c r="AJJ32" s="176"/>
      <c r="AJK32" s="176"/>
      <c r="AJL32" s="176"/>
      <c r="AJM32" s="176"/>
      <c r="AJN32" s="176"/>
      <c r="AJO32" s="176"/>
      <c r="AJR32" s="176"/>
      <c r="AJS32" s="176"/>
      <c r="AJT32" s="176"/>
      <c r="AJU32" s="176"/>
      <c r="AJV32" s="176"/>
      <c r="AJW32" s="176"/>
      <c r="AJX32" s="176"/>
      <c r="AJY32" s="176"/>
      <c r="AJZ32" s="176"/>
      <c r="AKA32" s="176"/>
      <c r="AKD32" s="176"/>
      <c r="AKE32" s="176"/>
      <c r="AKF32" s="176"/>
      <c r="AKG32" s="176"/>
      <c r="AKH32" s="176"/>
      <c r="AKI32" s="176"/>
      <c r="AKJ32" s="176"/>
      <c r="AKK32" s="176"/>
      <c r="AKL32" s="176"/>
      <c r="AKM32" s="176"/>
      <c r="AKP32" s="176"/>
      <c r="AKQ32" s="176"/>
      <c r="AKR32" s="176"/>
      <c r="AKS32" s="176"/>
      <c r="AKT32" s="176"/>
      <c r="AKU32" s="176"/>
      <c r="AKV32" s="176"/>
      <c r="AKW32" s="176"/>
      <c r="AKX32" s="176"/>
      <c r="AKY32" s="176"/>
      <c r="ALB32" s="176"/>
      <c r="ALC32" s="176"/>
      <c r="ALD32" s="176"/>
      <c r="ALE32" s="176"/>
      <c r="ALF32" s="176"/>
      <c r="ALG32" s="176"/>
      <c r="ALH32" s="176"/>
      <c r="ALI32" s="176"/>
      <c r="ALJ32" s="176"/>
      <c r="ALK32" s="176"/>
      <c r="ALN32" s="176"/>
      <c r="ALO32" s="176"/>
      <c r="ALP32" s="176"/>
      <c r="ALQ32" s="176"/>
      <c r="ALR32" s="176"/>
      <c r="ALS32" s="176"/>
      <c r="ALT32" s="176"/>
      <c r="ALU32" s="176"/>
      <c r="ALV32" s="176"/>
      <c r="ALW32" s="176"/>
      <c r="ALZ32" s="176"/>
      <c r="AMA32" s="176"/>
      <c r="AMB32" s="176"/>
      <c r="AMC32" s="176"/>
      <c r="AMD32" s="176"/>
      <c r="AME32" s="176"/>
      <c r="AMF32" s="176"/>
      <c r="AMG32" s="176"/>
      <c r="AMH32" s="176"/>
      <c r="AMI32" s="176"/>
      <c r="AML32" s="176"/>
      <c r="AMM32" s="176"/>
      <c r="AMN32" s="176"/>
      <c r="AMO32" s="176"/>
      <c r="AMP32" s="176"/>
      <c r="AMQ32" s="176"/>
      <c r="AMR32" s="176"/>
      <c r="AMS32" s="176"/>
      <c r="AMT32" s="176"/>
      <c r="AMU32" s="176"/>
      <c r="AMX32" s="176"/>
      <c r="AMY32" s="176"/>
      <c r="AMZ32" s="176"/>
      <c r="ANA32" s="176"/>
      <c r="ANB32" s="176"/>
      <c r="ANC32" s="176"/>
      <c r="AND32" s="176"/>
      <c r="ANE32" s="176"/>
      <c r="ANF32" s="176"/>
      <c r="ANG32" s="176"/>
      <c r="ANJ32" s="176"/>
      <c r="ANK32" s="176"/>
      <c r="ANL32" s="176"/>
      <c r="ANM32" s="176"/>
      <c r="ANN32" s="176"/>
      <c r="ANO32" s="176"/>
      <c r="ANP32" s="176"/>
      <c r="ANQ32" s="176"/>
      <c r="ANR32" s="176"/>
      <c r="ANS32" s="176"/>
      <c r="ANV32" s="176"/>
      <c r="ANW32" s="176"/>
      <c r="ANX32" s="176"/>
      <c r="ANY32" s="176"/>
      <c r="ANZ32" s="176"/>
      <c r="AOA32" s="176"/>
      <c r="AOB32" s="176"/>
      <c r="AOC32" s="176"/>
      <c r="AOD32" s="176"/>
      <c r="AOE32" s="176"/>
      <c r="AOH32" s="176"/>
      <c r="AOI32" s="176"/>
      <c r="AOJ32" s="176"/>
      <c r="AOK32" s="176"/>
      <c r="AOL32" s="176"/>
      <c r="AOM32" s="176"/>
      <c r="AON32" s="176"/>
      <c r="AOO32" s="176"/>
      <c r="AOP32" s="176"/>
      <c r="AOQ32" s="176"/>
      <c r="AOT32" s="176"/>
      <c r="AOU32" s="176"/>
      <c r="AOV32" s="176"/>
      <c r="AOW32" s="176"/>
      <c r="AOX32" s="176"/>
      <c r="AOY32" s="176"/>
      <c r="AOZ32" s="176"/>
      <c r="APA32" s="176"/>
      <c r="APB32" s="176"/>
      <c r="APC32" s="176"/>
      <c r="APF32" s="176"/>
      <c r="APG32" s="176"/>
      <c r="APH32" s="176"/>
      <c r="API32" s="176"/>
      <c r="APJ32" s="176"/>
      <c r="APK32" s="176"/>
      <c r="APL32" s="176"/>
      <c r="APM32" s="176"/>
      <c r="APN32" s="176"/>
      <c r="APO32" s="176"/>
      <c r="APR32" s="176"/>
      <c r="APS32" s="176"/>
      <c r="APT32" s="176"/>
      <c r="APU32" s="176"/>
      <c r="APV32" s="176"/>
      <c r="APW32" s="176"/>
      <c r="APX32" s="176"/>
      <c r="APY32" s="176"/>
      <c r="APZ32" s="176"/>
      <c r="AQA32" s="176"/>
      <c r="AQD32" s="176"/>
      <c r="AQE32" s="176"/>
      <c r="AQF32" s="176"/>
      <c r="AQG32" s="176"/>
      <c r="AQH32" s="176"/>
      <c r="AQI32" s="176"/>
      <c r="AQJ32" s="176"/>
      <c r="AQK32" s="176"/>
      <c r="AQL32" s="176"/>
      <c r="AQM32" s="176"/>
      <c r="AQP32" s="176"/>
      <c r="AQQ32" s="176"/>
      <c r="AQR32" s="176"/>
      <c r="AQS32" s="176"/>
      <c r="AQT32" s="176"/>
      <c r="AQU32" s="176"/>
      <c r="AQV32" s="176"/>
      <c r="AQW32" s="176"/>
      <c r="AQX32" s="176"/>
      <c r="AQY32" s="176"/>
      <c r="ARB32" s="176"/>
      <c r="ARC32" s="176"/>
      <c r="ARD32" s="176"/>
      <c r="ARE32" s="176"/>
      <c r="ARF32" s="176"/>
      <c r="ARG32" s="176"/>
      <c r="ARH32" s="176"/>
      <c r="ARI32" s="176"/>
      <c r="ARJ32" s="176"/>
      <c r="ARK32" s="176"/>
      <c r="ARN32" s="176"/>
      <c r="ARO32" s="176"/>
      <c r="ARP32" s="176"/>
      <c r="ARQ32" s="176"/>
      <c r="ARR32" s="176"/>
      <c r="ARS32" s="176"/>
      <c r="ART32" s="176"/>
      <c r="ARU32" s="176"/>
      <c r="ARV32" s="176"/>
      <c r="ARW32" s="176"/>
      <c r="ARZ32" s="176"/>
      <c r="ASA32" s="176"/>
      <c r="ASB32" s="176"/>
      <c r="ASC32" s="176"/>
      <c r="ASD32" s="176"/>
      <c r="ASE32" s="176"/>
      <c r="ASF32" s="176"/>
      <c r="ASG32" s="176"/>
      <c r="ASH32" s="176"/>
      <c r="ASI32" s="176"/>
      <c r="ASL32" s="176"/>
      <c r="ASM32" s="176"/>
      <c r="ASN32" s="176"/>
      <c r="ASO32" s="176"/>
      <c r="ASP32" s="176"/>
      <c r="ASQ32" s="176"/>
      <c r="ASR32" s="176"/>
      <c r="ASS32" s="176"/>
      <c r="AST32" s="176"/>
      <c r="ASU32" s="176"/>
      <c r="ASX32" s="176"/>
      <c r="ASY32" s="176"/>
      <c r="ASZ32" s="176"/>
      <c r="ATA32" s="176"/>
      <c r="ATB32" s="176"/>
      <c r="ATC32" s="176"/>
      <c r="ATD32" s="176"/>
      <c r="ATE32" s="176"/>
      <c r="ATF32" s="176"/>
      <c r="ATG32" s="176"/>
      <c r="ATJ32" s="176"/>
      <c r="ATK32" s="176"/>
      <c r="ATL32" s="176"/>
      <c r="ATM32" s="176"/>
      <c r="ATN32" s="176"/>
      <c r="ATO32" s="176"/>
      <c r="ATP32" s="176"/>
      <c r="ATQ32" s="176"/>
      <c r="ATR32" s="176"/>
      <c r="ATS32" s="176"/>
      <c r="ATV32" s="176"/>
      <c r="ATW32" s="176"/>
      <c r="ATX32" s="176"/>
      <c r="ATY32" s="176"/>
      <c r="ATZ32" s="176"/>
      <c r="AUA32" s="176"/>
      <c r="AUB32" s="176"/>
      <c r="AUC32" s="176"/>
      <c r="AUD32" s="176"/>
      <c r="AUE32" s="176"/>
      <c r="AUH32" s="176"/>
      <c r="AUI32" s="176"/>
      <c r="AUJ32" s="176"/>
      <c r="AUK32" s="176"/>
      <c r="AUL32" s="176"/>
      <c r="AUM32" s="176"/>
      <c r="AUN32" s="176"/>
      <c r="AUO32" s="176"/>
      <c r="AUP32" s="176"/>
      <c r="AUQ32" s="176"/>
      <c r="AUT32" s="176"/>
      <c r="AUU32" s="176"/>
      <c r="AUV32" s="176"/>
      <c r="AUW32" s="176"/>
      <c r="AUX32" s="176"/>
      <c r="AUY32" s="176"/>
      <c r="AUZ32" s="176"/>
      <c r="AVA32" s="176"/>
      <c r="AVB32" s="176"/>
      <c r="AVC32" s="176"/>
      <c r="AVF32" s="176"/>
      <c r="AVG32" s="176"/>
      <c r="AVH32" s="176"/>
      <c r="AVI32" s="176"/>
      <c r="AVJ32" s="176"/>
      <c r="AVK32" s="176"/>
      <c r="AVL32" s="176"/>
      <c r="AVM32" s="176"/>
      <c r="AVN32" s="176"/>
      <c r="AVO32" s="176"/>
      <c r="AVR32" s="176"/>
      <c r="AVS32" s="176"/>
      <c r="AVT32" s="176"/>
      <c r="AVU32" s="176"/>
      <c r="AVV32" s="176"/>
      <c r="AVW32" s="176"/>
      <c r="AVX32" s="176"/>
      <c r="AVY32" s="176"/>
      <c r="AVZ32" s="176"/>
      <c r="AWA32" s="176"/>
      <c r="AWD32" s="176"/>
      <c r="AWE32" s="176"/>
      <c r="AWF32" s="176"/>
      <c r="AWG32" s="176"/>
      <c r="AWH32" s="176"/>
      <c r="AWI32" s="176"/>
      <c r="AWJ32" s="176"/>
      <c r="AWK32" s="176"/>
      <c r="AWL32" s="176"/>
      <c r="AWM32" s="176"/>
      <c r="AWP32" s="176"/>
      <c r="AWQ32" s="176"/>
      <c r="AWR32" s="176"/>
      <c r="AWS32" s="176"/>
      <c r="AWT32" s="176"/>
      <c r="AWU32" s="176"/>
      <c r="AWV32" s="176"/>
      <c r="AWW32" s="176"/>
      <c r="AWX32" s="176"/>
      <c r="AWY32" s="176"/>
      <c r="AXB32" s="176"/>
      <c r="AXC32" s="176"/>
      <c r="AXD32" s="176"/>
      <c r="AXE32" s="176"/>
      <c r="AXF32" s="176"/>
      <c r="AXG32" s="176"/>
      <c r="AXH32" s="176"/>
      <c r="AXI32" s="176"/>
      <c r="AXJ32" s="176"/>
      <c r="AXK32" s="176"/>
      <c r="AXN32" s="176"/>
      <c r="AXO32" s="176"/>
      <c r="AXP32" s="176"/>
      <c r="AXQ32" s="176"/>
      <c r="AXR32" s="176"/>
      <c r="AXS32" s="176"/>
      <c r="AXT32" s="176"/>
      <c r="AXU32" s="176"/>
      <c r="AXV32" s="176"/>
      <c r="AXW32" s="176"/>
      <c r="AXZ32" s="176"/>
      <c r="AYA32" s="176"/>
      <c r="AYB32" s="176"/>
      <c r="AYC32" s="176"/>
      <c r="AYD32" s="176"/>
      <c r="AYE32" s="176"/>
      <c r="AYF32" s="176"/>
      <c r="AYG32" s="176"/>
      <c r="AYH32" s="176"/>
      <c r="AYI32" s="176"/>
      <c r="AYL32" s="176"/>
      <c r="AYM32" s="176"/>
      <c r="AYN32" s="176"/>
      <c r="AYO32" s="176"/>
      <c r="AYP32" s="176"/>
      <c r="AYQ32" s="176"/>
      <c r="AYR32" s="176"/>
      <c r="AYS32" s="176"/>
      <c r="AYT32" s="176"/>
      <c r="AYU32" s="176"/>
      <c r="AYX32" s="176"/>
      <c r="AYY32" s="176"/>
      <c r="AYZ32" s="176"/>
      <c r="AZA32" s="176"/>
      <c r="AZB32" s="176"/>
      <c r="AZC32" s="176"/>
      <c r="AZD32" s="176"/>
      <c r="AZE32" s="176"/>
      <c r="AZF32" s="176"/>
      <c r="AZG32" s="176"/>
      <c r="AZJ32" s="176"/>
      <c r="AZK32" s="176"/>
      <c r="AZL32" s="176"/>
      <c r="AZM32" s="176"/>
      <c r="AZN32" s="176"/>
      <c r="AZO32" s="176"/>
      <c r="AZP32" s="176"/>
      <c r="AZQ32" s="176"/>
      <c r="AZR32" s="176"/>
      <c r="AZS32" s="176"/>
      <c r="AZV32" s="176"/>
      <c r="AZW32" s="176"/>
      <c r="AZX32" s="176"/>
      <c r="AZY32" s="176"/>
      <c r="AZZ32" s="176"/>
      <c r="BAA32" s="176"/>
      <c r="BAB32" s="176"/>
      <c r="BAC32" s="176"/>
      <c r="BAD32" s="176"/>
      <c r="BAE32" s="176"/>
      <c r="BAH32" s="176"/>
      <c r="BAI32" s="176"/>
      <c r="BAJ32" s="176"/>
      <c r="BAK32" s="176"/>
      <c r="BAL32" s="176"/>
      <c r="BAM32" s="176"/>
      <c r="BAN32" s="176"/>
      <c r="BAO32" s="176"/>
      <c r="BAP32" s="176"/>
      <c r="BAQ32" s="176"/>
      <c r="BAT32" s="176"/>
      <c r="BAU32" s="176"/>
      <c r="BAV32" s="176"/>
      <c r="BAW32" s="176"/>
      <c r="BAX32" s="176"/>
      <c r="BAY32" s="176"/>
      <c r="BAZ32" s="176"/>
      <c r="BBA32" s="176"/>
      <c r="BBB32" s="176"/>
      <c r="BBC32" s="176"/>
      <c r="BBF32" s="176"/>
      <c r="BBG32" s="176"/>
      <c r="BBH32" s="176"/>
      <c r="BBI32" s="176"/>
      <c r="BBJ32" s="176"/>
      <c r="BBK32" s="176"/>
      <c r="BBL32" s="176"/>
      <c r="BBM32" s="176"/>
      <c r="BBN32" s="176"/>
      <c r="BBO32" s="176"/>
      <c r="BBR32" s="176"/>
      <c r="BBS32" s="176"/>
      <c r="BBT32" s="176"/>
      <c r="BBU32" s="176"/>
      <c r="BBV32" s="176"/>
      <c r="BBW32" s="176"/>
      <c r="BBX32" s="176"/>
      <c r="BBY32" s="176"/>
      <c r="BBZ32" s="176"/>
      <c r="BCA32" s="176"/>
      <c r="BCD32" s="176"/>
      <c r="BCE32" s="176"/>
      <c r="BCF32" s="176"/>
      <c r="BCG32" s="176"/>
      <c r="BCH32" s="176"/>
      <c r="BCI32" s="176"/>
      <c r="BCJ32" s="176"/>
      <c r="BCK32" s="176"/>
      <c r="BCL32" s="176"/>
      <c r="BCM32" s="176"/>
      <c r="BCP32" s="176"/>
      <c r="BCQ32" s="176"/>
      <c r="BCR32" s="176"/>
      <c r="BCS32" s="176"/>
      <c r="BCT32" s="176"/>
      <c r="BCU32" s="176"/>
      <c r="BCV32" s="176"/>
      <c r="BCW32" s="176"/>
      <c r="BCX32" s="176"/>
      <c r="BCY32" s="176"/>
      <c r="BDB32" s="176"/>
      <c r="BDC32" s="176"/>
      <c r="BDD32" s="176"/>
      <c r="BDE32" s="176"/>
      <c r="BDF32" s="176"/>
      <c r="BDG32" s="176"/>
      <c r="BDH32" s="176"/>
      <c r="BDI32" s="176"/>
      <c r="BDJ32" s="176"/>
      <c r="BDK32" s="176"/>
      <c r="BDN32" s="176"/>
      <c r="BDO32" s="176"/>
      <c r="BDP32" s="176"/>
      <c r="BDQ32" s="176"/>
      <c r="BDR32" s="176"/>
      <c r="BDS32" s="176"/>
      <c r="BDT32" s="176"/>
      <c r="BDU32" s="176"/>
      <c r="BDV32" s="176"/>
      <c r="BDW32" s="176"/>
      <c r="BDZ32" s="176"/>
      <c r="BEA32" s="176"/>
      <c r="BEB32" s="176"/>
      <c r="BEC32" s="176"/>
      <c r="BED32" s="176"/>
      <c r="BEE32" s="176"/>
      <c r="BEF32" s="176"/>
      <c r="BEG32" s="176"/>
      <c r="BEH32" s="176"/>
      <c r="BEI32" s="176"/>
      <c r="BEL32" s="176"/>
      <c r="BEM32" s="176"/>
      <c r="BEN32" s="176"/>
      <c r="BEO32" s="176"/>
      <c r="BEP32" s="176"/>
      <c r="BEQ32" s="176"/>
      <c r="BER32" s="176"/>
      <c r="BES32" s="176"/>
      <c r="BET32" s="176"/>
      <c r="BEU32" s="176"/>
      <c r="BEX32" s="176"/>
      <c r="BEY32" s="176"/>
      <c r="BEZ32" s="176"/>
      <c r="BFA32" s="176"/>
      <c r="BFB32" s="176"/>
      <c r="BFC32" s="176"/>
      <c r="BFD32" s="176"/>
      <c r="BFE32" s="176"/>
      <c r="BFF32" s="176"/>
      <c r="BFG32" s="176"/>
      <c r="BFJ32" s="176"/>
      <c r="BFK32" s="176"/>
      <c r="BFL32" s="176"/>
      <c r="BFM32" s="176"/>
      <c r="BFN32" s="176"/>
      <c r="BFO32" s="176"/>
      <c r="BFP32" s="176"/>
      <c r="BFQ32" s="176"/>
      <c r="BFR32" s="176"/>
      <c r="BFS32" s="176"/>
      <c r="BFV32" s="176"/>
      <c r="BFW32" s="176"/>
      <c r="BFX32" s="176"/>
      <c r="BFY32" s="176"/>
      <c r="BFZ32" s="176"/>
      <c r="BGA32" s="176"/>
      <c r="BGB32" s="176"/>
      <c r="BGC32" s="176"/>
      <c r="BGD32" s="176"/>
      <c r="BGE32" s="176"/>
      <c r="BGH32" s="176"/>
      <c r="BGI32" s="176"/>
      <c r="BGJ32" s="176"/>
      <c r="BGK32" s="176"/>
      <c r="BGL32" s="176"/>
      <c r="BGM32" s="176"/>
      <c r="BGN32" s="176"/>
      <c r="BGO32" s="176"/>
      <c r="BGP32" s="176"/>
      <c r="BGQ32" s="176"/>
      <c r="BGT32" s="176"/>
      <c r="BGU32" s="176"/>
      <c r="BGV32" s="176"/>
      <c r="BGW32" s="176"/>
      <c r="BGX32" s="176"/>
      <c r="BGY32" s="176"/>
      <c r="BGZ32" s="176"/>
      <c r="BHA32" s="176"/>
      <c r="BHB32" s="176"/>
      <c r="BHC32" s="176"/>
      <c r="BHF32" s="176"/>
      <c r="BHG32" s="176"/>
      <c r="BHH32" s="176"/>
      <c r="BHI32" s="176"/>
      <c r="BHJ32" s="176"/>
      <c r="BHK32" s="176"/>
      <c r="BHL32" s="176"/>
      <c r="BHM32" s="176"/>
      <c r="BHN32" s="176"/>
      <c r="BHO32" s="176"/>
      <c r="BHR32" s="176"/>
      <c r="BHS32" s="176"/>
      <c r="BHT32" s="176"/>
      <c r="BHU32" s="176"/>
      <c r="BHV32" s="177"/>
      <c r="BHW32" s="177"/>
      <c r="BHX32" s="177"/>
      <c r="BHY32" s="176"/>
      <c r="BHZ32" s="176"/>
      <c r="BIA32" s="176"/>
      <c r="BID32" s="176"/>
      <c r="BIE32" s="176"/>
      <c r="BIF32" s="176"/>
      <c r="BIG32" s="176"/>
      <c r="BIH32" s="177"/>
      <c r="BII32" s="177"/>
      <c r="BIJ32" s="177"/>
      <c r="BIK32" s="176"/>
      <c r="BIL32" s="176"/>
      <c r="BIM32" s="176"/>
      <c r="BIP32" s="176"/>
      <c r="BIQ32" s="176"/>
      <c r="BIR32" s="176"/>
      <c r="BIS32" s="176"/>
      <c r="BIT32" s="177"/>
      <c r="BIU32" s="177"/>
      <c r="BIV32" s="177"/>
      <c r="BIW32" s="176"/>
      <c r="BIX32" s="176"/>
      <c r="BIY32" s="176"/>
      <c r="BJB32" s="176"/>
      <c r="BJC32" s="176"/>
      <c r="BJD32" s="176"/>
      <c r="BJE32" s="176"/>
      <c r="BJF32" s="177"/>
      <c r="BJG32" s="177"/>
      <c r="BJH32" s="177"/>
      <c r="BJI32" s="176"/>
      <c r="BJJ32" s="176"/>
      <c r="BJK32" s="176"/>
      <c r="BJN32" s="176"/>
      <c r="BJO32" s="176"/>
      <c r="BJP32" s="176"/>
      <c r="BJQ32" s="176"/>
      <c r="BJR32" s="177"/>
      <c r="BJS32" s="177"/>
      <c r="BJT32" s="177"/>
      <c r="BJU32" s="176"/>
      <c r="BJV32" s="176"/>
      <c r="BJW32" s="176"/>
      <c r="BJZ32" s="176"/>
      <c r="BKA32" s="176"/>
      <c r="BKB32" s="176"/>
      <c r="BKC32" s="176"/>
      <c r="BKD32" s="177"/>
      <c r="BKE32" s="177"/>
      <c r="BKF32" s="177"/>
      <c r="BKG32" s="176"/>
      <c r="BKH32" s="176"/>
      <c r="BKI32" s="176"/>
      <c r="BKL32" s="176"/>
      <c r="BKM32" s="176"/>
      <c r="BKN32" s="176"/>
      <c r="BKO32" s="176"/>
      <c r="BKP32" s="177"/>
      <c r="BKQ32" s="177"/>
      <c r="BKR32" s="177"/>
      <c r="BKS32" s="176"/>
      <c r="BKT32" s="176"/>
      <c r="BKU32" s="176"/>
      <c r="BKX32" s="176"/>
      <c r="BKY32" s="176"/>
      <c r="BKZ32" s="176"/>
      <c r="BLA32" s="176"/>
      <c r="BLB32" s="177"/>
      <c r="BLC32" s="177"/>
      <c r="BLD32" s="177"/>
      <c r="BLE32" s="176"/>
      <c r="BLF32" s="176"/>
      <c r="BLG32" s="176"/>
      <c r="BLJ32" s="176"/>
      <c r="BLK32" s="176"/>
      <c r="BLL32" s="176"/>
      <c r="BLM32" s="176"/>
      <c r="BLN32" s="177"/>
      <c r="BLO32" s="177"/>
      <c r="BLP32" s="177"/>
      <c r="BLQ32" s="176"/>
      <c r="BLR32" s="176"/>
      <c r="BLS32" s="176"/>
      <c r="BLV32" s="176"/>
      <c r="BLW32" s="176"/>
      <c r="BLX32" s="176"/>
      <c r="BLY32" s="176"/>
      <c r="BLZ32" s="177"/>
      <c r="BMA32" s="177"/>
      <c r="BMB32" s="177"/>
      <c r="BMC32" s="176"/>
      <c r="BMD32" s="176"/>
      <c r="BME32" s="176"/>
      <c r="BMH32" s="176"/>
      <c r="BMI32" s="176"/>
      <c r="BMJ32" s="176"/>
      <c r="BMK32" s="176"/>
      <c r="BML32" s="177"/>
      <c r="BMM32" s="177"/>
      <c r="BMN32" s="177"/>
      <c r="BMO32" s="176"/>
      <c r="BMP32" s="176"/>
      <c r="BMQ32" s="176"/>
      <c r="BMT32" s="176"/>
      <c r="BMU32" s="176"/>
      <c r="BMV32" s="176"/>
      <c r="BMW32" s="176"/>
      <c r="BMX32" s="177"/>
      <c r="BMY32" s="177"/>
      <c r="BMZ32" s="177"/>
      <c r="BNA32" s="176"/>
      <c r="BNB32" s="176"/>
      <c r="BNC32" s="176"/>
      <c r="BNF32" s="176"/>
      <c r="BNG32" s="176"/>
      <c r="BNH32" s="176"/>
      <c r="BNI32" s="176"/>
      <c r="BNJ32" s="177"/>
      <c r="BNK32" s="177"/>
      <c r="BNL32" s="177"/>
      <c r="BNM32" s="176"/>
      <c r="BNN32" s="176"/>
      <c r="BNO32" s="176"/>
      <c r="BNR32" s="176"/>
      <c r="BNS32" s="176"/>
      <c r="BNT32" s="176"/>
      <c r="BNU32" s="176"/>
      <c r="BNV32" s="177"/>
      <c r="BNW32" s="177"/>
      <c r="BNX32" s="177"/>
      <c r="BNY32" s="176"/>
      <c r="BNZ32" s="176"/>
      <c r="BOA32" s="176"/>
      <c r="BOD32" s="176"/>
      <c r="BOE32" s="176"/>
      <c r="BOF32" s="176"/>
      <c r="BOG32" s="176"/>
      <c r="BOH32" s="177"/>
      <c r="BOI32" s="177"/>
      <c r="BOJ32" s="177"/>
      <c r="BOK32" s="176"/>
      <c r="BOL32" s="176"/>
      <c r="BOM32" s="176"/>
      <c r="BOP32" s="176"/>
      <c r="BOQ32" s="176"/>
      <c r="BOR32" s="176"/>
      <c r="BOS32" s="176"/>
      <c r="BOT32" s="177"/>
      <c r="BOU32" s="177"/>
      <c r="BOV32" s="177"/>
      <c r="BOW32" s="176"/>
      <c r="BOX32" s="176"/>
      <c r="BOY32" s="176"/>
      <c r="BPB32" s="176"/>
      <c r="BPC32" s="176"/>
      <c r="BPD32" s="176"/>
      <c r="BPE32" s="176"/>
      <c r="BPF32" s="177"/>
      <c r="BPG32" s="177"/>
      <c r="BPH32" s="177"/>
      <c r="BPI32" s="176"/>
      <c r="BPJ32" s="176"/>
      <c r="BPK32" s="176"/>
      <c r="BPN32" s="176"/>
      <c r="BPO32" s="176"/>
      <c r="BPP32" s="176"/>
      <c r="BPQ32" s="176"/>
      <c r="BPR32" s="177"/>
      <c r="BPS32" s="177"/>
      <c r="BPT32" s="177"/>
      <c r="BPU32" s="176"/>
      <c r="BPV32" s="176"/>
      <c r="BPW32" s="176"/>
      <c r="BPZ32" s="176"/>
      <c r="BQA32" s="176"/>
      <c r="BQB32" s="176"/>
      <c r="BQC32" s="176"/>
      <c r="BQD32" s="177"/>
      <c r="BQE32" s="177"/>
      <c r="BQF32" s="177"/>
      <c r="BQG32" s="176"/>
      <c r="BQH32" s="176"/>
      <c r="BQI32" s="176"/>
      <c r="BQL32" s="176"/>
      <c r="BQM32" s="176"/>
      <c r="BQN32" s="176"/>
      <c r="BQO32" s="176"/>
      <c r="BQP32" s="177"/>
      <c r="BQQ32" s="177"/>
      <c r="BQR32" s="177"/>
      <c r="BQS32" s="176"/>
      <c r="BQT32" s="176"/>
      <c r="BQU32" s="176"/>
      <c r="BQX32" s="176"/>
      <c r="BQY32" s="176"/>
      <c r="BQZ32" s="176"/>
      <c r="BRA32" s="176"/>
      <c r="BRB32" s="177"/>
      <c r="BRC32" s="177"/>
      <c r="BRD32" s="177"/>
      <c r="BRE32" s="176"/>
      <c r="BRF32" s="176"/>
      <c r="BRG32" s="176"/>
      <c r="BRJ32" s="176"/>
      <c r="BRK32" s="176"/>
      <c r="BRL32" s="176"/>
      <c r="BRM32" s="176"/>
      <c r="BRN32" s="177"/>
      <c r="BRO32" s="177"/>
      <c r="BRP32" s="177"/>
      <c r="BRQ32" s="176"/>
      <c r="BRR32" s="176"/>
      <c r="BRS32" s="176"/>
      <c r="BRV32" s="176"/>
      <c r="BRW32" s="176"/>
      <c r="BRX32" s="176"/>
      <c r="BRY32" s="176"/>
      <c r="BRZ32" s="177"/>
      <c r="BSA32" s="177"/>
      <c r="BSB32" s="177"/>
      <c r="BSC32" s="176"/>
      <c r="BSD32" s="176"/>
      <c r="BSE32" s="176"/>
      <c r="BSH32" s="176"/>
      <c r="BSI32" s="176"/>
      <c r="BSJ32" s="176"/>
      <c r="BSK32" s="176"/>
      <c r="BSL32" s="177"/>
      <c r="BSM32" s="177"/>
      <c r="BSN32" s="177"/>
      <c r="BSO32" s="176"/>
      <c r="BSP32" s="176"/>
      <c r="BSQ32" s="176"/>
      <c r="BST32" s="176"/>
      <c r="BSU32" s="176"/>
      <c r="BSV32" s="176"/>
      <c r="BSW32" s="176"/>
      <c r="BSX32" s="177"/>
      <c r="BSY32" s="177"/>
      <c r="BSZ32" s="177"/>
      <c r="BTA32" s="176"/>
      <c r="BTB32" s="176"/>
      <c r="BTC32" s="176"/>
      <c r="BTF32" s="176"/>
      <c r="BTG32" s="176"/>
      <c r="BTH32" s="176"/>
      <c r="BTI32" s="176"/>
      <c r="BTJ32" s="177"/>
      <c r="BTK32" s="177"/>
      <c r="BTL32" s="177"/>
      <c r="BTM32" s="176"/>
      <c r="BTN32" s="176"/>
      <c r="BTO32" s="176"/>
      <c r="BTR32" s="176"/>
      <c r="BTS32" s="176"/>
      <c r="BTT32" s="176"/>
      <c r="BTU32" s="176"/>
      <c r="BTV32" s="177"/>
      <c r="BTW32" s="177"/>
      <c r="BTX32" s="177"/>
      <c r="BTY32" s="176"/>
      <c r="BTZ32" s="176"/>
      <c r="BUA32" s="176"/>
      <c r="BUD32" s="176"/>
      <c r="BUE32" s="176"/>
      <c r="BUF32" s="176"/>
      <c r="BUG32" s="176"/>
      <c r="BUH32" s="177"/>
      <c r="BUI32" s="177"/>
      <c r="BUJ32" s="177"/>
      <c r="BUK32" s="176"/>
      <c r="BUL32" s="176"/>
      <c r="BUM32" s="176"/>
      <c r="BUP32" s="176"/>
      <c r="BUQ32" s="176"/>
      <c r="BUR32" s="176"/>
      <c r="BUS32" s="176"/>
      <c r="BUT32" s="177"/>
      <c r="BUU32" s="177"/>
      <c r="BUV32" s="177"/>
      <c r="BUW32" s="176"/>
      <c r="BUX32" s="176"/>
      <c r="BUY32" s="176"/>
      <c r="BVB32" s="176"/>
      <c r="BVC32" s="176"/>
      <c r="BVD32" s="176"/>
      <c r="BVE32" s="176"/>
      <c r="BVF32" s="177"/>
      <c r="BVG32" s="177"/>
      <c r="BVH32" s="177"/>
      <c r="BVI32" s="176"/>
      <c r="BVJ32" s="176"/>
      <c r="BVK32" s="176"/>
      <c r="BVN32" s="176"/>
      <c r="BVO32" s="176"/>
      <c r="BVP32" s="176"/>
      <c r="BVQ32" s="176"/>
      <c r="BVR32" s="177"/>
      <c r="BVS32" s="177"/>
      <c r="BVT32" s="177"/>
      <c r="BVU32" s="176"/>
      <c r="BVV32" s="176"/>
      <c r="BVW32" s="176"/>
      <c r="BVZ32" s="176"/>
      <c r="BWA32" s="176"/>
      <c r="BWB32" s="176"/>
      <c r="BWC32" s="176"/>
      <c r="BWD32" s="177"/>
      <c r="BWE32" s="177"/>
      <c r="BWF32" s="177"/>
      <c r="BWG32" s="176"/>
      <c r="BWH32" s="176"/>
      <c r="BWI32" s="176"/>
      <c r="BWL32" s="176"/>
      <c r="BWM32" s="176"/>
      <c r="BWN32" s="176"/>
      <c r="BWO32" s="176"/>
      <c r="BWP32" s="177"/>
      <c r="BWQ32" s="177"/>
      <c r="BWR32" s="177"/>
      <c r="BWS32" s="176"/>
      <c r="BWT32" s="176"/>
      <c r="BWU32" s="176"/>
      <c r="BWX32" s="176"/>
      <c r="BWY32" s="176"/>
      <c r="BWZ32" s="176"/>
      <c r="BXA32" s="176"/>
      <c r="BXB32" s="177"/>
      <c r="BXC32" s="177"/>
      <c r="BXD32" s="177"/>
      <c r="BXE32" s="176"/>
      <c r="BXF32" s="176"/>
      <c r="BXG32" s="176"/>
      <c r="BXJ32" s="176"/>
      <c r="BXK32" s="176"/>
      <c r="BXL32" s="176"/>
      <c r="BXM32" s="176"/>
      <c r="BXN32" s="177"/>
      <c r="BXO32" s="177"/>
      <c r="BXP32" s="177"/>
      <c r="BXQ32" s="176"/>
      <c r="BXR32" s="176"/>
      <c r="BXS32" s="176"/>
      <c r="BXV32" s="176"/>
      <c r="BXW32" s="176"/>
      <c r="BXX32" s="176"/>
      <c r="BXY32" s="176"/>
      <c r="BXZ32" s="177"/>
      <c r="BYA32" s="177"/>
      <c r="BYB32" s="177"/>
      <c r="BYC32" s="176"/>
      <c r="BYD32" s="176"/>
      <c r="BYE32" s="176"/>
      <c r="BYH32" s="176"/>
      <c r="BYI32" s="176"/>
      <c r="BYJ32" s="176"/>
      <c r="BYK32" s="176"/>
      <c r="BYL32" s="177"/>
      <c r="BYM32" s="177"/>
      <c r="BYN32" s="177"/>
      <c r="BYO32" s="176"/>
      <c r="BYP32" s="176"/>
      <c r="BYQ32" s="176"/>
      <c r="BYT32" s="176"/>
      <c r="BYU32" s="176"/>
      <c r="BYV32" s="176"/>
      <c r="BYW32" s="176"/>
      <c r="BYX32" s="177"/>
      <c r="BYY32" s="177"/>
      <c r="BYZ32" s="177"/>
      <c r="BZA32" s="176"/>
      <c r="BZB32" s="176"/>
      <c r="BZC32" s="176"/>
      <c r="BZF32" s="176"/>
      <c r="BZG32" s="176"/>
      <c r="BZH32" s="176"/>
      <c r="BZI32" s="176"/>
      <c r="BZJ32" s="177"/>
      <c r="BZK32" s="177"/>
      <c r="BZL32" s="177"/>
      <c r="BZM32" s="176"/>
      <c r="BZN32" s="176"/>
      <c r="BZO32" s="176"/>
      <c r="BZR32" s="176"/>
      <c r="BZS32" s="176"/>
      <c r="BZT32" s="176"/>
      <c r="BZU32" s="176"/>
      <c r="BZV32" s="177"/>
      <c r="BZW32" s="177"/>
      <c r="BZX32" s="177"/>
      <c r="BZY32" s="176"/>
      <c r="BZZ32" s="176"/>
      <c r="CAA32" s="176"/>
      <c r="CAD32" s="176"/>
      <c r="CAE32" s="176"/>
      <c r="CAF32" s="176"/>
      <c r="CAG32" s="176"/>
      <c r="CAH32" s="177"/>
      <c r="CAI32" s="177"/>
      <c r="CAJ32" s="177"/>
      <c r="CAK32" s="176"/>
      <c r="CAL32" s="176"/>
      <c r="CAM32" s="176"/>
      <c r="CAP32" s="176"/>
      <c r="CAQ32" s="176"/>
      <c r="CAR32" s="176"/>
      <c r="CAS32" s="176"/>
      <c r="CAT32" s="177"/>
      <c r="CAU32" s="177"/>
      <c r="CAV32" s="177"/>
      <c r="CAW32" s="176"/>
      <c r="CAX32" s="176"/>
      <c r="CAY32" s="176"/>
      <c r="CBB32" s="176"/>
      <c r="CBC32" s="176"/>
      <c r="CBD32" s="176"/>
      <c r="CBE32" s="176"/>
      <c r="CBF32" s="177"/>
      <c r="CBG32" s="177"/>
      <c r="CBH32" s="177"/>
      <c r="CBI32" s="176"/>
      <c r="CBJ32" s="176"/>
      <c r="CBK32" s="176"/>
      <c r="CBN32" s="176"/>
      <c r="CBO32" s="176"/>
      <c r="CBP32" s="176"/>
      <c r="CBQ32" s="176"/>
      <c r="CBR32" s="177"/>
      <c r="CBS32" s="177"/>
      <c r="CBT32" s="177"/>
      <c r="CBU32" s="176"/>
      <c r="CBV32" s="176"/>
      <c r="CBW32" s="176"/>
      <c r="CBZ32" s="176"/>
      <c r="CCA32" s="176"/>
      <c r="CCB32" s="176"/>
      <c r="CCC32" s="176"/>
      <c r="CCD32" s="177"/>
      <c r="CCE32" s="177"/>
      <c r="CCF32" s="177"/>
      <c r="CCG32" s="176"/>
      <c r="CCH32" s="176"/>
      <c r="CCI32" s="176"/>
      <c r="CCL32" s="176"/>
      <c r="CCM32" s="176"/>
      <c r="CCN32" s="176"/>
      <c r="CCO32" s="176"/>
      <c r="CCP32" s="177"/>
      <c r="CCQ32" s="177"/>
      <c r="CCR32" s="177"/>
      <c r="CCS32" s="176"/>
      <c r="CCT32" s="176"/>
      <c r="CCU32" s="176"/>
      <c r="CCX32" s="176"/>
      <c r="CCY32" s="176"/>
      <c r="CCZ32" s="176"/>
      <c r="CDA32" s="176"/>
      <c r="CDB32" s="177"/>
      <c r="CDC32" s="177"/>
      <c r="CDD32" s="177"/>
      <c r="CDE32" s="176"/>
      <c r="CDF32" s="176"/>
      <c r="CDG32" s="176"/>
      <c r="CDJ32" s="176"/>
      <c r="CDK32" s="176"/>
      <c r="CDL32" s="176"/>
      <c r="CDM32" s="176"/>
      <c r="CDN32" s="177"/>
      <c r="CDO32" s="177"/>
      <c r="CDP32" s="177"/>
      <c r="CDQ32" s="176"/>
      <c r="CDR32" s="176"/>
      <c r="CDS32" s="176"/>
      <c r="CDV32" s="176"/>
      <c r="CDW32" s="176"/>
      <c r="CDX32" s="176"/>
      <c r="CDY32" s="176"/>
      <c r="CDZ32" s="177"/>
      <c r="CEA32" s="177"/>
      <c r="CEB32" s="177"/>
      <c r="CEC32" s="176"/>
      <c r="CED32" s="176"/>
      <c r="CEE32" s="176"/>
      <c r="CEH32" s="176"/>
      <c r="CEI32" s="176"/>
      <c r="CEJ32" s="176"/>
      <c r="CEK32" s="176"/>
      <c r="CEL32" s="177"/>
      <c r="CEM32" s="177"/>
      <c r="CEN32" s="177"/>
      <c r="CEO32" s="176"/>
      <c r="CEP32" s="176"/>
      <c r="CEQ32" s="176"/>
      <c r="CET32" s="176"/>
      <c r="CEU32" s="176"/>
      <c r="CEV32" s="176"/>
      <c r="CEW32" s="176"/>
      <c r="CEX32" s="177"/>
      <c r="CEY32" s="177"/>
      <c r="CEZ32" s="177"/>
      <c r="CFA32" s="176"/>
      <c r="CFB32" s="176"/>
      <c r="CFC32" s="176"/>
      <c r="CFF32" s="176"/>
      <c r="CFG32" s="176"/>
      <c r="CFH32" s="176"/>
      <c r="CFI32" s="176"/>
      <c r="CFJ32" s="177"/>
      <c r="CFK32" s="177"/>
      <c r="CFL32" s="177"/>
      <c r="CFM32" s="176"/>
      <c r="CFN32" s="176"/>
      <c r="CFO32" s="176"/>
      <c r="CFR32" s="176"/>
      <c r="CFS32" s="176"/>
      <c r="CFT32" s="176"/>
      <c r="CFU32" s="176"/>
      <c r="CFV32" s="177"/>
      <c r="CFW32" s="177"/>
      <c r="CFX32" s="177"/>
      <c r="CFY32" s="176"/>
      <c r="CFZ32" s="176"/>
      <c r="CGA32" s="176"/>
      <c r="CGD32" s="176"/>
      <c r="CGE32" s="176"/>
      <c r="CGF32" s="176"/>
      <c r="CGG32" s="176"/>
      <c r="CGH32" s="177"/>
      <c r="CGI32" s="177"/>
      <c r="CGJ32" s="177"/>
      <c r="CGK32" s="176"/>
      <c r="CGL32" s="176"/>
      <c r="CGM32" s="176"/>
      <c r="CGP32" s="176"/>
      <c r="CGQ32" s="176"/>
      <c r="CGR32" s="176"/>
      <c r="CGS32" s="176"/>
      <c r="CGT32" s="177"/>
      <c r="CGU32" s="177"/>
      <c r="CGV32" s="177"/>
      <c r="CGW32" s="176"/>
      <c r="CGX32" s="176"/>
      <c r="CGY32" s="176"/>
      <c r="CHB32" s="176"/>
      <c r="CHC32" s="176"/>
      <c r="CHD32" s="176"/>
      <c r="CHE32" s="176"/>
      <c r="CHF32" s="177"/>
      <c r="CHG32" s="177"/>
      <c r="CHH32" s="177"/>
      <c r="CHI32" s="176"/>
      <c r="CHJ32" s="176"/>
      <c r="CHK32" s="176"/>
      <c r="CHN32" s="176"/>
      <c r="CHO32" s="176"/>
      <c r="CHP32" s="176"/>
      <c r="CHQ32" s="176"/>
      <c r="CHR32" s="177"/>
      <c r="CHS32" s="177"/>
      <c r="CHT32" s="177"/>
      <c r="CHU32" s="176"/>
      <c r="CHV32" s="176"/>
      <c r="CHW32" s="176"/>
      <c r="CHZ32" s="176"/>
      <c r="CIA32" s="176"/>
      <c r="CIB32" s="176"/>
      <c r="CIC32" s="176"/>
      <c r="CID32" s="177"/>
      <c r="CIE32" s="177"/>
      <c r="CIF32" s="177"/>
      <c r="CIG32" s="176"/>
      <c r="CIH32" s="176"/>
      <c r="CII32" s="176"/>
      <c r="CIL32" s="176"/>
      <c r="CIM32" s="176"/>
      <c r="CIN32" s="176"/>
      <c r="CIO32" s="176"/>
      <c r="CIP32" s="177"/>
      <c r="CIQ32" s="177"/>
      <c r="CIR32" s="177"/>
      <c r="CIS32" s="176"/>
      <c r="CIT32" s="176"/>
      <c r="CIU32" s="176"/>
      <c r="CIX32" s="176"/>
      <c r="CIY32" s="176"/>
      <c r="CIZ32" s="176"/>
      <c r="CJA32" s="176"/>
      <c r="CJB32" s="177"/>
      <c r="CJC32" s="177"/>
      <c r="CJD32" s="177"/>
      <c r="CJE32" s="176"/>
      <c r="CJF32" s="176"/>
      <c r="CJG32" s="176"/>
      <c r="CJJ32" s="176"/>
      <c r="CJK32" s="176"/>
      <c r="CJL32" s="176"/>
      <c r="CJM32" s="176"/>
      <c r="CJN32" s="177"/>
      <c r="CJO32" s="177"/>
      <c r="CJP32" s="177"/>
      <c r="CJQ32" s="176"/>
      <c r="CJR32" s="176"/>
      <c r="CJS32" s="176"/>
      <c r="CJV32" s="176"/>
      <c r="CJW32" s="176"/>
      <c r="CJX32" s="176"/>
      <c r="CJY32" s="176"/>
      <c r="CJZ32" s="177"/>
      <c r="CKA32" s="177"/>
      <c r="CKB32" s="177"/>
      <c r="CKC32" s="176"/>
      <c r="CKD32" s="176"/>
      <c r="CKE32" s="176"/>
      <c r="CKH32" s="176"/>
      <c r="CKI32" s="176"/>
      <c r="CKJ32" s="176"/>
      <c r="CKK32" s="176"/>
      <c r="CKL32" s="177"/>
      <c r="CKM32" s="177"/>
      <c r="CKN32" s="177"/>
      <c r="CKO32" s="176"/>
      <c r="CKP32" s="176"/>
      <c r="CKQ32" s="176"/>
      <c r="CKT32" s="176"/>
      <c r="CKU32" s="176"/>
      <c r="CKV32" s="176"/>
      <c r="CKW32" s="176"/>
      <c r="CKX32" s="177"/>
      <c r="CKY32" s="177"/>
      <c r="CKZ32" s="177"/>
      <c r="CLA32" s="176"/>
      <c r="CLB32" s="176"/>
      <c r="CLC32" s="176"/>
      <c r="CLF32" s="176"/>
      <c r="CLG32" s="176"/>
      <c r="CLH32" s="176"/>
      <c r="CLI32" s="176"/>
      <c r="CLJ32" s="177"/>
      <c r="CLK32" s="177"/>
      <c r="CLL32" s="177"/>
      <c r="CLM32" s="176"/>
      <c r="CLN32" s="176"/>
      <c r="CLO32" s="176"/>
      <c r="CLR32" s="176"/>
      <c r="CLS32" s="176"/>
      <c r="CLT32" s="176"/>
      <c r="CLU32" s="176"/>
      <c r="CLV32" s="177"/>
      <c r="CLW32" s="177"/>
      <c r="CLX32" s="177"/>
      <c r="CLY32" s="176"/>
      <c r="CLZ32" s="176"/>
      <c r="CMA32" s="176"/>
      <c r="CMD32" s="176"/>
      <c r="CME32" s="176"/>
      <c r="CMF32" s="176"/>
      <c r="CMG32" s="176"/>
      <c r="CMH32" s="177"/>
      <c r="CMI32" s="177"/>
      <c r="CMJ32" s="177"/>
      <c r="CMK32" s="176"/>
      <c r="CML32" s="176"/>
      <c r="CMM32" s="176"/>
      <c r="CMP32" s="176"/>
      <c r="CMQ32" s="176"/>
      <c r="CMR32" s="176"/>
      <c r="CMS32" s="176"/>
      <c r="CMT32" s="177"/>
      <c r="CMU32" s="177"/>
      <c r="CMV32" s="177"/>
      <c r="CMW32" s="176"/>
      <c r="CMX32" s="176"/>
      <c r="CMY32" s="176"/>
      <c r="CNB32" s="176"/>
      <c r="CNC32" s="176"/>
      <c r="CND32" s="176"/>
      <c r="CNE32" s="176"/>
      <c r="CNF32" s="177"/>
      <c r="CNG32" s="177"/>
      <c r="CNH32" s="177"/>
      <c r="CNI32" s="176"/>
      <c r="CNJ32" s="176"/>
      <c r="CNK32" s="176"/>
      <c r="CNN32" s="176"/>
      <c r="CNO32" s="176"/>
      <c r="CNP32" s="176"/>
      <c r="CNQ32" s="176"/>
      <c r="CNR32" s="177"/>
      <c r="CNS32" s="177"/>
      <c r="CNT32" s="177"/>
      <c r="CNU32" s="176"/>
      <c r="CNV32" s="176"/>
      <c r="CNW32" s="176"/>
      <c r="CNZ32" s="176"/>
      <c r="COA32" s="176"/>
      <c r="COB32" s="176"/>
      <c r="COC32" s="176"/>
      <c r="COD32" s="177"/>
      <c r="COE32" s="177"/>
      <c r="COF32" s="177"/>
      <c r="COG32" s="176"/>
      <c r="COH32" s="176"/>
      <c r="COI32" s="176"/>
      <c r="COL32" s="176"/>
      <c r="COM32" s="176"/>
      <c r="CON32" s="176"/>
      <c r="COO32" s="176"/>
      <c r="COP32" s="177"/>
      <c r="COQ32" s="177"/>
      <c r="COR32" s="177"/>
      <c r="COS32" s="176"/>
      <c r="COT32" s="176"/>
      <c r="COU32" s="176"/>
      <c r="COX32" s="176"/>
      <c r="COY32" s="176"/>
      <c r="COZ32" s="176"/>
      <c r="CPA32" s="176"/>
      <c r="CPB32" s="177"/>
      <c r="CPC32" s="177"/>
      <c r="CPD32" s="177"/>
      <c r="CPE32" s="176"/>
      <c r="CPF32" s="176"/>
      <c r="CPG32" s="176"/>
      <c r="CPJ32" s="176"/>
      <c r="CPK32" s="176"/>
      <c r="CPL32" s="176"/>
      <c r="CPM32" s="176"/>
      <c r="CPN32" s="177"/>
      <c r="CPO32" s="177"/>
      <c r="CPP32" s="177"/>
      <c r="CPQ32" s="176"/>
      <c r="CPR32" s="176"/>
      <c r="CPS32" s="176"/>
      <c r="CPV32" s="176"/>
      <c r="CPW32" s="176"/>
      <c r="CPX32" s="176"/>
      <c r="CPY32" s="176"/>
      <c r="CPZ32" s="177"/>
      <c r="CQA32" s="177"/>
      <c r="CQB32" s="177"/>
      <c r="CQC32" s="176"/>
      <c r="CQD32" s="176"/>
      <c r="CQE32" s="176"/>
      <c r="CQH32" s="176"/>
      <c r="CQI32" s="176"/>
      <c r="CQJ32" s="176"/>
      <c r="CQK32" s="176"/>
      <c r="CQL32" s="177"/>
      <c r="CQM32" s="177"/>
      <c r="CQN32" s="177"/>
      <c r="CQO32" s="176"/>
      <c r="CQP32" s="176"/>
      <c r="CQQ32" s="176"/>
      <c r="CQT32" s="176"/>
      <c r="CQU32" s="176"/>
      <c r="CQV32" s="176"/>
      <c r="CQW32" s="176"/>
      <c r="CQX32" s="177"/>
      <c r="CQY32" s="177"/>
      <c r="CQZ32" s="177"/>
      <c r="CRA32" s="176"/>
      <c r="CRB32" s="176"/>
      <c r="CRC32" s="176"/>
      <c r="CRF32" s="176"/>
      <c r="CRG32" s="176"/>
      <c r="CRH32" s="176"/>
      <c r="CRI32" s="176"/>
      <c r="CRJ32" s="177"/>
      <c r="CRK32" s="177"/>
      <c r="CRL32" s="177"/>
      <c r="CRM32" s="176"/>
      <c r="CRN32" s="176"/>
      <c r="CRO32" s="176"/>
      <c r="CRR32" s="176"/>
      <c r="CRS32" s="176"/>
      <c r="CRT32" s="176"/>
      <c r="CRU32" s="176"/>
      <c r="CRV32" s="177"/>
      <c r="CRW32" s="177"/>
      <c r="CRX32" s="177"/>
      <c r="CRY32" s="176"/>
      <c r="CRZ32" s="176"/>
      <c r="CSA32" s="176"/>
      <c r="CSD32" s="176"/>
      <c r="CSE32" s="176"/>
      <c r="CSF32" s="176"/>
      <c r="CSG32" s="176"/>
      <c r="CSH32" s="177"/>
      <c r="CSI32" s="177"/>
      <c r="CSJ32" s="177"/>
      <c r="CSK32" s="176"/>
      <c r="CSL32" s="176"/>
      <c r="CSM32" s="176"/>
      <c r="CSP32" s="176"/>
      <c r="CSQ32" s="176"/>
      <c r="CSR32" s="176"/>
      <c r="CSS32" s="176"/>
      <c r="CST32" s="177"/>
      <c r="CSU32" s="177"/>
      <c r="CSV32" s="177"/>
      <c r="CSW32" s="176"/>
      <c r="CSX32" s="176"/>
      <c r="CSY32" s="176"/>
      <c r="CTB32" s="176"/>
      <c r="CTC32" s="176"/>
      <c r="CTD32" s="176"/>
      <c r="CTE32" s="176"/>
      <c r="CTF32" s="177"/>
      <c r="CTG32" s="177"/>
      <c r="CTH32" s="177"/>
      <c r="CTI32" s="176"/>
      <c r="CTJ32" s="176"/>
      <c r="CTK32" s="176"/>
      <c r="CTN32" s="176"/>
      <c r="CTO32" s="176"/>
      <c r="CTP32" s="176"/>
      <c r="CTQ32" s="176"/>
      <c r="CTR32" s="177"/>
      <c r="CTS32" s="177"/>
      <c r="CTT32" s="177"/>
      <c r="CTU32" s="176"/>
      <c r="CTV32" s="176"/>
      <c r="CTW32" s="176"/>
      <c r="CTZ32" s="176"/>
      <c r="CUA32" s="176"/>
      <c r="CUB32" s="176"/>
      <c r="CUC32" s="176"/>
      <c r="CUD32" s="177"/>
      <c r="CUE32" s="177"/>
      <c r="CUF32" s="177"/>
      <c r="CUG32" s="176"/>
      <c r="CUH32" s="176"/>
      <c r="CUI32" s="176"/>
      <c r="CUL32" s="176"/>
      <c r="CUM32" s="176"/>
      <c r="CUN32" s="176"/>
      <c r="CUO32" s="176"/>
      <c r="CUP32" s="177"/>
      <c r="CUQ32" s="177"/>
      <c r="CUR32" s="177"/>
      <c r="CUS32" s="176"/>
      <c r="CUT32" s="176"/>
      <c r="CUU32" s="176"/>
      <c r="CUX32" s="176"/>
      <c r="CUY32" s="176"/>
      <c r="CUZ32" s="176"/>
      <c r="CVA32" s="176"/>
      <c r="CVB32" s="177"/>
      <c r="CVC32" s="177"/>
      <c r="CVD32" s="177"/>
      <c r="CVE32" s="176"/>
      <c r="CVF32" s="176"/>
      <c r="CVG32" s="176"/>
      <c r="CVJ32" s="176"/>
      <c r="CVK32" s="176"/>
      <c r="CVL32" s="176"/>
      <c r="CVM32" s="176"/>
      <c r="CVN32" s="177"/>
      <c r="CVO32" s="177"/>
      <c r="CVP32" s="177"/>
      <c r="CVQ32" s="176"/>
      <c r="CVR32" s="176"/>
      <c r="CVS32" s="176"/>
      <c r="CVV32" s="176"/>
      <c r="CVW32" s="176"/>
      <c r="CVX32" s="176"/>
      <c r="CVY32" s="176"/>
      <c r="CVZ32" s="177"/>
      <c r="CWA32" s="177"/>
      <c r="CWB32" s="177"/>
      <c r="CWC32" s="176"/>
      <c r="CWD32" s="176"/>
      <c r="CWE32" s="176"/>
    </row>
    <row r="33" spans="2:1023 1026:2631" x14ac:dyDescent="0.25">
      <c r="C33" s="170"/>
      <c r="D33" s="170"/>
      <c r="H33" s="174"/>
      <c r="I33" s="174"/>
      <c r="J33" s="174"/>
      <c r="K33" s="175"/>
      <c r="L33" s="175"/>
      <c r="Q33" s="170"/>
      <c r="R33" s="170"/>
      <c r="V33" s="174"/>
      <c r="W33" s="174"/>
      <c r="X33" s="174"/>
      <c r="Y33" s="175"/>
      <c r="Z33" s="175"/>
      <c r="AE33" s="170"/>
      <c r="AF33" s="170"/>
      <c r="AJ33" s="174"/>
      <c r="AK33" s="174"/>
      <c r="AL33" s="174"/>
      <c r="AM33" s="175"/>
      <c r="AN33" s="175"/>
      <c r="AS33" s="170"/>
      <c r="AT33" s="170"/>
      <c r="AX33" s="174"/>
      <c r="AY33" s="174"/>
      <c r="AZ33" s="174"/>
      <c r="BA33" s="175"/>
      <c r="BB33" s="175"/>
      <c r="BG33" s="170"/>
      <c r="BH33" s="170"/>
      <c r="BL33" s="174"/>
      <c r="BM33" s="174"/>
      <c r="BN33" s="174"/>
      <c r="BO33" s="175"/>
      <c r="BP33" s="175"/>
      <c r="BU33" s="170"/>
      <c r="BV33" s="170"/>
      <c r="BZ33" s="174"/>
      <c r="CA33" s="174"/>
      <c r="CB33" s="174"/>
      <c r="CC33" s="175"/>
      <c r="CD33" s="175"/>
      <c r="CI33" s="170"/>
      <c r="CJ33" s="170"/>
      <c r="CN33" s="174"/>
      <c r="CO33" s="174"/>
      <c r="CP33" s="174"/>
      <c r="CQ33" s="175"/>
      <c r="CR33" s="175"/>
      <c r="CW33" s="170"/>
      <c r="CX33" s="170"/>
      <c r="DB33" s="174"/>
      <c r="DC33" s="174"/>
      <c r="DD33" s="174"/>
      <c r="DE33" s="175"/>
      <c r="DF33" s="175"/>
      <c r="DK33" s="170"/>
      <c r="DL33" s="170"/>
      <c r="DP33" s="174"/>
      <c r="DQ33" s="174"/>
      <c r="DR33" s="174"/>
      <c r="DS33" s="175"/>
      <c r="DT33" s="175"/>
      <c r="DY33" s="170"/>
      <c r="DZ33" s="170"/>
      <c r="ED33" s="174"/>
      <c r="EE33" s="174"/>
      <c r="EF33" s="174"/>
      <c r="EG33" s="175"/>
      <c r="EH33" s="175"/>
      <c r="EM33" s="170"/>
      <c r="EN33" s="170"/>
      <c r="ER33" s="174"/>
      <c r="ES33" s="174"/>
      <c r="ET33" s="174"/>
      <c r="EU33" s="175"/>
      <c r="EV33" s="175"/>
      <c r="FA33" s="170"/>
      <c r="FB33" s="170"/>
      <c r="FF33" s="174"/>
      <c r="FG33" s="174"/>
      <c r="FH33" s="174"/>
      <c r="FI33" s="175"/>
      <c r="FJ33" s="175"/>
      <c r="FO33" s="170"/>
      <c r="FP33" s="170"/>
      <c r="FT33" s="174"/>
      <c r="FU33" s="174"/>
      <c r="FV33" s="174"/>
      <c r="FW33" s="175"/>
      <c r="FX33" s="175"/>
      <c r="GC33" s="170"/>
      <c r="GD33" s="170"/>
      <c r="GH33" s="174"/>
      <c r="GI33" s="174"/>
      <c r="GJ33" s="174"/>
      <c r="GK33" s="175"/>
      <c r="GL33" s="175"/>
      <c r="GQ33" s="170"/>
      <c r="GR33" s="170"/>
      <c r="GV33" s="174"/>
      <c r="GW33" s="174"/>
      <c r="GX33" s="174"/>
      <c r="GY33" s="175"/>
      <c r="GZ33" s="175"/>
      <c r="HE33" s="170"/>
      <c r="HF33" s="170"/>
      <c r="HJ33" s="174"/>
      <c r="HK33" s="174"/>
      <c r="HL33" s="174"/>
      <c r="HM33" s="175"/>
      <c r="HN33" s="175"/>
      <c r="HS33" s="170"/>
      <c r="HT33" s="170"/>
      <c r="HX33" s="174"/>
      <c r="HY33" s="174"/>
      <c r="HZ33" s="174"/>
      <c r="IA33" s="175"/>
      <c r="IB33" s="175"/>
      <c r="IG33" s="170"/>
      <c r="IH33" s="170"/>
      <c r="IL33" s="174"/>
      <c r="IM33" s="174"/>
      <c r="IN33" s="174"/>
      <c r="IO33" s="175"/>
      <c r="IP33" s="175"/>
      <c r="IU33" s="170"/>
      <c r="IV33" s="170"/>
      <c r="IZ33" s="174"/>
      <c r="JA33" s="174"/>
      <c r="JB33" s="174"/>
      <c r="JC33" s="175"/>
      <c r="JD33" s="175"/>
      <c r="JI33" s="170"/>
      <c r="JJ33" s="170"/>
      <c r="JN33" s="174"/>
      <c r="JO33" s="174"/>
      <c r="JP33" s="174"/>
      <c r="JQ33" s="175"/>
      <c r="JR33" s="175"/>
      <c r="JW33" s="170"/>
      <c r="JX33" s="170"/>
      <c r="KB33" s="174"/>
      <c r="KC33" s="174"/>
      <c r="KD33" s="174"/>
      <c r="KE33" s="175"/>
      <c r="KF33" s="175"/>
      <c r="KK33" s="170"/>
      <c r="KL33" s="170"/>
      <c r="KP33" s="174"/>
      <c r="KQ33" s="174"/>
      <c r="KR33" s="174"/>
      <c r="KS33" s="175"/>
      <c r="KT33" s="175"/>
      <c r="KY33" s="170"/>
      <c r="KZ33" s="170"/>
      <c r="LD33" s="174"/>
      <c r="LE33" s="174"/>
      <c r="LF33" s="174"/>
      <c r="LG33" s="175"/>
      <c r="LH33" s="175"/>
      <c r="LM33" s="170"/>
      <c r="LN33" s="170"/>
      <c r="LR33" s="174"/>
      <c r="LS33" s="174"/>
      <c r="LT33" s="174"/>
      <c r="LU33" s="175"/>
      <c r="LV33" s="175"/>
      <c r="MA33" s="170"/>
      <c r="MB33" s="170"/>
      <c r="MF33" s="174"/>
      <c r="MG33" s="174"/>
      <c r="MH33" s="174"/>
      <c r="MI33" s="175"/>
      <c r="MJ33" s="175"/>
      <c r="MO33" s="170"/>
      <c r="MP33" s="170"/>
      <c r="MT33" s="174"/>
      <c r="MU33" s="174"/>
      <c r="MV33" s="174"/>
      <c r="MW33" s="175"/>
      <c r="MX33" s="175"/>
      <c r="NC33" s="170"/>
      <c r="ND33" s="170"/>
      <c r="NH33" s="174"/>
      <c r="NI33" s="174"/>
      <c r="NJ33" s="174"/>
      <c r="NK33" s="175"/>
      <c r="NL33" s="175"/>
      <c r="NQ33" s="170"/>
      <c r="NR33" s="170"/>
      <c r="NV33" s="174"/>
      <c r="NW33" s="174"/>
      <c r="NX33" s="174"/>
      <c r="NY33" s="175"/>
      <c r="NZ33" s="175"/>
      <c r="OE33" s="170"/>
      <c r="OF33" s="170"/>
      <c r="OJ33" s="174"/>
      <c r="OK33" s="174"/>
      <c r="OL33" s="174"/>
      <c r="OM33" s="175"/>
      <c r="ON33" s="175"/>
      <c r="OS33" s="170"/>
      <c r="OT33" s="170"/>
      <c r="OX33" s="174"/>
      <c r="OY33" s="174"/>
      <c r="OZ33" s="174"/>
      <c r="PA33" s="175"/>
      <c r="PB33" s="175"/>
      <c r="PG33" s="170"/>
      <c r="PH33" s="170"/>
      <c r="PL33" s="174"/>
      <c r="PM33" s="174"/>
      <c r="PN33" s="174"/>
      <c r="PO33" s="175"/>
      <c r="PP33" s="175"/>
      <c r="PU33" s="170"/>
      <c r="PV33" s="170"/>
      <c r="PZ33" s="174"/>
      <c r="QA33" s="174"/>
      <c r="QB33" s="174"/>
      <c r="QC33" s="175"/>
      <c r="QD33" s="175"/>
      <c r="QI33" s="170"/>
      <c r="QJ33" s="170"/>
      <c r="QN33" s="174"/>
      <c r="QO33" s="174"/>
      <c r="QP33" s="174"/>
      <c r="QQ33" s="175"/>
      <c r="QR33" s="175"/>
      <c r="QW33" s="170"/>
      <c r="QX33" s="170"/>
      <c r="RB33" s="174"/>
      <c r="RC33" s="174"/>
      <c r="RD33" s="174"/>
      <c r="RE33" s="175"/>
      <c r="RF33" s="175"/>
      <c r="RK33" s="170"/>
      <c r="RL33" s="170"/>
      <c r="RP33" s="174"/>
      <c r="RQ33" s="174"/>
      <c r="RR33" s="174"/>
      <c r="RS33" s="175"/>
      <c r="RT33" s="175"/>
      <c r="RY33" s="170"/>
      <c r="RZ33" s="170"/>
      <c r="SD33" s="174"/>
      <c r="SE33" s="174"/>
      <c r="SF33" s="174"/>
      <c r="SG33" s="175"/>
      <c r="SH33" s="175"/>
      <c r="SM33" s="170"/>
      <c r="SN33" s="170"/>
      <c r="SR33" s="174"/>
      <c r="SS33" s="174"/>
      <c r="ST33" s="174"/>
      <c r="SU33" s="175"/>
      <c r="SV33" s="175"/>
      <c r="TA33" s="170"/>
      <c r="TB33" s="170"/>
      <c r="TF33" s="174"/>
      <c r="TG33" s="174"/>
      <c r="TH33" s="174"/>
      <c r="TI33" s="175"/>
      <c r="TJ33" s="175"/>
      <c r="TO33" s="170"/>
      <c r="TP33" s="170"/>
      <c r="TT33" s="174"/>
      <c r="TU33" s="174"/>
      <c r="TV33" s="174"/>
      <c r="TW33" s="175"/>
      <c r="TX33" s="175"/>
      <c r="UC33" s="170"/>
      <c r="UD33" s="170"/>
      <c r="UH33" s="174"/>
      <c r="UI33" s="174"/>
      <c r="UJ33" s="174"/>
      <c r="UK33" s="175"/>
      <c r="UL33" s="175"/>
      <c r="UQ33" s="170"/>
      <c r="UR33" s="170"/>
      <c r="UV33" s="174"/>
      <c r="UW33" s="174"/>
      <c r="UX33" s="174"/>
      <c r="UY33" s="175"/>
      <c r="UZ33" s="175"/>
      <c r="VE33" s="170"/>
      <c r="VF33" s="170"/>
      <c r="VJ33" s="174"/>
      <c r="VK33" s="174"/>
      <c r="VL33" s="174"/>
      <c r="VM33" s="175"/>
      <c r="VN33" s="175"/>
      <c r="VS33" s="170"/>
      <c r="VT33" s="170"/>
      <c r="VX33" s="174"/>
      <c r="VY33" s="174"/>
      <c r="VZ33" s="174"/>
      <c r="WA33" s="175"/>
      <c r="WB33" s="175"/>
      <c r="WG33" s="170"/>
      <c r="WH33" s="170"/>
      <c r="WL33" s="174"/>
      <c r="WM33" s="174"/>
      <c r="WN33" s="174"/>
      <c r="WO33" s="175"/>
      <c r="WP33" s="175"/>
      <c r="WU33" s="170"/>
      <c r="WV33" s="170"/>
      <c r="WZ33" s="174"/>
      <c r="XA33" s="174"/>
      <c r="XB33" s="174"/>
      <c r="XC33" s="175"/>
      <c r="XD33" s="175"/>
      <c r="XI33" s="170"/>
      <c r="XJ33" s="170"/>
      <c r="XN33" s="174"/>
      <c r="XO33" s="174"/>
      <c r="XP33" s="174"/>
      <c r="XQ33" s="175"/>
      <c r="XR33" s="175"/>
      <c r="XW33" s="170"/>
      <c r="XX33" s="170"/>
      <c r="YB33" s="174"/>
      <c r="YC33" s="174"/>
      <c r="YD33" s="174"/>
      <c r="YE33" s="175"/>
      <c r="YF33" s="175"/>
      <c r="YK33" s="170"/>
      <c r="YL33" s="170"/>
      <c r="YP33" s="174"/>
      <c r="YQ33" s="174"/>
      <c r="YR33" s="174"/>
      <c r="YS33" s="175"/>
      <c r="YT33" s="175"/>
      <c r="YY33" s="170"/>
      <c r="YZ33" s="170"/>
      <c r="ZD33" s="174"/>
      <c r="ZE33" s="174"/>
      <c r="ZF33" s="174"/>
      <c r="ZG33" s="175"/>
      <c r="ZH33" s="175"/>
      <c r="ZM33" s="170"/>
      <c r="ZN33" s="170"/>
      <c r="ZR33" s="174"/>
      <c r="ZS33" s="174"/>
      <c r="ZT33" s="174"/>
      <c r="ZU33" s="175"/>
      <c r="ZV33" s="175"/>
      <c r="ZY33" s="4"/>
      <c r="ZZ33" s="177" t="s">
        <v>74</v>
      </c>
      <c r="AAA33" s="177"/>
      <c r="AAB33" s="177"/>
      <c r="AAC33" s="177"/>
      <c r="AAD33" s="176"/>
      <c r="AAE33" s="176"/>
      <c r="AAF33" s="176"/>
      <c r="AAG33" s="177" t="s">
        <v>75</v>
      </c>
      <c r="AAH33" s="177"/>
      <c r="AAI33" s="177"/>
      <c r="AAL33" s="4"/>
      <c r="AAM33" s="177" t="s">
        <v>74</v>
      </c>
      <c r="AAN33" s="177"/>
      <c r="AAO33" s="177"/>
      <c r="AAP33" s="177"/>
      <c r="AAQ33" s="176"/>
      <c r="AAR33" s="176"/>
      <c r="AAS33" s="176"/>
      <c r="AAT33" s="177" t="s">
        <v>75</v>
      </c>
      <c r="AAU33" s="177"/>
      <c r="AAV33" s="177"/>
      <c r="AAY33" s="4"/>
      <c r="AAZ33" s="177" t="s">
        <v>74</v>
      </c>
      <c r="ABA33" s="177"/>
      <c r="ABB33" s="177"/>
      <c r="ABC33" s="177"/>
      <c r="ABD33" s="176"/>
      <c r="ABE33" s="176"/>
      <c r="ABF33" s="176"/>
      <c r="ABG33" s="177" t="s">
        <v>75</v>
      </c>
      <c r="ABH33" s="177"/>
      <c r="ABI33" s="177"/>
      <c r="ABL33" s="4"/>
      <c r="ABM33" s="177" t="s">
        <v>74</v>
      </c>
      <c r="ABN33" s="177"/>
      <c r="ABO33" s="177"/>
      <c r="ABP33" s="177"/>
      <c r="ABQ33" s="176"/>
      <c r="ABR33" s="176"/>
      <c r="ABS33" s="176"/>
      <c r="ABT33" s="177" t="s">
        <v>75</v>
      </c>
      <c r="ABU33" s="177"/>
      <c r="ABV33" s="177"/>
      <c r="ABY33" s="4"/>
      <c r="ABZ33" s="177" t="s">
        <v>74</v>
      </c>
      <c r="ACA33" s="177"/>
      <c r="ACB33" s="177"/>
      <c r="ACC33" s="177"/>
      <c r="ACD33" s="176"/>
      <c r="ACE33" s="176"/>
      <c r="ACF33" s="176"/>
      <c r="ACG33" s="177" t="s">
        <v>75</v>
      </c>
      <c r="ACH33" s="177"/>
      <c r="ACI33" s="177"/>
      <c r="ACL33" s="4"/>
      <c r="ACM33" s="177" t="s">
        <v>74</v>
      </c>
      <c r="ACN33" s="177"/>
      <c r="ACO33" s="177"/>
      <c r="ACP33" s="177"/>
      <c r="ACQ33" s="176"/>
      <c r="ACR33" s="176"/>
      <c r="ACS33" s="176"/>
      <c r="ACT33" s="177" t="s">
        <v>75</v>
      </c>
      <c r="ACU33" s="177"/>
      <c r="ACV33" s="177"/>
      <c r="ACY33" s="4"/>
      <c r="ACZ33" s="177" t="s">
        <v>74</v>
      </c>
      <c r="ADA33" s="177"/>
      <c r="ADB33" s="177"/>
      <c r="ADC33" s="177"/>
      <c r="ADD33" s="176"/>
      <c r="ADE33" s="176"/>
      <c r="ADF33" s="176"/>
      <c r="ADG33" s="177" t="s">
        <v>75</v>
      </c>
      <c r="ADH33" s="177"/>
      <c r="ADI33" s="177"/>
      <c r="ADL33" s="4"/>
      <c r="ADM33" s="177" t="s">
        <v>74</v>
      </c>
      <c r="ADN33" s="177"/>
      <c r="ADO33" s="177"/>
      <c r="ADP33" s="177"/>
      <c r="ADQ33" s="176"/>
      <c r="ADR33" s="176"/>
      <c r="ADS33" s="176"/>
      <c r="ADT33" s="177" t="s">
        <v>75</v>
      </c>
      <c r="ADU33" s="177"/>
      <c r="ADV33" s="177"/>
      <c r="ADY33" s="4"/>
      <c r="ADZ33" s="177" t="s">
        <v>74</v>
      </c>
      <c r="AEA33" s="177"/>
      <c r="AEB33" s="177"/>
      <c r="AEC33" s="177"/>
      <c r="AED33" s="176"/>
      <c r="AEE33" s="176"/>
      <c r="AEF33" s="176"/>
      <c r="AEG33" s="177" t="s">
        <v>75</v>
      </c>
      <c r="AEH33" s="177"/>
      <c r="AEI33" s="177"/>
      <c r="AEL33" s="4"/>
      <c r="AEM33" s="177" t="s">
        <v>74</v>
      </c>
      <c r="AEN33" s="177"/>
      <c r="AEO33" s="177"/>
      <c r="AEP33" s="177"/>
      <c r="AEQ33" s="176"/>
      <c r="AER33" s="176"/>
      <c r="AES33" s="176"/>
      <c r="AET33" s="177" t="s">
        <v>75</v>
      </c>
      <c r="AEU33" s="177"/>
      <c r="AEV33" s="177"/>
      <c r="AEY33" s="4"/>
      <c r="AEZ33" s="177" t="s">
        <v>74</v>
      </c>
      <c r="AFA33" s="177"/>
      <c r="AFB33" s="177"/>
      <c r="AFC33" s="177"/>
      <c r="AFD33" s="176"/>
      <c r="AFE33" s="176"/>
      <c r="AFF33" s="176"/>
      <c r="AFG33" s="177" t="s">
        <v>75</v>
      </c>
      <c r="AFH33" s="177"/>
      <c r="AFI33" s="177"/>
      <c r="AFL33" s="4"/>
      <c r="AFM33" s="177" t="s">
        <v>74</v>
      </c>
      <c r="AFN33" s="177"/>
      <c r="AFO33" s="177"/>
      <c r="AFP33" s="177"/>
      <c r="AFQ33" s="176"/>
      <c r="AFR33" s="176"/>
      <c r="AFS33" s="176"/>
      <c r="AFT33" s="177" t="s">
        <v>75</v>
      </c>
      <c r="AFU33" s="177"/>
      <c r="AFV33" s="177"/>
      <c r="AFZ33" s="177" t="s">
        <v>74</v>
      </c>
      <c r="AGA33" s="177"/>
      <c r="AGB33" s="177"/>
      <c r="AGC33" s="177"/>
      <c r="AGD33" s="176"/>
      <c r="AGE33" s="176"/>
      <c r="AGF33" s="176"/>
      <c r="AGG33" s="177" t="s">
        <v>75</v>
      </c>
      <c r="AGH33" s="177"/>
      <c r="AGI33" s="177"/>
      <c r="AGL33" s="177" t="s">
        <v>74</v>
      </c>
      <c r="AGM33" s="177"/>
      <c r="AGN33" s="177"/>
      <c r="AGO33" s="177"/>
      <c r="AGP33" s="176"/>
      <c r="AGQ33" s="176"/>
      <c r="AGR33" s="176"/>
      <c r="AGS33" s="177" t="s">
        <v>75</v>
      </c>
      <c r="AGT33" s="177"/>
      <c r="AGU33" s="177"/>
      <c r="AGX33" s="177" t="s">
        <v>74</v>
      </c>
      <c r="AGY33" s="177"/>
      <c r="AGZ33" s="177"/>
      <c r="AHA33" s="177"/>
      <c r="AHB33" s="176"/>
      <c r="AHC33" s="176"/>
      <c r="AHD33" s="176"/>
      <c r="AHE33" s="177" t="s">
        <v>75</v>
      </c>
      <c r="AHF33" s="177"/>
      <c r="AHG33" s="177"/>
      <c r="AHJ33" s="177" t="s">
        <v>74</v>
      </c>
      <c r="AHK33" s="177"/>
      <c r="AHL33" s="177"/>
      <c r="AHM33" s="177"/>
      <c r="AHN33" s="176"/>
      <c r="AHO33" s="176"/>
      <c r="AHP33" s="176"/>
      <c r="AHQ33" s="177" t="s">
        <v>75</v>
      </c>
      <c r="AHR33" s="177"/>
      <c r="AHS33" s="177"/>
      <c r="AHV33" s="177" t="s">
        <v>74</v>
      </c>
      <c r="AHW33" s="177"/>
      <c r="AHX33" s="177"/>
      <c r="AHY33" s="177"/>
      <c r="AHZ33" s="176"/>
      <c r="AIA33" s="176"/>
      <c r="AIB33" s="176"/>
      <c r="AIC33" s="177" t="s">
        <v>75</v>
      </c>
      <c r="AID33" s="177"/>
      <c r="AIE33" s="177"/>
      <c r="AIH33" s="177" t="s">
        <v>74</v>
      </c>
      <c r="AII33" s="177"/>
      <c r="AIJ33" s="177"/>
      <c r="AIK33" s="177"/>
      <c r="AIL33" s="176"/>
      <c r="AIM33" s="176"/>
      <c r="AIN33" s="176"/>
      <c r="AIO33" s="177" t="s">
        <v>75</v>
      </c>
      <c r="AIP33" s="177"/>
      <c r="AIQ33" s="177"/>
      <c r="AIT33" s="177" t="s">
        <v>74</v>
      </c>
      <c r="AIU33" s="177"/>
      <c r="AIV33" s="177"/>
      <c r="AIW33" s="177"/>
      <c r="AIX33" s="176"/>
      <c r="AIY33" s="176"/>
      <c r="AIZ33" s="176"/>
      <c r="AJA33" s="177" t="s">
        <v>75</v>
      </c>
      <c r="AJB33" s="177"/>
      <c r="AJC33" s="177"/>
      <c r="AJF33" s="177" t="s">
        <v>74</v>
      </c>
      <c r="AJG33" s="177"/>
      <c r="AJH33" s="177"/>
      <c r="AJI33" s="177"/>
      <c r="AJJ33" s="176"/>
      <c r="AJK33" s="176"/>
      <c r="AJL33" s="176"/>
      <c r="AJM33" s="177" t="s">
        <v>75</v>
      </c>
      <c r="AJN33" s="177"/>
      <c r="AJO33" s="177"/>
      <c r="AJR33" s="177" t="s">
        <v>74</v>
      </c>
      <c r="AJS33" s="177"/>
      <c r="AJT33" s="177"/>
      <c r="AJU33" s="177"/>
      <c r="AJV33" s="176"/>
      <c r="AJW33" s="176"/>
      <c r="AJX33" s="176"/>
      <c r="AJY33" s="177" t="s">
        <v>75</v>
      </c>
      <c r="AJZ33" s="177"/>
      <c r="AKA33" s="177"/>
      <c r="AKD33" s="177" t="s">
        <v>74</v>
      </c>
      <c r="AKE33" s="177"/>
      <c r="AKF33" s="177"/>
      <c r="AKG33" s="177"/>
      <c r="AKH33" s="176"/>
      <c r="AKI33" s="176"/>
      <c r="AKJ33" s="176"/>
      <c r="AKK33" s="177" t="s">
        <v>75</v>
      </c>
      <c r="AKL33" s="177"/>
      <c r="AKM33" s="177"/>
      <c r="AKP33" s="177" t="s">
        <v>74</v>
      </c>
      <c r="AKQ33" s="177"/>
      <c r="AKR33" s="177"/>
      <c r="AKS33" s="177"/>
      <c r="AKT33" s="176"/>
      <c r="AKU33" s="176"/>
      <c r="AKV33" s="176"/>
      <c r="AKW33" s="177" t="s">
        <v>75</v>
      </c>
      <c r="AKX33" s="177"/>
      <c r="AKY33" s="177"/>
      <c r="ALB33" s="177" t="s">
        <v>74</v>
      </c>
      <c r="ALC33" s="177"/>
      <c r="ALD33" s="177"/>
      <c r="ALE33" s="177"/>
      <c r="ALF33" s="176"/>
      <c r="ALG33" s="176"/>
      <c r="ALH33" s="176"/>
      <c r="ALI33" s="177" t="s">
        <v>75</v>
      </c>
      <c r="ALJ33" s="177"/>
      <c r="ALK33" s="177"/>
      <c r="ALN33" s="177" t="s">
        <v>74</v>
      </c>
      <c r="ALO33" s="177"/>
      <c r="ALP33" s="177"/>
      <c r="ALQ33" s="177"/>
      <c r="ALR33" s="176"/>
      <c r="ALS33" s="176"/>
      <c r="ALT33" s="176"/>
      <c r="ALU33" s="177" t="s">
        <v>75</v>
      </c>
      <c r="ALV33" s="177"/>
      <c r="ALW33" s="177"/>
      <c r="ALZ33" s="177" t="s">
        <v>74</v>
      </c>
      <c r="AMA33" s="177"/>
      <c r="AMB33" s="177"/>
      <c r="AMC33" s="177"/>
      <c r="AMD33" s="176"/>
      <c r="AME33" s="176"/>
      <c r="AMF33" s="176"/>
      <c r="AMG33" s="177" t="s">
        <v>75</v>
      </c>
      <c r="AMH33" s="177"/>
      <c r="AMI33" s="177"/>
      <c r="AML33" s="177" t="s">
        <v>74</v>
      </c>
      <c r="AMM33" s="177"/>
      <c r="AMN33" s="177"/>
      <c r="AMO33" s="177"/>
      <c r="AMP33" s="176"/>
      <c r="AMQ33" s="176"/>
      <c r="AMR33" s="176"/>
      <c r="AMS33" s="177" t="s">
        <v>75</v>
      </c>
      <c r="AMT33" s="177"/>
      <c r="AMU33" s="177"/>
      <c r="AMX33" s="177" t="s">
        <v>74</v>
      </c>
      <c r="AMY33" s="177"/>
      <c r="AMZ33" s="177"/>
      <c r="ANA33" s="177"/>
      <c r="ANB33" s="176"/>
      <c r="ANC33" s="176"/>
      <c r="AND33" s="176"/>
      <c r="ANE33" s="177" t="s">
        <v>75</v>
      </c>
      <c r="ANF33" s="177"/>
      <c r="ANG33" s="177"/>
      <c r="ANJ33" s="177" t="s">
        <v>74</v>
      </c>
      <c r="ANK33" s="177"/>
      <c r="ANL33" s="177"/>
      <c r="ANM33" s="177"/>
      <c r="ANN33" s="176"/>
      <c r="ANO33" s="176"/>
      <c r="ANP33" s="176"/>
      <c r="ANQ33" s="177" t="s">
        <v>75</v>
      </c>
      <c r="ANR33" s="177"/>
      <c r="ANS33" s="177"/>
      <c r="ANV33" s="177" t="s">
        <v>74</v>
      </c>
      <c r="ANW33" s="177"/>
      <c r="ANX33" s="177"/>
      <c r="ANY33" s="177"/>
      <c r="ANZ33" s="176"/>
      <c r="AOA33" s="176"/>
      <c r="AOB33" s="176"/>
      <c r="AOC33" s="177" t="s">
        <v>75</v>
      </c>
      <c r="AOD33" s="177"/>
      <c r="AOE33" s="177"/>
      <c r="AOH33" s="177" t="s">
        <v>74</v>
      </c>
      <c r="AOI33" s="177"/>
      <c r="AOJ33" s="177"/>
      <c r="AOK33" s="177"/>
      <c r="AOL33" s="176"/>
      <c r="AOM33" s="176"/>
      <c r="AON33" s="176"/>
      <c r="AOO33" s="177" t="s">
        <v>75</v>
      </c>
      <c r="AOP33" s="177"/>
      <c r="AOQ33" s="177"/>
      <c r="AOT33" s="177" t="s">
        <v>74</v>
      </c>
      <c r="AOU33" s="177"/>
      <c r="AOV33" s="177"/>
      <c r="AOW33" s="177"/>
      <c r="AOX33" s="176"/>
      <c r="AOY33" s="176"/>
      <c r="AOZ33" s="176"/>
      <c r="APA33" s="177" t="s">
        <v>75</v>
      </c>
      <c r="APB33" s="177"/>
      <c r="APC33" s="177"/>
      <c r="APF33" s="177" t="s">
        <v>74</v>
      </c>
      <c r="APG33" s="177"/>
      <c r="APH33" s="177"/>
      <c r="API33" s="177"/>
      <c r="APJ33" s="176"/>
      <c r="APK33" s="176"/>
      <c r="APL33" s="176"/>
      <c r="APM33" s="177" t="s">
        <v>75</v>
      </c>
      <c r="APN33" s="177"/>
      <c r="APO33" s="177"/>
      <c r="APR33" s="177" t="s">
        <v>74</v>
      </c>
      <c r="APS33" s="177"/>
      <c r="APT33" s="177"/>
      <c r="APU33" s="177"/>
      <c r="APV33" s="176"/>
      <c r="APW33" s="176"/>
      <c r="APX33" s="176"/>
      <c r="APY33" s="177" t="s">
        <v>75</v>
      </c>
      <c r="APZ33" s="177"/>
      <c r="AQA33" s="177"/>
      <c r="AQD33" s="177" t="s">
        <v>74</v>
      </c>
      <c r="AQE33" s="177"/>
      <c r="AQF33" s="177"/>
      <c r="AQG33" s="177"/>
      <c r="AQH33" s="176"/>
      <c r="AQI33" s="176"/>
      <c r="AQJ33" s="176"/>
      <c r="AQK33" s="177" t="s">
        <v>75</v>
      </c>
      <c r="AQL33" s="177"/>
      <c r="AQM33" s="177"/>
      <c r="AQP33" s="177" t="s">
        <v>74</v>
      </c>
      <c r="AQQ33" s="177"/>
      <c r="AQR33" s="177"/>
      <c r="AQS33" s="177"/>
      <c r="AQT33" s="176"/>
      <c r="AQU33" s="176"/>
      <c r="AQV33" s="176"/>
      <c r="AQW33" s="177" t="s">
        <v>75</v>
      </c>
      <c r="AQX33" s="177"/>
      <c r="AQY33" s="177"/>
      <c r="ARB33" s="177" t="s">
        <v>74</v>
      </c>
      <c r="ARC33" s="177"/>
      <c r="ARD33" s="177"/>
      <c r="ARE33" s="177"/>
      <c r="ARF33" s="176"/>
      <c r="ARG33" s="176"/>
      <c r="ARH33" s="176"/>
      <c r="ARI33" s="177" t="s">
        <v>75</v>
      </c>
      <c r="ARJ33" s="177"/>
      <c r="ARK33" s="177"/>
      <c r="ARN33" s="177" t="s">
        <v>74</v>
      </c>
      <c r="ARO33" s="177"/>
      <c r="ARP33" s="177"/>
      <c r="ARQ33" s="177"/>
      <c r="ARR33" s="176"/>
      <c r="ARS33" s="176"/>
      <c r="ART33" s="176"/>
      <c r="ARU33" s="177" t="s">
        <v>75</v>
      </c>
      <c r="ARV33" s="177"/>
      <c r="ARW33" s="177"/>
      <c r="ARZ33" s="177" t="s">
        <v>74</v>
      </c>
      <c r="ASA33" s="177"/>
      <c r="ASB33" s="177"/>
      <c r="ASC33" s="177"/>
      <c r="ASD33" s="176"/>
      <c r="ASE33" s="176"/>
      <c r="ASF33" s="176"/>
      <c r="ASG33" s="177" t="s">
        <v>75</v>
      </c>
      <c r="ASH33" s="177"/>
      <c r="ASI33" s="177"/>
      <c r="ASL33" s="177" t="s">
        <v>74</v>
      </c>
      <c r="ASM33" s="177"/>
      <c r="ASN33" s="177"/>
      <c r="ASO33" s="177"/>
      <c r="ASP33" s="176"/>
      <c r="ASQ33" s="176"/>
      <c r="ASR33" s="176"/>
      <c r="ASS33" s="177" t="s">
        <v>75</v>
      </c>
      <c r="AST33" s="177"/>
      <c r="ASU33" s="177"/>
      <c r="ASX33" s="177" t="s">
        <v>74</v>
      </c>
      <c r="ASY33" s="177"/>
      <c r="ASZ33" s="177"/>
      <c r="ATA33" s="177"/>
      <c r="ATB33" s="176"/>
      <c r="ATC33" s="176"/>
      <c r="ATD33" s="176"/>
      <c r="ATE33" s="177" t="s">
        <v>75</v>
      </c>
      <c r="ATF33" s="177"/>
      <c r="ATG33" s="177"/>
      <c r="ATJ33" s="177" t="s">
        <v>74</v>
      </c>
      <c r="ATK33" s="177"/>
      <c r="ATL33" s="177"/>
      <c r="ATM33" s="177"/>
      <c r="ATN33" s="176"/>
      <c r="ATO33" s="176"/>
      <c r="ATP33" s="176"/>
      <c r="ATQ33" s="177" t="s">
        <v>75</v>
      </c>
      <c r="ATR33" s="177"/>
      <c r="ATS33" s="177"/>
      <c r="ATV33" s="177" t="s">
        <v>74</v>
      </c>
      <c r="ATW33" s="177"/>
      <c r="ATX33" s="177"/>
      <c r="ATY33" s="177"/>
      <c r="ATZ33" s="176"/>
      <c r="AUA33" s="176"/>
      <c r="AUB33" s="176"/>
      <c r="AUC33" s="177" t="s">
        <v>75</v>
      </c>
      <c r="AUD33" s="177"/>
      <c r="AUE33" s="177"/>
      <c r="AUH33" s="177" t="s">
        <v>74</v>
      </c>
      <c r="AUI33" s="177"/>
      <c r="AUJ33" s="177"/>
      <c r="AUK33" s="177"/>
      <c r="AUL33" s="176"/>
      <c r="AUM33" s="176"/>
      <c r="AUN33" s="176"/>
      <c r="AUO33" s="177" t="s">
        <v>75</v>
      </c>
      <c r="AUP33" s="177"/>
      <c r="AUQ33" s="177"/>
      <c r="AUT33" s="177" t="s">
        <v>74</v>
      </c>
      <c r="AUU33" s="177"/>
      <c r="AUV33" s="177"/>
      <c r="AUW33" s="177"/>
      <c r="AUX33" s="176"/>
      <c r="AUY33" s="176"/>
      <c r="AUZ33" s="176"/>
      <c r="AVA33" s="177" t="s">
        <v>75</v>
      </c>
      <c r="AVB33" s="177"/>
      <c r="AVC33" s="177"/>
      <c r="AVF33" s="177" t="s">
        <v>74</v>
      </c>
      <c r="AVG33" s="177"/>
      <c r="AVH33" s="177"/>
      <c r="AVI33" s="177"/>
      <c r="AVJ33" s="176"/>
      <c r="AVK33" s="176"/>
      <c r="AVL33" s="176"/>
      <c r="AVM33" s="177" t="s">
        <v>75</v>
      </c>
      <c r="AVN33" s="177"/>
      <c r="AVO33" s="177"/>
      <c r="AVR33" s="177" t="s">
        <v>74</v>
      </c>
      <c r="AVS33" s="177"/>
      <c r="AVT33" s="177"/>
      <c r="AVU33" s="177"/>
      <c r="AVV33" s="176"/>
      <c r="AVW33" s="176"/>
      <c r="AVX33" s="176"/>
      <c r="AVY33" s="177" t="s">
        <v>75</v>
      </c>
      <c r="AVZ33" s="177"/>
      <c r="AWA33" s="177"/>
      <c r="AWD33" s="177" t="s">
        <v>74</v>
      </c>
      <c r="AWE33" s="177"/>
      <c r="AWF33" s="177"/>
      <c r="AWG33" s="177"/>
      <c r="AWH33" s="176"/>
      <c r="AWI33" s="176"/>
      <c r="AWJ33" s="176"/>
      <c r="AWK33" s="177" t="s">
        <v>75</v>
      </c>
      <c r="AWL33" s="177"/>
      <c r="AWM33" s="177"/>
      <c r="AWP33" s="177" t="s">
        <v>74</v>
      </c>
      <c r="AWQ33" s="177"/>
      <c r="AWR33" s="177"/>
      <c r="AWS33" s="177"/>
      <c r="AWT33" s="176"/>
      <c r="AWU33" s="176"/>
      <c r="AWV33" s="176"/>
      <c r="AWW33" s="177" t="s">
        <v>75</v>
      </c>
      <c r="AWX33" s="177"/>
      <c r="AWY33" s="177"/>
      <c r="AXB33" s="177" t="s">
        <v>74</v>
      </c>
      <c r="AXC33" s="177"/>
      <c r="AXD33" s="177"/>
      <c r="AXE33" s="177"/>
      <c r="AXF33" s="176"/>
      <c r="AXG33" s="176"/>
      <c r="AXH33" s="176"/>
      <c r="AXI33" s="177" t="s">
        <v>75</v>
      </c>
      <c r="AXJ33" s="177"/>
      <c r="AXK33" s="177"/>
      <c r="AXN33" s="177" t="s">
        <v>74</v>
      </c>
      <c r="AXO33" s="177"/>
      <c r="AXP33" s="177"/>
      <c r="AXQ33" s="177"/>
      <c r="AXR33" s="176"/>
      <c r="AXS33" s="176"/>
      <c r="AXT33" s="176"/>
      <c r="AXU33" s="177" t="s">
        <v>75</v>
      </c>
      <c r="AXV33" s="177"/>
      <c r="AXW33" s="177"/>
      <c r="AXZ33" s="177" t="s">
        <v>74</v>
      </c>
      <c r="AYA33" s="177"/>
      <c r="AYB33" s="177"/>
      <c r="AYC33" s="177"/>
      <c r="AYD33" s="176"/>
      <c r="AYE33" s="176"/>
      <c r="AYF33" s="176"/>
      <c r="AYG33" s="177" t="s">
        <v>75</v>
      </c>
      <c r="AYH33" s="177"/>
      <c r="AYI33" s="177"/>
      <c r="AYL33" s="177" t="s">
        <v>74</v>
      </c>
      <c r="AYM33" s="177"/>
      <c r="AYN33" s="177"/>
      <c r="AYO33" s="177"/>
      <c r="AYP33" s="176"/>
      <c r="AYQ33" s="176"/>
      <c r="AYR33" s="176"/>
      <c r="AYS33" s="177" t="s">
        <v>75</v>
      </c>
      <c r="AYT33" s="177"/>
      <c r="AYU33" s="177"/>
      <c r="AYX33" s="177" t="s">
        <v>74</v>
      </c>
      <c r="AYY33" s="177"/>
      <c r="AYZ33" s="177"/>
      <c r="AZA33" s="177"/>
      <c r="AZB33" s="176"/>
      <c r="AZC33" s="176"/>
      <c r="AZD33" s="176"/>
      <c r="AZE33" s="177" t="s">
        <v>75</v>
      </c>
      <c r="AZF33" s="177"/>
      <c r="AZG33" s="177"/>
      <c r="AZJ33" s="177" t="s">
        <v>74</v>
      </c>
      <c r="AZK33" s="177"/>
      <c r="AZL33" s="177"/>
      <c r="AZM33" s="177"/>
      <c r="AZN33" s="176"/>
      <c r="AZO33" s="176"/>
      <c r="AZP33" s="176"/>
      <c r="AZQ33" s="177" t="s">
        <v>75</v>
      </c>
      <c r="AZR33" s="177"/>
      <c r="AZS33" s="177"/>
      <c r="AZV33" s="177" t="s">
        <v>74</v>
      </c>
      <c r="AZW33" s="177"/>
      <c r="AZX33" s="177"/>
      <c r="AZY33" s="177"/>
      <c r="AZZ33" s="176"/>
      <c r="BAA33" s="176"/>
      <c r="BAB33" s="176"/>
      <c r="BAC33" s="177" t="s">
        <v>75</v>
      </c>
      <c r="BAD33" s="177"/>
      <c r="BAE33" s="177"/>
      <c r="BAH33" s="177" t="s">
        <v>74</v>
      </c>
      <c r="BAI33" s="177"/>
      <c r="BAJ33" s="177"/>
      <c r="BAK33" s="177"/>
      <c r="BAL33" s="176"/>
      <c r="BAM33" s="176"/>
      <c r="BAN33" s="176"/>
      <c r="BAO33" s="177" t="s">
        <v>75</v>
      </c>
      <c r="BAP33" s="177"/>
      <c r="BAQ33" s="177"/>
      <c r="BAT33" s="177" t="s">
        <v>74</v>
      </c>
      <c r="BAU33" s="177"/>
      <c r="BAV33" s="177"/>
      <c r="BAW33" s="177"/>
      <c r="BAX33" s="176"/>
      <c r="BAY33" s="176"/>
      <c r="BAZ33" s="176"/>
      <c r="BBA33" s="177" t="s">
        <v>75</v>
      </c>
      <c r="BBB33" s="177"/>
      <c r="BBC33" s="177"/>
      <c r="BBF33" s="177" t="s">
        <v>74</v>
      </c>
      <c r="BBG33" s="177"/>
      <c r="BBH33" s="177"/>
      <c r="BBI33" s="177"/>
      <c r="BBJ33" s="176"/>
      <c r="BBK33" s="176"/>
      <c r="BBL33" s="176"/>
      <c r="BBM33" s="177" t="s">
        <v>75</v>
      </c>
      <c r="BBN33" s="177"/>
      <c r="BBO33" s="177"/>
      <c r="BBR33" s="177" t="s">
        <v>74</v>
      </c>
      <c r="BBS33" s="177"/>
      <c r="BBT33" s="177"/>
      <c r="BBU33" s="177"/>
      <c r="BBV33" s="176"/>
      <c r="BBW33" s="176"/>
      <c r="BBX33" s="176"/>
      <c r="BBY33" s="177" t="s">
        <v>75</v>
      </c>
      <c r="BBZ33" s="177"/>
      <c r="BCA33" s="177"/>
      <c r="BCD33" s="177" t="s">
        <v>74</v>
      </c>
      <c r="BCE33" s="177"/>
      <c r="BCF33" s="177"/>
      <c r="BCG33" s="177"/>
      <c r="BCH33" s="176"/>
      <c r="BCI33" s="176"/>
      <c r="BCJ33" s="176"/>
      <c r="BCK33" s="177" t="s">
        <v>75</v>
      </c>
      <c r="BCL33" s="177"/>
      <c r="BCM33" s="177"/>
      <c r="BCP33" s="177" t="s">
        <v>74</v>
      </c>
      <c r="BCQ33" s="177"/>
      <c r="BCR33" s="177"/>
      <c r="BCS33" s="177"/>
      <c r="BCT33" s="176"/>
      <c r="BCU33" s="176"/>
      <c r="BCV33" s="176"/>
      <c r="BCW33" s="177" t="s">
        <v>75</v>
      </c>
      <c r="BCX33" s="177"/>
      <c r="BCY33" s="177"/>
      <c r="BDB33" s="177" t="s">
        <v>74</v>
      </c>
      <c r="BDC33" s="177"/>
      <c r="BDD33" s="177"/>
      <c r="BDE33" s="177"/>
      <c r="BDF33" s="176"/>
      <c r="BDG33" s="176"/>
      <c r="BDH33" s="176"/>
      <c r="BDI33" s="177" t="s">
        <v>75</v>
      </c>
      <c r="BDJ33" s="177"/>
      <c r="BDK33" s="177"/>
      <c r="BDN33" s="177" t="s">
        <v>74</v>
      </c>
      <c r="BDO33" s="177"/>
      <c r="BDP33" s="177"/>
      <c r="BDQ33" s="177"/>
      <c r="BDR33" s="176"/>
      <c r="BDS33" s="176"/>
      <c r="BDT33" s="176"/>
      <c r="BDU33" s="177" t="s">
        <v>75</v>
      </c>
      <c r="BDV33" s="177"/>
      <c r="BDW33" s="177"/>
      <c r="BDZ33" s="177" t="s">
        <v>74</v>
      </c>
      <c r="BEA33" s="177"/>
      <c r="BEB33" s="177"/>
      <c r="BEC33" s="177"/>
      <c r="BED33" s="176"/>
      <c r="BEE33" s="176"/>
      <c r="BEF33" s="176"/>
      <c r="BEG33" s="177" t="s">
        <v>75</v>
      </c>
      <c r="BEH33" s="177"/>
      <c r="BEI33" s="177"/>
      <c r="BEL33" s="177" t="s">
        <v>74</v>
      </c>
      <c r="BEM33" s="177"/>
      <c r="BEN33" s="177"/>
      <c r="BEO33" s="177"/>
      <c r="BEP33" s="176"/>
      <c r="BEQ33" s="176"/>
      <c r="BER33" s="176"/>
      <c r="BES33" s="177" t="s">
        <v>75</v>
      </c>
      <c r="BET33" s="177"/>
      <c r="BEU33" s="177"/>
      <c r="BEX33" s="177" t="s">
        <v>74</v>
      </c>
      <c r="BEY33" s="177"/>
      <c r="BEZ33" s="177"/>
      <c r="BFA33" s="177"/>
      <c r="BFB33" s="176"/>
      <c r="BFC33" s="176"/>
      <c r="BFD33" s="176"/>
      <c r="BFE33" s="177" t="s">
        <v>75</v>
      </c>
      <c r="BFF33" s="177"/>
      <c r="BFG33" s="177"/>
      <c r="BFJ33" s="177" t="s">
        <v>74</v>
      </c>
      <c r="BFK33" s="177"/>
      <c r="BFL33" s="177"/>
      <c r="BFM33" s="177"/>
      <c r="BFN33" s="176"/>
      <c r="BFO33" s="176"/>
      <c r="BFP33" s="176"/>
      <c r="BFQ33" s="177" t="s">
        <v>75</v>
      </c>
      <c r="BFR33" s="177"/>
      <c r="BFS33" s="177"/>
      <c r="BFV33" s="177" t="s">
        <v>74</v>
      </c>
      <c r="BFW33" s="177"/>
      <c r="BFX33" s="177"/>
      <c r="BFY33" s="177"/>
      <c r="BFZ33" s="176"/>
      <c r="BGA33" s="176"/>
      <c r="BGB33" s="176"/>
      <c r="BGC33" s="177" t="s">
        <v>75</v>
      </c>
      <c r="BGD33" s="177"/>
      <c r="BGE33" s="177"/>
      <c r="BGH33" s="177" t="s">
        <v>74</v>
      </c>
      <c r="BGI33" s="177"/>
      <c r="BGJ33" s="177"/>
      <c r="BGK33" s="177"/>
      <c r="BGL33" s="176"/>
      <c r="BGM33" s="176"/>
      <c r="BGN33" s="176"/>
      <c r="BGO33" s="177" t="s">
        <v>75</v>
      </c>
      <c r="BGP33" s="177"/>
      <c r="BGQ33" s="177"/>
      <c r="BGT33" s="177" t="s">
        <v>74</v>
      </c>
      <c r="BGU33" s="177"/>
      <c r="BGV33" s="177"/>
      <c r="BGW33" s="177"/>
      <c r="BGX33" s="176"/>
      <c r="BGY33" s="176"/>
      <c r="BGZ33" s="176"/>
      <c r="BHA33" s="177" t="s">
        <v>75</v>
      </c>
      <c r="BHB33" s="177"/>
      <c r="BHC33" s="177"/>
      <c r="BHF33" s="177" t="s">
        <v>74</v>
      </c>
      <c r="BHG33" s="177"/>
      <c r="BHH33" s="177"/>
      <c r="BHI33" s="177"/>
      <c r="BHJ33" s="176"/>
      <c r="BHK33" s="176"/>
      <c r="BHL33" s="176"/>
      <c r="BHM33" s="177" t="s">
        <v>75</v>
      </c>
      <c r="BHN33" s="177"/>
      <c r="BHO33" s="177"/>
      <c r="BHR33" s="177" t="s">
        <v>74</v>
      </c>
      <c r="BHS33" s="177"/>
      <c r="BHT33" s="177"/>
      <c r="BHU33" s="177"/>
      <c r="BHV33" s="178" t="s">
        <v>76</v>
      </c>
      <c r="BHW33" s="178"/>
      <c r="BHX33" s="178"/>
      <c r="BHY33" s="177" t="s">
        <v>75</v>
      </c>
      <c r="BHZ33" s="177"/>
      <c r="BIA33" s="177"/>
      <c r="BID33" s="177" t="s">
        <v>74</v>
      </c>
      <c r="BIE33" s="177"/>
      <c r="BIF33" s="177"/>
      <c r="BIG33" s="177"/>
      <c r="BIH33" s="178" t="s">
        <v>76</v>
      </c>
      <c r="BII33" s="178"/>
      <c r="BIJ33" s="178"/>
      <c r="BIK33" s="177" t="s">
        <v>75</v>
      </c>
      <c r="BIL33" s="177"/>
      <c r="BIM33" s="177"/>
      <c r="BIP33" s="177" t="s">
        <v>74</v>
      </c>
      <c r="BIQ33" s="177"/>
      <c r="BIR33" s="177"/>
      <c r="BIS33" s="177"/>
      <c r="BIT33" s="178" t="s">
        <v>76</v>
      </c>
      <c r="BIU33" s="178"/>
      <c r="BIV33" s="178"/>
      <c r="BIW33" s="177" t="s">
        <v>75</v>
      </c>
      <c r="BIX33" s="177"/>
      <c r="BIY33" s="177"/>
      <c r="BJB33" s="177" t="s">
        <v>74</v>
      </c>
      <c r="BJC33" s="177"/>
      <c r="BJD33" s="177"/>
      <c r="BJE33" s="177"/>
      <c r="BJF33" s="178" t="s">
        <v>76</v>
      </c>
      <c r="BJG33" s="178"/>
      <c r="BJH33" s="178"/>
      <c r="BJI33" s="177" t="s">
        <v>75</v>
      </c>
      <c r="BJJ33" s="177"/>
      <c r="BJK33" s="177"/>
      <c r="BJN33" s="177" t="s">
        <v>74</v>
      </c>
      <c r="BJO33" s="177"/>
      <c r="BJP33" s="177"/>
      <c r="BJQ33" s="177"/>
      <c r="BJR33" s="178" t="s">
        <v>76</v>
      </c>
      <c r="BJS33" s="178"/>
      <c r="BJT33" s="178"/>
      <c r="BJU33" s="177" t="s">
        <v>75</v>
      </c>
      <c r="BJV33" s="177"/>
      <c r="BJW33" s="177"/>
      <c r="BJZ33" s="177" t="s">
        <v>74</v>
      </c>
      <c r="BKA33" s="177"/>
      <c r="BKB33" s="177"/>
      <c r="BKC33" s="177"/>
      <c r="BKD33" s="178" t="s">
        <v>76</v>
      </c>
      <c r="BKE33" s="178"/>
      <c r="BKF33" s="178"/>
      <c r="BKG33" s="177" t="s">
        <v>75</v>
      </c>
      <c r="BKH33" s="177"/>
      <c r="BKI33" s="177"/>
      <c r="BKL33" s="177" t="s">
        <v>74</v>
      </c>
      <c r="BKM33" s="177"/>
      <c r="BKN33" s="177"/>
      <c r="BKO33" s="177"/>
      <c r="BKP33" s="178" t="s">
        <v>76</v>
      </c>
      <c r="BKQ33" s="178"/>
      <c r="BKR33" s="178"/>
      <c r="BKS33" s="177" t="s">
        <v>75</v>
      </c>
      <c r="BKT33" s="177"/>
      <c r="BKU33" s="177"/>
      <c r="BKX33" s="177" t="s">
        <v>74</v>
      </c>
      <c r="BKY33" s="177"/>
      <c r="BKZ33" s="177"/>
      <c r="BLA33" s="177"/>
      <c r="BLB33" s="178" t="s">
        <v>76</v>
      </c>
      <c r="BLC33" s="178"/>
      <c r="BLD33" s="178"/>
      <c r="BLE33" s="177" t="s">
        <v>75</v>
      </c>
      <c r="BLF33" s="177"/>
      <c r="BLG33" s="177"/>
      <c r="BLJ33" s="177" t="s">
        <v>74</v>
      </c>
      <c r="BLK33" s="177"/>
      <c r="BLL33" s="177"/>
      <c r="BLM33" s="177"/>
      <c r="BLN33" s="178" t="s">
        <v>76</v>
      </c>
      <c r="BLO33" s="178"/>
      <c r="BLP33" s="178"/>
      <c r="BLQ33" s="177" t="s">
        <v>75</v>
      </c>
      <c r="BLR33" s="177"/>
      <c r="BLS33" s="177"/>
      <c r="BLV33" s="177" t="s">
        <v>74</v>
      </c>
      <c r="BLW33" s="177"/>
      <c r="BLX33" s="177"/>
      <c r="BLY33" s="177"/>
      <c r="BLZ33" s="178" t="s">
        <v>76</v>
      </c>
      <c r="BMA33" s="178"/>
      <c r="BMB33" s="178"/>
      <c r="BMC33" s="177" t="s">
        <v>75</v>
      </c>
      <c r="BMD33" s="177"/>
      <c r="BME33" s="177"/>
      <c r="BMH33" s="177" t="s">
        <v>74</v>
      </c>
      <c r="BMI33" s="177"/>
      <c r="BMJ33" s="177"/>
      <c r="BMK33" s="177"/>
      <c r="BML33" s="178" t="s">
        <v>76</v>
      </c>
      <c r="BMM33" s="178"/>
      <c r="BMN33" s="178"/>
      <c r="BMO33" s="177" t="s">
        <v>75</v>
      </c>
      <c r="BMP33" s="177"/>
      <c r="BMQ33" s="177"/>
      <c r="BMT33" s="177" t="s">
        <v>74</v>
      </c>
      <c r="BMU33" s="177"/>
      <c r="BMV33" s="177"/>
      <c r="BMW33" s="177"/>
      <c r="BMX33" s="178" t="s">
        <v>76</v>
      </c>
      <c r="BMY33" s="178"/>
      <c r="BMZ33" s="178"/>
      <c r="BNA33" s="177" t="s">
        <v>75</v>
      </c>
      <c r="BNB33" s="177"/>
      <c r="BNC33" s="177"/>
      <c r="BNF33" s="177" t="s">
        <v>74</v>
      </c>
      <c r="BNG33" s="177"/>
      <c r="BNH33" s="177"/>
      <c r="BNI33" s="177"/>
      <c r="BNJ33" s="178" t="s">
        <v>76</v>
      </c>
      <c r="BNK33" s="178"/>
      <c r="BNL33" s="178"/>
      <c r="BNM33" s="177" t="s">
        <v>75</v>
      </c>
      <c r="BNN33" s="177"/>
      <c r="BNO33" s="177"/>
      <c r="BNR33" s="177" t="s">
        <v>74</v>
      </c>
      <c r="BNS33" s="177"/>
      <c r="BNT33" s="177"/>
      <c r="BNU33" s="177"/>
      <c r="BNV33" s="178" t="s">
        <v>76</v>
      </c>
      <c r="BNW33" s="178"/>
      <c r="BNX33" s="178"/>
      <c r="BNY33" s="177" t="s">
        <v>75</v>
      </c>
      <c r="BNZ33" s="177"/>
      <c r="BOA33" s="177"/>
      <c r="BOD33" s="177" t="s">
        <v>74</v>
      </c>
      <c r="BOE33" s="177"/>
      <c r="BOF33" s="177"/>
      <c r="BOG33" s="177"/>
      <c r="BOH33" s="178" t="s">
        <v>76</v>
      </c>
      <c r="BOI33" s="178"/>
      <c r="BOJ33" s="178"/>
      <c r="BOK33" s="177" t="s">
        <v>75</v>
      </c>
      <c r="BOL33" s="177"/>
      <c r="BOM33" s="177"/>
      <c r="BOP33" s="177" t="s">
        <v>74</v>
      </c>
      <c r="BOQ33" s="177"/>
      <c r="BOR33" s="177"/>
      <c r="BOS33" s="177"/>
      <c r="BOT33" s="178" t="s">
        <v>76</v>
      </c>
      <c r="BOU33" s="178"/>
      <c r="BOV33" s="178"/>
      <c r="BOW33" s="177" t="s">
        <v>75</v>
      </c>
      <c r="BOX33" s="177"/>
      <c r="BOY33" s="177"/>
      <c r="BPB33" s="177" t="s">
        <v>74</v>
      </c>
      <c r="BPC33" s="177"/>
      <c r="BPD33" s="177"/>
      <c r="BPE33" s="177"/>
      <c r="BPF33" s="178" t="s">
        <v>76</v>
      </c>
      <c r="BPG33" s="178"/>
      <c r="BPH33" s="178"/>
      <c r="BPI33" s="177" t="s">
        <v>75</v>
      </c>
      <c r="BPJ33" s="177"/>
      <c r="BPK33" s="177"/>
      <c r="BPN33" s="177" t="s">
        <v>74</v>
      </c>
      <c r="BPO33" s="177"/>
      <c r="BPP33" s="177"/>
      <c r="BPQ33" s="177"/>
      <c r="BPR33" s="178" t="s">
        <v>76</v>
      </c>
      <c r="BPS33" s="178"/>
      <c r="BPT33" s="178"/>
      <c r="BPU33" s="177" t="s">
        <v>75</v>
      </c>
      <c r="BPV33" s="177"/>
      <c r="BPW33" s="177"/>
      <c r="BPZ33" s="177" t="s">
        <v>74</v>
      </c>
      <c r="BQA33" s="177"/>
      <c r="BQB33" s="177"/>
      <c r="BQC33" s="177"/>
      <c r="BQD33" s="178" t="s">
        <v>76</v>
      </c>
      <c r="BQE33" s="178"/>
      <c r="BQF33" s="178"/>
      <c r="BQG33" s="177" t="s">
        <v>75</v>
      </c>
      <c r="BQH33" s="177"/>
      <c r="BQI33" s="177"/>
      <c r="BQL33" s="177" t="s">
        <v>74</v>
      </c>
      <c r="BQM33" s="177"/>
      <c r="BQN33" s="177"/>
      <c r="BQO33" s="177"/>
      <c r="BQP33" s="178" t="s">
        <v>76</v>
      </c>
      <c r="BQQ33" s="178"/>
      <c r="BQR33" s="178"/>
      <c r="BQS33" s="177" t="s">
        <v>75</v>
      </c>
      <c r="BQT33" s="177"/>
      <c r="BQU33" s="177"/>
      <c r="BQX33" s="177" t="s">
        <v>74</v>
      </c>
      <c r="BQY33" s="177"/>
      <c r="BQZ33" s="177"/>
      <c r="BRA33" s="177"/>
      <c r="BRB33" s="178" t="s">
        <v>76</v>
      </c>
      <c r="BRC33" s="178"/>
      <c r="BRD33" s="178"/>
      <c r="BRE33" s="177" t="s">
        <v>75</v>
      </c>
      <c r="BRF33" s="177"/>
      <c r="BRG33" s="177"/>
      <c r="BRJ33" s="177" t="s">
        <v>74</v>
      </c>
      <c r="BRK33" s="177"/>
      <c r="BRL33" s="177"/>
      <c r="BRM33" s="177"/>
      <c r="BRN33" s="178" t="s">
        <v>76</v>
      </c>
      <c r="BRO33" s="178"/>
      <c r="BRP33" s="178"/>
      <c r="BRQ33" s="177" t="s">
        <v>75</v>
      </c>
      <c r="BRR33" s="177"/>
      <c r="BRS33" s="177"/>
      <c r="BRV33" s="177" t="s">
        <v>74</v>
      </c>
      <c r="BRW33" s="177"/>
      <c r="BRX33" s="177"/>
      <c r="BRY33" s="177"/>
      <c r="BRZ33" s="178" t="s">
        <v>76</v>
      </c>
      <c r="BSA33" s="178"/>
      <c r="BSB33" s="178"/>
      <c r="BSC33" s="177" t="s">
        <v>75</v>
      </c>
      <c r="BSD33" s="177"/>
      <c r="BSE33" s="177"/>
      <c r="BSH33" s="177" t="s">
        <v>74</v>
      </c>
      <c r="BSI33" s="177"/>
      <c r="BSJ33" s="177"/>
      <c r="BSK33" s="177"/>
      <c r="BSL33" s="178" t="s">
        <v>76</v>
      </c>
      <c r="BSM33" s="178"/>
      <c r="BSN33" s="178"/>
      <c r="BSO33" s="177" t="s">
        <v>75</v>
      </c>
      <c r="BSP33" s="177"/>
      <c r="BSQ33" s="177"/>
      <c r="BST33" s="177" t="s">
        <v>74</v>
      </c>
      <c r="BSU33" s="177"/>
      <c r="BSV33" s="177"/>
      <c r="BSW33" s="177"/>
      <c r="BSX33" s="178" t="s">
        <v>76</v>
      </c>
      <c r="BSY33" s="178"/>
      <c r="BSZ33" s="178"/>
      <c r="BTA33" s="177" t="s">
        <v>75</v>
      </c>
      <c r="BTB33" s="177"/>
      <c r="BTC33" s="177"/>
      <c r="BTF33" s="177" t="s">
        <v>74</v>
      </c>
      <c r="BTG33" s="177"/>
      <c r="BTH33" s="177"/>
      <c r="BTI33" s="177"/>
      <c r="BTJ33" s="178" t="s">
        <v>76</v>
      </c>
      <c r="BTK33" s="178"/>
      <c r="BTL33" s="178"/>
      <c r="BTM33" s="177" t="s">
        <v>75</v>
      </c>
      <c r="BTN33" s="177"/>
      <c r="BTO33" s="177"/>
      <c r="BTR33" s="177" t="s">
        <v>74</v>
      </c>
      <c r="BTS33" s="177"/>
      <c r="BTT33" s="177"/>
      <c r="BTU33" s="177"/>
      <c r="BTV33" s="178" t="s">
        <v>76</v>
      </c>
      <c r="BTW33" s="178"/>
      <c r="BTX33" s="178"/>
      <c r="BTY33" s="177" t="s">
        <v>75</v>
      </c>
      <c r="BTZ33" s="177"/>
      <c r="BUA33" s="177"/>
      <c r="BUD33" s="177" t="s">
        <v>74</v>
      </c>
      <c r="BUE33" s="177"/>
      <c r="BUF33" s="177"/>
      <c r="BUG33" s="177"/>
      <c r="BUH33" s="178" t="s">
        <v>76</v>
      </c>
      <c r="BUI33" s="178"/>
      <c r="BUJ33" s="178"/>
      <c r="BUK33" s="177" t="s">
        <v>75</v>
      </c>
      <c r="BUL33" s="177"/>
      <c r="BUM33" s="177"/>
      <c r="BUP33" s="177" t="s">
        <v>74</v>
      </c>
      <c r="BUQ33" s="177"/>
      <c r="BUR33" s="177"/>
      <c r="BUS33" s="177"/>
      <c r="BUT33" s="178" t="s">
        <v>76</v>
      </c>
      <c r="BUU33" s="178"/>
      <c r="BUV33" s="178"/>
      <c r="BUW33" s="177" t="s">
        <v>75</v>
      </c>
      <c r="BUX33" s="177"/>
      <c r="BUY33" s="177"/>
      <c r="BVB33" s="177" t="s">
        <v>74</v>
      </c>
      <c r="BVC33" s="177"/>
      <c r="BVD33" s="177"/>
      <c r="BVE33" s="177"/>
      <c r="BVF33" s="178" t="s">
        <v>76</v>
      </c>
      <c r="BVG33" s="178"/>
      <c r="BVH33" s="178"/>
      <c r="BVI33" s="177" t="s">
        <v>75</v>
      </c>
      <c r="BVJ33" s="177"/>
      <c r="BVK33" s="177"/>
      <c r="BVN33" s="177" t="s">
        <v>74</v>
      </c>
      <c r="BVO33" s="177"/>
      <c r="BVP33" s="177"/>
      <c r="BVQ33" s="177"/>
      <c r="BVR33" s="178" t="s">
        <v>76</v>
      </c>
      <c r="BVS33" s="178"/>
      <c r="BVT33" s="178"/>
      <c r="BVU33" s="177" t="s">
        <v>75</v>
      </c>
      <c r="BVV33" s="177"/>
      <c r="BVW33" s="177"/>
      <c r="BVZ33" s="177" t="s">
        <v>74</v>
      </c>
      <c r="BWA33" s="177"/>
      <c r="BWB33" s="177"/>
      <c r="BWC33" s="177"/>
      <c r="BWD33" s="178" t="s">
        <v>76</v>
      </c>
      <c r="BWE33" s="178"/>
      <c r="BWF33" s="178"/>
      <c r="BWG33" s="177" t="s">
        <v>75</v>
      </c>
      <c r="BWH33" s="177"/>
      <c r="BWI33" s="177"/>
      <c r="BWL33" s="177" t="s">
        <v>74</v>
      </c>
      <c r="BWM33" s="177"/>
      <c r="BWN33" s="177"/>
      <c r="BWO33" s="177"/>
      <c r="BWP33" s="178" t="s">
        <v>76</v>
      </c>
      <c r="BWQ33" s="178"/>
      <c r="BWR33" s="178"/>
      <c r="BWS33" s="177" t="s">
        <v>75</v>
      </c>
      <c r="BWT33" s="177"/>
      <c r="BWU33" s="177"/>
      <c r="BWX33" s="177" t="s">
        <v>74</v>
      </c>
      <c r="BWY33" s="177"/>
      <c r="BWZ33" s="177"/>
      <c r="BXA33" s="177"/>
      <c r="BXB33" s="178" t="s">
        <v>76</v>
      </c>
      <c r="BXC33" s="178"/>
      <c r="BXD33" s="178"/>
      <c r="BXE33" s="177" t="s">
        <v>75</v>
      </c>
      <c r="BXF33" s="177"/>
      <c r="BXG33" s="177"/>
      <c r="BXJ33" s="177" t="s">
        <v>74</v>
      </c>
      <c r="BXK33" s="177"/>
      <c r="BXL33" s="177"/>
      <c r="BXM33" s="177"/>
      <c r="BXN33" s="178" t="s">
        <v>76</v>
      </c>
      <c r="BXO33" s="178"/>
      <c r="BXP33" s="178"/>
      <c r="BXQ33" s="177" t="s">
        <v>75</v>
      </c>
      <c r="BXR33" s="177"/>
      <c r="BXS33" s="177"/>
      <c r="BXV33" s="177" t="s">
        <v>74</v>
      </c>
      <c r="BXW33" s="177"/>
      <c r="BXX33" s="177"/>
      <c r="BXY33" s="177"/>
      <c r="BXZ33" s="178" t="s">
        <v>76</v>
      </c>
      <c r="BYA33" s="178"/>
      <c r="BYB33" s="178"/>
      <c r="BYC33" s="177" t="s">
        <v>75</v>
      </c>
      <c r="BYD33" s="177"/>
      <c r="BYE33" s="177"/>
      <c r="BYH33" s="177" t="s">
        <v>74</v>
      </c>
      <c r="BYI33" s="177"/>
      <c r="BYJ33" s="177"/>
      <c r="BYK33" s="177"/>
      <c r="BYL33" s="178" t="s">
        <v>76</v>
      </c>
      <c r="BYM33" s="178"/>
      <c r="BYN33" s="178"/>
      <c r="BYO33" s="177" t="s">
        <v>75</v>
      </c>
      <c r="BYP33" s="177"/>
      <c r="BYQ33" s="177"/>
      <c r="BYT33" s="177" t="s">
        <v>74</v>
      </c>
      <c r="BYU33" s="177"/>
      <c r="BYV33" s="177"/>
      <c r="BYW33" s="177"/>
      <c r="BYX33" s="178" t="s">
        <v>76</v>
      </c>
      <c r="BYY33" s="178"/>
      <c r="BYZ33" s="178"/>
      <c r="BZA33" s="177" t="s">
        <v>75</v>
      </c>
      <c r="BZB33" s="177"/>
      <c r="BZC33" s="177"/>
      <c r="BZF33" s="177" t="s">
        <v>74</v>
      </c>
      <c r="BZG33" s="177"/>
      <c r="BZH33" s="177"/>
      <c r="BZI33" s="177"/>
      <c r="BZJ33" s="178" t="s">
        <v>76</v>
      </c>
      <c r="BZK33" s="178"/>
      <c r="BZL33" s="178"/>
      <c r="BZM33" s="177" t="s">
        <v>75</v>
      </c>
      <c r="BZN33" s="177"/>
      <c r="BZO33" s="177"/>
      <c r="BZR33" s="177" t="s">
        <v>74</v>
      </c>
      <c r="BZS33" s="177"/>
      <c r="BZT33" s="177"/>
      <c r="BZU33" s="177"/>
      <c r="BZV33" s="178" t="s">
        <v>76</v>
      </c>
      <c r="BZW33" s="178"/>
      <c r="BZX33" s="178"/>
      <c r="BZY33" s="177" t="s">
        <v>75</v>
      </c>
      <c r="BZZ33" s="177"/>
      <c r="CAA33" s="177"/>
      <c r="CAD33" s="177" t="s">
        <v>74</v>
      </c>
      <c r="CAE33" s="177"/>
      <c r="CAF33" s="177"/>
      <c r="CAG33" s="177"/>
      <c r="CAH33" s="178" t="s">
        <v>76</v>
      </c>
      <c r="CAI33" s="178"/>
      <c r="CAJ33" s="178"/>
      <c r="CAK33" s="177" t="s">
        <v>75</v>
      </c>
      <c r="CAL33" s="177"/>
      <c r="CAM33" s="177"/>
      <c r="CAP33" s="177" t="s">
        <v>74</v>
      </c>
      <c r="CAQ33" s="177"/>
      <c r="CAR33" s="177"/>
      <c r="CAS33" s="177"/>
      <c r="CAT33" s="178" t="s">
        <v>76</v>
      </c>
      <c r="CAU33" s="178"/>
      <c r="CAV33" s="178"/>
      <c r="CAW33" s="177" t="s">
        <v>75</v>
      </c>
      <c r="CAX33" s="177"/>
      <c r="CAY33" s="177"/>
      <c r="CBB33" s="177" t="s">
        <v>74</v>
      </c>
      <c r="CBC33" s="177"/>
      <c r="CBD33" s="177"/>
      <c r="CBE33" s="177"/>
      <c r="CBF33" s="178" t="s">
        <v>76</v>
      </c>
      <c r="CBG33" s="178"/>
      <c r="CBH33" s="178"/>
      <c r="CBI33" s="177" t="s">
        <v>75</v>
      </c>
      <c r="CBJ33" s="177"/>
      <c r="CBK33" s="177"/>
      <c r="CBN33" s="177" t="s">
        <v>74</v>
      </c>
      <c r="CBO33" s="177"/>
      <c r="CBP33" s="177"/>
      <c r="CBQ33" s="177"/>
      <c r="CBR33" s="178" t="s">
        <v>76</v>
      </c>
      <c r="CBS33" s="178"/>
      <c r="CBT33" s="178"/>
      <c r="CBU33" s="177" t="s">
        <v>75</v>
      </c>
      <c r="CBV33" s="177"/>
      <c r="CBW33" s="177"/>
      <c r="CBZ33" s="177" t="s">
        <v>74</v>
      </c>
      <c r="CCA33" s="177"/>
      <c r="CCB33" s="177"/>
      <c r="CCC33" s="177"/>
      <c r="CCD33" s="178" t="s">
        <v>76</v>
      </c>
      <c r="CCE33" s="178"/>
      <c r="CCF33" s="178"/>
      <c r="CCG33" s="177" t="s">
        <v>75</v>
      </c>
      <c r="CCH33" s="177"/>
      <c r="CCI33" s="177"/>
      <c r="CCL33" s="177" t="s">
        <v>74</v>
      </c>
      <c r="CCM33" s="177"/>
      <c r="CCN33" s="177"/>
      <c r="CCO33" s="177"/>
      <c r="CCP33" s="178" t="s">
        <v>76</v>
      </c>
      <c r="CCQ33" s="178"/>
      <c r="CCR33" s="178"/>
      <c r="CCS33" s="177" t="s">
        <v>75</v>
      </c>
      <c r="CCT33" s="177"/>
      <c r="CCU33" s="177"/>
      <c r="CCX33" s="177" t="s">
        <v>74</v>
      </c>
      <c r="CCY33" s="177"/>
      <c r="CCZ33" s="177"/>
      <c r="CDA33" s="177"/>
      <c r="CDB33" s="178" t="s">
        <v>76</v>
      </c>
      <c r="CDC33" s="178"/>
      <c r="CDD33" s="178"/>
      <c r="CDE33" s="177" t="s">
        <v>75</v>
      </c>
      <c r="CDF33" s="177"/>
      <c r="CDG33" s="177"/>
      <c r="CDJ33" s="177" t="s">
        <v>74</v>
      </c>
      <c r="CDK33" s="177"/>
      <c r="CDL33" s="177"/>
      <c r="CDM33" s="177"/>
      <c r="CDN33" s="178" t="s">
        <v>76</v>
      </c>
      <c r="CDO33" s="178"/>
      <c r="CDP33" s="178"/>
      <c r="CDQ33" s="177" t="s">
        <v>75</v>
      </c>
      <c r="CDR33" s="177"/>
      <c r="CDS33" s="177"/>
      <c r="CDV33" s="177" t="s">
        <v>74</v>
      </c>
      <c r="CDW33" s="177"/>
      <c r="CDX33" s="177"/>
      <c r="CDY33" s="177"/>
      <c r="CDZ33" s="178" t="s">
        <v>76</v>
      </c>
      <c r="CEA33" s="178"/>
      <c r="CEB33" s="178"/>
      <c r="CEC33" s="177" t="s">
        <v>75</v>
      </c>
      <c r="CED33" s="177"/>
      <c r="CEE33" s="177"/>
      <c r="CEH33" s="177" t="s">
        <v>74</v>
      </c>
      <c r="CEI33" s="177"/>
      <c r="CEJ33" s="177"/>
      <c r="CEK33" s="177"/>
      <c r="CEL33" s="178" t="s">
        <v>76</v>
      </c>
      <c r="CEM33" s="178"/>
      <c r="CEN33" s="178"/>
      <c r="CEO33" s="177" t="s">
        <v>75</v>
      </c>
      <c r="CEP33" s="177"/>
      <c r="CEQ33" s="177"/>
      <c r="CET33" s="177" t="s">
        <v>74</v>
      </c>
      <c r="CEU33" s="177"/>
      <c r="CEV33" s="177"/>
      <c r="CEW33" s="177"/>
      <c r="CEX33" s="178" t="s">
        <v>76</v>
      </c>
      <c r="CEY33" s="178"/>
      <c r="CEZ33" s="178"/>
      <c r="CFA33" s="177" t="s">
        <v>75</v>
      </c>
      <c r="CFB33" s="177"/>
      <c r="CFC33" s="177"/>
      <c r="CFF33" s="177" t="s">
        <v>74</v>
      </c>
      <c r="CFG33" s="177"/>
      <c r="CFH33" s="177"/>
      <c r="CFI33" s="177"/>
      <c r="CFJ33" s="178" t="s">
        <v>76</v>
      </c>
      <c r="CFK33" s="178"/>
      <c r="CFL33" s="178"/>
      <c r="CFM33" s="177" t="s">
        <v>75</v>
      </c>
      <c r="CFN33" s="177"/>
      <c r="CFO33" s="177"/>
      <c r="CFR33" s="177" t="s">
        <v>74</v>
      </c>
      <c r="CFS33" s="177"/>
      <c r="CFT33" s="177"/>
      <c r="CFU33" s="177"/>
      <c r="CFV33" s="178" t="s">
        <v>76</v>
      </c>
      <c r="CFW33" s="178"/>
      <c r="CFX33" s="178"/>
      <c r="CFY33" s="177" t="s">
        <v>75</v>
      </c>
      <c r="CFZ33" s="177"/>
      <c r="CGA33" s="177"/>
      <c r="CGD33" s="177" t="s">
        <v>74</v>
      </c>
      <c r="CGE33" s="177"/>
      <c r="CGF33" s="177"/>
      <c r="CGG33" s="177"/>
      <c r="CGH33" s="178" t="s">
        <v>76</v>
      </c>
      <c r="CGI33" s="178"/>
      <c r="CGJ33" s="178"/>
      <c r="CGK33" s="177" t="s">
        <v>75</v>
      </c>
      <c r="CGL33" s="177"/>
      <c r="CGM33" s="177"/>
      <c r="CGP33" s="177" t="s">
        <v>74</v>
      </c>
      <c r="CGQ33" s="177"/>
      <c r="CGR33" s="177"/>
      <c r="CGS33" s="177"/>
      <c r="CGT33" s="178" t="s">
        <v>76</v>
      </c>
      <c r="CGU33" s="178"/>
      <c r="CGV33" s="178"/>
      <c r="CGW33" s="177" t="s">
        <v>75</v>
      </c>
      <c r="CGX33" s="177"/>
      <c r="CGY33" s="177"/>
      <c r="CHB33" s="177" t="s">
        <v>74</v>
      </c>
      <c r="CHC33" s="177"/>
      <c r="CHD33" s="177"/>
      <c r="CHE33" s="177"/>
      <c r="CHF33" s="178" t="s">
        <v>76</v>
      </c>
      <c r="CHG33" s="178"/>
      <c r="CHH33" s="178"/>
      <c r="CHI33" s="177" t="s">
        <v>75</v>
      </c>
      <c r="CHJ33" s="177"/>
      <c r="CHK33" s="177"/>
      <c r="CHN33" s="177" t="s">
        <v>74</v>
      </c>
      <c r="CHO33" s="177"/>
      <c r="CHP33" s="177"/>
      <c r="CHQ33" s="177"/>
      <c r="CHR33" s="178" t="s">
        <v>76</v>
      </c>
      <c r="CHS33" s="178"/>
      <c r="CHT33" s="178"/>
      <c r="CHU33" s="177" t="s">
        <v>75</v>
      </c>
      <c r="CHV33" s="177"/>
      <c r="CHW33" s="177"/>
      <c r="CHZ33" s="177" t="s">
        <v>74</v>
      </c>
      <c r="CIA33" s="177"/>
      <c r="CIB33" s="177"/>
      <c r="CIC33" s="177"/>
      <c r="CID33" s="178" t="s">
        <v>76</v>
      </c>
      <c r="CIE33" s="178"/>
      <c r="CIF33" s="178"/>
      <c r="CIG33" s="177" t="s">
        <v>75</v>
      </c>
      <c r="CIH33" s="177"/>
      <c r="CII33" s="177"/>
      <c r="CIL33" s="177" t="s">
        <v>74</v>
      </c>
      <c r="CIM33" s="177"/>
      <c r="CIN33" s="177"/>
      <c r="CIO33" s="177"/>
      <c r="CIP33" s="178" t="s">
        <v>76</v>
      </c>
      <c r="CIQ33" s="178"/>
      <c r="CIR33" s="178"/>
      <c r="CIS33" s="177" t="s">
        <v>75</v>
      </c>
      <c r="CIT33" s="177"/>
      <c r="CIU33" s="177"/>
      <c r="CIX33" s="177" t="s">
        <v>74</v>
      </c>
      <c r="CIY33" s="177"/>
      <c r="CIZ33" s="177"/>
      <c r="CJA33" s="177"/>
      <c r="CJB33" s="178" t="s">
        <v>76</v>
      </c>
      <c r="CJC33" s="178"/>
      <c r="CJD33" s="178"/>
      <c r="CJE33" s="177" t="s">
        <v>75</v>
      </c>
      <c r="CJF33" s="177"/>
      <c r="CJG33" s="177"/>
      <c r="CJJ33" s="177" t="s">
        <v>74</v>
      </c>
      <c r="CJK33" s="177"/>
      <c r="CJL33" s="177"/>
      <c r="CJM33" s="177"/>
      <c r="CJN33" s="178" t="s">
        <v>76</v>
      </c>
      <c r="CJO33" s="178"/>
      <c r="CJP33" s="178"/>
      <c r="CJQ33" s="177" t="s">
        <v>75</v>
      </c>
      <c r="CJR33" s="177"/>
      <c r="CJS33" s="177"/>
      <c r="CJV33" s="177" t="s">
        <v>74</v>
      </c>
      <c r="CJW33" s="177"/>
      <c r="CJX33" s="177"/>
      <c r="CJY33" s="177"/>
      <c r="CJZ33" s="178" t="s">
        <v>76</v>
      </c>
      <c r="CKA33" s="178"/>
      <c r="CKB33" s="178"/>
      <c r="CKC33" s="177" t="s">
        <v>75</v>
      </c>
      <c r="CKD33" s="177"/>
      <c r="CKE33" s="177"/>
      <c r="CKH33" s="177" t="s">
        <v>74</v>
      </c>
      <c r="CKI33" s="177"/>
      <c r="CKJ33" s="177"/>
      <c r="CKK33" s="177"/>
      <c r="CKL33" s="178" t="s">
        <v>76</v>
      </c>
      <c r="CKM33" s="178"/>
      <c r="CKN33" s="178"/>
      <c r="CKO33" s="177" t="s">
        <v>75</v>
      </c>
      <c r="CKP33" s="177"/>
      <c r="CKQ33" s="177"/>
      <c r="CKT33" s="177" t="s">
        <v>77</v>
      </c>
      <c r="CKU33" s="177"/>
      <c r="CKV33" s="177"/>
      <c r="CKW33" s="177"/>
      <c r="CKX33" s="178" t="s">
        <v>76</v>
      </c>
      <c r="CKY33" s="178"/>
      <c r="CKZ33" s="178"/>
      <c r="CLA33" s="177" t="s">
        <v>75</v>
      </c>
      <c r="CLB33" s="177"/>
      <c r="CLC33" s="177"/>
      <c r="CLF33" s="177" t="s">
        <v>77</v>
      </c>
      <c r="CLG33" s="177"/>
      <c r="CLH33" s="177"/>
      <c r="CLI33" s="177"/>
      <c r="CLJ33" s="178" t="s">
        <v>76</v>
      </c>
      <c r="CLK33" s="178"/>
      <c r="CLL33" s="178"/>
      <c r="CLM33" s="177" t="s">
        <v>75</v>
      </c>
      <c r="CLN33" s="177"/>
      <c r="CLO33" s="177"/>
      <c r="CLR33" s="177" t="s">
        <v>77</v>
      </c>
      <c r="CLS33" s="177"/>
      <c r="CLT33" s="177"/>
      <c r="CLU33" s="177"/>
      <c r="CLV33" s="178" t="s">
        <v>76</v>
      </c>
      <c r="CLW33" s="178"/>
      <c r="CLX33" s="178"/>
      <c r="CLY33" s="177" t="s">
        <v>75</v>
      </c>
      <c r="CLZ33" s="177"/>
      <c r="CMA33" s="177"/>
      <c r="CMD33" s="177" t="s">
        <v>77</v>
      </c>
      <c r="CME33" s="177"/>
      <c r="CMF33" s="177"/>
      <c r="CMG33" s="177"/>
      <c r="CMH33" s="178" t="s">
        <v>76</v>
      </c>
      <c r="CMI33" s="178"/>
      <c r="CMJ33" s="178"/>
      <c r="CMK33" s="177" t="s">
        <v>75</v>
      </c>
      <c r="CML33" s="177"/>
      <c r="CMM33" s="177"/>
      <c r="CMP33" s="177" t="s">
        <v>77</v>
      </c>
      <c r="CMQ33" s="177"/>
      <c r="CMR33" s="177"/>
      <c r="CMS33" s="177"/>
      <c r="CMT33" s="178" t="s">
        <v>76</v>
      </c>
      <c r="CMU33" s="178"/>
      <c r="CMV33" s="178"/>
      <c r="CMW33" s="177" t="s">
        <v>75</v>
      </c>
      <c r="CMX33" s="177"/>
      <c r="CMY33" s="177"/>
      <c r="CNB33" s="177" t="s">
        <v>77</v>
      </c>
      <c r="CNC33" s="177"/>
      <c r="CND33" s="177"/>
      <c r="CNE33" s="177"/>
      <c r="CNF33" s="178" t="s">
        <v>76</v>
      </c>
      <c r="CNG33" s="178"/>
      <c r="CNH33" s="178"/>
      <c r="CNI33" s="177" t="s">
        <v>75</v>
      </c>
      <c r="CNJ33" s="177"/>
      <c r="CNK33" s="177"/>
      <c r="CNN33" s="177" t="s">
        <v>77</v>
      </c>
      <c r="CNO33" s="177"/>
      <c r="CNP33" s="177"/>
      <c r="CNQ33" s="177"/>
      <c r="CNR33" s="178" t="s">
        <v>76</v>
      </c>
      <c r="CNS33" s="178"/>
      <c r="CNT33" s="178"/>
      <c r="CNU33" s="177" t="s">
        <v>75</v>
      </c>
      <c r="CNV33" s="177"/>
      <c r="CNW33" s="177"/>
      <c r="CNZ33" s="177" t="s">
        <v>77</v>
      </c>
      <c r="COA33" s="177"/>
      <c r="COB33" s="177"/>
      <c r="COC33" s="177"/>
      <c r="COD33" s="178" t="s">
        <v>76</v>
      </c>
      <c r="COE33" s="178"/>
      <c r="COF33" s="178"/>
      <c r="COG33" s="177" t="s">
        <v>75</v>
      </c>
      <c r="COH33" s="177"/>
      <c r="COI33" s="177"/>
      <c r="COL33" s="177" t="s">
        <v>77</v>
      </c>
      <c r="COM33" s="177"/>
      <c r="CON33" s="177"/>
      <c r="COO33" s="177"/>
      <c r="COP33" s="178" t="s">
        <v>76</v>
      </c>
      <c r="COQ33" s="178"/>
      <c r="COR33" s="178"/>
      <c r="COS33" s="177" t="s">
        <v>75</v>
      </c>
      <c r="COT33" s="177"/>
      <c r="COU33" s="177"/>
      <c r="COX33" s="177" t="s">
        <v>77</v>
      </c>
      <c r="COY33" s="177"/>
      <c r="COZ33" s="177"/>
      <c r="CPA33" s="177"/>
      <c r="CPB33" s="178" t="s">
        <v>76</v>
      </c>
      <c r="CPC33" s="178"/>
      <c r="CPD33" s="178"/>
      <c r="CPE33" s="177" t="s">
        <v>75</v>
      </c>
      <c r="CPF33" s="177"/>
      <c r="CPG33" s="177"/>
      <c r="CPJ33" s="177" t="s">
        <v>77</v>
      </c>
      <c r="CPK33" s="177"/>
      <c r="CPL33" s="177"/>
      <c r="CPM33" s="177"/>
      <c r="CPN33" s="178" t="s">
        <v>76</v>
      </c>
      <c r="CPO33" s="178"/>
      <c r="CPP33" s="178"/>
      <c r="CPQ33" s="177" t="s">
        <v>75</v>
      </c>
      <c r="CPR33" s="177"/>
      <c r="CPS33" s="177"/>
      <c r="CPV33" s="177" t="s">
        <v>77</v>
      </c>
      <c r="CPW33" s="177"/>
      <c r="CPX33" s="177"/>
      <c r="CPY33" s="177"/>
      <c r="CPZ33" s="178" t="s">
        <v>76</v>
      </c>
      <c r="CQA33" s="178"/>
      <c r="CQB33" s="178"/>
      <c r="CQC33" s="177" t="s">
        <v>75</v>
      </c>
      <c r="CQD33" s="177"/>
      <c r="CQE33" s="177"/>
      <c r="CQH33" s="177" t="s">
        <v>77</v>
      </c>
      <c r="CQI33" s="177"/>
      <c r="CQJ33" s="177"/>
      <c r="CQK33" s="177"/>
      <c r="CQL33" s="178" t="s">
        <v>76</v>
      </c>
      <c r="CQM33" s="178"/>
      <c r="CQN33" s="178"/>
      <c r="CQO33" s="177" t="s">
        <v>75</v>
      </c>
      <c r="CQP33" s="177"/>
      <c r="CQQ33" s="177"/>
      <c r="CQT33" s="177" t="s">
        <v>77</v>
      </c>
      <c r="CQU33" s="177"/>
      <c r="CQV33" s="177"/>
      <c r="CQW33" s="177"/>
      <c r="CQX33" s="178" t="s">
        <v>76</v>
      </c>
      <c r="CQY33" s="178"/>
      <c r="CQZ33" s="178"/>
      <c r="CRA33" s="177" t="s">
        <v>75</v>
      </c>
      <c r="CRB33" s="177"/>
      <c r="CRC33" s="177"/>
      <c r="CRF33" s="177" t="s">
        <v>77</v>
      </c>
      <c r="CRG33" s="177"/>
      <c r="CRH33" s="177"/>
      <c r="CRI33" s="177"/>
      <c r="CRJ33" s="178" t="s">
        <v>76</v>
      </c>
      <c r="CRK33" s="178"/>
      <c r="CRL33" s="178"/>
      <c r="CRM33" s="177" t="s">
        <v>75</v>
      </c>
      <c r="CRN33" s="177"/>
      <c r="CRO33" s="177"/>
      <c r="CRR33" s="177" t="s">
        <v>77</v>
      </c>
      <c r="CRS33" s="177"/>
      <c r="CRT33" s="177"/>
      <c r="CRU33" s="177"/>
      <c r="CRV33" s="178" t="s">
        <v>76</v>
      </c>
      <c r="CRW33" s="178"/>
      <c r="CRX33" s="178"/>
      <c r="CRY33" s="177" t="s">
        <v>75</v>
      </c>
      <c r="CRZ33" s="177"/>
      <c r="CSA33" s="177"/>
      <c r="CSD33" s="177" t="s">
        <v>77</v>
      </c>
      <c r="CSE33" s="177"/>
      <c r="CSF33" s="177"/>
      <c r="CSG33" s="177"/>
      <c r="CSH33" s="178" t="s">
        <v>76</v>
      </c>
      <c r="CSI33" s="178"/>
      <c r="CSJ33" s="178"/>
      <c r="CSK33" s="177" t="s">
        <v>75</v>
      </c>
      <c r="CSL33" s="177"/>
      <c r="CSM33" s="177"/>
      <c r="CSP33" s="177" t="s">
        <v>77</v>
      </c>
      <c r="CSQ33" s="177"/>
      <c r="CSR33" s="177"/>
      <c r="CSS33" s="177"/>
      <c r="CST33" s="178" t="s">
        <v>76</v>
      </c>
      <c r="CSU33" s="178"/>
      <c r="CSV33" s="178"/>
      <c r="CSW33" s="177" t="s">
        <v>75</v>
      </c>
      <c r="CSX33" s="177"/>
      <c r="CSY33" s="177"/>
      <c r="CTB33" s="177" t="s">
        <v>77</v>
      </c>
      <c r="CTC33" s="177"/>
      <c r="CTD33" s="177"/>
      <c r="CTE33" s="177"/>
      <c r="CTF33" s="178" t="s">
        <v>76</v>
      </c>
      <c r="CTG33" s="178"/>
      <c r="CTH33" s="178"/>
      <c r="CTI33" s="177" t="s">
        <v>75</v>
      </c>
      <c r="CTJ33" s="177"/>
      <c r="CTK33" s="177"/>
      <c r="CTN33" s="177" t="s">
        <v>77</v>
      </c>
      <c r="CTO33" s="177"/>
      <c r="CTP33" s="177"/>
      <c r="CTQ33" s="177"/>
      <c r="CTR33" s="178" t="s">
        <v>76</v>
      </c>
      <c r="CTS33" s="178"/>
      <c r="CTT33" s="178"/>
      <c r="CTU33" s="177" t="s">
        <v>75</v>
      </c>
      <c r="CTV33" s="177"/>
      <c r="CTW33" s="177"/>
      <c r="CTZ33" s="177" t="s">
        <v>77</v>
      </c>
      <c r="CUA33" s="177"/>
      <c r="CUB33" s="177"/>
      <c r="CUC33" s="177"/>
      <c r="CUD33" s="178" t="s">
        <v>76</v>
      </c>
      <c r="CUE33" s="178"/>
      <c r="CUF33" s="178"/>
      <c r="CUG33" s="177" t="s">
        <v>75</v>
      </c>
      <c r="CUH33" s="177"/>
      <c r="CUI33" s="177"/>
      <c r="CUL33" s="177" t="s">
        <v>78</v>
      </c>
      <c r="CUM33" s="177"/>
      <c r="CUN33" s="177"/>
      <c r="CUO33" s="177"/>
      <c r="CUP33" s="178" t="s">
        <v>76</v>
      </c>
      <c r="CUQ33" s="178"/>
      <c r="CUR33" s="178"/>
      <c r="CUS33" s="177" t="s">
        <v>75</v>
      </c>
      <c r="CUT33" s="177"/>
      <c r="CUU33" s="177"/>
      <c r="CUX33" s="177" t="s">
        <v>78</v>
      </c>
      <c r="CUY33" s="177"/>
      <c r="CUZ33" s="177"/>
      <c r="CVA33" s="177"/>
      <c r="CVB33" s="178" t="s">
        <v>76</v>
      </c>
      <c r="CVC33" s="178"/>
      <c r="CVD33" s="178"/>
      <c r="CVE33" s="177" t="s">
        <v>75</v>
      </c>
      <c r="CVF33" s="177"/>
      <c r="CVG33" s="177"/>
      <c r="CVJ33" s="177" t="s">
        <v>78</v>
      </c>
      <c r="CVK33" s="177"/>
      <c r="CVL33" s="177"/>
      <c r="CVM33" s="177"/>
      <c r="CVN33" s="178" t="s">
        <v>76</v>
      </c>
      <c r="CVO33" s="178"/>
      <c r="CVP33" s="178"/>
      <c r="CVQ33" s="177" t="s">
        <v>75</v>
      </c>
      <c r="CVR33" s="177"/>
      <c r="CVS33" s="177"/>
      <c r="CVV33" s="177"/>
      <c r="CVW33" s="177"/>
      <c r="CVX33" s="177"/>
      <c r="CVY33" s="177"/>
      <c r="CVZ33" s="178" t="s">
        <v>76</v>
      </c>
      <c r="CWA33" s="178"/>
      <c r="CWB33" s="178"/>
      <c r="CWC33" s="177"/>
      <c r="CWD33" s="177"/>
      <c r="CWE33" s="177"/>
    </row>
    <row r="34" spans="2:1023 1026:2631" x14ac:dyDescent="0.25">
      <c r="B34" s="179" t="s">
        <v>59</v>
      </c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P34" s="179" t="s">
        <v>59</v>
      </c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D34" s="179" t="s">
        <v>59</v>
      </c>
      <c r="AE34" s="179"/>
      <c r="AF34" s="179"/>
      <c r="AG34" s="179"/>
      <c r="AH34" s="179"/>
      <c r="AI34" s="179"/>
      <c r="AJ34" s="179"/>
      <c r="AK34" s="179"/>
      <c r="AL34" s="179"/>
      <c r="AM34" s="179"/>
      <c r="AN34" s="179"/>
      <c r="AR34" s="179" t="s">
        <v>59</v>
      </c>
      <c r="AS34" s="179"/>
      <c r="AT34" s="179"/>
      <c r="AU34" s="179"/>
      <c r="AV34" s="179"/>
      <c r="AW34" s="179"/>
      <c r="AX34" s="179"/>
      <c r="AY34" s="179"/>
      <c r="AZ34" s="179"/>
      <c r="BA34" s="179"/>
      <c r="BB34" s="179"/>
      <c r="BF34" s="179" t="s">
        <v>59</v>
      </c>
      <c r="BG34" s="179"/>
      <c r="BH34" s="179"/>
      <c r="BI34" s="179"/>
      <c r="BJ34" s="179"/>
      <c r="BK34" s="179"/>
      <c r="BL34" s="179"/>
      <c r="BM34" s="179"/>
      <c r="BN34" s="179"/>
      <c r="BO34" s="179"/>
      <c r="BP34" s="179"/>
      <c r="BT34" s="179" t="s">
        <v>59</v>
      </c>
      <c r="BU34" s="179"/>
      <c r="BV34" s="179"/>
      <c r="BW34" s="179"/>
      <c r="BX34" s="179"/>
      <c r="BY34" s="179"/>
      <c r="BZ34" s="179"/>
      <c r="CA34" s="179"/>
      <c r="CB34" s="179"/>
      <c r="CC34" s="179"/>
      <c r="CD34" s="179"/>
      <c r="CH34" s="179" t="s">
        <v>59</v>
      </c>
      <c r="CI34" s="179"/>
      <c r="CJ34" s="179"/>
      <c r="CK34" s="179"/>
      <c r="CL34" s="179"/>
      <c r="CM34" s="179"/>
      <c r="CN34" s="179"/>
      <c r="CO34" s="179"/>
      <c r="CP34" s="179"/>
      <c r="CQ34" s="179"/>
      <c r="CR34" s="179"/>
      <c r="CV34" s="179" t="s">
        <v>59</v>
      </c>
      <c r="CW34" s="179"/>
      <c r="CX34" s="179"/>
      <c r="CY34" s="179"/>
      <c r="CZ34" s="179"/>
      <c r="DA34" s="179"/>
      <c r="DB34" s="179"/>
      <c r="DC34" s="179"/>
      <c r="DD34" s="179"/>
      <c r="DE34" s="179"/>
      <c r="DF34" s="179"/>
      <c r="DJ34" s="179" t="s">
        <v>59</v>
      </c>
      <c r="DK34" s="179"/>
      <c r="DL34" s="179"/>
      <c r="DM34" s="179"/>
      <c r="DN34" s="179"/>
      <c r="DO34" s="179"/>
      <c r="DP34" s="179"/>
      <c r="DQ34" s="179"/>
      <c r="DR34" s="179"/>
      <c r="DS34" s="179"/>
      <c r="DT34" s="179"/>
      <c r="DX34" s="179" t="s">
        <v>59</v>
      </c>
      <c r="DY34" s="179"/>
      <c r="DZ34" s="179"/>
      <c r="EA34" s="179"/>
      <c r="EB34" s="179"/>
      <c r="EC34" s="179"/>
      <c r="ED34" s="179"/>
      <c r="EE34" s="179"/>
      <c r="EF34" s="179"/>
      <c r="EG34" s="179"/>
      <c r="EH34" s="179"/>
      <c r="EL34" s="179" t="s">
        <v>59</v>
      </c>
      <c r="EM34" s="179"/>
      <c r="EN34" s="179"/>
      <c r="EO34" s="179"/>
      <c r="EP34" s="179"/>
      <c r="EQ34" s="179"/>
      <c r="ER34" s="179"/>
      <c r="ES34" s="179"/>
      <c r="ET34" s="179"/>
      <c r="EU34" s="179"/>
      <c r="EV34" s="179"/>
      <c r="EZ34" s="179" t="s">
        <v>59</v>
      </c>
      <c r="FA34" s="179"/>
      <c r="FB34" s="179"/>
      <c r="FC34" s="179"/>
      <c r="FD34" s="179"/>
      <c r="FE34" s="179"/>
      <c r="FF34" s="179"/>
      <c r="FG34" s="179"/>
      <c r="FH34" s="179"/>
      <c r="FI34" s="179"/>
      <c r="FJ34" s="179"/>
      <c r="FN34" s="179" t="s">
        <v>59</v>
      </c>
      <c r="FO34" s="179"/>
      <c r="FP34" s="179"/>
      <c r="FQ34" s="179"/>
      <c r="FR34" s="179"/>
      <c r="FS34" s="179"/>
      <c r="FT34" s="179"/>
      <c r="FU34" s="179"/>
      <c r="FV34" s="179"/>
      <c r="FW34" s="179"/>
      <c r="FX34" s="179"/>
      <c r="GB34" s="179" t="s">
        <v>59</v>
      </c>
      <c r="GC34" s="179"/>
      <c r="GD34" s="179"/>
      <c r="GE34" s="179"/>
      <c r="GF34" s="179"/>
      <c r="GG34" s="179"/>
      <c r="GH34" s="179"/>
      <c r="GI34" s="179"/>
      <c r="GJ34" s="179"/>
      <c r="GK34" s="179"/>
      <c r="GL34" s="179"/>
      <c r="GP34" s="179" t="s">
        <v>59</v>
      </c>
      <c r="GQ34" s="179"/>
      <c r="GR34" s="179"/>
      <c r="GS34" s="179"/>
      <c r="GT34" s="179"/>
      <c r="GU34" s="179"/>
      <c r="GV34" s="179"/>
      <c r="GW34" s="179"/>
      <c r="GX34" s="179"/>
      <c r="GY34" s="179"/>
      <c r="GZ34" s="179"/>
      <c r="HD34" s="179" t="s">
        <v>59</v>
      </c>
      <c r="HE34" s="179"/>
      <c r="HF34" s="179"/>
      <c r="HG34" s="179"/>
      <c r="HH34" s="179"/>
      <c r="HI34" s="179"/>
      <c r="HJ34" s="179"/>
      <c r="HK34" s="179"/>
      <c r="HL34" s="179"/>
      <c r="HM34" s="179"/>
      <c r="HN34" s="179"/>
      <c r="HR34" s="179" t="s">
        <v>59</v>
      </c>
      <c r="HS34" s="179"/>
      <c r="HT34" s="179"/>
      <c r="HU34" s="179"/>
      <c r="HV34" s="179"/>
      <c r="HW34" s="179"/>
      <c r="HX34" s="179"/>
      <c r="HY34" s="179"/>
      <c r="HZ34" s="179"/>
      <c r="IA34" s="179"/>
      <c r="IB34" s="179"/>
      <c r="IF34" s="179" t="s">
        <v>59</v>
      </c>
      <c r="IG34" s="179"/>
      <c r="IH34" s="179"/>
      <c r="II34" s="179"/>
      <c r="IJ34" s="179"/>
      <c r="IK34" s="179"/>
      <c r="IL34" s="179"/>
      <c r="IM34" s="179"/>
      <c r="IN34" s="179"/>
      <c r="IO34" s="179"/>
      <c r="IP34" s="179"/>
      <c r="IT34" s="179" t="s">
        <v>59</v>
      </c>
      <c r="IU34" s="179"/>
      <c r="IV34" s="179"/>
      <c r="IW34" s="179"/>
      <c r="IX34" s="179"/>
      <c r="IY34" s="179"/>
      <c r="IZ34" s="179"/>
      <c r="JA34" s="179"/>
      <c r="JB34" s="179"/>
      <c r="JC34" s="179"/>
      <c r="JD34" s="179"/>
      <c r="JH34" s="179" t="s">
        <v>59</v>
      </c>
      <c r="JI34" s="179"/>
      <c r="JJ34" s="179"/>
      <c r="JK34" s="179"/>
      <c r="JL34" s="179"/>
      <c r="JM34" s="179"/>
      <c r="JN34" s="179"/>
      <c r="JO34" s="179"/>
      <c r="JP34" s="179"/>
      <c r="JQ34" s="179"/>
      <c r="JR34" s="179"/>
      <c r="JV34" s="179" t="s">
        <v>59</v>
      </c>
      <c r="JW34" s="179"/>
      <c r="JX34" s="179"/>
      <c r="JY34" s="179"/>
      <c r="JZ34" s="179"/>
      <c r="KA34" s="179"/>
      <c r="KB34" s="179"/>
      <c r="KC34" s="179"/>
      <c r="KD34" s="179"/>
      <c r="KE34" s="179"/>
      <c r="KF34" s="179"/>
      <c r="KJ34" s="179" t="s">
        <v>59</v>
      </c>
      <c r="KK34" s="179"/>
      <c r="KL34" s="179"/>
      <c r="KM34" s="179"/>
      <c r="KN34" s="179"/>
      <c r="KO34" s="179"/>
      <c r="KP34" s="179"/>
      <c r="KQ34" s="179"/>
      <c r="KR34" s="179"/>
      <c r="KS34" s="179"/>
      <c r="KT34" s="179"/>
      <c r="KX34" s="179" t="s">
        <v>59</v>
      </c>
      <c r="KY34" s="179"/>
      <c r="KZ34" s="179"/>
      <c r="LA34" s="179"/>
      <c r="LB34" s="179"/>
      <c r="LC34" s="179"/>
      <c r="LD34" s="179"/>
      <c r="LE34" s="179"/>
      <c r="LF34" s="179"/>
      <c r="LG34" s="179"/>
      <c r="LH34" s="179"/>
      <c r="LL34" s="179" t="s">
        <v>59</v>
      </c>
      <c r="LM34" s="179"/>
      <c r="LN34" s="179"/>
      <c r="LO34" s="179"/>
      <c r="LP34" s="179"/>
      <c r="LQ34" s="179"/>
      <c r="LR34" s="179"/>
      <c r="LS34" s="179"/>
      <c r="LT34" s="179"/>
      <c r="LU34" s="179"/>
      <c r="LV34" s="179"/>
      <c r="LZ34" s="179" t="s">
        <v>59</v>
      </c>
      <c r="MA34" s="179"/>
      <c r="MB34" s="179"/>
      <c r="MC34" s="179"/>
      <c r="MD34" s="179"/>
      <c r="ME34" s="179"/>
      <c r="MF34" s="179"/>
      <c r="MG34" s="179"/>
      <c r="MH34" s="179"/>
      <c r="MI34" s="179"/>
      <c r="MJ34" s="179"/>
      <c r="MN34" s="179" t="s">
        <v>59</v>
      </c>
      <c r="MO34" s="179"/>
      <c r="MP34" s="179"/>
      <c r="MQ34" s="179"/>
      <c r="MR34" s="179"/>
      <c r="MS34" s="179"/>
      <c r="MT34" s="179"/>
      <c r="MU34" s="179"/>
      <c r="MV34" s="179"/>
      <c r="MW34" s="179"/>
      <c r="MX34" s="179"/>
      <c r="NB34" s="179" t="s">
        <v>59</v>
      </c>
      <c r="NC34" s="179"/>
      <c r="ND34" s="179"/>
      <c r="NE34" s="179"/>
      <c r="NF34" s="179"/>
      <c r="NG34" s="179"/>
      <c r="NH34" s="179"/>
      <c r="NI34" s="179"/>
      <c r="NJ34" s="179"/>
      <c r="NK34" s="179"/>
      <c r="NL34" s="179"/>
      <c r="NP34" s="179" t="s">
        <v>59</v>
      </c>
      <c r="NQ34" s="179"/>
      <c r="NR34" s="179"/>
      <c r="NS34" s="179"/>
      <c r="NT34" s="179"/>
      <c r="NU34" s="179"/>
      <c r="NV34" s="179"/>
      <c r="NW34" s="179"/>
      <c r="NX34" s="179"/>
      <c r="NY34" s="179"/>
      <c r="NZ34" s="179"/>
      <c r="OD34" s="179" t="s">
        <v>59</v>
      </c>
      <c r="OE34" s="179"/>
      <c r="OF34" s="179"/>
      <c r="OG34" s="179"/>
      <c r="OH34" s="179"/>
      <c r="OI34" s="179"/>
      <c r="OJ34" s="179"/>
      <c r="OK34" s="179"/>
      <c r="OL34" s="179"/>
      <c r="OM34" s="179"/>
      <c r="ON34" s="179"/>
      <c r="OR34" s="179" t="s">
        <v>59</v>
      </c>
      <c r="OS34" s="179"/>
      <c r="OT34" s="179"/>
      <c r="OU34" s="179"/>
      <c r="OV34" s="179"/>
      <c r="OW34" s="179"/>
      <c r="OX34" s="179"/>
      <c r="OY34" s="179"/>
      <c r="OZ34" s="179"/>
      <c r="PA34" s="179"/>
      <c r="PB34" s="179"/>
      <c r="PF34" s="179" t="s">
        <v>59</v>
      </c>
      <c r="PG34" s="179"/>
      <c r="PH34" s="179"/>
      <c r="PI34" s="179"/>
      <c r="PJ34" s="179"/>
      <c r="PK34" s="179"/>
      <c r="PL34" s="179"/>
      <c r="PM34" s="179"/>
      <c r="PN34" s="179"/>
      <c r="PO34" s="179"/>
      <c r="PP34" s="179"/>
      <c r="PT34" s="179" t="s">
        <v>59</v>
      </c>
      <c r="PU34" s="179"/>
      <c r="PV34" s="179"/>
      <c r="PW34" s="179"/>
      <c r="PX34" s="179"/>
      <c r="PY34" s="179"/>
      <c r="PZ34" s="179"/>
      <c r="QA34" s="179"/>
      <c r="QB34" s="179"/>
      <c r="QC34" s="179"/>
      <c r="QD34" s="179"/>
      <c r="QH34" s="179" t="s">
        <v>59</v>
      </c>
      <c r="QI34" s="179"/>
      <c r="QJ34" s="179"/>
      <c r="QK34" s="179"/>
      <c r="QL34" s="179"/>
      <c r="QM34" s="179"/>
      <c r="QN34" s="179"/>
      <c r="QO34" s="179"/>
      <c r="QP34" s="179"/>
      <c r="QQ34" s="179"/>
      <c r="QR34" s="179"/>
      <c r="QV34" s="179" t="s">
        <v>59</v>
      </c>
      <c r="QW34" s="179"/>
      <c r="QX34" s="179"/>
      <c r="QY34" s="179"/>
      <c r="QZ34" s="179"/>
      <c r="RA34" s="179"/>
      <c r="RB34" s="179"/>
      <c r="RC34" s="179"/>
      <c r="RD34" s="179"/>
      <c r="RE34" s="179"/>
      <c r="RF34" s="179"/>
      <c r="RJ34" s="179" t="s">
        <v>59</v>
      </c>
      <c r="RK34" s="179"/>
      <c r="RL34" s="179"/>
      <c r="RM34" s="179"/>
      <c r="RN34" s="179"/>
      <c r="RO34" s="179"/>
      <c r="RP34" s="179"/>
      <c r="RQ34" s="179"/>
      <c r="RR34" s="179"/>
      <c r="RS34" s="179"/>
      <c r="RT34" s="179"/>
      <c r="RX34" s="179" t="s">
        <v>59</v>
      </c>
      <c r="RY34" s="179"/>
      <c r="RZ34" s="179"/>
      <c r="SA34" s="179"/>
      <c r="SB34" s="179"/>
      <c r="SC34" s="179"/>
      <c r="SD34" s="179"/>
      <c r="SE34" s="179"/>
      <c r="SF34" s="179"/>
      <c r="SG34" s="179"/>
      <c r="SH34" s="179"/>
      <c r="SL34" s="179" t="s">
        <v>59</v>
      </c>
      <c r="SM34" s="179"/>
      <c r="SN34" s="179"/>
      <c r="SO34" s="179"/>
      <c r="SP34" s="179"/>
      <c r="SQ34" s="179"/>
      <c r="SR34" s="179"/>
      <c r="SS34" s="179"/>
      <c r="ST34" s="179"/>
      <c r="SU34" s="179"/>
      <c r="SV34" s="179"/>
      <c r="SZ34" s="179" t="s">
        <v>59</v>
      </c>
      <c r="TA34" s="179"/>
      <c r="TB34" s="179"/>
      <c r="TC34" s="179"/>
      <c r="TD34" s="179"/>
      <c r="TE34" s="179"/>
      <c r="TF34" s="179"/>
      <c r="TG34" s="179"/>
      <c r="TH34" s="179"/>
      <c r="TI34" s="179"/>
      <c r="TJ34" s="179"/>
      <c r="TN34" s="179" t="s">
        <v>59</v>
      </c>
      <c r="TO34" s="179"/>
      <c r="TP34" s="179"/>
      <c r="TQ34" s="179"/>
      <c r="TR34" s="179"/>
      <c r="TS34" s="179"/>
      <c r="TT34" s="179"/>
      <c r="TU34" s="179"/>
      <c r="TV34" s="179"/>
      <c r="TW34" s="179"/>
      <c r="TX34" s="179"/>
      <c r="UB34" s="179" t="s">
        <v>59</v>
      </c>
      <c r="UC34" s="179"/>
      <c r="UD34" s="179"/>
      <c r="UE34" s="179"/>
      <c r="UF34" s="179"/>
      <c r="UG34" s="179"/>
      <c r="UH34" s="179"/>
      <c r="UI34" s="179"/>
      <c r="UJ34" s="179"/>
      <c r="UK34" s="179"/>
      <c r="UL34" s="179"/>
      <c r="UP34" s="179" t="s">
        <v>59</v>
      </c>
      <c r="UQ34" s="179"/>
      <c r="UR34" s="179"/>
      <c r="US34" s="179"/>
      <c r="UT34" s="179"/>
      <c r="UU34" s="179"/>
      <c r="UV34" s="179"/>
      <c r="UW34" s="179"/>
      <c r="UX34" s="179"/>
      <c r="UY34" s="179"/>
      <c r="UZ34" s="179"/>
      <c r="VD34" s="179" t="s">
        <v>59</v>
      </c>
      <c r="VE34" s="179"/>
      <c r="VF34" s="179"/>
      <c r="VG34" s="179"/>
      <c r="VH34" s="179"/>
      <c r="VI34" s="179"/>
      <c r="VJ34" s="179"/>
      <c r="VK34" s="179"/>
      <c r="VL34" s="179"/>
      <c r="VM34" s="179"/>
      <c r="VN34" s="179"/>
      <c r="VR34" s="179" t="s">
        <v>59</v>
      </c>
      <c r="VS34" s="179"/>
      <c r="VT34" s="179"/>
      <c r="VU34" s="179"/>
      <c r="VV34" s="179"/>
      <c r="VW34" s="179"/>
      <c r="VX34" s="179"/>
      <c r="VY34" s="179"/>
      <c r="VZ34" s="179"/>
      <c r="WA34" s="179"/>
      <c r="WB34" s="179"/>
      <c r="WF34" s="179" t="s">
        <v>59</v>
      </c>
      <c r="WG34" s="179"/>
      <c r="WH34" s="179"/>
      <c r="WI34" s="179"/>
      <c r="WJ34" s="179"/>
      <c r="WK34" s="179"/>
      <c r="WL34" s="179"/>
      <c r="WM34" s="179"/>
      <c r="WN34" s="179"/>
      <c r="WO34" s="179"/>
      <c r="WP34" s="179"/>
      <c r="WT34" s="179" t="s">
        <v>59</v>
      </c>
      <c r="WU34" s="179"/>
      <c r="WV34" s="179"/>
      <c r="WW34" s="179"/>
      <c r="WX34" s="179"/>
      <c r="WY34" s="179"/>
      <c r="WZ34" s="179"/>
      <c r="XA34" s="179"/>
      <c r="XB34" s="179"/>
      <c r="XC34" s="179"/>
      <c r="XD34" s="179"/>
      <c r="XH34" s="179" t="s">
        <v>59</v>
      </c>
      <c r="XI34" s="179"/>
      <c r="XJ34" s="179"/>
      <c r="XK34" s="179"/>
      <c r="XL34" s="179"/>
      <c r="XM34" s="179"/>
      <c r="XN34" s="179"/>
      <c r="XO34" s="179"/>
      <c r="XP34" s="179"/>
      <c r="XQ34" s="179"/>
      <c r="XR34" s="179"/>
      <c r="XV34" s="179" t="s">
        <v>59</v>
      </c>
      <c r="XW34" s="179"/>
      <c r="XX34" s="179"/>
      <c r="XY34" s="179"/>
      <c r="XZ34" s="179"/>
      <c r="YA34" s="179"/>
      <c r="YB34" s="179"/>
      <c r="YC34" s="179"/>
      <c r="YD34" s="179"/>
      <c r="YE34" s="179"/>
      <c r="YF34" s="179"/>
      <c r="YJ34" s="179" t="s">
        <v>59</v>
      </c>
      <c r="YK34" s="179"/>
      <c r="YL34" s="179"/>
      <c r="YM34" s="179"/>
      <c r="YN34" s="179"/>
      <c r="YO34" s="179"/>
      <c r="YP34" s="179"/>
      <c r="YQ34" s="179"/>
      <c r="YR34" s="179"/>
      <c r="YS34" s="179"/>
      <c r="YT34" s="179"/>
      <c r="YX34" s="179" t="s">
        <v>59</v>
      </c>
      <c r="YY34" s="179"/>
      <c r="YZ34" s="179"/>
      <c r="ZA34" s="179"/>
      <c r="ZB34" s="179"/>
      <c r="ZC34" s="179"/>
      <c r="ZD34" s="179"/>
      <c r="ZE34" s="179"/>
      <c r="ZF34" s="179"/>
      <c r="ZG34" s="179"/>
      <c r="ZH34" s="179"/>
      <c r="ZL34" s="179" t="s">
        <v>59</v>
      </c>
      <c r="ZM34" s="179"/>
      <c r="ZN34" s="179"/>
      <c r="ZO34" s="179"/>
      <c r="ZP34" s="179"/>
      <c r="ZQ34" s="179"/>
      <c r="ZR34" s="179"/>
      <c r="ZS34" s="179"/>
      <c r="ZT34" s="179"/>
      <c r="ZU34" s="179"/>
      <c r="ZV34" s="179"/>
      <c r="ZY34" s="4"/>
      <c r="ZZ34" s="180" t="s">
        <v>79</v>
      </c>
      <c r="AAA34" s="180"/>
      <c r="AAB34" s="180"/>
      <c r="AAC34" s="180"/>
      <c r="AAD34" s="8"/>
      <c r="AAE34" s="181"/>
      <c r="AAF34" s="8"/>
      <c r="AAG34" s="180" t="s">
        <v>80</v>
      </c>
      <c r="AAH34" s="180"/>
      <c r="AAI34" s="180"/>
      <c r="AAL34" s="4"/>
      <c r="AAM34" s="180" t="s">
        <v>79</v>
      </c>
      <c r="AAN34" s="180"/>
      <c r="AAO34" s="180"/>
      <c r="AAP34" s="180"/>
      <c r="AAQ34" s="8"/>
      <c r="AAR34" s="181"/>
      <c r="AAS34" s="8"/>
      <c r="AAT34" s="180" t="s">
        <v>80</v>
      </c>
      <c r="AAU34" s="180"/>
      <c r="AAV34" s="180"/>
      <c r="AAY34" s="4"/>
      <c r="AAZ34" s="180" t="s">
        <v>79</v>
      </c>
      <c r="ABA34" s="180"/>
      <c r="ABB34" s="180"/>
      <c r="ABC34" s="180"/>
      <c r="ABD34" s="8"/>
      <c r="ABE34" s="181"/>
      <c r="ABF34" s="8"/>
      <c r="ABG34" s="180" t="s">
        <v>80</v>
      </c>
      <c r="ABH34" s="180"/>
      <c r="ABI34" s="180"/>
      <c r="ABL34" s="4"/>
      <c r="ABM34" s="180" t="s">
        <v>79</v>
      </c>
      <c r="ABN34" s="180"/>
      <c r="ABO34" s="180"/>
      <c r="ABP34" s="180"/>
      <c r="ABQ34" s="8"/>
      <c r="ABR34" s="181"/>
      <c r="ABS34" s="8"/>
      <c r="ABT34" s="180" t="s">
        <v>80</v>
      </c>
      <c r="ABU34" s="180"/>
      <c r="ABV34" s="180"/>
      <c r="ABY34" s="4"/>
      <c r="ABZ34" s="180" t="s">
        <v>79</v>
      </c>
      <c r="ACA34" s="180"/>
      <c r="ACB34" s="180"/>
      <c r="ACC34" s="180"/>
      <c r="ACD34" s="8"/>
      <c r="ACE34" s="181"/>
      <c r="ACF34" s="8"/>
      <c r="ACG34" s="180" t="s">
        <v>80</v>
      </c>
      <c r="ACH34" s="180"/>
      <c r="ACI34" s="180"/>
      <c r="ACL34" s="4"/>
      <c r="ACM34" s="180" t="s">
        <v>79</v>
      </c>
      <c r="ACN34" s="180"/>
      <c r="ACO34" s="180"/>
      <c r="ACP34" s="180"/>
      <c r="ACQ34" s="8"/>
      <c r="ACR34" s="181"/>
      <c r="ACS34" s="8"/>
      <c r="ACT34" s="180" t="s">
        <v>80</v>
      </c>
      <c r="ACU34" s="180"/>
      <c r="ACV34" s="180"/>
      <c r="ACY34" s="4"/>
      <c r="ACZ34" s="180" t="s">
        <v>79</v>
      </c>
      <c r="ADA34" s="180"/>
      <c r="ADB34" s="180"/>
      <c r="ADC34" s="180"/>
      <c r="ADD34" s="8"/>
      <c r="ADE34" s="181"/>
      <c r="ADF34" s="8"/>
      <c r="ADG34" s="180" t="s">
        <v>80</v>
      </c>
      <c r="ADH34" s="180"/>
      <c r="ADI34" s="180"/>
      <c r="ADL34" s="4"/>
      <c r="ADM34" s="180" t="s">
        <v>79</v>
      </c>
      <c r="ADN34" s="180"/>
      <c r="ADO34" s="180"/>
      <c r="ADP34" s="180"/>
      <c r="ADQ34" s="8"/>
      <c r="ADR34" s="181"/>
      <c r="ADS34" s="8"/>
      <c r="ADT34" s="180" t="s">
        <v>80</v>
      </c>
      <c r="ADU34" s="180"/>
      <c r="ADV34" s="180"/>
      <c r="ADY34" s="4"/>
      <c r="ADZ34" s="180" t="s">
        <v>79</v>
      </c>
      <c r="AEA34" s="180"/>
      <c r="AEB34" s="180"/>
      <c r="AEC34" s="180"/>
      <c r="AED34" s="8"/>
      <c r="AEE34" s="181"/>
      <c r="AEF34" s="8"/>
      <c r="AEG34" s="180" t="s">
        <v>80</v>
      </c>
      <c r="AEH34" s="180"/>
      <c r="AEI34" s="180"/>
      <c r="AEL34" s="4"/>
      <c r="AEM34" s="180" t="s">
        <v>79</v>
      </c>
      <c r="AEN34" s="180"/>
      <c r="AEO34" s="180"/>
      <c r="AEP34" s="180"/>
      <c r="AEQ34" s="8"/>
      <c r="AER34" s="181"/>
      <c r="AES34" s="8"/>
      <c r="AET34" s="180" t="s">
        <v>80</v>
      </c>
      <c r="AEU34" s="180"/>
      <c r="AEV34" s="180"/>
      <c r="AEY34" s="4"/>
      <c r="AEZ34" s="180" t="s">
        <v>79</v>
      </c>
      <c r="AFA34" s="180"/>
      <c r="AFB34" s="180"/>
      <c r="AFC34" s="180"/>
      <c r="AFD34" s="8"/>
      <c r="AFE34" s="181"/>
      <c r="AFF34" s="8"/>
      <c r="AFG34" s="180" t="s">
        <v>80</v>
      </c>
      <c r="AFH34" s="180"/>
      <c r="AFI34" s="180"/>
      <c r="AFL34" s="4"/>
      <c r="AFM34" s="180" t="s">
        <v>79</v>
      </c>
      <c r="AFN34" s="180"/>
      <c r="AFO34" s="180"/>
      <c r="AFP34" s="180"/>
      <c r="AFQ34" s="8"/>
      <c r="AFR34" s="181"/>
      <c r="AFS34" s="8"/>
      <c r="AFT34" s="180" t="s">
        <v>80</v>
      </c>
      <c r="AFU34" s="180"/>
      <c r="AFV34" s="180"/>
      <c r="AFZ34" s="180" t="s">
        <v>79</v>
      </c>
      <c r="AGA34" s="180"/>
      <c r="AGB34" s="180"/>
      <c r="AGC34" s="180"/>
      <c r="AGD34" s="8"/>
      <c r="AGE34" s="181"/>
      <c r="AGF34" s="8"/>
      <c r="AGG34" s="180" t="s">
        <v>80</v>
      </c>
      <c r="AGH34" s="180"/>
      <c r="AGI34" s="180"/>
      <c r="AGL34" s="180" t="s">
        <v>79</v>
      </c>
      <c r="AGM34" s="180"/>
      <c r="AGN34" s="180"/>
      <c r="AGO34" s="180"/>
      <c r="AGP34" s="8"/>
      <c r="AGQ34" s="181"/>
      <c r="AGR34" s="8"/>
      <c r="AGS34" s="180" t="s">
        <v>80</v>
      </c>
      <c r="AGT34" s="180"/>
      <c r="AGU34" s="180"/>
      <c r="AGX34" s="180" t="s">
        <v>79</v>
      </c>
      <c r="AGY34" s="180"/>
      <c r="AGZ34" s="180"/>
      <c r="AHA34" s="180"/>
      <c r="AHB34" s="8"/>
      <c r="AHC34" s="181"/>
      <c r="AHD34" s="8"/>
      <c r="AHE34" s="180" t="s">
        <v>80</v>
      </c>
      <c r="AHF34" s="180"/>
      <c r="AHG34" s="180"/>
      <c r="AHJ34" s="180" t="s">
        <v>79</v>
      </c>
      <c r="AHK34" s="180"/>
      <c r="AHL34" s="180"/>
      <c r="AHM34" s="180"/>
      <c r="AHN34" s="8"/>
      <c r="AHO34" s="181"/>
      <c r="AHP34" s="8"/>
      <c r="AHQ34" s="180" t="s">
        <v>80</v>
      </c>
      <c r="AHR34" s="180"/>
      <c r="AHS34" s="180"/>
      <c r="AHV34" s="180" t="s">
        <v>79</v>
      </c>
      <c r="AHW34" s="180"/>
      <c r="AHX34" s="180"/>
      <c r="AHY34" s="180"/>
      <c r="AHZ34" s="8"/>
      <c r="AIA34" s="181"/>
      <c r="AIB34" s="8"/>
      <c r="AIC34" s="180" t="s">
        <v>80</v>
      </c>
      <c r="AID34" s="180"/>
      <c r="AIE34" s="180"/>
      <c r="AIH34" s="180" t="s">
        <v>79</v>
      </c>
      <c r="AII34" s="180"/>
      <c r="AIJ34" s="180"/>
      <c r="AIK34" s="180"/>
      <c r="AIL34" s="8"/>
      <c r="AIM34" s="181"/>
      <c r="AIN34" s="8"/>
      <c r="AIO34" s="180" t="s">
        <v>80</v>
      </c>
      <c r="AIP34" s="180"/>
      <c r="AIQ34" s="180"/>
      <c r="AIT34" s="180" t="s">
        <v>79</v>
      </c>
      <c r="AIU34" s="180"/>
      <c r="AIV34" s="180"/>
      <c r="AIW34" s="180"/>
      <c r="AIX34" s="8"/>
      <c r="AIY34" s="181"/>
      <c r="AIZ34" s="8"/>
      <c r="AJA34" s="180" t="s">
        <v>80</v>
      </c>
      <c r="AJB34" s="180"/>
      <c r="AJC34" s="180"/>
      <c r="AJF34" s="180" t="s">
        <v>79</v>
      </c>
      <c r="AJG34" s="180"/>
      <c r="AJH34" s="180"/>
      <c r="AJI34" s="180"/>
      <c r="AJJ34" s="8"/>
      <c r="AJK34" s="181"/>
      <c r="AJL34" s="8"/>
      <c r="AJM34" s="180" t="s">
        <v>80</v>
      </c>
      <c r="AJN34" s="180"/>
      <c r="AJO34" s="180"/>
      <c r="AJR34" s="180" t="s">
        <v>79</v>
      </c>
      <c r="AJS34" s="180"/>
      <c r="AJT34" s="180"/>
      <c r="AJU34" s="180"/>
      <c r="AJV34" s="8"/>
      <c r="AJW34" s="181"/>
      <c r="AJX34" s="8"/>
      <c r="AJY34" s="180" t="s">
        <v>80</v>
      </c>
      <c r="AJZ34" s="180"/>
      <c r="AKA34" s="180"/>
      <c r="AKD34" s="180" t="s">
        <v>79</v>
      </c>
      <c r="AKE34" s="180"/>
      <c r="AKF34" s="180"/>
      <c r="AKG34" s="180"/>
      <c r="AKH34" s="8"/>
      <c r="AKI34" s="181"/>
      <c r="AKJ34" s="8"/>
      <c r="AKK34" s="180" t="s">
        <v>80</v>
      </c>
      <c r="AKL34" s="180"/>
      <c r="AKM34" s="180"/>
      <c r="AKP34" s="180" t="s">
        <v>79</v>
      </c>
      <c r="AKQ34" s="180"/>
      <c r="AKR34" s="180"/>
      <c r="AKS34" s="180"/>
      <c r="AKT34" s="8"/>
      <c r="AKU34" s="181"/>
      <c r="AKV34" s="8"/>
      <c r="AKW34" s="180" t="s">
        <v>80</v>
      </c>
      <c r="AKX34" s="180"/>
      <c r="AKY34" s="180"/>
      <c r="ALB34" s="180" t="s">
        <v>79</v>
      </c>
      <c r="ALC34" s="180"/>
      <c r="ALD34" s="180"/>
      <c r="ALE34" s="180"/>
      <c r="ALF34" s="8"/>
      <c r="ALG34" s="181"/>
      <c r="ALH34" s="8"/>
      <c r="ALI34" s="180" t="s">
        <v>80</v>
      </c>
      <c r="ALJ34" s="180"/>
      <c r="ALK34" s="180"/>
      <c r="ALN34" s="180" t="s">
        <v>79</v>
      </c>
      <c r="ALO34" s="180"/>
      <c r="ALP34" s="180"/>
      <c r="ALQ34" s="180"/>
      <c r="ALR34" s="8"/>
      <c r="ALS34" s="181"/>
      <c r="ALT34" s="8"/>
      <c r="ALU34" s="180" t="s">
        <v>80</v>
      </c>
      <c r="ALV34" s="180"/>
      <c r="ALW34" s="180"/>
      <c r="ALZ34" s="180" t="s">
        <v>79</v>
      </c>
      <c r="AMA34" s="180"/>
      <c r="AMB34" s="180"/>
      <c r="AMC34" s="180"/>
      <c r="AMD34" s="8"/>
      <c r="AME34" s="181"/>
      <c r="AMF34" s="8"/>
      <c r="AMG34" s="180" t="s">
        <v>80</v>
      </c>
      <c r="AMH34" s="180"/>
      <c r="AMI34" s="180"/>
      <c r="AML34" s="180" t="s">
        <v>79</v>
      </c>
      <c r="AMM34" s="180"/>
      <c r="AMN34" s="180"/>
      <c r="AMO34" s="180"/>
      <c r="AMP34" s="8"/>
      <c r="AMQ34" s="181"/>
      <c r="AMR34" s="8"/>
      <c r="AMS34" s="180" t="s">
        <v>80</v>
      </c>
      <c r="AMT34" s="180"/>
      <c r="AMU34" s="180"/>
      <c r="AMX34" s="180" t="s">
        <v>79</v>
      </c>
      <c r="AMY34" s="180"/>
      <c r="AMZ34" s="180"/>
      <c r="ANA34" s="180"/>
      <c r="ANB34" s="8"/>
      <c r="ANC34" s="181"/>
      <c r="AND34" s="8"/>
      <c r="ANE34" s="180" t="s">
        <v>80</v>
      </c>
      <c r="ANF34" s="180"/>
      <c r="ANG34" s="180"/>
      <c r="ANJ34" s="180" t="s">
        <v>79</v>
      </c>
      <c r="ANK34" s="180"/>
      <c r="ANL34" s="180"/>
      <c r="ANM34" s="180"/>
      <c r="ANN34" s="8"/>
      <c r="ANO34" s="181"/>
      <c r="ANP34" s="8"/>
      <c r="ANQ34" s="180" t="s">
        <v>80</v>
      </c>
      <c r="ANR34" s="180"/>
      <c r="ANS34" s="180"/>
      <c r="ANV34" s="180" t="s">
        <v>79</v>
      </c>
      <c r="ANW34" s="180"/>
      <c r="ANX34" s="180"/>
      <c r="ANY34" s="180"/>
      <c r="ANZ34" s="8"/>
      <c r="AOA34" s="181"/>
      <c r="AOB34" s="8"/>
      <c r="AOC34" s="180" t="s">
        <v>80</v>
      </c>
      <c r="AOD34" s="180"/>
      <c r="AOE34" s="180"/>
      <c r="AOH34" s="180" t="s">
        <v>79</v>
      </c>
      <c r="AOI34" s="180"/>
      <c r="AOJ34" s="180"/>
      <c r="AOK34" s="180"/>
      <c r="AOL34" s="8"/>
      <c r="AOM34" s="181"/>
      <c r="AON34" s="8"/>
      <c r="AOO34" s="180" t="s">
        <v>80</v>
      </c>
      <c r="AOP34" s="180"/>
      <c r="AOQ34" s="180"/>
      <c r="AOT34" s="180" t="s">
        <v>79</v>
      </c>
      <c r="AOU34" s="180"/>
      <c r="AOV34" s="180"/>
      <c r="AOW34" s="180"/>
      <c r="AOX34" s="8"/>
      <c r="AOY34" s="181"/>
      <c r="AOZ34" s="8"/>
      <c r="APA34" s="180" t="s">
        <v>80</v>
      </c>
      <c r="APB34" s="180"/>
      <c r="APC34" s="180"/>
      <c r="APF34" s="180" t="s">
        <v>79</v>
      </c>
      <c r="APG34" s="180"/>
      <c r="APH34" s="180"/>
      <c r="API34" s="180"/>
      <c r="APJ34" s="8"/>
      <c r="APK34" s="181"/>
      <c r="APL34" s="8"/>
      <c r="APM34" s="180" t="s">
        <v>80</v>
      </c>
      <c r="APN34" s="180"/>
      <c r="APO34" s="180"/>
      <c r="APR34" s="180" t="s">
        <v>79</v>
      </c>
      <c r="APS34" s="180"/>
      <c r="APT34" s="180"/>
      <c r="APU34" s="180"/>
      <c r="APV34" s="8"/>
      <c r="APW34" s="181"/>
      <c r="APX34" s="8"/>
      <c r="APY34" s="180" t="s">
        <v>80</v>
      </c>
      <c r="APZ34" s="180"/>
      <c r="AQA34" s="180"/>
      <c r="AQD34" s="180" t="s">
        <v>79</v>
      </c>
      <c r="AQE34" s="180"/>
      <c r="AQF34" s="180"/>
      <c r="AQG34" s="180"/>
      <c r="AQH34" s="8"/>
      <c r="AQI34" s="181"/>
      <c r="AQJ34" s="8"/>
      <c r="AQK34" s="180" t="s">
        <v>80</v>
      </c>
      <c r="AQL34" s="180"/>
      <c r="AQM34" s="180"/>
      <c r="AQP34" s="180" t="s">
        <v>79</v>
      </c>
      <c r="AQQ34" s="180"/>
      <c r="AQR34" s="180"/>
      <c r="AQS34" s="180"/>
      <c r="AQT34" s="8"/>
      <c r="AQU34" s="181"/>
      <c r="AQV34" s="8"/>
      <c r="AQW34" s="180" t="s">
        <v>80</v>
      </c>
      <c r="AQX34" s="180"/>
      <c r="AQY34" s="180"/>
      <c r="ARB34" s="180" t="s">
        <v>79</v>
      </c>
      <c r="ARC34" s="180"/>
      <c r="ARD34" s="180"/>
      <c r="ARE34" s="180"/>
      <c r="ARF34" s="8"/>
      <c r="ARG34" s="181"/>
      <c r="ARH34" s="8"/>
      <c r="ARI34" s="180" t="s">
        <v>80</v>
      </c>
      <c r="ARJ34" s="180"/>
      <c r="ARK34" s="180"/>
      <c r="ARN34" s="180" t="s">
        <v>79</v>
      </c>
      <c r="ARO34" s="180"/>
      <c r="ARP34" s="180"/>
      <c r="ARQ34" s="180"/>
      <c r="ARR34" s="8"/>
      <c r="ARS34" s="181"/>
      <c r="ART34" s="8"/>
      <c r="ARU34" s="180" t="s">
        <v>80</v>
      </c>
      <c r="ARV34" s="180"/>
      <c r="ARW34" s="180"/>
      <c r="ARZ34" s="180" t="s">
        <v>79</v>
      </c>
      <c r="ASA34" s="180"/>
      <c r="ASB34" s="180"/>
      <c r="ASC34" s="180"/>
      <c r="ASD34" s="8"/>
      <c r="ASE34" s="181"/>
      <c r="ASF34" s="8"/>
      <c r="ASG34" s="180" t="s">
        <v>80</v>
      </c>
      <c r="ASH34" s="180"/>
      <c r="ASI34" s="180"/>
      <c r="ASL34" s="180" t="s">
        <v>79</v>
      </c>
      <c r="ASM34" s="180"/>
      <c r="ASN34" s="180"/>
      <c r="ASO34" s="180"/>
      <c r="ASP34" s="8"/>
      <c r="ASQ34" s="181"/>
      <c r="ASR34" s="8"/>
      <c r="ASS34" s="180" t="s">
        <v>80</v>
      </c>
      <c r="AST34" s="180"/>
      <c r="ASU34" s="180"/>
      <c r="ASX34" s="180" t="s">
        <v>79</v>
      </c>
      <c r="ASY34" s="180"/>
      <c r="ASZ34" s="180"/>
      <c r="ATA34" s="180"/>
      <c r="ATB34" s="8"/>
      <c r="ATC34" s="181"/>
      <c r="ATD34" s="8"/>
      <c r="ATE34" s="180" t="s">
        <v>80</v>
      </c>
      <c r="ATF34" s="180"/>
      <c r="ATG34" s="180"/>
      <c r="ATJ34" s="180" t="s">
        <v>79</v>
      </c>
      <c r="ATK34" s="180"/>
      <c r="ATL34" s="180"/>
      <c r="ATM34" s="180"/>
      <c r="ATN34" s="8"/>
      <c r="ATO34" s="181"/>
      <c r="ATP34" s="8"/>
      <c r="ATQ34" s="180" t="s">
        <v>80</v>
      </c>
      <c r="ATR34" s="180"/>
      <c r="ATS34" s="180"/>
      <c r="ATV34" s="180" t="s">
        <v>79</v>
      </c>
      <c r="ATW34" s="180"/>
      <c r="ATX34" s="180"/>
      <c r="ATY34" s="180"/>
      <c r="ATZ34" s="8"/>
      <c r="AUA34" s="181"/>
      <c r="AUB34" s="8"/>
      <c r="AUC34" s="180" t="s">
        <v>80</v>
      </c>
      <c r="AUD34" s="180"/>
      <c r="AUE34" s="180"/>
      <c r="AUH34" s="180" t="s">
        <v>79</v>
      </c>
      <c r="AUI34" s="180"/>
      <c r="AUJ34" s="180"/>
      <c r="AUK34" s="180"/>
      <c r="AUL34" s="8"/>
      <c r="AUM34" s="181"/>
      <c r="AUN34" s="8"/>
      <c r="AUO34" s="180" t="s">
        <v>80</v>
      </c>
      <c r="AUP34" s="180"/>
      <c r="AUQ34" s="180"/>
      <c r="AUT34" s="180" t="s">
        <v>79</v>
      </c>
      <c r="AUU34" s="180"/>
      <c r="AUV34" s="180"/>
      <c r="AUW34" s="180"/>
      <c r="AUX34" s="8"/>
      <c r="AUY34" s="181"/>
      <c r="AUZ34" s="8"/>
      <c r="AVA34" s="180" t="s">
        <v>80</v>
      </c>
      <c r="AVB34" s="180"/>
      <c r="AVC34" s="180"/>
      <c r="AVF34" s="180" t="s">
        <v>79</v>
      </c>
      <c r="AVG34" s="180"/>
      <c r="AVH34" s="180"/>
      <c r="AVI34" s="180"/>
      <c r="AVJ34" s="8"/>
      <c r="AVK34" s="181"/>
      <c r="AVL34" s="8"/>
      <c r="AVM34" s="180" t="s">
        <v>80</v>
      </c>
      <c r="AVN34" s="180"/>
      <c r="AVO34" s="180"/>
      <c r="AVR34" s="180" t="s">
        <v>79</v>
      </c>
      <c r="AVS34" s="180"/>
      <c r="AVT34" s="180"/>
      <c r="AVU34" s="180"/>
      <c r="AVV34" s="8"/>
      <c r="AVW34" s="181"/>
      <c r="AVX34" s="8"/>
      <c r="AVY34" s="180" t="s">
        <v>80</v>
      </c>
      <c r="AVZ34" s="180"/>
      <c r="AWA34" s="180"/>
      <c r="AWD34" s="180" t="s">
        <v>79</v>
      </c>
      <c r="AWE34" s="180"/>
      <c r="AWF34" s="180"/>
      <c r="AWG34" s="180"/>
      <c r="AWH34" s="8"/>
      <c r="AWI34" s="181"/>
      <c r="AWJ34" s="8"/>
      <c r="AWK34" s="180" t="s">
        <v>80</v>
      </c>
      <c r="AWL34" s="180"/>
      <c r="AWM34" s="180"/>
      <c r="AWP34" s="180" t="s">
        <v>79</v>
      </c>
      <c r="AWQ34" s="180"/>
      <c r="AWR34" s="180"/>
      <c r="AWS34" s="180"/>
      <c r="AWT34" s="8"/>
      <c r="AWU34" s="181"/>
      <c r="AWV34" s="8"/>
      <c r="AWW34" s="180" t="s">
        <v>80</v>
      </c>
      <c r="AWX34" s="180"/>
      <c r="AWY34" s="180"/>
      <c r="AXB34" s="180" t="s">
        <v>79</v>
      </c>
      <c r="AXC34" s="180"/>
      <c r="AXD34" s="180"/>
      <c r="AXE34" s="180"/>
      <c r="AXF34" s="8"/>
      <c r="AXG34" s="181"/>
      <c r="AXH34" s="8"/>
      <c r="AXI34" s="180" t="s">
        <v>80</v>
      </c>
      <c r="AXJ34" s="180"/>
      <c r="AXK34" s="180"/>
      <c r="AXN34" s="180" t="s">
        <v>79</v>
      </c>
      <c r="AXO34" s="180"/>
      <c r="AXP34" s="180"/>
      <c r="AXQ34" s="180"/>
      <c r="AXR34" s="8"/>
      <c r="AXS34" s="181"/>
      <c r="AXT34" s="8"/>
      <c r="AXU34" s="180" t="s">
        <v>80</v>
      </c>
      <c r="AXV34" s="180"/>
      <c r="AXW34" s="180"/>
      <c r="AXZ34" s="180" t="s">
        <v>79</v>
      </c>
      <c r="AYA34" s="180"/>
      <c r="AYB34" s="180"/>
      <c r="AYC34" s="180"/>
      <c r="AYD34" s="8"/>
      <c r="AYE34" s="181"/>
      <c r="AYF34" s="8"/>
      <c r="AYG34" s="180" t="s">
        <v>80</v>
      </c>
      <c r="AYH34" s="180"/>
      <c r="AYI34" s="180"/>
      <c r="AYL34" s="180" t="s">
        <v>79</v>
      </c>
      <c r="AYM34" s="180"/>
      <c r="AYN34" s="180"/>
      <c r="AYO34" s="180"/>
      <c r="AYP34" s="8"/>
      <c r="AYQ34" s="181"/>
      <c r="AYR34" s="8"/>
      <c r="AYS34" s="180" t="s">
        <v>80</v>
      </c>
      <c r="AYT34" s="180"/>
      <c r="AYU34" s="180"/>
      <c r="AYX34" s="180" t="s">
        <v>79</v>
      </c>
      <c r="AYY34" s="180"/>
      <c r="AYZ34" s="180"/>
      <c r="AZA34" s="180"/>
      <c r="AZB34" s="8"/>
      <c r="AZC34" s="181"/>
      <c r="AZD34" s="8"/>
      <c r="AZE34" s="180" t="s">
        <v>80</v>
      </c>
      <c r="AZF34" s="180"/>
      <c r="AZG34" s="180"/>
      <c r="AZJ34" s="180" t="s">
        <v>79</v>
      </c>
      <c r="AZK34" s="180"/>
      <c r="AZL34" s="180"/>
      <c r="AZM34" s="180"/>
      <c r="AZN34" s="8"/>
      <c r="AZO34" s="181"/>
      <c r="AZP34" s="8"/>
      <c r="AZQ34" s="180" t="s">
        <v>80</v>
      </c>
      <c r="AZR34" s="180"/>
      <c r="AZS34" s="180"/>
      <c r="AZV34" s="180" t="s">
        <v>79</v>
      </c>
      <c r="AZW34" s="180"/>
      <c r="AZX34" s="180"/>
      <c r="AZY34" s="180"/>
      <c r="AZZ34" s="8"/>
      <c r="BAA34" s="181"/>
      <c r="BAB34" s="8"/>
      <c r="BAC34" s="180" t="s">
        <v>80</v>
      </c>
      <c r="BAD34" s="180"/>
      <c r="BAE34" s="180"/>
      <c r="BAH34" s="180" t="s">
        <v>79</v>
      </c>
      <c r="BAI34" s="180"/>
      <c r="BAJ34" s="180"/>
      <c r="BAK34" s="180"/>
      <c r="BAL34" s="8"/>
      <c r="BAM34" s="181"/>
      <c r="BAN34" s="8"/>
      <c r="BAO34" s="180" t="s">
        <v>80</v>
      </c>
      <c r="BAP34" s="180"/>
      <c r="BAQ34" s="180"/>
      <c r="BAT34" s="180" t="s">
        <v>79</v>
      </c>
      <c r="BAU34" s="180"/>
      <c r="BAV34" s="180"/>
      <c r="BAW34" s="180"/>
      <c r="BAX34" s="8"/>
      <c r="BAY34" s="181"/>
      <c r="BAZ34" s="8"/>
      <c r="BBA34" s="180" t="s">
        <v>80</v>
      </c>
      <c r="BBB34" s="180"/>
      <c r="BBC34" s="180"/>
      <c r="BBF34" s="180" t="s">
        <v>79</v>
      </c>
      <c r="BBG34" s="180"/>
      <c r="BBH34" s="180"/>
      <c r="BBI34" s="180"/>
      <c r="BBJ34" s="8"/>
      <c r="BBK34" s="181"/>
      <c r="BBL34" s="8"/>
      <c r="BBM34" s="180" t="s">
        <v>80</v>
      </c>
      <c r="BBN34" s="180"/>
      <c r="BBO34" s="180"/>
      <c r="BBR34" s="180" t="s">
        <v>79</v>
      </c>
      <c r="BBS34" s="180"/>
      <c r="BBT34" s="180"/>
      <c r="BBU34" s="180"/>
      <c r="BBV34" s="8"/>
      <c r="BBW34" s="181"/>
      <c r="BBX34" s="8"/>
      <c r="BBY34" s="180" t="s">
        <v>80</v>
      </c>
      <c r="BBZ34" s="180"/>
      <c r="BCA34" s="180"/>
      <c r="BCD34" s="180" t="s">
        <v>79</v>
      </c>
      <c r="BCE34" s="180"/>
      <c r="BCF34" s="180"/>
      <c r="BCG34" s="180"/>
      <c r="BCH34" s="8"/>
      <c r="BCI34" s="181"/>
      <c r="BCJ34" s="8"/>
      <c r="BCK34" s="180" t="s">
        <v>80</v>
      </c>
      <c r="BCL34" s="180"/>
      <c r="BCM34" s="180"/>
      <c r="BCP34" s="180" t="s">
        <v>79</v>
      </c>
      <c r="BCQ34" s="180"/>
      <c r="BCR34" s="180"/>
      <c r="BCS34" s="180"/>
      <c r="BCT34" s="8"/>
      <c r="BCU34" s="181"/>
      <c r="BCV34" s="8"/>
      <c r="BCW34" s="180" t="s">
        <v>80</v>
      </c>
      <c r="BCX34" s="180"/>
      <c r="BCY34" s="180"/>
      <c r="BDB34" s="180" t="s">
        <v>79</v>
      </c>
      <c r="BDC34" s="180"/>
      <c r="BDD34" s="180"/>
      <c r="BDE34" s="180"/>
      <c r="BDF34" s="8"/>
      <c r="BDG34" s="181"/>
      <c r="BDH34" s="8"/>
      <c r="BDI34" s="180" t="s">
        <v>80</v>
      </c>
      <c r="BDJ34" s="180"/>
      <c r="BDK34" s="180"/>
      <c r="BDN34" s="180" t="s">
        <v>79</v>
      </c>
      <c r="BDO34" s="180"/>
      <c r="BDP34" s="180"/>
      <c r="BDQ34" s="180"/>
      <c r="BDR34" s="8"/>
      <c r="BDS34" s="181"/>
      <c r="BDT34" s="8"/>
      <c r="BDU34" s="180" t="s">
        <v>80</v>
      </c>
      <c r="BDV34" s="180"/>
      <c r="BDW34" s="180"/>
      <c r="BDZ34" s="180" t="s">
        <v>79</v>
      </c>
      <c r="BEA34" s="180"/>
      <c r="BEB34" s="180"/>
      <c r="BEC34" s="180"/>
      <c r="BED34" s="8"/>
      <c r="BEE34" s="181"/>
      <c r="BEF34" s="8"/>
      <c r="BEG34" s="180" t="s">
        <v>80</v>
      </c>
      <c r="BEH34" s="180"/>
      <c r="BEI34" s="180"/>
      <c r="BEL34" s="180" t="s">
        <v>79</v>
      </c>
      <c r="BEM34" s="180"/>
      <c r="BEN34" s="180"/>
      <c r="BEO34" s="180"/>
      <c r="BEP34" s="8"/>
      <c r="BEQ34" s="181"/>
      <c r="BER34" s="8"/>
      <c r="BES34" s="180" t="s">
        <v>80</v>
      </c>
      <c r="BET34" s="180"/>
      <c r="BEU34" s="180"/>
      <c r="BEX34" s="180" t="s">
        <v>79</v>
      </c>
      <c r="BEY34" s="180"/>
      <c r="BEZ34" s="180"/>
      <c r="BFA34" s="180"/>
      <c r="BFB34" s="8"/>
      <c r="BFC34" s="181"/>
      <c r="BFD34" s="8"/>
      <c r="BFE34" s="180" t="s">
        <v>80</v>
      </c>
      <c r="BFF34" s="180"/>
      <c r="BFG34" s="180"/>
      <c r="BFJ34" s="180" t="s">
        <v>79</v>
      </c>
      <c r="BFK34" s="180"/>
      <c r="BFL34" s="180"/>
      <c r="BFM34" s="180"/>
      <c r="BFN34" s="8"/>
      <c r="BFO34" s="181"/>
      <c r="BFP34" s="8"/>
      <c r="BFQ34" s="180" t="s">
        <v>80</v>
      </c>
      <c r="BFR34" s="180"/>
      <c r="BFS34" s="180"/>
      <c r="BFV34" s="180" t="s">
        <v>79</v>
      </c>
      <c r="BFW34" s="180"/>
      <c r="BFX34" s="180"/>
      <c r="BFY34" s="180"/>
      <c r="BFZ34" s="8"/>
      <c r="BGA34" s="181"/>
      <c r="BGB34" s="8"/>
      <c r="BGC34" s="180" t="s">
        <v>80</v>
      </c>
      <c r="BGD34" s="180"/>
      <c r="BGE34" s="180"/>
      <c r="BGH34" s="180" t="s">
        <v>79</v>
      </c>
      <c r="BGI34" s="180"/>
      <c r="BGJ34" s="180"/>
      <c r="BGK34" s="180"/>
      <c r="BGL34" s="8"/>
      <c r="BGM34" s="181"/>
      <c r="BGN34" s="8"/>
      <c r="BGO34" s="180" t="s">
        <v>80</v>
      </c>
      <c r="BGP34" s="180"/>
      <c r="BGQ34" s="180"/>
      <c r="BGT34" s="180" t="s">
        <v>79</v>
      </c>
      <c r="BGU34" s="180"/>
      <c r="BGV34" s="180"/>
      <c r="BGW34" s="180"/>
      <c r="BGX34" s="8"/>
      <c r="BGY34" s="181"/>
      <c r="BGZ34" s="8"/>
      <c r="BHA34" s="180" t="s">
        <v>80</v>
      </c>
      <c r="BHB34" s="180"/>
      <c r="BHC34" s="180"/>
      <c r="BHF34" s="180" t="s">
        <v>79</v>
      </c>
      <c r="BHG34" s="180"/>
      <c r="BHH34" s="180"/>
      <c r="BHI34" s="180"/>
      <c r="BHJ34" s="8"/>
      <c r="BHK34" s="181"/>
      <c r="BHL34" s="8"/>
      <c r="BHM34" s="180" t="s">
        <v>80</v>
      </c>
      <c r="BHN34" s="180"/>
      <c r="BHO34" s="180"/>
      <c r="BHR34" s="180" t="s">
        <v>79</v>
      </c>
      <c r="BHS34" s="180"/>
      <c r="BHT34" s="180"/>
      <c r="BHU34" s="180"/>
      <c r="BHV34" s="8"/>
      <c r="BHW34" s="181"/>
      <c r="BHX34" s="8"/>
      <c r="BHY34" s="180" t="s">
        <v>80</v>
      </c>
      <c r="BHZ34" s="180"/>
      <c r="BIA34" s="180"/>
      <c r="BID34" s="180" t="s">
        <v>79</v>
      </c>
      <c r="BIE34" s="180"/>
      <c r="BIF34" s="180"/>
      <c r="BIG34" s="180"/>
      <c r="BIH34" s="8"/>
      <c r="BII34" s="181"/>
      <c r="BIJ34" s="8"/>
      <c r="BIK34" s="180" t="s">
        <v>80</v>
      </c>
      <c r="BIL34" s="180"/>
      <c r="BIM34" s="180"/>
      <c r="BIP34" s="180" t="s">
        <v>79</v>
      </c>
      <c r="BIQ34" s="180"/>
      <c r="BIR34" s="180"/>
      <c r="BIS34" s="180"/>
      <c r="BIT34" s="8"/>
      <c r="BIU34" s="181"/>
      <c r="BIV34" s="8"/>
      <c r="BIW34" s="180" t="s">
        <v>80</v>
      </c>
      <c r="BIX34" s="180"/>
      <c r="BIY34" s="180"/>
      <c r="BJB34" s="180" t="s">
        <v>79</v>
      </c>
      <c r="BJC34" s="180"/>
      <c r="BJD34" s="180"/>
      <c r="BJE34" s="180"/>
      <c r="BJF34" s="8"/>
      <c r="BJG34" s="181"/>
      <c r="BJH34" s="8"/>
      <c r="BJI34" s="180" t="s">
        <v>80</v>
      </c>
      <c r="BJJ34" s="180"/>
      <c r="BJK34" s="180"/>
      <c r="BJN34" s="180" t="s">
        <v>79</v>
      </c>
      <c r="BJO34" s="180"/>
      <c r="BJP34" s="180"/>
      <c r="BJQ34" s="180"/>
      <c r="BJR34" s="8"/>
      <c r="BJS34" s="181"/>
      <c r="BJT34" s="8"/>
      <c r="BJU34" s="180" t="s">
        <v>80</v>
      </c>
      <c r="BJV34" s="180"/>
      <c r="BJW34" s="180"/>
      <c r="BJZ34" s="180" t="s">
        <v>79</v>
      </c>
      <c r="BKA34" s="180"/>
      <c r="BKB34" s="180"/>
      <c r="BKC34" s="180"/>
      <c r="BKD34" s="8"/>
      <c r="BKE34" s="181"/>
      <c r="BKF34" s="8"/>
      <c r="BKG34" s="180" t="s">
        <v>80</v>
      </c>
      <c r="BKH34" s="180"/>
      <c r="BKI34" s="180"/>
      <c r="BKL34" s="180" t="s">
        <v>79</v>
      </c>
      <c r="BKM34" s="180"/>
      <c r="BKN34" s="180"/>
      <c r="BKO34" s="180"/>
      <c r="BKP34" s="8"/>
      <c r="BKQ34" s="181"/>
      <c r="BKR34" s="8"/>
      <c r="BKS34" s="180" t="s">
        <v>80</v>
      </c>
      <c r="BKT34" s="180"/>
      <c r="BKU34" s="180"/>
      <c r="BKX34" s="180" t="s">
        <v>79</v>
      </c>
      <c r="BKY34" s="180"/>
      <c r="BKZ34" s="180"/>
      <c r="BLA34" s="180"/>
      <c r="BLB34" s="8"/>
      <c r="BLC34" s="181"/>
      <c r="BLD34" s="8"/>
      <c r="BLE34" s="180" t="s">
        <v>80</v>
      </c>
      <c r="BLF34" s="180"/>
      <c r="BLG34" s="180"/>
      <c r="BLJ34" s="180" t="s">
        <v>79</v>
      </c>
      <c r="BLK34" s="180"/>
      <c r="BLL34" s="180"/>
      <c r="BLM34" s="180"/>
      <c r="BLN34" s="8"/>
      <c r="BLO34" s="181"/>
      <c r="BLP34" s="8"/>
      <c r="BLQ34" s="180" t="s">
        <v>80</v>
      </c>
      <c r="BLR34" s="180"/>
      <c r="BLS34" s="180"/>
      <c r="BLV34" s="180" t="s">
        <v>79</v>
      </c>
      <c r="BLW34" s="180"/>
      <c r="BLX34" s="180"/>
      <c r="BLY34" s="180"/>
      <c r="BLZ34" s="8"/>
      <c r="BMA34" s="181"/>
      <c r="BMB34" s="8"/>
      <c r="BMC34" s="180" t="s">
        <v>80</v>
      </c>
      <c r="BMD34" s="180"/>
      <c r="BME34" s="180"/>
      <c r="BMH34" s="180" t="s">
        <v>79</v>
      </c>
      <c r="BMI34" s="180"/>
      <c r="BMJ34" s="180"/>
      <c r="BMK34" s="180"/>
      <c r="BML34" s="8"/>
      <c r="BMM34" s="181"/>
      <c r="BMN34" s="8"/>
      <c r="BMO34" s="180" t="s">
        <v>80</v>
      </c>
      <c r="BMP34" s="180"/>
      <c r="BMQ34" s="180"/>
      <c r="BMT34" s="180" t="s">
        <v>79</v>
      </c>
      <c r="BMU34" s="180"/>
      <c r="BMV34" s="180"/>
      <c r="BMW34" s="180"/>
      <c r="BMX34" s="8"/>
      <c r="BMY34" s="181"/>
      <c r="BMZ34" s="8"/>
      <c r="BNA34" s="180" t="s">
        <v>80</v>
      </c>
      <c r="BNB34" s="180"/>
      <c r="BNC34" s="180"/>
      <c r="BNF34" s="180" t="s">
        <v>79</v>
      </c>
      <c r="BNG34" s="180"/>
      <c r="BNH34" s="180"/>
      <c r="BNI34" s="180"/>
      <c r="BNJ34" s="8"/>
      <c r="BNK34" s="181"/>
      <c r="BNL34" s="8"/>
      <c r="BNM34" s="180" t="s">
        <v>80</v>
      </c>
      <c r="BNN34" s="180"/>
      <c r="BNO34" s="180"/>
      <c r="BNR34" s="180" t="s">
        <v>79</v>
      </c>
      <c r="BNS34" s="180"/>
      <c r="BNT34" s="180"/>
      <c r="BNU34" s="180"/>
      <c r="BNV34" s="8"/>
      <c r="BNW34" s="181"/>
      <c r="BNX34" s="8"/>
      <c r="BNY34" s="180" t="s">
        <v>80</v>
      </c>
      <c r="BNZ34" s="180"/>
      <c r="BOA34" s="180"/>
      <c r="BOD34" s="180" t="s">
        <v>79</v>
      </c>
      <c r="BOE34" s="180"/>
      <c r="BOF34" s="180"/>
      <c r="BOG34" s="180"/>
      <c r="BOH34" s="8"/>
      <c r="BOI34" s="181"/>
      <c r="BOJ34" s="8"/>
      <c r="BOK34" s="180" t="s">
        <v>80</v>
      </c>
      <c r="BOL34" s="180"/>
      <c r="BOM34" s="180"/>
      <c r="BOP34" s="180" t="s">
        <v>79</v>
      </c>
      <c r="BOQ34" s="180"/>
      <c r="BOR34" s="180"/>
      <c r="BOS34" s="180"/>
      <c r="BOT34" s="8"/>
      <c r="BOU34" s="181"/>
      <c r="BOV34" s="8"/>
      <c r="BOW34" s="180" t="s">
        <v>80</v>
      </c>
      <c r="BOX34" s="180"/>
      <c r="BOY34" s="180"/>
      <c r="BPB34" s="180" t="s">
        <v>79</v>
      </c>
      <c r="BPC34" s="180"/>
      <c r="BPD34" s="180"/>
      <c r="BPE34" s="180"/>
      <c r="BPF34" s="8"/>
      <c r="BPG34" s="181"/>
      <c r="BPH34" s="8"/>
      <c r="BPI34" s="180" t="s">
        <v>80</v>
      </c>
      <c r="BPJ34" s="180"/>
      <c r="BPK34" s="180"/>
      <c r="BPN34" s="180" t="s">
        <v>79</v>
      </c>
      <c r="BPO34" s="180"/>
      <c r="BPP34" s="180"/>
      <c r="BPQ34" s="180"/>
      <c r="BPR34" s="8"/>
      <c r="BPS34" s="181"/>
      <c r="BPT34" s="8"/>
      <c r="BPU34" s="180" t="s">
        <v>80</v>
      </c>
      <c r="BPV34" s="180"/>
      <c r="BPW34" s="180"/>
      <c r="BPZ34" s="180" t="s">
        <v>79</v>
      </c>
      <c r="BQA34" s="180"/>
      <c r="BQB34" s="180"/>
      <c r="BQC34" s="180"/>
      <c r="BQD34" s="8"/>
      <c r="BQE34" s="181"/>
      <c r="BQF34" s="8"/>
      <c r="BQG34" s="180" t="s">
        <v>80</v>
      </c>
      <c r="BQH34" s="180"/>
      <c r="BQI34" s="180"/>
      <c r="BQL34" s="180" t="s">
        <v>79</v>
      </c>
      <c r="BQM34" s="180"/>
      <c r="BQN34" s="180"/>
      <c r="BQO34" s="180"/>
      <c r="BQP34" s="8"/>
      <c r="BQQ34" s="181"/>
      <c r="BQR34" s="8"/>
      <c r="BQS34" s="180" t="s">
        <v>80</v>
      </c>
      <c r="BQT34" s="180"/>
      <c r="BQU34" s="180"/>
      <c r="BQX34" s="180" t="s">
        <v>79</v>
      </c>
      <c r="BQY34" s="180"/>
      <c r="BQZ34" s="180"/>
      <c r="BRA34" s="180"/>
      <c r="BRB34" s="8"/>
      <c r="BRC34" s="181"/>
      <c r="BRD34" s="8"/>
      <c r="BRE34" s="180" t="s">
        <v>80</v>
      </c>
      <c r="BRF34" s="180"/>
      <c r="BRG34" s="180"/>
      <c r="BRJ34" s="180" t="s">
        <v>79</v>
      </c>
      <c r="BRK34" s="180"/>
      <c r="BRL34" s="180"/>
      <c r="BRM34" s="180"/>
      <c r="BRN34" s="8"/>
      <c r="BRO34" s="181"/>
      <c r="BRP34" s="8"/>
      <c r="BRQ34" s="180" t="s">
        <v>80</v>
      </c>
      <c r="BRR34" s="180"/>
      <c r="BRS34" s="180"/>
      <c r="BRV34" s="180" t="s">
        <v>79</v>
      </c>
      <c r="BRW34" s="180"/>
      <c r="BRX34" s="180"/>
      <c r="BRY34" s="180"/>
      <c r="BRZ34" s="8"/>
      <c r="BSA34" s="181"/>
      <c r="BSB34" s="8"/>
      <c r="BSC34" s="180" t="s">
        <v>80</v>
      </c>
      <c r="BSD34" s="180"/>
      <c r="BSE34" s="180"/>
      <c r="BSH34" s="180" t="s">
        <v>79</v>
      </c>
      <c r="BSI34" s="180"/>
      <c r="BSJ34" s="180"/>
      <c r="BSK34" s="180"/>
      <c r="BSL34" s="8"/>
      <c r="BSM34" s="181"/>
      <c r="BSN34" s="8"/>
      <c r="BSO34" s="180" t="s">
        <v>80</v>
      </c>
      <c r="BSP34" s="180"/>
      <c r="BSQ34" s="180"/>
      <c r="BST34" s="180" t="s">
        <v>79</v>
      </c>
      <c r="BSU34" s="180"/>
      <c r="BSV34" s="180"/>
      <c r="BSW34" s="180"/>
      <c r="BSX34" s="8"/>
      <c r="BSY34" s="181"/>
      <c r="BSZ34" s="8"/>
      <c r="BTA34" s="180" t="s">
        <v>80</v>
      </c>
      <c r="BTB34" s="180"/>
      <c r="BTC34" s="180"/>
      <c r="BTF34" s="180" t="s">
        <v>79</v>
      </c>
      <c r="BTG34" s="180"/>
      <c r="BTH34" s="180"/>
      <c r="BTI34" s="180"/>
      <c r="BTJ34" s="8"/>
      <c r="BTK34" s="181"/>
      <c r="BTL34" s="8"/>
      <c r="BTM34" s="180" t="s">
        <v>80</v>
      </c>
      <c r="BTN34" s="180"/>
      <c r="BTO34" s="180"/>
      <c r="BTR34" s="180" t="s">
        <v>79</v>
      </c>
      <c r="BTS34" s="180"/>
      <c r="BTT34" s="180"/>
      <c r="BTU34" s="180"/>
      <c r="BTV34" s="8"/>
      <c r="BTW34" s="181"/>
      <c r="BTX34" s="8"/>
      <c r="BTY34" s="180" t="s">
        <v>80</v>
      </c>
      <c r="BTZ34" s="180"/>
      <c r="BUA34" s="180"/>
      <c r="BUD34" s="180" t="s">
        <v>79</v>
      </c>
      <c r="BUE34" s="180"/>
      <c r="BUF34" s="180"/>
      <c r="BUG34" s="180"/>
      <c r="BUH34" s="8"/>
      <c r="BUI34" s="181"/>
      <c r="BUJ34" s="8"/>
      <c r="BUK34" s="180" t="s">
        <v>80</v>
      </c>
      <c r="BUL34" s="180"/>
      <c r="BUM34" s="180"/>
      <c r="BUP34" s="180" t="s">
        <v>79</v>
      </c>
      <c r="BUQ34" s="180"/>
      <c r="BUR34" s="180"/>
      <c r="BUS34" s="180"/>
      <c r="BUT34" s="8"/>
      <c r="BUU34" s="181"/>
      <c r="BUV34" s="8"/>
      <c r="BUW34" s="180" t="s">
        <v>80</v>
      </c>
      <c r="BUX34" s="180"/>
      <c r="BUY34" s="180"/>
      <c r="BVB34" s="180" t="s">
        <v>79</v>
      </c>
      <c r="BVC34" s="180"/>
      <c r="BVD34" s="180"/>
      <c r="BVE34" s="180"/>
      <c r="BVF34" s="8"/>
      <c r="BVG34" s="181"/>
      <c r="BVH34" s="8"/>
      <c r="BVI34" s="180" t="s">
        <v>80</v>
      </c>
      <c r="BVJ34" s="180"/>
      <c r="BVK34" s="180"/>
      <c r="BVN34" s="180" t="s">
        <v>79</v>
      </c>
      <c r="BVO34" s="180"/>
      <c r="BVP34" s="180"/>
      <c r="BVQ34" s="180"/>
      <c r="BVR34" s="8"/>
      <c r="BVS34" s="181"/>
      <c r="BVT34" s="8"/>
      <c r="BVU34" s="180" t="s">
        <v>80</v>
      </c>
      <c r="BVV34" s="180"/>
      <c r="BVW34" s="180"/>
      <c r="BVZ34" s="180" t="s">
        <v>79</v>
      </c>
      <c r="BWA34" s="180"/>
      <c r="BWB34" s="180"/>
      <c r="BWC34" s="180"/>
      <c r="BWD34" s="8"/>
      <c r="BWE34" s="181"/>
      <c r="BWF34" s="8"/>
      <c r="BWG34" s="180" t="s">
        <v>80</v>
      </c>
      <c r="BWH34" s="180"/>
      <c r="BWI34" s="180"/>
      <c r="BWL34" s="180" t="s">
        <v>79</v>
      </c>
      <c r="BWM34" s="180"/>
      <c r="BWN34" s="180"/>
      <c r="BWO34" s="180"/>
      <c r="BWP34" s="8"/>
      <c r="BWQ34" s="181"/>
      <c r="BWR34" s="8"/>
      <c r="BWS34" s="180" t="s">
        <v>80</v>
      </c>
      <c r="BWT34" s="180"/>
      <c r="BWU34" s="180"/>
      <c r="BWX34" s="180" t="s">
        <v>79</v>
      </c>
      <c r="BWY34" s="180"/>
      <c r="BWZ34" s="180"/>
      <c r="BXA34" s="180"/>
      <c r="BXB34" s="8"/>
      <c r="BXC34" s="181"/>
      <c r="BXD34" s="8"/>
      <c r="BXE34" s="180" t="s">
        <v>80</v>
      </c>
      <c r="BXF34" s="180"/>
      <c r="BXG34" s="180"/>
      <c r="BXJ34" s="180" t="s">
        <v>79</v>
      </c>
      <c r="BXK34" s="180"/>
      <c r="BXL34" s="180"/>
      <c r="BXM34" s="180"/>
      <c r="BXN34" s="8"/>
      <c r="BXO34" s="181"/>
      <c r="BXP34" s="8"/>
      <c r="BXQ34" s="180" t="s">
        <v>80</v>
      </c>
      <c r="BXR34" s="180"/>
      <c r="BXS34" s="180"/>
      <c r="BXV34" s="180" t="s">
        <v>79</v>
      </c>
      <c r="BXW34" s="180"/>
      <c r="BXX34" s="180"/>
      <c r="BXY34" s="180"/>
      <c r="BXZ34" s="8"/>
      <c r="BYA34" s="181"/>
      <c r="BYB34" s="8"/>
      <c r="BYC34" s="180" t="s">
        <v>80</v>
      </c>
      <c r="BYD34" s="180"/>
      <c r="BYE34" s="180"/>
      <c r="BYH34" s="180" t="s">
        <v>79</v>
      </c>
      <c r="BYI34" s="180"/>
      <c r="BYJ34" s="180"/>
      <c r="BYK34" s="180"/>
      <c r="BYL34" s="8"/>
      <c r="BYM34" s="181"/>
      <c r="BYN34" s="8"/>
      <c r="BYO34" s="180" t="s">
        <v>80</v>
      </c>
      <c r="BYP34" s="180"/>
      <c r="BYQ34" s="180"/>
      <c r="BYT34" s="180" t="s">
        <v>79</v>
      </c>
      <c r="BYU34" s="180"/>
      <c r="BYV34" s="180"/>
      <c r="BYW34" s="180"/>
      <c r="BYX34" s="8"/>
      <c r="BYY34" s="181"/>
      <c r="BYZ34" s="8"/>
      <c r="BZA34" s="180" t="s">
        <v>80</v>
      </c>
      <c r="BZB34" s="180"/>
      <c r="BZC34" s="180"/>
      <c r="BZF34" s="180" t="s">
        <v>79</v>
      </c>
      <c r="BZG34" s="180"/>
      <c r="BZH34" s="180"/>
      <c r="BZI34" s="180"/>
      <c r="BZJ34" s="8"/>
      <c r="BZK34" s="181"/>
      <c r="BZL34" s="8"/>
      <c r="BZM34" s="180" t="s">
        <v>80</v>
      </c>
      <c r="BZN34" s="180"/>
      <c r="BZO34" s="180"/>
      <c r="BZR34" s="180" t="s">
        <v>79</v>
      </c>
      <c r="BZS34" s="180"/>
      <c r="BZT34" s="180"/>
      <c r="BZU34" s="180"/>
      <c r="BZV34" s="8"/>
      <c r="BZW34" s="181"/>
      <c r="BZX34" s="8"/>
      <c r="BZY34" s="180" t="s">
        <v>80</v>
      </c>
      <c r="BZZ34" s="180"/>
      <c r="CAA34" s="180"/>
      <c r="CAD34" s="180" t="s">
        <v>79</v>
      </c>
      <c r="CAE34" s="180"/>
      <c r="CAF34" s="180"/>
      <c r="CAG34" s="180"/>
      <c r="CAH34" s="8"/>
      <c r="CAI34" s="181"/>
      <c r="CAJ34" s="8"/>
      <c r="CAK34" s="180" t="s">
        <v>80</v>
      </c>
      <c r="CAL34" s="180"/>
      <c r="CAM34" s="180"/>
      <c r="CAP34" s="180" t="s">
        <v>79</v>
      </c>
      <c r="CAQ34" s="180"/>
      <c r="CAR34" s="180"/>
      <c r="CAS34" s="180"/>
      <c r="CAT34" s="8"/>
      <c r="CAU34" s="181"/>
      <c r="CAV34" s="8"/>
      <c r="CAW34" s="180" t="s">
        <v>80</v>
      </c>
      <c r="CAX34" s="180"/>
      <c r="CAY34" s="180"/>
      <c r="CBB34" s="180" t="s">
        <v>79</v>
      </c>
      <c r="CBC34" s="180"/>
      <c r="CBD34" s="180"/>
      <c r="CBE34" s="180"/>
      <c r="CBF34" s="8"/>
      <c r="CBG34" s="181"/>
      <c r="CBH34" s="8"/>
      <c r="CBI34" s="180" t="s">
        <v>80</v>
      </c>
      <c r="CBJ34" s="180"/>
      <c r="CBK34" s="180"/>
      <c r="CBN34" s="180" t="s">
        <v>79</v>
      </c>
      <c r="CBO34" s="180"/>
      <c r="CBP34" s="180"/>
      <c r="CBQ34" s="180"/>
      <c r="CBR34" s="8"/>
      <c r="CBS34" s="181"/>
      <c r="CBT34" s="8"/>
      <c r="CBU34" s="180" t="s">
        <v>80</v>
      </c>
      <c r="CBV34" s="180"/>
      <c r="CBW34" s="180"/>
      <c r="CBZ34" s="180" t="s">
        <v>79</v>
      </c>
      <c r="CCA34" s="180"/>
      <c r="CCB34" s="180"/>
      <c r="CCC34" s="180"/>
      <c r="CCD34" s="8"/>
      <c r="CCE34" s="181"/>
      <c r="CCF34" s="8"/>
      <c r="CCG34" s="180" t="s">
        <v>80</v>
      </c>
      <c r="CCH34" s="180"/>
      <c r="CCI34" s="180"/>
      <c r="CCL34" s="180" t="s">
        <v>79</v>
      </c>
      <c r="CCM34" s="180"/>
      <c r="CCN34" s="180"/>
      <c r="CCO34" s="180"/>
      <c r="CCP34" s="8"/>
      <c r="CCQ34" s="181"/>
      <c r="CCR34" s="8"/>
      <c r="CCS34" s="180" t="s">
        <v>80</v>
      </c>
      <c r="CCT34" s="180"/>
      <c r="CCU34" s="180"/>
      <c r="CCX34" s="180" t="s">
        <v>79</v>
      </c>
      <c r="CCY34" s="180"/>
      <c r="CCZ34" s="180"/>
      <c r="CDA34" s="180"/>
      <c r="CDB34" s="8"/>
      <c r="CDC34" s="181"/>
      <c r="CDD34" s="8"/>
      <c r="CDE34" s="180" t="s">
        <v>80</v>
      </c>
      <c r="CDF34" s="180"/>
      <c r="CDG34" s="180"/>
      <c r="CDJ34" s="180" t="s">
        <v>79</v>
      </c>
      <c r="CDK34" s="180"/>
      <c r="CDL34" s="180"/>
      <c r="CDM34" s="180"/>
      <c r="CDN34" s="8"/>
      <c r="CDO34" s="181"/>
      <c r="CDP34" s="8"/>
      <c r="CDQ34" s="180" t="s">
        <v>80</v>
      </c>
      <c r="CDR34" s="180"/>
      <c r="CDS34" s="180"/>
      <c r="CDV34" s="180" t="s">
        <v>79</v>
      </c>
      <c r="CDW34" s="180"/>
      <c r="CDX34" s="180"/>
      <c r="CDY34" s="180"/>
      <c r="CDZ34" s="8"/>
      <c r="CEA34" s="181"/>
      <c r="CEB34" s="8"/>
      <c r="CEC34" s="180" t="s">
        <v>80</v>
      </c>
      <c r="CED34" s="180"/>
      <c r="CEE34" s="180"/>
      <c r="CEH34" s="180" t="s">
        <v>79</v>
      </c>
      <c r="CEI34" s="180"/>
      <c r="CEJ34" s="180"/>
      <c r="CEK34" s="180"/>
      <c r="CEL34" s="8"/>
      <c r="CEM34" s="181"/>
      <c r="CEN34" s="8"/>
      <c r="CEO34" s="180" t="s">
        <v>80</v>
      </c>
      <c r="CEP34" s="180"/>
      <c r="CEQ34" s="180"/>
      <c r="CET34" s="180" t="s">
        <v>79</v>
      </c>
      <c r="CEU34" s="180"/>
      <c r="CEV34" s="180"/>
      <c r="CEW34" s="180"/>
      <c r="CEX34" s="8"/>
      <c r="CEY34" s="181"/>
      <c r="CEZ34" s="8"/>
      <c r="CFA34" s="180" t="s">
        <v>80</v>
      </c>
      <c r="CFB34" s="180"/>
      <c r="CFC34" s="180"/>
      <c r="CFF34" s="180" t="s">
        <v>79</v>
      </c>
      <c r="CFG34" s="180"/>
      <c r="CFH34" s="180"/>
      <c r="CFI34" s="180"/>
      <c r="CFJ34" s="8"/>
      <c r="CFK34" s="181"/>
      <c r="CFL34" s="8"/>
      <c r="CFM34" s="180" t="s">
        <v>80</v>
      </c>
      <c r="CFN34" s="180"/>
      <c r="CFO34" s="180"/>
      <c r="CFR34" s="180" t="s">
        <v>79</v>
      </c>
      <c r="CFS34" s="180"/>
      <c r="CFT34" s="180"/>
      <c r="CFU34" s="180"/>
      <c r="CFV34" s="8"/>
      <c r="CFW34" s="181"/>
      <c r="CFX34" s="8"/>
      <c r="CFY34" s="180" t="s">
        <v>80</v>
      </c>
      <c r="CFZ34" s="180"/>
      <c r="CGA34" s="180"/>
      <c r="CGD34" s="180" t="s">
        <v>79</v>
      </c>
      <c r="CGE34" s="180"/>
      <c r="CGF34" s="180"/>
      <c r="CGG34" s="180"/>
      <c r="CGH34" s="8"/>
      <c r="CGI34" s="181"/>
      <c r="CGJ34" s="8"/>
      <c r="CGK34" s="180" t="s">
        <v>80</v>
      </c>
      <c r="CGL34" s="180"/>
      <c r="CGM34" s="180"/>
      <c r="CGP34" s="180" t="s">
        <v>79</v>
      </c>
      <c r="CGQ34" s="180"/>
      <c r="CGR34" s="180"/>
      <c r="CGS34" s="180"/>
      <c r="CGT34" s="8"/>
      <c r="CGU34" s="181"/>
      <c r="CGV34" s="8"/>
      <c r="CGW34" s="180" t="s">
        <v>80</v>
      </c>
      <c r="CGX34" s="180"/>
      <c r="CGY34" s="180"/>
      <c r="CHB34" s="180" t="s">
        <v>79</v>
      </c>
      <c r="CHC34" s="180"/>
      <c r="CHD34" s="180"/>
      <c r="CHE34" s="180"/>
      <c r="CHF34" s="8"/>
      <c r="CHG34" s="181"/>
      <c r="CHH34" s="8"/>
      <c r="CHI34" s="180" t="s">
        <v>80</v>
      </c>
      <c r="CHJ34" s="180"/>
      <c r="CHK34" s="180"/>
      <c r="CHN34" s="180" t="s">
        <v>79</v>
      </c>
      <c r="CHO34" s="180"/>
      <c r="CHP34" s="180"/>
      <c r="CHQ34" s="180"/>
      <c r="CHR34" s="8"/>
      <c r="CHS34" s="181"/>
      <c r="CHT34" s="8"/>
      <c r="CHU34" s="180" t="s">
        <v>80</v>
      </c>
      <c r="CHV34" s="180"/>
      <c r="CHW34" s="180"/>
      <c r="CHZ34" s="180" t="s">
        <v>79</v>
      </c>
      <c r="CIA34" s="180"/>
      <c r="CIB34" s="180"/>
      <c r="CIC34" s="180"/>
      <c r="CID34" s="8"/>
      <c r="CIE34" s="181"/>
      <c r="CIF34" s="8"/>
      <c r="CIG34" s="180" t="s">
        <v>80</v>
      </c>
      <c r="CIH34" s="180"/>
      <c r="CII34" s="180"/>
      <c r="CIL34" s="180" t="s">
        <v>79</v>
      </c>
      <c r="CIM34" s="180"/>
      <c r="CIN34" s="180"/>
      <c r="CIO34" s="180"/>
      <c r="CIP34" s="8"/>
      <c r="CIQ34" s="181"/>
      <c r="CIR34" s="8"/>
      <c r="CIS34" s="180" t="s">
        <v>80</v>
      </c>
      <c r="CIT34" s="180"/>
      <c r="CIU34" s="180"/>
      <c r="CIX34" s="180" t="s">
        <v>79</v>
      </c>
      <c r="CIY34" s="180"/>
      <c r="CIZ34" s="180"/>
      <c r="CJA34" s="180"/>
      <c r="CJB34" s="8"/>
      <c r="CJC34" s="181"/>
      <c r="CJD34" s="8"/>
      <c r="CJE34" s="180" t="s">
        <v>80</v>
      </c>
      <c r="CJF34" s="180"/>
      <c r="CJG34" s="180"/>
      <c r="CJJ34" s="180" t="s">
        <v>79</v>
      </c>
      <c r="CJK34" s="180"/>
      <c r="CJL34" s="180"/>
      <c r="CJM34" s="180"/>
      <c r="CJN34" s="8"/>
      <c r="CJO34" s="181"/>
      <c r="CJP34" s="8"/>
      <c r="CJQ34" s="180" t="s">
        <v>80</v>
      </c>
      <c r="CJR34" s="180"/>
      <c r="CJS34" s="180"/>
      <c r="CJV34" s="180" t="s">
        <v>79</v>
      </c>
      <c r="CJW34" s="180"/>
      <c r="CJX34" s="180"/>
      <c r="CJY34" s="180"/>
      <c r="CJZ34" s="8"/>
      <c r="CKA34" s="181"/>
      <c r="CKB34" s="8"/>
      <c r="CKC34" s="180" t="s">
        <v>80</v>
      </c>
      <c r="CKD34" s="180"/>
      <c r="CKE34" s="180"/>
      <c r="CKH34" s="180" t="s">
        <v>79</v>
      </c>
      <c r="CKI34" s="180"/>
      <c r="CKJ34" s="180"/>
      <c r="CKK34" s="180"/>
      <c r="CKL34" s="8"/>
      <c r="CKM34" s="181"/>
      <c r="CKN34" s="8"/>
      <c r="CKO34" s="180" t="s">
        <v>80</v>
      </c>
      <c r="CKP34" s="180"/>
      <c r="CKQ34" s="180"/>
      <c r="CKT34" s="180" t="s">
        <v>79</v>
      </c>
      <c r="CKU34" s="180"/>
      <c r="CKV34" s="180"/>
      <c r="CKW34" s="180"/>
      <c r="CKX34" s="8"/>
      <c r="CKY34" s="181"/>
      <c r="CKZ34" s="8"/>
      <c r="CLA34" s="180" t="s">
        <v>80</v>
      </c>
      <c r="CLB34" s="180"/>
      <c r="CLC34" s="180"/>
      <c r="CLF34" s="180" t="s">
        <v>79</v>
      </c>
      <c r="CLG34" s="180"/>
      <c r="CLH34" s="180"/>
      <c r="CLI34" s="180"/>
      <c r="CLJ34" s="8"/>
      <c r="CLK34" s="181"/>
      <c r="CLL34" s="8"/>
      <c r="CLM34" s="180" t="s">
        <v>80</v>
      </c>
      <c r="CLN34" s="180"/>
      <c r="CLO34" s="180"/>
      <c r="CLR34" s="180" t="s">
        <v>79</v>
      </c>
      <c r="CLS34" s="180"/>
      <c r="CLT34" s="180"/>
      <c r="CLU34" s="180"/>
      <c r="CLV34" s="8"/>
      <c r="CLW34" s="181"/>
      <c r="CLX34" s="8"/>
      <c r="CLY34" s="180" t="s">
        <v>80</v>
      </c>
      <c r="CLZ34" s="180"/>
      <c r="CMA34" s="180"/>
      <c r="CMD34" s="180" t="s">
        <v>79</v>
      </c>
      <c r="CME34" s="180"/>
      <c r="CMF34" s="180"/>
      <c r="CMG34" s="180"/>
      <c r="CMH34" s="8"/>
      <c r="CMI34" s="181"/>
      <c r="CMJ34" s="8"/>
      <c r="CMK34" s="180" t="s">
        <v>80</v>
      </c>
      <c r="CML34" s="180"/>
      <c r="CMM34" s="180"/>
      <c r="CMP34" s="180" t="s">
        <v>79</v>
      </c>
      <c r="CMQ34" s="180"/>
      <c r="CMR34" s="180"/>
      <c r="CMS34" s="180"/>
      <c r="CMT34" s="8"/>
      <c r="CMU34" s="181"/>
      <c r="CMV34" s="8"/>
      <c r="CMW34" s="180" t="s">
        <v>80</v>
      </c>
      <c r="CMX34" s="180"/>
      <c r="CMY34" s="180"/>
      <c r="CNB34" s="180" t="s">
        <v>79</v>
      </c>
      <c r="CNC34" s="180"/>
      <c r="CND34" s="180"/>
      <c r="CNE34" s="180"/>
      <c r="CNF34" s="8"/>
      <c r="CNG34" s="181"/>
      <c r="CNH34" s="8"/>
      <c r="CNI34" s="180" t="s">
        <v>80</v>
      </c>
      <c r="CNJ34" s="180"/>
      <c r="CNK34" s="180"/>
      <c r="CNN34" s="180" t="s">
        <v>79</v>
      </c>
      <c r="CNO34" s="180"/>
      <c r="CNP34" s="180"/>
      <c r="CNQ34" s="180"/>
      <c r="CNR34" s="8"/>
      <c r="CNS34" s="181"/>
      <c r="CNT34" s="8"/>
      <c r="CNU34" s="180" t="s">
        <v>80</v>
      </c>
      <c r="CNV34" s="180"/>
      <c r="CNW34" s="180"/>
      <c r="CNZ34" s="180" t="s">
        <v>79</v>
      </c>
      <c r="COA34" s="180"/>
      <c r="COB34" s="180"/>
      <c r="COC34" s="180"/>
      <c r="COD34" s="8"/>
      <c r="COE34" s="181"/>
      <c r="COF34" s="8"/>
      <c r="COG34" s="180" t="s">
        <v>80</v>
      </c>
      <c r="COH34" s="180"/>
      <c r="COI34" s="180"/>
      <c r="COL34" s="180" t="s">
        <v>79</v>
      </c>
      <c r="COM34" s="180"/>
      <c r="CON34" s="180"/>
      <c r="COO34" s="180"/>
      <c r="COP34" s="8"/>
      <c r="COQ34" s="181"/>
      <c r="COR34" s="8"/>
      <c r="COS34" s="180" t="s">
        <v>80</v>
      </c>
      <c r="COT34" s="180"/>
      <c r="COU34" s="180"/>
      <c r="COX34" s="180" t="s">
        <v>79</v>
      </c>
      <c r="COY34" s="180"/>
      <c r="COZ34" s="180"/>
      <c r="CPA34" s="180"/>
      <c r="CPB34" s="8"/>
      <c r="CPC34" s="181"/>
      <c r="CPD34" s="8"/>
      <c r="CPE34" s="180" t="s">
        <v>80</v>
      </c>
      <c r="CPF34" s="180"/>
      <c r="CPG34" s="180"/>
      <c r="CPJ34" s="180" t="s">
        <v>79</v>
      </c>
      <c r="CPK34" s="180"/>
      <c r="CPL34" s="180"/>
      <c r="CPM34" s="180"/>
      <c r="CPN34" s="8"/>
      <c r="CPO34" s="181"/>
      <c r="CPP34" s="8"/>
      <c r="CPQ34" s="180" t="s">
        <v>80</v>
      </c>
      <c r="CPR34" s="180"/>
      <c r="CPS34" s="180"/>
      <c r="CPV34" s="180" t="s">
        <v>79</v>
      </c>
      <c r="CPW34" s="180"/>
      <c r="CPX34" s="180"/>
      <c r="CPY34" s="180"/>
      <c r="CPZ34" s="8"/>
      <c r="CQA34" s="181"/>
      <c r="CQB34" s="8"/>
      <c r="CQC34" s="180" t="s">
        <v>80</v>
      </c>
      <c r="CQD34" s="180"/>
      <c r="CQE34" s="180"/>
      <c r="CQH34" s="180" t="s">
        <v>79</v>
      </c>
      <c r="CQI34" s="180"/>
      <c r="CQJ34" s="180"/>
      <c r="CQK34" s="180"/>
      <c r="CQL34" s="8"/>
      <c r="CQM34" s="181"/>
      <c r="CQN34" s="8"/>
      <c r="CQO34" s="180" t="s">
        <v>80</v>
      </c>
      <c r="CQP34" s="180"/>
      <c r="CQQ34" s="180"/>
      <c r="CQT34" s="180" t="s">
        <v>79</v>
      </c>
      <c r="CQU34" s="180"/>
      <c r="CQV34" s="180"/>
      <c r="CQW34" s="180"/>
      <c r="CQX34" s="8"/>
      <c r="CQY34" s="181"/>
      <c r="CQZ34" s="8"/>
      <c r="CRA34" s="180" t="s">
        <v>80</v>
      </c>
      <c r="CRB34" s="180"/>
      <c r="CRC34" s="180"/>
      <c r="CRF34" s="180" t="s">
        <v>79</v>
      </c>
      <c r="CRG34" s="180"/>
      <c r="CRH34" s="180"/>
      <c r="CRI34" s="180"/>
      <c r="CRJ34" s="8"/>
      <c r="CRK34" s="181"/>
      <c r="CRL34" s="8"/>
      <c r="CRM34" s="180" t="s">
        <v>80</v>
      </c>
      <c r="CRN34" s="180"/>
      <c r="CRO34" s="180"/>
      <c r="CRR34" s="180" t="s">
        <v>79</v>
      </c>
      <c r="CRS34" s="180"/>
      <c r="CRT34" s="180"/>
      <c r="CRU34" s="180"/>
      <c r="CRV34" s="8"/>
      <c r="CRW34" s="181"/>
      <c r="CRX34" s="8"/>
      <c r="CRY34" s="180" t="s">
        <v>80</v>
      </c>
      <c r="CRZ34" s="180"/>
      <c r="CSA34" s="180"/>
      <c r="CSD34" s="180" t="s">
        <v>79</v>
      </c>
      <c r="CSE34" s="180"/>
      <c r="CSF34" s="180"/>
      <c r="CSG34" s="180"/>
      <c r="CSH34" s="8"/>
      <c r="CSI34" s="181"/>
      <c r="CSJ34" s="8"/>
      <c r="CSK34" s="180" t="s">
        <v>80</v>
      </c>
      <c r="CSL34" s="180"/>
      <c r="CSM34" s="180"/>
      <c r="CSP34" s="180" t="s">
        <v>79</v>
      </c>
      <c r="CSQ34" s="180"/>
      <c r="CSR34" s="180"/>
      <c r="CSS34" s="180"/>
      <c r="CST34" s="8"/>
      <c r="CSU34" s="181"/>
      <c r="CSV34" s="8"/>
      <c r="CSW34" s="180" t="s">
        <v>80</v>
      </c>
      <c r="CSX34" s="180"/>
      <c r="CSY34" s="180"/>
      <c r="CTB34" s="180" t="s">
        <v>79</v>
      </c>
      <c r="CTC34" s="180"/>
      <c r="CTD34" s="180"/>
      <c r="CTE34" s="180"/>
      <c r="CTF34" s="8"/>
      <c r="CTG34" s="181"/>
      <c r="CTH34" s="8"/>
      <c r="CTI34" s="180" t="s">
        <v>80</v>
      </c>
      <c r="CTJ34" s="180"/>
      <c r="CTK34" s="180"/>
      <c r="CTN34" s="180" t="s">
        <v>79</v>
      </c>
      <c r="CTO34" s="180"/>
      <c r="CTP34" s="180"/>
      <c r="CTQ34" s="180"/>
      <c r="CTR34" s="8"/>
      <c r="CTS34" s="181"/>
      <c r="CTT34" s="8"/>
      <c r="CTU34" s="180" t="s">
        <v>80</v>
      </c>
      <c r="CTV34" s="180"/>
      <c r="CTW34" s="180"/>
      <c r="CTZ34" s="180" t="s">
        <v>79</v>
      </c>
      <c r="CUA34" s="180"/>
      <c r="CUB34" s="180"/>
      <c r="CUC34" s="180"/>
      <c r="CUD34" s="8"/>
      <c r="CUE34" s="181"/>
      <c r="CUF34" s="8"/>
      <c r="CUG34" s="180" t="s">
        <v>80</v>
      </c>
      <c r="CUH34" s="180"/>
      <c r="CUI34" s="180"/>
      <c r="CUL34" s="180" t="s">
        <v>79</v>
      </c>
      <c r="CUM34" s="180"/>
      <c r="CUN34" s="180"/>
      <c r="CUO34" s="180"/>
      <c r="CUP34" s="8"/>
      <c r="CUQ34" s="181"/>
      <c r="CUR34" s="8"/>
      <c r="CUS34" s="180" t="s">
        <v>80</v>
      </c>
      <c r="CUT34" s="180"/>
      <c r="CUU34" s="180"/>
      <c r="CUX34" s="180" t="s">
        <v>79</v>
      </c>
      <c r="CUY34" s="180"/>
      <c r="CUZ34" s="180"/>
      <c r="CVA34" s="180"/>
      <c r="CVB34" s="8"/>
      <c r="CVC34" s="181"/>
      <c r="CVD34" s="8"/>
      <c r="CVE34" s="180" t="s">
        <v>80</v>
      </c>
      <c r="CVF34" s="180"/>
      <c r="CVG34" s="180"/>
      <c r="CVJ34" s="180" t="s">
        <v>79</v>
      </c>
      <c r="CVK34" s="180"/>
      <c r="CVL34" s="180"/>
      <c r="CVM34" s="180"/>
      <c r="CVN34" s="8"/>
      <c r="CVO34" s="181"/>
      <c r="CVP34" s="8"/>
      <c r="CVQ34" s="180" t="s">
        <v>80</v>
      </c>
      <c r="CVR34" s="180"/>
      <c r="CVS34" s="180"/>
      <c r="CVV34" s="180" t="s">
        <v>79</v>
      </c>
      <c r="CVW34" s="180"/>
      <c r="CVX34" s="180"/>
      <c r="CVY34" s="180"/>
      <c r="CVZ34" s="8"/>
      <c r="CWA34" s="181"/>
      <c r="CWB34" s="8"/>
      <c r="CWC34" s="180" t="s">
        <v>80</v>
      </c>
      <c r="CWD34" s="180"/>
      <c r="CWE34" s="180"/>
    </row>
    <row r="35" spans="2:1023 1026:2631" ht="6" customHeight="1" x14ac:dyDescent="0.25">
      <c r="B35" s="182"/>
      <c r="C35" s="183"/>
      <c r="D35" s="183"/>
      <c r="E35" s="183"/>
      <c r="F35" s="183"/>
      <c r="G35" s="183"/>
      <c r="H35" s="183"/>
      <c r="I35" s="183"/>
      <c r="J35" s="183"/>
      <c r="K35" s="183"/>
      <c r="L35" s="184"/>
      <c r="P35" s="182"/>
      <c r="Q35" s="183"/>
      <c r="R35" s="183"/>
      <c r="S35" s="183"/>
      <c r="T35" s="183"/>
      <c r="U35" s="183"/>
      <c r="V35" s="183"/>
      <c r="W35" s="183"/>
      <c r="X35" s="183"/>
      <c r="Y35" s="183"/>
      <c r="Z35" s="184"/>
      <c r="AD35" s="182"/>
      <c r="AE35" s="183"/>
      <c r="AF35" s="183"/>
      <c r="AG35" s="183"/>
      <c r="AH35" s="183"/>
      <c r="AI35" s="183"/>
      <c r="AJ35" s="183"/>
      <c r="AK35" s="183"/>
      <c r="AL35" s="183"/>
      <c r="AM35" s="183"/>
      <c r="AN35" s="184"/>
      <c r="AR35" s="182"/>
      <c r="AS35" s="183"/>
      <c r="AT35" s="183"/>
      <c r="AU35" s="183"/>
      <c r="AV35" s="183"/>
      <c r="AW35" s="183"/>
      <c r="AX35" s="183"/>
      <c r="AY35" s="183"/>
      <c r="AZ35" s="183"/>
      <c r="BA35" s="183"/>
      <c r="BB35" s="184"/>
      <c r="BF35" s="182"/>
      <c r="BG35" s="183"/>
      <c r="BH35" s="183"/>
      <c r="BI35" s="183"/>
      <c r="BJ35" s="183"/>
      <c r="BK35" s="183"/>
      <c r="BL35" s="183"/>
      <c r="BM35" s="183"/>
      <c r="BN35" s="183"/>
      <c r="BO35" s="183"/>
      <c r="BP35" s="184"/>
      <c r="BT35" s="182"/>
      <c r="BU35" s="183"/>
      <c r="BV35" s="183"/>
      <c r="BW35" s="183"/>
      <c r="BX35" s="183"/>
      <c r="BY35" s="183"/>
      <c r="BZ35" s="183"/>
      <c r="CA35" s="183"/>
      <c r="CB35" s="183"/>
      <c r="CC35" s="183"/>
      <c r="CD35" s="184"/>
      <c r="CH35" s="182"/>
      <c r="CI35" s="183"/>
      <c r="CJ35" s="183"/>
      <c r="CK35" s="183"/>
      <c r="CL35" s="183"/>
      <c r="CM35" s="183"/>
      <c r="CN35" s="183"/>
      <c r="CO35" s="183"/>
      <c r="CP35" s="183"/>
      <c r="CQ35" s="183"/>
      <c r="CR35" s="184"/>
      <c r="CV35" s="182"/>
      <c r="CW35" s="183"/>
      <c r="CX35" s="183"/>
      <c r="CY35" s="183"/>
      <c r="CZ35" s="183"/>
      <c r="DA35" s="183"/>
      <c r="DB35" s="183"/>
      <c r="DC35" s="183"/>
      <c r="DD35" s="183"/>
      <c r="DE35" s="183"/>
      <c r="DF35" s="184"/>
      <c r="DJ35" s="182"/>
      <c r="DK35" s="183"/>
      <c r="DL35" s="183"/>
      <c r="DM35" s="183"/>
      <c r="DN35" s="183"/>
      <c r="DO35" s="183"/>
      <c r="DP35" s="183"/>
      <c r="DQ35" s="183"/>
      <c r="DR35" s="183"/>
      <c r="DS35" s="183"/>
      <c r="DT35" s="184"/>
      <c r="DX35" s="182"/>
      <c r="DY35" s="183"/>
      <c r="DZ35" s="183"/>
      <c r="EA35" s="183"/>
      <c r="EB35" s="183"/>
      <c r="EC35" s="183"/>
      <c r="ED35" s="183"/>
      <c r="EE35" s="183"/>
      <c r="EF35" s="183"/>
      <c r="EG35" s="183"/>
      <c r="EH35" s="184"/>
      <c r="EL35" s="182"/>
      <c r="EM35" s="183"/>
      <c r="EN35" s="183"/>
      <c r="EO35" s="183"/>
      <c r="EP35" s="183"/>
      <c r="EQ35" s="183"/>
      <c r="ER35" s="183"/>
      <c r="ES35" s="183"/>
      <c r="ET35" s="183"/>
      <c r="EU35" s="183"/>
      <c r="EV35" s="184"/>
      <c r="EZ35" s="182"/>
      <c r="FA35" s="183"/>
      <c r="FB35" s="183"/>
      <c r="FC35" s="183"/>
      <c r="FD35" s="183"/>
      <c r="FE35" s="183"/>
      <c r="FF35" s="183"/>
      <c r="FG35" s="183"/>
      <c r="FH35" s="183"/>
      <c r="FI35" s="183"/>
      <c r="FJ35" s="184"/>
      <c r="FN35" s="182"/>
      <c r="FO35" s="183"/>
      <c r="FP35" s="183"/>
      <c r="FQ35" s="183"/>
      <c r="FR35" s="183"/>
      <c r="FS35" s="183"/>
      <c r="FT35" s="183"/>
      <c r="FU35" s="183"/>
      <c r="FV35" s="183"/>
      <c r="FW35" s="183"/>
      <c r="FX35" s="184"/>
      <c r="GB35" s="182"/>
      <c r="GC35" s="183"/>
      <c r="GD35" s="183"/>
      <c r="GE35" s="183"/>
      <c r="GF35" s="183"/>
      <c r="GG35" s="183"/>
      <c r="GH35" s="183"/>
      <c r="GI35" s="183"/>
      <c r="GJ35" s="183"/>
      <c r="GK35" s="183"/>
      <c r="GL35" s="184"/>
      <c r="GP35" s="182"/>
      <c r="GQ35" s="183"/>
      <c r="GR35" s="183"/>
      <c r="GS35" s="183"/>
      <c r="GT35" s="183"/>
      <c r="GU35" s="183"/>
      <c r="GV35" s="183"/>
      <c r="GW35" s="183"/>
      <c r="GX35" s="183"/>
      <c r="GY35" s="183"/>
      <c r="GZ35" s="184"/>
      <c r="HD35" s="182"/>
      <c r="HE35" s="183"/>
      <c r="HF35" s="183"/>
      <c r="HG35" s="183"/>
      <c r="HH35" s="183"/>
      <c r="HI35" s="183"/>
      <c r="HJ35" s="183"/>
      <c r="HK35" s="183"/>
      <c r="HL35" s="183"/>
      <c r="HM35" s="183"/>
      <c r="HN35" s="184"/>
      <c r="HR35" s="182"/>
      <c r="HS35" s="183"/>
      <c r="HT35" s="183"/>
      <c r="HU35" s="183"/>
      <c r="HV35" s="183"/>
      <c r="HW35" s="183"/>
      <c r="HX35" s="183"/>
      <c r="HY35" s="183"/>
      <c r="HZ35" s="183"/>
      <c r="IA35" s="183"/>
      <c r="IB35" s="184"/>
      <c r="IF35" s="182"/>
      <c r="IG35" s="183"/>
      <c r="IH35" s="183"/>
      <c r="II35" s="183"/>
      <c r="IJ35" s="183"/>
      <c r="IK35" s="183"/>
      <c r="IL35" s="183"/>
      <c r="IM35" s="183"/>
      <c r="IN35" s="183"/>
      <c r="IO35" s="183"/>
      <c r="IP35" s="184"/>
      <c r="IT35" s="182"/>
      <c r="IU35" s="183"/>
      <c r="IV35" s="183"/>
      <c r="IW35" s="183"/>
      <c r="IX35" s="183"/>
      <c r="IY35" s="183"/>
      <c r="IZ35" s="183"/>
      <c r="JA35" s="183"/>
      <c r="JB35" s="183"/>
      <c r="JC35" s="183"/>
      <c r="JD35" s="184"/>
      <c r="JH35" s="182"/>
      <c r="JI35" s="183"/>
      <c r="JJ35" s="183"/>
      <c r="JK35" s="183"/>
      <c r="JL35" s="183"/>
      <c r="JM35" s="183"/>
      <c r="JN35" s="183"/>
      <c r="JO35" s="183"/>
      <c r="JP35" s="183"/>
      <c r="JQ35" s="183"/>
      <c r="JR35" s="184"/>
      <c r="JV35" s="182"/>
      <c r="JW35" s="183"/>
      <c r="JX35" s="183"/>
      <c r="JY35" s="183"/>
      <c r="JZ35" s="183"/>
      <c r="KA35" s="183"/>
      <c r="KB35" s="183"/>
      <c r="KC35" s="183"/>
      <c r="KD35" s="183"/>
      <c r="KE35" s="183"/>
      <c r="KF35" s="184"/>
      <c r="KJ35" s="182"/>
      <c r="KK35" s="183"/>
      <c r="KL35" s="183"/>
      <c r="KM35" s="183"/>
      <c r="KN35" s="183"/>
      <c r="KO35" s="183"/>
      <c r="KP35" s="183"/>
      <c r="KQ35" s="183"/>
      <c r="KR35" s="183"/>
      <c r="KS35" s="183"/>
      <c r="KT35" s="184"/>
      <c r="KX35" s="182"/>
      <c r="KY35" s="183"/>
      <c r="KZ35" s="183"/>
      <c r="LA35" s="183"/>
      <c r="LB35" s="183"/>
      <c r="LC35" s="183"/>
      <c r="LD35" s="183"/>
      <c r="LE35" s="183"/>
      <c r="LF35" s="183"/>
      <c r="LG35" s="183"/>
      <c r="LH35" s="184"/>
      <c r="LL35" s="182"/>
      <c r="LM35" s="183"/>
      <c r="LN35" s="183"/>
      <c r="LO35" s="183"/>
      <c r="LP35" s="183"/>
      <c r="LQ35" s="183"/>
      <c r="LR35" s="183"/>
      <c r="LS35" s="183"/>
      <c r="LT35" s="183"/>
      <c r="LU35" s="183"/>
      <c r="LV35" s="184"/>
      <c r="LZ35" s="182"/>
      <c r="MA35" s="183"/>
      <c r="MB35" s="183"/>
      <c r="MC35" s="183"/>
      <c r="MD35" s="183"/>
      <c r="ME35" s="183"/>
      <c r="MF35" s="183"/>
      <c r="MG35" s="183"/>
      <c r="MH35" s="183"/>
      <c r="MI35" s="183"/>
      <c r="MJ35" s="184"/>
      <c r="MN35" s="182"/>
      <c r="MO35" s="183"/>
      <c r="MP35" s="183"/>
      <c r="MQ35" s="183"/>
      <c r="MR35" s="183"/>
      <c r="MS35" s="183"/>
      <c r="MT35" s="183"/>
      <c r="MU35" s="183"/>
      <c r="MV35" s="183"/>
      <c r="MW35" s="183"/>
      <c r="MX35" s="184"/>
      <c r="NB35" s="182"/>
      <c r="NC35" s="183"/>
      <c r="ND35" s="183"/>
      <c r="NE35" s="183"/>
      <c r="NF35" s="183"/>
      <c r="NG35" s="183"/>
      <c r="NH35" s="183"/>
      <c r="NI35" s="183"/>
      <c r="NJ35" s="183"/>
      <c r="NK35" s="183"/>
      <c r="NL35" s="184"/>
      <c r="NP35" s="182"/>
      <c r="NQ35" s="183"/>
      <c r="NR35" s="183"/>
      <c r="NS35" s="183"/>
      <c r="NT35" s="183"/>
      <c r="NU35" s="183"/>
      <c r="NV35" s="183"/>
      <c r="NW35" s="183"/>
      <c r="NX35" s="183"/>
      <c r="NY35" s="183"/>
      <c r="NZ35" s="184"/>
      <c r="OD35" s="182"/>
      <c r="OE35" s="183"/>
      <c r="OF35" s="183"/>
      <c r="OG35" s="183"/>
      <c r="OH35" s="183"/>
      <c r="OI35" s="183"/>
      <c r="OJ35" s="183"/>
      <c r="OK35" s="183"/>
      <c r="OL35" s="183"/>
      <c r="OM35" s="183"/>
      <c r="ON35" s="184"/>
      <c r="OR35" s="182"/>
      <c r="OS35" s="183"/>
      <c r="OT35" s="183"/>
      <c r="OU35" s="183"/>
      <c r="OV35" s="183"/>
      <c r="OW35" s="183"/>
      <c r="OX35" s="183"/>
      <c r="OY35" s="183"/>
      <c r="OZ35" s="183"/>
      <c r="PA35" s="183"/>
      <c r="PB35" s="184"/>
      <c r="PF35" s="182"/>
      <c r="PG35" s="183"/>
      <c r="PH35" s="183"/>
      <c r="PI35" s="183"/>
      <c r="PJ35" s="183"/>
      <c r="PK35" s="183"/>
      <c r="PL35" s="183"/>
      <c r="PM35" s="183"/>
      <c r="PN35" s="183"/>
      <c r="PO35" s="183"/>
      <c r="PP35" s="184"/>
      <c r="PT35" s="182"/>
      <c r="PU35" s="183"/>
      <c r="PV35" s="183"/>
      <c r="PW35" s="183"/>
      <c r="PX35" s="183"/>
      <c r="PY35" s="183"/>
      <c r="PZ35" s="183"/>
      <c r="QA35" s="183"/>
      <c r="QB35" s="183"/>
      <c r="QC35" s="183"/>
      <c r="QD35" s="184"/>
      <c r="QH35" s="182"/>
      <c r="QI35" s="183"/>
      <c r="QJ35" s="183"/>
      <c r="QK35" s="183"/>
      <c r="QL35" s="183"/>
      <c r="QM35" s="183"/>
      <c r="QN35" s="183"/>
      <c r="QO35" s="183"/>
      <c r="QP35" s="183"/>
      <c r="QQ35" s="183"/>
      <c r="QR35" s="184"/>
      <c r="QV35" s="182"/>
      <c r="QW35" s="183"/>
      <c r="QX35" s="183"/>
      <c r="QY35" s="183"/>
      <c r="QZ35" s="183"/>
      <c r="RA35" s="183"/>
      <c r="RB35" s="183"/>
      <c r="RC35" s="183"/>
      <c r="RD35" s="183"/>
      <c r="RE35" s="183"/>
      <c r="RF35" s="184"/>
      <c r="RJ35" s="182"/>
      <c r="RK35" s="183"/>
      <c r="RL35" s="183"/>
      <c r="RM35" s="183"/>
      <c r="RN35" s="183"/>
      <c r="RO35" s="183"/>
      <c r="RP35" s="183"/>
      <c r="RQ35" s="183"/>
      <c r="RR35" s="183"/>
      <c r="RS35" s="183"/>
      <c r="RT35" s="184"/>
      <c r="RX35" s="182"/>
      <c r="RY35" s="183"/>
      <c r="RZ35" s="183"/>
      <c r="SA35" s="183"/>
      <c r="SB35" s="183"/>
      <c r="SC35" s="183"/>
      <c r="SD35" s="183"/>
      <c r="SE35" s="183"/>
      <c r="SF35" s="183"/>
      <c r="SG35" s="183"/>
      <c r="SH35" s="184"/>
      <c r="SL35" s="182"/>
      <c r="SM35" s="183"/>
      <c r="SN35" s="183"/>
      <c r="SO35" s="183"/>
      <c r="SP35" s="183"/>
      <c r="SQ35" s="183"/>
      <c r="SR35" s="183"/>
      <c r="SS35" s="183"/>
      <c r="ST35" s="183"/>
      <c r="SU35" s="183"/>
      <c r="SV35" s="184"/>
      <c r="SZ35" s="182"/>
      <c r="TA35" s="183"/>
      <c r="TB35" s="183"/>
      <c r="TC35" s="183"/>
      <c r="TD35" s="183"/>
      <c r="TE35" s="183"/>
      <c r="TF35" s="183"/>
      <c r="TG35" s="183"/>
      <c r="TH35" s="183"/>
      <c r="TI35" s="183"/>
      <c r="TJ35" s="184"/>
      <c r="TN35" s="182"/>
      <c r="TO35" s="183"/>
      <c r="TP35" s="183"/>
      <c r="TQ35" s="183"/>
      <c r="TR35" s="183"/>
      <c r="TS35" s="183"/>
      <c r="TT35" s="183"/>
      <c r="TU35" s="183"/>
      <c r="TV35" s="183"/>
      <c r="TW35" s="183"/>
      <c r="TX35" s="184"/>
      <c r="UB35" s="182"/>
      <c r="UC35" s="183"/>
      <c r="UD35" s="183"/>
      <c r="UE35" s="183"/>
      <c r="UF35" s="183"/>
      <c r="UG35" s="183"/>
      <c r="UH35" s="183"/>
      <c r="UI35" s="183"/>
      <c r="UJ35" s="183"/>
      <c r="UK35" s="183"/>
      <c r="UL35" s="184"/>
      <c r="UP35" s="182"/>
      <c r="UQ35" s="183"/>
      <c r="UR35" s="183"/>
      <c r="US35" s="183"/>
      <c r="UT35" s="183"/>
      <c r="UU35" s="183"/>
      <c r="UV35" s="183"/>
      <c r="UW35" s="183"/>
      <c r="UX35" s="183"/>
      <c r="UY35" s="183"/>
      <c r="UZ35" s="184"/>
      <c r="VD35" s="182"/>
      <c r="VE35" s="183"/>
      <c r="VF35" s="183"/>
      <c r="VG35" s="183"/>
      <c r="VH35" s="183"/>
      <c r="VI35" s="183"/>
      <c r="VJ35" s="183"/>
      <c r="VK35" s="183"/>
      <c r="VL35" s="183"/>
      <c r="VM35" s="183"/>
      <c r="VN35" s="184"/>
      <c r="VR35" s="182"/>
      <c r="VS35" s="183"/>
      <c r="VT35" s="183"/>
      <c r="VU35" s="183"/>
      <c r="VV35" s="183"/>
      <c r="VW35" s="183"/>
      <c r="VX35" s="183"/>
      <c r="VY35" s="183"/>
      <c r="VZ35" s="183"/>
      <c r="WA35" s="183"/>
      <c r="WB35" s="184"/>
      <c r="WF35" s="182"/>
      <c r="WG35" s="183"/>
      <c r="WH35" s="183"/>
      <c r="WI35" s="183"/>
      <c r="WJ35" s="183"/>
      <c r="WK35" s="183"/>
      <c r="WL35" s="183"/>
      <c r="WM35" s="183"/>
      <c r="WN35" s="183"/>
      <c r="WO35" s="183"/>
      <c r="WP35" s="184"/>
      <c r="WT35" s="182"/>
      <c r="WU35" s="183"/>
      <c r="WV35" s="183"/>
      <c r="WW35" s="183"/>
      <c r="WX35" s="183"/>
      <c r="WY35" s="183"/>
      <c r="WZ35" s="183"/>
      <c r="XA35" s="183"/>
      <c r="XB35" s="183"/>
      <c r="XC35" s="183"/>
      <c r="XD35" s="184"/>
      <c r="XH35" s="182"/>
      <c r="XI35" s="183"/>
      <c r="XJ35" s="183"/>
      <c r="XK35" s="183"/>
      <c r="XL35" s="183"/>
      <c r="XM35" s="183"/>
      <c r="XN35" s="183"/>
      <c r="XO35" s="183"/>
      <c r="XP35" s="183"/>
      <c r="XQ35" s="183"/>
      <c r="XR35" s="184"/>
      <c r="XV35" s="182"/>
      <c r="XW35" s="183"/>
      <c r="XX35" s="183"/>
      <c r="XY35" s="183"/>
      <c r="XZ35" s="183"/>
      <c r="YA35" s="183"/>
      <c r="YB35" s="183"/>
      <c r="YC35" s="183"/>
      <c r="YD35" s="183"/>
      <c r="YE35" s="183"/>
      <c r="YF35" s="184"/>
      <c r="YJ35" s="182"/>
      <c r="YK35" s="183"/>
      <c r="YL35" s="183"/>
      <c r="YM35" s="183"/>
      <c r="YN35" s="183"/>
      <c r="YO35" s="183"/>
      <c r="YP35" s="183"/>
      <c r="YQ35" s="183"/>
      <c r="YR35" s="183"/>
      <c r="YS35" s="183"/>
      <c r="YT35" s="184"/>
      <c r="YX35" s="182"/>
      <c r="YY35" s="183"/>
      <c r="YZ35" s="183"/>
      <c r="ZA35" s="183"/>
      <c r="ZB35" s="183"/>
      <c r="ZC35" s="183"/>
      <c r="ZD35" s="183"/>
      <c r="ZE35" s="183"/>
      <c r="ZF35" s="183"/>
      <c r="ZG35" s="183"/>
      <c r="ZH35" s="184"/>
      <c r="ZL35" s="182"/>
      <c r="ZM35" s="183"/>
      <c r="ZN35" s="183"/>
      <c r="ZO35" s="183"/>
      <c r="ZP35" s="183"/>
      <c r="ZQ35" s="183"/>
      <c r="ZR35" s="183"/>
      <c r="ZS35" s="183"/>
      <c r="ZT35" s="183"/>
      <c r="ZU35" s="183"/>
      <c r="ZV35" s="184"/>
      <c r="ZY35" s="4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L35" s="4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Y35" s="4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L35" s="4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Y35" s="4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L35" s="4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Y35" s="4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L35" s="4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Y35" s="4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L35" s="4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Y35" s="4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L35" s="4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T35" s="8"/>
      <c r="BAU35" s="8"/>
      <c r="BAV35" s="8"/>
      <c r="BAW35" s="8"/>
      <c r="BAX35" s="8"/>
      <c r="BAY35" s="8"/>
      <c r="BAZ35" s="8"/>
      <c r="BBA35" s="8"/>
      <c r="BBB35" s="8"/>
      <c r="BBC35" s="8"/>
      <c r="BBF35" s="8"/>
      <c r="BBG35" s="8"/>
      <c r="BBH35" s="8"/>
      <c r="BBI35" s="8"/>
      <c r="BBJ35" s="8"/>
      <c r="BBK35" s="8"/>
      <c r="BBL35" s="8"/>
      <c r="BBM35" s="8"/>
      <c r="BBN35" s="8"/>
      <c r="BBO35" s="8"/>
      <c r="BBR35" s="8"/>
      <c r="BBS35" s="8"/>
      <c r="BBT35" s="8"/>
      <c r="BBU35" s="8"/>
      <c r="BBV35" s="8"/>
      <c r="BBW35" s="8"/>
      <c r="BBX35" s="8"/>
      <c r="BBY35" s="8"/>
      <c r="BBZ35" s="8"/>
      <c r="BCA35" s="8"/>
      <c r="BCD35" s="8"/>
      <c r="BCE35" s="8"/>
      <c r="BCF35" s="8"/>
      <c r="BCG35" s="8"/>
      <c r="BCH35" s="8"/>
      <c r="BCI35" s="8"/>
      <c r="BCJ35" s="8"/>
      <c r="BCK35" s="8"/>
      <c r="BCL35" s="8"/>
      <c r="BCM35" s="8"/>
      <c r="BCP35" s="8"/>
      <c r="BCQ35" s="8"/>
      <c r="BCR35" s="8"/>
      <c r="BCS35" s="8"/>
      <c r="BCT35" s="8"/>
      <c r="BCU35" s="8"/>
      <c r="BCV35" s="8"/>
      <c r="BCW35" s="8"/>
      <c r="BCX35" s="8"/>
      <c r="BCY35" s="8"/>
      <c r="BDB35" s="8"/>
      <c r="BDC35" s="8"/>
      <c r="BDD35" s="8"/>
      <c r="BDE35" s="8"/>
      <c r="BDF35" s="8"/>
      <c r="BDG35" s="8"/>
      <c r="BDH35" s="8"/>
      <c r="BDI35" s="8"/>
      <c r="BDJ35" s="8"/>
      <c r="BDK35" s="8"/>
      <c r="BDN35" s="8"/>
      <c r="BDO35" s="8"/>
      <c r="BDP35" s="8"/>
      <c r="BDQ35" s="8"/>
      <c r="BDR35" s="8"/>
      <c r="BDS35" s="8"/>
      <c r="BDT35" s="8"/>
      <c r="BDU35" s="8"/>
      <c r="BDV35" s="8"/>
      <c r="BDW35" s="8"/>
      <c r="BDZ35" s="8"/>
      <c r="BEA35" s="8"/>
      <c r="BEB35" s="8"/>
      <c r="BEC35" s="8"/>
      <c r="BED35" s="8"/>
      <c r="BEE35" s="8"/>
      <c r="BEF35" s="8"/>
      <c r="BEG35" s="8"/>
      <c r="BEH35" s="8"/>
      <c r="BEI35" s="8"/>
      <c r="BEL35" s="8"/>
      <c r="BEM35" s="8"/>
      <c r="BEN35" s="8"/>
      <c r="BEO35" s="8"/>
      <c r="BEP35" s="8"/>
      <c r="BEQ35" s="8"/>
      <c r="BER35" s="8"/>
      <c r="BES35" s="8"/>
      <c r="BET35" s="8"/>
      <c r="BEU35" s="8"/>
      <c r="BEX35" s="8"/>
      <c r="BEY35" s="8"/>
      <c r="BEZ35" s="8"/>
      <c r="BFA35" s="8"/>
      <c r="BFB35" s="8"/>
      <c r="BFC35" s="8"/>
      <c r="BFD35" s="8"/>
      <c r="BFE35" s="8"/>
      <c r="BFF35" s="8"/>
      <c r="BFG35" s="8"/>
      <c r="BFJ35" s="8"/>
      <c r="BFK35" s="8"/>
      <c r="BFL35" s="8"/>
      <c r="BFM35" s="8"/>
      <c r="BFN35" s="8"/>
      <c r="BFO35" s="8"/>
      <c r="BFP35" s="8"/>
      <c r="BFQ35" s="8"/>
      <c r="BFR35" s="8"/>
      <c r="BFS35" s="8"/>
      <c r="BFV35" s="8"/>
      <c r="BFW35" s="8"/>
      <c r="BFX35" s="8"/>
      <c r="BFY35" s="8"/>
      <c r="BFZ35" s="8"/>
      <c r="BGA35" s="8"/>
      <c r="BGB35" s="8"/>
      <c r="BGC35" s="8"/>
      <c r="BGD35" s="8"/>
      <c r="BGE35" s="8"/>
      <c r="BGH35" s="8"/>
      <c r="BGI35" s="8"/>
      <c r="BGJ35" s="8"/>
      <c r="BGK35" s="8"/>
      <c r="BGL35" s="8"/>
      <c r="BGM35" s="8"/>
      <c r="BGN35" s="8"/>
      <c r="BGO35" s="8"/>
      <c r="BGP35" s="8"/>
      <c r="BGQ35" s="8"/>
      <c r="BGT35" s="8"/>
      <c r="BGU35" s="8"/>
      <c r="BGV35" s="8"/>
      <c r="BGW35" s="8"/>
      <c r="BGX35" s="8"/>
      <c r="BGY35" s="8"/>
      <c r="BGZ35" s="8"/>
      <c r="BHA35" s="8"/>
      <c r="BHB35" s="8"/>
      <c r="BHC35" s="8"/>
      <c r="BHF35" s="8"/>
      <c r="BHG35" s="8"/>
      <c r="BHH35" s="8"/>
      <c r="BHI35" s="8"/>
      <c r="BHJ35" s="8"/>
      <c r="BHK35" s="8"/>
      <c r="BHL35" s="8"/>
      <c r="BHM35" s="8"/>
      <c r="BHN35" s="8"/>
      <c r="BHO35" s="8"/>
      <c r="BHR35" s="8"/>
      <c r="BHS35" s="8"/>
      <c r="BHT35" s="8"/>
      <c r="BHU35" s="8"/>
      <c r="BHV35" s="8"/>
      <c r="BHW35" s="8"/>
      <c r="BHX35" s="8"/>
      <c r="BHY35" s="8"/>
      <c r="BHZ35" s="8"/>
      <c r="BIA35" s="8"/>
      <c r="BID35" s="8"/>
      <c r="BIE35" s="8"/>
      <c r="BIF35" s="8"/>
      <c r="BIG35" s="8"/>
      <c r="BIH35" s="8"/>
      <c r="BII35" s="8"/>
      <c r="BIJ35" s="8"/>
      <c r="BIK35" s="8"/>
      <c r="BIL35" s="8"/>
      <c r="BIM35" s="8"/>
      <c r="BIP35" s="8"/>
      <c r="BIQ35" s="8"/>
      <c r="BIR35" s="8"/>
      <c r="BIS35" s="8"/>
      <c r="BIT35" s="8"/>
      <c r="BIU35" s="8"/>
      <c r="BIV35" s="8"/>
      <c r="BIW35" s="8"/>
      <c r="BIX35" s="8"/>
      <c r="BIY35" s="8"/>
      <c r="BJB35" s="8"/>
      <c r="BJC35" s="8"/>
      <c r="BJD35" s="8"/>
      <c r="BJE35" s="8"/>
      <c r="BJF35" s="8"/>
      <c r="BJG35" s="8"/>
      <c r="BJH35" s="8"/>
      <c r="BJI35" s="8"/>
      <c r="BJJ35" s="8"/>
      <c r="BJK35" s="8"/>
      <c r="BJN35" s="8"/>
      <c r="BJO35" s="8"/>
      <c r="BJP35" s="8"/>
      <c r="BJQ35" s="8"/>
      <c r="BJR35" s="8"/>
      <c r="BJS35" s="8"/>
      <c r="BJT35" s="8"/>
      <c r="BJU35" s="8"/>
      <c r="BJV35" s="8"/>
      <c r="BJW35" s="8"/>
      <c r="BJZ35" s="8"/>
      <c r="BKA35" s="8"/>
      <c r="BKB35" s="8"/>
      <c r="BKC35" s="8"/>
      <c r="BKD35" s="8"/>
      <c r="BKE35" s="8"/>
      <c r="BKF35" s="8"/>
      <c r="BKG35" s="8"/>
      <c r="BKH35" s="8"/>
      <c r="BKI35" s="8"/>
      <c r="BKL35" s="8"/>
      <c r="BKM35" s="8"/>
      <c r="BKN35" s="8"/>
      <c r="BKO35" s="8"/>
      <c r="BKP35" s="8"/>
      <c r="BKQ35" s="8"/>
      <c r="BKR35" s="8"/>
      <c r="BKS35" s="8"/>
      <c r="BKT35" s="8"/>
      <c r="BKU35" s="8"/>
      <c r="BKX35" s="8"/>
      <c r="BKY35" s="8"/>
      <c r="BKZ35" s="8"/>
      <c r="BLA35" s="8"/>
      <c r="BLB35" s="8"/>
      <c r="BLC35" s="8"/>
      <c r="BLD35" s="8"/>
      <c r="BLE35" s="8"/>
      <c r="BLF35" s="8"/>
      <c r="BLG35" s="8"/>
      <c r="BLJ35" s="8"/>
      <c r="BLK35" s="8"/>
      <c r="BLL35" s="8"/>
      <c r="BLM35" s="8"/>
      <c r="BLN35" s="8"/>
      <c r="BLO35" s="8"/>
      <c r="BLP35" s="8"/>
      <c r="BLQ35" s="8"/>
      <c r="BLR35" s="8"/>
      <c r="BLS35" s="8"/>
      <c r="BLV35" s="8"/>
      <c r="BLW35" s="8"/>
      <c r="BLX35" s="8"/>
      <c r="BLY35" s="8"/>
      <c r="BLZ35" s="8"/>
      <c r="BMA35" s="8"/>
      <c r="BMB35" s="8"/>
      <c r="BMC35" s="8"/>
      <c r="BMD35" s="8"/>
      <c r="BME35" s="8"/>
      <c r="BMH35" s="8"/>
      <c r="BMI35" s="8"/>
      <c r="BMJ35" s="8"/>
      <c r="BMK35" s="8"/>
      <c r="BML35" s="8"/>
      <c r="BMM35" s="8"/>
      <c r="BMN35" s="8"/>
      <c r="BMO35" s="8"/>
      <c r="BMP35" s="8"/>
      <c r="BMQ35" s="8"/>
      <c r="BMT35" s="8"/>
      <c r="BMU35" s="8"/>
      <c r="BMV35" s="8"/>
      <c r="BMW35" s="8"/>
      <c r="BMX35" s="8"/>
      <c r="BMY35" s="8"/>
      <c r="BMZ35" s="8"/>
      <c r="BNA35" s="8"/>
      <c r="BNB35" s="8"/>
      <c r="BNC35" s="8"/>
      <c r="BNF35" s="8"/>
      <c r="BNG35" s="8"/>
      <c r="BNH35" s="8"/>
      <c r="BNI35" s="8"/>
      <c r="BNJ35" s="8"/>
      <c r="BNK35" s="8"/>
      <c r="BNL35" s="8"/>
      <c r="BNM35" s="8"/>
      <c r="BNN35" s="8"/>
      <c r="BNO35" s="8"/>
      <c r="BNR35" s="8"/>
      <c r="BNS35" s="8"/>
      <c r="BNT35" s="8"/>
      <c r="BNU35" s="8"/>
      <c r="BNV35" s="8"/>
      <c r="BNW35" s="8"/>
      <c r="BNX35" s="8"/>
      <c r="BNY35" s="8"/>
      <c r="BNZ35" s="8"/>
      <c r="BOA35" s="8"/>
      <c r="BOD35" s="8"/>
      <c r="BOE35" s="8"/>
      <c r="BOF35" s="8"/>
      <c r="BOG35" s="8"/>
      <c r="BOH35" s="8"/>
      <c r="BOI35" s="8"/>
      <c r="BOJ35" s="8"/>
      <c r="BOK35" s="8"/>
      <c r="BOL35" s="8"/>
      <c r="BOM35" s="8"/>
      <c r="BOP35" s="8"/>
      <c r="BOQ35" s="8"/>
      <c r="BOR35" s="8"/>
      <c r="BOS35" s="8"/>
      <c r="BOT35" s="8"/>
      <c r="BOU35" s="8"/>
      <c r="BOV35" s="8"/>
      <c r="BOW35" s="8"/>
      <c r="BOX35" s="8"/>
      <c r="BOY35" s="8"/>
      <c r="BPB35" s="8"/>
      <c r="BPC35" s="8"/>
      <c r="BPD35" s="8"/>
      <c r="BPE35" s="8"/>
      <c r="BPF35" s="8"/>
      <c r="BPG35" s="8"/>
      <c r="BPH35" s="8"/>
      <c r="BPI35" s="8"/>
      <c r="BPJ35" s="8"/>
      <c r="BPK35" s="8"/>
      <c r="BPN35" s="8"/>
      <c r="BPO35" s="8"/>
      <c r="BPP35" s="8"/>
      <c r="BPQ35" s="8"/>
      <c r="BPR35" s="8"/>
      <c r="BPS35" s="8"/>
      <c r="BPT35" s="8"/>
      <c r="BPU35" s="8"/>
      <c r="BPV35" s="8"/>
      <c r="BPW35" s="8"/>
      <c r="BPZ35" s="8"/>
      <c r="BQA35" s="8"/>
      <c r="BQB35" s="8"/>
      <c r="BQC35" s="8"/>
      <c r="BQD35" s="8"/>
      <c r="BQE35" s="8"/>
      <c r="BQF35" s="8"/>
      <c r="BQG35" s="8"/>
      <c r="BQH35" s="8"/>
      <c r="BQI35" s="8"/>
      <c r="BQL35" s="8"/>
      <c r="BQM35" s="8"/>
      <c r="BQN35" s="8"/>
      <c r="BQO35" s="8"/>
      <c r="BQP35" s="8"/>
      <c r="BQQ35" s="8"/>
      <c r="BQR35" s="8"/>
      <c r="BQS35" s="8"/>
      <c r="BQT35" s="8"/>
      <c r="BQU35" s="8"/>
      <c r="BQX35" s="8"/>
      <c r="BQY35" s="8"/>
      <c r="BQZ35" s="8"/>
      <c r="BRA35" s="8"/>
      <c r="BRB35" s="8"/>
      <c r="BRC35" s="8"/>
      <c r="BRD35" s="8"/>
      <c r="BRE35" s="8"/>
      <c r="BRF35" s="8"/>
      <c r="BRG35" s="8"/>
      <c r="BRJ35" s="8"/>
      <c r="BRK35" s="8"/>
      <c r="BRL35" s="8"/>
      <c r="BRM35" s="8"/>
      <c r="BRN35" s="8"/>
      <c r="BRO35" s="8"/>
      <c r="BRP35" s="8"/>
      <c r="BRQ35" s="8"/>
      <c r="BRR35" s="8"/>
      <c r="BRS35" s="8"/>
      <c r="BRV35" s="8"/>
      <c r="BRW35" s="8"/>
      <c r="BRX35" s="8"/>
      <c r="BRY35" s="8"/>
      <c r="BRZ35" s="8"/>
      <c r="BSA35" s="8"/>
      <c r="BSB35" s="8"/>
      <c r="BSC35" s="8"/>
      <c r="BSD35" s="8"/>
      <c r="BSE35" s="8"/>
      <c r="BSH35" s="8"/>
      <c r="BSI35" s="8"/>
      <c r="BSJ35" s="8"/>
      <c r="BSK35" s="8"/>
      <c r="BSL35" s="8"/>
      <c r="BSM35" s="8"/>
      <c r="BSN35" s="8"/>
      <c r="BSO35" s="8"/>
      <c r="BSP35" s="8"/>
      <c r="BSQ35" s="8"/>
      <c r="BST35" s="8"/>
      <c r="BSU35" s="8"/>
      <c r="BSV35" s="8"/>
      <c r="BSW35" s="8"/>
      <c r="BSX35" s="8"/>
      <c r="BSY35" s="8"/>
      <c r="BSZ35" s="8"/>
      <c r="BTA35" s="8"/>
      <c r="BTB35" s="8"/>
      <c r="BTC35" s="8"/>
      <c r="BTF35" s="8"/>
      <c r="BTG35" s="8"/>
      <c r="BTH35" s="8"/>
      <c r="BTI35" s="8"/>
      <c r="BTJ35" s="8"/>
      <c r="BTK35" s="8"/>
      <c r="BTL35" s="8"/>
      <c r="BTM35" s="8"/>
      <c r="BTN35" s="8"/>
      <c r="BTO35" s="8"/>
      <c r="BTR35" s="8"/>
      <c r="BTS35" s="8"/>
      <c r="BTT35" s="8"/>
      <c r="BTU35" s="8"/>
      <c r="BTV35" s="8"/>
      <c r="BTW35" s="8"/>
      <c r="BTX35" s="8"/>
      <c r="BTY35" s="8"/>
      <c r="BTZ35" s="8"/>
      <c r="BUA35" s="8"/>
      <c r="BUD35" s="8"/>
      <c r="BUE35" s="8"/>
      <c r="BUF35" s="8"/>
      <c r="BUG35" s="8"/>
      <c r="BUH35" s="8"/>
      <c r="BUI35" s="8"/>
      <c r="BUJ35" s="8"/>
      <c r="BUK35" s="8"/>
      <c r="BUL35" s="8"/>
      <c r="BUM35" s="8"/>
      <c r="BUP35" s="8"/>
      <c r="BUQ35" s="8"/>
      <c r="BUR35" s="8"/>
      <c r="BUS35" s="8"/>
      <c r="BUT35" s="8"/>
      <c r="BUU35" s="8"/>
      <c r="BUV35" s="8"/>
      <c r="BUW35" s="8"/>
      <c r="BUX35" s="8"/>
      <c r="BUY35" s="8"/>
      <c r="BVB35" s="8"/>
      <c r="BVC35" s="8"/>
      <c r="BVD35" s="8"/>
      <c r="BVE35" s="8"/>
      <c r="BVF35" s="8"/>
      <c r="BVG35" s="8"/>
      <c r="BVH35" s="8"/>
      <c r="BVI35" s="8"/>
      <c r="BVJ35" s="8"/>
      <c r="BVK35" s="8"/>
      <c r="BVN35" s="8"/>
      <c r="BVO35" s="8"/>
      <c r="BVP35" s="8"/>
      <c r="BVQ35" s="8"/>
      <c r="BVR35" s="8"/>
      <c r="BVS35" s="8"/>
      <c r="BVT35" s="8"/>
      <c r="BVU35" s="8"/>
      <c r="BVV35" s="8"/>
      <c r="BVW35" s="8"/>
      <c r="BVZ35" s="8"/>
      <c r="BWA35" s="8"/>
      <c r="BWB35" s="8"/>
      <c r="BWC35" s="8"/>
      <c r="BWD35" s="8"/>
      <c r="BWE35" s="8"/>
      <c r="BWF35" s="8"/>
      <c r="BWG35" s="8"/>
      <c r="BWH35" s="8"/>
      <c r="BWI35" s="8"/>
      <c r="BWL35" s="8"/>
      <c r="BWM35" s="8"/>
      <c r="BWN35" s="8"/>
      <c r="BWO35" s="8"/>
      <c r="BWP35" s="8"/>
      <c r="BWQ35" s="8"/>
      <c r="BWR35" s="8"/>
      <c r="BWS35" s="8"/>
      <c r="BWT35" s="8"/>
      <c r="BWU35" s="8"/>
      <c r="BWX35" s="8"/>
      <c r="BWY35" s="8"/>
      <c r="BWZ35" s="8"/>
      <c r="BXA35" s="8"/>
      <c r="BXB35" s="8"/>
      <c r="BXC35" s="8"/>
      <c r="BXD35" s="8"/>
      <c r="BXE35" s="8"/>
      <c r="BXF35" s="8"/>
      <c r="BXG35" s="8"/>
      <c r="BXJ35" s="8"/>
      <c r="BXK35" s="8"/>
      <c r="BXL35" s="8"/>
      <c r="BXM35" s="8"/>
      <c r="BXN35" s="8"/>
      <c r="BXO35" s="8"/>
      <c r="BXP35" s="8"/>
      <c r="BXQ35" s="8"/>
      <c r="BXR35" s="8"/>
      <c r="BXS35" s="8"/>
      <c r="BXV35" s="8"/>
      <c r="BXW35" s="8"/>
      <c r="BXX35" s="8"/>
      <c r="BXY35" s="8"/>
      <c r="BXZ35" s="8"/>
      <c r="BYA35" s="8"/>
      <c r="BYB35" s="8"/>
      <c r="BYC35" s="8"/>
      <c r="BYD35" s="8"/>
      <c r="BYE35" s="8"/>
      <c r="BYH35" s="8"/>
      <c r="BYI35" s="8"/>
      <c r="BYJ35" s="8"/>
      <c r="BYK35" s="8"/>
      <c r="BYL35" s="8"/>
      <c r="BYM35" s="8"/>
      <c r="BYN35" s="8"/>
      <c r="BYO35" s="8"/>
      <c r="BYP35" s="8"/>
      <c r="BYQ35" s="8"/>
      <c r="BYT35" s="8"/>
      <c r="BYU35" s="8"/>
      <c r="BYV35" s="8"/>
      <c r="BYW35" s="8"/>
      <c r="BYX35" s="8"/>
      <c r="BYY35" s="8"/>
      <c r="BYZ35" s="8"/>
      <c r="BZA35" s="8"/>
      <c r="BZB35" s="8"/>
      <c r="BZC35" s="8"/>
      <c r="BZF35" s="8"/>
      <c r="BZG35" s="8"/>
      <c r="BZH35" s="8"/>
      <c r="BZI35" s="8"/>
      <c r="BZJ35" s="8"/>
      <c r="BZK35" s="8"/>
      <c r="BZL35" s="8"/>
      <c r="BZM35" s="8"/>
      <c r="BZN35" s="8"/>
      <c r="BZO35" s="8"/>
      <c r="BZR35" s="8"/>
      <c r="BZS35" s="8"/>
      <c r="BZT35" s="8"/>
      <c r="BZU35" s="8"/>
      <c r="BZV35" s="8"/>
      <c r="BZW35" s="8"/>
      <c r="BZX35" s="8"/>
      <c r="BZY35" s="8"/>
      <c r="BZZ35" s="8"/>
      <c r="CAA35" s="8"/>
      <c r="CAD35" s="8"/>
      <c r="CAE35" s="8"/>
      <c r="CAF35" s="8"/>
      <c r="CAG35" s="8"/>
      <c r="CAH35" s="8"/>
      <c r="CAI35" s="8"/>
      <c r="CAJ35" s="8"/>
      <c r="CAK35" s="8"/>
      <c r="CAL35" s="8"/>
      <c r="CAM35" s="8"/>
      <c r="CAP35" s="8"/>
      <c r="CAQ35" s="8"/>
      <c r="CAR35" s="8"/>
      <c r="CAS35" s="8"/>
      <c r="CAT35" s="8"/>
      <c r="CAU35" s="8"/>
      <c r="CAV35" s="8"/>
      <c r="CAW35" s="8"/>
      <c r="CAX35" s="8"/>
      <c r="CAY35" s="8"/>
      <c r="CBB35" s="8"/>
      <c r="CBC35" s="8"/>
      <c r="CBD35" s="8"/>
      <c r="CBE35" s="8"/>
      <c r="CBF35" s="8"/>
      <c r="CBG35" s="8"/>
      <c r="CBH35" s="8"/>
      <c r="CBI35" s="8"/>
      <c r="CBJ35" s="8"/>
      <c r="CBK35" s="8"/>
      <c r="CBN35" s="8"/>
      <c r="CBO35" s="8"/>
      <c r="CBP35" s="8"/>
      <c r="CBQ35" s="8"/>
      <c r="CBR35" s="8"/>
      <c r="CBS35" s="8"/>
      <c r="CBT35" s="8"/>
      <c r="CBU35" s="8"/>
      <c r="CBV35" s="8"/>
      <c r="CBW35" s="8"/>
      <c r="CBZ35" s="8"/>
      <c r="CCA35" s="8"/>
      <c r="CCB35" s="8"/>
      <c r="CCC35" s="8"/>
      <c r="CCD35" s="8"/>
      <c r="CCE35" s="8"/>
      <c r="CCF35" s="8"/>
      <c r="CCG35" s="8"/>
      <c r="CCH35" s="8"/>
      <c r="CCI35" s="8"/>
      <c r="CCL35" s="8"/>
      <c r="CCM35" s="8"/>
      <c r="CCN35" s="8"/>
      <c r="CCO35" s="8"/>
      <c r="CCP35" s="8"/>
      <c r="CCQ35" s="8"/>
      <c r="CCR35" s="8"/>
      <c r="CCS35" s="8"/>
      <c r="CCT35" s="8"/>
      <c r="CCU35" s="8"/>
      <c r="CCX35" s="8"/>
      <c r="CCY35" s="8"/>
      <c r="CCZ35" s="8"/>
      <c r="CDA35" s="8"/>
      <c r="CDB35" s="8"/>
      <c r="CDC35" s="8"/>
      <c r="CDD35" s="8"/>
      <c r="CDE35" s="8"/>
      <c r="CDF35" s="8"/>
      <c r="CDG35" s="8"/>
      <c r="CDJ35" s="8"/>
      <c r="CDK35" s="8"/>
      <c r="CDL35" s="8"/>
      <c r="CDM35" s="8"/>
      <c r="CDN35" s="8"/>
      <c r="CDO35" s="8"/>
      <c r="CDP35" s="8"/>
      <c r="CDQ35" s="8"/>
      <c r="CDR35" s="8"/>
      <c r="CDS35" s="8"/>
      <c r="CDV35" s="8"/>
      <c r="CDW35" s="8"/>
      <c r="CDX35" s="8"/>
      <c r="CDY35" s="8"/>
      <c r="CDZ35" s="8"/>
      <c r="CEA35" s="8"/>
      <c r="CEB35" s="8"/>
      <c r="CEC35" s="8"/>
      <c r="CED35" s="8"/>
      <c r="CEE35" s="8"/>
      <c r="CEH35" s="8"/>
      <c r="CEI35" s="8"/>
      <c r="CEJ35" s="8"/>
      <c r="CEK35" s="8"/>
      <c r="CEL35" s="8"/>
      <c r="CEM35" s="8"/>
      <c r="CEN35" s="8"/>
      <c r="CEO35" s="8"/>
      <c r="CEP35" s="8"/>
      <c r="CEQ35" s="8"/>
      <c r="CET35" s="8"/>
      <c r="CEU35" s="8"/>
      <c r="CEV35" s="8"/>
      <c r="CEW35" s="8"/>
      <c r="CEX35" s="8"/>
      <c r="CEY35" s="8"/>
      <c r="CEZ35" s="8"/>
      <c r="CFA35" s="8"/>
      <c r="CFB35" s="8"/>
      <c r="CFC35" s="8"/>
      <c r="CFF35" s="8"/>
      <c r="CFG35" s="8"/>
      <c r="CFH35" s="8"/>
      <c r="CFI35" s="8"/>
      <c r="CFJ35" s="8"/>
      <c r="CFK35" s="8"/>
      <c r="CFL35" s="8"/>
      <c r="CFM35" s="8"/>
      <c r="CFN35" s="8"/>
      <c r="CFO35" s="8"/>
      <c r="CFR35" s="8"/>
      <c r="CFS35" s="8"/>
      <c r="CFT35" s="8"/>
      <c r="CFU35" s="8"/>
      <c r="CFV35" s="8"/>
      <c r="CFW35" s="8"/>
      <c r="CFX35" s="8"/>
      <c r="CFY35" s="8"/>
      <c r="CFZ35" s="8"/>
      <c r="CGA35" s="8"/>
      <c r="CGD35" s="8"/>
      <c r="CGE35" s="8"/>
      <c r="CGF35" s="8"/>
      <c r="CGG35" s="8"/>
      <c r="CGH35" s="8"/>
      <c r="CGI35" s="8"/>
      <c r="CGJ35" s="8"/>
      <c r="CGK35" s="8"/>
      <c r="CGL35" s="8"/>
      <c r="CGM35" s="8"/>
      <c r="CGP35" s="8"/>
      <c r="CGQ35" s="8"/>
      <c r="CGR35" s="8"/>
      <c r="CGS35" s="8"/>
      <c r="CGT35" s="8"/>
      <c r="CGU35" s="8"/>
      <c r="CGV35" s="8"/>
      <c r="CGW35" s="8"/>
      <c r="CGX35" s="8"/>
      <c r="CGY35" s="8"/>
      <c r="CHB35" s="8"/>
      <c r="CHC35" s="8"/>
      <c r="CHD35" s="8"/>
      <c r="CHE35" s="8"/>
      <c r="CHF35" s="8"/>
      <c r="CHG35" s="8"/>
      <c r="CHH35" s="8"/>
      <c r="CHI35" s="8"/>
      <c r="CHJ35" s="8"/>
      <c r="CHK35" s="8"/>
      <c r="CHN35" s="8"/>
      <c r="CHO35" s="8"/>
      <c r="CHP35" s="8"/>
      <c r="CHQ35" s="8"/>
      <c r="CHR35" s="8"/>
      <c r="CHS35" s="8"/>
      <c r="CHT35" s="8"/>
      <c r="CHU35" s="8"/>
      <c r="CHV35" s="8"/>
      <c r="CHW35" s="8"/>
      <c r="CHZ35" s="8"/>
      <c r="CIA35" s="8"/>
      <c r="CIB35" s="8"/>
      <c r="CIC35" s="8"/>
      <c r="CID35" s="8"/>
      <c r="CIE35" s="8"/>
      <c r="CIF35" s="8"/>
      <c r="CIG35" s="8"/>
      <c r="CIH35" s="8"/>
      <c r="CII35" s="8"/>
      <c r="CIL35" s="8"/>
      <c r="CIM35" s="8"/>
      <c r="CIN35" s="8"/>
      <c r="CIO35" s="8"/>
      <c r="CIP35" s="8"/>
      <c r="CIQ35" s="8"/>
      <c r="CIR35" s="8"/>
      <c r="CIS35" s="8"/>
      <c r="CIT35" s="8"/>
      <c r="CIU35" s="8"/>
      <c r="CIX35" s="8"/>
      <c r="CIY35" s="8"/>
      <c r="CIZ35" s="8"/>
      <c r="CJA35" s="8"/>
      <c r="CJB35" s="8"/>
      <c r="CJC35" s="8"/>
      <c r="CJD35" s="8"/>
      <c r="CJE35" s="8"/>
      <c r="CJF35" s="8"/>
      <c r="CJG35" s="8"/>
      <c r="CJJ35" s="8"/>
      <c r="CJK35" s="8"/>
      <c r="CJL35" s="8"/>
      <c r="CJM35" s="8"/>
      <c r="CJN35" s="8"/>
      <c r="CJO35" s="8"/>
      <c r="CJP35" s="8"/>
      <c r="CJQ35" s="8"/>
      <c r="CJR35" s="8"/>
      <c r="CJS35" s="8"/>
      <c r="CJV35" s="8"/>
      <c r="CJW35" s="8"/>
      <c r="CJX35" s="8"/>
      <c r="CJY35" s="8"/>
      <c r="CJZ35" s="8"/>
      <c r="CKA35" s="8"/>
      <c r="CKB35" s="8"/>
      <c r="CKC35" s="8"/>
      <c r="CKD35" s="8"/>
      <c r="CKE35" s="8"/>
      <c r="CKH35" s="8"/>
      <c r="CKI35" s="8"/>
      <c r="CKJ35" s="8"/>
      <c r="CKK35" s="8"/>
      <c r="CKL35" s="8"/>
      <c r="CKM35" s="8"/>
      <c r="CKN35" s="8"/>
      <c r="CKO35" s="8"/>
      <c r="CKP35" s="8"/>
      <c r="CKQ35" s="8"/>
      <c r="CKT35" s="8"/>
      <c r="CKU35" s="8"/>
      <c r="CKV35" s="8"/>
      <c r="CKW35" s="8"/>
      <c r="CKX35" s="8"/>
      <c r="CKY35" s="8"/>
      <c r="CKZ35" s="8"/>
      <c r="CLA35" s="8"/>
      <c r="CLB35" s="8"/>
      <c r="CLC35" s="8"/>
      <c r="CLF35" s="8"/>
      <c r="CLG35" s="8"/>
      <c r="CLH35" s="8"/>
      <c r="CLI35" s="8"/>
      <c r="CLJ35" s="8"/>
      <c r="CLK35" s="8"/>
      <c r="CLL35" s="8"/>
      <c r="CLM35" s="8"/>
      <c r="CLN35" s="8"/>
      <c r="CLO35" s="8"/>
      <c r="CLR35" s="8"/>
      <c r="CLS35" s="8"/>
      <c r="CLT35" s="8"/>
      <c r="CLU35" s="8"/>
      <c r="CLV35" s="8"/>
      <c r="CLW35" s="8"/>
      <c r="CLX35" s="8"/>
      <c r="CLY35" s="8"/>
      <c r="CLZ35" s="8"/>
      <c r="CMA35" s="8"/>
      <c r="CMD35" s="8"/>
      <c r="CME35" s="8"/>
      <c r="CMF35" s="8"/>
      <c r="CMG35" s="8"/>
      <c r="CMH35" s="8"/>
      <c r="CMI35" s="8"/>
      <c r="CMJ35" s="8"/>
      <c r="CMK35" s="8"/>
      <c r="CML35" s="8"/>
      <c r="CMM35" s="8"/>
      <c r="CMP35" s="8"/>
      <c r="CMQ35" s="8"/>
      <c r="CMR35" s="8"/>
      <c r="CMS35" s="8"/>
      <c r="CMT35" s="8"/>
      <c r="CMU35" s="8"/>
      <c r="CMV35" s="8"/>
      <c r="CMW35" s="8"/>
      <c r="CMX35" s="8"/>
      <c r="CMY35" s="8"/>
      <c r="CNB35" s="8"/>
      <c r="CNC35" s="8"/>
      <c r="CND35" s="8"/>
      <c r="CNE35" s="8"/>
      <c r="CNF35" s="8"/>
      <c r="CNG35" s="8"/>
      <c r="CNH35" s="8"/>
      <c r="CNI35" s="8"/>
      <c r="CNJ35" s="8"/>
      <c r="CNK35" s="8"/>
      <c r="CNN35" s="8"/>
      <c r="CNO35" s="8"/>
      <c r="CNP35" s="8"/>
      <c r="CNQ35" s="8"/>
      <c r="CNR35" s="8"/>
      <c r="CNS35" s="8"/>
      <c r="CNT35" s="8"/>
      <c r="CNU35" s="8"/>
      <c r="CNV35" s="8"/>
      <c r="CNW35" s="8"/>
      <c r="CNZ35" s="8"/>
      <c r="COA35" s="8"/>
      <c r="COB35" s="8"/>
      <c r="COC35" s="8"/>
      <c r="COD35" s="8"/>
      <c r="COE35" s="8"/>
      <c r="COF35" s="8"/>
      <c r="COG35" s="8"/>
      <c r="COH35" s="8"/>
      <c r="COI35" s="8"/>
      <c r="COL35" s="8"/>
      <c r="COM35" s="8"/>
      <c r="CON35" s="8"/>
      <c r="COO35" s="8"/>
      <c r="COP35" s="8"/>
      <c r="COQ35" s="8"/>
      <c r="COR35" s="8"/>
      <c r="COS35" s="8"/>
      <c r="COT35" s="8"/>
      <c r="COU35" s="8"/>
      <c r="COX35" s="8"/>
      <c r="COY35" s="8"/>
      <c r="COZ35" s="8"/>
      <c r="CPA35" s="8"/>
      <c r="CPB35" s="8"/>
      <c r="CPC35" s="8"/>
      <c r="CPD35" s="8"/>
      <c r="CPE35" s="8"/>
      <c r="CPF35" s="8"/>
      <c r="CPG35" s="8"/>
      <c r="CPJ35" s="8"/>
      <c r="CPK35" s="8"/>
      <c r="CPL35" s="8"/>
      <c r="CPM35" s="8"/>
      <c r="CPN35" s="8"/>
      <c r="CPO35" s="8"/>
      <c r="CPP35" s="8"/>
      <c r="CPQ35" s="8"/>
      <c r="CPR35" s="8"/>
      <c r="CPS35" s="8"/>
      <c r="CPV35" s="8"/>
      <c r="CPW35" s="8"/>
      <c r="CPX35" s="8"/>
      <c r="CPY35" s="8"/>
      <c r="CPZ35" s="8"/>
      <c r="CQA35" s="8"/>
      <c r="CQB35" s="8"/>
      <c r="CQC35" s="8"/>
      <c r="CQD35" s="8"/>
      <c r="CQE35" s="8"/>
      <c r="CQH35" s="8"/>
      <c r="CQI35" s="8"/>
      <c r="CQJ35" s="8"/>
      <c r="CQK35" s="8"/>
      <c r="CQL35" s="8"/>
      <c r="CQM35" s="8"/>
      <c r="CQN35" s="8"/>
      <c r="CQO35" s="8"/>
      <c r="CQP35" s="8"/>
      <c r="CQQ35" s="8"/>
      <c r="CQT35" s="8"/>
      <c r="CQU35" s="8"/>
      <c r="CQV35" s="8"/>
      <c r="CQW35" s="8"/>
      <c r="CQX35" s="8"/>
      <c r="CQY35" s="8"/>
      <c r="CQZ35" s="8"/>
      <c r="CRA35" s="8"/>
      <c r="CRB35" s="8"/>
      <c r="CRC35" s="8"/>
      <c r="CRF35" s="8"/>
      <c r="CRG35" s="8"/>
      <c r="CRH35" s="8"/>
      <c r="CRI35" s="8"/>
      <c r="CRJ35" s="8"/>
      <c r="CRK35" s="8"/>
      <c r="CRL35" s="8"/>
      <c r="CRM35" s="8"/>
      <c r="CRN35" s="8"/>
      <c r="CRO35" s="8"/>
      <c r="CRR35" s="8"/>
      <c r="CRS35" s="8"/>
      <c r="CRT35" s="8"/>
      <c r="CRU35" s="8"/>
      <c r="CRV35" s="8"/>
      <c r="CRW35" s="8"/>
      <c r="CRX35" s="8"/>
      <c r="CRY35" s="8"/>
      <c r="CRZ35" s="8"/>
      <c r="CSA35" s="8"/>
      <c r="CSD35" s="8"/>
      <c r="CSE35" s="8"/>
      <c r="CSF35" s="8"/>
      <c r="CSG35" s="8"/>
      <c r="CSH35" s="8"/>
      <c r="CSI35" s="8"/>
      <c r="CSJ35" s="8"/>
      <c r="CSK35" s="8"/>
      <c r="CSL35" s="8"/>
      <c r="CSM35" s="8"/>
      <c r="CSP35" s="8"/>
      <c r="CSQ35" s="8"/>
      <c r="CSR35" s="8"/>
      <c r="CSS35" s="8"/>
      <c r="CST35" s="8"/>
      <c r="CSU35" s="8"/>
      <c r="CSV35" s="8"/>
      <c r="CSW35" s="8"/>
      <c r="CSX35" s="8"/>
      <c r="CSY35" s="8"/>
      <c r="CTB35" s="8"/>
      <c r="CTC35" s="8"/>
      <c r="CTD35" s="8"/>
      <c r="CTE35" s="8"/>
      <c r="CTF35" s="8"/>
      <c r="CTG35" s="8"/>
      <c r="CTH35" s="8"/>
      <c r="CTI35" s="8"/>
      <c r="CTJ35" s="8"/>
      <c r="CTK35" s="8"/>
      <c r="CTN35" s="8"/>
      <c r="CTO35" s="8"/>
      <c r="CTP35" s="8"/>
      <c r="CTQ35" s="8"/>
      <c r="CTR35" s="8"/>
      <c r="CTS35" s="8"/>
      <c r="CTT35" s="8"/>
      <c r="CTU35" s="8"/>
      <c r="CTV35" s="8"/>
      <c r="CTW35" s="8"/>
      <c r="CTZ35" s="8"/>
      <c r="CUA35" s="8"/>
      <c r="CUB35" s="8"/>
      <c r="CUC35" s="8"/>
      <c r="CUD35" s="8"/>
      <c r="CUE35" s="8"/>
      <c r="CUF35" s="8"/>
      <c r="CUG35" s="8"/>
      <c r="CUH35" s="8"/>
      <c r="CUI35" s="8"/>
      <c r="CUL35" s="8"/>
      <c r="CUM35" s="8"/>
      <c r="CUN35" s="8"/>
      <c r="CUO35" s="8"/>
      <c r="CUP35" s="8"/>
      <c r="CUQ35" s="8"/>
      <c r="CUR35" s="8"/>
      <c r="CUS35" s="8"/>
      <c r="CUT35" s="8"/>
      <c r="CUU35" s="8"/>
      <c r="CUX35" s="8"/>
      <c r="CUY35" s="8"/>
      <c r="CUZ35" s="8"/>
      <c r="CVA35" s="8"/>
      <c r="CVB35" s="8"/>
      <c r="CVC35" s="8"/>
      <c r="CVD35" s="8"/>
      <c r="CVE35" s="8"/>
      <c r="CVF35" s="8"/>
      <c r="CVG35" s="8"/>
      <c r="CVJ35" s="8"/>
      <c r="CVK35" s="8"/>
      <c r="CVL35" s="8"/>
      <c r="CVM35" s="8"/>
      <c r="CVN35" s="8"/>
      <c r="CVO35" s="8"/>
      <c r="CVP35" s="8"/>
      <c r="CVQ35" s="8"/>
      <c r="CVR35" s="8"/>
      <c r="CVS35" s="8"/>
      <c r="CVV35" s="8"/>
      <c r="CVW35" s="8"/>
      <c r="CVX35" s="8"/>
      <c r="CVY35" s="8"/>
      <c r="CVZ35" s="8"/>
      <c r="CWA35" s="8"/>
      <c r="CWB35" s="8"/>
      <c r="CWC35" s="8"/>
      <c r="CWD35" s="8"/>
      <c r="CWE35" s="8"/>
    </row>
    <row r="36" spans="2:1023 1026:2631" ht="7.5" customHeight="1" x14ac:dyDescent="0.25">
      <c r="B36" s="185"/>
      <c r="C36" s="186"/>
      <c r="D36" s="186"/>
      <c r="E36" s="186"/>
      <c r="F36" s="186"/>
      <c r="G36" s="186"/>
      <c r="H36" s="186"/>
      <c r="I36" s="186"/>
      <c r="J36" s="186"/>
      <c r="K36" s="186"/>
      <c r="L36" s="187"/>
      <c r="P36" s="185"/>
      <c r="Q36" s="186"/>
      <c r="R36" s="186"/>
      <c r="S36" s="186"/>
      <c r="T36" s="186"/>
      <c r="U36" s="186"/>
      <c r="V36" s="186"/>
      <c r="W36" s="186"/>
      <c r="X36" s="186"/>
      <c r="Y36" s="186"/>
      <c r="Z36" s="187"/>
      <c r="AD36" s="185"/>
      <c r="AE36" s="186"/>
      <c r="AF36" s="186"/>
      <c r="AG36" s="186"/>
      <c r="AH36" s="186"/>
      <c r="AI36" s="186"/>
      <c r="AJ36" s="186"/>
      <c r="AK36" s="186"/>
      <c r="AL36" s="186"/>
      <c r="AM36" s="186"/>
      <c r="AN36" s="187"/>
      <c r="AR36" s="185"/>
      <c r="AS36" s="186"/>
      <c r="AT36" s="186"/>
      <c r="AU36" s="186"/>
      <c r="AV36" s="186"/>
      <c r="AW36" s="186"/>
      <c r="AX36" s="186"/>
      <c r="AY36" s="186"/>
      <c r="AZ36" s="186"/>
      <c r="BA36" s="186"/>
      <c r="BB36" s="187"/>
      <c r="BF36" s="185"/>
      <c r="BG36" s="186"/>
      <c r="BH36" s="186"/>
      <c r="BI36" s="186"/>
      <c r="BJ36" s="186"/>
      <c r="BK36" s="186"/>
      <c r="BL36" s="186"/>
      <c r="BM36" s="186"/>
      <c r="BN36" s="186"/>
      <c r="BO36" s="186"/>
      <c r="BP36" s="187"/>
      <c r="BT36" s="185"/>
      <c r="BU36" s="186"/>
      <c r="BV36" s="186"/>
      <c r="BW36" s="186"/>
      <c r="BX36" s="186"/>
      <c r="BY36" s="186"/>
      <c r="BZ36" s="186"/>
      <c r="CA36" s="186"/>
      <c r="CB36" s="186"/>
      <c r="CC36" s="186"/>
      <c r="CD36" s="187"/>
      <c r="CH36" s="185"/>
      <c r="CI36" s="186"/>
      <c r="CJ36" s="186"/>
      <c r="CK36" s="186"/>
      <c r="CL36" s="186"/>
      <c r="CM36" s="186"/>
      <c r="CN36" s="186"/>
      <c r="CO36" s="186"/>
      <c r="CP36" s="186"/>
      <c r="CQ36" s="186"/>
      <c r="CR36" s="187"/>
      <c r="CV36" s="185"/>
      <c r="CW36" s="186"/>
      <c r="CX36" s="186"/>
      <c r="CY36" s="186"/>
      <c r="CZ36" s="186"/>
      <c r="DA36" s="186"/>
      <c r="DB36" s="186"/>
      <c r="DC36" s="186"/>
      <c r="DD36" s="186"/>
      <c r="DE36" s="186"/>
      <c r="DF36" s="187"/>
      <c r="DJ36" s="185"/>
      <c r="DK36" s="186"/>
      <c r="DL36" s="186"/>
      <c r="DM36" s="186"/>
      <c r="DN36" s="186"/>
      <c r="DO36" s="186"/>
      <c r="DP36" s="186"/>
      <c r="DQ36" s="186"/>
      <c r="DR36" s="186"/>
      <c r="DS36" s="186"/>
      <c r="DT36" s="187"/>
      <c r="DX36" s="185"/>
      <c r="DY36" s="186"/>
      <c r="DZ36" s="186"/>
      <c r="EA36" s="186"/>
      <c r="EB36" s="186"/>
      <c r="EC36" s="186"/>
      <c r="ED36" s="186"/>
      <c r="EE36" s="186"/>
      <c r="EF36" s="186"/>
      <c r="EG36" s="186"/>
      <c r="EH36" s="187"/>
      <c r="EL36" s="185"/>
      <c r="EM36" s="186"/>
      <c r="EN36" s="186"/>
      <c r="EO36" s="186"/>
      <c r="EP36" s="186"/>
      <c r="EQ36" s="186"/>
      <c r="ER36" s="186"/>
      <c r="ES36" s="186"/>
      <c r="ET36" s="186"/>
      <c r="EU36" s="186"/>
      <c r="EV36" s="187"/>
      <c r="EZ36" s="185"/>
      <c r="FA36" s="186"/>
      <c r="FB36" s="186"/>
      <c r="FC36" s="186"/>
      <c r="FD36" s="186"/>
      <c r="FE36" s="186"/>
      <c r="FF36" s="186"/>
      <c r="FG36" s="186"/>
      <c r="FH36" s="186"/>
      <c r="FI36" s="186"/>
      <c r="FJ36" s="187"/>
      <c r="FN36" s="185"/>
      <c r="FO36" s="186"/>
      <c r="FP36" s="186"/>
      <c r="FQ36" s="186"/>
      <c r="FR36" s="186"/>
      <c r="FS36" s="186"/>
      <c r="FT36" s="186"/>
      <c r="FU36" s="186"/>
      <c r="FV36" s="186"/>
      <c r="FW36" s="186"/>
      <c r="FX36" s="187"/>
      <c r="GB36" s="185"/>
      <c r="GC36" s="186"/>
      <c r="GD36" s="186"/>
      <c r="GE36" s="186"/>
      <c r="GF36" s="186"/>
      <c r="GG36" s="186"/>
      <c r="GH36" s="186"/>
      <c r="GI36" s="186"/>
      <c r="GJ36" s="186"/>
      <c r="GK36" s="186"/>
      <c r="GL36" s="187"/>
      <c r="GP36" s="185"/>
      <c r="GQ36" s="186"/>
      <c r="GR36" s="186"/>
      <c r="GS36" s="186"/>
      <c r="GT36" s="186"/>
      <c r="GU36" s="186"/>
      <c r="GV36" s="186"/>
      <c r="GW36" s="186"/>
      <c r="GX36" s="186"/>
      <c r="GY36" s="186"/>
      <c r="GZ36" s="187"/>
      <c r="HD36" s="185"/>
      <c r="HE36" s="186"/>
      <c r="HF36" s="186"/>
      <c r="HG36" s="186"/>
      <c r="HH36" s="186"/>
      <c r="HI36" s="186"/>
      <c r="HJ36" s="186"/>
      <c r="HK36" s="186"/>
      <c r="HL36" s="186"/>
      <c r="HM36" s="186"/>
      <c r="HN36" s="187"/>
      <c r="HR36" s="185"/>
      <c r="HS36" s="186"/>
      <c r="HT36" s="186"/>
      <c r="HU36" s="186"/>
      <c r="HV36" s="186"/>
      <c r="HW36" s="186"/>
      <c r="HX36" s="186"/>
      <c r="HY36" s="186"/>
      <c r="HZ36" s="186"/>
      <c r="IA36" s="186"/>
      <c r="IB36" s="187"/>
      <c r="IF36" s="185"/>
      <c r="IG36" s="186"/>
      <c r="IH36" s="186"/>
      <c r="II36" s="186"/>
      <c r="IJ36" s="186"/>
      <c r="IK36" s="186"/>
      <c r="IL36" s="186"/>
      <c r="IM36" s="186"/>
      <c r="IN36" s="186"/>
      <c r="IO36" s="186"/>
      <c r="IP36" s="187"/>
      <c r="IT36" s="185"/>
      <c r="IU36" s="186"/>
      <c r="IV36" s="186"/>
      <c r="IW36" s="186"/>
      <c r="IX36" s="186"/>
      <c r="IY36" s="186"/>
      <c r="IZ36" s="186"/>
      <c r="JA36" s="186"/>
      <c r="JB36" s="186"/>
      <c r="JC36" s="186"/>
      <c r="JD36" s="187"/>
      <c r="JH36" s="185"/>
      <c r="JI36" s="186"/>
      <c r="JJ36" s="186"/>
      <c r="JK36" s="186"/>
      <c r="JL36" s="186"/>
      <c r="JM36" s="186"/>
      <c r="JN36" s="186"/>
      <c r="JO36" s="186"/>
      <c r="JP36" s="186"/>
      <c r="JQ36" s="186"/>
      <c r="JR36" s="187"/>
      <c r="JV36" s="185"/>
      <c r="JW36" s="186"/>
      <c r="JX36" s="186"/>
      <c r="JY36" s="186"/>
      <c r="JZ36" s="186"/>
      <c r="KA36" s="186"/>
      <c r="KB36" s="186"/>
      <c r="KC36" s="186"/>
      <c r="KD36" s="186"/>
      <c r="KE36" s="186"/>
      <c r="KF36" s="187"/>
      <c r="KJ36" s="185"/>
      <c r="KK36" s="186"/>
      <c r="KL36" s="186"/>
      <c r="KM36" s="186"/>
      <c r="KN36" s="186"/>
      <c r="KO36" s="186"/>
      <c r="KP36" s="186"/>
      <c r="KQ36" s="186"/>
      <c r="KR36" s="186"/>
      <c r="KS36" s="186"/>
      <c r="KT36" s="187"/>
      <c r="KX36" s="185"/>
      <c r="KY36" s="186"/>
      <c r="KZ36" s="186"/>
      <c r="LA36" s="186"/>
      <c r="LB36" s="186"/>
      <c r="LC36" s="186"/>
      <c r="LD36" s="186"/>
      <c r="LE36" s="186"/>
      <c r="LF36" s="186"/>
      <c r="LG36" s="186"/>
      <c r="LH36" s="187"/>
      <c r="LL36" s="185"/>
      <c r="LM36" s="186"/>
      <c r="LN36" s="186"/>
      <c r="LO36" s="186"/>
      <c r="LP36" s="186"/>
      <c r="LQ36" s="186"/>
      <c r="LR36" s="186"/>
      <c r="LS36" s="186"/>
      <c r="LT36" s="186"/>
      <c r="LU36" s="186"/>
      <c r="LV36" s="187"/>
      <c r="LZ36" s="185"/>
      <c r="MA36" s="186"/>
      <c r="MB36" s="186"/>
      <c r="MC36" s="186"/>
      <c r="MD36" s="186"/>
      <c r="ME36" s="186"/>
      <c r="MF36" s="186"/>
      <c r="MG36" s="186"/>
      <c r="MH36" s="186"/>
      <c r="MI36" s="186"/>
      <c r="MJ36" s="187"/>
      <c r="MN36" s="185"/>
      <c r="MO36" s="186"/>
      <c r="MP36" s="186"/>
      <c r="MQ36" s="186"/>
      <c r="MR36" s="186"/>
      <c r="MS36" s="186"/>
      <c r="MT36" s="186"/>
      <c r="MU36" s="186"/>
      <c r="MV36" s="186"/>
      <c r="MW36" s="186"/>
      <c r="MX36" s="187"/>
      <c r="NB36" s="185"/>
      <c r="NC36" s="186"/>
      <c r="ND36" s="186"/>
      <c r="NE36" s="186"/>
      <c r="NF36" s="186"/>
      <c r="NG36" s="186"/>
      <c r="NH36" s="186"/>
      <c r="NI36" s="186"/>
      <c r="NJ36" s="186"/>
      <c r="NK36" s="186"/>
      <c r="NL36" s="187"/>
      <c r="NP36" s="185"/>
      <c r="NQ36" s="186"/>
      <c r="NR36" s="186"/>
      <c r="NS36" s="186"/>
      <c r="NT36" s="186"/>
      <c r="NU36" s="186"/>
      <c r="NV36" s="186"/>
      <c r="NW36" s="186"/>
      <c r="NX36" s="186"/>
      <c r="NY36" s="186"/>
      <c r="NZ36" s="187"/>
      <c r="OD36" s="185"/>
      <c r="OE36" s="186"/>
      <c r="OF36" s="186"/>
      <c r="OG36" s="186"/>
      <c r="OH36" s="186"/>
      <c r="OI36" s="186"/>
      <c r="OJ36" s="186"/>
      <c r="OK36" s="186"/>
      <c r="OL36" s="186"/>
      <c r="OM36" s="186"/>
      <c r="ON36" s="187"/>
      <c r="OR36" s="185"/>
      <c r="OS36" s="186"/>
      <c r="OT36" s="186"/>
      <c r="OU36" s="186"/>
      <c r="OV36" s="186"/>
      <c r="OW36" s="186"/>
      <c r="OX36" s="186"/>
      <c r="OY36" s="186"/>
      <c r="OZ36" s="186"/>
      <c r="PA36" s="186"/>
      <c r="PB36" s="187"/>
      <c r="PF36" s="185"/>
      <c r="PG36" s="186"/>
      <c r="PH36" s="186"/>
      <c r="PI36" s="186"/>
      <c r="PJ36" s="186"/>
      <c r="PK36" s="186"/>
      <c r="PL36" s="186"/>
      <c r="PM36" s="186"/>
      <c r="PN36" s="186"/>
      <c r="PO36" s="186"/>
      <c r="PP36" s="187"/>
      <c r="PT36" s="185"/>
      <c r="PU36" s="186"/>
      <c r="PV36" s="186"/>
      <c r="PW36" s="186"/>
      <c r="PX36" s="186"/>
      <c r="PY36" s="186"/>
      <c r="PZ36" s="186"/>
      <c r="QA36" s="186"/>
      <c r="QB36" s="186"/>
      <c r="QC36" s="186"/>
      <c r="QD36" s="187"/>
      <c r="QH36" s="185"/>
      <c r="QI36" s="186"/>
      <c r="QJ36" s="186"/>
      <c r="QK36" s="186"/>
      <c r="QL36" s="186"/>
      <c r="QM36" s="186"/>
      <c r="QN36" s="186"/>
      <c r="QO36" s="186"/>
      <c r="QP36" s="186"/>
      <c r="QQ36" s="186"/>
      <c r="QR36" s="187"/>
      <c r="QV36" s="185"/>
      <c r="QW36" s="186"/>
      <c r="QX36" s="186"/>
      <c r="QY36" s="186"/>
      <c r="QZ36" s="186"/>
      <c r="RA36" s="186"/>
      <c r="RB36" s="186"/>
      <c r="RC36" s="186"/>
      <c r="RD36" s="186"/>
      <c r="RE36" s="186"/>
      <c r="RF36" s="187"/>
      <c r="RJ36" s="185"/>
      <c r="RK36" s="186"/>
      <c r="RL36" s="186"/>
      <c r="RM36" s="186"/>
      <c r="RN36" s="186"/>
      <c r="RO36" s="186"/>
      <c r="RP36" s="186"/>
      <c r="RQ36" s="186"/>
      <c r="RR36" s="186"/>
      <c r="RS36" s="186"/>
      <c r="RT36" s="187"/>
      <c r="RX36" s="185"/>
      <c r="RY36" s="186"/>
      <c r="RZ36" s="186"/>
      <c r="SA36" s="186"/>
      <c r="SB36" s="186"/>
      <c r="SC36" s="186"/>
      <c r="SD36" s="186"/>
      <c r="SE36" s="186"/>
      <c r="SF36" s="186"/>
      <c r="SG36" s="186"/>
      <c r="SH36" s="187"/>
      <c r="SL36" s="185"/>
      <c r="SM36" s="186"/>
      <c r="SN36" s="186"/>
      <c r="SO36" s="186"/>
      <c r="SP36" s="186"/>
      <c r="SQ36" s="186"/>
      <c r="SR36" s="186"/>
      <c r="SS36" s="186"/>
      <c r="ST36" s="186"/>
      <c r="SU36" s="186"/>
      <c r="SV36" s="187"/>
      <c r="SZ36" s="185"/>
      <c r="TA36" s="186"/>
      <c r="TB36" s="186"/>
      <c r="TC36" s="186"/>
      <c r="TD36" s="186"/>
      <c r="TE36" s="186"/>
      <c r="TF36" s="186"/>
      <c r="TG36" s="186"/>
      <c r="TH36" s="186"/>
      <c r="TI36" s="186"/>
      <c r="TJ36" s="187"/>
      <c r="TN36" s="185"/>
      <c r="TO36" s="186"/>
      <c r="TP36" s="186"/>
      <c r="TQ36" s="186"/>
      <c r="TR36" s="186"/>
      <c r="TS36" s="186"/>
      <c r="TT36" s="186"/>
      <c r="TU36" s="186"/>
      <c r="TV36" s="186"/>
      <c r="TW36" s="186"/>
      <c r="TX36" s="187"/>
      <c r="UB36" s="185"/>
      <c r="UC36" s="186"/>
      <c r="UD36" s="186"/>
      <c r="UE36" s="186"/>
      <c r="UF36" s="186"/>
      <c r="UG36" s="186"/>
      <c r="UH36" s="186"/>
      <c r="UI36" s="186"/>
      <c r="UJ36" s="186"/>
      <c r="UK36" s="186"/>
      <c r="UL36" s="187"/>
      <c r="UP36" s="185"/>
      <c r="UQ36" s="186"/>
      <c r="UR36" s="186"/>
      <c r="US36" s="186"/>
      <c r="UT36" s="186"/>
      <c r="UU36" s="186"/>
      <c r="UV36" s="186"/>
      <c r="UW36" s="186"/>
      <c r="UX36" s="186"/>
      <c r="UY36" s="186"/>
      <c r="UZ36" s="187"/>
      <c r="VD36" s="185"/>
      <c r="VE36" s="186"/>
      <c r="VF36" s="186"/>
      <c r="VG36" s="186"/>
      <c r="VH36" s="186"/>
      <c r="VI36" s="186"/>
      <c r="VJ36" s="186"/>
      <c r="VK36" s="186"/>
      <c r="VL36" s="186"/>
      <c r="VM36" s="186"/>
      <c r="VN36" s="187"/>
      <c r="VR36" s="185"/>
      <c r="VS36" s="186"/>
      <c r="VT36" s="186"/>
      <c r="VU36" s="186"/>
      <c r="VV36" s="186"/>
      <c r="VW36" s="186"/>
      <c r="VX36" s="186"/>
      <c r="VY36" s="186"/>
      <c r="VZ36" s="186"/>
      <c r="WA36" s="186"/>
      <c r="WB36" s="187"/>
      <c r="WF36" s="185"/>
      <c r="WG36" s="186"/>
      <c r="WH36" s="186"/>
      <c r="WI36" s="186"/>
      <c r="WJ36" s="186"/>
      <c r="WK36" s="186"/>
      <c r="WL36" s="186"/>
      <c r="WM36" s="186"/>
      <c r="WN36" s="186"/>
      <c r="WO36" s="186"/>
      <c r="WP36" s="187"/>
      <c r="WT36" s="185"/>
      <c r="WU36" s="186"/>
      <c r="WV36" s="186"/>
      <c r="WW36" s="186"/>
      <c r="WX36" s="186"/>
      <c r="WY36" s="186"/>
      <c r="WZ36" s="186"/>
      <c r="XA36" s="186"/>
      <c r="XB36" s="186"/>
      <c r="XC36" s="186"/>
      <c r="XD36" s="187"/>
      <c r="XH36" s="185"/>
      <c r="XI36" s="186"/>
      <c r="XJ36" s="186"/>
      <c r="XK36" s="186"/>
      <c r="XL36" s="186"/>
      <c r="XM36" s="186"/>
      <c r="XN36" s="186"/>
      <c r="XO36" s="186"/>
      <c r="XP36" s="186"/>
      <c r="XQ36" s="186"/>
      <c r="XR36" s="187"/>
      <c r="XV36" s="185"/>
      <c r="XW36" s="186"/>
      <c r="XX36" s="186"/>
      <c r="XY36" s="186"/>
      <c r="XZ36" s="186"/>
      <c r="YA36" s="186"/>
      <c r="YB36" s="186"/>
      <c r="YC36" s="186"/>
      <c r="YD36" s="186"/>
      <c r="YE36" s="186"/>
      <c r="YF36" s="187"/>
      <c r="YJ36" s="185"/>
      <c r="YK36" s="186"/>
      <c r="YL36" s="186"/>
      <c r="YM36" s="186"/>
      <c r="YN36" s="186"/>
      <c r="YO36" s="186"/>
      <c r="YP36" s="186"/>
      <c r="YQ36" s="186"/>
      <c r="YR36" s="186"/>
      <c r="YS36" s="186"/>
      <c r="YT36" s="187"/>
      <c r="YX36" s="185"/>
      <c r="YY36" s="186"/>
      <c r="YZ36" s="186"/>
      <c r="ZA36" s="186"/>
      <c r="ZB36" s="186"/>
      <c r="ZC36" s="186"/>
      <c r="ZD36" s="186"/>
      <c r="ZE36" s="186"/>
      <c r="ZF36" s="186"/>
      <c r="ZG36" s="186"/>
      <c r="ZH36" s="187"/>
      <c r="ZL36" s="185"/>
      <c r="ZM36" s="186"/>
      <c r="ZN36" s="186"/>
      <c r="ZO36" s="186"/>
      <c r="ZP36" s="186"/>
      <c r="ZQ36" s="186"/>
      <c r="ZR36" s="186"/>
      <c r="ZS36" s="186"/>
      <c r="ZT36" s="186"/>
      <c r="ZU36" s="186"/>
      <c r="ZV36" s="187"/>
      <c r="ZY36" s="4"/>
      <c r="ZZ36" s="8"/>
      <c r="AAA36" s="188"/>
      <c r="AAB36" s="188"/>
      <c r="AAC36" s="8"/>
      <c r="AAD36" s="8"/>
      <c r="AAE36" s="8"/>
      <c r="AAF36" s="181"/>
      <c r="AAG36" s="181"/>
      <c r="AAH36" s="181"/>
      <c r="AAI36" s="171"/>
      <c r="AAJ36" s="175"/>
      <c r="AAL36" s="4"/>
      <c r="AAM36" s="8"/>
      <c r="AAN36" s="188"/>
      <c r="AAO36" s="188"/>
      <c r="AAP36" s="8"/>
      <c r="AAQ36" s="8"/>
      <c r="AAR36" s="8"/>
      <c r="AAS36" s="181"/>
      <c r="AAT36" s="181"/>
      <c r="AAU36" s="181"/>
      <c r="AAV36" s="171"/>
      <c r="AAY36" s="4"/>
      <c r="AAZ36" s="8"/>
      <c r="ABA36" s="188"/>
      <c r="ABB36" s="188"/>
      <c r="ABC36" s="8"/>
      <c r="ABD36" s="8"/>
      <c r="ABE36" s="8"/>
      <c r="ABF36" s="181"/>
      <c r="ABG36" s="181"/>
      <c r="ABH36" s="181"/>
      <c r="ABI36" s="171"/>
      <c r="ABL36" s="4"/>
      <c r="ABM36" s="8"/>
      <c r="ABN36" s="188"/>
      <c r="ABO36" s="188"/>
      <c r="ABP36" s="8"/>
      <c r="ABQ36" s="8"/>
      <c r="ABR36" s="8"/>
      <c r="ABS36" s="181"/>
      <c r="ABT36" s="181"/>
      <c r="ABU36" s="181"/>
      <c r="ABV36" s="171"/>
      <c r="ABY36" s="4"/>
      <c r="ABZ36" s="8"/>
      <c r="ACA36" s="188"/>
      <c r="ACB36" s="188"/>
      <c r="ACC36" s="8"/>
      <c r="ACD36" s="8"/>
      <c r="ACE36" s="8"/>
      <c r="ACF36" s="181"/>
      <c r="ACG36" s="181"/>
      <c r="ACH36" s="181"/>
      <c r="ACI36" s="171"/>
      <c r="ACL36" s="4"/>
      <c r="ACM36" s="8"/>
      <c r="ACN36" s="188"/>
      <c r="ACO36" s="188"/>
      <c r="ACP36" s="8"/>
      <c r="ACQ36" s="8"/>
      <c r="ACR36" s="8"/>
      <c r="ACS36" s="181"/>
      <c r="ACT36" s="181"/>
      <c r="ACU36" s="181"/>
      <c r="ACV36" s="171"/>
      <c r="ACY36" s="4"/>
      <c r="ACZ36" s="8"/>
      <c r="ADA36" s="188"/>
      <c r="ADB36" s="188"/>
      <c r="ADC36" s="8"/>
      <c r="ADD36" s="8"/>
      <c r="ADE36" s="8"/>
      <c r="ADF36" s="181"/>
      <c r="ADG36" s="181"/>
      <c r="ADH36" s="181"/>
      <c r="ADI36" s="171"/>
      <c r="ADL36" s="4"/>
      <c r="ADM36" s="8"/>
      <c r="ADN36" s="188"/>
      <c r="ADO36" s="188"/>
      <c r="ADP36" s="8"/>
      <c r="ADQ36" s="8"/>
      <c r="ADR36" s="8"/>
      <c r="ADS36" s="181"/>
      <c r="ADT36" s="181"/>
      <c r="ADU36" s="181"/>
      <c r="ADV36" s="171"/>
      <c r="ADY36" s="4"/>
      <c r="ADZ36" s="8"/>
      <c r="AEA36" s="188"/>
      <c r="AEB36" s="188"/>
      <c r="AEC36" s="8"/>
      <c r="AED36" s="8"/>
      <c r="AEE36" s="8"/>
      <c r="AEF36" s="181"/>
      <c r="AEG36" s="181"/>
      <c r="AEH36" s="181"/>
      <c r="AEI36" s="171"/>
      <c r="AEL36" s="4"/>
      <c r="AEM36" s="8"/>
      <c r="AEN36" s="188"/>
      <c r="AEO36" s="188"/>
      <c r="AEP36" s="8"/>
      <c r="AEQ36" s="8"/>
      <c r="AER36" s="8"/>
      <c r="AES36" s="181"/>
      <c r="AET36" s="181"/>
      <c r="AEU36" s="181"/>
      <c r="AEV36" s="171"/>
      <c r="AEY36" s="4"/>
      <c r="AEZ36" s="8"/>
      <c r="AFA36" s="188"/>
      <c r="AFB36" s="188"/>
      <c r="AFC36" s="8"/>
      <c r="AFD36" s="8"/>
      <c r="AFE36" s="8"/>
      <c r="AFF36" s="181"/>
      <c r="AFG36" s="181"/>
      <c r="AFH36" s="181"/>
      <c r="AFI36" s="171"/>
      <c r="AFL36" s="4"/>
      <c r="AFM36" s="8"/>
      <c r="AFN36" s="188"/>
      <c r="AFO36" s="188"/>
      <c r="AFP36" s="8"/>
      <c r="AFQ36" s="8"/>
      <c r="AFR36" s="8"/>
      <c r="AFS36" s="181"/>
      <c r="AFT36" s="181"/>
      <c r="AFU36" s="181"/>
      <c r="AFV36" s="171"/>
      <c r="AFZ36" s="8"/>
      <c r="AGA36" s="188"/>
      <c r="AGB36" s="188"/>
      <c r="AGC36" s="8"/>
      <c r="AGD36" s="8"/>
      <c r="AGE36" s="8"/>
      <c r="AGF36" s="181"/>
      <c r="AGG36" s="181"/>
      <c r="AGH36" s="181"/>
      <c r="AGI36" s="171"/>
      <c r="AGL36" s="8"/>
      <c r="AGM36" s="188"/>
      <c r="AGN36" s="188"/>
      <c r="AGO36" s="8"/>
      <c r="AGP36" s="8"/>
      <c r="AGQ36" s="8"/>
      <c r="AGR36" s="181"/>
      <c r="AGS36" s="181"/>
      <c r="AGT36" s="181"/>
      <c r="AGU36" s="171"/>
      <c r="AGX36" s="8"/>
      <c r="AGY36" s="188"/>
      <c r="AGZ36" s="188"/>
      <c r="AHA36" s="8"/>
      <c r="AHB36" s="8"/>
      <c r="AHC36" s="8"/>
      <c r="AHD36" s="181"/>
      <c r="AHE36" s="181"/>
      <c r="AHF36" s="181"/>
      <c r="AHG36" s="171"/>
      <c r="AHJ36" s="8"/>
      <c r="AHK36" s="188"/>
      <c r="AHL36" s="188"/>
      <c r="AHM36" s="8"/>
      <c r="AHN36" s="8"/>
      <c r="AHO36" s="8"/>
      <c r="AHP36" s="181"/>
      <c r="AHQ36" s="181"/>
      <c r="AHR36" s="181"/>
      <c r="AHS36" s="171"/>
      <c r="AHV36" s="8"/>
      <c r="AHW36" s="188"/>
      <c r="AHX36" s="188"/>
      <c r="AHY36" s="8"/>
      <c r="AHZ36" s="8"/>
      <c r="AIA36" s="8"/>
      <c r="AIB36" s="181"/>
      <c r="AIC36" s="181"/>
      <c r="AID36" s="181"/>
      <c r="AIE36" s="171"/>
      <c r="AIH36" s="8"/>
      <c r="AII36" s="188"/>
      <c r="AIJ36" s="188"/>
      <c r="AIK36" s="8"/>
      <c r="AIL36" s="8"/>
      <c r="AIM36" s="8"/>
      <c r="AIN36" s="181"/>
      <c r="AIO36" s="181"/>
      <c r="AIP36" s="181"/>
      <c r="AIQ36" s="171"/>
      <c r="AIT36" s="8"/>
      <c r="AIU36" s="188"/>
      <c r="AIV36" s="188"/>
      <c r="AIW36" s="8"/>
      <c r="AIX36" s="8"/>
      <c r="AIY36" s="8"/>
      <c r="AIZ36" s="181"/>
      <c r="AJA36" s="181"/>
      <c r="AJB36" s="181"/>
      <c r="AJC36" s="171"/>
      <c r="AJF36" s="8"/>
      <c r="AJG36" s="188"/>
      <c r="AJH36" s="188"/>
      <c r="AJI36" s="8"/>
      <c r="AJJ36" s="8"/>
      <c r="AJK36" s="8"/>
      <c r="AJL36" s="181"/>
      <c r="AJM36" s="181"/>
      <c r="AJN36" s="181"/>
      <c r="AJO36" s="171"/>
      <c r="AJR36" s="8"/>
      <c r="AJS36" s="188"/>
      <c r="AJT36" s="188"/>
      <c r="AJU36" s="8"/>
      <c r="AJV36" s="8"/>
      <c r="AJW36" s="8"/>
      <c r="AJX36" s="181"/>
      <c r="AJY36" s="181"/>
      <c r="AJZ36" s="181"/>
      <c r="AKA36" s="171"/>
      <c r="AKD36" s="8"/>
      <c r="AKE36" s="188"/>
      <c r="AKF36" s="188"/>
      <c r="AKG36" s="8"/>
      <c r="AKH36" s="8"/>
      <c r="AKI36" s="8"/>
      <c r="AKJ36" s="181"/>
      <c r="AKK36" s="181"/>
      <c r="AKL36" s="181"/>
      <c r="AKM36" s="171"/>
      <c r="AKP36" s="8"/>
      <c r="AKQ36" s="188"/>
      <c r="AKR36" s="188"/>
      <c r="AKS36" s="8"/>
      <c r="AKT36" s="8"/>
      <c r="AKU36" s="8"/>
      <c r="AKV36" s="181"/>
      <c r="AKW36" s="181"/>
      <c r="AKX36" s="181"/>
      <c r="AKY36" s="171"/>
      <c r="ALB36" s="8"/>
      <c r="ALC36" s="188"/>
      <c r="ALD36" s="188"/>
      <c r="ALE36" s="8"/>
      <c r="ALF36" s="8"/>
      <c r="ALG36" s="8"/>
      <c r="ALH36" s="181"/>
      <c r="ALI36" s="181"/>
      <c r="ALJ36" s="181"/>
      <c r="ALK36" s="171"/>
      <c r="ALN36" s="8"/>
      <c r="ALO36" s="188"/>
      <c r="ALP36" s="188"/>
      <c r="ALQ36" s="8"/>
      <c r="ALR36" s="8"/>
      <c r="ALS36" s="8"/>
      <c r="ALT36" s="181"/>
      <c r="ALU36" s="181"/>
      <c r="ALV36" s="181"/>
      <c r="ALW36" s="171"/>
      <c r="ALZ36" s="8"/>
      <c r="AMA36" s="188"/>
      <c r="AMB36" s="188"/>
      <c r="AMC36" s="8"/>
      <c r="AMD36" s="8"/>
      <c r="AME36" s="8"/>
      <c r="AMF36" s="181"/>
      <c r="AMG36" s="181"/>
      <c r="AMH36" s="181"/>
      <c r="AMI36" s="171"/>
      <c r="AML36" s="8"/>
      <c r="AMM36" s="188"/>
      <c r="AMN36" s="188"/>
      <c r="AMO36" s="8"/>
      <c r="AMP36" s="8"/>
      <c r="AMQ36" s="8"/>
      <c r="AMR36" s="181"/>
      <c r="AMS36" s="181"/>
      <c r="AMT36" s="181"/>
      <c r="AMU36" s="171"/>
      <c r="AMX36" s="8"/>
      <c r="AMY36" s="188"/>
      <c r="AMZ36" s="188"/>
      <c r="ANA36" s="8"/>
      <c r="ANB36" s="8"/>
      <c r="ANC36" s="8"/>
      <c r="AND36" s="181"/>
      <c r="ANE36" s="181"/>
      <c r="ANF36" s="181"/>
      <c r="ANG36" s="171"/>
      <c r="ANJ36" s="8"/>
      <c r="ANK36" s="188"/>
      <c r="ANL36" s="188"/>
      <c r="ANM36" s="8"/>
      <c r="ANN36" s="8"/>
      <c r="ANO36" s="8"/>
      <c r="ANP36" s="181"/>
      <c r="ANQ36" s="181"/>
      <c r="ANR36" s="181"/>
      <c r="ANS36" s="171"/>
      <c r="ANV36" s="8"/>
      <c r="ANW36" s="188"/>
      <c r="ANX36" s="188"/>
      <c r="ANY36" s="8"/>
      <c r="ANZ36" s="8"/>
      <c r="AOA36" s="8"/>
      <c r="AOB36" s="181"/>
      <c r="AOC36" s="181"/>
      <c r="AOD36" s="181"/>
      <c r="AOE36" s="171"/>
      <c r="AOH36" s="8"/>
      <c r="AOI36" s="188"/>
      <c r="AOJ36" s="188"/>
      <c r="AOK36" s="8"/>
      <c r="AOL36" s="8"/>
      <c r="AOM36" s="8"/>
      <c r="AON36" s="181"/>
      <c r="AOO36" s="181"/>
      <c r="AOP36" s="181"/>
      <c r="AOQ36" s="171"/>
      <c r="AOT36" s="8"/>
      <c r="AOU36" s="188"/>
      <c r="AOV36" s="188"/>
      <c r="AOW36" s="8"/>
      <c r="AOX36" s="8"/>
      <c r="AOY36" s="8"/>
      <c r="AOZ36" s="181"/>
      <c r="APA36" s="181"/>
      <c r="APB36" s="181"/>
      <c r="APC36" s="171"/>
      <c r="APF36" s="8"/>
      <c r="APG36" s="188"/>
      <c r="APH36" s="188"/>
      <c r="API36" s="8"/>
      <c r="APJ36" s="8"/>
      <c r="APK36" s="8"/>
      <c r="APL36" s="181"/>
      <c r="APM36" s="181"/>
      <c r="APN36" s="181"/>
      <c r="APO36" s="171"/>
      <c r="APR36" s="8"/>
      <c r="APS36" s="188"/>
      <c r="APT36" s="188"/>
      <c r="APU36" s="8"/>
      <c r="APV36" s="8"/>
      <c r="APW36" s="8"/>
      <c r="APX36" s="181"/>
      <c r="APY36" s="181"/>
      <c r="APZ36" s="181"/>
      <c r="AQA36" s="171"/>
      <c r="AQD36" s="8"/>
      <c r="AQE36" s="188"/>
      <c r="AQF36" s="188"/>
      <c r="AQG36" s="8"/>
      <c r="AQH36" s="8"/>
      <c r="AQI36" s="8"/>
      <c r="AQJ36" s="181"/>
      <c r="AQK36" s="181"/>
      <c r="AQL36" s="181"/>
      <c r="AQM36" s="171"/>
      <c r="AQP36" s="8"/>
      <c r="AQQ36" s="188"/>
      <c r="AQR36" s="188"/>
      <c r="AQS36" s="8"/>
      <c r="AQT36" s="8"/>
      <c r="AQU36" s="8"/>
      <c r="AQV36" s="181"/>
      <c r="AQW36" s="181"/>
      <c r="AQX36" s="181"/>
      <c r="AQY36" s="171"/>
      <c r="ARB36" s="8"/>
      <c r="ARC36" s="188"/>
      <c r="ARD36" s="188"/>
      <c r="ARE36" s="8"/>
      <c r="ARF36" s="8"/>
      <c r="ARG36" s="8"/>
      <c r="ARH36" s="181"/>
      <c r="ARI36" s="181"/>
      <c r="ARJ36" s="181"/>
      <c r="ARK36" s="171"/>
      <c r="ARN36" s="8"/>
      <c r="ARO36" s="188"/>
      <c r="ARP36" s="188"/>
      <c r="ARQ36" s="8"/>
      <c r="ARR36" s="8"/>
      <c r="ARS36" s="8"/>
      <c r="ART36" s="181"/>
      <c r="ARU36" s="181"/>
      <c r="ARV36" s="181"/>
      <c r="ARW36" s="171"/>
      <c r="ARZ36" s="8"/>
      <c r="ASA36" s="188"/>
      <c r="ASB36" s="188"/>
      <c r="ASC36" s="8"/>
      <c r="ASD36" s="8"/>
      <c r="ASE36" s="8"/>
      <c r="ASF36" s="181"/>
      <c r="ASG36" s="181"/>
      <c r="ASH36" s="181"/>
      <c r="ASI36" s="171"/>
      <c r="ASL36" s="8"/>
      <c r="ASM36" s="188"/>
      <c r="ASN36" s="188"/>
      <c r="ASO36" s="8"/>
      <c r="ASP36" s="8"/>
      <c r="ASQ36" s="8"/>
      <c r="ASR36" s="181"/>
      <c r="ASS36" s="181"/>
      <c r="AST36" s="181"/>
      <c r="ASU36" s="171"/>
      <c r="ASX36" s="8"/>
      <c r="ASY36" s="188"/>
      <c r="ASZ36" s="188"/>
      <c r="ATA36" s="8"/>
      <c r="ATB36" s="8"/>
      <c r="ATC36" s="8"/>
      <c r="ATD36" s="181"/>
      <c r="ATE36" s="181"/>
      <c r="ATF36" s="181"/>
      <c r="ATG36" s="171"/>
      <c r="ATJ36" s="8"/>
      <c r="ATK36" s="188"/>
      <c r="ATL36" s="188"/>
      <c r="ATM36" s="8"/>
      <c r="ATN36" s="8"/>
      <c r="ATO36" s="8"/>
      <c r="ATP36" s="181"/>
      <c r="ATQ36" s="181"/>
      <c r="ATR36" s="181"/>
      <c r="ATS36" s="171"/>
      <c r="ATV36" s="8"/>
      <c r="ATW36" s="188"/>
      <c r="ATX36" s="188"/>
      <c r="ATY36" s="8"/>
      <c r="ATZ36" s="8"/>
      <c r="AUA36" s="8"/>
      <c r="AUB36" s="181"/>
      <c r="AUC36" s="181"/>
      <c r="AUD36" s="181"/>
      <c r="AUE36" s="171"/>
      <c r="AUH36" s="8"/>
      <c r="AUI36" s="188"/>
      <c r="AUJ36" s="188"/>
      <c r="AUK36" s="8"/>
      <c r="AUL36" s="8"/>
      <c r="AUM36" s="8"/>
      <c r="AUN36" s="181"/>
      <c r="AUO36" s="181"/>
      <c r="AUP36" s="181"/>
      <c r="AUQ36" s="171"/>
      <c r="AUT36" s="8"/>
      <c r="AUU36" s="188"/>
      <c r="AUV36" s="188"/>
      <c r="AUW36" s="8"/>
      <c r="AUX36" s="8"/>
      <c r="AUY36" s="8"/>
      <c r="AUZ36" s="181"/>
      <c r="AVA36" s="181"/>
      <c r="AVB36" s="181"/>
      <c r="AVC36" s="171"/>
      <c r="AVF36" s="8"/>
      <c r="AVG36" s="188"/>
      <c r="AVH36" s="188"/>
      <c r="AVI36" s="8"/>
      <c r="AVJ36" s="8"/>
      <c r="AVK36" s="8"/>
      <c r="AVL36" s="181"/>
      <c r="AVM36" s="181"/>
      <c r="AVN36" s="181"/>
      <c r="AVO36" s="171"/>
      <c r="AVR36" s="8"/>
      <c r="AVS36" s="188"/>
      <c r="AVT36" s="188"/>
      <c r="AVU36" s="8"/>
      <c r="AVV36" s="8"/>
      <c r="AVW36" s="8"/>
      <c r="AVX36" s="181"/>
      <c r="AVY36" s="181"/>
      <c r="AVZ36" s="181"/>
      <c r="AWA36" s="171"/>
      <c r="AWD36" s="8"/>
      <c r="AWE36" s="188"/>
      <c r="AWF36" s="188"/>
      <c r="AWG36" s="8"/>
      <c r="AWH36" s="8"/>
      <c r="AWI36" s="8"/>
      <c r="AWJ36" s="181"/>
      <c r="AWK36" s="181"/>
      <c r="AWL36" s="181"/>
      <c r="AWM36" s="171"/>
      <c r="AWP36" s="8"/>
      <c r="AWQ36" s="188"/>
      <c r="AWR36" s="188"/>
      <c r="AWS36" s="8"/>
      <c r="AWT36" s="8"/>
      <c r="AWU36" s="8"/>
      <c r="AWV36" s="181"/>
      <c r="AWW36" s="181"/>
      <c r="AWX36" s="181"/>
      <c r="AWY36" s="171"/>
      <c r="AXB36" s="8"/>
      <c r="AXC36" s="188"/>
      <c r="AXD36" s="188"/>
      <c r="AXE36" s="8"/>
      <c r="AXF36" s="8"/>
      <c r="AXG36" s="8"/>
      <c r="AXH36" s="181"/>
      <c r="AXI36" s="181"/>
      <c r="AXJ36" s="181"/>
      <c r="AXK36" s="171"/>
      <c r="AXN36" s="8"/>
      <c r="AXO36" s="188"/>
      <c r="AXP36" s="188"/>
      <c r="AXQ36" s="8"/>
      <c r="AXR36" s="8"/>
      <c r="AXS36" s="8"/>
      <c r="AXT36" s="181"/>
      <c r="AXU36" s="181"/>
      <c r="AXV36" s="181"/>
      <c r="AXW36" s="171"/>
      <c r="AXZ36" s="8"/>
      <c r="AYA36" s="188"/>
      <c r="AYB36" s="188"/>
      <c r="AYC36" s="8"/>
      <c r="AYD36" s="8"/>
      <c r="AYE36" s="8"/>
      <c r="AYF36" s="181"/>
      <c r="AYG36" s="181"/>
      <c r="AYH36" s="181"/>
      <c r="AYI36" s="171"/>
      <c r="AYL36" s="8"/>
      <c r="AYM36" s="188"/>
      <c r="AYN36" s="188"/>
      <c r="AYO36" s="8"/>
      <c r="AYP36" s="8"/>
      <c r="AYQ36" s="8"/>
      <c r="AYR36" s="181"/>
      <c r="AYS36" s="181"/>
      <c r="AYT36" s="181"/>
      <c r="AYU36" s="171"/>
      <c r="AYX36" s="8"/>
      <c r="AYY36" s="188"/>
      <c r="AYZ36" s="188"/>
      <c r="AZA36" s="8"/>
      <c r="AZB36" s="8"/>
      <c r="AZC36" s="8"/>
      <c r="AZD36" s="181"/>
      <c r="AZE36" s="181"/>
      <c r="AZF36" s="181"/>
      <c r="AZG36" s="171"/>
      <c r="AZJ36" s="8"/>
      <c r="AZK36" s="188"/>
      <c r="AZL36" s="188"/>
      <c r="AZM36" s="8"/>
      <c r="AZN36" s="8"/>
      <c r="AZO36" s="8"/>
      <c r="AZP36" s="181"/>
      <c r="AZQ36" s="181"/>
      <c r="AZR36" s="181"/>
      <c r="AZS36" s="171"/>
      <c r="AZV36" s="8"/>
      <c r="AZW36" s="188"/>
      <c r="AZX36" s="188"/>
      <c r="AZY36" s="8"/>
      <c r="AZZ36" s="8"/>
      <c r="BAA36" s="8"/>
      <c r="BAB36" s="181"/>
      <c r="BAC36" s="181"/>
      <c r="BAD36" s="181"/>
      <c r="BAE36" s="171"/>
      <c r="BAH36" s="8"/>
      <c r="BAI36" s="188"/>
      <c r="BAJ36" s="188"/>
      <c r="BAK36" s="8"/>
      <c r="BAL36" s="8"/>
      <c r="BAM36" s="8"/>
      <c r="BAN36" s="181"/>
      <c r="BAO36" s="181"/>
      <c r="BAP36" s="181"/>
      <c r="BAQ36" s="171"/>
      <c r="BAT36" s="8"/>
      <c r="BAU36" s="188"/>
      <c r="BAV36" s="188"/>
      <c r="BAW36" s="8"/>
      <c r="BAX36" s="8"/>
      <c r="BAY36" s="8"/>
      <c r="BAZ36" s="181"/>
      <c r="BBA36" s="181"/>
      <c r="BBB36" s="181"/>
      <c r="BBC36" s="171"/>
      <c r="BBF36" s="8"/>
      <c r="BBG36" s="188"/>
      <c r="BBH36" s="188"/>
      <c r="BBI36" s="8"/>
      <c r="BBJ36" s="8"/>
      <c r="BBK36" s="8"/>
      <c r="BBL36" s="181"/>
      <c r="BBM36" s="181"/>
      <c r="BBN36" s="181"/>
      <c r="BBO36" s="171"/>
      <c r="BBR36" s="8"/>
      <c r="BBS36" s="188"/>
      <c r="BBT36" s="188"/>
      <c r="BBU36" s="8"/>
      <c r="BBV36" s="8"/>
      <c r="BBW36" s="8"/>
      <c r="BBX36" s="181"/>
      <c r="BBY36" s="181"/>
      <c r="BBZ36" s="181"/>
      <c r="BCA36" s="171"/>
      <c r="BCD36" s="8"/>
      <c r="BCE36" s="188"/>
      <c r="BCF36" s="188"/>
      <c r="BCG36" s="8"/>
      <c r="BCH36" s="8"/>
      <c r="BCI36" s="8"/>
      <c r="BCJ36" s="181"/>
      <c r="BCK36" s="181"/>
      <c r="BCL36" s="181"/>
      <c r="BCM36" s="171"/>
      <c r="BCP36" s="8"/>
      <c r="BCQ36" s="188"/>
      <c r="BCR36" s="188"/>
      <c r="BCS36" s="8"/>
      <c r="BCT36" s="8"/>
      <c r="BCU36" s="8"/>
      <c r="BCV36" s="181"/>
      <c r="BCW36" s="181"/>
      <c r="BCX36" s="181"/>
      <c r="BCY36" s="171"/>
      <c r="BDB36" s="8"/>
      <c r="BDC36" s="188"/>
      <c r="BDD36" s="188"/>
      <c r="BDE36" s="8"/>
      <c r="BDF36" s="8"/>
      <c r="BDG36" s="8"/>
      <c r="BDH36" s="181"/>
      <c r="BDI36" s="181"/>
      <c r="BDJ36" s="181"/>
      <c r="BDK36" s="171"/>
      <c r="BDN36" s="8"/>
      <c r="BDO36" s="188"/>
      <c r="BDP36" s="188"/>
      <c r="BDQ36" s="8"/>
      <c r="BDR36" s="8"/>
      <c r="BDS36" s="8"/>
      <c r="BDT36" s="181"/>
      <c r="BDU36" s="181"/>
      <c r="BDV36" s="181"/>
      <c r="BDW36" s="171"/>
      <c r="BDZ36" s="8"/>
      <c r="BEA36" s="188"/>
      <c r="BEB36" s="188"/>
      <c r="BEC36" s="8"/>
      <c r="BED36" s="8"/>
      <c r="BEE36" s="8"/>
      <c r="BEF36" s="181"/>
      <c r="BEG36" s="181"/>
      <c r="BEH36" s="181"/>
      <c r="BEI36" s="171"/>
      <c r="BEL36" s="8"/>
      <c r="BEM36" s="188"/>
      <c r="BEN36" s="188"/>
      <c r="BEO36" s="8"/>
      <c r="BEP36" s="8"/>
      <c r="BEQ36" s="8"/>
      <c r="BER36" s="181"/>
      <c r="BES36" s="181"/>
      <c r="BET36" s="181"/>
      <c r="BEU36" s="171"/>
      <c r="BEX36" s="8"/>
      <c r="BEY36" s="188"/>
      <c r="BEZ36" s="188"/>
      <c r="BFA36" s="8"/>
      <c r="BFB36" s="8"/>
      <c r="BFC36" s="8"/>
      <c r="BFD36" s="181"/>
      <c r="BFE36" s="181"/>
      <c r="BFF36" s="181"/>
      <c r="BFG36" s="171"/>
      <c r="BFJ36" s="8"/>
      <c r="BFK36" s="188"/>
      <c r="BFL36" s="188"/>
      <c r="BFM36" s="8"/>
      <c r="BFN36" s="8"/>
      <c r="BFO36" s="8"/>
      <c r="BFP36" s="181"/>
      <c r="BFQ36" s="181"/>
      <c r="BFR36" s="181"/>
      <c r="BFS36" s="171"/>
      <c r="BFV36" s="8"/>
      <c r="BFW36" s="188"/>
      <c r="BFX36" s="188"/>
      <c r="BFY36" s="8"/>
      <c r="BFZ36" s="8"/>
      <c r="BGA36" s="8"/>
      <c r="BGB36" s="181"/>
      <c r="BGC36" s="181"/>
      <c r="BGD36" s="181"/>
      <c r="BGE36" s="171"/>
      <c r="BGH36" s="8"/>
      <c r="BGI36" s="188"/>
      <c r="BGJ36" s="188"/>
      <c r="BGK36" s="8"/>
      <c r="BGL36" s="8"/>
      <c r="BGM36" s="8"/>
      <c r="BGN36" s="181"/>
      <c r="BGO36" s="181"/>
      <c r="BGP36" s="181"/>
      <c r="BGQ36" s="171"/>
      <c r="BGT36" s="8"/>
      <c r="BGU36" s="188"/>
      <c r="BGV36" s="188"/>
      <c r="BGW36" s="8"/>
      <c r="BGX36" s="8"/>
      <c r="BGY36" s="8"/>
      <c r="BGZ36" s="181"/>
      <c r="BHA36" s="181"/>
      <c r="BHB36" s="181"/>
      <c r="BHC36" s="171"/>
      <c r="BHF36" s="8"/>
      <c r="BHG36" s="188"/>
      <c r="BHH36" s="188"/>
      <c r="BHI36" s="8"/>
      <c r="BHJ36" s="8"/>
      <c r="BHK36" s="8"/>
      <c r="BHL36" s="181"/>
      <c r="BHM36" s="181"/>
      <c r="BHN36" s="181"/>
      <c r="BHO36" s="171"/>
      <c r="BHR36" s="8"/>
      <c r="BHS36" s="188"/>
      <c r="BHT36" s="188"/>
      <c r="BHU36" s="8"/>
      <c r="BHV36" s="8"/>
      <c r="BHW36" s="8"/>
      <c r="BHX36" s="181"/>
      <c r="BHY36" s="181"/>
      <c r="BHZ36" s="181"/>
      <c r="BIA36" s="171"/>
      <c r="BID36" s="8"/>
      <c r="BIE36" s="188"/>
      <c r="BIF36" s="188"/>
      <c r="BIG36" s="8"/>
      <c r="BIH36" s="8"/>
      <c r="BII36" s="8"/>
      <c r="BIJ36" s="181"/>
      <c r="BIK36" s="181"/>
      <c r="BIL36" s="181"/>
      <c r="BIM36" s="171"/>
      <c r="BIP36" s="8"/>
      <c r="BIQ36" s="188"/>
      <c r="BIR36" s="188"/>
      <c r="BIS36" s="8"/>
      <c r="BIT36" s="8"/>
      <c r="BIU36" s="8"/>
      <c r="BIV36" s="181"/>
      <c r="BIW36" s="181"/>
      <c r="BIX36" s="181"/>
      <c r="BIY36" s="171"/>
      <c r="BJB36" s="8"/>
      <c r="BJC36" s="188"/>
      <c r="BJD36" s="188"/>
      <c r="BJE36" s="8"/>
      <c r="BJF36" s="8"/>
      <c r="BJG36" s="8"/>
      <c r="BJH36" s="181"/>
      <c r="BJI36" s="181"/>
      <c r="BJJ36" s="181"/>
      <c r="BJK36" s="171"/>
      <c r="BJN36" s="8"/>
      <c r="BJO36" s="188"/>
      <c r="BJP36" s="188"/>
      <c r="BJQ36" s="8"/>
      <c r="BJR36" s="8"/>
      <c r="BJS36" s="8"/>
      <c r="BJT36" s="181"/>
      <c r="BJU36" s="181"/>
      <c r="BJV36" s="181"/>
      <c r="BJW36" s="171"/>
      <c r="BJZ36" s="8"/>
      <c r="BKA36" s="188"/>
      <c r="BKB36" s="188"/>
      <c r="BKC36" s="8"/>
      <c r="BKD36" s="8"/>
      <c r="BKE36" s="8"/>
      <c r="BKF36" s="181"/>
      <c r="BKG36" s="181"/>
      <c r="BKH36" s="181"/>
      <c r="BKI36" s="171"/>
      <c r="BKL36" s="8"/>
      <c r="BKM36" s="188"/>
      <c r="BKN36" s="188"/>
      <c r="BKO36" s="8"/>
      <c r="BKP36" s="8"/>
      <c r="BKQ36" s="8"/>
      <c r="BKR36" s="181"/>
      <c r="BKS36" s="181"/>
      <c r="BKT36" s="181"/>
      <c r="BKU36" s="171"/>
      <c r="BKX36" s="8"/>
      <c r="BKY36" s="188"/>
      <c r="BKZ36" s="188"/>
      <c r="BLA36" s="8"/>
      <c r="BLB36" s="8"/>
      <c r="BLC36" s="8"/>
      <c r="BLD36" s="181"/>
      <c r="BLE36" s="181"/>
      <c r="BLF36" s="181"/>
      <c r="BLG36" s="171"/>
      <c r="BLJ36" s="8"/>
      <c r="BLK36" s="188"/>
      <c r="BLL36" s="188"/>
      <c r="BLM36" s="8"/>
      <c r="BLN36" s="8"/>
      <c r="BLO36" s="8"/>
      <c r="BLP36" s="181"/>
      <c r="BLQ36" s="181"/>
      <c r="BLR36" s="181"/>
      <c r="BLS36" s="171"/>
      <c r="BLV36" s="8"/>
      <c r="BLW36" s="188"/>
      <c r="BLX36" s="188"/>
      <c r="BLY36" s="8"/>
      <c r="BLZ36" s="8"/>
      <c r="BMA36" s="8"/>
      <c r="BMB36" s="181"/>
      <c r="BMC36" s="181"/>
      <c r="BMD36" s="181"/>
      <c r="BME36" s="171"/>
      <c r="BMH36" s="8"/>
      <c r="BMI36" s="188"/>
      <c r="BMJ36" s="188"/>
      <c r="BMK36" s="8"/>
      <c r="BML36" s="8"/>
      <c r="BMM36" s="8"/>
      <c r="BMN36" s="181"/>
      <c r="BMO36" s="181"/>
      <c r="BMP36" s="181"/>
      <c r="BMQ36" s="171"/>
      <c r="BMT36" s="8"/>
      <c r="BMU36" s="188"/>
      <c r="BMV36" s="188"/>
      <c r="BMW36" s="8"/>
      <c r="BMX36" s="8"/>
      <c r="BMY36" s="8"/>
      <c r="BMZ36" s="181"/>
      <c r="BNA36" s="181"/>
      <c r="BNB36" s="181"/>
      <c r="BNC36" s="171"/>
      <c r="BNF36" s="8"/>
      <c r="BNG36" s="188"/>
      <c r="BNH36" s="188"/>
      <c r="BNI36" s="8"/>
      <c r="BNJ36" s="8"/>
      <c r="BNK36" s="8"/>
      <c r="BNL36" s="181"/>
      <c r="BNM36" s="181"/>
      <c r="BNN36" s="181"/>
      <c r="BNO36" s="171"/>
      <c r="BNR36" s="8"/>
      <c r="BNS36" s="188"/>
      <c r="BNT36" s="188"/>
      <c r="BNU36" s="8"/>
      <c r="BNV36" s="8"/>
      <c r="BNW36" s="8"/>
      <c r="BNX36" s="181"/>
      <c r="BNY36" s="181"/>
      <c r="BNZ36" s="181"/>
      <c r="BOA36" s="171"/>
      <c r="BOD36" s="8"/>
      <c r="BOE36" s="188"/>
      <c r="BOF36" s="188"/>
      <c r="BOG36" s="8"/>
      <c r="BOH36" s="8"/>
      <c r="BOI36" s="8"/>
      <c r="BOJ36" s="181"/>
      <c r="BOK36" s="181"/>
      <c r="BOL36" s="181"/>
      <c r="BOM36" s="171"/>
      <c r="BOP36" s="8"/>
      <c r="BOQ36" s="188"/>
      <c r="BOR36" s="188"/>
      <c r="BOS36" s="8"/>
      <c r="BOT36" s="8"/>
      <c r="BOU36" s="8"/>
      <c r="BOV36" s="181"/>
      <c r="BOW36" s="181"/>
      <c r="BOX36" s="181"/>
      <c r="BOY36" s="171"/>
      <c r="BPB36" s="8"/>
      <c r="BPC36" s="188"/>
      <c r="BPD36" s="188"/>
      <c r="BPE36" s="8"/>
      <c r="BPF36" s="8"/>
      <c r="BPG36" s="8"/>
      <c r="BPH36" s="181"/>
      <c r="BPI36" s="181"/>
      <c r="BPJ36" s="181"/>
      <c r="BPK36" s="171"/>
      <c r="BPN36" s="8"/>
      <c r="BPO36" s="188"/>
      <c r="BPP36" s="188"/>
      <c r="BPQ36" s="8"/>
      <c r="BPR36" s="8"/>
      <c r="BPS36" s="8"/>
      <c r="BPT36" s="181"/>
      <c r="BPU36" s="181"/>
      <c r="BPV36" s="181"/>
      <c r="BPW36" s="171"/>
      <c r="BPZ36" s="8"/>
      <c r="BQA36" s="188"/>
      <c r="BQB36" s="188"/>
      <c r="BQC36" s="8"/>
      <c r="BQD36" s="8"/>
      <c r="BQE36" s="8"/>
      <c r="BQF36" s="181"/>
      <c r="BQG36" s="181"/>
      <c r="BQH36" s="181"/>
      <c r="BQI36" s="171"/>
      <c r="BQL36" s="8"/>
      <c r="BQM36" s="188"/>
      <c r="BQN36" s="188"/>
      <c r="BQO36" s="8"/>
      <c r="BQP36" s="8"/>
      <c r="BQQ36" s="8"/>
      <c r="BQR36" s="181"/>
      <c r="BQS36" s="181"/>
      <c r="BQT36" s="181"/>
      <c r="BQU36" s="171"/>
      <c r="BQX36" s="8"/>
      <c r="BQY36" s="188"/>
      <c r="BQZ36" s="188"/>
      <c r="BRA36" s="8"/>
      <c r="BRB36" s="8"/>
      <c r="BRC36" s="8"/>
      <c r="BRD36" s="181"/>
      <c r="BRE36" s="181"/>
      <c r="BRF36" s="181"/>
      <c r="BRG36" s="171"/>
      <c r="BRJ36" s="8"/>
      <c r="BRK36" s="188"/>
      <c r="BRL36" s="188"/>
      <c r="BRM36" s="8"/>
      <c r="BRN36" s="8"/>
      <c r="BRO36" s="8"/>
      <c r="BRP36" s="181"/>
      <c r="BRQ36" s="181"/>
      <c r="BRR36" s="181"/>
      <c r="BRS36" s="171"/>
      <c r="BRV36" s="8"/>
      <c r="BRW36" s="188"/>
      <c r="BRX36" s="188"/>
      <c r="BRY36" s="8"/>
      <c r="BRZ36" s="8"/>
      <c r="BSA36" s="8"/>
      <c r="BSB36" s="181"/>
      <c r="BSC36" s="181"/>
      <c r="BSD36" s="181"/>
      <c r="BSE36" s="171"/>
      <c r="BSH36" s="8"/>
      <c r="BSI36" s="188"/>
      <c r="BSJ36" s="188"/>
      <c r="BSK36" s="8"/>
      <c r="BSL36" s="8"/>
      <c r="BSM36" s="8"/>
      <c r="BSN36" s="181"/>
      <c r="BSO36" s="181"/>
      <c r="BSP36" s="181"/>
      <c r="BSQ36" s="171"/>
      <c r="BST36" s="8"/>
      <c r="BSU36" s="188"/>
      <c r="BSV36" s="188"/>
      <c r="BSW36" s="8"/>
      <c r="BSX36" s="8"/>
      <c r="BSY36" s="8"/>
      <c r="BSZ36" s="181"/>
      <c r="BTA36" s="181"/>
      <c r="BTB36" s="181"/>
      <c r="BTC36" s="171"/>
      <c r="BTF36" s="8"/>
      <c r="BTG36" s="188"/>
      <c r="BTH36" s="188"/>
      <c r="BTI36" s="8"/>
      <c r="BTJ36" s="8"/>
      <c r="BTK36" s="8"/>
      <c r="BTL36" s="181"/>
      <c r="BTM36" s="181"/>
      <c r="BTN36" s="181"/>
      <c r="BTO36" s="171"/>
      <c r="BTR36" s="8"/>
      <c r="BTS36" s="188"/>
      <c r="BTT36" s="188"/>
      <c r="BTU36" s="8"/>
      <c r="BTV36" s="8"/>
      <c r="BTW36" s="8"/>
      <c r="BTX36" s="181"/>
      <c r="BTY36" s="181"/>
      <c r="BTZ36" s="181"/>
      <c r="BUA36" s="171"/>
      <c r="BUD36" s="8"/>
      <c r="BUE36" s="188"/>
      <c r="BUF36" s="188"/>
      <c r="BUG36" s="8"/>
      <c r="BUH36" s="8"/>
      <c r="BUI36" s="8"/>
      <c r="BUJ36" s="181"/>
      <c r="BUK36" s="181"/>
      <c r="BUL36" s="181"/>
      <c r="BUM36" s="171"/>
      <c r="BUP36" s="8"/>
      <c r="BUQ36" s="188"/>
      <c r="BUR36" s="188"/>
      <c r="BUS36" s="8"/>
      <c r="BUT36" s="8"/>
      <c r="BUU36" s="8"/>
      <c r="BUV36" s="181"/>
      <c r="BUW36" s="181"/>
      <c r="BUX36" s="181"/>
      <c r="BUY36" s="171"/>
      <c r="BVB36" s="8"/>
      <c r="BVC36" s="188"/>
      <c r="BVD36" s="188"/>
      <c r="BVE36" s="8"/>
      <c r="BVF36" s="8"/>
      <c r="BVG36" s="8"/>
      <c r="BVH36" s="181"/>
      <c r="BVI36" s="181"/>
      <c r="BVJ36" s="181"/>
      <c r="BVK36" s="171"/>
      <c r="BVN36" s="8"/>
      <c r="BVO36" s="188"/>
      <c r="BVP36" s="188"/>
      <c r="BVQ36" s="8"/>
      <c r="BVR36" s="8"/>
      <c r="BVS36" s="8"/>
      <c r="BVT36" s="181"/>
      <c r="BVU36" s="181"/>
      <c r="BVV36" s="181"/>
      <c r="BVW36" s="171"/>
      <c r="BVZ36" s="8"/>
      <c r="BWA36" s="188"/>
      <c r="BWB36" s="188"/>
      <c r="BWC36" s="8"/>
      <c r="BWD36" s="8"/>
      <c r="BWE36" s="8"/>
      <c r="BWF36" s="181"/>
      <c r="BWG36" s="181"/>
      <c r="BWH36" s="181"/>
      <c r="BWI36" s="171"/>
      <c r="BWL36" s="8"/>
      <c r="BWM36" s="188"/>
      <c r="BWN36" s="188"/>
      <c r="BWO36" s="8"/>
      <c r="BWP36" s="8"/>
      <c r="BWQ36" s="8"/>
      <c r="BWR36" s="181"/>
      <c r="BWS36" s="181"/>
      <c r="BWT36" s="181"/>
      <c r="BWU36" s="171"/>
      <c r="BWX36" s="8"/>
      <c r="BWY36" s="188"/>
      <c r="BWZ36" s="188"/>
      <c r="BXA36" s="8"/>
      <c r="BXB36" s="8"/>
      <c r="BXC36" s="8"/>
      <c r="BXD36" s="181"/>
      <c r="BXE36" s="181"/>
      <c r="BXF36" s="181"/>
      <c r="BXG36" s="171"/>
      <c r="BXJ36" s="8"/>
      <c r="BXK36" s="188"/>
      <c r="BXL36" s="188"/>
      <c r="BXM36" s="8"/>
      <c r="BXN36" s="8"/>
      <c r="BXO36" s="8"/>
      <c r="BXP36" s="181"/>
      <c r="BXQ36" s="181"/>
      <c r="BXR36" s="181"/>
      <c r="BXS36" s="171"/>
      <c r="BXV36" s="8"/>
      <c r="BXW36" s="188"/>
      <c r="BXX36" s="188"/>
      <c r="BXY36" s="8"/>
      <c r="BXZ36" s="8"/>
      <c r="BYA36" s="8"/>
      <c r="BYB36" s="181"/>
      <c r="BYC36" s="181"/>
      <c r="BYD36" s="181"/>
      <c r="BYE36" s="171"/>
      <c r="BYH36" s="8"/>
      <c r="BYI36" s="188"/>
      <c r="BYJ36" s="188"/>
      <c r="BYK36" s="8"/>
      <c r="BYL36" s="8"/>
      <c r="BYM36" s="8"/>
      <c r="BYN36" s="181"/>
      <c r="BYO36" s="181"/>
      <c r="BYP36" s="181"/>
      <c r="BYQ36" s="171"/>
      <c r="BYT36" s="8"/>
      <c r="BYU36" s="188"/>
      <c r="BYV36" s="188"/>
      <c r="BYW36" s="8"/>
      <c r="BYX36" s="8"/>
      <c r="BYY36" s="8"/>
      <c r="BYZ36" s="181"/>
      <c r="BZA36" s="181"/>
      <c r="BZB36" s="181"/>
      <c r="BZC36" s="171"/>
      <c r="BZF36" s="8"/>
      <c r="BZG36" s="188"/>
      <c r="BZH36" s="188"/>
      <c r="BZI36" s="8"/>
      <c r="BZJ36" s="8"/>
      <c r="BZK36" s="8"/>
      <c r="BZL36" s="181"/>
      <c r="BZM36" s="181"/>
      <c r="BZN36" s="181"/>
      <c r="BZO36" s="171"/>
      <c r="BZR36" s="8"/>
      <c r="BZS36" s="188"/>
      <c r="BZT36" s="188"/>
      <c r="BZU36" s="8"/>
      <c r="BZV36" s="8"/>
      <c r="BZW36" s="8"/>
      <c r="BZX36" s="181"/>
      <c r="BZY36" s="181"/>
      <c r="BZZ36" s="181"/>
      <c r="CAA36" s="171"/>
      <c r="CAD36" s="8"/>
      <c r="CAE36" s="188"/>
      <c r="CAF36" s="188"/>
      <c r="CAG36" s="8"/>
      <c r="CAH36" s="8"/>
      <c r="CAI36" s="8"/>
      <c r="CAJ36" s="181"/>
      <c r="CAK36" s="181"/>
      <c r="CAL36" s="181"/>
      <c r="CAM36" s="171"/>
      <c r="CAP36" s="8"/>
      <c r="CAQ36" s="188"/>
      <c r="CAR36" s="188"/>
      <c r="CAS36" s="8"/>
      <c r="CAT36" s="8"/>
      <c r="CAU36" s="8"/>
      <c r="CAV36" s="181"/>
      <c r="CAW36" s="181"/>
      <c r="CAX36" s="181"/>
      <c r="CAY36" s="171"/>
      <c r="CBB36" s="8"/>
      <c r="CBC36" s="188"/>
      <c r="CBD36" s="188"/>
      <c r="CBE36" s="8"/>
      <c r="CBF36" s="8"/>
      <c r="CBG36" s="8"/>
      <c r="CBH36" s="181"/>
      <c r="CBI36" s="181"/>
      <c r="CBJ36" s="181"/>
      <c r="CBK36" s="171"/>
      <c r="CBN36" s="8"/>
      <c r="CBO36" s="188"/>
      <c r="CBP36" s="188"/>
      <c r="CBQ36" s="8"/>
      <c r="CBR36" s="8"/>
      <c r="CBS36" s="8"/>
      <c r="CBT36" s="181"/>
      <c r="CBU36" s="181"/>
      <c r="CBV36" s="181"/>
      <c r="CBW36" s="171"/>
      <c r="CBZ36" s="8"/>
      <c r="CCA36" s="188"/>
      <c r="CCB36" s="188"/>
      <c r="CCC36" s="8"/>
      <c r="CCD36" s="8"/>
      <c r="CCE36" s="8"/>
      <c r="CCF36" s="181"/>
      <c r="CCG36" s="181"/>
      <c r="CCH36" s="181"/>
      <c r="CCI36" s="171"/>
      <c r="CCL36" s="8"/>
      <c r="CCM36" s="188"/>
      <c r="CCN36" s="188"/>
      <c r="CCO36" s="8"/>
      <c r="CCP36" s="8"/>
      <c r="CCQ36" s="8"/>
      <c r="CCR36" s="181"/>
      <c r="CCS36" s="181"/>
      <c r="CCT36" s="181"/>
      <c r="CCU36" s="171"/>
      <c r="CCX36" s="8"/>
      <c r="CCY36" s="188"/>
      <c r="CCZ36" s="188"/>
      <c r="CDA36" s="8"/>
      <c r="CDB36" s="8"/>
      <c r="CDC36" s="8"/>
      <c r="CDD36" s="181"/>
      <c r="CDE36" s="181"/>
      <c r="CDF36" s="181"/>
      <c r="CDG36" s="171"/>
      <c r="CDJ36" s="8"/>
      <c r="CDK36" s="188"/>
      <c r="CDL36" s="188"/>
      <c r="CDM36" s="8"/>
      <c r="CDN36" s="8"/>
      <c r="CDO36" s="8"/>
      <c r="CDP36" s="181"/>
      <c r="CDQ36" s="181"/>
      <c r="CDR36" s="181"/>
      <c r="CDS36" s="171"/>
      <c r="CDV36" s="8"/>
      <c r="CDW36" s="188"/>
      <c r="CDX36" s="188"/>
      <c r="CDY36" s="8"/>
      <c r="CDZ36" s="8"/>
      <c r="CEA36" s="8"/>
      <c r="CEB36" s="181"/>
      <c r="CEC36" s="181"/>
      <c r="CED36" s="181"/>
      <c r="CEE36" s="171"/>
      <c r="CEH36" s="8"/>
      <c r="CEI36" s="188"/>
      <c r="CEJ36" s="188"/>
      <c r="CEK36" s="8"/>
      <c r="CEL36" s="8"/>
      <c r="CEM36" s="8"/>
      <c r="CEN36" s="181"/>
      <c r="CEO36" s="181"/>
      <c r="CEP36" s="181"/>
      <c r="CEQ36" s="171"/>
      <c r="CET36" s="8"/>
      <c r="CEU36" s="188"/>
      <c r="CEV36" s="188"/>
      <c r="CEW36" s="8"/>
      <c r="CEX36" s="8"/>
      <c r="CEY36" s="8"/>
      <c r="CEZ36" s="181"/>
      <c r="CFA36" s="181"/>
      <c r="CFB36" s="181"/>
      <c r="CFC36" s="171"/>
      <c r="CFF36" s="8"/>
      <c r="CFG36" s="188"/>
      <c r="CFH36" s="188"/>
      <c r="CFI36" s="8"/>
      <c r="CFJ36" s="8"/>
      <c r="CFK36" s="8"/>
      <c r="CFL36" s="181"/>
      <c r="CFM36" s="181"/>
      <c r="CFN36" s="181"/>
      <c r="CFO36" s="171"/>
      <c r="CFR36" s="8"/>
      <c r="CFS36" s="188"/>
      <c r="CFT36" s="188"/>
      <c r="CFU36" s="8"/>
      <c r="CFV36" s="8"/>
      <c r="CFW36" s="8"/>
      <c r="CFX36" s="181"/>
      <c r="CFY36" s="181"/>
      <c r="CFZ36" s="181"/>
      <c r="CGA36" s="171"/>
      <c r="CGD36" s="8"/>
      <c r="CGE36" s="188"/>
      <c r="CGF36" s="188"/>
      <c r="CGG36" s="8"/>
      <c r="CGH36" s="8"/>
      <c r="CGI36" s="8"/>
      <c r="CGJ36" s="181"/>
      <c r="CGK36" s="181"/>
      <c r="CGL36" s="181"/>
      <c r="CGM36" s="171"/>
      <c r="CGP36" s="8"/>
      <c r="CGQ36" s="188"/>
      <c r="CGR36" s="188"/>
      <c r="CGS36" s="8"/>
      <c r="CGT36" s="8"/>
      <c r="CGU36" s="8"/>
      <c r="CGV36" s="181"/>
      <c r="CGW36" s="181"/>
      <c r="CGX36" s="181"/>
      <c r="CGY36" s="171"/>
      <c r="CHB36" s="8"/>
      <c r="CHC36" s="188"/>
      <c r="CHD36" s="188"/>
      <c r="CHE36" s="8"/>
      <c r="CHF36" s="8"/>
      <c r="CHG36" s="8"/>
      <c r="CHH36" s="181"/>
      <c r="CHI36" s="181"/>
      <c r="CHJ36" s="181"/>
      <c r="CHK36" s="171"/>
      <c r="CHN36" s="8"/>
      <c r="CHO36" s="188"/>
      <c r="CHP36" s="188"/>
      <c r="CHQ36" s="8"/>
      <c r="CHR36" s="8"/>
      <c r="CHS36" s="8"/>
      <c r="CHT36" s="181"/>
      <c r="CHU36" s="181"/>
      <c r="CHV36" s="181"/>
      <c r="CHW36" s="171"/>
      <c r="CHZ36" s="8"/>
      <c r="CIA36" s="188"/>
      <c r="CIB36" s="188"/>
      <c r="CIC36" s="8"/>
      <c r="CID36" s="8"/>
      <c r="CIE36" s="8"/>
      <c r="CIF36" s="181"/>
      <c r="CIG36" s="181"/>
      <c r="CIH36" s="181"/>
      <c r="CII36" s="171"/>
      <c r="CIL36" s="8"/>
      <c r="CIM36" s="188"/>
      <c r="CIN36" s="188"/>
      <c r="CIO36" s="8"/>
      <c r="CIP36" s="8"/>
      <c r="CIQ36" s="8"/>
      <c r="CIR36" s="181"/>
      <c r="CIS36" s="181"/>
      <c r="CIT36" s="181"/>
      <c r="CIU36" s="171"/>
      <c r="CIX36" s="8"/>
      <c r="CIY36" s="188"/>
      <c r="CIZ36" s="188"/>
      <c r="CJA36" s="8"/>
      <c r="CJB36" s="8"/>
      <c r="CJC36" s="8"/>
      <c r="CJD36" s="181"/>
      <c r="CJE36" s="181"/>
      <c r="CJF36" s="181"/>
      <c r="CJG36" s="171"/>
      <c r="CJJ36" s="8"/>
      <c r="CJK36" s="188"/>
      <c r="CJL36" s="188"/>
      <c r="CJM36" s="8"/>
      <c r="CJN36" s="8"/>
      <c r="CJO36" s="8"/>
      <c r="CJP36" s="181"/>
      <c r="CJQ36" s="181"/>
      <c r="CJR36" s="181"/>
      <c r="CJS36" s="171"/>
      <c r="CJV36" s="8"/>
      <c r="CJW36" s="188"/>
      <c r="CJX36" s="188"/>
      <c r="CJY36" s="8"/>
      <c r="CJZ36" s="8"/>
      <c r="CKA36" s="8"/>
      <c r="CKB36" s="181"/>
      <c r="CKC36" s="181"/>
      <c r="CKD36" s="181"/>
      <c r="CKE36" s="171"/>
      <c r="CKH36" s="8"/>
      <c r="CKI36" s="188"/>
      <c r="CKJ36" s="188"/>
      <c r="CKK36" s="8"/>
      <c r="CKL36" s="8"/>
      <c r="CKM36" s="8"/>
      <c r="CKN36" s="181"/>
      <c r="CKO36" s="181"/>
      <c r="CKP36" s="181"/>
      <c r="CKQ36" s="171"/>
      <c r="CKT36" s="8"/>
      <c r="CKU36" s="188"/>
      <c r="CKV36" s="188"/>
      <c r="CKW36" s="8"/>
      <c r="CKX36" s="8"/>
      <c r="CKY36" s="8"/>
      <c r="CKZ36" s="181"/>
      <c r="CLA36" s="181"/>
      <c r="CLB36" s="181"/>
      <c r="CLC36" s="171"/>
      <c r="CLF36" s="8"/>
      <c r="CLG36" s="188"/>
      <c r="CLH36" s="188"/>
      <c r="CLI36" s="8"/>
      <c r="CLJ36" s="8"/>
      <c r="CLK36" s="8"/>
      <c r="CLL36" s="181"/>
      <c r="CLM36" s="181"/>
      <c r="CLN36" s="181"/>
      <c r="CLO36" s="171"/>
      <c r="CLR36" s="8"/>
      <c r="CLS36" s="188"/>
      <c r="CLT36" s="188"/>
      <c r="CLU36" s="8"/>
      <c r="CLV36" s="8"/>
      <c r="CLW36" s="8"/>
      <c r="CLX36" s="181"/>
      <c r="CLY36" s="181"/>
      <c r="CLZ36" s="181"/>
      <c r="CMA36" s="171"/>
      <c r="CMD36" s="8"/>
      <c r="CME36" s="188"/>
      <c r="CMF36" s="188"/>
      <c r="CMG36" s="8"/>
      <c r="CMH36" s="8"/>
      <c r="CMI36" s="8"/>
      <c r="CMJ36" s="181"/>
      <c r="CMK36" s="181"/>
      <c r="CML36" s="181"/>
      <c r="CMM36" s="171"/>
      <c r="CMP36" s="8"/>
      <c r="CMQ36" s="188"/>
      <c r="CMR36" s="188"/>
      <c r="CMS36" s="8"/>
      <c r="CMT36" s="8"/>
      <c r="CMU36" s="8"/>
      <c r="CMV36" s="181"/>
      <c r="CMW36" s="181"/>
      <c r="CMX36" s="181"/>
      <c r="CMY36" s="171"/>
      <c r="CNB36" s="8"/>
      <c r="CNC36" s="188"/>
      <c r="CND36" s="188"/>
      <c r="CNE36" s="8"/>
      <c r="CNF36" s="8"/>
      <c r="CNG36" s="8"/>
      <c r="CNH36" s="181"/>
      <c r="CNI36" s="181"/>
      <c r="CNJ36" s="181"/>
      <c r="CNK36" s="171"/>
      <c r="CNN36" s="8"/>
      <c r="CNO36" s="188"/>
      <c r="CNP36" s="188"/>
      <c r="CNQ36" s="8"/>
      <c r="CNR36" s="8"/>
      <c r="CNS36" s="8"/>
      <c r="CNT36" s="181"/>
      <c r="CNU36" s="181"/>
      <c r="CNV36" s="181"/>
      <c r="CNW36" s="171"/>
      <c r="CNZ36" s="8"/>
      <c r="COA36" s="188"/>
      <c r="COB36" s="188"/>
      <c r="COC36" s="8"/>
      <c r="COD36" s="8"/>
      <c r="COE36" s="8"/>
      <c r="COF36" s="181"/>
      <c r="COG36" s="181"/>
      <c r="COH36" s="181"/>
      <c r="COI36" s="171"/>
      <c r="COL36" s="8"/>
      <c r="COM36" s="188"/>
      <c r="CON36" s="188"/>
      <c r="COO36" s="8"/>
      <c r="COP36" s="8"/>
      <c r="COQ36" s="8"/>
      <c r="COR36" s="181"/>
      <c r="COS36" s="181"/>
      <c r="COT36" s="181"/>
      <c r="COU36" s="171"/>
      <c r="COX36" s="8"/>
      <c r="COY36" s="188"/>
      <c r="COZ36" s="188"/>
      <c r="CPA36" s="8"/>
      <c r="CPB36" s="8"/>
      <c r="CPC36" s="8"/>
      <c r="CPD36" s="181"/>
      <c r="CPE36" s="181"/>
      <c r="CPF36" s="181"/>
      <c r="CPG36" s="171"/>
      <c r="CPJ36" s="8"/>
      <c r="CPK36" s="188"/>
      <c r="CPL36" s="188"/>
      <c r="CPM36" s="8"/>
      <c r="CPN36" s="8"/>
      <c r="CPO36" s="8"/>
      <c r="CPP36" s="181"/>
      <c r="CPQ36" s="181"/>
      <c r="CPR36" s="181"/>
      <c r="CPS36" s="171"/>
      <c r="CPV36" s="8"/>
      <c r="CPW36" s="188"/>
      <c r="CPX36" s="188"/>
      <c r="CPY36" s="8"/>
      <c r="CPZ36" s="8"/>
      <c r="CQA36" s="8"/>
      <c r="CQB36" s="181"/>
      <c r="CQC36" s="181"/>
      <c r="CQD36" s="181"/>
      <c r="CQE36" s="171"/>
      <c r="CQH36" s="8"/>
      <c r="CQI36" s="188"/>
      <c r="CQJ36" s="188"/>
      <c r="CQK36" s="8"/>
      <c r="CQL36" s="8"/>
      <c r="CQM36" s="8"/>
      <c r="CQN36" s="181"/>
      <c r="CQO36" s="181"/>
      <c r="CQP36" s="181"/>
      <c r="CQQ36" s="171"/>
      <c r="CQT36" s="8"/>
      <c r="CQU36" s="188"/>
      <c r="CQV36" s="188"/>
      <c r="CQW36" s="8"/>
      <c r="CQX36" s="8"/>
      <c r="CQY36" s="8"/>
      <c r="CQZ36" s="181"/>
      <c r="CRA36" s="181"/>
      <c r="CRB36" s="181"/>
      <c r="CRC36" s="171"/>
      <c r="CRF36" s="8"/>
      <c r="CRG36" s="188"/>
      <c r="CRH36" s="188"/>
      <c r="CRI36" s="8"/>
      <c r="CRJ36" s="8"/>
      <c r="CRK36" s="8"/>
      <c r="CRL36" s="181"/>
      <c r="CRM36" s="181"/>
      <c r="CRN36" s="181"/>
      <c r="CRO36" s="171"/>
      <c r="CRR36" s="8"/>
      <c r="CRS36" s="188"/>
      <c r="CRT36" s="188"/>
      <c r="CRU36" s="8"/>
      <c r="CRV36" s="8"/>
      <c r="CRW36" s="8"/>
      <c r="CRX36" s="181"/>
      <c r="CRY36" s="181"/>
      <c r="CRZ36" s="181"/>
      <c r="CSA36" s="171"/>
      <c r="CSD36" s="8"/>
      <c r="CSE36" s="188"/>
      <c r="CSF36" s="188"/>
      <c r="CSG36" s="8"/>
      <c r="CSH36" s="8"/>
      <c r="CSI36" s="8"/>
      <c r="CSJ36" s="181"/>
      <c r="CSK36" s="181"/>
      <c r="CSL36" s="181"/>
      <c r="CSM36" s="171"/>
      <c r="CSP36" s="8"/>
      <c r="CSQ36" s="188"/>
      <c r="CSR36" s="188"/>
      <c r="CSS36" s="8"/>
      <c r="CST36" s="8"/>
      <c r="CSU36" s="8"/>
      <c r="CSV36" s="181"/>
      <c r="CSW36" s="181"/>
      <c r="CSX36" s="181"/>
      <c r="CSY36" s="171"/>
      <c r="CTB36" s="8"/>
      <c r="CTC36" s="188"/>
      <c r="CTD36" s="188"/>
      <c r="CTE36" s="8"/>
      <c r="CTF36" s="8"/>
      <c r="CTG36" s="8"/>
      <c r="CTH36" s="181"/>
      <c r="CTI36" s="181"/>
      <c r="CTJ36" s="181"/>
      <c r="CTK36" s="171"/>
      <c r="CTN36" s="8"/>
      <c r="CTO36" s="188"/>
      <c r="CTP36" s="188"/>
      <c r="CTQ36" s="8"/>
      <c r="CTR36" s="8"/>
      <c r="CTS36" s="8"/>
      <c r="CTT36" s="181"/>
      <c r="CTU36" s="181"/>
      <c r="CTV36" s="181"/>
      <c r="CTW36" s="171"/>
      <c r="CTZ36" s="8"/>
      <c r="CUA36" s="188"/>
      <c r="CUB36" s="188"/>
      <c r="CUC36" s="8"/>
      <c r="CUD36" s="8"/>
      <c r="CUE36" s="8"/>
      <c r="CUF36" s="181"/>
      <c r="CUG36" s="181"/>
      <c r="CUH36" s="181"/>
      <c r="CUI36" s="171"/>
      <c r="CUL36" s="8"/>
      <c r="CUM36" s="188"/>
      <c r="CUN36" s="188"/>
      <c r="CUO36" s="8"/>
      <c r="CUP36" s="8"/>
      <c r="CUQ36" s="8"/>
      <c r="CUR36" s="181"/>
      <c r="CUS36" s="181"/>
      <c r="CUT36" s="181"/>
      <c r="CUU36" s="171"/>
      <c r="CUX36" s="8"/>
      <c r="CUY36" s="188"/>
      <c r="CUZ36" s="188"/>
      <c r="CVA36" s="8"/>
      <c r="CVB36" s="8"/>
      <c r="CVC36" s="8"/>
      <c r="CVD36" s="181"/>
      <c r="CVE36" s="181"/>
      <c r="CVF36" s="181"/>
      <c r="CVG36" s="171"/>
      <c r="CVJ36" s="8"/>
      <c r="CVK36" s="188"/>
      <c r="CVL36" s="188"/>
      <c r="CVM36" s="8"/>
      <c r="CVN36" s="8"/>
      <c r="CVO36" s="8"/>
      <c r="CVP36" s="181"/>
      <c r="CVQ36" s="181"/>
      <c r="CVR36" s="181"/>
      <c r="CVS36" s="171"/>
      <c r="CVV36" s="8"/>
      <c r="CVW36" s="188"/>
      <c r="CVX36" s="188"/>
      <c r="CVY36" s="8"/>
      <c r="CVZ36" s="8"/>
      <c r="CWA36" s="8"/>
      <c r="CWB36" s="181"/>
      <c r="CWC36" s="181"/>
      <c r="CWD36" s="181"/>
      <c r="CWE36" s="171"/>
    </row>
    <row r="37" spans="2:1023 1026:2631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Y37" s="189" t="s">
        <v>81</v>
      </c>
      <c r="ZZ37" s="189"/>
      <c r="AAA37" s="189"/>
      <c r="AAB37" s="189"/>
      <c r="AAC37" s="189"/>
      <c r="AAD37" s="189"/>
      <c r="AAG37" s="165" t="s">
        <v>82</v>
      </c>
      <c r="AAH37" s="165"/>
      <c r="AAI37" s="165"/>
      <c r="AAL37" s="189" t="s">
        <v>81</v>
      </c>
      <c r="AAM37" s="189"/>
      <c r="AAN37" s="189"/>
      <c r="AAO37" s="189"/>
      <c r="AAP37" s="189"/>
      <c r="AAQ37" s="189"/>
      <c r="AAT37" s="165" t="s">
        <v>82</v>
      </c>
      <c r="AAU37" s="165"/>
      <c r="AAV37" s="165"/>
      <c r="AAY37" s="189" t="s">
        <v>81</v>
      </c>
      <c r="AAZ37" s="189"/>
      <c r="ABA37" s="189"/>
      <c r="ABB37" s="189"/>
      <c r="ABC37" s="189"/>
      <c r="ABD37" s="189"/>
      <c r="ABG37" s="165" t="s">
        <v>82</v>
      </c>
      <c r="ABH37" s="165"/>
      <c r="ABI37" s="165"/>
      <c r="ABL37" s="189" t="s">
        <v>81</v>
      </c>
      <c r="ABM37" s="189"/>
      <c r="ABN37" s="189"/>
      <c r="ABO37" s="189"/>
      <c r="ABP37" s="189"/>
      <c r="ABQ37" s="189"/>
      <c r="ABT37" s="165" t="s">
        <v>82</v>
      </c>
      <c r="ABU37" s="165"/>
      <c r="ABV37" s="165"/>
      <c r="ABY37" s="189" t="s">
        <v>81</v>
      </c>
      <c r="ABZ37" s="189"/>
      <c r="ACA37" s="189"/>
      <c r="ACB37" s="189"/>
      <c r="ACC37" s="189"/>
      <c r="ACD37" s="189"/>
      <c r="ACG37" s="165" t="s">
        <v>82</v>
      </c>
      <c r="ACH37" s="165"/>
      <c r="ACI37" s="165"/>
      <c r="ACL37" s="189" t="s">
        <v>81</v>
      </c>
      <c r="ACM37" s="189"/>
      <c r="ACN37" s="189"/>
      <c r="ACO37" s="189"/>
      <c r="ACP37" s="189"/>
      <c r="ACQ37" s="189"/>
      <c r="ACT37" s="165" t="s">
        <v>82</v>
      </c>
      <c r="ACU37" s="165"/>
      <c r="ACV37" s="165"/>
      <c r="ACY37" s="189" t="s">
        <v>81</v>
      </c>
      <c r="ACZ37" s="189"/>
      <c r="ADA37" s="189"/>
      <c r="ADB37" s="189"/>
      <c r="ADC37" s="189"/>
      <c r="ADD37" s="189"/>
      <c r="ADG37" s="165" t="s">
        <v>82</v>
      </c>
      <c r="ADH37" s="165"/>
      <c r="ADI37" s="165"/>
      <c r="ADL37" s="189" t="s">
        <v>81</v>
      </c>
      <c r="ADM37" s="189"/>
      <c r="ADN37" s="189"/>
      <c r="ADO37" s="189"/>
      <c r="ADP37" s="189"/>
      <c r="ADQ37" s="189"/>
      <c r="ADT37" s="165" t="s">
        <v>82</v>
      </c>
      <c r="ADU37" s="165"/>
      <c r="ADV37" s="165"/>
      <c r="ADY37" s="189" t="s">
        <v>81</v>
      </c>
      <c r="ADZ37" s="189"/>
      <c r="AEA37" s="189"/>
      <c r="AEB37" s="189"/>
      <c r="AEC37" s="189"/>
      <c r="AED37" s="189"/>
      <c r="AEG37" s="165" t="s">
        <v>82</v>
      </c>
      <c r="AEH37" s="165"/>
      <c r="AEI37" s="165"/>
      <c r="AEL37" s="189" t="s">
        <v>81</v>
      </c>
      <c r="AEM37" s="189"/>
      <c r="AEN37" s="189"/>
      <c r="AEO37" s="189"/>
      <c r="AEP37" s="189"/>
      <c r="AEQ37" s="189"/>
      <c r="AET37" s="165" t="s">
        <v>82</v>
      </c>
      <c r="AEU37" s="165"/>
      <c r="AEV37" s="165"/>
      <c r="AEY37" s="189" t="s">
        <v>81</v>
      </c>
      <c r="AEZ37" s="189"/>
      <c r="AFA37" s="189"/>
      <c r="AFB37" s="189"/>
      <c r="AFC37" s="189"/>
      <c r="AFD37" s="189"/>
      <c r="AFG37" s="165" t="s">
        <v>82</v>
      </c>
      <c r="AFH37" s="165"/>
      <c r="AFI37" s="165"/>
      <c r="AFL37" s="189" t="s">
        <v>81</v>
      </c>
      <c r="AFM37" s="189"/>
      <c r="AFN37" s="189"/>
      <c r="AFO37" s="189"/>
      <c r="AFP37" s="189"/>
      <c r="AFQ37" s="189"/>
      <c r="AFT37" s="165" t="s">
        <v>82</v>
      </c>
      <c r="AFU37" s="165"/>
      <c r="AFV37" s="165"/>
      <c r="AFZ37" s="4"/>
      <c r="AGA37" s="4"/>
      <c r="AGB37" s="4"/>
      <c r="AGC37" s="4"/>
      <c r="AGD37" s="4"/>
      <c r="AGG37" s="165" t="s">
        <v>82</v>
      </c>
      <c r="AGH37" s="165"/>
      <c r="AGI37" s="165"/>
      <c r="AGL37" s="4"/>
      <c r="AGM37" s="4"/>
      <c r="AGN37" s="4"/>
      <c r="AGO37" s="4"/>
      <c r="AGP37" s="4"/>
      <c r="AGS37" s="165" t="s">
        <v>82</v>
      </c>
      <c r="AGT37" s="165"/>
      <c r="AGU37" s="165"/>
      <c r="AGX37" s="4"/>
      <c r="AGY37" s="4"/>
      <c r="AGZ37" s="4"/>
      <c r="AHA37" s="4"/>
      <c r="AHB37" s="4"/>
      <c r="AHE37" s="165" t="s">
        <v>82</v>
      </c>
      <c r="AHF37" s="165"/>
      <c r="AHG37" s="165"/>
      <c r="AHJ37" s="4"/>
      <c r="AHK37" s="4"/>
      <c r="AHL37" s="4"/>
      <c r="AHM37" s="4"/>
      <c r="AHN37" s="4"/>
      <c r="AHQ37" s="165" t="s">
        <v>82</v>
      </c>
      <c r="AHR37" s="165"/>
      <c r="AHS37" s="165"/>
      <c r="AHV37" s="4"/>
      <c r="AHW37" s="4"/>
      <c r="AHX37" s="4"/>
      <c r="AHY37" s="4"/>
      <c r="AHZ37" s="4"/>
      <c r="AIC37" s="165" t="s">
        <v>82</v>
      </c>
      <c r="AID37" s="165"/>
      <c r="AIE37" s="165"/>
      <c r="AIH37" s="4"/>
      <c r="AII37" s="4"/>
      <c r="AIJ37" s="4"/>
      <c r="AIK37" s="4"/>
      <c r="AIL37" s="4"/>
      <c r="AIO37" s="165" t="s">
        <v>82</v>
      </c>
      <c r="AIP37" s="165"/>
      <c r="AIQ37" s="165"/>
      <c r="AIT37" s="4"/>
      <c r="AIU37" s="4"/>
      <c r="AIV37" s="4"/>
      <c r="AIW37" s="4"/>
      <c r="AIX37" s="4"/>
      <c r="AJA37" s="165" t="s">
        <v>82</v>
      </c>
      <c r="AJB37" s="165"/>
      <c r="AJC37" s="165"/>
      <c r="AJF37" s="4"/>
      <c r="AJG37" s="4"/>
      <c r="AJH37" s="4"/>
      <c r="AJI37" s="4"/>
      <c r="AJJ37" s="4"/>
      <c r="AJM37" s="165" t="s">
        <v>82</v>
      </c>
      <c r="AJN37" s="165"/>
      <c r="AJO37" s="165"/>
      <c r="AJR37" s="4"/>
      <c r="AJS37" s="4"/>
      <c r="AJT37" s="4"/>
      <c r="AJU37" s="4"/>
      <c r="AJV37" s="4"/>
      <c r="AJY37" s="165" t="s">
        <v>82</v>
      </c>
      <c r="AJZ37" s="165"/>
      <c r="AKA37" s="165"/>
      <c r="AKD37" s="4"/>
      <c r="AKE37" s="4"/>
      <c r="AKF37" s="4"/>
      <c r="AKG37" s="4"/>
      <c r="AKH37" s="4"/>
      <c r="AKK37" s="165" t="s">
        <v>82</v>
      </c>
      <c r="AKL37" s="165"/>
      <c r="AKM37" s="165"/>
      <c r="AKP37" s="4"/>
      <c r="AKQ37" s="4"/>
      <c r="AKR37" s="4"/>
      <c r="AKS37" s="4"/>
      <c r="AKT37" s="4"/>
      <c r="AKW37" s="165" t="s">
        <v>82</v>
      </c>
      <c r="AKX37" s="165"/>
      <c r="AKY37" s="165"/>
      <c r="ALB37" s="4"/>
      <c r="ALC37" s="4"/>
      <c r="ALD37" s="4"/>
      <c r="ALE37" s="4"/>
      <c r="ALF37" s="4"/>
      <c r="ALI37" s="165" t="s">
        <v>82</v>
      </c>
      <c r="ALJ37" s="165"/>
      <c r="ALK37" s="165"/>
      <c r="ALN37" s="4"/>
      <c r="ALO37" s="4"/>
      <c r="ALP37" s="4"/>
      <c r="ALQ37" s="4"/>
      <c r="ALR37" s="4"/>
      <c r="ALU37" s="165" t="s">
        <v>82</v>
      </c>
      <c r="ALV37" s="165"/>
      <c r="ALW37" s="165"/>
      <c r="ALZ37" s="4"/>
      <c r="AMA37" s="4"/>
      <c r="AMB37" s="4"/>
      <c r="AMC37" s="4"/>
      <c r="AMD37" s="4"/>
      <c r="AMG37" s="165" t="s">
        <v>82</v>
      </c>
      <c r="AMH37" s="165"/>
      <c r="AMI37" s="165"/>
      <c r="AML37" s="4"/>
      <c r="AMM37" s="4"/>
      <c r="AMN37" s="4"/>
      <c r="AMO37" s="4"/>
      <c r="AMP37" s="4"/>
      <c r="AMS37" s="165" t="s">
        <v>82</v>
      </c>
      <c r="AMT37" s="165"/>
      <c r="AMU37" s="165"/>
      <c r="AMX37" s="4"/>
      <c r="AMY37" s="4"/>
      <c r="AMZ37" s="4"/>
      <c r="ANA37" s="4"/>
      <c r="ANB37" s="4"/>
      <c r="ANE37" s="165" t="s">
        <v>82</v>
      </c>
      <c r="ANF37" s="165"/>
      <c r="ANG37" s="165"/>
      <c r="ANJ37" s="4"/>
      <c r="ANK37" s="4"/>
      <c r="ANL37" s="4"/>
      <c r="ANM37" s="4"/>
      <c r="ANN37" s="4"/>
      <c r="ANQ37" s="165" t="s">
        <v>82</v>
      </c>
      <c r="ANR37" s="165"/>
      <c r="ANS37" s="165"/>
      <c r="ANV37" s="4"/>
      <c r="ANW37" s="4"/>
      <c r="ANX37" s="4"/>
      <c r="ANY37" s="4"/>
      <c r="ANZ37" s="4"/>
      <c r="AOC37" s="165" t="s">
        <v>82</v>
      </c>
      <c r="AOD37" s="165"/>
      <c r="AOE37" s="165"/>
      <c r="AOH37" s="4"/>
      <c r="AOI37" s="4"/>
      <c r="AOJ37" s="4"/>
      <c r="AOK37" s="4"/>
      <c r="AOL37" s="4"/>
      <c r="AOO37" s="165" t="s">
        <v>82</v>
      </c>
      <c r="AOP37" s="165"/>
      <c r="AOQ37" s="165"/>
      <c r="AOT37" s="4"/>
      <c r="AOU37" s="4"/>
      <c r="AOV37" s="4"/>
      <c r="AOW37" s="4"/>
      <c r="AOX37" s="4"/>
      <c r="APA37" s="165" t="s">
        <v>82</v>
      </c>
      <c r="APB37" s="165"/>
      <c r="APC37" s="165"/>
      <c r="APF37" s="4"/>
      <c r="APG37" s="4"/>
      <c r="APH37" s="4"/>
      <c r="API37" s="4"/>
      <c r="APJ37" s="4"/>
      <c r="APM37" s="165" t="s">
        <v>82</v>
      </c>
      <c r="APN37" s="165"/>
      <c r="APO37" s="165"/>
      <c r="APR37" s="4"/>
      <c r="APS37" s="4"/>
      <c r="APT37" s="4"/>
      <c r="APU37" s="4"/>
      <c r="APV37" s="4"/>
      <c r="APY37" s="165" t="s">
        <v>82</v>
      </c>
      <c r="APZ37" s="165"/>
      <c r="AQA37" s="165"/>
      <c r="AQD37" s="4"/>
      <c r="AQE37" s="4"/>
      <c r="AQF37" s="4"/>
      <c r="AQG37" s="4"/>
      <c r="AQH37" s="4"/>
      <c r="AQK37" s="165" t="s">
        <v>82</v>
      </c>
      <c r="AQL37" s="165"/>
      <c r="AQM37" s="165"/>
      <c r="AQP37" s="4"/>
      <c r="AQQ37" s="4"/>
      <c r="AQR37" s="4"/>
      <c r="AQS37" s="4"/>
      <c r="AQT37" s="4"/>
      <c r="AQW37" s="165" t="s">
        <v>82</v>
      </c>
      <c r="AQX37" s="165"/>
      <c r="AQY37" s="165"/>
      <c r="ARB37" s="4"/>
      <c r="ARC37" s="4"/>
      <c r="ARD37" s="4"/>
      <c r="ARE37" s="4"/>
      <c r="ARF37" s="4"/>
      <c r="ARI37" s="165" t="s">
        <v>82</v>
      </c>
      <c r="ARJ37" s="165"/>
      <c r="ARK37" s="165"/>
      <c r="ARN37" s="4"/>
      <c r="ARO37" s="4"/>
      <c r="ARP37" s="4"/>
      <c r="ARQ37" s="4"/>
      <c r="ARR37" s="4"/>
      <c r="ARU37" s="165" t="s">
        <v>82</v>
      </c>
      <c r="ARV37" s="165"/>
      <c r="ARW37" s="165"/>
      <c r="ARZ37" s="4"/>
      <c r="ASA37" s="4"/>
      <c r="ASB37" s="4"/>
      <c r="ASC37" s="4"/>
      <c r="ASD37" s="4"/>
      <c r="ASG37" s="165" t="s">
        <v>82</v>
      </c>
      <c r="ASH37" s="165"/>
      <c r="ASI37" s="165"/>
      <c r="ASL37" s="4"/>
      <c r="ASM37" s="4"/>
      <c r="ASN37" s="4"/>
      <c r="ASO37" s="4"/>
      <c r="ASP37" s="4"/>
      <c r="ASS37" s="165" t="s">
        <v>82</v>
      </c>
      <c r="AST37" s="165"/>
      <c r="ASU37" s="165"/>
      <c r="ASX37" s="4"/>
      <c r="ASY37" s="4"/>
      <c r="ASZ37" s="4"/>
      <c r="ATA37" s="4"/>
      <c r="ATB37" s="4"/>
      <c r="ATE37" s="165" t="s">
        <v>82</v>
      </c>
      <c r="ATF37" s="165"/>
      <c r="ATG37" s="165"/>
      <c r="ATJ37" s="4"/>
      <c r="ATK37" s="4"/>
      <c r="ATL37" s="4"/>
      <c r="ATM37" s="4"/>
      <c r="ATN37" s="4"/>
      <c r="ATQ37" s="165" t="s">
        <v>82</v>
      </c>
      <c r="ATR37" s="165"/>
      <c r="ATS37" s="165"/>
      <c r="ATV37" s="4"/>
      <c r="ATW37" s="4"/>
      <c r="ATX37" s="4"/>
      <c r="ATY37" s="4"/>
      <c r="ATZ37" s="4"/>
      <c r="AUC37" s="165" t="s">
        <v>82</v>
      </c>
      <c r="AUD37" s="165"/>
      <c r="AUE37" s="165"/>
      <c r="AUH37" s="4"/>
      <c r="AUI37" s="4"/>
      <c r="AUJ37" s="4"/>
      <c r="AUK37" s="4"/>
      <c r="AUL37" s="4"/>
      <c r="AUO37" s="165" t="s">
        <v>82</v>
      </c>
      <c r="AUP37" s="165"/>
      <c r="AUQ37" s="165"/>
      <c r="AUT37" s="4"/>
      <c r="AUU37" s="4"/>
      <c r="AUV37" s="4"/>
      <c r="AUW37" s="4"/>
      <c r="AUX37" s="4"/>
      <c r="AVA37" s="165" t="s">
        <v>82</v>
      </c>
      <c r="AVB37" s="165"/>
      <c r="AVC37" s="165"/>
      <c r="AVF37" s="4"/>
      <c r="AVG37" s="4"/>
      <c r="AVH37" s="4"/>
      <c r="AVI37" s="4"/>
      <c r="AVJ37" s="4"/>
      <c r="AVM37" s="165" t="s">
        <v>82</v>
      </c>
      <c r="AVN37" s="165"/>
      <c r="AVO37" s="165"/>
      <c r="AVR37" s="4"/>
      <c r="AVS37" s="4"/>
      <c r="AVT37" s="4"/>
      <c r="AVU37" s="4"/>
      <c r="AVV37" s="4"/>
      <c r="AVY37" s="165" t="s">
        <v>82</v>
      </c>
      <c r="AVZ37" s="165"/>
      <c r="AWA37" s="165"/>
      <c r="AWD37" s="4"/>
      <c r="AWE37" s="4"/>
      <c r="AWF37" s="4"/>
      <c r="AWG37" s="4"/>
      <c r="AWH37" s="4"/>
      <c r="AWK37" s="165" t="s">
        <v>82</v>
      </c>
      <c r="AWL37" s="165"/>
      <c r="AWM37" s="165"/>
      <c r="AWP37" s="4"/>
      <c r="AWQ37" s="4"/>
      <c r="AWR37" s="4"/>
      <c r="AWS37" s="4"/>
      <c r="AWT37" s="4"/>
      <c r="AWW37" s="165" t="s">
        <v>82</v>
      </c>
      <c r="AWX37" s="165"/>
      <c r="AWY37" s="165"/>
      <c r="AXB37" s="4"/>
      <c r="AXC37" s="4"/>
      <c r="AXD37" s="4"/>
      <c r="AXE37" s="4"/>
      <c r="AXF37" s="4"/>
      <c r="AXI37" s="165" t="s">
        <v>82</v>
      </c>
      <c r="AXJ37" s="165"/>
      <c r="AXK37" s="165"/>
      <c r="AXN37" s="4"/>
      <c r="AXO37" s="4"/>
      <c r="AXP37" s="4"/>
      <c r="AXQ37" s="4"/>
      <c r="AXR37" s="4"/>
      <c r="AXU37" s="165" t="s">
        <v>82</v>
      </c>
      <c r="AXV37" s="165"/>
      <c r="AXW37" s="165"/>
      <c r="AXZ37" s="4"/>
      <c r="AYA37" s="4"/>
      <c r="AYB37" s="4"/>
      <c r="AYC37" s="4"/>
      <c r="AYD37" s="4"/>
      <c r="AYG37" s="165" t="s">
        <v>82</v>
      </c>
      <c r="AYH37" s="165"/>
      <c r="AYI37" s="165"/>
      <c r="AYL37" s="4"/>
      <c r="AYM37" s="4"/>
      <c r="AYN37" s="4"/>
      <c r="AYO37" s="4"/>
      <c r="AYP37" s="4"/>
      <c r="AYS37" s="165" t="s">
        <v>82</v>
      </c>
      <c r="AYT37" s="165"/>
      <c r="AYU37" s="165"/>
      <c r="AYX37" s="4"/>
      <c r="AYY37" s="4"/>
      <c r="AYZ37" s="4"/>
      <c r="AZA37" s="4"/>
      <c r="AZB37" s="4"/>
      <c r="AZE37" s="165" t="s">
        <v>82</v>
      </c>
      <c r="AZF37" s="165"/>
      <c r="AZG37" s="165"/>
      <c r="AZJ37" s="4"/>
      <c r="AZK37" s="4"/>
      <c r="AZL37" s="4"/>
      <c r="AZM37" s="4"/>
      <c r="AZN37" s="4"/>
      <c r="AZQ37" s="165" t="s">
        <v>82</v>
      </c>
      <c r="AZR37" s="165"/>
      <c r="AZS37" s="165"/>
      <c r="AZV37" s="4"/>
      <c r="AZW37" s="4"/>
      <c r="AZX37" s="4"/>
      <c r="AZY37" s="4"/>
      <c r="AZZ37" s="4"/>
      <c r="BAC37" s="165" t="s">
        <v>82</v>
      </c>
      <c r="BAD37" s="165"/>
      <c r="BAE37" s="165"/>
      <c r="BAH37" s="4"/>
      <c r="BAI37" s="4"/>
      <c r="BAJ37" s="4"/>
      <c r="BAK37" s="4"/>
      <c r="BAL37" s="4"/>
      <c r="BAO37" s="165" t="s">
        <v>82</v>
      </c>
      <c r="BAP37" s="165"/>
      <c r="BAQ37" s="165"/>
      <c r="BAT37" s="4"/>
      <c r="BAU37" s="4"/>
      <c r="BAV37" s="4"/>
      <c r="BAW37" s="4"/>
      <c r="BAX37" s="4"/>
      <c r="BBA37" s="165" t="s">
        <v>82</v>
      </c>
      <c r="BBB37" s="165"/>
      <c r="BBC37" s="165"/>
      <c r="BBF37" s="4"/>
      <c r="BBG37" s="4"/>
      <c r="BBH37" s="4"/>
      <c r="BBI37" s="4"/>
      <c r="BBJ37" s="4"/>
      <c r="BBM37" s="165" t="s">
        <v>82</v>
      </c>
      <c r="BBN37" s="165"/>
      <c r="BBO37" s="165"/>
      <c r="BBR37" s="4"/>
      <c r="BBS37" s="4"/>
      <c r="BBT37" s="4"/>
      <c r="BBU37" s="4"/>
      <c r="BBV37" s="4"/>
      <c r="BBY37" s="165" t="s">
        <v>82</v>
      </c>
      <c r="BBZ37" s="165"/>
      <c r="BCA37" s="165"/>
      <c r="BCD37" s="4"/>
      <c r="BCE37" s="4"/>
      <c r="BCF37" s="4"/>
      <c r="BCG37" s="4"/>
      <c r="BCH37" s="4"/>
      <c r="BCK37" s="165" t="s">
        <v>82</v>
      </c>
      <c r="BCL37" s="165"/>
      <c r="BCM37" s="165"/>
      <c r="BCP37" s="4"/>
      <c r="BCQ37" s="4"/>
      <c r="BCR37" s="4"/>
      <c r="BCS37" s="4"/>
      <c r="BCT37" s="4"/>
      <c r="BCW37" s="165" t="s">
        <v>82</v>
      </c>
      <c r="BCX37" s="165"/>
      <c r="BCY37" s="165"/>
      <c r="BDB37" s="4"/>
      <c r="BDC37" s="4"/>
      <c r="BDD37" s="4"/>
      <c r="BDE37" s="4"/>
      <c r="BDF37" s="4"/>
      <c r="BDI37" s="165" t="s">
        <v>82</v>
      </c>
      <c r="BDJ37" s="165"/>
      <c r="BDK37" s="165"/>
      <c r="BDN37" s="4"/>
      <c r="BDO37" s="4"/>
      <c r="BDP37" s="4"/>
      <c r="BDQ37" s="4"/>
      <c r="BDR37" s="4"/>
      <c r="BDU37" s="165" t="s">
        <v>82</v>
      </c>
      <c r="BDV37" s="165"/>
      <c r="BDW37" s="165"/>
      <c r="BDZ37" s="4"/>
      <c r="BEA37" s="4"/>
      <c r="BEB37" s="4"/>
      <c r="BEC37" s="4"/>
      <c r="BED37" s="4"/>
      <c r="BEG37" s="165" t="s">
        <v>82</v>
      </c>
      <c r="BEH37" s="165"/>
      <c r="BEI37" s="165"/>
      <c r="BEL37" s="4"/>
      <c r="BEM37" s="4"/>
      <c r="BEN37" s="4"/>
      <c r="BEO37" s="4"/>
      <c r="BEP37" s="4"/>
      <c r="BES37" s="165" t="s">
        <v>82</v>
      </c>
      <c r="BET37" s="165"/>
      <c r="BEU37" s="165"/>
      <c r="BEX37" s="4"/>
      <c r="BEY37" s="4"/>
      <c r="BEZ37" s="4"/>
      <c r="BFA37" s="4"/>
      <c r="BFB37" s="4"/>
      <c r="BFE37" s="165" t="s">
        <v>82</v>
      </c>
      <c r="BFF37" s="165"/>
      <c r="BFG37" s="165"/>
      <c r="BFJ37" s="4"/>
      <c r="BFK37" s="4"/>
      <c r="BFL37" s="4"/>
      <c r="BFM37" s="4"/>
      <c r="BFN37" s="4"/>
      <c r="BFQ37" s="165" t="s">
        <v>82</v>
      </c>
      <c r="BFR37" s="165"/>
      <c r="BFS37" s="165"/>
      <c r="BFV37" s="4"/>
      <c r="BFW37" s="4"/>
      <c r="BFX37" s="4"/>
      <c r="BFY37" s="4"/>
      <c r="BFZ37" s="4"/>
      <c r="BGC37" s="165" t="s">
        <v>82</v>
      </c>
      <c r="BGD37" s="165"/>
      <c r="BGE37" s="165"/>
      <c r="BGH37" s="4"/>
      <c r="BGI37" s="4"/>
      <c r="BGJ37" s="4"/>
      <c r="BGK37" s="4"/>
      <c r="BGL37" s="4"/>
      <c r="BGO37" s="165" t="s">
        <v>82</v>
      </c>
      <c r="BGP37" s="165"/>
      <c r="BGQ37" s="165"/>
      <c r="BGT37" s="4"/>
      <c r="BGU37" s="4"/>
      <c r="BGV37" s="4"/>
      <c r="BGW37" s="4"/>
      <c r="BGX37" s="4"/>
      <c r="BHA37" s="165" t="s">
        <v>82</v>
      </c>
      <c r="BHB37" s="165"/>
      <c r="BHC37" s="165"/>
      <c r="BHF37" s="4"/>
      <c r="BHG37" s="4"/>
      <c r="BHH37" s="4"/>
      <c r="BHI37" s="4"/>
      <c r="BHJ37" s="4"/>
      <c r="BHM37" s="165" t="s">
        <v>82</v>
      </c>
      <c r="BHN37" s="165"/>
      <c r="BHO37" s="165"/>
      <c r="BHR37" s="4"/>
      <c r="BHS37" s="4"/>
      <c r="BHT37" s="4"/>
      <c r="BHU37" s="4"/>
      <c r="BHV37" s="4"/>
      <c r="BHY37" s="165" t="s">
        <v>82</v>
      </c>
      <c r="BHZ37" s="165"/>
      <c r="BIA37" s="165"/>
      <c r="BID37" s="4"/>
      <c r="BIE37" s="4"/>
      <c r="BIF37" s="4"/>
      <c r="BIG37" s="4"/>
      <c r="BIH37" s="4"/>
      <c r="BIK37" s="165" t="s">
        <v>82</v>
      </c>
      <c r="BIL37" s="165"/>
      <c r="BIM37" s="165"/>
      <c r="BIP37" s="4"/>
      <c r="BIQ37" s="4"/>
      <c r="BIR37" s="4"/>
      <c r="BIS37" s="4"/>
      <c r="BIT37" s="4"/>
      <c r="BIW37" s="165" t="s">
        <v>82</v>
      </c>
      <c r="BIX37" s="165"/>
      <c r="BIY37" s="165"/>
      <c r="BJB37" s="4"/>
      <c r="BJC37" s="4"/>
      <c r="BJD37" s="4"/>
      <c r="BJE37" s="4"/>
      <c r="BJF37" s="4"/>
      <c r="BJI37" s="165" t="s">
        <v>82</v>
      </c>
      <c r="BJJ37" s="165"/>
      <c r="BJK37" s="165"/>
      <c r="BJN37" s="4"/>
      <c r="BJO37" s="4"/>
      <c r="BJP37" s="4"/>
      <c r="BJQ37" s="4"/>
      <c r="BJR37" s="4"/>
      <c r="BJU37" s="165" t="s">
        <v>82</v>
      </c>
      <c r="BJV37" s="165"/>
      <c r="BJW37" s="165"/>
      <c r="BJZ37" s="4"/>
      <c r="BKA37" s="4"/>
      <c r="BKB37" s="4"/>
      <c r="BKC37" s="4"/>
      <c r="BKD37" s="4"/>
      <c r="BKG37" s="165" t="s">
        <v>82</v>
      </c>
      <c r="BKH37" s="165"/>
      <c r="BKI37" s="165"/>
      <c r="BKL37" s="4"/>
      <c r="BKM37" s="4"/>
      <c r="BKN37" s="4"/>
      <c r="BKO37" s="4"/>
      <c r="BKP37" s="4"/>
      <c r="BKS37" s="165" t="s">
        <v>82</v>
      </c>
      <c r="BKT37" s="165"/>
      <c r="BKU37" s="165"/>
      <c r="BKX37" s="4"/>
      <c r="BKY37" s="4"/>
      <c r="BKZ37" s="4"/>
      <c r="BLA37" s="4"/>
      <c r="BLB37" s="4"/>
      <c r="BLE37" s="165" t="s">
        <v>82</v>
      </c>
      <c r="BLF37" s="165"/>
      <c r="BLG37" s="165"/>
      <c r="BLJ37" s="4"/>
      <c r="BLK37" s="4"/>
      <c r="BLL37" s="4"/>
      <c r="BLM37" s="4"/>
      <c r="BLN37" s="4"/>
      <c r="BLQ37" s="165" t="s">
        <v>82</v>
      </c>
      <c r="BLR37" s="165"/>
      <c r="BLS37" s="165"/>
      <c r="BLV37" s="4"/>
      <c r="BLW37" s="4"/>
      <c r="BLX37" s="4"/>
      <c r="BLY37" s="4"/>
      <c r="BLZ37" s="4"/>
      <c r="BMC37" s="165" t="s">
        <v>82</v>
      </c>
      <c r="BMD37" s="165"/>
      <c r="BME37" s="165"/>
      <c r="BMH37" s="4"/>
      <c r="BMI37" s="4"/>
      <c r="BMJ37" s="4"/>
      <c r="BMK37" s="4"/>
      <c r="BML37" s="4"/>
      <c r="BMO37" s="165" t="s">
        <v>82</v>
      </c>
      <c r="BMP37" s="165"/>
      <c r="BMQ37" s="165"/>
      <c r="BMT37" s="4"/>
      <c r="BMU37" s="4"/>
      <c r="BMV37" s="4"/>
      <c r="BMW37" s="4"/>
      <c r="BMX37" s="4"/>
      <c r="BNA37" s="165" t="s">
        <v>82</v>
      </c>
      <c r="BNB37" s="165"/>
      <c r="BNC37" s="165"/>
      <c r="BNF37" s="4"/>
      <c r="BNG37" s="4"/>
      <c r="BNH37" s="4"/>
      <c r="BNI37" s="4"/>
      <c r="BNJ37" s="4"/>
      <c r="BNM37" s="165" t="s">
        <v>82</v>
      </c>
      <c r="BNN37" s="165"/>
      <c r="BNO37" s="165"/>
      <c r="BNR37" s="4"/>
      <c r="BNS37" s="4"/>
      <c r="BNT37" s="4"/>
      <c r="BNU37" s="4"/>
      <c r="BNV37" s="4"/>
      <c r="BNY37" s="165" t="s">
        <v>82</v>
      </c>
      <c r="BNZ37" s="165"/>
      <c r="BOA37" s="165"/>
      <c r="BOD37" s="4"/>
      <c r="BOE37" s="4"/>
      <c r="BOF37" s="4"/>
      <c r="BOG37" s="4"/>
      <c r="BOH37" s="4"/>
      <c r="BOK37" s="165" t="s">
        <v>82</v>
      </c>
      <c r="BOL37" s="165"/>
      <c r="BOM37" s="165"/>
      <c r="BOP37" s="4"/>
      <c r="BOQ37" s="4"/>
      <c r="BOR37" s="4"/>
      <c r="BOS37" s="4"/>
      <c r="BOT37" s="4"/>
      <c r="BOW37" s="165" t="s">
        <v>82</v>
      </c>
      <c r="BOX37" s="165"/>
      <c r="BOY37" s="165"/>
      <c r="BPB37" s="4"/>
      <c r="BPC37" s="4"/>
      <c r="BPD37" s="4"/>
      <c r="BPE37" s="4"/>
      <c r="BPF37" s="4"/>
      <c r="BPI37" s="165" t="s">
        <v>82</v>
      </c>
      <c r="BPJ37" s="165"/>
      <c r="BPK37" s="165"/>
      <c r="BPN37" s="4"/>
      <c r="BPO37" s="4"/>
      <c r="BPP37" s="4"/>
      <c r="BPQ37" s="4"/>
      <c r="BPR37" s="4"/>
      <c r="BPU37" s="165" t="s">
        <v>82</v>
      </c>
      <c r="BPV37" s="165"/>
      <c r="BPW37" s="165"/>
      <c r="BPZ37" s="4"/>
      <c r="BQA37" s="4"/>
      <c r="BQB37" s="4"/>
      <c r="BQC37" s="4"/>
      <c r="BQD37" s="4"/>
      <c r="BQG37" s="165" t="s">
        <v>82</v>
      </c>
      <c r="BQH37" s="165"/>
      <c r="BQI37" s="165"/>
      <c r="BQL37" s="4"/>
      <c r="BQM37" s="4"/>
      <c r="BQN37" s="4"/>
      <c r="BQO37" s="4"/>
      <c r="BQP37" s="4"/>
      <c r="BQS37" s="165" t="s">
        <v>82</v>
      </c>
      <c r="BQT37" s="165"/>
      <c r="BQU37" s="165"/>
      <c r="BQX37" s="4"/>
      <c r="BQY37" s="4"/>
      <c r="BQZ37" s="4"/>
      <c r="BRA37" s="4"/>
      <c r="BRB37" s="4"/>
      <c r="BRE37" s="165" t="s">
        <v>82</v>
      </c>
      <c r="BRF37" s="165"/>
      <c r="BRG37" s="165"/>
      <c r="BRJ37" s="4"/>
      <c r="BRK37" s="4"/>
      <c r="BRL37" s="4"/>
      <c r="BRM37" s="4"/>
      <c r="BRN37" s="4"/>
      <c r="BRQ37" s="165" t="s">
        <v>82</v>
      </c>
      <c r="BRR37" s="165"/>
      <c r="BRS37" s="165"/>
      <c r="BRV37" s="4"/>
      <c r="BRW37" s="4"/>
      <c r="BRX37" s="4"/>
      <c r="BRY37" s="4"/>
      <c r="BRZ37" s="4"/>
      <c r="BSC37" s="165" t="s">
        <v>82</v>
      </c>
      <c r="BSD37" s="165"/>
      <c r="BSE37" s="165"/>
      <c r="BSH37" s="4"/>
      <c r="BSI37" s="4"/>
      <c r="BSJ37" s="4"/>
      <c r="BSK37" s="4"/>
      <c r="BSL37" s="4"/>
      <c r="BSO37" s="165" t="s">
        <v>82</v>
      </c>
      <c r="BSP37" s="165"/>
      <c r="BSQ37" s="165"/>
      <c r="BST37" s="4"/>
      <c r="BSU37" s="4"/>
      <c r="BSV37" s="4"/>
      <c r="BSW37" s="4"/>
      <c r="BSX37" s="4"/>
      <c r="BTA37" s="165" t="s">
        <v>82</v>
      </c>
      <c r="BTB37" s="165"/>
      <c r="BTC37" s="165"/>
      <c r="BTF37" s="4"/>
      <c r="BTG37" s="4"/>
      <c r="BTH37" s="4"/>
      <c r="BTI37" s="4"/>
      <c r="BTJ37" s="4"/>
      <c r="BTM37" s="165" t="s">
        <v>82</v>
      </c>
      <c r="BTN37" s="165"/>
      <c r="BTO37" s="165"/>
      <c r="BTR37" s="4"/>
      <c r="BTS37" s="4"/>
      <c r="BTT37" s="4"/>
      <c r="BTU37" s="4"/>
      <c r="BTV37" s="4"/>
      <c r="BTY37" s="165" t="s">
        <v>82</v>
      </c>
      <c r="BTZ37" s="165"/>
      <c r="BUA37" s="165"/>
      <c r="BUD37" s="4"/>
      <c r="BUE37" s="4"/>
      <c r="BUF37" s="4"/>
      <c r="BUG37" s="4"/>
      <c r="BUH37" s="4"/>
      <c r="BUK37" s="165" t="s">
        <v>82</v>
      </c>
      <c r="BUL37" s="165"/>
      <c r="BUM37" s="165"/>
      <c r="BUP37" s="4"/>
      <c r="BUQ37" s="4"/>
      <c r="BUR37" s="4"/>
      <c r="BUS37" s="4"/>
      <c r="BUT37" s="4"/>
      <c r="BUW37" s="165" t="s">
        <v>82</v>
      </c>
      <c r="BUX37" s="165"/>
      <c r="BUY37" s="165"/>
      <c r="BVB37" s="4"/>
      <c r="BVC37" s="4"/>
      <c r="BVD37" s="4"/>
      <c r="BVE37" s="4"/>
      <c r="BVF37" s="4"/>
      <c r="BVI37" s="165" t="s">
        <v>82</v>
      </c>
      <c r="BVJ37" s="165"/>
      <c r="BVK37" s="165"/>
      <c r="BVN37" s="4"/>
      <c r="BVO37" s="4"/>
      <c r="BVP37" s="4"/>
      <c r="BVQ37" s="4"/>
      <c r="BVR37" s="4"/>
      <c r="BVU37" s="165" t="s">
        <v>82</v>
      </c>
      <c r="BVV37" s="165"/>
      <c r="BVW37" s="165"/>
      <c r="BVZ37" s="4"/>
      <c r="BWA37" s="4"/>
      <c r="BWB37" s="4"/>
      <c r="BWC37" s="4"/>
      <c r="BWD37" s="4"/>
      <c r="BWG37" s="165" t="s">
        <v>82</v>
      </c>
      <c r="BWH37" s="165"/>
      <c r="BWI37" s="165"/>
      <c r="BWL37" s="4"/>
      <c r="BWM37" s="4"/>
      <c r="BWN37" s="4"/>
      <c r="BWO37" s="4"/>
      <c r="BWP37" s="4"/>
      <c r="BWS37" s="165" t="s">
        <v>82</v>
      </c>
      <c r="BWT37" s="165"/>
      <c r="BWU37" s="165"/>
      <c r="BWX37" s="4"/>
      <c r="BWY37" s="4"/>
      <c r="BWZ37" s="4"/>
      <c r="BXA37" s="4"/>
      <c r="BXB37" s="4"/>
      <c r="BXE37" s="165" t="s">
        <v>82</v>
      </c>
      <c r="BXF37" s="165"/>
      <c r="BXG37" s="165"/>
      <c r="BXJ37" s="4"/>
      <c r="BXK37" s="4"/>
      <c r="BXL37" s="4"/>
      <c r="BXM37" s="4"/>
      <c r="BXN37" s="4"/>
      <c r="BXQ37" s="165" t="s">
        <v>82</v>
      </c>
      <c r="BXR37" s="165"/>
      <c r="BXS37" s="165"/>
      <c r="BXV37" s="4"/>
      <c r="BXW37" s="4"/>
      <c r="BXX37" s="4"/>
      <c r="BXY37" s="4"/>
      <c r="BXZ37" s="4"/>
      <c r="BYC37" s="165" t="s">
        <v>82</v>
      </c>
      <c r="BYD37" s="165"/>
      <c r="BYE37" s="165"/>
      <c r="BYH37" s="4"/>
      <c r="BYI37" s="4"/>
      <c r="BYJ37" s="4"/>
      <c r="BYK37" s="4"/>
      <c r="BYL37" s="4"/>
      <c r="BYO37" s="165" t="s">
        <v>82</v>
      </c>
      <c r="BYP37" s="165"/>
      <c r="BYQ37" s="165"/>
      <c r="BYT37" s="4"/>
      <c r="BYU37" s="4"/>
      <c r="BYV37" s="4"/>
      <c r="BYW37" s="4"/>
      <c r="BYX37" s="4"/>
      <c r="BZA37" s="165" t="s">
        <v>82</v>
      </c>
      <c r="BZB37" s="165"/>
      <c r="BZC37" s="165"/>
      <c r="BZF37" s="4"/>
      <c r="BZG37" s="4"/>
      <c r="BZH37" s="4"/>
      <c r="BZI37" s="4"/>
      <c r="BZJ37" s="4"/>
      <c r="BZM37" s="165" t="s">
        <v>82</v>
      </c>
      <c r="BZN37" s="165"/>
      <c r="BZO37" s="165"/>
      <c r="BZR37" s="4"/>
      <c r="BZS37" s="4"/>
      <c r="BZT37" s="4"/>
      <c r="BZU37" s="4"/>
      <c r="BZV37" s="4"/>
      <c r="BZY37" s="165" t="s">
        <v>82</v>
      </c>
      <c r="BZZ37" s="165"/>
      <c r="CAA37" s="165"/>
      <c r="CAD37" s="4"/>
      <c r="CAE37" s="4"/>
      <c r="CAF37" s="4"/>
      <c r="CAG37" s="4"/>
      <c r="CAH37" s="4"/>
      <c r="CAK37" s="165" t="s">
        <v>82</v>
      </c>
      <c r="CAL37" s="165"/>
      <c r="CAM37" s="165"/>
      <c r="CAP37" s="4"/>
      <c r="CAQ37" s="4"/>
      <c r="CAR37" s="4"/>
      <c r="CAS37" s="4"/>
      <c r="CAT37" s="4"/>
      <c r="CAW37" s="165" t="s">
        <v>82</v>
      </c>
      <c r="CAX37" s="165"/>
      <c r="CAY37" s="165"/>
      <c r="CBB37" s="4"/>
      <c r="CBC37" s="4"/>
      <c r="CBD37" s="4"/>
      <c r="CBE37" s="4"/>
      <c r="CBF37" s="4"/>
      <c r="CBI37" s="165" t="s">
        <v>82</v>
      </c>
      <c r="CBJ37" s="165"/>
      <c r="CBK37" s="165"/>
      <c r="CBN37" s="4"/>
      <c r="CBO37" s="4"/>
      <c r="CBP37" s="4"/>
      <c r="CBQ37" s="4"/>
      <c r="CBR37" s="4"/>
      <c r="CBU37" s="165" t="s">
        <v>82</v>
      </c>
      <c r="CBV37" s="165"/>
      <c r="CBW37" s="165"/>
      <c r="CBZ37" s="4"/>
      <c r="CCA37" s="4"/>
      <c r="CCB37" s="4"/>
      <c r="CCC37" s="4"/>
      <c r="CCD37" s="4"/>
      <c r="CCG37" s="165" t="s">
        <v>82</v>
      </c>
      <c r="CCH37" s="165"/>
      <c r="CCI37" s="165"/>
      <c r="CCL37" s="4"/>
      <c r="CCM37" s="4"/>
      <c r="CCN37" s="4"/>
      <c r="CCO37" s="4"/>
      <c r="CCP37" s="4"/>
      <c r="CCS37" s="165" t="s">
        <v>82</v>
      </c>
      <c r="CCT37" s="165"/>
      <c r="CCU37" s="165"/>
      <c r="CCX37" s="4"/>
      <c r="CCY37" s="4"/>
      <c r="CCZ37" s="4"/>
      <c r="CDA37" s="4"/>
      <c r="CDB37" s="4"/>
      <c r="CDE37" s="165" t="s">
        <v>82</v>
      </c>
      <c r="CDF37" s="165"/>
      <c r="CDG37" s="165"/>
      <c r="CDJ37" s="4"/>
      <c r="CDK37" s="4"/>
      <c r="CDL37" s="4"/>
      <c r="CDM37" s="4"/>
      <c r="CDN37" s="4"/>
      <c r="CDQ37" s="165" t="s">
        <v>82</v>
      </c>
      <c r="CDR37" s="165"/>
      <c r="CDS37" s="165"/>
      <c r="CDV37" s="4"/>
      <c r="CDW37" s="4"/>
      <c r="CDX37" s="4"/>
      <c r="CDY37" s="4"/>
      <c r="CDZ37" s="4"/>
      <c r="CEC37" s="165" t="s">
        <v>82</v>
      </c>
      <c r="CED37" s="165"/>
      <c r="CEE37" s="165"/>
      <c r="CEH37" s="4"/>
      <c r="CEI37" s="4"/>
      <c r="CEJ37" s="4"/>
      <c r="CEK37" s="4"/>
      <c r="CEL37" s="4"/>
      <c r="CEO37" s="165" t="s">
        <v>82</v>
      </c>
      <c r="CEP37" s="165"/>
      <c r="CEQ37" s="165"/>
      <c r="CET37" s="4"/>
      <c r="CEU37" s="4"/>
      <c r="CEV37" s="4"/>
      <c r="CEW37" s="4"/>
      <c r="CEX37" s="4"/>
      <c r="CFA37" s="165" t="s">
        <v>82</v>
      </c>
      <c r="CFB37" s="165"/>
      <c r="CFC37" s="165"/>
      <c r="CFF37" s="4"/>
      <c r="CFG37" s="4"/>
      <c r="CFH37" s="4"/>
      <c r="CFI37" s="4"/>
      <c r="CFJ37" s="4"/>
      <c r="CFM37" s="165" t="s">
        <v>82</v>
      </c>
      <c r="CFN37" s="165"/>
      <c r="CFO37" s="165"/>
      <c r="CFR37" s="4"/>
      <c r="CFS37" s="4"/>
      <c r="CFT37" s="4"/>
      <c r="CFU37" s="4"/>
      <c r="CFV37" s="4"/>
      <c r="CFY37" s="165" t="s">
        <v>82</v>
      </c>
      <c r="CFZ37" s="165"/>
      <c r="CGA37" s="165"/>
      <c r="CGD37" s="4"/>
      <c r="CGE37" s="4"/>
      <c r="CGF37" s="4"/>
      <c r="CGG37" s="4"/>
      <c r="CGH37" s="4"/>
      <c r="CGK37" s="165" t="s">
        <v>82</v>
      </c>
      <c r="CGL37" s="165"/>
      <c r="CGM37" s="165"/>
      <c r="CGP37" s="4"/>
      <c r="CGQ37" s="4"/>
      <c r="CGR37" s="4"/>
      <c r="CGS37" s="4"/>
      <c r="CGT37" s="4"/>
      <c r="CGW37" s="165" t="s">
        <v>82</v>
      </c>
      <c r="CGX37" s="165"/>
      <c r="CGY37" s="165"/>
      <c r="CHB37" s="4"/>
      <c r="CHC37" s="4"/>
      <c r="CHD37" s="4"/>
      <c r="CHE37" s="4"/>
      <c r="CHF37" s="4"/>
      <c r="CHI37" s="165" t="s">
        <v>82</v>
      </c>
      <c r="CHJ37" s="165"/>
      <c r="CHK37" s="165"/>
      <c r="CHN37" s="4"/>
      <c r="CHO37" s="4"/>
      <c r="CHP37" s="4"/>
      <c r="CHQ37" s="4"/>
      <c r="CHR37" s="4"/>
      <c r="CHU37" s="165" t="s">
        <v>82</v>
      </c>
      <c r="CHV37" s="165"/>
      <c r="CHW37" s="165"/>
      <c r="CHZ37" s="4"/>
      <c r="CIA37" s="4"/>
      <c r="CIB37" s="4"/>
      <c r="CIC37" s="4"/>
      <c r="CID37" s="4"/>
      <c r="CIG37" s="165" t="s">
        <v>82</v>
      </c>
      <c r="CIH37" s="165"/>
      <c r="CII37" s="165"/>
      <c r="CIL37" s="4"/>
      <c r="CIM37" s="4"/>
      <c r="CIN37" s="4"/>
      <c r="CIO37" s="4"/>
      <c r="CIP37" s="4"/>
      <c r="CIS37" s="165" t="s">
        <v>82</v>
      </c>
      <c r="CIT37" s="165"/>
      <c r="CIU37" s="165"/>
      <c r="CIX37" s="4"/>
      <c r="CIY37" s="4"/>
      <c r="CIZ37" s="4"/>
      <c r="CJA37" s="4"/>
      <c r="CJB37" s="4"/>
      <c r="CJE37" s="165" t="s">
        <v>82</v>
      </c>
      <c r="CJF37" s="165"/>
      <c r="CJG37" s="165"/>
      <c r="CJJ37" s="4"/>
      <c r="CJK37" s="4"/>
      <c r="CJL37" s="4"/>
      <c r="CJM37" s="4"/>
      <c r="CJN37" s="4"/>
      <c r="CJQ37" s="165" t="s">
        <v>82</v>
      </c>
      <c r="CJR37" s="165"/>
      <c r="CJS37" s="165"/>
      <c r="CJV37" s="4"/>
      <c r="CJW37" s="4"/>
      <c r="CJX37" s="4"/>
      <c r="CJY37" s="4"/>
      <c r="CJZ37" s="4"/>
      <c r="CKC37" s="165" t="s">
        <v>82</v>
      </c>
      <c r="CKD37" s="165"/>
      <c r="CKE37" s="165"/>
      <c r="CKH37" s="4"/>
      <c r="CKI37" s="4"/>
      <c r="CKJ37" s="4"/>
      <c r="CKK37" s="4"/>
      <c r="CKL37" s="4"/>
      <c r="CKO37" s="165" t="s">
        <v>82</v>
      </c>
      <c r="CKP37" s="165"/>
      <c r="CKQ37" s="165"/>
      <c r="CKT37" s="4"/>
      <c r="CKU37" s="4"/>
      <c r="CKV37" s="4"/>
      <c r="CKW37" s="4"/>
      <c r="CKX37" s="4"/>
      <c r="CLA37" s="165" t="s">
        <v>82</v>
      </c>
      <c r="CLB37" s="165"/>
      <c r="CLC37" s="165"/>
      <c r="CLF37" s="4"/>
      <c r="CLG37" s="4"/>
      <c r="CLH37" s="4"/>
      <c r="CLI37" s="4"/>
      <c r="CLJ37" s="4"/>
      <c r="CLM37" s="165" t="s">
        <v>82</v>
      </c>
      <c r="CLN37" s="165"/>
      <c r="CLO37" s="165"/>
      <c r="CLR37" s="4"/>
      <c r="CLS37" s="4"/>
      <c r="CLT37" s="4"/>
      <c r="CLU37" s="4"/>
      <c r="CLV37" s="4"/>
      <c r="CLY37" s="165" t="s">
        <v>82</v>
      </c>
      <c r="CLZ37" s="165"/>
      <c r="CMA37" s="165"/>
      <c r="CMD37" s="4"/>
      <c r="CME37" s="4"/>
      <c r="CMF37" s="4"/>
      <c r="CMG37" s="4"/>
      <c r="CMH37" s="4"/>
      <c r="CMK37" s="165" t="s">
        <v>82</v>
      </c>
      <c r="CML37" s="165"/>
      <c r="CMM37" s="165"/>
      <c r="CMP37" s="4"/>
      <c r="CMQ37" s="4"/>
      <c r="CMR37" s="4"/>
      <c r="CMS37" s="4"/>
      <c r="CMT37" s="4"/>
      <c r="CMW37" s="165" t="s">
        <v>82</v>
      </c>
      <c r="CMX37" s="165"/>
      <c r="CMY37" s="165"/>
      <c r="CNB37" s="4"/>
      <c r="CNC37" s="4"/>
      <c r="CND37" s="4"/>
      <c r="CNE37" s="4"/>
      <c r="CNF37" s="4"/>
      <c r="CNI37" s="165" t="s">
        <v>82</v>
      </c>
      <c r="CNJ37" s="165"/>
      <c r="CNK37" s="165"/>
      <c r="CNN37" s="4"/>
      <c r="CNO37" s="4"/>
      <c r="CNP37" s="4"/>
      <c r="CNQ37" s="4"/>
      <c r="CNR37" s="4"/>
      <c r="CNU37" s="165" t="s">
        <v>82</v>
      </c>
      <c r="CNV37" s="165"/>
      <c r="CNW37" s="165"/>
      <c r="CNZ37" s="4"/>
      <c r="COA37" s="4"/>
      <c r="COB37" s="4"/>
      <c r="COC37" s="4"/>
      <c r="COD37" s="4"/>
      <c r="COG37" s="165" t="s">
        <v>82</v>
      </c>
      <c r="COH37" s="165"/>
      <c r="COI37" s="165"/>
      <c r="COL37" s="4"/>
      <c r="COM37" s="4"/>
      <c r="CON37" s="4"/>
      <c r="COO37" s="4"/>
      <c r="COP37" s="4"/>
      <c r="COS37" s="165" t="s">
        <v>82</v>
      </c>
      <c r="COT37" s="165"/>
      <c r="COU37" s="165"/>
      <c r="COX37" s="4"/>
      <c r="COY37" s="4"/>
      <c r="COZ37" s="4"/>
      <c r="CPA37" s="4"/>
      <c r="CPB37" s="4"/>
      <c r="CPE37" s="165" t="s">
        <v>82</v>
      </c>
      <c r="CPF37" s="165"/>
      <c r="CPG37" s="165"/>
      <c r="CPJ37" s="4"/>
      <c r="CPK37" s="4"/>
      <c r="CPL37" s="4"/>
      <c r="CPM37" s="4"/>
      <c r="CPN37" s="4"/>
      <c r="CPQ37" s="165" t="s">
        <v>82</v>
      </c>
      <c r="CPR37" s="165"/>
      <c r="CPS37" s="165"/>
      <c r="CPV37" s="4"/>
      <c r="CPW37" s="4"/>
      <c r="CPX37" s="4"/>
      <c r="CPY37" s="4"/>
      <c r="CPZ37" s="4"/>
      <c r="CQC37" s="165" t="s">
        <v>82</v>
      </c>
      <c r="CQD37" s="165"/>
      <c r="CQE37" s="165"/>
      <c r="CQH37" s="4"/>
      <c r="CQI37" s="4"/>
      <c r="CQJ37" s="4"/>
      <c r="CQK37" s="4"/>
      <c r="CQL37" s="4"/>
      <c r="CQO37" s="165" t="s">
        <v>82</v>
      </c>
      <c r="CQP37" s="165"/>
      <c r="CQQ37" s="165"/>
      <c r="CQT37" s="4"/>
      <c r="CQU37" s="4"/>
      <c r="CQV37" s="4"/>
      <c r="CQW37" s="4"/>
      <c r="CQX37" s="4"/>
      <c r="CRA37" s="165" t="s">
        <v>82</v>
      </c>
      <c r="CRB37" s="165"/>
      <c r="CRC37" s="165"/>
      <c r="CRF37" s="4"/>
      <c r="CRG37" s="4"/>
      <c r="CRH37" s="4"/>
      <c r="CRI37" s="4"/>
      <c r="CRJ37" s="4"/>
      <c r="CRM37" s="165" t="s">
        <v>82</v>
      </c>
      <c r="CRN37" s="165"/>
      <c r="CRO37" s="165"/>
      <c r="CRR37" s="4"/>
      <c r="CRS37" s="4"/>
      <c r="CRT37" s="4"/>
      <c r="CRU37" s="4"/>
      <c r="CRV37" s="4"/>
      <c r="CRY37" s="165" t="s">
        <v>82</v>
      </c>
      <c r="CRZ37" s="165"/>
      <c r="CSA37" s="165"/>
      <c r="CSD37" s="4"/>
      <c r="CSE37" s="4"/>
      <c r="CSF37" s="4"/>
      <c r="CSG37" s="4"/>
      <c r="CSH37" s="4"/>
      <c r="CSK37" s="165" t="s">
        <v>82</v>
      </c>
      <c r="CSL37" s="165"/>
      <c r="CSM37" s="165"/>
      <c r="CSP37" s="4"/>
      <c r="CSQ37" s="4"/>
      <c r="CSR37" s="4"/>
      <c r="CSS37" s="4"/>
      <c r="CST37" s="4"/>
      <c r="CSW37" s="165" t="s">
        <v>82</v>
      </c>
      <c r="CSX37" s="165"/>
      <c r="CSY37" s="165"/>
      <c r="CTB37" s="4"/>
      <c r="CTC37" s="4"/>
      <c r="CTD37" s="4"/>
      <c r="CTE37" s="4"/>
      <c r="CTF37" s="4"/>
      <c r="CTI37" s="165" t="s">
        <v>82</v>
      </c>
      <c r="CTJ37" s="165"/>
      <c r="CTK37" s="165"/>
      <c r="CTN37" s="4"/>
      <c r="CTO37" s="4"/>
      <c r="CTP37" s="4"/>
      <c r="CTQ37" s="4"/>
      <c r="CTR37" s="4"/>
      <c r="CTU37" s="165" t="s">
        <v>82</v>
      </c>
      <c r="CTV37" s="165"/>
      <c r="CTW37" s="165"/>
      <c r="CTZ37" s="4"/>
      <c r="CUA37" s="4"/>
      <c r="CUB37" s="4"/>
      <c r="CUC37" s="4"/>
      <c r="CUD37" s="4"/>
      <c r="CUG37" s="165" t="s">
        <v>82</v>
      </c>
      <c r="CUH37" s="165"/>
      <c r="CUI37" s="165"/>
      <c r="CUL37" s="4"/>
      <c r="CUM37" s="4"/>
      <c r="CUN37" s="4"/>
      <c r="CUO37" s="4"/>
      <c r="CUP37" s="4"/>
      <c r="CUS37" s="165" t="s">
        <v>82</v>
      </c>
      <c r="CUT37" s="165"/>
      <c r="CUU37" s="165"/>
      <c r="CUX37" s="4"/>
      <c r="CUY37" s="4"/>
      <c r="CUZ37" s="4"/>
      <c r="CVA37" s="4"/>
      <c r="CVB37" s="4"/>
      <c r="CVE37" s="165" t="s">
        <v>82</v>
      </c>
      <c r="CVF37" s="165"/>
      <c r="CVG37" s="165"/>
      <c r="CVJ37" s="4"/>
      <c r="CVK37" s="4"/>
      <c r="CVL37" s="4"/>
      <c r="CVM37" s="4"/>
      <c r="CVN37" s="4"/>
      <c r="CVQ37" s="165" t="s">
        <v>82</v>
      </c>
      <c r="CVR37" s="165"/>
      <c r="CVS37" s="165"/>
      <c r="CVV37" s="4"/>
      <c r="CVW37" s="4"/>
      <c r="CVX37" s="4"/>
      <c r="CVY37" s="4"/>
      <c r="CVZ37" s="4"/>
      <c r="CWC37" s="165" t="s">
        <v>82</v>
      </c>
      <c r="CWD37" s="165"/>
      <c r="CWE37" s="165"/>
    </row>
    <row r="38" spans="2:1023 1026:2631" x14ac:dyDescent="0.25">
      <c r="B38" s="77" t="s">
        <v>83</v>
      </c>
      <c r="C38" s="77"/>
      <c r="D38" s="77"/>
      <c r="E38" s="77"/>
      <c r="F38" s="77"/>
      <c r="G38" s="77"/>
      <c r="H38" s="77"/>
      <c r="I38" s="77"/>
      <c r="J38" s="77"/>
      <c r="K38" s="77"/>
      <c r="L38" s="77"/>
      <c r="P38" s="77" t="s">
        <v>83</v>
      </c>
      <c r="Q38" s="77"/>
      <c r="R38" s="77"/>
      <c r="S38" s="77"/>
      <c r="T38" s="77"/>
      <c r="U38" s="77"/>
      <c r="V38" s="77"/>
      <c r="W38" s="77"/>
      <c r="X38" s="77"/>
      <c r="Y38" s="77"/>
      <c r="Z38" s="77"/>
      <c r="AD38" s="77" t="s">
        <v>83</v>
      </c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R38" s="77" t="s">
        <v>83</v>
      </c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F38" s="77" t="s">
        <v>83</v>
      </c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T38" s="77" t="s">
        <v>83</v>
      </c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H38" s="77" t="s">
        <v>83</v>
      </c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V38" s="77" t="s">
        <v>83</v>
      </c>
      <c r="CW38" s="77"/>
      <c r="CX38" s="77"/>
      <c r="CY38" s="77"/>
      <c r="CZ38" s="77"/>
      <c r="DA38" s="77"/>
      <c r="DB38" s="77"/>
      <c r="DC38" s="77"/>
      <c r="DD38" s="77"/>
      <c r="DE38" s="77"/>
      <c r="DF38" s="77"/>
      <c r="DJ38" s="77" t="s">
        <v>83</v>
      </c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X38" s="77" t="s">
        <v>83</v>
      </c>
      <c r="DY38" s="77"/>
      <c r="DZ38" s="77"/>
      <c r="EA38" s="77"/>
      <c r="EB38" s="77"/>
      <c r="EC38" s="77"/>
      <c r="ED38" s="77"/>
      <c r="EE38" s="77"/>
      <c r="EF38" s="77"/>
      <c r="EG38" s="77"/>
      <c r="EH38" s="77"/>
      <c r="EL38" s="77" t="s">
        <v>83</v>
      </c>
      <c r="EM38" s="77"/>
      <c r="EN38" s="77"/>
      <c r="EO38" s="77"/>
      <c r="EP38" s="77"/>
      <c r="EQ38" s="77"/>
      <c r="ER38" s="77"/>
      <c r="ES38" s="77"/>
      <c r="ET38" s="77"/>
      <c r="EU38" s="77"/>
      <c r="EV38" s="77"/>
      <c r="EZ38" s="77" t="s">
        <v>83</v>
      </c>
      <c r="FA38" s="77"/>
      <c r="FB38" s="77"/>
      <c r="FC38" s="77"/>
      <c r="FD38" s="77"/>
      <c r="FE38" s="77"/>
      <c r="FF38" s="77"/>
      <c r="FG38" s="77"/>
      <c r="FH38" s="77"/>
      <c r="FI38" s="77"/>
      <c r="FJ38" s="77"/>
      <c r="FN38" s="77" t="s">
        <v>83</v>
      </c>
      <c r="FO38" s="77"/>
      <c r="FP38" s="77"/>
      <c r="FQ38" s="77"/>
      <c r="FR38" s="77"/>
      <c r="FS38" s="77"/>
      <c r="FT38" s="77"/>
      <c r="FU38" s="77"/>
      <c r="FV38" s="77"/>
      <c r="FW38" s="77"/>
      <c r="FX38" s="77"/>
      <c r="GB38" s="77" t="s">
        <v>83</v>
      </c>
      <c r="GC38" s="77"/>
      <c r="GD38" s="77"/>
      <c r="GE38" s="77"/>
      <c r="GF38" s="77"/>
      <c r="GG38" s="77"/>
      <c r="GH38" s="77"/>
      <c r="GI38" s="77"/>
      <c r="GJ38" s="77"/>
      <c r="GK38" s="77"/>
      <c r="GL38" s="77"/>
      <c r="GP38" s="77" t="s">
        <v>83</v>
      </c>
      <c r="GQ38" s="77"/>
      <c r="GR38" s="77"/>
      <c r="GS38" s="77"/>
      <c r="GT38" s="77"/>
      <c r="GU38" s="77"/>
      <c r="GV38" s="77"/>
      <c r="GW38" s="77"/>
      <c r="GX38" s="77"/>
      <c r="GY38" s="77"/>
      <c r="GZ38" s="77"/>
      <c r="HD38" s="77" t="s">
        <v>83</v>
      </c>
      <c r="HE38" s="77"/>
      <c r="HF38" s="77"/>
      <c r="HG38" s="77"/>
      <c r="HH38" s="77"/>
      <c r="HI38" s="77"/>
      <c r="HJ38" s="77"/>
      <c r="HK38" s="77"/>
      <c r="HL38" s="77"/>
      <c r="HM38" s="77"/>
      <c r="HN38" s="77"/>
      <c r="HR38" s="77" t="s">
        <v>83</v>
      </c>
      <c r="HS38" s="77"/>
      <c r="HT38" s="77"/>
      <c r="HU38" s="77"/>
      <c r="HV38" s="77"/>
      <c r="HW38" s="77"/>
      <c r="HX38" s="77"/>
      <c r="HY38" s="77"/>
      <c r="HZ38" s="77"/>
      <c r="IA38" s="77"/>
      <c r="IB38" s="77"/>
      <c r="IF38" s="77" t="s">
        <v>83</v>
      </c>
      <c r="IG38" s="77"/>
      <c r="IH38" s="77"/>
      <c r="II38" s="77"/>
      <c r="IJ38" s="77"/>
      <c r="IK38" s="77"/>
      <c r="IL38" s="77"/>
      <c r="IM38" s="77"/>
      <c r="IN38" s="77"/>
      <c r="IO38" s="77"/>
      <c r="IP38" s="77"/>
      <c r="IT38" s="77" t="s">
        <v>83</v>
      </c>
      <c r="IU38" s="77"/>
      <c r="IV38" s="77"/>
      <c r="IW38" s="77"/>
      <c r="IX38" s="77"/>
      <c r="IY38" s="77"/>
      <c r="IZ38" s="77"/>
      <c r="JA38" s="77"/>
      <c r="JB38" s="77"/>
      <c r="JC38" s="77"/>
      <c r="JD38" s="77"/>
      <c r="JH38" s="77" t="s">
        <v>83</v>
      </c>
      <c r="JI38" s="77"/>
      <c r="JJ38" s="77"/>
      <c r="JK38" s="77"/>
      <c r="JL38" s="77"/>
      <c r="JM38" s="77"/>
      <c r="JN38" s="77"/>
      <c r="JO38" s="77"/>
      <c r="JP38" s="77"/>
      <c r="JQ38" s="77"/>
      <c r="JR38" s="77"/>
      <c r="JV38" s="77" t="s">
        <v>83</v>
      </c>
      <c r="JW38" s="77"/>
      <c r="JX38" s="77"/>
      <c r="JY38" s="77"/>
      <c r="JZ38" s="77"/>
      <c r="KA38" s="77"/>
      <c r="KB38" s="77"/>
      <c r="KC38" s="77"/>
      <c r="KD38" s="77"/>
      <c r="KE38" s="77"/>
      <c r="KF38" s="77"/>
      <c r="KJ38" s="77" t="s">
        <v>83</v>
      </c>
      <c r="KK38" s="77"/>
      <c r="KL38" s="77"/>
      <c r="KM38" s="77"/>
      <c r="KN38" s="77"/>
      <c r="KO38" s="77"/>
      <c r="KP38" s="77"/>
      <c r="KQ38" s="77"/>
      <c r="KR38" s="77"/>
      <c r="KS38" s="77"/>
      <c r="KT38" s="77"/>
      <c r="KX38" s="77" t="s">
        <v>83</v>
      </c>
      <c r="KY38" s="77"/>
      <c r="KZ38" s="77"/>
      <c r="LA38" s="77"/>
      <c r="LB38" s="77"/>
      <c r="LC38" s="77"/>
      <c r="LD38" s="77"/>
      <c r="LE38" s="77"/>
      <c r="LF38" s="77"/>
      <c r="LG38" s="77"/>
      <c r="LH38" s="77"/>
      <c r="LL38" s="77" t="s">
        <v>83</v>
      </c>
      <c r="LM38" s="77"/>
      <c r="LN38" s="77"/>
      <c r="LO38" s="77"/>
      <c r="LP38" s="77"/>
      <c r="LQ38" s="77"/>
      <c r="LR38" s="77"/>
      <c r="LS38" s="77"/>
      <c r="LT38" s="77"/>
      <c r="LU38" s="77"/>
      <c r="LV38" s="77"/>
      <c r="LZ38" s="77" t="s">
        <v>83</v>
      </c>
      <c r="MA38" s="77"/>
      <c r="MB38" s="77"/>
      <c r="MC38" s="77"/>
      <c r="MD38" s="77"/>
      <c r="ME38" s="77"/>
      <c r="MF38" s="77"/>
      <c r="MG38" s="77"/>
      <c r="MH38" s="77"/>
      <c r="MI38" s="77"/>
      <c r="MJ38" s="77"/>
      <c r="MN38" s="77" t="s">
        <v>83</v>
      </c>
      <c r="MO38" s="77"/>
      <c r="MP38" s="77"/>
      <c r="MQ38" s="77"/>
      <c r="MR38" s="77"/>
      <c r="MS38" s="77"/>
      <c r="MT38" s="77"/>
      <c r="MU38" s="77"/>
      <c r="MV38" s="77"/>
      <c r="MW38" s="77"/>
      <c r="MX38" s="77"/>
      <c r="NB38" s="77" t="s">
        <v>83</v>
      </c>
      <c r="NC38" s="77"/>
      <c r="ND38" s="77"/>
      <c r="NE38" s="77"/>
      <c r="NF38" s="77"/>
      <c r="NG38" s="77"/>
      <c r="NH38" s="77"/>
      <c r="NI38" s="77"/>
      <c r="NJ38" s="77"/>
      <c r="NK38" s="77"/>
      <c r="NL38" s="77"/>
      <c r="NP38" s="77" t="s">
        <v>83</v>
      </c>
      <c r="NQ38" s="77"/>
      <c r="NR38" s="77"/>
      <c r="NS38" s="77"/>
      <c r="NT38" s="77"/>
      <c r="NU38" s="77"/>
      <c r="NV38" s="77"/>
      <c r="NW38" s="77"/>
      <c r="NX38" s="77"/>
      <c r="NY38" s="77"/>
      <c r="NZ38" s="77"/>
      <c r="OD38" s="77" t="s">
        <v>83</v>
      </c>
      <c r="OE38" s="77"/>
      <c r="OF38" s="77"/>
      <c r="OG38" s="77"/>
      <c r="OH38" s="77"/>
      <c r="OI38" s="77"/>
      <c r="OJ38" s="77"/>
      <c r="OK38" s="77"/>
      <c r="OL38" s="77"/>
      <c r="OM38" s="77"/>
      <c r="ON38" s="77"/>
      <c r="OR38" s="77" t="s">
        <v>83</v>
      </c>
      <c r="OS38" s="77"/>
      <c r="OT38" s="77"/>
      <c r="OU38" s="77"/>
      <c r="OV38" s="77"/>
      <c r="OW38" s="77"/>
      <c r="OX38" s="77"/>
      <c r="OY38" s="77"/>
      <c r="OZ38" s="77"/>
      <c r="PA38" s="77"/>
      <c r="PB38" s="77"/>
      <c r="PF38" s="77" t="s">
        <v>83</v>
      </c>
      <c r="PG38" s="77"/>
      <c r="PH38" s="77"/>
      <c r="PI38" s="77"/>
      <c r="PJ38" s="77"/>
      <c r="PK38" s="77"/>
      <c r="PL38" s="77"/>
      <c r="PM38" s="77"/>
      <c r="PN38" s="77"/>
      <c r="PO38" s="77"/>
      <c r="PP38" s="77"/>
      <c r="PT38" s="77" t="s">
        <v>83</v>
      </c>
      <c r="PU38" s="77"/>
      <c r="PV38" s="77"/>
      <c r="PW38" s="77"/>
      <c r="PX38" s="77"/>
      <c r="PY38" s="77"/>
      <c r="PZ38" s="77"/>
      <c r="QA38" s="77"/>
      <c r="QB38" s="77"/>
      <c r="QC38" s="77"/>
      <c r="QD38" s="77"/>
      <c r="QH38" s="77" t="s">
        <v>83</v>
      </c>
      <c r="QI38" s="77"/>
      <c r="QJ38" s="77"/>
      <c r="QK38" s="77"/>
      <c r="QL38" s="77"/>
      <c r="QM38" s="77"/>
      <c r="QN38" s="77"/>
      <c r="QO38" s="77"/>
      <c r="QP38" s="77"/>
      <c r="QQ38" s="77"/>
      <c r="QR38" s="77"/>
      <c r="QV38" s="77" t="s">
        <v>83</v>
      </c>
      <c r="QW38" s="77"/>
      <c r="QX38" s="77"/>
      <c r="QY38" s="77"/>
      <c r="QZ38" s="77"/>
      <c r="RA38" s="77"/>
      <c r="RB38" s="77"/>
      <c r="RC38" s="77"/>
      <c r="RD38" s="77"/>
      <c r="RE38" s="77"/>
      <c r="RF38" s="77"/>
      <c r="RJ38" s="77" t="s">
        <v>83</v>
      </c>
      <c r="RK38" s="77"/>
      <c r="RL38" s="77"/>
      <c r="RM38" s="77"/>
      <c r="RN38" s="77"/>
      <c r="RO38" s="77"/>
      <c r="RP38" s="77"/>
      <c r="RQ38" s="77"/>
      <c r="RR38" s="77"/>
      <c r="RS38" s="77"/>
      <c r="RT38" s="77"/>
      <c r="RX38" s="77" t="s">
        <v>83</v>
      </c>
      <c r="RY38" s="77"/>
      <c r="RZ38" s="77"/>
      <c r="SA38" s="77"/>
      <c r="SB38" s="77"/>
      <c r="SC38" s="77"/>
      <c r="SD38" s="77"/>
      <c r="SE38" s="77"/>
      <c r="SF38" s="77"/>
      <c r="SG38" s="77"/>
      <c r="SH38" s="77"/>
      <c r="SL38" s="77" t="s">
        <v>83</v>
      </c>
      <c r="SM38" s="77"/>
      <c r="SN38" s="77"/>
      <c r="SO38" s="77"/>
      <c r="SP38" s="77"/>
      <c r="SQ38" s="77"/>
      <c r="SR38" s="77"/>
      <c r="SS38" s="77"/>
      <c r="ST38" s="77"/>
      <c r="SU38" s="77"/>
      <c r="SV38" s="77"/>
      <c r="SZ38" s="77" t="s">
        <v>83</v>
      </c>
      <c r="TA38" s="77"/>
      <c r="TB38" s="77"/>
      <c r="TC38" s="77"/>
      <c r="TD38" s="77"/>
      <c r="TE38" s="77"/>
      <c r="TF38" s="77"/>
      <c r="TG38" s="77"/>
      <c r="TH38" s="77"/>
      <c r="TI38" s="77"/>
      <c r="TJ38" s="77"/>
      <c r="TN38" s="77" t="s">
        <v>83</v>
      </c>
      <c r="TO38" s="77"/>
      <c r="TP38" s="77"/>
      <c r="TQ38" s="77"/>
      <c r="TR38" s="77"/>
      <c r="TS38" s="77"/>
      <c r="TT38" s="77"/>
      <c r="TU38" s="77"/>
      <c r="TV38" s="77"/>
      <c r="TW38" s="77"/>
      <c r="TX38" s="77"/>
      <c r="UB38" s="77" t="s">
        <v>83</v>
      </c>
      <c r="UC38" s="77"/>
      <c r="UD38" s="77"/>
      <c r="UE38" s="77"/>
      <c r="UF38" s="77"/>
      <c r="UG38" s="77"/>
      <c r="UH38" s="77"/>
      <c r="UI38" s="77"/>
      <c r="UJ38" s="77"/>
      <c r="UK38" s="77"/>
      <c r="UL38" s="77"/>
      <c r="UP38" s="77" t="s">
        <v>83</v>
      </c>
      <c r="UQ38" s="77"/>
      <c r="UR38" s="77"/>
      <c r="US38" s="77"/>
      <c r="UT38" s="77"/>
      <c r="UU38" s="77"/>
      <c r="UV38" s="77"/>
      <c r="UW38" s="77"/>
      <c r="UX38" s="77"/>
      <c r="UY38" s="77"/>
      <c r="UZ38" s="77"/>
      <c r="VD38" s="77" t="s">
        <v>83</v>
      </c>
      <c r="VE38" s="77"/>
      <c r="VF38" s="77"/>
      <c r="VG38" s="77"/>
      <c r="VH38" s="77"/>
      <c r="VI38" s="77"/>
      <c r="VJ38" s="77"/>
      <c r="VK38" s="77"/>
      <c r="VL38" s="77"/>
      <c r="VM38" s="77"/>
      <c r="VN38" s="77"/>
      <c r="VR38" s="77" t="s">
        <v>83</v>
      </c>
      <c r="VS38" s="77"/>
      <c r="VT38" s="77"/>
      <c r="VU38" s="77"/>
      <c r="VV38" s="77"/>
      <c r="VW38" s="77"/>
      <c r="VX38" s="77"/>
      <c r="VY38" s="77"/>
      <c r="VZ38" s="77"/>
      <c r="WA38" s="77"/>
      <c r="WB38" s="77"/>
      <c r="WF38" s="77" t="s">
        <v>83</v>
      </c>
      <c r="WG38" s="77"/>
      <c r="WH38" s="77"/>
      <c r="WI38" s="77"/>
      <c r="WJ38" s="77"/>
      <c r="WK38" s="77"/>
      <c r="WL38" s="77"/>
      <c r="WM38" s="77"/>
      <c r="WN38" s="77"/>
      <c r="WO38" s="77"/>
      <c r="WP38" s="77"/>
      <c r="WT38" s="77" t="s">
        <v>83</v>
      </c>
      <c r="WU38" s="77"/>
      <c r="WV38" s="77"/>
      <c r="WW38" s="77"/>
      <c r="WX38" s="77"/>
      <c r="WY38" s="77"/>
      <c r="WZ38" s="77"/>
      <c r="XA38" s="77"/>
      <c r="XB38" s="77"/>
      <c r="XC38" s="77"/>
      <c r="XD38" s="77"/>
      <c r="XH38" s="77" t="s">
        <v>83</v>
      </c>
      <c r="XI38" s="77"/>
      <c r="XJ38" s="77"/>
      <c r="XK38" s="77"/>
      <c r="XL38" s="77"/>
      <c r="XM38" s="77"/>
      <c r="XN38" s="77"/>
      <c r="XO38" s="77"/>
      <c r="XP38" s="77"/>
      <c r="XQ38" s="77"/>
      <c r="XR38" s="77"/>
      <c r="XV38" s="77" t="s">
        <v>83</v>
      </c>
      <c r="XW38" s="77"/>
      <c r="XX38" s="77"/>
      <c r="XY38" s="77"/>
      <c r="XZ38" s="77"/>
      <c r="YA38" s="77"/>
      <c r="YB38" s="77"/>
      <c r="YC38" s="77"/>
      <c r="YD38" s="77"/>
      <c r="YE38" s="77"/>
      <c r="YF38" s="77"/>
      <c r="YJ38" s="77" t="s">
        <v>83</v>
      </c>
      <c r="YK38" s="77"/>
      <c r="YL38" s="77"/>
      <c r="YM38" s="77"/>
      <c r="YN38" s="77"/>
      <c r="YO38" s="77"/>
      <c r="YP38" s="77"/>
      <c r="YQ38" s="77"/>
      <c r="YR38" s="77"/>
      <c r="YS38" s="77"/>
      <c r="YT38" s="77"/>
      <c r="YX38" s="77" t="s">
        <v>83</v>
      </c>
      <c r="YY38" s="77"/>
      <c r="YZ38" s="77"/>
      <c r="ZA38" s="77"/>
      <c r="ZB38" s="77"/>
      <c r="ZC38" s="77"/>
      <c r="ZD38" s="77"/>
      <c r="ZE38" s="77"/>
      <c r="ZF38" s="77"/>
      <c r="ZG38" s="77"/>
      <c r="ZH38" s="77"/>
      <c r="ZL38" s="77" t="s">
        <v>83</v>
      </c>
      <c r="ZM38" s="77"/>
      <c r="ZN38" s="77"/>
      <c r="ZO38" s="77"/>
      <c r="ZP38" s="77"/>
      <c r="ZQ38" s="77"/>
      <c r="ZR38" s="77"/>
      <c r="ZS38" s="77"/>
      <c r="ZT38" s="77"/>
      <c r="ZU38" s="77"/>
      <c r="ZV38" s="77"/>
      <c r="ZY38" s="4"/>
      <c r="ZZ38" s="85" t="s">
        <v>84</v>
      </c>
      <c r="AAA38" s="85"/>
      <c r="AAB38" s="85"/>
      <c r="AAC38" s="85"/>
      <c r="AAG38" s="190"/>
      <c r="AAH38" s="190"/>
      <c r="AAI38" s="190"/>
      <c r="AAL38" s="4"/>
      <c r="AAM38" s="85" t="s">
        <v>84</v>
      </c>
      <c r="AAN38" s="85"/>
      <c r="AAO38" s="85"/>
      <c r="AAP38" s="85"/>
      <c r="AAT38" s="190"/>
      <c r="AAU38" s="190"/>
      <c r="AAV38" s="190"/>
      <c r="AAY38" s="4"/>
      <c r="AAZ38" s="85" t="s">
        <v>84</v>
      </c>
      <c r="ABA38" s="85"/>
      <c r="ABB38" s="85"/>
      <c r="ABC38" s="85"/>
      <c r="ABG38" s="190"/>
      <c r="ABH38" s="190"/>
      <c r="ABI38" s="190"/>
      <c r="ABL38" s="4"/>
      <c r="ABM38" s="85" t="s">
        <v>84</v>
      </c>
      <c r="ABN38" s="85"/>
      <c r="ABO38" s="85"/>
      <c r="ABP38" s="85"/>
      <c r="ABT38" s="190"/>
      <c r="ABU38" s="190"/>
      <c r="ABV38" s="190"/>
      <c r="ABY38" s="4"/>
      <c r="ABZ38" s="85" t="s">
        <v>84</v>
      </c>
      <c r="ACA38" s="85"/>
      <c r="ACB38" s="85"/>
      <c r="ACC38" s="85"/>
      <c r="ACG38" s="190"/>
      <c r="ACH38" s="190"/>
      <c r="ACI38" s="190"/>
      <c r="ACL38" s="4"/>
      <c r="ACM38" s="85" t="s">
        <v>84</v>
      </c>
      <c r="ACN38" s="85"/>
      <c r="ACO38" s="85"/>
      <c r="ACP38" s="85"/>
      <c r="ACT38" s="190"/>
      <c r="ACU38" s="190"/>
      <c r="ACV38" s="190"/>
      <c r="ACY38" s="4"/>
      <c r="ACZ38" s="85" t="s">
        <v>84</v>
      </c>
      <c r="ADA38" s="85"/>
      <c r="ADB38" s="85"/>
      <c r="ADC38" s="85"/>
      <c r="ADG38" s="190"/>
      <c r="ADH38" s="190"/>
      <c r="ADI38" s="190"/>
      <c r="ADL38" s="4"/>
      <c r="ADM38" s="85" t="s">
        <v>84</v>
      </c>
      <c r="ADN38" s="85"/>
      <c r="ADO38" s="85"/>
      <c r="ADP38" s="85"/>
      <c r="ADT38" s="190"/>
      <c r="ADU38" s="190"/>
      <c r="ADV38" s="190"/>
      <c r="ADY38" s="4"/>
      <c r="ADZ38" s="85" t="s">
        <v>84</v>
      </c>
      <c r="AEA38" s="85"/>
      <c r="AEB38" s="85"/>
      <c r="AEC38" s="85"/>
      <c r="AEG38" s="190"/>
      <c r="AEH38" s="190"/>
      <c r="AEI38" s="190"/>
      <c r="AEL38" s="4"/>
      <c r="AEM38" s="85" t="s">
        <v>84</v>
      </c>
      <c r="AEN38" s="85"/>
      <c r="AEO38" s="85"/>
      <c r="AEP38" s="85"/>
      <c r="AET38" s="190"/>
      <c r="AEU38" s="190"/>
      <c r="AEV38" s="190"/>
      <c r="AEY38" s="4"/>
      <c r="AEZ38" s="85" t="s">
        <v>84</v>
      </c>
      <c r="AFA38" s="85"/>
      <c r="AFB38" s="85"/>
      <c r="AFC38" s="85"/>
      <c r="AFG38" s="190"/>
      <c r="AFH38" s="190"/>
      <c r="AFI38" s="190"/>
      <c r="AFL38" s="4"/>
      <c r="AFM38" s="85" t="s">
        <v>84</v>
      </c>
      <c r="AFN38" s="85"/>
      <c r="AFO38" s="85"/>
      <c r="AFP38" s="85"/>
      <c r="AFT38" s="190"/>
      <c r="AFU38" s="190"/>
      <c r="AFV38" s="190"/>
      <c r="AFZ38" s="85" t="s">
        <v>84</v>
      </c>
      <c r="AGA38" s="85"/>
      <c r="AGB38" s="85"/>
      <c r="AGC38" s="85"/>
      <c r="AGG38" s="190"/>
      <c r="AGH38" s="190"/>
      <c r="AGI38" s="190"/>
      <c r="AGL38" s="85" t="s">
        <v>84</v>
      </c>
      <c r="AGM38" s="85"/>
      <c r="AGN38" s="85"/>
      <c r="AGO38" s="85"/>
      <c r="AGS38" s="190"/>
      <c r="AGT38" s="190"/>
      <c r="AGU38" s="190"/>
      <c r="AGX38" s="85" t="s">
        <v>84</v>
      </c>
      <c r="AGY38" s="85"/>
      <c r="AGZ38" s="85"/>
      <c r="AHA38" s="85"/>
      <c r="AHE38" s="190"/>
      <c r="AHF38" s="190"/>
      <c r="AHG38" s="190"/>
      <c r="AHJ38" s="85" t="s">
        <v>84</v>
      </c>
      <c r="AHK38" s="85"/>
      <c r="AHL38" s="85"/>
      <c r="AHM38" s="85"/>
      <c r="AHQ38" s="190"/>
      <c r="AHR38" s="190"/>
      <c r="AHS38" s="190"/>
      <c r="AHV38" s="85" t="s">
        <v>84</v>
      </c>
      <c r="AHW38" s="85"/>
      <c r="AHX38" s="85"/>
      <c r="AHY38" s="85"/>
      <c r="AIC38" s="190"/>
      <c r="AID38" s="190"/>
      <c r="AIE38" s="190"/>
      <c r="AIH38" s="85" t="s">
        <v>84</v>
      </c>
      <c r="AII38" s="85"/>
      <c r="AIJ38" s="85"/>
      <c r="AIK38" s="85"/>
      <c r="AIO38" s="190"/>
      <c r="AIP38" s="190"/>
      <c r="AIQ38" s="190"/>
      <c r="AIT38" s="85" t="s">
        <v>84</v>
      </c>
      <c r="AIU38" s="85"/>
      <c r="AIV38" s="85"/>
      <c r="AIW38" s="85"/>
      <c r="AJA38" s="190"/>
      <c r="AJB38" s="190"/>
      <c r="AJC38" s="190"/>
      <c r="AJF38" s="85" t="s">
        <v>84</v>
      </c>
      <c r="AJG38" s="85"/>
      <c r="AJH38" s="85"/>
      <c r="AJI38" s="85"/>
      <c r="AJM38" s="190"/>
      <c r="AJN38" s="190"/>
      <c r="AJO38" s="190"/>
      <c r="AJR38" s="85" t="s">
        <v>84</v>
      </c>
      <c r="AJS38" s="85"/>
      <c r="AJT38" s="85"/>
      <c r="AJU38" s="85"/>
      <c r="AJY38" s="190"/>
      <c r="AJZ38" s="190"/>
      <c r="AKA38" s="190"/>
      <c r="AKD38" s="85" t="s">
        <v>84</v>
      </c>
      <c r="AKE38" s="85"/>
      <c r="AKF38" s="85"/>
      <c r="AKG38" s="85"/>
      <c r="AKK38" s="190"/>
      <c r="AKL38" s="190"/>
      <c r="AKM38" s="190"/>
      <c r="AKP38" s="85" t="s">
        <v>84</v>
      </c>
      <c r="AKQ38" s="85"/>
      <c r="AKR38" s="85"/>
      <c r="AKS38" s="85"/>
      <c r="AKW38" s="190"/>
      <c r="AKX38" s="190"/>
      <c r="AKY38" s="190"/>
      <c r="ALB38" s="85" t="s">
        <v>84</v>
      </c>
      <c r="ALC38" s="85"/>
      <c r="ALD38" s="85"/>
      <c r="ALE38" s="85"/>
      <c r="ALI38" s="190"/>
      <c r="ALJ38" s="190"/>
      <c r="ALK38" s="190"/>
      <c r="ALN38" s="85" t="s">
        <v>84</v>
      </c>
      <c r="ALO38" s="85"/>
      <c r="ALP38" s="85"/>
      <c r="ALQ38" s="85"/>
      <c r="ALU38" s="190"/>
      <c r="ALV38" s="190"/>
      <c r="ALW38" s="190"/>
      <c r="ALZ38" s="85" t="s">
        <v>84</v>
      </c>
      <c r="AMA38" s="85"/>
      <c r="AMB38" s="85"/>
      <c r="AMC38" s="85"/>
      <c r="AMG38" s="190"/>
      <c r="AMH38" s="190"/>
      <c r="AMI38" s="190"/>
      <c r="AML38" s="85" t="s">
        <v>85</v>
      </c>
      <c r="AMM38" s="85"/>
      <c r="AMN38" s="85"/>
      <c r="AMO38" s="85"/>
      <c r="AMS38" s="190"/>
      <c r="AMT38" s="190"/>
      <c r="AMU38" s="190"/>
      <c r="AMX38" s="85" t="s">
        <v>86</v>
      </c>
      <c r="AMY38" s="85"/>
      <c r="AMZ38" s="85"/>
      <c r="ANA38" s="85"/>
      <c r="ANE38" s="190"/>
      <c r="ANF38" s="190"/>
      <c r="ANG38" s="190"/>
      <c r="ANJ38" s="85" t="s">
        <v>86</v>
      </c>
      <c r="ANK38" s="85"/>
      <c r="ANL38" s="85"/>
      <c r="ANM38" s="85"/>
      <c r="ANQ38" s="190"/>
      <c r="ANR38" s="190"/>
      <c r="ANS38" s="190"/>
      <c r="ANV38" s="85" t="s">
        <v>86</v>
      </c>
      <c r="ANW38" s="85"/>
      <c r="ANX38" s="85"/>
      <c r="ANY38" s="85"/>
      <c r="AOC38" s="190"/>
      <c r="AOD38" s="190"/>
      <c r="AOE38" s="190"/>
      <c r="AOH38" s="85" t="s">
        <v>86</v>
      </c>
      <c r="AOI38" s="85"/>
      <c r="AOJ38" s="85"/>
      <c r="AOK38" s="85"/>
      <c r="AOO38" s="190"/>
      <c r="AOP38" s="190"/>
      <c r="AOQ38" s="190"/>
      <c r="AOT38" s="85" t="s">
        <v>86</v>
      </c>
      <c r="AOU38" s="85"/>
      <c r="AOV38" s="85"/>
      <c r="AOW38" s="85"/>
      <c r="APA38" s="190"/>
      <c r="APB38" s="190"/>
      <c r="APC38" s="190"/>
      <c r="APF38" s="85" t="s">
        <v>86</v>
      </c>
      <c r="APG38" s="85"/>
      <c r="APH38" s="85"/>
      <c r="API38" s="85"/>
      <c r="APM38" s="190"/>
      <c r="APN38" s="190"/>
      <c r="APO38" s="190"/>
      <c r="APR38" s="85" t="s">
        <v>86</v>
      </c>
      <c r="APS38" s="85"/>
      <c r="APT38" s="85"/>
      <c r="APU38" s="85"/>
      <c r="APY38" s="190"/>
      <c r="APZ38" s="190"/>
      <c r="AQA38" s="190"/>
      <c r="AQD38" s="85" t="s">
        <v>86</v>
      </c>
      <c r="AQE38" s="85"/>
      <c r="AQF38" s="85"/>
      <c r="AQG38" s="85"/>
      <c r="AQK38" s="190"/>
      <c r="AQL38" s="190"/>
      <c r="AQM38" s="190"/>
      <c r="AQP38" s="85" t="s">
        <v>86</v>
      </c>
      <c r="AQQ38" s="85"/>
      <c r="AQR38" s="85"/>
      <c r="AQS38" s="85"/>
      <c r="AQW38" s="190"/>
      <c r="AQX38" s="190"/>
      <c r="AQY38" s="190"/>
      <c r="ARB38" s="85" t="s">
        <v>86</v>
      </c>
      <c r="ARC38" s="85"/>
      <c r="ARD38" s="85"/>
      <c r="ARE38" s="85"/>
      <c r="ARI38" s="190"/>
      <c r="ARJ38" s="190"/>
      <c r="ARK38" s="190"/>
      <c r="ARN38" s="85" t="s">
        <v>86</v>
      </c>
      <c r="ARO38" s="85"/>
      <c r="ARP38" s="85"/>
      <c r="ARQ38" s="85"/>
      <c r="ARU38" s="190"/>
      <c r="ARV38" s="190"/>
      <c r="ARW38" s="190"/>
      <c r="ARZ38" s="85" t="s">
        <v>86</v>
      </c>
      <c r="ASA38" s="85"/>
      <c r="ASB38" s="85"/>
      <c r="ASC38" s="85"/>
      <c r="ASG38" s="190"/>
      <c r="ASH38" s="190"/>
      <c r="ASI38" s="190"/>
      <c r="ASL38" s="85" t="s">
        <v>86</v>
      </c>
      <c r="ASM38" s="85"/>
      <c r="ASN38" s="85"/>
      <c r="ASO38" s="85"/>
      <c r="ASS38" s="190"/>
      <c r="AST38" s="190"/>
      <c r="ASU38" s="190"/>
      <c r="ASX38" s="85" t="s">
        <v>86</v>
      </c>
      <c r="ASY38" s="85"/>
      <c r="ASZ38" s="85"/>
      <c r="ATA38" s="85"/>
      <c r="ATE38" s="190"/>
      <c r="ATF38" s="190"/>
      <c r="ATG38" s="190"/>
      <c r="ATJ38" s="85" t="s">
        <v>86</v>
      </c>
      <c r="ATK38" s="85"/>
      <c r="ATL38" s="85"/>
      <c r="ATM38" s="85"/>
      <c r="ATQ38" s="190"/>
      <c r="ATR38" s="190"/>
      <c r="ATS38" s="190"/>
      <c r="ATV38" s="85" t="s">
        <v>86</v>
      </c>
      <c r="ATW38" s="85"/>
      <c r="ATX38" s="85"/>
      <c r="ATY38" s="85"/>
      <c r="AUC38" s="190"/>
      <c r="AUD38" s="190"/>
      <c r="AUE38" s="190"/>
      <c r="AUH38" s="85" t="s">
        <v>86</v>
      </c>
      <c r="AUI38" s="85"/>
      <c r="AUJ38" s="85"/>
      <c r="AUK38" s="85"/>
      <c r="AUO38" s="190"/>
      <c r="AUP38" s="190"/>
      <c r="AUQ38" s="190"/>
      <c r="AUT38" s="85" t="s">
        <v>86</v>
      </c>
      <c r="AUU38" s="85"/>
      <c r="AUV38" s="85"/>
      <c r="AUW38" s="85"/>
      <c r="AVA38" s="190"/>
      <c r="AVB38" s="190"/>
      <c r="AVC38" s="190"/>
      <c r="AVF38" s="85" t="s">
        <v>86</v>
      </c>
      <c r="AVG38" s="85"/>
      <c r="AVH38" s="85"/>
      <c r="AVI38" s="85"/>
      <c r="AVM38" s="190"/>
      <c r="AVN38" s="190"/>
      <c r="AVO38" s="190"/>
      <c r="AVR38" s="85" t="s">
        <v>86</v>
      </c>
      <c r="AVS38" s="85"/>
      <c r="AVT38" s="85"/>
      <c r="AVU38" s="85"/>
      <c r="AVY38" s="190"/>
      <c r="AVZ38" s="190"/>
      <c r="AWA38" s="190"/>
      <c r="AWD38" s="85" t="s">
        <v>86</v>
      </c>
      <c r="AWE38" s="85"/>
      <c r="AWF38" s="85"/>
      <c r="AWG38" s="85"/>
      <c r="AWK38" s="190"/>
      <c r="AWL38" s="190"/>
      <c r="AWM38" s="190"/>
      <c r="AWP38" s="85" t="s">
        <v>86</v>
      </c>
      <c r="AWQ38" s="85"/>
      <c r="AWR38" s="85"/>
      <c r="AWS38" s="85"/>
      <c r="AWW38" s="190"/>
      <c r="AWX38" s="190"/>
      <c r="AWY38" s="190"/>
      <c r="AXB38" s="85" t="s">
        <v>86</v>
      </c>
      <c r="AXC38" s="85"/>
      <c r="AXD38" s="85"/>
      <c r="AXE38" s="85"/>
      <c r="AXI38" s="190"/>
      <c r="AXJ38" s="190"/>
      <c r="AXK38" s="190"/>
      <c r="AXN38" s="85" t="s">
        <v>86</v>
      </c>
      <c r="AXO38" s="85"/>
      <c r="AXP38" s="85"/>
      <c r="AXQ38" s="85"/>
      <c r="AXU38" s="190"/>
      <c r="AXV38" s="190"/>
      <c r="AXW38" s="190"/>
      <c r="AXZ38" s="85" t="s">
        <v>86</v>
      </c>
      <c r="AYA38" s="85"/>
      <c r="AYB38" s="85"/>
      <c r="AYC38" s="85"/>
      <c r="AYG38" s="190"/>
      <c r="AYH38" s="190"/>
      <c r="AYI38" s="190"/>
      <c r="AYL38" s="85" t="s">
        <v>86</v>
      </c>
      <c r="AYM38" s="85"/>
      <c r="AYN38" s="85"/>
      <c r="AYO38" s="85"/>
      <c r="AYS38" s="190"/>
      <c r="AYT38" s="190"/>
      <c r="AYU38" s="190"/>
      <c r="AYX38" s="85" t="s">
        <v>86</v>
      </c>
      <c r="AYY38" s="85"/>
      <c r="AYZ38" s="85"/>
      <c r="AZA38" s="85"/>
      <c r="AZE38" s="190"/>
      <c r="AZF38" s="190"/>
      <c r="AZG38" s="190"/>
      <c r="AZJ38" s="85" t="s">
        <v>86</v>
      </c>
      <c r="AZK38" s="85"/>
      <c r="AZL38" s="85"/>
      <c r="AZM38" s="85"/>
      <c r="AZQ38" s="190"/>
      <c r="AZR38" s="190"/>
      <c r="AZS38" s="190"/>
      <c r="AZV38" s="85" t="s">
        <v>86</v>
      </c>
      <c r="AZW38" s="85"/>
      <c r="AZX38" s="85"/>
      <c r="AZY38" s="85"/>
      <c r="BAC38" s="190"/>
      <c r="BAD38" s="190"/>
      <c r="BAE38" s="190"/>
      <c r="BAH38" s="85" t="s">
        <v>86</v>
      </c>
      <c r="BAI38" s="85"/>
      <c r="BAJ38" s="85"/>
      <c r="BAK38" s="85"/>
      <c r="BAO38" s="190"/>
      <c r="BAP38" s="190"/>
      <c r="BAQ38" s="190"/>
      <c r="BAT38" s="85" t="s">
        <v>86</v>
      </c>
      <c r="BAU38" s="85"/>
      <c r="BAV38" s="85"/>
      <c r="BAW38" s="85"/>
      <c r="BBA38" s="190"/>
      <c r="BBB38" s="190"/>
      <c r="BBC38" s="190"/>
      <c r="BBF38" s="85" t="s">
        <v>86</v>
      </c>
      <c r="BBG38" s="85"/>
      <c r="BBH38" s="85"/>
      <c r="BBI38" s="85"/>
      <c r="BBM38" s="190"/>
      <c r="BBN38" s="190"/>
      <c r="BBO38" s="190"/>
      <c r="BBR38" s="85" t="s">
        <v>86</v>
      </c>
      <c r="BBS38" s="85"/>
      <c r="BBT38" s="85"/>
      <c r="BBU38" s="85"/>
      <c r="BBY38" s="190"/>
      <c r="BBZ38" s="190"/>
      <c r="BCA38" s="190"/>
      <c r="BCD38" s="85" t="s">
        <v>86</v>
      </c>
      <c r="BCE38" s="85"/>
      <c r="BCF38" s="85"/>
      <c r="BCG38" s="85"/>
      <c r="BCK38" s="190"/>
      <c r="BCL38" s="190"/>
      <c r="BCM38" s="190"/>
      <c r="BCP38" s="85" t="s">
        <v>86</v>
      </c>
      <c r="BCQ38" s="85"/>
      <c r="BCR38" s="85"/>
      <c r="BCS38" s="85"/>
      <c r="BCW38" s="190"/>
      <c r="BCX38" s="190"/>
      <c r="BCY38" s="190"/>
      <c r="BDB38" s="85" t="s">
        <v>86</v>
      </c>
      <c r="BDC38" s="85"/>
      <c r="BDD38" s="85"/>
      <c r="BDE38" s="85"/>
      <c r="BDI38" s="190"/>
      <c r="BDJ38" s="190"/>
      <c r="BDK38" s="190"/>
      <c r="BDN38" s="85" t="s">
        <v>86</v>
      </c>
      <c r="BDO38" s="85"/>
      <c r="BDP38" s="85"/>
      <c r="BDQ38" s="85"/>
      <c r="BDU38" s="190"/>
      <c r="BDV38" s="190"/>
      <c r="BDW38" s="190"/>
      <c r="BDZ38" s="85" t="s">
        <v>86</v>
      </c>
      <c r="BEA38" s="85"/>
      <c r="BEB38" s="85"/>
      <c r="BEC38" s="85"/>
      <c r="BEG38" s="190"/>
      <c r="BEH38" s="190"/>
      <c r="BEI38" s="190"/>
      <c r="BEL38" s="85" t="s">
        <v>86</v>
      </c>
      <c r="BEM38" s="85"/>
      <c r="BEN38" s="85"/>
      <c r="BEO38" s="85"/>
      <c r="BES38" s="190"/>
      <c r="BET38" s="190"/>
      <c r="BEU38" s="190"/>
      <c r="BEX38" s="85" t="s">
        <v>86</v>
      </c>
      <c r="BEY38" s="85"/>
      <c r="BEZ38" s="85"/>
      <c r="BFA38" s="85"/>
      <c r="BFE38" s="190"/>
      <c r="BFF38" s="190"/>
      <c r="BFG38" s="190"/>
      <c r="BFJ38" s="85" t="s">
        <v>86</v>
      </c>
      <c r="BFK38" s="85"/>
      <c r="BFL38" s="85"/>
      <c r="BFM38" s="85"/>
      <c r="BFQ38" s="190"/>
      <c r="BFR38" s="190"/>
      <c r="BFS38" s="190"/>
      <c r="BFV38" s="85" t="s">
        <v>86</v>
      </c>
      <c r="BFW38" s="85"/>
      <c r="BFX38" s="85"/>
      <c r="BFY38" s="85"/>
      <c r="BGC38" s="190"/>
      <c r="BGD38" s="190"/>
      <c r="BGE38" s="190"/>
      <c r="BGH38" s="85" t="s">
        <v>86</v>
      </c>
      <c r="BGI38" s="85"/>
      <c r="BGJ38" s="85"/>
      <c r="BGK38" s="85"/>
      <c r="BGO38" s="190"/>
      <c r="BGP38" s="190"/>
      <c r="BGQ38" s="190"/>
      <c r="BGT38" s="85" t="s">
        <v>86</v>
      </c>
      <c r="BGU38" s="85"/>
      <c r="BGV38" s="85"/>
      <c r="BGW38" s="85"/>
      <c r="BHA38" s="190"/>
      <c r="BHB38" s="190"/>
      <c r="BHC38" s="190"/>
      <c r="BHF38" s="85" t="s">
        <v>86</v>
      </c>
      <c r="BHG38" s="85"/>
      <c r="BHH38" s="85"/>
      <c r="BHI38" s="85"/>
      <c r="BHM38" s="190"/>
      <c r="BHN38" s="190"/>
      <c r="BHO38" s="190"/>
      <c r="BHR38" s="85" t="s">
        <v>86</v>
      </c>
      <c r="BHS38" s="85"/>
      <c r="BHT38" s="85"/>
      <c r="BHU38" s="85"/>
      <c r="BHY38" s="190"/>
      <c r="BHZ38" s="190"/>
      <c r="BIA38" s="190"/>
      <c r="BID38" s="85" t="s">
        <v>86</v>
      </c>
      <c r="BIE38" s="85"/>
      <c r="BIF38" s="85"/>
      <c r="BIG38" s="85"/>
      <c r="BIK38" s="190"/>
      <c r="BIL38" s="190"/>
      <c r="BIM38" s="190"/>
      <c r="BIP38" s="85" t="s">
        <v>86</v>
      </c>
      <c r="BIQ38" s="85"/>
      <c r="BIR38" s="85"/>
      <c r="BIS38" s="85"/>
      <c r="BIW38" s="190"/>
      <c r="BIX38" s="190"/>
      <c r="BIY38" s="190"/>
      <c r="BJB38" s="85" t="s">
        <v>86</v>
      </c>
      <c r="BJC38" s="85"/>
      <c r="BJD38" s="85"/>
      <c r="BJE38" s="85"/>
      <c r="BJI38" s="190"/>
      <c r="BJJ38" s="190"/>
      <c r="BJK38" s="190"/>
      <c r="BJN38" s="85" t="s">
        <v>86</v>
      </c>
      <c r="BJO38" s="85"/>
      <c r="BJP38" s="85"/>
      <c r="BJQ38" s="85"/>
      <c r="BJU38" s="190"/>
      <c r="BJV38" s="190"/>
      <c r="BJW38" s="190"/>
      <c r="BJZ38" s="85" t="s">
        <v>86</v>
      </c>
      <c r="BKA38" s="85"/>
      <c r="BKB38" s="85"/>
      <c r="BKC38" s="85"/>
      <c r="BKG38" s="190"/>
      <c r="BKH38" s="190"/>
      <c r="BKI38" s="190"/>
      <c r="BKL38" s="85" t="s">
        <v>86</v>
      </c>
      <c r="BKM38" s="85"/>
      <c r="BKN38" s="85"/>
      <c r="BKO38" s="85"/>
      <c r="BKS38" s="190"/>
      <c r="BKT38" s="190"/>
      <c r="BKU38" s="190"/>
      <c r="BKX38" s="85" t="s">
        <v>86</v>
      </c>
      <c r="BKY38" s="85"/>
      <c r="BKZ38" s="85"/>
      <c r="BLA38" s="85"/>
      <c r="BLE38" s="190"/>
      <c r="BLF38" s="190"/>
      <c r="BLG38" s="190"/>
      <c r="BLJ38" s="85" t="s">
        <v>86</v>
      </c>
      <c r="BLK38" s="85"/>
      <c r="BLL38" s="85"/>
      <c r="BLM38" s="85"/>
      <c r="BLQ38" s="190"/>
      <c r="BLR38" s="190"/>
      <c r="BLS38" s="190"/>
      <c r="BLV38" s="85" t="s">
        <v>86</v>
      </c>
      <c r="BLW38" s="85"/>
      <c r="BLX38" s="85"/>
      <c r="BLY38" s="85"/>
      <c r="BMC38" s="190"/>
      <c r="BMD38" s="190"/>
      <c r="BME38" s="190"/>
      <c r="BMH38" s="85" t="s">
        <v>86</v>
      </c>
      <c r="BMI38" s="85"/>
      <c r="BMJ38" s="85"/>
      <c r="BMK38" s="85"/>
      <c r="BMO38" s="190"/>
      <c r="BMP38" s="190"/>
      <c r="BMQ38" s="190"/>
      <c r="BMT38" s="85" t="s">
        <v>86</v>
      </c>
      <c r="BMU38" s="85"/>
      <c r="BMV38" s="85"/>
      <c r="BMW38" s="85"/>
      <c r="BNA38" s="190"/>
      <c r="BNB38" s="190"/>
      <c r="BNC38" s="190"/>
      <c r="BNF38" s="85" t="s">
        <v>86</v>
      </c>
      <c r="BNG38" s="85"/>
      <c r="BNH38" s="85"/>
      <c r="BNI38" s="85"/>
      <c r="BNM38" s="190"/>
      <c r="BNN38" s="190"/>
      <c r="BNO38" s="190"/>
      <c r="BNR38" s="85" t="s">
        <v>86</v>
      </c>
      <c r="BNS38" s="85"/>
      <c r="BNT38" s="85"/>
      <c r="BNU38" s="85"/>
      <c r="BNY38" s="190"/>
      <c r="BNZ38" s="190"/>
      <c r="BOA38" s="190"/>
      <c r="BOD38" s="85" t="s">
        <v>86</v>
      </c>
      <c r="BOE38" s="85"/>
      <c r="BOF38" s="85"/>
      <c r="BOG38" s="85"/>
      <c r="BOK38" s="190"/>
      <c r="BOL38" s="190"/>
      <c r="BOM38" s="190"/>
      <c r="BOP38" s="85" t="s">
        <v>86</v>
      </c>
      <c r="BOQ38" s="85"/>
      <c r="BOR38" s="85"/>
      <c r="BOS38" s="85"/>
      <c r="BOW38" s="190"/>
      <c r="BOX38" s="190"/>
      <c r="BOY38" s="190"/>
      <c r="BPB38" s="85" t="s">
        <v>86</v>
      </c>
      <c r="BPC38" s="85"/>
      <c r="BPD38" s="85"/>
      <c r="BPE38" s="85"/>
      <c r="BPI38" s="190"/>
      <c r="BPJ38" s="190"/>
      <c r="BPK38" s="190"/>
      <c r="BPN38" s="85" t="s">
        <v>86</v>
      </c>
      <c r="BPO38" s="85"/>
      <c r="BPP38" s="85"/>
      <c r="BPQ38" s="85"/>
      <c r="BPU38" s="190"/>
      <c r="BPV38" s="190"/>
      <c r="BPW38" s="190"/>
      <c r="BPZ38" s="85" t="s">
        <v>86</v>
      </c>
      <c r="BQA38" s="85"/>
      <c r="BQB38" s="85"/>
      <c r="BQC38" s="85"/>
      <c r="BQG38" s="190"/>
      <c r="BQH38" s="190"/>
      <c r="BQI38" s="190"/>
      <c r="BQL38" s="85" t="s">
        <v>86</v>
      </c>
      <c r="BQM38" s="85"/>
      <c r="BQN38" s="85"/>
      <c r="BQO38" s="85"/>
      <c r="BQS38" s="190"/>
      <c r="BQT38" s="190"/>
      <c r="BQU38" s="190"/>
      <c r="BQX38" s="85" t="s">
        <v>86</v>
      </c>
      <c r="BQY38" s="85"/>
      <c r="BQZ38" s="85"/>
      <c r="BRA38" s="85"/>
      <c r="BRE38" s="190"/>
      <c r="BRF38" s="190"/>
      <c r="BRG38" s="190"/>
      <c r="BRJ38" s="85" t="s">
        <v>86</v>
      </c>
      <c r="BRK38" s="85"/>
      <c r="BRL38" s="85"/>
      <c r="BRM38" s="85"/>
      <c r="BRQ38" s="190"/>
      <c r="BRR38" s="190"/>
      <c r="BRS38" s="190"/>
      <c r="BRV38" s="85" t="s">
        <v>86</v>
      </c>
      <c r="BRW38" s="85"/>
      <c r="BRX38" s="85"/>
      <c r="BRY38" s="85"/>
      <c r="BSC38" s="190"/>
      <c r="BSD38" s="190"/>
      <c r="BSE38" s="190"/>
      <c r="BSH38" s="85" t="s">
        <v>86</v>
      </c>
      <c r="BSI38" s="85"/>
      <c r="BSJ38" s="85"/>
      <c r="BSK38" s="85"/>
      <c r="BSO38" s="190"/>
      <c r="BSP38" s="190"/>
      <c r="BSQ38" s="190"/>
      <c r="BST38" s="85" t="s">
        <v>86</v>
      </c>
      <c r="BSU38" s="85"/>
      <c r="BSV38" s="85"/>
      <c r="BSW38" s="85"/>
      <c r="BTA38" s="190"/>
      <c r="BTB38" s="190"/>
      <c r="BTC38" s="190"/>
      <c r="BTF38" s="85" t="s">
        <v>86</v>
      </c>
      <c r="BTG38" s="85"/>
      <c r="BTH38" s="85"/>
      <c r="BTI38" s="85"/>
      <c r="BTM38" s="190"/>
      <c r="BTN38" s="190"/>
      <c r="BTO38" s="190"/>
      <c r="BTR38" s="85" t="s">
        <v>86</v>
      </c>
      <c r="BTS38" s="85"/>
      <c r="BTT38" s="85"/>
      <c r="BTU38" s="85"/>
      <c r="BTY38" s="190"/>
      <c r="BTZ38" s="190"/>
      <c r="BUA38" s="190"/>
      <c r="BUD38" s="85" t="s">
        <v>86</v>
      </c>
      <c r="BUE38" s="85"/>
      <c r="BUF38" s="85"/>
      <c r="BUG38" s="85"/>
      <c r="BUK38" s="190"/>
      <c r="BUL38" s="190"/>
      <c r="BUM38" s="190"/>
      <c r="BUP38" s="85" t="s">
        <v>86</v>
      </c>
      <c r="BUQ38" s="85"/>
      <c r="BUR38" s="85"/>
      <c r="BUS38" s="85"/>
      <c r="BUW38" s="190"/>
      <c r="BUX38" s="190"/>
      <c r="BUY38" s="190"/>
      <c r="BVB38" s="85" t="s">
        <v>86</v>
      </c>
      <c r="BVC38" s="85"/>
      <c r="BVD38" s="85"/>
      <c r="BVE38" s="85"/>
      <c r="BVI38" s="190"/>
      <c r="BVJ38" s="190"/>
      <c r="BVK38" s="190"/>
      <c r="BVN38" s="85" t="s">
        <v>86</v>
      </c>
      <c r="BVO38" s="85"/>
      <c r="BVP38" s="85"/>
      <c r="BVQ38" s="85"/>
      <c r="BVU38" s="190"/>
      <c r="BVV38" s="190"/>
      <c r="BVW38" s="190"/>
      <c r="BVZ38" s="85" t="s">
        <v>86</v>
      </c>
      <c r="BWA38" s="85"/>
      <c r="BWB38" s="85"/>
      <c r="BWC38" s="85"/>
      <c r="BWG38" s="190"/>
      <c r="BWH38" s="190"/>
      <c r="BWI38" s="190"/>
      <c r="BWL38" s="85" t="s">
        <v>86</v>
      </c>
      <c r="BWM38" s="85"/>
      <c r="BWN38" s="85"/>
      <c r="BWO38" s="85"/>
      <c r="BWS38" s="190"/>
      <c r="BWT38" s="190"/>
      <c r="BWU38" s="190"/>
      <c r="BWX38" s="85" t="s">
        <v>86</v>
      </c>
      <c r="BWY38" s="85"/>
      <c r="BWZ38" s="85"/>
      <c r="BXA38" s="85"/>
      <c r="BXE38" s="190"/>
      <c r="BXF38" s="190"/>
      <c r="BXG38" s="190"/>
      <c r="BXJ38" s="85" t="s">
        <v>86</v>
      </c>
      <c r="BXK38" s="85"/>
      <c r="BXL38" s="85"/>
      <c r="BXM38" s="85"/>
      <c r="BXQ38" s="190"/>
      <c r="BXR38" s="190"/>
      <c r="BXS38" s="190"/>
      <c r="BXV38" s="85" t="s">
        <v>86</v>
      </c>
      <c r="BXW38" s="85"/>
      <c r="BXX38" s="85"/>
      <c r="BXY38" s="85"/>
      <c r="BYC38" s="190"/>
      <c r="BYD38" s="190"/>
      <c r="BYE38" s="190"/>
      <c r="BYH38" s="85" t="s">
        <v>86</v>
      </c>
      <c r="BYI38" s="85"/>
      <c r="BYJ38" s="85"/>
      <c r="BYK38" s="85"/>
      <c r="BYO38" s="190"/>
      <c r="BYP38" s="190"/>
      <c r="BYQ38" s="190"/>
      <c r="BYT38" s="85"/>
      <c r="BYU38" s="85"/>
      <c r="BYV38" s="85"/>
      <c r="BYW38" s="85"/>
      <c r="BZA38" s="190"/>
      <c r="BZB38" s="190"/>
      <c r="BZC38" s="190"/>
      <c r="BZF38" s="85"/>
      <c r="BZG38" s="85"/>
      <c r="BZH38" s="85"/>
      <c r="BZI38" s="85"/>
      <c r="BZM38" s="190"/>
      <c r="BZN38" s="190"/>
      <c r="BZO38" s="190"/>
      <c r="BZR38" s="85"/>
      <c r="BZS38" s="85"/>
      <c r="BZT38" s="85"/>
      <c r="BZU38" s="85"/>
      <c r="BZY38" s="190"/>
      <c r="BZZ38" s="190"/>
      <c r="CAA38" s="190"/>
      <c r="CAD38" s="85"/>
      <c r="CAE38" s="85"/>
      <c r="CAF38" s="85"/>
      <c r="CAG38" s="85"/>
      <c r="CAK38" s="190"/>
      <c r="CAL38" s="190"/>
      <c r="CAM38" s="190"/>
      <c r="CAP38" s="85"/>
      <c r="CAQ38" s="85"/>
      <c r="CAR38" s="85"/>
      <c r="CAS38" s="85"/>
      <c r="CAW38" s="190"/>
      <c r="CAX38" s="190"/>
      <c r="CAY38" s="190"/>
      <c r="CBB38" s="85"/>
      <c r="CBC38" s="85"/>
      <c r="CBD38" s="85"/>
      <c r="CBE38" s="85"/>
      <c r="CBI38" s="190"/>
      <c r="CBJ38" s="190"/>
      <c r="CBK38" s="190"/>
      <c r="CBN38" s="85"/>
      <c r="CBO38" s="85"/>
      <c r="CBP38" s="85"/>
      <c r="CBQ38" s="85"/>
      <c r="CBU38" s="190"/>
      <c r="CBV38" s="190"/>
      <c r="CBW38" s="190"/>
      <c r="CBZ38" s="85"/>
      <c r="CCA38" s="85"/>
      <c r="CCB38" s="85"/>
      <c r="CCC38" s="85"/>
      <c r="CCG38" s="190"/>
      <c r="CCH38" s="190"/>
      <c r="CCI38" s="190"/>
      <c r="CCL38" s="85"/>
      <c r="CCM38" s="85"/>
      <c r="CCN38" s="85"/>
      <c r="CCO38" s="85"/>
      <c r="CCS38" s="190"/>
      <c r="CCT38" s="190"/>
      <c r="CCU38" s="190"/>
      <c r="CCX38" s="85"/>
      <c r="CCY38" s="85"/>
      <c r="CCZ38" s="85"/>
      <c r="CDA38" s="85"/>
      <c r="CDE38" s="190"/>
      <c r="CDF38" s="190"/>
      <c r="CDG38" s="190"/>
      <c r="CDJ38" s="85"/>
      <c r="CDK38" s="85"/>
      <c r="CDL38" s="85"/>
      <c r="CDM38" s="85"/>
      <c r="CDQ38" s="190"/>
      <c r="CDR38" s="190"/>
      <c r="CDS38" s="190"/>
      <c r="CDV38" s="85"/>
      <c r="CDW38" s="85"/>
      <c r="CDX38" s="85"/>
      <c r="CDY38" s="85"/>
      <c r="CEC38" s="190"/>
      <c r="CED38" s="190"/>
      <c r="CEE38" s="190"/>
      <c r="CEH38" s="85"/>
      <c r="CEI38" s="85"/>
      <c r="CEJ38" s="85"/>
      <c r="CEK38" s="85"/>
      <c r="CEO38" s="190"/>
      <c r="CEP38" s="190"/>
      <c r="CEQ38" s="190"/>
      <c r="CET38" s="85"/>
      <c r="CEU38" s="85"/>
      <c r="CEV38" s="85"/>
      <c r="CEW38" s="85"/>
      <c r="CFA38" s="190"/>
      <c r="CFB38" s="190"/>
      <c r="CFC38" s="190"/>
      <c r="CFF38" s="85"/>
      <c r="CFG38" s="85"/>
      <c r="CFH38" s="85"/>
      <c r="CFI38" s="85"/>
      <c r="CFM38" s="190"/>
      <c r="CFN38" s="190"/>
      <c r="CFO38" s="190"/>
      <c r="CFR38" s="85"/>
      <c r="CFS38" s="85"/>
      <c r="CFT38" s="85"/>
      <c r="CFU38" s="85"/>
      <c r="CFY38" s="190"/>
      <c r="CFZ38" s="190"/>
      <c r="CGA38" s="190"/>
      <c r="CGD38" s="85"/>
      <c r="CGE38" s="85"/>
      <c r="CGF38" s="85"/>
      <c r="CGG38" s="85"/>
      <c r="CGK38" s="190"/>
      <c r="CGL38" s="190"/>
      <c r="CGM38" s="190"/>
      <c r="CGP38" s="85"/>
      <c r="CGQ38" s="85"/>
      <c r="CGR38" s="85"/>
      <c r="CGS38" s="85"/>
      <c r="CGW38" s="190"/>
      <c r="CGX38" s="190"/>
      <c r="CGY38" s="190"/>
      <c r="CHB38" s="85"/>
      <c r="CHC38" s="85"/>
      <c r="CHD38" s="85"/>
      <c r="CHE38" s="85"/>
      <c r="CHI38" s="190"/>
      <c r="CHJ38" s="190"/>
      <c r="CHK38" s="190"/>
      <c r="CHN38" s="85"/>
      <c r="CHO38" s="85"/>
      <c r="CHP38" s="85"/>
      <c r="CHQ38" s="85"/>
      <c r="CHU38" s="190"/>
      <c r="CHV38" s="190"/>
      <c r="CHW38" s="190"/>
      <c r="CHZ38" s="85"/>
      <c r="CIA38" s="85"/>
      <c r="CIB38" s="85"/>
      <c r="CIC38" s="85"/>
      <c r="CIG38" s="190"/>
      <c r="CIH38" s="190"/>
      <c r="CII38" s="190"/>
      <c r="CIL38" s="85"/>
      <c r="CIM38" s="85"/>
      <c r="CIN38" s="85"/>
      <c r="CIO38" s="85"/>
      <c r="CIS38" s="190"/>
      <c r="CIT38" s="190"/>
      <c r="CIU38" s="190"/>
      <c r="CIX38" s="85"/>
      <c r="CIY38" s="85"/>
      <c r="CIZ38" s="85"/>
      <c r="CJA38" s="85"/>
      <c r="CJE38" s="190"/>
      <c r="CJF38" s="190"/>
      <c r="CJG38" s="190"/>
      <c r="CJJ38" s="85"/>
      <c r="CJK38" s="85"/>
      <c r="CJL38" s="85"/>
      <c r="CJM38" s="85"/>
      <c r="CJQ38" s="190"/>
      <c r="CJR38" s="190"/>
      <c r="CJS38" s="190"/>
      <c r="CJV38" s="85"/>
      <c r="CJW38" s="85"/>
      <c r="CJX38" s="85"/>
      <c r="CJY38" s="85"/>
      <c r="CKC38" s="190"/>
      <c r="CKD38" s="190"/>
      <c r="CKE38" s="190"/>
      <c r="CKH38" s="85"/>
      <c r="CKI38" s="85"/>
      <c r="CKJ38" s="85"/>
      <c r="CKK38" s="85"/>
      <c r="CKO38" s="190"/>
      <c r="CKP38" s="190"/>
      <c r="CKQ38" s="190"/>
      <c r="CKT38" s="85"/>
      <c r="CKU38" s="85"/>
      <c r="CKV38" s="85"/>
      <c r="CKW38" s="85"/>
      <c r="CLA38" s="190"/>
      <c r="CLB38" s="190"/>
      <c r="CLC38" s="190"/>
      <c r="CLF38" s="85"/>
      <c r="CLG38" s="85"/>
      <c r="CLH38" s="85"/>
      <c r="CLI38" s="85"/>
      <c r="CLM38" s="190"/>
      <c r="CLN38" s="190"/>
      <c r="CLO38" s="190"/>
      <c r="CLR38" s="85"/>
      <c r="CLS38" s="85"/>
      <c r="CLT38" s="85"/>
      <c r="CLU38" s="85"/>
      <c r="CLY38" s="190"/>
      <c r="CLZ38" s="190"/>
      <c r="CMA38" s="190"/>
      <c r="CMD38" s="85"/>
      <c r="CME38" s="85"/>
      <c r="CMF38" s="85"/>
      <c r="CMG38" s="85"/>
      <c r="CMK38" s="190"/>
      <c r="CML38" s="190"/>
      <c r="CMM38" s="190"/>
      <c r="CMP38" s="85"/>
      <c r="CMQ38" s="85"/>
      <c r="CMR38" s="85"/>
      <c r="CMS38" s="85"/>
      <c r="CMW38" s="190"/>
      <c r="CMX38" s="190"/>
      <c r="CMY38" s="190"/>
      <c r="CNB38" s="85"/>
      <c r="CNC38" s="85"/>
      <c r="CND38" s="85"/>
      <c r="CNE38" s="85"/>
      <c r="CNI38" s="190"/>
      <c r="CNJ38" s="190"/>
      <c r="CNK38" s="190"/>
      <c r="CNN38" s="85"/>
      <c r="CNO38" s="85"/>
      <c r="CNP38" s="85"/>
      <c r="CNQ38" s="85"/>
      <c r="CNU38" s="190"/>
      <c r="CNV38" s="190"/>
      <c r="CNW38" s="190"/>
      <c r="CNZ38" s="85"/>
      <c r="COA38" s="85"/>
      <c r="COB38" s="85"/>
      <c r="COC38" s="85"/>
      <c r="COG38" s="190"/>
      <c r="COH38" s="190"/>
      <c r="COI38" s="190"/>
      <c r="COL38" s="85"/>
      <c r="COM38" s="85"/>
      <c r="CON38" s="85"/>
      <c r="COO38" s="85"/>
      <c r="COS38" s="190"/>
      <c r="COT38" s="190"/>
      <c r="COU38" s="190"/>
      <c r="COX38" s="85"/>
      <c r="COY38" s="85"/>
      <c r="COZ38" s="85"/>
      <c r="CPA38" s="85"/>
      <c r="CPE38" s="190"/>
      <c r="CPF38" s="190"/>
      <c r="CPG38" s="190"/>
      <c r="CPJ38" s="85"/>
      <c r="CPK38" s="85"/>
      <c r="CPL38" s="85"/>
      <c r="CPM38" s="85"/>
      <c r="CPQ38" s="190"/>
      <c r="CPR38" s="190"/>
      <c r="CPS38" s="190"/>
      <c r="CPV38" s="85"/>
      <c r="CPW38" s="85"/>
      <c r="CPX38" s="85"/>
      <c r="CPY38" s="85"/>
      <c r="CQC38" s="190"/>
      <c r="CQD38" s="190"/>
      <c r="CQE38" s="190"/>
      <c r="CQH38" s="85"/>
      <c r="CQI38" s="85"/>
      <c r="CQJ38" s="85"/>
      <c r="CQK38" s="85"/>
      <c r="CQO38" s="190"/>
      <c r="CQP38" s="190"/>
      <c r="CQQ38" s="190"/>
      <c r="CQT38" s="85"/>
      <c r="CQU38" s="85"/>
      <c r="CQV38" s="85"/>
      <c r="CQW38" s="85"/>
      <c r="CRA38" s="190"/>
      <c r="CRB38" s="190"/>
      <c r="CRC38" s="190"/>
      <c r="CRF38" s="85"/>
      <c r="CRG38" s="85"/>
      <c r="CRH38" s="85"/>
      <c r="CRI38" s="85"/>
      <c r="CRM38" s="190"/>
      <c r="CRN38" s="190"/>
      <c r="CRO38" s="190"/>
      <c r="CRR38" s="85"/>
      <c r="CRS38" s="85"/>
      <c r="CRT38" s="85"/>
      <c r="CRU38" s="85"/>
      <c r="CRY38" s="190"/>
      <c r="CRZ38" s="190"/>
      <c r="CSA38" s="190"/>
      <c r="CSD38" s="85"/>
      <c r="CSE38" s="85"/>
      <c r="CSF38" s="85"/>
      <c r="CSG38" s="85"/>
      <c r="CSK38" s="190"/>
      <c r="CSL38" s="190"/>
      <c r="CSM38" s="190"/>
      <c r="CSP38" s="85"/>
      <c r="CSQ38" s="85"/>
      <c r="CSR38" s="85"/>
      <c r="CSS38" s="85"/>
      <c r="CSW38" s="190"/>
      <c r="CSX38" s="190"/>
      <c r="CSY38" s="190"/>
      <c r="CTB38" s="85"/>
      <c r="CTC38" s="85"/>
      <c r="CTD38" s="85"/>
      <c r="CTE38" s="85"/>
      <c r="CTI38" s="190"/>
      <c r="CTJ38" s="190"/>
      <c r="CTK38" s="190"/>
      <c r="CTN38" s="85"/>
      <c r="CTO38" s="85"/>
      <c r="CTP38" s="85"/>
      <c r="CTQ38" s="85"/>
      <c r="CTU38" s="190"/>
      <c r="CTV38" s="190"/>
      <c r="CTW38" s="190"/>
      <c r="CTZ38" s="85"/>
      <c r="CUA38" s="85"/>
      <c r="CUB38" s="85"/>
      <c r="CUC38" s="85"/>
      <c r="CUG38" s="190"/>
      <c r="CUH38" s="190"/>
      <c r="CUI38" s="190"/>
      <c r="CUL38" s="85"/>
      <c r="CUM38" s="85"/>
      <c r="CUN38" s="85"/>
      <c r="CUO38" s="85"/>
      <c r="CUS38" s="190"/>
      <c r="CUT38" s="190"/>
      <c r="CUU38" s="190"/>
      <c r="CUX38" s="85"/>
      <c r="CUY38" s="85"/>
      <c r="CUZ38" s="85"/>
      <c r="CVA38" s="85"/>
      <c r="CVE38" s="190"/>
      <c r="CVF38" s="190"/>
      <c r="CVG38" s="190"/>
      <c r="CVJ38" s="85"/>
      <c r="CVK38" s="85"/>
      <c r="CVL38" s="85"/>
      <c r="CVM38" s="85"/>
      <c r="CVQ38" s="190"/>
      <c r="CVR38" s="190"/>
      <c r="CVS38" s="190"/>
      <c r="CVV38" s="85"/>
      <c r="CVW38" s="85"/>
      <c r="CVX38" s="85"/>
      <c r="CVY38" s="85"/>
      <c r="CWC38" s="190"/>
      <c r="CWD38" s="190"/>
      <c r="CWE38" s="190"/>
    </row>
    <row r="39" spans="2:1023 1026:2631" ht="1.5" customHeight="1" x14ac:dyDescent="0.25"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L39" s="81"/>
      <c r="LM39" s="81"/>
      <c r="LN39" s="81"/>
      <c r="LO39" s="81"/>
      <c r="LP39" s="81"/>
      <c r="LQ39" s="81"/>
      <c r="LR39" s="81"/>
      <c r="LS39" s="81"/>
      <c r="LT39" s="81"/>
      <c r="LU39" s="81"/>
      <c r="LV39" s="81"/>
      <c r="LZ39" s="81"/>
      <c r="MA39" s="81"/>
      <c r="MB39" s="81"/>
      <c r="MC39" s="81"/>
      <c r="MD39" s="81"/>
      <c r="ME39" s="81"/>
      <c r="MF39" s="81"/>
      <c r="MG39" s="81"/>
      <c r="MH39" s="81"/>
      <c r="MI39" s="81"/>
      <c r="MJ39" s="81"/>
      <c r="MN39" s="81"/>
      <c r="MO39" s="81"/>
      <c r="MP39" s="81"/>
      <c r="MQ39" s="81"/>
      <c r="MR39" s="81"/>
      <c r="MS39" s="81"/>
      <c r="MT39" s="81"/>
      <c r="MU39" s="81"/>
      <c r="MV39" s="81"/>
      <c r="MW39" s="81"/>
      <c r="MX39" s="81"/>
      <c r="NB39" s="81"/>
      <c r="NC39" s="81"/>
      <c r="ND39" s="81"/>
      <c r="NE39" s="81"/>
      <c r="NF39" s="81"/>
      <c r="NG39" s="81"/>
      <c r="NH39" s="81"/>
      <c r="NI39" s="81"/>
      <c r="NJ39" s="81"/>
      <c r="NK39" s="81"/>
      <c r="NL39" s="81"/>
      <c r="NP39" s="81"/>
      <c r="NQ39" s="81"/>
      <c r="NR39" s="81"/>
      <c r="NS39" s="81"/>
      <c r="NT39" s="81"/>
      <c r="NU39" s="81"/>
      <c r="NV39" s="81"/>
      <c r="NW39" s="81"/>
      <c r="NX39" s="81"/>
      <c r="NY39" s="81"/>
      <c r="NZ39" s="81"/>
      <c r="OD39" s="81"/>
      <c r="OE39" s="81"/>
      <c r="OF39" s="81"/>
      <c r="OG39" s="81"/>
      <c r="OH39" s="81"/>
      <c r="OI39" s="81"/>
      <c r="OJ39" s="81"/>
      <c r="OK39" s="81"/>
      <c r="OL39" s="81"/>
      <c r="OM39" s="81"/>
      <c r="ON39" s="81"/>
      <c r="OR39" s="81"/>
      <c r="OS39" s="81"/>
      <c r="OT39" s="81"/>
      <c r="OU39" s="81"/>
      <c r="OV39" s="81"/>
      <c r="OW39" s="81"/>
      <c r="OX39" s="81"/>
      <c r="OY39" s="81"/>
      <c r="OZ39" s="81"/>
      <c r="PA39" s="81"/>
      <c r="PB39" s="81"/>
      <c r="PF39" s="81"/>
      <c r="PG39" s="81"/>
      <c r="PH39" s="81"/>
      <c r="PI39" s="81"/>
      <c r="PJ39" s="81"/>
      <c r="PK39" s="81"/>
      <c r="PL39" s="81"/>
      <c r="PM39" s="81"/>
      <c r="PN39" s="81"/>
      <c r="PO39" s="81"/>
      <c r="PP39" s="81"/>
      <c r="PT39" s="81"/>
      <c r="PU39" s="81"/>
      <c r="PV39" s="81"/>
      <c r="PW39" s="81"/>
      <c r="PX39" s="81"/>
      <c r="PY39" s="81"/>
      <c r="PZ39" s="81"/>
      <c r="QA39" s="81"/>
      <c r="QB39" s="81"/>
      <c r="QC39" s="81"/>
      <c r="QD39" s="81"/>
      <c r="QH39" s="81"/>
      <c r="QI39" s="81"/>
      <c r="QJ39" s="81"/>
      <c r="QK39" s="81"/>
      <c r="QL39" s="81"/>
      <c r="QM39" s="81"/>
      <c r="QN39" s="81"/>
      <c r="QO39" s="81"/>
      <c r="QP39" s="81"/>
      <c r="QQ39" s="81"/>
      <c r="QR39" s="81"/>
      <c r="QV39" s="81"/>
      <c r="QW39" s="81"/>
      <c r="QX39" s="81"/>
      <c r="QY39" s="81"/>
      <c r="QZ39" s="81"/>
      <c r="RA39" s="81"/>
      <c r="RB39" s="81"/>
      <c r="RC39" s="81"/>
      <c r="RD39" s="81"/>
      <c r="RE39" s="81"/>
      <c r="RF39" s="81"/>
      <c r="RJ39" s="81"/>
      <c r="RK39" s="81"/>
      <c r="RL39" s="81"/>
      <c r="RM39" s="81"/>
      <c r="RN39" s="81"/>
      <c r="RO39" s="81"/>
      <c r="RP39" s="81"/>
      <c r="RQ39" s="81"/>
      <c r="RR39" s="81"/>
      <c r="RS39" s="81"/>
      <c r="RT39" s="81"/>
      <c r="RX39" s="81"/>
      <c r="RY39" s="81"/>
      <c r="RZ39" s="81"/>
      <c r="SA39" s="81"/>
      <c r="SB39" s="81"/>
      <c r="SC39" s="81"/>
      <c r="SD39" s="81"/>
      <c r="SE39" s="81"/>
      <c r="SF39" s="81"/>
      <c r="SG39" s="81"/>
      <c r="SH39" s="81"/>
      <c r="SL39" s="81"/>
      <c r="SM39" s="81"/>
      <c r="SN39" s="81"/>
      <c r="SO39" s="81"/>
      <c r="SP39" s="81"/>
      <c r="SQ39" s="81"/>
      <c r="SR39" s="81"/>
      <c r="SS39" s="81"/>
      <c r="ST39" s="81"/>
      <c r="SU39" s="81"/>
      <c r="SV39" s="81"/>
      <c r="SZ39" s="81"/>
      <c r="TA39" s="81"/>
      <c r="TB39" s="81"/>
      <c r="TC39" s="81"/>
      <c r="TD39" s="81"/>
      <c r="TE39" s="81"/>
      <c r="TF39" s="81"/>
      <c r="TG39" s="81"/>
      <c r="TH39" s="81"/>
      <c r="TI39" s="81"/>
      <c r="TJ39" s="81"/>
      <c r="TN39" s="81"/>
      <c r="TO39" s="81"/>
      <c r="TP39" s="81"/>
      <c r="TQ39" s="81"/>
      <c r="TR39" s="81"/>
      <c r="TS39" s="81"/>
      <c r="TT39" s="81"/>
      <c r="TU39" s="81"/>
      <c r="TV39" s="81"/>
      <c r="TW39" s="81"/>
      <c r="TX39" s="81"/>
      <c r="UB39" s="81"/>
      <c r="UC39" s="81"/>
      <c r="UD39" s="81"/>
      <c r="UE39" s="81"/>
      <c r="UF39" s="81"/>
      <c r="UG39" s="81"/>
      <c r="UH39" s="81"/>
      <c r="UI39" s="81"/>
      <c r="UJ39" s="81"/>
      <c r="UK39" s="81"/>
      <c r="UL39" s="81"/>
      <c r="UP39" s="81"/>
      <c r="UQ39" s="81"/>
      <c r="UR39" s="81"/>
      <c r="US39" s="81"/>
      <c r="UT39" s="81"/>
      <c r="UU39" s="81"/>
      <c r="UV39" s="81"/>
      <c r="UW39" s="81"/>
      <c r="UX39" s="81"/>
      <c r="UY39" s="81"/>
      <c r="UZ39" s="81"/>
      <c r="VD39" s="81"/>
      <c r="VE39" s="81"/>
      <c r="VF39" s="81"/>
      <c r="VG39" s="81"/>
      <c r="VH39" s="81"/>
      <c r="VI39" s="81"/>
      <c r="VJ39" s="81"/>
      <c r="VK39" s="81"/>
      <c r="VL39" s="81"/>
      <c r="VM39" s="81"/>
      <c r="VN39" s="81"/>
      <c r="VR39" s="81"/>
      <c r="VS39" s="81"/>
      <c r="VT39" s="81"/>
      <c r="VU39" s="81"/>
      <c r="VV39" s="81"/>
      <c r="VW39" s="81"/>
      <c r="VX39" s="81"/>
      <c r="VY39" s="81"/>
      <c r="VZ39" s="81"/>
      <c r="WA39" s="81"/>
      <c r="WB39" s="81"/>
      <c r="WF39" s="81"/>
      <c r="WG39" s="81"/>
      <c r="WH39" s="81"/>
      <c r="WI39" s="81"/>
      <c r="WJ39" s="81"/>
      <c r="WK39" s="81"/>
      <c r="WL39" s="81"/>
      <c r="WM39" s="81"/>
      <c r="WN39" s="81"/>
      <c r="WO39" s="81"/>
      <c r="WP39" s="81"/>
      <c r="WT39" s="81"/>
      <c r="WU39" s="81"/>
      <c r="WV39" s="81"/>
      <c r="WW39" s="81"/>
      <c r="WX39" s="81"/>
      <c r="WY39" s="81"/>
      <c r="WZ39" s="81"/>
      <c r="XA39" s="81"/>
      <c r="XB39" s="81"/>
      <c r="XC39" s="81"/>
      <c r="XD39" s="81"/>
      <c r="XH39" s="81"/>
      <c r="XI39" s="81"/>
      <c r="XJ39" s="81"/>
      <c r="XK39" s="81"/>
      <c r="XL39" s="81"/>
      <c r="XM39" s="81"/>
      <c r="XN39" s="81"/>
      <c r="XO39" s="81"/>
      <c r="XP39" s="81"/>
      <c r="XQ39" s="81"/>
      <c r="XR39" s="81"/>
      <c r="XV39" s="81"/>
      <c r="XW39" s="81"/>
      <c r="XX39" s="81"/>
      <c r="XY39" s="81"/>
      <c r="XZ39" s="81"/>
      <c r="YA39" s="81"/>
      <c r="YB39" s="81"/>
      <c r="YC39" s="81"/>
      <c r="YD39" s="81"/>
      <c r="YE39" s="81"/>
      <c r="YF39" s="81"/>
      <c r="YJ39" s="81"/>
      <c r="YK39" s="81"/>
      <c r="YL39" s="81"/>
      <c r="YM39" s="81"/>
      <c r="YN39" s="81"/>
      <c r="YO39" s="81"/>
      <c r="YP39" s="81"/>
      <c r="YQ39" s="81"/>
      <c r="YR39" s="81"/>
      <c r="YS39" s="81"/>
      <c r="YT39" s="81"/>
      <c r="YX39" s="81"/>
      <c r="YY39" s="81"/>
      <c r="YZ39" s="81"/>
      <c r="ZA39" s="81"/>
      <c r="ZB39" s="81"/>
      <c r="ZC39" s="81"/>
      <c r="ZD39" s="81"/>
      <c r="ZE39" s="81"/>
      <c r="ZF39" s="81"/>
      <c r="ZG39" s="81"/>
      <c r="ZH39" s="81"/>
      <c r="ZL39" s="81"/>
      <c r="ZM39" s="81"/>
      <c r="ZN39" s="81"/>
      <c r="ZO39" s="81"/>
      <c r="ZP39" s="81"/>
      <c r="ZQ39" s="81"/>
      <c r="ZR39" s="81"/>
      <c r="ZS39" s="81"/>
      <c r="ZT39" s="81"/>
      <c r="ZU39" s="81"/>
      <c r="ZV39" s="81"/>
      <c r="ZY39" s="4"/>
      <c r="ZZ39" s="191"/>
      <c r="AAA39" s="191"/>
      <c r="AAB39" s="191"/>
      <c r="AAC39" s="191"/>
      <c r="AAL39" s="4"/>
      <c r="AAM39" s="191"/>
      <c r="AAN39" s="191"/>
      <c r="AAO39" s="191"/>
      <c r="AAP39" s="191"/>
      <c r="AAY39" s="4"/>
      <c r="AAZ39" s="191"/>
      <c r="ABA39" s="191"/>
      <c r="ABB39" s="191"/>
      <c r="ABC39" s="191"/>
      <c r="ABL39" s="4"/>
      <c r="ABM39" s="191"/>
      <c r="ABN39" s="191"/>
      <c r="ABO39" s="191"/>
      <c r="ABP39" s="191"/>
      <c r="ABY39" s="4"/>
      <c r="ABZ39" s="191"/>
      <c r="ACA39" s="191"/>
      <c r="ACB39" s="191"/>
      <c r="ACC39" s="191"/>
      <c r="ACL39" s="4"/>
      <c r="ACM39" s="191"/>
      <c r="ACN39" s="191"/>
      <c r="ACO39" s="191"/>
      <c r="ACP39" s="191"/>
      <c r="ACY39" s="4"/>
      <c r="ACZ39" s="191"/>
      <c r="ADA39" s="191"/>
      <c r="ADB39" s="191"/>
      <c r="ADC39" s="191"/>
      <c r="ADL39" s="4"/>
      <c r="ADM39" s="191"/>
      <c r="ADN39" s="191"/>
      <c r="ADO39" s="191"/>
      <c r="ADP39" s="191"/>
      <c r="ADY39" s="4"/>
      <c r="ADZ39" s="191"/>
      <c r="AEA39" s="191"/>
      <c r="AEB39" s="191"/>
      <c r="AEC39" s="191"/>
      <c r="AEL39" s="4"/>
      <c r="AEM39" s="191"/>
      <c r="AEN39" s="191"/>
      <c r="AEO39" s="191"/>
      <c r="AEP39" s="191"/>
      <c r="AEY39" s="4"/>
      <c r="AEZ39" s="191"/>
      <c r="AFA39" s="191"/>
      <c r="AFB39" s="191"/>
      <c r="AFC39" s="191"/>
      <c r="AFL39" s="4"/>
      <c r="AFM39" s="191"/>
      <c r="AFN39" s="191"/>
      <c r="AFO39" s="191"/>
      <c r="AFP39" s="191"/>
      <c r="AFZ39" s="191"/>
      <c r="AGA39" s="191"/>
      <c r="AGB39" s="191"/>
      <c r="AGC39" s="191"/>
      <c r="AGL39" s="191"/>
      <c r="AGM39" s="191"/>
      <c r="AGN39" s="191"/>
      <c r="AGO39" s="191"/>
      <c r="AGX39" s="191"/>
      <c r="AGY39" s="191"/>
      <c r="AGZ39" s="191"/>
      <c r="AHA39" s="191"/>
      <c r="AHJ39" s="191"/>
      <c r="AHK39" s="191"/>
      <c r="AHL39" s="191"/>
      <c r="AHM39" s="191"/>
      <c r="AHV39" s="191"/>
      <c r="AHW39" s="191"/>
      <c r="AHX39" s="191"/>
      <c r="AHY39" s="191"/>
      <c r="AIH39" s="191"/>
      <c r="AII39" s="191"/>
      <c r="AIJ39" s="191"/>
      <c r="AIK39" s="191"/>
      <c r="AIT39" s="191"/>
      <c r="AIU39" s="191"/>
      <c r="AIV39" s="191"/>
      <c r="AIW39" s="191"/>
      <c r="AJF39" s="191"/>
      <c r="AJG39" s="191"/>
      <c r="AJH39" s="191"/>
      <c r="AJI39" s="191"/>
      <c r="AJR39" s="191"/>
      <c r="AJS39" s="191"/>
      <c r="AJT39" s="191"/>
      <c r="AJU39" s="191"/>
      <c r="AKD39" s="191"/>
      <c r="AKE39" s="191"/>
      <c r="AKF39" s="191"/>
      <c r="AKG39" s="191"/>
      <c r="AKP39" s="191"/>
      <c r="AKQ39" s="191"/>
      <c r="AKR39" s="191"/>
      <c r="AKS39" s="191"/>
      <c r="ALB39" s="191"/>
      <c r="ALC39" s="191"/>
      <c r="ALD39" s="191"/>
      <c r="ALE39" s="191"/>
      <c r="ALN39" s="191"/>
      <c r="ALO39" s="191"/>
      <c r="ALP39" s="191"/>
      <c r="ALQ39" s="191"/>
      <c r="ALZ39" s="191"/>
      <c r="AMA39" s="191"/>
      <c r="AMB39" s="191"/>
      <c r="AMC39" s="191"/>
      <c r="AML39" s="191"/>
      <c r="AMM39" s="191"/>
      <c r="AMN39" s="191"/>
      <c r="AMO39" s="191"/>
      <c r="AMX39" s="191"/>
      <c r="AMY39" s="191"/>
      <c r="AMZ39" s="191"/>
      <c r="ANA39" s="191"/>
      <c r="ANJ39" s="191"/>
      <c r="ANK39" s="191"/>
      <c r="ANL39" s="191"/>
      <c r="ANM39" s="191"/>
      <c r="ANV39" s="191"/>
      <c r="ANW39" s="191"/>
      <c r="ANX39" s="191"/>
      <c r="ANY39" s="191"/>
      <c r="AOH39" s="191"/>
      <c r="AOI39" s="191"/>
      <c r="AOJ39" s="191"/>
      <c r="AOK39" s="191"/>
      <c r="AOT39" s="191"/>
      <c r="AOU39" s="191"/>
      <c r="AOV39" s="191"/>
      <c r="AOW39" s="191"/>
      <c r="APF39" s="191"/>
      <c r="APG39" s="191"/>
      <c r="APH39" s="191"/>
      <c r="API39" s="191"/>
      <c r="APR39" s="191"/>
      <c r="APS39" s="191"/>
      <c r="APT39" s="191"/>
      <c r="APU39" s="191"/>
      <c r="AQD39" s="191"/>
      <c r="AQE39" s="191"/>
      <c r="AQF39" s="191"/>
      <c r="AQG39" s="191"/>
      <c r="AQP39" s="191"/>
      <c r="AQQ39" s="191"/>
      <c r="AQR39" s="191"/>
      <c r="AQS39" s="191"/>
      <c r="ARB39" s="191"/>
      <c r="ARC39" s="191"/>
      <c r="ARD39" s="191"/>
      <c r="ARE39" s="191"/>
      <c r="ARN39" s="191"/>
      <c r="ARO39" s="191"/>
      <c r="ARP39" s="191"/>
      <c r="ARQ39" s="191"/>
      <c r="ARZ39" s="191"/>
      <c r="ASA39" s="191"/>
      <c r="ASB39" s="191"/>
      <c r="ASC39" s="191"/>
      <c r="ASL39" s="191"/>
      <c r="ASM39" s="191"/>
      <c r="ASN39" s="191"/>
      <c r="ASO39" s="191"/>
      <c r="ASX39" s="191"/>
      <c r="ASY39" s="191"/>
      <c r="ASZ39" s="191"/>
      <c r="ATA39" s="191"/>
      <c r="ATJ39" s="191"/>
      <c r="ATK39" s="191"/>
      <c r="ATL39" s="191"/>
      <c r="ATM39" s="191"/>
      <c r="ATV39" s="191"/>
      <c r="ATW39" s="191"/>
      <c r="ATX39" s="191"/>
      <c r="ATY39" s="191"/>
      <c r="AUH39" s="191"/>
      <c r="AUI39" s="191"/>
      <c r="AUJ39" s="191"/>
      <c r="AUK39" s="191"/>
      <c r="AUT39" s="191"/>
      <c r="AUU39" s="191"/>
      <c r="AUV39" s="191"/>
      <c r="AUW39" s="191"/>
      <c r="AVF39" s="191"/>
      <c r="AVG39" s="191"/>
      <c r="AVH39" s="191"/>
      <c r="AVI39" s="191"/>
      <c r="AVR39" s="191"/>
      <c r="AVS39" s="191"/>
      <c r="AVT39" s="191"/>
      <c r="AVU39" s="191"/>
      <c r="AWD39" s="191"/>
      <c r="AWE39" s="191"/>
      <c r="AWF39" s="191"/>
      <c r="AWG39" s="191"/>
      <c r="AWP39" s="191"/>
      <c r="AWQ39" s="191"/>
      <c r="AWR39" s="191"/>
      <c r="AWS39" s="191"/>
      <c r="AXB39" s="191"/>
      <c r="AXC39" s="191"/>
      <c r="AXD39" s="191"/>
      <c r="AXE39" s="191"/>
      <c r="AXN39" s="191"/>
      <c r="AXO39" s="191"/>
      <c r="AXP39" s="191"/>
      <c r="AXQ39" s="191"/>
      <c r="AXZ39" s="191"/>
      <c r="AYA39" s="191"/>
      <c r="AYB39" s="191"/>
      <c r="AYC39" s="191"/>
      <c r="AYL39" s="191"/>
      <c r="AYM39" s="191"/>
      <c r="AYN39" s="191"/>
      <c r="AYO39" s="191"/>
      <c r="AYX39" s="191"/>
      <c r="AYY39" s="191"/>
      <c r="AYZ39" s="191"/>
      <c r="AZA39" s="191"/>
      <c r="AZJ39" s="191"/>
      <c r="AZK39" s="191"/>
      <c r="AZL39" s="191"/>
      <c r="AZM39" s="191"/>
      <c r="AZV39" s="191"/>
      <c r="AZW39" s="191"/>
      <c r="AZX39" s="191"/>
      <c r="AZY39" s="191"/>
      <c r="BAH39" s="191"/>
      <c r="BAI39" s="191"/>
      <c r="BAJ39" s="191"/>
      <c r="BAK39" s="191"/>
      <c r="BAT39" s="191"/>
      <c r="BAU39" s="191"/>
      <c r="BAV39" s="191"/>
      <c r="BAW39" s="191"/>
      <c r="BBF39" s="191"/>
      <c r="BBG39" s="191"/>
      <c r="BBH39" s="191"/>
      <c r="BBI39" s="191"/>
      <c r="BBR39" s="191"/>
      <c r="BBS39" s="191"/>
      <c r="BBT39" s="191"/>
      <c r="BBU39" s="191"/>
      <c r="BCD39" s="191"/>
      <c r="BCE39" s="191"/>
      <c r="BCF39" s="191"/>
      <c r="BCG39" s="191"/>
      <c r="BCP39" s="191"/>
      <c r="BCQ39" s="191"/>
      <c r="BCR39" s="191"/>
      <c r="BCS39" s="191"/>
      <c r="BDB39" s="191"/>
      <c r="BDC39" s="191"/>
      <c r="BDD39" s="191"/>
      <c r="BDE39" s="191"/>
      <c r="BDN39" s="191"/>
      <c r="BDO39" s="191"/>
      <c r="BDP39" s="191"/>
      <c r="BDQ39" s="191"/>
      <c r="BDZ39" s="191"/>
      <c r="BEA39" s="191"/>
      <c r="BEB39" s="191"/>
      <c r="BEC39" s="191"/>
      <c r="BEL39" s="191"/>
      <c r="BEM39" s="191"/>
      <c r="BEN39" s="191"/>
      <c r="BEO39" s="191"/>
      <c r="BEX39" s="191"/>
      <c r="BEY39" s="191"/>
      <c r="BEZ39" s="191"/>
      <c r="BFA39" s="191"/>
      <c r="BFJ39" s="191"/>
      <c r="BFK39" s="191"/>
      <c r="BFL39" s="191"/>
      <c r="BFM39" s="191"/>
      <c r="BFV39" s="191"/>
      <c r="BFW39" s="191"/>
      <c r="BFX39" s="191"/>
      <c r="BFY39" s="191"/>
      <c r="BGH39" s="191"/>
      <c r="BGI39" s="191"/>
      <c r="BGJ39" s="191"/>
      <c r="BGK39" s="191"/>
      <c r="BGT39" s="191"/>
      <c r="BGU39" s="191"/>
      <c r="BGV39" s="191"/>
      <c r="BGW39" s="191"/>
      <c r="BHF39" s="191"/>
      <c r="BHG39" s="191"/>
      <c r="BHH39" s="191"/>
      <c r="BHI39" s="191"/>
      <c r="BHR39" s="191"/>
      <c r="BHS39" s="191"/>
      <c r="BHT39" s="191"/>
      <c r="BHU39" s="191"/>
      <c r="BID39" s="191"/>
      <c r="BIE39" s="191"/>
      <c r="BIF39" s="191"/>
      <c r="BIG39" s="191"/>
      <c r="BIP39" s="191"/>
      <c r="BIQ39" s="191"/>
      <c r="BIR39" s="191"/>
      <c r="BIS39" s="191"/>
      <c r="BJB39" s="191"/>
      <c r="BJC39" s="191"/>
      <c r="BJD39" s="191"/>
      <c r="BJE39" s="191"/>
      <c r="BJN39" s="191"/>
      <c r="BJO39" s="191"/>
      <c r="BJP39" s="191"/>
      <c r="BJQ39" s="191"/>
      <c r="BJZ39" s="191"/>
      <c r="BKA39" s="191"/>
      <c r="BKB39" s="191"/>
      <c r="BKC39" s="191"/>
      <c r="BKL39" s="191"/>
      <c r="BKM39" s="191"/>
      <c r="BKN39" s="191"/>
      <c r="BKO39" s="191"/>
      <c r="BKX39" s="191"/>
      <c r="BKY39" s="191"/>
      <c r="BKZ39" s="191"/>
      <c r="BLA39" s="191"/>
      <c r="BLJ39" s="191"/>
      <c r="BLK39" s="191"/>
      <c r="BLL39" s="191"/>
      <c r="BLM39" s="191"/>
      <c r="BLV39" s="191"/>
      <c r="BLW39" s="191"/>
      <c r="BLX39" s="191"/>
      <c r="BLY39" s="191"/>
      <c r="BMH39" s="191"/>
      <c r="BMI39" s="191"/>
      <c r="BMJ39" s="191"/>
      <c r="BMK39" s="191"/>
      <c r="BMT39" s="191"/>
      <c r="BMU39" s="191"/>
      <c r="BMV39" s="191"/>
      <c r="BMW39" s="191"/>
      <c r="BNF39" s="191"/>
      <c r="BNG39" s="191"/>
      <c r="BNH39" s="191"/>
      <c r="BNI39" s="191"/>
      <c r="BNR39" s="191"/>
      <c r="BNS39" s="191"/>
      <c r="BNT39" s="191"/>
      <c r="BNU39" s="191"/>
      <c r="BOD39" s="191"/>
      <c r="BOE39" s="191"/>
      <c r="BOF39" s="191"/>
      <c r="BOG39" s="191"/>
      <c r="BOP39" s="191"/>
      <c r="BOQ39" s="191"/>
      <c r="BOR39" s="191"/>
      <c r="BOS39" s="191"/>
      <c r="BPB39" s="191"/>
      <c r="BPC39" s="191"/>
      <c r="BPD39" s="191"/>
      <c r="BPE39" s="191"/>
      <c r="BPN39" s="191"/>
      <c r="BPO39" s="191"/>
      <c r="BPP39" s="191"/>
      <c r="BPQ39" s="191"/>
      <c r="BPZ39" s="191"/>
      <c r="BQA39" s="191"/>
      <c r="BQB39" s="191"/>
      <c r="BQC39" s="191"/>
      <c r="BQL39" s="191"/>
      <c r="BQM39" s="191"/>
      <c r="BQN39" s="191"/>
      <c r="BQO39" s="191"/>
      <c r="BQX39" s="191"/>
      <c r="BQY39" s="191"/>
      <c r="BQZ39" s="191"/>
      <c r="BRA39" s="191"/>
      <c r="BRJ39" s="191"/>
      <c r="BRK39" s="191"/>
      <c r="BRL39" s="191"/>
      <c r="BRM39" s="191"/>
      <c r="BRV39" s="191"/>
      <c r="BRW39" s="191"/>
      <c r="BRX39" s="191"/>
      <c r="BRY39" s="191"/>
      <c r="BSH39" s="191"/>
      <c r="BSI39" s="191"/>
      <c r="BSJ39" s="191"/>
      <c r="BSK39" s="191"/>
      <c r="BST39" s="191"/>
      <c r="BSU39" s="191"/>
      <c r="BSV39" s="191"/>
      <c r="BSW39" s="191"/>
      <c r="BTF39" s="191"/>
      <c r="BTG39" s="191"/>
      <c r="BTH39" s="191"/>
      <c r="BTI39" s="191"/>
      <c r="BTR39" s="191"/>
      <c r="BTS39" s="191"/>
      <c r="BTT39" s="191"/>
      <c r="BTU39" s="191"/>
      <c r="BUD39" s="191"/>
      <c r="BUE39" s="191"/>
      <c r="BUF39" s="191"/>
      <c r="BUG39" s="191"/>
      <c r="BUP39" s="191"/>
      <c r="BUQ39" s="191"/>
      <c r="BUR39" s="191"/>
      <c r="BUS39" s="191"/>
      <c r="BVB39" s="191"/>
      <c r="BVC39" s="191"/>
      <c r="BVD39" s="191"/>
      <c r="BVE39" s="191"/>
      <c r="BVN39" s="191"/>
      <c r="BVO39" s="191"/>
      <c r="BVP39" s="191"/>
      <c r="BVQ39" s="191"/>
      <c r="BVZ39" s="191"/>
      <c r="BWA39" s="191"/>
      <c r="BWB39" s="191"/>
      <c r="BWC39" s="191"/>
      <c r="BWL39" s="191"/>
      <c r="BWM39" s="191"/>
      <c r="BWN39" s="191"/>
      <c r="BWO39" s="191"/>
      <c r="BWX39" s="191"/>
      <c r="BWY39" s="191"/>
      <c r="BWZ39" s="191"/>
      <c r="BXA39" s="191"/>
      <c r="BXJ39" s="191"/>
      <c r="BXK39" s="191"/>
      <c r="BXL39" s="191"/>
      <c r="BXM39" s="191"/>
      <c r="BXV39" s="191"/>
      <c r="BXW39" s="191"/>
      <c r="BXX39" s="191"/>
      <c r="BXY39" s="191"/>
      <c r="BYH39" s="191"/>
      <c r="BYI39" s="191"/>
      <c r="BYJ39" s="191"/>
      <c r="BYK39" s="191"/>
      <c r="BYT39" s="191"/>
      <c r="BYU39" s="191"/>
      <c r="BYV39" s="191"/>
      <c r="BYW39" s="191"/>
      <c r="BZF39" s="191"/>
      <c r="BZG39" s="191"/>
      <c r="BZH39" s="191"/>
      <c r="BZI39" s="191"/>
      <c r="BZR39" s="191"/>
      <c r="BZS39" s="191"/>
      <c r="BZT39" s="191"/>
      <c r="BZU39" s="191"/>
      <c r="CAD39" s="191"/>
      <c r="CAE39" s="191"/>
      <c r="CAF39" s="191"/>
      <c r="CAG39" s="191"/>
      <c r="CAP39" s="191"/>
      <c r="CAQ39" s="191"/>
      <c r="CAR39" s="191"/>
      <c r="CAS39" s="191"/>
      <c r="CBB39" s="191"/>
      <c r="CBC39" s="191"/>
      <c r="CBD39" s="191"/>
      <c r="CBE39" s="191"/>
      <c r="CBN39" s="191"/>
      <c r="CBO39" s="191"/>
      <c r="CBP39" s="191"/>
      <c r="CBQ39" s="191"/>
      <c r="CBZ39" s="191"/>
      <c r="CCA39" s="191"/>
      <c r="CCB39" s="191"/>
      <c r="CCC39" s="191"/>
      <c r="CCL39" s="191"/>
      <c r="CCM39" s="191"/>
      <c r="CCN39" s="191"/>
      <c r="CCO39" s="191"/>
      <c r="CCX39" s="191"/>
      <c r="CCY39" s="191"/>
      <c r="CCZ39" s="191"/>
      <c r="CDA39" s="191"/>
      <c r="CDJ39" s="191"/>
      <c r="CDK39" s="191"/>
      <c r="CDL39" s="191"/>
      <c r="CDM39" s="191"/>
      <c r="CDV39" s="191"/>
      <c r="CDW39" s="191"/>
      <c r="CDX39" s="191"/>
      <c r="CDY39" s="191"/>
      <c r="CEH39" s="191"/>
      <c r="CEI39" s="191"/>
      <c r="CEJ39" s="191"/>
      <c r="CEK39" s="191"/>
      <c r="CET39" s="191"/>
      <c r="CEU39" s="191"/>
      <c r="CEV39" s="191"/>
      <c r="CEW39" s="191"/>
      <c r="CFF39" s="191"/>
      <c r="CFG39" s="191"/>
      <c r="CFH39" s="191"/>
      <c r="CFI39" s="191"/>
      <c r="CFR39" s="191"/>
      <c r="CFS39" s="191"/>
      <c r="CFT39" s="191"/>
      <c r="CFU39" s="191"/>
      <c r="CGD39" s="191"/>
      <c r="CGE39" s="191"/>
      <c r="CGF39" s="191"/>
      <c r="CGG39" s="191"/>
      <c r="CGP39" s="191"/>
      <c r="CGQ39" s="191"/>
      <c r="CGR39" s="191"/>
      <c r="CGS39" s="191"/>
      <c r="CHB39" s="191"/>
      <c r="CHC39" s="191"/>
      <c r="CHD39" s="191"/>
      <c r="CHE39" s="191"/>
      <c r="CHN39" s="191"/>
      <c r="CHO39" s="191"/>
      <c r="CHP39" s="191"/>
      <c r="CHQ39" s="191"/>
      <c r="CHZ39" s="191"/>
      <c r="CIA39" s="191"/>
      <c r="CIB39" s="191"/>
      <c r="CIC39" s="191"/>
      <c r="CIL39" s="191"/>
      <c r="CIM39" s="191"/>
      <c r="CIN39" s="191"/>
      <c r="CIO39" s="191"/>
      <c r="CIX39" s="191"/>
      <c r="CIY39" s="191"/>
      <c r="CIZ39" s="191"/>
      <c r="CJA39" s="191"/>
      <c r="CJJ39" s="191"/>
      <c r="CJK39" s="191"/>
      <c r="CJL39" s="191"/>
      <c r="CJM39" s="191"/>
      <c r="CJV39" s="191"/>
      <c r="CJW39" s="191"/>
      <c r="CJX39" s="191"/>
      <c r="CJY39" s="191"/>
      <c r="CKH39" s="191"/>
      <c r="CKI39" s="191"/>
      <c r="CKJ39" s="191"/>
      <c r="CKK39" s="191"/>
      <c r="CKT39" s="191"/>
      <c r="CKU39" s="191"/>
      <c r="CKV39" s="191"/>
      <c r="CKW39" s="191"/>
      <c r="CLF39" s="191"/>
      <c r="CLG39" s="191"/>
      <c r="CLH39" s="191"/>
      <c r="CLI39" s="191"/>
      <c r="CLR39" s="191"/>
      <c r="CLS39" s="191"/>
      <c r="CLT39" s="191"/>
      <c r="CLU39" s="191"/>
      <c r="CMD39" s="191"/>
      <c r="CME39" s="191"/>
      <c r="CMF39" s="191"/>
      <c r="CMG39" s="191"/>
      <c r="CMP39" s="191"/>
      <c r="CMQ39" s="191"/>
      <c r="CMR39" s="191"/>
      <c r="CMS39" s="191"/>
      <c r="CNB39" s="191"/>
      <c r="CNC39" s="191"/>
      <c r="CND39" s="191"/>
      <c r="CNE39" s="191"/>
      <c r="CNN39" s="191"/>
      <c r="CNO39" s="191"/>
      <c r="CNP39" s="191"/>
      <c r="CNQ39" s="191"/>
      <c r="CNZ39" s="191"/>
      <c r="COA39" s="191"/>
      <c r="COB39" s="191"/>
      <c r="COC39" s="191"/>
      <c r="COL39" s="191"/>
      <c r="COM39" s="191"/>
      <c r="CON39" s="191"/>
      <c r="COO39" s="191"/>
      <c r="COX39" s="191"/>
      <c r="COY39" s="191"/>
      <c r="COZ39" s="191"/>
      <c r="CPA39" s="191"/>
      <c r="CPJ39" s="191"/>
      <c r="CPK39" s="191"/>
      <c r="CPL39" s="191"/>
      <c r="CPM39" s="191"/>
      <c r="CPV39" s="191"/>
      <c r="CPW39" s="191"/>
      <c r="CPX39" s="191"/>
      <c r="CPY39" s="191"/>
      <c r="CQH39" s="191"/>
      <c r="CQI39" s="191"/>
      <c r="CQJ39" s="191"/>
      <c r="CQK39" s="191"/>
      <c r="CQT39" s="191"/>
      <c r="CQU39" s="191"/>
      <c r="CQV39" s="191"/>
      <c r="CQW39" s="191"/>
      <c r="CRF39" s="191"/>
      <c r="CRG39" s="191"/>
      <c r="CRH39" s="191"/>
      <c r="CRI39" s="191"/>
      <c r="CRR39" s="191"/>
      <c r="CRS39" s="191"/>
      <c r="CRT39" s="191"/>
      <c r="CRU39" s="191"/>
      <c r="CSD39" s="191"/>
      <c r="CSE39" s="191"/>
      <c r="CSF39" s="191"/>
      <c r="CSG39" s="191"/>
      <c r="CSP39" s="191"/>
      <c r="CSQ39" s="191"/>
      <c r="CSR39" s="191"/>
      <c r="CSS39" s="191"/>
      <c r="CTB39" s="191"/>
      <c r="CTC39" s="191"/>
      <c r="CTD39" s="191"/>
      <c r="CTE39" s="191"/>
      <c r="CTN39" s="191"/>
      <c r="CTO39" s="191"/>
      <c r="CTP39" s="191"/>
      <c r="CTQ39" s="191"/>
      <c r="CTZ39" s="191"/>
      <c r="CUA39" s="191"/>
      <c r="CUB39" s="191"/>
      <c r="CUC39" s="191"/>
      <c r="CUL39" s="191"/>
      <c r="CUM39" s="191"/>
      <c r="CUN39" s="191"/>
      <c r="CUO39" s="191"/>
      <c r="CUX39" s="191"/>
      <c r="CUY39" s="191"/>
      <c r="CUZ39" s="191"/>
      <c r="CVA39" s="191"/>
      <c r="CVJ39" s="191"/>
      <c r="CVK39" s="191"/>
      <c r="CVL39" s="191"/>
      <c r="CVM39" s="191"/>
      <c r="CVV39" s="191"/>
      <c r="CVW39" s="191"/>
      <c r="CVX39" s="191"/>
      <c r="CVY39" s="191"/>
    </row>
    <row r="40" spans="2:1023 1026:2631" x14ac:dyDescent="0.25"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F40" s="192"/>
      <c r="BG40" s="192"/>
      <c r="BH40" s="192"/>
      <c r="BI40" s="192"/>
      <c r="BJ40" s="192"/>
      <c r="BK40" s="192"/>
      <c r="BL40" s="192"/>
      <c r="BM40" s="192"/>
      <c r="BN40" s="192"/>
      <c r="BO40" s="192"/>
      <c r="BP40" s="192"/>
      <c r="BT40" s="192"/>
      <c r="BU40" s="192"/>
      <c r="BV40" s="192"/>
      <c r="BW40" s="192"/>
      <c r="BX40" s="192"/>
      <c r="BY40" s="192"/>
      <c r="BZ40" s="192"/>
      <c r="CA40" s="192"/>
      <c r="CB40" s="192"/>
      <c r="CC40" s="192"/>
      <c r="CD40" s="192"/>
      <c r="CH40" s="192"/>
      <c r="CI40" s="192"/>
      <c r="CJ40" s="192"/>
      <c r="CK40" s="192"/>
      <c r="CL40" s="192"/>
      <c r="CM40" s="192"/>
      <c r="CN40" s="192"/>
      <c r="CO40" s="192"/>
      <c r="CP40" s="192"/>
      <c r="CQ40" s="192"/>
      <c r="CR40" s="192"/>
      <c r="CV40" s="192"/>
      <c r="CW40" s="192"/>
      <c r="CX40" s="192"/>
      <c r="CY40" s="192"/>
      <c r="CZ40" s="192"/>
      <c r="DA40" s="192"/>
      <c r="DB40" s="192"/>
      <c r="DC40" s="192"/>
      <c r="DD40" s="192"/>
      <c r="DE40" s="192"/>
      <c r="DF40" s="192"/>
      <c r="DJ40" s="192"/>
      <c r="DK40" s="192"/>
      <c r="DL40" s="192"/>
      <c r="DM40" s="192"/>
      <c r="DN40" s="192"/>
      <c r="DO40" s="192"/>
      <c r="DP40" s="192"/>
      <c r="DQ40" s="192"/>
      <c r="DR40" s="192"/>
      <c r="DS40" s="192"/>
      <c r="DT40" s="192"/>
      <c r="DX40" s="192"/>
      <c r="DY40" s="192"/>
      <c r="DZ40" s="192"/>
      <c r="EA40" s="192"/>
      <c r="EB40" s="192"/>
      <c r="EC40" s="192"/>
      <c r="ED40" s="192"/>
      <c r="EE40" s="192"/>
      <c r="EF40" s="192"/>
      <c r="EG40" s="192"/>
      <c r="EH40" s="192"/>
      <c r="EL40" s="192"/>
      <c r="EM40" s="192"/>
      <c r="EN40" s="192"/>
      <c r="EO40" s="192"/>
      <c r="EP40" s="192"/>
      <c r="EQ40" s="192"/>
      <c r="ER40" s="192"/>
      <c r="ES40" s="192"/>
      <c r="ET40" s="192"/>
      <c r="EU40" s="192"/>
      <c r="EV40" s="192"/>
      <c r="EZ40" s="192"/>
      <c r="FA40" s="192"/>
      <c r="FB40" s="192"/>
      <c r="FC40" s="192"/>
      <c r="FD40" s="192"/>
      <c r="FE40" s="192"/>
      <c r="FF40" s="192"/>
      <c r="FG40" s="192"/>
      <c r="FH40" s="192"/>
      <c r="FI40" s="192"/>
      <c r="FJ40" s="192"/>
      <c r="FN40" s="192"/>
      <c r="FO40" s="192"/>
      <c r="FP40" s="192"/>
      <c r="FQ40" s="192"/>
      <c r="FR40" s="192"/>
      <c r="FS40" s="192"/>
      <c r="FT40" s="192"/>
      <c r="FU40" s="192"/>
      <c r="FV40" s="192"/>
      <c r="FW40" s="192"/>
      <c r="FX40" s="192"/>
      <c r="GB40" s="192"/>
      <c r="GC40" s="192"/>
      <c r="GD40" s="192"/>
      <c r="GE40" s="192"/>
      <c r="GF40" s="192"/>
      <c r="GG40" s="192"/>
      <c r="GH40" s="192"/>
      <c r="GI40" s="192"/>
      <c r="GJ40" s="192"/>
      <c r="GK40" s="192"/>
      <c r="GL40" s="192"/>
      <c r="GP40" s="192"/>
      <c r="GQ40" s="192"/>
      <c r="GR40" s="192"/>
      <c r="GS40" s="192"/>
      <c r="GT40" s="192"/>
      <c r="GU40" s="192"/>
      <c r="GV40" s="192"/>
      <c r="GW40" s="192"/>
      <c r="GX40" s="192"/>
      <c r="GY40" s="192"/>
      <c r="GZ40" s="192"/>
      <c r="HD40" s="192"/>
      <c r="HE40" s="192"/>
      <c r="HF40" s="192"/>
      <c r="HG40" s="192"/>
      <c r="HH40" s="192"/>
      <c r="HI40" s="192"/>
      <c r="HJ40" s="192"/>
      <c r="HK40" s="192"/>
      <c r="HL40" s="192"/>
      <c r="HM40" s="192"/>
      <c r="HN40" s="192"/>
      <c r="HR40" s="192"/>
      <c r="HS40" s="192"/>
      <c r="HT40" s="192"/>
      <c r="HU40" s="192"/>
      <c r="HV40" s="192"/>
      <c r="HW40" s="192"/>
      <c r="HX40" s="192"/>
      <c r="HY40" s="192"/>
      <c r="HZ40" s="192"/>
      <c r="IA40" s="192"/>
      <c r="IB40" s="192"/>
      <c r="IF40" s="192"/>
      <c r="IG40" s="192"/>
      <c r="IH40" s="192"/>
      <c r="II40" s="192"/>
      <c r="IJ40" s="192"/>
      <c r="IK40" s="192"/>
      <c r="IL40" s="192"/>
      <c r="IM40" s="192"/>
      <c r="IN40" s="192"/>
      <c r="IO40" s="192"/>
      <c r="IP40" s="192"/>
      <c r="IT40" s="192"/>
      <c r="IU40" s="192"/>
      <c r="IV40" s="192"/>
      <c r="IW40" s="192"/>
      <c r="IX40" s="192"/>
      <c r="IY40" s="192"/>
      <c r="IZ40" s="192"/>
      <c r="JA40" s="192"/>
      <c r="JB40" s="192"/>
      <c r="JC40" s="192"/>
      <c r="JD40" s="192"/>
      <c r="JH40" s="192"/>
      <c r="JI40" s="192"/>
      <c r="JJ40" s="192"/>
      <c r="JK40" s="192"/>
      <c r="JL40" s="192"/>
      <c r="JM40" s="192"/>
      <c r="JN40" s="192"/>
      <c r="JO40" s="192"/>
      <c r="JP40" s="192"/>
      <c r="JQ40" s="192"/>
      <c r="JR40" s="192"/>
      <c r="JV40" s="192"/>
      <c r="JW40" s="192"/>
      <c r="JX40" s="192"/>
      <c r="JY40" s="192"/>
      <c r="JZ40" s="192"/>
      <c r="KA40" s="192"/>
      <c r="KB40" s="192"/>
      <c r="KC40" s="192"/>
      <c r="KD40" s="192"/>
      <c r="KE40" s="192"/>
      <c r="KF40" s="192"/>
      <c r="KJ40" s="192"/>
      <c r="KK40" s="192"/>
      <c r="KL40" s="192"/>
      <c r="KM40" s="192"/>
      <c r="KN40" s="192"/>
      <c r="KO40" s="192"/>
      <c r="KP40" s="192"/>
      <c r="KQ40" s="192"/>
      <c r="KR40" s="192"/>
      <c r="KS40" s="192"/>
      <c r="KT40" s="192"/>
      <c r="KX40" s="192"/>
      <c r="KY40" s="192"/>
      <c r="KZ40" s="192"/>
      <c r="LA40" s="192"/>
      <c r="LB40" s="192"/>
      <c r="LC40" s="192"/>
      <c r="LD40" s="192"/>
      <c r="LE40" s="192"/>
      <c r="LF40" s="192"/>
      <c r="LG40" s="192"/>
      <c r="LH40" s="192"/>
      <c r="LL40" s="192"/>
      <c r="LM40" s="192"/>
      <c r="LN40" s="192"/>
      <c r="LO40" s="192"/>
      <c r="LP40" s="192"/>
      <c r="LQ40" s="192"/>
      <c r="LR40" s="192"/>
      <c r="LS40" s="192"/>
      <c r="LT40" s="192"/>
      <c r="LU40" s="192"/>
      <c r="LV40" s="192"/>
      <c r="LZ40" s="192"/>
      <c r="MA40" s="192"/>
      <c r="MB40" s="192"/>
      <c r="MC40" s="192"/>
      <c r="MD40" s="192"/>
      <c r="ME40" s="192"/>
      <c r="MF40" s="192"/>
      <c r="MG40" s="192"/>
      <c r="MH40" s="192"/>
      <c r="MI40" s="192"/>
      <c r="MJ40" s="192"/>
      <c r="MN40" s="192"/>
      <c r="MO40" s="192"/>
      <c r="MP40" s="192"/>
      <c r="MQ40" s="192"/>
      <c r="MR40" s="192"/>
      <c r="MS40" s="192"/>
      <c r="MT40" s="192"/>
      <c r="MU40" s="192"/>
      <c r="MV40" s="192"/>
      <c r="MW40" s="192"/>
      <c r="MX40" s="192"/>
      <c r="NB40" s="192"/>
      <c r="NC40" s="192"/>
      <c r="ND40" s="192"/>
      <c r="NE40" s="192"/>
      <c r="NF40" s="192"/>
      <c r="NG40" s="192"/>
      <c r="NH40" s="192"/>
      <c r="NI40" s="192"/>
      <c r="NJ40" s="192"/>
      <c r="NK40" s="192"/>
      <c r="NL40" s="192"/>
      <c r="NP40" s="192"/>
      <c r="NQ40" s="192"/>
      <c r="NR40" s="192"/>
      <c r="NS40" s="192"/>
      <c r="NT40" s="192"/>
      <c r="NU40" s="192"/>
      <c r="NV40" s="192"/>
      <c r="NW40" s="192"/>
      <c r="NX40" s="192"/>
      <c r="NY40" s="192"/>
      <c r="NZ40" s="192"/>
      <c r="OD40" s="192"/>
      <c r="OE40" s="192"/>
      <c r="OF40" s="192"/>
      <c r="OG40" s="192"/>
      <c r="OH40" s="192"/>
      <c r="OI40" s="192"/>
      <c r="OJ40" s="192"/>
      <c r="OK40" s="192"/>
      <c r="OL40" s="192"/>
      <c r="OM40" s="192"/>
      <c r="ON40" s="192"/>
      <c r="OR40" s="192"/>
      <c r="OS40" s="192"/>
      <c r="OT40" s="192"/>
      <c r="OU40" s="192"/>
      <c r="OV40" s="192"/>
      <c r="OW40" s="192"/>
      <c r="OX40" s="192"/>
      <c r="OY40" s="192"/>
      <c r="OZ40" s="192"/>
      <c r="PA40" s="192"/>
      <c r="PB40" s="192"/>
      <c r="PF40" s="192"/>
      <c r="PG40" s="192"/>
      <c r="PH40" s="192"/>
      <c r="PI40" s="192"/>
      <c r="PJ40" s="192"/>
      <c r="PK40" s="192"/>
      <c r="PL40" s="192"/>
      <c r="PM40" s="192"/>
      <c r="PN40" s="192"/>
      <c r="PO40" s="192"/>
      <c r="PP40" s="192"/>
      <c r="PT40" s="192"/>
      <c r="PU40" s="192"/>
      <c r="PV40" s="192"/>
      <c r="PW40" s="192"/>
      <c r="PX40" s="192"/>
      <c r="PY40" s="192"/>
      <c r="PZ40" s="192"/>
      <c r="QA40" s="192"/>
      <c r="QB40" s="192"/>
      <c r="QC40" s="192"/>
      <c r="QD40" s="192"/>
      <c r="QH40" s="192"/>
      <c r="QI40" s="192"/>
      <c r="QJ40" s="192"/>
      <c r="QK40" s="192"/>
      <c r="QL40" s="192"/>
      <c r="QM40" s="192"/>
      <c r="QN40" s="192"/>
      <c r="QO40" s="192"/>
      <c r="QP40" s="192"/>
      <c r="QQ40" s="192"/>
      <c r="QR40" s="192"/>
      <c r="QV40" s="192"/>
      <c r="QW40" s="192"/>
      <c r="QX40" s="192"/>
      <c r="QY40" s="192"/>
      <c r="QZ40" s="192"/>
      <c r="RA40" s="192"/>
      <c r="RB40" s="192"/>
      <c r="RC40" s="192"/>
      <c r="RD40" s="192"/>
      <c r="RE40" s="192"/>
      <c r="RF40" s="192"/>
      <c r="RJ40" s="192"/>
      <c r="RK40" s="192"/>
      <c r="RL40" s="192"/>
      <c r="RM40" s="192"/>
      <c r="RN40" s="192"/>
      <c r="RO40" s="192"/>
      <c r="RP40" s="192"/>
      <c r="RQ40" s="192"/>
      <c r="RR40" s="192"/>
      <c r="RS40" s="192"/>
      <c r="RT40" s="192"/>
      <c r="RX40" s="192"/>
      <c r="RY40" s="192"/>
      <c r="RZ40" s="192"/>
      <c r="SA40" s="192"/>
      <c r="SB40" s="192"/>
      <c r="SC40" s="192"/>
      <c r="SD40" s="192"/>
      <c r="SE40" s="192"/>
      <c r="SF40" s="192"/>
      <c r="SG40" s="192"/>
      <c r="SH40" s="192"/>
      <c r="SL40" s="192"/>
      <c r="SM40" s="192"/>
      <c r="SN40" s="192"/>
      <c r="SO40" s="192"/>
      <c r="SP40" s="192"/>
      <c r="SQ40" s="192"/>
      <c r="SR40" s="192"/>
      <c r="SS40" s="192"/>
      <c r="ST40" s="192"/>
      <c r="SU40" s="192"/>
      <c r="SV40" s="192"/>
      <c r="SZ40" s="192"/>
      <c r="TA40" s="192"/>
      <c r="TB40" s="192"/>
      <c r="TC40" s="192"/>
      <c r="TD40" s="192"/>
      <c r="TE40" s="192"/>
      <c r="TF40" s="192"/>
      <c r="TG40" s="192"/>
      <c r="TH40" s="192"/>
      <c r="TI40" s="192"/>
      <c r="TJ40" s="192"/>
      <c r="TN40" s="192"/>
      <c r="TO40" s="192"/>
      <c r="TP40" s="192"/>
      <c r="TQ40" s="192"/>
      <c r="TR40" s="192"/>
      <c r="TS40" s="192"/>
      <c r="TT40" s="192"/>
      <c r="TU40" s="192"/>
      <c r="TV40" s="192"/>
      <c r="TW40" s="192"/>
      <c r="TX40" s="192"/>
      <c r="UB40" s="192"/>
      <c r="UC40" s="192"/>
      <c r="UD40" s="192"/>
      <c r="UE40" s="192"/>
      <c r="UF40" s="192"/>
      <c r="UG40" s="192"/>
      <c r="UH40" s="192"/>
      <c r="UI40" s="192"/>
      <c r="UJ40" s="192"/>
      <c r="UK40" s="192"/>
      <c r="UL40" s="192"/>
      <c r="UP40" s="192"/>
      <c r="UQ40" s="192"/>
      <c r="UR40" s="192"/>
      <c r="US40" s="192"/>
      <c r="UT40" s="192"/>
      <c r="UU40" s="192"/>
      <c r="UV40" s="192"/>
      <c r="UW40" s="192"/>
      <c r="UX40" s="192"/>
      <c r="UY40" s="192"/>
      <c r="UZ40" s="192"/>
      <c r="VD40" s="192"/>
      <c r="VE40" s="192"/>
      <c r="VF40" s="192"/>
      <c r="VG40" s="192"/>
      <c r="VH40" s="192"/>
      <c r="VI40" s="192"/>
      <c r="VJ40" s="192"/>
      <c r="VK40" s="192"/>
      <c r="VL40" s="192"/>
      <c r="VM40" s="192"/>
      <c r="VN40" s="192"/>
      <c r="VR40" s="192"/>
      <c r="VS40" s="192"/>
      <c r="VT40" s="192"/>
      <c r="VU40" s="192"/>
      <c r="VV40" s="192"/>
      <c r="VW40" s="192"/>
      <c r="VX40" s="192"/>
      <c r="VY40" s="192"/>
      <c r="VZ40" s="192"/>
      <c r="WA40" s="192"/>
      <c r="WB40" s="192"/>
      <c r="WF40" s="192"/>
      <c r="WG40" s="192"/>
      <c r="WH40" s="192"/>
      <c r="WI40" s="192"/>
      <c r="WJ40" s="192"/>
      <c r="WK40" s="192"/>
      <c r="WL40" s="192"/>
      <c r="WM40" s="192"/>
      <c r="WN40" s="192"/>
      <c r="WO40" s="192"/>
      <c r="WP40" s="192"/>
      <c r="WT40" s="192"/>
      <c r="WU40" s="192"/>
      <c r="WV40" s="192"/>
      <c r="WW40" s="192"/>
      <c r="WX40" s="192"/>
      <c r="WY40" s="192"/>
      <c r="WZ40" s="192"/>
      <c r="XA40" s="192"/>
      <c r="XB40" s="192"/>
      <c r="XC40" s="192"/>
      <c r="XD40" s="192"/>
      <c r="XH40" s="192"/>
      <c r="XI40" s="192"/>
      <c r="XJ40" s="192"/>
      <c r="XK40" s="192"/>
      <c r="XL40" s="192"/>
      <c r="XM40" s="192"/>
      <c r="XN40" s="192"/>
      <c r="XO40" s="192"/>
      <c r="XP40" s="192"/>
      <c r="XQ40" s="192"/>
      <c r="XR40" s="192"/>
      <c r="XV40" s="192"/>
      <c r="XW40" s="192"/>
      <c r="XX40" s="192"/>
      <c r="XY40" s="192"/>
      <c r="XZ40" s="192"/>
      <c r="YA40" s="192"/>
      <c r="YB40" s="192"/>
      <c r="YC40" s="192"/>
      <c r="YD40" s="192"/>
      <c r="YE40" s="192"/>
      <c r="YF40" s="192"/>
      <c r="YJ40" s="192"/>
      <c r="YK40" s="192"/>
      <c r="YL40" s="192"/>
      <c r="YM40" s="192"/>
      <c r="YN40" s="192"/>
      <c r="YO40" s="192"/>
      <c r="YP40" s="192"/>
      <c r="YQ40" s="192"/>
      <c r="YR40" s="192"/>
      <c r="YS40" s="192"/>
      <c r="YT40" s="192"/>
      <c r="YX40" s="192"/>
      <c r="YY40" s="192"/>
      <c r="YZ40" s="192"/>
      <c r="ZA40" s="192"/>
      <c r="ZB40" s="192"/>
      <c r="ZC40" s="192"/>
      <c r="ZD40" s="192"/>
      <c r="ZE40" s="192"/>
      <c r="ZF40" s="192"/>
      <c r="ZG40" s="192"/>
      <c r="ZH40" s="192"/>
      <c r="ZL40" s="192"/>
      <c r="ZM40" s="192"/>
      <c r="ZN40" s="192"/>
      <c r="ZO40" s="192"/>
      <c r="ZP40" s="192"/>
      <c r="ZQ40" s="192"/>
      <c r="ZR40" s="192"/>
      <c r="ZS40" s="192"/>
      <c r="ZT40" s="192"/>
      <c r="ZU40" s="192"/>
      <c r="ZV40" s="192"/>
      <c r="ZY40" s="4"/>
      <c r="ZZ40" s="193" t="s">
        <v>87</v>
      </c>
      <c r="AAA40" s="193"/>
      <c r="AAB40" s="193"/>
      <c r="AAC40" s="193"/>
      <c r="AAD40" s="79"/>
      <c r="AAE40" s="79"/>
      <c r="AAF40" s="79"/>
      <c r="AAG40" s="194" t="s">
        <v>88</v>
      </c>
      <c r="AAH40" s="194"/>
      <c r="AAI40" s="194"/>
      <c r="AAL40" s="4"/>
      <c r="AAM40" s="193" t="s">
        <v>87</v>
      </c>
      <c r="AAN40" s="193"/>
      <c r="AAO40" s="193"/>
      <c r="AAP40" s="193"/>
      <c r="AAQ40" s="79"/>
      <c r="AAR40" s="79"/>
      <c r="AAS40" s="79"/>
      <c r="AAT40" s="194" t="s">
        <v>88</v>
      </c>
      <c r="AAU40" s="194"/>
      <c r="AAV40" s="194"/>
      <c r="AAY40" s="4"/>
      <c r="AAZ40" s="193" t="s">
        <v>87</v>
      </c>
      <c r="ABA40" s="193"/>
      <c r="ABB40" s="193"/>
      <c r="ABC40" s="193"/>
      <c r="ABD40" s="79"/>
      <c r="ABE40" s="79"/>
      <c r="ABF40" s="79"/>
      <c r="ABG40" s="194" t="s">
        <v>88</v>
      </c>
      <c r="ABH40" s="194"/>
      <c r="ABI40" s="194"/>
      <c r="ABL40" s="4"/>
      <c r="ABM40" s="193" t="s">
        <v>87</v>
      </c>
      <c r="ABN40" s="193"/>
      <c r="ABO40" s="193"/>
      <c r="ABP40" s="193"/>
      <c r="ABQ40" s="79"/>
      <c r="ABR40" s="79"/>
      <c r="ABS40" s="79"/>
      <c r="ABT40" s="194" t="s">
        <v>88</v>
      </c>
      <c r="ABU40" s="194"/>
      <c r="ABV40" s="194"/>
      <c r="ABY40" s="4"/>
      <c r="ABZ40" s="193" t="s">
        <v>87</v>
      </c>
      <c r="ACA40" s="193"/>
      <c r="ACB40" s="193"/>
      <c r="ACC40" s="193"/>
      <c r="ACD40" s="79"/>
      <c r="ACE40" s="79"/>
      <c r="ACF40" s="79"/>
      <c r="ACG40" s="194" t="s">
        <v>88</v>
      </c>
      <c r="ACH40" s="194"/>
      <c r="ACI40" s="194"/>
      <c r="ACL40" s="4"/>
      <c r="ACM40" s="193" t="s">
        <v>87</v>
      </c>
      <c r="ACN40" s="193"/>
      <c r="ACO40" s="193"/>
      <c r="ACP40" s="193"/>
      <c r="ACQ40" s="79"/>
      <c r="ACR40" s="79"/>
      <c r="ACS40" s="79"/>
      <c r="ACT40" s="194" t="s">
        <v>88</v>
      </c>
      <c r="ACU40" s="194"/>
      <c r="ACV40" s="194"/>
      <c r="ACY40" s="4"/>
      <c r="ACZ40" s="193" t="s">
        <v>87</v>
      </c>
      <c r="ADA40" s="193"/>
      <c r="ADB40" s="193"/>
      <c r="ADC40" s="193"/>
      <c r="ADD40" s="79"/>
      <c r="ADE40" s="79"/>
      <c r="ADF40" s="79"/>
      <c r="ADG40" s="194" t="s">
        <v>88</v>
      </c>
      <c r="ADH40" s="194"/>
      <c r="ADI40" s="194"/>
      <c r="ADL40" s="4"/>
      <c r="ADM40" s="193" t="s">
        <v>87</v>
      </c>
      <c r="ADN40" s="193"/>
      <c r="ADO40" s="193"/>
      <c r="ADP40" s="193"/>
      <c r="ADQ40" s="79"/>
      <c r="ADR40" s="79"/>
      <c r="ADS40" s="79"/>
      <c r="ADT40" s="194" t="s">
        <v>88</v>
      </c>
      <c r="ADU40" s="194"/>
      <c r="ADV40" s="194"/>
      <c r="ADY40" s="4"/>
      <c r="ADZ40" s="193" t="s">
        <v>87</v>
      </c>
      <c r="AEA40" s="193"/>
      <c r="AEB40" s="193"/>
      <c r="AEC40" s="193"/>
      <c r="AED40" s="79"/>
      <c r="AEE40" s="79"/>
      <c r="AEF40" s="79"/>
      <c r="AEG40" s="194" t="s">
        <v>88</v>
      </c>
      <c r="AEH40" s="194"/>
      <c r="AEI40" s="194"/>
      <c r="AEL40" s="4"/>
      <c r="AEM40" s="193" t="s">
        <v>87</v>
      </c>
      <c r="AEN40" s="193"/>
      <c r="AEO40" s="193"/>
      <c r="AEP40" s="193"/>
      <c r="AEQ40" s="79"/>
      <c r="AER40" s="79"/>
      <c r="AES40" s="79"/>
      <c r="AET40" s="194" t="s">
        <v>88</v>
      </c>
      <c r="AEU40" s="194"/>
      <c r="AEV40" s="194"/>
      <c r="AEY40" s="4"/>
      <c r="AEZ40" s="193" t="s">
        <v>87</v>
      </c>
      <c r="AFA40" s="193"/>
      <c r="AFB40" s="193"/>
      <c r="AFC40" s="193"/>
      <c r="AFD40" s="79"/>
      <c r="AFE40" s="79"/>
      <c r="AFF40" s="79"/>
      <c r="AFG40" s="194" t="s">
        <v>88</v>
      </c>
      <c r="AFH40" s="194"/>
      <c r="AFI40" s="194"/>
      <c r="AFL40" s="4"/>
      <c r="AFM40" s="193" t="s">
        <v>87</v>
      </c>
      <c r="AFN40" s="193"/>
      <c r="AFO40" s="193"/>
      <c r="AFP40" s="193"/>
      <c r="AFQ40" s="79"/>
      <c r="AFR40" s="79"/>
      <c r="AFS40" s="79"/>
      <c r="AFT40" s="194" t="s">
        <v>88</v>
      </c>
      <c r="AFU40" s="194"/>
      <c r="AFV40" s="194"/>
      <c r="AFZ40" s="193" t="s">
        <v>87</v>
      </c>
      <c r="AGA40" s="193"/>
      <c r="AGB40" s="193"/>
      <c r="AGC40" s="193"/>
      <c r="AGD40" s="79"/>
      <c r="AGE40" s="79"/>
      <c r="AGF40" s="79"/>
      <c r="AGG40" s="194" t="s">
        <v>88</v>
      </c>
      <c r="AGH40" s="194"/>
      <c r="AGI40" s="194"/>
      <c r="AGL40" s="193" t="s">
        <v>87</v>
      </c>
      <c r="AGM40" s="193"/>
      <c r="AGN40" s="193"/>
      <c r="AGO40" s="193"/>
      <c r="AGP40" s="79"/>
      <c r="AGQ40" s="79"/>
      <c r="AGR40" s="79"/>
      <c r="AGS40" s="194" t="s">
        <v>88</v>
      </c>
      <c r="AGT40" s="194"/>
      <c r="AGU40" s="194"/>
      <c r="AGX40" s="193" t="s">
        <v>87</v>
      </c>
      <c r="AGY40" s="193"/>
      <c r="AGZ40" s="193"/>
      <c r="AHA40" s="193"/>
      <c r="AHB40" s="79"/>
      <c r="AHC40" s="79"/>
      <c r="AHD40" s="79"/>
      <c r="AHE40" s="194" t="s">
        <v>88</v>
      </c>
      <c r="AHF40" s="194"/>
      <c r="AHG40" s="194"/>
      <c r="AHJ40" s="193" t="s">
        <v>87</v>
      </c>
      <c r="AHK40" s="193"/>
      <c r="AHL40" s="193"/>
      <c r="AHM40" s="193"/>
      <c r="AHN40" s="79"/>
      <c r="AHO40" s="79"/>
      <c r="AHP40" s="79"/>
      <c r="AHQ40" s="194" t="s">
        <v>88</v>
      </c>
      <c r="AHR40" s="194"/>
      <c r="AHS40" s="194"/>
      <c r="AHV40" s="193" t="s">
        <v>87</v>
      </c>
      <c r="AHW40" s="193"/>
      <c r="AHX40" s="193"/>
      <c r="AHY40" s="193"/>
      <c r="AHZ40" s="79"/>
      <c r="AIA40" s="79"/>
      <c r="AIB40" s="79"/>
      <c r="AIC40" s="194" t="s">
        <v>88</v>
      </c>
      <c r="AID40" s="194"/>
      <c r="AIE40" s="194"/>
      <c r="AIH40" s="193" t="s">
        <v>87</v>
      </c>
      <c r="AII40" s="193"/>
      <c r="AIJ40" s="193"/>
      <c r="AIK40" s="193"/>
      <c r="AIL40" s="79"/>
      <c r="AIM40" s="79"/>
      <c r="AIN40" s="79"/>
      <c r="AIO40" s="194" t="s">
        <v>88</v>
      </c>
      <c r="AIP40" s="194"/>
      <c r="AIQ40" s="194"/>
      <c r="AIT40" s="193" t="s">
        <v>87</v>
      </c>
      <c r="AIU40" s="193"/>
      <c r="AIV40" s="193"/>
      <c r="AIW40" s="193"/>
      <c r="AIX40" s="79"/>
      <c r="AIY40" s="79"/>
      <c r="AIZ40" s="79"/>
      <c r="AJA40" s="194" t="s">
        <v>88</v>
      </c>
      <c r="AJB40" s="194"/>
      <c r="AJC40" s="194"/>
      <c r="AJF40" s="193" t="s">
        <v>87</v>
      </c>
      <c r="AJG40" s="193"/>
      <c r="AJH40" s="193"/>
      <c r="AJI40" s="193"/>
      <c r="AJJ40" s="79"/>
      <c r="AJK40" s="79"/>
      <c r="AJL40" s="79"/>
      <c r="AJM40" s="194" t="s">
        <v>88</v>
      </c>
      <c r="AJN40" s="194"/>
      <c r="AJO40" s="194"/>
      <c r="AJR40" s="193" t="s">
        <v>87</v>
      </c>
      <c r="AJS40" s="193"/>
      <c r="AJT40" s="193"/>
      <c r="AJU40" s="193"/>
      <c r="AJV40" s="79"/>
      <c r="AJW40" s="79"/>
      <c r="AJX40" s="79"/>
      <c r="AJY40" s="194" t="s">
        <v>88</v>
      </c>
      <c r="AJZ40" s="194"/>
      <c r="AKA40" s="194"/>
      <c r="AKD40" s="193" t="s">
        <v>87</v>
      </c>
      <c r="AKE40" s="193"/>
      <c r="AKF40" s="193"/>
      <c r="AKG40" s="193"/>
      <c r="AKH40" s="79"/>
      <c r="AKI40" s="79"/>
      <c r="AKJ40" s="79"/>
      <c r="AKK40" s="194" t="s">
        <v>88</v>
      </c>
      <c r="AKL40" s="194"/>
      <c r="AKM40" s="194"/>
      <c r="AKP40" s="193" t="s">
        <v>87</v>
      </c>
      <c r="AKQ40" s="193"/>
      <c r="AKR40" s="193"/>
      <c r="AKS40" s="193"/>
      <c r="AKT40" s="79"/>
      <c r="AKU40" s="79"/>
      <c r="AKV40" s="79"/>
      <c r="AKW40" s="194" t="s">
        <v>88</v>
      </c>
      <c r="AKX40" s="194"/>
      <c r="AKY40" s="194"/>
      <c r="ALB40" s="193" t="s">
        <v>87</v>
      </c>
      <c r="ALC40" s="193"/>
      <c r="ALD40" s="193"/>
      <c r="ALE40" s="193"/>
      <c r="ALF40" s="79"/>
      <c r="ALG40" s="79"/>
      <c r="ALH40" s="79"/>
      <c r="ALI40" s="194" t="s">
        <v>88</v>
      </c>
      <c r="ALJ40" s="194"/>
      <c r="ALK40" s="194"/>
      <c r="ALN40" s="193" t="s">
        <v>87</v>
      </c>
      <c r="ALO40" s="193"/>
      <c r="ALP40" s="193"/>
      <c r="ALQ40" s="193"/>
      <c r="ALR40" s="79"/>
      <c r="ALS40" s="79"/>
      <c r="ALT40" s="79"/>
      <c r="ALU40" s="194" t="s">
        <v>88</v>
      </c>
      <c r="ALV40" s="194"/>
      <c r="ALW40" s="194"/>
      <c r="ALZ40" s="193" t="s">
        <v>87</v>
      </c>
      <c r="AMA40" s="193"/>
      <c r="AMB40" s="193"/>
      <c r="AMC40" s="193"/>
      <c r="AMD40" s="79"/>
      <c r="AME40" s="79"/>
      <c r="AMF40" s="79"/>
      <c r="AMG40" s="194" t="s">
        <v>88</v>
      </c>
      <c r="AMH40" s="194"/>
      <c r="AMI40" s="194"/>
      <c r="AML40" s="193"/>
      <c r="AMM40" s="193"/>
      <c r="AMN40" s="193"/>
      <c r="AMO40" s="193"/>
      <c r="AMP40" s="79"/>
      <c r="AMQ40" s="79"/>
      <c r="AMR40" s="79"/>
      <c r="AMS40" s="194" t="s">
        <v>88</v>
      </c>
      <c r="AMT40" s="194"/>
      <c r="AMU40" s="194"/>
      <c r="AMX40" s="193" t="s">
        <v>84</v>
      </c>
      <c r="AMY40" s="193"/>
      <c r="AMZ40" s="193"/>
      <c r="ANA40" s="193"/>
      <c r="ANB40" s="79"/>
      <c r="ANC40" s="79"/>
      <c r="AND40" s="79"/>
      <c r="ANE40" s="194" t="s">
        <v>88</v>
      </c>
      <c r="ANF40" s="194"/>
      <c r="ANG40" s="194"/>
      <c r="ANJ40" s="193" t="s">
        <v>89</v>
      </c>
      <c r="ANK40" s="193"/>
      <c r="ANL40" s="193"/>
      <c r="ANM40" s="193"/>
      <c r="ANN40" s="79"/>
      <c r="ANO40" s="79"/>
      <c r="ANP40" s="79"/>
      <c r="ANQ40" s="194" t="s">
        <v>88</v>
      </c>
      <c r="ANR40" s="194"/>
      <c r="ANS40" s="194"/>
      <c r="ANV40" s="193" t="s">
        <v>89</v>
      </c>
      <c r="ANW40" s="193"/>
      <c r="ANX40" s="193"/>
      <c r="ANY40" s="193"/>
      <c r="ANZ40" s="79"/>
      <c r="AOA40" s="79"/>
      <c r="AOB40" s="79"/>
      <c r="AOC40" s="194" t="s">
        <v>88</v>
      </c>
      <c r="AOD40" s="194"/>
      <c r="AOE40" s="194"/>
      <c r="AOH40" s="193" t="s">
        <v>89</v>
      </c>
      <c r="AOI40" s="193"/>
      <c r="AOJ40" s="193"/>
      <c r="AOK40" s="193"/>
      <c r="AOL40" s="79"/>
      <c r="AOM40" s="79"/>
      <c r="AON40" s="79"/>
      <c r="AOO40" s="194" t="s">
        <v>88</v>
      </c>
      <c r="AOP40" s="194"/>
      <c r="AOQ40" s="194"/>
      <c r="AOT40" s="193" t="s">
        <v>89</v>
      </c>
      <c r="AOU40" s="193"/>
      <c r="AOV40" s="193"/>
      <c r="AOW40" s="193"/>
      <c r="AOX40" s="79"/>
      <c r="AOY40" s="79"/>
      <c r="AOZ40" s="79"/>
      <c r="APA40" s="194" t="s">
        <v>88</v>
      </c>
      <c r="APB40" s="194"/>
      <c r="APC40" s="194"/>
      <c r="APF40" s="193" t="s">
        <v>89</v>
      </c>
      <c r="APG40" s="193"/>
      <c r="APH40" s="193"/>
      <c r="API40" s="193"/>
      <c r="APJ40" s="79"/>
      <c r="APK40" s="79"/>
      <c r="APL40" s="79"/>
      <c r="APM40" s="194" t="s">
        <v>88</v>
      </c>
      <c r="APN40" s="194"/>
      <c r="APO40" s="194"/>
      <c r="APR40" s="193" t="s">
        <v>89</v>
      </c>
      <c r="APS40" s="193"/>
      <c r="APT40" s="193"/>
      <c r="APU40" s="193"/>
      <c r="APV40" s="79"/>
      <c r="APW40" s="79"/>
      <c r="APX40" s="79"/>
      <c r="APY40" s="194" t="s">
        <v>88</v>
      </c>
      <c r="APZ40" s="194"/>
      <c r="AQA40" s="194"/>
      <c r="AQD40" s="193" t="s">
        <v>89</v>
      </c>
      <c r="AQE40" s="193"/>
      <c r="AQF40" s="193"/>
      <c r="AQG40" s="193"/>
      <c r="AQH40" s="79"/>
      <c r="AQI40" s="79"/>
      <c r="AQJ40" s="79"/>
      <c r="AQK40" s="194" t="s">
        <v>88</v>
      </c>
      <c r="AQL40" s="194"/>
      <c r="AQM40" s="194"/>
      <c r="AQP40" s="193" t="s">
        <v>89</v>
      </c>
      <c r="AQQ40" s="193"/>
      <c r="AQR40" s="193"/>
      <c r="AQS40" s="193"/>
      <c r="AQT40" s="79"/>
      <c r="AQU40" s="79"/>
      <c r="AQV40" s="79"/>
      <c r="AQW40" s="194" t="s">
        <v>88</v>
      </c>
      <c r="AQX40" s="194"/>
      <c r="AQY40" s="194"/>
      <c r="ARB40" s="193" t="s">
        <v>89</v>
      </c>
      <c r="ARC40" s="193"/>
      <c r="ARD40" s="193"/>
      <c r="ARE40" s="193"/>
      <c r="ARF40" s="79"/>
      <c r="ARG40" s="79"/>
      <c r="ARH40" s="79"/>
      <c r="ARI40" s="194" t="s">
        <v>88</v>
      </c>
      <c r="ARJ40" s="194"/>
      <c r="ARK40" s="194"/>
      <c r="ARN40" s="193" t="s">
        <v>89</v>
      </c>
      <c r="ARO40" s="193"/>
      <c r="ARP40" s="193"/>
      <c r="ARQ40" s="193"/>
      <c r="ARR40" s="79"/>
      <c r="ARS40" s="79"/>
      <c r="ART40" s="79"/>
      <c r="ARU40" s="194" t="s">
        <v>88</v>
      </c>
      <c r="ARV40" s="194"/>
      <c r="ARW40" s="194"/>
      <c r="ARZ40" s="193" t="s">
        <v>89</v>
      </c>
      <c r="ASA40" s="193"/>
      <c r="ASB40" s="193"/>
      <c r="ASC40" s="193"/>
      <c r="ASD40" s="79"/>
      <c r="ASE40" s="79"/>
      <c r="ASF40" s="79"/>
      <c r="ASG40" s="194" t="s">
        <v>88</v>
      </c>
      <c r="ASH40" s="194"/>
      <c r="ASI40" s="194"/>
      <c r="ASL40" s="193" t="s">
        <v>89</v>
      </c>
      <c r="ASM40" s="193"/>
      <c r="ASN40" s="193"/>
      <c r="ASO40" s="193"/>
      <c r="ASP40" s="79"/>
      <c r="ASQ40" s="79"/>
      <c r="ASR40" s="79"/>
      <c r="ASS40" s="194" t="s">
        <v>88</v>
      </c>
      <c r="AST40" s="194"/>
      <c r="ASU40" s="194"/>
      <c r="ASX40" s="193" t="s">
        <v>89</v>
      </c>
      <c r="ASY40" s="193"/>
      <c r="ASZ40" s="193"/>
      <c r="ATA40" s="193"/>
      <c r="ATB40" s="79"/>
      <c r="ATC40" s="79"/>
      <c r="ATD40" s="79"/>
      <c r="ATE40" s="194" t="s">
        <v>88</v>
      </c>
      <c r="ATF40" s="194"/>
      <c r="ATG40" s="194"/>
      <c r="ATJ40" s="193" t="s">
        <v>89</v>
      </c>
      <c r="ATK40" s="193"/>
      <c r="ATL40" s="193"/>
      <c r="ATM40" s="193"/>
      <c r="ATN40" s="79"/>
      <c r="ATO40" s="79"/>
      <c r="ATP40" s="79"/>
      <c r="ATQ40" s="194" t="s">
        <v>88</v>
      </c>
      <c r="ATR40" s="194"/>
      <c r="ATS40" s="194"/>
      <c r="ATV40" s="193" t="s">
        <v>89</v>
      </c>
      <c r="ATW40" s="193"/>
      <c r="ATX40" s="193"/>
      <c r="ATY40" s="193"/>
      <c r="ATZ40" s="79"/>
      <c r="AUA40" s="79"/>
      <c r="AUB40" s="79"/>
      <c r="AUC40" s="194" t="s">
        <v>88</v>
      </c>
      <c r="AUD40" s="194"/>
      <c r="AUE40" s="194"/>
      <c r="AUH40" s="193" t="s">
        <v>89</v>
      </c>
      <c r="AUI40" s="193"/>
      <c r="AUJ40" s="193"/>
      <c r="AUK40" s="193"/>
      <c r="AUL40" s="79"/>
      <c r="AUM40" s="79"/>
      <c r="AUN40" s="79"/>
      <c r="AUO40" s="194" t="s">
        <v>88</v>
      </c>
      <c r="AUP40" s="194"/>
      <c r="AUQ40" s="194"/>
      <c r="AUT40" s="193" t="s">
        <v>89</v>
      </c>
      <c r="AUU40" s="193"/>
      <c r="AUV40" s="193"/>
      <c r="AUW40" s="193"/>
      <c r="AUX40" s="79"/>
      <c r="AUY40" s="79"/>
      <c r="AUZ40" s="79"/>
      <c r="AVA40" s="194" t="s">
        <v>88</v>
      </c>
      <c r="AVB40" s="194"/>
      <c r="AVC40" s="194"/>
      <c r="AVF40" s="193" t="s">
        <v>89</v>
      </c>
      <c r="AVG40" s="193"/>
      <c r="AVH40" s="193"/>
      <c r="AVI40" s="193"/>
      <c r="AVJ40" s="79"/>
      <c r="AVK40" s="79"/>
      <c r="AVL40" s="79"/>
      <c r="AVM40" s="194" t="s">
        <v>88</v>
      </c>
      <c r="AVN40" s="194"/>
      <c r="AVO40" s="194"/>
      <c r="AVR40" s="193" t="s">
        <v>90</v>
      </c>
      <c r="AVS40" s="193"/>
      <c r="AVT40" s="193"/>
      <c r="AVU40" s="193"/>
      <c r="AVV40" s="79"/>
      <c r="AVW40" s="79"/>
      <c r="AVX40" s="79"/>
      <c r="AVY40" s="194" t="s">
        <v>88</v>
      </c>
      <c r="AVZ40" s="194"/>
      <c r="AWA40" s="194"/>
      <c r="AWD40" s="193" t="s">
        <v>90</v>
      </c>
      <c r="AWE40" s="193"/>
      <c r="AWF40" s="193"/>
      <c r="AWG40" s="193"/>
      <c r="AWH40" s="79"/>
      <c r="AWI40" s="79"/>
      <c r="AWJ40" s="79"/>
      <c r="AWK40" s="194" t="s">
        <v>88</v>
      </c>
      <c r="AWL40" s="194"/>
      <c r="AWM40" s="194"/>
      <c r="AWP40" s="193" t="s">
        <v>90</v>
      </c>
      <c r="AWQ40" s="193"/>
      <c r="AWR40" s="193"/>
      <c r="AWS40" s="193"/>
      <c r="AWT40" s="79"/>
      <c r="AWU40" s="79"/>
      <c r="AWV40" s="79"/>
      <c r="AWW40" s="194" t="s">
        <v>88</v>
      </c>
      <c r="AWX40" s="194"/>
      <c r="AWY40" s="194"/>
      <c r="AXB40" s="193" t="s">
        <v>90</v>
      </c>
      <c r="AXC40" s="193"/>
      <c r="AXD40" s="193"/>
      <c r="AXE40" s="193"/>
      <c r="AXF40" s="79"/>
      <c r="AXG40" s="79"/>
      <c r="AXH40" s="79"/>
      <c r="AXI40" s="194" t="s">
        <v>88</v>
      </c>
      <c r="AXJ40" s="194"/>
      <c r="AXK40" s="194"/>
      <c r="AXN40" s="193" t="s">
        <v>90</v>
      </c>
      <c r="AXO40" s="193"/>
      <c r="AXP40" s="193"/>
      <c r="AXQ40" s="193"/>
      <c r="AXR40" s="79"/>
      <c r="AXS40" s="79"/>
      <c r="AXT40" s="79"/>
      <c r="AXU40" s="194" t="s">
        <v>88</v>
      </c>
      <c r="AXV40" s="194"/>
      <c r="AXW40" s="194"/>
      <c r="AXZ40" s="193" t="s">
        <v>90</v>
      </c>
      <c r="AYA40" s="193"/>
      <c r="AYB40" s="193"/>
      <c r="AYC40" s="193"/>
      <c r="AYD40" s="79"/>
      <c r="AYE40" s="79"/>
      <c r="AYF40" s="79"/>
      <c r="AYG40" s="194" t="s">
        <v>88</v>
      </c>
      <c r="AYH40" s="194"/>
      <c r="AYI40" s="194"/>
      <c r="AYL40" s="193" t="s">
        <v>90</v>
      </c>
      <c r="AYM40" s="193"/>
      <c r="AYN40" s="193"/>
      <c r="AYO40" s="193"/>
      <c r="AYP40" s="79"/>
      <c r="AYQ40" s="79"/>
      <c r="AYR40" s="79"/>
      <c r="AYS40" s="194" t="s">
        <v>88</v>
      </c>
      <c r="AYT40" s="194"/>
      <c r="AYU40" s="194"/>
      <c r="AYX40" s="193" t="s">
        <v>90</v>
      </c>
      <c r="AYY40" s="193"/>
      <c r="AYZ40" s="193"/>
      <c r="AZA40" s="193"/>
      <c r="AZB40" s="79"/>
      <c r="AZC40" s="79"/>
      <c r="AZD40" s="79"/>
      <c r="AZE40" s="194" t="s">
        <v>88</v>
      </c>
      <c r="AZF40" s="194"/>
      <c r="AZG40" s="194"/>
      <c r="AZJ40" s="193" t="s">
        <v>90</v>
      </c>
      <c r="AZK40" s="193"/>
      <c r="AZL40" s="193"/>
      <c r="AZM40" s="193"/>
      <c r="AZN40" s="79"/>
      <c r="AZO40" s="79"/>
      <c r="AZP40" s="79"/>
      <c r="AZQ40" s="194" t="s">
        <v>88</v>
      </c>
      <c r="AZR40" s="194"/>
      <c r="AZS40" s="194"/>
      <c r="AZV40" s="193" t="s">
        <v>90</v>
      </c>
      <c r="AZW40" s="193"/>
      <c r="AZX40" s="193"/>
      <c r="AZY40" s="193"/>
      <c r="AZZ40" s="79"/>
      <c r="BAA40" s="79"/>
      <c r="BAB40" s="79"/>
      <c r="BAC40" s="194" t="s">
        <v>88</v>
      </c>
      <c r="BAD40" s="194"/>
      <c r="BAE40" s="194"/>
      <c r="BAH40" s="193" t="s">
        <v>90</v>
      </c>
      <c r="BAI40" s="193"/>
      <c r="BAJ40" s="193"/>
      <c r="BAK40" s="193"/>
      <c r="BAL40" s="79"/>
      <c r="BAM40" s="79"/>
      <c r="BAN40" s="79"/>
      <c r="BAO40" s="194" t="s">
        <v>88</v>
      </c>
      <c r="BAP40" s="194"/>
      <c r="BAQ40" s="194"/>
      <c r="BAT40" s="193" t="s">
        <v>90</v>
      </c>
      <c r="BAU40" s="193"/>
      <c r="BAV40" s="193"/>
      <c r="BAW40" s="193"/>
      <c r="BAX40" s="79"/>
      <c r="BAY40" s="79"/>
      <c r="BAZ40" s="79"/>
      <c r="BBA40" s="194" t="s">
        <v>88</v>
      </c>
      <c r="BBB40" s="194"/>
      <c r="BBC40" s="194"/>
      <c r="BBF40" s="193" t="s">
        <v>90</v>
      </c>
      <c r="BBG40" s="193"/>
      <c r="BBH40" s="193"/>
      <c r="BBI40" s="193"/>
      <c r="BBJ40" s="79"/>
      <c r="BBK40" s="79"/>
      <c r="BBL40" s="79"/>
      <c r="BBM40" s="194" t="s">
        <v>88</v>
      </c>
      <c r="BBN40" s="194"/>
      <c r="BBO40" s="194"/>
      <c r="BBR40" s="193" t="s">
        <v>90</v>
      </c>
      <c r="BBS40" s="193"/>
      <c r="BBT40" s="193"/>
      <c r="BBU40" s="193"/>
      <c r="BBV40" s="79"/>
      <c r="BBW40" s="79"/>
      <c r="BBX40" s="79"/>
      <c r="BBY40" s="194" t="s">
        <v>88</v>
      </c>
      <c r="BBZ40" s="194"/>
      <c r="BCA40" s="194"/>
      <c r="BCD40" s="193" t="s">
        <v>90</v>
      </c>
      <c r="BCE40" s="193"/>
      <c r="BCF40" s="193"/>
      <c r="BCG40" s="193"/>
      <c r="BCH40" s="79"/>
      <c r="BCI40" s="79"/>
      <c r="BCJ40" s="79"/>
      <c r="BCK40" s="194" t="s">
        <v>88</v>
      </c>
      <c r="BCL40" s="194"/>
      <c r="BCM40" s="194"/>
      <c r="BCP40" s="193" t="s">
        <v>90</v>
      </c>
      <c r="BCQ40" s="193"/>
      <c r="BCR40" s="193"/>
      <c r="BCS40" s="193"/>
      <c r="BCT40" s="79"/>
      <c r="BCU40" s="79"/>
      <c r="BCV40" s="79"/>
      <c r="BCW40" s="194" t="s">
        <v>88</v>
      </c>
      <c r="BCX40" s="194"/>
      <c r="BCY40" s="194"/>
      <c r="BDB40" s="193" t="s">
        <v>90</v>
      </c>
      <c r="BDC40" s="193"/>
      <c r="BDD40" s="193"/>
      <c r="BDE40" s="193"/>
      <c r="BDF40" s="79"/>
      <c r="BDG40" s="79"/>
      <c r="BDH40" s="79"/>
      <c r="BDI40" s="194" t="s">
        <v>88</v>
      </c>
      <c r="BDJ40" s="194"/>
      <c r="BDK40" s="194"/>
      <c r="BDN40" s="193" t="s">
        <v>87</v>
      </c>
      <c r="BDO40" s="193"/>
      <c r="BDP40" s="193"/>
      <c r="BDQ40" s="193"/>
      <c r="BDR40" s="79"/>
      <c r="BDS40" s="79"/>
      <c r="BDT40" s="79"/>
      <c r="BDU40" s="194" t="s">
        <v>88</v>
      </c>
      <c r="BDV40" s="194"/>
      <c r="BDW40" s="194"/>
      <c r="BDZ40" s="193" t="s">
        <v>87</v>
      </c>
      <c r="BEA40" s="193"/>
      <c r="BEB40" s="193"/>
      <c r="BEC40" s="193"/>
      <c r="BED40" s="79"/>
      <c r="BEE40" s="79"/>
      <c r="BEF40" s="79"/>
      <c r="BEG40" s="194" t="s">
        <v>88</v>
      </c>
      <c r="BEH40" s="194"/>
      <c r="BEI40" s="194"/>
      <c r="BEL40" s="193" t="s">
        <v>87</v>
      </c>
      <c r="BEM40" s="193"/>
      <c r="BEN40" s="193"/>
      <c r="BEO40" s="193"/>
      <c r="BEP40" s="79"/>
      <c r="BEQ40" s="79"/>
      <c r="BER40" s="79"/>
      <c r="BES40" s="194" t="s">
        <v>88</v>
      </c>
      <c r="BET40" s="194"/>
      <c r="BEU40" s="194"/>
      <c r="BEX40" s="193" t="s">
        <v>87</v>
      </c>
      <c r="BEY40" s="193"/>
      <c r="BEZ40" s="193"/>
      <c r="BFA40" s="193"/>
      <c r="BFB40" s="79"/>
      <c r="BFC40" s="79"/>
      <c r="BFD40" s="79"/>
      <c r="BFE40" s="194" t="s">
        <v>88</v>
      </c>
      <c r="BFF40" s="194"/>
      <c r="BFG40" s="194"/>
      <c r="BFJ40" s="193" t="s">
        <v>87</v>
      </c>
      <c r="BFK40" s="193"/>
      <c r="BFL40" s="193"/>
      <c r="BFM40" s="193"/>
      <c r="BFN40" s="79"/>
      <c r="BFO40" s="79"/>
      <c r="BFP40" s="79"/>
      <c r="BFQ40" s="194" t="s">
        <v>88</v>
      </c>
      <c r="BFR40" s="194"/>
      <c r="BFS40" s="194"/>
      <c r="BFV40" s="193" t="s">
        <v>87</v>
      </c>
      <c r="BFW40" s="193"/>
      <c r="BFX40" s="193"/>
      <c r="BFY40" s="193"/>
      <c r="BFZ40" s="79"/>
      <c r="BGA40" s="79"/>
      <c r="BGB40" s="79"/>
      <c r="BGC40" s="194" t="s">
        <v>88</v>
      </c>
      <c r="BGD40" s="194"/>
      <c r="BGE40" s="194"/>
      <c r="BGH40" s="193" t="s">
        <v>87</v>
      </c>
      <c r="BGI40" s="193"/>
      <c r="BGJ40" s="193"/>
      <c r="BGK40" s="193"/>
      <c r="BGL40" s="79"/>
      <c r="BGM40" s="79"/>
      <c r="BGN40" s="79"/>
      <c r="BGO40" s="194" t="s">
        <v>88</v>
      </c>
      <c r="BGP40" s="194"/>
      <c r="BGQ40" s="194"/>
      <c r="BGT40" s="193" t="s">
        <v>87</v>
      </c>
      <c r="BGU40" s="193"/>
      <c r="BGV40" s="193"/>
      <c r="BGW40" s="193"/>
      <c r="BGX40" s="79"/>
      <c r="BGY40" s="79"/>
      <c r="BGZ40" s="79"/>
      <c r="BHA40" s="194" t="s">
        <v>88</v>
      </c>
      <c r="BHB40" s="194"/>
      <c r="BHC40" s="194"/>
      <c r="BHF40" s="193" t="s">
        <v>87</v>
      </c>
      <c r="BHG40" s="193"/>
      <c r="BHH40" s="193"/>
      <c r="BHI40" s="193"/>
      <c r="BHJ40" s="79"/>
      <c r="BHK40" s="79"/>
      <c r="BHL40" s="79"/>
      <c r="BHM40" s="194" t="s">
        <v>88</v>
      </c>
      <c r="BHN40" s="194"/>
      <c r="BHO40" s="194"/>
      <c r="BHR40" s="193" t="s">
        <v>87</v>
      </c>
      <c r="BHS40" s="193"/>
      <c r="BHT40" s="193"/>
      <c r="BHU40" s="193"/>
      <c r="BHV40" s="79"/>
      <c r="BHW40" s="79"/>
      <c r="BHX40" s="79"/>
      <c r="BHY40" s="194" t="s">
        <v>88</v>
      </c>
      <c r="BHZ40" s="194"/>
      <c r="BIA40" s="194"/>
      <c r="BID40" s="193" t="s">
        <v>87</v>
      </c>
      <c r="BIE40" s="193"/>
      <c r="BIF40" s="193"/>
      <c r="BIG40" s="193"/>
      <c r="BIH40" s="79"/>
      <c r="BII40" s="79"/>
      <c r="BIJ40" s="79"/>
      <c r="BIK40" s="194" t="s">
        <v>88</v>
      </c>
      <c r="BIL40" s="194"/>
      <c r="BIM40" s="194"/>
      <c r="BIP40" s="193" t="s">
        <v>87</v>
      </c>
      <c r="BIQ40" s="193"/>
      <c r="BIR40" s="193"/>
      <c r="BIS40" s="193"/>
      <c r="BIT40" s="79"/>
      <c r="BIU40" s="79"/>
      <c r="BIV40" s="79"/>
      <c r="BIW40" s="194" t="s">
        <v>88</v>
      </c>
      <c r="BIX40" s="194"/>
      <c r="BIY40" s="194"/>
      <c r="BJB40" s="193" t="s">
        <v>87</v>
      </c>
      <c r="BJC40" s="193"/>
      <c r="BJD40" s="193"/>
      <c r="BJE40" s="193"/>
      <c r="BJF40" s="79"/>
      <c r="BJG40" s="79"/>
      <c r="BJH40" s="79"/>
      <c r="BJI40" s="194" t="s">
        <v>88</v>
      </c>
      <c r="BJJ40" s="194"/>
      <c r="BJK40" s="194"/>
      <c r="BJN40" s="193" t="s">
        <v>87</v>
      </c>
      <c r="BJO40" s="193"/>
      <c r="BJP40" s="193"/>
      <c r="BJQ40" s="193"/>
      <c r="BJR40" s="79"/>
      <c r="BJS40" s="79"/>
      <c r="BJT40" s="79"/>
      <c r="BJU40" s="194" t="s">
        <v>88</v>
      </c>
      <c r="BJV40" s="194"/>
      <c r="BJW40" s="194"/>
      <c r="BJZ40" s="193" t="s">
        <v>87</v>
      </c>
      <c r="BKA40" s="193"/>
      <c r="BKB40" s="193"/>
      <c r="BKC40" s="193"/>
      <c r="BKD40" s="79"/>
      <c r="BKE40" s="79"/>
      <c r="BKF40" s="79"/>
      <c r="BKG40" s="194" t="s">
        <v>88</v>
      </c>
      <c r="BKH40" s="194"/>
      <c r="BKI40" s="194"/>
      <c r="BKL40" s="193" t="s">
        <v>87</v>
      </c>
      <c r="BKM40" s="193"/>
      <c r="BKN40" s="193"/>
      <c r="BKO40" s="193"/>
      <c r="BKP40" s="79"/>
      <c r="BKQ40" s="79"/>
      <c r="BKR40" s="79"/>
      <c r="BKS40" s="194" t="s">
        <v>88</v>
      </c>
      <c r="BKT40" s="194"/>
      <c r="BKU40" s="194"/>
      <c r="BKX40" s="193" t="s">
        <v>87</v>
      </c>
      <c r="BKY40" s="193"/>
      <c r="BKZ40" s="193"/>
      <c r="BLA40" s="193"/>
      <c r="BLB40" s="79"/>
      <c r="BLC40" s="79"/>
      <c r="BLD40" s="79"/>
      <c r="BLE40" s="194" t="s">
        <v>88</v>
      </c>
      <c r="BLF40" s="194"/>
      <c r="BLG40" s="194"/>
      <c r="BLJ40" s="193" t="s">
        <v>87</v>
      </c>
      <c r="BLK40" s="193"/>
      <c r="BLL40" s="193"/>
      <c r="BLM40" s="193"/>
      <c r="BLN40" s="79"/>
      <c r="BLO40" s="79"/>
      <c r="BLP40" s="79"/>
      <c r="BLQ40" s="194" t="s">
        <v>88</v>
      </c>
      <c r="BLR40" s="194"/>
      <c r="BLS40" s="194"/>
      <c r="BLV40" s="193" t="s">
        <v>87</v>
      </c>
      <c r="BLW40" s="193"/>
      <c r="BLX40" s="193"/>
      <c r="BLY40" s="193"/>
      <c r="BLZ40" s="79"/>
      <c r="BMA40" s="79"/>
      <c r="BMB40" s="79"/>
      <c r="BMC40" s="194" t="s">
        <v>88</v>
      </c>
      <c r="BMD40" s="194"/>
      <c r="BME40" s="194"/>
      <c r="BMH40" s="193" t="s">
        <v>87</v>
      </c>
      <c r="BMI40" s="193"/>
      <c r="BMJ40" s="193"/>
      <c r="BMK40" s="193"/>
      <c r="BML40" s="79"/>
      <c r="BMM40" s="79"/>
      <c r="BMN40" s="79"/>
      <c r="BMO40" s="194" t="s">
        <v>88</v>
      </c>
      <c r="BMP40" s="194"/>
      <c r="BMQ40" s="194"/>
      <c r="BMT40" s="193" t="s">
        <v>87</v>
      </c>
      <c r="BMU40" s="193"/>
      <c r="BMV40" s="193"/>
      <c r="BMW40" s="193"/>
      <c r="BMX40" s="79"/>
      <c r="BMY40" s="79"/>
      <c r="BMZ40" s="79"/>
      <c r="BNA40" s="194" t="s">
        <v>88</v>
      </c>
      <c r="BNB40" s="194"/>
      <c r="BNC40" s="194"/>
      <c r="BNF40" s="193" t="s">
        <v>87</v>
      </c>
      <c r="BNG40" s="193"/>
      <c r="BNH40" s="193"/>
      <c r="BNI40" s="193"/>
      <c r="BNJ40" s="79"/>
      <c r="BNK40" s="79"/>
      <c r="BNL40" s="79"/>
      <c r="BNM40" s="194" t="s">
        <v>88</v>
      </c>
      <c r="BNN40" s="194"/>
      <c r="BNO40" s="194"/>
      <c r="BNR40" s="193" t="s">
        <v>87</v>
      </c>
      <c r="BNS40" s="193"/>
      <c r="BNT40" s="193"/>
      <c r="BNU40" s="193"/>
      <c r="BNV40" s="79"/>
      <c r="BNW40" s="79"/>
      <c r="BNX40" s="79"/>
      <c r="BNY40" s="194" t="s">
        <v>88</v>
      </c>
      <c r="BNZ40" s="194"/>
      <c r="BOA40" s="194"/>
      <c r="BOD40" s="193" t="s">
        <v>87</v>
      </c>
      <c r="BOE40" s="193"/>
      <c r="BOF40" s="193"/>
      <c r="BOG40" s="193"/>
      <c r="BOH40" s="79"/>
      <c r="BOI40" s="79"/>
      <c r="BOJ40" s="79"/>
      <c r="BOK40" s="194" t="s">
        <v>88</v>
      </c>
      <c r="BOL40" s="194"/>
      <c r="BOM40" s="194"/>
      <c r="BOP40" s="193" t="s">
        <v>87</v>
      </c>
      <c r="BOQ40" s="193"/>
      <c r="BOR40" s="193"/>
      <c r="BOS40" s="193"/>
      <c r="BOT40" s="79"/>
      <c r="BOU40" s="79"/>
      <c r="BOV40" s="79"/>
      <c r="BOW40" s="194" t="s">
        <v>88</v>
      </c>
      <c r="BOX40" s="194"/>
      <c r="BOY40" s="194"/>
      <c r="BPB40" s="193" t="s">
        <v>87</v>
      </c>
      <c r="BPC40" s="193"/>
      <c r="BPD40" s="193"/>
      <c r="BPE40" s="193"/>
      <c r="BPF40" s="79"/>
      <c r="BPG40" s="79"/>
      <c r="BPH40" s="79"/>
      <c r="BPI40" s="194" t="s">
        <v>88</v>
      </c>
      <c r="BPJ40" s="194"/>
      <c r="BPK40" s="194"/>
      <c r="BPN40" s="193" t="s">
        <v>87</v>
      </c>
      <c r="BPO40" s="193"/>
      <c r="BPP40" s="193"/>
      <c r="BPQ40" s="193"/>
      <c r="BPR40" s="79"/>
      <c r="BPS40" s="79"/>
      <c r="BPT40" s="79"/>
      <c r="BPU40" s="194" t="s">
        <v>88</v>
      </c>
      <c r="BPV40" s="194"/>
      <c r="BPW40" s="194"/>
      <c r="BPZ40" s="193" t="s">
        <v>87</v>
      </c>
      <c r="BQA40" s="193"/>
      <c r="BQB40" s="193"/>
      <c r="BQC40" s="193"/>
      <c r="BQD40" s="79"/>
      <c r="BQE40" s="79"/>
      <c r="BQF40" s="79"/>
      <c r="BQG40" s="194" t="s">
        <v>88</v>
      </c>
      <c r="BQH40" s="194"/>
      <c r="BQI40" s="194"/>
      <c r="BQL40" s="193" t="s">
        <v>87</v>
      </c>
      <c r="BQM40" s="193"/>
      <c r="BQN40" s="193"/>
      <c r="BQO40" s="193"/>
      <c r="BQP40" s="79"/>
      <c r="BQQ40" s="79"/>
      <c r="BQR40" s="79"/>
      <c r="BQS40" s="194" t="s">
        <v>88</v>
      </c>
      <c r="BQT40" s="194"/>
      <c r="BQU40" s="194"/>
      <c r="BQX40" s="193" t="s">
        <v>87</v>
      </c>
      <c r="BQY40" s="193"/>
      <c r="BQZ40" s="193"/>
      <c r="BRA40" s="193"/>
      <c r="BRB40" s="79"/>
      <c r="BRC40" s="79"/>
      <c r="BRD40" s="79"/>
      <c r="BRE40" s="194" t="s">
        <v>88</v>
      </c>
      <c r="BRF40" s="194"/>
      <c r="BRG40" s="194"/>
      <c r="BRJ40" s="193" t="s">
        <v>87</v>
      </c>
      <c r="BRK40" s="193"/>
      <c r="BRL40" s="193"/>
      <c r="BRM40" s="193"/>
      <c r="BRN40" s="79"/>
      <c r="BRO40" s="79"/>
      <c r="BRP40" s="79"/>
      <c r="BRQ40" s="194" t="s">
        <v>88</v>
      </c>
      <c r="BRR40" s="194"/>
      <c r="BRS40" s="194"/>
      <c r="BRV40" s="193" t="s">
        <v>87</v>
      </c>
      <c r="BRW40" s="193"/>
      <c r="BRX40" s="193"/>
      <c r="BRY40" s="193"/>
      <c r="BRZ40" s="79"/>
      <c r="BSA40" s="79"/>
      <c r="BSB40" s="79"/>
      <c r="BSC40" s="194" t="s">
        <v>88</v>
      </c>
      <c r="BSD40" s="194"/>
      <c r="BSE40" s="194"/>
      <c r="BSH40" s="193" t="s">
        <v>87</v>
      </c>
      <c r="BSI40" s="193"/>
      <c r="BSJ40" s="193"/>
      <c r="BSK40" s="193"/>
      <c r="BSL40" s="79"/>
      <c r="BSM40" s="79"/>
      <c r="BSN40" s="79"/>
      <c r="BSO40" s="194" t="s">
        <v>88</v>
      </c>
      <c r="BSP40" s="194"/>
      <c r="BSQ40" s="194"/>
      <c r="BST40" s="193" t="s">
        <v>87</v>
      </c>
      <c r="BSU40" s="193"/>
      <c r="BSV40" s="193"/>
      <c r="BSW40" s="193"/>
      <c r="BSX40" s="79"/>
      <c r="BSY40" s="79"/>
      <c r="BSZ40" s="79"/>
      <c r="BTA40" s="194" t="s">
        <v>88</v>
      </c>
      <c r="BTB40" s="194"/>
      <c r="BTC40" s="194"/>
      <c r="BTF40" s="193" t="s">
        <v>87</v>
      </c>
      <c r="BTG40" s="193"/>
      <c r="BTH40" s="193"/>
      <c r="BTI40" s="193"/>
      <c r="BTJ40" s="79"/>
      <c r="BTK40" s="79"/>
      <c r="BTL40" s="79"/>
      <c r="BTM40" s="194" t="s">
        <v>88</v>
      </c>
      <c r="BTN40" s="194"/>
      <c r="BTO40" s="194"/>
      <c r="BTR40" s="193" t="s">
        <v>87</v>
      </c>
      <c r="BTS40" s="193"/>
      <c r="BTT40" s="193"/>
      <c r="BTU40" s="193"/>
      <c r="BTV40" s="79"/>
      <c r="BTW40" s="79"/>
      <c r="BTX40" s="79"/>
      <c r="BTY40" s="194" t="s">
        <v>88</v>
      </c>
      <c r="BTZ40" s="194"/>
      <c r="BUA40" s="194"/>
      <c r="BUD40" s="193" t="s">
        <v>87</v>
      </c>
      <c r="BUE40" s="193"/>
      <c r="BUF40" s="193"/>
      <c r="BUG40" s="193"/>
      <c r="BUH40" s="79"/>
      <c r="BUI40" s="79"/>
      <c r="BUJ40" s="79"/>
      <c r="BUK40" s="194" t="s">
        <v>88</v>
      </c>
      <c r="BUL40" s="194"/>
      <c r="BUM40" s="194"/>
      <c r="BUP40" s="193" t="s">
        <v>87</v>
      </c>
      <c r="BUQ40" s="193"/>
      <c r="BUR40" s="193"/>
      <c r="BUS40" s="193"/>
      <c r="BUT40" s="79"/>
      <c r="BUU40" s="79"/>
      <c r="BUV40" s="79"/>
      <c r="BUW40" s="194" t="s">
        <v>88</v>
      </c>
      <c r="BUX40" s="194"/>
      <c r="BUY40" s="194"/>
      <c r="BVB40" s="193" t="s">
        <v>87</v>
      </c>
      <c r="BVC40" s="193"/>
      <c r="BVD40" s="193"/>
      <c r="BVE40" s="193"/>
      <c r="BVF40" s="79"/>
      <c r="BVG40" s="79"/>
      <c r="BVH40" s="79"/>
      <c r="BVI40" s="194" t="s">
        <v>88</v>
      </c>
      <c r="BVJ40" s="194"/>
      <c r="BVK40" s="194"/>
      <c r="BVN40" s="193" t="s">
        <v>87</v>
      </c>
      <c r="BVO40" s="193"/>
      <c r="BVP40" s="193"/>
      <c r="BVQ40" s="193"/>
      <c r="BVR40" s="79"/>
      <c r="BVS40" s="79"/>
      <c r="BVT40" s="79"/>
      <c r="BVU40" s="194" t="s">
        <v>88</v>
      </c>
      <c r="BVV40" s="194"/>
      <c r="BVW40" s="194"/>
      <c r="BVZ40" s="193" t="s">
        <v>87</v>
      </c>
      <c r="BWA40" s="193"/>
      <c r="BWB40" s="193"/>
      <c r="BWC40" s="193"/>
      <c r="BWD40" s="79"/>
      <c r="BWE40" s="79"/>
      <c r="BWF40" s="79"/>
      <c r="BWG40" s="194" t="s">
        <v>88</v>
      </c>
      <c r="BWH40" s="194"/>
      <c r="BWI40" s="194"/>
      <c r="BWL40" s="193" t="s">
        <v>87</v>
      </c>
      <c r="BWM40" s="193"/>
      <c r="BWN40" s="193"/>
      <c r="BWO40" s="193"/>
      <c r="BWP40" s="79"/>
      <c r="BWQ40" s="79"/>
      <c r="BWR40" s="79"/>
      <c r="BWS40" s="194" t="s">
        <v>88</v>
      </c>
      <c r="BWT40" s="194"/>
      <c r="BWU40" s="194"/>
      <c r="BWX40" s="193" t="s">
        <v>87</v>
      </c>
      <c r="BWY40" s="193"/>
      <c r="BWZ40" s="193"/>
      <c r="BXA40" s="193"/>
      <c r="BXB40" s="79"/>
      <c r="BXC40" s="79"/>
      <c r="BXD40" s="79"/>
      <c r="BXE40" s="194" t="s">
        <v>88</v>
      </c>
      <c r="BXF40" s="194"/>
      <c r="BXG40" s="194"/>
      <c r="BXJ40" s="193" t="s">
        <v>87</v>
      </c>
      <c r="BXK40" s="193"/>
      <c r="BXL40" s="193"/>
      <c r="BXM40" s="193"/>
      <c r="BXN40" s="79"/>
      <c r="BXO40" s="79"/>
      <c r="BXP40" s="79"/>
      <c r="BXQ40" s="194" t="s">
        <v>88</v>
      </c>
      <c r="BXR40" s="194"/>
      <c r="BXS40" s="194"/>
      <c r="BXV40" s="193" t="s">
        <v>87</v>
      </c>
      <c r="BXW40" s="193"/>
      <c r="BXX40" s="193"/>
      <c r="BXY40" s="193"/>
      <c r="BXZ40" s="79"/>
      <c r="BYA40" s="79"/>
      <c r="BYB40" s="79"/>
      <c r="BYC40" s="194" t="s">
        <v>88</v>
      </c>
      <c r="BYD40" s="194"/>
      <c r="BYE40" s="194"/>
      <c r="BYH40" s="193" t="s">
        <v>87</v>
      </c>
      <c r="BYI40" s="193"/>
      <c r="BYJ40" s="193"/>
      <c r="BYK40" s="193"/>
      <c r="BYL40" s="79"/>
      <c r="BYM40" s="79"/>
      <c r="BYN40" s="79"/>
      <c r="BYO40" s="194" t="s">
        <v>88</v>
      </c>
      <c r="BYP40" s="194"/>
      <c r="BYQ40" s="194"/>
      <c r="BYT40" s="193"/>
      <c r="BYU40" s="193"/>
      <c r="BYV40" s="193"/>
      <c r="BYW40" s="193"/>
      <c r="BYX40" s="79"/>
      <c r="BYY40" s="79"/>
      <c r="BYZ40" s="79"/>
      <c r="BZA40" s="194" t="s">
        <v>88</v>
      </c>
      <c r="BZB40" s="194"/>
      <c r="BZC40" s="194"/>
      <c r="BZF40" s="193"/>
      <c r="BZG40" s="193"/>
      <c r="BZH40" s="193"/>
      <c r="BZI40" s="193"/>
      <c r="BZJ40" s="79"/>
      <c r="BZK40" s="79"/>
      <c r="BZL40" s="79"/>
      <c r="BZM40" s="194" t="s">
        <v>88</v>
      </c>
      <c r="BZN40" s="194"/>
      <c r="BZO40" s="194"/>
      <c r="BZR40" s="193"/>
      <c r="BZS40" s="193"/>
      <c r="BZT40" s="193"/>
      <c r="BZU40" s="193"/>
      <c r="BZV40" s="79"/>
      <c r="BZW40" s="79"/>
      <c r="BZX40" s="79"/>
      <c r="BZY40" s="194" t="s">
        <v>88</v>
      </c>
      <c r="BZZ40" s="194"/>
      <c r="CAA40" s="194"/>
      <c r="CAD40" s="193"/>
      <c r="CAE40" s="193"/>
      <c r="CAF40" s="193"/>
      <c r="CAG40" s="193"/>
      <c r="CAH40" s="79"/>
      <c r="CAI40" s="79"/>
      <c r="CAJ40" s="79"/>
      <c r="CAK40" s="194" t="s">
        <v>88</v>
      </c>
      <c r="CAL40" s="194"/>
      <c r="CAM40" s="194"/>
      <c r="CAP40" s="193"/>
      <c r="CAQ40" s="193"/>
      <c r="CAR40" s="193"/>
      <c r="CAS40" s="193"/>
      <c r="CAT40" s="79"/>
      <c r="CAU40" s="79"/>
      <c r="CAV40" s="79"/>
      <c r="CAW40" s="194" t="s">
        <v>88</v>
      </c>
      <c r="CAX40" s="194"/>
      <c r="CAY40" s="194"/>
      <c r="CBB40" s="193"/>
      <c r="CBC40" s="193"/>
      <c r="CBD40" s="193"/>
      <c r="CBE40" s="193"/>
      <c r="CBF40" s="79"/>
      <c r="CBG40" s="79"/>
      <c r="CBH40" s="79"/>
      <c r="CBI40" s="194" t="s">
        <v>88</v>
      </c>
      <c r="CBJ40" s="194"/>
      <c r="CBK40" s="194"/>
      <c r="CBN40" s="193"/>
      <c r="CBO40" s="193"/>
      <c r="CBP40" s="193"/>
      <c r="CBQ40" s="193"/>
      <c r="CBR40" s="79"/>
      <c r="CBS40" s="79"/>
      <c r="CBT40" s="79"/>
      <c r="CBU40" s="194" t="s">
        <v>88</v>
      </c>
      <c r="CBV40" s="194"/>
      <c r="CBW40" s="194"/>
      <c r="CBZ40" s="193"/>
      <c r="CCA40" s="193"/>
      <c r="CCB40" s="193"/>
      <c r="CCC40" s="193"/>
      <c r="CCD40" s="79"/>
      <c r="CCE40" s="79"/>
      <c r="CCF40" s="79"/>
      <c r="CCG40" s="194" t="s">
        <v>88</v>
      </c>
      <c r="CCH40" s="194"/>
      <c r="CCI40" s="194"/>
      <c r="CCL40" s="193"/>
      <c r="CCM40" s="193"/>
      <c r="CCN40" s="193"/>
      <c r="CCO40" s="193"/>
      <c r="CCP40" s="79"/>
      <c r="CCQ40" s="79"/>
      <c r="CCR40" s="79"/>
      <c r="CCS40" s="194" t="s">
        <v>88</v>
      </c>
      <c r="CCT40" s="194"/>
      <c r="CCU40" s="194"/>
      <c r="CCX40" s="193"/>
      <c r="CCY40" s="193"/>
      <c r="CCZ40" s="193"/>
      <c r="CDA40" s="193"/>
      <c r="CDB40" s="79"/>
      <c r="CDC40" s="79"/>
      <c r="CDD40" s="79"/>
      <c r="CDE40" s="194" t="s">
        <v>88</v>
      </c>
      <c r="CDF40" s="194"/>
      <c r="CDG40" s="194"/>
      <c r="CDJ40" s="193"/>
      <c r="CDK40" s="193"/>
      <c r="CDL40" s="193"/>
      <c r="CDM40" s="193"/>
      <c r="CDN40" s="79"/>
      <c r="CDO40" s="79"/>
      <c r="CDP40" s="79"/>
      <c r="CDQ40" s="194" t="s">
        <v>88</v>
      </c>
      <c r="CDR40" s="194"/>
      <c r="CDS40" s="194"/>
      <c r="CDV40" s="193"/>
      <c r="CDW40" s="193"/>
      <c r="CDX40" s="193"/>
      <c r="CDY40" s="193"/>
      <c r="CDZ40" s="79"/>
      <c r="CEA40" s="79"/>
      <c r="CEB40" s="79"/>
      <c r="CEC40" s="194" t="s">
        <v>88</v>
      </c>
      <c r="CED40" s="194"/>
      <c r="CEE40" s="194"/>
      <c r="CEH40" s="193"/>
      <c r="CEI40" s="193"/>
      <c r="CEJ40" s="193"/>
      <c r="CEK40" s="193"/>
      <c r="CEL40" s="79"/>
      <c r="CEM40" s="79"/>
      <c r="CEN40" s="79"/>
      <c r="CEO40" s="194" t="s">
        <v>88</v>
      </c>
      <c r="CEP40" s="194"/>
      <c r="CEQ40" s="194"/>
      <c r="CET40" s="193"/>
      <c r="CEU40" s="193"/>
      <c r="CEV40" s="193"/>
      <c r="CEW40" s="193"/>
      <c r="CEX40" s="79"/>
      <c r="CEY40" s="79"/>
      <c r="CEZ40" s="79"/>
      <c r="CFA40" s="194" t="s">
        <v>88</v>
      </c>
      <c r="CFB40" s="194"/>
      <c r="CFC40" s="194"/>
      <c r="CFF40" s="193"/>
      <c r="CFG40" s="193"/>
      <c r="CFH40" s="193"/>
      <c r="CFI40" s="193"/>
      <c r="CFJ40" s="79"/>
      <c r="CFK40" s="79"/>
      <c r="CFL40" s="79"/>
      <c r="CFM40" s="194" t="s">
        <v>88</v>
      </c>
      <c r="CFN40" s="194"/>
      <c r="CFO40" s="194"/>
      <c r="CFR40" s="193"/>
      <c r="CFS40" s="193"/>
      <c r="CFT40" s="193"/>
      <c r="CFU40" s="193"/>
      <c r="CFV40" s="79"/>
      <c r="CFW40" s="79"/>
      <c r="CFX40" s="79"/>
      <c r="CFY40" s="194" t="s">
        <v>88</v>
      </c>
      <c r="CFZ40" s="194"/>
      <c r="CGA40" s="194"/>
      <c r="CGD40" s="193"/>
      <c r="CGE40" s="193"/>
      <c r="CGF40" s="193"/>
      <c r="CGG40" s="193"/>
      <c r="CGH40" s="79"/>
      <c r="CGI40" s="79"/>
      <c r="CGJ40" s="79"/>
      <c r="CGK40" s="194" t="s">
        <v>88</v>
      </c>
      <c r="CGL40" s="194"/>
      <c r="CGM40" s="194"/>
      <c r="CGP40" s="193"/>
      <c r="CGQ40" s="193"/>
      <c r="CGR40" s="193"/>
      <c r="CGS40" s="193"/>
      <c r="CGT40" s="79"/>
      <c r="CGU40" s="79"/>
      <c r="CGV40" s="79"/>
      <c r="CGW40" s="194" t="s">
        <v>88</v>
      </c>
      <c r="CGX40" s="194"/>
      <c r="CGY40" s="194"/>
      <c r="CHB40" s="193"/>
      <c r="CHC40" s="193"/>
      <c r="CHD40" s="193"/>
      <c r="CHE40" s="193"/>
      <c r="CHF40" s="79"/>
      <c r="CHG40" s="79"/>
      <c r="CHH40" s="79"/>
      <c r="CHI40" s="194" t="s">
        <v>88</v>
      </c>
      <c r="CHJ40" s="194"/>
      <c r="CHK40" s="194"/>
      <c r="CHN40" s="193"/>
      <c r="CHO40" s="193"/>
      <c r="CHP40" s="193"/>
      <c r="CHQ40" s="193"/>
      <c r="CHR40" s="79"/>
      <c r="CHS40" s="79"/>
      <c r="CHT40" s="79"/>
      <c r="CHU40" s="194" t="s">
        <v>88</v>
      </c>
      <c r="CHV40" s="194"/>
      <c r="CHW40" s="194"/>
      <c r="CHZ40" s="193"/>
      <c r="CIA40" s="193"/>
      <c r="CIB40" s="193"/>
      <c r="CIC40" s="193"/>
      <c r="CID40" s="79"/>
      <c r="CIE40" s="79"/>
      <c r="CIF40" s="79"/>
      <c r="CIG40" s="194" t="s">
        <v>88</v>
      </c>
      <c r="CIH40" s="194"/>
      <c r="CII40" s="194"/>
      <c r="CIL40" s="193"/>
      <c r="CIM40" s="193"/>
      <c r="CIN40" s="193"/>
      <c r="CIO40" s="193"/>
      <c r="CIP40" s="79"/>
      <c r="CIQ40" s="79"/>
      <c r="CIR40" s="79"/>
      <c r="CIS40" s="194" t="s">
        <v>88</v>
      </c>
      <c r="CIT40" s="194"/>
      <c r="CIU40" s="194"/>
      <c r="CIX40" s="193"/>
      <c r="CIY40" s="193"/>
      <c r="CIZ40" s="193"/>
      <c r="CJA40" s="193"/>
      <c r="CJB40" s="79"/>
      <c r="CJC40" s="79"/>
      <c r="CJD40" s="79"/>
      <c r="CJE40" s="194" t="s">
        <v>88</v>
      </c>
      <c r="CJF40" s="194"/>
      <c r="CJG40" s="194"/>
      <c r="CJJ40" s="193"/>
      <c r="CJK40" s="193"/>
      <c r="CJL40" s="193"/>
      <c r="CJM40" s="193"/>
      <c r="CJN40" s="79"/>
      <c r="CJO40" s="79"/>
      <c r="CJP40" s="79"/>
      <c r="CJQ40" s="194" t="s">
        <v>88</v>
      </c>
      <c r="CJR40" s="194"/>
      <c r="CJS40" s="194"/>
      <c r="CJV40" s="193"/>
      <c r="CJW40" s="193"/>
      <c r="CJX40" s="193"/>
      <c r="CJY40" s="193"/>
      <c r="CJZ40" s="79"/>
      <c r="CKA40" s="79"/>
      <c r="CKB40" s="79"/>
      <c r="CKC40" s="194" t="s">
        <v>88</v>
      </c>
      <c r="CKD40" s="194"/>
      <c r="CKE40" s="194"/>
      <c r="CKH40" s="193"/>
      <c r="CKI40" s="193"/>
      <c r="CKJ40" s="193"/>
      <c r="CKK40" s="193"/>
      <c r="CKL40" s="79"/>
      <c r="CKM40" s="79"/>
      <c r="CKN40" s="79"/>
      <c r="CKO40" s="194" t="s">
        <v>88</v>
      </c>
      <c r="CKP40" s="194"/>
      <c r="CKQ40" s="194"/>
      <c r="CKT40" s="193"/>
      <c r="CKU40" s="193"/>
      <c r="CKV40" s="193"/>
      <c r="CKW40" s="193"/>
      <c r="CKX40" s="79"/>
      <c r="CKY40" s="79"/>
      <c r="CKZ40" s="79"/>
      <c r="CLA40" s="194" t="s">
        <v>88</v>
      </c>
      <c r="CLB40" s="194"/>
      <c r="CLC40" s="194"/>
      <c r="CLF40" s="193"/>
      <c r="CLG40" s="193"/>
      <c r="CLH40" s="193"/>
      <c r="CLI40" s="193"/>
      <c r="CLJ40" s="79"/>
      <c r="CLK40" s="79"/>
      <c r="CLL40" s="79"/>
      <c r="CLM40" s="194" t="s">
        <v>88</v>
      </c>
      <c r="CLN40" s="194"/>
      <c r="CLO40" s="194"/>
      <c r="CLR40" s="193"/>
      <c r="CLS40" s="193"/>
      <c r="CLT40" s="193"/>
      <c r="CLU40" s="193"/>
      <c r="CLV40" s="79"/>
      <c r="CLW40" s="79"/>
      <c r="CLX40" s="79"/>
      <c r="CLY40" s="194" t="s">
        <v>88</v>
      </c>
      <c r="CLZ40" s="194"/>
      <c r="CMA40" s="194"/>
      <c r="CMD40" s="193"/>
      <c r="CME40" s="193"/>
      <c r="CMF40" s="193"/>
      <c r="CMG40" s="193"/>
      <c r="CMH40" s="79"/>
      <c r="CMI40" s="79"/>
      <c r="CMJ40" s="79"/>
      <c r="CMK40" s="194" t="s">
        <v>88</v>
      </c>
      <c r="CML40" s="194"/>
      <c r="CMM40" s="194"/>
      <c r="CMP40" s="193"/>
      <c r="CMQ40" s="193"/>
      <c r="CMR40" s="193"/>
      <c r="CMS40" s="193"/>
      <c r="CMT40" s="79"/>
      <c r="CMU40" s="79"/>
      <c r="CMV40" s="79"/>
      <c r="CMW40" s="194" t="s">
        <v>88</v>
      </c>
      <c r="CMX40" s="194"/>
      <c r="CMY40" s="194"/>
      <c r="CNB40" s="193"/>
      <c r="CNC40" s="193"/>
      <c r="CND40" s="193"/>
      <c r="CNE40" s="193"/>
      <c r="CNF40" s="79"/>
      <c r="CNG40" s="79"/>
      <c r="CNH40" s="79"/>
      <c r="CNI40" s="194" t="s">
        <v>88</v>
      </c>
      <c r="CNJ40" s="194"/>
      <c r="CNK40" s="194"/>
      <c r="CNN40" s="193"/>
      <c r="CNO40" s="193"/>
      <c r="CNP40" s="193"/>
      <c r="CNQ40" s="193"/>
      <c r="CNR40" s="79"/>
      <c r="CNS40" s="79"/>
      <c r="CNT40" s="79"/>
      <c r="CNU40" s="194" t="s">
        <v>88</v>
      </c>
      <c r="CNV40" s="194"/>
      <c r="CNW40" s="194"/>
      <c r="CNZ40" s="193"/>
      <c r="COA40" s="193"/>
      <c r="COB40" s="193"/>
      <c r="COC40" s="193"/>
      <c r="COD40" s="79"/>
      <c r="COE40" s="79"/>
      <c r="COF40" s="79"/>
      <c r="COG40" s="194" t="s">
        <v>88</v>
      </c>
      <c r="COH40" s="194"/>
      <c r="COI40" s="194"/>
      <c r="COL40" s="193"/>
      <c r="COM40" s="193"/>
      <c r="CON40" s="193"/>
      <c r="COO40" s="193"/>
      <c r="COP40" s="79"/>
      <c r="COQ40" s="79"/>
      <c r="COR40" s="79"/>
      <c r="COS40" s="194" t="s">
        <v>88</v>
      </c>
      <c r="COT40" s="194"/>
      <c r="COU40" s="194"/>
      <c r="COX40" s="193"/>
      <c r="COY40" s="193"/>
      <c r="COZ40" s="193"/>
      <c r="CPA40" s="193"/>
      <c r="CPB40" s="79"/>
      <c r="CPC40" s="79"/>
      <c r="CPD40" s="79"/>
      <c r="CPE40" s="194" t="s">
        <v>88</v>
      </c>
      <c r="CPF40" s="194"/>
      <c r="CPG40" s="194"/>
      <c r="CPJ40" s="193"/>
      <c r="CPK40" s="193"/>
      <c r="CPL40" s="193"/>
      <c r="CPM40" s="193"/>
      <c r="CPN40" s="79"/>
      <c r="CPO40" s="79"/>
      <c r="CPP40" s="79"/>
      <c r="CPQ40" s="194" t="s">
        <v>88</v>
      </c>
      <c r="CPR40" s="194"/>
      <c r="CPS40" s="194"/>
      <c r="CPV40" s="193"/>
      <c r="CPW40" s="193"/>
      <c r="CPX40" s="193"/>
      <c r="CPY40" s="193"/>
      <c r="CPZ40" s="79"/>
      <c r="CQA40" s="79"/>
      <c r="CQB40" s="79"/>
      <c r="CQC40" s="194" t="s">
        <v>88</v>
      </c>
      <c r="CQD40" s="194"/>
      <c r="CQE40" s="194"/>
      <c r="CQH40" s="193"/>
      <c r="CQI40" s="193"/>
      <c r="CQJ40" s="193"/>
      <c r="CQK40" s="193"/>
      <c r="CQL40" s="79"/>
      <c r="CQM40" s="79"/>
      <c r="CQN40" s="79"/>
      <c r="CQO40" s="194" t="s">
        <v>88</v>
      </c>
      <c r="CQP40" s="194"/>
      <c r="CQQ40" s="194"/>
      <c r="CQT40" s="193"/>
      <c r="CQU40" s="193"/>
      <c r="CQV40" s="193"/>
      <c r="CQW40" s="193"/>
      <c r="CQX40" s="79"/>
      <c r="CQY40" s="79"/>
      <c r="CQZ40" s="79"/>
      <c r="CRA40" s="194" t="s">
        <v>88</v>
      </c>
      <c r="CRB40" s="194"/>
      <c r="CRC40" s="194"/>
      <c r="CRF40" s="193"/>
      <c r="CRG40" s="193"/>
      <c r="CRH40" s="193"/>
      <c r="CRI40" s="193"/>
      <c r="CRJ40" s="79"/>
      <c r="CRK40" s="79"/>
      <c r="CRL40" s="79"/>
      <c r="CRM40" s="194" t="s">
        <v>88</v>
      </c>
      <c r="CRN40" s="194"/>
      <c r="CRO40" s="194"/>
      <c r="CRR40" s="193"/>
      <c r="CRS40" s="193"/>
      <c r="CRT40" s="193"/>
      <c r="CRU40" s="193"/>
      <c r="CRV40" s="79"/>
      <c r="CRW40" s="79"/>
      <c r="CRX40" s="79"/>
      <c r="CRY40" s="194" t="s">
        <v>88</v>
      </c>
      <c r="CRZ40" s="194"/>
      <c r="CSA40" s="194"/>
      <c r="CSD40" s="193"/>
      <c r="CSE40" s="193"/>
      <c r="CSF40" s="193"/>
      <c r="CSG40" s="193"/>
      <c r="CSH40" s="79"/>
      <c r="CSI40" s="79"/>
      <c r="CSJ40" s="79"/>
      <c r="CSK40" s="194" t="s">
        <v>88</v>
      </c>
      <c r="CSL40" s="194"/>
      <c r="CSM40" s="194"/>
      <c r="CSP40" s="193"/>
      <c r="CSQ40" s="193"/>
      <c r="CSR40" s="193"/>
      <c r="CSS40" s="193"/>
      <c r="CST40" s="79"/>
      <c r="CSU40" s="79"/>
      <c r="CSV40" s="79"/>
      <c r="CSW40" s="194" t="s">
        <v>88</v>
      </c>
      <c r="CSX40" s="194"/>
      <c r="CSY40" s="194"/>
      <c r="CTB40" s="193"/>
      <c r="CTC40" s="193"/>
      <c r="CTD40" s="193"/>
      <c r="CTE40" s="193"/>
      <c r="CTF40" s="79"/>
      <c r="CTG40" s="79"/>
      <c r="CTH40" s="79"/>
      <c r="CTI40" s="194" t="s">
        <v>88</v>
      </c>
      <c r="CTJ40" s="194"/>
      <c r="CTK40" s="194"/>
      <c r="CTN40" s="193"/>
      <c r="CTO40" s="193"/>
      <c r="CTP40" s="193"/>
      <c r="CTQ40" s="193"/>
      <c r="CTR40" s="79"/>
      <c r="CTS40" s="79"/>
      <c r="CTT40" s="79"/>
      <c r="CTU40" s="194" t="s">
        <v>88</v>
      </c>
      <c r="CTV40" s="194"/>
      <c r="CTW40" s="194"/>
      <c r="CTZ40" s="193"/>
      <c r="CUA40" s="193"/>
      <c r="CUB40" s="193"/>
      <c r="CUC40" s="193"/>
      <c r="CUD40" s="79"/>
      <c r="CUE40" s="79"/>
      <c r="CUF40" s="79"/>
      <c r="CUG40" s="194" t="s">
        <v>88</v>
      </c>
      <c r="CUH40" s="194"/>
      <c r="CUI40" s="194"/>
      <c r="CUL40" s="193"/>
      <c r="CUM40" s="193"/>
      <c r="CUN40" s="193"/>
      <c r="CUO40" s="193"/>
      <c r="CUP40" s="79"/>
      <c r="CUQ40" s="79"/>
      <c r="CUR40" s="79"/>
      <c r="CUS40" s="194" t="s">
        <v>88</v>
      </c>
      <c r="CUT40" s="194"/>
      <c r="CUU40" s="194"/>
      <c r="CUX40" s="193"/>
      <c r="CUY40" s="193"/>
      <c r="CUZ40" s="193"/>
      <c r="CVA40" s="193"/>
      <c r="CVB40" s="79"/>
      <c r="CVC40" s="79"/>
      <c r="CVD40" s="79"/>
      <c r="CVE40" s="194" t="s">
        <v>88</v>
      </c>
      <c r="CVF40" s="194"/>
      <c r="CVG40" s="194"/>
      <c r="CVJ40" s="193"/>
      <c r="CVK40" s="193"/>
      <c r="CVL40" s="193"/>
      <c r="CVM40" s="193"/>
      <c r="CVN40" s="79"/>
      <c r="CVO40" s="79"/>
      <c r="CVP40" s="79"/>
      <c r="CVQ40" s="194" t="s">
        <v>88</v>
      </c>
      <c r="CVR40" s="194"/>
      <c r="CVS40" s="194"/>
      <c r="CVV40" s="193"/>
      <c r="CVW40" s="193"/>
      <c r="CVX40" s="193"/>
      <c r="CVY40" s="193"/>
      <c r="CVZ40" s="79"/>
      <c r="CWA40" s="79"/>
      <c r="CWB40" s="79"/>
      <c r="CWC40" s="194" t="s">
        <v>88</v>
      </c>
      <c r="CWD40" s="194"/>
      <c r="CWE40" s="194"/>
    </row>
    <row r="41" spans="2:1023 1026:2631" x14ac:dyDescent="0.25">
      <c r="B41" s="195" t="s">
        <v>91</v>
      </c>
      <c r="C41" s="196"/>
      <c r="D41" s="196"/>
      <c r="E41" s="196"/>
      <c r="F41" s="197" t="s">
        <v>92</v>
      </c>
      <c r="G41" s="197"/>
      <c r="H41" s="197"/>
      <c r="I41" s="197"/>
      <c r="J41" s="197"/>
      <c r="K41" s="198"/>
      <c r="L41" s="199"/>
      <c r="P41" s="195" t="s">
        <v>91</v>
      </c>
      <c r="Q41" s="196"/>
      <c r="R41" s="196"/>
      <c r="S41" s="196"/>
      <c r="T41" s="197" t="s">
        <v>92</v>
      </c>
      <c r="U41" s="197"/>
      <c r="V41" s="197"/>
      <c r="W41" s="197"/>
      <c r="X41" s="197"/>
      <c r="Y41" s="198"/>
      <c r="Z41" s="199"/>
      <c r="AD41" s="195" t="s">
        <v>91</v>
      </c>
      <c r="AE41" s="198"/>
      <c r="AF41" s="198"/>
      <c r="AG41" s="198"/>
      <c r="AH41" s="197" t="s">
        <v>92</v>
      </c>
      <c r="AI41" s="197"/>
      <c r="AJ41" s="197"/>
      <c r="AK41" s="197"/>
      <c r="AL41" s="197"/>
      <c r="AM41" s="198"/>
      <c r="AN41" s="199"/>
      <c r="AR41" s="195" t="s">
        <v>91</v>
      </c>
      <c r="AS41" s="196"/>
      <c r="AT41" s="196"/>
      <c r="AU41" s="196"/>
      <c r="AV41" s="197" t="s">
        <v>92</v>
      </c>
      <c r="AW41" s="197"/>
      <c r="AX41" s="197"/>
      <c r="AY41" s="197"/>
      <c r="AZ41" s="197"/>
      <c r="BA41" s="198"/>
      <c r="BB41" s="199"/>
      <c r="BF41" s="195" t="s">
        <v>91</v>
      </c>
      <c r="BG41" s="196"/>
      <c r="BH41" s="196"/>
      <c r="BI41" s="196"/>
      <c r="BJ41" s="197" t="s">
        <v>92</v>
      </c>
      <c r="BK41" s="197"/>
      <c r="BL41" s="197"/>
      <c r="BM41" s="197"/>
      <c r="BN41" s="197"/>
      <c r="BO41" s="198"/>
      <c r="BP41" s="199"/>
      <c r="BT41" s="195" t="s">
        <v>91</v>
      </c>
      <c r="BU41" s="196"/>
      <c r="BV41" s="196"/>
      <c r="BW41" s="196"/>
      <c r="BX41" s="197" t="s">
        <v>92</v>
      </c>
      <c r="BY41" s="197"/>
      <c r="BZ41" s="197"/>
      <c r="CA41" s="197"/>
      <c r="CB41" s="197"/>
      <c r="CC41" s="198"/>
      <c r="CD41" s="199"/>
      <c r="CH41" s="195" t="s">
        <v>91</v>
      </c>
      <c r="CI41" s="196"/>
      <c r="CJ41" s="196"/>
      <c r="CK41" s="196"/>
      <c r="CL41" s="197" t="s">
        <v>92</v>
      </c>
      <c r="CM41" s="197"/>
      <c r="CN41" s="197"/>
      <c r="CO41" s="197"/>
      <c r="CP41" s="197"/>
      <c r="CQ41" s="198"/>
      <c r="CR41" s="199"/>
      <c r="CV41" s="195" t="s">
        <v>91</v>
      </c>
      <c r="CW41" s="196"/>
      <c r="CX41" s="196"/>
      <c r="CY41" s="196"/>
      <c r="CZ41" s="197" t="s">
        <v>92</v>
      </c>
      <c r="DA41" s="197"/>
      <c r="DB41" s="197"/>
      <c r="DC41" s="197"/>
      <c r="DD41" s="197"/>
      <c r="DE41" s="198"/>
      <c r="DF41" s="199"/>
      <c r="DJ41" s="195" t="s">
        <v>91</v>
      </c>
      <c r="DK41" s="196"/>
      <c r="DL41" s="196"/>
      <c r="DM41" s="196"/>
      <c r="DN41" s="197" t="s">
        <v>92</v>
      </c>
      <c r="DO41" s="197"/>
      <c r="DP41" s="197"/>
      <c r="DQ41" s="197"/>
      <c r="DR41" s="197"/>
      <c r="DS41" s="198"/>
      <c r="DT41" s="199"/>
      <c r="DX41" s="195" t="s">
        <v>91</v>
      </c>
      <c r="DY41" s="196"/>
      <c r="DZ41" s="196"/>
      <c r="EA41" s="196"/>
      <c r="EB41" s="197" t="s">
        <v>92</v>
      </c>
      <c r="EC41" s="197"/>
      <c r="ED41" s="197"/>
      <c r="EE41" s="197"/>
      <c r="EF41" s="197"/>
      <c r="EG41" s="198"/>
      <c r="EH41" s="199"/>
      <c r="EL41" s="195" t="s">
        <v>91</v>
      </c>
      <c r="EM41" s="196"/>
      <c r="EN41" s="196"/>
      <c r="EO41" s="196"/>
      <c r="EP41" s="197" t="s">
        <v>92</v>
      </c>
      <c r="EQ41" s="197"/>
      <c r="ER41" s="197"/>
      <c r="ES41" s="197"/>
      <c r="ET41" s="197"/>
      <c r="EU41" s="198"/>
      <c r="EV41" s="199"/>
      <c r="EZ41" s="195" t="s">
        <v>91</v>
      </c>
      <c r="FA41" s="196"/>
      <c r="FB41" s="196"/>
      <c r="FC41" s="196"/>
      <c r="FD41" s="197" t="s">
        <v>92</v>
      </c>
      <c r="FE41" s="197"/>
      <c r="FF41" s="197"/>
      <c r="FG41" s="197"/>
      <c r="FH41" s="197"/>
      <c r="FI41" s="198"/>
      <c r="FJ41" s="199"/>
      <c r="FN41" s="195" t="s">
        <v>91</v>
      </c>
      <c r="FO41" s="196"/>
      <c r="FP41" s="196"/>
      <c r="FQ41" s="196"/>
      <c r="FR41" s="197" t="s">
        <v>92</v>
      </c>
      <c r="FS41" s="197"/>
      <c r="FT41" s="197"/>
      <c r="FU41" s="197"/>
      <c r="FV41" s="197"/>
      <c r="FW41" s="198"/>
      <c r="FX41" s="199"/>
      <c r="GB41" s="195" t="s">
        <v>91</v>
      </c>
      <c r="GC41" s="196"/>
      <c r="GD41" s="196"/>
      <c r="GE41" s="196"/>
      <c r="GF41" s="197" t="s">
        <v>92</v>
      </c>
      <c r="GG41" s="197"/>
      <c r="GH41" s="197"/>
      <c r="GI41" s="197"/>
      <c r="GJ41" s="197"/>
      <c r="GK41" s="198"/>
      <c r="GL41" s="199"/>
      <c r="GP41" s="195" t="s">
        <v>91</v>
      </c>
      <c r="GQ41" s="196"/>
      <c r="GR41" s="196"/>
      <c r="GS41" s="196"/>
      <c r="GT41" s="197" t="s">
        <v>92</v>
      </c>
      <c r="GU41" s="197"/>
      <c r="GV41" s="197"/>
      <c r="GW41" s="197"/>
      <c r="GX41" s="197"/>
      <c r="GY41" s="198"/>
      <c r="GZ41" s="199"/>
      <c r="HD41" s="195" t="s">
        <v>91</v>
      </c>
      <c r="HE41" s="196"/>
      <c r="HF41" s="196"/>
      <c r="HG41" s="196"/>
      <c r="HH41" s="197" t="s">
        <v>92</v>
      </c>
      <c r="HI41" s="197"/>
      <c r="HJ41" s="197"/>
      <c r="HK41" s="197"/>
      <c r="HL41" s="197"/>
      <c r="HM41" s="198"/>
      <c r="HN41" s="199"/>
      <c r="HR41" s="195" t="s">
        <v>91</v>
      </c>
      <c r="HS41" s="196"/>
      <c r="HT41" s="196"/>
      <c r="HU41" s="196"/>
      <c r="HV41" s="197" t="s">
        <v>92</v>
      </c>
      <c r="HW41" s="197"/>
      <c r="HX41" s="197"/>
      <c r="HY41" s="197"/>
      <c r="HZ41" s="197"/>
      <c r="IA41" s="198"/>
      <c r="IB41" s="199"/>
      <c r="IF41" s="195" t="s">
        <v>91</v>
      </c>
      <c r="IG41" s="196"/>
      <c r="IH41" s="196"/>
      <c r="II41" s="196"/>
      <c r="IJ41" s="197" t="s">
        <v>92</v>
      </c>
      <c r="IK41" s="197"/>
      <c r="IL41" s="197"/>
      <c r="IM41" s="197"/>
      <c r="IN41" s="197"/>
      <c r="IO41" s="198"/>
      <c r="IP41" s="199"/>
      <c r="IT41" s="195" t="s">
        <v>91</v>
      </c>
      <c r="IU41" s="196"/>
      <c r="IV41" s="196"/>
      <c r="IW41" s="196"/>
      <c r="IX41" s="197" t="s">
        <v>92</v>
      </c>
      <c r="IY41" s="197"/>
      <c r="IZ41" s="197"/>
      <c r="JA41" s="197"/>
      <c r="JB41" s="197"/>
      <c r="JC41" s="198"/>
      <c r="JD41" s="199"/>
      <c r="JH41" s="195" t="s">
        <v>91</v>
      </c>
      <c r="JI41" s="196"/>
      <c r="JJ41" s="196"/>
      <c r="JK41" s="196"/>
      <c r="JL41" s="197" t="s">
        <v>92</v>
      </c>
      <c r="JM41" s="197"/>
      <c r="JN41" s="197"/>
      <c r="JO41" s="197"/>
      <c r="JP41" s="197"/>
      <c r="JQ41" s="198"/>
      <c r="JR41" s="199"/>
      <c r="JV41" s="195" t="s">
        <v>91</v>
      </c>
      <c r="JW41" s="196"/>
      <c r="JX41" s="196"/>
      <c r="JY41" s="196"/>
      <c r="JZ41" s="197" t="s">
        <v>92</v>
      </c>
      <c r="KA41" s="197"/>
      <c r="KB41" s="197"/>
      <c r="KC41" s="197"/>
      <c r="KD41" s="197"/>
      <c r="KE41" s="198"/>
      <c r="KF41" s="199"/>
      <c r="KJ41" s="195" t="s">
        <v>91</v>
      </c>
      <c r="KK41" s="196"/>
      <c r="KL41" s="196"/>
      <c r="KM41" s="196"/>
      <c r="KN41" s="197" t="s">
        <v>92</v>
      </c>
      <c r="KO41" s="197"/>
      <c r="KP41" s="197"/>
      <c r="KQ41" s="197"/>
      <c r="KR41" s="197"/>
      <c r="KS41" s="198"/>
      <c r="KT41" s="199"/>
      <c r="KX41" s="195" t="s">
        <v>91</v>
      </c>
      <c r="KY41" s="196"/>
      <c r="KZ41" s="196"/>
      <c r="LA41" s="196"/>
      <c r="LB41" s="197" t="s">
        <v>92</v>
      </c>
      <c r="LC41" s="197"/>
      <c r="LD41" s="197"/>
      <c r="LE41" s="197"/>
      <c r="LF41" s="197"/>
      <c r="LG41" s="198"/>
      <c r="LH41" s="199"/>
      <c r="LL41" s="195" t="s">
        <v>91</v>
      </c>
      <c r="LM41" s="196"/>
      <c r="LN41" s="196"/>
      <c r="LO41" s="196"/>
      <c r="LP41" s="197" t="s">
        <v>92</v>
      </c>
      <c r="LQ41" s="197"/>
      <c r="LR41" s="197"/>
      <c r="LS41" s="197"/>
      <c r="LT41" s="197"/>
      <c r="LU41" s="198"/>
      <c r="LV41" s="199"/>
      <c r="LZ41" s="195" t="s">
        <v>91</v>
      </c>
      <c r="MA41" s="196"/>
      <c r="MB41" s="196"/>
      <c r="MC41" s="196"/>
      <c r="MD41" s="197" t="s">
        <v>92</v>
      </c>
      <c r="ME41" s="197"/>
      <c r="MF41" s="197"/>
      <c r="MG41" s="197"/>
      <c r="MH41" s="197"/>
      <c r="MI41" s="198"/>
      <c r="MJ41" s="199"/>
      <c r="MN41" s="195" t="s">
        <v>91</v>
      </c>
      <c r="MO41" s="196"/>
      <c r="MP41" s="196"/>
      <c r="MQ41" s="196"/>
      <c r="MR41" s="197" t="s">
        <v>92</v>
      </c>
      <c r="MS41" s="197"/>
      <c r="MT41" s="197"/>
      <c r="MU41" s="197"/>
      <c r="MV41" s="197"/>
      <c r="MW41" s="198"/>
      <c r="MX41" s="199"/>
      <c r="NB41" s="195" t="s">
        <v>91</v>
      </c>
      <c r="NC41" s="196"/>
      <c r="ND41" s="196"/>
      <c r="NE41" s="196"/>
      <c r="NF41" s="197" t="s">
        <v>92</v>
      </c>
      <c r="NG41" s="197"/>
      <c r="NH41" s="197"/>
      <c r="NI41" s="197"/>
      <c r="NJ41" s="197"/>
      <c r="NK41" s="198"/>
      <c r="NL41" s="199"/>
      <c r="NP41" s="195" t="s">
        <v>91</v>
      </c>
      <c r="NQ41" s="196"/>
      <c r="NR41" s="196"/>
      <c r="NS41" s="196"/>
      <c r="NT41" s="197" t="s">
        <v>92</v>
      </c>
      <c r="NU41" s="197"/>
      <c r="NV41" s="197"/>
      <c r="NW41" s="197"/>
      <c r="NX41" s="197"/>
      <c r="NY41" s="198"/>
      <c r="NZ41" s="199"/>
      <c r="OD41" s="195" t="s">
        <v>91</v>
      </c>
      <c r="OE41" s="196"/>
      <c r="OF41" s="196"/>
      <c r="OG41" s="196"/>
      <c r="OH41" s="197" t="s">
        <v>92</v>
      </c>
      <c r="OI41" s="197"/>
      <c r="OJ41" s="197"/>
      <c r="OK41" s="197"/>
      <c r="OL41" s="197"/>
      <c r="OM41" s="198"/>
      <c r="ON41" s="199"/>
      <c r="OR41" s="195" t="s">
        <v>91</v>
      </c>
      <c r="OS41" s="196"/>
      <c r="OT41" s="196"/>
      <c r="OU41" s="196"/>
      <c r="OV41" s="197" t="s">
        <v>92</v>
      </c>
      <c r="OW41" s="197"/>
      <c r="OX41" s="197"/>
      <c r="OY41" s="197"/>
      <c r="OZ41" s="197"/>
      <c r="PA41" s="198"/>
      <c r="PB41" s="199"/>
      <c r="PF41" s="195" t="s">
        <v>91</v>
      </c>
      <c r="PG41" s="196"/>
      <c r="PH41" s="196"/>
      <c r="PI41" s="196"/>
      <c r="PJ41" s="197" t="s">
        <v>92</v>
      </c>
      <c r="PK41" s="197"/>
      <c r="PL41" s="197"/>
      <c r="PM41" s="197"/>
      <c r="PN41" s="197"/>
      <c r="PO41" s="198"/>
      <c r="PP41" s="199"/>
      <c r="PT41" s="195" t="s">
        <v>91</v>
      </c>
      <c r="PU41" s="196"/>
      <c r="PV41" s="196"/>
      <c r="PW41" s="196"/>
      <c r="PX41" s="197" t="s">
        <v>92</v>
      </c>
      <c r="PY41" s="197"/>
      <c r="PZ41" s="197"/>
      <c r="QA41" s="197"/>
      <c r="QB41" s="197"/>
      <c r="QC41" s="198"/>
      <c r="QD41" s="199"/>
      <c r="QH41" s="195" t="s">
        <v>91</v>
      </c>
      <c r="QI41" s="196"/>
      <c r="QJ41" s="196"/>
      <c r="QK41" s="196"/>
      <c r="QL41" s="197" t="s">
        <v>92</v>
      </c>
      <c r="QM41" s="197"/>
      <c r="QN41" s="197"/>
      <c r="QO41" s="197"/>
      <c r="QP41" s="197"/>
      <c r="QQ41" s="198"/>
      <c r="QR41" s="199"/>
      <c r="QV41" s="195" t="s">
        <v>91</v>
      </c>
      <c r="QW41" s="196"/>
      <c r="QX41" s="196"/>
      <c r="QY41" s="196"/>
      <c r="QZ41" s="197" t="s">
        <v>92</v>
      </c>
      <c r="RA41" s="197"/>
      <c r="RB41" s="197"/>
      <c r="RC41" s="197"/>
      <c r="RD41" s="197"/>
      <c r="RE41" s="198"/>
      <c r="RF41" s="199"/>
      <c r="RJ41" s="195" t="s">
        <v>91</v>
      </c>
      <c r="RK41" s="196"/>
      <c r="RL41" s="196"/>
      <c r="RM41" s="196"/>
      <c r="RN41" s="197" t="s">
        <v>92</v>
      </c>
      <c r="RO41" s="197"/>
      <c r="RP41" s="197"/>
      <c r="RQ41" s="197"/>
      <c r="RR41" s="197"/>
      <c r="RS41" s="198"/>
      <c r="RT41" s="199"/>
      <c r="RX41" s="195" t="s">
        <v>91</v>
      </c>
      <c r="RY41" s="196"/>
      <c r="RZ41" s="196"/>
      <c r="SA41" s="196"/>
      <c r="SB41" s="197" t="s">
        <v>92</v>
      </c>
      <c r="SC41" s="197"/>
      <c r="SD41" s="197"/>
      <c r="SE41" s="197"/>
      <c r="SF41" s="197"/>
      <c r="SG41" s="198"/>
      <c r="SH41" s="199"/>
      <c r="SL41" s="195" t="s">
        <v>91</v>
      </c>
      <c r="SM41" s="196"/>
      <c r="SN41" s="196"/>
      <c r="SO41" s="196"/>
      <c r="SP41" s="197" t="s">
        <v>92</v>
      </c>
      <c r="SQ41" s="197"/>
      <c r="SR41" s="197"/>
      <c r="SS41" s="197"/>
      <c r="ST41" s="197"/>
      <c r="SU41" s="198"/>
      <c r="SV41" s="199"/>
      <c r="SZ41" s="195" t="s">
        <v>91</v>
      </c>
      <c r="TA41" s="196"/>
      <c r="TB41" s="196"/>
      <c r="TC41" s="196"/>
      <c r="TD41" s="197" t="s">
        <v>92</v>
      </c>
      <c r="TE41" s="197"/>
      <c r="TF41" s="197"/>
      <c r="TG41" s="197"/>
      <c r="TH41" s="197"/>
      <c r="TI41" s="198"/>
      <c r="TJ41" s="199"/>
      <c r="TN41" s="195" t="s">
        <v>91</v>
      </c>
      <c r="TO41" s="196"/>
      <c r="TP41" s="196"/>
      <c r="TQ41" s="196"/>
      <c r="TR41" s="197" t="s">
        <v>92</v>
      </c>
      <c r="TS41" s="197"/>
      <c r="TT41" s="197"/>
      <c r="TU41" s="197"/>
      <c r="TV41" s="197"/>
      <c r="TW41" s="198"/>
      <c r="TX41" s="199"/>
      <c r="UB41" s="195" t="s">
        <v>91</v>
      </c>
      <c r="UC41" s="196"/>
      <c r="UD41" s="196"/>
      <c r="UE41" s="196"/>
      <c r="UF41" s="197" t="s">
        <v>92</v>
      </c>
      <c r="UG41" s="197"/>
      <c r="UH41" s="197"/>
      <c r="UI41" s="197"/>
      <c r="UJ41" s="197"/>
      <c r="UK41" s="198"/>
      <c r="UL41" s="199"/>
      <c r="UP41" s="195" t="s">
        <v>91</v>
      </c>
      <c r="UQ41" s="196"/>
      <c r="UR41" s="196"/>
      <c r="US41" s="196"/>
      <c r="UT41" s="197" t="s">
        <v>92</v>
      </c>
      <c r="UU41" s="197"/>
      <c r="UV41" s="197"/>
      <c r="UW41" s="197"/>
      <c r="UX41" s="197"/>
      <c r="UY41" s="198"/>
      <c r="UZ41" s="199"/>
      <c r="VD41" s="195" t="s">
        <v>91</v>
      </c>
      <c r="VE41" s="196"/>
      <c r="VF41" s="196"/>
      <c r="VG41" s="196"/>
      <c r="VH41" s="197" t="s">
        <v>92</v>
      </c>
      <c r="VI41" s="197"/>
      <c r="VJ41" s="197"/>
      <c r="VK41" s="197"/>
      <c r="VL41" s="197"/>
      <c r="VM41" s="198"/>
      <c r="VN41" s="199"/>
      <c r="VR41" s="195" t="s">
        <v>91</v>
      </c>
      <c r="VS41" s="196"/>
      <c r="VT41" s="196"/>
      <c r="VU41" s="196"/>
      <c r="VV41" s="197" t="s">
        <v>92</v>
      </c>
      <c r="VW41" s="197"/>
      <c r="VX41" s="197"/>
      <c r="VY41" s="197"/>
      <c r="VZ41" s="197"/>
      <c r="WA41" s="198"/>
      <c r="WB41" s="199"/>
      <c r="WF41" s="195" t="s">
        <v>91</v>
      </c>
      <c r="WG41" s="196"/>
      <c r="WH41" s="196"/>
      <c r="WI41" s="196"/>
      <c r="WJ41" s="197" t="s">
        <v>92</v>
      </c>
      <c r="WK41" s="197"/>
      <c r="WL41" s="197"/>
      <c r="WM41" s="197"/>
      <c r="WN41" s="197"/>
      <c r="WO41" s="198"/>
      <c r="WP41" s="199"/>
      <c r="WT41" s="195" t="s">
        <v>91</v>
      </c>
      <c r="WU41" s="196"/>
      <c r="WV41" s="196"/>
      <c r="WW41" s="196"/>
      <c r="WX41" s="197" t="s">
        <v>92</v>
      </c>
      <c r="WY41" s="197"/>
      <c r="WZ41" s="197"/>
      <c r="XA41" s="197"/>
      <c r="XB41" s="197"/>
      <c r="XC41" s="198"/>
      <c r="XD41" s="199"/>
      <c r="XH41" s="195" t="s">
        <v>91</v>
      </c>
      <c r="XI41" s="196"/>
      <c r="XJ41" s="196"/>
      <c r="XK41" s="196"/>
      <c r="XL41" s="197" t="s">
        <v>92</v>
      </c>
      <c r="XM41" s="197"/>
      <c r="XN41" s="197"/>
      <c r="XO41" s="197"/>
      <c r="XP41" s="197"/>
      <c r="XQ41" s="198"/>
      <c r="XR41" s="199"/>
      <c r="XV41" s="195" t="s">
        <v>91</v>
      </c>
      <c r="XW41" s="196"/>
      <c r="XX41" s="196"/>
      <c r="XY41" s="196"/>
      <c r="XZ41" s="197" t="s">
        <v>92</v>
      </c>
      <c r="YA41" s="197"/>
      <c r="YB41" s="197"/>
      <c r="YC41" s="197"/>
      <c r="YD41" s="197"/>
      <c r="YE41" s="198"/>
      <c r="YF41" s="199"/>
      <c r="YJ41" s="195" t="s">
        <v>91</v>
      </c>
      <c r="YK41" s="196"/>
      <c r="YL41" s="196"/>
      <c r="YM41" s="196"/>
      <c r="YN41" s="197" t="s">
        <v>92</v>
      </c>
      <c r="YO41" s="197"/>
      <c r="YP41" s="197"/>
      <c r="YQ41" s="197"/>
      <c r="YR41" s="197"/>
      <c r="YS41" s="198"/>
      <c r="YT41" s="199"/>
      <c r="YX41" s="195" t="s">
        <v>91</v>
      </c>
      <c r="YY41" s="196"/>
      <c r="YZ41" s="196"/>
      <c r="ZA41" s="196"/>
      <c r="ZB41" s="197" t="s">
        <v>92</v>
      </c>
      <c r="ZC41" s="197"/>
      <c r="ZD41" s="197"/>
      <c r="ZE41" s="197"/>
      <c r="ZF41" s="197"/>
      <c r="ZG41" s="198"/>
      <c r="ZH41" s="199"/>
      <c r="ZL41" s="195" t="s">
        <v>91</v>
      </c>
      <c r="ZM41" s="196"/>
      <c r="ZN41" s="196"/>
      <c r="ZO41" s="196"/>
      <c r="ZP41" s="197" t="s">
        <v>92</v>
      </c>
      <c r="ZQ41" s="197"/>
      <c r="ZR41" s="197"/>
      <c r="ZS41" s="197"/>
      <c r="ZT41" s="197"/>
      <c r="ZU41" s="198"/>
      <c r="ZV41" s="199"/>
      <c r="ZY41" s="4"/>
      <c r="ZZ41" s="191" t="s">
        <v>93</v>
      </c>
      <c r="AAA41" s="191"/>
      <c r="AAB41" s="191"/>
      <c r="AAC41" s="191"/>
      <c r="AAL41" s="4"/>
      <c r="AAM41" s="191" t="s">
        <v>93</v>
      </c>
      <c r="AAN41" s="191"/>
      <c r="AAO41" s="191"/>
      <c r="AAP41" s="191"/>
      <c r="AAY41" s="4"/>
      <c r="AAZ41" s="191" t="s">
        <v>93</v>
      </c>
      <c r="ABA41" s="191"/>
      <c r="ABB41" s="191"/>
      <c r="ABC41" s="191"/>
      <c r="ABL41" s="4"/>
      <c r="ABM41" s="191" t="s">
        <v>93</v>
      </c>
      <c r="ABN41" s="191"/>
      <c r="ABO41" s="191"/>
      <c r="ABP41" s="191"/>
      <c r="ABY41" s="4"/>
      <c r="ABZ41" s="191" t="s">
        <v>93</v>
      </c>
      <c r="ACA41" s="191"/>
      <c r="ACB41" s="191"/>
      <c r="ACC41" s="191"/>
      <c r="ACL41" s="4"/>
      <c r="ACM41" s="191" t="s">
        <v>93</v>
      </c>
      <c r="ACN41" s="191"/>
      <c r="ACO41" s="191"/>
      <c r="ACP41" s="191"/>
      <c r="ACY41" s="4"/>
      <c r="ACZ41" s="191" t="s">
        <v>93</v>
      </c>
      <c r="ADA41" s="191"/>
      <c r="ADB41" s="191"/>
      <c r="ADC41" s="191"/>
      <c r="ADL41" s="4"/>
      <c r="ADM41" s="191" t="s">
        <v>94</v>
      </c>
      <c r="ADN41" s="191"/>
      <c r="ADO41" s="191"/>
      <c r="ADP41" s="191"/>
      <c r="ADY41" s="4"/>
      <c r="ADZ41" s="191" t="s">
        <v>94</v>
      </c>
      <c r="AEA41" s="191"/>
      <c r="AEB41" s="191"/>
      <c r="AEC41" s="191"/>
      <c r="AEL41" s="4"/>
      <c r="AEM41" s="191" t="s">
        <v>94</v>
      </c>
      <c r="AEN41" s="191"/>
      <c r="AEO41" s="191"/>
      <c r="AEP41" s="191"/>
      <c r="AEY41" s="4"/>
      <c r="AEZ41" s="191" t="s">
        <v>94</v>
      </c>
      <c r="AFA41" s="191"/>
      <c r="AFB41" s="191"/>
      <c r="AFC41" s="191"/>
      <c r="AFL41" s="4"/>
      <c r="AFM41" s="191" t="s">
        <v>94</v>
      </c>
      <c r="AFN41" s="191"/>
      <c r="AFO41" s="191"/>
      <c r="AFP41" s="191"/>
      <c r="AFZ41" s="191" t="s">
        <v>94</v>
      </c>
      <c r="AGA41" s="191"/>
      <c r="AGB41" s="191"/>
      <c r="AGC41" s="191"/>
      <c r="AGL41" s="191" t="s">
        <v>94</v>
      </c>
      <c r="AGM41" s="191"/>
      <c r="AGN41" s="191"/>
      <c r="AGO41" s="191"/>
      <c r="AGX41" s="191" t="s">
        <v>94</v>
      </c>
      <c r="AGY41" s="191"/>
      <c r="AGZ41" s="191"/>
      <c r="AHA41" s="191"/>
      <c r="AHJ41" s="191" t="s">
        <v>94</v>
      </c>
      <c r="AHK41" s="191"/>
      <c r="AHL41" s="191"/>
      <c r="AHM41" s="191"/>
      <c r="AHV41" s="191" t="s">
        <v>94</v>
      </c>
      <c r="AHW41" s="191"/>
      <c r="AHX41" s="191"/>
      <c r="AHY41" s="191"/>
      <c r="AIH41" s="191" t="s">
        <v>94</v>
      </c>
      <c r="AII41" s="191"/>
      <c r="AIJ41" s="191"/>
      <c r="AIK41" s="191"/>
      <c r="AIT41" s="191" t="s">
        <v>94</v>
      </c>
      <c r="AIU41" s="191"/>
      <c r="AIV41" s="191"/>
      <c r="AIW41" s="191"/>
      <c r="AJF41" s="191" t="s">
        <v>94</v>
      </c>
      <c r="AJG41" s="191"/>
      <c r="AJH41" s="191"/>
      <c r="AJI41" s="191"/>
      <c r="AJR41" s="191" t="s">
        <v>94</v>
      </c>
      <c r="AJS41" s="191"/>
      <c r="AJT41" s="191"/>
      <c r="AJU41" s="191"/>
      <c r="AKD41" s="191" t="s">
        <v>94</v>
      </c>
      <c r="AKE41" s="191"/>
      <c r="AKF41" s="191"/>
      <c r="AKG41" s="191"/>
      <c r="AKP41" s="191" t="s">
        <v>94</v>
      </c>
      <c r="AKQ41" s="191"/>
      <c r="AKR41" s="191"/>
      <c r="AKS41" s="191"/>
      <c r="ALB41" s="191" t="s">
        <v>94</v>
      </c>
      <c r="ALC41" s="191"/>
      <c r="ALD41" s="191"/>
      <c r="ALE41" s="191"/>
      <c r="ALN41" s="191" t="s">
        <v>94</v>
      </c>
      <c r="ALO41" s="191"/>
      <c r="ALP41" s="191"/>
      <c r="ALQ41" s="191"/>
      <c r="ALZ41" s="191" t="s">
        <v>94</v>
      </c>
      <c r="AMA41" s="191"/>
      <c r="AMB41" s="191"/>
      <c r="AMC41" s="191"/>
      <c r="AML41" s="191"/>
      <c r="AMM41" s="191"/>
      <c r="AMN41" s="191"/>
      <c r="AMO41" s="191"/>
      <c r="AMX41" s="191"/>
      <c r="AMY41" s="191"/>
      <c r="AMZ41" s="191"/>
      <c r="ANA41" s="191"/>
      <c r="ANJ41" s="191"/>
      <c r="ANK41" s="191"/>
      <c r="ANL41" s="191"/>
      <c r="ANM41" s="191"/>
      <c r="ANV41" s="191"/>
      <c r="ANW41" s="191"/>
      <c r="ANX41" s="191"/>
      <c r="ANY41" s="191"/>
      <c r="AOH41" s="191"/>
      <c r="AOI41" s="191"/>
      <c r="AOJ41" s="191"/>
      <c r="AOK41" s="191"/>
      <c r="AOT41" s="191"/>
      <c r="AOU41" s="191"/>
      <c r="AOV41" s="191"/>
      <c r="AOW41" s="191"/>
      <c r="APF41" s="191"/>
      <c r="APG41" s="191"/>
      <c r="APH41" s="191"/>
      <c r="API41" s="191"/>
      <c r="APR41" s="191"/>
      <c r="APS41" s="191"/>
      <c r="APT41" s="191"/>
      <c r="APU41" s="191"/>
      <c r="AQD41" s="191"/>
      <c r="AQE41" s="191"/>
      <c r="AQF41" s="191"/>
      <c r="AQG41" s="191"/>
      <c r="AQP41" s="191"/>
      <c r="AQQ41" s="191"/>
      <c r="AQR41" s="191"/>
      <c r="AQS41" s="191"/>
      <c r="ARB41" s="191"/>
      <c r="ARC41" s="191"/>
      <c r="ARD41" s="191"/>
      <c r="ARE41" s="191"/>
      <c r="ARN41" s="191"/>
      <c r="ARO41" s="191"/>
      <c r="ARP41" s="191"/>
      <c r="ARQ41" s="191"/>
      <c r="ARZ41" s="191"/>
      <c r="ASA41" s="191"/>
      <c r="ASB41" s="191"/>
      <c r="ASC41" s="191"/>
      <c r="ASL41" s="191"/>
      <c r="ASM41" s="191"/>
      <c r="ASN41" s="191"/>
      <c r="ASO41" s="191"/>
      <c r="ASX41" s="191"/>
      <c r="ASY41" s="191"/>
      <c r="ASZ41" s="191"/>
      <c r="ATA41" s="191"/>
      <c r="ATJ41" s="191"/>
      <c r="ATK41" s="191"/>
      <c r="ATL41" s="191"/>
      <c r="ATM41" s="191"/>
      <c r="ATV41" s="191"/>
      <c r="ATW41" s="191"/>
      <c r="ATX41" s="191"/>
      <c r="ATY41" s="191"/>
      <c r="AUH41" s="191"/>
      <c r="AUI41" s="191"/>
      <c r="AUJ41" s="191"/>
      <c r="AUK41" s="191"/>
      <c r="AUT41" s="191"/>
      <c r="AUU41" s="191"/>
      <c r="AUV41" s="191"/>
      <c r="AUW41" s="191"/>
      <c r="AVF41" s="191"/>
      <c r="AVG41" s="191"/>
      <c r="AVH41" s="191"/>
      <c r="AVI41" s="191"/>
      <c r="AVR41" s="191"/>
      <c r="AVS41" s="191"/>
      <c r="AVT41" s="191"/>
      <c r="AVU41" s="191"/>
      <c r="AWD41" s="191"/>
      <c r="AWE41" s="191"/>
      <c r="AWF41" s="191"/>
      <c r="AWG41" s="191"/>
      <c r="AWP41" s="191"/>
      <c r="AWQ41" s="191"/>
      <c r="AWR41" s="191"/>
      <c r="AWS41" s="191"/>
      <c r="AXB41" s="191"/>
      <c r="AXC41" s="191"/>
      <c r="AXD41" s="191"/>
      <c r="AXE41" s="191"/>
      <c r="AXN41" s="191"/>
      <c r="AXO41" s="191"/>
      <c r="AXP41" s="191"/>
      <c r="AXQ41" s="191"/>
      <c r="AXZ41" s="191"/>
      <c r="AYA41" s="191"/>
      <c r="AYB41" s="191"/>
      <c r="AYC41" s="191"/>
      <c r="AYL41" s="191" t="s">
        <v>95</v>
      </c>
      <c r="AYM41" s="191"/>
      <c r="AYN41" s="191"/>
      <c r="AYO41" s="191"/>
      <c r="AYX41" s="191" t="s">
        <v>95</v>
      </c>
      <c r="AYY41" s="191"/>
      <c r="AYZ41" s="191"/>
      <c r="AZA41" s="191"/>
      <c r="AZJ41" s="191" t="s">
        <v>95</v>
      </c>
      <c r="AZK41" s="191"/>
      <c r="AZL41" s="191"/>
      <c r="AZM41" s="191"/>
      <c r="AZV41" s="191" t="s">
        <v>95</v>
      </c>
      <c r="AZW41" s="191"/>
      <c r="AZX41" s="191"/>
      <c r="AZY41" s="191"/>
      <c r="BAH41" s="191" t="s">
        <v>95</v>
      </c>
      <c r="BAI41" s="191"/>
      <c r="BAJ41" s="191"/>
      <c r="BAK41" s="191"/>
      <c r="BAT41" s="191" t="s">
        <v>95</v>
      </c>
      <c r="BAU41" s="191"/>
      <c r="BAV41" s="191"/>
      <c r="BAW41" s="191"/>
      <c r="BBF41" s="191" t="s">
        <v>95</v>
      </c>
      <c r="BBG41" s="191"/>
      <c r="BBH41" s="191"/>
      <c r="BBI41" s="191"/>
      <c r="BBR41" s="191" t="s">
        <v>95</v>
      </c>
      <c r="BBS41" s="191"/>
      <c r="BBT41" s="191"/>
      <c r="BBU41" s="191"/>
      <c r="BCD41" s="191" t="s">
        <v>95</v>
      </c>
      <c r="BCE41" s="191"/>
      <c r="BCF41" s="191"/>
      <c r="BCG41" s="191"/>
      <c r="BCP41" s="191" t="s">
        <v>95</v>
      </c>
      <c r="BCQ41" s="191"/>
      <c r="BCR41" s="191"/>
      <c r="BCS41" s="191"/>
      <c r="BDB41" s="191" t="s">
        <v>95</v>
      </c>
      <c r="BDC41" s="191"/>
      <c r="BDD41" s="191"/>
      <c r="BDE41" s="191"/>
      <c r="BDN41" s="191" t="s">
        <v>95</v>
      </c>
      <c r="BDO41" s="191"/>
      <c r="BDP41" s="191"/>
      <c r="BDQ41" s="191"/>
      <c r="BDZ41" s="191" t="s">
        <v>95</v>
      </c>
      <c r="BEA41" s="191"/>
      <c r="BEB41" s="191"/>
      <c r="BEC41" s="191"/>
      <c r="BEL41" s="191" t="s">
        <v>95</v>
      </c>
      <c r="BEM41" s="191"/>
      <c r="BEN41" s="191"/>
      <c r="BEO41" s="191"/>
      <c r="BEX41" s="191" t="s">
        <v>95</v>
      </c>
      <c r="BEY41" s="191"/>
      <c r="BEZ41" s="191"/>
      <c r="BFA41" s="191"/>
      <c r="BFJ41" s="191" t="s">
        <v>95</v>
      </c>
      <c r="BFK41" s="191"/>
      <c r="BFL41" s="191"/>
      <c r="BFM41" s="191"/>
      <c r="BFV41" s="191" t="s">
        <v>95</v>
      </c>
      <c r="BFW41" s="191"/>
      <c r="BFX41" s="191"/>
      <c r="BFY41" s="191"/>
      <c r="BGH41" s="191" t="s">
        <v>95</v>
      </c>
      <c r="BGI41" s="191"/>
      <c r="BGJ41" s="191"/>
      <c r="BGK41" s="191"/>
      <c r="BGT41" s="191" t="s">
        <v>95</v>
      </c>
      <c r="BGU41" s="191"/>
      <c r="BGV41" s="191"/>
      <c r="BGW41" s="191"/>
      <c r="BHF41" s="191" t="s">
        <v>95</v>
      </c>
      <c r="BHG41" s="191"/>
      <c r="BHH41" s="191"/>
      <c r="BHI41" s="191"/>
      <c r="BHR41" s="191" t="s">
        <v>95</v>
      </c>
      <c r="BHS41" s="191"/>
      <c r="BHT41" s="191"/>
      <c r="BHU41" s="191"/>
      <c r="BID41" s="191" t="s">
        <v>95</v>
      </c>
      <c r="BIE41" s="191"/>
      <c r="BIF41" s="191"/>
      <c r="BIG41" s="191"/>
      <c r="BIP41" s="191" t="s">
        <v>95</v>
      </c>
      <c r="BIQ41" s="191"/>
      <c r="BIR41" s="191"/>
      <c r="BIS41" s="191"/>
      <c r="BJB41" s="191" t="s">
        <v>95</v>
      </c>
      <c r="BJC41" s="191"/>
      <c r="BJD41" s="191"/>
      <c r="BJE41" s="191"/>
      <c r="BJN41" s="191" t="s">
        <v>95</v>
      </c>
      <c r="BJO41" s="191"/>
      <c r="BJP41" s="191"/>
      <c r="BJQ41" s="191"/>
      <c r="BJZ41" s="191" t="s">
        <v>95</v>
      </c>
      <c r="BKA41" s="191"/>
      <c r="BKB41" s="191"/>
      <c r="BKC41" s="191"/>
      <c r="BKL41" s="191" t="s">
        <v>95</v>
      </c>
      <c r="BKM41" s="191"/>
      <c r="BKN41" s="191"/>
      <c r="BKO41" s="191"/>
      <c r="BKX41" s="191" t="s">
        <v>95</v>
      </c>
      <c r="BKY41" s="191"/>
      <c r="BKZ41" s="191"/>
      <c r="BLA41" s="191"/>
      <c r="BLJ41" s="191" t="s">
        <v>95</v>
      </c>
      <c r="BLK41" s="191"/>
      <c r="BLL41" s="191"/>
      <c r="BLM41" s="191"/>
      <c r="BLV41" s="191" t="s">
        <v>95</v>
      </c>
      <c r="BLW41" s="191"/>
      <c r="BLX41" s="191"/>
      <c r="BLY41" s="191"/>
      <c r="BMH41" s="191" t="s">
        <v>95</v>
      </c>
      <c r="BMI41" s="191"/>
      <c r="BMJ41" s="191"/>
      <c r="BMK41" s="191"/>
      <c r="BMT41" s="191" t="s">
        <v>95</v>
      </c>
      <c r="BMU41" s="191"/>
      <c r="BMV41" s="191"/>
      <c r="BMW41" s="191"/>
      <c r="BNF41" s="191" t="s">
        <v>95</v>
      </c>
      <c r="BNG41" s="191"/>
      <c r="BNH41" s="191"/>
      <c r="BNI41" s="191"/>
      <c r="BNR41" s="191" t="s">
        <v>95</v>
      </c>
      <c r="BNS41" s="191"/>
      <c r="BNT41" s="191"/>
      <c r="BNU41" s="191"/>
      <c r="BOD41" s="191" t="s">
        <v>95</v>
      </c>
      <c r="BOE41" s="191"/>
      <c r="BOF41" s="191"/>
      <c r="BOG41" s="191"/>
      <c r="BOP41" s="191" t="s">
        <v>95</v>
      </c>
      <c r="BOQ41" s="191"/>
      <c r="BOR41" s="191"/>
      <c r="BOS41" s="191"/>
      <c r="BPB41" s="191" t="s">
        <v>95</v>
      </c>
      <c r="BPC41" s="191"/>
      <c r="BPD41" s="191"/>
      <c r="BPE41" s="191"/>
      <c r="BPN41" s="191" t="s">
        <v>95</v>
      </c>
      <c r="BPO41" s="191"/>
      <c r="BPP41" s="191"/>
      <c r="BPQ41" s="191"/>
      <c r="BPZ41" s="191" t="s">
        <v>95</v>
      </c>
      <c r="BQA41" s="191"/>
      <c r="BQB41" s="191"/>
      <c r="BQC41" s="191"/>
      <c r="BQL41" s="191" t="s">
        <v>95</v>
      </c>
      <c r="BQM41" s="191"/>
      <c r="BQN41" s="191"/>
      <c r="BQO41" s="191"/>
      <c r="BQX41" s="191" t="s">
        <v>95</v>
      </c>
      <c r="BQY41" s="191"/>
      <c r="BQZ41" s="191"/>
      <c r="BRA41" s="191"/>
      <c r="BRJ41" s="191" t="s">
        <v>95</v>
      </c>
      <c r="BRK41" s="191"/>
      <c r="BRL41" s="191"/>
      <c r="BRM41" s="191"/>
      <c r="BRV41" s="191" t="s">
        <v>95</v>
      </c>
      <c r="BRW41" s="191"/>
      <c r="BRX41" s="191"/>
      <c r="BRY41" s="191"/>
      <c r="BSH41" s="191" t="s">
        <v>95</v>
      </c>
      <c r="BSI41" s="191"/>
      <c r="BSJ41" s="191"/>
      <c r="BSK41" s="191"/>
      <c r="BST41" s="191" t="s">
        <v>95</v>
      </c>
      <c r="BSU41" s="191"/>
      <c r="BSV41" s="191"/>
      <c r="BSW41" s="191"/>
      <c r="BTF41" s="191" t="s">
        <v>95</v>
      </c>
      <c r="BTG41" s="191"/>
      <c r="BTH41" s="191"/>
      <c r="BTI41" s="191"/>
      <c r="BTR41" s="191" t="s">
        <v>95</v>
      </c>
      <c r="BTS41" s="191"/>
      <c r="BTT41" s="191"/>
      <c r="BTU41" s="191"/>
      <c r="BUD41" s="191" t="s">
        <v>95</v>
      </c>
      <c r="BUE41" s="191"/>
      <c r="BUF41" s="191"/>
      <c r="BUG41" s="191"/>
      <c r="BUP41" s="191" t="s">
        <v>95</v>
      </c>
      <c r="BUQ41" s="191"/>
      <c r="BUR41" s="191"/>
      <c r="BUS41" s="191"/>
      <c r="BVB41" s="191" t="s">
        <v>95</v>
      </c>
      <c r="BVC41" s="191"/>
      <c r="BVD41" s="191"/>
      <c r="BVE41" s="191"/>
      <c r="BVN41" s="191" t="s">
        <v>95</v>
      </c>
      <c r="BVO41" s="191"/>
      <c r="BVP41" s="191"/>
      <c r="BVQ41" s="191"/>
      <c r="BVZ41" s="191" t="s">
        <v>95</v>
      </c>
      <c r="BWA41" s="191"/>
      <c r="BWB41" s="191"/>
      <c r="BWC41" s="191"/>
      <c r="BWL41" s="191" t="s">
        <v>95</v>
      </c>
      <c r="BWM41" s="191"/>
      <c r="BWN41" s="191"/>
      <c r="BWO41" s="191"/>
      <c r="BWX41" s="191" t="s">
        <v>95</v>
      </c>
      <c r="BWY41" s="191"/>
      <c r="BWZ41" s="191"/>
      <c r="BXA41" s="191"/>
      <c r="BXJ41" s="191" t="s">
        <v>95</v>
      </c>
      <c r="BXK41" s="191"/>
      <c r="BXL41" s="191"/>
      <c r="BXM41" s="191"/>
      <c r="BXV41" s="191" t="s">
        <v>95</v>
      </c>
      <c r="BXW41" s="191"/>
      <c r="BXX41" s="191"/>
      <c r="BXY41" s="191"/>
      <c r="BYH41" s="191" t="s">
        <v>95</v>
      </c>
      <c r="BYI41" s="191"/>
      <c r="BYJ41" s="191"/>
      <c r="BYK41" s="191"/>
      <c r="BYT41" s="191"/>
      <c r="BYU41" s="191"/>
      <c r="BYV41" s="191"/>
      <c r="BYW41" s="191"/>
      <c r="BZF41" s="191"/>
      <c r="BZG41" s="191"/>
      <c r="BZH41" s="191"/>
      <c r="BZI41" s="191"/>
      <c r="BZR41" s="191"/>
      <c r="BZS41" s="191"/>
      <c r="BZT41" s="191"/>
      <c r="BZU41" s="191"/>
      <c r="CAD41" s="191"/>
      <c r="CAE41" s="191"/>
      <c r="CAF41" s="191"/>
      <c r="CAG41" s="191"/>
      <c r="CAP41" s="191"/>
      <c r="CAQ41" s="191"/>
      <c r="CAR41" s="191"/>
      <c r="CAS41" s="191"/>
      <c r="CBB41" s="191"/>
      <c r="CBC41" s="191"/>
      <c r="CBD41" s="191"/>
      <c r="CBE41" s="191"/>
      <c r="CBN41" s="191"/>
      <c r="CBO41" s="191"/>
      <c r="CBP41" s="191"/>
      <c r="CBQ41" s="191"/>
      <c r="CBZ41" s="191"/>
      <c r="CCA41" s="191"/>
      <c r="CCB41" s="191"/>
      <c r="CCC41" s="191"/>
      <c r="CCL41" s="191"/>
      <c r="CCM41" s="191"/>
      <c r="CCN41" s="191"/>
      <c r="CCO41" s="191"/>
      <c r="CCX41" s="191"/>
      <c r="CCY41" s="191"/>
      <c r="CCZ41" s="191"/>
      <c r="CDA41" s="191"/>
      <c r="CDJ41" s="191"/>
      <c r="CDK41" s="191"/>
      <c r="CDL41" s="191"/>
      <c r="CDM41" s="191"/>
      <c r="CDV41" s="191"/>
      <c r="CDW41" s="191"/>
      <c r="CDX41" s="191"/>
      <c r="CDY41" s="191"/>
      <c r="CEH41" s="191"/>
      <c r="CEI41" s="191"/>
      <c r="CEJ41" s="191"/>
      <c r="CEK41" s="191"/>
      <c r="CET41" s="191"/>
      <c r="CEU41" s="191"/>
      <c r="CEV41" s="191"/>
      <c r="CEW41" s="191"/>
      <c r="CFF41" s="191"/>
      <c r="CFG41" s="191"/>
      <c r="CFH41" s="191"/>
      <c r="CFI41" s="191"/>
      <c r="CFR41" s="191"/>
      <c r="CFS41" s="191"/>
      <c r="CFT41" s="191"/>
      <c r="CFU41" s="191"/>
      <c r="CGD41" s="191"/>
      <c r="CGE41" s="191"/>
      <c r="CGF41" s="191"/>
      <c r="CGG41" s="191"/>
      <c r="CGP41" s="191"/>
      <c r="CGQ41" s="191"/>
      <c r="CGR41" s="191"/>
      <c r="CGS41" s="191"/>
      <c r="CHB41" s="191"/>
      <c r="CHC41" s="191"/>
      <c r="CHD41" s="191"/>
      <c r="CHE41" s="191"/>
      <c r="CHN41" s="191"/>
      <c r="CHO41" s="191"/>
      <c r="CHP41" s="191"/>
      <c r="CHQ41" s="191"/>
      <c r="CHZ41" s="191"/>
      <c r="CIA41" s="191"/>
      <c r="CIB41" s="191"/>
      <c r="CIC41" s="191"/>
      <c r="CIL41" s="191"/>
      <c r="CIM41" s="191"/>
      <c r="CIN41" s="191"/>
      <c r="CIO41" s="191"/>
      <c r="CIX41" s="191"/>
      <c r="CIY41" s="191"/>
      <c r="CIZ41" s="191"/>
      <c r="CJA41" s="191"/>
      <c r="CJJ41" s="191"/>
      <c r="CJK41" s="191"/>
      <c r="CJL41" s="191"/>
      <c r="CJM41" s="191"/>
      <c r="CJV41" s="191"/>
      <c r="CJW41" s="191"/>
      <c r="CJX41" s="191"/>
      <c r="CJY41" s="191"/>
      <c r="CKH41" s="191"/>
      <c r="CKI41" s="191"/>
      <c r="CKJ41" s="191"/>
      <c r="CKK41" s="191"/>
      <c r="CKT41" s="191"/>
      <c r="CKU41" s="191"/>
      <c r="CKV41" s="191"/>
      <c r="CKW41" s="191"/>
      <c r="CLF41" s="191"/>
      <c r="CLG41" s="191"/>
      <c r="CLH41" s="191"/>
      <c r="CLI41" s="191"/>
      <c r="CLR41" s="191"/>
      <c r="CLS41" s="191"/>
      <c r="CLT41" s="191"/>
      <c r="CLU41" s="191"/>
      <c r="CMD41" s="191"/>
      <c r="CME41" s="191"/>
      <c r="CMF41" s="191"/>
      <c r="CMG41" s="191"/>
      <c r="CMP41" s="191"/>
      <c r="CMQ41" s="191"/>
      <c r="CMR41" s="191"/>
      <c r="CMS41" s="191"/>
      <c r="CNB41" s="191"/>
      <c r="CNC41" s="191"/>
      <c r="CND41" s="191"/>
      <c r="CNE41" s="191"/>
      <c r="CNN41" s="191"/>
      <c r="CNO41" s="191"/>
      <c r="CNP41" s="191"/>
      <c r="CNQ41" s="191"/>
      <c r="CNZ41" s="191"/>
      <c r="COA41" s="191"/>
      <c r="COB41" s="191"/>
      <c r="COC41" s="191"/>
      <c r="COL41" s="191"/>
      <c r="COM41" s="191"/>
      <c r="CON41" s="191"/>
      <c r="COO41" s="191"/>
      <c r="COX41" s="191"/>
      <c r="COY41" s="191"/>
      <c r="COZ41" s="191"/>
      <c r="CPA41" s="191"/>
      <c r="CPJ41" s="191"/>
      <c r="CPK41" s="191"/>
      <c r="CPL41" s="191"/>
      <c r="CPM41" s="191"/>
      <c r="CPV41" s="191"/>
      <c r="CPW41" s="191"/>
      <c r="CPX41" s="191"/>
      <c r="CPY41" s="191"/>
      <c r="CQH41" s="191"/>
      <c r="CQI41" s="191"/>
      <c r="CQJ41" s="191"/>
      <c r="CQK41" s="191"/>
      <c r="CQT41" s="191"/>
      <c r="CQU41" s="191"/>
      <c r="CQV41" s="191"/>
      <c r="CQW41" s="191"/>
      <c r="CRF41" s="191"/>
      <c r="CRG41" s="191"/>
      <c r="CRH41" s="191"/>
      <c r="CRI41" s="191"/>
      <c r="CRR41" s="191"/>
      <c r="CRS41" s="191"/>
      <c r="CRT41" s="191"/>
      <c r="CRU41" s="191"/>
      <c r="CSD41" s="191"/>
      <c r="CSE41" s="191"/>
      <c r="CSF41" s="191"/>
      <c r="CSG41" s="191"/>
      <c r="CSP41" s="191"/>
      <c r="CSQ41" s="191"/>
      <c r="CSR41" s="191"/>
      <c r="CSS41" s="191"/>
      <c r="CTB41" s="191"/>
      <c r="CTC41" s="191"/>
      <c r="CTD41" s="191"/>
      <c r="CTE41" s="191"/>
      <c r="CTN41" s="191"/>
      <c r="CTO41" s="191"/>
      <c r="CTP41" s="191"/>
      <c r="CTQ41" s="191"/>
      <c r="CTZ41" s="191"/>
      <c r="CUA41" s="191"/>
      <c r="CUB41" s="191"/>
      <c r="CUC41" s="191"/>
      <c r="CUL41" s="191"/>
      <c r="CUM41" s="191"/>
      <c r="CUN41" s="191"/>
      <c r="CUO41" s="191"/>
      <c r="CUX41" s="191"/>
      <c r="CUY41" s="191"/>
      <c r="CUZ41" s="191"/>
      <c r="CVA41" s="191"/>
      <c r="CVJ41" s="191"/>
      <c r="CVK41" s="191"/>
      <c r="CVL41" s="191"/>
      <c r="CVM41" s="191"/>
      <c r="CVV41" s="191"/>
      <c r="CVW41" s="191"/>
      <c r="CVX41" s="191"/>
      <c r="CVY41" s="191"/>
    </row>
    <row r="42" spans="2:1023 1026:2631" x14ac:dyDescent="0.25">
      <c r="B42" s="195" t="s">
        <v>96</v>
      </c>
      <c r="C42" s="198"/>
      <c r="D42" s="198"/>
      <c r="E42" s="198"/>
      <c r="F42" s="200" t="s">
        <v>97</v>
      </c>
      <c r="G42" s="200"/>
      <c r="H42" s="200"/>
      <c r="I42" s="200"/>
      <c r="J42" s="200"/>
      <c r="K42" s="200"/>
      <c r="L42" s="201"/>
      <c r="P42" s="195" t="s">
        <v>96</v>
      </c>
      <c r="Q42" s="198"/>
      <c r="R42" s="198"/>
      <c r="S42" s="198"/>
      <c r="T42" s="200" t="s">
        <v>97</v>
      </c>
      <c r="U42" s="200"/>
      <c r="V42" s="200"/>
      <c r="W42" s="200"/>
      <c r="X42" s="200"/>
      <c r="Y42" s="200"/>
      <c r="Z42" s="201"/>
      <c r="AD42" s="195" t="s">
        <v>96</v>
      </c>
      <c r="AE42" s="198"/>
      <c r="AF42" s="198"/>
      <c r="AG42" s="198"/>
      <c r="AH42" s="200" t="s">
        <v>97</v>
      </c>
      <c r="AI42" s="200"/>
      <c r="AJ42" s="200"/>
      <c r="AK42" s="200"/>
      <c r="AL42" s="200"/>
      <c r="AM42" s="200"/>
      <c r="AN42" s="201"/>
      <c r="AR42" s="195" t="s">
        <v>96</v>
      </c>
      <c r="AS42" s="198"/>
      <c r="AT42" s="198"/>
      <c r="AU42" s="198"/>
      <c r="AV42" s="200" t="s">
        <v>97</v>
      </c>
      <c r="AW42" s="200"/>
      <c r="AX42" s="200"/>
      <c r="AY42" s="200"/>
      <c r="AZ42" s="200"/>
      <c r="BA42" s="200"/>
      <c r="BB42" s="201"/>
      <c r="BF42" s="195" t="s">
        <v>96</v>
      </c>
      <c r="BG42" s="198"/>
      <c r="BH42" s="198"/>
      <c r="BI42" s="198"/>
      <c r="BJ42" s="200" t="s">
        <v>97</v>
      </c>
      <c r="BK42" s="200"/>
      <c r="BL42" s="200"/>
      <c r="BM42" s="200"/>
      <c r="BN42" s="200"/>
      <c r="BO42" s="200"/>
      <c r="BP42" s="201"/>
      <c r="BT42" s="195" t="s">
        <v>96</v>
      </c>
      <c r="BU42" s="198"/>
      <c r="BV42" s="198"/>
      <c r="BW42" s="198"/>
      <c r="BX42" s="200" t="s">
        <v>97</v>
      </c>
      <c r="BY42" s="200"/>
      <c r="BZ42" s="200"/>
      <c r="CA42" s="200"/>
      <c r="CB42" s="200"/>
      <c r="CC42" s="200"/>
      <c r="CD42" s="201"/>
      <c r="CH42" s="195" t="s">
        <v>96</v>
      </c>
      <c r="CI42" s="198"/>
      <c r="CJ42" s="198"/>
      <c r="CK42" s="198"/>
      <c r="CL42" s="200" t="s">
        <v>97</v>
      </c>
      <c r="CM42" s="200"/>
      <c r="CN42" s="200"/>
      <c r="CO42" s="200"/>
      <c r="CP42" s="200"/>
      <c r="CQ42" s="200"/>
      <c r="CR42" s="201"/>
      <c r="CV42" s="195" t="s">
        <v>96</v>
      </c>
      <c r="CW42" s="198"/>
      <c r="CX42" s="198"/>
      <c r="CY42" s="198"/>
      <c r="CZ42" s="200" t="s">
        <v>97</v>
      </c>
      <c r="DA42" s="200"/>
      <c r="DB42" s="200"/>
      <c r="DC42" s="200"/>
      <c r="DD42" s="200"/>
      <c r="DE42" s="200"/>
      <c r="DF42" s="201"/>
      <c r="DJ42" s="195" t="s">
        <v>96</v>
      </c>
      <c r="DK42" s="198"/>
      <c r="DL42" s="198"/>
      <c r="DM42" s="198"/>
      <c r="DN42" s="200" t="s">
        <v>97</v>
      </c>
      <c r="DO42" s="200"/>
      <c r="DP42" s="200"/>
      <c r="DQ42" s="200"/>
      <c r="DR42" s="200"/>
      <c r="DS42" s="200"/>
      <c r="DT42" s="201"/>
      <c r="DX42" s="195" t="s">
        <v>96</v>
      </c>
      <c r="DY42" s="198"/>
      <c r="DZ42" s="198"/>
      <c r="EA42" s="198"/>
      <c r="EB42" s="200" t="s">
        <v>97</v>
      </c>
      <c r="EC42" s="200"/>
      <c r="ED42" s="200"/>
      <c r="EE42" s="200"/>
      <c r="EF42" s="200"/>
      <c r="EG42" s="200"/>
      <c r="EH42" s="201"/>
      <c r="EL42" s="195" t="s">
        <v>96</v>
      </c>
      <c r="EM42" s="198"/>
      <c r="EN42" s="198"/>
      <c r="EO42" s="198"/>
      <c r="EP42" s="200" t="s">
        <v>97</v>
      </c>
      <c r="EQ42" s="200"/>
      <c r="ER42" s="200"/>
      <c r="ES42" s="200"/>
      <c r="ET42" s="200"/>
      <c r="EU42" s="200"/>
      <c r="EV42" s="201"/>
      <c r="EZ42" s="195" t="s">
        <v>96</v>
      </c>
      <c r="FA42" s="198"/>
      <c r="FB42" s="198"/>
      <c r="FC42" s="198"/>
      <c r="FD42" s="200" t="s">
        <v>97</v>
      </c>
      <c r="FE42" s="200"/>
      <c r="FF42" s="200"/>
      <c r="FG42" s="200"/>
      <c r="FH42" s="200"/>
      <c r="FI42" s="200"/>
      <c r="FJ42" s="201"/>
      <c r="FN42" s="195" t="s">
        <v>96</v>
      </c>
      <c r="FO42" s="198"/>
      <c r="FP42" s="198"/>
      <c r="FQ42" s="198"/>
      <c r="FR42" s="200" t="s">
        <v>97</v>
      </c>
      <c r="FS42" s="200"/>
      <c r="FT42" s="200"/>
      <c r="FU42" s="200"/>
      <c r="FV42" s="200"/>
      <c r="FW42" s="200"/>
      <c r="FX42" s="201"/>
      <c r="GB42" s="195" t="s">
        <v>96</v>
      </c>
      <c r="GC42" s="198"/>
      <c r="GD42" s="198"/>
      <c r="GE42" s="198"/>
      <c r="GF42" s="200" t="s">
        <v>97</v>
      </c>
      <c r="GG42" s="200"/>
      <c r="GH42" s="200"/>
      <c r="GI42" s="200"/>
      <c r="GJ42" s="200"/>
      <c r="GK42" s="200"/>
      <c r="GL42" s="201"/>
      <c r="GP42" s="195" t="s">
        <v>96</v>
      </c>
      <c r="GQ42" s="198"/>
      <c r="GR42" s="198"/>
      <c r="GS42" s="198"/>
      <c r="GT42" s="200" t="s">
        <v>97</v>
      </c>
      <c r="GU42" s="200"/>
      <c r="GV42" s="200"/>
      <c r="GW42" s="200"/>
      <c r="GX42" s="200"/>
      <c r="GY42" s="200"/>
      <c r="GZ42" s="201"/>
      <c r="HD42" s="195" t="s">
        <v>96</v>
      </c>
      <c r="HE42" s="198"/>
      <c r="HF42" s="198"/>
      <c r="HG42" s="198"/>
      <c r="HH42" s="200" t="s">
        <v>97</v>
      </c>
      <c r="HI42" s="200"/>
      <c r="HJ42" s="200"/>
      <c r="HK42" s="200"/>
      <c r="HL42" s="200"/>
      <c r="HM42" s="200"/>
      <c r="HN42" s="201"/>
      <c r="HR42" s="195" t="s">
        <v>96</v>
      </c>
      <c r="HS42" s="198"/>
      <c r="HT42" s="198"/>
      <c r="HU42" s="198"/>
      <c r="HV42" s="200" t="s">
        <v>97</v>
      </c>
      <c r="HW42" s="200"/>
      <c r="HX42" s="200"/>
      <c r="HY42" s="200"/>
      <c r="HZ42" s="200"/>
      <c r="IA42" s="200"/>
      <c r="IB42" s="201"/>
      <c r="IF42" s="195" t="s">
        <v>96</v>
      </c>
      <c r="IG42" s="198"/>
      <c r="IH42" s="198"/>
      <c r="II42" s="198"/>
      <c r="IJ42" s="200" t="s">
        <v>97</v>
      </c>
      <c r="IK42" s="200"/>
      <c r="IL42" s="200"/>
      <c r="IM42" s="200"/>
      <c r="IN42" s="200"/>
      <c r="IO42" s="200"/>
      <c r="IP42" s="201"/>
      <c r="IT42" s="195" t="s">
        <v>96</v>
      </c>
      <c r="IU42" s="198"/>
      <c r="IV42" s="198"/>
      <c r="IW42" s="198"/>
      <c r="IX42" s="200" t="s">
        <v>97</v>
      </c>
      <c r="IY42" s="200"/>
      <c r="IZ42" s="200"/>
      <c r="JA42" s="200"/>
      <c r="JB42" s="200"/>
      <c r="JC42" s="200"/>
      <c r="JD42" s="201"/>
      <c r="JH42" s="195" t="s">
        <v>96</v>
      </c>
      <c r="JI42" s="198"/>
      <c r="JJ42" s="198"/>
      <c r="JK42" s="198"/>
      <c r="JL42" s="200" t="s">
        <v>97</v>
      </c>
      <c r="JM42" s="200"/>
      <c r="JN42" s="200"/>
      <c r="JO42" s="200"/>
      <c r="JP42" s="200"/>
      <c r="JQ42" s="200"/>
      <c r="JR42" s="201"/>
      <c r="JV42" s="195" t="s">
        <v>96</v>
      </c>
      <c r="JW42" s="198"/>
      <c r="JX42" s="198"/>
      <c r="JY42" s="198"/>
      <c r="JZ42" s="200" t="s">
        <v>97</v>
      </c>
      <c r="KA42" s="200"/>
      <c r="KB42" s="200"/>
      <c r="KC42" s="200"/>
      <c r="KD42" s="200"/>
      <c r="KE42" s="200"/>
      <c r="KF42" s="201"/>
      <c r="KJ42" s="195" t="s">
        <v>96</v>
      </c>
      <c r="KK42" s="198"/>
      <c r="KL42" s="198"/>
      <c r="KM42" s="198"/>
      <c r="KN42" s="200" t="s">
        <v>97</v>
      </c>
      <c r="KO42" s="200"/>
      <c r="KP42" s="200"/>
      <c r="KQ42" s="200"/>
      <c r="KR42" s="200"/>
      <c r="KS42" s="200"/>
      <c r="KT42" s="201"/>
      <c r="KX42" s="195" t="s">
        <v>96</v>
      </c>
      <c r="KY42" s="198"/>
      <c r="KZ42" s="198"/>
      <c r="LA42" s="198"/>
      <c r="LB42" s="200" t="s">
        <v>97</v>
      </c>
      <c r="LC42" s="200"/>
      <c r="LD42" s="200"/>
      <c r="LE42" s="200"/>
      <c r="LF42" s="200"/>
      <c r="LG42" s="200"/>
      <c r="LH42" s="201"/>
      <c r="LL42" s="195" t="s">
        <v>96</v>
      </c>
      <c r="LM42" s="198"/>
      <c r="LN42" s="198"/>
      <c r="LO42" s="198"/>
      <c r="LP42" s="200" t="s">
        <v>97</v>
      </c>
      <c r="LQ42" s="200"/>
      <c r="LR42" s="200"/>
      <c r="LS42" s="200"/>
      <c r="LT42" s="200"/>
      <c r="LU42" s="200"/>
      <c r="LV42" s="201"/>
      <c r="LZ42" s="195" t="s">
        <v>96</v>
      </c>
      <c r="MA42" s="198"/>
      <c r="MB42" s="198"/>
      <c r="MC42" s="198"/>
      <c r="MD42" s="200" t="s">
        <v>97</v>
      </c>
      <c r="ME42" s="200"/>
      <c r="MF42" s="200"/>
      <c r="MG42" s="200"/>
      <c r="MH42" s="200"/>
      <c r="MI42" s="200"/>
      <c r="MJ42" s="201"/>
      <c r="MN42" s="195" t="s">
        <v>96</v>
      </c>
      <c r="MO42" s="198"/>
      <c r="MP42" s="198"/>
      <c r="MQ42" s="198"/>
      <c r="MR42" s="200" t="s">
        <v>97</v>
      </c>
      <c r="MS42" s="200"/>
      <c r="MT42" s="200"/>
      <c r="MU42" s="200"/>
      <c r="MV42" s="200"/>
      <c r="MW42" s="200"/>
      <c r="MX42" s="201"/>
      <c r="NB42" s="195" t="s">
        <v>96</v>
      </c>
      <c r="NC42" s="198"/>
      <c r="ND42" s="198"/>
      <c r="NE42" s="198"/>
      <c r="NF42" s="200" t="s">
        <v>97</v>
      </c>
      <c r="NG42" s="200"/>
      <c r="NH42" s="200"/>
      <c r="NI42" s="200"/>
      <c r="NJ42" s="200"/>
      <c r="NK42" s="200"/>
      <c r="NL42" s="201"/>
      <c r="NP42" s="195" t="s">
        <v>96</v>
      </c>
      <c r="NQ42" s="198"/>
      <c r="NR42" s="198"/>
      <c r="NS42" s="198"/>
      <c r="NT42" s="200" t="s">
        <v>97</v>
      </c>
      <c r="NU42" s="200"/>
      <c r="NV42" s="200"/>
      <c r="NW42" s="200"/>
      <c r="NX42" s="200"/>
      <c r="NY42" s="200"/>
      <c r="NZ42" s="201"/>
      <c r="OD42" s="195" t="s">
        <v>96</v>
      </c>
      <c r="OE42" s="198"/>
      <c r="OF42" s="198"/>
      <c r="OG42" s="198"/>
      <c r="OH42" s="200" t="s">
        <v>97</v>
      </c>
      <c r="OI42" s="200"/>
      <c r="OJ42" s="200"/>
      <c r="OK42" s="200"/>
      <c r="OL42" s="200"/>
      <c r="OM42" s="200"/>
      <c r="ON42" s="201"/>
      <c r="OR42" s="195" t="s">
        <v>96</v>
      </c>
      <c r="OS42" s="198"/>
      <c r="OT42" s="198"/>
      <c r="OU42" s="198"/>
      <c r="OV42" s="200" t="s">
        <v>97</v>
      </c>
      <c r="OW42" s="200"/>
      <c r="OX42" s="200"/>
      <c r="OY42" s="200"/>
      <c r="OZ42" s="200"/>
      <c r="PA42" s="200"/>
      <c r="PB42" s="201"/>
      <c r="PF42" s="195" t="s">
        <v>96</v>
      </c>
      <c r="PG42" s="198"/>
      <c r="PH42" s="198"/>
      <c r="PI42" s="198"/>
      <c r="PJ42" s="200" t="s">
        <v>97</v>
      </c>
      <c r="PK42" s="200"/>
      <c r="PL42" s="200"/>
      <c r="PM42" s="200"/>
      <c r="PN42" s="200"/>
      <c r="PO42" s="200"/>
      <c r="PP42" s="201"/>
      <c r="PT42" s="195" t="s">
        <v>96</v>
      </c>
      <c r="PU42" s="198"/>
      <c r="PV42" s="198"/>
      <c r="PW42" s="198"/>
      <c r="PX42" s="200" t="s">
        <v>97</v>
      </c>
      <c r="PY42" s="200"/>
      <c r="PZ42" s="200"/>
      <c r="QA42" s="200"/>
      <c r="QB42" s="200"/>
      <c r="QC42" s="200"/>
      <c r="QD42" s="201"/>
      <c r="QH42" s="195" t="s">
        <v>96</v>
      </c>
      <c r="QI42" s="198"/>
      <c r="QJ42" s="198"/>
      <c r="QK42" s="198"/>
      <c r="QL42" s="200" t="s">
        <v>97</v>
      </c>
      <c r="QM42" s="200"/>
      <c r="QN42" s="200"/>
      <c r="QO42" s="200"/>
      <c r="QP42" s="200"/>
      <c r="QQ42" s="200"/>
      <c r="QR42" s="201"/>
      <c r="QV42" s="195" t="s">
        <v>96</v>
      </c>
      <c r="QW42" s="198"/>
      <c r="QX42" s="198"/>
      <c r="QY42" s="198"/>
      <c r="QZ42" s="200" t="s">
        <v>97</v>
      </c>
      <c r="RA42" s="200"/>
      <c r="RB42" s="200"/>
      <c r="RC42" s="200"/>
      <c r="RD42" s="200"/>
      <c r="RE42" s="200"/>
      <c r="RF42" s="201"/>
      <c r="RJ42" s="195" t="s">
        <v>96</v>
      </c>
      <c r="RK42" s="198"/>
      <c r="RL42" s="198"/>
      <c r="RM42" s="198"/>
      <c r="RN42" s="200" t="s">
        <v>97</v>
      </c>
      <c r="RO42" s="200"/>
      <c r="RP42" s="200"/>
      <c r="RQ42" s="200"/>
      <c r="RR42" s="200"/>
      <c r="RS42" s="200"/>
      <c r="RT42" s="201"/>
      <c r="RX42" s="195" t="s">
        <v>96</v>
      </c>
      <c r="RY42" s="198"/>
      <c r="RZ42" s="198"/>
      <c r="SA42" s="198"/>
      <c r="SB42" s="200" t="s">
        <v>97</v>
      </c>
      <c r="SC42" s="200"/>
      <c r="SD42" s="200"/>
      <c r="SE42" s="200"/>
      <c r="SF42" s="200"/>
      <c r="SG42" s="200"/>
      <c r="SH42" s="201"/>
      <c r="SL42" s="195" t="s">
        <v>96</v>
      </c>
      <c r="SM42" s="198"/>
      <c r="SN42" s="198"/>
      <c r="SO42" s="198"/>
      <c r="SP42" s="200" t="s">
        <v>97</v>
      </c>
      <c r="SQ42" s="200"/>
      <c r="SR42" s="200"/>
      <c r="SS42" s="200"/>
      <c r="ST42" s="200"/>
      <c r="SU42" s="200"/>
      <c r="SV42" s="201"/>
      <c r="SZ42" s="195" t="s">
        <v>96</v>
      </c>
      <c r="TA42" s="198"/>
      <c r="TB42" s="198"/>
      <c r="TC42" s="198"/>
      <c r="TD42" s="200" t="s">
        <v>97</v>
      </c>
      <c r="TE42" s="200"/>
      <c r="TF42" s="200"/>
      <c r="TG42" s="200"/>
      <c r="TH42" s="200"/>
      <c r="TI42" s="200"/>
      <c r="TJ42" s="201"/>
      <c r="TN42" s="195" t="s">
        <v>96</v>
      </c>
      <c r="TO42" s="198"/>
      <c r="TP42" s="198"/>
      <c r="TQ42" s="198"/>
      <c r="TR42" s="200" t="s">
        <v>97</v>
      </c>
      <c r="TS42" s="200"/>
      <c r="TT42" s="200"/>
      <c r="TU42" s="200"/>
      <c r="TV42" s="200"/>
      <c r="TW42" s="200"/>
      <c r="TX42" s="201"/>
      <c r="UB42" s="195" t="s">
        <v>96</v>
      </c>
      <c r="UC42" s="198"/>
      <c r="UD42" s="198"/>
      <c r="UE42" s="198"/>
      <c r="UF42" s="200" t="s">
        <v>97</v>
      </c>
      <c r="UG42" s="200"/>
      <c r="UH42" s="200"/>
      <c r="UI42" s="200"/>
      <c r="UJ42" s="200"/>
      <c r="UK42" s="200"/>
      <c r="UL42" s="201"/>
      <c r="UP42" s="195" t="s">
        <v>96</v>
      </c>
      <c r="UQ42" s="198"/>
      <c r="UR42" s="198"/>
      <c r="US42" s="198"/>
      <c r="UT42" s="200" t="s">
        <v>97</v>
      </c>
      <c r="UU42" s="200"/>
      <c r="UV42" s="200"/>
      <c r="UW42" s="200"/>
      <c r="UX42" s="200"/>
      <c r="UY42" s="200"/>
      <c r="UZ42" s="201"/>
      <c r="VD42" s="195" t="s">
        <v>96</v>
      </c>
      <c r="VE42" s="198"/>
      <c r="VF42" s="198"/>
      <c r="VG42" s="198"/>
      <c r="VH42" s="200" t="s">
        <v>97</v>
      </c>
      <c r="VI42" s="200"/>
      <c r="VJ42" s="200"/>
      <c r="VK42" s="200"/>
      <c r="VL42" s="200"/>
      <c r="VM42" s="200"/>
      <c r="VN42" s="201"/>
      <c r="VR42" s="195" t="s">
        <v>96</v>
      </c>
      <c r="VS42" s="198"/>
      <c r="VT42" s="198"/>
      <c r="VU42" s="198"/>
      <c r="VV42" s="200" t="s">
        <v>97</v>
      </c>
      <c r="VW42" s="200"/>
      <c r="VX42" s="200"/>
      <c r="VY42" s="200"/>
      <c r="VZ42" s="200"/>
      <c r="WA42" s="200"/>
      <c r="WB42" s="201"/>
      <c r="WF42" s="195" t="s">
        <v>96</v>
      </c>
      <c r="WG42" s="198"/>
      <c r="WH42" s="198"/>
      <c r="WI42" s="198"/>
      <c r="WJ42" s="200" t="s">
        <v>97</v>
      </c>
      <c r="WK42" s="200"/>
      <c r="WL42" s="200"/>
      <c r="WM42" s="200"/>
      <c r="WN42" s="200"/>
      <c r="WO42" s="200"/>
      <c r="WP42" s="201"/>
      <c r="WT42" s="195" t="s">
        <v>96</v>
      </c>
      <c r="WU42" s="198"/>
      <c r="WV42" s="198"/>
      <c r="WW42" s="198"/>
      <c r="WX42" s="200" t="s">
        <v>97</v>
      </c>
      <c r="WY42" s="200"/>
      <c r="WZ42" s="200"/>
      <c r="XA42" s="200"/>
      <c r="XB42" s="200"/>
      <c r="XC42" s="200"/>
      <c r="XD42" s="201"/>
      <c r="XH42" s="195" t="s">
        <v>96</v>
      </c>
      <c r="XI42" s="198"/>
      <c r="XJ42" s="198"/>
      <c r="XK42" s="198"/>
      <c r="XL42" s="200" t="s">
        <v>97</v>
      </c>
      <c r="XM42" s="200"/>
      <c r="XN42" s="200"/>
      <c r="XO42" s="200"/>
      <c r="XP42" s="200"/>
      <c r="XQ42" s="200"/>
      <c r="XR42" s="201"/>
      <c r="XV42" s="195" t="s">
        <v>96</v>
      </c>
      <c r="XW42" s="198"/>
      <c r="XX42" s="198"/>
      <c r="XY42" s="198"/>
      <c r="XZ42" s="200" t="s">
        <v>97</v>
      </c>
      <c r="YA42" s="200"/>
      <c r="YB42" s="200"/>
      <c r="YC42" s="200"/>
      <c r="YD42" s="200"/>
      <c r="YE42" s="200"/>
      <c r="YF42" s="201"/>
      <c r="YJ42" s="195" t="s">
        <v>96</v>
      </c>
      <c r="YK42" s="198"/>
      <c r="YL42" s="198"/>
      <c r="YM42" s="198"/>
      <c r="YN42" s="200" t="s">
        <v>97</v>
      </c>
      <c r="YO42" s="200"/>
      <c r="YP42" s="200"/>
      <c r="YQ42" s="200"/>
      <c r="YR42" s="200"/>
      <c r="YS42" s="200"/>
      <c r="YT42" s="201"/>
      <c r="YX42" s="195" t="s">
        <v>96</v>
      </c>
      <c r="YY42" s="198"/>
      <c r="YZ42" s="198"/>
      <c r="ZA42" s="198"/>
      <c r="ZB42" s="200" t="s">
        <v>97</v>
      </c>
      <c r="ZC42" s="200"/>
      <c r="ZD42" s="200"/>
      <c r="ZE42" s="200"/>
      <c r="ZF42" s="200"/>
      <c r="ZG42" s="200"/>
      <c r="ZH42" s="201"/>
      <c r="ZL42" s="195" t="s">
        <v>96</v>
      </c>
      <c r="ZM42" s="198"/>
      <c r="ZN42" s="198"/>
      <c r="ZO42" s="198"/>
      <c r="ZP42" s="200" t="s">
        <v>97</v>
      </c>
      <c r="ZQ42" s="200"/>
      <c r="ZR42" s="200"/>
      <c r="ZS42" s="200"/>
      <c r="ZT42" s="200"/>
      <c r="ZU42" s="200"/>
      <c r="ZV42" s="201"/>
      <c r="ZY42" s="4"/>
      <c r="ZZ42" s="191"/>
      <c r="AAA42" s="191"/>
      <c r="AAB42" s="191"/>
      <c r="AAC42" s="191"/>
      <c r="AAG42" s="202"/>
      <c r="AAH42" s="202"/>
      <c r="AAI42" s="202"/>
      <c r="AAL42" s="4"/>
      <c r="AAM42" s="191"/>
      <c r="AAN42" s="191"/>
      <c r="AAO42" s="191"/>
      <c r="AAP42" s="191"/>
      <c r="AAT42" s="202"/>
      <c r="AAU42" s="202"/>
      <c r="AAV42" s="202"/>
      <c r="AAY42" s="4"/>
      <c r="AAZ42" s="191"/>
      <c r="ABA42" s="191"/>
      <c r="ABB42" s="191"/>
      <c r="ABC42" s="191"/>
      <c r="ABG42" s="202"/>
      <c r="ABH42" s="202"/>
      <c r="ABI42" s="202"/>
      <c r="ABL42" s="4"/>
      <c r="ABM42" s="191" t="s">
        <v>98</v>
      </c>
      <c r="ABN42" s="191"/>
      <c r="ABO42" s="191"/>
      <c r="ABP42" s="191"/>
      <c r="ABT42" s="202"/>
      <c r="ABU42" s="202"/>
      <c r="ABV42" s="202"/>
      <c r="ABY42" s="4"/>
      <c r="ABZ42" s="191" t="s">
        <v>98</v>
      </c>
      <c r="ACA42" s="191"/>
      <c r="ACB42" s="191"/>
      <c r="ACC42" s="191"/>
      <c r="ACG42" s="202"/>
      <c r="ACH42" s="202"/>
      <c r="ACI42" s="202"/>
      <c r="ACL42" s="4"/>
      <c r="ACM42" s="191" t="s">
        <v>98</v>
      </c>
      <c r="ACN42" s="191"/>
      <c r="ACO42" s="191"/>
      <c r="ACP42" s="191"/>
      <c r="ACT42" s="202"/>
      <c r="ACU42" s="202"/>
      <c r="ACV42" s="202"/>
      <c r="ACY42" s="4"/>
      <c r="ACZ42" s="191" t="s">
        <v>98</v>
      </c>
      <c r="ADA42" s="191"/>
      <c r="ADB42" s="191"/>
      <c r="ADC42" s="191"/>
      <c r="ADG42" s="202"/>
      <c r="ADH42" s="202"/>
      <c r="ADI42" s="202"/>
      <c r="ADL42" s="4"/>
      <c r="ADM42" s="191" t="s">
        <v>98</v>
      </c>
      <c r="ADN42" s="191"/>
      <c r="ADO42" s="191"/>
      <c r="ADP42" s="191"/>
      <c r="ADT42" s="202"/>
      <c r="ADU42" s="202"/>
      <c r="ADV42" s="202"/>
      <c r="ADY42" s="4"/>
      <c r="ADZ42" s="191" t="s">
        <v>98</v>
      </c>
      <c r="AEA42" s="191"/>
      <c r="AEB42" s="191"/>
      <c r="AEC42" s="191"/>
      <c r="AEG42" s="202"/>
      <c r="AEH42" s="202"/>
      <c r="AEI42" s="202"/>
      <c r="AEL42" s="4"/>
      <c r="AEM42" s="191" t="s">
        <v>98</v>
      </c>
      <c r="AEN42" s="191"/>
      <c r="AEO42" s="191"/>
      <c r="AEP42" s="191"/>
      <c r="AET42" s="202"/>
      <c r="AEU42" s="202"/>
      <c r="AEV42" s="202"/>
      <c r="AEY42" s="4"/>
      <c r="AEZ42" s="191" t="s">
        <v>98</v>
      </c>
      <c r="AFA42" s="191"/>
      <c r="AFB42" s="191"/>
      <c r="AFC42" s="191"/>
      <c r="AFG42" s="202"/>
      <c r="AFH42" s="202"/>
      <c r="AFI42" s="202"/>
      <c r="AFL42" s="4"/>
      <c r="AFM42" s="191" t="s">
        <v>98</v>
      </c>
      <c r="AFN42" s="191"/>
      <c r="AFO42" s="191"/>
      <c r="AFP42" s="191"/>
      <c r="AFT42" s="202"/>
      <c r="AFU42" s="202"/>
      <c r="AFV42" s="202"/>
      <c r="AFZ42" s="191" t="s">
        <v>98</v>
      </c>
      <c r="AGA42" s="191"/>
      <c r="AGB42" s="191"/>
      <c r="AGC42" s="191"/>
      <c r="AGG42" s="202"/>
      <c r="AGH42" s="202"/>
      <c r="AGI42" s="202"/>
      <c r="AGL42" s="191" t="s">
        <v>98</v>
      </c>
      <c r="AGM42" s="191"/>
      <c r="AGN42" s="191"/>
      <c r="AGO42" s="191"/>
      <c r="AGS42" s="202"/>
      <c r="AGT42" s="202"/>
      <c r="AGU42" s="202"/>
      <c r="AGX42" s="191" t="s">
        <v>98</v>
      </c>
      <c r="AGY42" s="191"/>
      <c r="AGZ42" s="191"/>
      <c r="AHA42" s="191"/>
      <c r="AHE42" s="202"/>
      <c r="AHF42" s="202"/>
      <c r="AHG42" s="202"/>
      <c r="AHJ42" s="191" t="s">
        <v>98</v>
      </c>
      <c r="AHK42" s="191"/>
      <c r="AHL42" s="191"/>
      <c r="AHM42" s="191"/>
      <c r="AHQ42" s="202"/>
      <c r="AHR42" s="202"/>
      <c r="AHS42" s="202"/>
      <c r="AHV42" s="191" t="s">
        <v>98</v>
      </c>
      <c r="AHW42" s="191"/>
      <c r="AHX42" s="191"/>
      <c r="AHY42" s="191"/>
      <c r="AIC42" s="202"/>
      <c r="AID42" s="202"/>
      <c r="AIE42" s="202"/>
      <c r="AIH42" s="191" t="s">
        <v>98</v>
      </c>
      <c r="AII42" s="191"/>
      <c r="AIJ42" s="191"/>
      <c r="AIK42" s="191"/>
      <c r="AIO42" s="202"/>
      <c r="AIP42" s="202"/>
      <c r="AIQ42" s="202"/>
      <c r="AIT42" s="191" t="s">
        <v>98</v>
      </c>
      <c r="AIU42" s="191"/>
      <c r="AIV42" s="191"/>
      <c r="AIW42" s="191"/>
      <c r="AJA42" s="202"/>
      <c r="AJB42" s="202"/>
      <c r="AJC42" s="202"/>
      <c r="AJF42" s="191" t="s">
        <v>98</v>
      </c>
      <c r="AJG42" s="191"/>
      <c r="AJH42" s="191"/>
      <c r="AJI42" s="191"/>
      <c r="AJM42" s="202"/>
      <c r="AJN42" s="202"/>
      <c r="AJO42" s="202"/>
      <c r="AJR42" s="191" t="s">
        <v>98</v>
      </c>
      <c r="AJS42" s="191"/>
      <c r="AJT42" s="191"/>
      <c r="AJU42" s="191"/>
      <c r="AJY42" s="202"/>
      <c r="AJZ42" s="202"/>
      <c r="AKA42" s="202"/>
      <c r="AKD42" s="191" t="s">
        <v>98</v>
      </c>
      <c r="AKE42" s="191"/>
      <c r="AKF42" s="191"/>
      <c r="AKG42" s="191"/>
      <c r="AKK42" s="202"/>
      <c r="AKL42" s="202"/>
      <c r="AKM42" s="202"/>
      <c r="AKP42" s="191" t="s">
        <v>98</v>
      </c>
      <c r="AKQ42" s="191"/>
      <c r="AKR42" s="191"/>
      <c r="AKS42" s="191"/>
      <c r="AKW42" s="202"/>
      <c r="AKX42" s="202"/>
      <c r="AKY42" s="202"/>
      <c r="ALB42" s="191" t="s">
        <v>98</v>
      </c>
      <c r="ALC42" s="191"/>
      <c r="ALD42" s="191"/>
      <c r="ALE42" s="191"/>
      <c r="ALI42" s="202"/>
      <c r="ALJ42" s="202"/>
      <c r="ALK42" s="202"/>
      <c r="ALN42" s="191" t="s">
        <v>98</v>
      </c>
      <c r="ALO42" s="191"/>
      <c r="ALP42" s="191"/>
      <c r="ALQ42" s="191"/>
      <c r="ALU42" s="202"/>
      <c r="ALV42" s="202"/>
      <c r="ALW42" s="202"/>
      <c r="ALZ42" s="191" t="s">
        <v>98</v>
      </c>
      <c r="AMA42" s="191"/>
      <c r="AMB42" s="191"/>
      <c r="AMC42" s="191"/>
      <c r="AMG42" s="202"/>
      <c r="AMH42" s="202"/>
      <c r="AMI42" s="202"/>
      <c r="AML42" s="191" t="s">
        <v>99</v>
      </c>
      <c r="AMM42" s="191"/>
      <c r="AMN42" s="191"/>
      <c r="AMO42" s="191"/>
      <c r="AMS42" s="202"/>
      <c r="AMT42" s="202"/>
      <c r="AMU42" s="202"/>
      <c r="AMX42" s="191" t="s">
        <v>99</v>
      </c>
      <c r="AMY42" s="191"/>
      <c r="AMZ42" s="191"/>
      <c r="ANA42" s="191"/>
      <c r="ANE42" s="202"/>
      <c r="ANF42" s="202"/>
      <c r="ANG42" s="202"/>
      <c r="ANJ42" s="191" t="s">
        <v>99</v>
      </c>
      <c r="ANK42" s="191"/>
      <c r="ANL42" s="191"/>
      <c r="ANM42" s="191"/>
      <c r="ANQ42" s="202"/>
      <c r="ANR42" s="202"/>
      <c r="ANS42" s="202"/>
      <c r="ANV42" s="191" t="s">
        <v>99</v>
      </c>
      <c r="ANW42" s="191"/>
      <c r="ANX42" s="191"/>
      <c r="ANY42" s="191"/>
      <c r="AOC42" s="202"/>
      <c r="AOD42" s="202"/>
      <c r="AOE42" s="202"/>
      <c r="AOH42" s="191" t="s">
        <v>99</v>
      </c>
      <c r="AOI42" s="191"/>
      <c r="AOJ42" s="191"/>
      <c r="AOK42" s="191"/>
      <c r="AOO42" s="202"/>
      <c r="AOP42" s="202"/>
      <c r="AOQ42" s="202"/>
      <c r="AOT42" s="191" t="s">
        <v>99</v>
      </c>
      <c r="AOU42" s="191"/>
      <c r="AOV42" s="191"/>
      <c r="AOW42" s="191"/>
      <c r="APA42" s="202"/>
      <c r="APB42" s="202"/>
      <c r="APC42" s="202"/>
      <c r="APF42" s="191" t="s">
        <v>99</v>
      </c>
      <c r="APG42" s="191"/>
      <c r="APH42" s="191"/>
      <c r="API42" s="191"/>
      <c r="APM42" s="202"/>
      <c r="APN42" s="202"/>
      <c r="APO42" s="202"/>
      <c r="APR42" s="191" t="s">
        <v>99</v>
      </c>
      <c r="APS42" s="191"/>
      <c r="APT42" s="191"/>
      <c r="APU42" s="191"/>
      <c r="APY42" s="202"/>
      <c r="APZ42" s="202"/>
      <c r="AQA42" s="202"/>
      <c r="AQD42" s="191" t="s">
        <v>99</v>
      </c>
      <c r="AQE42" s="191"/>
      <c r="AQF42" s="191"/>
      <c r="AQG42" s="191"/>
      <c r="AQK42" s="202"/>
      <c r="AQL42" s="202"/>
      <c r="AQM42" s="202"/>
      <c r="AQP42" s="191" t="s">
        <v>99</v>
      </c>
      <c r="AQQ42" s="191"/>
      <c r="AQR42" s="191"/>
      <c r="AQS42" s="191"/>
      <c r="AQW42" s="202"/>
      <c r="AQX42" s="202"/>
      <c r="AQY42" s="202"/>
      <c r="ARB42" s="191" t="s">
        <v>99</v>
      </c>
      <c r="ARC42" s="191"/>
      <c r="ARD42" s="191"/>
      <c r="ARE42" s="191"/>
      <c r="ARI42" s="202"/>
      <c r="ARJ42" s="202"/>
      <c r="ARK42" s="202"/>
      <c r="ARN42" s="191" t="s">
        <v>99</v>
      </c>
      <c r="ARO42" s="191"/>
      <c r="ARP42" s="191"/>
      <c r="ARQ42" s="191"/>
      <c r="ARU42" s="202"/>
      <c r="ARV42" s="202"/>
      <c r="ARW42" s="202"/>
      <c r="ARZ42" s="191" t="s">
        <v>99</v>
      </c>
      <c r="ASA42" s="191"/>
      <c r="ASB42" s="191"/>
      <c r="ASC42" s="191"/>
      <c r="ASG42" s="202"/>
      <c r="ASH42" s="202"/>
      <c r="ASI42" s="202"/>
      <c r="ASL42" s="191" t="s">
        <v>99</v>
      </c>
      <c r="ASM42" s="191"/>
      <c r="ASN42" s="191"/>
      <c r="ASO42" s="191"/>
      <c r="ASS42" s="202"/>
      <c r="AST42" s="202"/>
      <c r="ASU42" s="202"/>
      <c r="ASX42" s="191" t="s">
        <v>99</v>
      </c>
      <c r="ASY42" s="191"/>
      <c r="ASZ42" s="191"/>
      <c r="ATA42" s="191"/>
      <c r="ATE42" s="202"/>
      <c r="ATF42" s="202"/>
      <c r="ATG42" s="202"/>
      <c r="ATJ42" s="191" t="s">
        <v>99</v>
      </c>
      <c r="ATK42" s="191"/>
      <c r="ATL42" s="191"/>
      <c r="ATM42" s="191"/>
      <c r="ATQ42" s="202"/>
      <c r="ATR42" s="202"/>
      <c r="ATS42" s="202"/>
      <c r="ATV42" s="191" t="s">
        <v>99</v>
      </c>
      <c r="ATW42" s="191"/>
      <c r="ATX42" s="191"/>
      <c r="ATY42" s="191"/>
      <c r="AUC42" s="202"/>
      <c r="AUD42" s="202"/>
      <c r="AUE42" s="202"/>
      <c r="AUH42" s="191" t="s">
        <v>99</v>
      </c>
      <c r="AUI42" s="191"/>
      <c r="AUJ42" s="191"/>
      <c r="AUK42" s="191"/>
      <c r="AUO42" s="202"/>
      <c r="AUP42" s="202"/>
      <c r="AUQ42" s="202"/>
      <c r="AUT42" s="191" t="s">
        <v>99</v>
      </c>
      <c r="AUU42" s="191"/>
      <c r="AUV42" s="191"/>
      <c r="AUW42" s="191"/>
      <c r="AVA42" s="202"/>
      <c r="AVB42" s="202"/>
      <c r="AVC42" s="202"/>
      <c r="AVF42" s="191"/>
      <c r="AVG42" s="191"/>
      <c r="AVH42" s="191"/>
      <c r="AVI42" s="191"/>
      <c r="AVM42" s="202"/>
      <c r="AVN42" s="202"/>
      <c r="AVO42" s="202"/>
      <c r="AVR42" s="191"/>
      <c r="AVS42" s="191"/>
      <c r="AVT42" s="191"/>
      <c r="AVU42" s="191"/>
      <c r="AVY42" s="202"/>
      <c r="AVZ42" s="202"/>
      <c r="AWA42" s="202"/>
      <c r="AWD42" s="191"/>
      <c r="AWE42" s="191"/>
      <c r="AWF42" s="191"/>
      <c r="AWG42" s="191"/>
      <c r="AWK42" s="202"/>
      <c r="AWL42" s="202"/>
      <c r="AWM42" s="202"/>
      <c r="AWP42" s="191"/>
      <c r="AWQ42" s="191"/>
      <c r="AWR42" s="191"/>
      <c r="AWS42" s="191"/>
      <c r="AWW42" s="202"/>
      <c r="AWX42" s="202"/>
      <c r="AWY42" s="202"/>
      <c r="AXB42" s="191"/>
      <c r="AXC42" s="191"/>
      <c r="AXD42" s="191"/>
      <c r="AXE42" s="191"/>
      <c r="AXI42" s="202"/>
      <c r="AXJ42" s="202"/>
      <c r="AXK42" s="202"/>
      <c r="AXN42" s="191"/>
      <c r="AXO42" s="191"/>
      <c r="AXP42" s="191"/>
      <c r="AXQ42" s="191"/>
      <c r="AXU42" s="202"/>
      <c r="AXV42" s="202"/>
      <c r="AXW42" s="202"/>
      <c r="AXZ42" s="191"/>
      <c r="AYA42" s="191"/>
      <c r="AYB42" s="191"/>
      <c r="AYC42" s="191"/>
      <c r="AYG42" s="202"/>
      <c r="AYH42" s="202"/>
      <c r="AYI42" s="202"/>
      <c r="AYL42" s="191"/>
      <c r="AYM42" s="191"/>
      <c r="AYN42" s="191"/>
      <c r="AYO42" s="191"/>
      <c r="AYS42" s="202"/>
      <c r="AYT42" s="202"/>
      <c r="AYU42" s="202"/>
      <c r="AYX42" s="191"/>
      <c r="AYY42" s="191"/>
      <c r="AYZ42" s="191"/>
      <c r="AZA42" s="191"/>
      <c r="AZE42" s="202"/>
      <c r="AZF42" s="202"/>
      <c r="AZG42" s="202"/>
      <c r="AZJ42" s="191"/>
      <c r="AZK42" s="191"/>
      <c r="AZL42" s="191"/>
      <c r="AZM42" s="191"/>
      <c r="AZQ42" s="202"/>
      <c r="AZR42" s="202"/>
      <c r="AZS42" s="202"/>
      <c r="AZV42" s="191"/>
      <c r="AZW42" s="191"/>
      <c r="AZX42" s="191"/>
      <c r="AZY42" s="191"/>
      <c r="BAC42" s="202"/>
      <c r="BAD42" s="202"/>
      <c r="BAE42" s="202"/>
      <c r="BAH42" s="191"/>
      <c r="BAI42" s="191"/>
      <c r="BAJ42" s="191"/>
      <c r="BAK42" s="191"/>
      <c r="BAO42" s="202"/>
      <c r="BAP42" s="202"/>
      <c r="BAQ42" s="202"/>
      <c r="BAT42" s="191"/>
      <c r="BAU42" s="191"/>
      <c r="BAV42" s="191"/>
      <c r="BAW42" s="191"/>
      <c r="BBA42" s="202"/>
      <c r="BBB42" s="202"/>
      <c r="BBC42" s="202"/>
      <c r="BBF42" s="191"/>
      <c r="BBG42" s="191"/>
      <c r="BBH42" s="191"/>
      <c r="BBI42" s="191"/>
      <c r="BBM42" s="202"/>
      <c r="BBN42" s="202"/>
      <c r="BBO42" s="202"/>
      <c r="BBR42" s="191"/>
      <c r="BBS42" s="191"/>
      <c r="BBT42" s="191"/>
      <c r="BBU42" s="191"/>
      <c r="BBY42" s="202"/>
      <c r="BBZ42" s="202"/>
      <c r="BCA42" s="202"/>
      <c r="BCD42" s="191"/>
      <c r="BCE42" s="191"/>
      <c r="BCF42" s="191"/>
      <c r="BCG42" s="191"/>
      <c r="BCK42" s="202"/>
      <c r="BCL42" s="202"/>
      <c r="BCM42" s="202"/>
      <c r="BCP42" s="191"/>
      <c r="BCQ42" s="191"/>
      <c r="BCR42" s="191"/>
      <c r="BCS42" s="191"/>
      <c r="BCW42" s="202"/>
      <c r="BCX42" s="202"/>
      <c r="BCY42" s="202"/>
      <c r="BDB42" s="191"/>
      <c r="BDC42" s="191"/>
      <c r="BDD42" s="191"/>
      <c r="BDE42" s="191"/>
      <c r="BDI42" s="202"/>
      <c r="BDJ42" s="202"/>
      <c r="BDK42" s="202"/>
      <c r="BDN42" s="191"/>
      <c r="BDO42" s="191"/>
      <c r="BDP42" s="191"/>
      <c r="BDQ42" s="191"/>
      <c r="BDU42" s="202"/>
      <c r="BDV42" s="202"/>
      <c r="BDW42" s="202"/>
      <c r="BDZ42" s="191"/>
      <c r="BEA42" s="191"/>
      <c r="BEB42" s="191"/>
      <c r="BEC42" s="191"/>
      <c r="BEG42" s="202"/>
      <c r="BEH42" s="202"/>
      <c r="BEI42" s="202"/>
      <c r="BEL42" s="191"/>
      <c r="BEM42" s="191"/>
      <c r="BEN42" s="191"/>
      <c r="BEO42" s="191"/>
      <c r="BES42" s="202"/>
      <c r="BET42" s="202"/>
      <c r="BEU42" s="202"/>
      <c r="BEX42" s="191"/>
      <c r="BEY42" s="191"/>
      <c r="BEZ42" s="191"/>
      <c r="BFA42" s="191"/>
      <c r="BFE42" s="202"/>
      <c r="BFF42" s="202"/>
      <c r="BFG42" s="202"/>
      <c r="BFJ42" s="191"/>
      <c r="BFK42" s="191"/>
      <c r="BFL42" s="191"/>
      <c r="BFM42" s="191"/>
      <c r="BFQ42" s="202"/>
      <c r="BFR42" s="202"/>
      <c r="BFS42" s="202"/>
      <c r="BFV42" s="191"/>
      <c r="BFW42" s="191"/>
      <c r="BFX42" s="191"/>
      <c r="BFY42" s="191"/>
      <c r="BGC42" s="202"/>
      <c r="BGD42" s="202"/>
      <c r="BGE42" s="202"/>
      <c r="BGH42" s="191"/>
      <c r="BGI42" s="191"/>
      <c r="BGJ42" s="191"/>
      <c r="BGK42" s="191"/>
      <c r="BGO42" s="202"/>
      <c r="BGP42" s="202"/>
      <c r="BGQ42" s="202"/>
      <c r="BGT42" s="191"/>
      <c r="BGU42" s="191"/>
      <c r="BGV42" s="191"/>
      <c r="BGW42" s="191"/>
      <c r="BHA42" s="202"/>
      <c r="BHB42" s="202"/>
      <c r="BHC42" s="202"/>
      <c r="BHF42" s="191"/>
      <c r="BHG42" s="191"/>
      <c r="BHH42" s="191"/>
      <c r="BHI42" s="191"/>
      <c r="BHM42" s="202"/>
      <c r="BHN42" s="202"/>
      <c r="BHO42" s="202"/>
      <c r="BHR42" s="191"/>
      <c r="BHS42" s="191"/>
      <c r="BHT42" s="191"/>
      <c r="BHU42" s="191"/>
      <c r="BHY42" s="202"/>
      <c r="BHZ42" s="202"/>
      <c r="BIA42" s="202"/>
      <c r="BID42" s="191"/>
      <c r="BIE42" s="191"/>
      <c r="BIF42" s="191"/>
      <c r="BIG42" s="191"/>
      <c r="BIK42" s="202"/>
      <c r="BIL42" s="202"/>
      <c r="BIM42" s="202"/>
      <c r="BIP42" s="191"/>
      <c r="BIQ42" s="191"/>
      <c r="BIR42" s="191"/>
      <c r="BIS42" s="191"/>
      <c r="BIW42" s="202"/>
      <c r="BIX42" s="202"/>
      <c r="BIY42" s="202"/>
      <c r="BJB42" s="191"/>
      <c r="BJC42" s="191"/>
      <c r="BJD42" s="191"/>
      <c r="BJE42" s="191"/>
      <c r="BJI42" s="202"/>
      <c r="BJJ42" s="202"/>
      <c r="BJK42" s="202"/>
      <c r="BJN42" s="191"/>
      <c r="BJO42" s="191"/>
      <c r="BJP42" s="191"/>
      <c r="BJQ42" s="191"/>
      <c r="BJU42" s="202"/>
      <c r="BJV42" s="202"/>
      <c r="BJW42" s="202"/>
      <c r="BJZ42" s="191"/>
      <c r="BKA42" s="191"/>
      <c r="BKB42" s="191"/>
      <c r="BKC42" s="191"/>
      <c r="BKG42" s="202"/>
      <c r="BKH42" s="202"/>
      <c r="BKI42" s="202"/>
      <c r="BKL42" s="191"/>
      <c r="BKM42" s="191"/>
      <c r="BKN42" s="191"/>
      <c r="BKO42" s="191"/>
      <c r="BKS42" s="202"/>
      <c r="BKT42" s="202"/>
      <c r="BKU42" s="202"/>
      <c r="BKX42" s="191"/>
      <c r="BKY42" s="191"/>
      <c r="BKZ42" s="191"/>
      <c r="BLA42" s="191"/>
      <c r="BLE42" s="202"/>
      <c r="BLF42" s="202"/>
      <c r="BLG42" s="202"/>
      <c r="BLJ42" s="191"/>
      <c r="BLK42" s="191"/>
      <c r="BLL42" s="191"/>
      <c r="BLM42" s="191"/>
      <c r="BLQ42" s="202"/>
      <c r="BLR42" s="202"/>
      <c r="BLS42" s="202"/>
      <c r="BLV42" s="191"/>
      <c r="BLW42" s="191"/>
      <c r="BLX42" s="191"/>
      <c r="BLY42" s="191"/>
      <c r="BMC42" s="202"/>
      <c r="BMD42" s="202"/>
      <c r="BME42" s="202"/>
      <c r="BMH42" s="191"/>
      <c r="BMI42" s="191"/>
      <c r="BMJ42" s="191"/>
      <c r="BMK42" s="191"/>
      <c r="BMO42" s="202"/>
      <c r="BMP42" s="202"/>
      <c r="BMQ42" s="202"/>
      <c r="BMT42" s="191"/>
      <c r="BMU42" s="191"/>
      <c r="BMV42" s="191"/>
      <c r="BMW42" s="191"/>
      <c r="BNA42" s="202"/>
      <c r="BNB42" s="202"/>
      <c r="BNC42" s="202"/>
      <c r="BNF42" s="191"/>
      <c r="BNG42" s="191"/>
      <c r="BNH42" s="191"/>
      <c r="BNI42" s="191"/>
      <c r="BNM42" s="202"/>
      <c r="BNN42" s="202"/>
      <c r="BNO42" s="202"/>
      <c r="BNR42" s="191"/>
      <c r="BNS42" s="191"/>
      <c r="BNT42" s="191"/>
      <c r="BNU42" s="191"/>
      <c r="BNY42" s="202"/>
      <c r="BNZ42" s="202"/>
      <c r="BOA42" s="202"/>
      <c r="BOD42" s="191"/>
      <c r="BOE42" s="191"/>
      <c r="BOF42" s="191"/>
      <c r="BOG42" s="191"/>
      <c r="BOK42" s="202"/>
      <c r="BOL42" s="202"/>
      <c r="BOM42" s="202"/>
      <c r="BOP42" s="191"/>
      <c r="BOQ42" s="191"/>
      <c r="BOR42" s="191"/>
      <c r="BOS42" s="191"/>
      <c r="BOW42" s="202"/>
      <c r="BOX42" s="202"/>
      <c r="BOY42" s="202"/>
      <c r="BPB42" s="191"/>
      <c r="BPC42" s="191"/>
      <c r="BPD42" s="191"/>
      <c r="BPE42" s="191"/>
      <c r="BPI42" s="202"/>
      <c r="BPJ42" s="202"/>
      <c r="BPK42" s="202"/>
      <c r="BPN42" s="191"/>
      <c r="BPO42" s="191"/>
      <c r="BPP42" s="191"/>
      <c r="BPQ42" s="191"/>
      <c r="BPU42" s="202"/>
      <c r="BPV42" s="202"/>
      <c r="BPW42" s="202"/>
      <c r="BPZ42" s="191"/>
      <c r="BQA42" s="191"/>
      <c r="BQB42" s="191"/>
      <c r="BQC42" s="191"/>
      <c r="BQG42" s="202"/>
      <c r="BQH42" s="202"/>
      <c r="BQI42" s="202"/>
      <c r="BQL42" s="191"/>
      <c r="BQM42" s="191"/>
      <c r="BQN42" s="191"/>
      <c r="BQO42" s="191"/>
      <c r="BQS42" s="202"/>
      <c r="BQT42" s="202"/>
      <c r="BQU42" s="202"/>
      <c r="BQX42" s="191"/>
      <c r="BQY42" s="191"/>
      <c r="BQZ42" s="191"/>
      <c r="BRA42" s="191"/>
      <c r="BRE42" s="202"/>
      <c r="BRF42" s="202"/>
      <c r="BRG42" s="202"/>
      <c r="BRJ42" s="191"/>
      <c r="BRK42" s="191"/>
      <c r="BRL42" s="191"/>
      <c r="BRM42" s="191"/>
      <c r="BRQ42" s="202"/>
      <c r="BRR42" s="202"/>
      <c r="BRS42" s="202"/>
      <c r="BRV42" s="191"/>
      <c r="BRW42" s="191"/>
      <c r="BRX42" s="191"/>
      <c r="BRY42" s="191"/>
      <c r="BSC42" s="202"/>
      <c r="BSD42" s="202"/>
      <c r="BSE42" s="202"/>
      <c r="BSH42" s="191"/>
      <c r="BSI42" s="191"/>
      <c r="BSJ42" s="191"/>
      <c r="BSK42" s="191"/>
      <c r="BSO42" s="202"/>
      <c r="BSP42" s="202"/>
      <c r="BSQ42" s="202"/>
      <c r="BST42" s="191"/>
      <c r="BSU42" s="191"/>
      <c r="BSV42" s="191"/>
      <c r="BSW42" s="191"/>
      <c r="BTA42" s="202"/>
      <c r="BTB42" s="202"/>
      <c r="BTC42" s="202"/>
      <c r="BTF42" s="191"/>
      <c r="BTG42" s="191"/>
      <c r="BTH42" s="191"/>
      <c r="BTI42" s="191"/>
      <c r="BTM42" s="202"/>
      <c r="BTN42" s="202"/>
      <c r="BTO42" s="202"/>
      <c r="BTR42" s="191"/>
      <c r="BTS42" s="191"/>
      <c r="BTT42" s="191"/>
      <c r="BTU42" s="191"/>
      <c r="BTY42" s="202"/>
      <c r="BTZ42" s="202"/>
      <c r="BUA42" s="202"/>
      <c r="BUD42" s="191"/>
      <c r="BUE42" s="191"/>
      <c r="BUF42" s="191"/>
      <c r="BUG42" s="191"/>
      <c r="BUK42" s="202"/>
      <c r="BUL42" s="202"/>
      <c r="BUM42" s="202"/>
      <c r="BUP42" s="191"/>
      <c r="BUQ42" s="191"/>
      <c r="BUR42" s="191"/>
      <c r="BUS42" s="191"/>
      <c r="BUW42" s="202"/>
      <c r="BUX42" s="202"/>
      <c r="BUY42" s="202"/>
      <c r="BVB42" s="191"/>
      <c r="BVC42" s="191"/>
      <c r="BVD42" s="191"/>
      <c r="BVE42" s="191"/>
      <c r="BVI42" s="202"/>
      <c r="BVJ42" s="202"/>
      <c r="BVK42" s="202"/>
      <c r="BVN42" s="191"/>
      <c r="BVO42" s="191"/>
      <c r="BVP42" s="191"/>
      <c r="BVQ42" s="191"/>
      <c r="BVU42" s="202"/>
      <c r="BVV42" s="202"/>
      <c r="BVW42" s="202"/>
      <c r="BVZ42" s="191"/>
      <c r="BWA42" s="191"/>
      <c r="BWB42" s="191"/>
      <c r="BWC42" s="191"/>
      <c r="BWG42" s="202"/>
      <c r="BWH42" s="202"/>
      <c r="BWI42" s="202"/>
      <c r="BWL42" s="191"/>
      <c r="BWM42" s="191"/>
      <c r="BWN42" s="191"/>
      <c r="BWO42" s="191"/>
      <c r="BWS42" s="202"/>
      <c r="BWT42" s="202"/>
      <c r="BWU42" s="202"/>
      <c r="BWX42" s="191"/>
      <c r="BWY42" s="191"/>
      <c r="BWZ42" s="191"/>
      <c r="BXA42" s="191"/>
      <c r="BXE42" s="202"/>
      <c r="BXF42" s="202"/>
      <c r="BXG42" s="202"/>
      <c r="BXJ42" s="191"/>
      <c r="BXK42" s="191"/>
      <c r="BXL42" s="191"/>
      <c r="BXM42" s="191"/>
      <c r="BXQ42" s="202"/>
      <c r="BXR42" s="202"/>
      <c r="BXS42" s="202"/>
      <c r="BXV42" s="191"/>
      <c r="BXW42" s="191"/>
      <c r="BXX42" s="191"/>
      <c r="BXY42" s="191"/>
      <c r="BYC42" s="202"/>
      <c r="BYD42" s="202"/>
      <c r="BYE42" s="202"/>
      <c r="BYH42" s="191"/>
      <c r="BYI42" s="191"/>
      <c r="BYJ42" s="191"/>
      <c r="BYK42" s="191"/>
      <c r="BYO42" s="202"/>
      <c r="BYP42" s="202"/>
      <c r="BYQ42" s="202"/>
      <c r="BYT42" s="191"/>
      <c r="BYU42" s="191"/>
      <c r="BYV42" s="191"/>
      <c r="BYW42" s="191"/>
      <c r="BZA42" s="202"/>
      <c r="BZB42" s="202"/>
      <c r="BZC42" s="202"/>
      <c r="BZF42" s="191"/>
      <c r="BZG42" s="191"/>
      <c r="BZH42" s="191"/>
      <c r="BZI42" s="191"/>
      <c r="BZM42" s="202"/>
      <c r="BZN42" s="202"/>
      <c r="BZO42" s="202"/>
      <c r="BZR42" s="191"/>
      <c r="BZS42" s="191"/>
      <c r="BZT42" s="191"/>
      <c r="BZU42" s="191"/>
      <c r="BZY42" s="202"/>
      <c r="BZZ42" s="202"/>
      <c r="CAA42" s="202"/>
      <c r="CAD42" s="191"/>
      <c r="CAE42" s="191"/>
      <c r="CAF42" s="191"/>
      <c r="CAG42" s="191"/>
      <c r="CAK42" s="202"/>
      <c r="CAL42" s="202"/>
      <c r="CAM42" s="202"/>
      <c r="CAP42" s="191"/>
      <c r="CAQ42" s="191"/>
      <c r="CAR42" s="191"/>
      <c r="CAS42" s="191"/>
      <c r="CAW42" s="202"/>
      <c r="CAX42" s="202"/>
      <c r="CAY42" s="202"/>
      <c r="CBB42" s="191"/>
      <c r="CBC42" s="191"/>
      <c r="CBD42" s="191"/>
      <c r="CBE42" s="191"/>
      <c r="CBI42" s="202"/>
      <c r="CBJ42" s="202"/>
      <c r="CBK42" s="202"/>
      <c r="CBN42" s="191"/>
      <c r="CBO42" s="191"/>
      <c r="CBP42" s="191"/>
      <c r="CBQ42" s="191"/>
      <c r="CBU42" s="202"/>
      <c r="CBV42" s="202"/>
      <c r="CBW42" s="202"/>
      <c r="CBZ42" s="191"/>
      <c r="CCA42" s="191"/>
      <c r="CCB42" s="191"/>
      <c r="CCC42" s="191"/>
      <c r="CCG42" s="202"/>
      <c r="CCH42" s="202"/>
      <c r="CCI42" s="202"/>
      <c r="CCL42" s="191"/>
      <c r="CCM42" s="191"/>
      <c r="CCN42" s="191"/>
      <c r="CCO42" s="191"/>
      <c r="CCS42" s="202"/>
      <c r="CCT42" s="202"/>
      <c r="CCU42" s="202"/>
      <c r="CCX42" s="191"/>
      <c r="CCY42" s="191"/>
      <c r="CCZ42" s="191"/>
      <c r="CDA42" s="191"/>
      <c r="CDE42" s="202"/>
      <c r="CDF42" s="202"/>
      <c r="CDG42" s="202"/>
      <c r="CDJ42" s="191"/>
      <c r="CDK42" s="191"/>
      <c r="CDL42" s="191"/>
      <c r="CDM42" s="191"/>
      <c r="CDQ42" s="202"/>
      <c r="CDR42" s="202"/>
      <c r="CDS42" s="202"/>
      <c r="CDV42" s="191"/>
      <c r="CDW42" s="191"/>
      <c r="CDX42" s="191"/>
      <c r="CDY42" s="191"/>
      <c r="CEC42" s="202"/>
      <c r="CED42" s="202"/>
      <c r="CEE42" s="202"/>
      <c r="CEH42" s="191"/>
      <c r="CEI42" s="191"/>
      <c r="CEJ42" s="191"/>
      <c r="CEK42" s="191"/>
      <c r="CEO42" s="202"/>
      <c r="CEP42" s="202"/>
      <c r="CEQ42" s="202"/>
      <c r="CET42" s="191"/>
      <c r="CEU42" s="191"/>
      <c r="CEV42" s="191"/>
      <c r="CEW42" s="191"/>
      <c r="CFA42" s="202"/>
      <c r="CFB42" s="202"/>
      <c r="CFC42" s="202"/>
      <c r="CFF42" s="191"/>
      <c r="CFG42" s="191"/>
      <c r="CFH42" s="191"/>
      <c r="CFI42" s="191"/>
      <c r="CFM42" s="202"/>
      <c r="CFN42" s="202"/>
      <c r="CFO42" s="202"/>
      <c r="CFR42" s="191"/>
      <c r="CFS42" s="191"/>
      <c r="CFT42" s="191"/>
      <c r="CFU42" s="191"/>
      <c r="CFY42" s="202"/>
      <c r="CFZ42" s="202"/>
      <c r="CGA42" s="202"/>
      <c r="CGD42" s="191"/>
      <c r="CGE42" s="191"/>
      <c r="CGF42" s="191"/>
      <c r="CGG42" s="191"/>
      <c r="CGK42" s="202"/>
      <c r="CGL42" s="202"/>
      <c r="CGM42" s="202"/>
      <c r="CGP42" s="191"/>
      <c r="CGQ42" s="191"/>
      <c r="CGR42" s="191"/>
      <c r="CGS42" s="191"/>
      <c r="CGW42" s="202"/>
      <c r="CGX42" s="202"/>
      <c r="CGY42" s="202"/>
      <c r="CHB42" s="191"/>
      <c r="CHC42" s="191"/>
      <c r="CHD42" s="191"/>
      <c r="CHE42" s="191"/>
      <c r="CHI42" s="202"/>
      <c r="CHJ42" s="202"/>
      <c r="CHK42" s="202"/>
      <c r="CHN42" s="191"/>
      <c r="CHO42" s="191"/>
      <c r="CHP42" s="191"/>
      <c r="CHQ42" s="191"/>
      <c r="CHU42" s="202"/>
      <c r="CHV42" s="202"/>
      <c r="CHW42" s="202"/>
      <c r="CHZ42" s="191"/>
      <c r="CIA42" s="191"/>
      <c r="CIB42" s="191"/>
      <c r="CIC42" s="191"/>
      <c r="CIG42" s="202"/>
      <c r="CIH42" s="202"/>
      <c r="CII42" s="202"/>
      <c r="CIL42" s="191"/>
      <c r="CIM42" s="191"/>
      <c r="CIN42" s="191"/>
      <c r="CIO42" s="191"/>
      <c r="CIS42" s="202"/>
      <c r="CIT42" s="202"/>
      <c r="CIU42" s="202"/>
      <c r="CIX42" s="191"/>
      <c r="CIY42" s="191"/>
      <c r="CIZ42" s="191"/>
      <c r="CJA42" s="191"/>
      <c r="CJE42" s="202"/>
      <c r="CJF42" s="202"/>
      <c r="CJG42" s="202"/>
      <c r="CJJ42" s="191"/>
      <c r="CJK42" s="191"/>
      <c r="CJL42" s="191"/>
      <c r="CJM42" s="191"/>
      <c r="CJQ42" s="202"/>
      <c r="CJR42" s="202"/>
      <c r="CJS42" s="202"/>
      <c r="CJV42" s="191"/>
      <c r="CJW42" s="191"/>
      <c r="CJX42" s="191"/>
      <c r="CJY42" s="191"/>
      <c r="CKC42" s="202"/>
      <c r="CKD42" s="202"/>
      <c r="CKE42" s="202"/>
      <c r="CKH42" s="191"/>
      <c r="CKI42" s="191"/>
      <c r="CKJ42" s="191"/>
      <c r="CKK42" s="191"/>
      <c r="CKO42" s="202"/>
      <c r="CKP42" s="202"/>
      <c r="CKQ42" s="202"/>
      <c r="CKT42" s="191"/>
      <c r="CKU42" s="191"/>
      <c r="CKV42" s="191"/>
      <c r="CKW42" s="191"/>
      <c r="CLA42" s="202"/>
      <c r="CLB42" s="202"/>
      <c r="CLC42" s="202"/>
      <c r="CLF42" s="191"/>
      <c r="CLG42" s="191"/>
      <c r="CLH42" s="191"/>
      <c r="CLI42" s="191"/>
      <c r="CLM42" s="202"/>
      <c r="CLN42" s="202"/>
      <c r="CLO42" s="202"/>
      <c r="CLR42" s="191"/>
      <c r="CLS42" s="191"/>
      <c r="CLT42" s="191"/>
      <c r="CLU42" s="191"/>
      <c r="CLY42" s="202"/>
      <c r="CLZ42" s="202"/>
      <c r="CMA42" s="202"/>
      <c r="CMD42" s="191"/>
      <c r="CME42" s="191"/>
      <c r="CMF42" s="191"/>
      <c r="CMG42" s="191"/>
      <c r="CMK42" s="202"/>
      <c r="CML42" s="202"/>
      <c r="CMM42" s="202"/>
      <c r="CMP42" s="191"/>
      <c r="CMQ42" s="191"/>
      <c r="CMR42" s="191"/>
      <c r="CMS42" s="191"/>
      <c r="CMW42" s="202"/>
      <c r="CMX42" s="202"/>
      <c r="CMY42" s="202"/>
      <c r="CNB42" s="191"/>
      <c r="CNC42" s="191"/>
      <c r="CND42" s="191"/>
      <c r="CNE42" s="191"/>
      <c r="CNI42" s="202"/>
      <c r="CNJ42" s="202"/>
      <c r="CNK42" s="202"/>
      <c r="CNN42" s="191"/>
      <c r="CNO42" s="191"/>
      <c r="CNP42" s="191"/>
      <c r="CNQ42" s="191"/>
      <c r="CNU42" s="202"/>
      <c r="CNV42" s="202"/>
      <c r="CNW42" s="202"/>
      <c r="CNZ42" s="191"/>
      <c r="COA42" s="191"/>
      <c r="COB42" s="191"/>
      <c r="COC42" s="191"/>
      <c r="COG42" s="202"/>
      <c r="COH42" s="202"/>
      <c r="COI42" s="202"/>
      <c r="COL42" s="191"/>
      <c r="COM42" s="191"/>
      <c r="CON42" s="191"/>
      <c r="COO42" s="191"/>
      <c r="COS42" s="202"/>
      <c r="COT42" s="202"/>
      <c r="COU42" s="202"/>
      <c r="COX42" s="191"/>
      <c r="COY42" s="191"/>
      <c r="COZ42" s="191"/>
      <c r="CPA42" s="191"/>
      <c r="CPE42" s="202"/>
      <c r="CPF42" s="202"/>
      <c r="CPG42" s="202"/>
      <c r="CPJ42" s="191"/>
      <c r="CPK42" s="191"/>
      <c r="CPL42" s="191"/>
      <c r="CPM42" s="191"/>
      <c r="CPQ42" s="202"/>
      <c r="CPR42" s="202"/>
      <c r="CPS42" s="202"/>
      <c r="CPV42" s="191"/>
      <c r="CPW42" s="191"/>
      <c r="CPX42" s="191"/>
      <c r="CPY42" s="191"/>
      <c r="CQC42" s="202"/>
      <c r="CQD42" s="202"/>
      <c r="CQE42" s="202"/>
      <c r="CQH42" s="191"/>
      <c r="CQI42" s="191"/>
      <c r="CQJ42" s="191"/>
      <c r="CQK42" s="191"/>
      <c r="CQO42" s="202"/>
      <c r="CQP42" s="202"/>
      <c r="CQQ42" s="202"/>
      <c r="CQT42" s="191"/>
      <c r="CQU42" s="191"/>
      <c r="CQV42" s="191"/>
      <c r="CQW42" s="191"/>
      <c r="CRA42" s="202"/>
      <c r="CRB42" s="202"/>
      <c r="CRC42" s="202"/>
      <c r="CRF42" s="191"/>
      <c r="CRG42" s="191"/>
      <c r="CRH42" s="191"/>
      <c r="CRI42" s="191"/>
      <c r="CRM42" s="202"/>
      <c r="CRN42" s="202"/>
      <c r="CRO42" s="202"/>
      <c r="CRR42" s="191"/>
      <c r="CRS42" s="191"/>
      <c r="CRT42" s="191"/>
      <c r="CRU42" s="191"/>
      <c r="CRY42" s="202"/>
      <c r="CRZ42" s="202"/>
      <c r="CSA42" s="202"/>
      <c r="CSD42" s="191"/>
      <c r="CSE42" s="191"/>
      <c r="CSF42" s="191"/>
      <c r="CSG42" s="191"/>
      <c r="CSK42" s="202"/>
      <c r="CSL42" s="202"/>
      <c r="CSM42" s="202"/>
      <c r="CSP42" s="191"/>
      <c r="CSQ42" s="191"/>
      <c r="CSR42" s="191"/>
      <c r="CSS42" s="191"/>
      <c r="CSW42" s="202"/>
      <c r="CSX42" s="202"/>
      <c r="CSY42" s="202"/>
      <c r="CTB42" s="191"/>
      <c r="CTC42" s="191"/>
      <c r="CTD42" s="191"/>
      <c r="CTE42" s="191"/>
      <c r="CTI42" s="202"/>
      <c r="CTJ42" s="202"/>
      <c r="CTK42" s="202"/>
      <c r="CTN42" s="191"/>
      <c r="CTO42" s="191"/>
      <c r="CTP42" s="191"/>
      <c r="CTQ42" s="191"/>
      <c r="CTU42" s="202"/>
      <c r="CTV42" s="202"/>
      <c r="CTW42" s="202"/>
      <c r="CTZ42" s="191"/>
      <c r="CUA42" s="191"/>
      <c r="CUB42" s="191"/>
      <c r="CUC42" s="191"/>
      <c r="CUG42" s="202"/>
      <c r="CUH42" s="202"/>
      <c r="CUI42" s="202"/>
      <c r="CUL42" s="191"/>
      <c r="CUM42" s="191"/>
      <c r="CUN42" s="191"/>
      <c r="CUO42" s="191"/>
      <c r="CUS42" s="202"/>
      <c r="CUT42" s="202"/>
      <c r="CUU42" s="202"/>
      <c r="CUX42" s="191"/>
      <c r="CUY42" s="191"/>
      <c r="CUZ42" s="191"/>
      <c r="CVA42" s="191"/>
      <c r="CVE42" s="202"/>
      <c r="CVF42" s="202"/>
      <c r="CVG42" s="202"/>
      <c r="CVJ42" s="191"/>
      <c r="CVK42" s="191"/>
      <c r="CVL42" s="191"/>
      <c r="CVM42" s="191"/>
      <c r="CVQ42" s="202"/>
      <c r="CVR42" s="202"/>
      <c r="CVS42" s="202"/>
      <c r="CVV42" s="191"/>
      <c r="CVW42" s="191"/>
      <c r="CVX42" s="191"/>
      <c r="CVY42" s="191"/>
      <c r="CWC42" s="202"/>
      <c r="CWD42" s="202"/>
      <c r="CWE42" s="202"/>
    </row>
    <row r="43" spans="2:1023 1026:2631" x14ac:dyDescent="0.25">
      <c r="B43" s="203" t="s">
        <v>100</v>
      </c>
      <c r="C43" s="200"/>
      <c r="D43" s="200"/>
      <c r="E43" s="200"/>
      <c r="F43" s="200"/>
      <c r="G43" s="200"/>
      <c r="H43" s="200"/>
      <c r="I43" s="200"/>
      <c r="J43" s="200"/>
      <c r="K43" s="200"/>
      <c r="L43" s="201"/>
      <c r="P43" s="203" t="s">
        <v>100</v>
      </c>
      <c r="Q43" s="200"/>
      <c r="R43" s="200"/>
      <c r="S43" s="200"/>
      <c r="T43" s="200"/>
      <c r="U43" s="200"/>
      <c r="V43" s="200"/>
      <c r="W43" s="200"/>
      <c r="X43" s="200"/>
      <c r="Y43" s="200"/>
      <c r="Z43" s="201"/>
      <c r="AD43" s="203" t="s">
        <v>100</v>
      </c>
      <c r="AE43" s="200"/>
      <c r="AF43" s="200"/>
      <c r="AG43" s="200"/>
      <c r="AH43" s="200"/>
      <c r="AI43" s="200"/>
      <c r="AJ43" s="200"/>
      <c r="AK43" s="200"/>
      <c r="AL43" s="200"/>
      <c r="AM43" s="200"/>
      <c r="AN43" s="201"/>
      <c r="AR43" s="203" t="s">
        <v>100</v>
      </c>
      <c r="AS43" s="200"/>
      <c r="AT43" s="200"/>
      <c r="AU43" s="200"/>
      <c r="AV43" s="200"/>
      <c r="AW43" s="200"/>
      <c r="AX43" s="200"/>
      <c r="AY43" s="200"/>
      <c r="AZ43" s="200"/>
      <c r="BA43" s="200"/>
      <c r="BB43" s="201"/>
      <c r="BF43" s="203" t="s">
        <v>100</v>
      </c>
      <c r="BG43" s="200"/>
      <c r="BH43" s="200"/>
      <c r="BI43" s="200"/>
      <c r="BJ43" s="200"/>
      <c r="BK43" s="200"/>
      <c r="BL43" s="200"/>
      <c r="BM43" s="200"/>
      <c r="BN43" s="200"/>
      <c r="BO43" s="200"/>
      <c r="BP43" s="201"/>
      <c r="BT43" s="203" t="s">
        <v>100</v>
      </c>
      <c r="BU43" s="200"/>
      <c r="BV43" s="200"/>
      <c r="BW43" s="200"/>
      <c r="BX43" s="200"/>
      <c r="BY43" s="200"/>
      <c r="BZ43" s="200"/>
      <c r="CA43" s="200"/>
      <c r="CB43" s="200"/>
      <c r="CC43" s="200"/>
      <c r="CD43" s="201"/>
      <c r="CH43" s="203" t="s">
        <v>100</v>
      </c>
      <c r="CI43" s="200"/>
      <c r="CJ43" s="200"/>
      <c r="CK43" s="200"/>
      <c r="CL43" s="200"/>
      <c r="CM43" s="200"/>
      <c r="CN43" s="200"/>
      <c r="CO43" s="200"/>
      <c r="CP43" s="200"/>
      <c r="CQ43" s="200"/>
      <c r="CR43" s="201"/>
      <c r="CV43" s="203" t="s">
        <v>100</v>
      </c>
      <c r="CW43" s="200"/>
      <c r="CX43" s="200"/>
      <c r="CY43" s="200"/>
      <c r="CZ43" s="200"/>
      <c r="DA43" s="200"/>
      <c r="DB43" s="200"/>
      <c r="DC43" s="200"/>
      <c r="DD43" s="200"/>
      <c r="DE43" s="200"/>
      <c r="DF43" s="201"/>
      <c r="DJ43" s="203" t="s">
        <v>100</v>
      </c>
      <c r="DK43" s="200"/>
      <c r="DL43" s="200"/>
      <c r="DM43" s="200"/>
      <c r="DN43" s="200"/>
      <c r="DO43" s="200"/>
      <c r="DP43" s="200"/>
      <c r="DQ43" s="200"/>
      <c r="DR43" s="200"/>
      <c r="DS43" s="200"/>
      <c r="DT43" s="201"/>
      <c r="DX43" s="203" t="s">
        <v>100</v>
      </c>
      <c r="DY43" s="200"/>
      <c r="DZ43" s="200"/>
      <c r="EA43" s="200"/>
      <c r="EB43" s="200"/>
      <c r="EC43" s="200"/>
      <c r="ED43" s="200"/>
      <c r="EE43" s="200"/>
      <c r="EF43" s="200"/>
      <c r="EG43" s="200"/>
      <c r="EH43" s="201"/>
      <c r="EL43" s="203" t="s">
        <v>100</v>
      </c>
      <c r="EM43" s="200"/>
      <c r="EN43" s="200"/>
      <c r="EO43" s="200"/>
      <c r="EP43" s="200"/>
      <c r="EQ43" s="200"/>
      <c r="ER43" s="200"/>
      <c r="ES43" s="200"/>
      <c r="ET43" s="200"/>
      <c r="EU43" s="200"/>
      <c r="EV43" s="201"/>
      <c r="EZ43" s="203" t="s">
        <v>100</v>
      </c>
      <c r="FA43" s="200"/>
      <c r="FB43" s="200"/>
      <c r="FC43" s="200"/>
      <c r="FD43" s="200"/>
      <c r="FE43" s="200"/>
      <c r="FF43" s="200"/>
      <c r="FG43" s="200"/>
      <c r="FH43" s="200"/>
      <c r="FI43" s="200"/>
      <c r="FJ43" s="201"/>
      <c r="FN43" s="203" t="s">
        <v>100</v>
      </c>
      <c r="FO43" s="200"/>
      <c r="FP43" s="200"/>
      <c r="FQ43" s="200"/>
      <c r="FR43" s="200"/>
      <c r="FS43" s="200"/>
      <c r="FT43" s="200"/>
      <c r="FU43" s="200"/>
      <c r="FV43" s="200"/>
      <c r="FW43" s="200"/>
      <c r="FX43" s="201"/>
      <c r="GB43" s="203" t="s">
        <v>100</v>
      </c>
      <c r="GC43" s="200"/>
      <c r="GD43" s="200"/>
      <c r="GE43" s="200"/>
      <c r="GF43" s="200"/>
      <c r="GG43" s="200"/>
      <c r="GH43" s="200"/>
      <c r="GI43" s="200"/>
      <c r="GJ43" s="200"/>
      <c r="GK43" s="200"/>
      <c r="GL43" s="201"/>
      <c r="GP43" s="203" t="s">
        <v>100</v>
      </c>
      <c r="GQ43" s="200"/>
      <c r="GR43" s="200"/>
      <c r="GS43" s="200"/>
      <c r="GT43" s="200"/>
      <c r="GU43" s="200"/>
      <c r="GV43" s="200"/>
      <c r="GW43" s="200"/>
      <c r="GX43" s="200"/>
      <c r="GY43" s="200"/>
      <c r="GZ43" s="201"/>
      <c r="HD43" s="203" t="s">
        <v>100</v>
      </c>
      <c r="HE43" s="200"/>
      <c r="HF43" s="200"/>
      <c r="HG43" s="200"/>
      <c r="HH43" s="200"/>
      <c r="HI43" s="200"/>
      <c r="HJ43" s="200"/>
      <c r="HK43" s="200"/>
      <c r="HL43" s="200"/>
      <c r="HM43" s="200"/>
      <c r="HN43" s="201"/>
      <c r="HR43" s="203" t="s">
        <v>100</v>
      </c>
      <c r="HS43" s="200"/>
      <c r="HT43" s="200"/>
      <c r="HU43" s="200"/>
      <c r="HV43" s="200"/>
      <c r="HW43" s="200"/>
      <c r="HX43" s="200"/>
      <c r="HY43" s="200"/>
      <c r="HZ43" s="200"/>
      <c r="IA43" s="200"/>
      <c r="IB43" s="201"/>
      <c r="IF43" s="203" t="s">
        <v>100</v>
      </c>
      <c r="IG43" s="200"/>
      <c r="IH43" s="200"/>
      <c r="II43" s="200"/>
      <c r="IJ43" s="200"/>
      <c r="IK43" s="200"/>
      <c r="IL43" s="200"/>
      <c r="IM43" s="200"/>
      <c r="IN43" s="200"/>
      <c r="IO43" s="200"/>
      <c r="IP43" s="201"/>
      <c r="IT43" s="203" t="s">
        <v>100</v>
      </c>
      <c r="IU43" s="200"/>
      <c r="IV43" s="200"/>
      <c r="IW43" s="200"/>
      <c r="IX43" s="200"/>
      <c r="IY43" s="200"/>
      <c r="IZ43" s="200"/>
      <c r="JA43" s="200"/>
      <c r="JB43" s="200"/>
      <c r="JC43" s="200"/>
      <c r="JD43" s="201"/>
      <c r="JH43" s="203" t="s">
        <v>100</v>
      </c>
      <c r="JI43" s="200"/>
      <c r="JJ43" s="200"/>
      <c r="JK43" s="200"/>
      <c r="JL43" s="200"/>
      <c r="JM43" s="200"/>
      <c r="JN43" s="200"/>
      <c r="JO43" s="200"/>
      <c r="JP43" s="200"/>
      <c r="JQ43" s="200"/>
      <c r="JR43" s="201"/>
      <c r="JV43" s="203" t="s">
        <v>100</v>
      </c>
      <c r="JW43" s="200"/>
      <c r="JX43" s="200"/>
      <c r="JY43" s="200"/>
      <c r="JZ43" s="200"/>
      <c r="KA43" s="200"/>
      <c r="KB43" s="200"/>
      <c r="KC43" s="200"/>
      <c r="KD43" s="200"/>
      <c r="KE43" s="200"/>
      <c r="KF43" s="201"/>
      <c r="KJ43" s="203" t="s">
        <v>100</v>
      </c>
      <c r="KK43" s="200"/>
      <c r="KL43" s="200"/>
      <c r="KM43" s="200"/>
      <c r="KN43" s="200"/>
      <c r="KO43" s="200"/>
      <c r="KP43" s="200"/>
      <c r="KQ43" s="200"/>
      <c r="KR43" s="200"/>
      <c r="KS43" s="200"/>
      <c r="KT43" s="201"/>
      <c r="KX43" s="203" t="s">
        <v>100</v>
      </c>
      <c r="KY43" s="200"/>
      <c r="KZ43" s="200"/>
      <c r="LA43" s="200"/>
      <c r="LB43" s="200"/>
      <c r="LC43" s="200"/>
      <c r="LD43" s="200"/>
      <c r="LE43" s="200"/>
      <c r="LF43" s="200"/>
      <c r="LG43" s="200"/>
      <c r="LH43" s="201"/>
      <c r="LL43" s="203" t="s">
        <v>100</v>
      </c>
      <c r="LM43" s="200"/>
      <c r="LN43" s="200"/>
      <c r="LO43" s="200"/>
      <c r="LP43" s="200"/>
      <c r="LQ43" s="200"/>
      <c r="LR43" s="200"/>
      <c r="LS43" s="200"/>
      <c r="LT43" s="200"/>
      <c r="LU43" s="200"/>
      <c r="LV43" s="201"/>
      <c r="LZ43" s="203" t="s">
        <v>100</v>
      </c>
      <c r="MA43" s="200"/>
      <c r="MB43" s="200"/>
      <c r="MC43" s="200"/>
      <c r="MD43" s="200"/>
      <c r="ME43" s="200"/>
      <c r="MF43" s="200"/>
      <c r="MG43" s="200"/>
      <c r="MH43" s="200"/>
      <c r="MI43" s="200"/>
      <c r="MJ43" s="201"/>
      <c r="MN43" s="203" t="s">
        <v>100</v>
      </c>
      <c r="MO43" s="200"/>
      <c r="MP43" s="200"/>
      <c r="MQ43" s="200"/>
      <c r="MR43" s="200"/>
      <c r="MS43" s="200"/>
      <c r="MT43" s="200"/>
      <c r="MU43" s="200"/>
      <c r="MV43" s="200"/>
      <c r="MW43" s="200"/>
      <c r="MX43" s="201"/>
      <c r="NB43" s="203" t="s">
        <v>100</v>
      </c>
      <c r="NC43" s="200"/>
      <c r="ND43" s="200"/>
      <c r="NE43" s="200"/>
      <c r="NF43" s="200"/>
      <c r="NG43" s="200"/>
      <c r="NH43" s="200"/>
      <c r="NI43" s="200"/>
      <c r="NJ43" s="200"/>
      <c r="NK43" s="200"/>
      <c r="NL43" s="201"/>
      <c r="NP43" s="203" t="s">
        <v>100</v>
      </c>
      <c r="NQ43" s="200"/>
      <c r="NR43" s="200"/>
      <c r="NS43" s="200"/>
      <c r="NT43" s="200"/>
      <c r="NU43" s="200"/>
      <c r="NV43" s="200"/>
      <c r="NW43" s="200"/>
      <c r="NX43" s="200"/>
      <c r="NY43" s="200"/>
      <c r="NZ43" s="201"/>
      <c r="OD43" s="203" t="s">
        <v>100</v>
      </c>
      <c r="OE43" s="200"/>
      <c r="OF43" s="200"/>
      <c r="OG43" s="200"/>
      <c r="OH43" s="200"/>
      <c r="OI43" s="200"/>
      <c r="OJ43" s="200"/>
      <c r="OK43" s="200"/>
      <c r="OL43" s="200"/>
      <c r="OM43" s="200"/>
      <c r="ON43" s="201"/>
      <c r="OR43" s="203" t="s">
        <v>100</v>
      </c>
      <c r="OS43" s="200"/>
      <c r="OT43" s="200"/>
      <c r="OU43" s="200"/>
      <c r="OV43" s="200"/>
      <c r="OW43" s="200"/>
      <c r="OX43" s="200"/>
      <c r="OY43" s="200"/>
      <c r="OZ43" s="200"/>
      <c r="PA43" s="200"/>
      <c r="PB43" s="201"/>
      <c r="PF43" s="203" t="s">
        <v>100</v>
      </c>
      <c r="PG43" s="200"/>
      <c r="PH43" s="200"/>
      <c r="PI43" s="200"/>
      <c r="PJ43" s="200"/>
      <c r="PK43" s="200"/>
      <c r="PL43" s="200"/>
      <c r="PM43" s="200"/>
      <c r="PN43" s="200"/>
      <c r="PO43" s="200"/>
      <c r="PP43" s="201"/>
      <c r="PT43" s="203" t="s">
        <v>100</v>
      </c>
      <c r="PU43" s="200"/>
      <c r="PV43" s="200"/>
      <c r="PW43" s="200"/>
      <c r="PX43" s="200"/>
      <c r="PY43" s="200"/>
      <c r="PZ43" s="200"/>
      <c r="QA43" s="200"/>
      <c r="QB43" s="200"/>
      <c r="QC43" s="200"/>
      <c r="QD43" s="201"/>
      <c r="QH43" s="203" t="s">
        <v>100</v>
      </c>
      <c r="QI43" s="200"/>
      <c r="QJ43" s="200"/>
      <c r="QK43" s="200"/>
      <c r="QL43" s="200"/>
      <c r="QM43" s="200"/>
      <c r="QN43" s="200"/>
      <c r="QO43" s="200"/>
      <c r="QP43" s="200"/>
      <c r="QQ43" s="200"/>
      <c r="QR43" s="201"/>
      <c r="QV43" s="203" t="s">
        <v>100</v>
      </c>
      <c r="QW43" s="200"/>
      <c r="QX43" s="200"/>
      <c r="QY43" s="200"/>
      <c r="QZ43" s="200"/>
      <c r="RA43" s="200"/>
      <c r="RB43" s="200"/>
      <c r="RC43" s="200"/>
      <c r="RD43" s="200"/>
      <c r="RE43" s="200"/>
      <c r="RF43" s="201"/>
      <c r="RJ43" s="203" t="s">
        <v>100</v>
      </c>
      <c r="RK43" s="200"/>
      <c r="RL43" s="200"/>
      <c r="RM43" s="200"/>
      <c r="RN43" s="200"/>
      <c r="RO43" s="200"/>
      <c r="RP43" s="200"/>
      <c r="RQ43" s="200"/>
      <c r="RR43" s="200"/>
      <c r="RS43" s="200"/>
      <c r="RT43" s="201"/>
      <c r="RX43" s="203" t="s">
        <v>100</v>
      </c>
      <c r="RY43" s="200"/>
      <c r="RZ43" s="200"/>
      <c r="SA43" s="200"/>
      <c r="SB43" s="200"/>
      <c r="SC43" s="200"/>
      <c r="SD43" s="200"/>
      <c r="SE43" s="200"/>
      <c r="SF43" s="200"/>
      <c r="SG43" s="200"/>
      <c r="SH43" s="201"/>
      <c r="SL43" s="203" t="s">
        <v>100</v>
      </c>
      <c r="SM43" s="200"/>
      <c r="SN43" s="200"/>
      <c r="SO43" s="200"/>
      <c r="SP43" s="200"/>
      <c r="SQ43" s="200"/>
      <c r="SR43" s="200"/>
      <c r="SS43" s="200"/>
      <c r="ST43" s="200"/>
      <c r="SU43" s="200"/>
      <c r="SV43" s="201"/>
      <c r="SZ43" s="203" t="s">
        <v>100</v>
      </c>
      <c r="TA43" s="200"/>
      <c r="TB43" s="200"/>
      <c r="TC43" s="200"/>
      <c r="TD43" s="200"/>
      <c r="TE43" s="200"/>
      <c r="TF43" s="200"/>
      <c r="TG43" s="200"/>
      <c r="TH43" s="200"/>
      <c r="TI43" s="200"/>
      <c r="TJ43" s="201"/>
      <c r="TN43" s="203" t="s">
        <v>100</v>
      </c>
      <c r="TO43" s="200"/>
      <c r="TP43" s="200"/>
      <c r="TQ43" s="200"/>
      <c r="TR43" s="200"/>
      <c r="TS43" s="200"/>
      <c r="TT43" s="200"/>
      <c r="TU43" s="200"/>
      <c r="TV43" s="200"/>
      <c r="TW43" s="200"/>
      <c r="TX43" s="201"/>
      <c r="UB43" s="203" t="s">
        <v>100</v>
      </c>
      <c r="UC43" s="200"/>
      <c r="UD43" s="200"/>
      <c r="UE43" s="200"/>
      <c r="UF43" s="200"/>
      <c r="UG43" s="200"/>
      <c r="UH43" s="200"/>
      <c r="UI43" s="200"/>
      <c r="UJ43" s="200"/>
      <c r="UK43" s="200"/>
      <c r="UL43" s="201"/>
      <c r="UP43" s="203" t="s">
        <v>100</v>
      </c>
      <c r="UQ43" s="200"/>
      <c r="UR43" s="200"/>
      <c r="US43" s="200"/>
      <c r="UT43" s="200"/>
      <c r="UU43" s="200"/>
      <c r="UV43" s="200"/>
      <c r="UW43" s="200"/>
      <c r="UX43" s="200"/>
      <c r="UY43" s="200"/>
      <c r="UZ43" s="201"/>
      <c r="VD43" s="203" t="s">
        <v>100</v>
      </c>
      <c r="VE43" s="200"/>
      <c r="VF43" s="200"/>
      <c r="VG43" s="200"/>
      <c r="VH43" s="200"/>
      <c r="VI43" s="200"/>
      <c r="VJ43" s="200"/>
      <c r="VK43" s="200"/>
      <c r="VL43" s="200"/>
      <c r="VM43" s="200"/>
      <c r="VN43" s="201"/>
      <c r="VR43" s="203" t="s">
        <v>100</v>
      </c>
      <c r="VS43" s="200"/>
      <c r="VT43" s="200"/>
      <c r="VU43" s="200"/>
      <c r="VV43" s="200"/>
      <c r="VW43" s="200"/>
      <c r="VX43" s="200"/>
      <c r="VY43" s="200"/>
      <c r="VZ43" s="200"/>
      <c r="WA43" s="200"/>
      <c r="WB43" s="201"/>
      <c r="WF43" s="203" t="s">
        <v>100</v>
      </c>
      <c r="WG43" s="200"/>
      <c r="WH43" s="200"/>
      <c r="WI43" s="200"/>
      <c r="WJ43" s="200"/>
      <c r="WK43" s="200"/>
      <c r="WL43" s="200"/>
      <c r="WM43" s="200"/>
      <c r="WN43" s="200"/>
      <c r="WO43" s="200"/>
      <c r="WP43" s="201"/>
      <c r="WT43" s="203" t="s">
        <v>100</v>
      </c>
      <c r="WU43" s="200"/>
      <c r="WV43" s="200"/>
      <c r="WW43" s="200"/>
      <c r="WX43" s="200"/>
      <c r="WY43" s="200"/>
      <c r="WZ43" s="200"/>
      <c r="XA43" s="200"/>
      <c r="XB43" s="200"/>
      <c r="XC43" s="200"/>
      <c r="XD43" s="201"/>
      <c r="XH43" s="203" t="s">
        <v>100</v>
      </c>
      <c r="XI43" s="200"/>
      <c r="XJ43" s="200"/>
      <c r="XK43" s="200"/>
      <c r="XL43" s="200"/>
      <c r="XM43" s="200"/>
      <c r="XN43" s="200"/>
      <c r="XO43" s="200"/>
      <c r="XP43" s="200"/>
      <c r="XQ43" s="200"/>
      <c r="XR43" s="201"/>
      <c r="XV43" s="203" t="s">
        <v>100</v>
      </c>
      <c r="XW43" s="200"/>
      <c r="XX43" s="200"/>
      <c r="XY43" s="200"/>
      <c r="XZ43" s="200"/>
      <c r="YA43" s="200"/>
      <c r="YB43" s="200"/>
      <c r="YC43" s="200"/>
      <c r="YD43" s="200"/>
      <c r="YE43" s="200"/>
      <c r="YF43" s="201"/>
      <c r="YJ43" s="203" t="s">
        <v>100</v>
      </c>
      <c r="YK43" s="200"/>
      <c r="YL43" s="200"/>
      <c r="YM43" s="200"/>
      <c r="YN43" s="200"/>
      <c r="YO43" s="200"/>
      <c r="YP43" s="200"/>
      <c r="YQ43" s="200"/>
      <c r="YR43" s="200"/>
      <c r="YS43" s="200"/>
      <c r="YT43" s="201"/>
      <c r="YX43" s="203" t="s">
        <v>100</v>
      </c>
      <c r="YY43" s="200"/>
      <c r="YZ43" s="200"/>
      <c r="ZA43" s="200"/>
      <c r="ZB43" s="200"/>
      <c r="ZC43" s="200"/>
      <c r="ZD43" s="200"/>
      <c r="ZE43" s="200"/>
      <c r="ZF43" s="200"/>
      <c r="ZG43" s="200"/>
      <c r="ZH43" s="201"/>
      <c r="ZL43" s="203" t="s">
        <v>100</v>
      </c>
      <c r="ZM43" s="200"/>
      <c r="ZN43" s="200"/>
      <c r="ZO43" s="200"/>
      <c r="ZP43" s="200"/>
      <c r="ZQ43" s="200"/>
      <c r="ZR43" s="200"/>
      <c r="ZS43" s="200"/>
      <c r="ZT43" s="200"/>
      <c r="ZU43" s="200"/>
      <c r="ZV43" s="201"/>
      <c r="ZY43" s="189" t="s">
        <v>101</v>
      </c>
      <c r="ZZ43" s="189"/>
      <c r="AAA43" s="189"/>
      <c r="AAB43" s="189"/>
      <c r="AAC43" s="189"/>
      <c r="AAD43" s="189"/>
      <c r="AAG43" s="79"/>
      <c r="AAH43" s="79"/>
      <c r="AAI43" s="79"/>
      <c r="AAL43" s="189" t="s">
        <v>101</v>
      </c>
      <c r="AAM43" s="189"/>
      <c r="AAN43" s="189"/>
      <c r="AAO43" s="189"/>
      <c r="AAP43" s="189"/>
      <c r="AAQ43" s="189"/>
      <c r="AAT43" s="79"/>
      <c r="AAU43" s="79"/>
      <c r="AAV43" s="79"/>
      <c r="AAY43" s="189" t="s">
        <v>101</v>
      </c>
      <c r="AAZ43" s="189"/>
      <c r="ABA43" s="189"/>
      <c r="ABB43" s="189"/>
      <c r="ABC43" s="189"/>
      <c r="ABD43" s="189"/>
      <c r="ABG43" s="79"/>
      <c r="ABH43" s="79"/>
      <c r="ABI43" s="79"/>
      <c r="ABL43" s="189" t="s">
        <v>101</v>
      </c>
      <c r="ABM43" s="189"/>
      <c r="ABN43" s="189"/>
      <c r="ABO43" s="189"/>
      <c r="ABP43" s="189"/>
      <c r="ABQ43" s="189"/>
      <c r="ABT43" s="79"/>
      <c r="ABU43" s="79"/>
      <c r="ABV43" s="79"/>
      <c r="ABY43" s="189" t="s">
        <v>101</v>
      </c>
      <c r="ABZ43" s="189"/>
      <c r="ACA43" s="189"/>
      <c r="ACB43" s="189"/>
      <c r="ACC43" s="189"/>
      <c r="ACD43" s="189"/>
      <c r="ACG43" s="79"/>
      <c r="ACH43" s="79"/>
      <c r="ACI43" s="79"/>
      <c r="ACL43" s="189" t="s">
        <v>101</v>
      </c>
      <c r="ACM43" s="189"/>
      <c r="ACN43" s="189"/>
      <c r="ACO43" s="189"/>
      <c r="ACP43" s="189"/>
      <c r="ACQ43" s="189"/>
      <c r="ACT43" s="79"/>
      <c r="ACU43" s="79"/>
      <c r="ACV43" s="79"/>
      <c r="ACY43" s="189" t="s">
        <v>101</v>
      </c>
      <c r="ACZ43" s="189"/>
      <c r="ADA43" s="189"/>
      <c r="ADB43" s="189"/>
      <c r="ADC43" s="189"/>
      <c r="ADD43" s="189"/>
      <c r="ADG43" s="79"/>
      <c r="ADH43" s="79"/>
      <c r="ADI43" s="79"/>
      <c r="ADL43" s="189" t="s">
        <v>101</v>
      </c>
      <c r="ADM43" s="189"/>
      <c r="ADN43" s="189"/>
      <c r="ADO43" s="189"/>
      <c r="ADP43" s="189"/>
      <c r="ADQ43" s="189"/>
      <c r="ADT43" s="79"/>
      <c r="ADU43" s="79"/>
      <c r="ADV43" s="79"/>
      <c r="ADY43" s="189" t="s">
        <v>101</v>
      </c>
      <c r="ADZ43" s="189"/>
      <c r="AEA43" s="189"/>
      <c r="AEB43" s="189"/>
      <c r="AEC43" s="189"/>
      <c r="AED43" s="189"/>
      <c r="AEG43" s="79"/>
      <c r="AEH43" s="79"/>
      <c r="AEI43" s="79"/>
      <c r="AEL43" s="189" t="s">
        <v>101</v>
      </c>
      <c r="AEM43" s="189"/>
      <c r="AEN43" s="189"/>
      <c r="AEO43" s="189"/>
      <c r="AEP43" s="189"/>
      <c r="AEQ43" s="189"/>
      <c r="AET43" s="79"/>
      <c r="AEU43" s="79"/>
      <c r="AEV43" s="79"/>
      <c r="AEY43" s="189" t="s">
        <v>101</v>
      </c>
      <c r="AEZ43" s="189"/>
      <c r="AFA43" s="189"/>
      <c r="AFB43" s="189"/>
      <c r="AFC43" s="189"/>
      <c r="AFD43" s="189"/>
      <c r="AFG43" s="79"/>
      <c r="AFH43" s="79"/>
      <c r="AFI43" s="79"/>
      <c r="AFL43" s="189" t="s">
        <v>101</v>
      </c>
      <c r="AFM43" s="189"/>
      <c r="AFN43" s="189"/>
      <c r="AFO43" s="189"/>
      <c r="AFP43" s="189"/>
      <c r="AFQ43" s="189"/>
      <c r="AFT43" s="79"/>
      <c r="AFU43" s="79"/>
      <c r="AFV43" s="79"/>
      <c r="AFZ43" s="4"/>
      <c r="AGA43" s="4"/>
      <c r="AGB43" s="4"/>
      <c r="AGC43" s="4"/>
      <c r="AGD43" s="4"/>
      <c r="AGG43" s="79"/>
      <c r="AGH43" s="79"/>
      <c r="AGI43" s="79"/>
      <c r="AGL43" s="4"/>
      <c r="AGM43" s="4"/>
      <c r="AGN43" s="4"/>
      <c r="AGO43" s="4"/>
      <c r="AGP43" s="4"/>
      <c r="AGS43" s="79"/>
      <c r="AGT43" s="79"/>
      <c r="AGU43" s="79"/>
      <c r="AGX43" s="4"/>
      <c r="AGY43" s="4"/>
      <c r="AGZ43" s="4"/>
      <c r="AHA43" s="4"/>
      <c r="AHB43" s="4"/>
      <c r="AHE43" s="79"/>
      <c r="AHF43" s="79"/>
      <c r="AHG43" s="79"/>
      <c r="AHJ43" s="4"/>
      <c r="AHK43" s="4"/>
      <c r="AHL43" s="4"/>
      <c r="AHM43" s="4"/>
      <c r="AHN43" s="4"/>
      <c r="AHQ43" s="79"/>
      <c r="AHR43" s="79"/>
      <c r="AHS43" s="79"/>
      <c r="AHV43" s="4"/>
      <c r="AHW43" s="4"/>
      <c r="AHX43" s="4"/>
      <c r="AHY43" s="4"/>
      <c r="AHZ43" s="4"/>
      <c r="AIC43" s="79"/>
      <c r="AID43" s="79"/>
      <c r="AIE43" s="79"/>
      <c r="AIH43" s="4"/>
      <c r="AII43" s="4"/>
      <c r="AIJ43" s="4"/>
      <c r="AIK43" s="4"/>
      <c r="AIL43" s="4"/>
      <c r="AIO43" s="79"/>
      <c r="AIP43" s="79"/>
      <c r="AIQ43" s="79"/>
      <c r="AIT43" s="4"/>
      <c r="AIU43" s="4"/>
      <c r="AIV43" s="4"/>
      <c r="AIW43" s="4"/>
      <c r="AIX43" s="4"/>
      <c r="AJA43" s="79"/>
      <c r="AJB43" s="79"/>
      <c r="AJC43" s="79"/>
      <c r="AJF43" s="4"/>
      <c r="AJG43" s="4"/>
      <c r="AJH43" s="4"/>
      <c r="AJI43" s="4"/>
      <c r="AJJ43" s="4"/>
      <c r="AJM43" s="79"/>
      <c r="AJN43" s="79"/>
      <c r="AJO43" s="79"/>
      <c r="AJR43" s="4"/>
      <c r="AJS43" s="4"/>
      <c r="AJT43" s="4"/>
      <c r="AJU43" s="4"/>
      <c r="AJV43" s="4"/>
      <c r="AJY43" s="79"/>
      <c r="AJZ43" s="79"/>
      <c r="AKA43" s="79"/>
      <c r="AKD43" s="4"/>
      <c r="AKE43" s="4"/>
      <c r="AKF43" s="4"/>
      <c r="AKG43" s="4"/>
      <c r="AKH43" s="4"/>
      <c r="AKK43" s="79"/>
      <c r="AKL43" s="79"/>
      <c r="AKM43" s="79"/>
      <c r="AKP43" s="4"/>
      <c r="AKQ43" s="4"/>
      <c r="AKR43" s="4"/>
      <c r="AKS43" s="4"/>
      <c r="AKT43" s="4"/>
      <c r="AKW43" s="79"/>
      <c r="AKX43" s="79"/>
      <c r="AKY43" s="79"/>
      <c r="ALB43" s="4"/>
      <c r="ALC43" s="4"/>
      <c r="ALD43" s="4"/>
      <c r="ALE43" s="4"/>
      <c r="ALF43" s="4"/>
      <c r="ALI43" s="79"/>
      <c r="ALJ43" s="79"/>
      <c r="ALK43" s="79"/>
      <c r="ALN43" s="4"/>
      <c r="ALO43" s="4"/>
      <c r="ALP43" s="4"/>
      <c r="ALQ43" s="4"/>
      <c r="ALR43" s="4"/>
      <c r="ALU43" s="79"/>
      <c r="ALV43" s="79"/>
      <c r="ALW43" s="79"/>
      <c r="ALZ43" s="4"/>
      <c r="AMA43" s="4"/>
      <c r="AMB43" s="4"/>
      <c r="AMC43" s="4"/>
      <c r="AMD43" s="4"/>
      <c r="AMG43" s="79"/>
      <c r="AMH43" s="79"/>
      <c r="AMI43" s="79"/>
      <c r="AML43" s="4"/>
      <c r="AMM43" s="4"/>
      <c r="AMN43" s="4"/>
      <c r="AMO43" s="4"/>
      <c r="AMP43" s="4"/>
      <c r="AMS43" s="79"/>
      <c r="AMT43" s="79"/>
      <c r="AMU43" s="79"/>
      <c r="AMX43" s="4"/>
      <c r="AMY43" s="4"/>
      <c r="AMZ43" s="4"/>
      <c r="ANA43" s="4"/>
      <c r="ANB43" s="4"/>
      <c r="ANE43" s="79"/>
      <c r="ANF43" s="79"/>
      <c r="ANG43" s="79"/>
      <c r="ANJ43" s="4"/>
      <c r="ANK43" s="4"/>
      <c r="ANL43" s="4"/>
      <c r="ANM43" s="4"/>
      <c r="ANN43" s="4"/>
      <c r="ANQ43" s="79"/>
      <c r="ANR43" s="79"/>
      <c r="ANS43" s="79"/>
      <c r="ANV43" s="4"/>
      <c r="ANW43" s="4"/>
      <c r="ANX43" s="4"/>
      <c r="ANY43" s="4"/>
      <c r="ANZ43" s="4"/>
      <c r="AOC43" s="79"/>
      <c r="AOD43" s="79"/>
      <c r="AOE43" s="79"/>
      <c r="AOH43" s="4"/>
      <c r="AOI43" s="4"/>
      <c r="AOJ43" s="4"/>
      <c r="AOK43" s="4"/>
      <c r="AOL43" s="4"/>
      <c r="AOO43" s="79"/>
      <c r="AOP43" s="79"/>
      <c r="AOQ43" s="79"/>
      <c r="AOT43" s="4"/>
      <c r="AOU43" s="4"/>
      <c r="AOV43" s="4"/>
      <c r="AOW43" s="4"/>
      <c r="AOX43" s="4"/>
      <c r="APA43" s="79"/>
      <c r="APB43" s="79"/>
      <c r="APC43" s="79"/>
      <c r="APF43" s="4"/>
      <c r="APG43" s="4"/>
      <c r="APH43" s="4"/>
      <c r="API43" s="4"/>
      <c r="APJ43" s="4"/>
      <c r="APM43" s="79"/>
      <c r="APN43" s="79"/>
      <c r="APO43" s="79"/>
      <c r="APR43" s="4"/>
      <c r="APS43" s="4"/>
      <c r="APT43" s="4"/>
      <c r="APU43" s="4"/>
      <c r="APV43" s="4"/>
      <c r="APY43" s="79"/>
      <c r="APZ43" s="79"/>
      <c r="AQA43" s="79"/>
      <c r="AQD43" s="4"/>
      <c r="AQE43" s="4"/>
      <c r="AQF43" s="4"/>
      <c r="AQG43" s="4"/>
      <c r="AQH43" s="4"/>
      <c r="AQK43" s="79"/>
      <c r="AQL43" s="79"/>
      <c r="AQM43" s="79"/>
      <c r="AQP43" s="4"/>
      <c r="AQQ43" s="4"/>
      <c r="AQR43" s="4"/>
      <c r="AQS43" s="4"/>
      <c r="AQT43" s="4"/>
      <c r="AQW43" s="79"/>
      <c r="AQX43" s="79"/>
      <c r="AQY43" s="79"/>
      <c r="ARB43" s="4"/>
      <c r="ARC43" s="4"/>
      <c r="ARD43" s="4"/>
      <c r="ARE43" s="4"/>
      <c r="ARF43" s="4"/>
      <c r="ARI43" s="79"/>
      <c r="ARJ43" s="79"/>
      <c r="ARK43" s="79"/>
      <c r="ARN43" s="4"/>
      <c r="ARO43" s="4"/>
      <c r="ARP43" s="4"/>
      <c r="ARQ43" s="4"/>
      <c r="ARR43" s="4"/>
      <c r="ARU43" s="79"/>
      <c r="ARV43" s="79"/>
      <c r="ARW43" s="79"/>
      <c r="ARZ43" s="4"/>
      <c r="ASA43" s="4"/>
      <c r="ASB43" s="4"/>
      <c r="ASC43" s="4"/>
      <c r="ASD43" s="4"/>
      <c r="ASG43" s="79"/>
      <c r="ASH43" s="79"/>
      <c r="ASI43" s="79"/>
      <c r="ASL43" s="4"/>
      <c r="ASM43" s="4"/>
      <c r="ASN43" s="4"/>
      <c r="ASO43" s="4"/>
      <c r="ASP43" s="4"/>
      <c r="ASS43" s="79"/>
      <c r="AST43" s="79"/>
      <c r="ASU43" s="79"/>
      <c r="ASX43" s="4"/>
      <c r="ASY43" s="4"/>
      <c r="ASZ43" s="4"/>
      <c r="ATA43" s="4"/>
      <c r="ATB43" s="4"/>
      <c r="ATE43" s="79"/>
      <c r="ATF43" s="79"/>
      <c r="ATG43" s="79"/>
      <c r="ATJ43" s="4"/>
      <c r="ATK43" s="4"/>
      <c r="ATL43" s="4"/>
      <c r="ATM43" s="4"/>
      <c r="ATN43" s="4"/>
      <c r="ATQ43" s="79"/>
      <c r="ATR43" s="79"/>
      <c r="ATS43" s="79"/>
      <c r="ATV43" s="4"/>
      <c r="ATW43" s="4"/>
      <c r="ATX43" s="4"/>
      <c r="ATY43" s="4"/>
      <c r="ATZ43" s="4"/>
      <c r="AUC43" s="79"/>
      <c r="AUD43" s="79"/>
      <c r="AUE43" s="79"/>
      <c r="AUH43" s="4"/>
      <c r="AUI43" s="4"/>
      <c r="AUJ43" s="4"/>
      <c r="AUK43" s="4"/>
      <c r="AUL43" s="4"/>
      <c r="AUO43" s="79"/>
      <c r="AUP43" s="79"/>
      <c r="AUQ43" s="79"/>
      <c r="AUT43" s="4"/>
      <c r="AUU43" s="4"/>
      <c r="AUV43" s="4"/>
      <c r="AUW43" s="4"/>
      <c r="AUX43" s="4"/>
      <c r="AVA43" s="79"/>
      <c r="AVB43" s="79"/>
      <c r="AVC43" s="79"/>
      <c r="AVF43" s="4"/>
      <c r="AVG43" s="4"/>
      <c r="AVH43" s="4"/>
      <c r="AVI43" s="4"/>
      <c r="AVJ43" s="4"/>
      <c r="AVM43" s="79"/>
      <c r="AVN43" s="79"/>
      <c r="AVO43" s="79"/>
      <c r="AVR43" s="4"/>
      <c r="AVS43" s="4"/>
      <c r="AVT43" s="4"/>
      <c r="AVU43" s="4"/>
      <c r="AVV43" s="4"/>
      <c r="AVY43" s="79"/>
      <c r="AVZ43" s="79"/>
      <c r="AWA43" s="79"/>
      <c r="AWD43" s="4"/>
      <c r="AWE43" s="4"/>
      <c r="AWF43" s="4"/>
      <c r="AWG43" s="4"/>
      <c r="AWH43" s="4"/>
      <c r="AWK43" s="79"/>
      <c r="AWL43" s="79"/>
      <c r="AWM43" s="79"/>
      <c r="AWP43" s="4"/>
      <c r="AWQ43" s="4"/>
      <c r="AWR43" s="4"/>
      <c r="AWS43" s="4"/>
      <c r="AWT43" s="4"/>
      <c r="AWW43" s="79"/>
      <c r="AWX43" s="79"/>
      <c r="AWY43" s="79"/>
      <c r="AXB43" s="4"/>
      <c r="AXC43" s="4"/>
      <c r="AXD43" s="4"/>
      <c r="AXE43" s="4"/>
      <c r="AXF43" s="4"/>
      <c r="AXI43" s="79"/>
      <c r="AXJ43" s="79"/>
      <c r="AXK43" s="79"/>
      <c r="AXN43" s="4"/>
      <c r="AXO43" s="4"/>
      <c r="AXP43" s="4"/>
      <c r="AXQ43" s="4"/>
      <c r="AXR43" s="4"/>
      <c r="AXU43" s="79"/>
      <c r="AXV43" s="79"/>
      <c r="AXW43" s="79"/>
      <c r="AXZ43" s="4"/>
      <c r="AYA43" s="4"/>
      <c r="AYB43" s="4"/>
      <c r="AYC43" s="4"/>
      <c r="AYD43" s="4"/>
      <c r="AYG43" s="79"/>
      <c r="AYH43" s="79"/>
      <c r="AYI43" s="79"/>
      <c r="AYL43" s="4"/>
      <c r="AYM43" s="4"/>
      <c r="AYN43" s="4"/>
      <c r="AYO43" s="4"/>
      <c r="AYP43" s="4"/>
      <c r="AYS43" s="79"/>
      <c r="AYT43" s="79"/>
      <c r="AYU43" s="79"/>
      <c r="AYX43" s="4"/>
      <c r="AYY43" s="4"/>
      <c r="AYZ43" s="4"/>
      <c r="AZA43" s="4"/>
      <c r="AZB43" s="4"/>
      <c r="AZE43" s="79"/>
      <c r="AZF43" s="79"/>
      <c r="AZG43" s="79"/>
      <c r="AZJ43" s="4"/>
      <c r="AZK43" s="4"/>
      <c r="AZL43" s="4"/>
      <c r="AZM43" s="4"/>
      <c r="AZN43" s="4"/>
      <c r="AZQ43" s="79"/>
      <c r="AZR43" s="79"/>
      <c r="AZS43" s="79"/>
      <c r="AZV43" s="4"/>
      <c r="AZW43" s="4"/>
      <c r="AZX43" s="4"/>
      <c r="AZY43" s="4"/>
      <c r="AZZ43" s="4"/>
      <c r="BAC43" s="79"/>
      <c r="BAD43" s="79"/>
      <c r="BAE43" s="79"/>
      <c r="BAH43" s="4"/>
      <c r="BAI43" s="4"/>
      <c r="BAJ43" s="4"/>
      <c r="BAK43" s="4"/>
      <c r="BAL43" s="4"/>
      <c r="BAO43" s="79"/>
      <c r="BAP43" s="79"/>
      <c r="BAQ43" s="79"/>
      <c r="BAT43" s="4"/>
      <c r="BAU43" s="4"/>
      <c r="BAV43" s="4"/>
      <c r="BAW43" s="4"/>
      <c r="BAX43" s="4"/>
      <c r="BBA43" s="79"/>
      <c r="BBB43" s="79"/>
      <c r="BBC43" s="79"/>
      <c r="BBF43" s="4"/>
      <c r="BBG43" s="4"/>
      <c r="BBH43" s="4"/>
      <c r="BBI43" s="4"/>
      <c r="BBJ43" s="4"/>
      <c r="BBM43" s="79"/>
      <c r="BBN43" s="79"/>
      <c r="BBO43" s="79"/>
      <c r="BBR43" s="4"/>
      <c r="BBS43" s="4"/>
      <c r="BBT43" s="4"/>
      <c r="BBU43" s="4"/>
      <c r="BBV43" s="4"/>
      <c r="BBY43" s="79"/>
      <c r="BBZ43" s="79"/>
      <c r="BCA43" s="79"/>
      <c r="BCD43" s="4"/>
      <c r="BCE43" s="4"/>
      <c r="BCF43" s="4"/>
      <c r="BCG43" s="4"/>
      <c r="BCH43" s="4"/>
      <c r="BCK43" s="79"/>
      <c r="BCL43" s="79"/>
      <c r="BCM43" s="79"/>
      <c r="BCP43" s="4"/>
      <c r="BCQ43" s="4"/>
      <c r="BCR43" s="4"/>
      <c r="BCS43" s="4"/>
      <c r="BCT43" s="4"/>
      <c r="BCW43" s="79"/>
      <c r="BCX43" s="79"/>
      <c r="BCY43" s="79"/>
      <c r="BDB43" s="4"/>
      <c r="BDC43" s="4"/>
      <c r="BDD43" s="4"/>
      <c r="BDE43" s="4"/>
      <c r="BDF43" s="4"/>
      <c r="BDI43" s="79"/>
      <c r="BDJ43" s="79"/>
      <c r="BDK43" s="79"/>
      <c r="BDN43" s="4"/>
      <c r="BDO43" s="4"/>
      <c r="BDP43" s="4"/>
      <c r="BDQ43" s="4"/>
      <c r="BDR43" s="4"/>
      <c r="BDU43" s="79"/>
      <c r="BDV43" s="79"/>
      <c r="BDW43" s="79"/>
      <c r="BDZ43" s="4"/>
      <c r="BEA43" s="4"/>
      <c r="BEB43" s="4"/>
      <c r="BEC43" s="4"/>
      <c r="BED43" s="4"/>
      <c r="BEG43" s="79"/>
      <c r="BEH43" s="79"/>
      <c r="BEI43" s="79"/>
      <c r="BEL43" s="4"/>
      <c r="BEM43" s="4"/>
      <c r="BEN43" s="4"/>
      <c r="BEO43" s="4"/>
      <c r="BEP43" s="4"/>
      <c r="BES43" s="79"/>
      <c r="BET43" s="79"/>
      <c r="BEU43" s="79"/>
      <c r="BEX43" s="4"/>
      <c r="BEY43" s="4"/>
      <c r="BEZ43" s="4"/>
      <c r="BFA43" s="4"/>
      <c r="BFB43" s="4"/>
      <c r="BFE43" s="79"/>
      <c r="BFF43" s="79"/>
      <c r="BFG43" s="79"/>
      <c r="BFJ43" s="4"/>
      <c r="BFK43" s="4"/>
      <c r="BFL43" s="4"/>
      <c r="BFM43" s="4"/>
      <c r="BFN43" s="4"/>
      <c r="BFQ43" s="79"/>
      <c r="BFR43" s="79"/>
      <c r="BFS43" s="79"/>
      <c r="BFV43" s="4"/>
      <c r="BFW43" s="4"/>
      <c r="BFX43" s="4"/>
      <c r="BFY43" s="4"/>
      <c r="BFZ43" s="4"/>
      <c r="BGC43" s="79"/>
      <c r="BGD43" s="79"/>
      <c r="BGE43" s="79"/>
      <c r="BGH43" s="4"/>
      <c r="BGI43" s="4"/>
      <c r="BGJ43" s="4"/>
      <c r="BGK43" s="4"/>
      <c r="BGL43" s="4"/>
      <c r="BGO43" s="79"/>
      <c r="BGP43" s="79"/>
      <c r="BGQ43" s="79"/>
      <c r="BGT43" s="4"/>
      <c r="BGU43" s="4"/>
      <c r="BGV43" s="4"/>
      <c r="BGW43" s="4"/>
      <c r="BGX43" s="4"/>
      <c r="BHA43" s="79"/>
      <c r="BHB43" s="79"/>
      <c r="BHC43" s="79"/>
      <c r="BHF43" s="4"/>
      <c r="BHG43" s="4"/>
      <c r="BHH43" s="4"/>
      <c r="BHI43" s="4"/>
      <c r="BHJ43" s="4"/>
      <c r="BHM43" s="79"/>
      <c r="BHN43" s="79"/>
      <c r="BHO43" s="79"/>
      <c r="BHR43" s="4"/>
      <c r="BHS43" s="4"/>
      <c r="BHT43" s="4"/>
      <c r="BHU43" s="4"/>
      <c r="BHV43" s="4"/>
      <c r="BHY43" s="79"/>
      <c r="BHZ43" s="79"/>
      <c r="BIA43" s="79"/>
      <c r="BID43" s="4"/>
      <c r="BIE43" s="4"/>
      <c r="BIF43" s="4"/>
      <c r="BIG43" s="4"/>
      <c r="BIH43" s="4"/>
      <c r="BIK43" s="79"/>
      <c r="BIL43" s="79"/>
      <c r="BIM43" s="79"/>
      <c r="BIP43" s="4"/>
      <c r="BIQ43" s="4"/>
      <c r="BIR43" s="4"/>
      <c r="BIS43" s="4"/>
      <c r="BIT43" s="4"/>
      <c r="BIW43" s="79"/>
      <c r="BIX43" s="79"/>
      <c r="BIY43" s="79"/>
      <c r="BJB43" s="4"/>
      <c r="BJC43" s="4"/>
      <c r="BJD43" s="4"/>
      <c r="BJE43" s="4"/>
      <c r="BJF43" s="4"/>
      <c r="BJI43" s="79"/>
      <c r="BJJ43" s="79"/>
      <c r="BJK43" s="79"/>
      <c r="BJN43" s="4"/>
      <c r="BJO43" s="4"/>
      <c r="BJP43" s="4"/>
      <c r="BJQ43" s="4"/>
      <c r="BJR43" s="4"/>
      <c r="BJU43" s="79"/>
      <c r="BJV43" s="79"/>
      <c r="BJW43" s="79"/>
      <c r="BJZ43" s="4"/>
      <c r="BKA43" s="4"/>
      <c r="BKB43" s="4"/>
      <c r="BKC43" s="4"/>
      <c r="BKD43" s="4"/>
      <c r="BKG43" s="79"/>
      <c r="BKH43" s="79"/>
      <c r="BKI43" s="79"/>
      <c r="BKL43" s="4"/>
      <c r="BKM43" s="4"/>
      <c r="BKN43" s="4"/>
      <c r="BKO43" s="4"/>
      <c r="BKP43" s="4"/>
      <c r="BKS43" s="79"/>
      <c r="BKT43" s="79"/>
      <c r="BKU43" s="79"/>
      <c r="BKX43" s="4"/>
      <c r="BKY43" s="4"/>
      <c r="BKZ43" s="4"/>
      <c r="BLA43" s="4"/>
      <c r="BLB43" s="4"/>
      <c r="BLE43" s="79"/>
      <c r="BLF43" s="79"/>
      <c r="BLG43" s="79"/>
      <c r="BLJ43" s="4"/>
      <c r="BLK43" s="4"/>
      <c r="BLL43" s="4"/>
      <c r="BLM43" s="4"/>
      <c r="BLN43" s="4"/>
      <c r="BLQ43" s="79"/>
      <c r="BLR43" s="79"/>
      <c r="BLS43" s="79"/>
      <c r="BLV43" s="4"/>
      <c r="BLW43" s="4"/>
      <c r="BLX43" s="4"/>
      <c r="BLY43" s="4"/>
      <c r="BLZ43" s="4"/>
      <c r="BMC43" s="79"/>
      <c r="BMD43" s="79"/>
      <c r="BME43" s="79"/>
      <c r="BMH43" s="4"/>
      <c r="BMI43" s="4"/>
      <c r="BMJ43" s="4"/>
      <c r="BMK43" s="4"/>
      <c r="BML43" s="4"/>
      <c r="BMO43" s="79"/>
      <c r="BMP43" s="79"/>
      <c r="BMQ43" s="79"/>
      <c r="BMT43" s="4"/>
      <c r="BMU43" s="4"/>
      <c r="BMV43" s="4"/>
      <c r="BMW43" s="4"/>
      <c r="BMX43" s="4"/>
      <c r="BNA43" s="79"/>
      <c r="BNB43" s="79"/>
      <c r="BNC43" s="79"/>
      <c r="BNF43" s="4"/>
      <c r="BNG43" s="4"/>
      <c r="BNH43" s="4"/>
      <c r="BNI43" s="4"/>
      <c r="BNJ43" s="4"/>
      <c r="BNM43" s="79"/>
      <c r="BNN43" s="79"/>
      <c r="BNO43" s="79"/>
      <c r="BNR43" s="4"/>
      <c r="BNS43" s="4"/>
      <c r="BNT43" s="4"/>
      <c r="BNU43" s="4"/>
      <c r="BNV43" s="4"/>
      <c r="BNY43" s="79"/>
      <c r="BNZ43" s="79"/>
      <c r="BOA43" s="79"/>
      <c r="BOD43" s="4"/>
      <c r="BOE43" s="4"/>
      <c r="BOF43" s="4"/>
      <c r="BOG43" s="4"/>
      <c r="BOH43" s="4"/>
      <c r="BOK43" s="79"/>
      <c r="BOL43" s="79"/>
      <c r="BOM43" s="79"/>
      <c r="BOP43" s="4"/>
      <c r="BOQ43" s="4"/>
      <c r="BOR43" s="4"/>
      <c r="BOS43" s="4"/>
      <c r="BOT43" s="4"/>
      <c r="BOW43" s="79"/>
      <c r="BOX43" s="79"/>
      <c r="BOY43" s="79"/>
      <c r="BPB43" s="4"/>
      <c r="BPC43" s="4"/>
      <c r="BPD43" s="4"/>
      <c r="BPE43" s="4"/>
      <c r="BPF43" s="4"/>
      <c r="BPI43" s="79"/>
      <c r="BPJ43" s="79"/>
      <c r="BPK43" s="79"/>
      <c r="BPN43" s="4"/>
      <c r="BPO43" s="4"/>
      <c r="BPP43" s="4"/>
      <c r="BPQ43" s="4"/>
      <c r="BPR43" s="4"/>
      <c r="BPU43" s="79"/>
      <c r="BPV43" s="79"/>
      <c r="BPW43" s="79"/>
      <c r="BPZ43" s="4"/>
      <c r="BQA43" s="4"/>
      <c r="BQB43" s="4"/>
      <c r="BQC43" s="4"/>
      <c r="BQD43" s="4"/>
      <c r="BQG43" s="79"/>
      <c r="BQH43" s="79"/>
      <c r="BQI43" s="79"/>
      <c r="BQL43" s="4"/>
      <c r="BQM43" s="4"/>
      <c r="BQN43" s="4"/>
      <c r="BQO43" s="4"/>
      <c r="BQP43" s="4"/>
      <c r="BQS43" s="79"/>
      <c r="BQT43" s="79"/>
      <c r="BQU43" s="79"/>
      <c r="BQX43" s="4"/>
      <c r="BQY43" s="4"/>
      <c r="BQZ43" s="4"/>
      <c r="BRA43" s="4"/>
      <c r="BRB43" s="4"/>
      <c r="BRE43" s="79"/>
      <c r="BRF43" s="79"/>
      <c r="BRG43" s="79"/>
      <c r="BRJ43" s="4"/>
      <c r="BRK43" s="4"/>
      <c r="BRL43" s="4"/>
      <c r="BRM43" s="4"/>
      <c r="BRN43" s="4"/>
      <c r="BRQ43" s="79"/>
      <c r="BRR43" s="79"/>
      <c r="BRS43" s="79"/>
      <c r="BRV43" s="4"/>
      <c r="BRW43" s="4"/>
      <c r="BRX43" s="4"/>
      <c r="BRY43" s="4"/>
      <c r="BRZ43" s="4"/>
      <c r="BSC43" s="79"/>
      <c r="BSD43" s="79"/>
      <c r="BSE43" s="79"/>
      <c r="BSH43" s="4"/>
      <c r="BSI43" s="4"/>
      <c r="BSJ43" s="4"/>
      <c r="BSK43" s="4"/>
      <c r="BSL43" s="4"/>
      <c r="BSO43" s="79"/>
      <c r="BSP43" s="79"/>
      <c r="BSQ43" s="79"/>
      <c r="BST43" s="4"/>
      <c r="BSU43" s="4"/>
      <c r="BSV43" s="4"/>
      <c r="BSW43" s="4"/>
      <c r="BSX43" s="4"/>
      <c r="BTA43" s="79"/>
      <c r="BTB43" s="79"/>
      <c r="BTC43" s="79"/>
      <c r="BTF43" s="4"/>
      <c r="BTG43" s="4"/>
      <c r="BTH43" s="4"/>
      <c r="BTI43" s="4"/>
      <c r="BTJ43" s="4"/>
      <c r="BTM43" s="79"/>
      <c r="BTN43" s="79"/>
      <c r="BTO43" s="79"/>
      <c r="BTR43" s="4"/>
      <c r="BTS43" s="4"/>
      <c r="BTT43" s="4"/>
      <c r="BTU43" s="4"/>
      <c r="BTV43" s="4"/>
      <c r="BTY43" s="79"/>
      <c r="BTZ43" s="79"/>
      <c r="BUA43" s="79"/>
      <c r="BUD43" s="4"/>
      <c r="BUE43" s="4"/>
      <c r="BUF43" s="4"/>
      <c r="BUG43" s="4"/>
      <c r="BUH43" s="4"/>
      <c r="BUK43" s="79"/>
      <c r="BUL43" s="79"/>
      <c r="BUM43" s="79"/>
      <c r="BUP43" s="4"/>
      <c r="BUQ43" s="4"/>
      <c r="BUR43" s="4"/>
      <c r="BUS43" s="4"/>
      <c r="BUT43" s="4"/>
      <c r="BUW43" s="79"/>
      <c r="BUX43" s="79"/>
      <c r="BUY43" s="79"/>
      <c r="BVB43" s="4"/>
      <c r="BVC43" s="4"/>
      <c r="BVD43" s="4"/>
      <c r="BVE43" s="4"/>
      <c r="BVF43" s="4"/>
      <c r="BVI43" s="79"/>
      <c r="BVJ43" s="79"/>
      <c r="BVK43" s="79"/>
      <c r="BVN43" s="4"/>
      <c r="BVO43" s="4"/>
      <c r="BVP43" s="4"/>
      <c r="BVQ43" s="4"/>
      <c r="BVR43" s="4"/>
      <c r="BVU43" s="79"/>
      <c r="BVV43" s="79"/>
      <c r="BVW43" s="79"/>
      <c r="BVZ43" s="4"/>
      <c r="BWA43" s="4"/>
      <c r="BWB43" s="4"/>
      <c r="BWC43" s="4"/>
      <c r="BWD43" s="4"/>
      <c r="BWG43" s="79"/>
      <c r="BWH43" s="79"/>
      <c r="BWI43" s="79"/>
      <c r="BWL43" s="4"/>
      <c r="BWM43" s="4"/>
      <c r="BWN43" s="4"/>
      <c r="BWO43" s="4"/>
      <c r="BWP43" s="4"/>
      <c r="BWS43" s="79"/>
      <c r="BWT43" s="79"/>
      <c r="BWU43" s="79"/>
      <c r="BWX43" s="4"/>
      <c r="BWY43" s="4"/>
      <c r="BWZ43" s="4"/>
      <c r="BXA43" s="4"/>
      <c r="BXB43" s="4"/>
      <c r="BXE43" s="79"/>
      <c r="BXF43" s="79"/>
      <c r="BXG43" s="79"/>
      <c r="BXJ43" s="4"/>
      <c r="BXK43" s="4"/>
      <c r="BXL43" s="4"/>
      <c r="BXM43" s="4"/>
      <c r="BXN43" s="4"/>
      <c r="BXQ43" s="79"/>
      <c r="BXR43" s="79"/>
      <c r="BXS43" s="79"/>
      <c r="BXV43" s="4"/>
      <c r="BXW43" s="4"/>
      <c r="BXX43" s="4"/>
      <c r="BXY43" s="4"/>
      <c r="BXZ43" s="4"/>
      <c r="BYC43" s="79"/>
      <c r="BYD43" s="79"/>
      <c r="BYE43" s="79"/>
      <c r="BYH43" s="4"/>
      <c r="BYI43" s="4"/>
      <c r="BYJ43" s="4"/>
      <c r="BYK43" s="4"/>
      <c r="BYL43" s="4"/>
      <c r="BYO43" s="79"/>
      <c r="BYP43" s="79"/>
      <c r="BYQ43" s="79"/>
      <c r="BYT43" s="4"/>
      <c r="BYU43" s="4"/>
      <c r="BYV43" s="4"/>
      <c r="BYW43" s="4"/>
      <c r="BYX43" s="4"/>
      <c r="BZA43" s="79"/>
      <c r="BZB43" s="79"/>
      <c r="BZC43" s="79"/>
      <c r="BZF43" s="4"/>
      <c r="BZG43" s="4"/>
      <c r="BZH43" s="4"/>
      <c r="BZI43" s="4"/>
      <c r="BZJ43" s="4"/>
      <c r="BZM43" s="79"/>
      <c r="BZN43" s="79"/>
      <c r="BZO43" s="79"/>
      <c r="BZR43" s="4"/>
      <c r="BZS43" s="4"/>
      <c r="BZT43" s="4"/>
      <c r="BZU43" s="4"/>
      <c r="BZV43" s="4"/>
      <c r="BZY43" s="79"/>
      <c r="BZZ43" s="79"/>
      <c r="CAA43" s="79"/>
      <c r="CAD43" s="4"/>
      <c r="CAE43" s="4"/>
      <c r="CAF43" s="4"/>
      <c r="CAG43" s="4"/>
      <c r="CAH43" s="4"/>
      <c r="CAK43" s="79"/>
      <c r="CAL43" s="79"/>
      <c r="CAM43" s="79"/>
      <c r="CAP43" s="4"/>
      <c r="CAQ43" s="4"/>
      <c r="CAR43" s="4"/>
      <c r="CAS43" s="4"/>
      <c r="CAT43" s="4"/>
      <c r="CAW43" s="79"/>
      <c r="CAX43" s="79"/>
      <c r="CAY43" s="79"/>
      <c r="CBB43" s="4"/>
      <c r="CBC43" s="4"/>
      <c r="CBD43" s="4"/>
      <c r="CBE43" s="4"/>
      <c r="CBF43" s="4"/>
      <c r="CBI43" s="79"/>
      <c r="CBJ43" s="79"/>
      <c r="CBK43" s="79"/>
      <c r="CBN43" s="4"/>
      <c r="CBO43" s="4"/>
      <c r="CBP43" s="4"/>
      <c r="CBQ43" s="4"/>
      <c r="CBR43" s="4"/>
      <c r="CBU43" s="79"/>
      <c r="CBV43" s="79"/>
      <c r="CBW43" s="79"/>
      <c r="CBZ43" s="4"/>
      <c r="CCA43" s="4"/>
      <c r="CCB43" s="4"/>
      <c r="CCC43" s="4"/>
      <c r="CCD43" s="4"/>
      <c r="CCG43" s="79"/>
      <c r="CCH43" s="79"/>
      <c r="CCI43" s="79"/>
      <c r="CCL43" s="4"/>
      <c r="CCM43" s="4"/>
      <c r="CCN43" s="4"/>
      <c r="CCO43" s="4"/>
      <c r="CCP43" s="4"/>
      <c r="CCS43" s="79"/>
      <c r="CCT43" s="79"/>
      <c r="CCU43" s="79"/>
      <c r="CCX43" s="4"/>
      <c r="CCY43" s="4"/>
      <c r="CCZ43" s="4"/>
      <c r="CDA43" s="4"/>
      <c r="CDB43" s="4"/>
      <c r="CDE43" s="79"/>
      <c r="CDF43" s="79"/>
      <c r="CDG43" s="79"/>
      <c r="CDJ43" s="4"/>
      <c r="CDK43" s="4"/>
      <c r="CDL43" s="4"/>
      <c r="CDM43" s="4"/>
      <c r="CDN43" s="4"/>
      <c r="CDQ43" s="79"/>
      <c r="CDR43" s="79"/>
      <c r="CDS43" s="79"/>
      <c r="CDV43" s="4"/>
      <c r="CDW43" s="4"/>
      <c r="CDX43" s="4"/>
      <c r="CDY43" s="4"/>
      <c r="CDZ43" s="4"/>
      <c r="CEC43" s="79"/>
      <c r="CED43" s="79"/>
      <c r="CEE43" s="79"/>
      <c r="CEH43" s="4"/>
      <c r="CEI43" s="4"/>
      <c r="CEJ43" s="4"/>
      <c r="CEK43" s="4"/>
      <c r="CEL43" s="4"/>
      <c r="CEO43" s="79"/>
      <c r="CEP43" s="79"/>
      <c r="CEQ43" s="79"/>
      <c r="CET43" s="4"/>
      <c r="CEU43" s="4"/>
      <c r="CEV43" s="4"/>
      <c r="CEW43" s="4"/>
      <c r="CEX43" s="4"/>
      <c r="CFA43" s="79"/>
      <c r="CFB43" s="79"/>
      <c r="CFC43" s="79"/>
      <c r="CFF43" s="4"/>
      <c r="CFG43" s="4"/>
      <c r="CFH43" s="4"/>
      <c r="CFI43" s="4"/>
      <c r="CFJ43" s="4"/>
      <c r="CFM43" s="79"/>
      <c r="CFN43" s="79"/>
      <c r="CFO43" s="79"/>
      <c r="CFR43" s="4"/>
      <c r="CFS43" s="4"/>
      <c r="CFT43" s="4"/>
      <c r="CFU43" s="4"/>
      <c r="CFV43" s="4"/>
      <c r="CFY43" s="79"/>
      <c r="CFZ43" s="79"/>
      <c r="CGA43" s="79"/>
      <c r="CGD43" s="4"/>
      <c r="CGE43" s="4"/>
      <c r="CGF43" s="4"/>
      <c r="CGG43" s="4"/>
      <c r="CGH43" s="4"/>
      <c r="CGK43" s="79"/>
      <c r="CGL43" s="79"/>
      <c r="CGM43" s="79"/>
      <c r="CGP43" s="4"/>
      <c r="CGQ43" s="4"/>
      <c r="CGR43" s="4"/>
      <c r="CGS43" s="4"/>
      <c r="CGT43" s="4"/>
      <c r="CGW43" s="79"/>
      <c r="CGX43" s="79"/>
      <c r="CGY43" s="79"/>
      <c r="CHB43" s="4"/>
      <c r="CHC43" s="4"/>
      <c r="CHD43" s="4"/>
      <c r="CHE43" s="4"/>
      <c r="CHF43" s="4"/>
      <c r="CHI43" s="79"/>
      <c r="CHJ43" s="79"/>
      <c r="CHK43" s="79"/>
      <c r="CHN43" s="4"/>
      <c r="CHO43" s="4"/>
      <c r="CHP43" s="4"/>
      <c r="CHQ43" s="4"/>
      <c r="CHR43" s="4"/>
      <c r="CHU43" s="79"/>
      <c r="CHV43" s="79"/>
      <c r="CHW43" s="79"/>
      <c r="CHZ43" s="4"/>
      <c r="CIA43" s="4"/>
      <c r="CIB43" s="4"/>
      <c r="CIC43" s="4"/>
      <c r="CID43" s="4"/>
      <c r="CIG43" s="79"/>
      <c r="CIH43" s="79"/>
      <c r="CII43" s="79"/>
      <c r="CIL43" s="4"/>
      <c r="CIM43" s="4"/>
      <c r="CIN43" s="4"/>
      <c r="CIO43" s="4"/>
      <c r="CIP43" s="4"/>
      <c r="CIS43" s="79"/>
      <c r="CIT43" s="79"/>
      <c r="CIU43" s="79"/>
      <c r="CIX43" s="4"/>
      <c r="CIY43" s="4"/>
      <c r="CIZ43" s="4"/>
      <c r="CJA43" s="4"/>
      <c r="CJB43" s="4"/>
      <c r="CJE43" s="79"/>
      <c r="CJF43" s="79"/>
      <c r="CJG43" s="79"/>
      <c r="CJJ43" s="4"/>
      <c r="CJK43" s="4"/>
      <c r="CJL43" s="4"/>
      <c r="CJM43" s="4"/>
      <c r="CJN43" s="4"/>
      <c r="CJQ43" s="79"/>
      <c r="CJR43" s="79"/>
      <c r="CJS43" s="79"/>
      <c r="CJV43" s="4"/>
      <c r="CJW43" s="4"/>
      <c r="CJX43" s="4"/>
      <c r="CJY43" s="4"/>
      <c r="CJZ43" s="4"/>
      <c r="CKC43" s="79"/>
      <c r="CKD43" s="79"/>
      <c r="CKE43" s="79"/>
      <c r="CKH43" s="4"/>
      <c r="CKI43" s="4"/>
      <c r="CKJ43" s="4"/>
      <c r="CKK43" s="4"/>
      <c r="CKL43" s="4"/>
      <c r="CKO43" s="79"/>
      <c r="CKP43" s="79"/>
      <c r="CKQ43" s="79"/>
      <c r="CKT43" s="4"/>
      <c r="CKU43" s="4"/>
      <c r="CKV43" s="4"/>
      <c r="CKW43" s="4"/>
      <c r="CKX43" s="4"/>
      <c r="CLA43" s="79"/>
      <c r="CLB43" s="79"/>
      <c r="CLC43" s="79"/>
      <c r="CLF43" s="4"/>
      <c r="CLG43" s="4"/>
      <c r="CLH43" s="4"/>
      <c r="CLI43" s="4"/>
      <c r="CLJ43" s="4"/>
      <c r="CLM43" s="79"/>
      <c r="CLN43" s="79"/>
      <c r="CLO43" s="79"/>
      <c r="CLR43" s="4"/>
      <c r="CLS43" s="4"/>
      <c r="CLT43" s="4"/>
      <c r="CLU43" s="4"/>
      <c r="CLV43" s="4"/>
      <c r="CLY43" s="79"/>
      <c r="CLZ43" s="79"/>
      <c r="CMA43" s="79"/>
      <c r="CMD43" s="4"/>
      <c r="CME43" s="4"/>
      <c r="CMF43" s="4"/>
      <c r="CMG43" s="4"/>
      <c r="CMH43" s="4"/>
      <c r="CMK43" s="79"/>
      <c r="CML43" s="79"/>
      <c r="CMM43" s="79"/>
      <c r="CMP43" s="4"/>
      <c r="CMQ43" s="4"/>
      <c r="CMR43" s="4"/>
      <c r="CMS43" s="4"/>
      <c r="CMT43" s="4"/>
      <c r="CMW43" s="79"/>
      <c r="CMX43" s="79"/>
      <c r="CMY43" s="79"/>
      <c r="CNB43" s="4"/>
      <c r="CNC43" s="4"/>
      <c r="CND43" s="4"/>
      <c r="CNE43" s="4"/>
      <c r="CNF43" s="4"/>
      <c r="CNI43" s="79"/>
      <c r="CNJ43" s="79"/>
      <c r="CNK43" s="79"/>
      <c r="CNN43" s="4"/>
      <c r="CNO43" s="4"/>
      <c r="CNP43" s="4"/>
      <c r="CNQ43" s="4"/>
      <c r="CNR43" s="4"/>
      <c r="CNU43" s="79"/>
      <c r="CNV43" s="79"/>
      <c r="CNW43" s="79"/>
      <c r="CNZ43" s="4"/>
      <c r="COA43" s="4"/>
      <c r="COB43" s="4"/>
      <c r="COC43" s="4"/>
      <c r="COD43" s="4"/>
      <c r="COG43" s="79"/>
      <c r="COH43" s="79"/>
      <c r="COI43" s="79"/>
      <c r="COL43" s="4"/>
      <c r="COM43" s="4"/>
      <c r="CON43" s="4"/>
      <c r="COO43" s="4"/>
      <c r="COP43" s="4"/>
      <c r="COS43" s="79"/>
      <c r="COT43" s="79"/>
      <c r="COU43" s="79"/>
      <c r="COX43" s="4"/>
      <c r="COY43" s="4"/>
      <c r="COZ43" s="4"/>
      <c r="CPA43" s="4"/>
      <c r="CPB43" s="4"/>
      <c r="CPE43" s="79"/>
      <c r="CPF43" s="79"/>
      <c r="CPG43" s="79"/>
      <c r="CPJ43" s="4"/>
      <c r="CPK43" s="4"/>
      <c r="CPL43" s="4"/>
      <c r="CPM43" s="4"/>
      <c r="CPN43" s="4"/>
      <c r="CPQ43" s="79"/>
      <c r="CPR43" s="79"/>
      <c r="CPS43" s="79"/>
      <c r="CPV43" s="4"/>
      <c r="CPW43" s="4"/>
      <c r="CPX43" s="4"/>
      <c r="CPY43" s="4"/>
      <c r="CPZ43" s="4"/>
      <c r="CQC43" s="79"/>
      <c r="CQD43" s="79"/>
      <c r="CQE43" s="79"/>
      <c r="CQH43" s="4"/>
      <c r="CQI43" s="4"/>
      <c r="CQJ43" s="4"/>
      <c r="CQK43" s="4"/>
      <c r="CQL43" s="4"/>
      <c r="CQO43" s="79"/>
      <c r="CQP43" s="79"/>
      <c r="CQQ43" s="79"/>
      <c r="CQT43" s="4"/>
      <c r="CQU43" s="4"/>
      <c r="CQV43" s="4"/>
      <c r="CQW43" s="4"/>
      <c r="CQX43" s="4"/>
      <c r="CRA43" s="79"/>
      <c r="CRB43" s="79"/>
      <c r="CRC43" s="79"/>
      <c r="CRF43" s="4"/>
      <c r="CRG43" s="4"/>
      <c r="CRH43" s="4"/>
      <c r="CRI43" s="4"/>
      <c r="CRJ43" s="4"/>
      <c r="CRM43" s="79"/>
      <c r="CRN43" s="79"/>
      <c r="CRO43" s="79"/>
      <c r="CRR43" s="4"/>
      <c r="CRS43" s="4"/>
      <c r="CRT43" s="4"/>
      <c r="CRU43" s="4"/>
      <c r="CRV43" s="4"/>
      <c r="CRY43" s="79"/>
      <c r="CRZ43" s="79"/>
      <c r="CSA43" s="79"/>
      <c r="CSD43" s="4"/>
      <c r="CSE43" s="4"/>
      <c r="CSF43" s="4"/>
      <c r="CSG43" s="4"/>
      <c r="CSH43" s="4"/>
      <c r="CSK43" s="79"/>
      <c r="CSL43" s="79"/>
      <c r="CSM43" s="79"/>
      <c r="CSP43" s="4"/>
      <c r="CSQ43" s="4"/>
      <c r="CSR43" s="4"/>
      <c r="CSS43" s="4"/>
      <c r="CST43" s="4"/>
      <c r="CSW43" s="79"/>
      <c r="CSX43" s="79"/>
      <c r="CSY43" s="79"/>
      <c r="CTB43" s="4"/>
      <c r="CTC43" s="4"/>
      <c r="CTD43" s="4"/>
      <c r="CTE43" s="4"/>
      <c r="CTF43" s="4"/>
      <c r="CTI43" s="79"/>
      <c r="CTJ43" s="79"/>
      <c r="CTK43" s="79"/>
      <c r="CTN43" s="4"/>
      <c r="CTO43" s="4"/>
      <c r="CTP43" s="4"/>
      <c r="CTQ43" s="4"/>
      <c r="CTR43" s="4"/>
      <c r="CTU43" s="79"/>
      <c r="CTV43" s="79"/>
      <c r="CTW43" s="79"/>
      <c r="CTZ43" s="4"/>
      <c r="CUA43" s="4"/>
      <c r="CUB43" s="4"/>
      <c r="CUC43" s="4"/>
      <c r="CUD43" s="4"/>
      <c r="CUG43" s="79"/>
      <c r="CUH43" s="79"/>
      <c r="CUI43" s="79"/>
      <c r="CUL43" s="4"/>
      <c r="CUM43" s="4"/>
      <c r="CUN43" s="4"/>
      <c r="CUO43" s="4"/>
      <c r="CUP43" s="4"/>
      <c r="CUS43" s="79"/>
      <c r="CUT43" s="79"/>
      <c r="CUU43" s="79"/>
      <c r="CUX43" s="4"/>
      <c r="CUY43" s="4"/>
      <c r="CUZ43" s="4"/>
      <c r="CVA43" s="4"/>
      <c r="CVB43" s="4"/>
      <c r="CVE43" s="79"/>
      <c r="CVF43" s="79"/>
      <c r="CVG43" s="79"/>
      <c r="CVJ43" s="4"/>
      <c r="CVK43" s="4"/>
      <c r="CVL43" s="4"/>
      <c r="CVM43" s="4"/>
      <c r="CVN43" s="4"/>
      <c r="CVQ43" s="79"/>
      <c r="CVR43" s="79"/>
      <c r="CVS43" s="79"/>
      <c r="CVV43" s="4"/>
      <c r="CVW43" s="4"/>
      <c r="CVX43" s="4"/>
      <c r="CVY43" s="4"/>
      <c r="CVZ43" s="4"/>
      <c r="CWC43" s="79"/>
      <c r="CWD43" s="79"/>
      <c r="CWE43" s="79"/>
    </row>
    <row r="44" spans="2:1023 1026:2631" x14ac:dyDescent="0.25">
      <c r="B44" s="195"/>
      <c r="C44" s="204"/>
      <c r="D44" s="204"/>
      <c r="E44" s="204"/>
      <c r="F44" s="204"/>
      <c r="G44" s="204"/>
      <c r="H44" s="204"/>
      <c r="I44" s="204"/>
      <c r="J44" s="204"/>
      <c r="K44" s="205"/>
      <c r="L44" s="206"/>
      <c r="P44" s="195"/>
      <c r="Q44" s="204"/>
      <c r="R44" s="204"/>
      <c r="S44" s="204"/>
      <c r="T44" s="204"/>
      <c r="U44" s="204"/>
      <c r="V44" s="204"/>
      <c r="W44" s="204"/>
      <c r="X44" s="204"/>
      <c r="Y44" s="205"/>
      <c r="Z44" s="206"/>
      <c r="AD44" s="195"/>
      <c r="AE44" s="204"/>
      <c r="AF44" s="204"/>
      <c r="AG44" s="204"/>
      <c r="AH44" s="204"/>
      <c r="AI44" s="204"/>
      <c r="AJ44" s="204"/>
      <c r="AK44" s="204"/>
      <c r="AL44" s="204"/>
      <c r="AM44" s="205"/>
      <c r="AN44" s="206"/>
      <c r="AR44" s="195"/>
      <c r="AS44" s="204"/>
      <c r="AT44" s="204"/>
      <c r="AU44" s="204"/>
      <c r="AV44" s="204"/>
      <c r="AW44" s="204"/>
      <c r="AX44" s="204"/>
      <c r="AY44" s="204"/>
      <c r="AZ44" s="204"/>
      <c r="BA44" s="205"/>
      <c r="BB44" s="206"/>
      <c r="BF44" s="195"/>
      <c r="BG44" s="204"/>
      <c r="BH44" s="204"/>
      <c r="BI44" s="204"/>
      <c r="BJ44" s="204"/>
      <c r="BK44" s="204"/>
      <c r="BL44" s="204"/>
      <c r="BM44" s="204"/>
      <c r="BN44" s="204"/>
      <c r="BO44" s="205"/>
      <c r="BP44" s="206"/>
      <c r="BT44" s="195"/>
      <c r="BU44" s="204"/>
      <c r="BV44" s="204"/>
      <c r="BW44" s="204"/>
      <c r="BX44" s="204"/>
      <c r="BY44" s="204"/>
      <c r="BZ44" s="204"/>
      <c r="CA44" s="204"/>
      <c r="CB44" s="204"/>
      <c r="CC44" s="205"/>
      <c r="CD44" s="206"/>
      <c r="CH44" s="195"/>
      <c r="CI44" s="204"/>
      <c r="CJ44" s="204"/>
      <c r="CK44" s="204"/>
      <c r="CL44" s="204"/>
      <c r="CM44" s="204"/>
      <c r="CN44" s="204"/>
      <c r="CO44" s="204"/>
      <c r="CP44" s="204"/>
      <c r="CQ44" s="205"/>
      <c r="CR44" s="206"/>
      <c r="CV44" s="195"/>
      <c r="CW44" s="204"/>
      <c r="CX44" s="204"/>
      <c r="CY44" s="204"/>
      <c r="CZ44" s="204"/>
      <c r="DA44" s="204"/>
      <c r="DB44" s="204"/>
      <c r="DC44" s="204"/>
      <c r="DD44" s="204"/>
      <c r="DE44" s="205"/>
      <c r="DF44" s="206"/>
      <c r="DJ44" s="195"/>
      <c r="DK44" s="204"/>
      <c r="DL44" s="204"/>
      <c r="DM44" s="204"/>
      <c r="DN44" s="204"/>
      <c r="DO44" s="204"/>
      <c r="DP44" s="204"/>
      <c r="DQ44" s="204"/>
      <c r="DR44" s="204"/>
      <c r="DS44" s="205"/>
      <c r="DT44" s="206"/>
      <c r="DX44" s="195"/>
      <c r="DY44" s="204"/>
      <c r="DZ44" s="204"/>
      <c r="EA44" s="204"/>
      <c r="EB44" s="204"/>
      <c r="EC44" s="204"/>
      <c r="ED44" s="204"/>
      <c r="EE44" s="204"/>
      <c r="EF44" s="204"/>
      <c r="EG44" s="205"/>
      <c r="EH44" s="206"/>
      <c r="EL44" s="195"/>
      <c r="EM44" s="204"/>
      <c r="EN44" s="204"/>
      <c r="EO44" s="204"/>
      <c r="EP44" s="204"/>
      <c r="EQ44" s="204"/>
      <c r="ER44" s="204"/>
      <c r="ES44" s="204"/>
      <c r="ET44" s="204"/>
      <c r="EU44" s="205"/>
      <c r="EV44" s="206"/>
      <c r="EZ44" s="195"/>
      <c r="FA44" s="204"/>
      <c r="FB44" s="204"/>
      <c r="FC44" s="204"/>
      <c r="FD44" s="204"/>
      <c r="FE44" s="204"/>
      <c r="FF44" s="204"/>
      <c r="FG44" s="204"/>
      <c r="FH44" s="204"/>
      <c r="FI44" s="205"/>
      <c r="FJ44" s="206"/>
      <c r="FN44" s="195"/>
      <c r="FO44" s="204"/>
      <c r="FP44" s="204"/>
      <c r="FQ44" s="204"/>
      <c r="FR44" s="204"/>
      <c r="FS44" s="204"/>
      <c r="FT44" s="204"/>
      <c r="FU44" s="204"/>
      <c r="FV44" s="204"/>
      <c r="FW44" s="205"/>
      <c r="FX44" s="206"/>
      <c r="GB44" s="195"/>
      <c r="GC44" s="204"/>
      <c r="GD44" s="204"/>
      <c r="GE44" s="204"/>
      <c r="GF44" s="204"/>
      <c r="GG44" s="204"/>
      <c r="GH44" s="204"/>
      <c r="GI44" s="204"/>
      <c r="GJ44" s="204"/>
      <c r="GK44" s="205"/>
      <c r="GL44" s="206"/>
      <c r="GP44" s="195"/>
      <c r="GQ44" s="204"/>
      <c r="GR44" s="204"/>
      <c r="GS44" s="204"/>
      <c r="GT44" s="204"/>
      <c r="GU44" s="204"/>
      <c r="GV44" s="204"/>
      <c r="GW44" s="204"/>
      <c r="GX44" s="204"/>
      <c r="GY44" s="205"/>
      <c r="GZ44" s="206"/>
      <c r="HD44" s="195"/>
      <c r="HE44" s="204"/>
      <c r="HF44" s="204"/>
      <c r="HG44" s="204"/>
      <c r="HH44" s="204"/>
      <c r="HI44" s="204"/>
      <c r="HJ44" s="204"/>
      <c r="HK44" s="204"/>
      <c r="HL44" s="204"/>
      <c r="HM44" s="205"/>
      <c r="HN44" s="206"/>
      <c r="HR44" s="195"/>
      <c r="HS44" s="204"/>
      <c r="HT44" s="204"/>
      <c r="HU44" s="204"/>
      <c r="HV44" s="204"/>
      <c r="HW44" s="204"/>
      <c r="HX44" s="204"/>
      <c r="HY44" s="204"/>
      <c r="HZ44" s="204"/>
      <c r="IA44" s="205"/>
      <c r="IB44" s="206"/>
      <c r="IF44" s="195"/>
      <c r="IG44" s="204"/>
      <c r="IH44" s="204"/>
      <c r="II44" s="204"/>
      <c r="IJ44" s="204"/>
      <c r="IK44" s="204"/>
      <c r="IL44" s="204"/>
      <c r="IM44" s="204"/>
      <c r="IN44" s="204"/>
      <c r="IO44" s="205"/>
      <c r="IP44" s="206"/>
      <c r="IT44" s="195"/>
      <c r="IU44" s="204"/>
      <c r="IV44" s="204"/>
      <c r="IW44" s="204"/>
      <c r="IX44" s="204"/>
      <c r="IY44" s="204"/>
      <c r="IZ44" s="204"/>
      <c r="JA44" s="204"/>
      <c r="JB44" s="204"/>
      <c r="JC44" s="205"/>
      <c r="JD44" s="206"/>
      <c r="JH44" s="195"/>
      <c r="JI44" s="204"/>
      <c r="JJ44" s="204"/>
      <c r="JK44" s="204"/>
      <c r="JL44" s="204"/>
      <c r="JM44" s="204"/>
      <c r="JN44" s="204"/>
      <c r="JO44" s="204"/>
      <c r="JP44" s="204"/>
      <c r="JQ44" s="205"/>
      <c r="JR44" s="206"/>
      <c r="JV44" s="195"/>
      <c r="JW44" s="204"/>
      <c r="JX44" s="204"/>
      <c r="JY44" s="204"/>
      <c r="JZ44" s="204"/>
      <c r="KA44" s="204"/>
      <c r="KB44" s="204"/>
      <c r="KC44" s="204"/>
      <c r="KD44" s="204"/>
      <c r="KE44" s="205"/>
      <c r="KF44" s="206"/>
      <c r="KJ44" s="195"/>
      <c r="KK44" s="204"/>
      <c r="KL44" s="204"/>
      <c r="KM44" s="204"/>
      <c r="KN44" s="204"/>
      <c r="KO44" s="204"/>
      <c r="KP44" s="204"/>
      <c r="KQ44" s="204"/>
      <c r="KR44" s="204"/>
      <c r="KS44" s="205"/>
      <c r="KT44" s="206"/>
      <c r="KX44" s="195"/>
      <c r="KY44" s="204"/>
      <c r="KZ44" s="204"/>
      <c r="LA44" s="204"/>
      <c r="LB44" s="204"/>
      <c r="LC44" s="204"/>
      <c r="LD44" s="204"/>
      <c r="LE44" s="204"/>
      <c r="LF44" s="204"/>
      <c r="LG44" s="205"/>
      <c r="LH44" s="206"/>
      <c r="LL44" s="195"/>
      <c r="LM44" s="204"/>
      <c r="LN44" s="204"/>
      <c r="LO44" s="204"/>
      <c r="LP44" s="204"/>
      <c r="LQ44" s="204"/>
      <c r="LR44" s="204"/>
      <c r="LS44" s="204"/>
      <c r="LT44" s="204"/>
      <c r="LU44" s="205"/>
      <c r="LV44" s="206"/>
      <c r="LZ44" s="195"/>
      <c r="MA44" s="204"/>
      <c r="MB44" s="204"/>
      <c r="MC44" s="204"/>
      <c r="MD44" s="204"/>
      <c r="ME44" s="204"/>
      <c r="MF44" s="204"/>
      <c r="MG44" s="204"/>
      <c r="MH44" s="204"/>
      <c r="MI44" s="205"/>
      <c r="MJ44" s="206"/>
      <c r="MN44" s="195"/>
      <c r="MO44" s="204"/>
      <c r="MP44" s="204"/>
      <c r="MQ44" s="204"/>
      <c r="MR44" s="204"/>
      <c r="MS44" s="204"/>
      <c r="MT44" s="204"/>
      <c r="MU44" s="204"/>
      <c r="MV44" s="204"/>
      <c r="MW44" s="205"/>
      <c r="MX44" s="206"/>
      <c r="NB44" s="195"/>
      <c r="NC44" s="204"/>
      <c r="ND44" s="204"/>
      <c r="NE44" s="204"/>
      <c r="NF44" s="204"/>
      <c r="NG44" s="204"/>
      <c r="NH44" s="204"/>
      <c r="NI44" s="204"/>
      <c r="NJ44" s="204"/>
      <c r="NK44" s="205"/>
      <c r="NL44" s="206"/>
      <c r="NP44" s="195"/>
      <c r="NQ44" s="204"/>
      <c r="NR44" s="204"/>
      <c r="NS44" s="204"/>
      <c r="NT44" s="204"/>
      <c r="NU44" s="204"/>
      <c r="NV44" s="204"/>
      <c r="NW44" s="204"/>
      <c r="NX44" s="204"/>
      <c r="NY44" s="205"/>
      <c r="NZ44" s="206"/>
      <c r="OD44" s="195"/>
      <c r="OE44" s="204"/>
      <c r="OF44" s="204"/>
      <c r="OG44" s="204"/>
      <c r="OH44" s="204"/>
      <c r="OI44" s="204"/>
      <c r="OJ44" s="204"/>
      <c r="OK44" s="204"/>
      <c r="OL44" s="204"/>
      <c r="OM44" s="205"/>
      <c r="ON44" s="206"/>
      <c r="OR44" s="195"/>
      <c r="OS44" s="204"/>
      <c r="OT44" s="204"/>
      <c r="OU44" s="204"/>
      <c r="OV44" s="204"/>
      <c r="OW44" s="204"/>
      <c r="OX44" s="204"/>
      <c r="OY44" s="204"/>
      <c r="OZ44" s="204"/>
      <c r="PA44" s="205"/>
      <c r="PB44" s="206"/>
      <c r="PF44" s="195"/>
      <c r="PG44" s="204"/>
      <c r="PH44" s="204"/>
      <c r="PI44" s="204"/>
      <c r="PJ44" s="204"/>
      <c r="PK44" s="204"/>
      <c r="PL44" s="204"/>
      <c r="PM44" s="204"/>
      <c r="PN44" s="204"/>
      <c r="PO44" s="205"/>
      <c r="PP44" s="206"/>
      <c r="PT44" s="195"/>
      <c r="PU44" s="204"/>
      <c r="PV44" s="204"/>
      <c r="PW44" s="204"/>
      <c r="PX44" s="204"/>
      <c r="PY44" s="204"/>
      <c r="PZ44" s="204"/>
      <c r="QA44" s="204"/>
      <c r="QB44" s="204"/>
      <c r="QC44" s="205"/>
      <c r="QD44" s="206"/>
      <c r="QH44" s="195"/>
      <c r="QI44" s="204"/>
      <c r="QJ44" s="204"/>
      <c r="QK44" s="204"/>
      <c r="QL44" s="204"/>
      <c r="QM44" s="204"/>
      <c r="QN44" s="204"/>
      <c r="QO44" s="204"/>
      <c r="QP44" s="204"/>
      <c r="QQ44" s="205"/>
      <c r="QR44" s="206"/>
      <c r="QV44" s="195"/>
      <c r="QW44" s="204"/>
      <c r="QX44" s="204"/>
      <c r="QY44" s="204"/>
      <c r="QZ44" s="204"/>
      <c r="RA44" s="204"/>
      <c r="RB44" s="204"/>
      <c r="RC44" s="204"/>
      <c r="RD44" s="204"/>
      <c r="RE44" s="205"/>
      <c r="RF44" s="206"/>
      <c r="RJ44" s="195"/>
      <c r="RK44" s="204"/>
      <c r="RL44" s="204"/>
      <c r="RM44" s="204"/>
      <c r="RN44" s="204"/>
      <c r="RO44" s="204"/>
      <c r="RP44" s="204"/>
      <c r="RQ44" s="204"/>
      <c r="RR44" s="204"/>
      <c r="RS44" s="205"/>
      <c r="RT44" s="206"/>
      <c r="RX44" s="195"/>
      <c r="RY44" s="204"/>
      <c r="RZ44" s="204"/>
      <c r="SA44" s="204"/>
      <c r="SB44" s="204"/>
      <c r="SC44" s="204"/>
      <c r="SD44" s="204"/>
      <c r="SE44" s="204"/>
      <c r="SF44" s="204"/>
      <c r="SG44" s="205"/>
      <c r="SH44" s="206"/>
      <c r="SL44" s="195"/>
      <c r="SM44" s="204"/>
      <c r="SN44" s="204"/>
      <c r="SO44" s="204"/>
      <c r="SP44" s="204"/>
      <c r="SQ44" s="204"/>
      <c r="SR44" s="204"/>
      <c r="SS44" s="204"/>
      <c r="ST44" s="204"/>
      <c r="SU44" s="205"/>
      <c r="SV44" s="206"/>
      <c r="SZ44" s="195"/>
      <c r="TA44" s="204"/>
      <c r="TB44" s="204"/>
      <c r="TC44" s="204"/>
      <c r="TD44" s="204"/>
      <c r="TE44" s="204"/>
      <c r="TF44" s="204"/>
      <c r="TG44" s="204"/>
      <c r="TH44" s="204"/>
      <c r="TI44" s="205"/>
      <c r="TJ44" s="206"/>
      <c r="TN44" s="195"/>
      <c r="TO44" s="204"/>
      <c r="TP44" s="204"/>
      <c r="TQ44" s="204"/>
      <c r="TR44" s="204"/>
      <c r="TS44" s="204"/>
      <c r="TT44" s="204"/>
      <c r="TU44" s="204"/>
      <c r="TV44" s="204"/>
      <c r="TW44" s="205"/>
      <c r="TX44" s="206"/>
      <c r="UB44" s="195"/>
      <c r="UC44" s="204"/>
      <c r="UD44" s="204"/>
      <c r="UE44" s="204"/>
      <c r="UF44" s="204"/>
      <c r="UG44" s="204"/>
      <c r="UH44" s="204"/>
      <c r="UI44" s="204"/>
      <c r="UJ44" s="204"/>
      <c r="UK44" s="205"/>
      <c r="UL44" s="206"/>
      <c r="UP44" s="195"/>
      <c r="UQ44" s="204"/>
      <c r="UR44" s="204"/>
      <c r="US44" s="204"/>
      <c r="UT44" s="204"/>
      <c r="UU44" s="204"/>
      <c r="UV44" s="204"/>
      <c r="UW44" s="204"/>
      <c r="UX44" s="204"/>
      <c r="UY44" s="205"/>
      <c r="UZ44" s="206"/>
      <c r="VD44" s="195"/>
      <c r="VE44" s="204"/>
      <c r="VF44" s="204"/>
      <c r="VG44" s="204"/>
      <c r="VH44" s="204"/>
      <c r="VI44" s="204"/>
      <c r="VJ44" s="204"/>
      <c r="VK44" s="204"/>
      <c r="VL44" s="204"/>
      <c r="VM44" s="205"/>
      <c r="VN44" s="206"/>
      <c r="VR44" s="195"/>
      <c r="VS44" s="204"/>
      <c r="VT44" s="204"/>
      <c r="VU44" s="204"/>
      <c r="VV44" s="204"/>
      <c r="VW44" s="204"/>
      <c r="VX44" s="204"/>
      <c r="VY44" s="204"/>
      <c r="VZ44" s="204"/>
      <c r="WA44" s="205"/>
      <c r="WB44" s="206"/>
      <c r="WF44" s="195"/>
      <c r="WG44" s="204"/>
      <c r="WH44" s="204"/>
      <c r="WI44" s="204"/>
      <c r="WJ44" s="204"/>
      <c r="WK44" s="204"/>
      <c r="WL44" s="204"/>
      <c r="WM44" s="204"/>
      <c r="WN44" s="204"/>
      <c r="WO44" s="205"/>
      <c r="WP44" s="206"/>
      <c r="WT44" s="195"/>
      <c r="WU44" s="204"/>
      <c r="WV44" s="204"/>
      <c r="WW44" s="204"/>
      <c r="WX44" s="204"/>
      <c r="WY44" s="204"/>
      <c r="WZ44" s="204"/>
      <c r="XA44" s="204"/>
      <c r="XB44" s="204"/>
      <c r="XC44" s="205"/>
      <c r="XD44" s="206"/>
      <c r="XH44" s="195"/>
      <c r="XI44" s="204"/>
      <c r="XJ44" s="204"/>
      <c r="XK44" s="204"/>
      <c r="XL44" s="204"/>
      <c r="XM44" s="204"/>
      <c r="XN44" s="204"/>
      <c r="XO44" s="204"/>
      <c r="XP44" s="204"/>
      <c r="XQ44" s="205"/>
      <c r="XR44" s="206"/>
      <c r="XV44" s="195"/>
      <c r="XW44" s="204"/>
      <c r="XX44" s="204"/>
      <c r="XY44" s="204"/>
      <c r="XZ44" s="204"/>
      <c r="YA44" s="204"/>
      <c r="YB44" s="204"/>
      <c r="YC44" s="204"/>
      <c r="YD44" s="204"/>
      <c r="YE44" s="205"/>
      <c r="YF44" s="206"/>
      <c r="YJ44" s="195"/>
      <c r="YK44" s="204"/>
      <c r="YL44" s="204"/>
      <c r="YM44" s="204"/>
      <c r="YN44" s="204"/>
      <c r="YO44" s="204"/>
      <c r="YP44" s="204"/>
      <c r="YQ44" s="204"/>
      <c r="YR44" s="204"/>
      <c r="YS44" s="205"/>
      <c r="YT44" s="206"/>
      <c r="YX44" s="195"/>
      <c r="YY44" s="204"/>
      <c r="YZ44" s="204"/>
      <c r="ZA44" s="204"/>
      <c r="ZB44" s="204"/>
      <c r="ZC44" s="204"/>
      <c r="ZD44" s="204"/>
      <c r="ZE44" s="204"/>
      <c r="ZF44" s="204"/>
      <c r="ZG44" s="205"/>
      <c r="ZH44" s="206"/>
      <c r="ZL44" s="195"/>
      <c r="ZM44" s="204"/>
      <c r="ZN44" s="204"/>
      <c r="ZO44" s="204"/>
      <c r="ZP44" s="204"/>
      <c r="ZQ44" s="204"/>
      <c r="ZR44" s="204"/>
      <c r="ZS44" s="204"/>
      <c r="ZT44" s="204"/>
      <c r="ZU44" s="205"/>
      <c r="ZV44" s="206"/>
      <c r="ZY44" s="4"/>
      <c r="AAG44" s="194" t="s">
        <v>102</v>
      </c>
      <c r="AAH44" s="194"/>
      <c r="AAI44" s="194"/>
      <c r="AAL44" s="4"/>
      <c r="AAT44" s="194" t="s">
        <v>102</v>
      </c>
      <c r="AAU44" s="194"/>
      <c r="AAV44" s="194"/>
      <c r="AAY44" s="4"/>
      <c r="ABG44" s="194" t="s">
        <v>102</v>
      </c>
      <c r="ABH44" s="194"/>
      <c r="ABI44" s="194"/>
      <c r="ABL44" s="4"/>
      <c r="ABT44" s="194" t="s">
        <v>102</v>
      </c>
      <c r="ABU44" s="194"/>
      <c r="ABV44" s="194"/>
      <c r="ABY44" s="4"/>
      <c r="ACG44" s="194" t="s">
        <v>102</v>
      </c>
      <c r="ACH44" s="194"/>
      <c r="ACI44" s="194"/>
      <c r="ACL44" s="4"/>
      <c r="ACT44" s="194" t="s">
        <v>102</v>
      </c>
      <c r="ACU44" s="194"/>
      <c r="ACV44" s="194"/>
      <c r="ACY44" s="4"/>
      <c r="ADG44" s="194" t="s">
        <v>102</v>
      </c>
      <c r="ADH44" s="194"/>
      <c r="ADI44" s="194"/>
      <c r="ADL44" s="4"/>
      <c r="ADT44" s="194" t="s">
        <v>102</v>
      </c>
      <c r="ADU44" s="194"/>
      <c r="ADV44" s="194"/>
      <c r="ADY44" s="4"/>
      <c r="AEG44" s="194" t="s">
        <v>102</v>
      </c>
      <c r="AEH44" s="194"/>
      <c r="AEI44" s="194"/>
      <c r="AEL44" s="4"/>
      <c r="AET44" s="194" t="s">
        <v>102</v>
      </c>
      <c r="AEU44" s="194"/>
      <c r="AEV44" s="194"/>
      <c r="AEY44" s="4"/>
      <c r="AFG44" s="194" t="s">
        <v>102</v>
      </c>
      <c r="AFH44" s="194"/>
      <c r="AFI44" s="194"/>
      <c r="AFL44" s="4"/>
      <c r="AFT44" s="194" t="s">
        <v>102</v>
      </c>
      <c r="AFU44" s="194"/>
      <c r="AFV44" s="194"/>
      <c r="AGG44" s="194" t="s">
        <v>102</v>
      </c>
      <c r="AGH44" s="194"/>
      <c r="AGI44" s="194"/>
      <c r="AGS44" s="194" t="s">
        <v>102</v>
      </c>
      <c r="AGT44" s="194"/>
      <c r="AGU44" s="194"/>
      <c r="AHE44" s="194" t="s">
        <v>102</v>
      </c>
      <c r="AHF44" s="194"/>
      <c r="AHG44" s="194"/>
      <c r="AHQ44" s="194" t="s">
        <v>102</v>
      </c>
      <c r="AHR44" s="194"/>
      <c r="AHS44" s="194"/>
      <c r="AIC44" s="194" t="s">
        <v>102</v>
      </c>
      <c r="AID44" s="194"/>
      <c r="AIE44" s="194"/>
      <c r="AIO44" s="194" t="s">
        <v>102</v>
      </c>
      <c r="AIP44" s="194"/>
      <c r="AIQ44" s="194"/>
      <c r="AJA44" s="194" t="s">
        <v>102</v>
      </c>
      <c r="AJB44" s="194"/>
      <c r="AJC44" s="194"/>
      <c r="AJM44" s="194" t="s">
        <v>102</v>
      </c>
      <c r="AJN44" s="194"/>
      <c r="AJO44" s="194"/>
      <c r="AJY44" s="194" t="s">
        <v>102</v>
      </c>
      <c r="AJZ44" s="194"/>
      <c r="AKA44" s="194"/>
      <c r="AKK44" s="194" t="s">
        <v>102</v>
      </c>
      <c r="AKL44" s="194"/>
      <c r="AKM44" s="194"/>
      <c r="AKW44" s="194" t="s">
        <v>102</v>
      </c>
      <c r="AKX44" s="194"/>
      <c r="AKY44" s="194"/>
      <c r="ALI44" s="194" t="s">
        <v>102</v>
      </c>
      <c r="ALJ44" s="194"/>
      <c r="ALK44" s="194"/>
      <c r="ALU44" s="194" t="s">
        <v>102</v>
      </c>
      <c r="ALV44" s="194"/>
      <c r="ALW44" s="194"/>
      <c r="AMG44" s="194" t="s">
        <v>102</v>
      </c>
      <c r="AMH44" s="194"/>
      <c r="AMI44" s="194"/>
      <c r="AMS44" s="194" t="s">
        <v>102</v>
      </c>
      <c r="AMT44" s="194"/>
      <c r="AMU44" s="194"/>
      <c r="ANE44" s="194" t="s">
        <v>102</v>
      </c>
      <c r="ANF44" s="194"/>
      <c r="ANG44" s="194"/>
      <c r="ANQ44" s="194" t="s">
        <v>102</v>
      </c>
      <c r="ANR44" s="194"/>
      <c r="ANS44" s="194"/>
      <c r="AOC44" s="194" t="s">
        <v>102</v>
      </c>
      <c r="AOD44" s="194"/>
      <c r="AOE44" s="194"/>
      <c r="AOO44" s="194" t="s">
        <v>102</v>
      </c>
      <c r="AOP44" s="194"/>
      <c r="AOQ44" s="194"/>
      <c r="APA44" s="194" t="s">
        <v>102</v>
      </c>
      <c r="APB44" s="194"/>
      <c r="APC44" s="194"/>
      <c r="APM44" s="194" t="s">
        <v>102</v>
      </c>
      <c r="APN44" s="194"/>
      <c r="APO44" s="194"/>
      <c r="APY44" s="194" t="s">
        <v>102</v>
      </c>
      <c r="APZ44" s="194"/>
      <c r="AQA44" s="194"/>
      <c r="AQK44" s="194" t="s">
        <v>102</v>
      </c>
      <c r="AQL44" s="194"/>
      <c r="AQM44" s="194"/>
      <c r="AQW44" s="194" t="s">
        <v>102</v>
      </c>
      <c r="AQX44" s="194"/>
      <c r="AQY44" s="194"/>
      <c r="ARI44" s="194" t="s">
        <v>102</v>
      </c>
      <c r="ARJ44" s="194"/>
      <c r="ARK44" s="194"/>
      <c r="ARU44" s="194" t="s">
        <v>102</v>
      </c>
      <c r="ARV44" s="194"/>
      <c r="ARW44" s="194"/>
      <c r="ASG44" s="194" t="s">
        <v>102</v>
      </c>
      <c r="ASH44" s="194"/>
      <c r="ASI44" s="194"/>
      <c r="ASS44" s="194" t="s">
        <v>102</v>
      </c>
      <c r="AST44" s="194"/>
      <c r="ASU44" s="194"/>
      <c r="ATE44" s="194" t="s">
        <v>102</v>
      </c>
      <c r="ATF44" s="194"/>
      <c r="ATG44" s="194"/>
      <c r="ATQ44" s="194" t="s">
        <v>102</v>
      </c>
      <c r="ATR44" s="194"/>
      <c r="ATS44" s="194"/>
      <c r="AUC44" s="194" t="s">
        <v>102</v>
      </c>
      <c r="AUD44" s="194"/>
      <c r="AUE44" s="194"/>
      <c r="AUO44" s="194" t="s">
        <v>102</v>
      </c>
      <c r="AUP44" s="194"/>
      <c r="AUQ44" s="194"/>
      <c r="AVA44" s="194" t="s">
        <v>102</v>
      </c>
      <c r="AVB44" s="194"/>
      <c r="AVC44" s="194"/>
      <c r="AVM44" s="194" t="s">
        <v>102</v>
      </c>
      <c r="AVN44" s="194"/>
      <c r="AVO44" s="194"/>
      <c r="AVY44" s="194" t="s">
        <v>102</v>
      </c>
      <c r="AVZ44" s="194"/>
      <c r="AWA44" s="194"/>
      <c r="AWK44" s="194" t="s">
        <v>102</v>
      </c>
      <c r="AWL44" s="194"/>
      <c r="AWM44" s="194"/>
      <c r="AWW44" s="194" t="s">
        <v>102</v>
      </c>
      <c r="AWX44" s="194"/>
      <c r="AWY44" s="194"/>
      <c r="AXI44" s="194" t="s">
        <v>102</v>
      </c>
      <c r="AXJ44" s="194"/>
      <c r="AXK44" s="194"/>
      <c r="AXU44" s="194" t="s">
        <v>102</v>
      </c>
      <c r="AXV44" s="194"/>
      <c r="AXW44" s="194"/>
      <c r="AYG44" s="194" t="s">
        <v>102</v>
      </c>
      <c r="AYH44" s="194"/>
      <c r="AYI44" s="194"/>
      <c r="AYS44" s="194" t="s">
        <v>102</v>
      </c>
      <c r="AYT44" s="194"/>
      <c r="AYU44" s="194"/>
      <c r="AZE44" s="194" t="s">
        <v>102</v>
      </c>
      <c r="AZF44" s="194"/>
      <c r="AZG44" s="194"/>
      <c r="AZQ44" s="194" t="s">
        <v>102</v>
      </c>
      <c r="AZR44" s="194"/>
      <c r="AZS44" s="194"/>
      <c r="BAC44" s="194" t="s">
        <v>102</v>
      </c>
      <c r="BAD44" s="194"/>
      <c r="BAE44" s="194"/>
      <c r="BAO44" s="194" t="s">
        <v>102</v>
      </c>
      <c r="BAP44" s="194"/>
      <c r="BAQ44" s="194"/>
      <c r="BBA44" s="194" t="s">
        <v>102</v>
      </c>
      <c r="BBB44" s="194"/>
      <c r="BBC44" s="194"/>
      <c r="BBM44" s="194" t="s">
        <v>102</v>
      </c>
      <c r="BBN44" s="194"/>
      <c r="BBO44" s="194"/>
      <c r="BBY44" s="194" t="s">
        <v>102</v>
      </c>
      <c r="BBZ44" s="194"/>
      <c r="BCA44" s="194"/>
      <c r="BCK44" s="194" t="s">
        <v>102</v>
      </c>
      <c r="BCL44" s="194"/>
      <c r="BCM44" s="194"/>
      <c r="BCW44" s="194" t="s">
        <v>102</v>
      </c>
      <c r="BCX44" s="194"/>
      <c r="BCY44" s="194"/>
      <c r="BDI44" s="194" t="s">
        <v>102</v>
      </c>
      <c r="BDJ44" s="194"/>
      <c r="BDK44" s="194"/>
      <c r="BDU44" s="194" t="s">
        <v>102</v>
      </c>
      <c r="BDV44" s="194"/>
      <c r="BDW44" s="194"/>
      <c r="BEG44" s="194" t="s">
        <v>102</v>
      </c>
      <c r="BEH44" s="194"/>
      <c r="BEI44" s="194"/>
      <c r="BES44" s="194" t="s">
        <v>102</v>
      </c>
      <c r="BET44" s="194"/>
      <c r="BEU44" s="194"/>
      <c r="BFE44" s="194" t="s">
        <v>102</v>
      </c>
      <c r="BFF44" s="194"/>
      <c r="BFG44" s="194"/>
      <c r="BFQ44" s="194" t="s">
        <v>102</v>
      </c>
      <c r="BFR44" s="194"/>
      <c r="BFS44" s="194"/>
      <c r="BGC44" s="194" t="s">
        <v>102</v>
      </c>
      <c r="BGD44" s="194"/>
      <c r="BGE44" s="194"/>
      <c r="BGO44" s="194" t="s">
        <v>102</v>
      </c>
      <c r="BGP44" s="194"/>
      <c r="BGQ44" s="194"/>
      <c r="BHA44" s="194" t="s">
        <v>102</v>
      </c>
      <c r="BHB44" s="194"/>
      <c r="BHC44" s="194"/>
      <c r="BHM44" s="194" t="s">
        <v>102</v>
      </c>
      <c r="BHN44" s="194"/>
      <c r="BHO44" s="194"/>
      <c r="BHY44" s="194" t="s">
        <v>102</v>
      </c>
      <c r="BHZ44" s="194"/>
      <c r="BIA44" s="194"/>
      <c r="BIK44" s="194" t="s">
        <v>102</v>
      </c>
      <c r="BIL44" s="194"/>
      <c r="BIM44" s="194"/>
      <c r="BIW44" s="194" t="s">
        <v>102</v>
      </c>
      <c r="BIX44" s="194"/>
      <c r="BIY44" s="194"/>
      <c r="BJI44" s="194" t="s">
        <v>102</v>
      </c>
      <c r="BJJ44" s="194"/>
      <c r="BJK44" s="194"/>
      <c r="BJU44" s="194" t="s">
        <v>102</v>
      </c>
      <c r="BJV44" s="194"/>
      <c r="BJW44" s="194"/>
      <c r="BKG44" s="194" t="s">
        <v>102</v>
      </c>
      <c r="BKH44" s="194"/>
      <c r="BKI44" s="194"/>
      <c r="BKS44" s="194" t="s">
        <v>102</v>
      </c>
      <c r="BKT44" s="194"/>
      <c r="BKU44" s="194"/>
      <c r="BLE44" s="194" t="s">
        <v>102</v>
      </c>
      <c r="BLF44" s="194"/>
      <c r="BLG44" s="194"/>
      <c r="BLQ44" s="194" t="s">
        <v>102</v>
      </c>
      <c r="BLR44" s="194"/>
      <c r="BLS44" s="194"/>
      <c r="BMC44" s="194" t="s">
        <v>102</v>
      </c>
      <c r="BMD44" s="194"/>
      <c r="BME44" s="194"/>
      <c r="BMO44" s="194" t="s">
        <v>102</v>
      </c>
      <c r="BMP44" s="194"/>
      <c r="BMQ44" s="194"/>
      <c r="BNA44" s="194" t="s">
        <v>102</v>
      </c>
      <c r="BNB44" s="194"/>
      <c r="BNC44" s="194"/>
      <c r="BNM44" s="194" t="s">
        <v>102</v>
      </c>
      <c r="BNN44" s="194"/>
      <c r="BNO44" s="194"/>
      <c r="BNY44" s="194" t="s">
        <v>102</v>
      </c>
      <c r="BNZ44" s="194"/>
      <c r="BOA44" s="194"/>
      <c r="BOK44" s="194" t="s">
        <v>102</v>
      </c>
      <c r="BOL44" s="194"/>
      <c r="BOM44" s="194"/>
      <c r="BOW44" s="194" t="s">
        <v>102</v>
      </c>
      <c r="BOX44" s="194"/>
      <c r="BOY44" s="194"/>
      <c r="BPI44" s="194" t="s">
        <v>102</v>
      </c>
      <c r="BPJ44" s="194"/>
      <c r="BPK44" s="194"/>
      <c r="BPU44" s="194" t="s">
        <v>102</v>
      </c>
      <c r="BPV44" s="194"/>
      <c r="BPW44" s="194"/>
      <c r="BQG44" s="194" t="s">
        <v>102</v>
      </c>
      <c r="BQH44" s="194"/>
      <c r="BQI44" s="194"/>
      <c r="BQS44" s="194" t="s">
        <v>102</v>
      </c>
      <c r="BQT44" s="194"/>
      <c r="BQU44" s="194"/>
      <c r="BRE44" s="194" t="s">
        <v>102</v>
      </c>
      <c r="BRF44" s="194"/>
      <c r="BRG44" s="194"/>
      <c r="BRQ44" s="194" t="s">
        <v>102</v>
      </c>
      <c r="BRR44" s="194"/>
      <c r="BRS44" s="194"/>
      <c r="BSC44" s="194" t="s">
        <v>102</v>
      </c>
      <c r="BSD44" s="194"/>
      <c r="BSE44" s="194"/>
      <c r="BSO44" s="194" t="s">
        <v>102</v>
      </c>
      <c r="BSP44" s="194"/>
      <c r="BSQ44" s="194"/>
      <c r="BTA44" s="194" t="s">
        <v>102</v>
      </c>
      <c r="BTB44" s="194"/>
      <c r="BTC44" s="194"/>
      <c r="BTM44" s="194" t="s">
        <v>102</v>
      </c>
      <c r="BTN44" s="194"/>
      <c r="BTO44" s="194"/>
      <c r="BTY44" s="194" t="s">
        <v>102</v>
      </c>
      <c r="BTZ44" s="194"/>
      <c r="BUA44" s="194"/>
      <c r="BUK44" s="194" t="s">
        <v>102</v>
      </c>
      <c r="BUL44" s="194"/>
      <c r="BUM44" s="194"/>
      <c r="BUW44" s="194" t="s">
        <v>102</v>
      </c>
      <c r="BUX44" s="194"/>
      <c r="BUY44" s="194"/>
      <c r="BVI44" s="194" t="s">
        <v>102</v>
      </c>
      <c r="BVJ44" s="194"/>
      <c r="BVK44" s="194"/>
      <c r="BVU44" s="194" t="s">
        <v>102</v>
      </c>
      <c r="BVV44" s="194"/>
      <c r="BVW44" s="194"/>
      <c r="BWG44" s="194" t="s">
        <v>102</v>
      </c>
      <c r="BWH44" s="194"/>
      <c r="BWI44" s="194"/>
      <c r="BWS44" s="194" t="s">
        <v>102</v>
      </c>
      <c r="BWT44" s="194"/>
      <c r="BWU44" s="194"/>
      <c r="BXE44" s="194" t="s">
        <v>102</v>
      </c>
      <c r="BXF44" s="194"/>
      <c r="BXG44" s="194"/>
      <c r="BXQ44" s="194" t="s">
        <v>102</v>
      </c>
      <c r="BXR44" s="194"/>
      <c r="BXS44" s="194"/>
      <c r="BYC44" s="194" t="s">
        <v>102</v>
      </c>
      <c r="BYD44" s="194"/>
      <c r="BYE44" s="194"/>
      <c r="BYO44" s="194" t="s">
        <v>102</v>
      </c>
      <c r="BYP44" s="194"/>
      <c r="BYQ44" s="194"/>
      <c r="BZA44" s="194" t="s">
        <v>102</v>
      </c>
      <c r="BZB44" s="194"/>
      <c r="BZC44" s="194"/>
      <c r="BZM44" s="194" t="s">
        <v>102</v>
      </c>
      <c r="BZN44" s="194"/>
      <c r="BZO44" s="194"/>
      <c r="BZY44" s="194" t="s">
        <v>102</v>
      </c>
      <c r="BZZ44" s="194"/>
      <c r="CAA44" s="194"/>
      <c r="CAK44" s="194" t="s">
        <v>102</v>
      </c>
      <c r="CAL44" s="194"/>
      <c r="CAM44" s="194"/>
      <c r="CAW44" s="194" t="s">
        <v>102</v>
      </c>
      <c r="CAX44" s="194"/>
      <c r="CAY44" s="194"/>
      <c r="CBI44" s="194" t="s">
        <v>102</v>
      </c>
      <c r="CBJ44" s="194"/>
      <c r="CBK44" s="194"/>
      <c r="CBU44" s="194" t="s">
        <v>102</v>
      </c>
      <c r="CBV44" s="194"/>
      <c r="CBW44" s="194"/>
      <c r="CCG44" s="194" t="s">
        <v>102</v>
      </c>
      <c r="CCH44" s="194"/>
      <c r="CCI44" s="194"/>
      <c r="CCS44" s="194" t="s">
        <v>102</v>
      </c>
      <c r="CCT44" s="194"/>
      <c r="CCU44" s="194"/>
      <c r="CDE44" s="194" t="s">
        <v>102</v>
      </c>
      <c r="CDF44" s="194"/>
      <c r="CDG44" s="194"/>
      <c r="CDQ44" s="194" t="s">
        <v>102</v>
      </c>
      <c r="CDR44" s="194"/>
      <c r="CDS44" s="194"/>
      <c r="CEC44" s="194" t="s">
        <v>102</v>
      </c>
      <c r="CED44" s="194"/>
      <c r="CEE44" s="194"/>
      <c r="CEO44" s="194" t="s">
        <v>102</v>
      </c>
      <c r="CEP44" s="194"/>
      <c r="CEQ44" s="194"/>
      <c r="CFA44" s="194" t="s">
        <v>102</v>
      </c>
      <c r="CFB44" s="194"/>
      <c r="CFC44" s="194"/>
      <c r="CFM44" s="194" t="s">
        <v>102</v>
      </c>
      <c r="CFN44" s="194"/>
      <c r="CFO44" s="194"/>
      <c r="CFY44" s="194" t="s">
        <v>102</v>
      </c>
      <c r="CFZ44" s="194"/>
      <c r="CGA44" s="194"/>
      <c r="CGK44" s="194" t="s">
        <v>102</v>
      </c>
      <c r="CGL44" s="194"/>
      <c r="CGM44" s="194"/>
      <c r="CGW44" s="194" t="s">
        <v>102</v>
      </c>
      <c r="CGX44" s="194"/>
      <c r="CGY44" s="194"/>
      <c r="CHI44" s="194" t="s">
        <v>102</v>
      </c>
      <c r="CHJ44" s="194"/>
      <c r="CHK44" s="194"/>
      <c r="CHU44" s="194" t="s">
        <v>102</v>
      </c>
      <c r="CHV44" s="194"/>
      <c r="CHW44" s="194"/>
      <c r="CIG44" s="194" t="s">
        <v>102</v>
      </c>
      <c r="CIH44" s="194"/>
      <c r="CII44" s="194"/>
      <c r="CIS44" s="194" t="s">
        <v>102</v>
      </c>
      <c r="CIT44" s="194"/>
      <c r="CIU44" s="194"/>
      <c r="CJE44" s="194" t="s">
        <v>102</v>
      </c>
      <c r="CJF44" s="194"/>
      <c r="CJG44" s="194"/>
      <c r="CJQ44" s="194" t="s">
        <v>102</v>
      </c>
      <c r="CJR44" s="194"/>
      <c r="CJS44" s="194"/>
      <c r="CKC44" s="194" t="s">
        <v>102</v>
      </c>
      <c r="CKD44" s="194"/>
      <c r="CKE44" s="194"/>
      <c r="CKO44" s="194" t="s">
        <v>102</v>
      </c>
      <c r="CKP44" s="194"/>
      <c r="CKQ44" s="194"/>
      <c r="CLA44" s="194" t="s">
        <v>102</v>
      </c>
      <c r="CLB44" s="194"/>
      <c r="CLC44" s="194"/>
      <c r="CLM44" s="194" t="s">
        <v>102</v>
      </c>
      <c r="CLN44" s="194"/>
      <c r="CLO44" s="194"/>
      <c r="CLY44" s="194" t="s">
        <v>102</v>
      </c>
      <c r="CLZ44" s="194"/>
      <c r="CMA44" s="194"/>
      <c r="CMK44" s="194" t="s">
        <v>102</v>
      </c>
      <c r="CML44" s="194"/>
      <c r="CMM44" s="194"/>
      <c r="CMW44" s="194" t="s">
        <v>102</v>
      </c>
      <c r="CMX44" s="194"/>
      <c r="CMY44" s="194"/>
      <c r="CNI44" s="194" t="s">
        <v>102</v>
      </c>
      <c r="CNJ44" s="194"/>
      <c r="CNK44" s="194"/>
      <c r="CNU44" s="194" t="s">
        <v>102</v>
      </c>
      <c r="CNV44" s="194"/>
      <c r="CNW44" s="194"/>
      <c r="COG44" s="194" t="s">
        <v>102</v>
      </c>
      <c r="COH44" s="194"/>
      <c r="COI44" s="194"/>
      <c r="COS44" s="194" t="s">
        <v>102</v>
      </c>
      <c r="COT44" s="194"/>
      <c r="COU44" s="194"/>
      <c r="CPE44" s="194" t="s">
        <v>102</v>
      </c>
      <c r="CPF44" s="194"/>
      <c r="CPG44" s="194"/>
      <c r="CPQ44" s="194" t="s">
        <v>102</v>
      </c>
      <c r="CPR44" s="194"/>
      <c r="CPS44" s="194"/>
      <c r="CQC44" s="194" t="s">
        <v>102</v>
      </c>
      <c r="CQD44" s="194"/>
      <c r="CQE44" s="194"/>
      <c r="CQO44" s="194" t="s">
        <v>102</v>
      </c>
      <c r="CQP44" s="194"/>
      <c r="CQQ44" s="194"/>
      <c r="CRA44" s="194" t="s">
        <v>102</v>
      </c>
      <c r="CRB44" s="194"/>
      <c r="CRC44" s="194"/>
      <c r="CRM44" s="194" t="s">
        <v>102</v>
      </c>
      <c r="CRN44" s="194"/>
      <c r="CRO44" s="194"/>
      <c r="CRY44" s="194" t="s">
        <v>102</v>
      </c>
      <c r="CRZ44" s="194"/>
      <c r="CSA44" s="194"/>
      <c r="CSK44" s="194" t="s">
        <v>102</v>
      </c>
      <c r="CSL44" s="194"/>
      <c r="CSM44" s="194"/>
      <c r="CSW44" s="194" t="s">
        <v>102</v>
      </c>
      <c r="CSX44" s="194"/>
      <c r="CSY44" s="194"/>
      <c r="CTI44" s="194" t="s">
        <v>102</v>
      </c>
      <c r="CTJ44" s="194"/>
      <c r="CTK44" s="194"/>
      <c r="CTU44" s="194" t="s">
        <v>102</v>
      </c>
      <c r="CTV44" s="194"/>
      <c r="CTW44" s="194"/>
      <c r="CUG44" s="194" t="s">
        <v>102</v>
      </c>
      <c r="CUH44" s="194"/>
      <c r="CUI44" s="194"/>
      <c r="CUS44" s="194" t="s">
        <v>102</v>
      </c>
      <c r="CUT44" s="194"/>
      <c r="CUU44" s="194"/>
      <c r="CVE44" s="194" t="s">
        <v>102</v>
      </c>
      <c r="CVF44" s="194"/>
      <c r="CVG44" s="194"/>
      <c r="CVQ44" s="194" t="s">
        <v>102</v>
      </c>
      <c r="CVR44" s="194"/>
      <c r="CVS44" s="194"/>
      <c r="CWC44" s="194" t="s">
        <v>102</v>
      </c>
      <c r="CWD44" s="194"/>
      <c r="CWE44" s="194"/>
    </row>
    <row r="45" spans="2:1023 1026:2631" x14ac:dyDescent="0.25">
      <c r="B45" s="195"/>
      <c r="C45" s="196"/>
      <c r="D45" s="196"/>
      <c r="E45" s="196"/>
      <c r="F45" s="196"/>
      <c r="G45" s="204"/>
      <c r="H45" s="196"/>
      <c r="I45" s="196"/>
      <c r="J45" s="196"/>
      <c r="K45" s="196"/>
      <c r="L45" s="206"/>
      <c r="P45" s="195"/>
      <c r="Q45" s="196"/>
      <c r="R45" s="196"/>
      <c r="S45" s="196"/>
      <c r="T45" s="196"/>
      <c r="U45" s="204"/>
      <c r="V45" s="196"/>
      <c r="W45" s="196"/>
      <c r="X45" s="196"/>
      <c r="Y45" s="196"/>
      <c r="Z45" s="206"/>
      <c r="AD45" s="195"/>
      <c r="AE45" s="196"/>
      <c r="AF45" s="196"/>
      <c r="AG45" s="196"/>
      <c r="AH45" s="196"/>
      <c r="AI45" s="204"/>
      <c r="AJ45" s="196"/>
      <c r="AK45" s="196"/>
      <c r="AL45" s="196"/>
      <c r="AM45" s="196"/>
      <c r="AN45" s="206"/>
      <c r="AR45" s="195"/>
      <c r="AS45" s="196"/>
      <c r="AT45" s="196"/>
      <c r="AU45" s="196"/>
      <c r="AV45" s="196"/>
      <c r="AW45" s="204"/>
      <c r="AX45" s="196"/>
      <c r="AY45" s="196"/>
      <c r="AZ45" s="196"/>
      <c r="BA45" s="196"/>
      <c r="BB45" s="206"/>
      <c r="BF45" s="195"/>
      <c r="BG45" s="196"/>
      <c r="BH45" s="196"/>
      <c r="BI45" s="196"/>
      <c r="BJ45" s="196"/>
      <c r="BK45" s="204"/>
      <c r="BL45" s="196"/>
      <c r="BM45" s="196"/>
      <c r="BN45" s="196"/>
      <c r="BO45" s="196"/>
      <c r="BP45" s="206"/>
      <c r="BT45" s="195"/>
      <c r="BU45" s="196"/>
      <c r="BV45" s="196"/>
      <c r="BW45" s="196"/>
      <c r="BX45" s="196"/>
      <c r="BY45" s="204"/>
      <c r="BZ45" s="196"/>
      <c r="CA45" s="196"/>
      <c r="CB45" s="196"/>
      <c r="CC45" s="196"/>
      <c r="CD45" s="206"/>
      <c r="CH45" s="195"/>
      <c r="CI45" s="196"/>
      <c r="CJ45" s="196"/>
      <c r="CK45" s="196"/>
      <c r="CL45" s="196"/>
      <c r="CM45" s="204"/>
      <c r="CN45" s="196"/>
      <c r="CO45" s="196"/>
      <c r="CP45" s="196"/>
      <c r="CQ45" s="196"/>
      <c r="CR45" s="206"/>
      <c r="CV45" s="195"/>
      <c r="CW45" s="196"/>
      <c r="CX45" s="196"/>
      <c r="CY45" s="196"/>
      <c r="CZ45" s="196"/>
      <c r="DA45" s="204"/>
      <c r="DB45" s="196"/>
      <c r="DC45" s="196"/>
      <c r="DD45" s="196"/>
      <c r="DE45" s="196"/>
      <c r="DF45" s="206"/>
      <c r="DJ45" s="195"/>
      <c r="DK45" s="196"/>
      <c r="DL45" s="196"/>
      <c r="DM45" s="196"/>
      <c r="DN45" s="196"/>
      <c r="DO45" s="204"/>
      <c r="DP45" s="196"/>
      <c r="DQ45" s="196"/>
      <c r="DR45" s="196"/>
      <c r="DS45" s="196"/>
      <c r="DT45" s="206"/>
      <c r="DX45" s="195"/>
      <c r="DY45" s="196"/>
      <c r="DZ45" s="196"/>
      <c r="EA45" s="196"/>
      <c r="EB45" s="196"/>
      <c r="EC45" s="204"/>
      <c r="ED45" s="196"/>
      <c r="EE45" s="196"/>
      <c r="EF45" s="196"/>
      <c r="EG45" s="196"/>
      <c r="EH45" s="206"/>
      <c r="EL45" s="195"/>
      <c r="EM45" s="196"/>
      <c r="EN45" s="196"/>
      <c r="EO45" s="196"/>
      <c r="EP45" s="196"/>
      <c r="EQ45" s="204"/>
      <c r="ER45" s="196"/>
      <c r="ES45" s="196"/>
      <c r="ET45" s="196"/>
      <c r="EU45" s="196"/>
      <c r="EV45" s="206"/>
      <c r="EZ45" s="195"/>
      <c r="FA45" s="196"/>
      <c r="FB45" s="196"/>
      <c r="FC45" s="196"/>
      <c r="FD45" s="196"/>
      <c r="FE45" s="204"/>
      <c r="FF45" s="196"/>
      <c r="FG45" s="196"/>
      <c r="FH45" s="196"/>
      <c r="FI45" s="196"/>
      <c r="FJ45" s="206"/>
      <c r="FN45" s="195"/>
      <c r="FO45" s="196"/>
      <c r="FP45" s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="196"/>
      <c r="GD45" s="196"/>
      <c r="GE45" s="196"/>
      <c r="GF45" s="196"/>
      <c r="GG45" s="204"/>
      <c r="GH45" s="196"/>
      <c r="GI45" s="196"/>
      <c r="GJ45" s="196"/>
      <c r="GK45" s="196"/>
      <c r="GL45" s="206"/>
      <c r="GP45" s="195"/>
      <c r="GQ45" s="196"/>
      <c r="GR45" s="196"/>
      <c r="GS45" s="196"/>
      <c r="GT45" s="196"/>
      <c r="GU45" s="204"/>
      <c r="GV45" s="196"/>
      <c r="GW45" s="196"/>
      <c r="GX45" s="196"/>
      <c r="GY45" s="196"/>
      <c r="GZ45" s="206"/>
      <c r="HD45" s="195"/>
      <c r="HE45" s="196"/>
      <c r="HF45" s="196"/>
      <c r="HG45" s="196"/>
      <c r="HH45" s="196"/>
      <c r="HI45" s="204"/>
      <c r="HJ45" s="196"/>
      <c r="HK45" s="196"/>
      <c r="HL45" s="196"/>
      <c r="HM45" s="196"/>
      <c r="HN45" s="206"/>
      <c r="HR45" s="195"/>
      <c r="HS45" s="196"/>
      <c r="HT45" s="196"/>
      <c r="HU45" s="196"/>
      <c r="HV45" s="196"/>
      <c r="HW45" s="204"/>
      <c r="HX45" s="196"/>
      <c r="HY45" s="196"/>
      <c r="HZ45" s="196"/>
      <c r="IA45" s="196"/>
      <c r="IB45" s="206"/>
      <c r="IF45" s="195"/>
      <c r="IG45" s="196"/>
      <c r="IH45" s="196"/>
      <c r="II45" s="196"/>
      <c r="IJ45" s="196"/>
      <c r="IK45" s="204"/>
      <c r="IL45" s="196"/>
      <c r="IM45" s="196"/>
      <c r="IN45" s="196"/>
      <c r="IO45" s="196"/>
      <c r="IP45" s="206"/>
      <c r="IT45" s="195"/>
      <c r="IU45" s="196"/>
      <c r="IV45" s="196"/>
      <c r="IW45" s="196"/>
      <c r="IX45" s="196"/>
      <c r="IY45" s="204"/>
      <c r="IZ45" s="196"/>
      <c r="JA45" s="196"/>
      <c r="JB45" s="196"/>
      <c r="JC45" s="196"/>
      <c r="JD45" s="206"/>
      <c r="JH45" s="195"/>
      <c r="JI45" s="196"/>
      <c r="JJ45" s="196"/>
      <c r="JK45" s="196"/>
      <c r="JL45" s="196"/>
      <c r="JM45" s="204"/>
      <c r="JN45" s="196"/>
      <c r="JO45" s="196"/>
      <c r="JP45" s="196"/>
      <c r="JQ45" s="196"/>
      <c r="JR45" s="206"/>
      <c r="JV45" s="195"/>
      <c r="JW45" s="196"/>
      <c r="JX45" s="196"/>
      <c r="JY45" s="196"/>
      <c r="JZ45" s="196"/>
      <c r="KA45" s="204"/>
      <c r="KB45" s="196"/>
      <c r="KC45" s="196"/>
      <c r="KD45" s="196"/>
      <c r="KE45" s="196"/>
      <c r="KF45" s="206"/>
      <c r="KJ45" s="195"/>
      <c r="KK45" s="196"/>
      <c r="KL45" s="196"/>
      <c r="KM45" s="196"/>
      <c r="KN45" s="196"/>
      <c r="KO45" s="204"/>
      <c r="KP45" s="196"/>
      <c r="KQ45" s="196"/>
      <c r="KR45" s="196"/>
      <c r="KS45" s="196"/>
      <c r="KT45" s="206"/>
      <c r="KX45" s="195"/>
      <c r="KY45" s="196"/>
      <c r="KZ45" s="196"/>
      <c r="LA45" s="196"/>
      <c r="LB45" s="196"/>
      <c r="LC45" s="204"/>
      <c r="LD45" s="196"/>
      <c r="LE45" s="196"/>
      <c r="LF45" s="196"/>
      <c r="LG45" s="196"/>
      <c r="LH45" s="206"/>
      <c r="LL45" s="195"/>
      <c r="LM45" s="196"/>
      <c r="LN45" s="196"/>
      <c r="LO45" s="196"/>
      <c r="LP45" s="196"/>
      <c r="LQ45" s="204"/>
      <c r="LR45" s="196"/>
      <c r="LS45" s="196"/>
      <c r="LT45" s="196"/>
      <c r="LU45" s="196"/>
      <c r="LV45" s="206"/>
      <c r="LZ45" s="195"/>
      <c r="MA45" s="196"/>
      <c r="MB45" s="196"/>
      <c r="MC45" s="196"/>
      <c r="MD45" s="196"/>
      <c r="ME45" s="204"/>
      <c r="MF45" s="196"/>
      <c r="MG45" s="196"/>
      <c r="MH45" s="196"/>
      <c r="MI45" s="196"/>
      <c r="MJ45" s="206"/>
      <c r="MN45" s="195"/>
      <c r="MO45" s="196"/>
      <c r="MP45" s="196"/>
      <c r="MQ45" s="196"/>
      <c r="MR45" s="196"/>
      <c r="MS45" s="204"/>
      <c r="MT45" s="196"/>
      <c r="MU45" s="196"/>
      <c r="MV45" s="196"/>
      <c r="MW45" s="196"/>
      <c r="MX45" s="206"/>
      <c r="NB45" s="195"/>
      <c r="NC45" s="196"/>
      <c r="ND45" s="196"/>
      <c r="NE45" s="196"/>
      <c r="NF45" s="196"/>
      <c r="NG45" s="204"/>
      <c r="NH45" s="196"/>
      <c r="NI45" s="196"/>
      <c r="NJ45" s="196"/>
      <c r="NK45" s="196"/>
      <c r="NL45" s="206"/>
      <c r="NP45" s="195"/>
      <c r="NQ45" s="196"/>
      <c r="NR45" s="196"/>
      <c r="NS45" s="196"/>
      <c r="NT45" s="196"/>
      <c r="NU45" s="204"/>
      <c r="NV45" s="196"/>
      <c r="NW45" s="196"/>
      <c r="NX45" s="196"/>
      <c r="NY45" s="196"/>
      <c r="NZ45" s="206"/>
      <c r="OD45" s="195"/>
      <c r="OE45" s="196"/>
      <c r="OF45" s="196"/>
      <c r="OG45" s="196"/>
      <c r="OH45" s="196"/>
      <c r="OI45" s="204"/>
      <c r="OJ45" s="196"/>
      <c r="OK45" s="196"/>
      <c r="OL45" s="196"/>
      <c r="OM45" s="196"/>
      <c r="ON45" s="206"/>
      <c r="OR45" s="195"/>
      <c r="OS45" s="196"/>
      <c r="OT45" s="196"/>
      <c r="OU45" s="196"/>
      <c r="OV45" s="196"/>
      <c r="OW45" s="204"/>
      <c r="OX45" s="196"/>
      <c r="OY45" s="196"/>
      <c r="OZ45" s="196"/>
      <c r="PA45" s="196"/>
      <c r="PB45" s="206"/>
      <c r="PF45" s="195"/>
      <c r="PG45" s="196"/>
      <c r="PH45" s="196"/>
      <c r="PI45" s="196"/>
      <c r="PJ45" s="196"/>
      <c r="PK45" s="204"/>
      <c r="PL45" s="196"/>
      <c r="PM45" s="196"/>
      <c r="PN45" s="196"/>
      <c r="PO45" s="196"/>
      <c r="PP45" s="206"/>
      <c r="PT45" s="195"/>
      <c r="PU45" s="196"/>
      <c r="PV45" s="196"/>
      <c r="PW45" s="196"/>
      <c r="PX45" s="196"/>
      <c r="PY45" s="204"/>
      <c r="PZ45" s="196"/>
      <c r="QA45" s="196"/>
      <c r="QB45" s="196"/>
      <c r="QC45" s="196"/>
      <c r="QD45" s="206"/>
      <c r="QH45" s="195"/>
      <c r="QI45" s="196"/>
      <c r="QJ45" s="196"/>
      <c r="QK45" s="196"/>
      <c r="QL45" s="196"/>
      <c r="QM45" s="204"/>
      <c r="QN45" s="196"/>
      <c r="QO45" s="196"/>
      <c r="QP45" s="196"/>
      <c r="QQ45" s="196"/>
      <c r="QR45" s="206"/>
      <c r="QV45" s="195"/>
      <c r="QW45" s="196"/>
      <c r="QX45" s="196"/>
      <c r="QY45" s="196"/>
      <c r="QZ45" s="196"/>
      <c r="RA45" s="204"/>
      <c r="RB45" s="196"/>
      <c r="RC45" s="196"/>
      <c r="RD45" s="196"/>
      <c r="RE45" s="196"/>
      <c r="RF45" s="206"/>
      <c r="RJ45" s="195"/>
      <c r="RK45" s="196"/>
      <c r="RL45" s="196"/>
      <c r="RM45" s="196"/>
      <c r="RN45" s="196"/>
      <c r="RO45" s="204"/>
      <c r="RP45" s="196"/>
      <c r="RQ45" s="196"/>
      <c r="RR45" s="196"/>
      <c r="RS45" s="196"/>
      <c r="RT45" s="206"/>
      <c r="RX45" s="195"/>
      <c r="RY45" s="196"/>
      <c r="RZ45" s="196"/>
      <c r="SA45" s="196"/>
      <c r="SB45" s="196"/>
      <c r="SC45" s="204"/>
      <c r="SD45" s="196"/>
      <c r="SE45" s="196"/>
      <c r="SF45" s="196"/>
      <c r="SG45" s="196"/>
      <c r="SH45" s="206"/>
      <c r="SL45" s="195"/>
      <c r="SM45" s="196"/>
      <c r="SN45" s="196"/>
      <c r="SO45" s="196"/>
      <c r="SP45" s="196"/>
      <c r="SQ45" s="204"/>
      <c r="SR45" s="196"/>
      <c r="SS45" s="196"/>
      <c r="ST45" s="196"/>
      <c r="SU45" s="196"/>
      <c r="SV45" s="206"/>
      <c r="SZ45" s="195"/>
      <c r="TA45" s="196"/>
      <c r="TB45" s="196"/>
      <c r="TC45" s="196"/>
      <c r="TD45" s="196"/>
      <c r="TE45" s="204"/>
      <c r="TF45" s="196"/>
      <c r="TG45" s="196"/>
      <c r="TH45" s="196"/>
      <c r="TI45" s="196"/>
      <c r="TJ45" s="206"/>
      <c r="TN45" s="195"/>
      <c r="TO45" s="196"/>
      <c r="TP45" s="196"/>
      <c r="TQ45" s="196"/>
      <c r="TR45" s="196"/>
      <c r="TS45" s="204"/>
      <c r="TT45" s="196"/>
      <c r="TU45" s="196"/>
      <c r="TV45" s="196"/>
      <c r="TW45" s="196"/>
      <c r="TX45" s="206"/>
      <c r="UB45" s="195"/>
      <c r="UC45" s="196"/>
      <c r="UD45" s="196"/>
      <c r="UE45" s="196"/>
      <c r="UF45" s="196"/>
      <c r="UG45" s="204"/>
      <c r="UH45" s="196"/>
      <c r="UI45" s="196"/>
      <c r="UJ45" s="196"/>
      <c r="UK45" s="196"/>
      <c r="UL45" s="206"/>
      <c r="UP45" s="195"/>
      <c r="UQ45" s="196"/>
      <c r="UR45" s="196"/>
      <c r="US45" s="196"/>
      <c r="UT45" s="196"/>
      <c r="UU45" s="204"/>
      <c r="UV45" s="196"/>
      <c r="UW45" s="196"/>
      <c r="UX45" s="196"/>
      <c r="UY45" s="196"/>
      <c r="UZ45" s="206"/>
      <c r="VD45" s="195"/>
      <c r="VE45" s="196"/>
      <c r="VF45" s="196"/>
      <c r="VG45" s="196"/>
      <c r="VH45" s="196"/>
      <c r="VI45" s="204"/>
      <c r="VJ45" s="196"/>
      <c r="VK45" s="196"/>
      <c r="VL45" s="196"/>
      <c r="VM45" s="196"/>
      <c r="VN45" s="206"/>
      <c r="VR45" s="195"/>
      <c r="VS45" s="196"/>
      <c r="VT45" s="196"/>
      <c r="VU45" s="196"/>
      <c r="VV45" s="196"/>
      <c r="VW45" s="204"/>
      <c r="VX45" s="196"/>
      <c r="VY45" s="196"/>
      <c r="VZ45" s="196"/>
      <c r="WA45" s="196"/>
      <c r="WB45" s="206"/>
      <c r="WF45" s="195"/>
      <c r="WG45" s="196"/>
      <c r="WH45" s="196"/>
      <c r="WI45" s="196"/>
      <c r="WJ45" s="196"/>
      <c r="WK45" s="204"/>
      <c r="WL45" s="196"/>
      <c r="WM45" s="196"/>
      <c r="WN45" s="196"/>
      <c r="WO45" s="196"/>
      <c r="WP45" s="206"/>
      <c r="WT45" s="195"/>
      <c r="WU45" s="196"/>
      <c r="WV45" s="196"/>
      <c r="WW45" s="196"/>
      <c r="WX45" s="196"/>
      <c r="WY45" s="204"/>
      <c r="WZ45" s="196"/>
      <c r="XA45" s="196"/>
      <c r="XB45" s="196"/>
      <c r="XC45" s="196"/>
      <c r="XD45" s="206"/>
      <c r="XH45" s="195"/>
      <c r="XI45" s="196"/>
      <c r="XJ45" s="196"/>
      <c r="XK45" s="196"/>
      <c r="XL45" s="196"/>
      <c r="XM45" s="204"/>
      <c r="XN45" s="196"/>
      <c r="XO45" s="196"/>
      <c r="XP45" s="196"/>
      <c r="XQ45" s="196"/>
      <c r="XR45" s="206"/>
      <c r="XV45" s="195"/>
      <c r="XW45" s="196"/>
      <c r="XX45" s="196"/>
      <c r="XY45" s="196"/>
      <c r="XZ45" s="196"/>
      <c r="YA45" s="204"/>
      <c r="YB45" s="196"/>
      <c r="YC45" s="196"/>
      <c r="YD45" s="196"/>
      <c r="YE45" s="196"/>
      <c r="YF45" s="206"/>
      <c r="YJ45" s="195"/>
      <c r="YK45" s="196"/>
      <c r="YL45" s="196"/>
      <c r="YM45" s="196"/>
      <c r="YN45" s="196"/>
      <c r="YO45" s="204"/>
      <c r="YP45" s="196"/>
      <c r="YQ45" s="196"/>
      <c r="YR45" s="196"/>
      <c r="YS45" s="196"/>
      <c r="YT45" s="206"/>
      <c r="YX45" s="195"/>
      <c r="YY45" s="196"/>
      <c r="YZ45" s="196"/>
      <c r="ZA45" s="196"/>
      <c r="ZB45" s="196"/>
      <c r="ZC45" s="204"/>
      <c r="ZD45" s="196"/>
      <c r="ZE45" s="196"/>
      <c r="ZF45" s="196"/>
      <c r="ZG45" s="196"/>
      <c r="ZH45" s="206"/>
      <c r="ZL45" s="195"/>
      <c r="ZM45" s="196"/>
      <c r="ZN45" s="196"/>
      <c r="ZO45" s="196"/>
      <c r="ZP45" s="196"/>
      <c r="ZQ45" s="204"/>
      <c r="ZR45" s="196"/>
      <c r="ZS45" s="196"/>
      <c r="ZT45" s="196"/>
      <c r="ZU45" s="196"/>
      <c r="ZV45" s="206"/>
      <c r="ZY45" s="4"/>
      <c r="ZZ45" s="191"/>
      <c r="AAA45" s="191"/>
      <c r="AAB45" s="191"/>
      <c r="AAC45" s="191"/>
      <c r="AAL45" s="4"/>
      <c r="AAM45" s="191"/>
      <c r="AAN45" s="191"/>
      <c r="AAO45" s="191"/>
      <c r="AAP45" s="191"/>
      <c r="AAY45" s="4"/>
      <c r="AAZ45" s="191"/>
      <c r="ABA45" s="191"/>
      <c r="ABB45" s="191"/>
      <c r="ABC45" s="191"/>
      <c r="ABL45" s="4"/>
      <c r="ABM45" s="191"/>
      <c r="ABN45" s="191"/>
      <c r="ABO45" s="191"/>
      <c r="ABP45" s="191"/>
      <c r="ABY45" s="4"/>
      <c r="ABZ45" s="191"/>
      <c r="ACA45" s="191"/>
      <c r="ACB45" s="191"/>
      <c r="ACC45" s="191"/>
      <c r="ACL45" s="4"/>
      <c r="ACM45" s="191"/>
      <c r="ACN45" s="191"/>
      <c r="ACO45" s="191"/>
      <c r="ACP45" s="191"/>
      <c r="ACY45" s="4"/>
      <c r="ACZ45" s="191"/>
      <c r="ADA45" s="191"/>
      <c r="ADB45" s="191"/>
      <c r="ADC45" s="191"/>
      <c r="ADL45" s="4"/>
      <c r="ADM45" s="191"/>
      <c r="ADN45" s="191"/>
      <c r="ADO45" s="191"/>
      <c r="ADP45" s="191"/>
      <c r="ADY45" s="4"/>
      <c r="ADZ45" s="191"/>
      <c r="AEA45" s="191"/>
      <c r="AEB45" s="191"/>
      <c r="AEC45" s="191"/>
      <c r="AEL45" s="4"/>
      <c r="AEM45" s="191"/>
      <c r="AEN45" s="191"/>
      <c r="AEO45" s="191"/>
      <c r="AEP45" s="191"/>
      <c r="AEY45" s="4"/>
      <c r="AEZ45" s="191"/>
      <c r="AFA45" s="191"/>
      <c r="AFB45" s="191"/>
      <c r="AFC45" s="191"/>
      <c r="AFL45" s="4"/>
      <c r="AFM45" s="191"/>
      <c r="AFN45" s="191"/>
      <c r="AFO45" s="191"/>
      <c r="AFP45" s="191"/>
      <c r="AFZ45" s="191"/>
      <c r="AGA45" s="191"/>
      <c r="AGB45" s="191"/>
      <c r="AGC45" s="191"/>
      <c r="AGL45" s="191"/>
      <c r="AGM45" s="191"/>
      <c r="AGN45" s="191"/>
      <c r="AGO45" s="191"/>
      <c r="AGX45" s="191"/>
      <c r="AGY45" s="191"/>
      <c r="AGZ45" s="191"/>
      <c r="AHA45" s="191"/>
      <c r="AHJ45" s="191"/>
      <c r="AHK45" s="191"/>
      <c r="AHL45" s="191"/>
      <c r="AHM45" s="191"/>
      <c r="AHV45" s="191"/>
      <c r="AHW45" s="191"/>
      <c r="AHX45" s="191"/>
      <c r="AHY45" s="191"/>
      <c r="AIH45" s="191"/>
      <c r="AII45" s="191"/>
      <c r="AIJ45" s="191"/>
      <c r="AIK45" s="191"/>
      <c r="AIT45" s="191"/>
      <c r="AIU45" s="191"/>
      <c r="AIV45" s="191"/>
      <c r="AIW45" s="191"/>
      <c r="AJF45" s="191"/>
      <c r="AJG45" s="191"/>
      <c r="AJH45" s="191"/>
      <c r="AJI45" s="191"/>
      <c r="AJR45" s="191"/>
      <c r="AJS45" s="191"/>
      <c r="AJT45" s="191"/>
      <c r="AJU45" s="191"/>
      <c r="AKD45" s="191"/>
      <c r="AKE45" s="191"/>
      <c r="AKF45" s="191"/>
      <c r="AKG45" s="191"/>
      <c r="AKP45" s="191"/>
      <c r="AKQ45" s="191"/>
      <c r="AKR45" s="191"/>
      <c r="AKS45" s="191"/>
      <c r="ALB45" s="191"/>
      <c r="ALC45" s="191"/>
      <c r="ALD45" s="191"/>
      <c r="ALE45" s="191"/>
      <c r="ALN45" s="191"/>
      <c r="ALO45" s="191"/>
      <c r="ALP45" s="191"/>
      <c r="ALQ45" s="191"/>
      <c r="ALZ45" s="191"/>
      <c r="AMA45" s="191"/>
      <c r="AMB45" s="191"/>
      <c r="AMC45" s="191"/>
      <c r="AML45" s="191"/>
      <c r="AMM45" s="191"/>
      <c r="AMN45" s="191"/>
      <c r="AMO45" s="191"/>
      <c r="AMX45" s="191"/>
      <c r="AMY45" s="191"/>
      <c r="AMZ45" s="191"/>
      <c r="ANA45" s="191"/>
      <c r="ANJ45" s="191"/>
      <c r="ANK45" s="191"/>
      <c r="ANL45" s="191"/>
      <c r="ANM45" s="191"/>
      <c r="ANV45" s="191"/>
      <c r="ANW45" s="191"/>
      <c r="ANX45" s="191"/>
      <c r="ANY45" s="191"/>
      <c r="AOH45" s="191"/>
      <c r="AOI45" s="191"/>
      <c r="AOJ45" s="191"/>
      <c r="AOK45" s="191"/>
      <c r="AOT45" s="191"/>
      <c r="AOU45" s="191"/>
      <c r="AOV45" s="191"/>
      <c r="AOW45" s="191"/>
      <c r="APF45" s="191"/>
      <c r="APG45" s="191"/>
      <c r="APH45" s="191"/>
      <c r="API45" s="191"/>
      <c r="APR45" s="191"/>
      <c r="APS45" s="191"/>
      <c r="APT45" s="191"/>
      <c r="APU45" s="191"/>
      <c r="AQD45" s="191"/>
      <c r="AQE45" s="191"/>
      <c r="AQF45" s="191"/>
      <c r="AQG45" s="191"/>
      <c r="AQP45" s="191"/>
      <c r="AQQ45" s="191"/>
      <c r="AQR45" s="191"/>
      <c r="AQS45" s="191"/>
      <c r="ARB45" s="191"/>
      <c r="ARC45" s="191"/>
      <c r="ARD45" s="191"/>
      <c r="ARE45" s="191"/>
      <c r="ARN45" s="191"/>
      <c r="ARO45" s="191"/>
      <c r="ARP45" s="191"/>
      <c r="ARQ45" s="191"/>
      <c r="ARZ45" s="191"/>
      <c r="ASA45" s="191"/>
      <c r="ASB45" s="191"/>
      <c r="ASC45" s="191"/>
      <c r="ASL45" s="191"/>
      <c r="ASM45" s="191"/>
      <c r="ASN45" s="191"/>
      <c r="ASO45" s="191"/>
      <c r="ASX45" s="191"/>
      <c r="ASY45" s="191"/>
      <c r="ASZ45" s="191"/>
      <c r="ATA45" s="191"/>
      <c r="ATJ45" s="191"/>
      <c r="ATK45" s="191"/>
      <c r="ATL45" s="191"/>
      <c r="ATM45" s="191"/>
      <c r="ATV45" s="191"/>
      <c r="ATW45" s="191"/>
      <c r="ATX45" s="191"/>
      <c r="ATY45" s="191"/>
      <c r="AUH45" s="191"/>
      <c r="AUI45" s="191"/>
      <c r="AUJ45" s="191"/>
      <c r="AUK45" s="191"/>
      <c r="AUT45" s="191"/>
      <c r="AUU45" s="191"/>
      <c r="AUV45" s="191"/>
      <c r="AUW45" s="191"/>
      <c r="AVF45" s="191"/>
      <c r="AVG45" s="191"/>
      <c r="AVH45" s="191"/>
      <c r="AVI45" s="191"/>
      <c r="AVR45" s="191"/>
      <c r="AVS45" s="191"/>
      <c r="AVT45" s="191"/>
      <c r="AVU45" s="191"/>
      <c r="AWD45" s="191"/>
      <c r="AWE45" s="191"/>
      <c r="AWF45" s="191"/>
      <c r="AWG45" s="191"/>
      <c r="AWP45" s="191"/>
      <c r="AWQ45" s="191"/>
      <c r="AWR45" s="191"/>
      <c r="AWS45" s="191"/>
      <c r="AXB45" s="191"/>
      <c r="AXC45" s="191"/>
      <c r="AXD45" s="191"/>
      <c r="AXE45" s="191"/>
      <c r="AXN45" s="191"/>
      <c r="AXO45" s="191"/>
      <c r="AXP45" s="191"/>
      <c r="AXQ45" s="191"/>
      <c r="AXZ45" s="191"/>
      <c r="AYA45" s="191"/>
      <c r="AYB45" s="191"/>
      <c r="AYC45" s="191"/>
      <c r="AYL45" s="191"/>
      <c r="AYM45" s="191"/>
      <c r="AYN45" s="191"/>
      <c r="AYO45" s="191"/>
      <c r="AYX45" s="191"/>
      <c r="AYY45" s="191"/>
      <c r="AYZ45" s="191"/>
      <c r="AZA45" s="191"/>
      <c r="AZJ45" s="191"/>
      <c r="AZK45" s="191"/>
      <c r="AZL45" s="191"/>
      <c r="AZM45" s="191"/>
      <c r="AZV45" s="191"/>
      <c r="AZW45" s="191"/>
      <c r="AZX45" s="191"/>
      <c r="AZY45" s="191"/>
      <c r="BAH45" s="191"/>
      <c r="BAI45" s="191"/>
      <c r="BAJ45" s="191"/>
      <c r="BAK45" s="191"/>
      <c r="BAT45" s="191"/>
      <c r="BAU45" s="191"/>
      <c r="BAV45" s="191"/>
      <c r="BAW45" s="191"/>
      <c r="BBF45" s="191"/>
      <c r="BBG45" s="191"/>
      <c r="BBH45" s="191"/>
      <c r="BBI45" s="191"/>
      <c r="BBR45" s="191"/>
      <c r="BBS45" s="191"/>
      <c r="BBT45" s="191"/>
      <c r="BBU45" s="191"/>
      <c r="BCD45" s="191"/>
      <c r="BCE45" s="191"/>
      <c r="BCF45" s="191"/>
      <c r="BCG45" s="191"/>
      <c r="BCP45" s="191"/>
      <c r="BCQ45" s="191"/>
      <c r="BCR45" s="191"/>
      <c r="BCS45" s="191"/>
      <c r="BDB45" s="191"/>
      <c r="BDC45" s="191"/>
      <c r="BDD45" s="191"/>
      <c r="BDE45" s="191"/>
      <c r="BDN45" s="191"/>
      <c r="BDO45" s="191"/>
      <c r="BDP45" s="191"/>
      <c r="BDQ45" s="191"/>
      <c r="BDZ45" s="191"/>
      <c r="BEA45" s="191"/>
      <c r="BEB45" s="191"/>
      <c r="BEC45" s="191"/>
      <c r="BEL45" s="191"/>
      <c r="BEM45" s="191"/>
      <c r="BEN45" s="191"/>
      <c r="BEO45" s="191"/>
      <c r="BEX45" s="191"/>
      <c r="BEY45" s="191"/>
      <c r="BEZ45" s="191"/>
      <c r="BFA45" s="191"/>
      <c r="BFJ45" s="191"/>
      <c r="BFK45" s="191"/>
      <c r="BFL45" s="191"/>
      <c r="BFM45" s="191"/>
      <c r="BFV45" s="191"/>
      <c r="BFW45" s="191"/>
      <c r="BFX45" s="191"/>
      <c r="BFY45" s="191"/>
      <c r="BGH45" s="191"/>
      <c r="BGI45" s="191"/>
      <c r="BGJ45" s="191"/>
      <c r="BGK45" s="191"/>
      <c r="BGT45" s="191"/>
      <c r="BGU45" s="191"/>
      <c r="BGV45" s="191"/>
      <c r="BGW45" s="191"/>
      <c r="BHF45" s="191"/>
      <c r="BHG45" s="191"/>
      <c r="BHH45" s="191"/>
      <c r="BHI45" s="191"/>
      <c r="BHR45" s="191"/>
      <c r="BHS45" s="191"/>
      <c r="BHT45" s="191"/>
      <c r="BHU45" s="191"/>
      <c r="BID45" s="191"/>
      <c r="BIE45" s="191"/>
      <c r="BIF45" s="191"/>
      <c r="BIG45" s="191"/>
      <c r="BIP45" s="191"/>
      <c r="BIQ45" s="191"/>
      <c r="BIR45" s="191"/>
      <c r="BIS45" s="191"/>
      <c r="BJB45" s="191"/>
      <c r="BJC45" s="191"/>
      <c r="BJD45" s="191"/>
      <c r="BJE45" s="191"/>
      <c r="BJN45" s="191"/>
      <c r="BJO45" s="191"/>
      <c r="BJP45" s="191"/>
      <c r="BJQ45" s="191"/>
      <c r="BJZ45" s="191"/>
      <c r="BKA45" s="191"/>
      <c r="BKB45" s="191"/>
      <c r="BKC45" s="191"/>
      <c r="BKL45" s="191"/>
      <c r="BKM45" s="191"/>
      <c r="BKN45" s="191"/>
      <c r="BKO45" s="191"/>
      <c r="BKX45" s="191"/>
      <c r="BKY45" s="191"/>
      <c r="BKZ45" s="191"/>
      <c r="BLA45" s="191"/>
      <c r="BLJ45" s="191"/>
      <c r="BLK45" s="191"/>
      <c r="BLL45" s="191"/>
      <c r="BLM45" s="191"/>
      <c r="BLV45" s="191"/>
      <c r="BLW45" s="191"/>
      <c r="BLX45" s="191"/>
      <c r="BLY45" s="191"/>
      <c r="BMH45" s="191"/>
      <c r="BMI45" s="191"/>
      <c r="BMJ45" s="191"/>
      <c r="BMK45" s="191"/>
      <c r="BMT45" s="191"/>
      <c r="BMU45" s="191"/>
      <c r="BMV45" s="191"/>
      <c r="BMW45" s="191"/>
      <c r="BNF45" s="191"/>
      <c r="BNG45" s="191"/>
      <c r="BNH45" s="191"/>
      <c r="BNI45" s="191"/>
      <c r="BNR45" s="191"/>
      <c r="BNS45" s="191"/>
      <c r="BNT45" s="191"/>
      <c r="BNU45" s="191"/>
      <c r="BOD45" s="191"/>
      <c r="BOE45" s="191"/>
      <c r="BOF45" s="191"/>
      <c r="BOG45" s="191"/>
      <c r="BOP45" s="191"/>
      <c r="BOQ45" s="191"/>
      <c r="BOR45" s="191"/>
      <c r="BOS45" s="191"/>
      <c r="BPB45" s="191"/>
      <c r="BPC45" s="191"/>
      <c r="BPD45" s="191"/>
      <c r="BPE45" s="191"/>
      <c r="BPN45" s="191"/>
      <c r="BPO45" s="191"/>
      <c r="BPP45" s="191"/>
      <c r="BPQ45" s="191"/>
      <c r="BPZ45" s="191"/>
      <c r="BQA45" s="191"/>
      <c r="BQB45" s="191"/>
      <c r="BQC45" s="191"/>
      <c r="BQL45" s="191"/>
      <c r="BQM45" s="191"/>
      <c r="BQN45" s="191"/>
      <c r="BQO45" s="191"/>
      <c r="BQX45" s="191"/>
      <c r="BQY45" s="191"/>
      <c r="BQZ45" s="191"/>
      <c r="BRA45" s="191"/>
      <c r="BRJ45" s="191"/>
      <c r="BRK45" s="191"/>
      <c r="BRL45" s="191"/>
      <c r="BRM45" s="191"/>
      <c r="BRV45" s="191"/>
      <c r="BRW45" s="191"/>
      <c r="BRX45" s="191"/>
      <c r="BRY45" s="191"/>
      <c r="BSH45" s="191"/>
      <c r="BSI45" s="191"/>
      <c r="BSJ45" s="191"/>
      <c r="BSK45" s="191"/>
      <c r="BST45" s="191"/>
      <c r="BSU45" s="191"/>
      <c r="BSV45" s="191"/>
      <c r="BSW45" s="191"/>
      <c r="BTF45" s="191"/>
      <c r="BTG45" s="191"/>
      <c r="BTH45" s="191"/>
      <c r="BTI45" s="191"/>
      <c r="BTR45" s="191"/>
      <c r="BTS45" s="191"/>
      <c r="BTT45" s="191"/>
      <c r="BTU45" s="191"/>
      <c r="BUD45" s="191"/>
      <c r="BUE45" s="191"/>
      <c r="BUF45" s="191"/>
      <c r="BUG45" s="191"/>
      <c r="BUP45" s="191"/>
      <c r="BUQ45" s="191"/>
      <c r="BUR45" s="191"/>
      <c r="BUS45" s="191"/>
      <c r="BVB45" s="191"/>
      <c r="BVC45" s="191"/>
      <c r="BVD45" s="191"/>
      <c r="BVE45" s="191"/>
      <c r="BVN45" s="191"/>
      <c r="BVO45" s="191"/>
      <c r="BVP45" s="191"/>
      <c r="BVQ45" s="191"/>
      <c r="BVZ45" s="191"/>
      <c r="BWA45" s="191"/>
      <c r="BWB45" s="191"/>
      <c r="BWC45" s="191"/>
      <c r="BWL45" s="191"/>
      <c r="BWM45" s="191"/>
      <c r="BWN45" s="191"/>
      <c r="BWO45" s="191"/>
      <c r="BWX45" s="191"/>
      <c r="BWY45" s="191"/>
      <c r="BWZ45" s="191"/>
      <c r="BXA45" s="191"/>
      <c r="BXJ45" s="191"/>
      <c r="BXK45" s="191"/>
      <c r="BXL45" s="191"/>
      <c r="BXM45" s="191"/>
      <c r="BXV45" s="191"/>
      <c r="BXW45" s="191"/>
      <c r="BXX45" s="191"/>
      <c r="BXY45" s="191"/>
      <c r="BYH45" s="191"/>
      <c r="BYI45" s="191"/>
      <c r="BYJ45" s="191"/>
      <c r="BYK45" s="191"/>
      <c r="BYT45" s="191"/>
      <c r="BYU45" s="191"/>
      <c r="BYV45" s="191"/>
      <c r="BYW45" s="191"/>
      <c r="BZF45" s="191"/>
      <c r="BZG45" s="191"/>
      <c r="BZH45" s="191"/>
      <c r="BZI45" s="191"/>
      <c r="BZR45" s="191"/>
      <c r="BZS45" s="191"/>
      <c r="BZT45" s="191"/>
      <c r="BZU45" s="191"/>
      <c r="CAD45" s="191"/>
      <c r="CAE45" s="191"/>
      <c r="CAF45" s="191"/>
      <c r="CAG45" s="191"/>
      <c r="CAP45" s="191"/>
      <c r="CAQ45" s="191"/>
      <c r="CAR45" s="191"/>
      <c r="CAS45" s="191"/>
      <c r="CBB45" s="191"/>
      <c r="CBC45" s="191"/>
      <c r="CBD45" s="191"/>
      <c r="CBE45" s="191"/>
      <c r="CBN45" s="191"/>
      <c r="CBO45" s="191"/>
      <c r="CBP45" s="191"/>
      <c r="CBQ45" s="191"/>
      <c r="CBZ45" s="191"/>
      <c r="CCA45" s="191"/>
      <c r="CCB45" s="191"/>
      <c r="CCC45" s="191"/>
      <c r="CCL45" s="191"/>
      <c r="CCM45" s="191"/>
      <c r="CCN45" s="191"/>
      <c r="CCO45" s="191"/>
      <c r="CCX45" s="191"/>
      <c r="CCY45" s="191"/>
      <c r="CCZ45" s="191"/>
      <c r="CDA45" s="191"/>
      <c r="CDJ45" s="191"/>
      <c r="CDK45" s="191"/>
      <c r="CDL45" s="191"/>
      <c r="CDM45" s="191"/>
      <c r="CDV45" s="191"/>
      <c r="CDW45" s="191"/>
      <c r="CDX45" s="191"/>
      <c r="CDY45" s="191"/>
      <c r="CEH45" s="191"/>
      <c r="CEI45" s="191"/>
      <c r="CEJ45" s="191"/>
      <c r="CEK45" s="191"/>
      <c r="CET45" s="191"/>
      <c r="CEU45" s="191"/>
      <c r="CEV45" s="191"/>
      <c r="CEW45" s="191"/>
      <c r="CFF45" s="191"/>
      <c r="CFG45" s="191"/>
      <c r="CFH45" s="191"/>
      <c r="CFI45" s="191"/>
      <c r="CFR45" s="191"/>
      <c r="CFS45" s="191"/>
      <c r="CFT45" s="191"/>
      <c r="CFU45" s="191"/>
      <c r="CGD45" s="191"/>
      <c r="CGE45" s="191"/>
      <c r="CGF45" s="191"/>
      <c r="CGG45" s="191"/>
      <c r="CGP45" s="191"/>
      <c r="CGQ45" s="191"/>
      <c r="CGR45" s="191"/>
      <c r="CGS45" s="191"/>
      <c r="CHB45" s="191"/>
      <c r="CHC45" s="191"/>
      <c r="CHD45" s="191"/>
      <c r="CHE45" s="191"/>
      <c r="CHN45" s="191"/>
      <c r="CHO45" s="191"/>
      <c r="CHP45" s="191"/>
      <c r="CHQ45" s="191"/>
      <c r="CHZ45" s="191"/>
      <c r="CIA45" s="191"/>
      <c r="CIB45" s="191"/>
      <c r="CIC45" s="191"/>
      <c r="CIL45" s="191"/>
      <c r="CIM45" s="191"/>
      <c r="CIN45" s="191"/>
      <c r="CIO45" s="191"/>
      <c r="CIX45" s="191"/>
      <c r="CIY45" s="191"/>
      <c r="CIZ45" s="191"/>
      <c r="CJA45" s="191"/>
      <c r="CJJ45" s="191"/>
      <c r="CJK45" s="191"/>
      <c r="CJL45" s="191"/>
      <c r="CJM45" s="191"/>
      <c r="CJV45" s="191"/>
      <c r="CJW45" s="191"/>
      <c r="CJX45" s="191"/>
      <c r="CJY45" s="191"/>
      <c r="CKH45" s="191"/>
      <c r="CKI45" s="191"/>
      <c r="CKJ45" s="191"/>
      <c r="CKK45" s="191"/>
      <c r="CKT45" s="191"/>
      <c r="CKU45" s="191"/>
      <c r="CKV45" s="191"/>
      <c r="CKW45" s="191"/>
      <c r="CLF45" s="191"/>
      <c r="CLG45" s="191"/>
      <c r="CLH45" s="191"/>
      <c r="CLI45" s="191"/>
      <c r="CLR45" s="191"/>
      <c r="CLS45" s="191"/>
      <c r="CLT45" s="191"/>
      <c r="CLU45" s="191"/>
      <c r="CMD45" s="191"/>
      <c r="CME45" s="191"/>
      <c r="CMF45" s="191"/>
      <c r="CMG45" s="191"/>
      <c r="CMP45" s="191"/>
      <c r="CMQ45" s="191"/>
      <c r="CMR45" s="191"/>
      <c r="CMS45" s="191"/>
      <c r="CNB45" s="191"/>
      <c r="CNC45" s="191"/>
      <c r="CND45" s="191"/>
      <c r="CNE45" s="191"/>
      <c r="CNN45" s="191"/>
      <c r="CNO45" s="191"/>
      <c r="CNP45" s="191"/>
      <c r="CNQ45" s="191"/>
      <c r="CNZ45" s="191"/>
      <c r="COA45" s="191"/>
      <c r="COB45" s="191"/>
      <c r="COC45" s="191"/>
      <c r="COL45" s="191"/>
      <c r="COM45" s="191"/>
      <c r="CON45" s="191"/>
      <c r="COO45" s="191"/>
      <c r="COX45" s="191"/>
      <c r="COY45" s="191"/>
      <c r="COZ45" s="191"/>
      <c r="CPA45" s="191"/>
      <c r="CPJ45" s="191"/>
      <c r="CPK45" s="191"/>
      <c r="CPL45" s="191"/>
      <c r="CPM45" s="191"/>
      <c r="CPV45" s="191"/>
      <c r="CPW45" s="191"/>
      <c r="CPX45" s="191"/>
      <c r="CPY45" s="191"/>
      <c r="CQH45" s="191"/>
      <c r="CQI45" s="191"/>
      <c r="CQJ45" s="191"/>
      <c r="CQK45" s="191"/>
      <c r="CQT45" s="191"/>
      <c r="CQU45" s="191"/>
      <c r="CQV45" s="191"/>
      <c r="CQW45" s="191"/>
      <c r="CRF45" s="191"/>
      <c r="CRG45" s="191"/>
      <c r="CRH45" s="191"/>
      <c r="CRI45" s="191"/>
      <c r="CRR45" s="191"/>
      <c r="CRS45" s="191"/>
      <c r="CRT45" s="191"/>
      <c r="CRU45" s="191"/>
      <c r="CSD45" s="191"/>
      <c r="CSE45" s="191"/>
      <c r="CSF45" s="191"/>
      <c r="CSG45" s="191"/>
      <c r="CSP45" s="191"/>
      <c r="CSQ45" s="191"/>
      <c r="CSR45" s="191"/>
      <c r="CSS45" s="191"/>
      <c r="CTB45" s="191"/>
      <c r="CTC45" s="191"/>
      <c r="CTD45" s="191"/>
      <c r="CTE45" s="191"/>
      <c r="CTN45" s="191"/>
      <c r="CTO45" s="191"/>
      <c r="CTP45" s="191"/>
      <c r="CTQ45" s="191"/>
      <c r="CTZ45" s="191"/>
      <c r="CUA45" s="191"/>
      <c r="CUB45" s="191"/>
      <c r="CUC45" s="191"/>
      <c r="CUL45" s="191"/>
      <c r="CUM45" s="191"/>
      <c r="CUN45" s="191"/>
      <c r="CUO45" s="191"/>
      <c r="CUX45" s="191"/>
      <c r="CUY45" s="191"/>
      <c r="CUZ45" s="191"/>
      <c r="CVA45" s="191"/>
      <c r="CVJ45" s="191"/>
      <c r="CVK45" s="191"/>
      <c r="CVL45" s="191"/>
      <c r="CVM45" s="191"/>
      <c r="CVV45" s="191"/>
      <c r="CVW45" s="191"/>
      <c r="CVX45" s="191"/>
      <c r="CVY45" s="191"/>
    </row>
    <row r="46" spans="2:1023 1026:2631" x14ac:dyDescent="0.25">
      <c r="B46" s="207"/>
      <c r="C46" s="6" t="s">
        <v>103</v>
      </c>
      <c r="D46" s="6"/>
      <c r="E46" s="6"/>
      <c r="F46" s="6"/>
      <c r="H46" s="6" t="s">
        <v>104</v>
      </c>
      <c r="I46" s="6"/>
      <c r="J46" s="6"/>
      <c r="K46" s="6"/>
      <c r="L46" s="208"/>
      <c r="P46" s="207"/>
      <c r="Q46" s="6" t="s">
        <v>103</v>
      </c>
      <c r="R46" s="6"/>
      <c r="S46" s="6"/>
      <c r="T46" s="6"/>
      <c r="V46" s="6" t="s">
        <v>104</v>
      </c>
      <c r="W46" s="6"/>
      <c r="X46" s="6"/>
      <c r="Y46" s="6"/>
      <c r="Z46" s="208"/>
      <c r="AD46" s="207"/>
      <c r="AE46" s="6" t="s">
        <v>103</v>
      </c>
      <c r="AF46" s="6"/>
      <c r="AG46" s="6"/>
      <c r="AH46" s="6"/>
      <c r="AJ46" s="6" t="s">
        <v>104</v>
      </c>
      <c r="AK46" s="6"/>
      <c r="AL46" s="6"/>
      <c r="AM46" s="6"/>
      <c r="AN46" s="208"/>
      <c r="AR46" s="207"/>
      <c r="AS46" s="6" t="s">
        <v>103</v>
      </c>
      <c r="AT46" s="6"/>
      <c r="AU46" s="6"/>
      <c r="AV46" s="6"/>
      <c r="AX46" s="6" t="s">
        <v>104</v>
      </c>
      <c r="AY46" s="6"/>
      <c r="AZ46" s="6"/>
      <c r="BA46" s="6"/>
      <c r="BB46" s="208"/>
      <c r="BF46" s="207"/>
      <c r="BG46" s="6" t="s">
        <v>103</v>
      </c>
      <c r="BH46" s="6"/>
      <c r="BI46" s="6"/>
      <c r="BJ46" s="6"/>
      <c r="BL46" s="6" t="s">
        <v>104</v>
      </c>
      <c r="BM46" s="6"/>
      <c r="BN46" s="6"/>
      <c r="BO46" s="6"/>
      <c r="BP46" s="208"/>
      <c r="BT46" s="207"/>
      <c r="BU46" s="6" t="s">
        <v>103</v>
      </c>
      <c r="BV46" s="6"/>
      <c r="BW46" s="6"/>
      <c r="BX46" s="6"/>
      <c r="BZ46" s="6" t="s">
        <v>104</v>
      </c>
      <c r="CA46" s="6"/>
      <c r="CB46" s="6"/>
      <c r="CC46" s="6"/>
      <c r="CD46" s="208"/>
      <c r="CH46" s="207"/>
      <c r="CI46" s="6" t="s">
        <v>103</v>
      </c>
      <c r="CJ46" s="6"/>
      <c r="CK46" s="6"/>
      <c r="CL46" s="6"/>
      <c r="CN46" s="6" t="s">
        <v>104</v>
      </c>
      <c r="CO46" s="6"/>
      <c r="CP46" s="6"/>
      <c r="CQ46" s="6"/>
      <c r="CR46" s="208"/>
      <c r="CV46" s="207"/>
      <c r="CW46" s="6" t="s">
        <v>103</v>
      </c>
      <c r="CX46" s="6"/>
      <c r="CY46" s="6"/>
      <c r="CZ46" s="6"/>
      <c r="DB46" s="6" t="s">
        <v>104</v>
      </c>
      <c r="DC46" s="6"/>
      <c r="DD46" s="6"/>
      <c r="DE46" s="6"/>
      <c r="DF46" s="208"/>
      <c r="DJ46" s="207"/>
      <c r="DK46" s="6" t="s">
        <v>103</v>
      </c>
      <c r="DL46" s="6"/>
      <c r="DM46" s="6"/>
      <c r="DN46" s="6"/>
      <c r="DP46" s="6" t="s">
        <v>104</v>
      </c>
      <c r="DQ46" s="6"/>
      <c r="DR46" s="6"/>
      <c r="DS46" s="6"/>
      <c r="DT46" s="208"/>
      <c r="DX46" s="207"/>
      <c r="DY46" s="6" t="s">
        <v>103</v>
      </c>
      <c r="DZ46" s="6"/>
      <c r="EA46" s="6"/>
      <c r="EB46" s="6"/>
      <c r="ED46" s="6" t="s">
        <v>104</v>
      </c>
      <c r="EE46" s="6"/>
      <c r="EF46" s="6"/>
      <c r="EG46" s="6"/>
      <c r="EH46" s="208"/>
      <c r="EL46" s="207"/>
      <c r="EM46" s="6" t="s">
        <v>103</v>
      </c>
      <c r="EN46" s="6"/>
      <c r="EO46" s="6"/>
      <c r="EP46" s="6"/>
      <c r="ER46" s="6" t="s">
        <v>104</v>
      </c>
      <c r="ES46" s="6"/>
      <c r="ET46" s="6"/>
      <c r="EU46" s="6"/>
      <c r="EV46" s="208"/>
      <c r="EZ46" s="207"/>
      <c r="FA46" s="6" t="s">
        <v>103</v>
      </c>
      <c r="FB46" s="6"/>
      <c r="FC46" s="6"/>
      <c r="FD46" s="6"/>
      <c r="FF46" s="6" t="s">
        <v>104</v>
      </c>
      <c r="FG46" s="6"/>
      <c r="FH46" s="6"/>
      <c r="FI46" s="6"/>
      <c r="FJ46" s="208"/>
      <c r="FN46" s="207"/>
      <c r="FO46" s="6" t="s">
        <v>103</v>
      </c>
      <c r="FP46" s="6"/>
      <c r="FQ46" s="6"/>
      <c r="FR46" s="6"/>
      <c r="FT46" s="6" t="s">
        <v>104</v>
      </c>
      <c r="FU46" s="6"/>
      <c r="FV46" s="6"/>
      <c r="FW46" s="6"/>
      <c r="FX46" s="208"/>
      <c r="GB46" s="207"/>
      <c r="GC46" s="6" t="s">
        <v>103</v>
      </c>
      <c r="GD46" s="6"/>
      <c r="GE46" s="6"/>
      <c r="GF46" s="6"/>
      <c r="GH46" s="6" t="s">
        <v>104</v>
      </c>
      <c r="GI46" s="6"/>
      <c r="GJ46" s="6"/>
      <c r="GK46" s="6"/>
      <c r="GL46" s="208"/>
      <c r="GP46" s="207"/>
      <c r="GQ46" s="6" t="s">
        <v>103</v>
      </c>
      <c r="GR46" s="6"/>
      <c r="GS46" s="6"/>
      <c r="GT46" s="6"/>
      <c r="GV46" s="6" t="s">
        <v>104</v>
      </c>
      <c r="GW46" s="6"/>
      <c r="GX46" s="6"/>
      <c r="GY46" s="6"/>
      <c r="GZ46" s="208"/>
      <c r="HD46" s="207"/>
      <c r="HE46" s="6" t="s">
        <v>103</v>
      </c>
      <c r="HF46" s="6"/>
      <c r="HG46" s="6"/>
      <c r="HH46" s="6"/>
      <c r="HJ46" s="6" t="s">
        <v>104</v>
      </c>
      <c r="HK46" s="6"/>
      <c r="HL46" s="6"/>
      <c r="HM46" s="6"/>
      <c r="HN46" s="208"/>
      <c r="HR46" s="207"/>
      <c r="HS46" s="6" t="s">
        <v>103</v>
      </c>
      <c r="HT46" s="6"/>
      <c r="HU46" s="6"/>
      <c r="HV46" s="6"/>
      <c r="HX46" s="6" t="s">
        <v>104</v>
      </c>
      <c r="HY46" s="6"/>
      <c r="HZ46" s="6"/>
      <c r="IA46" s="6"/>
      <c r="IB46" s="208"/>
      <c r="IF46" s="207"/>
      <c r="IG46" s="6" t="s">
        <v>103</v>
      </c>
      <c r="IH46" s="6"/>
      <c r="II46" s="6"/>
      <c r="IJ46" s="6"/>
      <c r="IL46" s="6" t="s">
        <v>104</v>
      </c>
      <c r="IM46" s="6"/>
      <c r="IN46" s="6"/>
      <c r="IO46" s="6"/>
      <c r="IP46" s="208"/>
      <c r="IT46" s="207"/>
      <c r="IU46" s="6" t="s">
        <v>103</v>
      </c>
      <c r="IV46" s="6"/>
      <c r="IW46" s="6"/>
      <c r="IX46" s="6"/>
      <c r="IZ46" s="6" t="s">
        <v>104</v>
      </c>
      <c r="JA46" s="6"/>
      <c r="JB46" s="6"/>
      <c r="JC46" s="6"/>
      <c r="JD46" s="208"/>
      <c r="JH46" s="207"/>
      <c r="JI46" s="6" t="s">
        <v>103</v>
      </c>
      <c r="JJ46" s="6"/>
      <c r="JK46" s="6"/>
      <c r="JL46" s="6"/>
      <c r="JN46" s="6" t="s">
        <v>104</v>
      </c>
      <c r="JO46" s="6"/>
      <c r="JP46" s="6"/>
      <c r="JQ46" s="6"/>
      <c r="JR46" s="208"/>
      <c r="JV46" s="207"/>
      <c r="JW46" s="6" t="s">
        <v>103</v>
      </c>
      <c r="JX46" s="6"/>
      <c r="JY46" s="6"/>
      <c r="JZ46" s="6"/>
      <c r="KB46" s="6" t="s">
        <v>104</v>
      </c>
      <c r="KC46" s="6"/>
      <c r="KD46" s="6"/>
      <c r="KE46" s="6"/>
      <c r="KF46" s="208"/>
      <c r="KJ46" s="207"/>
      <c r="KK46" s="6" t="s">
        <v>103</v>
      </c>
      <c r="KL46" s="6"/>
      <c r="KM46" s="6"/>
      <c r="KN46" s="6"/>
      <c r="KP46" s="6" t="s">
        <v>104</v>
      </c>
      <c r="KQ46" s="6"/>
      <c r="KR46" s="6"/>
      <c r="KS46" s="6"/>
      <c r="KT46" s="208"/>
      <c r="KX46" s="207"/>
      <c r="KY46" s="6" t="s">
        <v>103</v>
      </c>
      <c r="KZ46" s="6"/>
      <c r="LA46" s="6"/>
      <c r="LB46" s="6"/>
      <c r="LD46" s="6" t="s">
        <v>104</v>
      </c>
      <c r="LE46" s="6"/>
      <c r="LF46" s="6"/>
      <c r="LG46" s="6"/>
      <c r="LH46" s="208"/>
      <c r="LL46" s="207"/>
      <c r="LM46" s="6" t="s">
        <v>103</v>
      </c>
      <c r="LN46" s="6"/>
      <c r="LO46" s="6"/>
      <c r="LP46" s="6"/>
      <c r="LR46" s="6" t="s">
        <v>104</v>
      </c>
      <c r="LS46" s="6"/>
      <c r="LT46" s="6"/>
      <c r="LU46" s="6"/>
      <c r="LV46" s="208"/>
      <c r="LZ46" s="207"/>
      <c r="MA46" s="6" t="s">
        <v>103</v>
      </c>
      <c r="MB46" s="6"/>
      <c r="MC46" s="6"/>
      <c r="MD46" s="6"/>
      <c r="MF46" s="6" t="s">
        <v>104</v>
      </c>
      <c r="MG46" s="6"/>
      <c r="MH46" s="6"/>
      <c r="MI46" s="6"/>
      <c r="MJ46" s="208"/>
      <c r="MN46" s="207"/>
      <c r="MO46" s="6" t="s">
        <v>103</v>
      </c>
      <c r="MP46" s="6"/>
      <c r="MQ46" s="6"/>
      <c r="MR46" s="6"/>
      <c r="MT46" s="6" t="s">
        <v>104</v>
      </c>
      <c r="MU46" s="6"/>
      <c r="MV46" s="6"/>
      <c r="MW46" s="6"/>
      <c r="MX46" s="208"/>
      <c r="NB46" s="207"/>
      <c r="NC46" s="6" t="s">
        <v>103</v>
      </c>
      <c r="ND46" s="6"/>
      <c r="NE46" s="6"/>
      <c r="NF46" s="6"/>
      <c r="NH46" s="6" t="s">
        <v>104</v>
      </c>
      <c r="NI46" s="6"/>
      <c r="NJ46" s="6"/>
      <c r="NK46" s="6"/>
      <c r="NL46" s="208"/>
      <c r="NP46" s="207"/>
      <c r="NQ46" s="6" t="s">
        <v>103</v>
      </c>
      <c r="NR46" s="6"/>
      <c r="NS46" s="6"/>
      <c r="NT46" s="6"/>
      <c r="NV46" s="6" t="s">
        <v>104</v>
      </c>
      <c r="NW46" s="6"/>
      <c r="NX46" s="6"/>
      <c r="NY46" s="6"/>
      <c r="NZ46" s="208"/>
      <c r="OD46" s="207"/>
      <c r="OE46" s="6" t="s">
        <v>103</v>
      </c>
      <c r="OF46" s="6"/>
      <c r="OG46" s="6"/>
      <c r="OH46" s="6"/>
      <c r="OJ46" s="6" t="s">
        <v>104</v>
      </c>
      <c r="OK46" s="6"/>
      <c r="OL46" s="6"/>
      <c r="OM46" s="6"/>
      <c r="ON46" s="208"/>
      <c r="OR46" s="207"/>
      <c r="OS46" s="6" t="s">
        <v>103</v>
      </c>
      <c r="OT46" s="6"/>
      <c r="OU46" s="6"/>
      <c r="OV46" s="6"/>
      <c r="OX46" s="6" t="s">
        <v>104</v>
      </c>
      <c r="OY46" s="6"/>
      <c r="OZ46" s="6"/>
      <c r="PA46" s="6"/>
      <c r="PB46" s="208"/>
      <c r="PF46" s="207"/>
      <c r="PG46" s="6" t="s">
        <v>103</v>
      </c>
      <c r="PH46" s="6"/>
      <c r="PI46" s="6"/>
      <c r="PJ46" s="6"/>
      <c r="PL46" s="6" t="s">
        <v>104</v>
      </c>
      <c r="PM46" s="6"/>
      <c r="PN46" s="6"/>
      <c r="PO46" s="6"/>
      <c r="PP46" s="208"/>
      <c r="PT46" s="207"/>
      <c r="PU46" s="6" t="s">
        <v>103</v>
      </c>
      <c r="PV46" s="6"/>
      <c r="PW46" s="6"/>
      <c r="PX46" s="6"/>
      <c r="PZ46" s="6" t="s">
        <v>104</v>
      </c>
      <c r="QA46" s="6"/>
      <c r="QB46" s="6"/>
      <c r="QC46" s="6"/>
      <c r="QD46" s="208"/>
      <c r="QH46" s="207"/>
      <c r="QI46" s="6" t="s">
        <v>103</v>
      </c>
      <c r="QJ46" s="6"/>
      <c r="QK46" s="6"/>
      <c r="QL46" s="6"/>
      <c r="QN46" s="6" t="s">
        <v>104</v>
      </c>
      <c r="QO46" s="6"/>
      <c r="QP46" s="6"/>
      <c r="QQ46" s="6"/>
      <c r="QR46" s="208"/>
      <c r="QV46" s="207"/>
      <c r="QW46" s="6" t="s">
        <v>103</v>
      </c>
      <c r="QX46" s="6"/>
      <c r="QY46" s="6"/>
      <c r="QZ46" s="6"/>
      <c r="RB46" s="6" t="s">
        <v>104</v>
      </c>
      <c r="RC46" s="6"/>
      <c r="RD46" s="6"/>
      <c r="RE46" s="6"/>
      <c r="RF46" s="208"/>
      <c r="RJ46" s="207"/>
      <c r="RK46" s="6" t="s">
        <v>103</v>
      </c>
      <c r="RL46" s="6"/>
      <c r="RM46" s="6"/>
      <c r="RN46" s="6"/>
      <c r="RP46" s="6" t="s">
        <v>104</v>
      </c>
      <c r="RQ46" s="6"/>
      <c r="RR46" s="6"/>
      <c r="RS46" s="6"/>
      <c r="RT46" s="208"/>
      <c r="RX46" s="207"/>
      <c r="RY46" s="6" t="s">
        <v>103</v>
      </c>
      <c r="RZ46" s="6"/>
      <c r="SA46" s="6"/>
      <c r="SB46" s="6"/>
      <c r="SD46" s="6" t="s">
        <v>104</v>
      </c>
      <c r="SE46" s="6"/>
      <c r="SF46" s="6"/>
      <c r="SG46" s="6"/>
      <c r="SH46" s="208"/>
      <c r="SL46" s="207"/>
      <c r="SM46" s="6" t="s">
        <v>103</v>
      </c>
      <c r="SN46" s="6"/>
      <c r="SO46" s="6"/>
      <c r="SP46" s="6"/>
      <c r="SR46" s="6" t="s">
        <v>104</v>
      </c>
      <c r="SS46" s="6"/>
      <c r="ST46" s="6"/>
      <c r="SU46" s="6"/>
      <c r="SV46" s="208"/>
      <c r="SZ46" s="207"/>
      <c r="TA46" s="6" t="s">
        <v>103</v>
      </c>
      <c r="TB46" s="6"/>
      <c r="TC46" s="6"/>
      <c r="TD46" s="6"/>
      <c r="TF46" s="6" t="s">
        <v>104</v>
      </c>
      <c r="TG46" s="6"/>
      <c r="TH46" s="6"/>
      <c r="TI46" s="6"/>
      <c r="TJ46" s="208"/>
      <c r="TN46" s="207"/>
      <c r="TO46" s="6" t="s">
        <v>103</v>
      </c>
      <c r="TP46" s="6"/>
      <c r="TQ46" s="6"/>
      <c r="TR46" s="6"/>
      <c r="TT46" s="6" t="s">
        <v>104</v>
      </c>
      <c r="TU46" s="6"/>
      <c r="TV46" s="6"/>
      <c r="TW46" s="6"/>
      <c r="TX46" s="208"/>
      <c r="UB46" s="207"/>
      <c r="UC46" s="6" t="s">
        <v>103</v>
      </c>
      <c r="UD46" s="6"/>
      <c r="UE46" s="6"/>
      <c r="UF46" s="6"/>
      <c r="UH46" s="6" t="s">
        <v>104</v>
      </c>
      <c r="UI46" s="6"/>
      <c r="UJ46" s="6"/>
      <c r="UK46" s="6"/>
      <c r="UL46" s="208"/>
      <c r="UP46" s="207"/>
      <c r="UQ46" s="6" t="s">
        <v>103</v>
      </c>
      <c r="UR46" s="6"/>
      <c r="US46" s="6"/>
      <c r="UT46" s="6"/>
      <c r="UV46" s="6" t="s">
        <v>104</v>
      </c>
      <c r="UW46" s="6"/>
      <c r="UX46" s="6"/>
      <c r="UY46" s="6"/>
      <c r="UZ46" s="208"/>
      <c r="VD46" s="207"/>
      <c r="VE46" s="6" t="s">
        <v>103</v>
      </c>
      <c r="VF46" s="6"/>
      <c r="VG46" s="6"/>
      <c r="VH46" s="6"/>
      <c r="VJ46" s="6" t="s">
        <v>104</v>
      </c>
      <c r="VK46" s="6"/>
      <c r="VL46" s="6"/>
      <c r="VM46" s="6"/>
      <c r="VN46" s="208"/>
      <c r="VR46" s="207"/>
      <c r="VS46" s="6" t="s">
        <v>103</v>
      </c>
      <c r="VT46" s="6"/>
      <c r="VU46" s="6"/>
      <c r="VV46" s="6"/>
      <c r="VX46" s="6" t="s">
        <v>104</v>
      </c>
      <c r="VY46" s="6"/>
      <c r="VZ46" s="6"/>
      <c r="WA46" s="6"/>
      <c r="WB46" s="208"/>
      <c r="WF46" s="207"/>
      <c r="WG46" s="6" t="s">
        <v>103</v>
      </c>
      <c r="WH46" s="6"/>
      <c r="WI46" s="6"/>
      <c r="WJ46" s="6"/>
      <c r="WL46" s="6" t="s">
        <v>104</v>
      </c>
      <c r="WM46" s="6"/>
      <c r="WN46" s="6"/>
      <c r="WO46" s="6"/>
      <c r="WP46" s="208"/>
      <c r="WT46" s="207"/>
      <c r="WU46" s="6" t="s">
        <v>103</v>
      </c>
      <c r="WV46" s="6"/>
      <c r="WW46" s="6"/>
      <c r="WX46" s="6"/>
      <c r="WZ46" s="6" t="s">
        <v>104</v>
      </c>
      <c r="XA46" s="6"/>
      <c r="XB46" s="6"/>
      <c r="XC46" s="6"/>
      <c r="XD46" s="208"/>
      <c r="XH46" s="207"/>
      <c r="XI46" s="6" t="s">
        <v>103</v>
      </c>
      <c r="XJ46" s="6"/>
      <c r="XK46" s="6"/>
      <c r="XL46" s="6"/>
      <c r="XN46" s="6" t="s">
        <v>104</v>
      </c>
      <c r="XO46" s="6"/>
      <c r="XP46" s="6"/>
      <c r="XQ46" s="6"/>
      <c r="XR46" s="208"/>
      <c r="XV46" s="207"/>
      <c r="XW46" s="6" t="s">
        <v>103</v>
      </c>
      <c r="XX46" s="6"/>
      <c r="XY46" s="6"/>
      <c r="XZ46" s="6"/>
      <c r="YB46" s="6" t="s">
        <v>104</v>
      </c>
      <c r="YC46" s="6"/>
      <c r="YD46" s="6"/>
      <c r="YE46" s="6"/>
      <c r="YF46" s="208"/>
      <c r="YJ46" s="207"/>
      <c r="YK46" s="6" t="s">
        <v>103</v>
      </c>
      <c r="YL46" s="6"/>
      <c r="YM46" s="6"/>
      <c r="YN46" s="6"/>
      <c r="YP46" s="6" t="s">
        <v>104</v>
      </c>
      <c r="YQ46" s="6"/>
      <c r="YR46" s="6"/>
      <c r="YS46" s="6"/>
      <c r="YT46" s="208"/>
      <c r="YX46" s="207"/>
      <c r="YY46" s="6" t="s">
        <v>103</v>
      </c>
      <c r="YZ46" s="6"/>
      <c r="ZA46" s="6"/>
      <c r="ZB46" s="6"/>
      <c r="ZD46" s="6" t="s">
        <v>104</v>
      </c>
      <c r="ZE46" s="6"/>
      <c r="ZF46" s="6"/>
      <c r="ZG46" s="6"/>
      <c r="ZH46" s="208"/>
      <c r="ZL46" s="207"/>
      <c r="ZM46" s="6" t="s">
        <v>103</v>
      </c>
      <c r="ZN46" s="6"/>
      <c r="ZO46" s="6"/>
      <c r="ZP46" s="6"/>
      <c r="ZR46" s="6" t="s">
        <v>104</v>
      </c>
      <c r="ZS46" s="6"/>
      <c r="ZT46" s="6"/>
      <c r="ZU46" s="6"/>
      <c r="ZV46" s="208"/>
      <c r="ZY46" s="4"/>
      <c r="ZZ46" s="191"/>
      <c r="AAA46" s="191"/>
      <c r="AAB46" s="191"/>
      <c r="AAC46" s="191"/>
      <c r="AAG46" s="202"/>
      <c r="AAH46" s="202"/>
      <c r="AAI46" s="202"/>
      <c r="AAL46" s="4"/>
      <c r="AAM46" s="191"/>
      <c r="AAN46" s="191"/>
      <c r="AAO46" s="191"/>
      <c r="AAP46" s="191"/>
      <c r="AAT46" s="202"/>
      <c r="AAU46" s="202"/>
      <c r="AAV46" s="202"/>
      <c r="AAY46" s="4"/>
      <c r="AAZ46" s="191"/>
      <c r="ABA46" s="191"/>
      <c r="ABB46" s="191"/>
      <c r="ABC46" s="191"/>
      <c r="ABG46" s="202"/>
      <c r="ABH46" s="202"/>
      <c r="ABI46" s="202"/>
      <c r="ABL46" s="4"/>
      <c r="ABM46" s="191"/>
      <c r="ABN46" s="191"/>
      <c r="ABO46" s="191"/>
      <c r="ABP46" s="191"/>
      <c r="ABT46" s="202"/>
      <c r="ABU46" s="202"/>
      <c r="ABV46" s="202"/>
      <c r="ABY46" s="4"/>
      <c r="ABZ46" s="191"/>
      <c r="ACA46" s="191"/>
      <c r="ACB46" s="191"/>
      <c r="ACC46" s="191"/>
      <c r="ACG46" s="202"/>
      <c r="ACH46" s="202"/>
      <c r="ACI46" s="202"/>
      <c r="ACL46" s="4"/>
      <c r="ACM46" s="191"/>
      <c r="ACN46" s="191"/>
      <c r="ACO46" s="191"/>
      <c r="ACP46" s="191"/>
      <c r="ACT46" s="202"/>
      <c r="ACU46" s="202"/>
      <c r="ACV46" s="202"/>
      <c r="ACY46" s="4"/>
      <c r="ACZ46" s="191"/>
      <c r="ADA46" s="191"/>
      <c r="ADB46" s="191"/>
      <c r="ADC46" s="191"/>
      <c r="ADG46" s="202"/>
      <c r="ADH46" s="202"/>
      <c r="ADI46" s="202"/>
      <c r="ADL46" s="4"/>
      <c r="ADM46" s="191"/>
      <c r="ADN46" s="191"/>
      <c r="ADO46" s="191"/>
      <c r="ADP46" s="191"/>
      <c r="ADT46" s="202"/>
      <c r="ADU46" s="202"/>
      <c r="ADV46" s="202"/>
      <c r="ADY46" s="4"/>
      <c r="ADZ46" s="191"/>
      <c r="AEA46" s="191"/>
      <c r="AEB46" s="191"/>
      <c r="AEC46" s="191"/>
      <c r="AEG46" s="202"/>
      <c r="AEH46" s="202"/>
      <c r="AEI46" s="202"/>
      <c r="AEL46" s="4"/>
      <c r="AEM46" s="191"/>
      <c r="AEN46" s="191"/>
      <c r="AEO46" s="191"/>
      <c r="AEP46" s="191"/>
      <c r="AET46" s="202"/>
      <c r="AEU46" s="202"/>
      <c r="AEV46" s="202"/>
      <c r="AEY46" s="4"/>
      <c r="AEZ46" s="191"/>
      <c r="AFA46" s="191"/>
      <c r="AFB46" s="191"/>
      <c r="AFC46" s="191"/>
      <c r="AFG46" s="202"/>
      <c r="AFH46" s="202"/>
      <c r="AFI46" s="202"/>
      <c r="AFL46" s="4"/>
      <c r="AFM46" s="191"/>
      <c r="AFN46" s="191"/>
      <c r="AFO46" s="191"/>
      <c r="AFP46" s="191"/>
      <c r="AFT46" s="202"/>
      <c r="AFU46" s="202"/>
      <c r="AFV46" s="202"/>
      <c r="AFZ46" s="191"/>
      <c r="AGA46" s="191"/>
      <c r="AGB46" s="191"/>
      <c r="AGC46" s="191"/>
      <c r="AGG46" s="202"/>
      <c r="AGH46" s="202"/>
      <c r="AGI46" s="202"/>
      <c r="AGL46" s="191"/>
      <c r="AGM46" s="191"/>
      <c r="AGN46" s="191"/>
      <c r="AGO46" s="191"/>
      <c r="AGS46" s="202"/>
      <c r="AGT46" s="202"/>
      <c r="AGU46" s="202"/>
      <c r="AGX46" s="191"/>
      <c r="AGY46" s="191"/>
      <c r="AGZ46" s="191"/>
      <c r="AHA46" s="191"/>
      <c r="AHE46" s="202"/>
      <c r="AHF46" s="202"/>
      <c r="AHG46" s="202"/>
      <c r="AHJ46" s="191"/>
      <c r="AHK46" s="191"/>
      <c r="AHL46" s="191"/>
      <c r="AHM46" s="191"/>
      <c r="AHQ46" s="202"/>
      <c r="AHR46" s="202"/>
      <c r="AHS46" s="202"/>
      <c r="AHV46" s="191"/>
      <c r="AHW46" s="191"/>
      <c r="AHX46" s="191"/>
      <c r="AHY46" s="191"/>
      <c r="AIC46" s="202"/>
      <c r="AID46" s="202"/>
      <c r="AIE46" s="202"/>
      <c r="AIH46" s="191"/>
      <c r="AII46" s="191"/>
      <c r="AIJ46" s="191"/>
      <c r="AIK46" s="191"/>
      <c r="AIO46" s="202"/>
      <c r="AIP46" s="202"/>
      <c r="AIQ46" s="202"/>
      <c r="AIT46" s="191"/>
      <c r="AIU46" s="191"/>
      <c r="AIV46" s="191"/>
      <c r="AIW46" s="191"/>
      <c r="AJA46" s="202"/>
      <c r="AJB46" s="202"/>
      <c r="AJC46" s="202"/>
      <c r="AJF46" s="191"/>
      <c r="AJG46" s="191"/>
      <c r="AJH46" s="191"/>
      <c r="AJI46" s="191"/>
      <c r="AJM46" s="202"/>
      <c r="AJN46" s="202"/>
      <c r="AJO46" s="202"/>
      <c r="AJR46" s="191"/>
      <c r="AJS46" s="191"/>
      <c r="AJT46" s="191"/>
      <c r="AJU46" s="191"/>
      <c r="AJY46" s="202"/>
      <c r="AJZ46" s="202"/>
      <c r="AKA46" s="202"/>
      <c r="AKD46" s="191"/>
      <c r="AKE46" s="191"/>
      <c r="AKF46" s="191"/>
      <c r="AKG46" s="191"/>
      <c r="AKK46" s="202"/>
      <c r="AKL46" s="202"/>
      <c r="AKM46" s="202"/>
      <c r="AKP46" s="191"/>
      <c r="AKQ46" s="191"/>
      <c r="AKR46" s="191"/>
      <c r="AKS46" s="191"/>
      <c r="AKW46" s="202"/>
      <c r="AKX46" s="202"/>
      <c r="AKY46" s="202"/>
      <c r="ALB46" s="191"/>
      <c r="ALC46" s="191"/>
      <c r="ALD46" s="191"/>
      <c r="ALE46" s="191"/>
      <c r="ALI46" s="202"/>
      <c r="ALJ46" s="202"/>
      <c r="ALK46" s="202"/>
      <c r="ALN46" s="191"/>
      <c r="ALO46" s="191"/>
      <c r="ALP46" s="191"/>
      <c r="ALQ46" s="191"/>
      <c r="ALU46" s="202"/>
      <c r="ALV46" s="202"/>
      <c r="ALW46" s="202"/>
      <c r="ALZ46" s="191"/>
      <c r="AMA46" s="191"/>
      <c r="AMB46" s="191"/>
      <c r="AMC46" s="191"/>
      <c r="AMG46" s="202"/>
      <c r="AMH46" s="202"/>
      <c r="AMI46" s="202"/>
      <c r="AML46" s="191"/>
      <c r="AMM46" s="191"/>
      <c r="AMN46" s="191"/>
      <c r="AMO46" s="191"/>
      <c r="AMS46" s="202"/>
      <c r="AMT46" s="202"/>
      <c r="AMU46" s="202"/>
      <c r="AMX46" s="191"/>
      <c r="AMY46" s="191"/>
      <c r="AMZ46" s="191"/>
      <c r="ANA46" s="191"/>
      <c r="ANE46" s="202"/>
      <c r="ANF46" s="202"/>
      <c r="ANG46" s="202"/>
      <c r="ANJ46" s="191"/>
      <c r="ANK46" s="191"/>
      <c r="ANL46" s="191"/>
      <c r="ANM46" s="191"/>
      <c r="ANQ46" s="202"/>
      <c r="ANR46" s="202"/>
      <c r="ANS46" s="202"/>
      <c r="ANV46" s="191"/>
      <c r="ANW46" s="191"/>
      <c r="ANX46" s="191"/>
      <c r="ANY46" s="191"/>
      <c r="AOC46" s="202"/>
      <c r="AOD46" s="202"/>
      <c r="AOE46" s="202"/>
      <c r="AOH46" s="191"/>
      <c r="AOI46" s="191"/>
      <c r="AOJ46" s="191"/>
      <c r="AOK46" s="191"/>
      <c r="AOO46" s="202"/>
      <c r="AOP46" s="202"/>
      <c r="AOQ46" s="202"/>
      <c r="AOT46" s="191"/>
      <c r="AOU46" s="191"/>
      <c r="AOV46" s="191"/>
      <c r="AOW46" s="191"/>
      <c r="APA46" s="202"/>
      <c r="APB46" s="202"/>
      <c r="APC46" s="202"/>
      <c r="APF46" s="191"/>
      <c r="APG46" s="191"/>
      <c r="APH46" s="191"/>
      <c r="API46" s="191"/>
      <c r="APM46" s="202"/>
      <c r="APN46" s="202"/>
      <c r="APO46" s="202"/>
      <c r="APR46" s="191"/>
      <c r="APS46" s="191"/>
      <c r="APT46" s="191"/>
      <c r="APU46" s="191"/>
      <c r="APY46" s="202"/>
      <c r="APZ46" s="202"/>
      <c r="AQA46" s="202"/>
      <c r="AQD46" s="191"/>
      <c r="AQE46" s="191"/>
      <c r="AQF46" s="191"/>
      <c r="AQG46" s="191"/>
      <c r="AQK46" s="202"/>
      <c r="AQL46" s="202"/>
      <c r="AQM46" s="202"/>
      <c r="AQP46" s="191"/>
      <c r="AQQ46" s="191"/>
      <c r="AQR46" s="191"/>
      <c r="AQS46" s="191"/>
      <c r="AQW46" s="202"/>
      <c r="AQX46" s="202"/>
      <c r="AQY46" s="202"/>
      <c r="ARB46" s="191"/>
      <c r="ARC46" s="191"/>
      <c r="ARD46" s="191"/>
      <c r="ARE46" s="191"/>
      <c r="ARI46" s="202"/>
      <c r="ARJ46" s="202"/>
      <c r="ARK46" s="202"/>
      <c r="ARN46" s="191"/>
      <c r="ARO46" s="191"/>
      <c r="ARP46" s="191"/>
      <c r="ARQ46" s="191"/>
      <c r="ARU46" s="202"/>
      <c r="ARV46" s="202"/>
      <c r="ARW46" s="202"/>
      <c r="ARZ46" s="191"/>
      <c r="ASA46" s="191"/>
      <c r="ASB46" s="191"/>
      <c r="ASC46" s="191"/>
      <c r="ASG46" s="202"/>
      <c r="ASH46" s="202"/>
      <c r="ASI46" s="202"/>
      <c r="ASL46" s="191"/>
      <c r="ASM46" s="191"/>
      <c r="ASN46" s="191"/>
      <c r="ASO46" s="191"/>
      <c r="ASS46" s="202"/>
      <c r="AST46" s="202"/>
      <c r="ASU46" s="202"/>
      <c r="ASX46" s="191"/>
      <c r="ASY46" s="191"/>
      <c r="ASZ46" s="191"/>
      <c r="ATA46" s="191"/>
      <c r="ATE46" s="202"/>
      <c r="ATF46" s="202"/>
      <c r="ATG46" s="202"/>
      <c r="ATJ46" s="191"/>
      <c r="ATK46" s="191"/>
      <c r="ATL46" s="191"/>
      <c r="ATM46" s="191"/>
      <c r="ATQ46" s="202"/>
      <c r="ATR46" s="202"/>
      <c r="ATS46" s="202"/>
      <c r="ATV46" s="191"/>
      <c r="ATW46" s="191"/>
      <c r="ATX46" s="191"/>
      <c r="ATY46" s="191"/>
      <c r="AUC46" s="202"/>
      <c r="AUD46" s="202"/>
      <c r="AUE46" s="202"/>
      <c r="AUH46" s="191"/>
      <c r="AUI46" s="191"/>
      <c r="AUJ46" s="191"/>
      <c r="AUK46" s="191"/>
      <c r="AUO46" s="202"/>
      <c r="AUP46" s="202"/>
      <c r="AUQ46" s="202"/>
      <c r="AUT46" s="191"/>
      <c r="AUU46" s="191"/>
      <c r="AUV46" s="191"/>
      <c r="AUW46" s="191"/>
      <c r="AVA46" s="202"/>
      <c r="AVB46" s="202"/>
      <c r="AVC46" s="202"/>
      <c r="AVF46" s="191"/>
      <c r="AVG46" s="191"/>
      <c r="AVH46" s="191"/>
      <c r="AVI46" s="191"/>
      <c r="AVM46" s="202"/>
      <c r="AVN46" s="202"/>
      <c r="AVO46" s="202"/>
      <c r="AVR46" s="191"/>
      <c r="AVS46" s="191"/>
      <c r="AVT46" s="191"/>
      <c r="AVU46" s="191"/>
      <c r="AVY46" s="202"/>
      <c r="AVZ46" s="202"/>
      <c r="AWA46" s="202"/>
      <c r="AWD46" s="191"/>
      <c r="AWE46" s="191"/>
      <c r="AWF46" s="191"/>
      <c r="AWG46" s="191"/>
      <c r="AWK46" s="202"/>
      <c r="AWL46" s="202"/>
      <c r="AWM46" s="202"/>
      <c r="AWP46" s="191"/>
      <c r="AWQ46" s="191"/>
      <c r="AWR46" s="191"/>
      <c r="AWS46" s="191"/>
      <c r="AWW46" s="202"/>
      <c r="AWX46" s="202"/>
      <c r="AWY46" s="202"/>
      <c r="AXB46" s="191"/>
      <c r="AXC46" s="191"/>
      <c r="AXD46" s="191"/>
      <c r="AXE46" s="191"/>
      <c r="AXI46" s="202"/>
      <c r="AXJ46" s="202"/>
      <c r="AXK46" s="202"/>
      <c r="AXN46" s="191"/>
      <c r="AXO46" s="191"/>
      <c r="AXP46" s="191"/>
      <c r="AXQ46" s="191"/>
      <c r="AXU46" s="202"/>
      <c r="AXV46" s="202"/>
      <c r="AXW46" s="202"/>
      <c r="AXZ46" s="191"/>
      <c r="AYA46" s="191"/>
      <c r="AYB46" s="191"/>
      <c r="AYC46" s="191"/>
      <c r="AYG46" s="202"/>
      <c r="AYH46" s="202"/>
      <c r="AYI46" s="202"/>
      <c r="AYL46" s="191"/>
      <c r="AYM46" s="191"/>
      <c r="AYN46" s="191"/>
      <c r="AYO46" s="191"/>
      <c r="AYS46" s="202"/>
      <c r="AYT46" s="202"/>
      <c r="AYU46" s="202"/>
      <c r="AYX46" s="191"/>
      <c r="AYY46" s="191"/>
      <c r="AYZ46" s="191"/>
      <c r="AZA46" s="191"/>
      <c r="AZE46" s="202"/>
      <c r="AZF46" s="202"/>
      <c r="AZG46" s="202"/>
      <c r="AZJ46" s="191"/>
      <c r="AZK46" s="191"/>
      <c r="AZL46" s="191"/>
      <c r="AZM46" s="191"/>
      <c r="AZQ46" s="202"/>
      <c r="AZR46" s="202"/>
      <c r="AZS46" s="202"/>
      <c r="AZV46" s="191"/>
      <c r="AZW46" s="191"/>
      <c r="AZX46" s="191"/>
      <c r="AZY46" s="191"/>
      <c r="BAC46" s="202"/>
      <c r="BAD46" s="202"/>
      <c r="BAE46" s="202"/>
      <c r="BAH46" s="191"/>
      <c r="BAI46" s="191"/>
      <c r="BAJ46" s="191"/>
      <c r="BAK46" s="191"/>
      <c r="BAO46" s="202"/>
      <c r="BAP46" s="202"/>
      <c r="BAQ46" s="202"/>
      <c r="BAT46" s="191"/>
      <c r="BAU46" s="191"/>
      <c r="BAV46" s="191"/>
      <c r="BAW46" s="191"/>
      <c r="BBA46" s="202"/>
      <c r="BBB46" s="202"/>
      <c r="BBC46" s="202"/>
      <c r="BBF46" s="191"/>
      <c r="BBG46" s="191"/>
      <c r="BBH46" s="191"/>
      <c r="BBI46" s="191"/>
      <c r="BBM46" s="202"/>
      <c r="BBN46" s="202"/>
      <c r="BBO46" s="202"/>
      <c r="BBR46" s="191"/>
      <c r="BBS46" s="191"/>
      <c r="BBT46" s="191"/>
      <c r="BBU46" s="191"/>
      <c r="BBY46" s="202"/>
      <c r="BBZ46" s="202"/>
      <c r="BCA46" s="202"/>
      <c r="BCD46" s="191"/>
      <c r="BCE46" s="191"/>
      <c r="BCF46" s="191"/>
      <c r="BCG46" s="191"/>
      <c r="BCK46" s="202"/>
      <c r="BCL46" s="202"/>
      <c r="BCM46" s="202"/>
      <c r="BCP46" s="191"/>
      <c r="BCQ46" s="191"/>
      <c r="BCR46" s="191"/>
      <c r="BCS46" s="191"/>
      <c r="BCW46" s="202"/>
      <c r="BCX46" s="202"/>
      <c r="BCY46" s="202"/>
      <c r="BDB46" s="191"/>
      <c r="BDC46" s="191"/>
      <c r="BDD46" s="191"/>
      <c r="BDE46" s="191"/>
      <c r="BDI46" s="202"/>
      <c r="BDJ46" s="202"/>
      <c r="BDK46" s="202"/>
      <c r="BDN46" s="191"/>
      <c r="BDO46" s="191"/>
      <c r="BDP46" s="191"/>
      <c r="BDQ46" s="191"/>
      <c r="BDU46" s="202"/>
      <c r="BDV46" s="202"/>
      <c r="BDW46" s="202"/>
      <c r="BDZ46" s="191"/>
      <c r="BEA46" s="191"/>
      <c r="BEB46" s="191"/>
      <c r="BEC46" s="191"/>
      <c r="BEG46" s="202"/>
      <c r="BEH46" s="202"/>
      <c r="BEI46" s="202"/>
      <c r="BEL46" s="191"/>
      <c r="BEM46" s="191"/>
      <c r="BEN46" s="191"/>
      <c r="BEO46" s="191"/>
      <c r="BES46" s="202"/>
      <c r="BET46" s="202"/>
      <c r="BEU46" s="202"/>
      <c r="BEX46" s="191"/>
      <c r="BEY46" s="191"/>
      <c r="BEZ46" s="191"/>
      <c r="BFA46" s="191"/>
      <c r="BFE46" s="202"/>
      <c r="BFF46" s="202"/>
      <c r="BFG46" s="202"/>
      <c r="BFJ46" s="191"/>
      <c r="BFK46" s="191"/>
      <c r="BFL46" s="191"/>
      <c r="BFM46" s="191"/>
      <c r="BFQ46" s="202"/>
      <c r="BFR46" s="202"/>
      <c r="BFS46" s="202"/>
      <c r="BFV46" s="191"/>
      <c r="BFW46" s="191"/>
      <c r="BFX46" s="191"/>
      <c r="BFY46" s="191"/>
      <c r="BGC46" s="202"/>
      <c r="BGD46" s="202"/>
      <c r="BGE46" s="202"/>
      <c r="BGH46" s="191"/>
      <c r="BGI46" s="191"/>
      <c r="BGJ46" s="191"/>
      <c r="BGK46" s="191"/>
      <c r="BGO46" s="202"/>
      <c r="BGP46" s="202"/>
      <c r="BGQ46" s="202"/>
      <c r="BGT46" s="191"/>
      <c r="BGU46" s="191"/>
      <c r="BGV46" s="191"/>
      <c r="BGW46" s="191"/>
      <c r="BHA46" s="202"/>
      <c r="BHB46" s="202"/>
      <c r="BHC46" s="202"/>
      <c r="BHF46" s="191"/>
      <c r="BHG46" s="191"/>
      <c r="BHH46" s="191"/>
      <c r="BHI46" s="191"/>
      <c r="BHM46" s="202"/>
      <c r="BHN46" s="202"/>
      <c r="BHO46" s="202"/>
      <c r="BHR46" s="191"/>
      <c r="BHS46" s="191"/>
      <c r="BHT46" s="191"/>
      <c r="BHU46" s="191"/>
      <c r="BHY46" s="202"/>
      <c r="BHZ46" s="202"/>
      <c r="BIA46" s="202"/>
      <c r="BID46" s="191"/>
      <c r="BIE46" s="191"/>
      <c r="BIF46" s="191"/>
      <c r="BIG46" s="191"/>
      <c r="BIK46" s="202"/>
      <c r="BIL46" s="202"/>
      <c r="BIM46" s="202"/>
      <c r="BIP46" s="191"/>
      <c r="BIQ46" s="191"/>
      <c r="BIR46" s="191"/>
      <c r="BIS46" s="191"/>
      <c r="BIW46" s="202"/>
      <c r="BIX46" s="202"/>
      <c r="BIY46" s="202"/>
      <c r="BJB46" s="191"/>
      <c r="BJC46" s="191"/>
      <c r="BJD46" s="191"/>
      <c r="BJE46" s="191"/>
      <c r="BJI46" s="202"/>
      <c r="BJJ46" s="202"/>
      <c r="BJK46" s="202"/>
      <c r="BJN46" s="191"/>
      <c r="BJO46" s="191"/>
      <c r="BJP46" s="191"/>
      <c r="BJQ46" s="191"/>
      <c r="BJU46" s="202"/>
      <c r="BJV46" s="202"/>
      <c r="BJW46" s="202"/>
      <c r="BJZ46" s="191"/>
      <c r="BKA46" s="191"/>
      <c r="BKB46" s="191"/>
      <c r="BKC46" s="191"/>
      <c r="BKG46" s="202"/>
      <c r="BKH46" s="202"/>
      <c r="BKI46" s="202"/>
      <c r="BKL46" s="191"/>
      <c r="BKM46" s="191"/>
      <c r="BKN46" s="191"/>
      <c r="BKO46" s="191"/>
      <c r="BKS46" s="202"/>
      <c r="BKT46" s="202"/>
      <c r="BKU46" s="202"/>
      <c r="BKX46" s="191"/>
      <c r="BKY46" s="191"/>
      <c r="BKZ46" s="191"/>
      <c r="BLA46" s="191"/>
      <c r="BLE46" s="202"/>
      <c r="BLF46" s="202"/>
      <c r="BLG46" s="202"/>
      <c r="BLJ46" s="191"/>
      <c r="BLK46" s="191"/>
      <c r="BLL46" s="191"/>
      <c r="BLM46" s="191"/>
      <c r="BLQ46" s="202"/>
      <c r="BLR46" s="202"/>
      <c r="BLS46" s="202"/>
      <c r="BLV46" s="191"/>
      <c r="BLW46" s="191"/>
      <c r="BLX46" s="191"/>
      <c r="BLY46" s="191"/>
      <c r="BMC46" s="202"/>
      <c r="BMD46" s="202"/>
      <c r="BME46" s="202"/>
      <c r="BMH46" s="191"/>
      <c r="BMI46" s="191"/>
      <c r="BMJ46" s="191"/>
      <c r="BMK46" s="191"/>
      <c r="BMO46" s="202"/>
      <c r="BMP46" s="202"/>
      <c r="BMQ46" s="202"/>
      <c r="BMT46" s="191"/>
      <c r="BMU46" s="191"/>
      <c r="BMV46" s="191"/>
      <c r="BMW46" s="191"/>
      <c r="BNA46" s="202"/>
      <c r="BNB46" s="202"/>
      <c r="BNC46" s="202"/>
      <c r="BNF46" s="191"/>
      <c r="BNG46" s="191"/>
      <c r="BNH46" s="191"/>
      <c r="BNI46" s="191"/>
      <c r="BNM46" s="202"/>
      <c r="BNN46" s="202"/>
      <c r="BNO46" s="202"/>
      <c r="BNR46" s="191"/>
      <c r="BNS46" s="191"/>
      <c r="BNT46" s="191"/>
      <c r="BNU46" s="191"/>
      <c r="BNY46" s="202"/>
      <c r="BNZ46" s="202"/>
      <c r="BOA46" s="202"/>
      <c r="BOD46" s="191"/>
      <c r="BOE46" s="191"/>
      <c r="BOF46" s="191"/>
      <c r="BOG46" s="191"/>
      <c r="BOK46" s="202"/>
      <c r="BOL46" s="202"/>
      <c r="BOM46" s="202"/>
      <c r="BOP46" s="191"/>
      <c r="BOQ46" s="191"/>
      <c r="BOR46" s="191"/>
      <c r="BOS46" s="191"/>
      <c r="BOW46" s="202"/>
      <c r="BOX46" s="202"/>
      <c r="BOY46" s="202"/>
      <c r="BPB46" s="191"/>
      <c r="BPC46" s="191"/>
      <c r="BPD46" s="191"/>
      <c r="BPE46" s="191"/>
      <c r="BPI46" s="202"/>
      <c r="BPJ46" s="202"/>
      <c r="BPK46" s="202"/>
      <c r="BPN46" s="191"/>
      <c r="BPO46" s="191"/>
      <c r="BPP46" s="191"/>
      <c r="BPQ46" s="191"/>
      <c r="BPU46" s="202"/>
      <c r="BPV46" s="202"/>
      <c r="BPW46" s="202"/>
      <c r="BPZ46" s="191"/>
      <c r="BQA46" s="191"/>
      <c r="BQB46" s="191"/>
      <c r="BQC46" s="191"/>
      <c r="BQG46" s="202"/>
      <c r="BQH46" s="202"/>
      <c r="BQI46" s="202"/>
      <c r="BQL46" s="191"/>
      <c r="BQM46" s="191"/>
      <c r="BQN46" s="191"/>
      <c r="BQO46" s="191"/>
      <c r="BQS46" s="202"/>
      <c r="BQT46" s="202"/>
      <c r="BQU46" s="202"/>
      <c r="BQX46" s="191"/>
      <c r="BQY46" s="191"/>
      <c r="BQZ46" s="191"/>
      <c r="BRA46" s="191"/>
      <c r="BRE46" s="202"/>
      <c r="BRF46" s="202"/>
      <c r="BRG46" s="202"/>
      <c r="BRJ46" s="191"/>
      <c r="BRK46" s="191"/>
      <c r="BRL46" s="191"/>
      <c r="BRM46" s="191"/>
      <c r="BRQ46" s="202"/>
      <c r="BRR46" s="202"/>
      <c r="BRS46" s="202"/>
      <c r="BRV46" s="191"/>
      <c r="BRW46" s="191"/>
      <c r="BRX46" s="191"/>
      <c r="BRY46" s="191"/>
      <c r="BSC46" s="202"/>
      <c r="BSD46" s="202"/>
      <c r="BSE46" s="202"/>
      <c r="BSH46" s="191"/>
      <c r="BSI46" s="191"/>
      <c r="BSJ46" s="191"/>
      <c r="BSK46" s="191"/>
      <c r="BSO46" s="202"/>
      <c r="BSP46" s="202"/>
      <c r="BSQ46" s="202"/>
      <c r="BST46" s="191"/>
      <c r="BSU46" s="191"/>
      <c r="BSV46" s="191"/>
      <c r="BSW46" s="191"/>
      <c r="BTA46" s="202"/>
      <c r="BTB46" s="202"/>
      <c r="BTC46" s="202"/>
      <c r="BTF46" s="191"/>
      <c r="BTG46" s="191"/>
      <c r="BTH46" s="191"/>
      <c r="BTI46" s="191"/>
      <c r="BTM46" s="202"/>
      <c r="BTN46" s="202"/>
      <c r="BTO46" s="202"/>
      <c r="BTR46" s="191"/>
      <c r="BTS46" s="191"/>
      <c r="BTT46" s="191"/>
      <c r="BTU46" s="191"/>
      <c r="BTY46" s="202"/>
      <c r="BTZ46" s="202"/>
      <c r="BUA46" s="202"/>
      <c r="BUD46" s="191"/>
      <c r="BUE46" s="191"/>
      <c r="BUF46" s="191"/>
      <c r="BUG46" s="191"/>
      <c r="BUK46" s="202"/>
      <c r="BUL46" s="202"/>
      <c r="BUM46" s="202"/>
      <c r="BUP46" s="191"/>
      <c r="BUQ46" s="191"/>
      <c r="BUR46" s="191"/>
      <c r="BUS46" s="191"/>
      <c r="BUW46" s="202"/>
      <c r="BUX46" s="202"/>
      <c r="BUY46" s="202"/>
      <c r="BVB46" s="191"/>
      <c r="BVC46" s="191"/>
      <c r="BVD46" s="191"/>
      <c r="BVE46" s="191"/>
      <c r="BVI46" s="202"/>
      <c r="BVJ46" s="202"/>
      <c r="BVK46" s="202"/>
      <c r="BVN46" s="191"/>
      <c r="BVO46" s="191"/>
      <c r="BVP46" s="191"/>
      <c r="BVQ46" s="191"/>
      <c r="BVU46" s="202"/>
      <c r="BVV46" s="202"/>
      <c r="BVW46" s="202"/>
      <c r="BVZ46" s="191"/>
      <c r="BWA46" s="191"/>
      <c r="BWB46" s="191"/>
      <c r="BWC46" s="191"/>
      <c r="BWG46" s="202"/>
      <c r="BWH46" s="202"/>
      <c r="BWI46" s="202"/>
      <c r="BWL46" s="191"/>
      <c r="BWM46" s="191"/>
      <c r="BWN46" s="191"/>
      <c r="BWO46" s="191"/>
      <c r="BWS46" s="202"/>
      <c r="BWT46" s="202"/>
      <c r="BWU46" s="202"/>
      <c r="BWX46" s="191"/>
      <c r="BWY46" s="191"/>
      <c r="BWZ46" s="191"/>
      <c r="BXA46" s="191"/>
      <c r="BXE46" s="202"/>
      <c r="BXF46" s="202"/>
      <c r="BXG46" s="202"/>
      <c r="BXJ46" s="191"/>
      <c r="BXK46" s="191"/>
      <c r="BXL46" s="191"/>
      <c r="BXM46" s="191"/>
      <c r="BXQ46" s="202"/>
      <c r="BXR46" s="202"/>
      <c r="BXS46" s="202"/>
      <c r="BXV46" s="191"/>
      <c r="BXW46" s="191"/>
      <c r="BXX46" s="191"/>
      <c r="BXY46" s="191"/>
      <c r="BYC46" s="202"/>
      <c r="BYD46" s="202"/>
      <c r="BYE46" s="202"/>
      <c r="BYH46" s="191"/>
      <c r="BYI46" s="191"/>
      <c r="BYJ46" s="191"/>
      <c r="BYK46" s="191"/>
      <c r="BYO46" s="202"/>
      <c r="BYP46" s="202"/>
      <c r="BYQ46" s="202"/>
      <c r="BYT46" s="191"/>
      <c r="BYU46" s="191"/>
      <c r="BYV46" s="191"/>
      <c r="BYW46" s="191"/>
      <c r="BZA46" s="202"/>
      <c r="BZB46" s="202"/>
      <c r="BZC46" s="202"/>
      <c r="BZF46" s="191"/>
      <c r="BZG46" s="191"/>
      <c r="BZH46" s="191"/>
      <c r="BZI46" s="191"/>
      <c r="BZM46" s="202"/>
      <c r="BZN46" s="202"/>
      <c r="BZO46" s="202"/>
      <c r="BZR46" s="191"/>
      <c r="BZS46" s="191"/>
      <c r="BZT46" s="191"/>
      <c r="BZU46" s="191"/>
      <c r="BZY46" s="202"/>
      <c r="BZZ46" s="202"/>
      <c r="CAA46" s="202"/>
      <c r="CAD46" s="191"/>
      <c r="CAE46" s="191"/>
      <c r="CAF46" s="191"/>
      <c r="CAG46" s="191"/>
      <c r="CAK46" s="202"/>
      <c r="CAL46" s="202"/>
      <c r="CAM46" s="202"/>
      <c r="CAP46" s="191"/>
      <c r="CAQ46" s="191"/>
      <c r="CAR46" s="191"/>
      <c r="CAS46" s="191"/>
      <c r="CAW46" s="202"/>
      <c r="CAX46" s="202"/>
      <c r="CAY46" s="202"/>
      <c r="CBB46" s="191"/>
      <c r="CBC46" s="191"/>
      <c r="CBD46" s="191"/>
      <c r="CBE46" s="191"/>
      <c r="CBI46" s="202"/>
      <c r="CBJ46" s="202"/>
      <c r="CBK46" s="202"/>
      <c r="CBN46" s="191"/>
      <c r="CBO46" s="191"/>
      <c r="CBP46" s="191"/>
      <c r="CBQ46" s="191"/>
      <c r="CBU46" s="202"/>
      <c r="CBV46" s="202"/>
      <c r="CBW46" s="202"/>
      <c r="CBZ46" s="191"/>
      <c r="CCA46" s="191"/>
      <c r="CCB46" s="191"/>
      <c r="CCC46" s="191"/>
      <c r="CCG46" s="202"/>
      <c r="CCH46" s="202"/>
      <c r="CCI46" s="202"/>
      <c r="CCL46" s="191"/>
      <c r="CCM46" s="191"/>
      <c r="CCN46" s="191"/>
      <c r="CCO46" s="191"/>
      <c r="CCS46" s="202"/>
      <c r="CCT46" s="202"/>
      <c r="CCU46" s="202"/>
      <c r="CCX46" s="191"/>
      <c r="CCY46" s="191"/>
      <c r="CCZ46" s="191"/>
      <c r="CDA46" s="191"/>
      <c r="CDE46" s="202"/>
      <c r="CDF46" s="202"/>
      <c r="CDG46" s="202"/>
      <c r="CDJ46" s="191"/>
      <c r="CDK46" s="191"/>
      <c r="CDL46" s="191"/>
      <c r="CDM46" s="191"/>
      <c r="CDQ46" s="202"/>
      <c r="CDR46" s="202"/>
      <c r="CDS46" s="202"/>
      <c r="CDV46" s="191"/>
      <c r="CDW46" s="191"/>
      <c r="CDX46" s="191"/>
      <c r="CDY46" s="191"/>
      <c r="CEC46" s="202"/>
      <c r="CED46" s="202"/>
      <c r="CEE46" s="202"/>
      <c r="CEH46" s="191"/>
      <c r="CEI46" s="191"/>
      <c r="CEJ46" s="191"/>
      <c r="CEK46" s="191"/>
      <c r="CEO46" s="202"/>
      <c r="CEP46" s="202"/>
      <c r="CEQ46" s="202"/>
      <c r="CET46" s="191"/>
      <c r="CEU46" s="191"/>
      <c r="CEV46" s="191"/>
      <c r="CEW46" s="191"/>
      <c r="CFA46" s="202"/>
      <c r="CFB46" s="202"/>
      <c r="CFC46" s="202"/>
      <c r="CFF46" s="191"/>
      <c r="CFG46" s="191"/>
      <c r="CFH46" s="191"/>
      <c r="CFI46" s="191"/>
      <c r="CFM46" s="202"/>
      <c r="CFN46" s="202"/>
      <c r="CFO46" s="202"/>
      <c r="CFR46" s="191"/>
      <c r="CFS46" s="191"/>
      <c r="CFT46" s="191"/>
      <c r="CFU46" s="191"/>
      <c r="CFY46" s="202"/>
      <c r="CFZ46" s="202"/>
      <c r="CGA46" s="202"/>
      <c r="CGD46" s="191"/>
      <c r="CGE46" s="191"/>
      <c r="CGF46" s="191"/>
      <c r="CGG46" s="191"/>
      <c r="CGK46" s="202"/>
      <c r="CGL46" s="202"/>
      <c r="CGM46" s="202"/>
      <c r="CGP46" s="191"/>
      <c r="CGQ46" s="191"/>
      <c r="CGR46" s="191"/>
      <c r="CGS46" s="191"/>
      <c r="CGW46" s="202"/>
      <c r="CGX46" s="202"/>
      <c r="CGY46" s="202"/>
      <c r="CHB46" s="191"/>
      <c r="CHC46" s="191"/>
      <c r="CHD46" s="191"/>
      <c r="CHE46" s="191"/>
      <c r="CHI46" s="202"/>
      <c r="CHJ46" s="202"/>
      <c r="CHK46" s="202"/>
      <c r="CHN46" s="191"/>
      <c r="CHO46" s="191"/>
      <c r="CHP46" s="191"/>
      <c r="CHQ46" s="191"/>
      <c r="CHU46" s="202"/>
      <c r="CHV46" s="202"/>
      <c r="CHW46" s="202"/>
      <c r="CHZ46" s="191"/>
      <c r="CIA46" s="191"/>
      <c r="CIB46" s="191"/>
      <c r="CIC46" s="191"/>
      <c r="CIG46" s="202"/>
      <c r="CIH46" s="202"/>
      <c r="CII46" s="202"/>
      <c r="CIL46" s="191"/>
      <c r="CIM46" s="191"/>
      <c r="CIN46" s="191"/>
      <c r="CIO46" s="191"/>
      <c r="CIS46" s="202"/>
      <c r="CIT46" s="202"/>
      <c r="CIU46" s="202"/>
      <c r="CIX46" s="191"/>
      <c r="CIY46" s="191"/>
      <c r="CIZ46" s="191"/>
      <c r="CJA46" s="191"/>
      <c r="CJE46" s="202"/>
      <c r="CJF46" s="202"/>
      <c r="CJG46" s="202"/>
      <c r="CJJ46" s="191"/>
      <c r="CJK46" s="191"/>
      <c r="CJL46" s="191"/>
      <c r="CJM46" s="191"/>
      <c r="CJQ46" s="202"/>
      <c r="CJR46" s="202"/>
      <c r="CJS46" s="202"/>
      <c r="CJV46" s="191"/>
      <c r="CJW46" s="191"/>
      <c r="CJX46" s="191"/>
      <c r="CJY46" s="191"/>
      <c r="CKC46" s="202"/>
      <c r="CKD46" s="202"/>
      <c r="CKE46" s="202"/>
      <c r="CKH46" s="191"/>
      <c r="CKI46" s="191"/>
      <c r="CKJ46" s="191"/>
      <c r="CKK46" s="191"/>
      <c r="CKO46" s="202"/>
      <c r="CKP46" s="202"/>
      <c r="CKQ46" s="202"/>
      <c r="CKT46" s="191"/>
      <c r="CKU46" s="191"/>
      <c r="CKV46" s="191"/>
      <c r="CKW46" s="191"/>
      <c r="CLA46" s="202"/>
      <c r="CLB46" s="202"/>
      <c r="CLC46" s="202"/>
      <c r="CLF46" s="191"/>
      <c r="CLG46" s="191"/>
      <c r="CLH46" s="191"/>
      <c r="CLI46" s="191"/>
      <c r="CLM46" s="202"/>
      <c r="CLN46" s="202"/>
      <c r="CLO46" s="202"/>
      <c r="CLR46" s="191"/>
      <c r="CLS46" s="191"/>
      <c r="CLT46" s="191"/>
      <c r="CLU46" s="191"/>
      <c r="CLY46" s="202"/>
      <c r="CLZ46" s="202"/>
      <c r="CMA46" s="202"/>
      <c r="CMD46" s="191"/>
      <c r="CME46" s="191"/>
      <c r="CMF46" s="191"/>
      <c r="CMG46" s="191"/>
      <c r="CMK46" s="202"/>
      <c r="CML46" s="202"/>
      <c r="CMM46" s="202"/>
      <c r="CMP46" s="191"/>
      <c r="CMQ46" s="191"/>
      <c r="CMR46" s="191"/>
      <c r="CMS46" s="191"/>
      <c r="CMW46" s="202"/>
      <c r="CMX46" s="202"/>
      <c r="CMY46" s="202"/>
      <c r="CNB46" s="191"/>
      <c r="CNC46" s="191"/>
      <c r="CND46" s="191"/>
      <c r="CNE46" s="191"/>
      <c r="CNI46" s="202"/>
      <c r="CNJ46" s="202"/>
      <c r="CNK46" s="202"/>
      <c r="CNN46" s="191"/>
      <c r="CNO46" s="191"/>
      <c r="CNP46" s="191"/>
      <c r="CNQ46" s="191"/>
      <c r="CNU46" s="202"/>
      <c r="CNV46" s="202"/>
      <c r="CNW46" s="202"/>
      <c r="CNZ46" s="191"/>
      <c r="COA46" s="191"/>
      <c r="COB46" s="191"/>
      <c r="COC46" s="191"/>
      <c r="COG46" s="202"/>
      <c r="COH46" s="202"/>
      <c r="COI46" s="202"/>
      <c r="COL46" s="191"/>
      <c r="COM46" s="191"/>
      <c r="CON46" s="191"/>
      <c r="COO46" s="191"/>
      <c r="COS46" s="202"/>
      <c r="COT46" s="202"/>
      <c r="COU46" s="202"/>
      <c r="COX46" s="191"/>
      <c r="COY46" s="191"/>
      <c r="COZ46" s="191"/>
      <c r="CPA46" s="191"/>
      <c r="CPE46" s="202"/>
      <c r="CPF46" s="202"/>
      <c r="CPG46" s="202"/>
      <c r="CPJ46" s="191"/>
      <c r="CPK46" s="191"/>
      <c r="CPL46" s="191"/>
      <c r="CPM46" s="191"/>
      <c r="CPQ46" s="202"/>
      <c r="CPR46" s="202"/>
      <c r="CPS46" s="202"/>
      <c r="CPV46" s="191"/>
      <c r="CPW46" s="191"/>
      <c r="CPX46" s="191"/>
      <c r="CPY46" s="191"/>
      <c r="CQC46" s="202"/>
      <c r="CQD46" s="202"/>
      <c r="CQE46" s="202"/>
      <c r="CQH46" s="191"/>
      <c r="CQI46" s="191"/>
      <c r="CQJ46" s="191"/>
      <c r="CQK46" s="191"/>
      <c r="CQO46" s="202"/>
      <c r="CQP46" s="202"/>
      <c r="CQQ46" s="202"/>
      <c r="CQT46" s="191"/>
      <c r="CQU46" s="191"/>
      <c r="CQV46" s="191"/>
      <c r="CQW46" s="191"/>
      <c r="CRA46" s="202"/>
      <c r="CRB46" s="202"/>
      <c r="CRC46" s="202"/>
      <c r="CRF46" s="191"/>
      <c r="CRG46" s="191"/>
      <c r="CRH46" s="191"/>
      <c r="CRI46" s="191"/>
      <c r="CRM46" s="202"/>
      <c r="CRN46" s="202"/>
      <c r="CRO46" s="202"/>
      <c r="CRR46" s="191"/>
      <c r="CRS46" s="191"/>
      <c r="CRT46" s="191"/>
      <c r="CRU46" s="191"/>
      <c r="CRY46" s="202"/>
      <c r="CRZ46" s="202"/>
      <c r="CSA46" s="202"/>
      <c r="CSD46" s="191"/>
      <c r="CSE46" s="191"/>
      <c r="CSF46" s="191"/>
      <c r="CSG46" s="191"/>
      <c r="CSK46" s="202"/>
      <c r="CSL46" s="202"/>
      <c r="CSM46" s="202"/>
      <c r="CSP46" s="191"/>
      <c r="CSQ46" s="191"/>
      <c r="CSR46" s="191"/>
      <c r="CSS46" s="191"/>
      <c r="CSW46" s="202"/>
      <c r="CSX46" s="202"/>
      <c r="CSY46" s="202"/>
      <c r="CTB46" s="191"/>
      <c r="CTC46" s="191"/>
      <c r="CTD46" s="191"/>
      <c r="CTE46" s="191"/>
      <c r="CTI46" s="202"/>
      <c r="CTJ46" s="202"/>
      <c r="CTK46" s="202"/>
      <c r="CTN46" s="191"/>
      <c r="CTO46" s="191"/>
      <c r="CTP46" s="191"/>
      <c r="CTQ46" s="191"/>
      <c r="CTU46" s="202"/>
      <c r="CTV46" s="202"/>
      <c r="CTW46" s="202"/>
      <c r="CTZ46" s="191"/>
      <c r="CUA46" s="191"/>
      <c r="CUB46" s="191"/>
      <c r="CUC46" s="191"/>
      <c r="CUG46" s="202"/>
      <c r="CUH46" s="202"/>
      <c r="CUI46" s="202"/>
      <c r="CUL46" s="191"/>
      <c r="CUM46" s="191"/>
      <c r="CUN46" s="191"/>
      <c r="CUO46" s="191"/>
      <c r="CUS46" s="202"/>
      <c r="CUT46" s="202"/>
      <c r="CUU46" s="202"/>
      <c r="CUX46" s="191"/>
      <c r="CUY46" s="191"/>
      <c r="CUZ46" s="191"/>
      <c r="CVA46" s="191"/>
      <c r="CVE46" s="202"/>
      <c r="CVF46" s="202"/>
      <c r="CVG46" s="202"/>
      <c r="CVJ46" s="191"/>
      <c r="CVK46" s="191"/>
      <c r="CVL46" s="191"/>
      <c r="CVM46" s="191"/>
      <c r="CVQ46" s="202"/>
      <c r="CVR46" s="202"/>
      <c r="CVS46" s="202"/>
      <c r="CVV46" s="191"/>
      <c r="CVW46" s="191"/>
      <c r="CVX46" s="191"/>
      <c r="CVY46" s="191"/>
      <c r="CWC46" s="202"/>
      <c r="CWD46" s="202"/>
      <c r="CWE46" s="202"/>
    </row>
    <row r="47" spans="2:1023 1026:2631" ht="7.5" customHeight="1" x14ac:dyDescent="0.25">
      <c r="B47" s="209"/>
      <c r="C47" s="192"/>
      <c r="D47" s="192"/>
      <c r="E47" s="192"/>
      <c r="F47" s="192"/>
      <c r="G47" s="192"/>
      <c r="H47" s="192"/>
      <c r="I47" s="192"/>
      <c r="J47" s="192"/>
      <c r="K47" s="210"/>
      <c r="L47" s="211"/>
      <c r="P47" s="209"/>
      <c r="Q47" s="192"/>
      <c r="R47" s="192"/>
      <c r="S47" s="192"/>
      <c r="T47" s="192"/>
      <c r="U47" s="192"/>
      <c r="V47" s="192"/>
      <c r="W47" s="192"/>
      <c r="X47" s="192"/>
      <c r="Y47" s="210"/>
      <c r="Z47" s="211"/>
      <c r="AD47" s="209"/>
      <c r="AE47" s="192"/>
      <c r="AF47" s="192"/>
      <c r="AG47" s="192"/>
      <c r="AH47" s="192"/>
      <c r="AI47" s="192"/>
      <c r="AJ47" s="192"/>
      <c r="AK47" s="192"/>
      <c r="AL47" s="192"/>
      <c r="AM47" s="210"/>
      <c r="AN47" s="211"/>
      <c r="AR47" s="209"/>
      <c r="AS47" s="192"/>
      <c r="AT47" s="192"/>
      <c r="AU47" s="192"/>
      <c r="AV47" s="192"/>
      <c r="AW47" s="192"/>
      <c r="AX47" s="192"/>
      <c r="AY47" s="192"/>
      <c r="AZ47" s="192"/>
      <c r="BA47" s="210"/>
      <c r="BB47" s="211"/>
      <c r="BF47" s="209"/>
      <c r="BG47" s="192"/>
      <c r="BH47" s="192"/>
      <c r="BI47" s="192"/>
      <c r="BJ47" s="192"/>
      <c r="BK47" s="192"/>
      <c r="BL47" s="192"/>
      <c r="BM47" s="192"/>
      <c r="BN47" s="192"/>
      <c r="BO47" s="210"/>
      <c r="BP47" s="211"/>
      <c r="BT47" s="209"/>
      <c r="BU47" s="192"/>
      <c r="BV47" s="192"/>
      <c r="BW47" s="192"/>
      <c r="BX47" s="192"/>
      <c r="BY47" s="192"/>
      <c r="BZ47" s="192"/>
      <c r="CA47" s="192"/>
      <c r="CB47" s="192"/>
      <c r="CC47" s="210"/>
      <c r="CD47" s="211"/>
      <c r="CH47" s="209"/>
      <c r="CI47" s="192"/>
      <c r="CJ47" s="192"/>
      <c r="CK47" s="192"/>
      <c r="CL47" s="192"/>
      <c r="CM47" s="192"/>
      <c r="CN47" s="192"/>
      <c r="CO47" s="192"/>
      <c r="CP47" s="192"/>
      <c r="CQ47" s="210"/>
      <c r="CR47" s="211"/>
      <c r="CV47" s="209"/>
      <c r="CW47" s="192"/>
      <c r="CX47" s="192"/>
      <c r="CY47" s="192"/>
      <c r="CZ47" s="192"/>
      <c r="DA47" s="192"/>
      <c r="DB47" s="192"/>
      <c r="DC47" s="192"/>
      <c r="DD47" s="192"/>
      <c r="DE47" s="210"/>
      <c r="DF47" s="211"/>
      <c r="DJ47" s="209"/>
      <c r="DK47" s="192"/>
      <c r="DL47" s="192"/>
      <c r="DM47" s="192"/>
      <c r="DN47" s="192"/>
      <c r="DO47" s="192"/>
      <c r="DP47" s="192"/>
      <c r="DQ47" s="192"/>
      <c r="DR47" s="192"/>
      <c r="DS47" s="210"/>
      <c r="DT47" s="211"/>
      <c r="DX47" s="209"/>
      <c r="DY47" s="192"/>
      <c r="DZ47" s="192"/>
      <c r="EA47" s="192"/>
      <c r="EB47" s="192"/>
      <c r="EC47" s="192"/>
      <c r="ED47" s="192"/>
      <c r="EE47" s="192"/>
      <c r="EF47" s="192"/>
      <c r="EG47" s="210"/>
      <c r="EH47" s="211"/>
      <c r="EL47" s="209"/>
      <c r="EM47" s="192"/>
      <c r="EN47" s="192"/>
      <c r="EO47" s="192"/>
      <c r="EP47" s="192"/>
      <c r="EQ47" s="192"/>
      <c r="ER47" s="192"/>
      <c r="ES47" s="192"/>
      <c r="ET47" s="192"/>
      <c r="EU47" s="210"/>
      <c r="EV47" s="211"/>
      <c r="EZ47" s="209"/>
      <c r="FA47" s="192"/>
      <c r="FB47" s="192"/>
      <c r="FC47" s="192"/>
      <c r="FD47" s="192"/>
      <c r="FE47" s="192"/>
      <c r="FF47" s="192"/>
      <c r="FG47" s="192"/>
      <c r="FH47" s="192"/>
      <c r="FI47" s="210"/>
      <c r="FJ47" s="211"/>
      <c r="FN47" s="209"/>
      <c r="FO47" s="192"/>
      <c r="FP47" s="192"/>
      <c r="FQ47" s="192"/>
      <c r="FR47" s="192"/>
      <c r="FS47" s="192"/>
      <c r="FT47" s="192"/>
      <c r="FU47" s="192"/>
      <c r="FV47" s="192"/>
      <c r="FW47" s="210"/>
      <c r="FX47" s="211"/>
      <c r="GB47" s="209"/>
      <c r="GC47" s="192"/>
      <c r="GD47" s="192"/>
      <c r="GE47" s="192"/>
      <c r="GF47" s="192"/>
      <c r="GG47" s="192"/>
      <c r="GH47" s="192"/>
      <c r="GI47" s="192"/>
      <c r="GJ47" s="192"/>
      <c r="GK47" s="210"/>
      <c r="GL47" s="211"/>
      <c r="GP47" s="209"/>
      <c r="GQ47" s="192"/>
      <c r="GR47" s="192"/>
      <c r="GS47" s="192"/>
      <c r="GT47" s="192"/>
      <c r="GU47" s="192"/>
      <c r="GV47" s="192"/>
      <c r="GW47" s="192"/>
      <c r="GX47" s="192"/>
      <c r="GY47" s="210"/>
      <c r="GZ47" s="211"/>
      <c r="HD47" s="209"/>
      <c r="HE47" s="192"/>
      <c r="HF47" s="192"/>
      <c r="HG47" s="192"/>
      <c r="HH47" s="192"/>
      <c r="HI47" s="192"/>
      <c r="HJ47" s="192"/>
      <c r="HK47" s="192"/>
      <c r="HL47" s="192"/>
      <c r="HM47" s="210"/>
      <c r="HN47" s="211"/>
      <c r="HR47" s="209"/>
      <c r="HS47" s="192"/>
      <c r="HT47" s="192"/>
      <c r="HU47" s="192"/>
      <c r="HV47" s="192"/>
      <c r="HW47" s="192"/>
      <c r="HX47" s="192"/>
      <c r="HY47" s="192"/>
      <c r="HZ47" s="192"/>
      <c r="IA47" s="210"/>
      <c r="IB47" s="211"/>
      <c r="IF47" s="209"/>
      <c r="IG47" s="192"/>
      <c r="IH47" s="192"/>
      <c r="II47" s="192"/>
      <c r="IJ47" s="192"/>
      <c r="IK47" s="192"/>
      <c r="IL47" s="192"/>
      <c r="IM47" s="192"/>
      <c r="IN47" s="192"/>
      <c r="IO47" s="210"/>
      <c r="IP47" s="211"/>
      <c r="IT47" s="209"/>
      <c r="IU47" s="192"/>
      <c r="IV47" s="192"/>
      <c r="IW47" s="192"/>
      <c r="IX47" s="192"/>
      <c r="IY47" s="192"/>
      <c r="IZ47" s="192"/>
      <c r="JA47" s="192"/>
      <c r="JB47" s="192"/>
      <c r="JC47" s="210"/>
      <c r="JD47" s="211"/>
      <c r="JH47" s="209"/>
      <c r="JI47" s="192"/>
      <c r="JJ47" s="192"/>
      <c r="JK47" s="192"/>
      <c r="JL47" s="192"/>
      <c r="JM47" s="192"/>
      <c r="JN47" s="192"/>
      <c r="JO47" s="192"/>
      <c r="JP47" s="192"/>
      <c r="JQ47" s="210"/>
      <c r="JR47" s="211"/>
      <c r="JV47" s="209"/>
      <c r="JW47" s="192"/>
      <c r="JX47" s="192"/>
      <c r="JY47" s="192"/>
      <c r="JZ47" s="192"/>
      <c r="KA47" s="192"/>
      <c r="KB47" s="192"/>
      <c r="KC47" s="192"/>
      <c r="KD47" s="192"/>
      <c r="KE47" s="210"/>
      <c r="KF47" s="211"/>
      <c r="KJ47" s="209"/>
      <c r="KK47" s="192"/>
      <c r="KL47" s="192"/>
      <c r="KM47" s="192"/>
      <c r="KN47" s="192"/>
      <c r="KO47" s="192"/>
      <c r="KP47" s="192"/>
      <c r="KQ47" s="192"/>
      <c r="KR47" s="192"/>
      <c r="KS47" s="210"/>
      <c r="KT47" s="211"/>
      <c r="KX47" s="209"/>
      <c r="KY47" s="192"/>
      <c r="KZ47" s="192"/>
      <c r="LA47" s="192"/>
      <c r="LB47" s="192"/>
      <c r="LC47" s="192"/>
      <c r="LD47" s="192"/>
      <c r="LE47" s="192"/>
      <c r="LF47" s="192"/>
      <c r="LG47" s="210"/>
      <c r="LH47" s="211"/>
      <c r="LL47" s="209"/>
      <c r="LM47" s="192"/>
      <c r="LN47" s="192"/>
      <c r="LO47" s="192"/>
      <c r="LP47" s="192"/>
      <c r="LQ47" s="192"/>
      <c r="LR47" s="192"/>
      <c r="LS47" s="192"/>
      <c r="LT47" s="192"/>
      <c r="LU47" s="210"/>
      <c r="LV47" s="211"/>
      <c r="LZ47" s="209"/>
      <c r="MA47" s="192"/>
      <c r="MB47" s="192"/>
      <c r="MC47" s="192"/>
      <c r="MD47" s="192"/>
      <c r="ME47" s="192"/>
      <c r="MF47" s="192"/>
      <c r="MG47" s="192"/>
      <c r="MH47" s="192"/>
      <c r="MI47" s="210"/>
      <c r="MJ47" s="211"/>
      <c r="MN47" s="209"/>
      <c r="MO47" s="192"/>
      <c r="MP47" s="192"/>
      <c r="MQ47" s="192"/>
      <c r="MR47" s="192"/>
      <c r="MS47" s="192"/>
      <c r="MT47" s="192"/>
      <c r="MU47" s="192"/>
      <c r="MV47" s="192"/>
      <c r="MW47" s="210"/>
      <c r="MX47" s="211"/>
      <c r="NB47" s="209"/>
      <c r="NC47" s="192"/>
      <c r="ND47" s="192"/>
      <c r="NE47" s="192"/>
      <c r="NF47" s="192"/>
      <c r="NG47" s="192"/>
      <c r="NH47" s="192"/>
      <c r="NI47" s="192"/>
      <c r="NJ47" s="192"/>
      <c r="NK47" s="210"/>
      <c r="NL47" s="211"/>
      <c r="NP47" s="209"/>
      <c r="NQ47" s="192"/>
      <c r="NR47" s="192"/>
      <c r="NS47" s="192"/>
      <c r="NT47" s="192"/>
      <c r="NU47" s="192"/>
      <c r="NV47" s="192"/>
      <c r="NW47" s="192"/>
      <c r="NX47" s="192"/>
      <c r="NY47" s="210"/>
      <c r="NZ47" s="211"/>
      <c r="OD47" s="209"/>
      <c r="OE47" s="192"/>
      <c r="OF47" s="192"/>
      <c r="OG47" s="192"/>
      <c r="OH47" s="192"/>
      <c r="OI47" s="192"/>
      <c r="OJ47" s="192"/>
      <c r="OK47" s="192"/>
      <c r="OL47" s="192"/>
      <c r="OM47" s="210"/>
      <c r="ON47" s="211"/>
      <c r="OR47" s="209"/>
      <c r="OS47" s="192"/>
      <c r="OT47" s="192"/>
      <c r="OU47" s="192"/>
      <c r="OV47" s="192"/>
      <c r="OW47" s="192"/>
      <c r="OX47" s="192"/>
      <c r="OY47" s="192"/>
      <c r="OZ47" s="192"/>
      <c r="PA47" s="210"/>
      <c r="PB47" s="211"/>
      <c r="PF47" s="209"/>
      <c r="PG47" s="192"/>
      <c r="PH47" s="192"/>
      <c r="PI47" s="192"/>
      <c r="PJ47" s="192"/>
      <c r="PK47" s="192"/>
      <c r="PL47" s="192"/>
      <c r="PM47" s="192"/>
      <c r="PN47" s="192"/>
      <c r="PO47" s="210"/>
      <c r="PP47" s="211"/>
      <c r="PT47" s="209"/>
      <c r="PU47" s="192"/>
      <c r="PV47" s="192"/>
      <c r="PW47" s="192"/>
      <c r="PX47" s="192"/>
      <c r="PY47" s="192"/>
      <c r="PZ47" s="192"/>
      <c r="QA47" s="192"/>
      <c r="QB47" s="192"/>
      <c r="QC47" s="210"/>
      <c r="QD47" s="211"/>
      <c r="QH47" s="209"/>
      <c r="QI47" s="192"/>
      <c r="QJ47" s="192"/>
      <c r="QK47" s="192"/>
      <c r="QL47" s="192"/>
      <c r="QM47" s="192"/>
      <c r="QN47" s="192"/>
      <c r="QO47" s="192"/>
      <c r="QP47" s="192"/>
      <c r="QQ47" s="210"/>
      <c r="QR47" s="211"/>
      <c r="QV47" s="209"/>
      <c r="QW47" s="192"/>
      <c r="QX47" s="192"/>
      <c r="QY47" s="192"/>
      <c r="QZ47" s="192"/>
      <c r="RA47" s="192"/>
      <c r="RB47" s="192"/>
      <c r="RC47" s="192"/>
      <c r="RD47" s="192"/>
      <c r="RE47" s="210"/>
      <c r="RF47" s="211"/>
      <c r="RJ47" s="209"/>
      <c r="RK47" s="192"/>
      <c r="RL47" s="192"/>
      <c r="RM47" s="192"/>
      <c r="RN47" s="192"/>
      <c r="RO47" s="192"/>
      <c r="RP47" s="192"/>
      <c r="RQ47" s="192"/>
      <c r="RR47" s="192"/>
      <c r="RS47" s="210"/>
      <c r="RT47" s="211"/>
      <c r="RX47" s="209"/>
      <c r="RY47" s="192"/>
      <c r="RZ47" s="192"/>
      <c r="SA47" s="192"/>
      <c r="SB47" s="192"/>
      <c r="SC47" s="192"/>
      <c r="SD47" s="192"/>
      <c r="SE47" s="192"/>
      <c r="SF47" s="192"/>
      <c r="SG47" s="210"/>
      <c r="SH47" s="211"/>
      <c r="SL47" s="209"/>
      <c r="SM47" s="192"/>
      <c r="SN47" s="192"/>
      <c r="SO47" s="192"/>
      <c r="SP47" s="192"/>
      <c r="SQ47" s="192"/>
      <c r="SR47" s="192"/>
      <c r="SS47" s="192"/>
      <c r="ST47" s="192"/>
      <c r="SU47" s="210"/>
      <c r="SV47" s="211"/>
      <c r="SZ47" s="209"/>
      <c r="TA47" s="192"/>
      <c r="TB47" s="192"/>
      <c r="TC47" s="192"/>
      <c r="TD47" s="192"/>
      <c r="TE47" s="192"/>
      <c r="TF47" s="192"/>
      <c r="TG47" s="192"/>
      <c r="TH47" s="192"/>
      <c r="TI47" s="210"/>
      <c r="TJ47" s="211"/>
      <c r="TN47" s="209"/>
      <c r="TO47" s="192"/>
      <c r="TP47" s="192"/>
      <c r="TQ47" s="192"/>
      <c r="TR47" s="192"/>
      <c r="TS47" s="192"/>
      <c r="TT47" s="192"/>
      <c r="TU47" s="192"/>
      <c r="TV47" s="192"/>
      <c r="TW47" s="210"/>
      <c r="TX47" s="211"/>
      <c r="UB47" s="209"/>
      <c r="UC47" s="192"/>
      <c r="UD47" s="192"/>
      <c r="UE47" s="192"/>
      <c r="UF47" s="192"/>
      <c r="UG47" s="192"/>
      <c r="UH47" s="192"/>
      <c r="UI47" s="192"/>
      <c r="UJ47" s="192"/>
      <c r="UK47" s="210"/>
      <c r="UL47" s="211"/>
      <c r="UP47" s="209"/>
      <c r="UQ47" s="192"/>
      <c r="UR47" s="192"/>
      <c r="US47" s="192"/>
      <c r="UT47" s="192"/>
      <c r="UU47" s="192"/>
      <c r="UV47" s="192"/>
      <c r="UW47" s="192"/>
      <c r="UX47" s="192"/>
      <c r="UY47" s="210"/>
      <c r="UZ47" s="211"/>
      <c r="VD47" s="209"/>
      <c r="VE47" s="192"/>
      <c r="VF47" s="192"/>
      <c r="VG47" s="192"/>
      <c r="VH47" s="192"/>
      <c r="VI47" s="192"/>
      <c r="VJ47" s="192"/>
      <c r="VK47" s="192"/>
      <c r="VL47" s="192"/>
      <c r="VM47" s="210"/>
      <c r="VN47" s="211"/>
      <c r="VR47" s="209"/>
      <c r="VS47" s="192"/>
      <c r="VT47" s="192"/>
      <c r="VU47" s="192"/>
      <c r="VV47" s="192"/>
      <c r="VW47" s="192"/>
      <c r="VX47" s="192"/>
      <c r="VY47" s="192"/>
      <c r="VZ47" s="192"/>
      <c r="WA47" s="210"/>
      <c r="WB47" s="211"/>
      <c r="WF47" s="209"/>
      <c r="WG47" s="192"/>
      <c r="WH47" s="192"/>
      <c r="WI47" s="192"/>
      <c r="WJ47" s="192"/>
      <c r="WK47" s="192"/>
      <c r="WL47" s="192"/>
      <c r="WM47" s="192"/>
      <c r="WN47" s="192"/>
      <c r="WO47" s="210"/>
      <c r="WP47" s="211"/>
      <c r="WT47" s="209"/>
      <c r="WU47" s="192"/>
      <c r="WV47" s="192"/>
      <c r="WW47" s="192"/>
      <c r="WX47" s="192"/>
      <c r="WY47" s="192"/>
      <c r="WZ47" s="192"/>
      <c r="XA47" s="192"/>
      <c r="XB47" s="192"/>
      <c r="XC47" s="210"/>
      <c r="XD47" s="211"/>
      <c r="XH47" s="209"/>
      <c r="XI47" s="192"/>
      <c r="XJ47" s="192"/>
      <c r="XK47" s="192"/>
      <c r="XL47" s="192"/>
      <c r="XM47" s="192"/>
      <c r="XN47" s="192"/>
      <c r="XO47" s="192"/>
      <c r="XP47" s="192"/>
      <c r="XQ47" s="210"/>
      <c r="XR47" s="211"/>
      <c r="XV47" s="209"/>
      <c r="XW47" s="192"/>
      <c r="XX47" s="192"/>
      <c r="XY47" s="192"/>
      <c r="XZ47" s="192"/>
      <c r="YA47" s="192"/>
      <c r="YB47" s="192"/>
      <c r="YC47" s="192"/>
      <c r="YD47" s="192"/>
      <c r="YE47" s="210"/>
      <c r="YF47" s="211"/>
      <c r="YJ47" s="209"/>
      <c r="YK47" s="192"/>
      <c r="YL47" s="192"/>
      <c r="YM47" s="192"/>
      <c r="YN47" s="192"/>
      <c r="YO47" s="192"/>
      <c r="YP47" s="192"/>
      <c r="YQ47" s="192"/>
      <c r="YR47" s="192"/>
      <c r="YS47" s="210"/>
      <c r="YT47" s="211"/>
      <c r="YX47" s="209"/>
      <c r="YY47" s="192"/>
      <c r="YZ47" s="192"/>
      <c r="ZA47" s="192"/>
      <c r="ZB47" s="192"/>
      <c r="ZC47" s="192"/>
      <c r="ZD47" s="192"/>
      <c r="ZE47" s="192"/>
      <c r="ZF47" s="192"/>
      <c r="ZG47" s="210"/>
      <c r="ZH47" s="211"/>
      <c r="ZL47" s="209"/>
      <c r="ZM47" s="192"/>
      <c r="ZN47" s="192"/>
      <c r="ZO47" s="192"/>
      <c r="ZP47" s="192"/>
      <c r="ZQ47" s="192"/>
      <c r="ZR47" s="192"/>
      <c r="ZS47" s="192"/>
      <c r="ZT47" s="192"/>
      <c r="ZU47" s="210"/>
      <c r="ZV47" s="211"/>
      <c r="ZY47" s="4"/>
      <c r="ZZ47" s="85"/>
      <c r="AAA47" s="85"/>
      <c r="AAB47" s="85"/>
      <c r="AAC47" s="85"/>
      <c r="AAL47" s="4"/>
      <c r="AAM47" s="85"/>
      <c r="AAN47" s="85"/>
      <c r="AAO47" s="85"/>
      <c r="AAP47" s="85"/>
      <c r="AAY47" s="4"/>
      <c r="AAZ47" s="85"/>
      <c r="ABA47" s="85"/>
      <c r="ABB47" s="85"/>
      <c r="ABC47" s="85"/>
      <c r="ABL47" s="4"/>
      <c r="ABM47" s="85"/>
      <c r="ABN47" s="85"/>
      <c r="ABO47" s="85"/>
      <c r="ABP47" s="85"/>
      <c r="ABY47" s="4"/>
      <c r="ABZ47" s="85"/>
      <c r="ACA47" s="85"/>
      <c r="ACB47" s="85"/>
      <c r="ACC47" s="85"/>
      <c r="ACL47" s="4"/>
      <c r="ACM47" s="85"/>
      <c r="ACN47" s="85"/>
      <c r="ACO47" s="85"/>
      <c r="ACP47" s="85"/>
      <c r="ACY47" s="4"/>
      <c r="ACZ47" s="85"/>
      <c r="ADA47" s="85"/>
      <c r="ADB47" s="85"/>
      <c r="ADC47" s="85"/>
      <c r="ADL47" s="4"/>
      <c r="ADM47" s="85"/>
      <c r="ADN47" s="85"/>
      <c r="ADO47" s="85"/>
      <c r="ADP47" s="85"/>
      <c r="ADY47" s="4"/>
      <c r="ADZ47" s="85"/>
      <c r="AEA47" s="85"/>
      <c r="AEB47" s="85"/>
      <c r="AEC47" s="85"/>
      <c r="AEL47" s="4"/>
      <c r="AEM47" s="85"/>
      <c r="AEN47" s="85"/>
      <c r="AEO47" s="85"/>
      <c r="AEP47" s="85"/>
      <c r="AEY47" s="4"/>
      <c r="AEZ47" s="85"/>
      <c r="AFA47" s="85"/>
      <c r="AFB47" s="85"/>
      <c r="AFC47" s="85"/>
      <c r="AFL47" s="4"/>
      <c r="AFM47" s="85"/>
      <c r="AFN47" s="85"/>
      <c r="AFO47" s="85"/>
      <c r="AFP47" s="85"/>
      <c r="AFZ47" s="85"/>
      <c r="AGA47" s="85"/>
      <c r="AGB47" s="85"/>
      <c r="AGC47" s="85"/>
      <c r="AGL47" s="85"/>
      <c r="AGM47" s="85"/>
      <c r="AGN47" s="85"/>
      <c r="AGO47" s="85"/>
      <c r="AGX47" s="85"/>
      <c r="AGY47" s="85"/>
      <c r="AGZ47" s="85"/>
      <c r="AHA47" s="85"/>
      <c r="AHJ47" s="85"/>
      <c r="AHK47" s="85"/>
      <c r="AHL47" s="85"/>
      <c r="AHM47" s="85"/>
      <c r="AHV47" s="85"/>
      <c r="AHW47" s="85"/>
      <c r="AHX47" s="85"/>
      <c r="AHY47" s="85"/>
      <c r="AIH47" s="85"/>
      <c r="AII47" s="85"/>
      <c r="AIJ47" s="85"/>
      <c r="AIK47" s="85"/>
      <c r="AIT47" s="85"/>
      <c r="AIU47" s="85"/>
      <c r="AIV47" s="85"/>
      <c r="AIW47" s="85"/>
      <c r="AJF47" s="85"/>
      <c r="AJG47" s="85"/>
      <c r="AJH47" s="85"/>
      <c r="AJI47" s="85"/>
      <c r="AJR47" s="85"/>
      <c r="AJS47" s="85"/>
      <c r="AJT47" s="85"/>
      <c r="AJU47" s="85"/>
      <c r="AKD47" s="85"/>
      <c r="AKE47" s="85"/>
      <c r="AKF47" s="85"/>
      <c r="AKG47" s="85"/>
      <c r="AKP47" s="85"/>
      <c r="AKQ47" s="85"/>
      <c r="AKR47" s="85"/>
      <c r="AKS47" s="85"/>
      <c r="ALB47" s="85"/>
      <c r="ALC47" s="85"/>
      <c r="ALD47" s="85"/>
      <c r="ALE47" s="85"/>
      <c r="ALN47" s="85"/>
      <c r="ALO47" s="85"/>
      <c r="ALP47" s="85"/>
      <c r="ALQ47" s="85"/>
      <c r="ALZ47" s="85"/>
      <c r="AMA47" s="85"/>
      <c r="AMB47" s="85"/>
      <c r="AMC47" s="85"/>
      <c r="AML47" s="85"/>
      <c r="AMM47" s="85"/>
      <c r="AMN47" s="85"/>
      <c r="AMO47" s="85"/>
      <c r="AMX47" s="85"/>
      <c r="AMY47" s="85"/>
      <c r="AMZ47" s="85"/>
      <c r="ANA47" s="85"/>
      <c r="ANJ47" s="85"/>
      <c r="ANK47" s="85"/>
      <c r="ANL47" s="85"/>
      <c r="ANM47" s="85"/>
      <c r="ANV47" s="85"/>
      <c r="ANW47" s="85"/>
      <c r="ANX47" s="85"/>
      <c r="ANY47" s="85"/>
      <c r="AOH47" s="85"/>
      <c r="AOI47" s="85"/>
      <c r="AOJ47" s="85"/>
      <c r="AOK47" s="85"/>
      <c r="AOT47" s="85"/>
      <c r="AOU47" s="85"/>
      <c r="AOV47" s="85"/>
      <c r="AOW47" s="85"/>
      <c r="APF47" s="85"/>
      <c r="APG47" s="85"/>
      <c r="APH47" s="85"/>
      <c r="API47" s="85"/>
      <c r="APR47" s="85"/>
      <c r="APS47" s="85"/>
      <c r="APT47" s="85"/>
      <c r="APU47" s="85"/>
      <c r="AQD47" s="85"/>
      <c r="AQE47" s="85"/>
      <c r="AQF47" s="85"/>
      <c r="AQG47" s="85"/>
      <c r="AQP47" s="85"/>
      <c r="AQQ47" s="85"/>
      <c r="AQR47" s="85"/>
      <c r="AQS47" s="85"/>
      <c r="ARB47" s="85"/>
      <c r="ARC47" s="85"/>
      <c r="ARD47" s="85"/>
      <c r="ARE47" s="85"/>
      <c r="ARN47" s="85"/>
      <c r="ARO47" s="85"/>
      <c r="ARP47" s="85"/>
      <c r="ARQ47" s="85"/>
      <c r="ARZ47" s="85"/>
      <c r="ASA47" s="85"/>
      <c r="ASB47" s="85"/>
      <c r="ASC47" s="85"/>
      <c r="ASL47" s="85"/>
      <c r="ASM47" s="85"/>
      <c r="ASN47" s="85"/>
      <c r="ASO47" s="85"/>
      <c r="ASX47" s="85"/>
      <c r="ASY47" s="85"/>
      <c r="ASZ47" s="85"/>
      <c r="ATA47" s="85"/>
      <c r="ATJ47" s="85"/>
      <c r="ATK47" s="85"/>
      <c r="ATL47" s="85"/>
      <c r="ATM47" s="85"/>
      <c r="ATV47" s="85"/>
      <c r="ATW47" s="85"/>
      <c r="ATX47" s="85"/>
      <c r="ATY47" s="85"/>
      <c r="AUH47" s="85"/>
      <c r="AUI47" s="85"/>
      <c r="AUJ47" s="85"/>
      <c r="AUK47" s="85"/>
      <c r="AUT47" s="85"/>
      <c r="AUU47" s="85"/>
      <c r="AUV47" s="85"/>
      <c r="AUW47" s="85"/>
      <c r="AVF47" s="85"/>
      <c r="AVG47" s="85"/>
      <c r="AVH47" s="85"/>
      <c r="AVI47" s="85"/>
      <c r="AVR47" s="85"/>
      <c r="AVS47" s="85"/>
      <c r="AVT47" s="85"/>
      <c r="AVU47" s="85"/>
      <c r="AWD47" s="85"/>
      <c r="AWE47" s="85"/>
      <c r="AWF47" s="85"/>
      <c r="AWG47" s="85"/>
      <c r="AWP47" s="85"/>
      <c r="AWQ47" s="85"/>
      <c r="AWR47" s="85"/>
      <c r="AWS47" s="85"/>
      <c r="AXB47" s="85"/>
      <c r="AXC47" s="85"/>
      <c r="AXD47" s="85"/>
      <c r="AXE47" s="85"/>
      <c r="AXN47" s="85"/>
      <c r="AXO47" s="85"/>
      <c r="AXP47" s="85"/>
      <c r="AXQ47" s="85"/>
      <c r="AXZ47" s="85"/>
      <c r="AYA47" s="85"/>
      <c r="AYB47" s="85"/>
      <c r="AYC47" s="85"/>
      <c r="AYL47" s="85"/>
      <c r="AYM47" s="85"/>
      <c r="AYN47" s="85"/>
      <c r="AYO47" s="85"/>
      <c r="AYX47" s="85"/>
      <c r="AYY47" s="85"/>
      <c r="AYZ47" s="85"/>
      <c r="AZA47" s="85"/>
      <c r="AZJ47" s="85"/>
      <c r="AZK47" s="85"/>
      <c r="AZL47" s="85"/>
      <c r="AZM47" s="85"/>
      <c r="AZV47" s="85"/>
      <c r="AZW47" s="85"/>
      <c r="AZX47" s="85"/>
      <c r="AZY47" s="85"/>
      <c r="BAH47" s="85"/>
      <c r="BAI47" s="85"/>
      <c r="BAJ47" s="85"/>
      <c r="BAK47" s="85"/>
      <c r="BAT47" s="85"/>
      <c r="BAU47" s="85"/>
      <c r="BAV47" s="85"/>
      <c r="BAW47" s="85"/>
      <c r="BBF47" s="85"/>
      <c r="BBG47" s="85"/>
      <c r="BBH47" s="85"/>
      <c r="BBI47" s="85"/>
      <c r="BBR47" s="85"/>
      <c r="BBS47" s="85"/>
      <c r="BBT47" s="85"/>
      <c r="BBU47" s="85"/>
      <c r="BCD47" s="85"/>
      <c r="BCE47" s="85"/>
      <c r="BCF47" s="85"/>
      <c r="BCG47" s="85"/>
      <c r="BCP47" s="85"/>
      <c r="BCQ47" s="85"/>
      <c r="BCR47" s="85"/>
      <c r="BCS47" s="85"/>
      <c r="BDB47" s="85"/>
      <c r="BDC47" s="85"/>
      <c r="BDD47" s="85"/>
      <c r="BDE47" s="85"/>
      <c r="BDN47" s="85"/>
      <c r="BDO47" s="85"/>
      <c r="BDP47" s="85"/>
      <c r="BDQ47" s="85"/>
      <c r="BDZ47" s="85"/>
      <c r="BEA47" s="85"/>
      <c r="BEB47" s="85"/>
      <c r="BEC47" s="85"/>
      <c r="BEL47" s="85"/>
      <c r="BEM47" s="85"/>
      <c r="BEN47" s="85"/>
      <c r="BEO47" s="85"/>
      <c r="BEX47" s="85"/>
      <c r="BEY47" s="85"/>
      <c r="BEZ47" s="85"/>
      <c r="BFA47" s="85"/>
      <c r="BFJ47" s="85"/>
      <c r="BFK47" s="85"/>
      <c r="BFL47" s="85"/>
      <c r="BFM47" s="85"/>
      <c r="BFV47" s="85"/>
      <c r="BFW47" s="85"/>
      <c r="BFX47" s="85"/>
      <c r="BFY47" s="85"/>
      <c r="BGH47" s="85"/>
      <c r="BGI47" s="85"/>
      <c r="BGJ47" s="85"/>
      <c r="BGK47" s="85"/>
      <c r="BGT47" s="85"/>
      <c r="BGU47" s="85"/>
      <c r="BGV47" s="85"/>
      <c r="BGW47" s="85"/>
      <c r="BHF47" s="85"/>
      <c r="BHG47" s="85"/>
      <c r="BHH47" s="85"/>
      <c r="BHI47" s="85"/>
      <c r="BHR47" s="85"/>
      <c r="BHS47" s="85"/>
      <c r="BHT47" s="85"/>
      <c r="BHU47" s="85"/>
      <c r="BID47" s="85"/>
      <c r="BIE47" s="85"/>
      <c r="BIF47" s="85"/>
      <c r="BIG47" s="85"/>
      <c r="BIP47" s="85"/>
      <c r="BIQ47" s="85"/>
      <c r="BIR47" s="85"/>
      <c r="BIS47" s="85"/>
      <c r="BJB47" s="85"/>
      <c r="BJC47" s="85"/>
      <c r="BJD47" s="85"/>
      <c r="BJE47" s="85"/>
      <c r="BJN47" s="85"/>
      <c r="BJO47" s="85"/>
      <c r="BJP47" s="85"/>
      <c r="BJQ47" s="85"/>
      <c r="BJZ47" s="85"/>
      <c r="BKA47" s="85"/>
      <c r="BKB47" s="85"/>
      <c r="BKC47" s="85"/>
      <c r="BKL47" s="85"/>
      <c r="BKM47" s="85"/>
      <c r="BKN47" s="85"/>
      <c r="BKO47" s="85"/>
      <c r="BKX47" s="85"/>
      <c r="BKY47" s="85"/>
      <c r="BKZ47" s="85"/>
      <c r="BLA47" s="85"/>
      <c r="BLJ47" s="85"/>
      <c r="BLK47" s="85"/>
      <c r="BLL47" s="85"/>
      <c r="BLM47" s="85"/>
      <c r="BLV47" s="85"/>
      <c r="BLW47" s="85"/>
      <c r="BLX47" s="85"/>
      <c r="BLY47" s="85"/>
      <c r="BMH47" s="85"/>
      <c r="BMI47" s="85"/>
      <c r="BMJ47" s="85"/>
      <c r="BMK47" s="85"/>
      <c r="BMT47" s="85"/>
      <c r="BMU47" s="85"/>
      <c r="BMV47" s="85"/>
      <c r="BMW47" s="85"/>
      <c r="BNF47" s="85"/>
      <c r="BNG47" s="85"/>
      <c r="BNH47" s="85"/>
      <c r="BNI47" s="85"/>
      <c r="BNR47" s="85"/>
      <c r="BNS47" s="85"/>
      <c r="BNT47" s="85"/>
      <c r="BNU47" s="85"/>
      <c r="BOD47" s="85"/>
      <c r="BOE47" s="85"/>
      <c r="BOF47" s="85"/>
      <c r="BOG47" s="85"/>
      <c r="BOP47" s="85"/>
      <c r="BOQ47" s="85"/>
      <c r="BOR47" s="85"/>
      <c r="BOS47" s="85"/>
      <c r="BPB47" s="85"/>
      <c r="BPC47" s="85"/>
      <c r="BPD47" s="85"/>
      <c r="BPE47" s="85"/>
      <c r="BPN47" s="85"/>
      <c r="BPO47" s="85"/>
      <c r="BPP47" s="85"/>
      <c r="BPQ47" s="85"/>
      <c r="BPZ47" s="85"/>
      <c r="BQA47" s="85"/>
      <c r="BQB47" s="85"/>
      <c r="BQC47" s="85"/>
      <c r="BQL47" s="85"/>
      <c r="BQM47" s="85"/>
      <c r="BQN47" s="85"/>
      <c r="BQO47" s="85"/>
      <c r="BQX47" s="85"/>
      <c r="BQY47" s="85"/>
      <c r="BQZ47" s="85"/>
      <c r="BRA47" s="85"/>
      <c r="BRJ47" s="85"/>
      <c r="BRK47" s="85"/>
      <c r="BRL47" s="85"/>
      <c r="BRM47" s="85"/>
      <c r="BRV47" s="85"/>
      <c r="BRW47" s="85"/>
      <c r="BRX47" s="85"/>
      <c r="BRY47" s="85"/>
      <c r="BSH47" s="85"/>
      <c r="BSI47" s="85"/>
      <c r="BSJ47" s="85"/>
      <c r="BSK47" s="85"/>
      <c r="BST47" s="85"/>
      <c r="BSU47" s="85"/>
      <c r="BSV47" s="85"/>
      <c r="BSW47" s="85"/>
      <c r="BTF47" s="85"/>
      <c r="BTG47" s="85"/>
      <c r="BTH47" s="85"/>
      <c r="BTI47" s="85"/>
      <c r="BTR47" s="85"/>
      <c r="BTS47" s="85"/>
      <c r="BTT47" s="85"/>
      <c r="BTU47" s="85"/>
      <c r="BUD47" s="85"/>
      <c r="BUE47" s="85"/>
      <c r="BUF47" s="85"/>
      <c r="BUG47" s="85"/>
      <c r="BUP47" s="85"/>
      <c r="BUQ47" s="85"/>
      <c r="BUR47" s="85"/>
      <c r="BUS47" s="85"/>
      <c r="BVB47" s="85"/>
      <c r="BVC47" s="85"/>
      <c r="BVD47" s="85"/>
      <c r="BVE47" s="85"/>
      <c r="BVN47" s="85"/>
      <c r="BVO47" s="85"/>
      <c r="BVP47" s="85"/>
      <c r="BVQ47" s="85"/>
      <c r="BVZ47" s="85"/>
      <c r="BWA47" s="85"/>
      <c r="BWB47" s="85"/>
      <c r="BWC47" s="85"/>
      <c r="BWL47" s="85"/>
      <c r="BWM47" s="85"/>
      <c r="BWN47" s="85"/>
      <c r="BWO47" s="85"/>
      <c r="BWX47" s="85"/>
      <c r="BWY47" s="85"/>
      <c r="BWZ47" s="85"/>
      <c r="BXA47" s="85"/>
      <c r="BXJ47" s="85"/>
      <c r="BXK47" s="85"/>
      <c r="BXL47" s="85"/>
      <c r="BXM47" s="85"/>
      <c r="BXV47" s="85"/>
      <c r="BXW47" s="85"/>
      <c r="BXX47" s="85"/>
      <c r="BXY47" s="85"/>
      <c r="BYH47" s="85"/>
      <c r="BYI47" s="85"/>
      <c r="BYJ47" s="85"/>
      <c r="BYK47" s="85"/>
      <c r="BYT47" s="85"/>
      <c r="BYU47" s="85"/>
      <c r="BYV47" s="85"/>
      <c r="BYW47" s="85"/>
      <c r="BZF47" s="85"/>
      <c r="BZG47" s="85"/>
      <c r="BZH47" s="85"/>
      <c r="BZI47" s="85"/>
      <c r="BZR47" s="85"/>
      <c r="BZS47" s="85"/>
      <c r="BZT47" s="85"/>
      <c r="BZU47" s="85"/>
      <c r="CAD47" s="85"/>
      <c r="CAE47" s="85"/>
      <c r="CAF47" s="85"/>
      <c r="CAG47" s="85"/>
      <c r="CAP47" s="85"/>
      <c r="CAQ47" s="85"/>
      <c r="CAR47" s="85"/>
      <c r="CAS47" s="85"/>
      <c r="CBB47" s="85"/>
      <c r="CBC47" s="85"/>
      <c r="CBD47" s="85"/>
      <c r="CBE47" s="85"/>
      <c r="CBN47" s="85"/>
      <c r="CBO47" s="85"/>
      <c r="CBP47" s="85"/>
      <c r="CBQ47" s="85"/>
      <c r="CBZ47" s="85"/>
      <c r="CCA47" s="85"/>
      <c r="CCB47" s="85"/>
      <c r="CCC47" s="85"/>
      <c r="CCL47" s="85"/>
      <c r="CCM47" s="85"/>
      <c r="CCN47" s="85"/>
      <c r="CCO47" s="85"/>
      <c r="CCX47" s="85"/>
      <c r="CCY47" s="85"/>
      <c r="CCZ47" s="85"/>
      <c r="CDA47" s="85"/>
      <c r="CDJ47" s="85"/>
      <c r="CDK47" s="85"/>
      <c r="CDL47" s="85"/>
      <c r="CDM47" s="85"/>
      <c r="CDV47" s="85"/>
      <c r="CDW47" s="85"/>
      <c r="CDX47" s="85"/>
      <c r="CDY47" s="85"/>
      <c r="CEH47" s="85"/>
      <c r="CEI47" s="85"/>
      <c r="CEJ47" s="85"/>
      <c r="CEK47" s="85"/>
      <c r="CET47" s="85"/>
      <c r="CEU47" s="85"/>
      <c r="CEV47" s="85"/>
      <c r="CEW47" s="85"/>
      <c r="CFF47" s="85"/>
      <c r="CFG47" s="85"/>
      <c r="CFH47" s="85"/>
      <c r="CFI47" s="85"/>
      <c r="CFR47" s="85"/>
      <c r="CFS47" s="85"/>
      <c r="CFT47" s="85"/>
      <c r="CFU47" s="85"/>
      <c r="CGD47" s="85"/>
      <c r="CGE47" s="85"/>
      <c r="CGF47" s="85"/>
      <c r="CGG47" s="85"/>
      <c r="CGP47" s="85"/>
      <c r="CGQ47" s="85"/>
      <c r="CGR47" s="85"/>
      <c r="CGS47" s="85"/>
      <c r="CHB47" s="85"/>
      <c r="CHC47" s="85"/>
      <c r="CHD47" s="85"/>
      <c r="CHE47" s="85"/>
      <c r="CHN47" s="85"/>
      <c r="CHO47" s="85"/>
      <c r="CHP47" s="85"/>
      <c r="CHQ47" s="85"/>
      <c r="CHZ47" s="85"/>
      <c r="CIA47" s="85"/>
      <c r="CIB47" s="85"/>
      <c r="CIC47" s="85"/>
      <c r="CIL47" s="85"/>
      <c r="CIM47" s="85"/>
      <c r="CIN47" s="85"/>
      <c r="CIO47" s="85"/>
      <c r="CIX47" s="85"/>
      <c r="CIY47" s="85"/>
      <c r="CIZ47" s="85"/>
      <c r="CJA47" s="85"/>
      <c r="CJJ47" s="85"/>
      <c r="CJK47" s="85"/>
      <c r="CJL47" s="85"/>
      <c r="CJM47" s="85"/>
      <c r="CJV47" s="85"/>
      <c r="CJW47" s="85"/>
      <c r="CJX47" s="85"/>
      <c r="CJY47" s="85"/>
      <c r="CKH47" s="85"/>
      <c r="CKI47" s="85"/>
      <c r="CKJ47" s="85"/>
      <c r="CKK47" s="85"/>
      <c r="CKT47" s="85"/>
      <c r="CKU47" s="85"/>
      <c r="CKV47" s="85"/>
      <c r="CKW47" s="85"/>
      <c r="CLF47" s="85"/>
      <c r="CLG47" s="85"/>
      <c r="CLH47" s="85"/>
      <c r="CLI47" s="85"/>
      <c r="CLR47" s="85"/>
      <c r="CLS47" s="85"/>
      <c r="CLT47" s="85"/>
      <c r="CLU47" s="85"/>
      <c r="CMD47" s="85"/>
      <c r="CME47" s="85"/>
      <c r="CMF47" s="85"/>
      <c r="CMG47" s="85"/>
      <c r="CMP47" s="85"/>
      <c r="CMQ47" s="85"/>
      <c r="CMR47" s="85"/>
      <c r="CMS47" s="85"/>
      <c r="CNB47" s="85"/>
      <c r="CNC47" s="85"/>
      <c r="CND47" s="85"/>
      <c r="CNE47" s="85"/>
      <c r="CNN47" s="85"/>
      <c r="CNO47" s="85"/>
      <c r="CNP47" s="85"/>
      <c r="CNQ47" s="85"/>
      <c r="CNZ47" s="85"/>
      <c r="COA47" s="85"/>
      <c r="COB47" s="85"/>
      <c r="COC47" s="85"/>
      <c r="COL47" s="85"/>
      <c r="COM47" s="85"/>
      <c r="CON47" s="85"/>
      <c r="COO47" s="85"/>
      <c r="COX47" s="85"/>
      <c r="COY47" s="85"/>
      <c r="COZ47" s="85"/>
      <c r="CPA47" s="85"/>
      <c r="CPJ47" s="85"/>
      <c r="CPK47" s="85"/>
      <c r="CPL47" s="85"/>
      <c r="CPM47" s="85"/>
      <c r="CPV47" s="85"/>
      <c r="CPW47" s="85"/>
      <c r="CPX47" s="85"/>
      <c r="CPY47" s="85"/>
      <c r="CQH47" s="85"/>
      <c r="CQI47" s="85"/>
      <c r="CQJ47" s="85"/>
      <c r="CQK47" s="85"/>
      <c r="CQT47" s="85"/>
      <c r="CQU47" s="85"/>
      <c r="CQV47" s="85"/>
      <c r="CQW47" s="85"/>
      <c r="CRF47" s="85"/>
      <c r="CRG47" s="85"/>
      <c r="CRH47" s="85"/>
      <c r="CRI47" s="85"/>
      <c r="CRR47" s="85"/>
      <c r="CRS47" s="85"/>
      <c r="CRT47" s="85"/>
      <c r="CRU47" s="85"/>
      <c r="CSD47" s="85"/>
      <c r="CSE47" s="85"/>
      <c r="CSF47" s="85"/>
      <c r="CSG47" s="85"/>
      <c r="CSP47" s="85"/>
      <c r="CSQ47" s="85"/>
      <c r="CSR47" s="85"/>
      <c r="CSS47" s="85"/>
      <c r="CTB47" s="85"/>
      <c r="CTC47" s="85"/>
      <c r="CTD47" s="85"/>
      <c r="CTE47" s="85"/>
      <c r="CTN47" s="85"/>
      <c r="CTO47" s="85"/>
      <c r="CTP47" s="85"/>
      <c r="CTQ47" s="85"/>
      <c r="CTZ47" s="85"/>
      <c r="CUA47" s="85"/>
      <c r="CUB47" s="85"/>
      <c r="CUC47" s="85"/>
      <c r="CUL47" s="85"/>
      <c r="CUM47" s="85"/>
      <c r="CUN47" s="85"/>
      <c r="CUO47" s="85"/>
      <c r="CUX47" s="85"/>
      <c r="CUY47" s="85"/>
      <c r="CUZ47" s="85"/>
      <c r="CVA47" s="85"/>
      <c r="CVJ47" s="85"/>
      <c r="CVK47" s="85"/>
      <c r="CVL47" s="85"/>
      <c r="CVM47" s="85"/>
      <c r="CVV47" s="85"/>
      <c r="CVW47" s="85"/>
      <c r="CVX47" s="85"/>
      <c r="CVY47" s="85"/>
    </row>
    <row r="48" spans="2:1023 1026:2631" x14ac:dyDescent="0.25">
      <c r="K48" s="80"/>
      <c r="Y48" s="80"/>
      <c r="AM48" s="80"/>
      <c r="BA48" s="80"/>
      <c r="BO48" s="80"/>
      <c r="CC48" s="80"/>
      <c r="CQ48" s="80"/>
      <c r="DE48" s="80"/>
      <c r="DS48" s="80"/>
      <c r="EG48" s="80"/>
      <c r="EU48" s="80"/>
      <c r="FI48" s="80"/>
      <c r="FW48" s="80"/>
      <c r="GK48" s="80"/>
      <c r="GY48" s="80"/>
      <c r="HM48" s="80"/>
      <c r="IA48" s="80"/>
      <c r="IO48" s="80"/>
      <c r="JC48" s="80"/>
      <c r="JQ48" s="80"/>
      <c r="KE48" s="80"/>
      <c r="KS48" s="80"/>
      <c r="LG48" s="80"/>
      <c r="LU48" s="80"/>
      <c r="MI48" s="80"/>
      <c r="MW48" s="80"/>
      <c r="NK48" s="80"/>
      <c r="NY48" s="80"/>
      <c r="OM48" s="80"/>
      <c r="PA48" s="80"/>
      <c r="PO48" s="80"/>
      <c r="QC48" s="80"/>
      <c r="QQ48" s="80"/>
      <c r="RE48" s="80"/>
      <c r="RS48" s="80"/>
      <c r="SG48" s="80"/>
      <c r="SU48" s="80"/>
      <c r="TI48" s="80"/>
      <c r="TW48" s="80"/>
      <c r="UK48" s="80"/>
      <c r="UY48" s="80"/>
      <c r="VM48" s="80"/>
      <c r="WA48" s="80"/>
      <c r="WO48" s="80"/>
      <c r="XC48" s="80"/>
      <c r="XQ48" s="80"/>
      <c r="YE48" s="80"/>
      <c r="YS48" s="80"/>
      <c r="ZG48" s="80"/>
      <c r="ZU48" s="80"/>
      <c r="ZY48" s="4"/>
      <c r="ZZ48" s="212" t="s">
        <v>105</v>
      </c>
      <c r="AAA48" s="212"/>
      <c r="AAB48" s="213"/>
      <c r="AAC48" s="212"/>
      <c r="AAG48" s="194" t="s">
        <v>106</v>
      </c>
      <c r="AAH48" s="194"/>
      <c r="AAI48" s="194"/>
      <c r="AAL48" s="4"/>
      <c r="AAM48" s="212" t="s">
        <v>105</v>
      </c>
      <c r="AAN48" s="212"/>
      <c r="AAO48" s="213"/>
      <c r="AAP48" s="212"/>
      <c r="AAT48" s="194" t="s">
        <v>106</v>
      </c>
      <c r="AAU48" s="194"/>
      <c r="AAV48" s="194"/>
      <c r="AAY48" s="4"/>
      <c r="AAZ48" s="212" t="s">
        <v>105</v>
      </c>
      <c r="ABA48" s="212"/>
      <c r="ABB48" s="213"/>
      <c r="ABC48" s="212"/>
      <c r="ABG48" s="194" t="s">
        <v>106</v>
      </c>
      <c r="ABH48" s="194"/>
      <c r="ABI48" s="194"/>
      <c r="ABL48" s="4"/>
      <c r="ABM48" s="212" t="s">
        <v>105</v>
      </c>
      <c r="ABN48" s="212"/>
      <c r="ABO48" s="213"/>
      <c r="ABP48" s="212"/>
      <c r="ABT48" s="194" t="s">
        <v>106</v>
      </c>
      <c r="ABU48" s="194"/>
      <c r="ABV48" s="194"/>
      <c r="ABY48" s="4"/>
      <c r="ABZ48" s="212" t="s">
        <v>105</v>
      </c>
      <c r="ACA48" s="212"/>
      <c r="ACB48" s="213"/>
      <c r="ACC48" s="212"/>
      <c r="ACG48" s="194" t="s">
        <v>106</v>
      </c>
      <c r="ACH48" s="194"/>
      <c r="ACI48" s="194"/>
      <c r="ACL48" s="4"/>
      <c r="ACM48" s="212" t="s">
        <v>105</v>
      </c>
      <c r="ACN48" s="212"/>
      <c r="ACO48" s="213"/>
      <c r="ACP48" s="212"/>
      <c r="ACT48" s="194" t="s">
        <v>106</v>
      </c>
      <c r="ACU48" s="194"/>
      <c r="ACV48" s="194"/>
      <c r="ACY48" s="4"/>
      <c r="ACZ48" s="212" t="s">
        <v>105</v>
      </c>
      <c r="ADA48" s="212"/>
      <c r="ADB48" s="213"/>
      <c r="ADC48" s="212"/>
      <c r="ADG48" s="194" t="s">
        <v>106</v>
      </c>
      <c r="ADH48" s="194"/>
      <c r="ADI48" s="194"/>
      <c r="ADL48" s="4"/>
      <c r="ADM48" s="212" t="s">
        <v>105</v>
      </c>
      <c r="ADN48" s="212"/>
      <c r="ADO48" s="213"/>
      <c r="ADP48" s="212"/>
      <c r="ADT48" s="194" t="s">
        <v>106</v>
      </c>
      <c r="ADU48" s="194"/>
      <c r="ADV48" s="194"/>
      <c r="ADY48" s="4"/>
      <c r="ADZ48" s="212" t="s">
        <v>105</v>
      </c>
      <c r="AEA48" s="212"/>
      <c r="AEB48" s="213"/>
      <c r="AEC48" s="212"/>
      <c r="AEG48" s="194" t="s">
        <v>106</v>
      </c>
      <c r="AEH48" s="194"/>
      <c r="AEI48" s="194"/>
      <c r="AEL48" s="4"/>
      <c r="AEM48" s="212" t="s">
        <v>105</v>
      </c>
      <c r="AEN48" s="212"/>
      <c r="AEO48" s="213"/>
      <c r="AEP48" s="212"/>
      <c r="AET48" s="194" t="s">
        <v>106</v>
      </c>
      <c r="AEU48" s="194"/>
      <c r="AEV48" s="194"/>
      <c r="AEY48" s="4"/>
      <c r="AEZ48" s="212" t="s">
        <v>105</v>
      </c>
      <c r="AFA48" s="212"/>
      <c r="AFB48" s="213"/>
      <c r="AFC48" s="212"/>
      <c r="AFG48" s="194" t="s">
        <v>106</v>
      </c>
      <c r="AFH48" s="194"/>
      <c r="AFI48" s="194"/>
      <c r="AFL48" s="4"/>
      <c r="AFM48" s="212" t="s">
        <v>105</v>
      </c>
      <c r="AFN48" s="212"/>
      <c r="AFO48" s="213"/>
      <c r="AFP48" s="212"/>
      <c r="AFT48" s="194" t="s">
        <v>106</v>
      </c>
      <c r="AFU48" s="194"/>
      <c r="AFV48" s="194"/>
      <c r="AFZ48" s="212" t="s">
        <v>105</v>
      </c>
      <c r="AGA48" s="212"/>
      <c r="AGB48" s="213"/>
      <c r="AGC48" s="212"/>
      <c r="AGG48" s="194" t="s">
        <v>106</v>
      </c>
      <c r="AGH48" s="194"/>
      <c r="AGI48" s="194"/>
      <c r="AGL48" s="212" t="s">
        <v>105</v>
      </c>
      <c r="AGM48" s="212"/>
      <c r="AGN48" s="213"/>
      <c r="AGO48" s="212"/>
      <c r="AGS48" s="194" t="s">
        <v>106</v>
      </c>
      <c r="AGT48" s="194"/>
      <c r="AGU48" s="194"/>
      <c r="AGX48" s="212" t="s">
        <v>105</v>
      </c>
      <c r="AGY48" s="212"/>
      <c r="AGZ48" s="213"/>
      <c r="AHA48" s="212"/>
      <c r="AHE48" s="194" t="s">
        <v>106</v>
      </c>
      <c r="AHF48" s="194"/>
      <c r="AHG48" s="194"/>
      <c r="AHJ48" s="212" t="s">
        <v>105</v>
      </c>
      <c r="AHK48" s="212"/>
      <c r="AHL48" s="213"/>
      <c r="AHM48" s="212"/>
      <c r="AHQ48" s="194" t="s">
        <v>106</v>
      </c>
      <c r="AHR48" s="194"/>
      <c r="AHS48" s="194"/>
      <c r="AHV48" s="212" t="s">
        <v>105</v>
      </c>
      <c r="AHW48" s="212"/>
      <c r="AHX48" s="213"/>
      <c r="AHY48" s="212"/>
      <c r="AIC48" s="194" t="s">
        <v>106</v>
      </c>
      <c r="AID48" s="194"/>
      <c r="AIE48" s="194"/>
      <c r="AIH48" s="212" t="s">
        <v>105</v>
      </c>
      <c r="AII48" s="212"/>
      <c r="AIJ48" s="213"/>
      <c r="AIK48" s="212"/>
      <c r="AIO48" s="194" t="s">
        <v>106</v>
      </c>
      <c r="AIP48" s="194"/>
      <c r="AIQ48" s="194"/>
      <c r="AIT48" s="212" t="s">
        <v>105</v>
      </c>
      <c r="AIU48" s="212"/>
      <c r="AIV48" s="213"/>
      <c r="AIW48" s="212"/>
      <c r="AJA48" s="194" t="s">
        <v>106</v>
      </c>
      <c r="AJB48" s="194"/>
      <c r="AJC48" s="194"/>
      <c r="AJF48" s="212" t="s">
        <v>105</v>
      </c>
      <c r="AJG48" s="212"/>
      <c r="AJH48" s="213"/>
      <c r="AJI48" s="212"/>
      <c r="AJM48" s="194" t="s">
        <v>106</v>
      </c>
      <c r="AJN48" s="194"/>
      <c r="AJO48" s="194"/>
      <c r="AJR48" s="212" t="s">
        <v>105</v>
      </c>
      <c r="AJS48" s="212"/>
      <c r="AJT48" s="213"/>
      <c r="AJU48" s="212"/>
      <c r="AJY48" s="194" t="s">
        <v>106</v>
      </c>
      <c r="AJZ48" s="194"/>
      <c r="AKA48" s="194"/>
      <c r="AKD48" s="212" t="s">
        <v>105</v>
      </c>
      <c r="AKE48" s="212"/>
      <c r="AKF48" s="213"/>
      <c r="AKG48" s="212"/>
      <c r="AKK48" s="194" t="s">
        <v>106</v>
      </c>
      <c r="AKL48" s="194"/>
      <c r="AKM48" s="194"/>
      <c r="AKP48" s="212" t="s">
        <v>105</v>
      </c>
      <c r="AKQ48" s="212"/>
      <c r="AKR48" s="213"/>
      <c r="AKS48" s="212"/>
      <c r="AKW48" s="194" t="s">
        <v>106</v>
      </c>
      <c r="AKX48" s="194"/>
      <c r="AKY48" s="194"/>
      <c r="ALB48" s="212" t="s">
        <v>105</v>
      </c>
      <c r="ALC48" s="212"/>
      <c r="ALD48" s="213"/>
      <c r="ALE48" s="212"/>
      <c r="ALI48" s="194" t="s">
        <v>106</v>
      </c>
      <c r="ALJ48" s="194"/>
      <c r="ALK48" s="194"/>
      <c r="ALN48" s="212" t="s">
        <v>105</v>
      </c>
      <c r="ALO48" s="212"/>
      <c r="ALP48" s="213"/>
      <c r="ALQ48" s="212"/>
      <c r="ALU48" s="194" t="s">
        <v>106</v>
      </c>
      <c r="ALV48" s="194"/>
      <c r="ALW48" s="194"/>
      <c r="ALZ48" s="212" t="s">
        <v>105</v>
      </c>
      <c r="AMA48" s="212"/>
      <c r="AMB48" s="213"/>
      <c r="AMC48" s="212"/>
      <c r="AMG48" s="194" t="s">
        <v>106</v>
      </c>
      <c r="AMH48" s="194"/>
      <c r="AMI48" s="194"/>
      <c r="AML48" s="212" t="s">
        <v>105</v>
      </c>
      <c r="AMM48" s="212"/>
      <c r="AMN48" s="213"/>
      <c r="AMO48" s="212"/>
      <c r="AMS48" s="194" t="s">
        <v>106</v>
      </c>
      <c r="AMT48" s="194"/>
      <c r="AMU48" s="194"/>
      <c r="AMX48" s="212" t="s">
        <v>105</v>
      </c>
      <c r="AMY48" s="212"/>
      <c r="AMZ48" s="213"/>
      <c r="ANA48" s="212"/>
      <c r="ANE48" s="194" t="s">
        <v>106</v>
      </c>
      <c r="ANF48" s="194"/>
      <c r="ANG48" s="194"/>
      <c r="ANJ48" s="212" t="s">
        <v>105</v>
      </c>
      <c r="ANK48" s="212"/>
      <c r="ANL48" s="213"/>
      <c r="ANM48" s="212"/>
      <c r="ANQ48" s="194" t="s">
        <v>106</v>
      </c>
      <c r="ANR48" s="194"/>
      <c r="ANS48" s="194"/>
      <c r="ANV48" s="212" t="s">
        <v>105</v>
      </c>
      <c r="ANW48" s="212"/>
      <c r="ANX48" s="213"/>
      <c r="ANY48" s="212"/>
      <c r="AOC48" s="194" t="s">
        <v>106</v>
      </c>
      <c r="AOD48" s="194"/>
      <c r="AOE48" s="194"/>
      <c r="AOH48" s="212" t="s">
        <v>105</v>
      </c>
      <c r="AOI48" s="212"/>
      <c r="AOJ48" s="213"/>
      <c r="AOK48" s="212"/>
      <c r="AOO48" s="194" t="s">
        <v>106</v>
      </c>
      <c r="AOP48" s="194"/>
      <c r="AOQ48" s="194"/>
      <c r="AOT48" s="212" t="s">
        <v>105</v>
      </c>
      <c r="AOU48" s="212"/>
      <c r="AOV48" s="213"/>
      <c r="AOW48" s="212"/>
      <c r="APA48" s="194" t="s">
        <v>106</v>
      </c>
      <c r="APB48" s="194"/>
      <c r="APC48" s="194"/>
      <c r="APF48" s="212" t="s">
        <v>105</v>
      </c>
      <c r="APG48" s="212"/>
      <c r="APH48" s="213"/>
      <c r="API48" s="212"/>
      <c r="APM48" s="194" t="s">
        <v>106</v>
      </c>
      <c r="APN48" s="194"/>
      <c r="APO48" s="194"/>
      <c r="APR48" s="212" t="s">
        <v>105</v>
      </c>
      <c r="APS48" s="212"/>
      <c r="APT48" s="213"/>
      <c r="APU48" s="212"/>
      <c r="APY48" s="194" t="s">
        <v>106</v>
      </c>
      <c r="APZ48" s="194"/>
      <c r="AQA48" s="194"/>
      <c r="AQD48" s="212" t="s">
        <v>105</v>
      </c>
      <c r="AQE48" s="212"/>
      <c r="AQF48" s="213"/>
      <c r="AQG48" s="212"/>
      <c r="AQK48" s="194" t="s">
        <v>106</v>
      </c>
      <c r="AQL48" s="194"/>
      <c r="AQM48" s="194"/>
      <c r="AQP48" s="212" t="s">
        <v>105</v>
      </c>
      <c r="AQQ48" s="212"/>
      <c r="AQR48" s="213"/>
      <c r="AQS48" s="212"/>
      <c r="AQW48" s="194" t="s">
        <v>106</v>
      </c>
      <c r="AQX48" s="194"/>
      <c r="AQY48" s="194"/>
      <c r="ARB48" s="212" t="s">
        <v>105</v>
      </c>
      <c r="ARC48" s="212"/>
      <c r="ARD48" s="213"/>
      <c r="ARE48" s="212"/>
      <c r="ARI48" s="194" t="s">
        <v>106</v>
      </c>
      <c r="ARJ48" s="194"/>
      <c r="ARK48" s="194"/>
      <c r="ARN48" s="212" t="s">
        <v>105</v>
      </c>
      <c r="ARO48" s="212"/>
      <c r="ARP48" s="213"/>
      <c r="ARQ48" s="212"/>
      <c r="ARU48" s="194" t="s">
        <v>106</v>
      </c>
      <c r="ARV48" s="194"/>
      <c r="ARW48" s="194"/>
      <c r="ARZ48" s="212" t="s">
        <v>105</v>
      </c>
      <c r="ASA48" s="212"/>
      <c r="ASB48" s="213"/>
      <c r="ASC48" s="212"/>
      <c r="ASG48" s="194" t="s">
        <v>106</v>
      </c>
      <c r="ASH48" s="194"/>
      <c r="ASI48" s="194"/>
      <c r="ASL48" s="212" t="s">
        <v>105</v>
      </c>
      <c r="ASM48" s="212"/>
      <c r="ASN48" s="213"/>
      <c r="ASO48" s="212"/>
      <c r="ASS48" s="194" t="s">
        <v>106</v>
      </c>
      <c r="AST48" s="194"/>
      <c r="ASU48" s="194"/>
      <c r="ASX48" s="212" t="s">
        <v>105</v>
      </c>
      <c r="ASY48" s="212"/>
      <c r="ASZ48" s="213"/>
      <c r="ATA48" s="212"/>
      <c r="ATE48" s="194" t="s">
        <v>106</v>
      </c>
      <c r="ATF48" s="194"/>
      <c r="ATG48" s="194"/>
      <c r="ATJ48" s="212" t="s">
        <v>105</v>
      </c>
      <c r="ATK48" s="212"/>
      <c r="ATL48" s="213"/>
      <c r="ATM48" s="212"/>
      <c r="ATQ48" s="194" t="s">
        <v>106</v>
      </c>
      <c r="ATR48" s="194"/>
      <c r="ATS48" s="194"/>
      <c r="ATV48" s="212" t="s">
        <v>105</v>
      </c>
      <c r="ATW48" s="212"/>
      <c r="ATX48" s="213"/>
      <c r="ATY48" s="212"/>
      <c r="AUC48" s="194" t="s">
        <v>106</v>
      </c>
      <c r="AUD48" s="194"/>
      <c r="AUE48" s="194"/>
      <c r="AUH48" s="212" t="s">
        <v>105</v>
      </c>
      <c r="AUI48" s="212"/>
      <c r="AUJ48" s="213"/>
      <c r="AUK48" s="212"/>
      <c r="AUO48" s="194" t="s">
        <v>106</v>
      </c>
      <c r="AUP48" s="194"/>
      <c r="AUQ48" s="194"/>
      <c r="AUT48" s="212" t="s">
        <v>105</v>
      </c>
      <c r="AUU48" s="212"/>
      <c r="AUV48" s="213"/>
      <c r="AUW48" s="212"/>
      <c r="AVA48" s="194" t="s">
        <v>106</v>
      </c>
      <c r="AVB48" s="194"/>
      <c r="AVC48" s="194"/>
      <c r="AVF48" s="212" t="s">
        <v>105</v>
      </c>
      <c r="AVG48" s="212"/>
      <c r="AVH48" s="213"/>
      <c r="AVI48" s="212"/>
      <c r="AVM48" s="194" t="s">
        <v>106</v>
      </c>
      <c r="AVN48" s="194"/>
      <c r="AVO48" s="194"/>
      <c r="AVR48" s="212" t="s">
        <v>105</v>
      </c>
      <c r="AVS48" s="212"/>
      <c r="AVT48" s="213"/>
      <c r="AVU48" s="212"/>
      <c r="AVY48" s="194" t="s">
        <v>106</v>
      </c>
      <c r="AVZ48" s="194"/>
      <c r="AWA48" s="194"/>
      <c r="AWD48" s="212" t="s">
        <v>105</v>
      </c>
      <c r="AWE48" s="212"/>
      <c r="AWF48" s="213"/>
      <c r="AWG48" s="212"/>
      <c r="AWK48" s="194" t="s">
        <v>106</v>
      </c>
      <c r="AWL48" s="194"/>
      <c r="AWM48" s="194"/>
      <c r="AWP48" s="212" t="s">
        <v>105</v>
      </c>
      <c r="AWQ48" s="212"/>
      <c r="AWR48" s="213"/>
      <c r="AWS48" s="212"/>
      <c r="AWW48" s="194" t="s">
        <v>106</v>
      </c>
      <c r="AWX48" s="194"/>
      <c r="AWY48" s="194"/>
      <c r="AXB48" s="212" t="s">
        <v>105</v>
      </c>
      <c r="AXC48" s="212"/>
      <c r="AXD48" s="213"/>
      <c r="AXE48" s="212"/>
      <c r="AXI48" s="194" t="s">
        <v>106</v>
      </c>
      <c r="AXJ48" s="194"/>
      <c r="AXK48" s="194"/>
      <c r="AXN48" s="212" t="s">
        <v>105</v>
      </c>
      <c r="AXO48" s="212"/>
      <c r="AXP48" s="213"/>
      <c r="AXQ48" s="212"/>
      <c r="AXU48" s="194" t="s">
        <v>106</v>
      </c>
      <c r="AXV48" s="194"/>
      <c r="AXW48" s="194"/>
      <c r="AXZ48" s="212" t="s">
        <v>105</v>
      </c>
      <c r="AYA48" s="212"/>
      <c r="AYB48" s="213"/>
      <c r="AYC48" s="212"/>
      <c r="AYG48" s="194" t="s">
        <v>106</v>
      </c>
      <c r="AYH48" s="194"/>
      <c r="AYI48" s="194"/>
      <c r="AYL48" s="212" t="s">
        <v>105</v>
      </c>
      <c r="AYM48" s="212"/>
      <c r="AYN48" s="213"/>
      <c r="AYO48" s="212"/>
      <c r="AYS48" s="194" t="s">
        <v>106</v>
      </c>
      <c r="AYT48" s="194"/>
      <c r="AYU48" s="194"/>
      <c r="AYX48" s="212" t="s">
        <v>105</v>
      </c>
      <c r="AYY48" s="212"/>
      <c r="AYZ48" s="213"/>
      <c r="AZA48" s="212"/>
      <c r="AZE48" s="194" t="s">
        <v>106</v>
      </c>
      <c r="AZF48" s="194"/>
      <c r="AZG48" s="194"/>
      <c r="AZJ48" s="212" t="s">
        <v>105</v>
      </c>
      <c r="AZK48" s="212"/>
      <c r="AZL48" s="213"/>
      <c r="AZM48" s="212"/>
      <c r="AZQ48" s="194" t="s">
        <v>106</v>
      </c>
      <c r="AZR48" s="194"/>
      <c r="AZS48" s="194"/>
      <c r="AZV48" s="212" t="s">
        <v>105</v>
      </c>
      <c r="AZW48" s="212"/>
      <c r="AZX48" s="213"/>
      <c r="AZY48" s="212"/>
      <c r="BAC48" s="194" t="s">
        <v>106</v>
      </c>
      <c r="BAD48" s="194"/>
      <c r="BAE48" s="194"/>
      <c r="BAH48" s="212" t="s">
        <v>105</v>
      </c>
      <c r="BAI48" s="212"/>
      <c r="BAJ48" s="213"/>
      <c r="BAK48" s="212"/>
      <c r="BAO48" s="194" t="s">
        <v>106</v>
      </c>
      <c r="BAP48" s="194"/>
      <c r="BAQ48" s="194"/>
      <c r="BAT48" s="212" t="s">
        <v>105</v>
      </c>
      <c r="BAU48" s="212"/>
      <c r="BAV48" s="213"/>
      <c r="BAW48" s="212"/>
      <c r="BBA48" s="194" t="s">
        <v>106</v>
      </c>
      <c r="BBB48" s="194"/>
      <c r="BBC48" s="194"/>
      <c r="BBF48" s="212" t="s">
        <v>105</v>
      </c>
      <c r="BBG48" s="212"/>
      <c r="BBH48" s="213"/>
      <c r="BBI48" s="212"/>
      <c r="BBM48" s="194" t="s">
        <v>106</v>
      </c>
      <c r="BBN48" s="194"/>
      <c r="BBO48" s="194"/>
      <c r="BBR48" s="212" t="s">
        <v>105</v>
      </c>
      <c r="BBS48" s="212"/>
      <c r="BBT48" s="213"/>
      <c r="BBU48" s="212"/>
      <c r="BBY48" s="194" t="s">
        <v>106</v>
      </c>
      <c r="BBZ48" s="194"/>
      <c r="BCA48" s="194"/>
      <c r="BCD48" s="212" t="s">
        <v>105</v>
      </c>
      <c r="BCE48" s="212"/>
      <c r="BCF48" s="213"/>
      <c r="BCG48" s="212"/>
      <c r="BCK48" s="194" t="s">
        <v>106</v>
      </c>
      <c r="BCL48" s="194"/>
      <c r="BCM48" s="194"/>
      <c r="BCP48" s="212" t="s">
        <v>105</v>
      </c>
      <c r="BCQ48" s="212"/>
      <c r="BCR48" s="213"/>
      <c r="BCS48" s="212"/>
      <c r="BCW48" s="194" t="s">
        <v>106</v>
      </c>
      <c r="BCX48" s="194"/>
      <c r="BCY48" s="194"/>
      <c r="BDB48" s="212" t="s">
        <v>105</v>
      </c>
      <c r="BDC48" s="212"/>
      <c r="BDD48" s="213"/>
      <c r="BDE48" s="212"/>
      <c r="BDI48" s="194" t="s">
        <v>106</v>
      </c>
      <c r="BDJ48" s="194"/>
      <c r="BDK48" s="194"/>
      <c r="BDN48" s="212" t="s">
        <v>105</v>
      </c>
      <c r="BDO48" s="212"/>
      <c r="BDP48" s="213"/>
      <c r="BDQ48" s="212"/>
      <c r="BDU48" s="194" t="s">
        <v>106</v>
      </c>
      <c r="BDV48" s="194"/>
      <c r="BDW48" s="194"/>
      <c r="BDZ48" s="212" t="s">
        <v>105</v>
      </c>
      <c r="BEA48" s="212"/>
      <c r="BEB48" s="213"/>
      <c r="BEC48" s="212"/>
      <c r="BEG48" s="194" t="s">
        <v>106</v>
      </c>
      <c r="BEH48" s="194"/>
      <c r="BEI48" s="194"/>
      <c r="BEL48" s="212" t="s">
        <v>105</v>
      </c>
      <c r="BEM48" s="212"/>
      <c r="BEN48" s="213"/>
      <c r="BEO48" s="212"/>
      <c r="BES48" s="194" t="s">
        <v>106</v>
      </c>
      <c r="BET48" s="194"/>
      <c r="BEU48" s="194"/>
      <c r="BEX48" s="212" t="s">
        <v>105</v>
      </c>
      <c r="BEY48" s="212"/>
      <c r="BEZ48" s="213"/>
      <c r="BFA48" s="212"/>
      <c r="BFE48" s="194" t="s">
        <v>106</v>
      </c>
      <c r="BFF48" s="194"/>
      <c r="BFG48" s="194"/>
      <c r="BFJ48" s="212" t="s">
        <v>105</v>
      </c>
      <c r="BFK48" s="212"/>
      <c r="BFL48" s="213"/>
      <c r="BFM48" s="212"/>
      <c r="BFQ48" s="194" t="s">
        <v>106</v>
      </c>
      <c r="BFR48" s="194"/>
      <c r="BFS48" s="194"/>
      <c r="BFV48" s="212" t="s">
        <v>105</v>
      </c>
      <c r="BFW48" s="212"/>
      <c r="BFX48" s="213"/>
      <c r="BFY48" s="212"/>
      <c r="BGC48" s="194" t="s">
        <v>106</v>
      </c>
      <c r="BGD48" s="194"/>
      <c r="BGE48" s="194"/>
      <c r="BGH48" s="212" t="s">
        <v>105</v>
      </c>
      <c r="BGI48" s="212"/>
      <c r="BGJ48" s="213"/>
      <c r="BGK48" s="212"/>
      <c r="BGO48" s="194" t="s">
        <v>106</v>
      </c>
      <c r="BGP48" s="194"/>
      <c r="BGQ48" s="194"/>
      <c r="BGT48" s="212" t="s">
        <v>105</v>
      </c>
      <c r="BGU48" s="212"/>
      <c r="BGV48" s="213"/>
      <c r="BGW48" s="212"/>
      <c r="BHA48" s="194" t="s">
        <v>106</v>
      </c>
      <c r="BHB48" s="194"/>
      <c r="BHC48" s="194"/>
      <c r="BHF48" s="212" t="s">
        <v>105</v>
      </c>
      <c r="BHG48" s="212"/>
      <c r="BHH48" s="213"/>
      <c r="BHI48" s="212"/>
      <c r="BHM48" s="194" t="s">
        <v>106</v>
      </c>
      <c r="BHN48" s="194"/>
      <c r="BHO48" s="194"/>
      <c r="BHR48" s="212" t="s">
        <v>105</v>
      </c>
      <c r="BHS48" s="212"/>
      <c r="BHT48" s="213"/>
      <c r="BHU48" s="212"/>
      <c r="BHY48" s="194" t="s">
        <v>106</v>
      </c>
      <c r="BHZ48" s="194"/>
      <c r="BIA48" s="194"/>
      <c r="BID48" s="212" t="s">
        <v>105</v>
      </c>
      <c r="BIE48" s="212"/>
      <c r="BIF48" s="213"/>
      <c r="BIG48" s="212"/>
      <c r="BIK48" s="194" t="s">
        <v>106</v>
      </c>
      <c r="BIL48" s="194"/>
      <c r="BIM48" s="194"/>
      <c r="BIP48" s="212" t="s">
        <v>105</v>
      </c>
      <c r="BIQ48" s="212"/>
      <c r="BIR48" s="213"/>
      <c r="BIS48" s="212"/>
      <c r="BIW48" s="194" t="s">
        <v>106</v>
      </c>
      <c r="BIX48" s="194"/>
      <c r="BIY48" s="194"/>
      <c r="BJB48" s="212" t="s">
        <v>105</v>
      </c>
      <c r="BJC48" s="212"/>
      <c r="BJD48" s="213"/>
      <c r="BJE48" s="212"/>
      <c r="BJI48" s="194" t="s">
        <v>106</v>
      </c>
      <c r="BJJ48" s="194"/>
      <c r="BJK48" s="194"/>
      <c r="BJN48" s="212" t="s">
        <v>105</v>
      </c>
      <c r="BJO48" s="212"/>
      <c r="BJP48" s="213"/>
      <c r="BJQ48" s="212"/>
      <c r="BJU48" s="194" t="s">
        <v>106</v>
      </c>
      <c r="BJV48" s="194"/>
      <c r="BJW48" s="194"/>
      <c r="BJZ48" s="212" t="s">
        <v>105</v>
      </c>
      <c r="BKA48" s="212"/>
      <c r="BKB48" s="213"/>
      <c r="BKC48" s="212"/>
      <c r="BKG48" s="194" t="s">
        <v>106</v>
      </c>
      <c r="BKH48" s="194"/>
      <c r="BKI48" s="194"/>
      <c r="BKL48" s="212" t="s">
        <v>105</v>
      </c>
      <c r="BKM48" s="212"/>
      <c r="BKN48" s="213"/>
      <c r="BKO48" s="212"/>
      <c r="BKS48" s="194" t="s">
        <v>106</v>
      </c>
      <c r="BKT48" s="194"/>
      <c r="BKU48" s="194"/>
      <c r="BKX48" s="212" t="s">
        <v>105</v>
      </c>
      <c r="BKY48" s="212"/>
      <c r="BKZ48" s="213"/>
      <c r="BLA48" s="212"/>
      <c r="BLE48" s="194" t="s">
        <v>106</v>
      </c>
      <c r="BLF48" s="194"/>
      <c r="BLG48" s="194"/>
      <c r="BLJ48" s="212" t="s">
        <v>105</v>
      </c>
      <c r="BLK48" s="212"/>
      <c r="BLL48" s="213"/>
      <c r="BLM48" s="212"/>
      <c r="BLQ48" s="194" t="s">
        <v>106</v>
      </c>
      <c r="BLR48" s="194"/>
      <c r="BLS48" s="194"/>
      <c r="BLV48" s="212" t="s">
        <v>105</v>
      </c>
      <c r="BLW48" s="212"/>
      <c r="BLX48" s="213"/>
      <c r="BLY48" s="212"/>
      <c r="BMC48" s="194" t="s">
        <v>106</v>
      </c>
      <c r="BMD48" s="194"/>
      <c r="BME48" s="194"/>
      <c r="BMH48" s="212" t="s">
        <v>105</v>
      </c>
      <c r="BMI48" s="212"/>
      <c r="BMJ48" s="213"/>
      <c r="BMK48" s="212"/>
      <c r="BMO48" s="194" t="s">
        <v>106</v>
      </c>
      <c r="BMP48" s="194"/>
      <c r="BMQ48" s="194"/>
      <c r="BMT48" s="212" t="s">
        <v>105</v>
      </c>
      <c r="BMU48" s="212"/>
      <c r="BMV48" s="213"/>
      <c r="BMW48" s="212"/>
      <c r="BNA48" s="194" t="s">
        <v>106</v>
      </c>
      <c r="BNB48" s="194"/>
      <c r="BNC48" s="194"/>
      <c r="BNF48" s="212" t="s">
        <v>105</v>
      </c>
      <c r="BNG48" s="212"/>
      <c r="BNH48" s="213"/>
      <c r="BNI48" s="212"/>
      <c r="BNM48" s="194" t="s">
        <v>106</v>
      </c>
      <c r="BNN48" s="194"/>
      <c r="BNO48" s="194"/>
      <c r="BNR48" s="212" t="s">
        <v>105</v>
      </c>
      <c r="BNS48" s="212"/>
      <c r="BNT48" s="213"/>
      <c r="BNU48" s="212"/>
      <c r="BNY48" s="194" t="s">
        <v>106</v>
      </c>
      <c r="BNZ48" s="194"/>
      <c r="BOA48" s="194"/>
      <c r="BOD48" s="212" t="s">
        <v>105</v>
      </c>
      <c r="BOE48" s="212"/>
      <c r="BOF48" s="213"/>
      <c r="BOG48" s="212"/>
      <c r="BOK48" s="194" t="s">
        <v>106</v>
      </c>
      <c r="BOL48" s="194"/>
      <c r="BOM48" s="194"/>
      <c r="BOP48" s="212" t="s">
        <v>105</v>
      </c>
      <c r="BOQ48" s="212"/>
      <c r="BOR48" s="213"/>
      <c r="BOS48" s="212"/>
      <c r="BOW48" s="194" t="s">
        <v>106</v>
      </c>
      <c r="BOX48" s="194"/>
      <c r="BOY48" s="194"/>
      <c r="BPB48" s="212" t="s">
        <v>105</v>
      </c>
      <c r="BPC48" s="212"/>
      <c r="BPD48" s="213"/>
      <c r="BPE48" s="212"/>
      <c r="BPI48" s="194" t="s">
        <v>106</v>
      </c>
      <c r="BPJ48" s="194"/>
      <c r="BPK48" s="194"/>
      <c r="BPN48" s="212" t="s">
        <v>105</v>
      </c>
      <c r="BPO48" s="212"/>
      <c r="BPP48" s="213"/>
      <c r="BPQ48" s="212"/>
      <c r="BPU48" s="194" t="s">
        <v>106</v>
      </c>
      <c r="BPV48" s="194"/>
      <c r="BPW48" s="194"/>
      <c r="BPZ48" s="212" t="s">
        <v>105</v>
      </c>
      <c r="BQA48" s="212"/>
      <c r="BQB48" s="213"/>
      <c r="BQC48" s="212"/>
      <c r="BQG48" s="194" t="s">
        <v>106</v>
      </c>
      <c r="BQH48" s="194"/>
      <c r="BQI48" s="194"/>
      <c r="BQL48" s="212" t="s">
        <v>105</v>
      </c>
      <c r="BQM48" s="212"/>
      <c r="BQN48" s="213"/>
      <c r="BQO48" s="212"/>
      <c r="BQS48" s="194" t="s">
        <v>106</v>
      </c>
      <c r="BQT48" s="194"/>
      <c r="BQU48" s="194"/>
      <c r="BQX48" s="212" t="s">
        <v>105</v>
      </c>
      <c r="BQY48" s="212"/>
      <c r="BQZ48" s="213"/>
      <c r="BRA48" s="212"/>
      <c r="BRE48" s="194" t="s">
        <v>106</v>
      </c>
      <c r="BRF48" s="194"/>
      <c r="BRG48" s="194"/>
      <c r="BRJ48" s="212" t="s">
        <v>105</v>
      </c>
      <c r="BRK48" s="212"/>
      <c r="BRL48" s="213"/>
      <c r="BRM48" s="212"/>
      <c r="BRQ48" s="194" t="s">
        <v>106</v>
      </c>
      <c r="BRR48" s="194"/>
      <c r="BRS48" s="194"/>
      <c r="BRV48" s="212" t="s">
        <v>105</v>
      </c>
      <c r="BRW48" s="212"/>
      <c r="BRX48" s="213"/>
      <c r="BRY48" s="212"/>
      <c r="BSC48" s="194" t="s">
        <v>106</v>
      </c>
      <c r="BSD48" s="194"/>
      <c r="BSE48" s="194"/>
      <c r="BSH48" s="212" t="s">
        <v>105</v>
      </c>
      <c r="BSI48" s="212"/>
      <c r="BSJ48" s="213"/>
      <c r="BSK48" s="212"/>
      <c r="BSO48" s="194" t="s">
        <v>106</v>
      </c>
      <c r="BSP48" s="194"/>
      <c r="BSQ48" s="194"/>
      <c r="BST48" s="212" t="s">
        <v>105</v>
      </c>
      <c r="BSU48" s="212"/>
      <c r="BSV48" s="213"/>
      <c r="BSW48" s="212"/>
      <c r="BTA48" s="194" t="s">
        <v>106</v>
      </c>
      <c r="BTB48" s="194"/>
      <c r="BTC48" s="194"/>
      <c r="BTF48" s="212" t="s">
        <v>105</v>
      </c>
      <c r="BTG48" s="212"/>
      <c r="BTH48" s="213"/>
      <c r="BTI48" s="212"/>
      <c r="BTM48" s="194" t="s">
        <v>106</v>
      </c>
      <c r="BTN48" s="194"/>
      <c r="BTO48" s="194"/>
      <c r="BTR48" s="212" t="s">
        <v>105</v>
      </c>
      <c r="BTS48" s="212"/>
      <c r="BTT48" s="213"/>
      <c r="BTU48" s="212"/>
      <c r="BTY48" s="194" t="s">
        <v>106</v>
      </c>
      <c r="BTZ48" s="194"/>
      <c r="BUA48" s="194"/>
      <c r="BUD48" s="212" t="s">
        <v>105</v>
      </c>
      <c r="BUE48" s="212"/>
      <c r="BUF48" s="213"/>
      <c r="BUG48" s="212"/>
      <c r="BUK48" s="194" t="s">
        <v>106</v>
      </c>
      <c r="BUL48" s="194"/>
      <c r="BUM48" s="194"/>
      <c r="BUP48" s="212" t="s">
        <v>105</v>
      </c>
      <c r="BUQ48" s="212"/>
      <c r="BUR48" s="213"/>
      <c r="BUS48" s="212"/>
      <c r="BUW48" s="194" t="s">
        <v>106</v>
      </c>
      <c r="BUX48" s="194"/>
      <c r="BUY48" s="194"/>
      <c r="BVB48" s="212" t="s">
        <v>105</v>
      </c>
      <c r="BVC48" s="212"/>
      <c r="BVD48" s="213"/>
      <c r="BVE48" s="212"/>
      <c r="BVI48" s="194" t="s">
        <v>106</v>
      </c>
      <c r="BVJ48" s="194"/>
      <c r="BVK48" s="194"/>
      <c r="BVN48" s="212" t="s">
        <v>105</v>
      </c>
      <c r="BVO48" s="212"/>
      <c r="BVP48" s="213"/>
      <c r="BVQ48" s="212"/>
      <c r="BVU48" s="194" t="s">
        <v>106</v>
      </c>
      <c r="BVV48" s="194"/>
      <c r="BVW48" s="194"/>
      <c r="BVZ48" s="212" t="s">
        <v>105</v>
      </c>
      <c r="BWA48" s="212"/>
      <c r="BWB48" s="213"/>
      <c r="BWC48" s="212"/>
      <c r="BWG48" s="194" t="s">
        <v>106</v>
      </c>
      <c r="BWH48" s="194"/>
      <c r="BWI48" s="194"/>
      <c r="BWL48" s="212" t="s">
        <v>105</v>
      </c>
      <c r="BWM48" s="212"/>
      <c r="BWN48" s="213"/>
      <c r="BWO48" s="212"/>
      <c r="BWS48" s="194" t="s">
        <v>106</v>
      </c>
      <c r="BWT48" s="194"/>
      <c r="BWU48" s="194"/>
      <c r="BWX48" s="212" t="s">
        <v>105</v>
      </c>
      <c r="BWY48" s="212"/>
      <c r="BWZ48" s="213"/>
      <c r="BXA48" s="212"/>
      <c r="BXE48" s="194" t="s">
        <v>106</v>
      </c>
      <c r="BXF48" s="194"/>
      <c r="BXG48" s="194"/>
      <c r="BXJ48" s="212" t="s">
        <v>105</v>
      </c>
      <c r="BXK48" s="212"/>
      <c r="BXL48" s="213"/>
      <c r="BXM48" s="212"/>
      <c r="BXQ48" s="194" t="s">
        <v>106</v>
      </c>
      <c r="BXR48" s="194"/>
      <c r="BXS48" s="194"/>
      <c r="BXV48" s="212" t="s">
        <v>105</v>
      </c>
      <c r="BXW48" s="212"/>
      <c r="BXX48" s="213"/>
      <c r="BXY48" s="212"/>
      <c r="BYC48" s="194" t="s">
        <v>106</v>
      </c>
      <c r="BYD48" s="194"/>
      <c r="BYE48" s="194"/>
      <c r="BYH48" s="212" t="s">
        <v>105</v>
      </c>
      <c r="BYI48" s="212"/>
      <c r="BYJ48" s="213"/>
      <c r="BYK48" s="212"/>
      <c r="BYO48" s="194" t="s">
        <v>106</v>
      </c>
      <c r="BYP48" s="194"/>
      <c r="BYQ48" s="194"/>
      <c r="BYT48" s="212" t="s">
        <v>105</v>
      </c>
      <c r="BYU48" s="212"/>
      <c r="BYV48" s="213"/>
      <c r="BYW48" s="212"/>
      <c r="BZA48" s="194" t="s">
        <v>106</v>
      </c>
      <c r="BZB48" s="194"/>
      <c r="BZC48" s="194"/>
      <c r="BZF48" s="212" t="s">
        <v>105</v>
      </c>
      <c r="BZG48" s="212"/>
      <c r="BZH48" s="213"/>
      <c r="BZI48" s="212"/>
      <c r="BZM48" s="194" t="s">
        <v>106</v>
      </c>
      <c r="BZN48" s="194"/>
      <c r="BZO48" s="194"/>
      <c r="BZR48" s="212" t="s">
        <v>105</v>
      </c>
      <c r="BZS48" s="212"/>
      <c r="BZT48" s="213"/>
      <c r="BZU48" s="212"/>
      <c r="BZY48" s="194" t="s">
        <v>106</v>
      </c>
      <c r="BZZ48" s="194"/>
      <c r="CAA48" s="194"/>
      <c r="CAD48" s="212" t="s">
        <v>105</v>
      </c>
      <c r="CAE48" s="212"/>
      <c r="CAF48" s="213"/>
      <c r="CAG48" s="212"/>
      <c r="CAK48" s="194" t="s">
        <v>106</v>
      </c>
      <c r="CAL48" s="194"/>
      <c r="CAM48" s="194"/>
      <c r="CAP48" s="212" t="s">
        <v>105</v>
      </c>
      <c r="CAQ48" s="212"/>
      <c r="CAR48" s="213"/>
      <c r="CAS48" s="212"/>
      <c r="CAW48" s="194" t="s">
        <v>106</v>
      </c>
      <c r="CAX48" s="194"/>
      <c r="CAY48" s="194"/>
      <c r="CBB48" s="212" t="s">
        <v>105</v>
      </c>
      <c r="CBC48" s="212"/>
      <c r="CBD48" s="213"/>
      <c r="CBE48" s="212"/>
      <c r="CBI48" s="194" t="s">
        <v>106</v>
      </c>
      <c r="CBJ48" s="194"/>
      <c r="CBK48" s="194"/>
      <c r="CBN48" s="212" t="s">
        <v>105</v>
      </c>
      <c r="CBO48" s="212"/>
      <c r="CBP48" s="213"/>
      <c r="CBQ48" s="212"/>
      <c r="CBU48" s="194" t="s">
        <v>106</v>
      </c>
      <c r="CBV48" s="194"/>
      <c r="CBW48" s="194"/>
      <c r="CBZ48" s="212" t="s">
        <v>105</v>
      </c>
      <c r="CCA48" s="212"/>
      <c r="CCB48" s="213"/>
      <c r="CCC48" s="212"/>
      <c r="CCG48" s="194" t="s">
        <v>106</v>
      </c>
      <c r="CCH48" s="194"/>
      <c r="CCI48" s="194"/>
      <c r="CCL48" s="212" t="s">
        <v>105</v>
      </c>
      <c r="CCM48" s="212"/>
      <c r="CCN48" s="213"/>
      <c r="CCO48" s="212"/>
      <c r="CCS48" s="194" t="s">
        <v>106</v>
      </c>
      <c r="CCT48" s="194"/>
      <c r="CCU48" s="194"/>
      <c r="CCX48" s="212" t="s">
        <v>105</v>
      </c>
      <c r="CCY48" s="212"/>
      <c r="CCZ48" s="213"/>
      <c r="CDA48" s="212"/>
      <c r="CDE48" s="194" t="s">
        <v>106</v>
      </c>
      <c r="CDF48" s="194"/>
      <c r="CDG48" s="194"/>
      <c r="CDJ48" s="212" t="s">
        <v>105</v>
      </c>
      <c r="CDK48" s="212"/>
      <c r="CDL48" s="213"/>
      <c r="CDM48" s="212"/>
      <c r="CDQ48" s="194" t="s">
        <v>106</v>
      </c>
      <c r="CDR48" s="194"/>
      <c r="CDS48" s="194"/>
      <c r="CDV48" s="212" t="s">
        <v>105</v>
      </c>
      <c r="CDW48" s="212"/>
      <c r="CDX48" s="213"/>
      <c r="CDY48" s="212"/>
      <c r="CEC48" s="194" t="s">
        <v>106</v>
      </c>
      <c r="CED48" s="194"/>
      <c r="CEE48" s="194"/>
      <c r="CEH48" s="212" t="s">
        <v>105</v>
      </c>
      <c r="CEI48" s="212"/>
      <c r="CEJ48" s="213"/>
      <c r="CEK48" s="212"/>
      <c r="CEO48" s="194" t="s">
        <v>106</v>
      </c>
      <c r="CEP48" s="194"/>
      <c r="CEQ48" s="194"/>
      <c r="CET48" s="212" t="s">
        <v>105</v>
      </c>
      <c r="CEU48" s="212"/>
      <c r="CEV48" s="213"/>
      <c r="CEW48" s="212"/>
      <c r="CFA48" s="194" t="s">
        <v>106</v>
      </c>
      <c r="CFB48" s="194"/>
      <c r="CFC48" s="194"/>
      <c r="CFF48" s="212" t="s">
        <v>105</v>
      </c>
      <c r="CFG48" s="212"/>
      <c r="CFH48" s="213"/>
      <c r="CFI48" s="212"/>
      <c r="CFM48" s="194" t="s">
        <v>106</v>
      </c>
      <c r="CFN48" s="194"/>
      <c r="CFO48" s="194"/>
      <c r="CFR48" s="212" t="s">
        <v>105</v>
      </c>
      <c r="CFS48" s="212"/>
      <c r="CFT48" s="213"/>
      <c r="CFU48" s="212"/>
      <c r="CFY48" s="194" t="s">
        <v>106</v>
      </c>
      <c r="CFZ48" s="194"/>
      <c r="CGA48" s="194"/>
      <c r="CGD48" s="212" t="s">
        <v>105</v>
      </c>
      <c r="CGE48" s="212"/>
      <c r="CGF48" s="213"/>
      <c r="CGG48" s="212"/>
      <c r="CGK48" s="194" t="s">
        <v>106</v>
      </c>
      <c r="CGL48" s="194"/>
      <c r="CGM48" s="194"/>
      <c r="CGP48" s="212" t="s">
        <v>105</v>
      </c>
      <c r="CGQ48" s="212"/>
      <c r="CGR48" s="213"/>
      <c r="CGS48" s="212"/>
      <c r="CGW48" s="194" t="s">
        <v>106</v>
      </c>
      <c r="CGX48" s="194"/>
      <c r="CGY48" s="194"/>
      <c r="CHB48" s="212" t="s">
        <v>105</v>
      </c>
      <c r="CHC48" s="212"/>
      <c r="CHD48" s="213"/>
      <c r="CHE48" s="212"/>
      <c r="CHI48" s="194" t="s">
        <v>106</v>
      </c>
      <c r="CHJ48" s="194"/>
      <c r="CHK48" s="194"/>
      <c r="CHN48" s="212" t="s">
        <v>105</v>
      </c>
      <c r="CHO48" s="212"/>
      <c r="CHP48" s="213"/>
      <c r="CHQ48" s="212"/>
      <c r="CHU48" s="194" t="s">
        <v>106</v>
      </c>
      <c r="CHV48" s="194"/>
      <c r="CHW48" s="194"/>
      <c r="CHZ48" s="212" t="s">
        <v>105</v>
      </c>
      <c r="CIA48" s="212"/>
      <c r="CIB48" s="213"/>
      <c r="CIC48" s="212"/>
      <c r="CIG48" s="194" t="s">
        <v>106</v>
      </c>
      <c r="CIH48" s="194"/>
      <c r="CII48" s="194"/>
      <c r="CIL48" s="212" t="s">
        <v>105</v>
      </c>
      <c r="CIM48" s="212"/>
      <c r="CIN48" s="213"/>
      <c r="CIO48" s="212"/>
      <c r="CIS48" s="194" t="s">
        <v>106</v>
      </c>
      <c r="CIT48" s="194"/>
      <c r="CIU48" s="194"/>
      <c r="CIX48" s="212" t="s">
        <v>105</v>
      </c>
      <c r="CIY48" s="212"/>
      <c r="CIZ48" s="213"/>
      <c r="CJA48" s="212"/>
      <c r="CJE48" s="194" t="s">
        <v>106</v>
      </c>
      <c r="CJF48" s="194"/>
      <c r="CJG48" s="194"/>
      <c r="CJJ48" s="212" t="s">
        <v>105</v>
      </c>
      <c r="CJK48" s="212"/>
      <c r="CJL48" s="213"/>
      <c r="CJM48" s="212"/>
      <c r="CJQ48" s="194" t="s">
        <v>106</v>
      </c>
      <c r="CJR48" s="194"/>
      <c r="CJS48" s="194"/>
      <c r="CJV48" s="212" t="s">
        <v>105</v>
      </c>
      <c r="CJW48" s="212"/>
      <c r="CJX48" s="213"/>
      <c r="CJY48" s="212"/>
      <c r="CKC48" s="194" t="s">
        <v>106</v>
      </c>
      <c r="CKD48" s="194"/>
      <c r="CKE48" s="194"/>
      <c r="CKH48" s="212" t="s">
        <v>105</v>
      </c>
      <c r="CKI48" s="212"/>
      <c r="CKJ48" s="213"/>
      <c r="CKK48" s="212"/>
      <c r="CKO48" s="194" t="s">
        <v>106</v>
      </c>
      <c r="CKP48" s="194"/>
      <c r="CKQ48" s="194"/>
      <c r="CKT48" s="212" t="s">
        <v>105</v>
      </c>
      <c r="CKU48" s="212"/>
      <c r="CKV48" s="213"/>
      <c r="CKW48" s="212"/>
      <c r="CLA48" s="194" t="s">
        <v>106</v>
      </c>
      <c r="CLB48" s="194"/>
      <c r="CLC48" s="194"/>
      <c r="CLF48" s="212" t="s">
        <v>105</v>
      </c>
      <c r="CLG48" s="212"/>
      <c r="CLH48" s="213"/>
      <c r="CLI48" s="212"/>
      <c r="CLM48" s="194" t="s">
        <v>106</v>
      </c>
      <c r="CLN48" s="194"/>
      <c r="CLO48" s="194"/>
      <c r="CLR48" s="212" t="s">
        <v>105</v>
      </c>
      <c r="CLS48" s="212"/>
      <c r="CLT48" s="213"/>
      <c r="CLU48" s="212"/>
      <c r="CLY48" s="194" t="s">
        <v>106</v>
      </c>
      <c r="CLZ48" s="194"/>
      <c r="CMA48" s="194"/>
      <c r="CMD48" s="212" t="s">
        <v>105</v>
      </c>
      <c r="CME48" s="212"/>
      <c r="CMF48" s="213"/>
      <c r="CMG48" s="212"/>
      <c r="CMK48" s="194" t="s">
        <v>106</v>
      </c>
      <c r="CML48" s="194"/>
      <c r="CMM48" s="194"/>
      <c r="CMP48" s="212" t="s">
        <v>105</v>
      </c>
      <c r="CMQ48" s="212"/>
      <c r="CMR48" s="213"/>
      <c r="CMS48" s="212"/>
      <c r="CMW48" s="194" t="s">
        <v>106</v>
      </c>
      <c r="CMX48" s="194"/>
      <c r="CMY48" s="194"/>
      <c r="CNB48" s="212" t="s">
        <v>105</v>
      </c>
      <c r="CNC48" s="212"/>
      <c r="CND48" s="213"/>
      <c r="CNE48" s="212"/>
      <c r="CNI48" s="194" t="s">
        <v>106</v>
      </c>
      <c r="CNJ48" s="194"/>
      <c r="CNK48" s="194"/>
      <c r="CNN48" s="212" t="s">
        <v>105</v>
      </c>
      <c r="CNO48" s="212"/>
      <c r="CNP48" s="213"/>
      <c r="CNQ48" s="212"/>
      <c r="CNU48" s="194" t="s">
        <v>106</v>
      </c>
      <c r="CNV48" s="194"/>
      <c r="CNW48" s="194"/>
      <c r="CNZ48" s="212" t="s">
        <v>105</v>
      </c>
      <c r="COA48" s="212"/>
      <c r="COB48" s="213"/>
      <c r="COC48" s="212"/>
      <c r="COG48" s="194" t="s">
        <v>106</v>
      </c>
      <c r="COH48" s="194"/>
      <c r="COI48" s="194"/>
      <c r="COL48" s="212" t="s">
        <v>105</v>
      </c>
      <c r="COM48" s="212"/>
      <c r="CON48" s="213"/>
      <c r="COO48" s="212"/>
      <c r="COS48" s="194" t="s">
        <v>106</v>
      </c>
      <c r="COT48" s="194"/>
      <c r="COU48" s="194"/>
      <c r="COX48" s="212" t="s">
        <v>105</v>
      </c>
      <c r="COY48" s="212"/>
      <c r="COZ48" s="213"/>
      <c r="CPA48" s="212"/>
      <c r="CPE48" s="194" t="s">
        <v>106</v>
      </c>
      <c r="CPF48" s="194"/>
      <c r="CPG48" s="194"/>
      <c r="CPJ48" s="212" t="s">
        <v>105</v>
      </c>
      <c r="CPK48" s="212"/>
      <c r="CPL48" s="213"/>
      <c r="CPM48" s="212"/>
      <c r="CPQ48" s="194" t="s">
        <v>106</v>
      </c>
      <c r="CPR48" s="194"/>
      <c r="CPS48" s="194"/>
      <c r="CPV48" s="212" t="s">
        <v>105</v>
      </c>
      <c r="CPW48" s="212"/>
      <c r="CPX48" s="213"/>
      <c r="CPY48" s="212"/>
      <c r="CQC48" s="194" t="s">
        <v>106</v>
      </c>
      <c r="CQD48" s="194"/>
      <c r="CQE48" s="194"/>
      <c r="CQH48" s="212" t="s">
        <v>105</v>
      </c>
      <c r="CQI48" s="212"/>
      <c r="CQJ48" s="213"/>
      <c r="CQK48" s="212"/>
      <c r="CQO48" s="194" t="s">
        <v>106</v>
      </c>
      <c r="CQP48" s="194"/>
      <c r="CQQ48" s="194"/>
      <c r="CQT48" s="212" t="s">
        <v>105</v>
      </c>
      <c r="CQU48" s="212"/>
      <c r="CQV48" s="213"/>
      <c r="CQW48" s="212"/>
      <c r="CRA48" s="194" t="s">
        <v>106</v>
      </c>
      <c r="CRB48" s="194"/>
      <c r="CRC48" s="194"/>
      <c r="CRF48" s="212" t="s">
        <v>105</v>
      </c>
      <c r="CRG48" s="212"/>
      <c r="CRH48" s="213"/>
      <c r="CRI48" s="212"/>
      <c r="CRM48" s="194" t="s">
        <v>106</v>
      </c>
      <c r="CRN48" s="194"/>
      <c r="CRO48" s="194"/>
      <c r="CRR48" s="212" t="s">
        <v>105</v>
      </c>
      <c r="CRS48" s="212"/>
      <c r="CRT48" s="213"/>
      <c r="CRU48" s="212"/>
      <c r="CRY48" s="194" t="s">
        <v>106</v>
      </c>
      <c r="CRZ48" s="194"/>
      <c r="CSA48" s="194"/>
      <c r="CSD48" s="212" t="s">
        <v>105</v>
      </c>
      <c r="CSE48" s="212"/>
      <c r="CSF48" s="213"/>
      <c r="CSG48" s="212"/>
      <c r="CSK48" s="194" t="s">
        <v>106</v>
      </c>
      <c r="CSL48" s="194"/>
      <c r="CSM48" s="194"/>
      <c r="CSP48" s="212" t="s">
        <v>105</v>
      </c>
      <c r="CSQ48" s="212"/>
      <c r="CSR48" s="213"/>
      <c r="CSS48" s="212"/>
      <c r="CSW48" s="194" t="s">
        <v>106</v>
      </c>
      <c r="CSX48" s="194"/>
      <c r="CSY48" s="194"/>
      <c r="CTB48" s="212" t="s">
        <v>105</v>
      </c>
      <c r="CTC48" s="212"/>
      <c r="CTD48" s="213"/>
      <c r="CTE48" s="212"/>
      <c r="CTI48" s="194" t="s">
        <v>106</v>
      </c>
      <c r="CTJ48" s="194"/>
      <c r="CTK48" s="194"/>
      <c r="CTN48" s="212" t="s">
        <v>105</v>
      </c>
      <c r="CTO48" s="212"/>
      <c r="CTP48" s="213"/>
      <c r="CTQ48" s="212"/>
      <c r="CTU48" s="194" t="s">
        <v>106</v>
      </c>
      <c r="CTV48" s="194"/>
      <c r="CTW48" s="194"/>
      <c r="CTZ48" s="212" t="s">
        <v>105</v>
      </c>
      <c r="CUA48" s="212"/>
      <c r="CUB48" s="213"/>
      <c r="CUC48" s="212"/>
      <c r="CUG48" s="194" t="s">
        <v>106</v>
      </c>
      <c r="CUH48" s="194"/>
      <c r="CUI48" s="194"/>
      <c r="CUL48" s="212" t="s">
        <v>105</v>
      </c>
      <c r="CUM48" s="212"/>
      <c r="CUN48" s="213"/>
      <c r="CUO48" s="212"/>
      <c r="CUS48" s="194" t="s">
        <v>106</v>
      </c>
      <c r="CUT48" s="194"/>
      <c r="CUU48" s="194"/>
      <c r="CUX48" s="212" t="s">
        <v>105</v>
      </c>
      <c r="CUY48" s="212"/>
      <c r="CUZ48" s="213"/>
      <c r="CVA48" s="212"/>
      <c r="CVE48" s="194" t="s">
        <v>106</v>
      </c>
      <c r="CVF48" s="194"/>
      <c r="CVG48" s="194"/>
      <c r="CVJ48" s="212" t="s">
        <v>105</v>
      </c>
      <c r="CVK48" s="212"/>
      <c r="CVL48" s="213"/>
      <c r="CVM48" s="212"/>
      <c r="CVQ48" s="194" t="s">
        <v>106</v>
      </c>
      <c r="CVR48" s="194"/>
      <c r="CVS48" s="194"/>
      <c r="CVV48" s="212" t="s">
        <v>105</v>
      </c>
      <c r="CVW48" s="212"/>
      <c r="CVX48" s="213"/>
      <c r="CVY48" s="212"/>
      <c r="CWC48" s="194" t="s">
        <v>106</v>
      </c>
      <c r="CWD48" s="194"/>
      <c r="CWE48" s="194"/>
    </row>
    <row r="49" spans="2:1023 1026:2631" x14ac:dyDescent="0.25">
      <c r="F49" s="80"/>
      <c r="G49" s="80"/>
      <c r="J49" s="80"/>
      <c r="K49" s="80"/>
      <c r="T49" s="80"/>
      <c r="U49" s="80"/>
      <c r="X49" s="80"/>
      <c r="Y49" s="80"/>
      <c r="AH49" s="80"/>
      <c r="AI49" s="80"/>
      <c r="AL49" s="80"/>
      <c r="AM49" s="80"/>
      <c r="AV49" s="80"/>
      <c r="AW49" s="80"/>
      <c r="AZ49" s="80"/>
      <c r="BA49" s="80"/>
      <c r="BJ49" s="80"/>
      <c r="BK49" s="80"/>
      <c r="BN49" s="80"/>
      <c r="BO49" s="80"/>
      <c r="BX49" s="80"/>
      <c r="BY49" s="80"/>
      <c r="CB49" s="80"/>
      <c r="CC49" s="80"/>
      <c r="CL49" s="80"/>
      <c r="CM49" s="80"/>
      <c r="CP49" s="80"/>
      <c r="CQ49" s="80"/>
      <c r="CZ49" s="80"/>
      <c r="DA49" s="80"/>
      <c r="DD49" s="80"/>
      <c r="DE49" s="80"/>
      <c r="DN49" s="80"/>
      <c r="DO49" s="80"/>
      <c r="DR49" s="80"/>
      <c r="DS49" s="80"/>
      <c r="EB49" s="80"/>
      <c r="EC49" s="80"/>
      <c r="EF49" s="80"/>
      <c r="EG49" s="80"/>
      <c r="EP49" s="80"/>
      <c r="EQ49" s="80"/>
      <c r="ET49" s="80"/>
      <c r="EU49" s="80"/>
      <c r="FD49" s="80"/>
      <c r="FE49" s="80"/>
      <c r="FH49" s="80"/>
      <c r="FI49" s="80"/>
      <c r="FR49" s="80"/>
      <c r="FS49" s="80"/>
      <c r="FV49" s="80"/>
      <c r="FW49" s="80"/>
      <c r="GF49" s="80"/>
      <c r="GG49" s="80"/>
      <c r="GJ49" s="80"/>
      <c r="GK49" s="80"/>
      <c r="GT49" s="80"/>
      <c r="GU49" s="80"/>
      <c r="GX49" s="80"/>
      <c r="GY49" s="80"/>
      <c r="HH49" s="80"/>
      <c r="HI49" s="80"/>
      <c r="HL49" s="80"/>
      <c r="HM49" s="80"/>
      <c r="HV49" s="80"/>
      <c r="HW49" s="80"/>
      <c r="HZ49" s="80"/>
      <c r="IA49" s="80"/>
      <c r="IJ49" s="80"/>
      <c r="IK49" s="80"/>
      <c r="IN49" s="80"/>
      <c r="IO49" s="80"/>
      <c r="IX49" s="80"/>
      <c r="IY49" s="80"/>
      <c r="JB49" s="80"/>
      <c r="JC49" s="80"/>
      <c r="JL49" s="80"/>
      <c r="JM49" s="80"/>
      <c r="JP49" s="80"/>
      <c r="JQ49" s="80"/>
      <c r="JZ49" s="80"/>
      <c r="KA49" s="80"/>
      <c r="KD49" s="80"/>
      <c r="KE49" s="80"/>
      <c r="KN49" s="80"/>
      <c r="KO49" s="80"/>
      <c r="KR49" s="80"/>
      <c r="KS49" s="80"/>
      <c r="LB49" s="80"/>
      <c r="LC49" s="80"/>
      <c r="LF49" s="80"/>
      <c r="LG49" s="80"/>
      <c r="LP49" s="80"/>
      <c r="LQ49" s="80"/>
      <c r="LT49" s="80"/>
      <c r="LU49" s="80"/>
      <c r="MD49" s="80"/>
      <c r="ME49" s="80"/>
      <c r="MH49" s="80"/>
      <c r="MI49" s="80"/>
      <c r="MR49" s="80"/>
      <c r="MS49" s="80"/>
      <c r="MV49" s="80"/>
      <c r="MW49" s="80"/>
      <c r="NF49" s="80"/>
      <c r="NG49" s="80"/>
      <c r="NJ49" s="80"/>
      <c r="NK49" s="80"/>
      <c r="NT49" s="80"/>
      <c r="NU49" s="80"/>
      <c r="NX49" s="80"/>
      <c r="NY49" s="80"/>
      <c r="OH49" s="80"/>
      <c r="OI49" s="80"/>
      <c r="OL49" s="80"/>
      <c r="OM49" s="80"/>
      <c r="OV49" s="80"/>
      <c r="OW49" s="80"/>
      <c r="OZ49" s="80"/>
      <c r="PA49" s="80"/>
      <c r="PJ49" s="80"/>
      <c r="PK49" s="80"/>
      <c r="PN49" s="80"/>
      <c r="PO49" s="80"/>
      <c r="PX49" s="80"/>
      <c r="PY49" s="80"/>
      <c r="QB49" s="80"/>
      <c r="QC49" s="80"/>
      <c r="QL49" s="80"/>
      <c r="QM49" s="80"/>
      <c r="QP49" s="80"/>
      <c r="QQ49" s="80"/>
      <c r="QZ49" s="80"/>
      <c r="RA49" s="80"/>
      <c r="RD49" s="80"/>
      <c r="RE49" s="80"/>
      <c r="RN49" s="80"/>
      <c r="RO49" s="80"/>
      <c r="RR49" s="80"/>
      <c r="RS49" s="80"/>
      <c r="SB49" s="80"/>
      <c r="SC49" s="80"/>
      <c r="SF49" s="80"/>
      <c r="SG49" s="80"/>
      <c r="SP49" s="80"/>
      <c r="SQ49" s="80"/>
      <c r="ST49" s="80"/>
      <c r="SU49" s="80"/>
      <c r="TD49" s="80"/>
      <c r="TE49" s="80"/>
      <c r="TH49" s="80"/>
      <c r="TI49" s="80"/>
      <c r="TR49" s="80"/>
      <c r="TS49" s="80"/>
      <c r="TV49" s="80"/>
      <c r="TW49" s="80"/>
      <c r="UF49" s="80"/>
      <c r="UG49" s="80"/>
      <c r="UJ49" s="80"/>
      <c r="UK49" s="80"/>
      <c r="UT49" s="80"/>
      <c r="UU49" s="80"/>
      <c r="UX49" s="80"/>
      <c r="UY49" s="80"/>
      <c r="VH49" s="80"/>
      <c r="VI49" s="80"/>
      <c r="VL49" s="80"/>
      <c r="VM49" s="80"/>
      <c r="VV49" s="80"/>
      <c r="VW49" s="80"/>
      <c r="VZ49" s="80"/>
      <c r="WA49" s="80"/>
      <c r="WJ49" s="80"/>
      <c r="WK49" s="80"/>
      <c r="WN49" s="80"/>
      <c r="WO49" s="80"/>
      <c r="WX49" s="80"/>
      <c r="WY49" s="80"/>
      <c r="XB49" s="80"/>
      <c r="XC49" s="80"/>
      <c r="XL49" s="80"/>
      <c r="XM49" s="80"/>
      <c r="XP49" s="80"/>
      <c r="XQ49" s="80"/>
      <c r="XZ49" s="80"/>
      <c r="YA49" s="80"/>
      <c r="YD49" s="80"/>
      <c r="YE49" s="80"/>
      <c r="YN49" s="80"/>
      <c r="YO49" s="80"/>
      <c r="YR49" s="80"/>
      <c r="YS49" s="80"/>
      <c r="ZB49" s="80"/>
      <c r="ZC49" s="80"/>
      <c r="ZF49" s="80"/>
      <c r="ZG49" s="80"/>
      <c r="ZP49" s="80"/>
      <c r="ZQ49" s="80"/>
      <c r="ZT49" s="80"/>
      <c r="ZU49" s="80"/>
      <c r="ZY49" s="4"/>
      <c r="AAL49" s="4"/>
      <c r="AAY49" s="4"/>
      <c r="ABL49" s="4"/>
      <c r="ABY49" s="4"/>
      <c r="ACL49" s="4"/>
      <c r="ACY49" s="4"/>
      <c r="ADL49" s="4"/>
      <c r="ADY49" s="4"/>
      <c r="AEL49" s="4"/>
      <c r="AEY49" s="4"/>
      <c r="AFL49" s="4"/>
      <c r="CVV49" s="212" t="s">
        <v>107</v>
      </c>
      <c r="CVW49" s="212"/>
      <c r="CVX49" s="213"/>
    </row>
    <row r="50" spans="2:1023 1026:2631" x14ac:dyDescent="0.25">
      <c r="K50" s="80"/>
      <c r="Y50" s="80"/>
      <c r="AM50" s="80"/>
      <c r="BA50" s="80"/>
      <c r="BO50" s="80"/>
      <c r="CC50" s="80"/>
      <c r="CQ50" s="80"/>
      <c r="DE50" s="80"/>
      <c r="DS50" s="80"/>
      <c r="EG50" s="80"/>
      <c r="EU50" s="80"/>
      <c r="FI50" s="80"/>
      <c r="FW50" s="80"/>
      <c r="GK50" s="80"/>
      <c r="GY50" s="80"/>
      <c r="HM50" s="80"/>
      <c r="IA50" s="80"/>
      <c r="IO50" s="80"/>
      <c r="JC50" s="80"/>
      <c r="JQ50" s="80"/>
      <c r="KE50" s="80"/>
      <c r="KS50" s="80"/>
      <c r="LG50" s="80"/>
      <c r="LU50" s="80"/>
      <c r="MI50" s="80"/>
      <c r="MW50" s="80"/>
      <c r="NK50" s="80"/>
      <c r="NY50" s="80"/>
      <c r="OM50" s="80"/>
      <c r="PA50" s="80"/>
      <c r="PO50" s="80"/>
      <c r="QC50" s="80"/>
      <c r="QQ50" s="80"/>
      <c r="RE50" s="80"/>
      <c r="RS50" s="80"/>
      <c r="SG50" s="80"/>
      <c r="SU50" s="80"/>
      <c r="TI50" s="80"/>
      <c r="TW50" s="80"/>
      <c r="UK50" s="80"/>
      <c r="UY50" s="80"/>
      <c r="VM50" s="80"/>
      <c r="WA50" s="80"/>
      <c r="WO50" s="80"/>
      <c r="XC50" s="80"/>
      <c r="XQ50" s="80"/>
      <c r="YE50" s="80"/>
      <c r="YS50" s="80"/>
      <c r="ZG50" s="80"/>
      <c r="ZU50" s="80"/>
      <c r="ZY50" s="4"/>
      <c r="AAG50" s="202"/>
      <c r="AAH50" s="202"/>
      <c r="AAI50" s="202"/>
      <c r="AAL50" s="4"/>
      <c r="AAT50" s="202"/>
      <c r="AAU50" s="202"/>
      <c r="AAV50" s="202"/>
      <c r="AAY50" s="4"/>
      <c r="ABG50" s="202"/>
      <c r="ABH50" s="202"/>
      <c r="ABI50" s="202"/>
      <c r="ABL50" s="4"/>
      <c r="ABT50" s="202"/>
      <c r="ABU50" s="202"/>
      <c r="ABV50" s="202"/>
      <c r="ABY50" s="4"/>
      <c r="ACG50" s="202"/>
      <c r="ACH50" s="202"/>
      <c r="ACI50" s="202"/>
      <c r="ACL50" s="4"/>
      <c r="ACT50" s="202"/>
      <c r="ACU50" s="202"/>
      <c r="ACV50" s="202"/>
      <c r="ACY50" s="4"/>
      <c r="ADG50" s="202"/>
      <c r="ADH50" s="202"/>
      <c r="ADI50" s="202"/>
      <c r="ADL50" s="4"/>
      <c r="ADT50" s="202"/>
      <c r="ADU50" s="202"/>
      <c r="ADV50" s="202"/>
      <c r="ADY50" s="4"/>
      <c r="AEG50" s="202"/>
      <c r="AEH50" s="202"/>
      <c r="AEI50" s="202"/>
      <c r="AEL50" s="4"/>
      <c r="AET50" s="202"/>
      <c r="AEU50" s="202"/>
      <c r="AEV50" s="202"/>
      <c r="AEY50" s="4"/>
      <c r="AFG50" s="202"/>
      <c r="AFH50" s="202"/>
      <c r="AFI50" s="202"/>
      <c r="AFL50" s="4"/>
      <c r="AFT50" s="202"/>
      <c r="AFU50" s="202"/>
      <c r="AFV50" s="202"/>
      <c r="AGG50" s="202"/>
      <c r="AGH50" s="202"/>
      <c r="AGI50" s="202"/>
      <c r="AGS50" s="202"/>
      <c r="AGT50" s="202"/>
      <c r="AGU50" s="202"/>
      <c r="AHE50" s="202"/>
      <c r="AHF50" s="202"/>
      <c r="AHG50" s="202"/>
      <c r="AHQ50" s="202"/>
      <c r="AHR50" s="202"/>
      <c r="AHS50" s="202"/>
      <c r="AIC50" s="202"/>
      <c r="AID50" s="202"/>
      <c r="AIE50" s="202"/>
      <c r="AIO50" s="202"/>
      <c r="AIP50" s="202"/>
      <c r="AIQ50" s="202"/>
      <c r="AJA50" s="202"/>
      <c r="AJB50" s="202"/>
      <c r="AJC50" s="202"/>
      <c r="AJM50" s="202"/>
      <c r="AJN50" s="202"/>
      <c r="AJO50" s="202"/>
      <c r="AJY50" s="202"/>
      <c r="AJZ50" s="202"/>
      <c r="AKA50" s="202"/>
      <c r="AKK50" s="202"/>
      <c r="AKL50" s="202"/>
      <c r="AKM50" s="202"/>
      <c r="AKW50" s="202"/>
      <c r="AKX50" s="202"/>
      <c r="AKY50" s="202"/>
      <c r="ALI50" s="202"/>
      <c r="ALJ50" s="202"/>
      <c r="ALK50" s="202"/>
      <c r="ALU50" s="202"/>
      <c r="ALV50" s="202"/>
      <c r="ALW50" s="202"/>
      <c r="AMG50" s="202"/>
      <c r="AMH50" s="202"/>
      <c r="AMI50" s="202"/>
      <c r="AMS50" s="202"/>
      <c r="AMT50" s="202"/>
      <c r="AMU50" s="202"/>
      <c r="ANE50" s="202"/>
      <c r="ANF50" s="202"/>
      <c r="ANG50" s="202"/>
      <c r="ANQ50" s="202"/>
      <c r="ANR50" s="202"/>
      <c r="ANS50" s="202"/>
      <c r="AOC50" s="202"/>
      <c r="AOD50" s="202"/>
      <c r="AOE50" s="202"/>
      <c r="AOO50" s="202"/>
      <c r="AOP50" s="202"/>
      <c r="AOQ50" s="202"/>
      <c r="APA50" s="202"/>
      <c r="APB50" s="202"/>
      <c r="APC50" s="202"/>
      <c r="APM50" s="202"/>
      <c r="APN50" s="202"/>
      <c r="APO50" s="202"/>
      <c r="APY50" s="202"/>
      <c r="APZ50" s="202"/>
      <c r="AQA50" s="202"/>
      <c r="AQK50" s="202"/>
      <c r="AQL50" s="202"/>
      <c r="AQM50" s="202"/>
      <c r="AQW50" s="202"/>
      <c r="AQX50" s="202"/>
      <c r="AQY50" s="202"/>
      <c r="ARI50" s="202"/>
      <c r="ARJ50" s="202"/>
      <c r="ARK50" s="202"/>
      <c r="ARU50" s="202"/>
      <c r="ARV50" s="202"/>
      <c r="ARW50" s="202"/>
      <c r="ASG50" s="202"/>
      <c r="ASH50" s="202"/>
      <c r="ASI50" s="202"/>
      <c r="ASS50" s="202"/>
      <c r="AST50" s="202"/>
      <c r="ASU50" s="202"/>
      <c r="ATE50" s="202"/>
      <c r="ATF50" s="202"/>
      <c r="ATG50" s="202"/>
      <c r="ATQ50" s="202"/>
      <c r="ATR50" s="202"/>
      <c r="ATS50" s="202"/>
      <c r="AUC50" s="202"/>
      <c r="AUD50" s="202"/>
      <c r="AUE50" s="202"/>
      <c r="AUO50" s="202"/>
      <c r="AUP50" s="202"/>
      <c r="AUQ50" s="202"/>
      <c r="AVA50" s="202"/>
      <c r="AVB50" s="202"/>
      <c r="AVC50" s="202"/>
      <c r="AVM50" s="202"/>
      <c r="AVN50" s="202"/>
      <c r="AVO50" s="202"/>
      <c r="AVY50" s="202"/>
      <c r="AVZ50" s="202"/>
      <c r="AWA50" s="202"/>
      <c r="AWK50" s="202"/>
      <c r="AWL50" s="202"/>
      <c r="AWM50" s="202"/>
      <c r="AWW50" s="202"/>
      <c r="AWX50" s="202"/>
      <c r="AWY50" s="202"/>
      <c r="AXI50" s="202"/>
      <c r="AXJ50" s="202"/>
      <c r="AXK50" s="202"/>
      <c r="AXU50" s="202"/>
      <c r="AXV50" s="202"/>
      <c r="AXW50" s="202"/>
      <c r="AYG50" s="202"/>
      <c r="AYH50" s="202"/>
      <c r="AYI50" s="202"/>
      <c r="AYS50" s="202"/>
      <c r="AYT50" s="202"/>
      <c r="AYU50" s="202"/>
      <c r="AZE50" s="202"/>
      <c r="AZF50" s="202"/>
      <c r="AZG50" s="202"/>
      <c r="AZQ50" s="202"/>
      <c r="AZR50" s="202"/>
      <c r="AZS50" s="202"/>
      <c r="BAC50" s="202"/>
      <c r="BAD50" s="202"/>
      <c r="BAE50" s="202"/>
      <c r="BAO50" s="202"/>
      <c r="BAP50" s="202"/>
      <c r="BAQ50" s="202"/>
      <c r="BBA50" s="202"/>
      <c r="BBB50" s="202"/>
      <c r="BBC50" s="202"/>
      <c r="BBM50" s="202"/>
      <c r="BBN50" s="202"/>
      <c r="BBO50" s="202"/>
      <c r="BBY50" s="202"/>
      <c r="BBZ50" s="202"/>
      <c r="BCA50" s="202"/>
      <c r="BCK50" s="202"/>
      <c r="BCL50" s="202"/>
      <c r="BCM50" s="202"/>
      <c r="BCW50" s="202"/>
      <c r="BCX50" s="202"/>
      <c r="BCY50" s="202"/>
      <c r="BDI50" s="202"/>
      <c r="BDJ50" s="202"/>
      <c r="BDK50" s="202"/>
      <c r="BDU50" s="202"/>
      <c r="BDV50" s="202"/>
      <c r="BDW50" s="202"/>
      <c r="BEG50" s="202"/>
      <c r="BEH50" s="202"/>
      <c r="BEI50" s="202"/>
      <c r="BES50" s="202"/>
      <c r="BET50" s="202"/>
      <c r="BEU50" s="202"/>
      <c r="BFE50" s="202"/>
      <c r="BFF50" s="202"/>
      <c r="BFG50" s="202"/>
      <c r="BFQ50" s="202"/>
      <c r="BFR50" s="202"/>
      <c r="BFS50" s="202"/>
      <c r="BGC50" s="202"/>
      <c r="BGD50" s="202"/>
      <c r="BGE50" s="202"/>
      <c r="BGO50" s="202"/>
      <c r="BGP50" s="202"/>
      <c r="BGQ50" s="202"/>
      <c r="BHA50" s="202"/>
      <c r="BHB50" s="202"/>
      <c r="BHC50" s="202"/>
      <c r="BHM50" s="202"/>
      <c r="BHN50" s="202"/>
      <c r="BHO50" s="202"/>
      <c r="BHY50" s="202"/>
      <c r="BHZ50" s="202"/>
      <c r="BIA50" s="202"/>
      <c r="BIK50" s="202"/>
      <c r="BIL50" s="202"/>
      <c r="BIM50" s="202"/>
      <c r="BIW50" s="202"/>
      <c r="BIX50" s="202"/>
      <c r="BIY50" s="202"/>
      <c r="BJI50" s="202"/>
      <c r="BJJ50" s="202"/>
      <c r="BJK50" s="202"/>
      <c r="BJU50" s="202"/>
      <c r="BJV50" s="202"/>
      <c r="BJW50" s="202"/>
      <c r="BKG50" s="202"/>
      <c r="BKH50" s="202"/>
      <c r="BKI50" s="202"/>
      <c r="BKS50" s="202"/>
      <c r="BKT50" s="202"/>
      <c r="BKU50" s="202"/>
      <c r="BLE50" s="202"/>
      <c r="BLF50" s="202"/>
      <c r="BLG50" s="202"/>
      <c r="BLQ50" s="202"/>
      <c r="BLR50" s="202"/>
      <c r="BLS50" s="202"/>
      <c r="BMC50" s="202"/>
      <c r="BMD50" s="202"/>
      <c r="BME50" s="202"/>
      <c r="BMO50" s="202"/>
      <c r="BMP50" s="202"/>
      <c r="BMQ50" s="202"/>
      <c r="BNA50" s="202"/>
      <c r="BNB50" s="202"/>
      <c r="BNC50" s="202"/>
      <c r="BNM50" s="202"/>
      <c r="BNN50" s="202"/>
      <c r="BNO50" s="202"/>
      <c r="BNY50" s="202"/>
      <c r="BNZ50" s="202"/>
      <c r="BOA50" s="202"/>
      <c r="BOK50" s="202"/>
      <c r="BOL50" s="202"/>
      <c r="BOM50" s="202"/>
      <c r="BOW50" s="202"/>
      <c r="BOX50" s="202"/>
      <c r="BOY50" s="202"/>
      <c r="BPI50" s="202"/>
      <c r="BPJ50" s="202"/>
      <c r="BPK50" s="202"/>
      <c r="BPU50" s="202"/>
      <c r="BPV50" s="202"/>
      <c r="BPW50" s="202"/>
      <c r="BQG50" s="202"/>
      <c r="BQH50" s="202"/>
      <c r="BQI50" s="202"/>
      <c r="BQS50" s="202"/>
      <c r="BQT50" s="202"/>
      <c r="BQU50" s="202"/>
      <c r="BRE50" s="202"/>
      <c r="BRF50" s="202"/>
      <c r="BRG50" s="202"/>
      <c r="BRQ50" s="202"/>
      <c r="BRR50" s="202"/>
      <c r="BRS50" s="202"/>
      <c r="BSC50" s="202"/>
      <c r="BSD50" s="202"/>
      <c r="BSE50" s="202"/>
      <c r="BSO50" s="202"/>
      <c r="BSP50" s="202"/>
      <c r="BSQ50" s="202"/>
      <c r="BTA50" s="202"/>
      <c r="BTB50" s="202"/>
      <c r="BTC50" s="202"/>
      <c r="BTM50" s="202"/>
      <c r="BTN50" s="202"/>
      <c r="BTO50" s="202"/>
      <c r="BTY50" s="202"/>
      <c r="BTZ50" s="202"/>
      <c r="BUA50" s="202"/>
      <c r="BUK50" s="202"/>
      <c r="BUL50" s="202"/>
      <c r="BUM50" s="202"/>
      <c r="BUW50" s="202"/>
      <c r="BUX50" s="202"/>
      <c r="BUY50" s="202"/>
      <c r="BVI50" s="202"/>
      <c r="BVJ50" s="202"/>
      <c r="BVK50" s="202"/>
      <c r="BVU50" s="202"/>
      <c r="BVV50" s="202"/>
      <c r="BVW50" s="202"/>
      <c r="BWG50" s="202"/>
      <c r="BWH50" s="202"/>
      <c r="BWI50" s="202"/>
      <c r="BWS50" s="202"/>
      <c r="BWT50" s="202"/>
      <c r="BWU50" s="202"/>
      <c r="BXE50" s="202"/>
      <c r="BXF50" s="202"/>
      <c r="BXG50" s="202"/>
      <c r="BXQ50" s="202"/>
      <c r="BXR50" s="202"/>
      <c r="BXS50" s="202"/>
      <c r="BYC50" s="202"/>
      <c r="BYD50" s="202"/>
      <c r="BYE50" s="202"/>
      <c r="BYO50" s="202"/>
      <c r="BYP50" s="202"/>
      <c r="BYQ50" s="202"/>
      <c r="BZA50" s="202"/>
      <c r="BZB50" s="202"/>
      <c r="BZC50" s="202"/>
      <c r="BZM50" s="202"/>
      <c r="BZN50" s="202"/>
      <c r="BZO50" s="202"/>
      <c r="BZY50" s="202"/>
      <c r="BZZ50" s="202"/>
      <c r="CAA50" s="202"/>
      <c r="CAK50" s="202"/>
      <c r="CAL50" s="202"/>
      <c r="CAM50" s="202"/>
      <c r="CAW50" s="202"/>
      <c r="CAX50" s="202"/>
      <c r="CAY50" s="202"/>
      <c r="CBI50" s="202"/>
      <c r="CBJ50" s="202"/>
      <c r="CBK50" s="202"/>
      <c r="CBU50" s="202"/>
      <c r="CBV50" s="202"/>
      <c r="CBW50" s="202"/>
      <c r="CCG50" s="202"/>
      <c r="CCH50" s="202"/>
      <c r="CCI50" s="202"/>
      <c r="CCS50" s="202"/>
      <c r="CCT50" s="202"/>
      <c r="CCU50" s="202"/>
      <c r="CDE50" s="202"/>
      <c r="CDF50" s="202"/>
      <c r="CDG50" s="202"/>
      <c r="CDQ50" s="202"/>
      <c r="CDR50" s="202"/>
      <c r="CDS50" s="202"/>
      <c r="CEC50" s="202"/>
      <c r="CED50" s="202"/>
      <c r="CEE50" s="202"/>
      <c r="CEO50" s="202"/>
      <c r="CEP50" s="202"/>
      <c r="CEQ50" s="202"/>
      <c r="CFA50" s="202"/>
      <c r="CFB50" s="202"/>
      <c r="CFC50" s="202"/>
      <c r="CFM50" s="202"/>
      <c r="CFN50" s="202"/>
      <c r="CFO50" s="202"/>
      <c r="CFY50" s="202"/>
      <c r="CFZ50" s="202"/>
      <c r="CGA50" s="202"/>
      <c r="CGK50" s="202"/>
      <c r="CGL50" s="202"/>
      <c r="CGM50" s="202"/>
      <c r="CGW50" s="202"/>
      <c r="CGX50" s="202"/>
      <c r="CGY50" s="202"/>
      <c r="CHI50" s="202"/>
      <c r="CHJ50" s="202"/>
      <c r="CHK50" s="202"/>
      <c r="CHU50" s="202"/>
      <c r="CHV50" s="202"/>
      <c r="CHW50" s="202"/>
      <c r="CIG50" s="202"/>
      <c r="CIH50" s="202"/>
      <c r="CII50" s="202"/>
      <c r="CIS50" s="202"/>
      <c r="CIT50" s="202"/>
      <c r="CIU50" s="202"/>
      <c r="CJE50" s="202"/>
      <c r="CJF50" s="202"/>
      <c r="CJG50" s="202"/>
      <c r="CJQ50" s="202"/>
      <c r="CJR50" s="202"/>
      <c r="CJS50" s="202"/>
      <c r="CKC50" s="202"/>
      <c r="CKD50" s="202"/>
      <c r="CKE50" s="202"/>
      <c r="CKO50" s="202"/>
      <c r="CKP50" s="202"/>
      <c r="CKQ50" s="202"/>
      <c r="CLA50" s="202"/>
      <c r="CLB50" s="202"/>
      <c r="CLC50" s="202"/>
      <c r="CLM50" s="202"/>
      <c r="CLN50" s="202"/>
      <c r="CLO50" s="202"/>
      <c r="CLY50" s="202"/>
      <c r="CLZ50" s="202"/>
      <c r="CMA50" s="202"/>
      <c r="CMK50" s="202"/>
      <c r="CML50" s="202"/>
      <c r="CMM50" s="202"/>
      <c r="CMW50" s="202"/>
      <c r="CMX50" s="202"/>
      <c r="CMY50" s="202"/>
      <c r="CNI50" s="202"/>
      <c r="CNJ50" s="202"/>
      <c r="CNK50" s="202"/>
      <c r="CNU50" s="202"/>
      <c r="CNV50" s="202"/>
      <c r="CNW50" s="202"/>
      <c r="COG50" s="202"/>
      <c r="COH50" s="202"/>
      <c r="COI50" s="202"/>
      <c r="COS50" s="202"/>
      <c r="COT50" s="202"/>
      <c r="COU50" s="202"/>
      <c r="CPE50" s="202"/>
      <c r="CPF50" s="202"/>
      <c r="CPG50" s="202"/>
      <c r="CPQ50" s="202"/>
      <c r="CPR50" s="202"/>
      <c r="CPS50" s="202"/>
      <c r="CQC50" s="202"/>
      <c r="CQD50" s="202"/>
      <c r="CQE50" s="202"/>
      <c r="CQO50" s="202"/>
      <c r="CQP50" s="202"/>
      <c r="CQQ50" s="202"/>
      <c r="CRA50" s="202"/>
      <c r="CRB50" s="202"/>
      <c r="CRC50" s="202"/>
      <c r="CRM50" s="202"/>
      <c r="CRN50" s="202"/>
      <c r="CRO50" s="202"/>
      <c r="CRY50" s="202"/>
      <c r="CRZ50" s="202"/>
      <c r="CSA50" s="202"/>
      <c r="CSK50" s="202"/>
      <c r="CSL50" s="202"/>
      <c r="CSM50" s="202"/>
      <c r="CSW50" s="202"/>
      <c r="CSX50" s="202"/>
      <c r="CSY50" s="202"/>
      <c r="CTI50" s="202"/>
      <c r="CTJ50" s="202"/>
      <c r="CTK50" s="202"/>
      <c r="CTU50" s="202"/>
      <c r="CTV50" s="202"/>
      <c r="CTW50" s="202"/>
      <c r="CUG50" s="202"/>
      <c r="CUH50" s="202"/>
      <c r="CUI50" s="202"/>
      <c r="CUS50" s="202"/>
      <c r="CUT50" s="202"/>
      <c r="CUU50" s="202"/>
      <c r="CVE50" s="202"/>
      <c r="CVF50" s="202"/>
      <c r="CVG50" s="202"/>
      <c r="CVQ50" s="202"/>
      <c r="CVR50" s="202"/>
      <c r="CVS50" s="202"/>
      <c r="CWC50" s="202"/>
      <c r="CWD50" s="202"/>
      <c r="CWE50" s="202"/>
    </row>
    <row r="51" spans="2:1023 1026:2631" ht="14.45" customHeight="1" x14ac:dyDescent="0.25"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R51" s="214"/>
      <c r="AS51" s="214"/>
      <c r="AT51" s="214"/>
      <c r="AU51" s="214"/>
      <c r="AV51" s="214"/>
      <c r="AW51" s="214"/>
      <c r="AX51" s="214"/>
      <c r="AY51" s="214"/>
      <c r="AZ51" s="214"/>
      <c r="BA51" s="214"/>
      <c r="BB51" s="214"/>
      <c r="BF51" s="214"/>
      <c r="BG51" s="214"/>
      <c r="BH51" s="214"/>
      <c r="BI51" s="214"/>
      <c r="BJ51" s="214"/>
      <c r="BK51" s="214"/>
      <c r="BL51" s="214"/>
      <c r="BM51" s="214"/>
      <c r="BN51" s="214"/>
      <c r="BO51" s="214"/>
      <c r="BP51" s="214"/>
      <c r="BT51" s="214"/>
      <c r="BU51" s="214"/>
      <c r="BV51" s="214"/>
      <c r="BW51" s="214"/>
      <c r="BX51" s="214"/>
      <c r="BY51" s="214"/>
      <c r="BZ51" s="214"/>
      <c r="CA51" s="214"/>
      <c r="CB51" s="214"/>
      <c r="CC51" s="214"/>
      <c r="CD51" s="214"/>
      <c r="CH51" s="214"/>
      <c r="CI51" s="214"/>
      <c r="CJ51" s="214"/>
      <c r="CK51" s="214"/>
      <c r="CL51" s="214"/>
      <c r="CM51" s="214"/>
      <c r="CN51" s="214"/>
      <c r="CO51" s="214"/>
      <c r="CP51" s="214"/>
      <c r="CQ51" s="214"/>
      <c r="CR51" s="214"/>
      <c r="CV51" s="214"/>
      <c r="CW51" s="214"/>
      <c r="CX51" s="214"/>
      <c r="CY51" s="214"/>
      <c r="CZ51" s="214"/>
      <c r="DA51" s="214"/>
      <c r="DB51" s="214"/>
      <c r="DC51" s="214"/>
      <c r="DD51" s="214"/>
      <c r="DE51" s="214"/>
      <c r="DF51" s="214"/>
      <c r="DJ51" s="214"/>
      <c r="DK51" s="214"/>
      <c r="DL51" s="214"/>
      <c r="DM51" s="214"/>
      <c r="DN51" s="214"/>
      <c r="DO51" s="214"/>
      <c r="DP51" s="214"/>
      <c r="DQ51" s="214"/>
      <c r="DR51" s="214"/>
      <c r="DS51" s="214"/>
      <c r="DT51" s="214"/>
      <c r="DX51" s="214"/>
      <c r="DY51" s="214"/>
      <c r="DZ51" s="214"/>
      <c r="EA51" s="214"/>
      <c r="EB51" s="214"/>
      <c r="EC51" s="214"/>
      <c r="ED51" s="214"/>
      <c r="EE51" s="214"/>
      <c r="EF51" s="214"/>
      <c r="EG51" s="214"/>
      <c r="EH51" s="214"/>
      <c r="EL51" s="214"/>
      <c r="EM51" s="214"/>
      <c r="EN51" s="214"/>
      <c r="EO51" s="214"/>
      <c r="EP51" s="214"/>
      <c r="EQ51" s="214"/>
      <c r="ER51" s="214"/>
      <c r="ES51" s="214"/>
      <c r="ET51" s="214"/>
      <c r="EU51" s="214"/>
      <c r="EV51" s="214"/>
      <c r="EZ51" s="214"/>
      <c r="FA51" s="214"/>
      <c r="FB51" s="214"/>
      <c r="FC51" s="214"/>
      <c r="FD51" s="214"/>
      <c r="FE51" s="214"/>
      <c r="FF51" s="214"/>
      <c r="FG51" s="214"/>
      <c r="FH51" s="214"/>
      <c r="FI51" s="214"/>
      <c r="FJ51" s="214"/>
      <c r="FN51" s="214"/>
      <c r="FO51" s="214"/>
      <c r="FP51" s="214"/>
      <c r="FQ51" s="214"/>
      <c r="FR51" s="214"/>
      <c r="FS51" s="214"/>
      <c r="FT51" s="214"/>
      <c r="FU51" s="214"/>
      <c r="FV51" s="214"/>
      <c r="FW51" s="214"/>
      <c r="FX51" s="214"/>
      <c r="GB51" s="214"/>
      <c r="GC51" s="214"/>
      <c r="GD51" s="214"/>
      <c r="GE51" s="214"/>
      <c r="GF51" s="214"/>
      <c r="GG51" s="214"/>
      <c r="GH51" s="214"/>
      <c r="GI51" s="214"/>
      <c r="GJ51" s="214"/>
      <c r="GK51" s="214"/>
      <c r="GL51" s="214"/>
      <c r="GP51" s="214"/>
      <c r="GQ51" s="214"/>
      <c r="GR51" s="214"/>
      <c r="GS51" s="214"/>
      <c r="GT51" s="214"/>
      <c r="GU51" s="214"/>
      <c r="GV51" s="214"/>
      <c r="GW51" s="214"/>
      <c r="GX51" s="214"/>
      <c r="GY51" s="214"/>
      <c r="GZ51" s="214"/>
      <c r="HD51" s="214"/>
      <c r="HE51" s="214"/>
      <c r="HF51" s="214"/>
      <c r="HG51" s="214"/>
      <c r="HH51" s="214"/>
      <c r="HI51" s="214"/>
      <c r="HJ51" s="214"/>
      <c r="HK51" s="214"/>
      <c r="HL51" s="214"/>
      <c r="HM51" s="214"/>
      <c r="HN51" s="214"/>
      <c r="HR51" s="214"/>
      <c r="HS51" s="214"/>
      <c r="HT51" s="214"/>
      <c r="HU51" s="214"/>
      <c r="HV51" s="214"/>
      <c r="HW51" s="214"/>
      <c r="HX51" s="214"/>
      <c r="HY51" s="214"/>
      <c r="HZ51" s="214"/>
      <c r="IA51" s="214"/>
      <c r="IB51" s="214"/>
      <c r="IF51" s="214"/>
      <c r="IG51" s="214"/>
      <c r="IH51" s="214"/>
      <c r="II51" s="214"/>
      <c r="IJ51" s="214"/>
      <c r="IK51" s="214"/>
      <c r="IL51" s="214"/>
      <c r="IM51" s="214"/>
      <c r="IN51" s="214"/>
      <c r="IO51" s="214"/>
      <c r="IP51" s="214"/>
      <c r="IT51" s="214"/>
      <c r="IU51" s="214"/>
      <c r="IV51" s="214"/>
      <c r="IW51" s="214"/>
      <c r="IX51" s="214"/>
      <c r="IY51" s="214"/>
      <c r="IZ51" s="214"/>
      <c r="JA51" s="214"/>
      <c r="JB51" s="214"/>
      <c r="JC51" s="214"/>
      <c r="JD51" s="214"/>
      <c r="JH51" s="214"/>
      <c r="JI51" s="214"/>
      <c r="JJ51" s="214"/>
      <c r="JK51" s="214"/>
      <c r="JL51" s="214"/>
      <c r="JM51" s="214"/>
      <c r="JN51" s="214"/>
      <c r="JO51" s="214"/>
      <c r="JP51" s="214"/>
      <c r="JQ51" s="214"/>
      <c r="JR51" s="214"/>
      <c r="JV51" s="214"/>
      <c r="JW51" s="214"/>
      <c r="JX51" s="214"/>
      <c r="JY51" s="214"/>
      <c r="JZ51" s="214"/>
      <c r="KA51" s="214"/>
      <c r="KB51" s="214"/>
      <c r="KC51" s="214"/>
      <c r="KD51" s="214"/>
      <c r="KE51" s="214"/>
      <c r="KF51" s="214"/>
      <c r="KJ51" s="214"/>
      <c r="KK51" s="214"/>
      <c r="KL51" s="214"/>
      <c r="KM51" s="214"/>
      <c r="KN51" s="214"/>
      <c r="KO51" s="214"/>
      <c r="KP51" s="214"/>
      <c r="KQ51" s="214"/>
      <c r="KR51" s="214"/>
      <c r="KS51" s="214"/>
      <c r="KT51" s="214"/>
      <c r="KX51" s="214"/>
      <c r="KY51" s="214"/>
      <c r="KZ51" s="214"/>
      <c r="LA51" s="214"/>
      <c r="LB51" s="214"/>
      <c r="LC51" s="214"/>
      <c r="LD51" s="214"/>
      <c r="LE51" s="214"/>
      <c r="LF51" s="214"/>
      <c r="LG51" s="214"/>
      <c r="LH51" s="214"/>
      <c r="LL51" s="214"/>
      <c r="LM51" s="214"/>
      <c r="LN51" s="214"/>
      <c r="LO51" s="214"/>
      <c r="LP51" s="214"/>
      <c r="LQ51" s="214"/>
      <c r="LR51" s="214"/>
      <c r="LS51" s="214"/>
      <c r="LT51" s="214"/>
      <c r="LU51" s="214"/>
      <c r="LV51" s="214"/>
      <c r="LZ51" s="214"/>
      <c r="MA51" s="214"/>
      <c r="MB51" s="214"/>
      <c r="MC51" s="214"/>
      <c r="MD51" s="214"/>
      <c r="ME51" s="214"/>
      <c r="MF51" s="214"/>
      <c r="MG51" s="214"/>
      <c r="MH51" s="214"/>
      <c r="MI51" s="214"/>
      <c r="MJ51" s="214"/>
      <c r="MN51" s="214"/>
      <c r="MO51" s="214"/>
      <c r="MP51" s="214"/>
      <c r="MQ51" s="214"/>
      <c r="MR51" s="214"/>
      <c r="MS51" s="214"/>
      <c r="MT51" s="214"/>
      <c r="MU51" s="214"/>
      <c r="MV51" s="214"/>
      <c r="MW51" s="214"/>
      <c r="MX51" s="214"/>
      <c r="NB51" s="214"/>
      <c r="NC51" s="214"/>
      <c r="ND51" s="214"/>
      <c r="NE51" s="214"/>
      <c r="NF51" s="214"/>
      <c r="NG51" s="214"/>
      <c r="NH51" s="214"/>
      <c r="NI51" s="214"/>
      <c r="NJ51" s="214"/>
      <c r="NK51" s="214"/>
      <c r="NL51" s="214"/>
      <c r="NP51" s="214"/>
      <c r="NQ51" s="214"/>
      <c r="NR51" s="214"/>
      <c r="NS51" s="214"/>
      <c r="NT51" s="214"/>
      <c r="NU51" s="214"/>
      <c r="NV51" s="214"/>
      <c r="NW51" s="214"/>
      <c r="NX51" s="214"/>
      <c r="NY51" s="214"/>
      <c r="NZ51" s="214"/>
      <c r="OD51" s="214"/>
      <c r="OE51" s="214"/>
      <c r="OF51" s="214"/>
      <c r="OG51" s="214"/>
      <c r="OH51" s="214"/>
      <c r="OI51" s="214"/>
      <c r="OJ51" s="214"/>
      <c r="OK51" s="214"/>
      <c r="OL51" s="214"/>
      <c r="OM51" s="214"/>
      <c r="ON51" s="214"/>
      <c r="OR51" s="214"/>
      <c r="OS51" s="214"/>
      <c r="OT51" s="214"/>
      <c r="OU51" s="214"/>
      <c r="OV51" s="214"/>
      <c r="OW51" s="214"/>
      <c r="OX51" s="214"/>
      <c r="OY51" s="214"/>
      <c r="OZ51" s="214"/>
      <c r="PA51" s="214"/>
      <c r="PB51" s="214"/>
      <c r="PF51" s="214"/>
      <c r="PG51" s="214"/>
      <c r="PH51" s="214"/>
      <c r="PI51" s="214"/>
      <c r="PJ51" s="214"/>
      <c r="PK51" s="214"/>
      <c r="PL51" s="214"/>
      <c r="PM51" s="214"/>
      <c r="PN51" s="214"/>
      <c r="PO51" s="214"/>
      <c r="PP51" s="214"/>
      <c r="PT51" s="214"/>
      <c r="PU51" s="214"/>
      <c r="PV51" s="214"/>
      <c r="PW51" s="214"/>
      <c r="PX51" s="214"/>
      <c r="PY51" s="214"/>
      <c r="PZ51" s="214"/>
      <c r="QA51" s="214"/>
      <c r="QB51" s="214"/>
      <c r="QC51" s="214"/>
      <c r="QD51" s="214"/>
      <c r="QH51" s="214"/>
      <c r="QI51" s="214"/>
      <c r="QJ51" s="214"/>
      <c r="QK51" s="214"/>
      <c r="QL51" s="214"/>
      <c r="QM51" s="214"/>
      <c r="QN51" s="214"/>
      <c r="QO51" s="214"/>
      <c r="QP51" s="214"/>
      <c r="QQ51" s="214"/>
      <c r="QR51" s="214"/>
      <c r="QV51" s="214"/>
      <c r="QW51" s="214"/>
      <c r="QX51" s="214"/>
      <c r="QY51" s="214"/>
      <c r="QZ51" s="214"/>
      <c r="RA51" s="214"/>
      <c r="RB51" s="214"/>
      <c r="RC51" s="214"/>
      <c r="RD51" s="214"/>
      <c r="RE51" s="214"/>
      <c r="RF51" s="214"/>
      <c r="RJ51" s="214"/>
      <c r="RK51" s="214"/>
      <c r="RL51" s="214"/>
      <c r="RM51" s="214"/>
      <c r="RN51" s="214"/>
      <c r="RO51" s="214"/>
      <c r="RP51" s="214"/>
      <c r="RQ51" s="214"/>
      <c r="RR51" s="214"/>
      <c r="RS51" s="214"/>
      <c r="RT51" s="214"/>
      <c r="RX51" s="214"/>
      <c r="RY51" s="214"/>
      <c r="RZ51" s="214"/>
      <c r="SA51" s="214"/>
      <c r="SB51" s="214"/>
      <c r="SC51" s="214"/>
      <c r="SD51" s="214"/>
      <c r="SE51" s="214"/>
      <c r="SF51" s="214"/>
      <c r="SG51" s="214"/>
      <c r="SH51" s="214"/>
      <c r="SL51" s="214"/>
      <c r="SM51" s="214"/>
      <c r="SN51" s="214"/>
      <c r="SO51" s="214"/>
      <c r="SP51" s="214"/>
      <c r="SQ51" s="214"/>
      <c r="SR51" s="214"/>
      <c r="SS51" s="214"/>
      <c r="ST51" s="214"/>
      <c r="SU51" s="214"/>
      <c r="SV51" s="214"/>
      <c r="SZ51" s="214"/>
      <c r="TA51" s="214"/>
      <c r="TB51" s="214"/>
      <c r="TC51" s="214"/>
      <c r="TD51" s="214"/>
      <c r="TE51" s="214"/>
      <c r="TF51" s="214"/>
      <c r="TG51" s="214"/>
      <c r="TH51" s="214"/>
      <c r="TI51" s="214"/>
      <c r="TJ51" s="214"/>
      <c r="TN51" s="214"/>
      <c r="TO51" s="214"/>
      <c r="TP51" s="214"/>
      <c r="TQ51" s="214"/>
      <c r="TR51" s="214"/>
      <c r="TS51" s="214"/>
      <c r="TT51" s="214"/>
      <c r="TU51" s="214"/>
      <c r="TV51" s="214"/>
      <c r="TW51" s="214"/>
      <c r="TX51" s="214"/>
      <c r="UB51" s="214"/>
      <c r="UC51" s="214"/>
      <c r="UD51" s="214"/>
      <c r="UE51" s="214"/>
      <c r="UF51" s="214"/>
      <c r="UG51" s="214"/>
      <c r="UH51" s="214"/>
      <c r="UI51" s="214"/>
      <c r="UJ51" s="214"/>
      <c r="UK51" s="214"/>
      <c r="UL51" s="214"/>
      <c r="UP51" s="214"/>
      <c r="UQ51" s="214"/>
      <c r="UR51" s="214"/>
      <c r="US51" s="214"/>
      <c r="UT51" s="214"/>
      <c r="UU51" s="214"/>
      <c r="UV51" s="214"/>
      <c r="UW51" s="214"/>
      <c r="UX51" s="214"/>
      <c r="UY51" s="214"/>
      <c r="UZ51" s="214"/>
      <c r="VD51" s="214"/>
      <c r="VE51" s="214"/>
      <c r="VF51" s="214"/>
      <c r="VG51" s="214"/>
      <c r="VH51" s="214"/>
      <c r="VI51" s="214"/>
      <c r="VJ51" s="214"/>
      <c r="VK51" s="214"/>
      <c r="VL51" s="214"/>
      <c r="VM51" s="214"/>
      <c r="VN51" s="214"/>
      <c r="VR51" s="214"/>
      <c r="VS51" s="214"/>
      <c r="VT51" s="214"/>
      <c r="VU51" s="214"/>
      <c r="VV51" s="214"/>
      <c r="VW51" s="214"/>
      <c r="VX51" s="214"/>
      <c r="VY51" s="214"/>
      <c r="VZ51" s="214"/>
      <c r="WA51" s="214"/>
      <c r="WB51" s="214"/>
      <c r="WF51" s="214"/>
      <c r="WG51" s="214"/>
      <c r="WH51" s="214"/>
      <c r="WI51" s="214"/>
      <c r="WJ51" s="214"/>
      <c r="WK51" s="214"/>
      <c r="WL51" s="214"/>
      <c r="WM51" s="214"/>
      <c r="WN51" s="214"/>
      <c r="WO51" s="214"/>
      <c r="WP51" s="214"/>
      <c r="WT51" s="214"/>
      <c r="WU51" s="214"/>
      <c r="WV51" s="214"/>
      <c r="WW51" s="214"/>
      <c r="WX51" s="214"/>
      <c r="WY51" s="214"/>
      <c r="WZ51" s="214"/>
      <c r="XA51" s="214"/>
      <c r="XB51" s="214"/>
      <c r="XC51" s="214"/>
      <c r="XD51" s="214"/>
      <c r="XH51" s="214"/>
      <c r="XI51" s="214"/>
      <c r="XJ51" s="214"/>
      <c r="XK51" s="214"/>
      <c r="XL51" s="214"/>
      <c r="XM51" s="214"/>
      <c r="XN51" s="214"/>
      <c r="XO51" s="214"/>
      <c r="XP51" s="214"/>
      <c r="XQ51" s="214"/>
      <c r="XR51" s="214"/>
      <c r="XV51" s="214"/>
      <c r="XW51" s="214"/>
      <c r="XX51" s="214"/>
      <c r="XY51" s="214"/>
      <c r="XZ51" s="214"/>
      <c r="YA51" s="214"/>
      <c r="YB51" s="214"/>
      <c r="YC51" s="214"/>
      <c r="YD51" s="214"/>
      <c r="YE51" s="214"/>
      <c r="YF51" s="214"/>
      <c r="YJ51" s="214"/>
      <c r="YK51" s="214"/>
      <c r="YL51" s="214"/>
      <c r="YM51" s="214"/>
      <c r="YN51" s="214"/>
      <c r="YO51" s="214"/>
      <c r="YP51" s="214"/>
      <c r="YQ51" s="214"/>
      <c r="YR51" s="214"/>
      <c r="YS51" s="214"/>
      <c r="YT51" s="214"/>
      <c r="YX51" s="214"/>
      <c r="YY51" s="214"/>
      <c r="YZ51" s="214"/>
      <c r="ZA51" s="214"/>
      <c r="ZB51" s="214"/>
      <c r="ZC51" s="214"/>
      <c r="ZD51" s="214"/>
      <c r="ZE51" s="214"/>
      <c r="ZF51" s="214"/>
      <c r="ZG51" s="214"/>
      <c r="ZH51" s="214"/>
      <c r="ZL51" s="214"/>
      <c r="ZM51" s="214"/>
      <c r="ZN51" s="214"/>
      <c r="ZO51" s="214"/>
      <c r="ZP51" s="214"/>
      <c r="ZQ51" s="214"/>
      <c r="ZR51" s="214"/>
      <c r="ZS51" s="214"/>
      <c r="ZT51" s="214"/>
      <c r="ZU51" s="214"/>
      <c r="ZV51" s="21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80"/>
      <c r="AAJ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80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80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80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80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80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80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80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80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80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80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80"/>
      <c r="AFZ51" s="4"/>
      <c r="AGA51" s="4"/>
      <c r="AGB51" s="4"/>
      <c r="AGC51" s="4"/>
      <c r="AGD51" s="4"/>
      <c r="AGE51" s="4"/>
      <c r="AGF51" s="4"/>
      <c r="AGG51" s="4"/>
      <c r="AGH51" s="4"/>
      <c r="AGI51" s="80"/>
      <c r="AGL51" s="4"/>
      <c r="AGM51" s="4"/>
      <c r="AGN51" s="4"/>
      <c r="AGO51" s="4"/>
      <c r="AGP51" s="4"/>
      <c r="AGQ51" s="4"/>
      <c r="AGR51" s="4"/>
      <c r="AGS51" s="4"/>
      <c r="AGT51" s="4"/>
      <c r="AGU51" s="80"/>
      <c r="AGX51" s="4"/>
      <c r="AGY51" s="4"/>
      <c r="AGZ51" s="4"/>
      <c r="AHA51" s="4"/>
      <c r="AHB51" s="4"/>
      <c r="AHC51" s="4"/>
      <c r="AHD51" s="4"/>
      <c r="AHE51" s="4"/>
      <c r="AHF51" s="4"/>
      <c r="AHG51" s="80"/>
      <c r="AHJ51" s="4"/>
      <c r="AHK51" s="4"/>
      <c r="AHL51" s="4"/>
      <c r="AHM51" s="4"/>
      <c r="AHN51" s="4"/>
      <c r="AHO51" s="4"/>
      <c r="AHP51" s="4"/>
      <c r="AHQ51" s="4"/>
      <c r="AHR51" s="4"/>
      <c r="AHS51" s="80"/>
      <c r="AHV51" s="4"/>
      <c r="AHW51" s="4"/>
      <c r="AHX51" s="4"/>
      <c r="AHY51" s="4"/>
      <c r="AHZ51" s="4"/>
      <c r="AIA51" s="4"/>
      <c r="AIB51" s="4"/>
      <c r="AIC51" s="4"/>
      <c r="AID51" s="4"/>
      <c r="AIE51" s="80"/>
      <c r="AIH51" s="4"/>
      <c r="AII51" s="4"/>
      <c r="AIJ51" s="4"/>
      <c r="AIK51" s="4"/>
      <c r="AIL51" s="4"/>
      <c r="AIM51" s="4"/>
      <c r="AIN51" s="4"/>
      <c r="AIO51" s="4"/>
      <c r="AIP51" s="4"/>
      <c r="AIQ51" s="80"/>
      <c r="AIT51" s="4"/>
      <c r="AIU51" s="4"/>
      <c r="AIV51" s="4"/>
      <c r="AIW51" s="4"/>
      <c r="AIX51" s="4"/>
      <c r="AIY51" s="4"/>
      <c r="AIZ51" s="4"/>
      <c r="AJA51" s="4"/>
      <c r="AJB51" s="4"/>
      <c r="AJC51" s="80"/>
      <c r="AJF51" s="4"/>
      <c r="AJG51" s="4"/>
      <c r="AJH51" s="4"/>
      <c r="AJI51" s="4"/>
      <c r="AJJ51" s="4"/>
      <c r="AJK51" s="4"/>
      <c r="AJL51" s="4"/>
      <c r="AJM51" s="4"/>
      <c r="AJN51" s="4"/>
      <c r="AJO51" s="80"/>
      <c r="AJR51" s="4"/>
      <c r="AJS51" s="4"/>
      <c r="AJT51" s="4"/>
      <c r="AJU51" s="4"/>
      <c r="AJV51" s="4"/>
      <c r="AJW51" s="4"/>
      <c r="AJX51" s="4"/>
      <c r="AJY51" s="4"/>
      <c r="AJZ51" s="4"/>
      <c r="AKA51" s="80"/>
      <c r="AKD51" s="4"/>
      <c r="AKE51" s="4"/>
      <c r="AKF51" s="4"/>
      <c r="AKG51" s="4"/>
      <c r="AKH51" s="4"/>
      <c r="AKI51" s="4"/>
      <c r="AKJ51" s="4"/>
      <c r="AKK51" s="4"/>
      <c r="AKL51" s="4"/>
      <c r="AKM51" s="80"/>
      <c r="AKP51" s="4"/>
      <c r="AKQ51" s="4"/>
      <c r="AKR51" s="4"/>
      <c r="AKS51" s="4"/>
      <c r="AKT51" s="4"/>
      <c r="AKU51" s="4"/>
      <c r="AKV51" s="4"/>
      <c r="AKW51" s="4"/>
      <c r="AKX51" s="4"/>
      <c r="AKY51" s="80"/>
      <c r="ALB51" s="4"/>
      <c r="ALC51" s="4"/>
      <c r="ALD51" s="4"/>
      <c r="ALE51" s="4"/>
      <c r="ALF51" s="4"/>
      <c r="ALG51" s="4"/>
      <c r="ALH51" s="4"/>
      <c r="ALI51" s="4"/>
      <c r="ALJ51" s="4"/>
      <c r="ALK51" s="80"/>
      <c r="ALN51" s="4"/>
      <c r="ALO51" s="4"/>
      <c r="ALP51" s="4"/>
      <c r="ALQ51" s="4"/>
      <c r="ALR51" s="4"/>
      <c r="ALS51" s="4"/>
      <c r="ALT51" s="4"/>
      <c r="ALU51" s="4"/>
      <c r="ALV51" s="4"/>
      <c r="ALW51" s="80"/>
      <c r="ALZ51" s="4"/>
      <c r="AMA51" s="4"/>
      <c r="AMB51" s="4"/>
      <c r="AMC51" s="4"/>
      <c r="AMD51" s="4"/>
      <c r="AME51" s="4"/>
      <c r="AMF51" s="4"/>
      <c r="AMG51" s="4"/>
      <c r="AMH51" s="4"/>
      <c r="AMI51" s="80"/>
      <c r="AML51" s="4"/>
      <c r="AMM51" s="4"/>
      <c r="AMN51" s="4"/>
      <c r="AMO51" s="4"/>
      <c r="AMP51" s="4"/>
      <c r="AMQ51" s="4"/>
      <c r="AMR51" s="4"/>
      <c r="AMS51" s="4"/>
      <c r="AMT51" s="4"/>
      <c r="AMU51" s="80"/>
      <c r="AMX51" s="4"/>
      <c r="AMY51" s="4"/>
      <c r="AMZ51" s="4"/>
      <c r="ANA51" s="4"/>
      <c r="ANB51" s="4"/>
      <c r="ANC51" s="4"/>
      <c r="AND51" s="4"/>
      <c r="ANE51" s="4"/>
      <c r="ANF51" s="4"/>
      <c r="ANG51" s="80"/>
      <c r="ANJ51" s="4"/>
      <c r="ANK51" s="4"/>
      <c r="ANL51" s="4"/>
      <c r="ANM51" s="4"/>
      <c r="ANN51" s="4"/>
      <c r="ANO51" s="4"/>
      <c r="ANP51" s="4"/>
      <c r="ANQ51" s="4"/>
      <c r="ANR51" s="4"/>
      <c r="ANS51" s="80"/>
      <c r="ANV51" s="4"/>
      <c r="ANW51" s="4"/>
      <c r="ANX51" s="4"/>
      <c r="ANY51" s="4"/>
      <c r="ANZ51" s="4"/>
      <c r="AOA51" s="4"/>
      <c r="AOB51" s="4"/>
      <c r="AOC51" s="4"/>
      <c r="AOD51" s="4"/>
      <c r="AOE51" s="80"/>
      <c r="AOH51" s="4"/>
      <c r="AOI51" s="4"/>
      <c r="AOJ51" s="4"/>
      <c r="AOK51" s="4"/>
      <c r="AOL51" s="4"/>
      <c r="AOM51" s="4"/>
      <c r="AON51" s="4"/>
      <c r="AOO51" s="4"/>
      <c r="AOP51" s="4"/>
      <c r="AOQ51" s="80"/>
      <c r="AOT51" s="4"/>
      <c r="AOU51" s="4"/>
      <c r="AOV51" s="4"/>
      <c r="AOW51" s="4"/>
      <c r="AOX51" s="4"/>
      <c r="AOY51" s="4"/>
      <c r="AOZ51" s="4"/>
      <c r="APA51" s="4"/>
      <c r="APB51" s="4"/>
      <c r="APC51" s="80"/>
      <c r="APF51" s="4"/>
      <c r="APG51" s="4"/>
      <c r="APH51" s="4"/>
      <c r="API51" s="4"/>
      <c r="APJ51" s="4"/>
      <c r="APK51" s="4"/>
      <c r="APL51" s="4"/>
      <c r="APM51" s="4"/>
      <c r="APN51" s="4"/>
      <c r="APO51" s="80"/>
      <c r="APR51" s="4"/>
      <c r="APS51" s="4"/>
      <c r="APT51" s="4"/>
      <c r="APU51" s="4"/>
      <c r="APV51" s="4"/>
      <c r="APW51" s="4"/>
      <c r="APX51" s="4"/>
      <c r="APY51" s="4"/>
      <c r="APZ51" s="4"/>
      <c r="AQA51" s="80"/>
      <c r="AQD51" s="4"/>
      <c r="AQE51" s="4"/>
      <c r="AQF51" s="4"/>
      <c r="AQG51" s="4"/>
      <c r="AQH51" s="4"/>
      <c r="AQI51" s="4"/>
      <c r="AQJ51" s="4"/>
      <c r="AQK51" s="4"/>
      <c r="AQL51" s="4"/>
      <c r="AQM51" s="80"/>
      <c r="AQP51" s="4"/>
      <c r="AQQ51" s="4"/>
      <c r="AQR51" s="4"/>
      <c r="AQS51" s="4"/>
      <c r="AQT51" s="4"/>
      <c r="AQU51" s="4"/>
      <c r="AQV51" s="4"/>
      <c r="AQW51" s="4"/>
      <c r="AQX51" s="4"/>
      <c r="AQY51" s="80"/>
      <c r="ARB51" s="4"/>
      <c r="ARC51" s="4"/>
      <c r="ARD51" s="4"/>
      <c r="ARE51" s="4"/>
      <c r="ARF51" s="4"/>
      <c r="ARG51" s="4"/>
      <c r="ARH51" s="4"/>
      <c r="ARI51" s="4"/>
      <c r="ARJ51" s="4"/>
      <c r="ARK51" s="80"/>
      <c r="ARN51" s="4"/>
      <c r="ARO51" s="4"/>
      <c r="ARP51" s="4"/>
      <c r="ARQ51" s="4"/>
      <c r="ARR51" s="4"/>
      <c r="ARS51" s="4"/>
      <c r="ART51" s="4"/>
      <c r="ARU51" s="4"/>
      <c r="ARV51" s="4"/>
      <c r="ARW51" s="80"/>
      <c r="ARZ51" s="4"/>
      <c r="ASA51" s="4"/>
      <c r="ASB51" s="4"/>
      <c r="ASC51" s="4"/>
      <c r="ASD51" s="4"/>
      <c r="ASE51" s="4"/>
      <c r="ASF51" s="4"/>
      <c r="ASG51" s="4"/>
      <c r="ASH51" s="4"/>
      <c r="ASI51" s="80"/>
      <c r="ASL51" s="4"/>
      <c r="ASM51" s="4"/>
      <c r="ASN51" s="4"/>
      <c r="ASO51" s="4"/>
      <c r="ASP51" s="4"/>
      <c r="ASQ51" s="4"/>
      <c r="ASR51" s="4"/>
      <c r="ASS51" s="4"/>
      <c r="AST51" s="4"/>
      <c r="ASU51" s="80"/>
      <c r="ASX51" s="4"/>
      <c r="ASY51" s="4"/>
      <c r="ASZ51" s="4"/>
      <c r="ATA51" s="4"/>
      <c r="ATB51" s="4"/>
      <c r="ATC51" s="4"/>
      <c r="ATD51" s="4"/>
      <c r="ATE51" s="4"/>
      <c r="ATF51" s="4"/>
      <c r="ATG51" s="80"/>
      <c r="ATJ51" s="4"/>
      <c r="ATK51" s="4"/>
      <c r="ATL51" s="4"/>
      <c r="ATM51" s="4"/>
      <c r="ATN51" s="4"/>
      <c r="ATO51" s="4"/>
      <c r="ATP51" s="4"/>
      <c r="ATQ51" s="4"/>
      <c r="ATR51" s="4"/>
      <c r="ATS51" s="80"/>
      <c r="ATV51" s="4"/>
      <c r="ATW51" s="4"/>
      <c r="ATX51" s="4"/>
      <c r="ATY51" s="4"/>
      <c r="ATZ51" s="4"/>
      <c r="AUA51" s="4"/>
      <c r="AUB51" s="4"/>
      <c r="AUC51" s="4"/>
      <c r="AUD51" s="4"/>
      <c r="AUE51" s="80"/>
      <c r="AUH51" s="4"/>
      <c r="AUI51" s="4"/>
      <c r="AUJ51" s="4"/>
      <c r="AUK51" s="4"/>
      <c r="AUL51" s="4"/>
      <c r="AUM51" s="4"/>
      <c r="AUN51" s="4"/>
      <c r="AUO51" s="4"/>
      <c r="AUP51" s="4"/>
      <c r="AUQ51" s="80"/>
      <c r="AUT51" s="4"/>
      <c r="AUU51" s="4"/>
      <c r="AUV51" s="4"/>
      <c r="AUW51" s="4"/>
      <c r="AUX51" s="4"/>
      <c r="AUY51" s="4"/>
      <c r="AUZ51" s="4"/>
      <c r="AVA51" s="4"/>
      <c r="AVB51" s="4"/>
      <c r="AVC51" s="80"/>
      <c r="AVF51" s="4"/>
      <c r="AVG51" s="4"/>
      <c r="AVH51" s="4"/>
      <c r="AVI51" s="4"/>
      <c r="AVJ51" s="4"/>
      <c r="AVK51" s="4"/>
      <c r="AVL51" s="4"/>
      <c r="AVM51" s="4"/>
      <c r="AVN51" s="4"/>
      <c r="AVO51" s="80"/>
      <c r="AVR51" s="4"/>
      <c r="AVS51" s="4"/>
      <c r="AVT51" s="4"/>
      <c r="AVU51" s="4"/>
      <c r="AVV51" s="4"/>
      <c r="AVW51" s="4"/>
      <c r="AVX51" s="4"/>
      <c r="AVY51" s="4"/>
      <c r="AVZ51" s="4"/>
      <c r="AWA51" s="80"/>
      <c r="AWD51" s="4"/>
      <c r="AWE51" s="4"/>
      <c r="AWF51" s="4"/>
      <c r="AWG51" s="4"/>
      <c r="AWH51" s="4"/>
      <c r="AWI51" s="4"/>
      <c r="AWJ51" s="4"/>
      <c r="AWK51" s="4"/>
      <c r="AWL51" s="4"/>
      <c r="AWM51" s="80"/>
      <c r="AWP51" s="4"/>
      <c r="AWQ51" s="4"/>
      <c r="AWR51" s="4"/>
      <c r="AWS51" s="4"/>
      <c r="AWT51" s="4"/>
      <c r="AWU51" s="4"/>
      <c r="AWV51" s="4"/>
      <c r="AWW51" s="4"/>
      <c r="AWX51" s="4"/>
      <c r="AWY51" s="80"/>
      <c r="AXB51" s="4"/>
      <c r="AXC51" s="4"/>
      <c r="AXD51" s="4"/>
      <c r="AXE51" s="4"/>
      <c r="AXF51" s="4"/>
      <c r="AXG51" s="4"/>
      <c r="AXH51" s="4"/>
      <c r="AXI51" s="4"/>
      <c r="AXJ51" s="4"/>
      <c r="AXK51" s="80"/>
      <c r="AXN51" s="4"/>
      <c r="AXO51" s="4"/>
      <c r="AXP51" s="4"/>
      <c r="AXQ51" s="4"/>
      <c r="AXR51" s="4"/>
      <c r="AXS51" s="4"/>
      <c r="AXT51" s="4"/>
      <c r="AXU51" s="4"/>
      <c r="AXV51" s="4"/>
      <c r="AXW51" s="80"/>
      <c r="AXZ51" s="4"/>
      <c r="AYA51" s="4"/>
      <c r="AYB51" s="4"/>
      <c r="AYC51" s="4"/>
      <c r="AYD51" s="4"/>
      <c r="AYE51" s="4"/>
      <c r="AYF51" s="4"/>
      <c r="AYG51" s="4"/>
      <c r="AYH51" s="4"/>
      <c r="AYI51" s="80"/>
      <c r="AYL51" s="4"/>
      <c r="AYM51" s="4"/>
      <c r="AYN51" s="4"/>
      <c r="AYO51" s="4"/>
      <c r="AYP51" s="4"/>
      <c r="AYQ51" s="4"/>
      <c r="AYR51" s="4"/>
      <c r="AYS51" s="4"/>
      <c r="AYT51" s="4"/>
      <c r="AYU51" s="80"/>
      <c r="AYX51" s="4"/>
      <c r="AYY51" s="4"/>
      <c r="AYZ51" s="4"/>
      <c r="AZA51" s="4"/>
      <c r="AZB51" s="4"/>
      <c r="AZC51" s="4"/>
      <c r="AZD51" s="4"/>
      <c r="AZE51" s="4"/>
      <c r="AZF51" s="4"/>
      <c r="AZG51" s="80"/>
      <c r="AZJ51" s="4"/>
      <c r="AZK51" s="4"/>
      <c r="AZL51" s="4"/>
      <c r="AZM51" s="4"/>
      <c r="AZN51" s="4"/>
      <c r="AZO51" s="4"/>
      <c r="AZP51" s="4"/>
      <c r="AZQ51" s="4"/>
      <c r="AZR51" s="4"/>
      <c r="AZS51" s="80"/>
      <c r="AZV51" s="4"/>
      <c r="AZW51" s="4"/>
      <c r="AZX51" s="4"/>
      <c r="AZY51" s="4"/>
      <c r="AZZ51" s="4"/>
      <c r="BAA51" s="4"/>
      <c r="BAB51" s="4"/>
      <c r="BAC51" s="4"/>
      <c r="BAD51" s="4"/>
      <c r="BAE51" s="80"/>
      <c r="BAH51" s="4"/>
      <c r="BAI51" s="4"/>
      <c r="BAJ51" s="4"/>
      <c r="BAK51" s="4"/>
      <c r="BAL51" s="4"/>
      <c r="BAM51" s="4"/>
      <c r="BAN51" s="4"/>
      <c r="BAO51" s="4"/>
      <c r="BAP51" s="4"/>
      <c r="BAQ51" s="80"/>
      <c r="BAT51" s="4"/>
      <c r="BAU51" s="4"/>
      <c r="BAV51" s="4"/>
      <c r="BAW51" s="4"/>
      <c r="BAX51" s="4"/>
      <c r="BAY51" s="4"/>
      <c r="BAZ51" s="4"/>
      <c r="BBA51" s="4"/>
      <c r="BBB51" s="4"/>
      <c r="BBC51" s="80"/>
      <c r="BBF51" s="4"/>
      <c r="BBG51" s="4"/>
      <c r="BBH51" s="4"/>
      <c r="BBI51" s="4"/>
      <c r="BBJ51" s="4"/>
      <c r="BBK51" s="4"/>
      <c r="BBL51" s="4"/>
      <c r="BBM51" s="4"/>
      <c r="BBN51" s="4"/>
      <c r="BBO51" s="80"/>
      <c r="BBR51" s="4"/>
      <c r="BBS51" s="4"/>
      <c r="BBT51" s="4"/>
      <c r="BBU51" s="4"/>
      <c r="BBV51" s="4"/>
      <c r="BBW51" s="4"/>
      <c r="BBX51" s="4"/>
      <c r="BBY51" s="4"/>
      <c r="BBZ51" s="4"/>
      <c r="BCA51" s="80"/>
      <c r="BCD51" s="4"/>
      <c r="BCE51" s="4"/>
      <c r="BCF51" s="4"/>
      <c r="BCG51" s="4"/>
      <c r="BCH51" s="4"/>
      <c r="BCI51" s="4"/>
      <c r="BCJ51" s="4"/>
      <c r="BCK51" s="4"/>
      <c r="BCL51" s="4"/>
      <c r="BCM51" s="80"/>
      <c r="BCP51" s="4"/>
      <c r="BCQ51" s="4"/>
      <c r="BCR51" s="4"/>
      <c r="BCS51" s="4"/>
      <c r="BCT51" s="4"/>
      <c r="BCU51" s="4"/>
      <c r="BCV51" s="4"/>
      <c r="BCW51" s="4"/>
      <c r="BCX51" s="4"/>
      <c r="BCY51" s="80"/>
      <c r="BDB51" s="4"/>
      <c r="BDC51" s="4"/>
      <c r="BDD51" s="4"/>
      <c r="BDE51" s="4"/>
      <c r="BDF51" s="4"/>
      <c r="BDG51" s="4"/>
      <c r="BDH51" s="4"/>
      <c r="BDI51" s="4"/>
      <c r="BDJ51" s="4"/>
      <c r="BDK51" s="80"/>
      <c r="BDN51" s="4"/>
      <c r="BDO51" s="4"/>
      <c r="BDP51" s="4"/>
      <c r="BDQ51" s="4"/>
      <c r="BDR51" s="4"/>
      <c r="BDS51" s="4"/>
      <c r="BDT51" s="4"/>
      <c r="BDU51" s="4"/>
      <c r="BDV51" s="4"/>
      <c r="BDW51" s="80"/>
      <c r="BDZ51" s="4"/>
      <c r="BEA51" s="4"/>
      <c r="BEB51" s="4"/>
      <c r="BEC51" s="4"/>
      <c r="BED51" s="4"/>
      <c r="BEE51" s="4"/>
      <c r="BEF51" s="4"/>
      <c r="BEG51" s="4"/>
      <c r="BEH51" s="4"/>
      <c r="BEI51" s="80"/>
      <c r="BEL51" s="4"/>
      <c r="BEM51" s="4"/>
      <c r="BEN51" s="4"/>
      <c r="BEO51" s="4"/>
      <c r="BEP51" s="4"/>
      <c r="BEQ51" s="4"/>
      <c r="BER51" s="4"/>
      <c r="BES51" s="4"/>
      <c r="BET51" s="4"/>
      <c r="BEU51" s="80"/>
      <c r="BEX51" s="4"/>
      <c r="BEY51" s="4"/>
      <c r="BEZ51" s="4"/>
      <c r="BFA51" s="4"/>
      <c r="BFB51" s="4"/>
      <c r="BFC51" s="4"/>
      <c r="BFD51" s="4"/>
      <c r="BFE51" s="4"/>
      <c r="BFF51" s="4"/>
      <c r="BFG51" s="80"/>
      <c r="BFJ51" s="4"/>
      <c r="BFK51" s="4"/>
      <c r="BFL51" s="4"/>
      <c r="BFM51" s="4"/>
      <c r="BFN51" s="4"/>
      <c r="BFO51" s="4"/>
      <c r="BFP51" s="4"/>
      <c r="BFQ51" s="4"/>
      <c r="BFR51" s="4"/>
      <c r="BFS51" s="80"/>
      <c r="BFV51" s="4"/>
      <c r="BFW51" s="4"/>
      <c r="BFX51" s="4"/>
      <c r="BFY51" s="4"/>
      <c r="BFZ51" s="4"/>
      <c r="BGA51" s="4"/>
      <c r="BGB51" s="4"/>
      <c r="BGC51" s="4"/>
      <c r="BGD51" s="4"/>
      <c r="BGE51" s="80"/>
      <c r="BGH51" s="4"/>
      <c r="BGI51" s="4"/>
      <c r="BGJ51" s="4"/>
      <c r="BGK51" s="4"/>
      <c r="BGL51" s="4"/>
      <c r="BGM51" s="4"/>
      <c r="BGN51" s="4"/>
      <c r="BGO51" s="4"/>
      <c r="BGP51" s="4"/>
      <c r="BGQ51" s="80"/>
      <c r="BGT51" s="4"/>
      <c r="BGU51" s="4"/>
      <c r="BGV51" s="4"/>
      <c r="BGW51" s="4"/>
      <c r="BGX51" s="4"/>
      <c r="BGY51" s="4"/>
      <c r="BGZ51" s="4"/>
      <c r="BHA51" s="4"/>
      <c r="BHB51" s="4"/>
      <c r="BHC51" s="80"/>
      <c r="BHF51" s="4"/>
      <c r="BHG51" s="4"/>
      <c r="BHH51" s="4"/>
      <c r="BHI51" s="4"/>
      <c r="BHJ51" s="4"/>
      <c r="BHK51" s="4"/>
      <c r="BHL51" s="4"/>
      <c r="BHM51" s="4"/>
      <c r="BHN51" s="4"/>
      <c r="BHO51" s="80"/>
      <c r="BHR51" s="4"/>
      <c r="BHS51" s="4"/>
      <c r="BHT51" s="4"/>
      <c r="BHU51" s="4"/>
      <c r="BHV51" s="4"/>
      <c r="BHW51" s="4"/>
      <c r="BHX51" s="4"/>
      <c r="BHY51" s="4"/>
      <c r="BHZ51" s="4"/>
      <c r="BIA51" s="80"/>
      <c r="BID51" s="4"/>
      <c r="BIE51" s="4"/>
      <c r="BIF51" s="4"/>
      <c r="BIG51" s="4"/>
      <c r="BIH51" s="4"/>
      <c r="BII51" s="4"/>
      <c r="BIJ51" s="4"/>
      <c r="BIK51" s="4"/>
      <c r="BIL51" s="4"/>
      <c r="BIM51" s="80"/>
      <c r="BIP51" s="4"/>
      <c r="BIQ51" s="4"/>
      <c r="BIR51" s="4"/>
      <c r="BIS51" s="4"/>
      <c r="BIT51" s="4"/>
      <c r="BIU51" s="4"/>
      <c r="BIV51" s="4"/>
      <c r="BIW51" s="4"/>
      <c r="BIX51" s="4"/>
      <c r="BIY51" s="80"/>
      <c r="BJB51" s="4"/>
      <c r="BJC51" s="4"/>
      <c r="BJD51" s="4"/>
      <c r="BJE51" s="4"/>
      <c r="BJF51" s="4"/>
      <c r="BJG51" s="4"/>
      <c r="BJH51" s="4"/>
      <c r="BJI51" s="4"/>
      <c r="BJJ51" s="4"/>
      <c r="BJK51" s="80"/>
      <c r="BJN51" s="4"/>
      <c r="BJO51" s="4"/>
      <c r="BJP51" s="4"/>
      <c r="BJQ51" s="4"/>
      <c r="BJR51" s="4"/>
      <c r="BJS51" s="4"/>
      <c r="BJT51" s="4"/>
      <c r="BJU51" s="4"/>
      <c r="BJV51" s="4"/>
      <c r="BJW51" s="80"/>
      <c r="BJZ51" s="4"/>
      <c r="BKA51" s="4"/>
      <c r="BKB51" s="4"/>
      <c r="BKC51" s="4"/>
      <c r="BKD51" s="4"/>
      <c r="BKE51" s="4"/>
      <c r="BKF51" s="4"/>
      <c r="BKG51" s="4"/>
      <c r="BKH51" s="4"/>
      <c r="BKI51" s="80"/>
      <c r="BKL51" s="4"/>
      <c r="BKM51" s="4"/>
      <c r="BKN51" s="4"/>
      <c r="BKO51" s="4"/>
      <c r="BKP51" s="4"/>
      <c r="BKQ51" s="4"/>
      <c r="BKR51" s="4"/>
      <c r="BKS51" s="4"/>
      <c r="BKT51" s="4"/>
      <c r="BKU51" s="80"/>
      <c r="BKX51" s="4"/>
      <c r="BKY51" s="4"/>
      <c r="BKZ51" s="4"/>
      <c r="BLA51" s="4"/>
      <c r="BLB51" s="4"/>
      <c r="BLC51" s="4"/>
      <c r="BLD51" s="4"/>
      <c r="BLE51" s="4"/>
      <c r="BLF51" s="4"/>
      <c r="BLG51" s="80"/>
      <c r="BLJ51" s="4"/>
      <c r="BLK51" s="4"/>
      <c r="BLL51" s="4"/>
      <c r="BLM51" s="4"/>
      <c r="BLN51" s="4"/>
      <c r="BLO51" s="4"/>
      <c r="BLP51" s="4"/>
      <c r="BLQ51" s="4"/>
      <c r="BLR51" s="4"/>
      <c r="BLS51" s="80"/>
      <c r="BLV51" s="4"/>
      <c r="BLW51" s="4"/>
      <c r="BLX51" s="4"/>
      <c r="BLY51" s="4"/>
      <c r="BLZ51" s="4"/>
      <c r="BMA51" s="4"/>
      <c r="BMB51" s="4"/>
      <c r="BMC51" s="4"/>
      <c r="BMD51" s="4"/>
      <c r="BME51" s="80"/>
      <c r="BMH51" s="4"/>
      <c r="BMI51" s="4"/>
      <c r="BMJ51" s="4"/>
      <c r="BMK51" s="4"/>
      <c r="BML51" s="4"/>
      <c r="BMM51" s="4"/>
      <c r="BMN51" s="4"/>
      <c r="BMO51" s="4"/>
      <c r="BMP51" s="4"/>
      <c r="BMQ51" s="80"/>
      <c r="BMT51" s="4"/>
      <c r="BMU51" s="4"/>
      <c r="BMV51" s="4"/>
      <c r="BMW51" s="4"/>
      <c r="BMX51" s="4"/>
      <c r="BMY51" s="4"/>
      <c r="BMZ51" s="4"/>
      <c r="BNA51" s="4"/>
      <c r="BNB51" s="4"/>
      <c r="BNC51" s="80"/>
      <c r="BNF51" s="4"/>
      <c r="BNG51" s="4"/>
      <c r="BNH51" s="4"/>
      <c r="BNI51" s="4"/>
      <c r="BNJ51" s="4"/>
      <c r="BNK51" s="4"/>
      <c r="BNL51" s="4"/>
      <c r="BNM51" s="4"/>
      <c r="BNN51" s="4"/>
      <c r="BNO51" s="80"/>
      <c r="BNR51" s="4"/>
      <c r="BNS51" s="4"/>
      <c r="BNT51" s="4"/>
      <c r="BNU51" s="4"/>
      <c r="BNV51" s="4"/>
      <c r="BNW51" s="4"/>
      <c r="BNX51" s="4"/>
      <c r="BNY51" s="4"/>
      <c r="BNZ51" s="4"/>
      <c r="BOA51" s="80"/>
      <c r="BOD51" s="4"/>
      <c r="BOE51" s="4"/>
      <c r="BOF51" s="4"/>
      <c r="BOG51" s="4"/>
      <c r="BOH51" s="4"/>
      <c r="BOI51" s="4"/>
      <c r="BOJ51" s="4"/>
      <c r="BOK51" s="4"/>
      <c r="BOL51" s="4"/>
      <c r="BOM51" s="80"/>
      <c r="BOP51" s="4"/>
      <c r="BOQ51" s="4"/>
      <c r="BOR51" s="4"/>
      <c r="BOS51" s="4"/>
      <c r="BOT51" s="4"/>
      <c r="BOU51" s="4"/>
      <c r="BOV51" s="4"/>
      <c r="BOW51" s="4"/>
      <c r="BOX51" s="4"/>
      <c r="BOY51" s="80"/>
      <c r="BPB51" s="4"/>
      <c r="BPC51" s="4"/>
      <c r="BPD51" s="4"/>
      <c r="BPE51" s="4"/>
      <c r="BPF51" s="4"/>
      <c r="BPG51" s="4"/>
      <c r="BPH51" s="4"/>
      <c r="BPI51" s="4"/>
      <c r="BPJ51" s="4"/>
      <c r="BPK51" s="80"/>
      <c r="BPN51" s="4"/>
      <c r="BPO51" s="4"/>
      <c r="BPP51" s="4"/>
      <c r="BPQ51" s="4"/>
      <c r="BPR51" s="4"/>
      <c r="BPS51" s="4"/>
      <c r="BPT51" s="4"/>
      <c r="BPU51" s="4"/>
      <c r="BPV51" s="4"/>
      <c r="BPW51" s="80"/>
      <c r="BPZ51" s="4"/>
      <c r="BQA51" s="4"/>
      <c r="BQB51" s="4"/>
      <c r="BQC51" s="4"/>
      <c r="BQD51" s="4"/>
      <c r="BQE51" s="4"/>
      <c r="BQF51" s="4"/>
      <c r="BQG51" s="4"/>
      <c r="BQH51" s="4"/>
      <c r="BQI51" s="80"/>
      <c r="BQL51" s="4"/>
      <c r="BQM51" s="4"/>
      <c r="BQN51" s="4"/>
      <c r="BQO51" s="4"/>
      <c r="BQP51" s="4"/>
      <c r="BQQ51" s="4"/>
      <c r="BQR51" s="4"/>
      <c r="BQS51" s="4"/>
      <c r="BQT51" s="4"/>
      <c r="BQU51" s="80"/>
      <c r="BQX51" s="4"/>
      <c r="BQY51" s="4"/>
      <c r="BQZ51" s="4"/>
      <c r="BRA51" s="4"/>
      <c r="BRB51" s="4"/>
      <c r="BRC51" s="4"/>
      <c r="BRD51" s="4"/>
      <c r="BRE51" s="4"/>
      <c r="BRF51" s="4"/>
      <c r="BRG51" s="80"/>
      <c r="BRJ51" s="4"/>
      <c r="BRK51" s="4"/>
      <c r="BRL51" s="4"/>
      <c r="BRM51" s="4"/>
      <c r="BRN51" s="4"/>
      <c r="BRO51" s="4"/>
      <c r="BRP51" s="4"/>
      <c r="BRQ51" s="4"/>
      <c r="BRR51" s="4"/>
      <c r="BRS51" s="80"/>
      <c r="BRV51" s="4"/>
      <c r="BRW51" s="4"/>
      <c r="BRX51" s="4"/>
      <c r="BRY51" s="4"/>
      <c r="BRZ51" s="4"/>
      <c r="BSA51" s="4"/>
      <c r="BSB51" s="4"/>
      <c r="BSC51" s="4"/>
      <c r="BSD51" s="4"/>
      <c r="BSE51" s="80"/>
      <c r="BSH51" s="4"/>
      <c r="BSI51" s="4"/>
      <c r="BSJ51" s="4"/>
      <c r="BSK51" s="4"/>
      <c r="BSL51" s="4"/>
      <c r="BSM51" s="4"/>
      <c r="BSN51" s="4"/>
      <c r="BSO51" s="4"/>
      <c r="BSP51" s="4"/>
      <c r="BSQ51" s="80"/>
      <c r="BST51" s="4"/>
      <c r="BSU51" s="4"/>
      <c r="BSV51" s="4"/>
      <c r="BSW51" s="4"/>
      <c r="BSX51" s="4"/>
      <c r="BSY51" s="4"/>
      <c r="BSZ51" s="4"/>
      <c r="BTA51" s="4"/>
      <c r="BTB51" s="4"/>
      <c r="BTC51" s="80"/>
      <c r="BTF51" s="4"/>
      <c r="BTG51" s="4"/>
      <c r="BTH51" s="4"/>
      <c r="BTI51" s="4"/>
      <c r="BTJ51" s="4"/>
      <c r="BTK51" s="4"/>
      <c r="BTL51" s="4"/>
      <c r="BTM51" s="4"/>
      <c r="BTN51" s="4"/>
      <c r="BTO51" s="80"/>
      <c r="BTR51" s="4"/>
      <c r="BTS51" s="4"/>
      <c r="BTT51" s="4"/>
      <c r="BTU51" s="4"/>
      <c r="BTV51" s="4"/>
      <c r="BTW51" s="4"/>
      <c r="BTX51" s="4"/>
      <c r="BTY51" s="4"/>
      <c r="BTZ51" s="4"/>
      <c r="BUA51" s="80"/>
      <c r="BUD51" s="4"/>
      <c r="BUE51" s="4"/>
      <c r="BUF51" s="4"/>
      <c r="BUG51" s="4"/>
      <c r="BUH51" s="4"/>
      <c r="BUI51" s="4"/>
      <c r="BUJ51" s="4"/>
      <c r="BUK51" s="4"/>
      <c r="BUL51" s="4"/>
      <c r="BUM51" s="80"/>
      <c r="BUP51" s="4"/>
      <c r="BUQ51" s="4"/>
      <c r="BUR51" s="4"/>
      <c r="BUS51" s="4"/>
      <c r="BUT51" s="4"/>
      <c r="BUU51" s="4"/>
      <c r="BUV51" s="4"/>
      <c r="BUW51" s="4"/>
      <c r="BUX51" s="4"/>
      <c r="BUY51" s="80"/>
      <c r="BVB51" s="4"/>
      <c r="BVC51" s="4"/>
      <c r="BVD51" s="4"/>
      <c r="BVE51" s="4"/>
      <c r="BVF51" s="4"/>
      <c r="BVG51" s="4"/>
      <c r="BVH51" s="4"/>
      <c r="BVI51" s="4"/>
      <c r="BVJ51" s="4"/>
      <c r="BVK51" s="80"/>
      <c r="BVN51" s="4"/>
      <c r="BVO51" s="4"/>
      <c r="BVP51" s="4"/>
      <c r="BVQ51" s="4"/>
      <c r="BVR51" s="4"/>
      <c r="BVS51" s="4"/>
      <c r="BVT51" s="4"/>
      <c r="BVU51" s="4"/>
      <c r="BVV51" s="4"/>
      <c r="BVW51" s="80"/>
      <c r="BVZ51" s="4"/>
      <c r="BWA51" s="4"/>
      <c r="BWB51" s="4"/>
      <c r="BWC51" s="4"/>
      <c r="BWD51" s="4"/>
      <c r="BWE51" s="4"/>
      <c r="BWF51" s="4"/>
      <c r="BWG51" s="4"/>
      <c r="BWH51" s="4"/>
      <c r="BWI51" s="80"/>
      <c r="BWL51" s="4"/>
      <c r="BWM51" s="4"/>
      <c r="BWN51" s="4"/>
      <c r="BWO51" s="4"/>
      <c r="BWP51" s="4"/>
      <c r="BWQ51" s="4"/>
      <c r="BWR51" s="4"/>
      <c r="BWS51" s="4"/>
      <c r="BWT51" s="4"/>
      <c r="BWU51" s="80"/>
      <c r="BWX51" s="4"/>
      <c r="BWY51" s="4"/>
      <c r="BWZ51" s="4"/>
      <c r="BXA51" s="4"/>
      <c r="BXB51" s="4"/>
      <c r="BXC51" s="4"/>
      <c r="BXD51" s="4"/>
      <c r="BXE51" s="4"/>
      <c r="BXF51" s="4"/>
      <c r="BXG51" s="80"/>
      <c r="BXJ51" s="4"/>
      <c r="BXK51" s="4"/>
      <c r="BXL51" s="4"/>
      <c r="BXM51" s="4"/>
      <c r="BXN51" s="4"/>
      <c r="BXO51" s="4"/>
      <c r="BXP51" s="4"/>
      <c r="BXQ51" s="4"/>
      <c r="BXR51" s="4"/>
      <c r="BXS51" s="80"/>
      <c r="BXV51" s="4"/>
      <c r="BXW51" s="4"/>
      <c r="BXX51" s="4"/>
      <c r="BXY51" s="4"/>
      <c r="BXZ51" s="4"/>
      <c r="BYA51" s="4"/>
      <c r="BYB51" s="4"/>
      <c r="BYC51" s="4"/>
      <c r="BYD51" s="4"/>
      <c r="BYE51" s="80"/>
      <c r="BYH51" s="4"/>
      <c r="BYI51" s="4"/>
      <c r="BYJ51" s="4"/>
      <c r="BYK51" s="4"/>
      <c r="BYL51" s="4"/>
      <c r="BYM51" s="4"/>
      <c r="BYN51" s="4"/>
      <c r="BYO51" s="4"/>
      <c r="BYP51" s="4"/>
      <c r="BYQ51" s="80"/>
      <c r="BYT51" s="4"/>
      <c r="BYU51" s="4"/>
      <c r="BYV51" s="4"/>
      <c r="BYW51" s="4"/>
      <c r="BYX51" s="4"/>
      <c r="BYY51" s="4"/>
      <c r="BYZ51" s="4"/>
      <c r="BZA51" s="4"/>
      <c r="BZB51" s="4"/>
      <c r="BZC51" s="80"/>
      <c r="BZF51" s="4"/>
      <c r="BZG51" s="4"/>
      <c r="BZH51" s="4"/>
      <c r="BZI51" s="4"/>
      <c r="BZJ51" s="4"/>
      <c r="BZK51" s="4"/>
      <c r="BZL51" s="4"/>
      <c r="BZM51" s="4"/>
      <c r="BZN51" s="4"/>
      <c r="BZO51" s="80"/>
      <c r="BZR51" s="4"/>
      <c r="BZS51" s="4"/>
      <c r="BZT51" s="4"/>
      <c r="BZU51" s="4"/>
      <c r="BZV51" s="4"/>
      <c r="BZW51" s="4"/>
      <c r="BZX51" s="4"/>
      <c r="BZY51" s="4"/>
      <c r="BZZ51" s="4"/>
      <c r="CAA51" s="80"/>
      <c r="CAD51" s="4"/>
      <c r="CAE51" s="4"/>
      <c r="CAF51" s="4"/>
      <c r="CAG51" s="4"/>
      <c r="CAH51" s="4"/>
      <c r="CAI51" s="4"/>
      <c r="CAJ51" s="4"/>
      <c r="CAK51" s="4"/>
      <c r="CAL51" s="4"/>
      <c r="CAM51" s="80"/>
      <c r="CAP51" s="4"/>
      <c r="CAQ51" s="4"/>
      <c r="CAR51" s="4"/>
      <c r="CAS51" s="4"/>
      <c r="CAT51" s="4"/>
      <c r="CAU51" s="4"/>
      <c r="CAV51" s="4"/>
      <c r="CAW51" s="4"/>
      <c r="CAX51" s="4"/>
      <c r="CAY51" s="80"/>
      <c r="CBB51" s="4"/>
      <c r="CBC51" s="4"/>
      <c r="CBD51" s="4"/>
      <c r="CBE51" s="4"/>
      <c r="CBF51" s="4"/>
      <c r="CBG51" s="4"/>
      <c r="CBH51" s="4"/>
      <c r="CBI51" s="4"/>
      <c r="CBJ51" s="4"/>
      <c r="CBK51" s="80"/>
      <c r="CBN51" s="4"/>
      <c r="CBO51" s="4"/>
      <c r="CBP51" s="4"/>
      <c r="CBQ51" s="4"/>
      <c r="CBR51" s="4"/>
      <c r="CBS51" s="4"/>
      <c r="CBT51" s="4"/>
      <c r="CBU51" s="4"/>
      <c r="CBV51" s="4"/>
      <c r="CBW51" s="80"/>
      <c r="CBZ51" s="4"/>
      <c r="CCA51" s="4"/>
      <c r="CCB51" s="4"/>
      <c r="CCC51" s="4"/>
      <c r="CCD51" s="4"/>
      <c r="CCE51" s="4"/>
      <c r="CCF51" s="4"/>
      <c r="CCG51" s="4"/>
      <c r="CCH51" s="4"/>
      <c r="CCI51" s="80"/>
      <c r="CCL51" s="4"/>
      <c r="CCM51" s="4"/>
      <c r="CCN51" s="4"/>
      <c r="CCO51" s="4"/>
      <c r="CCP51" s="4"/>
      <c r="CCQ51" s="4"/>
      <c r="CCR51" s="4"/>
      <c r="CCS51" s="4"/>
      <c r="CCT51" s="4"/>
      <c r="CCU51" s="80"/>
      <c r="CCX51" s="4"/>
      <c r="CCY51" s="4"/>
      <c r="CCZ51" s="4"/>
      <c r="CDA51" s="4"/>
      <c r="CDB51" s="4"/>
      <c r="CDC51" s="4"/>
      <c r="CDD51" s="4"/>
      <c r="CDE51" s="4"/>
      <c r="CDF51" s="4"/>
      <c r="CDG51" s="80"/>
      <c r="CDJ51" s="4"/>
      <c r="CDK51" s="4"/>
      <c r="CDL51" s="4"/>
      <c r="CDM51" s="4"/>
      <c r="CDN51" s="4"/>
      <c r="CDO51" s="4"/>
      <c r="CDP51" s="4"/>
      <c r="CDQ51" s="4"/>
      <c r="CDR51" s="4"/>
      <c r="CDS51" s="80"/>
      <c r="CDV51" s="4"/>
      <c r="CDW51" s="4"/>
      <c r="CDX51" s="4"/>
      <c r="CDY51" s="4"/>
      <c r="CDZ51" s="4"/>
      <c r="CEA51" s="4"/>
      <c r="CEB51" s="4"/>
      <c r="CEC51" s="4"/>
      <c r="CED51" s="4"/>
      <c r="CEE51" s="80"/>
      <c r="CEH51" s="4"/>
      <c r="CEI51" s="4"/>
      <c r="CEJ51" s="4"/>
      <c r="CEK51" s="4"/>
      <c r="CEL51" s="4"/>
      <c r="CEM51" s="4"/>
      <c r="CEN51" s="4"/>
      <c r="CEO51" s="4"/>
      <c r="CEP51" s="4"/>
      <c r="CEQ51" s="80"/>
      <c r="CET51" s="4"/>
      <c r="CEU51" s="4"/>
      <c r="CEV51" s="4"/>
      <c r="CEW51" s="4"/>
      <c r="CEX51" s="4"/>
      <c r="CEY51" s="4"/>
      <c r="CEZ51" s="4"/>
      <c r="CFA51" s="4"/>
      <c r="CFB51" s="4"/>
      <c r="CFC51" s="80"/>
      <c r="CFF51" s="4"/>
      <c r="CFG51" s="4"/>
      <c r="CFH51" s="4"/>
      <c r="CFI51" s="4"/>
      <c r="CFJ51" s="4"/>
      <c r="CFK51" s="4"/>
      <c r="CFL51" s="4"/>
      <c r="CFM51" s="4"/>
      <c r="CFN51" s="4"/>
      <c r="CFO51" s="80"/>
      <c r="CFR51" s="4"/>
      <c r="CFS51" s="4"/>
      <c r="CFT51" s="4"/>
      <c r="CFU51" s="4"/>
      <c r="CFV51" s="4"/>
      <c r="CFW51" s="4"/>
      <c r="CFX51" s="4"/>
      <c r="CFY51" s="4"/>
      <c r="CFZ51" s="4"/>
      <c r="CGA51" s="80"/>
      <c r="CGD51" s="4"/>
      <c r="CGE51" s="4"/>
      <c r="CGF51" s="4"/>
      <c r="CGG51" s="4"/>
      <c r="CGH51" s="4"/>
      <c r="CGI51" s="4"/>
      <c r="CGJ51" s="4"/>
      <c r="CGK51" s="4"/>
      <c r="CGL51" s="4"/>
      <c r="CGM51" s="80"/>
      <c r="CGP51" s="4"/>
      <c r="CGQ51" s="4"/>
      <c r="CGR51" s="4"/>
      <c r="CGS51" s="4"/>
      <c r="CGT51" s="4"/>
      <c r="CGU51" s="4"/>
      <c r="CGV51" s="4"/>
      <c r="CGW51" s="4"/>
      <c r="CGX51" s="4"/>
      <c r="CGY51" s="80"/>
      <c r="CHB51" s="4"/>
      <c r="CHC51" s="4"/>
      <c r="CHD51" s="4"/>
      <c r="CHE51" s="4"/>
      <c r="CHF51" s="4"/>
      <c r="CHG51" s="4"/>
      <c r="CHH51" s="4"/>
      <c r="CHI51" s="4"/>
      <c r="CHJ51" s="4"/>
      <c r="CHK51" s="80"/>
      <c r="CHN51" s="4"/>
      <c r="CHO51" s="4"/>
      <c r="CHP51" s="4"/>
      <c r="CHQ51" s="4"/>
      <c r="CHR51" s="4"/>
      <c r="CHS51" s="4"/>
      <c r="CHT51" s="4"/>
      <c r="CHU51" s="4"/>
      <c r="CHV51" s="4"/>
      <c r="CHW51" s="80"/>
      <c r="CHZ51" s="4"/>
      <c r="CIA51" s="4"/>
      <c r="CIB51" s="4"/>
      <c r="CIC51" s="4"/>
      <c r="CID51" s="4"/>
      <c r="CIE51" s="4"/>
      <c r="CIF51" s="4"/>
      <c r="CIG51" s="4"/>
      <c r="CIH51" s="4"/>
      <c r="CII51" s="80"/>
      <c r="CIL51" s="4"/>
      <c r="CIM51" s="4"/>
      <c r="CIN51" s="4"/>
      <c r="CIO51" s="4"/>
      <c r="CIP51" s="4"/>
      <c r="CIQ51" s="4"/>
      <c r="CIR51" s="4"/>
      <c r="CIS51" s="4"/>
      <c r="CIT51" s="4"/>
      <c r="CIU51" s="80"/>
      <c r="CIX51" s="4"/>
      <c r="CIY51" s="4"/>
      <c r="CIZ51" s="4"/>
      <c r="CJA51" s="4"/>
      <c r="CJB51" s="4"/>
      <c r="CJC51" s="4"/>
      <c r="CJD51" s="4"/>
      <c r="CJE51" s="4"/>
      <c r="CJF51" s="4"/>
      <c r="CJG51" s="80"/>
      <c r="CJJ51" s="4"/>
      <c r="CJK51" s="4"/>
      <c r="CJL51" s="4"/>
      <c r="CJM51" s="4"/>
      <c r="CJN51" s="4"/>
      <c r="CJO51" s="4"/>
      <c r="CJP51" s="4"/>
      <c r="CJQ51" s="4"/>
      <c r="CJR51" s="4"/>
      <c r="CJS51" s="80"/>
      <c r="CJV51" s="4"/>
      <c r="CJW51" s="4"/>
      <c r="CJX51" s="4"/>
      <c r="CJY51" s="4"/>
      <c r="CJZ51" s="4"/>
      <c r="CKA51" s="4"/>
      <c r="CKB51" s="4"/>
      <c r="CKC51" s="4"/>
      <c r="CKD51" s="4"/>
      <c r="CKE51" s="80"/>
      <c r="CKH51" s="4"/>
      <c r="CKI51" s="4"/>
      <c r="CKJ51" s="4"/>
      <c r="CKK51" s="4"/>
      <c r="CKL51" s="4"/>
      <c r="CKM51" s="4"/>
      <c r="CKN51" s="4"/>
      <c r="CKO51" s="4"/>
      <c r="CKP51" s="4"/>
      <c r="CKQ51" s="80"/>
      <c r="CKT51" s="4"/>
      <c r="CKU51" s="4"/>
      <c r="CKV51" s="4"/>
      <c r="CKW51" s="4"/>
      <c r="CKX51" s="4"/>
      <c r="CKY51" s="4"/>
      <c r="CKZ51" s="4"/>
      <c r="CLA51" s="4"/>
      <c r="CLB51" s="4"/>
      <c r="CLC51" s="80"/>
      <c r="CLF51" s="4"/>
      <c r="CLG51" s="4"/>
      <c r="CLH51" s="4"/>
      <c r="CLI51" s="4"/>
      <c r="CLJ51" s="4"/>
      <c r="CLK51" s="4"/>
      <c r="CLL51" s="4"/>
      <c r="CLM51" s="4"/>
      <c r="CLN51" s="4"/>
      <c r="CLO51" s="80"/>
      <c r="CLR51" s="4"/>
      <c r="CLS51" s="4"/>
      <c r="CLT51" s="4"/>
      <c r="CLU51" s="4"/>
      <c r="CLV51" s="4"/>
      <c r="CLW51" s="4"/>
      <c r="CLX51" s="4"/>
      <c r="CLY51" s="4"/>
      <c r="CLZ51" s="4"/>
      <c r="CMA51" s="80"/>
      <c r="CMD51" s="4"/>
      <c r="CME51" s="4"/>
      <c r="CMF51" s="4"/>
      <c r="CMG51" s="4"/>
      <c r="CMH51" s="4"/>
      <c r="CMI51" s="4"/>
      <c r="CMJ51" s="4"/>
      <c r="CMK51" s="4"/>
      <c r="CML51" s="4"/>
      <c r="CMM51" s="80"/>
      <c r="CMP51" s="4"/>
      <c r="CMQ51" s="4"/>
      <c r="CMR51" s="4"/>
      <c r="CMS51" s="4"/>
      <c r="CMT51" s="4"/>
      <c r="CMU51" s="4"/>
      <c r="CMV51" s="4"/>
      <c r="CMW51" s="4"/>
      <c r="CMX51" s="4"/>
      <c r="CMY51" s="80"/>
      <c r="CNB51" s="4"/>
      <c r="CNC51" s="4"/>
      <c r="CND51" s="4"/>
      <c r="CNE51" s="4"/>
      <c r="CNF51" s="4"/>
      <c r="CNG51" s="4"/>
      <c r="CNH51" s="4"/>
      <c r="CNI51" s="4"/>
      <c r="CNJ51" s="4"/>
      <c r="CNK51" s="80"/>
      <c r="CNN51" s="4"/>
      <c r="CNO51" s="4"/>
      <c r="CNP51" s="4"/>
      <c r="CNQ51" s="4"/>
      <c r="CNR51" s="4"/>
      <c r="CNS51" s="4"/>
      <c r="CNT51" s="4"/>
      <c r="CNU51" s="4"/>
      <c r="CNV51" s="4"/>
      <c r="CNW51" s="80"/>
      <c r="CNZ51" s="4"/>
      <c r="COA51" s="4"/>
      <c r="COB51" s="4"/>
      <c r="COC51" s="4"/>
      <c r="COD51" s="4"/>
      <c r="COE51" s="4"/>
      <c r="COF51" s="4"/>
      <c r="COG51" s="4"/>
      <c r="COH51" s="4"/>
      <c r="COI51" s="80"/>
      <c r="COL51" s="4"/>
      <c r="COM51" s="4"/>
      <c r="CON51" s="4"/>
      <c r="COO51" s="4"/>
      <c r="COP51" s="4"/>
      <c r="COQ51" s="4"/>
      <c r="COR51" s="4"/>
      <c r="COS51" s="4"/>
      <c r="COT51" s="4"/>
      <c r="COU51" s="80"/>
      <c r="COX51" s="4"/>
      <c r="COY51" s="4"/>
      <c r="COZ51" s="4"/>
      <c r="CPA51" s="4"/>
      <c r="CPB51" s="4"/>
      <c r="CPC51" s="4"/>
      <c r="CPD51" s="4"/>
      <c r="CPE51" s="4"/>
      <c r="CPF51" s="4"/>
      <c r="CPG51" s="80"/>
      <c r="CPJ51" s="4"/>
      <c r="CPK51" s="4"/>
      <c r="CPL51" s="4"/>
      <c r="CPM51" s="4"/>
      <c r="CPN51" s="4"/>
      <c r="CPO51" s="4"/>
      <c r="CPP51" s="4"/>
      <c r="CPQ51" s="4"/>
      <c r="CPR51" s="4"/>
      <c r="CPS51" s="80"/>
      <c r="CPV51" s="4"/>
      <c r="CPW51" s="4"/>
      <c r="CPX51" s="4"/>
      <c r="CPY51" s="4"/>
      <c r="CPZ51" s="4"/>
      <c r="CQA51" s="4"/>
      <c r="CQB51" s="4"/>
      <c r="CQC51" s="4"/>
      <c r="CQD51" s="4"/>
      <c r="CQE51" s="80"/>
      <c r="CQH51" s="4"/>
      <c r="CQI51" s="4"/>
      <c r="CQJ51" s="4"/>
      <c r="CQK51" s="4"/>
      <c r="CQL51" s="4"/>
      <c r="CQM51" s="4"/>
      <c r="CQN51" s="4"/>
      <c r="CQO51" s="4"/>
      <c r="CQP51" s="4"/>
      <c r="CQQ51" s="80"/>
      <c r="CQT51" s="4"/>
      <c r="CQU51" s="4"/>
      <c r="CQV51" s="4"/>
      <c r="CQW51" s="4"/>
      <c r="CQX51" s="4"/>
      <c r="CQY51" s="4"/>
      <c r="CQZ51" s="4"/>
      <c r="CRA51" s="4"/>
      <c r="CRB51" s="4"/>
      <c r="CRC51" s="80"/>
      <c r="CRF51" s="4"/>
      <c r="CRG51" s="4"/>
      <c r="CRH51" s="4"/>
      <c r="CRI51" s="4"/>
      <c r="CRJ51" s="4"/>
      <c r="CRK51" s="4"/>
      <c r="CRL51" s="4"/>
      <c r="CRM51" s="4"/>
      <c r="CRN51" s="4"/>
      <c r="CRO51" s="80"/>
      <c r="CRR51" s="4"/>
      <c r="CRS51" s="4"/>
      <c r="CRT51" s="4"/>
      <c r="CRU51" s="4"/>
      <c r="CRV51" s="4"/>
      <c r="CRW51" s="4"/>
      <c r="CRX51" s="4"/>
      <c r="CRY51" s="4"/>
      <c r="CRZ51" s="4"/>
      <c r="CSA51" s="80"/>
      <c r="CSD51" s="4"/>
      <c r="CSE51" s="4"/>
      <c r="CSF51" s="4"/>
      <c r="CSG51" s="4"/>
      <c r="CSH51" s="4"/>
      <c r="CSI51" s="4"/>
      <c r="CSJ51" s="4"/>
      <c r="CSK51" s="4"/>
      <c r="CSL51" s="4"/>
      <c r="CSM51" s="80"/>
      <c r="CSP51" s="4"/>
      <c r="CSQ51" s="4"/>
      <c r="CSR51" s="4"/>
      <c r="CSS51" s="4"/>
      <c r="CST51" s="4"/>
      <c r="CSU51" s="4"/>
      <c r="CSV51" s="4"/>
      <c r="CSW51" s="4"/>
      <c r="CSX51" s="4"/>
      <c r="CSY51" s="80"/>
      <c r="CTB51" s="4"/>
      <c r="CTC51" s="4"/>
      <c r="CTD51" s="4"/>
      <c r="CTE51" s="4"/>
      <c r="CTF51" s="4"/>
      <c r="CTG51" s="4"/>
      <c r="CTH51" s="4"/>
      <c r="CTI51" s="4"/>
      <c r="CTJ51" s="4"/>
      <c r="CTK51" s="80"/>
      <c r="CTN51" s="4"/>
      <c r="CTO51" s="4"/>
      <c r="CTP51" s="4"/>
      <c r="CTQ51" s="4"/>
      <c r="CTR51" s="4"/>
      <c r="CTS51" s="4"/>
      <c r="CTT51" s="4"/>
      <c r="CTU51" s="4"/>
      <c r="CTV51" s="4"/>
      <c r="CTW51" s="80"/>
      <c r="CTZ51" s="4"/>
      <c r="CUA51" s="4"/>
      <c r="CUB51" s="4"/>
      <c r="CUC51" s="4"/>
      <c r="CUD51" s="4"/>
      <c r="CUE51" s="4"/>
      <c r="CUF51" s="4"/>
      <c r="CUG51" s="4"/>
      <c r="CUH51" s="4"/>
      <c r="CUI51" s="80"/>
      <c r="CUL51" s="4"/>
      <c r="CUM51" s="4"/>
      <c r="CUN51" s="4"/>
      <c r="CUO51" s="4"/>
      <c r="CUP51" s="4"/>
      <c r="CUQ51" s="4"/>
      <c r="CUR51" s="4"/>
      <c r="CUS51" s="4"/>
      <c r="CUT51" s="4"/>
      <c r="CUU51" s="80"/>
      <c r="CUX51" s="4"/>
      <c r="CUY51" s="4"/>
      <c r="CUZ51" s="4"/>
      <c r="CVA51" s="4"/>
      <c r="CVB51" s="4"/>
      <c r="CVC51" s="4"/>
      <c r="CVD51" s="4"/>
      <c r="CVE51" s="4"/>
      <c r="CVF51" s="4"/>
      <c r="CVG51" s="80"/>
      <c r="CVJ51" s="4"/>
      <c r="CVK51" s="4"/>
      <c r="CVL51" s="4"/>
      <c r="CVM51" s="4"/>
      <c r="CVN51" s="4"/>
      <c r="CVO51" s="4"/>
      <c r="CVP51" s="4"/>
      <c r="CVQ51" s="4"/>
      <c r="CVR51" s="4"/>
      <c r="CVS51" s="80"/>
      <c r="CVV51" s="4"/>
      <c r="CVW51" s="4"/>
      <c r="CVX51" s="4"/>
      <c r="CVY51" s="4"/>
      <c r="CVZ51" s="4"/>
      <c r="CWA51" s="4"/>
      <c r="CWB51" s="4"/>
      <c r="CWC51" s="4"/>
      <c r="CWD51" s="4"/>
      <c r="CWE51" s="80"/>
    </row>
    <row r="52" spans="2:1023 1026:2631" x14ac:dyDescent="0.25"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R52" s="214"/>
      <c r="AS52" s="214"/>
      <c r="AT52" s="214"/>
      <c r="AU52" s="214"/>
      <c r="AV52" s="214"/>
      <c r="AW52" s="214"/>
      <c r="AX52" s="214"/>
      <c r="AY52" s="214"/>
      <c r="AZ52" s="214"/>
      <c r="BA52" s="214"/>
      <c r="BB52" s="214"/>
      <c r="BF52" s="214"/>
      <c r="BG52" s="214"/>
      <c r="BH52" s="214"/>
      <c r="BI52" s="214"/>
      <c r="BJ52" s="214"/>
      <c r="BK52" s="214"/>
      <c r="BL52" s="214"/>
      <c r="BM52" s="214"/>
      <c r="BN52" s="214"/>
      <c r="BO52" s="214"/>
      <c r="BP52" s="214"/>
      <c r="BT52" s="214"/>
      <c r="BU52" s="214"/>
      <c r="BV52" s="214"/>
      <c r="BW52" s="214"/>
      <c r="BX52" s="214"/>
      <c r="BY52" s="214"/>
      <c r="BZ52" s="214"/>
      <c r="CA52" s="214"/>
      <c r="CB52" s="214"/>
      <c r="CC52" s="214"/>
      <c r="CD52" s="214"/>
      <c r="CH52" s="214"/>
      <c r="CI52" s="214"/>
      <c r="CJ52" s="214"/>
      <c r="CK52" s="214"/>
      <c r="CL52" s="214"/>
      <c r="CM52" s="214"/>
      <c r="CN52" s="214"/>
      <c r="CO52" s="214"/>
      <c r="CP52" s="214"/>
      <c r="CQ52" s="214"/>
      <c r="CR52" s="214"/>
      <c r="CV52" s="214"/>
      <c r="CW52" s="214"/>
      <c r="CX52" s="214"/>
      <c r="CY52" s="214"/>
      <c r="CZ52" s="214"/>
      <c r="DA52" s="214"/>
      <c r="DB52" s="214"/>
      <c r="DC52" s="214"/>
      <c r="DD52" s="214"/>
      <c r="DE52" s="214"/>
      <c r="DF52" s="214"/>
      <c r="DJ52" s="214"/>
      <c r="DK52" s="214"/>
      <c r="DL52" s="214"/>
      <c r="DM52" s="214"/>
      <c r="DN52" s="214"/>
      <c r="DO52" s="214"/>
      <c r="DP52" s="214"/>
      <c r="DQ52" s="214"/>
      <c r="DR52" s="214"/>
      <c r="DS52" s="214"/>
      <c r="DT52" s="214"/>
      <c r="DX52" s="214"/>
      <c r="DY52" s="214"/>
      <c r="DZ52" s="214"/>
      <c r="EA52" s="214"/>
      <c r="EB52" s="214"/>
      <c r="EC52" s="214"/>
      <c r="ED52" s="214"/>
      <c r="EE52" s="214"/>
      <c r="EF52" s="214"/>
      <c r="EG52" s="214"/>
      <c r="EH52" s="214"/>
      <c r="EL52" s="214"/>
      <c r="EM52" s="214"/>
      <c r="EN52" s="214"/>
      <c r="EO52" s="214"/>
      <c r="EP52" s="214"/>
      <c r="EQ52" s="214"/>
      <c r="ER52" s="214"/>
      <c r="ES52" s="214"/>
      <c r="ET52" s="214"/>
      <c r="EU52" s="214"/>
      <c r="EV52" s="214"/>
      <c r="EZ52" s="214"/>
      <c r="FA52" s="214"/>
      <c r="FB52" s="214"/>
      <c r="FC52" s="214"/>
      <c r="FD52" s="214"/>
      <c r="FE52" s="214"/>
      <c r="FF52" s="214"/>
      <c r="FG52" s="214"/>
      <c r="FH52" s="214"/>
      <c r="FI52" s="214"/>
      <c r="FJ52" s="214"/>
      <c r="FN52" s="214"/>
      <c r="FO52" s="214"/>
      <c r="FP52" s="214"/>
      <c r="FQ52" s="214"/>
      <c r="FR52" s="214"/>
      <c r="FS52" s="214"/>
      <c r="FT52" s="214"/>
      <c r="FU52" s="214"/>
      <c r="FV52" s="214"/>
      <c r="FW52" s="214"/>
      <c r="FX52" s="214"/>
      <c r="GB52" s="214"/>
      <c r="GC52" s="214"/>
      <c r="GD52" s="214"/>
      <c r="GE52" s="214"/>
      <c r="GF52" s="214"/>
      <c r="GG52" s="214"/>
      <c r="GH52" s="214"/>
      <c r="GI52" s="214"/>
      <c r="GJ52" s="214"/>
      <c r="GK52" s="214"/>
      <c r="GL52" s="214"/>
      <c r="GP52" s="214"/>
      <c r="GQ52" s="214"/>
      <c r="GR52" s="214"/>
      <c r="GS52" s="214"/>
      <c r="GT52" s="214"/>
      <c r="GU52" s="214"/>
      <c r="GV52" s="214"/>
      <c r="GW52" s="214"/>
      <c r="GX52" s="214"/>
      <c r="GY52" s="214"/>
      <c r="GZ52" s="214"/>
      <c r="HD52" s="214"/>
      <c r="HE52" s="214"/>
      <c r="HF52" s="214"/>
      <c r="HG52" s="214"/>
      <c r="HH52" s="214"/>
      <c r="HI52" s="214"/>
      <c r="HJ52" s="214"/>
      <c r="HK52" s="214"/>
      <c r="HL52" s="214"/>
      <c r="HM52" s="214"/>
      <c r="HN52" s="214"/>
      <c r="HR52" s="214"/>
      <c r="HS52" s="214"/>
      <c r="HT52" s="214"/>
      <c r="HU52" s="214"/>
      <c r="HV52" s="214"/>
      <c r="HW52" s="214"/>
      <c r="HX52" s="214"/>
      <c r="HY52" s="214"/>
      <c r="HZ52" s="214"/>
      <c r="IA52" s="214"/>
      <c r="IB52" s="214"/>
      <c r="IF52" s="214"/>
      <c r="IG52" s="214"/>
      <c r="IH52" s="214"/>
      <c r="II52" s="214"/>
      <c r="IJ52" s="214"/>
      <c r="IK52" s="214"/>
      <c r="IL52" s="214"/>
      <c r="IM52" s="214"/>
      <c r="IN52" s="214"/>
      <c r="IO52" s="214"/>
      <c r="IP52" s="214"/>
      <c r="IT52" s="214"/>
      <c r="IU52" s="214"/>
      <c r="IV52" s="214"/>
      <c r="IW52" s="214"/>
      <c r="IX52" s="214"/>
      <c r="IY52" s="214"/>
      <c r="IZ52" s="214"/>
      <c r="JA52" s="214"/>
      <c r="JB52" s="214"/>
      <c r="JC52" s="214"/>
      <c r="JD52" s="214"/>
      <c r="JH52" s="214"/>
      <c r="JI52" s="214"/>
      <c r="JJ52" s="214"/>
      <c r="JK52" s="214"/>
      <c r="JL52" s="214"/>
      <c r="JM52" s="214"/>
      <c r="JN52" s="214"/>
      <c r="JO52" s="214"/>
      <c r="JP52" s="214"/>
      <c r="JQ52" s="214"/>
      <c r="JR52" s="214"/>
      <c r="JV52" s="214"/>
      <c r="JW52" s="214"/>
      <c r="JX52" s="214"/>
      <c r="JY52" s="214"/>
      <c r="JZ52" s="214"/>
      <c r="KA52" s="214"/>
      <c r="KB52" s="214"/>
      <c r="KC52" s="214"/>
      <c r="KD52" s="214"/>
      <c r="KE52" s="214"/>
      <c r="KF52" s="214"/>
      <c r="KJ52" s="214"/>
      <c r="KK52" s="214"/>
      <c r="KL52" s="214"/>
      <c r="KM52" s="214"/>
      <c r="KN52" s="214"/>
      <c r="KO52" s="214"/>
      <c r="KP52" s="214"/>
      <c r="KQ52" s="214"/>
      <c r="KR52" s="214"/>
      <c r="KS52" s="214"/>
      <c r="KT52" s="214"/>
      <c r="KX52" s="214"/>
      <c r="KY52" s="214"/>
      <c r="KZ52" s="214"/>
      <c r="LA52" s="214"/>
      <c r="LB52" s="214"/>
      <c r="LC52" s="214"/>
      <c r="LD52" s="214"/>
      <c r="LE52" s="214"/>
      <c r="LF52" s="214"/>
      <c r="LG52" s="214"/>
      <c r="LH52" s="214"/>
      <c r="LL52" s="214"/>
      <c r="LM52" s="214"/>
      <c r="LN52" s="214"/>
      <c r="LO52" s="214"/>
      <c r="LP52" s="214"/>
      <c r="LQ52" s="214"/>
      <c r="LR52" s="214"/>
      <c r="LS52" s="214"/>
      <c r="LT52" s="214"/>
      <c r="LU52" s="214"/>
      <c r="LV52" s="214"/>
      <c r="LZ52" s="214"/>
      <c r="MA52" s="214"/>
      <c r="MB52" s="214"/>
      <c r="MC52" s="214"/>
      <c r="MD52" s="214"/>
      <c r="ME52" s="214"/>
      <c r="MF52" s="214"/>
      <c r="MG52" s="214"/>
      <c r="MH52" s="214"/>
      <c r="MI52" s="214"/>
      <c r="MJ52" s="214"/>
      <c r="MN52" s="214"/>
      <c r="MO52" s="214"/>
      <c r="MP52" s="214"/>
      <c r="MQ52" s="214"/>
      <c r="MR52" s="214"/>
      <c r="MS52" s="214"/>
      <c r="MT52" s="214"/>
      <c r="MU52" s="214"/>
      <c r="MV52" s="214"/>
      <c r="MW52" s="214"/>
      <c r="MX52" s="214"/>
      <c r="NB52" s="214"/>
      <c r="NC52" s="214"/>
      <c r="ND52" s="214"/>
      <c r="NE52" s="214"/>
      <c r="NF52" s="214"/>
      <c r="NG52" s="214"/>
      <c r="NH52" s="214"/>
      <c r="NI52" s="214"/>
      <c r="NJ52" s="214"/>
      <c r="NK52" s="214"/>
      <c r="NL52" s="214"/>
      <c r="NP52" s="214"/>
      <c r="NQ52" s="214"/>
      <c r="NR52" s="214"/>
      <c r="NS52" s="214"/>
      <c r="NT52" s="214"/>
      <c r="NU52" s="214"/>
      <c r="NV52" s="214"/>
      <c r="NW52" s="214"/>
      <c r="NX52" s="214"/>
      <c r="NY52" s="214"/>
      <c r="NZ52" s="214"/>
      <c r="OD52" s="214"/>
      <c r="OE52" s="214"/>
      <c r="OF52" s="214"/>
      <c r="OG52" s="214"/>
      <c r="OH52" s="214"/>
      <c r="OI52" s="214"/>
      <c r="OJ52" s="214"/>
      <c r="OK52" s="214"/>
      <c r="OL52" s="214"/>
      <c r="OM52" s="214"/>
      <c r="ON52" s="214"/>
      <c r="OR52" s="214"/>
      <c r="OS52" s="214"/>
      <c r="OT52" s="214"/>
      <c r="OU52" s="214"/>
      <c r="OV52" s="214"/>
      <c r="OW52" s="214"/>
      <c r="OX52" s="214"/>
      <c r="OY52" s="214"/>
      <c r="OZ52" s="214"/>
      <c r="PA52" s="214"/>
      <c r="PB52" s="214"/>
      <c r="PF52" s="214"/>
      <c r="PG52" s="214"/>
      <c r="PH52" s="214"/>
      <c r="PI52" s="214"/>
      <c r="PJ52" s="214"/>
      <c r="PK52" s="214"/>
      <c r="PL52" s="214"/>
      <c r="PM52" s="214"/>
      <c r="PN52" s="214"/>
      <c r="PO52" s="214"/>
      <c r="PP52" s="214"/>
      <c r="PT52" s="214"/>
      <c r="PU52" s="214"/>
      <c r="PV52" s="214"/>
      <c r="PW52" s="214"/>
      <c r="PX52" s="214"/>
      <c r="PY52" s="214"/>
      <c r="PZ52" s="214"/>
      <c r="QA52" s="214"/>
      <c r="QB52" s="214"/>
      <c r="QC52" s="214"/>
      <c r="QD52" s="214"/>
      <c r="QH52" s="214"/>
      <c r="QI52" s="214"/>
      <c r="QJ52" s="214"/>
      <c r="QK52" s="214"/>
      <c r="QL52" s="214"/>
      <c r="QM52" s="214"/>
      <c r="QN52" s="214"/>
      <c r="QO52" s="214"/>
      <c r="QP52" s="214"/>
      <c r="QQ52" s="214"/>
      <c r="QR52" s="214"/>
      <c r="QV52" s="214"/>
      <c r="QW52" s="214"/>
      <c r="QX52" s="214"/>
      <c r="QY52" s="214"/>
      <c r="QZ52" s="214"/>
      <c r="RA52" s="214"/>
      <c r="RB52" s="214"/>
      <c r="RC52" s="214"/>
      <c r="RD52" s="214"/>
      <c r="RE52" s="214"/>
      <c r="RF52" s="214"/>
      <c r="RJ52" s="214"/>
      <c r="RK52" s="214"/>
      <c r="RL52" s="214"/>
      <c r="RM52" s="214"/>
      <c r="RN52" s="214"/>
      <c r="RO52" s="214"/>
      <c r="RP52" s="214"/>
      <c r="RQ52" s="214"/>
      <c r="RR52" s="214"/>
      <c r="RS52" s="214"/>
      <c r="RT52" s="214"/>
      <c r="RX52" s="214"/>
      <c r="RY52" s="214"/>
      <c r="RZ52" s="214"/>
      <c r="SA52" s="214"/>
      <c r="SB52" s="214"/>
      <c r="SC52" s="214"/>
      <c r="SD52" s="214"/>
      <c r="SE52" s="214"/>
      <c r="SF52" s="214"/>
      <c r="SG52" s="214"/>
      <c r="SH52" s="214"/>
      <c r="SL52" s="214"/>
      <c r="SM52" s="214"/>
      <c r="SN52" s="214"/>
      <c r="SO52" s="214"/>
      <c r="SP52" s="214"/>
      <c r="SQ52" s="214"/>
      <c r="SR52" s="214"/>
      <c r="SS52" s="214"/>
      <c r="ST52" s="214"/>
      <c r="SU52" s="214"/>
      <c r="SV52" s="214"/>
      <c r="SZ52" s="214"/>
      <c r="TA52" s="214"/>
      <c r="TB52" s="214"/>
      <c r="TC52" s="214"/>
      <c r="TD52" s="214"/>
      <c r="TE52" s="214"/>
      <c r="TF52" s="214"/>
      <c r="TG52" s="214"/>
      <c r="TH52" s="214"/>
      <c r="TI52" s="214"/>
      <c r="TJ52" s="214"/>
      <c r="TN52" s="214"/>
      <c r="TO52" s="214"/>
      <c r="TP52" s="214"/>
      <c r="TQ52" s="214"/>
      <c r="TR52" s="214"/>
      <c r="TS52" s="214"/>
      <c r="TT52" s="214"/>
      <c r="TU52" s="214"/>
      <c r="TV52" s="214"/>
      <c r="TW52" s="214"/>
      <c r="TX52" s="214"/>
      <c r="UB52" s="214"/>
      <c r="UC52" s="214"/>
      <c r="UD52" s="214"/>
      <c r="UE52" s="214"/>
      <c r="UF52" s="214"/>
      <c r="UG52" s="214"/>
      <c r="UH52" s="214"/>
      <c r="UI52" s="214"/>
      <c r="UJ52" s="214"/>
      <c r="UK52" s="214"/>
      <c r="UL52" s="214"/>
      <c r="UP52" s="214"/>
      <c r="UQ52" s="214"/>
      <c r="UR52" s="214"/>
      <c r="US52" s="214"/>
      <c r="UT52" s="214"/>
      <c r="UU52" s="214"/>
      <c r="UV52" s="214"/>
      <c r="UW52" s="214"/>
      <c r="UX52" s="214"/>
      <c r="UY52" s="214"/>
      <c r="UZ52" s="214"/>
      <c r="VD52" s="214"/>
      <c r="VE52" s="214"/>
      <c r="VF52" s="214"/>
      <c r="VG52" s="214"/>
      <c r="VH52" s="214"/>
      <c r="VI52" s="214"/>
      <c r="VJ52" s="214"/>
      <c r="VK52" s="214"/>
      <c r="VL52" s="214"/>
      <c r="VM52" s="214"/>
      <c r="VN52" s="214"/>
      <c r="VR52" s="214"/>
      <c r="VS52" s="214"/>
      <c r="VT52" s="214"/>
      <c r="VU52" s="214"/>
      <c r="VV52" s="214"/>
      <c r="VW52" s="214"/>
      <c r="VX52" s="214"/>
      <c r="VY52" s="214"/>
      <c r="VZ52" s="214"/>
      <c r="WA52" s="214"/>
      <c r="WB52" s="214"/>
      <c r="WF52" s="214"/>
      <c r="WG52" s="214"/>
      <c r="WH52" s="214"/>
      <c r="WI52" s="214"/>
      <c r="WJ52" s="214"/>
      <c r="WK52" s="214"/>
      <c r="WL52" s="214"/>
      <c r="WM52" s="214"/>
      <c r="WN52" s="214"/>
      <c r="WO52" s="214"/>
      <c r="WP52" s="214"/>
      <c r="WT52" s="214"/>
      <c r="WU52" s="214"/>
      <c r="WV52" s="214"/>
      <c r="WW52" s="214"/>
      <c r="WX52" s="214"/>
      <c r="WY52" s="214"/>
      <c r="WZ52" s="214"/>
      <c r="XA52" s="214"/>
      <c r="XB52" s="214"/>
      <c r="XC52" s="214"/>
      <c r="XD52" s="214"/>
      <c r="XH52" s="214"/>
      <c r="XI52" s="214"/>
      <c r="XJ52" s="214"/>
      <c r="XK52" s="214"/>
      <c r="XL52" s="214"/>
      <c r="XM52" s="214"/>
      <c r="XN52" s="214"/>
      <c r="XO52" s="214"/>
      <c r="XP52" s="214"/>
      <c r="XQ52" s="214"/>
      <c r="XR52" s="214"/>
      <c r="XV52" s="214"/>
      <c r="XW52" s="214"/>
      <c r="XX52" s="214"/>
      <c r="XY52" s="214"/>
      <c r="XZ52" s="214"/>
      <c r="YA52" s="214"/>
      <c r="YB52" s="214"/>
      <c r="YC52" s="214"/>
      <c r="YD52" s="214"/>
      <c r="YE52" s="214"/>
      <c r="YF52" s="214"/>
      <c r="YJ52" s="214"/>
      <c r="YK52" s="214"/>
      <c r="YL52" s="214"/>
      <c r="YM52" s="214"/>
      <c r="YN52" s="214"/>
      <c r="YO52" s="214"/>
      <c r="YP52" s="214"/>
      <c r="YQ52" s="214"/>
      <c r="YR52" s="214"/>
      <c r="YS52" s="214"/>
      <c r="YT52" s="214"/>
      <c r="YX52" s="214"/>
      <c r="YY52" s="214"/>
      <c r="YZ52" s="214"/>
      <c r="ZA52" s="214"/>
      <c r="ZB52" s="214"/>
      <c r="ZC52" s="214"/>
      <c r="ZD52" s="214"/>
      <c r="ZE52" s="214"/>
      <c r="ZF52" s="214"/>
      <c r="ZG52" s="214"/>
      <c r="ZH52" s="214"/>
      <c r="ZL52" s="214"/>
      <c r="ZM52" s="214"/>
      <c r="ZN52" s="214"/>
      <c r="ZO52" s="214"/>
      <c r="ZP52" s="214"/>
      <c r="ZQ52" s="214"/>
      <c r="ZR52" s="214"/>
      <c r="ZS52" s="214"/>
      <c r="ZT52" s="214"/>
      <c r="ZU52" s="214"/>
      <c r="ZV52" s="214"/>
      <c r="ZY52" s="4"/>
      <c r="ZZ52" s="4"/>
      <c r="AAA52" s="4"/>
      <c r="AAB52" s="4"/>
      <c r="AAC52" s="4"/>
      <c r="AAD52" s="80"/>
      <c r="AAE52" s="80"/>
      <c r="AAF52" s="4"/>
      <c r="AAG52" s="4"/>
      <c r="AAH52" s="80"/>
      <c r="AAI52" s="80"/>
      <c r="AAJ52" s="4"/>
      <c r="AAL52" s="4"/>
      <c r="AAM52" s="4"/>
      <c r="AAN52" s="4"/>
      <c r="AAO52" s="4"/>
      <c r="AAP52" s="4"/>
      <c r="AAQ52" s="80"/>
      <c r="AAR52" s="80"/>
      <c r="AAS52" s="4"/>
      <c r="AAT52" s="4"/>
      <c r="AAU52" s="80"/>
      <c r="AAV52" s="80"/>
      <c r="AAY52" s="4"/>
      <c r="AAZ52" s="4"/>
      <c r="ABA52" s="4"/>
      <c r="ABB52" s="4"/>
      <c r="ABC52" s="4"/>
      <c r="ABD52" s="80"/>
      <c r="ABE52" s="80"/>
      <c r="ABF52" s="4"/>
      <c r="ABG52" s="4"/>
      <c r="ABH52" s="80"/>
      <c r="ABI52" s="80"/>
      <c r="ABL52" s="4"/>
      <c r="ABM52" s="4"/>
      <c r="ABN52" s="4"/>
      <c r="ABO52" s="4"/>
      <c r="ABP52" s="4"/>
      <c r="ABQ52" s="80"/>
      <c r="ABR52" s="80"/>
      <c r="ABS52" s="4"/>
      <c r="ABT52" s="4"/>
      <c r="ABU52" s="80"/>
      <c r="ABV52" s="80"/>
      <c r="ABY52" s="4"/>
      <c r="ABZ52" s="4"/>
      <c r="ACA52" s="4"/>
      <c r="ACB52" s="4"/>
      <c r="ACC52" s="4"/>
      <c r="ACD52" s="80"/>
      <c r="ACE52" s="80"/>
      <c r="ACF52" s="4"/>
      <c r="ACG52" s="4"/>
      <c r="ACH52" s="80"/>
      <c r="ACI52" s="80"/>
      <c r="ACL52" s="4"/>
      <c r="ACM52" s="4"/>
      <c r="ACN52" s="4"/>
      <c r="ACO52" s="4"/>
      <c r="ACP52" s="4"/>
      <c r="ACQ52" s="80"/>
      <c r="ACR52" s="80"/>
      <c r="ACS52" s="4"/>
      <c r="ACT52" s="4"/>
      <c r="ACU52" s="80"/>
      <c r="ACV52" s="80"/>
      <c r="ACY52" s="4"/>
      <c r="ACZ52" s="4"/>
      <c r="ADA52" s="4"/>
      <c r="ADB52" s="4"/>
      <c r="ADC52" s="4"/>
      <c r="ADD52" s="80"/>
      <c r="ADE52" s="80"/>
      <c r="ADF52" s="4"/>
      <c r="ADG52" s="4"/>
      <c r="ADH52" s="80"/>
      <c r="ADI52" s="80"/>
      <c r="ADL52" s="4"/>
      <c r="ADM52" s="4"/>
      <c r="ADN52" s="4"/>
      <c r="ADO52" s="4"/>
      <c r="ADP52" s="4"/>
      <c r="ADQ52" s="80"/>
      <c r="ADR52" s="80"/>
      <c r="ADS52" s="4"/>
      <c r="ADT52" s="4"/>
      <c r="ADU52" s="80"/>
      <c r="ADV52" s="80"/>
      <c r="ADY52" s="4"/>
      <c r="ADZ52" s="4"/>
      <c r="AEA52" s="4"/>
      <c r="AEB52" s="4"/>
      <c r="AEC52" s="4"/>
      <c r="AED52" s="80"/>
      <c r="AEE52" s="80"/>
      <c r="AEF52" s="4"/>
      <c r="AEG52" s="4"/>
      <c r="AEH52" s="80"/>
      <c r="AEI52" s="80"/>
      <c r="AEL52" s="4"/>
      <c r="AEM52" s="4"/>
      <c r="AEN52" s="4"/>
      <c r="AEO52" s="4"/>
      <c r="AEP52" s="4"/>
      <c r="AEQ52" s="80"/>
      <c r="AER52" s="80"/>
      <c r="AES52" s="4"/>
      <c r="AET52" s="4"/>
      <c r="AEU52" s="80"/>
      <c r="AEV52" s="80"/>
      <c r="AEY52" s="4"/>
      <c r="AEZ52" s="4"/>
      <c r="AFA52" s="4"/>
      <c r="AFB52" s="4"/>
      <c r="AFC52" s="4"/>
      <c r="AFD52" s="80"/>
      <c r="AFE52" s="80"/>
      <c r="AFF52" s="4"/>
      <c r="AFG52" s="4"/>
      <c r="AFH52" s="80"/>
      <c r="AFI52" s="80"/>
      <c r="AFL52" s="4"/>
      <c r="AFM52" s="4"/>
      <c r="AFN52" s="4"/>
      <c r="AFO52" s="4"/>
      <c r="AFP52" s="4"/>
      <c r="AFQ52" s="80"/>
      <c r="AFR52" s="80"/>
      <c r="AFS52" s="4"/>
      <c r="AFT52" s="4"/>
      <c r="AFU52" s="80"/>
      <c r="AFV52" s="80"/>
      <c r="AFZ52" s="4"/>
      <c r="AGA52" s="4"/>
      <c r="AGB52" s="4"/>
      <c r="AGC52" s="4"/>
      <c r="AGD52" s="80"/>
      <c r="AGE52" s="80"/>
      <c r="AGF52" s="4"/>
      <c r="AGG52" s="4"/>
      <c r="AGH52" s="80"/>
      <c r="AGI52" s="80"/>
      <c r="AGL52" s="4"/>
      <c r="AGM52" s="4"/>
      <c r="AGN52" s="4"/>
      <c r="AGO52" s="4"/>
      <c r="AGP52" s="80"/>
      <c r="AGQ52" s="80"/>
      <c r="AGR52" s="4"/>
      <c r="AGS52" s="4"/>
      <c r="AGT52" s="80"/>
      <c r="AGU52" s="80"/>
      <c r="AGX52" s="4"/>
      <c r="AGY52" s="4"/>
      <c r="AGZ52" s="4"/>
      <c r="AHA52" s="4"/>
      <c r="AHB52" s="80"/>
      <c r="AHC52" s="80"/>
      <c r="AHD52" s="4"/>
      <c r="AHE52" s="4"/>
      <c r="AHF52" s="80"/>
      <c r="AHG52" s="80"/>
      <c r="AHJ52" s="4"/>
      <c r="AHK52" s="4"/>
      <c r="AHL52" s="4"/>
      <c r="AHM52" s="4"/>
      <c r="AHN52" s="80"/>
      <c r="AHO52" s="80"/>
      <c r="AHP52" s="4"/>
      <c r="AHQ52" s="4"/>
      <c r="AHR52" s="80"/>
      <c r="AHS52" s="80"/>
      <c r="AHV52" s="4"/>
      <c r="AHW52" s="4"/>
      <c r="AHX52" s="4"/>
      <c r="AHY52" s="4"/>
      <c r="AHZ52" s="80"/>
      <c r="AIA52" s="80"/>
      <c r="AIB52" s="4"/>
      <c r="AIC52" s="4"/>
      <c r="AID52" s="80"/>
      <c r="AIE52" s="80"/>
      <c r="AIH52" s="4"/>
      <c r="AII52" s="4"/>
      <c r="AIJ52" s="4"/>
      <c r="AIK52" s="4"/>
      <c r="AIL52" s="80"/>
      <c r="AIM52" s="80"/>
      <c r="AIN52" s="4"/>
      <c r="AIO52" s="4"/>
      <c r="AIP52" s="80"/>
      <c r="AIQ52" s="80"/>
      <c r="AIT52" s="4"/>
      <c r="AIU52" s="4"/>
      <c r="AIV52" s="4"/>
      <c r="AIW52" s="4"/>
      <c r="AIX52" s="80"/>
      <c r="AIY52" s="80"/>
      <c r="AIZ52" s="4"/>
      <c r="AJA52" s="4"/>
      <c r="AJB52" s="80"/>
      <c r="AJC52" s="80"/>
      <c r="AJF52" s="4"/>
      <c r="AJG52" s="4"/>
      <c r="AJH52" s="4"/>
      <c r="AJI52" s="4"/>
      <c r="AJJ52" s="80"/>
      <c r="AJK52" s="80"/>
      <c r="AJL52" s="4"/>
      <c r="AJM52" s="4"/>
      <c r="AJN52" s="80"/>
      <c r="AJO52" s="80"/>
      <c r="AJR52" s="4"/>
      <c r="AJS52" s="4"/>
      <c r="AJT52" s="4"/>
      <c r="AJU52" s="4"/>
      <c r="AJV52" s="80"/>
      <c r="AJW52" s="80"/>
      <c r="AJX52" s="4"/>
      <c r="AJY52" s="4"/>
      <c r="AJZ52" s="80"/>
      <c r="AKA52" s="80"/>
      <c r="AKD52" s="4"/>
      <c r="AKE52" s="4"/>
      <c r="AKF52" s="4"/>
      <c r="AKG52" s="4"/>
      <c r="AKH52" s="80"/>
      <c r="AKI52" s="80"/>
      <c r="AKJ52" s="4"/>
      <c r="AKK52" s="4"/>
      <c r="AKL52" s="80"/>
      <c r="AKM52" s="80"/>
      <c r="AKP52" s="4"/>
      <c r="AKQ52" s="4"/>
      <c r="AKR52" s="4"/>
      <c r="AKS52" s="4"/>
      <c r="AKT52" s="80"/>
      <c r="AKU52" s="80"/>
      <c r="AKV52" s="4"/>
      <c r="AKW52" s="4"/>
      <c r="AKX52" s="80"/>
      <c r="AKY52" s="80"/>
      <c r="ALB52" s="4"/>
      <c r="ALC52" s="4"/>
      <c r="ALD52" s="4"/>
      <c r="ALE52" s="4"/>
      <c r="ALF52" s="80"/>
      <c r="ALG52" s="80"/>
      <c r="ALH52" s="4"/>
      <c r="ALI52" s="4"/>
      <c r="ALJ52" s="80"/>
      <c r="ALK52" s="80"/>
      <c r="ALN52" s="4"/>
      <c r="ALO52" s="4"/>
      <c r="ALP52" s="4"/>
      <c r="ALQ52" s="4"/>
      <c r="ALR52" s="80"/>
      <c r="ALS52" s="80"/>
      <c r="ALT52" s="4"/>
      <c r="ALU52" s="4"/>
      <c r="ALV52" s="80"/>
      <c r="ALW52" s="80"/>
      <c r="ALZ52" s="4"/>
      <c r="AMA52" s="4"/>
      <c r="AMB52" s="4"/>
      <c r="AMC52" s="4"/>
      <c r="AMD52" s="80"/>
      <c r="AME52" s="80"/>
      <c r="AMF52" s="4"/>
      <c r="AMG52" s="4"/>
      <c r="AMH52" s="80"/>
      <c r="AMI52" s="80"/>
      <c r="AML52" s="4"/>
      <c r="AMM52" s="4"/>
      <c r="AMN52" s="4"/>
      <c r="AMO52" s="4"/>
      <c r="AMP52" s="80"/>
      <c r="AMQ52" s="80"/>
      <c r="AMR52" s="4"/>
      <c r="AMS52" s="4"/>
      <c r="AMT52" s="80"/>
      <c r="AMU52" s="80"/>
      <c r="AMX52" s="4"/>
      <c r="AMY52" s="4"/>
      <c r="AMZ52" s="4"/>
      <c r="ANA52" s="4"/>
      <c r="ANB52" s="80"/>
      <c r="ANC52" s="80"/>
      <c r="AND52" s="4"/>
      <c r="ANE52" s="4"/>
      <c r="ANF52" s="80"/>
      <c r="ANG52" s="80"/>
      <c r="ANJ52" s="4"/>
      <c r="ANK52" s="4"/>
      <c r="ANL52" s="4"/>
      <c r="ANM52" s="4"/>
      <c r="ANN52" s="80"/>
      <c r="ANO52" s="80"/>
      <c r="ANP52" s="4"/>
      <c r="ANQ52" s="4"/>
      <c r="ANR52" s="80"/>
      <c r="ANS52" s="80"/>
      <c r="ANV52" s="4"/>
      <c r="ANW52" s="4"/>
      <c r="ANX52" s="4"/>
      <c r="ANY52" s="4"/>
      <c r="ANZ52" s="80"/>
      <c r="AOA52" s="80"/>
      <c r="AOB52" s="4"/>
      <c r="AOC52" s="4"/>
      <c r="AOD52" s="80"/>
      <c r="AOE52" s="80"/>
      <c r="AOH52" s="4"/>
      <c r="AOI52" s="4"/>
      <c r="AOJ52" s="4"/>
      <c r="AOK52" s="4"/>
      <c r="AOL52" s="80"/>
      <c r="AOM52" s="80"/>
      <c r="AON52" s="4"/>
      <c r="AOO52" s="4"/>
      <c r="AOP52" s="80"/>
      <c r="AOQ52" s="80"/>
      <c r="AOT52" s="4"/>
      <c r="AOU52" s="4"/>
      <c r="AOV52" s="4"/>
      <c r="AOW52" s="4"/>
      <c r="AOX52" s="80"/>
      <c r="AOY52" s="80"/>
      <c r="AOZ52" s="4"/>
      <c r="APA52" s="4"/>
      <c r="APB52" s="80"/>
      <c r="APC52" s="80"/>
      <c r="APF52" s="4"/>
      <c r="APG52" s="4"/>
      <c r="APH52" s="4"/>
      <c r="API52" s="4"/>
      <c r="APJ52" s="80"/>
      <c r="APK52" s="80"/>
      <c r="APL52" s="4"/>
      <c r="APM52" s="4"/>
      <c r="APN52" s="80"/>
      <c r="APO52" s="80"/>
      <c r="APR52" s="4"/>
      <c r="APS52" s="4"/>
      <c r="APT52" s="4"/>
      <c r="APU52" s="4"/>
      <c r="APV52" s="80"/>
      <c r="APW52" s="80"/>
      <c r="APX52" s="4"/>
      <c r="APY52" s="4"/>
      <c r="APZ52" s="80"/>
      <c r="AQA52" s="80"/>
      <c r="AQD52" s="4"/>
      <c r="AQE52" s="4"/>
      <c r="AQF52" s="4"/>
      <c r="AQG52" s="4"/>
      <c r="AQH52" s="80"/>
      <c r="AQI52" s="80"/>
      <c r="AQJ52" s="4"/>
      <c r="AQK52" s="4"/>
      <c r="AQL52" s="80"/>
      <c r="AQM52" s="80"/>
      <c r="AQP52" s="4"/>
      <c r="AQQ52" s="4"/>
      <c r="AQR52" s="4"/>
      <c r="AQS52" s="4"/>
      <c r="AQT52" s="80"/>
      <c r="AQU52" s="80"/>
      <c r="AQV52" s="4"/>
      <c r="AQW52" s="4"/>
      <c r="AQX52" s="80"/>
      <c r="AQY52" s="80"/>
      <c r="ARB52" s="4"/>
      <c r="ARC52" s="4"/>
      <c r="ARD52" s="4"/>
      <c r="ARE52" s="4"/>
      <c r="ARF52" s="80"/>
      <c r="ARG52" s="80"/>
      <c r="ARH52" s="4"/>
      <c r="ARI52" s="4"/>
      <c r="ARJ52" s="80"/>
      <c r="ARK52" s="80"/>
      <c r="ARN52" s="4"/>
      <c r="ARO52" s="4"/>
      <c r="ARP52" s="4"/>
      <c r="ARQ52" s="4"/>
      <c r="ARR52" s="80"/>
      <c r="ARS52" s="80"/>
      <c r="ART52" s="4"/>
      <c r="ARU52" s="4"/>
      <c r="ARV52" s="80"/>
      <c r="ARW52" s="80"/>
      <c r="ARZ52" s="4"/>
      <c r="ASA52" s="4"/>
      <c r="ASB52" s="4"/>
      <c r="ASC52" s="4"/>
      <c r="ASD52" s="80"/>
      <c r="ASE52" s="80"/>
      <c r="ASF52" s="4"/>
      <c r="ASG52" s="4"/>
      <c r="ASH52" s="80"/>
      <c r="ASI52" s="80"/>
      <c r="ASL52" s="4"/>
      <c r="ASM52" s="4"/>
      <c r="ASN52" s="4"/>
      <c r="ASO52" s="4"/>
      <c r="ASP52" s="80"/>
      <c r="ASQ52" s="80"/>
      <c r="ASR52" s="4"/>
      <c r="ASS52" s="4"/>
      <c r="AST52" s="80"/>
      <c r="ASU52" s="80"/>
      <c r="ASX52" s="4"/>
      <c r="ASY52" s="4"/>
      <c r="ASZ52" s="4"/>
      <c r="ATA52" s="4"/>
      <c r="ATB52" s="80"/>
      <c r="ATC52" s="80"/>
      <c r="ATD52" s="4"/>
      <c r="ATE52" s="4"/>
      <c r="ATF52" s="80"/>
      <c r="ATG52" s="80"/>
      <c r="ATJ52" s="4"/>
      <c r="ATK52" s="4"/>
      <c r="ATL52" s="4"/>
      <c r="ATM52" s="4"/>
      <c r="ATN52" s="80"/>
      <c r="ATO52" s="80"/>
      <c r="ATP52" s="4"/>
      <c r="ATQ52" s="4"/>
      <c r="ATR52" s="80"/>
      <c r="ATS52" s="80"/>
      <c r="ATV52" s="4"/>
      <c r="ATW52" s="4"/>
      <c r="ATX52" s="4"/>
      <c r="ATY52" s="4"/>
      <c r="ATZ52" s="80"/>
      <c r="AUA52" s="80"/>
      <c r="AUB52" s="4"/>
      <c r="AUC52" s="4"/>
      <c r="AUD52" s="80"/>
      <c r="AUE52" s="80"/>
      <c r="AUH52" s="4"/>
      <c r="AUI52" s="4"/>
      <c r="AUJ52" s="4"/>
      <c r="AUK52" s="4"/>
      <c r="AUL52" s="80"/>
      <c r="AUM52" s="80"/>
      <c r="AUN52" s="4"/>
      <c r="AUO52" s="4"/>
      <c r="AUP52" s="80"/>
      <c r="AUQ52" s="80"/>
      <c r="AUT52" s="4"/>
      <c r="AUU52" s="4"/>
      <c r="AUV52" s="4"/>
      <c r="AUW52" s="4"/>
      <c r="AUX52" s="80"/>
      <c r="AUY52" s="80"/>
      <c r="AUZ52" s="4"/>
      <c r="AVA52" s="4"/>
      <c r="AVB52" s="80"/>
      <c r="AVC52" s="80"/>
      <c r="AVF52" s="4"/>
      <c r="AVG52" s="4"/>
      <c r="AVH52" s="4"/>
      <c r="AVI52" s="4"/>
      <c r="AVJ52" s="80"/>
      <c r="AVK52" s="80"/>
      <c r="AVL52" s="4"/>
      <c r="AVM52" s="4"/>
      <c r="AVN52" s="80"/>
      <c r="AVO52" s="80"/>
      <c r="AVR52" s="4"/>
      <c r="AVS52" s="4"/>
      <c r="AVT52" s="4"/>
      <c r="AVU52" s="4"/>
      <c r="AVV52" s="80"/>
      <c r="AVW52" s="80"/>
      <c r="AVX52" s="4"/>
      <c r="AVY52" s="4"/>
      <c r="AVZ52" s="80"/>
      <c r="AWA52" s="80"/>
      <c r="AWD52" s="4"/>
      <c r="AWE52" s="4"/>
      <c r="AWF52" s="4"/>
      <c r="AWG52" s="4"/>
      <c r="AWH52" s="80"/>
      <c r="AWI52" s="80"/>
      <c r="AWJ52" s="4"/>
      <c r="AWK52" s="4"/>
      <c r="AWL52" s="80"/>
      <c r="AWM52" s="80"/>
      <c r="AWP52" s="4"/>
      <c r="AWQ52" s="4"/>
      <c r="AWR52" s="4"/>
      <c r="AWS52" s="4"/>
      <c r="AWT52" s="80"/>
      <c r="AWU52" s="80"/>
      <c r="AWV52" s="4"/>
      <c r="AWW52" s="4"/>
      <c r="AWX52" s="80"/>
      <c r="AWY52" s="80"/>
      <c r="AXB52" s="4"/>
      <c r="AXC52" s="4"/>
      <c r="AXD52" s="4"/>
      <c r="AXE52" s="4"/>
      <c r="AXF52" s="80"/>
      <c r="AXG52" s="80"/>
      <c r="AXH52" s="4"/>
      <c r="AXI52" s="4"/>
      <c r="AXJ52" s="80"/>
      <c r="AXK52" s="80"/>
      <c r="AXN52" s="4"/>
      <c r="AXO52" s="4"/>
      <c r="AXP52" s="4"/>
      <c r="AXQ52" s="4"/>
      <c r="AXR52" s="80"/>
      <c r="AXS52" s="80"/>
      <c r="AXT52" s="4"/>
      <c r="AXU52" s="4"/>
      <c r="AXV52" s="80"/>
      <c r="AXW52" s="80"/>
      <c r="AXZ52" s="4"/>
      <c r="AYA52" s="4"/>
      <c r="AYB52" s="4"/>
      <c r="AYC52" s="4"/>
      <c r="AYD52" s="80"/>
      <c r="AYE52" s="80"/>
      <c r="AYF52" s="4"/>
      <c r="AYG52" s="4"/>
      <c r="AYH52" s="80"/>
      <c r="AYI52" s="80"/>
      <c r="AYL52" s="4"/>
      <c r="AYM52" s="4"/>
      <c r="AYN52" s="4"/>
      <c r="AYO52" s="4"/>
      <c r="AYP52" s="80"/>
      <c r="AYQ52" s="80"/>
      <c r="AYR52" s="4"/>
      <c r="AYS52" s="4"/>
      <c r="AYT52" s="80"/>
      <c r="AYU52" s="80"/>
      <c r="AYX52" s="4"/>
      <c r="AYY52" s="4"/>
      <c r="AYZ52" s="4"/>
      <c r="AZA52" s="4"/>
      <c r="AZB52" s="80"/>
      <c r="AZC52" s="80"/>
      <c r="AZD52" s="4"/>
      <c r="AZE52" s="4"/>
      <c r="AZF52" s="80"/>
      <c r="AZG52" s="80"/>
      <c r="AZJ52" s="4"/>
      <c r="AZK52" s="4"/>
      <c r="AZL52" s="4"/>
      <c r="AZM52" s="4"/>
      <c r="AZN52" s="80"/>
      <c r="AZO52" s="80"/>
      <c r="AZP52" s="4"/>
      <c r="AZQ52" s="4"/>
      <c r="AZR52" s="80"/>
      <c r="AZS52" s="80"/>
      <c r="AZV52" s="4"/>
      <c r="AZW52" s="4"/>
      <c r="AZX52" s="4"/>
      <c r="AZY52" s="4"/>
      <c r="AZZ52" s="80"/>
      <c r="BAA52" s="80"/>
      <c r="BAB52" s="4"/>
      <c r="BAC52" s="4"/>
      <c r="BAD52" s="80"/>
      <c r="BAE52" s="80"/>
      <c r="BAH52" s="4"/>
      <c r="BAI52" s="4"/>
      <c r="BAJ52" s="4"/>
      <c r="BAK52" s="4"/>
      <c r="BAL52" s="80"/>
      <c r="BAM52" s="80"/>
      <c r="BAN52" s="4"/>
      <c r="BAO52" s="4"/>
      <c r="BAP52" s="80"/>
      <c r="BAQ52" s="80"/>
      <c r="BAT52" s="4"/>
      <c r="BAU52" s="4"/>
      <c r="BAV52" s="4"/>
      <c r="BAW52" s="4"/>
      <c r="BAX52" s="80"/>
      <c r="BAY52" s="80"/>
      <c r="BAZ52" s="4"/>
      <c r="BBA52" s="4"/>
      <c r="BBB52" s="80"/>
      <c r="BBC52" s="80"/>
      <c r="BBF52" s="4"/>
      <c r="BBG52" s="4"/>
      <c r="BBH52" s="4"/>
      <c r="BBI52" s="4"/>
      <c r="BBJ52" s="80"/>
      <c r="BBK52" s="80"/>
      <c r="BBL52" s="4"/>
      <c r="BBM52" s="4"/>
      <c r="BBN52" s="80"/>
      <c r="BBO52" s="80"/>
      <c r="BBR52" s="4"/>
      <c r="BBS52" s="4"/>
      <c r="BBT52" s="4"/>
      <c r="BBU52" s="4"/>
      <c r="BBV52" s="80"/>
      <c r="BBW52" s="80"/>
      <c r="BBX52" s="4"/>
      <c r="BBY52" s="4"/>
      <c r="BBZ52" s="80"/>
      <c r="BCA52" s="80"/>
      <c r="BCD52" s="4"/>
      <c r="BCE52" s="4"/>
      <c r="BCF52" s="4"/>
      <c r="BCG52" s="4"/>
      <c r="BCH52" s="80"/>
      <c r="BCI52" s="80"/>
      <c r="BCJ52" s="4"/>
      <c r="BCK52" s="4"/>
      <c r="BCL52" s="80"/>
      <c r="BCM52" s="80"/>
      <c r="BCP52" s="4"/>
      <c r="BCQ52" s="4"/>
      <c r="BCR52" s="4"/>
      <c r="BCS52" s="4"/>
      <c r="BCT52" s="80"/>
      <c r="BCU52" s="80"/>
      <c r="BCV52" s="4"/>
      <c r="BCW52" s="4"/>
      <c r="BCX52" s="80"/>
      <c r="BCY52" s="80"/>
      <c r="BDB52" s="4"/>
      <c r="BDC52" s="4"/>
      <c r="BDD52" s="4"/>
      <c r="BDE52" s="4"/>
      <c r="BDF52" s="80"/>
      <c r="BDG52" s="80"/>
      <c r="BDH52" s="4"/>
      <c r="BDI52" s="4"/>
      <c r="BDJ52" s="80"/>
      <c r="BDK52" s="80"/>
      <c r="BDN52" s="4"/>
      <c r="BDO52" s="4"/>
      <c r="BDP52" s="4"/>
      <c r="BDQ52" s="4"/>
      <c r="BDR52" s="80"/>
      <c r="BDS52" s="80"/>
      <c r="BDT52" s="4"/>
      <c r="BDU52" s="4"/>
      <c r="BDV52" s="80"/>
      <c r="BDW52" s="80"/>
      <c r="BDZ52" s="4"/>
      <c r="BEA52" s="4"/>
      <c r="BEB52" s="4"/>
      <c r="BEC52" s="4"/>
      <c r="BED52" s="80"/>
      <c r="BEE52" s="80"/>
      <c r="BEF52" s="4"/>
      <c r="BEG52" s="4"/>
      <c r="BEH52" s="80"/>
      <c r="BEI52" s="80"/>
      <c r="BEL52" s="4"/>
      <c r="BEM52" s="4"/>
      <c r="BEN52" s="4"/>
      <c r="BEO52" s="4"/>
      <c r="BEP52" s="80"/>
      <c r="BEQ52" s="80"/>
      <c r="BER52" s="4"/>
      <c r="BES52" s="4"/>
      <c r="BET52" s="80"/>
      <c r="BEU52" s="80"/>
      <c r="BEX52" s="4"/>
      <c r="BEY52" s="4"/>
      <c r="BEZ52" s="4"/>
      <c r="BFA52" s="4"/>
      <c r="BFB52" s="80"/>
      <c r="BFC52" s="80"/>
      <c r="BFD52" s="4"/>
      <c r="BFE52" s="4"/>
      <c r="BFF52" s="80"/>
      <c r="BFG52" s="80"/>
      <c r="BFJ52" s="4"/>
      <c r="BFK52" s="4"/>
      <c r="BFL52" s="4"/>
      <c r="BFM52" s="4"/>
      <c r="BFN52" s="80"/>
      <c r="BFO52" s="80"/>
      <c r="BFP52" s="4"/>
      <c r="BFQ52" s="4"/>
      <c r="BFR52" s="80"/>
      <c r="BFS52" s="80"/>
      <c r="BFV52" s="4"/>
      <c r="BFW52" s="4"/>
      <c r="BFX52" s="4"/>
      <c r="BFY52" s="4"/>
      <c r="BFZ52" s="80"/>
      <c r="BGA52" s="80"/>
      <c r="BGB52" s="4"/>
      <c r="BGC52" s="4"/>
      <c r="BGD52" s="80"/>
      <c r="BGE52" s="80"/>
      <c r="BGH52" s="4"/>
      <c r="BGI52" s="4"/>
      <c r="BGJ52" s="4"/>
      <c r="BGK52" s="4"/>
      <c r="BGL52" s="80"/>
      <c r="BGM52" s="80"/>
      <c r="BGN52" s="4"/>
      <c r="BGO52" s="4"/>
      <c r="BGP52" s="80"/>
      <c r="BGQ52" s="80"/>
      <c r="BGT52" s="4"/>
      <c r="BGU52" s="4"/>
      <c r="BGV52" s="4"/>
      <c r="BGW52" s="4"/>
      <c r="BGX52" s="80"/>
      <c r="BGY52" s="80"/>
      <c r="BGZ52" s="4"/>
      <c r="BHA52" s="4"/>
      <c r="BHB52" s="80"/>
      <c r="BHC52" s="80"/>
      <c r="BHF52" s="4"/>
      <c r="BHG52" s="4"/>
      <c r="BHH52" s="4"/>
      <c r="BHI52" s="4"/>
      <c r="BHJ52" s="80"/>
      <c r="BHK52" s="80"/>
      <c r="BHL52" s="4"/>
      <c r="BHM52" s="4"/>
      <c r="BHN52" s="80"/>
      <c r="BHO52" s="80"/>
      <c r="BHR52" s="4"/>
      <c r="BHS52" s="4"/>
      <c r="BHT52" s="4"/>
      <c r="BHU52" s="4"/>
      <c r="BHV52" s="80"/>
      <c r="BHW52" s="80"/>
      <c r="BHX52" s="4"/>
      <c r="BHY52" s="4"/>
      <c r="BHZ52" s="80"/>
      <c r="BIA52" s="80"/>
      <c r="BID52" s="4"/>
      <c r="BIE52" s="4"/>
      <c r="BIF52" s="4"/>
      <c r="BIG52" s="4"/>
      <c r="BIH52" s="80"/>
      <c r="BII52" s="80"/>
      <c r="BIJ52" s="4"/>
      <c r="BIK52" s="4"/>
      <c r="BIL52" s="80"/>
      <c r="BIM52" s="80"/>
      <c r="BIP52" s="4"/>
      <c r="BIQ52" s="4"/>
      <c r="BIR52" s="4"/>
      <c r="BIS52" s="4"/>
      <c r="BIT52" s="80"/>
      <c r="BIU52" s="80"/>
      <c r="BIV52" s="4"/>
      <c r="BIW52" s="4"/>
      <c r="BIX52" s="80"/>
      <c r="BIY52" s="80"/>
      <c r="BJB52" s="4"/>
      <c r="BJC52" s="4"/>
      <c r="BJD52" s="4"/>
      <c r="BJE52" s="4"/>
      <c r="BJF52" s="80"/>
      <c r="BJG52" s="80"/>
      <c r="BJH52" s="4"/>
      <c r="BJI52" s="4"/>
      <c r="BJJ52" s="80"/>
      <c r="BJK52" s="80"/>
      <c r="BJN52" s="4"/>
      <c r="BJO52" s="4"/>
      <c r="BJP52" s="4"/>
      <c r="BJQ52" s="4"/>
      <c r="BJR52" s="80"/>
      <c r="BJS52" s="80"/>
      <c r="BJT52" s="4"/>
      <c r="BJU52" s="4"/>
      <c r="BJV52" s="80"/>
      <c r="BJW52" s="80"/>
      <c r="BJZ52" s="4"/>
      <c r="BKA52" s="4"/>
      <c r="BKB52" s="4"/>
      <c r="BKC52" s="4"/>
      <c r="BKD52" s="80"/>
      <c r="BKE52" s="80"/>
      <c r="BKF52" s="4"/>
      <c r="BKG52" s="4"/>
      <c r="BKH52" s="80"/>
      <c r="BKI52" s="80"/>
      <c r="BKL52" s="4"/>
      <c r="BKM52" s="4"/>
      <c r="BKN52" s="4"/>
      <c r="BKO52" s="4"/>
      <c r="BKP52" s="80"/>
      <c r="BKQ52" s="80"/>
      <c r="BKR52" s="4"/>
      <c r="BKS52" s="4"/>
      <c r="BKT52" s="80"/>
      <c r="BKU52" s="80"/>
      <c r="BKX52" s="4"/>
      <c r="BKY52" s="4"/>
      <c r="BKZ52" s="4"/>
      <c r="BLA52" s="4"/>
      <c r="BLB52" s="80"/>
      <c r="BLC52" s="80"/>
      <c r="BLD52" s="4"/>
      <c r="BLE52" s="4"/>
      <c r="BLF52" s="80"/>
      <c r="BLG52" s="80"/>
      <c r="BLJ52" s="4"/>
      <c r="BLK52" s="4"/>
      <c r="BLL52" s="4"/>
      <c r="BLM52" s="4"/>
      <c r="BLN52" s="80"/>
      <c r="BLO52" s="80"/>
      <c r="BLP52" s="4"/>
      <c r="BLQ52" s="4"/>
      <c r="BLR52" s="80"/>
      <c r="BLS52" s="80"/>
      <c r="BLV52" s="4"/>
      <c r="BLW52" s="4"/>
      <c r="BLX52" s="4"/>
      <c r="BLY52" s="4"/>
      <c r="BLZ52" s="80"/>
      <c r="BMA52" s="80"/>
      <c r="BMB52" s="4"/>
      <c r="BMC52" s="4"/>
      <c r="BMD52" s="80"/>
      <c r="BME52" s="80"/>
      <c r="BMH52" s="4"/>
      <c r="BMI52" s="4"/>
      <c r="BMJ52" s="4"/>
      <c r="BMK52" s="4"/>
      <c r="BML52" s="80"/>
      <c r="BMM52" s="80"/>
      <c r="BMN52" s="4"/>
      <c r="BMO52" s="4"/>
      <c r="BMP52" s="80"/>
      <c r="BMQ52" s="80"/>
      <c r="BMT52" s="4"/>
      <c r="BMU52" s="4"/>
      <c r="BMV52" s="4"/>
      <c r="BMW52" s="4"/>
      <c r="BMX52" s="80"/>
      <c r="BMY52" s="80"/>
      <c r="BMZ52" s="4"/>
      <c r="BNA52" s="4"/>
      <c r="BNB52" s="80"/>
      <c r="BNC52" s="80"/>
      <c r="BNF52" s="4"/>
      <c r="BNG52" s="4"/>
      <c r="BNH52" s="4"/>
      <c r="BNI52" s="4"/>
      <c r="BNJ52" s="80"/>
      <c r="BNK52" s="80"/>
      <c r="BNL52" s="4"/>
      <c r="BNM52" s="4"/>
      <c r="BNN52" s="80"/>
      <c r="BNO52" s="80"/>
      <c r="BNR52" s="4"/>
      <c r="BNS52" s="4"/>
      <c r="BNT52" s="4"/>
      <c r="BNU52" s="4"/>
      <c r="BNV52" s="80"/>
      <c r="BNW52" s="80"/>
      <c r="BNX52" s="4"/>
      <c r="BNY52" s="4"/>
      <c r="BNZ52" s="80"/>
      <c r="BOA52" s="80"/>
      <c r="BOD52" s="4"/>
      <c r="BOE52" s="4"/>
      <c r="BOF52" s="4"/>
      <c r="BOG52" s="4"/>
      <c r="BOH52" s="80"/>
      <c r="BOI52" s="80"/>
      <c r="BOJ52" s="4"/>
      <c r="BOK52" s="4"/>
      <c r="BOL52" s="80"/>
      <c r="BOM52" s="80"/>
      <c r="BOP52" s="4"/>
      <c r="BOQ52" s="4"/>
      <c r="BOR52" s="4"/>
      <c r="BOS52" s="4"/>
      <c r="BOT52" s="80"/>
      <c r="BOU52" s="80"/>
      <c r="BOV52" s="4"/>
      <c r="BOW52" s="4"/>
      <c r="BOX52" s="80"/>
      <c r="BOY52" s="80"/>
      <c r="BPB52" s="4"/>
      <c r="BPC52" s="4"/>
      <c r="BPD52" s="4"/>
      <c r="BPE52" s="4"/>
      <c r="BPF52" s="80"/>
      <c r="BPG52" s="80"/>
      <c r="BPH52" s="4"/>
      <c r="BPI52" s="4"/>
      <c r="BPJ52" s="80"/>
      <c r="BPK52" s="80"/>
      <c r="BPN52" s="4"/>
      <c r="BPO52" s="4"/>
      <c r="BPP52" s="4"/>
      <c r="BPQ52" s="4"/>
      <c r="BPR52" s="80"/>
      <c r="BPS52" s="80"/>
      <c r="BPT52" s="4"/>
      <c r="BPU52" s="4"/>
      <c r="BPV52" s="80"/>
      <c r="BPW52" s="80"/>
      <c r="BPZ52" s="4"/>
      <c r="BQA52" s="4"/>
      <c r="BQB52" s="4"/>
      <c r="BQC52" s="4"/>
      <c r="BQD52" s="80"/>
      <c r="BQE52" s="80"/>
      <c r="BQF52" s="4"/>
      <c r="BQG52" s="4"/>
      <c r="BQH52" s="80"/>
      <c r="BQI52" s="80"/>
      <c r="BQL52" s="4"/>
      <c r="BQM52" s="4"/>
      <c r="BQN52" s="4"/>
      <c r="BQO52" s="4"/>
      <c r="BQP52" s="80"/>
      <c r="BQQ52" s="80"/>
      <c r="BQR52" s="4"/>
      <c r="BQS52" s="4"/>
      <c r="BQT52" s="80"/>
      <c r="BQU52" s="80"/>
      <c r="BQX52" s="4"/>
      <c r="BQY52" s="4"/>
      <c r="BQZ52" s="4"/>
      <c r="BRA52" s="4"/>
      <c r="BRB52" s="80"/>
      <c r="BRC52" s="80"/>
      <c r="BRD52" s="4"/>
      <c r="BRE52" s="4"/>
      <c r="BRF52" s="80"/>
      <c r="BRG52" s="80"/>
      <c r="BRJ52" s="4"/>
      <c r="BRK52" s="4"/>
      <c r="BRL52" s="4"/>
      <c r="BRM52" s="4"/>
      <c r="BRN52" s="80"/>
      <c r="BRO52" s="80"/>
      <c r="BRP52" s="4"/>
      <c r="BRQ52" s="4"/>
      <c r="BRR52" s="80"/>
      <c r="BRS52" s="80"/>
      <c r="BRV52" s="4"/>
      <c r="BRW52" s="4"/>
      <c r="BRX52" s="4"/>
      <c r="BRY52" s="4"/>
      <c r="BRZ52" s="80"/>
      <c r="BSA52" s="80"/>
      <c r="BSB52" s="4"/>
      <c r="BSC52" s="4"/>
      <c r="BSD52" s="80"/>
      <c r="BSE52" s="80"/>
      <c r="BSH52" s="4"/>
      <c r="BSI52" s="4"/>
      <c r="BSJ52" s="4"/>
      <c r="BSK52" s="4"/>
      <c r="BSL52" s="80"/>
      <c r="BSM52" s="80"/>
      <c r="BSN52" s="4"/>
      <c r="BSO52" s="4"/>
      <c r="BSP52" s="80"/>
      <c r="BSQ52" s="80"/>
      <c r="BST52" s="4"/>
      <c r="BSU52" s="4"/>
      <c r="BSV52" s="4"/>
      <c r="BSW52" s="4"/>
      <c r="BSX52" s="80"/>
      <c r="BSY52" s="80"/>
      <c r="BSZ52" s="4"/>
      <c r="BTA52" s="4"/>
      <c r="BTB52" s="80"/>
      <c r="BTC52" s="80"/>
      <c r="BTF52" s="4"/>
      <c r="BTG52" s="4"/>
      <c r="BTH52" s="4"/>
      <c r="BTI52" s="4"/>
      <c r="BTJ52" s="80"/>
      <c r="BTK52" s="80"/>
      <c r="BTL52" s="4"/>
      <c r="BTM52" s="4"/>
      <c r="BTN52" s="80"/>
      <c r="BTO52" s="80"/>
      <c r="BTR52" s="4"/>
      <c r="BTS52" s="4"/>
      <c r="BTT52" s="4"/>
      <c r="BTU52" s="4"/>
      <c r="BTV52" s="80"/>
      <c r="BTW52" s="80"/>
      <c r="BTX52" s="4"/>
      <c r="BTY52" s="4"/>
      <c r="BTZ52" s="80"/>
      <c r="BUA52" s="80"/>
      <c r="BUD52" s="4"/>
      <c r="BUE52" s="4"/>
      <c r="BUF52" s="4"/>
      <c r="BUG52" s="4"/>
      <c r="BUH52" s="80"/>
      <c r="BUI52" s="80"/>
      <c r="BUJ52" s="4"/>
      <c r="BUK52" s="4"/>
      <c r="BUL52" s="80"/>
      <c r="BUM52" s="80"/>
      <c r="BUP52" s="4"/>
      <c r="BUQ52" s="4"/>
      <c r="BUR52" s="4"/>
      <c r="BUS52" s="4"/>
      <c r="BUT52" s="80"/>
      <c r="BUU52" s="80"/>
      <c r="BUV52" s="4"/>
      <c r="BUW52" s="4"/>
      <c r="BUX52" s="80"/>
      <c r="BUY52" s="80"/>
      <c r="BVB52" s="4"/>
      <c r="BVC52" s="4"/>
      <c r="BVD52" s="4"/>
      <c r="BVE52" s="4"/>
      <c r="BVF52" s="80"/>
      <c r="BVG52" s="80"/>
      <c r="BVH52" s="4"/>
      <c r="BVI52" s="4"/>
      <c r="BVJ52" s="80"/>
      <c r="BVK52" s="80"/>
      <c r="BVN52" s="4"/>
      <c r="BVO52" s="4"/>
      <c r="BVP52" s="4"/>
      <c r="BVQ52" s="4"/>
      <c r="BVR52" s="80"/>
      <c r="BVS52" s="80"/>
      <c r="BVT52" s="4"/>
      <c r="BVU52" s="4"/>
      <c r="BVV52" s="80"/>
      <c r="BVW52" s="80"/>
      <c r="BVZ52" s="4"/>
      <c r="BWA52" s="4"/>
      <c r="BWB52" s="4"/>
      <c r="BWC52" s="4"/>
      <c r="BWD52" s="80"/>
      <c r="BWE52" s="80"/>
      <c r="BWF52" s="4"/>
      <c r="BWG52" s="4"/>
      <c r="BWH52" s="80"/>
      <c r="BWI52" s="80"/>
      <c r="BWL52" s="4"/>
      <c r="BWM52" s="4"/>
      <c r="BWN52" s="4"/>
      <c r="BWO52" s="4"/>
      <c r="BWP52" s="80"/>
      <c r="BWQ52" s="80"/>
      <c r="BWR52" s="4"/>
      <c r="BWS52" s="4"/>
      <c r="BWT52" s="80"/>
      <c r="BWU52" s="80"/>
      <c r="BWX52" s="4"/>
      <c r="BWY52" s="4"/>
      <c r="BWZ52" s="4"/>
      <c r="BXA52" s="4"/>
      <c r="BXB52" s="80"/>
      <c r="BXC52" s="80"/>
      <c r="BXD52" s="4"/>
      <c r="BXE52" s="4"/>
      <c r="BXF52" s="80"/>
      <c r="BXG52" s="80"/>
      <c r="BXJ52" s="4"/>
      <c r="BXK52" s="4"/>
      <c r="BXL52" s="4"/>
      <c r="BXM52" s="4"/>
      <c r="BXN52" s="80"/>
      <c r="BXO52" s="80"/>
      <c r="BXP52" s="4"/>
      <c r="BXQ52" s="4"/>
      <c r="BXR52" s="80"/>
      <c r="BXS52" s="80"/>
      <c r="BXV52" s="4"/>
      <c r="BXW52" s="4"/>
      <c r="BXX52" s="4"/>
      <c r="BXY52" s="4"/>
      <c r="BXZ52" s="80"/>
      <c r="BYA52" s="80"/>
      <c r="BYB52" s="4"/>
      <c r="BYC52" s="4"/>
      <c r="BYD52" s="80"/>
      <c r="BYE52" s="80"/>
      <c r="BYH52" s="4"/>
      <c r="BYI52" s="4"/>
      <c r="BYJ52" s="4"/>
      <c r="BYK52" s="4"/>
      <c r="BYL52" s="80"/>
      <c r="BYM52" s="80"/>
      <c r="BYN52" s="4"/>
      <c r="BYO52" s="4"/>
      <c r="BYP52" s="80"/>
      <c r="BYQ52" s="80"/>
      <c r="BYT52" s="4"/>
      <c r="BYU52" s="4"/>
      <c r="BYV52" s="4"/>
      <c r="BYW52" s="4"/>
      <c r="BYX52" s="80"/>
      <c r="BYY52" s="80"/>
      <c r="BYZ52" s="4"/>
      <c r="BZA52" s="4"/>
      <c r="BZB52" s="80"/>
      <c r="BZC52" s="80"/>
      <c r="BZF52" s="4"/>
      <c r="BZG52" s="4"/>
      <c r="BZH52" s="4"/>
      <c r="BZI52" s="4"/>
      <c r="BZJ52" s="80"/>
      <c r="BZK52" s="80"/>
      <c r="BZL52" s="4"/>
      <c r="BZM52" s="4"/>
      <c r="BZN52" s="80"/>
      <c r="BZO52" s="80"/>
      <c r="BZR52" s="4"/>
      <c r="BZS52" s="4"/>
      <c r="BZT52" s="4"/>
      <c r="BZU52" s="4"/>
      <c r="BZV52" s="80"/>
      <c r="BZW52" s="80"/>
      <c r="BZX52" s="4"/>
      <c r="BZY52" s="4"/>
      <c r="BZZ52" s="80"/>
      <c r="CAA52" s="80"/>
      <c r="CAD52" s="4"/>
      <c r="CAE52" s="4"/>
      <c r="CAF52" s="4"/>
      <c r="CAG52" s="4"/>
      <c r="CAH52" s="80"/>
      <c r="CAI52" s="80"/>
      <c r="CAJ52" s="4"/>
      <c r="CAK52" s="4"/>
      <c r="CAL52" s="80"/>
      <c r="CAM52" s="80"/>
      <c r="CAP52" s="4"/>
      <c r="CAQ52" s="4"/>
      <c r="CAR52" s="4"/>
      <c r="CAS52" s="4"/>
      <c r="CAT52" s="80"/>
      <c r="CAU52" s="80"/>
      <c r="CAV52" s="4"/>
      <c r="CAW52" s="4"/>
      <c r="CAX52" s="80"/>
      <c r="CAY52" s="80"/>
      <c r="CBB52" s="4"/>
      <c r="CBC52" s="4"/>
      <c r="CBD52" s="4"/>
      <c r="CBE52" s="4"/>
      <c r="CBF52" s="80"/>
      <c r="CBG52" s="80"/>
      <c r="CBH52" s="4"/>
      <c r="CBI52" s="4"/>
      <c r="CBJ52" s="80"/>
      <c r="CBK52" s="80"/>
      <c r="CBN52" s="4"/>
      <c r="CBO52" s="4"/>
      <c r="CBP52" s="4"/>
      <c r="CBQ52" s="4"/>
      <c r="CBR52" s="80"/>
      <c r="CBS52" s="80"/>
      <c r="CBT52" s="4"/>
      <c r="CBU52" s="4"/>
      <c r="CBV52" s="80"/>
      <c r="CBW52" s="80"/>
      <c r="CBZ52" s="4"/>
      <c r="CCA52" s="4"/>
      <c r="CCB52" s="4"/>
      <c r="CCC52" s="4"/>
      <c r="CCD52" s="80"/>
      <c r="CCE52" s="80"/>
      <c r="CCF52" s="4"/>
      <c r="CCG52" s="4"/>
      <c r="CCH52" s="80"/>
      <c r="CCI52" s="80"/>
      <c r="CCL52" s="4"/>
      <c r="CCM52" s="4"/>
      <c r="CCN52" s="4"/>
      <c r="CCO52" s="4"/>
      <c r="CCP52" s="80"/>
      <c r="CCQ52" s="80"/>
      <c r="CCR52" s="4"/>
      <c r="CCS52" s="4"/>
      <c r="CCT52" s="80"/>
      <c r="CCU52" s="80"/>
      <c r="CCX52" s="4"/>
      <c r="CCY52" s="4"/>
      <c r="CCZ52" s="4"/>
      <c r="CDA52" s="4"/>
      <c r="CDB52" s="80"/>
      <c r="CDC52" s="80"/>
      <c r="CDD52" s="4"/>
      <c r="CDE52" s="4"/>
      <c r="CDF52" s="80"/>
      <c r="CDG52" s="80"/>
      <c r="CDJ52" s="4"/>
      <c r="CDK52" s="4"/>
      <c r="CDL52" s="4"/>
      <c r="CDM52" s="4"/>
      <c r="CDN52" s="80"/>
      <c r="CDO52" s="80"/>
      <c r="CDP52" s="4"/>
      <c r="CDQ52" s="4"/>
      <c r="CDR52" s="80"/>
      <c r="CDS52" s="80"/>
      <c r="CDV52" s="4"/>
      <c r="CDW52" s="4"/>
      <c r="CDX52" s="4"/>
      <c r="CDY52" s="4"/>
      <c r="CDZ52" s="80"/>
      <c r="CEA52" s="80"/>
      <c r="CEB52" s="4"/>
      <c r="CEC52" s="4"/>
      <c r="CED52" s="80"/>
      <c r="CEE52" s="80"/>
      <c r="CEH52" s="4"/>
      <c r="CEI52" s="4"/>
      <c r="CEJ52" s="4"/>
      <c r="CEK52" s="4"/>
      <c r="CEL52" s="80"/>
      <c r="CEM52" s="80"/>
      <c r="CEN52" s="4"/>
      <c r="CEO52" s="4"/>
      <c r="CEP52" s="80"/>
      <c r="CEQ52" s="80"/>
      <c r="CET52" s="4"/>
      <c r="CEU52" s="4"/>
      <c r="CEV52" s="4"/>
      <c r="CEW52" s="4"/>
      <c r="CEX52" s="80"/>
      <c r="CEY52" s="80"/>
      <c r="CEZ52" s="4"/>
      <c r="CFA52" s="4"/>
      <c r="CFB52" s="80"/>
      <c r="CFC52" s="80"/>
      <c r="CFF52" s="4"/>
      <c r="CFG52" s="4"/>
      <c r="CFH52" s="4"/>
      <c r="CFI52" s="4"/>
      <c r="CFJ52" s="80"/>
      <c r="CFK52" s="80"/>
      <c r="CFL52" s="4"/>
      <c r="CFM52" s="4"/>
      <c r="CFN52" s="80"/>
      <c r="CFO52" s="80"/>
      <c r="CFR52" s="4"/>
      <c r="CFS52" s="4"/>
      <c r="CFT52" s="4"/>
      <c r="CFU52" s="4"/>
      <c r="CFV52" s="80"/>
      <c r="CFW52" s="80"/>
      <c r="CFX52" s="4"/>
      <c r="CFY52" s="4"/>
      <c r="CFZ52" s="80"/>
      <c r="CGA52" s="80"/>
      <c r="CGD52" s="4"/>
      <c r="CGE52" s="4"/>
      <c r="CGF52" s="4"/>
      <c r="CGG52" s="4"/>
      <c r="CGH52" s="80"/>
      <c r="CGI52" s="80"/>
      <c r="CGJ52" s="4"/>
      <c r="CGK52" s="4"/>
      <c r="CGL52" s="80"/>
      <c r="CGM52" s="80"/>
      <c r="CGP52" s="4"/>
      <c r="CGQ52" s="4"/>
      <c r="CGR52" s="4"/>
      <c r="CGS52" s="4"/>
      <c r="CGT52" s="80"/>
      <c r="CGU52" s="80"/>
      <c r="CGV52" s="4"/>
      <c r="CGW52" s="4"/>
      <c r="CGX52" s="80"/>
      <c r="CGY52" s="80"/>
      <c r="CHB52" s="4"/>
      <c r="CHC52" s="4"/>
      <c r="CHD52" s="4"/>
      <c r="CHE52" s="4"/>
      <c r="CHF52" s="80"/>
      <c r="CHG52" s="80"/>
      <c r="CHH52" s="4"/>
      <c r="CHI52" s="4"/>
      <c r="CHJ52" s="80"/>
      <c r="CHK52" s="80"/>
      <c r="CHN52" s="4"/>
      <c r="CHO52" s="4"/>
      <c r="CHP52" s="4"/>
      <c r="CHQ52" s="4"/>
      <c r="CHR52" s="80"/>
      <c r="CHS52" s="80"/>
      <c r="CHT52" s="4"/>
      <c r="CHU52" s="4"/>
      <c r="CHV52" s="80"/>
      <c r="CHW52" s="80"/>
      <c r="CHZ52" s="4"/>
      <c r="CIA52" s="4"/>
      <c r="CIB52" s="4"/>
      <c r="CIC52" s="4"/>
      <c r="CID52" s="80"/>
      <c r="CIE52" s="80"/>
      <c r="CIF52" s="4"/>
      <c r="CIG52" s="4"/>
      <c r="CIH52" s="80"/>
      <c r="CII52" s="80"/>
      <c r="CIL52" s="4"/>
      <c r="CIM52" s="4"/>
      <c r="CIN52" s="4"/>
      <c r="CIO52" s="4"/>
      <c r="CIP52" s="80"/>
      <c r="CIQ52" s="80"/>
      <c r="CIR52" s="4"/>
      <c r="CIS52" s="4"/>
      <c r="CIT52" s="80"/>
      <c r="CIU52" s="80"/>
      <c r="CIX52" s="4"/>
      <c r="CIY52" s="4"/>
      <c r="CIZ52" s="4"/>
      <c r="CJA52" s="4"/>
      <c r="CJB52" s="80"/>
      <c r="CJC52" s="80"/>
      <c r="CJD52" s="4"/>
      <c r="CJE52" s="4"/>
      <c r="CJF52" s="80"/>
      <c r="CJG52" s="80"/>
      <c r="CJJ52" s="4"/>
      <c r="CJK52" s="4"/>
      <c r="CJL52" s="4"/>
      <c r="CJM52" s="4"/>
      <c r="CJN52" s="80"/>
      <c r="CJO52" s="80"/>
      <c r="CJP52" s="4"/>
      <c r="CJQ52" s="4"/>
      <c r="CJR52" s="80"/>
      <c r="CJS52" s="80"/>
      <c r="CJV52" s="4"/>
      <c r="CJW52" s="4"/>
      <c r="CJX52" s="4"/>
      <c r="CJY52" s="4"/>
      <c r="CJZ52" s="80"/>
      <c r="CKA52" s="80"/>
      <c r="CKB52" s="4"/>
      <c r="CKC52" s="4"/>
      <c r="CKD52" s="80"/>
      <c r="CKE52" s="80"/>
      <c r="CKH52" s="4"/>
      <c r="CKI52" s="4"/>
      <c r="CKJ52" s="4"/>
      <c r="CKK52" s="4"/>
      <c r="CKL52" s="80"/>
      <c r="CKM52" s="80"/>
      <c r="CKN52" s="4"/>
      <c r="CKO52" s="4"/>
      <c r="CKP52" s="80"/>
      <c r="CKQ52" s="80"/>
      <c r="CKT52" s="4"/>
      <c r="CKU52" s="4"/>
      <c r="CKV52" s="4"/>
      <c r="CKW52" s="4"/>
      <c r="CKX52" s="80"/>
      <c r="CKY52" s="80"/>
      <c r="CKZ52" s="4"/>
      <c r="CLA52" s="4"/>
      <c r="CLB52" s="80"/>
      <c r="CLC52" s="80"/>
      <c r="CLF52" s="4"/>
      <c r="CLG52" s="4"/>
      <c r="CLH52" s="4"/>
      <c r="CLI52" s="4"/>
      <c r="CLJ52" s="80"/>
      <c r="CLK52" s="80"/>
      <c r="CLL52" s="4"/>
      <c r="CLM52" s="4"/>
      <c r="CLN52" s="80"/>
      <c r="CLO52" s="80"/>
      <c r="CLR52" s="4"/>
      <c r="CLS52" s="4"/>
      <c r="CLT52" s="4"/>
      <c r="CLU52" s="4"/>
      <c r="CLV52" s="80"/>
      <c r="CLW52" s="80"/>
      <c r="CLX52" s="4"/>
      <c r="CLY52" s="4"/>
      <c r="CLZ52" s="80"/>
      <c r="CMA52" s="80"/>
      <c r="CMD52" s="4"/>
      <c r="CME52" s="4"/>
      <c r="CMF52" s="4"/>
      <c r="CMG52" s="4"/>
      <c r="CMH52" s="80"/>
      <c r="CMI52" s="80"/>
      <c r="CMJ52" s="4"/>
      <c r="CMK52" s="4"/>
      <c r="CML52" s="80"/>
      <c r="CMM52" s="80"/>
      <c r="CMP52" s="4"/>
      <c r="CMQ52" s="4"/>
      <c r="CMR52" s="4"/>
      <c r="CMS52" s="4"/>
      <c r="CMT52" s="80"/>
      <c r="CMU52" s="80"/>
      <c r="CMV52" s="4"/>
      <c r="CMW52" s="4"/>
      <c r="CMX52" s="80"/>
      <c r="CMY52" s="80"/>
      <c r="CNB52" s="4"/>
      <c r="CNC52" s="4"/>
      <c r="CND52" s="4"/>
      <c r="CNE52" s="4"/>
      <c r="CNF52" s="80"/>
      <c r="CNG52" s="80"/>
      <c r="CNH52" s="4"/>
      <c r="CNI52" s="4"/>
      <c r="CNJ52" s="80"/>
      <c r="CNK52" s="80"/>
      <c r="CNN52" s="4"/>
      <c r="CNO52" s="4"/>
      <c r="CNP52" s="4"/>
      <c r="CNQ52" s="4"/>
      <c r="CNR52" s="80"/>
      <c r="CNS52" s="80"/>
      <c r="CNT52" s="4"/>
      <c r="CNU52" s="4"/>
      <c r="CNV52" s="80"/>
      <c r="CNW52" s="80"/>
      <c r="CNZ52" s="4"/>
      <c r="COA52" s="4"/>
      <c r="COB52" s="4"/>
      <c r="COC52" s="4"/>
      <c r="COD52" s="80"/>
      <c r="COE52" s="80"/>
      <c r="COF52" s="4"/>
      <c r="COG52" s="4"/>
      <c r="COH52" s="80"/>
      <c r="COI52" s="80"/>
      <c r="COL52" s="4"/>
      <c r="COM52" s="4"/>
      <c r="CON52" s="4"/>
      <c r="COO52" s="4"/>
      <c r="COP52" s="80"/>
      <c r="COQ52" s="80"/>
      <c r="COR52" s="4"/>
      <c r="COS52" s="4"/>
      <c r="COT52" s="80"/>
      <c r="COU52" s="80"/>
      <c r="COX52" s="4"/>
      <c r="COY52" s="4"/>
      <c r="COZ52" s="4"/>
      <c r="CPA52" s="4"/>
      <c r="CPB52" s="80"/>
      <c r="CPC52" s="80"/>
      <c r="CPD52" s="4"/>
      <c r="CPE52" s="4"/>
      <c r="CPF52" s="80"/>
      <c r="CPG52" s="80"/>
      <c r="CPJ52" s="4"/>
      <c r="CPK52" s="4"/>
      <c r="CPL52" s="4"/>
      <c r="CPM52" s="4"/>
      <c r="CPN52" s="80"/>
      <c r="CPO52" s="80"/>
      <c r="CPP52" s="4"/>
      <c r="CPQ52" s="4"/>
      <c r="CPR52" s="80"/>
      <c r="CPS52" s="80"/>
      <c r="CPV52" s="4"/>
      <c r="CPW52" s="4"/>
      <c r="CPX52" s="4"/>
      <c r="CPY52" s="4"/>
      <c r="CPZ52" s="80"/>
      <c r="CQA52" s="80"/>
      <c r="CQB52" s="4"/>
      <c r="CQC52" s="4"/>
      <c r="CQD52" s="80"/>
      <c r="CQE52" s="80"/>
      <c r="CQH52" s="4"/>
      <c r="CQI52" s="4"/>
      <c r="CQJ52" s="4"/>
      <c r="CQK52" s="4"/>
      <c r="CQL52" s="80"/>
      <c r="CQM52" s="80"/>
      <c r="CQN52" s="4"/>
      <c r="CQO52" s="4"/>
      <c r="CQP52" s="80"/>
      <c r="CQQ52" s="80"/>
      <c r="CQT52" s="4"/>
      <c r="CQU52" s="4"/>
      <c r="CQV52" s="4"/>
      <c r="CQW52" s="4"/>
      <c r="CQX52" s="80"/>
      <c r="CQY52" s="80"/>
      <c r="CQZ52" s="4"/>
      <c r="CRA52" s="4"/>
      <c r="CRB52" s="80"/>
      <c r="CRC52" s="80"/>
      <c r="CRF52" s="4"/>
      <c r="CRG52" s="4"/>
      <c r="CRH52" s="4"/>
      <c r="CRI52" s="4"/>
      <c r="CRJ52" s="80"/>
      <c r="CRK52" s="80"/>
      <c r="CRL52" s="4"/>
      <c r="CRM52" s="4"/>
      <c r="CRN52" s="80"/>
      <c r="CRO52" s="80"/>
      <c r="CRR52" s="4"/>
      <c r="CRS52" s="4"/>
      <c r="CRT52" s="4"/>
      <c r="CRU52" s="4"/>
      <c r="CRV52" s="80"/>
      <c r="CRW52" s="80"/>
      <c r="CRX52" s="4"/>
      <c r="CRY52" s="4"/>
      <c r="CRZ52" s="80"/>
      <c r="CSA52" s="80"/>
      <c r="CSD52" s="4"/>
      <c r="CSE52" s="4"/>
      <c r="CSF52" s="4"/>
      <c r="CSG52" s="4"/>
      <c r="CSH52" s="80"/>
      <c r="CSI52" s="80"/>
      <c r="CSJ52" s="4"/>
      <c r="CSK52" s="4"/>
      <c r="CSL52" s="80"/>
      <c r="CSM52" s="80"/>
      <c r="CSP52" s="4"/>
      <c r="CSQ52" s="4"/>
      <c r="CSR52" s="4"/>
      <c r="CSS52" s="4"/>
      <c r="CST52" s="80"/>
      <c r="CSU52" s="80"/>
      <c r="CSV52" s="4"/>
      <c r="CSW52" s="4"/>
      <c r="CSX52" s="80"/>
      <c r="CSY52" s="80"/>
      <c r="CTB52" s="4"/>
      <c r="CTC52" s="4"/>
      <c r="CTD52" s="4"/>
      <c r="CTE52" s="4"/>
      <c r="CTF52" s="80"/>
      <c r="CTG52" s="80"/>
      <c r="CTH52" s="4"/>
      <c r="CTI52" s="4"/>
      <c r="CTJ52" s="80"/>
      <c r="CTK52" s="80"/>
      <c r="CTN52" s="4"/>
      <c r="CTO52" s="4"/>
      <c r="CTP52" s="4"/>
      <c r="CTQ52" s="4"/>
      <c r="CTR52" s="80"/>
      <c r="CTS52" s="80"/>
      <c r="CTT52" s="4"/>
      <c r="CTU52" s="4"/>
      <c r="CTV52" s="80"/>
      <c r="CTW52" s="80"/>
      <c r="CTZ52" s="4"/>
      <c r="CUA52" s="4"/>
      <c r="CUB52" s="4"/>
      <c r="CUC52" s="4"/>
      <c r="CUD52" s="80"/>
      <c r="CUE52" s="80"/>
      <c r="CUF52" s="4"/>
      <c r="CUG52" s="4"/>
      <c r="CUH52" s="80"/>
      <c r="CUI52" s="80"/>
      <c r="CUL52" s="4"/>
      <c r="CUM52" s="4"/>
      <c r="CUN52" s="4"/>
      <c r="CUO52" s="4"/>
      <c r="CUP52" s="80"/>
      <c r="CUQ52" s="80"/>
      <c r="CUR52" s="4"/>
      <c r="CUS52" s="4"/>
      <c r="CUT52" s="80"/>
      <c r="CUU52" s="80"/>
      <c r="CUX52" s="4"/>
      <c r="CUY52" s="4"/>
      <c r="CUZ52" s="4"/>
      <c r="CVA52" s="4"/>
      <c r="CVB52" s="80"/>
      <c r="CVC52" s="80"/>
      <c r="CVD52" s="4"/>
      <c r="CVE52" s="4"/>
      <c r="CVF52" s="80"/>
      <c r="CVG52" s="80"/>
      <c r="CVJ52" s="4"/>
      <c r="CVK52" s="4"/>
      <c r="CVL52" s="4"/>
      <c r="CVM52" s="4"/>
      <c r="CVN52" s="80"/>
      <c r="CVO52" s="80"/>
      <c r="CVP52" s="4"/>
      <c r="CVQ52" s="4"/>
      <c r="CVR52" s="80"/>
      <c r="CVS52" s="80"/>
      <c r="CVV52" s="4"/>
      <c r="CVW52" s="4"/>
      <c r="CVX52" s="4"/>
      <c r="CVY52" s="4"/>
      <c r="CVZ52" s="80"/>
      <c r="CWA52" s="80"/>
      <c r="CWB52" s="4"/>
      <c r="CWC52" s="4"/>
      <c r="CWD52" s="80"/>
      <c r="CWE52" s="80"/>
    </row>
    <row r="53" spans="2:1023 1026:2631" x14ac:dyDescent="0.25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V53" s="80"/>
      <c r="CW53" s="80"/>
      <c r="CX53" s="80"/>
      <c r="CY53" s="80"/>
      <c r="CZ53" s="80"/>
      <c r="DA53" s="80"/>
      <c r="DB53" s="80"/>
      <c r="DC53" s="80"/>
      <c r="DD53" s="80"/>
      <c r="DE53" s="80"/>
      <c r="DF53" s="80"/>
      <c r="DJ53" s="80"/>
      <c r="DK53" s="80"/>
      <c r="DL53" s="80"/>
      <c r="DM53" s="80"/>
      <c r="DN53" s="80"/>
      <c r="DO53" s="80"/>
      <c r="DP53" s="80"/>
      <c r="DQ53" s="80"/>
      <c r="DR53" s="80"/>
      <c r="DS53" s="80"/>
      <c r="DT53" s="80"/>
      <c r="DX53" s="80"/>
      <c r="DY53" s="80"/>
      <c r="DZ53" s="80"/>
      <c r="EA53" s="80"/>
      <c r="EB53" s="80"/>
      <c r="EC53" s="80"/>
      <c r="ED53" s="80"/>
      <c r="EE53" s="80"/>
      <c r="EF53" s="80"/>
      <c r="EG53" s="80"/>
      <c r="EH53" s="80"/>
      <c r="EL53" s="80"/>
      <c r="EM53" s="80"/>
      <c r="EN53" s="80"/>
      <c r="EO53" s="80"/>
      <c r="EP53" s="80"/>
      <c r="EQ53" s="80"/>
      <c r="ER53" s="80"/>
      <c r="ES53" s="80"/>
      <c r="ET53" s="80"/>
      <c r="EU53" s="80"/>
      <c r="EV53" s="80"/>
      <c r="EZ53" s="80"/>
      <c r="FA53" s="80"/>
      <c r="FB53" s="80"/>
      <c r="FC53" s="80"/>
      <c r="FD53" s="80"/>
      <c r="FE53" s="80"/>
      <c r="FF53" s="80"/>
      <c r="FG53" s="80"/>
      <c r="FH53" s="80"/>
      <c r="FI53" s="80"/>
      <c r="FJ53" s="80"/>
      <c r="FN53" s="80"/>
      <c r="FO53" s="80"/>
      <c r="FP53" s="80"/>
      <c r="FQ53" s="80"/>
      <c r="FR53" s="80"/>
      <c r="FS53" s="80"/>
      <c r="FT53" s="80"/>
      <c r="FU53" s="80"/>
      <c r="FV53" s="80"/>
      <c r="FW53" s="80"/>
      <c r="FX53" s="80"/>
      <c r="GB53" s="80"/>
      <c r="GC53" s="80"/>
      <c r="GD53" s="80"/>
      <c r="GE53" s="80"/>
      <c r="GF53" s="80"/>
      <c r="GG53" s="80"/>
      <c r="GH53" s="80"/>
      <c r="GI53" s="80"/>
      <c r="GJ53" s="80"/>
      <c r="GK53" s="80"/>
      <c r="GL53" s="80"/>
      <c r="GP53" s="80"/>
      <c r="GQ53" s="80"/>
      <c r="GR53" s="80"/>
      <c r="GS53" s="80"/>
      <c r="GT53" s="80"/>
      <c r="GU53" s="80"/>
      <c r="GV53" s="80"/>
      <c r="GW53" s="80"/>
      <c r="GX53" s="80"/>
      <c r="GY53" s="80"/>
      <c r="GZ53" s="80"/>
      <c r="HD53" s="80"/>
      <c r="HE53" s="80"/>
      <c r="HF53" s="80"/>
      <c r="HG53" s="80"/>
      <c r="HH53" s="80"/>
      <c r="HI53" s="80"/>
      <c r="HJ53" s="80"/>
      <c r="HK53" s="80"/>
      <c r="HL53" s="80"/>
      <c r="HM53" s="80"/>
      <c r="HN53" s="80"/>
      <c r="HR53" s="80"/>
      <c r="HS53" s="80"/>
      <c r="HT53" s="80"/>
      <c r="HU53" s="80"/>
      <c r="HV53" s="80"/>
      <c r="HW53" s="80"/>
      <c r="HX53" s="80"/>
      <c r="HY53" s="80"/>
      <c r="HZ53" s="80"/>
      <c r="IA53" s="80"/>
      <c r="IB53" s="80"/>
      <c r="IF53" s="80"/>
      <c r="IG53" s="80"/>
      <c r="IH53" s="80"/>
      <c r="II53" s="80"/>
      <c r="IJ53" s="80"/>
      <c r="IK53" s="80"/>
      <c r="IL53" s="80"/>
      <c r="IM53" s="80"/>
      <c r="IN53" s="80"/>
      <c r="IO53" s="80"/>
      <c r="IP53" s="80"/>
      <c r="IT53" s="80"/>
      <c r="IU53" s="80"/>
      <c r="IV53" s="80"/>
      <c r="IW53" s="80"/>
      <c r="IX53" s="80"/>
      <c r="IY53" s="80"/>
      <c r="IZ53" s="80"/>
      <c r="JA53" s="80"/>
      <c r="JB53" s="80"/>
      <c r="JC53" s="80"/>
      <c r="JD53" s="80"/>
      <c r="JH53" s="80"/>
      <c r="JI53" s="80"/>
      <c r="JJ53" s="80"/>
      <c r="JK53" s="80"/>
      <c r="JL53" s="80"/>
      <c r="JM53" s="80"/>
      <c r="JN53" s="80"/>
      <c r="JO53" s="80"/>
      <c r="JP53" s="80"/>
      <c r="JQ53" s="80"/>
      <c r="JR53" s="80"/>
      <c r="JV53" s="80"/>
      <c r="JW53" s="80"/>
      <c r="JX53" s="80"/>
      <c r="JY53" s="80"/>
      <c r="JZ53" s="80"/>
      <c r="KA53" s="80"/>
      <c r="KB53" s="80"/>
      <c r="KC53" s="80"/>
      <c r="KD53" s="80"/>
      <c r="KE53" s="80"/>
      <c r="KF53" s="80"/>
      <c r="KJ53" s="80"/>
      <c r="KK53" s="80"/>
      <c r="KL53" s="80"/>
      <c r="KM53" s="80"/>
      <c r="KN53" s="80"/>
      <c r="KO53" s="80"/>
      <c r="KP53" s="80"/>
      <c r="KQ53" s="80"/>
      <c r="KR53" s="80"/>
      <c r="KS53" s="80"/>
      <c r="KT53" s="80"/>
      <c r="KX53" s="80"/>
      <c r="KY53" s="80"/>
      <c r="KZ53" s="80"/>
      <c r="LA53" s="80"/>
      <c r="LB53" s="80"/>
      <c r="LC53" s="80"/>
      <c r="LD53" s="80"/>
      <c r="LE53" s="80"/>
      <c r="LF53" s="80"/>
      <c r="LG53" s="80"/>
      <c r="LH53" s="80"/>
      <c r="LL53" s="80"/>
      <c r="LM53" s="80"/>
      <c r="LN53" s="80"/>
      <c r="LO53" s="80"/>
      <c r="LP53" s="80"/>
      <c r="LQ53" s="80"/>
      <c r="LR53" s="80"/>
      <c r="LS53" s="80"/>
      <c r="LT53" s="80"/>
      <c r="LU53" s="80"/>
      <c r="LV53" s="80"/>
      <c r="LZ53" s="80"/>
      <c r="MA53" s="80"/>
      <c r="MB53" s="80"/>
      <c r="MC53" s="80"/>
      <c r="MD53" s="80"/>
      <c r="ME53" s="80"/>
      <c r="MF53" s="80"/>
      <c r="MG53" s="80"/>
      <c r="MH53" s="80"/>
      <c r="MI53" s="80"/>
      <c r="MJ53" s="80"/>
      <c r="MN53" s="80"/>
      <c r="MO53" s="80"/>
      <c r="MP53" s="80"/>
      <c r="MQ53" s="80"/>
      <c r="MR53" s="80"/>
      <c r="MS53" s="80"/>
      <c r="MT53" s="80"/>
      <c r="MU53" s="80"/>
      <c r="MV53" s="80"/>
      <c r="MW53" s="80"/>
      <c r="MX53" s="80"/>
      <c r="NB53" s="80"/>
      <c r="NC53" s="80"/>
      <c r="ND53" s="80"/>
      <c r="NE53" s="80"/>
      <c r="NF53" s="80"/>
      <c r="NG53" s="80"/>
      <c r="NH53" s="80"/>
      <c r="NI53" s="80"/>
      <c r="NJ53" s="80"/>
      <c r="NK53" s="80"/>
      <c r="NL53" s="80"/>
      <c r="NP53" s="80"/>
      <c r="NQ53" s="80"/>
      <c r="NR53" s="80"/>
      <c r="NS53" s="80"/>
      <c r="NT53" s="80"/>
      <c r="NU53" s="80"/>
      <c r="NV53" s="80"/>
      <c r="NW53" s="80"/>
      <c r="NX53" s="80"/>
      <c r="NY53" s="80"/>
      <c r="NZ53" s="80"/>
      <c r="OD53" s="80"/>
      <c r="OE53" s="80"/>
      <c r="OF53" s="80"/>
      <c r="OG53" s="80"/>
      <c r="OH53" s="80"/>
      <c r="OI53" s="80"/>
      <c r="OJ53" s="80"/>
      <c r="OK53" s="80"/>
      <c r="OL53" s="80"/>
      <c r="OM53" s="80"/>
      <c r="ON53" s="80"/>
      <c r="OR53" s="80"/>
      <c r="OS53" s="80"/>
      <c r="OT53" s="80"/>
      <c r="OU53" s="80"/>
      <c r="OV53" s="80"/>
      <c r="OW53" s="80"/>
      <c r="OX53" s="80"/>
      <c r="OY53" s="80"/>
      <c r="OZ53" s="80"/>
      <c r="PA53" s="80"/>
      <c r="PB53" s="80"/>
      <c r="PF53" s="80"/>
      <c r="PG53" s="80"/>
      <c r="PH53" s="80"/>
      <c r="PI53" s="80"/>
      <c r="PJ53" s="80"/>
      <c r="PK53" s="80"/>
      <c r="PL53" s="80"/>
      <c r="PM53" s="80"/>
      <c r="PN53" s="80"/>
      <c r="PO53" s="80"/>
      <c r="PP53" s="80"/>
      <c r="PT53" s="80"/>
      <c r="PU53" s="80"/>
      <c r="PV53" s="80"/>
      <c r="PW53" s="80"/>
      <c r="PX53" s="80"/>
      <c r="PY53" s="80"/>
      <c r="PZ53" s="80"/>
      <c r="QA53" s="80"/>
      <c r="QB53" s="80"/>
      <c r="QC53" s="80"/>
      <c r="QD53" s="80"/>
      <c r="QH53" s="80"/>
      <c r="QI53" s="80"/>
      <c r="QJ53" s="80"/>
      <c r="QK53" s="80"/>
      <c r="QL53" s="80"/>
      <c r="QM53" s="80"/>
      <c r="QN53" s="80"/>
      <c r="QO53" s="80"/>
      <c r="QP53" s="80"/>
      <c r="QQ53" s="80"/>
      <c r="QR53" s="80"/>
      <c r="QV53" s="80"/>
      <c r="QW53" s="80"/>
      <c r="QX53" s="80"/>
      <c r="QY53" s="80"/>
      <c r="QZ53" s="80"/>
      <c r="RA53" s="80"/>
      <c r="RB53" s="80"/>
      <c r="RC53" s="80"/>
      <c r="RD53" s="80"/>
      <c r="RE53" s="80"/>
      <c r="RF53" s="80"/>
      <c r="RJ53" s="80"/>
      <c r="RK53" s="80"/>
      <c r="RL53" s="80"/>
      <c r="RM53" s="80"/>
      <c r="RN53" s="80"/>
      <c r="RO53" s="80"/>
      <c r="RP53" s="80"/>
      <c r="RQ53" s="80"/>
      <c r="RR53" s="80"/>
      <c r="RS53" s="80"/>
      <c r="RT53" s="80"/>
      <c r="RX53" s="80"/>
      <c r="RY53" s="80"/>
      <c r="RZ53" s="80"/>
      <c r="SA53" s="80"/>
      <c r="SB53" s="80"/>
      <c r="SC53" s="80"/>
      <c r="SD53" s="80"/>
      <c r="SE53" s="80"/>
      <c r="SF53" s="80"/>
      <c r="SG53" s="80"/>
      <c r="SH53" s="80"/>
      <c r="SL53" s="80"/>
      <c r="SM53" s="80"/>
      <c r="SN53" s="80"/>
      <c r="SO53" s="80"/>
      <c r="SP53" s="80"/>
      <c r="SQ53" s="80"/>
      <c r="SR53" s="80"/>
      <c r="SS53" s="80"/>
      <c r="ST53" s="80"/>
      <c r="SU53" s="80"/>
      <c r="SV53" s="80"/>
      <c r="SZ53" s="80"/>
      <c r="TA53" s="80"/>
      <c r="TB53" s="80"/>
      <c r="TC53" s="80"/>
      <c r="TD53" s="80"/>
      <c r="TE53" s="80"/>
      <c r="TF53" s="80"/>
      <c r="TG53" s="80"/>
      <c r="TH53" s="80"/>
      <c r="TI53" s="80"/>
      <c r="TJ53" s="80"/>
      <c r="TN53" s="80"/>
      <c r="TO53" s="80"/>
      <c r="TP53" s="80"/>
      <c r="TQ53" s="80"/>
      <c r="TR53" s="80"/>
      <c r="TS53" s="80"/>
      <c r="TT53" s="80"/>
      <c r="TU53" s="80"/>
      <c r="TV53" s="80"/>
      <c r="TW53" s="80"/>
      <c r="TX53" s="80"/>
      <c r="UB53" s="80"/>
      <c r="UC53" s="80"/>
      <c r="UD53" s="80"/>
      <c r="UE53" s="80"/>
      <c r="UF53" s="80"/>
      <c r="UG53" s="80"/>
      <c r="UH53" s="80"/>
      <c r="UI53" s="80"/>
      <c r="UJ53" s="80"/>
      <c r="UK53" s="80"/>
      <c r="UL53" s="80"/>
      <c r="UP53" s="80"/>
      <c r="UQ53" s="80"/>
      <c r="UR53" s="80"/>
      <c r="US53" s="80"/>
      <c r="UT53" s="80"/>
      <c r="UU53" s="80"/>
      <c r="UV53" s="80"/>
      <c r="UW53" s="80"/>
      <c r="UX53" s="80"/>
      <c r="UY53" s="80"/>
      <c r="UZ53" s="80"/>
      <c r="VD53" s="80"/>
      <c r="VE53" s="80"/>
      <c r="VF53" s="80"/>
      <c r="VG53" s="80"/>
      <c r="VH53" s="80"/>
      <c r="VI53" s="80"/>
      <c r="VJ53" s="80"/>
      <c r="VK53" s="80"/>
      <c r="VL53" s="80"/>
      <c r="VM53" s="80"/>
      <c r="VN53" s="80"/>
      <c r="VR53" s="80"/>
      <c r="VS53" s="80"/>
      <c r="VT53" s="80"/>
      <c r="VU53" s="80"/>
      <c r="VV53" s="80"/>
      <c r="VW53" s="80"/>
      <c r="VX53" s="80"/>
      <c r="VY53" s="80"/>
      <c r="VZ53" s="80"/>
      <c r="WA53" s="80"/>
      <c r="WB53" s="80"/>
      <c r="WF53" s="80"/>
      <c r="WG53" s="80"/>
      <c r="WH53" s="80"/>
      <c r="WI53" s="80"/>
      <c r="WJ53" s="80"/>
      <c r="WK53" s="80"/>
      <c r="WL53" s="80"/>
      <c r="WM53" s="80"/>
      <c r="WN53" s="80"/>
      <c r="WO53" s="80"/>
      <c r="WP53" s="80"/>
      <c r="WT53" s="80"/>
      <c r="WU53" s="80"/>
      <c r="WV53" s="80"/>
      <c r="WW53" s="80"/>
      <c r="WX53" s="80"/>
      <c r="WY53" s="80"/>
      <c r="WZ53" s="80"/>
      <c r="XA53" s="80"/>
      <c r="XB53" s="80"/>
      <c r="XC53" s="80"/>
      <c r="XD53" s="80"/>
      <c r="XH53" s="80"/>
      <c r="XI53" s="80"/>
      <c r="XJ53" s="80"/>
      <c r="XK53" s="80"/>
      <c r="XL53" s="80"/>
      <c r="XM53" s="80"/>
      <c r="XN53" s="80"/>
      <c r="XO53" s="80"/>
      <c r="XP53" s="80"/>
      <c r="XQ53" s="80"/>
      <c r="XR53" s="80"/>
      <c r="XV53" s="80"/>
      <c r="XW53" s="80"/>
      <c r="XX53" s="80"/>
      <c r="XY53" s="80"/>
      <c r="XZ53" s="80"/>
      <c r="YA53" s="80"/>
      <c r="YB53" s="80"/>
      <c r="YC53" s="80"/>
      <c r="YD53" s="80"/>
      <c r="YE53" s="80"/>
      <c r="YF53" s="80"/>
      <c r="YJ53" s="80"/>
      <c r="YK53" s="80"/>
      <c r="YL53" s="80"/>
      <c r="YM53" s="80"/>
      <c r="YN53" s="80"/>
      <c r="YO53" s="80"/>
      <c r="YP53" s="80"/>
      <c r="YQ53" s="80"/>
      <c r="YR53" s="80"/>
      <c r="YS53" s="80"/>
      <c r="YT53" s="80"/>
      <c r="YX53" s="80"/>
      <c r="YY53" s="80"/>
      <c r="YZ53" s="80"/>
      <c r="ZA53" s="80"/>
      <c r="ZB53" s="80"/>
      <c r="ZC53" s="80"/>
      <c r="ZD53" s="80"/>
      <c r="ZE53" s="80"/>
      <c r="ZF53" s="80"/>
      <c r="ZG53" s="80"/>
      <c r="ZH53" s="80"/>
      <c r="ZL53" s="80"/>
      <c r="ZM53" s="80"/>
      <c r="ZN53" s="80"/>
      <c r="ZO53" s="80"/>
      <c r="ZP53" s="80"/>
      <c r="ZQ53" s="80"/>
      <c r="ZR53" s="80"/>
      <c r="ZS53" s="80"/>
      <c r="ZT53" s="80"/>
      <c r="ZU53" s="80"/>
      <c r="ZV53" s="80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80"/>
      <c r="AAJ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80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80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80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80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80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80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80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80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80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80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80"/>
      <c r="AFZ53" s="4"/>
      <c r="AGA53" s="4"/>
      <c r="AGB53" s="4"/>
      <c r="AGC53" s="4"/>
      <c r="AGD53" s="4"/>
      <c r="AGE53" s="4"/>
      <c r="AGF53" s="4"/>
      <c r="AGG53" s="4"/>
      <c r="AGH53" s="4"/>
      <c r="AGI53" s="80"/>
      <c r="AGL53" s="4"/>
      <c r="AGM53" s="4"/>
      <c r="AGN53" s="4"/>
      <c r="AGO53" s="4"/>
      <c r="AGP53" s="4"/>
      <c r="AGQ53" s="4"/>
      <c r="AGR53" s="4"/>
      <c r="AGS53" s="4"/>
      <c r="AGT53" s="4"/>
      <c r="AGU53" s="80"/>
      <c r="AGX53" s="4"/>
      <c r="AGY53" s="4"/>
      <c r="AGZ53" s="4"/>
      <c r="AHA53" s="4"/>
      <c r="AHB53" s="4"/>
      <c r="AHC53" s="4"/>
      <c r="AHD53" s="4"/>
      <c r="AHE53" s="4"/>
      <c r="AHF53" s="4"/>
      <c r="AHG53" s="80"/>
      <c r="AHJ53" s="4"/>
      <c r="AHK53" s="4"/>
      <c r="AHL53" s="4"/>
      <c r="AHM53" s="4"/>
      <c r="AHN53" s="4"/>
      <c r="AHO53" s="4"/>
      <c r="AHP53" s="4"/>
      <c r="AHQ53" s="4"/>
      <c r="AHR53" s="4"/>
      <c r="AHS53" s="80"/>
      <c r="AHV53" s="4"/>
      <c r="AHW53" s="4"/>
      <c r="AHX53" s="4"/>
      <c r="AHY53" s="4"/>
      <c r="AHZ53" s="4"/>
      <c r="AIA53" s="4"/>
      <c r="AIB53" s="4"/>
      <c r="AIC53" s="4"/>
      <c r="AID53" s="4"/>
      <c r="AIE53" s="80"/>
      <c r="AIH53" s="4"/>
      <c r="AII53" s="4"/>
      <c r="AIJ53" s="4"/>
      <c r="AIK53" s="4"/>
      <c r="AIL53" s="4"/>
      <c r="AIM53" s="4"/>
      <c r="AIN53" s="4"/>
      <c r="AIO53" s="4"/>
      <c r="AIP53" s="4"/>
      <c r="AIQ53" s="80"/>
      <c r="AIT53" s="4"/>
      <c r="AIU53" s="4"/>
      <c r="AIV53" s="4"/>
      <c r="AIW53" s="4"/>
      <c r="AIX53" s="4"/>
      <c r="AIY53" s="4"/>
      <c r="AIZ53" s="4"/>
      <c r="AJA53" s="4"/>
      <c r="AJB53" s="4"/>
      <c r="AJC53" s="80"/>
      <c r="AJF53" s="4"/>
      <c r="AJG53" s="4"/>
      <c r="AJH53" s="4"/>
      <c r="AJI53" s="4"/>
      <c r="AJJ53" s="4"/>
      <c r="AJK53" s="4"/>
      <c r="AJL53" s="4"/>
      <c r="AJM53" s="4"/>
      <c r="AJN53" s="4"/>
      <c r="AJO53" s="80"/>
      <c r="AJR53" s="4"/>
      <c r="AJS53" s="4"/>
      <c r="AJT53" s="4"/>
      <c r="AJU53" s="4"/>
      <c r="AJV53" s="4"/>
      <c r="AJW53" s="4"/>
      <c r="AJX53" s="4"/>
      <c r="AJY53" s="4"/>
      <c r="AJZ53" s="4"/>
      <c r="AKA53" s="80"/>
      <c r="AKD53" s="4"/>
      <c r="AKE53" s="4"/>
      <c r="AKF53" s="4"/>
      <c r="AKG53" s="4"/>
      <c r="AKH53" s="4"/>
      <c r="AKI53" s="4"/>
      <c r="AKJ53" s="4"/>
      <c r="AKK53" s="4"/>
      <c r="AKL53" s="4"/>
      <c r="AKM53" s="80"/>
      <c r="AKP53" s="4"/>
      <c r="AKQ53" s="4"/>
      <c r="AKR53" s="4"/>
      <c r="AKS53" s="4"/>
      <c r="AKT53" s="4"/>
      <c r="AKU53" s="4"/>
      <c r="AKV53" s="4"/>
      <c r="AKW53" s="4"/>
      <c r="AKX53" s="4"/>
      <c r="AKY53" s="80"/>
      <c r="ALB53" s="4"/>
      <c r="ALC53" s="4"/>
      <c r="ALD53" s="4"/>
      <c r="ALE53" s="4"/>
      <c r="ALF53" s="4"/>
      <c r="ALG53" s="4"/>
      <c r="ALH53" s="4"/>
      <c r="ALI53" s="4"/>
      <c r="ALJ53" s="4"/>
      <c r="ALK53" s="80"/>
      <c r="ALN53" s="4"/>
      <c r="ALO53" s="4"/>
      <c r="ALP53" s="4"/>
      <c r="ALQ53" s="4"/>
      <c r="ALR53" s="4"/>
      <c r="ALS53" s="4"/>
      <c r="ALT53" s="4"/>
      <c r="ALU53" s="4"/>
      <c r="ALV53" s="4"/>
      <c r="ALW53" s="80"/>
      <c r="ALZ53" s="4"/>
      <c r="AMA53" s="4"/>
      <c r="AMB53" s="4"/>
      <c r="AMC53" s="4"/>
      <c r="AMD53" s="4"/>
      <c r="AME53" s="4"/>
      <c r="AMF53" s="4"/>
      <c r="AMG53" s="4"/>
      <c r="AMH53" s="4"/>
      <c r="AMI53" s="80"/>
      <c r="AML53" s="4"/>
      <c r="AMM53" s="4"/>
      <c r="AMN53" s="4"/>
      <c r="AMO53" s="4"/>
      <c r="AMP53" s="4"/>
      <c r="AMQ53" s="4"/>
      <c r="AMR53" s="4"/>
      <c r="AMS53" s="4"/>
      <c r="AMT53" s="4"/>
      <c r="AMU53" s="80"/>
      <c r="AMX53" s="4"/>
      <c r="AMY53" s="4"/>
      <c r="AMZ53" s="4"/>
      <c r="ANA53" s="4"/>
      <c r="ANB53" s="4"/>
      <c r="ANC53" s="4"/>
      <c r="AND53" s="4"/>
      <c r="ANE53" s="4"/>
      <c r="ANF53" s="4"/>
      <c r="ANG53" s="80"/>
      <c r="ANJ53" s="4"/>
      <c r="ANK53" s="4"/>
      <c r="ANL53" s="4"/>
      <c r="ANM53" s="4"/>
      <c r="ANN53" s="4"/>
      <c r="ANO53" s="4"/>
      <c r="ANP53" s="4"/>
      <c r="ANQ53" s="4"/>
      <c r="ANR53" s="4"/>
      <c r="ANS53" s="80"/>
      <c r="ANV53" s="4"/>
      <c r="ANW53" s="4"/>
      <c r="ANX53" s="4"/>
      <c r="ANY53" s="4"/>
      <c r="ANZ53" s="4"/>
      <c r="AOA53" s="4"/>
      <c r="AOB53" s="4"/>
      <c r="AOC53" s="4"/>
      <c r="AOD53" s="4"/>
      <c r="AOE53" s="80"/>
      <c r="AOH53" s="4"/>
      <c r="AOI53" s="4"/>
      <c r="AOJ53" s="4"/>
      <c r="AOK53" s="4"/>
      <c r="AOL53" s="4"/>
      <c r="AOM53" s="4"/>
      <c r="AON53" s="4"/>
      <c r="AOO53" s="4"/>
      <c r="AOP53" s="4"/>
      <c r="AOQ53" s="80"/>
      <c r="AOT53" s="4"/>
      <c r="AOU53" s="4"/>
      <c r="AOV53" s="4"/>
      <c r="AOW53" s="4"/>
      <c r="AOX53" s="4"/>
      <c r="AOY53" s="4"/>
      <c r="AOZ53" s="4"/>
      <c r="APA53" s="4"/>
      <c r="APB53" s="4"/>
      <c r="APC53" s="80"/>
      <c r="APF53" s="4"/>
      <c r="APG53" s="4"/>
      <c r="APH53" s="4"/>
      <c r="API53" s="4"/>
      <c r="APJ53" s="4"/>
      <c r="APK53" s="4"/>
      <c r="APL53" s="4"/>
      <c r="APM53" s="4"/>
      <c r="APN53" s="4"/>
      <c r="APO53" s="80"/>
      <c r="APR53" s="4"/>
      <c r="APS53" s="4"/>
      <c r="APT53" s="4"/>
      <c r="APU53" s="4"/>
      <c r="APV53" s="4"/>
      <c r="APW53" s="4"/>
      <c r="APX53" s="4"/>
      <c r="APY53" s="4"/>
      <c r="APZ53" s="4"/>
      <c r="AQA53" s="80"/>
      <c r="AQD53" s="4"/>
      <c r="AQE53" s="4"/>
      <c r="AQF53" s="4"/>
      <c r="AQG53" s="4"/>
      <c r="AQH53" s="4"/>
      <c r="AQI53" s="4"/>
      <c r="AQJ53" s="4"/>
      <c r="AQK53" s="4"/>
      <c r="AQL53" s="4"/>
      <c r="AQM53" s="80"/>
      <c r="AQP53" s="4"/>
      <c r="AQQ53" s="4"/>
      <c r="AQR53" s="4"/>
      <c r="AQS53" s="4"/>
      <c r="AQT53" s="4"/>
      <c r="AQU53" s="4"/>
      <c r="AQV53" s="4"/>
      <c r="AQW53" s="4"/>
      <c r="AQX53" s="4"/>
      <c r="AQY53" s="80"/>
      <c r="ARB53" s="4"/>
      <c r="ARC53" s="4"/>
      <c r="ARD53" s="4"/>
      <c r="ARE53" s="4"/>
      <c r="ARF53" s="4"/>
      <c r="ARG53" s="4"/>
      <c r="ARH53" s="4"/>
      <c r="ARI53" s="4"/>
      <c r="ARJ53" s="4"/>
      <c r="ARK53" s="80"/>
      <c r="ARN53" s="4"/>
      <c r="ARO53" s="4"/>
      <c r="ARP53" s="4"/>
      <c r="ARQ53" s="4"/>
      <c r="ARR53" s="4"/>
      <c r="ARS53" s="4"/>
      <c r="ART53" s="4"/>
      <c r="ARU53" s="4"/>
      <c r="ARV53" s="4"/>
      <c r="ARW53" s="80"/>
      <c r="ARZ53" s="4"/>
      <c r="ASA53" s="4"/>
      <c r="ASB53" s="4"/>
      <c r="ASC53" s="4"/>
      <c r="ASD53" s="4"/>
      <c r="ASE53" s="4"/>
      <c r="ASF53" s="4"/>
      <c r="ASG53" s="4"/>
      <c r="ASH53" s="4"/>
      <c r="ASI53" s="80"/>
      <c r="ASL53" s="4"/>
      <c r="ASM53" s="4"/>
      <c r="ASN53" s="4"/>
      <c r="ASO53" s="4"/>
      <c r="ASP53" s="4"/>
      <c r="ASQ53" s="4"/>
      <c r="ASR53" s="4"/>
      <c r="ASS53" s="4"/>
      <c r="AST53" s="4"/>
      <c r="ASU53" s="80"/>
      <c r="ASX53" s="4"/>
      <c r="ASY53" s="4"/>
      <c r="ASZ53" s="4"/>
      <c r="ATA53" s="4"/>
      <c r="ATB53" s="4"/>
      <c r="ATC53" s="4"/>
      <c r="ATD53" s="4"/>
      <c r="ATE53" s="4"/>
      <c r="ATF53" s="4"/>
      <c r="ATG53" s="80"/>
      <c r="ATJ53" s="4"/>
      <c r="ATK53" s="4"/>
      <c r="ATL53" s="4"/>
      <c r="ATM53" s="4"/>
      <c r="ATN53" s="4"/>
      <c r="ATO53" s="4"/>
      <c r="ATP53" s="4"/>
      <c r="ATQ53" s="4"/>
      <c r="ATR53" s="4"/>
      <c r="ATS53" s="80"/>
      <c r="ATV53" s="4"/>
      <c r="ATW53" s="4"/>
      <c r="ATX53" s="4"/>
      <c r="ATY53" s="4"/>
      <c r="ATZ53" s="4"/>
      <c r="AUA53" s="4"/>
      <c r="AUB53" s="4"/>
      <c r="AUC53" s="4"/>
      <c r="AUD53" s="4"/>
      <c r="AUE53" s="80"/>
      <c r="AUH53" s="4"/>
      <c r="AUI53" s="4"/>
      <c r="AUJ53" s="4"/>
      <c r="AUK53" s="4"/>
      <c r="AUL53" s="4"/>
      <c r="AUM53" s="4"/>
      <c r="AUN53" s="4"/>
      <c r="AUO53" s="4"/>
      <c r="AUP53" s="4"/>
      <c r="AUQ53" s="80"/>
      <c r="AUT53" s="4"/>
      <c r="AUU53" s="4"/>
      <c r="AUV53" s="4"/>
      <c r="AUW53" s="4"/>
      <c r="AUX53" s="4"/>
      <c r="AUY53" s="4"/>
      <c r="AUZ53" s="4"/>
      <c r="AVA53" s="4"/>
      <c r="AVB53" s="4"/>
      <c r="AVC53" s="80"/>
      <c r="AVF53" s="4"/>
      <c r="AVG53" s="4"/>
      <c r="AVH53" s="4"/>
      <c r="AVI53" s="4"/>
      <c r="AVJ53" s="4"/>
      <c r="AVK53" s="4"/>
      <c r="AVL53" s="4"/>
      <c r="AVM53" s="4"/>
      <c r="AVN53" s="4"/>
      <c r="AVO53" s="80"/>
      <c r="AVR53" s="4"/>
      <c r="AVS53" s="4"/>
      <c r="AVT53" s="4"/>
      <c r="AVU53" s="4"/>
      <c r="AVV53" s="4"/>
      <c r="AVW53" s="4"/>
      <c r="AVX53" s="4"/>
      <c r="AVY53" s="4"/>
      <c r="AVZ53" s="4"/>
      <c r="AWA53" s="80"/>
      <c r="AWD53" s="4"/>
      <c r="AWE53" s="4"/>
      <c r="AWF53" s="4"/>
      <c r="AWG53" s="4"/>
      <c r="AWH53" s="4"/>
      <c r="AWI53" s="4"/>
      <c r="AWJ53" s="4"/>
      <c r="AWK53" s="4"/>
      <c r="AWL53" s="4"/>
      <c r="AWM53" s="80"/>
      <c r="AWP53" s="4"/>
      <c r="AWQ53" s="4"/>
      <c r="AWR53" s="4"/>
      <c r="AWS53" s="4"/>
      <c r="AWT53" s="4"/>
      <c r="AWU53" s="4"/>
      <c r="AWV53" s="4"/>
      <c r="AWW53" s="4"/>
      <c r="AWX53" s="4"/>
      <c r="AWY53" s="80"/>
      <c r="AXB53" s="4"/>
      <c r="AXC53" s="4"/>
      <c r="AXD53" s="4"/>
      <c r="AXE53" s="4"/>
      <c r="AXF53" s="4"/>
      <c r="AXG53" s="4"/>
      <c r="AXH53" s="4"/>
      <c r="AXI53" s="4"/>
      <c r="AXJ53" s="4"/>
      <c r="AXK53" s="80"/>
      <c r="AXN53" s="4"/>
      <c r="AXO53" s="4"/>
      <c r="AXP53" s="4"/>
      <c r="AXQ53" s="4"/>
      <c r="AXR53" s="4"/>
      <c r="AXS53" s="4"/>
      <c r="AXT53" s="4"/>
      <c r="AXU53" s="4"/>
      <c r="AXV53" s="4"/>
      <c r="AXW53" s="80"/>
      <c r="AXZ53" s="4"/>
      <c r="AYA53" s="4"/>
      <c r="AYB53" s="4"/>
      <c r="AYC53" s="4"/>
      <c r="AYD53" s="4"/>
      <c r="AYE53" s="4"/>
      <c r="AYF53" s="4"/>
      <c r="AYG53" s="4"/>
      <c r="AYH53" s="4"/>
      <c r="AYI53" s="80"/>
      <c r="AYL53" s="4"/>
      <c r="AYM53" s="4"/>
      <c r="AYN53" s="4"/>
      <c r="AYO53" s="4"/>
      <c r="AYP53" s="4"/>
      <c r="AYQ53" s="4"/>
      <c r="AYR53" s="4"/>
      <c r="AYS53" s="4"/>
      <c r="AYT53" s="4"/>
      <c r="AYU53" s="80"/>
      <c r="AYX53" s="4"/>
      <c r="AYY53" s="4"/>
      <c r="AYZ53" s="4"/>
      <c r="AZA53" s="4"/>
      <c r="AZB53" s="4"/>
      <c r="AZC53" s="4"/>
      <c r="AZD53" s="4"/>
      <c r="AZE53" s="4"/>
      <c r="AZF53" s="4"/>
      <c r="AZG53" s="80"/>
      <c r="AZJ53" s="4"/>
      <c r="AZK53" s="4"/>
      <c r="AZL53" s="4"/>
      <c r="AZM53" s="4"/>
      <c r="AZN53" s="4"/>
      <c r="AZO53" s="4"/>
      <c r="AZP53" s="4"/>
      <c r="AZQ53" s="4"/>
      <c r="AZR53" s="4"/>
      <c r="AZS53" s="80"/>
      <c r="AZV53" s="4"/>
      <c r="AZW53" s="4"/>
      <c r="AZX53" s="4"/>
      <c r="AZY53" s="4"/>
      <c r="AZZ53" s="4"/>
      <c r="BAA53" s="4"/>
      <c r="BAB53" s="4"/>
      <c r="BAC53" s="4"/>
      <c r="BAD53" s="4"/>
      <c r="BAE53" s="80"/>
      <c r="BAH53" s="4"/>
      <c r="BAI53" s="4"/>
      <c r="BAJ53" s="4"/>
      <c r="BAK53" s="4"/>
      <c r="BAL53" s="4"/>
      <c r="BAM53" s="4"/>
      <c r="BAN53" s="4"/>
      <c r="BAO53" s="4"/>
      <c r="BAP53" s="4"/>
      <c r="BAQ53" s="80"/>
      <c r="BAT53" s="4"/>
      <c r="BAU53" s="4"/>
      <c r="BAV53" s="4"/>
      <c r="BAW53" s="4"/>
      <c r="BAX53" s="4"/>
      <c r="BAY53" s="4"/>
      <c r="BAZ53" s="4"/>
      <c r="BBA53" s="4"/>
      <c r="BBB53" s="4"/>
      <c r="BBC53" s="80"/>
      <c r="BBF53" s="4"/>
      <c r="BBG53" s="4"/>
      <c r="BBH53" s="4"/>
      <c r="BBI53" s="4"/>
      <c r="BBJ53" s="4"/>
      <c r="BBK53" s="4"/>
      <c r="BBL53" s="4"/>
      <c r="BBM53" s="4"/>
      <c r="BBN53" s="4"/>
      <c r="BBO53" s="80"/>
      <c r="BBR53" s="4"/>
      <c r="BBS53" s="4"/>
      <c r="BBT53" s="4"/>
      <c r="BBU53" s="4"/>
      <c r="BBV53" s="4"/>
      <c r="BBW53" s="4"/>
      <c r="BBX53" s="4"/>
      <c r="BBY53" s="4"/>
      <c r="BBZ53" s="4"/>
      <c r="BCA53" s="80"/>
      <c r="BCD53" s="4"/>
      <c r="BCE53" s="4"/>
      <c r="BCF53" s="4"/>
      <c r="BCG53" s="4"/>
      <c r="BCH53" s="4"/>
      <c r="BCI53" s="4"/>
      <c r="BCJ53" s="4"/>
      <c r="BCK53" s="4"/>
      <c r="BCL53" s="4"/>
      <c r="BCM53" s="80"/>
      <c r="BCP53" s="4"/>
      <c r="BCQ53" s="4"/>
      <c r="BCR53" s="4"/>
      <c r="BCS53" s="4"/>
      <c r="BCT53" s="4"/>
      <c r="BCU53" s="4"/>
      <c r="BCV53" s="4"/>
      <c r="BCW53" s="4"/>
      <c r="BCX53" s="4"/>
      <c r="BCY53" s="80"/>
      <c r="BDB53" s="4"/>
      <c r="BDC53" s="4"/>
      <c r="BDD53" s="4"/>
      <c r="BDE53" s="4"/>
      <c r="BDF53" s="4"/>
      <c r="BDG53" s="4"/>
      <c r="BDH53" s="4"/>
      <c r="BDI53" s="4"/>
      <c r="BDJ53" s="4"/>
      <c r="BDK53" s="80"/>
      <c r="BDN53" s="4"/>
      <c r="BDO53" s="4"/>
      <c r="BDP53" s="4"/>
      <c r="BDQ53" s="4"/>
      <c r="BDR53" s="4"/>
      <c r="BDS53" s="4"/>
      <c r="BDT53" s="4"/>
      <c r="BDU53" s="4"/>
      <c r="BDV53" s="4"/>
      <c r="BDW53" s="80"/>
      <c r="BDZ53" s="4"/>
      <c r="BEA53" s="4"/>
      <c r="BEB53" s="4"/>
      <c r="BEC53" s="4"/>
      <c r="BED53" s="4"/>
      <c r="BEE53" s="4"/>
      <c r="BEF53" s="4"/>
      <c r="BEG53" s="4"/>
      <c r="BEH53" s="4"/>
      <c r="BEI53" s="80"/>
      <c r="BEL53" s="4"/>
      <c r="BEM53" s="4"/>
      <c r="BEN53" s="4"/>
      <c r="BEO53" s="4"/>
      <c r="BEP53" s="4"/>
      <c r="BEQ53" s="4"/>
      <c r="BER53" s="4"/>
      <c r="BES53" s="4"/>
      <c r="BET53" s="4"/>
      <c r="BEU53" s="80"/>
      <c r="BEX53" s="4"/>
      <c r="BEY53" s="4"/>
      <c r="BEZ53" s="4"/>
      <c r="BFA53" s="4"/>
      <c r="BFB53" s="4"/>
      <c r="BFC53" s="4"/>
      <c r="BFD53" s="4"/>
      <c r="BFE53" s="4"/>
      <c r="BFF53" s="4"/>
      <c r="BFG53" s="80"/>
      <c r="BFJ53" s="4"/>
      <c r="BFK53" s="4"/>
      <c r="BFL53" s="4"/>
      <c r="BFM53" s="4"/>
      <c r="BFN53" s="4"/>
      <c r="BFO53" s="4"/>
      <c r="BFP53" s="4"/>
      <c r="BFQ53" s="4"/>
      <c r="BFR53" s="4"/>
      <c r="BFS53" s="80"/>
      <c r="BFV53" s="4"/>
      <c r="BFW53" s="4"/>
      <c r="BFX53" s="4"/>
      <c r="BFY53" s="4"/>
      <c r="BFZ53" s="4"/>
      <c r="BGA53" s="4"/>
      <c r="BGB53" s="4"/>
      <c r="BGC53" s="4"/>
      <c r="BGD53" s="4"/>
      <c r="BGE53" s="80"/>
      <c r="BGH53" s="4"/>
      <c r="BGI53" s="4"/>
      <c r="BGJ53" s="4"/>
      <c r="BGK53" s="4"/>
      <c r="BGL53" s="4"/>
      <c r="BGM53" s="4"/>
      <c r="BGN53" s="4"/>
      <c r="BGO53" s="4"/>
      <c r="BGP53" s="4"/>
      <c r="BGQ53" s="80"/>
      <c r="BGT53" s="4"/>
      <c r="BGU53" s="4"/>
      <c r="BGV53" s="4"/>
      <c r="BGW53" s="4"/>
      <c r="BGX53" s="4"/>
      <c r="BGY53" s="4"/>
      <c r="BGZ53" s="4"/>
      <c r="BHA53" s="4"/>
      <c r="BHB53" s="4"/>
      <c r="BHC53" s="80"/>
      <c r="BHF53" s="4"/>
      <c r="BHG53" s="4"/>
      <c r="BHH53" s="4"/>
      <c r="BHI53" s="4"/>
      <c r="BHJ53" s="4"/>
      <c r="BHK53" s="4"/>
      <c r="BHL53" s="4"/>
      <c r="BHM53" s="4"/>
      <c r="BHN53" s="4"/>
      <c r="BHO53" s="80"/>
      <c r="BHR53" s="4"/>
      <c r="BHS53" s="4"/>
      <c r="BHT53" s="4"/>
      <c r="BHU53" s="4"/>
      <c r="BHV53" s="4"/>
      <c r="BHW53" s="4"/>
      <c r="BHX53" s="4"/>
      <c r="BHY53" s="4"/>
      <c r="BHZ53" s="4"/>
      <c r="BIA53" s="80"/>
      <c r="BID53" s="4"/>
      <c r="BIE53" s="4"/>
      <c r="BIF53" s="4"/>
      <c r="BIG53" s="4"/>
      <c r="BIH53" s="4"/>
      <c r="BII53" s="4"/>
      <c r="BIJ53" s="4"/>
      <c r="BIK53" s="4"/>
      <c r="BIL53" s="4"/>
      <c r="BIM53" s="80"/>
      <c r="BIP53" s="4"/>
      <c r="BIQ53" s="4"/>
      <c r="BIR53" s="4"/>
      <c r="BIS53" s="4"/>
      <c r="BIT53" s="4"/>
      <c r="BIU53" s="4"/>
      <c r="BIV53" s="4"/>
      <c r="BIW53" s="4"/>
      <c r="BIX53" s="4"/>
      <c r="BIY53" s="80"/>
      <c r="BJB53" s="4"/>
      <c r="BJC53" s="4"/>
      <c r="BJD53" s="4"/>
      <c r="BJE53" s="4"/>
      <c r="BJF53" s="4"/>
      <c r="BJG53" s="4"/>
      <c r="BJH53" s="4"/>
      <c r="BJI53" s="4"/>
      <c r="BJJ53" s="4"/>
      <c r="BJK53" s="80"/>
      <c r="BJN53" s="4"/>
      <c r="BJO53" s="4"/>
      <c r="BJP53" s="4"/>
      <c r="BJQ53" s="4"/>
      <c r="BJR53" s="4"/>
      <c r="BJS53" s="4"/>
      <c r="BJT53" s="4"/>
      <c r="BJU53" s="4"/>
      <c r="BJV53" s="4"/>
      <c r="BJW53" s="80"/>
      <c r="BJZ53" s="4"/>
      <c r="BKA53" s="4"/>
      <c r="BKB53" s="4"/>
      <c r="BKC53" s="4"/>
      <c r="BKD53" s="4"/>
      <c r="BKE53" s="4"/>
      <c r="BKF53" s="4"/>
      <c r="BKG53" s="4"/>
      <c r="BKH53" s="4"/>
      <c r="BKI53" s="80"/>
      <c r="BKL53" s="4"/>
      <c r="BKM53" s="4"/>
      <c r="BKN53" s="4"/>
      <c r="BKO53" s="4"/>
      <c r="BKP53" s="4"/>
      <c r="BKQ53" s="4"/>
      <c r="BKR53" s="4"/>
      <c r="BKS53" s="4"/>
      <c r="BKT53" s="4"/>
      <c r="BKU53" s="80"/>
      <c r="BKX53" s="4"/>
      <c r="BKY53" s="4"/>
      <c r="BKZ53" s="4"/>
      <c r="BLA53" s="4"/>
      <c r="BLB53" s="4"/>
      <c r="BLC53" s="4"/>
      <c r="BLD53" s="4"/>
      <c r="BLE53" s="4"/>
      <c r="BLF53" s="4"/>
      <c r="BLG53" s="80"/>
      <c r="BLJ53" s="4"/>
      <c r="BLK53" s="4"/>
      <c r="BLL53" s="4"/>
      <c r="BLM53" s="4"/>
      <c r="BLN53" s="4"/>
      <c r="BLO53" s="4"/>
      <c r="BLP53" s="4"/>
      <c r="BLQ53" s="4"/>
      <c r="BLR53" s="4"/>
      <c r="BLS53" s="80"/>
      <c r="BLV53" s="4"/>
      <c r="BLW53" s="4"/>
      <c r="BLX53" s="4"/>
      <c r="BLY53" s="4"/>
      <c r="BLZ53" s="4"/>
      <c r="BMA53" s="4"/>
      <c r="BMB53" s="4"/>
      <c r="BMC53" s="4"/>
      <c r="BMD53" s="4"/>
      <c r="BME53" s="80"/>
      <c r="BMH53" s="4"/>
      <c r="BMI53" s="4"/>
      <c r="BMJ53" s="4"/>
      <c r="BMK53" s="4"/>
      <c r="BML53" s="4"/>
      <c r="BMM53" s="4"/>
      <c r="BMN53" s="4"/>
      <c r="BMO53" s="4"/>
      <c r="BMP53" s="4"/>
      <c r="BMQ53" s="80"/>
      <c r="BMT53" s="4"/>
      <c r="BMU53" s="4"/>
      <c r="BMV53" s="4"/>
      <c r="BMW53" s="4"/>
      <c r="BMX53" s="4"/>
      <c r="BMY53" s="4"/>
      <c r="BMZ53" s="4"/>
      <c r="BNA53" s="4"/>
      <c r="BNB53" s="4"/>
      <c r="BNC53" s="80"/>
      <c r="BNF53" s="4"/>
      <c r="BNG53" s="4"/>
      <c r="BNH53" s="4"/>
      <c r="BNI53" s="4"/>
      <c r="BNJ53" s="4"/>
      <c r="BNK53" s="4"/>
      <c r="BNL53" s="4"/>
      <c r="BNM53" s="4"/>
      <c r="BNN53" s="4"/>
      <c r="BNO53" s="80"/>
      <c r="BNR53" s="4"/>
      <c r="BNS53" s="4"/>
      <c r="BNT53" s="4"/>
      <c r="BNU53" s="4"/>
      <c r="BNV53" s="4"/>
      <c r="BNW53" s="4"/>
      <c r="BNX53" s="4"/>
      <c r="BNY53" s="4"/>
      <c r="BNZ53" s="4"/>
      <c r="BOA53" s="80"/>
      <c r="BOD53" s="4"/>
      <c r="BOE53" s="4"/>
      <c r="BOF53" s="4"/>
      <c r="BOG53" s="4"/>
      <c r="BOH53" s="4"/>
      <c r="BOI53" s="4"/>
      <c r="BOJ53" s="4"/>
      <c r="BOK53" s="4"/>
      <c r="BOL53" s="4"/>
      <c r="BOM53" s="80"/>
      <c r="BOP53" s="4"/>
      <c r="BOQ53" s="4"/>
      <c r="BOR53" s="4"/>
      <c r="BOS53" s="4"/>
      <c r="BOT53" s="4"/>
      <c r="BOU53" s="4"/>
      <c r="BOV53" s="4"/>
      <c r="BOW53" s="4"/>
      <c r="BOX53" s="4"/>
      <c r="BOY53" s="80"/>
      <c r="BPB53" s="4"/>
      <c r="BPC53" s="4"/>
      <c r="BPD53" s="4"/>
      <c r="BPE53" s="4"/>
      <c r="BPF53" s="4"/>
      <c r="BPG53" s="4"/>
      <c r="BPH53" s="4"/>
      <c r="BPI53" s="4"/>
      <c r="BPJ53" s="4"/>
      <c r="BPK53" s="80"/>
      <c r="BPN53" s="4"/>
      <c r="BPO53" s="4"/>
      <c r="BPP53" s="4"/>
      <c r="BPQ53" s="4"/>
      <c r="BPR53" s="4"/>
      <c r="BPS53" s="4"/>
      <c r="BPT53" s="4"/>
      <c r="BPU53" s="4"/>
      <c r="BPV53" s="4"/>
      <c r="BPW53" s="80"/>
      <c r="BPZ53" s="4"/>
      <c r="BQA53" s="4"/>
      <c r="BQB53" s="4"/>
      <c r="BQC53" s="4"/>
      <c r="BQD53" s="4"/>
      <c r="BQE53" s="4"/>
      <c r="BQF53" s="4"/>
      <c r="BQG53" s="4"/>
      <c r="BQH53" s="4"/>
      <c r="BQI53" s="80"/>
      <c r="BQL53" s="4"/>
      <c r="BQM53" s="4"/>
      <c r="BQN53" s="4"/>
      <c r="BQO53" s="4"/>
      <c r="BQP53" s="4"/>
      <c r="BQQ53" s="4"/>
      <c r="BQR53" s="4"/>
      <c r="BQS53" s="4"/>
      <c r="BQT53" s="4"/>
      <c r="BQU53" s="80"/>
      <c r="BQX53" s="4"/>
      <c r="BQY53" s="4"/>
      <c r="BQZ53" s="4"/>
      <c r="BRA53" s="4"/>
      <c r="BRB53" s="4"/>
      <c r="BRC53" s="4"/>
      <c r="BRD53" s="4"/>
      <c r="BRE53" s="4"/>
      <c r="BRF53" s="4"/>
      <c r="BRG53" s="80"/>
      <c r="BRJ53" s="4"/>
      <c r="BRK53" s="4"/>
      <c r="BRL53" s="4"/>
      <c r="BRM53" s="4"/>
      <c r="BRN53" s="4"/>
      <c r="BRO53" s="4"/>
      <c r="BRP53" s="4"/>
      <c r="BRQ53" s="4"/>
      <c r="BRR53" s="4"/>
      <c r="BRS53" s="80"/>
      <c r="BRV53" s="4"/>
      <c r="BRW53" s="4"/>
      <c r="BRX53" s="4"/>
      <c r="BRY53" s="4"/>
      <c r="BRZ53" s="4"/>
      <c r="BSA53" s="4"/>
      <c r="BSB53" s="4"/>
      <c r="BSC53" s="4"/>
      <c r="BSD53" s="4"/>
      <c r="BSE53" s="80"/>
      <c r="BSH53" s="4"/>
      <c r="BSI53" s="4"/>
      <c r="BSJ53" s="4"/>
      <c r="BSK53" s="4"/>
      <c r="BSL53" s="4"/>
      <c r="BSM53" s="4"/>
      <c r="BSN53" s="4"/>
      <c r="BSO53" s="4"/>
      <c r="BSP53" s="4"/>
      <c r="BSQ53" s="80"/>
      <c r="BST53" s="4"/>
      <c r="BSU53" s="4"/>
      <c r="BSV53" s="4"/>
      <c r="BSW53" s="4"/>
      <c r="BSX53" s="4"/>
      <c r="BSY53" s="4"/>
      <c r="BSZ53" s="4"/>
      <c r="BTA53" s="4"/>
      <c r="BTB53" s="4"/>
      <c r="BTC53" s="80"/>
      <c r="BTF53" s="4"/>
      <c r="BTG53" s="4"/>
      <c r="BTH53" s="4"/>
      <c r="BTI53" s="4"/>
      <c r="BTJ53" s="4"/>
      <c r="BTK53" s="4"/>
      <c r="BTL53" s="4"/>
      <c r="BTM53" s="4"/>
      <c r="BTN53" s="4"/>
      <c r="BTO53" s="80"/>
      <c r="BTR53" s="4"/>
      <c r="BTS53" s="4"/>
      <c r="BTT53" s="4"/>
      <c r="BTU53" s="4"/>
      <c r="BTV53" s="4"/>
      <c r="BTW53" s="4"/>
      <c r="BTX53" s="4"/>
      <c r="BTY53" s="4"/>
      <c r="BTZ53" s="4"/>
      <c r="BUA53" s="80"/>
      <c r="BUD53" s="4"/>
      <c r="BUE53" s="4"/>
      <c r="BUF53" s="4"/>
      <c r="BUG53" s="4"/>
      <c r="BUH53" s="4"/>
      <c r="BUI53" s="4"/>
      <c r="BUJ53" s="4"/>
      <c r="BUK53" s="4"/>
      <c r="BUL53" s="4"/>
      <c r="BUM53" s="80"/>
      <c r="BUP53" s="4"/>
      <c r="BUQ53" s="4"/>
      <c r="BUR53" s="4"/>
      <c r="BUS53" s="4"/>
      <c r="BUT53" s="4"/>
      <c r="BUU53" s="4"/>
      <c r="BUV53" s="4"/>
      <c r="BUW53" s="4"/>
      <c r="BUX53" s="4"/>
      <c r="BUY53" s="80"/>
      <c r="BVB53" s="4"/>
      <c r="BVC53" s="4"/>
      <c r="BVD53" s="4"/>
      <c r="BVE53" s="4"/>
      <c r="BVF53" s="4"/>
      <c r="BVG53" s="4"/>
      <c r="BVH53" s="4"/>
      <c r="BVI53" s="4"/>
      <c r="BVJ53" s="4"/>
      <c r="BVK53" s="80"/>
      <c r="BVN53" s="4"/>
      <c r="BVO53" s="4"/>
      <c r="BVP53" s="4"/>
      <c r="BVQ53" s="4"/>
      <c r="BVR53" s="4"/>
      <c r="BVS53" s="4"/>
      <c r="BVT53" s="4"/>
      <c r="BVU53" s="4"/>
      <c r="BVV53" s="4"/>
      <c r="BVW53" s="80"/>
      <c r="BVZ53" s="4"/>
      <c r="BWA53" s="4"/>
      <c r="BWB53" s="4"/>
      <c r="BWC53" s="4"/>
      <c r="BWD53" s="4"/>
      <c r="BWE53" s="4"/>
      <c r="BWF53" s="4"/>
      <c r="BWG53" s="4"/>
      <c r="BWH53" s="4"/>
      <c r="BWI53" s="80"/>
      <c r="BWL53" s="4"/>
      <c r="BWM53" s="4"/>
      <c r="BWN53" s="4"/>
      <c r="BWO53" s="4"/>
      <c r="BWP53" s="4"/>
      <c r="BWQ53" s="4"/>
      <c r="BWR53" s="4"/>
      <c r="BWS53" s="4"/>
      <c r="BWT53" s="4"/>
      <c r="BWU53" s="80"/>
      <c r="BWX53" s="4"/>
      <c r="BWY53" s="4"/>
      <c r="BWZ53" s="4"/>
      <c r="BXA53" s="4"/>
      <c r="BXB53" s="4"/>
      <c r="BXC53" s="4"/>
      <c r="BXD53" s="4"/>
      <c r="BXE53" s="4"/>
      <c r="BXF53" s="4"/>
      <c r="BXG53" s="80"/>
      <c r="BXJ53" s="4"/>
      <c r="BXK53" s="4"/>
      <c r="BXL53" s="4"/>
      <c r="BXM53" s="4"/>
      <c r="BXN53" s="4"/>
      <c r="BXO53" s="4"/>
      <c r="BXP53" s="4"/>
      <c r="BXQ53" s="4"/>
      <c r="BXR53" s="4"/>
      <c r="BXS53" s="80"/>
      <c r="BXV53" s="4"/>
      <c r="BXW53" s="4"/>
      <c r="BXX53" s="4"/>
      <c r="BXY53" s="4"/>
      <c r="BXZ53" s="4"/>
      <c r="BYA53" s="4"/>
      <c r="BYB53" s="4"/>
      <c r="BYC53" s="4"/>
      <c r="BYD53" s="4"/>
      <c r="BYE53" s="80"/>
      <c r="BYH53" s="4"/>
      <c r="BYI53" s="4"/>
      <c r="BYJ53" s="4"/>
      <c r="BYK53" s="4"/>
      <c r="BYL53" s="4"/>
      <c r="BYM53" s="4"/>
      <c r="BYN53" s="4"/>
      <c r="BYO53" s="4"/>
      <c r="BYP53" s="4"/>
      <c r="BYQ53" s="80"/>
      <c r="BYT53" s="4"/>
      <c r="BYU53" s="4"/>
      <c r="BYV53" s="4"/>
      <c r="BYW53" s="4"/>
      <c r="BYX53" s="4"/>
      <c r="BYY53" s="4"/>
      <c r="BYZ53" s="4"/>
      <c r="BZA53" s="4"/>
      <c r="BZB53" s="4"/>
      <c r="BZC53" s="80"/>
      <c r="BZF53" s="4"/>
      <c r="BZG53" s="4"/>
      <c r="BZH53" s="4"/>
      <c r="BZI53" s="4"/>
      <c r="BZJ53" s="4"/>
      <c r="BZK53" s="4"/>
      <c r="BZL53" s="4"/>
      <c r="BZM53" s="4"/>
      <c r="BZN53" s="4"/>
      <c r="BZO53" s="80"/>
      <c r="BZR53" s="4"/>
      <c r="BZS53" s="4"/>
      <c r="BZT53" s="4"/>
      <c r="BZU53" s="4"/>
      <c r="BZV53" s="4"/>
      <c r="BZW53" s="4"/>
      <c r="BZX53" s="4"/>
      <c r="BZY53" s="4"/>
      <c r="BZZ53" s="4"/>
      <c r="CAA53" s="80"/>
      <c r="CAD53" s="4"/>
      <c r="CAE53" s="4"/>
      <c r="CAF53" s="4"/>
      <c r="CAG53" s="4"/>
      <c r="CAH53" s="4"/>
      <c r="CAI53" s="4"/>
      <c r="CAJ53" s="4"/>
      <c r="CAK53" s="4"/>
      <c r="CAL53" s="4"/>
      <c r="CAM53" s="80"/>
      <c r="CAP53" s="4"/>
      <c r="CAQ53" s="4"/>
      <c r="CAR53" s="4"/>
      <c r="CAS53" s="4"/>
      <c r="CAT53" s="4"/>
      <c r="CAU53" s="4"/>
      <c r="CAV53" s="4"/>
      <c r="CAW53" s="4"/>
      <c r="CAX53" s="4"/>
      <c r="CAY53" s="80"/>
      <c r="CBB53" s="4"/>
      <c r="CBC53" s="4"/>
      <c r="CBD53" s="4"/>
      <c r="CBE53" s="4"/>
      <c r="CBF53" s="4"/>
      <c r="CBG53" s="4"/>
      <c r="CBH53" s="4"/>
      <c r="CBI53" s="4"/>
      <c r="CBJ53" s="4"/>
      <c r="CBK53" s="80"/>
      <c r="CBN53" s="4"/>
      <c r="CBO53" s="4"/>
      <c r="CBP53" s="4"/>
      <c r="CBQ53" s="4"/>
      <c r="CBR53" s="4"/>
      <c r="CBS53" s="4"/>
      <c r="CBT53" s="4"/>
      <c r="CBU53" s="4"/>
      <c r="CBV53" s="4"/>
      <c r="CBW53" s="80"/>
      <c r="CBZ53" s="4"/>
      <c r="CCA53" s="4"/>
      <c r="CCB53" s="4"/>
      <c r="CCC53" s="4"/>
      <c r="CCD53" s="4"/>
      <c r="CCE53" s="4"/>
      <c r="CCF53" s="4"/>
      <c r="CCG53" s="4"/>
      <c r="CCH53" s="4"/>
      <c r="CCI53" s="80"/>
      <c r="CCL53" s="4"/>
      <c r="CCM53" s="4"/>
      <c r="CCN53" s="4"/>
      <c r="CCO53" s="4"/>
      <c r="CCP53" s="4"/>
      <c r="CCQ53" s="4"/>
      <c r="CCR53" s="4"/>
      <c r="CCS53" s="4"/>
      <c r="CCT53" s="4"/>
      <c r="CCU53" s="80"/>
      <c r="CCX53" s="4"/>
      <c r="CCY53" s="4"/>
      <c r="CCZ53" s="4"/>
      <c r="CDA53" s="4"/>
      <c r="CDB53" s="4"/>
      <c r="CDC53" s="4"/>
      <c r="CDD53" s="4"/>
      <c r="CDE53" s="4"/>
      <c r="CDF53" s="4"/>
      <c r="CDG53" s="80"/>
      <c r="CDJ53" s="4"/>
      <c r="CDK53" s="4"/>
      <c r="CDL53" s="4"/>
      <c r="CDM53" s="4"/>
      <c r="CDN53" s="4"/>
      <c r="CDO53" s="4"/>
      <c r="CDP53" s="4"/>
      <c r="CDQ53" s="4"/>
      <c r="CDR53" s="4"/>
      <c r="CDS53" s="80"/>
      <c r="CDV53" s="4"/>
      <c r="CDW53" s="4"/>
      <c r="CDX53" s="4"/>
      <c r="CDY53" s="4"/>
      <c r="CDZ53" s="4"/>
      <c r="CEA53" s="4"/>
      <c r="CEB53" s="4"/>
      <c r="CEC53" s="4"/>
      <c r="CED53" s="4"/>
      <c r="CEE53" s="80"/>
      <c r="CEH53" s="4"/>
      <c r="CEI53" s="4"/>
      <c r="CEJ53" s="4"/>
      <c r="CEK53" s="4"/>
      <c r="CEL53" s="4"/>
      <c r="CEM53" s="4"/>
      <c r="CEN53" s="4"/>
      <c r="CEO53" s="4"/>
      <c r="CEP53" s="4"/>
      <c r="CEQ53" s="80"/>
      <c r="CET53" s="4"/>
      <c r="CEU53" s="4"/>
      <c r="CEV53" s="4"/>
      <c r="CEW53" s="4"/>
      <c r="CEX53" s="4"/>
      <c r="CEY53" s="4"/>
      <c r="CEZ53" s="4"/>
      <c r="CFA53" s="4"/>
      <c r="CFB53" s="4"/>
      <c r="CFC53" s="80"/>
      <c r="CFF53" s="4"/>
      <c r="CFG53" s="4"/>
      <c r="CFH53" s="4"/>
      <c r="CFI53" s="4"/>
      <c r="CFJ53" s="4"/>
      <c r="CFK53" s="4"/>
      <c r="CFL53" s="4"/>
      <c r="CFM53" s="4"/>
      <c r="CFN53" s="4"/>
      <c r="CFO53" s="80"/>
      <c r="CFR53" s="4"/>
      <c r="CFS53" s="4"/>
      <c r="CFT53" s="4"/>
      <c r="CFU53" s="4"/>
      <c r="CFV53" s="4"/>
      <c r="CFW53" s="4"/>
      <c r="CFX53" s="4"/>
      <c r="CFY53" s="4"/>
      <c r="CFZ53" s="4"/>
      <c r="CGA53" s="80"/>
      <c r="CGD53" s="4"/>
      <c r="CGE53" s="4"/>
      <c r="CGF53" s="4"/>
      <c r="CGG53" s="4"/>
      <c r="CGH53" s="4"/>
      <c r="CGI53" s="4"/>
      <c r="CGJ53" s="4"/>
      <c r="CGK53" s="4"/>
      <c r="CGL53" s="4"/>
      <c r="CGM53" s="80"/>
      <c r="CGP53" s="4"/>
      <c r="CGQ53" s="4"/>
      <c r="CGR53" s="4"/>
      <c r="CGS53" s="4"/>
      <c r="CGT53" s="4"/>
      <c r="CGU53" s="4"/>
      <c r="CGV53" s="4"/>
      <c r="CGW53" s="4"/>
      <c r="CGX53" s="4"/>
      <c r="CGY53" s="80"/>
      <c r="CHB53" s="4"/>
      <c r="CHC53" s="4"/>
      <c r="CHD53" s="4"/>
      <c r="CHE53" s="4"/>
      <c r="CHF53" s="4"/>
      <c r="CHG53" s="4"/>
      <c r="CHH53" s="4"/>
      <c r="CHI53" s="4"/>
      <c r="CHJ53" s="4"/>
      <c r="CHK53" s="80"/>
      <c r="CHN53" s="4"/>
      <c r="CHO53" s="4"/>
      <c r="CHP53" s="4"/>
      <c r="CHQ53" s="4"/>
      <c r="CHR53" s="4"/>
      <c r="CHS53" s="4"/>
      <c r="CHT53" s="4"/>
      <c r="CHU53" s="4"/>
      <c r="CHV53" s="4"/>
      <c r="CHW53" s="80"/>
      <c r="CHZ53" s="4"/>
      <c r="CIA53" s="4"/>
      <c r="CIB53" s="4"/>
      <c r="CIC53" s="4"/>
      <c r="CID53" s="4"/>
      <c r="CIE53" s="4"/>
      <c r="CIF53" s="4"/>
      <c r="CIG53" s="4"/>
      <c r="CIH53" s="4"/>
      <c r="CII53" s="80"/>
      <c r="CIL53" s="4"/>
      <c r="CIM53" s="4"/>
      <c r="CIN53" s="4"/>
      <c r="CIO53" s="4"/>
      <c r="CIP53" s="4"/>
      <c r="CIQ53" s="4"/>
      <c r="CIR53" s="4"/>
      <c r="CIS53" s="4"/>
      <c r="CIT53" s="4"/>
      <c r="CIU53" s="80"/>
      <c r="CIX53" s="4"/>
      <c r="CIY53" s="4"/>
      <c r="CIZ53" s="4"/>
      <c r="CJA53" s="4"/>
      <c r="CJB53" s="4"/>
      <c r="CJC53" s="4"/>
      <c r="CJD53" s="4"/>
      <c r="CJE53" s="4"/>
      <c r="CJF53" s="4"/>
      <c r="CJG53" s="80"/>
      <c r="CJJ53" s="4"/>
      <c r="CJK53" s="4"/>
      <c r="CJL53" s="4"/>
      <c r="CJM53" s="4"/>
      <c r="CJN53" s="4"/>
      <c r="CJO53" s="4"/>
      <c r="CJP53" s="4"/>
      <c r="CJQ53" s="4"/>
      <c r="CJR53" s="4"/>
      <c r="CJS53" s="80"/>
      <c r="CJV53" s="4"/>
      <c r="CJW53" s="4"/>
      <c r="CJX53" s="4"/>
      <c r="CJY53" s="4"/>
      <c r="CJZ53" s="4"/>
      <c r="CKA53" s="4"/>
      <c r="CKB53" s="4"/>
      <c r="CKC53" s="4"/>
      <c r="CKD53" s="4"/>
      <c r="CKE53" s="80"/>
      <c r="CKH53" s="4"/>
      <c r="CKI53" s="4"/>
      <c r="CKJ53" s="4"/>
      <c r="CKK53" s="4"/>
      <c r="CKL53" s="4"/>
      <c r="CKM53" s="4"/>
      <c r="CKN53" s="4"/>
      <c r="CKO53" s="4"/>
      <c r="CKP53" s="4"/>
      <c r="CKQ53" s="80"/>
      <c r="CKT53" s="4"/>
      <c r="CKU53" s="4"/>
      <c r="CKV53" s="4"/>
      <c r="CKW53" s="4"/>
      <c r="CKX53" s="4"/>
      <c r="CKY53" s="4"/>
      <c r="CKZ53" s="4"/>
      <c r="CLA53" s="4"/>
      <c r="CLB53" s="4"/>
      <c r="CLC53" s="80"/>
      <c r="CLF53" s="4"/>
      <c r="CLG53" s="4"/>
      <c r="CLH53" s="4"/>
      <c r="CLI53" s="4"/>
      <c r="CLJ53" s="4"/>
      <c r="CLK53" s="4"/>
      <c r="CLL53" s="4"/>
      <c r="CLM53" s="4"/>
      <c r="CLN53" s="4"/>
      <c r="CLO53" s="80"/>
      <c r="CLR53" s="4"/>
      <c r="CLS53" s="4"/>
      <c r="CLT53" s="4"/>
      <c r="CLU53" s="4"/>
      <c r="CLV53" s="4"/>
      <c r="CLW53" s="4"/>
      <c r="CLX53" s="4"/>
      <c r="CLY53" s="4"/>
      <c r="CLZ53" s="4"/>
      <c r="CMA53" s="80"/>
      <c r="CMD53" s="4"/>
      <c r="CME53" s="4"/>
      <c r="CMF53" s="4"/>
      <c r="CMG53" s="4"/>
      <c r="CMH53" s="4"/>
      <c r="CMI53" s="4"/>
      <c r="CMJ53" s="4"/>
      <c r="CMK53" s="4"/>
      <c r="CML53" s="4"/>
      <c r="CMM53" s="80"/>
      <c r="CMP53" s="4"/>
      <c r="CMQ53" s="4"/>
      <c r="CMR53" s="4"/>
      <c r="CMS53" s="4"/>
      <c r="CMT53" s="4"/>
      <c r="CMU53" s="4"/>
      <c r="CMV53" s="4"/>
      <c r="CMW53" s="4"/>
      <c r="CMX53" s="4"/>
      <c r="CMY53" s="80"/>
      <c r="CNB53" s="4"/>
      <c r="CNC53" s="4"/>
      <c r="CND53" s="4"/>
      <c r="CNE53" s="4"/>
      <c r="CNF53" s="4"/>
      <c r="CNG53" s="4"/>
      <c r="CNH53" s="4"/>
      <c r="CNI53" s="4"/>
      <c r="CNJ53" s="4"/>
      <c r="CNK53" s="80"/>
      <c r="CNN53" s="4"/>
      <c r="CNO53" s="4"/>
      <c r="CNP53" s="4"/>
      <c r="CNQ53" s="4"/>
      <c r="CNR53" s="4"/>
      <c r="CNS53" s="4"/>
      <c r="CNT53" s="4"/>
      <c r="CNU53" s="4"/>
      <c r="CNV53" s="4"/>
      <c r="CNW53" s="80"/>
      <c r="CNZ53" s="4"/>
      <c r="COA53" s="4"/>
      <c r="COB53" s="4"/>
      <c r="COC53" s="4"/>
      <c r="COD53" s="4"/>
      <c r="COE53" s="4"/>
      <c r="COF53" s="4"/>
      <c r="COG53" s="4"/>
      <c r="COH53" s="4"/>
      <c r="COI53" s="80"/>
      <c r="COL53" s="4"/>
      <c r="COM53" s="4"/>
      <c r="CON53" s="4"/>
      <c r="COO53" s="4"/>
      <c r="COP53" s="4"/>
      <c r="COQ53" s="4"/>
      <c r="COR53" s="4"/>
      <c r="COS53" s="4"/>
      <c r="COT53" s="4"/>
      <c r="COU53" s="80"/>
      <c r="COX53" s="4"/>
      <c r="COY53" s="4"/>
      <c r="COZ53" s="4"/>
      <c r="CPA53" s="4"/>
      <c r="CPB53" s="4"/>
      <c r="CPC53" s="4"/>
      <c r="CPD53" s="4"/>
      <c r="CPE53" s="4"/>
      <c r="CPF53" s="4"/>
      <c r="CPG53" s="80"/>
      <c r="CPJ53" s="4"/>
      <c r="CPK53" s="4"/>
      <c r="CPL53" s="4"/>
      <c r="CPM53" s="4"/>
      <c r="CPN53" s="4"/>
      <c r="CPO53" s="4"/>
      <c r="CPP53" s="4"/>
      <c r="CPQ53" s="4"/>
      <c r="CPR53" s="4"/>
      <c r="CPS53" s="80"/>
      <c r="CPV53" s="4"/>
      <c r="CPW53" s="4"/>
      <c r="CPX53" s="4"/>
      <c r="CPY53" s="4"/>
      <c r="CPZ53" s="4"/>
      <c r="CQA53" s="4"/>
      <c r="CQB53" s="4"/>
      <c r="CQC53" s="4"/>
      <c r="CQD53" s="4"/>
      <c r="CQE53" s="80"/>
      <c r="CQH53" s="4"/>
      <c r="CQI53" s="4"/>
      <c r="CQJ53" s="4"/>
      <c r="CQK53" s="4"/>
      <c r="CQL53" s="4"/>
      <c r="CQM53" s="4"/>
      <c r="CQN53" s="4"/>
      <c r="CQO53" s="4"/>
      <c r="CQP53" s="4"/>
      <c r="CQQ53" s="80"/>
      <c r="CQT53" s="4"/>
      <c r="CQU53" s="4"/>
      <c r="CQV53" s="4"/>
      <c r="CQW53" s="4"/>
      <c r="CQX53" s="4"/>
      <c r="CQY53" s="4"/>
      <c r="CQZ53" s="4"/>
      <c r="CRA53" s="4"/>
      <c r="CRB53" s="4"/>
      <c r="CRC53" s="80"/>
      <c r="CRF53" s="4"/>
      <c r="CRG53" s="4"/>
      <c r="CRH53" s="4"/>
      <c r="CRI53" s="4"/>
      <c r="CRJ53" s="4"/>
      <c r="CRK53" s="4"/>
      <c r="CRL53" s="4"/>
      <c r="CRM53" s="4"/>
      <c r="CRN53" s="4"/>
      <c r="CRO53" s="80"/>
      <c r="CRR53" s="4"/>
      <c r="CRS53" s="4"/>
      <c r="CRT53" s="4"/>
      <c r="CRU53" s="4"/>
      <c r="CRV53" s="4"/>
      <c r="CRW53" s="4"/>
      <c r="CRX53" s="4"/>
      <c r="CRY53" s="4"/>
      <c r="CRZ53" s="4"/>
      <c r="CSA53" s="80"/>
      <c r="CSD53" s="4"/>
      <c r="CSE53" s="4"/>
      <c r="CSF53" s="4"/>
      <c r="CSG53" s="4"/>
      <c r="CSH53" s="4"/>
      <c r="CSI53" s="4"/>
      <c r="CSJ53" s="4"/>
      <c r="CSK53" s="4"/>
      <c r="CSL53" s="4"/>
      <c r="CSM53" s="80"/>
      <c r="CSP53" s="4"/>
      <c r="CSQ53" s="4"/>
      <c r="CSR53" s="4"/>
      <c r="CSS53" s="4"/>
      <c r="CST53" s="4"/>
      <c r="CSU53" s="4"/>
      <c r="CSV53" s="4"/>
      <c r="CSW53" s="4"/>
      <c r="CSX53" s="4"/>
      <c r="CSY53" s="80"/>
      <c r="CTB53" s="4"/>
      <c r="CTC53" s="4"/>
      <c r="CTD53" s="4"/>
      <c r="CTE53" s="4"/>
      <c r="CTF53" s="4"/>
      <c r="CTG53" s="4"/>
      <c r="CTH53" s="4"/>
      <c r="CTI53" s="4"/>
      <c r="CTJ53" s="4"/>
      <c r="CTK53" s="80"/>
      <c r="CTN53" s="4"/>
      <c r="CTO53" s="4"/>
      <c r="CTP53" s="4"/>
      <c r="CTQ53" s="4"/>
      <c r="CTR53" s="4"/>
      <c r="CTS53" s="4"/>
      <c r="CTT53" s="4"/>
      <c r="CTU53" s="4"/>
      <c r="CTV53" s="4"/>
      <c r="CTW53" s="80"/>
      <c r="CTZ53" s="4"/>
      <c r="CUA53" s="4"/>
      <c r="CUB53" s="4"/>
      <c r="CUC53" s="4"/>
      <c r="CUD53" s="4"/>
      <c r="CUE53" s="4"/>
      <c r="CUF53" s="4"/>
      <c r="CUG53" s="4"/>
      <c r="CUH53" s="4"/>
      <c r="CUI53" s="80"/>
      <c r="CUL53" s="4"/>
      <c r="CUM53" s="4"/>
      <c r="CUN53" s="4"/>
      <c r="CUO53" s="4"/>
      <c r="CUP53" s="4"/>
      <c r="CUQ53" s="4"/>
      <c r="CUR53" s="4"/>
      <c r="CUS53" s="4"/>
      <c r="CUT53" s="4"/>
      <c r="CUU53" s="80"/>
      <c r="CUX53" s="4"/>
      <c r="CUY53" s="4"/>
      <c r="CUZ53" s="4"/>
      <c r="CVA53" s="4"/>
      <c r="CVB53" s="4"/>
      <c r="CVC53" s="4"/>
      <c r="CVD53" s="4"/>
      <c r="CVE53" s="4"/>
      <c r="CVF53" s="4"/>
      <c r="CVG53" s="80"/>
      <c r="CVJ53" s="4"/>
      <c r="CVK53" s="4"/>
      <c r="CVL53" s="4"/>
      <c r="CVM53" s="4"/>
      <c r="CVN53" s="4"/>
      <c r="CVO53" s="4"/>
      <c r="CVP53" s="4"/>
      <c r="CVQ53" s="4"/>
      <c r="CVR53" s="4"/>
      <c r="CVS53" s="80"/>
      <c r="CVV53" s="4"/>
      <c r="CVW53" s="4"/>
      <c r="CVX53" s="4"/>
      <c r="CVY53" s="4"/>
      <c r="CVZ53" s="4"/>
      <c r="CWA53" s="4"/>
      <c r="CWB53" s="4"/>
      <c r="CWC53" s="4"/>
      <c r="CWD53" s="4"/>
      <c r="CWE53" s="80"/>
    </row>
    <row r="54" spans="2:1023 1026:2631" x14ac:dyDescent="0.25">
      <c r="ZY54" s="4"/>
      <c r="ZZ54" s="214"/>
      <c r="AAA54" s="214"/>
      <c r="AAB54" s="214"/>
      <c r="AAC54" s="214"/>
      <c r="AAD54" s="214"/>
      <c r="AAE54" s="214"/>
      <c r="AAF54" s="214"/>
      <c r="AAG54" s="214"/>
      <c r="AAH54" s="214"/>
      <c r="AAI54" s="214"/>
      <c r="AAJ54" s="214"/>
      <c r="AAL54" s="4"/>
      <c r="AAM54" s="214"/>
      <c r="AAN54" s="214"/>
      <c r="AAO54" s="214"/>
      <c r="AAP54" s="214"/>
      <c r="AAQ54" s="214"/>
      <c r="AAR54" s="214"/>
      <c r="AAS54" s="214"/>
      <c r="AAT54" s="214"/>
      <c r="AAU54" s="214"/>
      <c r="AAV54" s="214"/>
      <c r="AAY54" s="4"/>
      <c r="AAZ54" s="214"/>
      <c r="ABA54" s="214"/>
      <c r="ABB54" s="214"/>
      <c r="ABC54" s="214"/>
      <c r="ABD54" s="214"/>
      <c r="ABE54" s="214"/>
      <c r="ABF54" s="214"/>
      <c r="ABG54" s="214"/>
      <c r="ABH54" s="214"/>
      <c r="ABI54" s="214"/>
      <c r="ABL54" s="4"/>
      <c r="ABM54" s="214"/>
      <c r="ABN54" s="214"/>
      <c r="ABO54" s="214"/>
      <c r="ABP54" s="214"/>
      <c r="ABQ54" s="214"/>
      <c r="ABR54" s="214"/>
      <c r="ABS54" s="214"/>
      <c r="ABT54" s="214"/>
      <c r="ABU54" s="214"/>
      <c r="ABV54" s="214"/>
      <c r="ABY54" s="4"/>
      <c r="ABZ54" s="214"/>
      <c r="ACA54" s="214"/>
      <c r="ACB54" s="214"/>
      <c r="ACC54" s="214"/>
      <c r="ACD54" s="214"/>
      <c r="ACE54" s="214"/>
      <c r="ACF54" s="214"/>
      <c r="ACG54" s="214"/>
      <c r="ACH54" s="214"/>
      <c r="ACI54" s="214"/>
      <c r="ACL54" s="4"/>
      <c r="ACM54" s="214"/>
      <c r="ACN54" s="214"/>
      <c r="ACO54" s="214"/>
      <c r="ACP54" s="214"/>
      <c r="ACQ54" s="214"/>
      <c r="ACR54" s="214"/>
      <c r="ACS54" s="214"/>
      <c r="ACT54" s="214"/>
      <c r="ACU54" s="214"/>
      <c r="ACV54" s="214"/>
      <c r="ACY54" s="4"/>
      <c r="ACZ54" s="214"/>
      <c r="ADA54" s="214"/>
      <c r="ADB54" s="214"/>
      <c r="ADC54" s="214"/>
      <c r="ADD54" s="214"/>
      <c r="ADE54" s="214"/>
      <c r="ADF54" s="214"/>
      <c r="ADG54" s="214"/>
      <c r="ADH54" s="214"/>
      <c r="ADI54" s="214"/>
      <c r="ADL54" s="4"/>
      <c r="ADM54" s="214"/>
      <c r="ADN54" s="214"/>
      <c r="ADO54" s="214"/>
      <c r="ADP54" s="214"/>
      <c r="ADQ54" s="214"/>
      <c r="ADR54" s="214"/>
      <c r="ADS54" s="214"/>
      <c r="ADT54" s="214"/>
      <c r="ADU54" s="214"/>
      <c r="ADV54" s="214"/>
      <c r="ADY54" s="4"/>
      <c r="ADZ54" s="214"/>
      <c r="AEA54" s="214"/>
      <c r="AEB54" s="214"/>
      <c r="AEC54" s="214"/>
      <c r="AED54" s="214"/>
      <c r="AEE54" s="214"/>
      <c r="AEF54" s="214"/>
      <c r="AEG54" s="214"/>
      <c r="AEH54" s="214"/>
      <c r="AEI54" s="214"/>
      <c r="AEL54" s="4"/>
      <c r="AEM54" s="214"/>
      <c r="AEN54" s="214"/>
      <c r="AEO54" s="214"/>
      <c r="AEP54" s="214"/>
      <c r="AEQ54" s="214"/>
      <c r="AER54" s="214"/>
      <c r="AES54" s="214"/>
      <c r="AET54" s="214"/>
      <c r="AEU54" s="214"/>
      <c r="AEV54" s="214"/>
      <c r="AEY54" s="4"/>
      <c r="AEZ54" s="214"/>
      <c r="AFA54" s="214"/>
      <c r="AFB54" s="214"/>
      <c r="AFC54" s="214"/>
      <c r="AFD54" s="214"/>
      <c r="AFE54" s="214"/>
      <c r="AFF54" s="214"/>
      <c r="AFG54" s="214"/>
      <c r="AFH54" s="214"/>
      <c r="AFI54" s="214"/>
      <c r="AFL54" s="4"/>
      <c r="AFM54" s="214"/>
      <c r="AFN54" s="214"/>
      <c r="AFO54" s="214"/>
      <c r="AFP54" s="214"/>
      <c r="AFQ54" s="214"/>
      <c r="AFR54" s="214"/>
      <c r="AFS54" s="214"/>
      <c r="AFT54" s="214"/>
      <c r="AFU54" s="214"/>
      <c r="AFV54" s="214"/>
      <c r="AFZ54" s="214"/>
      <c r="AGA54" s="214"/>
      <c r="AGB54" s="214"/>
      <c r="AGC54" s="214"/>
      <c r="AGD54" s="214"/>
      <c r="AGE54" s="214"/>
      <c r="AGF54" s="214"/>
      <c r="AGG54" s="214"/>
      <c r="AGH54" s="214"/>
      <c r="AGI54" s="214"/>
      <c r="AGL54" s="214"/>
      <c r="AGM54" s="214"/>
      <c r="AGN54" s="214"/>
      <c r="AGO54" s="214"/>
      <c r="AGP54" s="214"/>
      <c r="AGQ54" s="214"/>
      <c r="AGR54" s="214"/>
      <c r="AGS54" s="214"/>
      <c r="AGT54" s="214"/>
      <c r="AGU54" s="214"/>
      <c r="AGX54" s="214"/>
      <c r="AGY54" s="214"/>
      <c r="AGZ54" s="214"/>
      <c r="AHA54" s="214"/>
      <c r="AHB54" s="214"/>
      <c r="AHC54" s="214"/>
      <c r="AHD54" s="214"/>
      <c r="AHE54" s="214"/>
      <c r="AHF54" s="214"/>
      <c r="AHG54" s="214"/>
      <c r="AHJ54" s="214"/>
      <c r="AHK54" s="214"/>
      <c r="AHL54" s="214"/>
      <c r="AHM54" s="214"/>
      <c r="AHN54" s="214"/>
      <c r="AHO54" s="214"/>
      <c r="AHP54" s="214"/>
      <c r="AHQ54" s="214"/>
      <c r="AHR54" s="214"/>
      <c r="AHS54" s="214"/>
      <c r="AHV54" s="214"/>
      <c r="AHW54" s="214"/>
      <c r="AHX54" s="214"/>
      <c r="AHY54" s="214"/>
      <c r="AHZ54" s="214"/>
      <c r="AIA54" s="214"/>
      <c r="AIB54" s="214"/>
      <c r="AIC54" s="214"/>
      <c r="AID54" s="214"/>
      <c r="AIE54" s="214"/>
      <c r="AIH54" s="214"/>
      <c r="AII54" s="214"/>
      <c r="AIJ54" s="214"/>
      <c r="AIK54" s="214"/>
      <c r="AIL54" s="214"/>
      <c r="AIM54" s="214"/>
      <c r="AIN54" s="214"/>
      <c r="AIO54" s="214"/>
      <c r="AIP54" s="214"/>
      <c r="AIQ54" s="214"/>
      <c r="AIT54" s="214"/>
      <c r="AIU54" s="214"/>
      <c r="AIV54" s="214"/>
      <c r="AIW54" s="214"/>
      <c r="AIX54" s="214"/>
      <c r="AIY54" s="214"/>
      <c r="AIZ54" s="214"/>
      <c r="AJA54" s="214"/>
      <c r="AJB54" s="214"/>
      <c r="AJC54" s="214"/>
      <c r="AJF54" s="214"/>
      <c r="AJG54" s="214"/>
      <c r="AJH54" s="214"/>
      <c r="AJI54" s="214"/>
      <c r="AJJ54" s="214"/>
      <c r="AJK54" s="214"/>
      <c r="AJL54" s="214"/>
      <c r="AJM54" s="214"/>
      <c r="AJN54" s="214"/>
      <c r="AJO54" s="214"/>
      <c r="AJR54" s="214"/>
      <c r="AJS54" s="214"/>
      <c r="AJT54" s="214"/>
      <c r="AJU54" s="214"/>
      <c r="AJV54" s="214"/>
      <c r="AJW54" s="214"/>
      <c r="AJX54" s="214"/>
      <c r="AJY54" s="214"/>
      <c r="AJZ54" s="214"/>
      <c r="AKA54" s="214"/>
      <c r="AKD54" s="214"/>
      <c r="AKE54" s="214"/>
      <c r="AKF54" s="214"/>
      <c r="AKG54" s="214"/>
      <c r="AKH54" s="214"/>
      <c r="AKI54" s="214"/>
      <c r="AKJ54" s="214"/>
      <c r="AKK54" s="214"/>
      <c r="AKL54" s="214"/>
      <c r="AKM54" s="214"/>
      <c r="AKP54" s="214"/>
      <c r="AKQ54" s="214"/>
      <c r="AKR54" s="214"/>
      <c r="AKS54" s="214"/>
      <c r="AKT54" s="214"/>
      <c r="AKU54" s="214"/>
      <c r="AKV54" s="214"/>
      <c r="AKW54" s="214"/>
      <c r="AKX54" s="214"/>
      <c r="AKY54" s="214"/>
      <c r="ALB54" s="214"/>
      <c r="ALC54" s="214"/>
      <c r="ALD54" s="214"/>
      <c r="ALE54" s="214"/>
      <c r="ALF54" s="214"/>
      <c r="ALG54" s="214"/>
      <c r="ALH54" s="214"/>
      <c r="ALI54" s="214"/>
      <c r="ALJ54" s="214"/>
      <c r="ALK54" s="214"/>
      <c r="ALN54" s="214"/>
      <c r="ALO54" s="214"/>
      <c r="ALP54" s="214"/>
      <c r="ALQ54" s="214"/>
      <c r="ALR54" s="214"/>
      <c r="ALS54" s="214"/>
      <c r="ALT54" s="214"/>
      <c r="ALU54" s="214"/>
      <c r="ALV54" s="214"/>
      <c r="ALW54" s="214"/>
      <c r="ALZ54" s="214"/>
      <c r="AMA54" s="214"/>
      <c r="AMB54" s="214"/>
      <c r="AMC54" s="214"/>
      <c r="AMD54" s="214"/>
      <c r="AME54" s="214"/>
      <c r="AMF54" s="214"/>
      <c r="AMG54" s="214"/>
      <c r="AMH54" s="214"/>
      <c r="AMI54" s="214"/>
      <c r="AML54" s="214"/>
      <c r="AMM54" s="214"/>
      <c r="AMN54" s="214"/>
      <c r="AMO54" s="214"/>
      <c r="AMP54" s="214"/>
      <c r="AMQ54" s="214"/>
      <c r="AMR54" s="214"/>
      <c r="AMS54" s="214"/>
      <c r="AMT54" s="214"/>
      <c r="AMU54" s="214"/>
      <c r="AMX54" s="214"/>
      <c r="AMY54" s="214"/>
      <c r="AMZ54" s="214"/>
      <c r="ANA54" s="214"/>
      <c r="ANB54" s="214"/>
      <c r="ANC54" s="214"/>
      <c r="AND54" s="214"/>
      <c r="ANE54" s="214"/>
      <c r="ANF54" s="214"/>
      <c r="ANG54" s="214"/>
      <c r="ANJ54" s="214"/>
      <c r="ANK54" s="214"/>
      <c r="ANL54" s="214"/>
      <c r="ANM54" s="214"/>
      <c r="ANN54" s="214"/>
      <c r="ANO54" s="214"/>
      <c r="ANP54" s="214"/>
      <c r="ANQ54" s="214"/>
      <c r="ANR54" s="214"/>
      <c r="ANS54" s="214"/>
      <c r="ANV54" s="214"/>
      <c r="ANW54" s="214"/>
      <c r="ANX54" s="214"/>
      <c r="ANY54" s="214"/>
      <c r="ANZ54" s="214"/>
      <c r="AOA54" s="214"/>
      <c r="AOB54" s="214"/>
      <c r="AOC54" s="214"/>
      <c r="AOD54" s="214"/>
      <c r="AOE54" s="214"/>
      <c r="AOH54" s="214"/>
      <c r="AOI54" s="214"/>
      <c r="AOJ54" s="214"/>
      <c r="AOK54" s="214"/>
      <c r="AOL54" s="214"/>
      <c r="AOM54" s="214"/>
      <c r="AON54" s="214"/>
      <c r="AOO54" s="214"/>
      <c r="AOP54" s="214"/>
      <c r="AOQ54" s="214"/>
      <c r="AOT54" s="214"/>
      <c r="AOU54" s="214"/>
      <c r="AOV54" s="214"/>
      <c r="AOW54" s="214"/>
      <c r="AOX54" s="214"/>
      <c r="AOY54" s="214"/>
      <c r="AOZ54" s="214"/>
      <c r="APA54" s="214"/>
      <c r="APB54" s="214"/>
      <c r="APC54" s="214"/>
      <c r="APF54" s="214"/>
      <c r="APG54" s="214"/>
      <c r="APH54" s="214"/>
      <c r="API54" s="214"/>
      <c r="APJ54" s="214"/>
      <c r="APK54" s="214"/>
      <c r="APL54" s="214"/>
      <c r="APM54" s="214"/>
      <c r="APN54" s="214"/>
      <c r="APO54" s="214"/>
      <c r="APR54" s="214"/>
      <c r="APS54" s="214"/>
      <c r="APT54" s="214"/>
      <c r="APU54" s="214"/>
      <c r="APV54" s="214"/>
      <c r="APW54" s="214"/>
      <c r="APX54" s="214"/>
      <c r="APY54" s="214"/>
      <c r="APZ54" s="214"/>
      <c r="AQA54" s="214"/>
      <c r="AQD54" s="214"/>
      <c r="AQE54" s="214"/>
      <c r="AQF54" s="214"/>
      <c r="AQG54" s="214"/>
      <c r="AQH54" s="214"/>
      <c r="AQI54" s="214"/>
      <c r="AQJ54" s="214"/>
      <c r="AQK54" s="214"/>
      <c r="AQL54" s="214"/>
      <c r="AQM54" s="214"/>
      <c r="AQP54" s="214"/>
      <c r="AQQ54" s="214"/>
      <c r="AQR54" s="214"/>
      <c r="AQS54" s="214"/>
      <c r="AQT54" s="214"/>
      <c r="AQU54" s="214"/>
      <c r="AQV54" s="214"/>
      <c r="AQW54" s="214"/>
      <c r="AQX54" s="214"/>
      <c r="AQY54" s="214"/>
      <c r="ARB54" s="214"/>
      <c r="ARC54" s="214"/>
      <c r="ARD54" s="214"/>
      <c r="ARE54" s="214"/>
      <c r="ARF54" s="214"/>
      <c r="ARG54" s="214"/>
      <c r="ARH54" s="214"/>
      <c r="ARI54" s="214"/>
      <c r="ARJ54" s="214"/>
      <c r="ARK54" s="214"/>
      <c r="ARN54" s="214"/>
      <c r="ARO54" s="214"/>
      <c r="ARP54" s="214"/>
      <c r="ARQ54" s="214"/>
      <c r="ARR54" s="214"/>
      <c r="ARS54" s="214"/>
      <c r="ART54" s="214"/>
      <c r="ARU54" s="214"/>
      <c r="ARV54" s="214"/>
      <c r="ARW54" s="214"/>
      <c r="ARZ54" s="214"/>
      <c r="ASA54" s="214"/>
      <c r="ASB54" s="214"/>
      <c r="ASC54" s="214"/>
      <c r="ASD54" s="214"/>
      <c r="ASE54" s="214"/>
      <c r="ASF54" s="214"/>
      <c r="ASG54" s="214"/>
      <c r="ASH54" s="214"/>
      <c r="ASI54" s="214"/>
      <c r="ASL54" s="214"/>
      <c r="ASM54" s="214"/>
      <c r="ASN54" s="214"/>
      <c r="ASO54" s="214"/>
      <c r="ASP54" s="214"/>
      <c r="ASQ54" s="214"/>
      <c r="ASR54" s="214"/>
      <c r="ASS54" s="214"/>
      <c r="AST54" s="214"/>
      <c r="ASU54" s="214"/>
      <c r="ASX54" s="214"/>
      <c r="ASY54" s="214"/>
      <c r="ASZ54" s="214"/>
      <c r="ATA54" s="214"/>
      <c r="ATB54" s="214"/>
      <c r="ATC54" s="214"/>
      <c r="ATD54" s="214"/>
      <c r="ATE54" s="214"/>
      <c r="ATF54" s="214"/>
      <c r="ATG54" s="214"/>
      <c r="ATJ54" s="214"/>
      <c r="ATK54" s="214"/>
      <c r="ATL54" s="214"/>
      <c r="ATM54" s="214"/>
      <c r="ATN54" s="214"/>
      <c r="ATO54" s="214"/>
      <c r="ATP54" s="214"/>
      <c r="ATQ54" s="214"/>
      <c r="ATR54" s="214"/>
      <c r="ATS54" s="214"/>
      <c r="ATV54" s="214"/>
      <c r="ATW54" s="214"/>
      <c r="ATX54" s="214"/>
      <c r="ATY54" s="214"/>
      <c r="ATZ54" s="214"/>
      <c r="AUA54" s="214"/>
      <c r="AUB54" s="214"/>
      <c r="AUC54" s="214"/>
      <c r="AUD54" s="214"/>
      <c r="AUE54" s="214"/>
      <c r="AUH54" s="214"/>
      <c r="AUI54" s="214"/>
      <c r="AUJ54" s="214"/>
      <c r="AUK54" s="214"/>
      <c r="AUL54" s="214"/>
      <c r="AUM54" s="214"/>
      <c r="AUN54" s="214"/>
      <c r="AUO54" s="214"/>
      <c r="AUP54" s="214"/>
      <c r="AUQ54" s="214"/>
      <c r="AUT54" s="214"/>
      <c r="AUU54" s="214"/>
      <c r="AUV54" s="214"/>
      <c r="AUW54" s="214"/>
      <c r="AUX54" s="214"/>
      <c r="AUY54" s="214"/>
      <c r="AUZ54" s="214"/>
      <c r="AVA54" s="214"/>
      <c r="AVB54" s="214"/>
      <c r="AVC54" s="214"/>
      <c r="AVF54" s="214"/>
      <c r="AVG54" s="214"/>
      <c r="AVH54" s="214"/>
      <c r="AVI54" s="214"/>
      <c r="AVJ54" s="214"/>
      <c r="AVK54" s="214"/>
      <c r="AVL54" s="214"/>
      <c r="AVM54" s="214"/>
      <c r="AVN54" s="214"/>
      <c r="AVO54" s="214"/>
      <c r="AVR54" s="214"/>
      <c r="AVS54" s="214"/>
      <c r="AVT54" s="214"/>
      <c r="AVU54" s="214"/>
      <c r="AVV54" s="214"/>
      <c r="AVW54" s="214"/>
      <c r="AVX54" s="214"/>
      <c r="AVY54" s="214"/>
      <c r="AVZ54" s="214"/>
      <c r="AWA54" s="214"/>
      <c r="AWD54" s="214"/>
      <c r="AWE54" s="214"/>
      <c r="AWF54" s="214"/>
      <c r="AWG54" s="214"/>
      <c r="AWH54" s="214"/>
      <c r="AWI54" s="214"/>
      <c r="AWJ54" s="214"/>
      <c r="AWK54" s="214"/>
      <c r="AWL54" s="214"/>
      <c r="AWM54" s="214"/>
      <c r="AWP54" s="214"/>
      <c r="AWQ54" s="214"/>
      <c r="AWR54" s="214"/>
      <c r="AWS54" s="214"/>
      <c r="AWT54" s="214"/>
      <c r="AWU54" s="214"/>
      <c r="AWV54" s="214"/>
      <c r="AWW54" s="214"/>
      <c r="AWX54" s="214"/>
      <c r="AWY54" s="214"/>
      <c r="AXB54" s="214"/>
      <c r="AXC54" s="214"/>
      <c r="AXD54" s="214"/>
      <c r="AXE54" s="214"/>
      <c r="AXF54" s="214"/>
      <c r="AXG54" s="214"/>
      <c r="AXH54" s="214"/>
      <c r="AXI54" s="214"/>
      <c r="AXJ54" s="214"/>
      <c r="AXK54" s="214"/>
      <c r="AXN54" s="214"/>
      <c r="AXO54" s="214"/>
      <c r="AXP54" s="214"/>
      <c r="AXQ54" s="214"/>
      <c r="AXR54" s="214"/>
      <c r="AXS54" s="214"/>
      <c r="AXT54" s="214"/>
      <c r="AXU54" s="214"/>
      <c r="AXV54" s="214"/>
      <c r="AXW54" s="214"/>
      <c r="AXZ54" s="214"/>
      <c r="AYA54" s="214"/>
      <c r="AYB54" s="214"/>
      <c r="AYC54" s="214"/>
      <c r="AYD54" s="214"/>
      <c r="AYE54" s="214"/>
      <c r="AYF54" s="214"/>
      <c r="AYG54" s="214"/>
      <c r="AYH54" s="214"/>
      <c r="AYI54" s="214"/>
      <c r="AYL54" s="214"/>
      <c r="AYM54" s="214"/>
      <c r="AYN54" s="214"/>
      <c r="AYO54" s="214"/>
      <c r="AYP54" s="214"/>
      <c r="AYQ54" s="214"/>
      <c r="AYR54" s="214"/>
      <c r="AYS54" s="214"/>
      <c r="AYT54" s="214"/>
      <c r="AYU54" s="214"/>
      <c r="AYX54" s="214"/>
      <c r="AYY54" s="214"/>
      <c r="AYZ54" s="214"/>
      <c r="AZA54" s="214"/>
      <c r="AZB54" s="214"/>
      <c r="AZC54" s="214"/>
      <c r="AZD54" s="214"/>
      <c r="AZE54" s="214"/>
      <c r="AZF54" s="214"/>
      <c r="AZG54" s="214"/>
      <c r="AZJ54" s="214"/>
      <c r="AZK54" s="214"/>
      <c r="AZL54" s="214"/>
      <c r="AZM54" s="214"/>
      <c r="AZN54" s="214"/>
      <c r="AZO54" s="214"/>
      <c r="AZP54" s="214"/>
      <c r="AZQ54" s="214"/>
      <c r="AZR54" s="214"/>
      <c r="AZS54" s="214"/>
      <c r="AZV54" s="214"/>
      <c r="AZW54" s="214"/>
      <c r="AZX54" s="214"/>
      <c r="AZY54" s="214"/>
      <c r="AZZ54" s="214"/>
      <c r="BAA54" s="214"/>
      <c r="BAB54" s="214"/>
      <c r="BAC54" s="214"/>
      <c r="BAD54" s="214"/>
      <c r="BAE54" s="214"/>
      <c r="BAH54" s="214"/>
      <c r="BAI54" s="214"/>
      <c r="BAJ54" s="214"/>
      <c r="BAK54" s="214"/>
      <c r="BAL54" s="214"/>
      <c r="BAM54" s="214"/>
      <c r="BAN54" s="214"/>
      <c r="BAO54" s="214"/>
      <c r="BAP54" s="214"/>
      <c r="BAQ54" s="214"/>
      <c r="BAT54" s="214"/>
      <c r="BAU54" s="214"/>
      <c r="BAV54" s="214"/>
      <c r="BAW54" s="214"/>
      <c r="BAX54" s="214"/>
      <c r="BAY54" s="214"/>
      <c r="BAZ54" s="214"/>
      <c r="BBA54" s="214"/>
      <c r="BBB54" s="214"/>
      <c r="BBC54" s="214"/>
      <c r="BBF54" s="214"/>
      <c r="BBG54" s="214"/>
      <c r="BBH54" s="214"/>
      <c r="BBI54" s="214"/>
      <c r="BBJ54" s="214"/>
      <c r="BBK54" s="214"/>
      <c r="BBL54" s="214"/>
      <c r="BBM54" s="214"/>
      <c r="BBN54" s="214"/>
      <c r="BBO54" s="214"/>
      <c r="BBR54" s="214"/>
      <c r="BBS54" s="214"/>
      <c r="BBT54" s="214"/>
      <c r="BBU54" s="214"/>
      <c r="BBV54" s="214"/>
      <c r="BBW54" s="214"/>
      <c r="BBX54" s="214"/>
      <c r="BBY54" s="214"/>
      <c r="BBZ54" s="214"/>
      <c r="BCA54" s="214"/>
      <c r="BCD54" s="214"/>
      <c r="BCE54" s="214"/>
      <c r="BCF54" s="214"/>
      <c r="BCG54" s="214"/>
      <c r="BCH54" s="214"/>
      <c r="BCI54" s="214"/>
      <c r="BCJ54" s="214"/>
      <c r="BCK54" s="214"/>
      <c r="BCL54" s="214"/>
      <c r="BCM54" s="214"/>
      <c r="BCP54" s="214"/>
      <c r="BCQ54" s="214"/>
      <c r="BCR54" s="214"/>
      <c r="BCS54" s="214"/>
      <c r="BCT54" s="214"/>
      <c r="BCU54" s="214"/>
      <c r="BCV54" s="214"/>
      <c r="BCW54" s="214"/>
      <c r="BCX54" s="214"/>
      <c r="BCY54" s="214"/>
      <c r="BDB54" s="214"/>
      <c r="BDC54" s="214"/>
      <c r="BDD54" s="214"/>
      <c r="BDE54" s="214"/>
      <c r="BDF54" s="214"/>
      <c r="BDG54" s="214"/>
      <c r="BDH54" s="214"/>
      <c r="BDI54" s="214"/>
      <c r="BDJ54" s="214"/>
      <c r="BDK54" s="214"/>
      <c r="BDN54" s="214"/>
      <c r="BDO54" s="214"/>
      <c r="BDP54" s="214"/>
      <c r="BDQ54" s="214"/>
      <c r="BDR54" s="214"/>
      <c r="BDS54" s="214"/>
      <c r="BDT54" s="214"/>
      <c r="BDU54" s="214"/>
      <c r="BDV54" s="214"/>
      <c r="BDW54" s="214"/>
      <c r="BDZ54" s="214"/>
      <c r="BEA54" s="214"/>
      <c r="BEB54" s="214"/>
      <c r="BEC54" s="214"/>
      <c r="BED54" s="214"/>
      <c r="BEE54" s="214"/>
      <c r="BEF54" s="214"/>
      <c r="BEG54" s="214"/>
      <c r="BEH54" s="214"/>
      <c r="BEI54" s="214"/>
      <c r="BEL54" s="214"/>
      <c r="BEM54" s="214"/>
      <c r="BEN54" s="214"/>
      <c r="BEO54" s="214"/>
      <c r="BEP54" s="214"/>
      <c r="BEQ54" s="214"/>
      <c r="BER54" s="214"/>
      <c r="BES54" s="214"/>
      <c r="BET54" s="214"/>
      <c r="BEU54" s="214"/>
      <c r="BEX54" s="214"/>
      <c r="BEY54" s="214"/>
      <c r="BEZ54" s="214"/>
      <c r="BFA54" s="214"/>
      <c r="BFB54" s="214"/>
      <c r="BFC54" s="214"/>
      <c r="BFD54" s="214"/>
      <c r="BFE54" s="214"/>
      <c r="BFF54" s="214"/>
      <c r="BFG54" s="214"/>
      <c r="BFJ54" s="214"/>
      <c r="BFK54" s="214"/>
      <c r="BFL54" s="214"/>
      <c r="BFM54" s="214"/>
      <c r="BFN54" s="214"/>
      <c r="BFO54" s="214"/>
      <c r="BFP54" s="214"/>
      <c r="BFQ54" s="214"/>
      <c r="BFR54" s="214"/>
      <c r="BFS54" s="214"/>
      <c r="BFV54" s="214"/>
      <c r="BFW54" s="214"/>
      <c r="BFX54" s="214"/>
      <c r="BFY54" s="214"/>
      <c r="BFZ54" s="214"/>
      <c r="BGA54" s="214"/>
      <c r="BGB54" s="214"/>
      <c r="BGC54" s="214"/>
      <c r="BGD54" s="214"/>
      <c r="BGE54" s="214"/>
      <c r="BGH54" s="214"/>
      <c r="BGI54" s="214"/>
      <c r="BGJ54" s="214"/>
      <c r="BGK54" s="214"/>
      <c r="BGL54" s="214"/>
      <c r="BGM54" s="214"/>
      <c r="BGN54" s="214"/>
      <c r="BGO54" s="214"/>
      <c r="BGP54" s="214"/>
      <c r="BGQ54" s="214"/>
      <c r="BGT54" s="214"/>
      <c r="BGU54" s="214"/>
      <c r="BGV54" s="214"/>
      <c r="BGW54" s="214"/>
      <c r="BGX54" s="214"/>
      <c r="BGY54" s="214"/>
      <c r="BGZ54" s="214"/>
      <c r="BHA54" s="214"/>
      <c r="BHB54" s="214"/>
      <c r="BHC54" s="214"/>
      <c r="BHF54" s="214"/>
      <c r="BHG54" s="214"/>
      <c r="BHH54" s="214"/>
      <c r="BHI54" s="214"/>
      <c r="BHJ54" s="214"/>
      <c r="BHK54" s="214"/>
      <c r="BHL54" s="214"/>
      <c r="BHM54" s="214"/>
      <c r="BHN54" s="214"/>
      <c r="BHO54" s="214"/>
      <c r="BHR54" s="214"/>
      <c r="BHS54" s="214"/>
      <c r="BHT54" s="214"/>
      <c r="BHU54" s="214"/>
      <c r="BHV54" s="214"/>
      <c r="BHW54" s="214"/>
      <c r="BHX54" s="214"/>
      <c r="BHY54" s="214"/>
      <c r="BHZ54" s="214"/>
      <c r="BIA54" s="214"/>
      <c r="BID54" s="214"/>
      <c r="BIE54" s="214"/>
      <c r="BIF54" s="214"/>
      <c r="BIG54" s="214"/>
      <c r="BIH54" s="214"/>
      <c r="BII54" s="214"/>
      <c r="BIJ54" s="214"/>
      <c r="BIK54" s="214"/>
      <c r="BIL54" s="214"/>
      <c r="BIM54" s="214"/>
      <c r="BIP54" s="214"/>
      <c r="BIQ54" s="214"/>
      <c r="BIR54" s="214"/>
      <c r="BIS54" s="214"/>
      <c r="BIT54" s="214"/>
      <c r="BIU54" s="214"/>
      <c r="BIV54" s="214"/>
      <c r="BIW54" s="214"/>
      <c r="BIX54" s="214"/>
      <c r="BIY54" s="214"/>
      <c r="BJB54" s="214"/>
      <c r="BJC54" s="214"/>
      <c r="BJD54" s="214"/>
      <c r="BJE54" s="214"/>
      <c r="BJF54" s="214"/>
      <c r="BJG54" s="214"/>
      <c r="BJH54" s="214"/>
      <c r="BJI54" s="214"/>
      <c r="BJJ54" s="214"/>
      <c r="BJK54" s="214"/>
      <c r="BJN54" s="214"/>
      <c r="BJO54" s="214"/>
      <c r="BJP54" s="214"/>
      <c r="BJQ54" s="214"/>
      <c r="BJR54" s="214"/>
      <c r="BJS54" s="214"/>
      <c r="BJT54" s="214"/>
      <c r="BJU54" s="214"/>
      <c r="BJV54" s="214"/>
      <c r="BJW54" s="214"/>
      <c r="BJZ54" s="214"/>
      <c r="BKA54" s="214"/>
      <c r="BKB54" s="214"/>
      <c r="BKC54" s="214"/>
      <c r="BKD54" s="214"/>
      <c r="BKE54" s="214"/>
      <c r="BKF54" s="214"/>
      <c r="BKG54" s="214"/>
      <c r="BKH54" s="214"/>
      <c r="BKI54" s="214"/>
      <c r="BKL54" s="214"/>
      <c r="BKM54" s="214"/>
      <c r="BKN54" s="214"/>
      <c r="BKO54" s="214"/>
      <c r="BKP54" s="214"/>
      <c r="BKQ54" s="214"/>
      <c r="BKR54" s="214"/>
      <c r="BKS54" s="214"/>
      <c r="BKT54" s="214"/>
      <c r="BKU54" s="214"/>
      <c r="BKX54" s="214"/>
      <c r="BKY54" s="214"/>
      <c r="BKZ54" s="214"/>
      <c r="BLA54" s="214"/>
      <c r="BLB54" s="214"/>
      <c r="BLC54" s="214"/>
      <c r="BLD54" s="214"/>
      <c r="BLE54" s="214"/>
      <c r="BLF54" s="214"/>
      <c r="BLG54" s="214"/>
      <c r="BLJ54" s="214"/>
      <c r="BLK54" s="214"/>
      <c r="BLL54" s="214"/>
      <c r="BLM54" s="214"/>
      <c r="BLN54" s="214"/>
      <c r="BLO54" s="214"/>
      <c r="BLP54" s="214"/>
      <c r="BLQ54" s="214"/>
      <c r="BLR54" s="214"/>
      <c r="BLS54" s="214"/>
      <c r="BLV54" s="214"/>
      <c r="BLW54" s="214"/>
      <c r="BLX54" s="214"/>
      <c r="BLY54" s="214"/>
      <c r="BLZ54" s="214"/>
      <c r="BMA54" s="214"/>
      <c r="BMB54" s="214"/>
      <c r="BMC54" s="214"/>
      <c r="BMD54" s="214"/>
      <c r="BME54" s="214"/>
      <c r="BMH54" s="214"/>
      <c r="BMI54" s="214"/>
      <c r="BMJ54" s="214"/>
      <c r="BMK54" s="214"/>
      <c r="BML54" s="214"/>
      <c r="BMM54" s="214"/>
      <c r="BMN54" s="214"/>
      <c r="BMO54" s="214"/>
      <c r="BMP54" s="214"/>
      <c r="BMQ54" s="214"/>
      <c r="BMT54" s="214"/>
      <c r="BMU54" s="214"/>
      <c r="BMV54" s="214"/>
      <c r="BMW54" s="214"/>
      <c r="BMX54" s="214"/>
      <c r="BMY54" s="214"/>
      <c r="BMZ54" s="214"/>
      <c r="BNA54" s="214"/>
      <c r="BNB54" s="214"/>
      <c r="BNC54" s="214"/>
      <c r="BNF54" s="214"/>
      <c r="BNG54" s="214"/>
      <c r="BNH54" s="214"/>
      <c r="BNI54" s="214"/>
      <c r="BNJ54" s="214"/>
      <c r="BNK54" s="214"/>
      <c r="BNL54" s="214"/>
      <c r="BNM54" s="214"/>
      <c r="BNN54" s="214"/>
      <c r="BNO54" s="214"/>
      <c r="BNR54" s="214"/>
      <c r="BNS54" s="214"/>
      <c r="BNT54" s="214"/>
      <c r="BNU54" s="214"/>
      <c r="BNV54" s="214"/>
      <c r="BNW54" s="214"/>
      <c r="BNX54" s="214"/>
      <c r="BNY54" s="214"/>
      <c r="BNZ54" s="214"/>
      <c r="BOA54" s="214"/>
      <c r="BOD54" s="214"/>
      <c r="BOE54" s="214"/>
      <c r="BOF54" s="214"/>
      <c r="BOG54" s="214"/>
      <c r="BOH54" s="214"/>
      <c r="BOI54" s="214"/>
      <c r="BOJ54" s="214"/>
      <c r="BOK54" s="214"/>
      <c r="BOL54" s="214"/>
      <c r="BOM54" s="214"/>
      <c r="BOP54" s="214"/>
      <c r="BOQ54" s="214"/>
      <c r="BOR54" s="214"/>
      <c r="BOS54" s="214"/>
      <c r="BOT54" s="214"/>
      <c r="BOU54" s="214"/>
      <c r="BOV54" s="214"/>
      <c r="BOW54" s="214"/>
      <c r="BOX54" s="214"/>
      <c r="BOY54" s="214"/>
      <c r="BPB54" s="214"/>
      <c r="BPC54" s="214"/>
      <c r="BPD54" s="214"/>
      <c r="BPE54" s="214"/>
      <c r="BPF54" s="214"/>
      <c r="BPG54" s="214"/>
      <c r="BPH54" s="214"/>
      <c r="BPI54" s="214"/>
      <c r="BPJ54" s="214"/>
      <c r="BPK54" s="214"/>
      <c r="BPN54" s="214"/>
      <c r="BPO54" s="214"/>
      <c r="BPP54" s="214"/>
      <c r="BPQ54" s="214"/>
      <c r="BPR54" s="214"/>
      <c r="BPS54" s="214"/>
      <c r="BPT54" s="214"/>
      <c r="BPU54" s="214"/>
      <c r="BPV54" s="214"/>
      <c r="BPW54" s="214"/>
      <c r="BPZ54" s="214"/>
      <c r="BQA54" s="214"/>
      <c r="BQB54" s="214"/>
      <c r="BQC54" s="214"/>
      <c r="BQD54" s="214"/>
      <c r="BQE54" s="214"/>
      <c r="BQF54" s="214"/>
      <c r="BQG54" s="214"/>
      <c r="BQH54" s="214"/>
      <c r="BQI54" s="214"/>
      <c r="BQL54" s="214"/>
      <c r="BQM54" s="214"/>
      <c r="BQN54" s="214"/>
      <c r="BQO54" s="214"/>
      <c r="BQP54" s="214"/>
      <c r="BQQ54" s="214"/>
      <c r="BQR54" s="214"/>
      <c r="BQS54" s="214"/>
      <c r="BQT54" s="214"/>
      <c r="BQU54" s="214"/>
      <c r="BQX54" s="214"/>
      <c r="BQY54" s="214"/>
      <c r="BQZ54" s="214"/>
      <c r="BRA54" s="214"/>
      <c r="BRB54" s="214"/>
      <c r="BRC54" s="214"/>
      <c r="BRD54" s="214"/>
      <c r="BRE54" s="214"/>
      <c r="BRF54" s="214"/>
      <c r="BRG54" s="214"/>
      <c r="BRJ54" s="214"/>
      <c r="BRK54" s="214"/>
      <c r="BRL54" s="214"/>
      <c r="BRM54" s="214"/>
      <c r="BRN54" s="214"/>
      <c r="BRO54" s="214"/>
      <c r="BRP54" s="214"/>
      <c r="BRQ54" s="214"/>
      <c r="BRR54" s="214"/>
      <c r="BRS54" s="214"/>
      <c r="BRV54" s="214"/>
      <c r="BRW54" s="214"/>
      <c r="BRX54" s="214"/>
      <c r="BRY54" s="214"/>
      <c r="BRZ54" s="214"/>
      <c r="BSA54" s="214"/>
      <c r="BSB54" s="214"/>
      <c r="BSC54" s="214"/>
      <c r="BSD54" s="214"/>
      <c r="BSE54" s="214"/>
      <c r="BSH54" s="214"/>
      <c r="BSI54" s="214"/>
      <c r="BSJ54" s="214"/>
      <c r="BSK54" s="214"/>
      <c r="BSL54" s="214"/>
      <c r="BSM54" s="214"/>
      <c r="BSN54" s="214"/>
      <c r="BSO54" s="214"/>
      <c r="BSP54" s="214"/>
      <c r="BSQ54" s="214"/>
      <c r="BST54" s="214"/>
      <c r="BSU54" s="214"/>
      <c r="BSV54" s="214"/>
      <c r="BSW54" s="214"/>
      <c r="BSX54" s="214"/>
      <c r="BSY54" s="214"/>
      <c r="BSZ54" s="214"/>
      <c r="BTA54" s="214"/>
      <c r="BTB54" s="214"/>
      <c r="BTC54" s="214"/>
      <c r="BTF54" s="214"/>
      <c r="BTG54" s="214"/>
      <c r="BTH54" s="214"/>
      <c r="BTI54" s="214"/>
      <c r="BTJ54" s="214"/>
      <c r="BTK54" s="214"/>
      <c r="BTL54" s="214"/>
      <c r="BTM54" s="214"/>
      <c r="BTN54" s="214"/>
      <c r="BTO54" s="214"/>
      <c r="BTR54" s="214"/>
      <c r="BTS54" s="214"/>
      <c r="BTT54" s="214"/>
      <c r="BTU54" s="214"/>
      <c r="BTV54" s="214"/>
      <c r="BTW54" s="214"/>
      <c r="BTX54" s="214"/>
      <c r="BTY54" s="214"/>
      <c r="BTZ54" s="214"/>
      <c r="BUA54" s="214"/>
      <c r="BUD54" s="214"/>
      <c r="BUE54" s="214"/>
      <c r="BUF54" s="214"/>
      <c r="BUG54" s="214"/>
      <c r="BUH54" s="214"/>
      <c r="BUI54" s="214"/>
      <c r="BUJ54" s="214"/>
      <c r="BUK54" s="214"/>
      <c r="BUL54" s="214"/>
      <c r="BUM54" s="214"/>
      <c r="BUP54" s="214"/>
      <c r="BUQ54" s="214"/>
      <c r="BUR54" s="214"/>
      <c r="BUS54" s="214"/>
      <c r="BUT54" s="214"/>
      <c r="BUU54" s="214"/>
      <c r="BUV54" s="214"/>
      <c r="BUW54" s="214"/>
      <c r="BUX54" s="214"/>
      <c r="BUY54" s="214"/>
      <c r="BVB54" s="214"/>
      <c r="BVC54" s="214"/>
      <c r="BVD54" s="214"/>
      <c r="BVE54" s="214"/>
      <c r="BVF54" s="214"/>
      <c r="BVG54" s="214"/>
      <c r="BVH54" s="214"/>
      <c r="BVI54" s="214"/>
      <c r="BVJ54" s="214"/>
      <c r="BVK54" s="214"/>
      <c r="BVN54" s="214"/>
      <c r="BVO54" s="214"/>
      <c r="BVP54" s="214"/>
      <c r="BVQ54" s="214"/>
      <c r="BVR54" s="214"/>
      <c r="BVS54" s="214"/>
      <c r="BVT54" s="214"/>
      <c r="BVU54" s="214"/>
      <c r="BVV54" s="214"/>
      <c r="BVW54" s="214"/>
      <c r="BVZ54" s="214"/>
      <c r="BWA54" s="214"/>
      <c r="BWB54" s="214"/>
      <c r="BWC54" s="214"/>
      <c r="BWD54" s="214"/>
      <c r="BWE54" s="214"/>
      <c r="BWF54" s="214"/>
      <c r="BWG54" s="214"/>
      <c r="BWH54" s="214"/>
      <c r="BWI54" s="214"/>
      <c r="BWL54" s="214"/>
      <c r="BWM54" s="214"/>
      <c r="BWN54" s="214"/>
      <c r="BWO54" s="214"/>
      <c r="BWP54" s="214"/>
      <c r="BWQ54" s="214"/>
      <c r="BWR54" s="214"/>
      <c r="BWS54" s="214"/>
      <c r="BWT54" s="214"/>
      <c r="BWU54" s="214"/>
      <c r="BWX54" s="214"/>
      <c r="BWY54" s="214"/>
      <c r="BWZ54" s="214"/>
      <c r="BXA54" s="214"/>
      <c r="BXB54" s="214"/>
      <c r="BXC54" s="214"/>
      <c r="BXD54" s="214"/>
      <c r="BXE54" s="214"/>
      <c r="BXF54" s="214"/>
      <c r="BXG54" s="214"/>
      <c r="BXJ54" s="214"/>
      <c r="BXK54" s="214"/>
      <c r="BXL54" s="214"/>
      <c r="BXM54" s="214"/>
      <c r="BXN54" s="214"/>
      <c r="BXO54" s="214"/>
      <c r="BXP54" s="214"/>
      <c r="BXQ54" s="214"/>
      <c r="BXR54" s="214"/>
      <c r="BXS54" s="214"/>
      <c r="BXV54" s="214"/>
      <c r="BXW54" s="214"/>
      <c r="BXX54" s="214"/>
      <c r="BXY54" s="214"/>
      <c r="BXZ54" s="214"/>
      <c r="BYA54" s="214"/>
      <c r="BYB54" s="214"/>
      <c r="BYC54" s="214"/>
      <c r="BYD54" s="214"/>
      <c r="BYE54" s="214"/>
      <c r="BYH54" s="214"/>
      <c r="BYI54" s="214"/>
      <c r="BYJ54" s="214"/>
      <c r="BYK54" s="214"/>
      <c r="BYL54" s="214"/>
      <c r="BYM54" s="214"/>
      <c r="BYN54" s="214"/>
      <c r="BYO54" s="214"/>
      <c r="BYP54" s="214"/>
      <c r="BYQ54" s="214"/>
      <c r="BYT54" s="214"/>
      <c r="BYU54" s="214"/>
      <c r="BYV54" s="214"/>
      <c r="BYW54" s="214"/>
      <c r="BYX54" s="214"/>
      <c r="BYY54" s="214"/>
      <c r="BYZ54" s="214"/>
      <c r="BZA54" s="214"/>
      <c r="BZB54" s="214"/>
      <c r="BZC54" s="214"/>
      <c r="BZF54" s="214"/>
      <c r="BZG54" s="214"/>
      <c r="BZH54" s="214"/>
      <c r="BZI54" s="214"/>
      <c r="BZJ54" s="214"/>
      <c r="BZK54" s="214"/>
      <c r="BZL54" s="214"/>
      <c r="BZM54" s="214"/>
      <c r="BZN54" s="214"/>
      <c r="BZO54" s="214"/>
      <c r="BZR54" s="214"/>
      <c r="BZS54" s="214"/>
      <c r="BZT54" s="214"/>
      <c r="BZU54" s="214"/>
      <c r="BZV54" s="214"/>
      <c r="BZW54" s="214"/>
      <c r="BZX54" s="214"/>
      <c r="BZY54" s="214"/>
      <c r="BZZ54" s="214"/>
      <c r="CAA54" s="214"/>
      <c r="CAD54" s="214"/>
      <c r="CAE54" s="214"/>
      <c r="CAF54" s="214"/>
      <c r="CAG54" s="214"/>
      <c r="CAH54" s="214"/>
      <c r="CAI54" s="214"/>
      <c r="CAJ54" s="214"/>
      <c r="CAK54" s="214"/>
      <c r="CAL54" s="214"/>
      <c r="CAM54" s="214"/>
      <c r="CAP54" s="214"/>
      <c r="CAQ54" s="214"/>
      <c r="CAR54" s="214"/>
      <c r="CAS54" s="214"/>
      <c r="CAT54" s="214"/>
      <c r="CAU54" s="214"/>
      <c r="CAV54" s="214"/>
      <c r="CAW54" s="214"/>
      <c r="CAX54" s="214"/>
      <c r="CAY54" s="214"/>
      <c r="CBB54" s="214"/>
      <c r="CBC54" s="214"/>
      <c r="CBD54" s="214"/>
      <c r="CBE54" s="214"/>
      <c r="CBF54" s="214"/>
      <c r="CBG54" s="214"/>
      <c r="CBH54" s="214"/>
      <c r="CBI54" s="214"/>
      <c r="CBJ54" s="214"/>
      <c r="CBK54" s="214"/>
      <c r="CBN54" s="214"/>
      <c r="CBO54" s="214"/>
      <c r="CBP54" s="214"/>
      <c r="CBQ54" s="214"/>
      <c r="CBR54" s="214"/>
      <c r="CBS54" s="214"/>
      <c r="CBT54" s="214"/>
      <c r="CBU54" s="214"/>
      <c r="CBV54" s="214"/>
      <c r="CBW54" s="214"/>
      <c r="CBZ54" s="214"/>
      <c r="CCA54" s="214"/>
      <c r="CCB54" s="214"/>
      <c r="CCC54" s="214"/>
      <c r="CCD54" s="214"/>
      <c r="CCE54" s="214"/>
      <c r="CCF54" s="214"/>
      <c r="CCG54" s="214"/>
      <c r="CCH54" s="214"/>
      <c r="CCI54" s="214"/>
      <c r="CCL54" s="214"/>
      <c r="CCM54" s="214"/>
      <c r="CCN54" s="214"/>
      <c r="CCO54" s="214"/>
      <c r="CCP54" s="214"/>
      <c r="CCQ54" s="214"/>
      <c r="CCR54" s="214"/>
      <c r="CCS54" s="214"/>
      <c r="CCT54" s="214"/>
      <c r="CCU54" s="214"/>
      <c r="CCX54" s="214"/>
      <c r="CCY54" s="214"/>
      <c r="CCZ54" s="214"/>
      <c r="CDA54" s="214"/>
      <c r="CDB54" s="214"/>
      <c r="CDC54" s="214"/>
      <c r="CDD54" s="214"/>
      <c r="CDE54" s="214"/>
      <c r="CDF54" s="214"/>
      <c r="CDG54" s="214"/>
      <c r="CDJ54" s="214"/>
      <c r="CDK54" s="214"/>
      <c r="CDL54" s="214"/>
      <c r="CDM54" s="214"/>
      <c r="CDN54" s="214"/>
      <c r="CDO54" s="214"/>
      <c r="CDP54" s="214"/>
      <c r="CDQ54" s="214"/>
      <c r="CDR54" s="214"/>
      <c r="CDS54" s="214"/>
      <c r="CDV54" s="214"/>
      <c r="CDW54" s="214"/>
      <c r="CDX54" s="214"/>
      <c r="CDY54" s="214"/>
      <c r="CDZ54" s="214"/>
      <c r="CEA54" s="214"/>
      <c r="CEB54" s="214"/>
      <c r="CEC54" s="214"/>
      <c r="CED54" s="214"/>
      <c r="CEE54" s="214"/>
      <c r="CEH54" s="214"/>
      <c r="CEI54" s="214"/>
      <c r="CEJ54" s="214"/>
      <c r="CEK54" s="214"/>
      <c r="CEL54" s="214"/>
      <c r="CEM54" s="214"/>
      <c r="CEN54" s="214"/>
      <c r="CEO54" s="214"/>
      <c r="CEP54" s="214"/>
      <c r="CEQ54" s="214"/>
      <c r="CET54" s="214"/>
      <c r="CEU54" s="214"/>
      <c r="CEV54" s="214"/>
      <c r="CEW54" s="214"/>
      <c r="CEX54" s="214"/>
      <c r="CEY54" s="214"/>
      <c r="CEZ54" s="214"/>
      <c r="CFA54" s="214"/>
      <c r="CFB54" s="214"/>
      <c r="CFC54" s="214"/>
      <c r="CFF54" s="214"/>
      <c r="CFG54" s="214"/>
      <c r="CFH54" s="214"/>
      <c r="CFI54" s="214"/>
      <c r="CFJ54" s="214"/>
      <c r="CFK54" s="214"/>
      <c r="CFL54" s="214"/>
      <c r="CFM54" s="214"/>
      <c r="CFN54" s="214"/>
      <c r="CFO54" s="214"/>
      <c r="CFR54" s="214"/>
      <c r="CFS54" s="214"/>
      <c r="CFT54" s="214"/>
      <c r="CFU54" s="214"/>
      <c r="CFV54" s="214"/>
      <c r="CFW54" s="214"/>
      <c r="CFX54" s="214"/>
      <c r="CFY54" s="214"/>
      <c r="CFZ54" s="214"/>
      <c r="CGA54" s="214"/>
      <c r="CGD54" s="214"/>
      <c r="CGE54" s="214"/>
      <c r="CGF54" s="214"/>
      <c r="CGG54" s="214"/>
      <c r="CGH54" s="214"/>
      <c r="CGI54" s="214"/>
      <c r="CGJ54" s="214"/>
      <c r="CGK54" s="214"/>
      <c r="CGL54" s="214"/>
      <c r="CGM54" s="214"/>
      <c r="CGP54" s="214"/>
      <c r="CGQ54" s="214"/>
      <c r="CGR54" s="214"/>
      <c r="CGS54" s="214"/>
      <c r="CGT54" s="214"/>
      <c r="CGU54" s="214"/>
      <c r="CGV54" s="214"/>
      <c r="CGW54" s="214"/>
      <c r="CGX54" s="214"/>
      <c r="CGY54" s="214"/>
      <c r="CHB54" s="214"/>
      <c r="CHC54" s="214"/>
      <c r="CHD54" s="214"/>
      <c r="CHE54" s="214"/>
      <c r="CHF54" s="214"/>
      <c r="CHG54" s="214"/>
      <c r="CHH54" s="214"/>
      <c r="CHI54" s="214"/>
      <c r="CHJ54" s="214"/>
      <c r="CHK54" s="214"/>
      <c r="CHN54" s="214"/>
      <c r="CHO54" s="214"/>
      <c r="CHP54" s="214"/>
      <c r="CHQ54" s="214"/>
      <c r="CHR54" s="214"/>
      <c r="CHS54" s="214"/>
      <c r="CHT54" s="214"/>
      <c r="CHU54" s="214"/>
      <c r="CHV54" s="214"/>
      <c r="CHW54" s="214"/>
      <c r="CHZ54" s="214"/>
      <c r="CIA54" s="214"/>
      <c r="CIB54" s="214"/>
      <c r="CIC54" s="214"/>
      <c r="CID54" s="214"/>
      <c r="CIE54" s="214"/>
      <c r="CIF54" s="214"/>
      <c r="CIG54" s="214"/>
      <c r="CIH54" s="214"/>
      <c r="CII54" s="214"/>
      <c r="CIL54" s="214"/>
      <c r="CIM54" s="214"/>
      <c r="CIN54" s="214"/>
      <c r="CIO54" s="214"/>
      <c r="CIP54" s="214"/>
      <c r="CIQ54" s="214"/>
      <c r="CIR54" s="214"/>
      <c r="CIS54" s="214"/>
      <c r="CIT54" s="214"/>
      <c r="CIU54" s="214"/>
      <c r="CIX54" s="214"/>
      <c r="CIY54" s="214"/>
      <c r="CIZ54" s="214"/>
      <c r="CJA54" s="214"/>
      <c r="CJB54" s="214"/>
      <c r="CJC54" s="214"/>
      <c r="CJD54" s="214"/>
      <c r="CJE54" s="214"/>
      <c r="CJF54" s="214"/>
      <c r="CJG54" s="214"/>
      <c r="CJJ54" s="214"/>
      <c r="CJK54" s="214"/>
      <c r="CJL54" s="214"/>
      <c r="CJM54" s="214"/>
      <c r="CJN54" s="214"/>
      <c r="CJO54" s="214"/>
      <c r="CJP54" s="214"/>
      <c r="CJQ54" s="214"/>
      <c r="CJR54" s="214"/>
      <c r="CJS54" s="214"/>
      <c r="CJV54" s="214"/>
      <c r="CJW54" s="214"/>
      <c r="CJX54" s="214"/>
      <c r="CJY54" s="214"/>
      <c r="CJZ54" s="214"/>
      <c r="CKA54" s="214"/>
      <c r="CKB54" s="214"/>
      <c r="CKC54" s="214"/>
      <c r="CKD54" s="214"/>
      <c r="CKE54" s="214"/>
      <c r="CKH54" s="214"/>
      <c r="CKI54" s="214"/>
      <c r="CKJ54" s="214"/>
      <c r="CKK54" s="214"/>
      <c r="CKL54" s="214"/>
      <c r="CKM54" s="214"/>
      <c r="CKN54" s="214"/>
      <c r="CKO54" s="214"/>
      <c r="CKP54" s="214"/>
      <c r="CKQ54" s="214"/>
      <c r="CKT54" s="214"/>
      <c r="CKU54" s="214"/>
      <c r="CKV54" s="214"/>
      <c r="CKW54" s="214"/>
      <c r="CKX54" s="214"/>
      <c r="CKY54" s="214"/>
      <c r="CKZ54" s="214"/>
      <c r="CLA54" s="214"/>
      <c r="CLB54" s="214"/>
      <c r="CLC54" s="214"/>
      <c r="CLF54" s="214"/>
      <c r="CLG54" s="214"/>
      <c r="CLH54" s="214"/>
      <c r="CLI54" s="214"/>
      <c r="CLJ54" s="214"/>
      <c r="CLK54" s="214"/>
      <c r="CLL54" s="214"/>
      <c r="CLM54" s="214"/>
      <c r="CLN54" s="214"/>
      <c r="CLO54" s="214"/>
      <c r="CLR54" s="214"/>
      <c r="CLS54" s="214"/>
      <c r="CLT54" s="214"/>
      <c r="CLU54" s="214"/>
      <c r="CLV54" s="214"/>
      <c r="CLW54" s="214"/>
      <c r="CLX54" s="214"/>
      <c r="CLY54" s="214"/>
      <c r="CLZ54" s="214"/>
      <c r="CMA54" s="214"/>
      <c r="CMD54" s="214"/>
      <c r="CME54" s="214"/>
      <c r="CMF54" s="214"/>
      <c r="CMG54" s="214"/>
      <c r="CMH54" s="214"/>
      <c r="CMI54" s="214"/>
      <c r="CMJ54" s="214"/>
      <c r="CMK54" s="214"/>
      <c r="CML54" s="214"/>
      <c r="CMM54" s="214"/>
      <c r="CMP54" s="214"/>
      <c r="CMQ54" s="214"/>
      <c r="CMR54" s="214"/>
      <c r="CMS54" s="214"/>
      <c r="CMT54" s="214"/>
      <c r="CMU54" s="214"/>
      <c r="CMV54" s="214"/>
      <c r="CMW54" s="214"/>
      <c r="CMX54" s="214"/>
      <c r="CMY54" s="214"/>
      <c r="CNB54" s="214"/>
      <c r="CNC54" s="214"/>
      <c r="CND54" s="214"/>
      <c r="CNE54" s="214"/>
      <c r="CNF54" s="214"/>
      <c r="CNG54" s="214"/>
      <c r="CNH54" s="214"/>
      <c r="CNI54" s="214"/>
      <c r="CNJ54" s="214"/>
      <c r="CNK54" s="214"/>
      <c r="CNN54" s="214"/>
      <c r="CNO54" s="214"/>
      <c r="CNP54" s="214"/>
      <c r="CNQ54" s="214"/>
      <c r="CNR54" s="214"/>
      <c r="CNS54" s="214"/>
      <c r="CNT54" s="214"/>
      <c r="CNU54" s="214"/>
      <c r="CNV54" s="214"/>
      <c r="CNW54" s="214"/>
      <c r="CNZ54" s="214"/>
      <c r="COA54" s="214"/>
      <c r="COB54" s="214"/>
      <c r="COC54" s="214"/>
      <c r="COD54" s="214"/>
      <c r="COE54" s="214"/>
      <c r="COF54" s="214"/>
      <c r="COG54" s="214"/>
      <c r="COH54" s="214"/>
      <c r="COI54" s="214"/>
      <c r="COL54" s="214"/>
      <c r="COM54" s="214"/>
      <c r="CON54" s="214"/>
      <c r="COO54" s="214"/>
      <c r="COP54" s="214"/>
      <c r="COQ54" s="214"/>
      <c r="COR54" s="214"/>
      <c r="COS54" s="214"/>
      <c r="COT54" s="214"/>
      <c r="COU54" s="214"/>
      <c r="COX54" s="214"/>
      <c r="COY54" s="214"/>
      <c r="COZ54" s="214"/>
      <c r="CPA54" s="214"/>
      <c r="CPB54" s="214"/>
      <c r="CPC54" s="214"/>
      <c r="CPD54" s="214"/>
      <c r="CPE54" s="214"/>
      <c r="CPF54" s="214"/>
      <c r="CPG54" s="214"/>
      <c r="CPJ54" s="214"/>
      <c r="CPK54" s="214"/>
      <c r="CPL54" s="214"/>
      <c r="CPM54" s="214"/>
      <c r="CPN54" s="214"/>
      <c r="CPO54" s="214"/>
      <c r="CPP54" s="214"/>
      <c r="CPQ54" s="214"/>
      <c r="CPR54" s="214"/>
      <c r="CPS54" s="214"/>
      <c r="CPV54" s="214"/>
      <c r="CPW54" s="214"/>
      <c r="CPX54" s="214"/>
      <c r="CPY54" s="214"/>
      <c r="CPZ54" s="214"/>
      <c r="CQA54" s="214"/>
      <c r="CQB54" s="214"/>
      <c r="CQC54" s="214"/>
      <c r="CQD54" s="214"/>
      <c r="CQE54" s="214"/>
      <c r="CQH54" s="214"/>
      <c r="CQI54" s="214"/>
      <c r="CQJ54" s="214"/>
      <c r="CQK54" s="214"/>
      <c r="CQL54" s="214"/>
      <c r="CQM54" s="214"/>
      <c r="CQN54" s="214"/>
      <c r="CQO54" s="214"/>
      <c r="CQP54" s="214"/>
      <c r="CQQ54" s="214"/>
      <c r="CQT54" s="214"/>
      <c r="CQU54" s="214"/>
      <c r="CQV54" s="214"/>
      <c r="CQW54" s="214"/>
      <c r="CQX54" s="214"/>
      <c r="CQY54" s="214"/>
      <c r="CQZ54" s="214"/>
      <c r="CRA54" s="214"/>
      <c r="CRB54" s="214"/>
      <c r="CRC54" s="214"/>
      <c r="CRF54" s="214"/>
      <c r="CRG54" s="214"/>
      <c r="CRH54" s="214"/>
      <c r="CRI54" s="214"/>
      <c r="CRJ54" s="214"/>
      <c r="CRK54" s="214"/>
      <c r="CRL54" s="214"/>
      <c r="CRM54" s="214"/>
      <c r="CRN54" s="214"/>
      <c r="CRO54" s="214"/>
      <c r="CRR54" s="214"/>
      <c r="CRS54" s="214"/>
      <c r="CRT54" s="214"/>
      <c r="CRU54" s="214"/>
      <c r="CRV54" s="214"/>
      <c r="CRW54" s="214"/>
      <c r="CRX54" s="214"/>
      <c r="CRY54" s="214"/>
      <c r="CRZ54" s="214"/>
      <c r="CSA54" s="214"/>
      <c r="CSD54" s="214"/>
      <c r="CSE54" s="214"/>
      <c r="CSF54" s="214"/>
      <c r="CSG54" s="214"/>
      <c r="CSH54" s="214"/>
      <c r="CSI54" s="214"/>
      <c r="CSJ54" s="214"/>
      <c r="CSK54" s="214"/>
      <c r="CSL54" s="214"/>
      <c r="CSM54" s="214"/>
      <c r="CSP54" s="214"/>
      <c r="CSQ54" s="214"/>
      <c r="CSR54" s="214"/>
      <c r="CSS54" s="214"/>
      <c r="CST54" s="214"/>
      <c r="CSU54" s="214"/>
      <c r="CSV54" s="214"/>
      <c r="CSW54" s="214"/>
      <c r="CSX54" s="214"/>
      <c r="CSY54" s="214"/>
      <c r="CTB54" s="214"/>
      <c r="CTC54" s="214"/>
      <c r="CTD54" s="214"/>
      <c r="CTE54" s="214"/>
      <c r="CTF54" s="214"/>
      <c r="CTG54" s="214"/>
      <c r="CTH54" s="214"/>
      <c r="CTI54" s="214"/>
      <c r="CTJ54" s="214"/>
      <c r="CTK54" s="214"/>
      <c r="CTN54" s="214"/>
      <c r="CTO54" s="214"/>
      <c r="CTP54" s="214"/>
      <c r="CTQ54" s="214"/>
      <c r="CTR54" s="214"/>
      <c r="CTS54" s="214"/>
      <c r="CTT54" s="214"/>
      <c r="CTU54" s="214"/>
      <c r="CTV54" s="214"/>
      <c r="CTW54" s="214"/>
      <c r="CTZ54" s="214"/>
      <c r="CUA54" s="214"/>
      <c r="CUB54" s="214"/>
      <c r="CUC54" s="214"/>
      <c r="CUD54" s="214"/>
      <c r="CUE54" s="214"/>
      <c r="CUF54" s="214"/>
      <c r="CUG54" s="214"/>
      <c r="CUH54" s="214"/>
      <c r="CUI54" s="214"/>
      <c r="CUL54" s="214"/>
      <c r="CUM54" s="214"/>
      <c r="CUN54" s="214"/>
      <c r="CUO54" s="214"/>
      <c r="CUP54" s="214"/>
      <c r="CUQ54" s="214"/>
      <c r="CUR54" s="214"/>
      <c r="CUS54" s="214"/>
      <c r="CUT54" s="214"/>
      <c r="CUU54" s="214"/>
      <c r="CUX54" s="214"/>
      <c r="CUY54" s="214"/>
      <c r="CUZ54" s="214"/>
      <c r="CVA54" s="214"/>
      <c r="CVB54" s="214"/>
      <c r="CVC54" s="214"/>
      <c r="CVD54" s="214"/>
      <c r="CVE54" s="214"/>
      <c r="CVF54" s="214"/>
      <c r="CVG54" s="214"/>
      <c r="CVJ54" s="214"/>
      <c r="CVK54" s="214"/>
      <c r="CVL54" s="214"/>
      <c r="CVM54" s="214"/>
      <c r="CVN54" s="214"/>
      <c r="CVO54" s="214"/>
      <c r="CVP54" s="214"/>
      <c r="CVQ54" s="214"/>
      <c r="CVR54" s="214"/>
      <c r="CVS54" s="214"/>
      <c r="CVV54" s="214"/>
      <c r="CVW54" s="214"/>
      <c r="CVX54" s="214"/>
      <c r="CVY54" s="214"/>
      <c r="CVZ54" s="214"/>
      <c r="CWA54" s="214"/>
      <c r="CWB54" s="214"/>
      <c r="CWC54" s="214"/>
      <c r="CWD54" s="214"/>
      <c r="CWE54" s="214"/>
    </row>
    <row r="55" spans="2:1023 1026:2631" x14ac:dyDescent="0.25">
      <c r="ZY55" s="4"/>
      <c r="ZZ55" s="214"/>
      <c r="AAA55" s="214"/>
      <c r="AAB55" s="214"/>
      <c r="AAC55" s="214"/>
      <c r="AAD55" s="214"/>
      <c r="AAE55" s="214"/>
      <c r="AAF55" s="214"/>
      <c r="AAG55" s="214"/>
      <c r="AAH55" s="214"/>
      <c r="AAI55" s="214"/>
      <c r="AAJ55" s="214"/>
      <c r="AAL55" s="4"/>
      <c r="AAM55" s="214"/>
      <c r="AAN55" s="214"/>
      <c r="AAO55" s="214"/>
      <c r="AAP55" s="214"/>
      <c r="AAQ55" s="214"/>
      <c r="AAR55" s="214"/>
      <c r="AAS55" s="214"/>
      <c r="AAT55" s="214"/>
      <c r="AAU55" s="214"/>
      <c r="AAV55" s="214"/>
      <c r="AAY55" s="4"/>
      <c r="AAZ55" s="214"/>
      <c r="ABA55" s="214"/>
      <c r="ABB55" s="214"/>
      <c r="ABC55" s="214"/>
      <c r="ABD55" s="214"/>
      <c r="ABE55" s="214"/>
      <c r="ABF55" s="214"/>
      <c r="ABG55" s="214"/>
      <c r="ABH55" s="214"/>
      <c r="ABI55" s="214"/>
      <c r="ABL55" s="4"/>
      <c r="ABM55" s="214"/>
      <c r="ABN55" s="214"/>
      <c r="ABO55" s="214"/>
      <c r="ABP55" s="214"/>
      <c r="ABQ55" s="214"/>
      <c r="ABR55" s="214"/>
      <c r="ABS55" s="214"/>
      <c r="ABT55" s="214"/>
      <c r="ABU55" s="214"/>
      <c r="ABV55" s="214"/>
      <c r="ABY55" s="4"/>
      <c r="ABZ55" s="214"/>
      <c r="ACA55" s="214"/>
      <c r="ACB55" s="214"/>
      <c r="ACC55" s="214"/>
      <c r="ACD55" s="214"/>
      <c r="ACE55" s="214"/>
      <c r="ACF55" s="214"/>
      <c r="ACG55" s="214"/>
      <c r="ACH55" s="214"/>
      <c r="ACI55" s="214"/>
      <c r="ACL55" s="4"/>
      <c r="ACM55" s="214"/>
      <c r="ACN55" s="214"/>
      <c r="ACO55" s="214"/>
      <c r="ACP55" s="214"/>
      <c r="ACQ55" s="214"/>
      <c r="ACR55" s="214"/>
      <c r="ACS55" s="214"/>
      <c r="ACT55" s="214"/>
      <c r="ACU55" s="214"/>
      <c r="ACV55" s="214"/>
      <c r="ACY55" s="4"/>
      <c r="ACZ55" s="214"/>
      <c r="ADA55" s="214"/>
      <c r="ADB55" s="214"/>
      <c r="ADC55" s="214"/>
      <c r="ADD55" s="214"/>
      <c r="ADE55" s="214"/>
      <c r="ADF55" s="214"/>
      <c r="ADG55" s="214"/>
      <c r="ADH55" s="214"/>
      <c r="ADI55" s="214"/>
      <c r="ADL55" s="4"/>
      <c r="ADM55" s="214"/>
      <c r="ADN55" s="214"/>
      <c r="ADO55" s="214"/>
      <c r="ADP55" s="214"/>
      <c r="ADQ55" s="214"/>
      <c r="ADR55" s="214"/>
      <c r="ADS55" s="214"/>
      <c r="ADT55" s="214"/>
      <c r="ADU55" s="214"/>
      <c r="ADV55" s="214"/>
      <c r="ADY55" s="4"/>
      <c r="ADZ55" s="214"/>
      <c r="AEA55" s="214"/>
      <c r="AEB55" s="214"/>
      <c r="AEC55" s="214"/>
      <c r="AED55" s="214"/>
      <c r="AEE55" s="214"/>
      <c r="AEF55" s="214"/>
      <c r="AEG55" s="214"/>
      <c r="AEH55" s="214"/>
      <c r="AEI55" s="214"/>
      <c r="AEL55" s="4"/>
      <c r="AEM55" s="214"/>
      <c r="AEN55" s="214"/>
      <c r="AEO55" s="214"/>
      <c r="AEP55" s="214"/>
      <c r="AEQ55" s="214"/>
      <c r="AER55" s="214"/>
      <c r="AES55" s="214"/>
      <c r="AET55" s="214"/>
      <c r="AEU55" s="214"/>
      <c r="AEV55" s="214"/>
      <c r="AEY55" s="4"/>
      <c r="AEZ55" s="214"/>
      <c r="AFA55" s="214"/>
      <c r="AFB55" s="214"/>
      <c r="AFC55" s="214"/>
      <c r="AFD55" s="214"/>
      <c r="AFE55" s="214"/>
      <c r="AFF55" s="214"/>
      <c r="AFG55" s="214"/>
      <c r="AFH55" s="214"/>
      <c r="AFI55" s="214"/>
      <c r="AFL55" s="4"/>
      <c r="AFM55" s="214"/>
      <c r="AFN55" s="214"/>
      <c r="AFO55" s="214"/>
      <c r="AFP55" s="214"/>
      <c r="AFQ55" s="214"/>
      <c r="AFR55" s="214"/>
      <c r="AFS55" s="214"/>
      <c r="AFT55" s="214"/>
      <c r="AFU55" s="214"/>
      <c r="AFV55" s="214"/>
      <c r="AFZ55" s="214"/>
      <c r="AGA55" s="214"/>
      <c r="AGB55" s="214"/>
      <c r="AGC55" s="214"/>
      <c r="AGD55" s="214"/>
      <c r="AGE55" s="214"/>
      <c r="AGF55" s="214"/>
      <c r="AGG55" s="214"/>
      <c r="AGH55" s="214"/>
      <c r="AGI55" s="214"/>
      <c r="AGL55" s="214"/>
      <c r="AGM55" s="214"/>
      <c r="AGN55" s="214"/>
      <c r="AGO55" s="214"/>
      <c r="AGP55" s="214"/>
      <c r="AGQ55" s="214"/>
      <c r="AGR55" s="214"/>
      <c r="AGS55" s="214"/>
      <c r="AGT55" s="214"/>
      <c r="AGU55" s="214"/>
      <c r="AGX55" s="214"/>
      <c r="AGY55" s="214"/>
      <c r="AGZ55" s="214"/>
      <c r="AHA55" s="214"/>
      <c r="AHB55" s="214"/>
      <c r="AHC55" s="214"/>
      <c r="AHD55" s="214"/>
      <c r="AHE55" s="214"/>
      <c r="AHF55" s="214"/>
      <c r="AHG55" s="214"/>
      <c r="AHJ55" s="214"/>
      <c r="AHK55" s="214"/>
      <c r="AHL55" s="214"/>
      <c r="AHM55" s="214"/>
      <c r="AHN55" s="214"/>
      <c r="AHO55" s="214"/>
      <c r="AHP55" s="214"/>
      <c r="AHQ55" s="214"/>
      <c r="AHR55" s="214"/>
      <c r="AHS55" s="214"/>
      <c r="AHV55" s="214"/>
      <c r="AHW55" s="214"/>
      <c r="AHX55" s="214"/>
      <c r="AHY55" s="214"/>
      <c r="AHZ55" s="214"/>
      <c r="AIA55" s="214"/>
      <c r="AIB55" s="214"/>
      <c r="AIC55" s="214"/>
      <c r="AID55" s="214"/>
      <c r="AIE55" s="214"/>
      <c r="AIH55" s="214"/>
      <c r="AII55" s="214"/>
      <c r="AIJ55" s="214"/>
      <c r="AIK55" s="214"/>
      <c r="AIL55" s="214"/>
      <c r="AIM55" s="214"/>
      <c r="AIN55" s="214"/>
      <c r="AIO55" s="214"/>
      <c r="AIP55" s="214"/>
      <c r="AIQ55" s="214"/>
      <c r="AIT55" s="214"/>
      <c r="AIU55" s="214"/>
      <c r="AIV55" s="214"/>
      <c r="AIW55" s="214"/>
      <c r="AIX55" s="214"/>
      <c r="AIY55" s="214"/>
      <c r="AIZ55" s="214"/>
      <c r="AJA55" s="214"/>
      <c r="AJB55" s="214"/>
      <c r="AJC55" s="214"/>
      <c r="AJF55" s="214"/>
      <c r="AJG55" s="214"/>
      <c r="AJH55" s="214"/>
      <c r="AJI55" s="214"/>
      <c r="AJJ55" s="214"/>
      <c r="AJK55" s="214"/>
      <c r="AJL55" s="214"/>
      <c r="AJM55" s="214"/>
      <c r="AJN55" s="214"/>
      <c r="AJO55" s="214"/>
      <c r="AJR55" s="214"/>
      <c r="AJS55" s="214"/>
      <c r="AJT55" s="214"/>
      <c r="AJU55" s="214"/>
      <c r="AJV55" s="214"/>
      <c r="AJW55" s="214"/>
      <c r="AJX55" s="214"/>
      <c r="AJY55" s="214"/>
      <c r="AJZ55" s="214"/>
      <c r="AKA55" s="214"/>
      <c r="AKD55" s="214"/>
      <c r="AKE55" s="214"/>
      <c r="AKF55" s="214"/>
      <c r="AKG55" s="214"/>
      <c r="AKH55" s="214"/>
      <c r="AKI55" s="214"/>
      <c r="AKJ55" s="214"/>
      <c r="AKK55" s="214"/>
      <c r="AKL55" s="214"/>
      <c r="AKM55" s="214"/>
      <c r="AKP55" s="214"/>
      <c r="AKQ55" s="214"/>
      <c r="AKR55" s="214"/>
      <c r="AKS55" s="214"/>
      <c r="AKT55" s="214"/>
      <c r="AKU55" s="214"/>
      <c r="AKV55" s="214"/>
      <c r="AKW55" s="214"/>
      <c r="AKX55" s="214"/>
      <c r="AKY55" s="214"/>
      <c r="ALB55" s="214"/>
      <c r="ALC55" s="214"/>
      <c r="ALD55" s="214"/>
      <c r="ALE55" s="214"/>
      <c r="ALF55" s="214"/>
      <c r="ALG55" s="214"/>
      <c r="ALH55" s="214"/>
      <c r="ALI55" s="214"/>
      <c r="ALJ55" s="214"/>
      <c r="ALK55" s="214"/>
      <c r="ALN55" s="214"/>
      <c r="ALO55" s="214"/>
      <c r="ALP55" s="214"/>
      <c r="ALQ55" s="214"/>
      <c r="ALR55" s="214"/>
      <c r="ALS55" s="214"/>
      <c r="ALT55" s="214"/>
      <c r="ALU55" s="214"/>
      <c r="ALV55" s="214"/>
      <c r="ALW55" s="214"/>
      <c r="ALZ55" s="214"/>
      <c r="AMA55" s="214"/>
      <c r="AMB55" s="214"/>
      <c r="AMC55" s="214"/>
      <c r="AMD55" s="214"/>
      <c r="AME55" s="214"/>
      <c r="AMF55" s="214"/>
      <c r="AMG55" s="214"/>
      <c r="AMH55" s="214"/>
      <c r="AMI55" s="214"/>
      <c r="AML55" s="214"/>
      <c r="AMM55" s="214"/>
      <c r="AMN55" s="214"/>
      <c r="AMO55" s="214"/>
      <c r="AMP55" s="214"/>
      <c r="AMQ55" s="214"/>
      <c r="AMR55" s="214"/>
      <c r="AMS55" s="214"/>
      <c r="AMT55" s="214"/>
      <c r="AMU55" s="214"/>
      <c r="AMX55" s="214"/>
      <c r="AMY55" s="214"/>
      <c r="AMZ55" s="214"/>
      <c r="ANA55" s="214"/>
      <c r="ANB55" s="214"/>
      <c r="ANC55" s="214"/>
      <c r="AND55" s="214"/>
      <c r="ANE55" s="214"/>
      <c r="ANF55" s="214"/>
      <c r="ANG55" s="214"/>
      <c r="ANJ55" s="214"/>
      <c r="ANK55" s="214"/>
      <c r="ANL55" s="214"/>
      <c r="ANM55" s="214"/>
      <c r="ANN55" s="214"/>
      <c r="ANO55" s="214"/>
      <c r="ANP55" s="214"/>
      <c r="ANQ55" s="214"/>
      <c r="ANR55" s="214"/>
      <c r="ANS55" s="214"/>
      <c r="ANV55" s="214"/>
      <c r="ANW55" s="214"/>
      <c r="ANX55" s="214"/>
      <c r="ANY55" s="214"/>
      <c r="ANZ55" s="214"/>
      <c r="AOA55" s="214"/>
      <c r="AOB55" s="214"/>
      <c r="AOC55" s="214"/>
      <c r="AOD55" s="214"/>
      <c r="AOE55" s="214"/>
      <c r="AOH55" s="214"/>
      <c r="AOI55" s="214"/>
      <c r="AOJ55" s="214"/>
      <c r="AOK55" s="214"/>
      <c r="AOL55" s="214"/>
      <c r="AOM55" s="214"/>
      <c r="AON55" s="214"/>
      <c r="AOO55" s="214"/>
      <c r="AOP55" s="214"/>
      <c r="AOQ55" s="214"/>
      <c r="AOT55" s="214"/>
      <c r="AOU55" s="214"/>
      <c r="AOV55" s="214"/>
      <c r="AOW55" s="214"/>
      <c r="AOX55" s="214"/>
      <c r="AOY55" s="214"/>
      <c r="AOZ55" s="214"/>
      <c r="APA55" s="214"/>
      <c r="APB55" s="214"/>
      <c r="APC55" s="214"/>
      <c r="APF55" s="214"/>
      <c r="APG55" s="214"/>
      <c r="APH55" s="214"/>
      <c r="API55" s="214"/>
      <c r="APJ55" s="214"/>
      <c r="APK55" s="214"/>
      <c r="APL55" s="214"/>
      <c r="APM55" s="214"/>
      <c r="APN55" s="214"/>
      <c r="APO55" s="214"/>
      <c r="APR55" s="214"/>
      <c r="APS55" s="214"/>
      <c r="APT55" s="214"/>
      <c r="APU55" s="214"/>
      <c r="APV55" s="214"/>
      <c r="APW55" s="214"/>
      <c r="APX55" s="214"/>
      <c r="APY55" s="214"/>
      <c r="APZ55" s="214"/>
      <c r="AQA55" s="214"/>
      <c r="AQD55" s="214"/>
      <c r="AQE55" s="214"/>
      <c r="AQF55" s="214"/>
      <c r="AQG55" s="214"/>
      <c r="AQH55" s="214"/>
      <c r="AQI55" s="214"/>
      <c r="AQJ55" s="214"/>
      <c r="AQK55" s="214"/>
      <c r="AQL55" s="214"/>
      <c r="AQM55" s="214"/>
      <c r="AQP55" s="214"/>
      <c r="AQQ55" s="214"/>
      <c r="AQR55" s="214"/>
      <c r="AQS55" s="214"/>
      <c r="AQT55" s="214"/>
      <c r="AQU55" s="214"/>
      <c r="AQV55" s="214"/>
      <c r="AQW55" s="214"/>
      <c r="AQX55" s="214"/>
      <c r="AQY55" s="214"/>
      <c r="ARB55" s="214"/>
      <c r="ARC55" s="214"/>
      <c r="ARD55" s="214"/>
      <c r="ARE55" s="214"/>
      <c r="ARF55" s="214"/>
      <c r="ARG55" s="214"/>
      <c r="ARH55" s="214"/>
      <c r="ARI55" s="214"/>
      <c r="ARJ55" s="214"/>
      <c r="ARK55" s="214"/>
      <c r="ARN55" s="214"/>
      <c r="ARO55" s="214"/>
      <c r="ARP55" s="214"/>
      <c r="ARQ55" s="214"/>
      <c r="ARR55" s="214"/>
      <c r="ARS55" s="214"/>
      <c r="ART55" s="214"/>
      <c r="ARU55" s="214"/>
      <c r="ARV55" s="214"/>
      <c r="ARW55" s="214"/>
      <c r="ARZ55" s="214"/>
      <c r="ASA55" s="214"/>
      <c r="ASB55" s="214"/>
      <c r="ASC55" s="214"/>
      <c r="ASD55" s="214"/>
      <c r="ASE55" s="214"/>
      <c r="ASF55" s="214"/>
      <c r="ASG55" s="214"/>
      <c r="ASH55" s="214"/>
      <c r="ASI55" s="214"/>
      <c r="ASL55" s="214"/>
      <c r="ASM55" s="214"/>
      <c r="ASN55" s="214"/>
      <c r="ASO55" s="214"/>
      <c r="ASP55" s="214"/>
      <c r="ASQ55" s="214"/>
      <c r="ASR55" s="214"/>
      <c r="ASS55" s="214"/>
      <c r="AST55" s="214"/>
      <c r="ASU55" s="214"/>
      <c r="ASX55" s="214"/>
      <c r="ASY55" s="214"/>
      <c r="ASZ55" s="214"/>
      <c r="ATA55" s="214"/>
      <c r="ATB55" s="214"/>
      <c r="ATC55" s="214"/>
      <c r="ATD55" s="214"/>
      <c r="ATE55" s="214"/>
      <c r="ATF55" s="214"/>
      <c r="ATG55" s="214"/>
      <c r="ATJ55" s="214"/>
      <c r="ATK55" s="214"/>
      <c r="ATL55" s="214"/>
      <c r="ATM55" s="214"/>
      <c r="ATN55" s="214"/>
      <c r="ATO55" s="214"/>
      <c r="ATP55" s="214"/>
      <c r="ATQ55" s="214"/>
      <c r="ATR55" s="214"/>
      <c r="ATS55" s="214"/>
      <c r="ATV55" s="214"/>
      <c r="ATW55" s="214"/>
      <c r="ATX55" s="214"/>
      <c r="ATY55" s="214"/>
      <c r="ATZ55" s="214"/>
      <c r="AUA55" s="214"/>
      <c r="AUB55" s="214"/>
      <c r="AUC55" s="214"/>
      <c r="AUD55" s="214"/>
      <c r="AUE55" s="214"/>
      <c r="AUH55" s="214"/>
      <c r="AUI55" s="214"/>
      <c r="AUJ55" s="214"/>
      <c r="AUK55" s="214"/>
      <c r="AUL55" s="214"/>
      <c r="AUM55" s="214"/>
      <c r="AUN55" s="214"/>
      <c r="AUO55" s="214"/>
      <c r="AUP55" s="214"/>
      <c r="AUQ55" s="214"/>
      <c r="AUT55" s="214"/>
      <c r="AUU55" s="214"/>
      <c r="AUV55" s="214"/>
      <c r="AUW55" s="214"/>
      <c r="AUX55" s="214"/>
      <c r="AUY55" s="214"/>
      <c r="AUZ55" s="214"/>
      <c r="AVA55" s="214"/>
      <c r="AVB55" s="214"/>
      <c r="AVC55" s="214"/>
      <c r="AVF55" s="214"/>
      <c r="AVG55" s="214"/>
      <c r="AVH55" s="214"/>
      <c r="AVI55" s="214"/>
      <c r="AVJ55" s="214"/>
      <c r="AVK55" s="214"/>
      <c r="AVL55" s="214"/>
      <c r="AVM55" s="214"/>
      <c r="AVN55" s="214"/>
      <c r="AVO55" s="214"/>
      <c r="AVR55" s="214"/>
      <c r="AVS55" s="214"/>
      <c r="AVT55" s="214"/>
      <c r="AVU55" s="214"/>
      <c r="AVV55" s="214"/>
      <c r="AVW55" s="214"/>
      <c r="AVX55" s="214"/>
      <c r="AVY55" s="214"/>
      <c r="AVZ55" s="214"/>
      <c r="AWA55" s="214"/>
      <c r="AWD55" s="214"/>
      <c r="AWE55" s="214"/>
      <c r="AWF55" s="214"/>
      <c r="AWG55" s="214"/>
      <c r="AWH55" s="214"/>
      <c r="AWI55" s="214"/>
      <c r="AWJ55" s="214"/>
      <c r="AWK55" s="214"/>
      <c r="AWL55" s="214"/>
      <c r="AWM55" s="214"/>
      <c r="AWP55" s="214"/>
      <c r="AWQ55" s="214"/>
      <c r="AWR55" s="214"/>
      <c r="AWS55" s="214"/>
      <c r="AWT55" s="214"/>
      <c r="AWU55" s="214"/>
      <c r="AWV55" s="214"/>
      <c r="AWW55" s="214"/>
      <c r="AWX55" s="214"/>
      <c r="AWY55" s="214"/>
      <c r="AXB55" s="214"/>
      <c r="AXC55" s="214"/>
      <c r="AXD55" s="214"/>
      <c r="AXE55" s="214"/>
      <c r="AXF55" s="214"/>
      <c r="AXG55" s="214"/>
      <c r="AXH55" s="214"/>
      <c r="AXI55" s="214"/>
      <c r="AXJ55" s="214"/>
      <c r="AXK55" s="214"/>
      <c r="AXN55" s="214"/>
      <c r="AXO55" s="214"/>
      <c r="AXP55" s="214"/>
      <c r="AXQ55" s="214"/>
      <c r="AXR55" s="214"/>
      <c r="AXS55" s="214"/>
      <c r="AXT55" s="214"/>
      <c r="AXU55" s="214"/>
      <c r="AXV55" s="214"/>
      <c r="AXW55" s="214"/>
      <c r="AXZ55" s="214"/>
      <c r="AYA55" s="214"/>
      <c r="AYB55" s="214"/>
      <c r="AYC55" s="214"/>
      <c r="AYD55" s="214"/>
      <c r="AYE55" s="214"/>
      <c r="AYF55" s="214"/>
      <c r="AYG55" s="214"/>
      <c r="AYH55" s="214"/>
      <c r="AYI55" s="214"/>
      <c r="AYL55" s="214"/>
      <c r="AYM55" s="214"/>
      <c r="AYN55" s="214"/>
      <c r="AYO55" s="214"/>
      <c r="AYP55" s="214"/>
      <c r="AYQ55" s="214"/>
      <c r="AYR55" s="214"/>
      <c r="AYS55" s="214"/>
      <c r="AYT55" s="214"/>
      <c r="AYU55" s="214"/>
      <c r="AYX55" s="214"/>
      <c r="AYY55" s="214"/>
      <c r="AYZ55" s="214"/>
      <c r="AZA55" s="214"/>
      <c r="AZB55" s="214"/>
      <c r="AZC55" s="214"/>
      <c r="AZD55" s="214"/>
      <c r="AZE55" s="214"/>
      <c r="AZF55" s="214"/>
      <c r="AZG55" s="214"/>
      <c r="AZJ55" s="214"/>
      <c r="AZK55" s="214"/>
      <c r="AZL55" s="214"/>
      <c r="AZM55" s="214"/>
      <c r="AZN55" s="214"/>
      <c r="AZO55" s="214"/>
      <c r="AZP55" s="214"/>
      <c r="AZQ55" s="214"/>
      <c r="AZR55" s="214"/>
      <c r="AZS55" s="214"/>
      <c r="AZV55" s="214"/>
      <c r="AZW55" s="214"/>
      <c r="AZX55" s="214"/>
      <c r="AZY55" s="214"/>
      <c r="AZZ55" s="214"/>
      <c r="BAA55" s="214"/>
      <c r="BAB55" s="214"/>
      <c r="BAC55" s="214"/>
      <c r="BAD55" s="214"/>
      <c r="BAE55" s="214"/>
      <c r="BAH55" s="214"/>
      <c r="BAI55" s="214"/>
      <c r="BAJ55" s="214"/>
      <c r="BAK55" s="214"/>
      <c r="BAL55" s="214"/>
      <c r="BAM55" s="214"/>
      <c r="BAN55" s="214"/>
      <c r="BAO55" s="214"/>
      <c r="BAP55" s="214"/>
      <c r="BAQ55" s="214"/>
      <c r="BAT55" s="214"/>
      <c r="BAU55" s="214"/>
      <c r="BAV55" s="214"/>
      <c r="BAW55" s="214"/>
      <c r="BAX55" s="214"/>
      <c r="BAY55" s="214"/>
      <c r="BAZ55" s="214"/>
      <c r="BBA55" s="214"/>
      <c r="BBB55" s="214"/>
      <c r="BBC55" s="214"/>
      <c r="BBF55" s="214"/>
      <c r="BBG55" s="214"/>
      <c r="BBH55" s="214"/>
      <c r="BBI55" s="214"/>
      <c r="BBJ55" s="214"/>
      <c r="BBK55" s="214"/>
      <c r="BBL55" s="214"/>
      <c r="BBM55" s="214"/>
      <c r="BBN55" s="214"/>
      <c r="BBO55" s="214"/>
      <c r="BBR55" s="214"/>
      <c r="BBS55" s="214"/>
      <c r="BBT55" s="214"/>
      <c r="BBU55" s="214"/>
      <c r="BBV55" s="214"/>
      <c r="BBW55" s="214"/>
      <c r="BBX55" s="214"/>
      <c r="BBY55" s="214"/>
      <c r="BBZ55" s="214"/>
      <c r="BCA55" s="214"/>
      <c r="BCD55" s="214"/>
      <c r="BCE55" s="214"/>
      <c r="BCF55" s="214"/>
      <c r="BCG55" s="214"/>
      <c r="BCH55" s="214"/>
      <c r="BCI55" s="214"/>
      <c r="BCJ55" s="214"/>
      <c r="BCK55" s="214"/>
      <c r="BCL55" s="214"/>
      <c r="BCM55" s="214"/>
      <c r="BCP55" s="214"/>
      <c r="BCQ55" s="214"/>
      <c r="BCR55" s="214"/>
      <c r="BCS55" s="214"/>
      <c r="BCT55" s="214"/>
      <c r="BCU55" s="214"/>
      <c r="BCV55" s="214"/>
      <c r="BCW55" s="214"/>
      <c r="BCX55" s="214"/>
      <c r="BCY55" s="214"/>
      <c r="BDB55" s="214"/>
      <c r="BDC55" s="214"/>
      <c r="BDD55" s="214"/>
      <c r="BDE55" s="214"/>
      <c r="BDF55" s="214"/>
      <c r="BDG55" s="214"/>
      <c r="BDH55" s="214"/>
      <c r="BDI55" s="214"/>
      <c r="BDJ55" s="214"/>
      <c r="BDK55" s="214"/>
      <c r="BDN55" s="214"/>
      <c r="BDO55" s="214"/>
      <c r="BDP55" s="214"/>
      <c r="BDQ55" s="214"/>
      <c r="BDR55" s="214"/>
      <c r="BDS55" s="214"/>
      <c r="BDT55" s="214"/>
      <c r="BDU55" s="214"/>
      <c r="BDV55" s="214"/>
      <c r="BDW55" s="214"/>
      <c r="BDZ55" s="214"/>
      <c r="BEA55" s="214"/>
      <c r="BEB55" s="214"/>
      <c r="BEC55" s="214"/>
      <c r="BED55" s="214"/>
      <c r="BEE55" s="214"/>
      <c r="BEF55" s="214"/>
      <c r="BEG55" s="214"/>
      <c r="BEH55" s="214"/>
      <c r="BEI55" s="214"/>
      <c r="BEL55" s="214"/>
      <c r="BEM55" s="214"/>
      <c r="BEN55" s="214"/>
      <c r="BEO55" s="214"/>
      <c r="BEP55" s="214"/>
      <c r="BEQ55" s="214"/>
      <c r="BER55" s="214"/>
      <c r="BES55" s="214"/>
      <c r="BET55" s="214"/>
      <c r="BEU55" s="214"/>
      <c r="BEX55" s="214"/>
      <c r="BEY55" s="214"/>
      <c r="BEZ55" s="214"/>
      <c r="BFA55" s="214"/>
      <c r="BFB55" s="214"/>
      <c r="BFC55" s="214"/>
      <c r="BFD55" s="214"/>
      <c r="BFE55" s="214"/>
      <c r="BFF55" s="214"/>
      <c r="BFG55" s="214"/>
      <c r="BFJ55" s="214"/>
      <c r="BFK55" s="214"/>
      <c r="BFL55" s="214"/>
      <c r="BFM55" s="214"/>
      <c r="BFN55" s="214"/>
      <c r="BFO55" s="214"/>
      <c r="BFP55" s="214"/>
      <c r="BFQ55" s="214"/>
      <c r="BFR55" s="214"/>
      <c r="BFS55" s="214"/>
      <c r="BFV55" s="214"/>
      <c r="BFW55" s="214"/>
      <c r="BFX55" s="214"/>
      <c r="BFY55" s="214"/>
      <c r="BFZ55" s="214"/>
      <c r="BGA55" s="214"/>
      <c r="BGB55" s="214"/>
      <c r="BGC55" s="214"/>
      <c r="BGD55" s="214"/>
      <c r="BGE55" s="214"/>
      <c r="BGH55" s="214"/>
      <c r="BGI55" s="214"/>
      <c r="BGJ55" s="214"/>
      <c r="BGK55" s="214"/>
      <c r="BGL55" s="214"/>
      <c r="BGM55" s="214"/>
      <c r="BGN55" s="214"/>
      <c r="BGO55" s="214"/>
      <c r="BGP55" s="214"/>
      <c r="BGQ55" s="214"/>
      <c r="BGT55" s="214"/>
      <c r="BGU55" s="214"/>
      <c r="BGV55" s="214"/>
      <c r="BGW55" s="214"/>
      <c r="BGX55" s="214"/>
      <c r="BGY55" s="214"/>
      <c r="BGZ55" s="214"/>
      <c r="BHA55" s="214"/>
      <c r="BHB55" s="214"/>
      <c r="BHC55" s="214"/>
      <c r="BHF55" s="214"/>
      <c r="BHG55" s="214"/>
      <c r="BHH55" s="214"/>
      <c r="BHI55" s="214"/>
      <c r="BHJ55" s="214"/>
      <c r="BHK55" s="214"/>
      <c r="BHL55" s="214"/>
      <c r="BHM55" s="214"/>
      <c r="BHN55" s="214"/>
      <c r="BHO55" s="214"/>
      <c r="BHR55" s="214"/>
      <c r="BHS55" s="214"/>
      <c r="BHT55" s="214"/>
      <c r="BHU55" s="214"/>
      <c r="BHV55" s="214"/>
      <c r="BHW55" s="214"/>
      <c r="BHX55" s="214"/>
      <c r="BHY55" s="214"/>
      <c r="BHZ55" s="214"/>
      <c r="BIA55" s="214"/>
      <c r="BID55" s="214"/>
      <c r="BIE55" s="214"/>
      <c r="BIF55" s="214"/>
      <c r="BIG55" s="214"/>
      <c r="BIH55" s="214"/>
      <c r="BII55" s="214"/>
      <c r="BIJ55" s="214"/>
      <c r="BIK55" s="214"/>
      <c r="BIL55" s="214"/>
      <c r="BIM55" s="214"/>
      <c r="BIP55" s="214"/>
      <c r="BIQ55" s="214"/>
      <c r="BIR55" s="214"/>
      <c r="BIS55" s="214"/>
      <c r="BIT55" s="214"/>
      <c r="BIU55" s="214"/>
      <c r="BIV55" s="214"/>
      <c r="BIW55" s="214"/>
      <c r="BIX55" s="214"/>
      <c r="BIY55" s="214"/>
      <c r="BJB55" s="214"/>
      <c r="BJC55" s="214"/>
      <c r="BJD55" s="214"/>
      <c r="BJE55" s="214"/>
      <c r="BJF55" s="214"/>
      <c r="BJG55" s="214"/>
      <c r="BJH55" s="214"/>
      <c r="BJI55" s="214"/>
      <c r="BJJ55" s="214"/>
      <c r="BJK55" s="214"/>
      <c r="BJN55" s="214"/>
      <c r="BJO55" s="214"/>
      <c r="BJP55" s="214"/>
      <c r="BJQ55" s="214"/>
      <c r="BJR55" s="214"/>
      <c r="BJS55" s="214"/>
      <c r="BJT55" s="214"/>
      <c r="BJU55" s="214"/>
      <c r="BJV55" s="214"/>
      <c r="BJW55" s="214"/>
      <c r="BJZ55" s="214"/>
      <c r="BKA55" s="214"/>
      <c r="BKB55" s="214"/>
      <c r="BKC55" s="214"/>
      <c r="BKD55" s="214"/>
      <c r="BKE55" s="214"/>
      <c r="BKF55" s="214"/>
      <c r="BKG55" s="214"/>
      <c r="BKH55" s="214"/>
      <c r="BKI55" s="214"/>
      <c r="BKL55" s="214"/>
      <c r="BKM55" s="214"/>
      <c r="BKN55" s="214"/>
      <c r="BKO55" s="214"/>
      <c r="BKP55" s="214"/>
      <c r="BKQ55" s="214"/>
      <c r="BKR55" s="214"/>
      <c r="BKS55" s="214"/>
      <c r="BKT55" s="214"/>
      <c r="BKU55" s="214"/>
      <c r="BKX55" s="214"/>
      <c r="BKY55" s="214"/>
      <c r="BKZ55" s="214"/>
      <c r="BLA55" s="214"/>
      <c r="BLB55" s="214"/>
      <c r="BLC55" s="214"/>
      <c r="BLD55" s="214"/>
      <c r="BLE55" s="214"/>
      <c r="BLF55" s="214"/>
      <c r="BLG55" s="214"/>
      <c r="BLJ55" s="214"/>
      <c r="BLK55" s="214"/>
      <c r="BLL55" s="214"/>
      <c r="BLM55" s="214"/>
      <c r="BLN55" s="214"/>
      <c r="BLO55" s="214"/>
      <c r="BLP55" s="214"/>
      <c r="BLQ55" s="214"/>
      <c r="BLR55" s="214"/>
      <c r="BLS55" s="214"/>
      <c r="BLV55" s="214"/>
      <c r="BLW55" s="214"/>
      <c r="BLX55" s="214"/>
      <c r="BLY55" s="214"/>
      <c r="BLZ55" s="214"/>
      <c r="BMA55" s="214"/>
      <c r="BMB55" s="214"/>
      <c r="BMC55" s="214"/>
      <c r="BMD55" s="214"/>
      <c r="BME55" s="214"/>
      <c r="BMH55" s="214"/>
      <c r="BMI55" s="214"/>
      <c r="BMJ55" s="214"/>
      <c r="BMK55" s="214"/>
      <c r="BML55" s="214"/>
      <c r="BMM55" s="214"/>
      <c r="BMN55" s="214"/>
      <c r="BMO55" s="214"/>
      <c r="BMP55" s="214"/>
      <c r="BMQ55" s="214"/>
      <c r="BMT55" s="214"/>
      <c r="BMU55" s="214"/>
      <c r="BMV55" s="214"/>
      <c r="BMW55" s="214"/>
      <c r="BMX55" s="214"/>
      <c r="BMY55" s="214"/>
      <c r="BMZ55" s="214"/>
      <c r="BNA55" s="214"/>
      <c r="BNB55" s="214"/>
      <c r="BNC55" s="214"/>
      <c r="BNF55" s="214"/>
      <c r="BNG55" s="214"/>
      <c r="BNH55" s="214"/>
      <c r="BNI55" s="214"/>
      <c r="BNJ55" s="214"/>
      <c r="BNK55" s="214"/>
      <c r="BNL55" s="214"/>
      <c r="BNM55" s="214"/>
      <c r="BNN55" s="214"/>
      <c r="BNO55" s="214"/>
      <c r="BNR55" s="214"/>
      <c r="BNS55" s="214"/>
      <c r="BNT55" s="214"/>
      <c r="BNU55" s="214"/>
      <c r="BNV55" s="214"/>
      <c r="BNW55" s="214"/>
      <c r="BNX55" s="214"/>
      <c r="BNY55" s="214"/>
      <c r="BNZ55" s="214"/>
      <c r="BOA55" s="214"/>
      <c r="BOD55" s="214"/>
      <c r="BOE55" s="214"/>
      <c r="BOF55" s="214"/>
      <c r="BOG55" s="214"/>
      <c r="BOH55" s="214"/>
      <c r="BOI55" s="214"/>
      <c r="BOJ55" s="214"/>
      <c r="BOK55" s="214"/>
      <c r="BOL55" s="214"/>
      <c r="BOM55" s="214"/>
      <c r="BOP55" s="214"/>
      <c r="BOQ55" s="214"/>
      <c r="BOR55" s="214"/>
      <c r="BOS55" s="214"/>
      <c r="BOT55" s="214"/>
      <c r="BOU55" s="214"/>
      <c r="BOV55" s="214"/>
      <c r="BOW55" s="214"/>
      <c r="BOX55" s="214"/>
      <c r="BOY55" s="214"/>
      <c r="BPB55" s="214"/>
      <c r="BPC55" s="214"/>
      <c r="BPD55" s="214"/>
      <c r="BPE55" s="214"/>
      <c r="BPF55" s="214"/>
      <c r="BPG55" s="214"/>
      <c r="BPH55" s="214"/>
      <c r="BPI55" s="214"/>
      <c r="BPJ55" s="214"/>
      <c r="BPK55" s="214"/>
      <c r="BPN55" s="214"/>
      <c r="BPO55" s="214"/>
      <c r="BPP55" s="214"/>
      <c r="BPQ55" s="214"/>
      <c r="BPR55" s="214"/>
      <c r="BPS55" s="214"/>
      <c r="BPT55" s="214"/>
      <c r="BPU55" s="214"/>
      <c r="BPV55" s="214"/>
      <c r="BPW55" s="214"/>
      <c r="BPZ55" s="214"/>
      <c r="BQA55" s="214"/>
      <c r="BQB55" s="214"/>
      <c r="BQC55" s="214"/>
      <c r="BQD55" s="214"/>
      <c r="BQE55" s="214"/>
      <c r="BQF55" s="214"/>
      <c r="BQG55" s="214"/>
      <c r="BQH55" s="214"/>
      <c r="BQI55" s="214"/>
      <c r="BQL55" s="214"/>
      <c r="BQM55" s="214"/>
      <c r="BQN55" s="214"/>
      <c r="BQO55" s="214"/>
      <c r="BQP55" s="214"/>
      <c r="BQQ55" s="214"/>
      <c r="BQR55" s="214"/>
      <c r="BQS55" s="214"/>
      <c r="BQT55" s="214"/>
      <c r="BQU55" s="214"/>
      <c r="BQX55" s="214"/>
      <c r="BQY55" s="214"/>
      <c r="BQZ55" s="214"/>
      <c r="BRA55" s="214"/>
      <c r="BRB55" s="214"/>
      <c r="BRC55" s="214"/>
      <c r="BRD55" s="214"/>
      <c r="BRE55" s="214"/>
      <c r="BRF55" s="214"/>
      <c r="BRG55" s="214"/>
      <c r="BRJ55" s="214"/>
      <c r="BRK55" s="214"/>
      <c r="BRL55" s="214"/>
      <c r="BRM55" s="214"/>
      <c r="BRN55" s="214"/>
      <c r="BRO55" s="214"/>
      <c r="BRP55" s="214"/>
      <c r="BRQ55" s="214"/>
      <c r="BRR55" s="214"/>
      <c r="BRS55" s="214"/>
      <c r="BRV55" s="214"/>
      <c r="BRW55" s="214"/>
      <c r="BRX55" s="214"/>
      <c r="BRY55" s="214"/>
      <c r="BRZ55" s="214"/>
      <c r="BSA55" s="214"/>
      <c r="BSB55" s="214"/>
      <c r="BSC55" s="214"/>
      <c r="BSD55" s="214"/>
      <c r="BSE55" s="214"/>
      <c r="BSH55" s="214"/>
      <c r="BSI55" s="214"/>
      <c r="BSJ55" s="214"/>
      <c r="BSK55" s="214"/>
      <c r="BSL55" s="214"/>
      <c r="BSM55" s="214"/>
      <c r="BSN55" s="214"/>
      <c r="BSO55" s="214"/>
      <c r="BSP55" s="214"/>
      <c r="BSQ55" s="214"/>
      <c r="BST55" s="214"/>
      <c r="BSU55" s="214"/>
      <c r="BSV55" s="214"/>
      <c r="BSW55" s="214"/>
      <c r="BSX55" s="214"/>
      <c r="BSY55" s="214"/>
      <c r="BSZ55" s="214"/>
      <c r="BTA55" s="214"/>
      <c r="BTB55" s="214"/>
      <c r="BTC55" s="214"/>
      <c r="BTF55" s="214"/>
      <c r="BTG55" s="214"/>
      <c r="BTH55" s="214"/>
      <c r="BTI55" s="214"/>
      <c r="BTJ55" s="214"/>
      <c r="BTK55" s="214"/>
      <c r="BTL55" s="214"/>
      <c r="BTM55" s="214"/>
      <c r="BTN55" s="214"/>
      <c r="BTO55" s="214"/>
      <c r="BTR55" s="214"/>
      <c r="BTS55" s="214"/>
      <c r="BTT55" s="214"/>
      <c r="BTU55" s="214"/>
      <c r="BTV55" s="214"/>
      <c r="BTW55" s="214"/>
      <c r="BTX55" s="214"/>
      <c r="BTY55" s="214"/>
      <c r="BTZ55" s="214"/>
      <c r="BUA55" s="214"/>
      <c r="BUD55" s="214"/>
      <c r="BUE55" s="214"/>
      <c r="BUF55" s="214"/>
      <c r="BUG55" s="214"/>
      <c r="BUH55" s="214"/>
      <c r="BUI55" s="214"/>
      <c r="BUJ55" s="214"/>
      <c r="BUK55" s="214"/>
      <c r="BUL55" s="214"/>
      <c r="BUM55" s="214"/>
      <c r="BUP55" s="214"/>
      <c r="BUQ55" s="214"/>
      <c r="BUR55" s="214"/>
      <c r="BUS55" s="214"/>
      <c r="BUT55" s="214"/>
      <c r="BUU55" s="214"/>
      <c r="BUV55" s="214"/>
      <c r="BUW55" s="214"/>
      <c r="BUX55" s="214"/>
      <c r="BUY55" s="214"/>
      <c r="BVB55" s="214"/>
      <c r="BVC55" s="214"/>
      <c r="BVD55" s="214"/>
      <c r="BVE55" s="214"/>
      <c r="BVF55" s="214"/>
      <c r="BVG55" s="214"/>
      <c r="BVH55" s="214"/>
      <c r="BVI55" s="214"/>
      <c r="BVJ55" s="214"/>
      <c r="BVK55" s="214"/>
      <c r="BVN55" s="214"/>
      <c r="BVO55" s="214"/>
      <c r="BVP55" s="214"/>
      <c r="BVQ55" s="214"/>
      <c r="BVR55" s="214"/>
      <c r="BVS55" s="214"/>
      <c r="BVT55" s="214"/>
      <c r="BVU55" s="214"/>
      <c r="BVV55" s="214"/>
      <c r="BVW55" s="214"/>
      <c r="BVZ55" s="214"/>
      <c r="BWA55" s="214"/>
      <c r="BWB55" s="214"/>
      <c r="BWC55" s="214"/>
      <c r="BWD55" s="214"/>
      <c r="BWE55" s="214"/>
      <c r="BWF55" s="214"/>
      <c r="BWG55" s="214"/>
      <c r="BWH55" s="214"/>
      <c r="BWI55" s="214"/>
      <c r="BWL55" s="214"/>
      <c r="BWM55" s="214"/>
      <c r="BWN55" s="214"/>
      <c r="BWO55" s="214"/>
      <c r="BWP55" s="214"/>
      <c r="BWQ55" s="214"/>
      <c r="BWR55" s="214"/>
      <c r="BWS55" s="214"/>
      <c r="BWT55" s="214"/>
      <c r="BWU55" s="214"/>
      <c r="BWX55" s="214"/>
      <c r="BWY55" s="214"/>
      <c r="BWZ55" s="214"/>
      <c r="BXA55" s="214"/>
      <c r="BXB55" s="214"/>
      <c r="BXC55" s="214"/>
      <c r="BXD55" s="214"/>
      <c r="BXE55" s="214"/>
      <c r="BXF55" s="214"/>
      <c r="BXG55" s="214"/>
      <c r="BXJ55" s="214"/>
      <c r="BXK55" s="214"/>
      <c r="BXL55" s="214"/>
      <c r="BXM55" s="214"/>
      <c r="BXN55" s="214"/>
      <c r="BXO55" s="214"/>
      <c r="BXP55" s="214"/>
      <c r="BXQ55" s="214"/>
      <c r="BXR55" s="214"/>
      <c r="BXS55" s="214"/>
      <c r="BXV55" s="214"/>
      <c r="BXW55" s="214"/>
      <c r="BXX55" s="214"/>
      <c r="BXY55" s="214"/>
      <c r="BXZ55" s="214"/>
      <c r="BYA55" s="214"/>
      <c r="BYB55" s="214"/>
      <c r="BYC55" s="214"/>
      <c r="BYD55" s="214"/>
      <c r="BYE55" s="214"/>
      <c r="BYH55" s="214"/>
      <c r="BYI55" s="214"/>
      <c r="BYJ55" s="214"/>
      <c r="BYK55" s="214"/>
      <c r="BYL55" s="214"/>
      <c r="BYM55" s="214"/>
      <c r="BYN55" s="214"/>
      <c r="BYO55" s="214"/>
      <c r="BYP55" s="214"/>
      <c r="BYQ55" s="214"/>
      <c r="BYT55" s="214"/>
      <c r="BYU55" s="214"/>
      <c r="BYV55" s="214"/>
      <c r="BYW55" s="214"/>
      <c r="BYX55" s="214"/>
      <c r="BYY55" s="214"/>
      <c r="BYZ55" s="214"/>
      <c r="BZA55" s="214"/>
      <c r="BZB55" s="214"/>
      <c r="BZC55" s="214"/>
      <c r="BZF55" s="214"/>
      <c r="BZG55" s="214"/>
      <c r="BZH55" s="214"/>
      <c r="BZI55" s="214"/>
      <c r="BZJ55" s="214"/>
      <c r="BZK55" s="214"/>
      <c r="BZL55" s="214"/>
      <c r="BZM55" s="214"/>
      <c r="BZN55" s="214"/>
      <c r="BZO55" s="214"/>
      <c r="BZR55" s="214"/>
      <c r="BZS55" s="214"/>
      <c r="BZT55" s="214"/>
      <c r="BZU55" s="214"/>
      <c r="BZV55" s="214"/>
      <c r="BZW55" s="214"/>
      <c r="BZX55" s="214"/>
      <c r="BZY55" s="214"/>
      <c r="BZZ55" s="214"/>
      <c r="CAA55" s="214"/>
      <c r="CAD55" s="214"/>
      <c r="CAE55" s="214"/>
      <c r="CAF55" s="214"/>
      <c r="CAG55" s="214"/>
      <c r="CAH55" s="214"/>
      <c r="CAI55" s="214"/>
      <c r="CAJ55" s="214"/>
      <c r="CAK55" s="214"/>
      <c r="CAL55" s="214"/>
      <c r="CAM55" s="214"/>
      <c r="CAP55" s="214"/>
      <c r="CAQ55" s="214"/>
      <c r="CAR55" s="214"/>
      <c r="CAS55" s="214"/>
      <c r="CAT55" s="214"/>
      <c r="CAU55" s="214"/>
      <c r="CAV55" s="214"/>
      <c r="CAW55" s="214"/>
      <c r="CAX55" s="214"/>
      <c r="CAY55" s="214"/>
      <c r="CBB55" s="214"/>
      <c r="CBC55" s="214"/>
      <c r="CBD55" s="214"/>
      <c r="CBE55" s="214"/>
      <c r="CBF55" s="214"/>
      <c r="CBG55" s="214"/>
      <c r="CBH55" s="214"/>
      <c r="CBI55" s="214"/>
      <c r="CBJ55" s="214"/>
      <c r="CBK55" s="214"/>
      <c r="CBN55" s="214"/>
      <c r="CBO55" s="214"/>
      <c r="CBP55" s="214"/>
      <c r="CBQ55" s="214"/>
      <c r="CBR55" s="214"/>
      <c r="CBS55" s="214"/>
      <c r="CBT55" s="214"/>
      <c r="CBU55" s="214"/>
      <c r="CBV55" s="214"/>
      <c r="CBW55" s="214"/>
      <c r="CBZ55" s="214"/>
      <c r="CCA55" s="214"/>
      <c r="CCB55" s="214"/>
      <c r="CCC55" s="214"/>
      <c r="CCD55" s="214"/>
      <c r="CCE55" s="214"/>
      <c r="CCF55" s="214"/>
      <c r="CCG55" s="214"/>
      <c r="CCH55" s="214"/>
      <c r="CCI55" s="214"/>
      <c r="CCL55" s="214"/>
      <c r="CCM55" s="214"/>
      <c r="CCN55" s="214"/>
      <c r="CCO55" s="214"/>
      <c r="CCP55" s="214"/>
      <c r="CCQ55" s="214"/>
      <c r="CCR55" s="214"/>
      <c r="CCS55" s="214"/>
      <c r="CCT55" s="214"/>
      <c r="CCU55" s="214"/>
      <c r="CCX55" s="214"/>
      <c r="CCY55" s="214"/>
      <c r="CCZ55" s="214"/>
      <c r="CDA55" s="214"/>
      <c r="CDB55" s="214"/>
      <c r="CDC55" s="214"/>
      <c r="CDD55" s="214"/>
      <c r="CDE55" s="214"/>
      <c r="CDF55" s="214"/>
      <c r="CDG55" s="214"/>
      <c r="CDJ55" s="214"/>
      <c r="CDK55" s="214"/>
      <c r="CDL55" s="214"/>
      <c r="CDM55" s="214"/>
      <c r="CDN55" s="214"/>
      <c r="CDO55" s="214"/>
      <c r="CDP55" s="214"/>
      <c r="CDQ55" s="214"/>
      <c r="CDR55" s="214"/>
      <c r="CDS55" s="214"/>
      <c r="CDV55" s="214"/>
      <c r="CDW55" s="214"/>
      <c r="CDX55" s="214"/>
      <c r="CDY55" s="214"/>
      <c r="CDZ55" s="214"/>
      <c r="CEA55" s="214"/>
      <c r="CEB55" s="214"/>
      <c r="CEC55" s="214"/>
      <c r="CED55" s="214"/>
      <c r="CEE55" s="214"/>
      <c r="CEH55" s="214"/>
      <c r="CEI55" s="214"/>
      <c r="CEJ55" s="214"/>
      <c r="CEK55" s="214"/>
      <c r="CEL55" s="214"/>
      <c r="CEM55" s="214"/>
      <c r="CEN55" s="214"/>
      <c r="CEO55" s="214"/>
      <c r="CEP55" s="214"/>
      <c r="CEQ55" s="214"/>
      <c r="CET55" s="214"/>
      <c r="CEU55" s="214"/>
      <c r="CEV55" s="214"/>
      <c r="CEW55" s="214"/>
      <c r="CEX55" s="214"/>
      <c r="CEY55" s="214"/>
      <c r="CEZ55" s="214"/>
      <c r="CFA55" s="214"/>
      <c r="CFB55" s="214"/>
      <c r="CFC55" s="214"/>
      <c r="CFF55" s="214"/>
      <c r="CFG55" s="214"/>
      <c r="CFH55" s="214"/>
      <c r="CFI55" s="214"/>
      <c r="CFJ55" s="214"/>
      <c r="CFK55" s="214"/>
      <c r="CFL55" s="214"/>
      <c r="CFM55" s="214"/>
      <c r="CFN55" s="214"/>
      <c r="CFO55" s="214"/>
      <c r="CFR55" s="214"/>
      <c r="CFS55" s="214"/>
      <c r="CFT55" s="214"/>
      <c r="CFU55" s="214"/>
      <c r="CFV55" s="214"/>
      <c r="CFW55" s="214"/>
      <c r="CFX55" s="214"/>
      <c r="CFY55" s="214"/>
      <c r="CFZ55" s="214"/>
      <c r="CGA55" s="214"/>
      <c r="CGD55" s="214"/>
      <c r="CGE55" s="214"/>
      <c r="CGF55" s="214"/>
      <c r="CGG55" s="214"/>
      <c r="CGH55" s="214"/>
      <c r="CGI55" s="214"/>
      <c r="CGJ55" s="214"/>
      <c r="CGK55" s="214"/>
      <c r="CGL55" s="214"/>
      <c r="CGM55" s="214"/>
      <c r="CGP55" s="214"/>
      <c r="CGQ55" s="214"/>
      <c r="CGR55" s="214"/>
      <c r="CGS55" s="214"/>
      <c r="CGT55" s="214"/>
      <c r="CGU55" s="214"/>
      <c r="CGV55" s="214"/>
      <c r="CGW55" s="214"/>
      <c r="CGX55" s="214"/>
      <c r="CGY55" s="214"/>
      <c r="CHB55" s="214"/>
      <c r="CHC55" s="214"/>
      <c r="CHD55" s="214"/>
      <c r="CHE55" s="214"/>
      <c r="CHF55" s="214"/>
      <c r="CHG55" s="214"/>
      <c r="CHH55" s="214"/>
      <c r="CHI55" s="214"/>
      <c r="CHJ55" s="214"/>
      <c r="CHK55" s="214"/>
      <c r="CHN55" s="214"/>
      <c r="CHO55" s="214"/>
      <c r="CHP55" s="214"/>
      <c r="CHQ55" s="214"/>
      <c r="CHR55" s="214"/>
      <c r="CHS55" s="214"/>
      <c r="CHT55" s="214"/>
      <c r="CHU55" s="214"/>
      <c r="CHV55" s="214"/>
      <c r="CHW55" s="214"/>
      <c r="CHZ55" s="214"/>
      <c r="CIA55" s="214"/>
      <c r="CIB55" s="214"/>
      <c r="CIC55" s="214"/>
      <c r="CID55" s="214"/>
      <c r="CIE55" s="214"/>
      <c r="CIF55" s="214"/>
      <c r="CIG55" s="214"/>
      <c r="CIH55" s="214"/>
      <c r="CII55" s="214"/>
      <c r="CIL55" s="214"/>
      <c r="CIM55" s="214"/>
      <c r="CIN55" s="214"/>
      <c r="CIO55" s="214"/>
      <c r="CIP55" s="214"/>
      <c r="CIQ55" s="214"/>
      <c r="CIR55" s="214"/>
      <c r="CIS55" s="214"/>
      <c r="CIT55" s="214"/>
      <c r="CIU55" s="214"/>
      <c r="CIX55" s="214"/>
      <c r="CIY55" s="214"/>
      <c r="CIZ55" s="214"/>
      <c r="CJA55" s="214"/>
      <c r="CJB55" s="214"/>
      <c r="CJC55" s="214"/>
      <c r="CJD55" s="214"/>
      <c r="CJE55" s="214"/>
      <c r="CJF55" s="214"/>
      <c r="CJG55" s="214"/>
      <c r="CJJ55" s="214"/>
      <c r="CJK55" s="214"/>
      <c r="CJL55" s="214"/>
      <c r="CJM55" s="214"/>
      <c r="CJN55" s="214"/>
      <c r="CJO55" s="214"/>
      <c r="CJP55" s="214"/>
      <c r="CJQ55" s="214"/>
      <c r="CJR55" s="214"/>
      <c r="CJS55" s="214"/>
      <c r="CJV55" s="214"/>
      <c r="CJW55" s="214"/>
      <c r="CJX55" s="214"/>
      <c r="CJY55" s="214"/>
      <c r="CJZ55" s="214"/>
      <c r="CKA55" s="214"/>
      <c r="CKB55" s="214"/>
      <c r="CKC55" s="214"/>
      <c r="CKD55" s="214"/>
      <c r="CKE55" s="214"/>
      <c r="CKH55" s="214"/>
      <c r="CKI55" s="214"/>
      <c r="CKJ55" s="214"/>
      <c r="CKK55" s="214"/>
      <c r="CKL55" s="214"/>
      <c r="CKM55" s="214"/>
      <c r="CKN55" s="214"/>
      <c r="CKO55" s="214"/>
      <c r="CKP55" s="214"/>
      <c r="CKQ55" s="214"/>
      <c r="CKT55" s="214"/>
      <c r="CKU55" s="214"/>
      <c r="CKV55" s="214"/>
      <c r="CKW55" s="214"/>
      <c r="CKX55" s="214"/>
      <c r="CKY55" s="214"/>
      <c r="CKZ55" s="214"/>
      <c r="CLA55" s="214"/>
      <c r="CLB55" s="214"/>
      <c r="CLC55" s="214"/>
      <c r="CLF55" s="214"/>
      <c r="CLG55" s="214"/>
      <c r="CLH55" s="214"/>
      <c r="CLI55" s="214"/>
      <c r="CLJ55" s="214"/>
      <c r="CLK55" s="214"/>
      <c r="CLL55" s="214"/>
      <c r="CLM55" s="214"/>
      <c r="CLN55" s="214"/>
      <c r="CLO55" s="214"/>
      <c r="CLR55" s="214"/>
      <c r="CLS55" s="214"/>
      <c r="CLT55" s="214"/>
      <c r="CLU55" s="214"/>
      <c r="CLV55" s="214"/>
      <c r="CLW55" s="214"/>
      <c r="CLX55" s="214"/>
      <c r="CLY55" s="214"/>
      <c r="CLZ55" s="214"/>
      <c r="CMA55" s="214"/>
      <c r="CMD55" s="214"/>
      <c r="CME55" s="214"/>
      <c r="CMF55" s="214"/>
      <c r="CMG55" s="214"/>
      <c r="CMH55" s="214"/>
      <c r="CMI55" s="214"/>
      <c r="CMJ55" s="214"/>
      <c r="CMK55" s="214"/>
      <c r="CML55" s="214"/>
      <c r="CMM55" s="214"/>
      <c r="CMP55" s="214"/>
      <c r="CMQ55" s="214"/>
      <c r="CMR55" s="214"/>
      <c r="CMS55" s="214"/>
      <c r="CMT55" s="214"/>
      <c r="CMU55" s="214"/>
      <c r="CMV55" s="214"/>
      <c r="CMW55" s="214"/>
      <c r="CMX55" s="214"/>
      <c r="CMY55" s="214"/>
      <c r="CNB55" s="214"/>
      <c r="CNC55" s="214"/>
      <c r="CND55" s="214"/>
      <c r="CNE55" s="214"/>
      <c r="CNF55" s="214"/>
      <c r="CNG55" s="214"/>
      <c r="CNH55" s="214"/>
      <c r="CNI55" s="214"/>
      <c r="CNJ55" s="214"/>
      <c r="CNK55" s="214"/>
      <c r="CNN55" s="214"/>
      <c r="CNO55" s="214"/>
      <c r="CNP55" s="214"/>
      <c r="CNQ55" s="214"/>
      <c r="CNR55" s="214"/>
      <c r="CNS55" s="214"/>
      <c r="CNT55" s="214"/>
      <c r="CNU55" s="214"/>
      <c r="CNV55" s="214"/>
      <c r="CNW55" s="214"/>
      <c r="CNZ55" s="214"/>
      <c r="COA55" s="214"/>
      <c r="COB55" s="214"/>
      <c r="COC55" s="214"/>
      <c r="COD55" s="214"/>
      <c r="COE55" s="214"/>
      <c r="COF55" s="214"/>
      <c r="COG55" s="214"/>
      <c r="COH55" s="214"/>
      <c r="COI55" s="214"/>
      <c r="COL55" s="214"/>
      <c r="COM55" s="214"/>
      <c r="CON55" s="214"/>
      <c r="COO55" s="214"/>
      <c r="COP55" s="214"/>
      <c r="COQ55" s="214"/>
      <c r="COR55" s="214"/>
      <c r="COS55" s="214"/>
      <c r="COT55" s="214"/>
      <c r="COU55" s="214"/>
      <c r="COX55" s="214"/>
      <c r="COY55" s="214"/>
      <c r="COZ55" s="214"/>
      <c r="CPA55" s="214"/>
      <c r="CPB55" s="214"/>
      <c r="CPC55" s="214"/>
      <c r="CPD55" s="214"/>
      <c r="CPE55" s="214"/>
      <c r="CPF55" s="214"/>
      <c r="CPG55" s="214"/>
      <c r="CPJ55" s="214"/>
      <c r="CPK55" s="214"/>
      <c r="CPL55" s="214"/>
      <c r="CPM55" s="214"/>
      <c r="CPN55" s="214"/>
      <c r="CPO55" s="214"/>
      <c r="CPP55" s="214"/>
      <c r="CPQ55" s="214"/>
      <c r="CPR55" s="214"/>
      <c r="CPS55" s="214"/>
      <c r="CPV55" s="214"/>
      <c r="CPW55" s="214"/>
      <c r="CPX55" s="214"/>
      <c r="CPY55" s="214"/>
      <c r="CPZ55" s="214"/>
      <c r="CQA55" s="214"/>
      <c r="CQB55" s="214"/>
      <c r="CQC55" s="214"/>
      <c r="CQD55" s="214"/>
      <c r="CQE55" s="214"/>
      <c r="CQH55" s="214"/>
      <c r="CQI55" s="214"/>
      <c r="CQJ55" s="214"/>
      <c r="CQK55" s="214"/>
      <c r="CQL55" s="214"/>
      <c r="CQM55" s="214"/>
      <c r="CQN55" s="214"/>
      <c r="CQO55" s="214"/>
      <c r="CQP55" s="214"/>
      <c r="CQQ55" s="214"/>
      <c r="CQT55" s="214"/>
      <c r="CQU55" s="214"/>
      <c r="CQV55" s="214"/>
      <c r="CQW55" s="214"/>
      <c r="CQX55" s="214"/>
      <c r="CQY55" s="214"/>
      <c r="CQZ55" s="214"/>
      <c r="CRA55" s="214"/>
      <c r="CRB55" s="214"/>
      <c r="CRC55" s="214"/>
      <c r="CRF55" s="214"/>
      <c r="CRG55" s="214"/>
      <c r="CRH55" s="214"/>
      <c r="CRI55" s="214"/>
      <c r="CRJ55" s="214"/>
      <c r="CRK55" s="214"/>
      <c r="CRL55" s="214"/>
      <c r="CRM55" s="214"/>
      <c r="CRN55" s="214"/>
      <c r="CRO55" s="214"/>
      <c r="CRR55" s="214"/>
      <c r="CRS55" s="214"/>
      <c r="CRT55" s="214"/>
      <c r="CRU55" s="214"/>
      <c r="CRV55" s="214"/>
      <c r="CRW55" s="214"/>
      <c r="CRX55" s="214"/>
      <c r="CRY55" s="214"/>
      <c r="CRZ55" s="214"/>
      <c r="CSA55" s="214"/>
      <c r="CSD55" s="214"/>
      <c r="CSE55" s="214"/>
      <c r="CSF55" s="214"/>
      <c r="CSG55" s="214"/>
      <c r="CSH55" s="214"/>
      <c r="CSI55" s="214"/>
      <c r="CSJ55" s="214"/>
      <c r="CSK55" s="214"/>
      <c r="CSL55" s="214"/>
      <c r="CSM55" s="214"/>
      <c r="CSP55" s="214"/>
      <c r="CSQ55" s="214"/>
      <c r="CSR55" s="214"/>
      <c r="CSS55" s="214"/>
      <c r="CST55" s="214"/>
      <c r="CSU55" s="214"/>
      <c r="CSV55" s="214"/>
      <c r="CSW55" s="214"/>
      <c r="CSX55" s="214"/>
      <c r="CSY55" s="214"/>
      <c r="CTB55" s="214"/>
      <c r="CTC55" s="214"/>
      <c r="CTD55" s="214"/>
      <c r="CTE55" s="214"/>
      <c r="CTF55" s="214"/>
      <c r="CTG55" s="214"/>
      <c r="CTH55" s="214"/>
      <c r="CTI55" s="214"/>
      <c r="CTJ55" s="214"/>
      <c r="CTK55" s="214"/>
      <c r="CTN55" s="214"/>
      <c r="CTO55" s="214"/>
      <c r="CTP55" s="214"/>
      <c r="CTQ55" s="214"/>
      <c r="CTR55" s="214"/>
      <c r="CTS55" s="214"/>
      <c r="CTT55" s="214"/>
      <c r="CTU55" s="214"/>
      <c r="CTV55" s="214"/>
      <c r="CTW55" s="214"/>
      <c r="CTZ55" s="214"/>
      <c r="CUA55" s="214"/>
      <c r="CUB55" s="214"/>
      <c r="CUC55" s="214"/>
      <c r="CUD55" s="214"/>
      <c r="CUE55" s="214"/>
      <c r="CUF55" s="214"/>
      <c r="CUG55" s="214"/>
      <c r="CUH55" s="214"/>
      <c r="CUI55" s="214"/>
      <c r="CUL55" s="214"/>
      <c r="CUM55" s="214"/>
      <c r="CUN55" s="214"/>
      <c r="CUO55" s="214"/>
      <c r="CUP55" s="214"/>
      <c r="CUQ55" s="214"/>
      <c r="CUR55" s="214"/>
      <c r="CUS55" s="214"/>
      <c r="CUT55" s="214"/>
      <c r="CUU55" s="214"/>
      <c r="CUX55" s="214"/>
      <c r="CUY55" s="214"/>
      <c r="CUZ55" s="214"/>
      <c r="CVA55" s="214"/>
      <c r="CVB55" s="214"/>
      <c r="CVC55" s="214"/>
      <c r="CVD55" s="214"/>
      <c r="CVE55" s="214"/>
      <c r="CVF55" s="214"/>
      <c r="CVG55" s="214"/>
      <c r="CVJ55" s="214"/>
      <c r="CVK55" s="214"/>
      <c r="CVL55" s="214"/>
      <c r="CVM55" s="214"/>
      <c r="CVN55" s="214"/>
      <c r="CVO55" s="214"/>
      <c r="CVP55" s="214"/>
      <c r="CVQ55" s="214"/>
      <c r="CVR55" s="214"/>
      <c r="CVS55" s="214"/>
      <c r="CVV55" s="214"/>
      <c r="CVW55" s="214"/>
      <c r="CVX55" s="214"/>
      <c r="CVY55" s="214"/>
      <c r="CVZ55" s="214"/>
      <c r="CWA55" s="214"/>
      <c r="CWB55" s="214"/>
      <c r="CWC55" s="214"/>
      <c r="CWD55" s="214"/>
      <c r="CWE55" s="214"/>
    </row>
    <row r="56" spans="2:1023 1026:2631" x14ac:dyDescent="0.25">
      <c r="ZY56" s="4"/>
      <c r="ZZ56" s="80"/>
      <c r="AAA56" s="80"/>
      <c r="AAB56" s="80"/>
      <c r="AAC56" s="80"/>
      <c r="AAD56" s="80"/>
      <c r="AAE56" s="80"/>
      <c r="AAF56" s="80"/>
      <c r="AAG56" s="80"/>
      <c r="AAH56" s="80"/>
      <c r="AAI56" s="80"/>
      <c r="AAJ56" s="80"/>
      <c r="AAL56" s="4"/>
      <c r="AAM56" s="80"/>
      <c r="AAN56" s="80"/>
      <c r="AAO56" s="80"/>
      <c r="AAP56" s="80"/>
      <c r="AAQ56" s="80"/>
      <c r="AAR56" s="80"/>
      <c r="AAS56" s="80"/>
      <c r="AAT56" s="80"/>
      <c r="AAU56" s="80"/>
      <c r="AAV56" s="80"/>
      <c r="AAY56" s="4"/>
      <c r="AAZ56" s="80"/>
      <c r="ABA56" s="80"/>
      <c r="ABB56" s="80"/>
      <c r="ABC56" s="80"/>
      <c r="ABD56" s="80"/>
      <c r="ABE56" s="80"/>
      <c r="ABF56" s="80"/>
      <c r="ABG56" s="80"/>
      <c r="ABH56" s="80"/>
      <c r="ABI56" s="80"/>
      <c r="ABL56" s="4"/>
      <c r="ABM56" s="80"/>
      <c r="ABN56" s="80"/>
      <c r="ABO56" s="80"/>
      <c r="ABP56" s="80"/>
      <c r="ABQ56" s="80"/>
      <c r="ABR56" s="80"/>
      <c r="ABS56" s="80"/>
      <c r="ABT56" s="80"/>
      <c r="ABU56" s="80"/>
      <c r="ABV56" s="80"/>
      <c r="ABY56" s="4"/>
      <c r="ABZ56" s="80"/>
      <c r="ACA56" s="80"/>
      <c r="ACB56" s="80"/>
      <c r="ACC56" s="80"/>
      <c r="ACD56" s="80"/>
      <c r="ACE56" s="80"/>
      <c r="ACF56" s="80"/>
      <c r="ACG56" s="80"/>
      <c r="ACH56" s="80"/>
      <c r="ACI56" s="80"/>
      <c r="ACL56" s="4"/>
      <c r="ACM56" s="80"/>
      <c r="ACN56" s="80"/>
      <c r="ACO56" s="80"/>
      <c r="ACP56" s="80"/>
      <c r="ACQ56" s="80"/>
      <c r="ACR56" s="80"/>
      <c r="ACS56" s="80"/>
      <c r="ACT56" s="80"/>
      <c r="ACU56" s="80"/>
      <c r="ACV56" s="80"/>
      <c r="ACY56" s="4"/>
      <c r="ACZ56" s="80"/>
      <c r="ADA56" s="80"/>
      <c r="ADB56" s="80"/>
      <c r="ADC56" s="80"/>
      <c r="ADD56" s="80"/>
      <c r="ADE56" s="80"/>
      <c r="ADF56" s="80"/>
      <c r="ADG56" s="80"/>
      <c r="ADH56" s="80"/>
      <c r="ADI56" s="80"/>
      <c r="ADL56" s="4"/>
      <c r="ADM56" s="80"/>
      <c r="ADN56" s="80"/>
      <c r="ADO56" s="80"/>
      <c r="ADP56" s="80"/>
      <c r="ADQ56" s="80"/>
      <c r="ADR56" s="80"/>
      <c r="ADS56" s="80"/>
      <c r="ADT56" s="80"/>
      <c r="ADU56" s="80"/>
      <c r="ADV56" s="80"/>
      <c r="ADY56" s="4"/>
      <c r="ADZ56" s="80"/>
      <c r="AEA56" s="80"/>
      <c r="AEB56" s="80"/>
      <c r="AEC56" s="80"/>
      <c r="AED56" s="80"/>
      <c r="AEE56" s="80"/>
      <c r="AEF56" s="80"/>
      <c r="AEG56" s="80"/>
      <c r="AEH56" s="80"/>
      <c r="AEI56" s="80"/>
      <c r="AEL56" s="4"/>
      <c r="AEM56" s="80"/>
      <c r="AEN56" s="80"/>
      <c r="AEO56" s="80"/>
      <c r="AEP56" s="80"/>
      <c r="AEQ56" s="80"/>
      <c r="AER56" s="80"/>
      <c r="AES56" s="80"/>
      <c r="AET56" s="80"/>
      <c r="AEU56" s="80"/>
      <c r="AEV56" s="80"/>
      <c r="AEY56" s="4"/>
      <c r="AEZ56" s="80"/>
      <c r="AFA56" s="80"/>
      <c r="AFB56" s="80"/>
      <c r="AFC56" s="80"/>
      <c r="AFD56" s="80"/>
      <c r="AFE56" s="80"/>
      <c r="AFF56" s="80"/>
      <c r="AFG56" s="80"/>
      <c r="AFH56" s="80"/>
      <c r="AFI56" s="80"/>
      <c r="AFL56" s="4"/>
      <c r="AFM56" s="80"/>
      <c r="AFN56" s="80"/>
      <c r="AFO56" s="80"/>
      <c r="AFP56" s="80"/>
      <c r="AFQ56" s="80"/>
      <c r="AFR56" s="80"/>
      <c r="AFS56" s="80"/>
      <c r="AFT56" s="80"/>
      <c r="AFU56" s="80"/>
      <c r="AFV56" s="80"/>
      <c r="AFZ56" s="80"/>
      <c r="AGA56" s="80"/>
      <c r="AGB56" s="80"/>
      <c r="AGC56" s="80"/>
      <c r="AGD56" s="80"/>
      <c r="AGE56" s="80"/>
      <c r="AGF56" s="80"/>
      <c r="AGG56" s="80"/>
      <c r="AGH56" s="80"/>
      <c r="AGI56" s="80"/>
      <c r="AGL56" s="80"/>
      <c r="AGM56" s="80"/>
      <c r="AGN56" s="80"/>
      <c r="AGO56" s="80"/>
      <c r="AGP56" s="80"/>
      <c r="AGQ56" s="80"/>
      <c r="AGR56" s="80"/>
      <c r="AGS56" s="80"/>
      <c r="AGT56" s="80"/>
      <c r="AGU56" s="80"/>
      <c r="AGX56" s="80"/>
      <c r="AGY56" s="80"/>
      <c r="AGZ56" s="80"/>
      <c r="AHA56" s="80"/>
      <c r="AHB56" s="80"/>
      <c r="AHC56" s="80"/>
      <c r="AHD56" s="80"/>
      <c r="AHE56" s="80"/>
      <c r="AHF56" s="80"/>
      <c r="AHG56" s="80"/>
      <c r="AHJ56" s="80"/>
      <c r="AHK56" s="80"/>
      <c r="AHL56" s="80"/>
      <c r="AHM56" s="80"/>
      <c r="AHN56" s="80"/>
      <c r="AHO56" s="80"/>
      <c r="AHP56" s="80"/>
      <c r="AHQ56" s="80"/>
      <c r="AHR56" s="80"/>
      <c r="AHS56" s="80"/>
      <c r="AHV56" s="80"/>
      <c r="AHW56" s="80"/>
      <c r="AHX56" s="80"/>
      <c r="AHY56" s="80"/>
      <c r="AHZ56" s="80"/>
      <c r="AIA56" s="80"/>
      <c r="AIB56" s="80"/>
      <c r="AIC56" s="80"/>
      <c r="AID56" s="80"/>
      <c r="AIE56" s="80"/>
      <c r="AIH56" s="80"/>
      <c r="AII56" s="80"/>
      <c r="AIJ56" s="80"/>
      <c r="AIK56" s="80"/>
      <c r="AIL56" s="80"/>
      <c r="AIM56" s="80"/>
      <c r="AIN56" s="80"/>
      <c r="AIO56" s="80"/>
      <c r="AIP56" s="80"/>
      <c r="AIQ56" s="80"/>
      <c r="AIT56" s="80"/>
      <c r="AIU56" s="80"/>
      <c r="AIV56" s="80"/>
      <c r="AIW56" s="80"/>
      <c r="AIX56" s="80"/>
      <c r="AIY56" s="80"/>
      <c r="AIZ56" s="80"/>
      <c r="AJA56" s="80"/>
      <c r="AJB56" s="80"/>
      <c r="AJC56" s="80"/>
      <c r="AJF56" s="80"/>
      <c r="AJG56" s="80"/>
      <c r="AJH56" s="80"/>
      <c r="AJI56" s="80"/>
      <c r="AJJ56" s="80"/>
      <c r="AJK56" s="80"/>
      <c r="AJL56" s="80"/>
      <c r="AJM56" s="80"/>
      <c r="AJN56" s="80"/>
      <c r="AJO56" s="80"/>
      <c r="AJR56" s="80"/>
      <c r="AJS56" s="80"/>
      <c r="AJT56" s="80"/>
      <c r="AJU56" s="80"/>
      <c r="AJV56" s="80"/>
      <c r="AJW56" s="80"/>
      <c r="AJX56" s="80"/>
      <c r="AJY56" s="80"/>
      <c r="AJZ56" s="80"/>
      <c r="AKA56" s="80"/>
      <c r="AKD56" s="80"/>
      <c r="AKE56" s="80"/>
      <c r="AKF56" s="80"/>
      <c r="AKG56" s="80"/>
      <c r="AKH56" s="80"/>
      <c r="AKI56" s="80"/>
      <c r="AKJ56" s="80"/>
      <c r="AKK56" s="80"/>
      <c r="AKL56" s="80"/>
      <c r="AKM56" s="80"/>
      <c r="AKP56" s="80"/>
      <c r="AKQ56" s="80"/>
      <c r="AKR56" s="80"/>
      <c r="AKS56" s="80"/>
      <c r="AKT56" s="80"/>
      <c r="AKU56" s="80"/>
      <c r="AKV56" s="80"/>
      <c r="AKW56" s="80"/>
      <c r="AKX56" s="80"/>
      <c r="AKY56" s="80"/>
      <c r="ALB56" s="80"/>
      <c r="ALC56" s="80"/>
      <c r="ALD56" s="80"/>
      <c r="ALE56" s="80"/>
      <c r="ALF56" s="80"/>
      <c r="ALG56" s="80"/>
      <c r="ALH56" s="80"/>
      <c r="ALI56" s="80"/>
      <c r="ALJ56" s="80"/>
      <c r="ALK56" s="80"/>
      <c r="ALN56" s="80"/>
      <c r="ALO56" s="80"/>
      <c r="ALP56" s="80"/>
      <c r="ALQ56" s="80"/>
      <c r="ALR56" s="80"/>
      <c r="ALS56" s="80"/>
      <c r="ALT56" s="80"/>
      <c r="ALU56" s="80"/>
      <c r="ALV56" s="80"/>
      <c r="ALW56" s="80"/>
      <c r="ALZ56" s="80"/>
      <c r="AMA56" s="80"/>
      <c r="AMB56" s="80"/>
      <c r="AMC56" s="80"/>
      <c r="AMD56" s="80"/>
      <c r="AME56" s="80"/>
      <c r="AMF56" s="80"/>
      <c r="AMG56" s="80"/>
      <c r="AMH56" s="80"/>
      <c r="AMI56" s="80"/>
      <c r="AML56" s="80"/>
      <c r="AMM56" s="80"/>
      <c r="AMN56" s="80"/>
      <c r="AMO56" s="80"/>
      <c r="AMP56" s="80"/>
      <c r="AMQ56" s="80"/>
      <c r="AMR56" s="80"/>
      <c r="AMS56" s="80"/>
      <c r="AMT56" s="80"/>
      <c r="AMU56" s="80"/>
      <c r="AMX56" s="80"/>
      <c r="AMY56" s="80"/>
      <c r="AMZ56" s="80"/>
      <c r="ANA56" s="80"/>
      <c r="ANB56" s="80"/>
      <c r="ANC56" s="80"/>
      <c r="AND56" s="80"/>
      <c r="ANE56" s="80"/>
      <c r="ANF56" s="80"/>
      <c r="ANG56" s="80"/>
      <c r="ANJ56" s="80"/>
      <c r="ANK56" s="80"/>
      <c r="ANL56" s="80"/>
      <c r="ANM56" s="80"/>
      <c r="ANN56" s="80"/>
      <c r="ANO56" s="80"/>
      <c r="ANP56" s="80"/>
      <c r="ANQ56" s="80"/>
      <c r="ANR56" s="80"/>
      <c r="ANS56" s="80"/>
      <c r="ANV56" s="80"/>
      <c r="ANW56" s="80"/>
      <c r="ANX56" s="80"/>
      <c r="ANY56" s="80"/>
      <c r="ANZ56" s="80"/>
      <c r="AOA56" s="80"/>
      <c r="AOB56" s="80"/>
      <c r="AOC56" s="80"/>
      <c r="AOD56" s="80"/>
      <c r="AOE56" s="80"/>
      <c r="AOH56" s="80"/>
      <c r="AOI56" s="80"/>
      <c r="AOJ56" s="80"/>
      <c r="AOK56" s="80"/>
      <c r="AOL56" s="80"/>
      <c r="AOM56" s="80"/>
      <c r="AON56" s="80"/>
      <c r="AOO56" s="80"/>
      <c r="AOP56" s="80"/>
      <c r="AOQ56" s="80"/>
      <c r="AOT56" s="80"/>
      <c r="AOU56" s="80"/>
      <c r="AOV56" s="80"/>
      <c r="AOW56" s="80"/>
      <c r="AOX56" s="80"/>
      <c r="AOY56" s="80"/>
      <c r="AOZ56" s="80"/>
      <c r="APA56" s="80"/>
      <c r="APB56" s="80"/>
      <c r="APC56" s="80"/>
      <c r="APF56" s="80"/>
      <c r="APG56" s="80"/>
      <c r="APH56" s="80"/>
      <c r="API56" s="80"/>
      <c r="APJ56" s="80"/>
      <c r="APK56" s="80"/>
      <c r="APL56" s="80"/>
      <c r="APM56" s="80"/>
      <c r="APN56" s="80"/>
      <c r="APO56" s="80"/>
      <c r="APR56" s="80"/>
      <c r="APS56" s="80"/>
      <c r="APT56" s="80"/>
      <c r="APU56" s="80"/>
      <c r="APV56" s="80"/>
      <c r="APW56" s="80"/>
      <c r="APX56" s="80"/>
      <c r="APY56" s="80"/>
      <c r="APZ56" s="80"/>
      <c r="AQA56" s="80"/>
      <c r="AQD56" s="80"/>
      <c r="AQE56" s="80"/>
      <c r="AQF56" s="80"/>
      <c r="AQG56" s="80"/>
      <c r="AQH56" s="80"/>
      <c r="AQI56" s="80"/>
      <c r="AQJ56" s="80"/>
      <c r="AQK56" s="80"/>
      <c r="AQL56" s="80"/>
      <c r="AQM56" s="80"/>
      <c r="AQP56" s="80"/>
      <c r="AQQ56" s="80"/>
      <c r="AQR56" s="80"/>
      <c r="AQS56" s="80"/>
      <c r="AQT56" s="80"/>
      <c r="AQU56" s="80"/>
      <c r="AQV56" s="80"/>
      <c r="AQW56" s="80"/>
      <c r="AQX56" s="80"/>
      <c r="AQY56" s="80"/>
      <c r="ARB56" s="80"/>
      <c r="ARC56" s="80"/>
      <c r="ARD56" s="80"/>
      <c r="ARE56" s="80"/>
      <c r="ARF56" s="80"/>
      <c r="ARG56" s="80"/>
      <c r="ARH56" s="80"/>
      <c r="ARI56" s="80"/>
      <c r="ARJ56" s="80"/>
      <c r="ARK56" s="80"/>
      <c r="ARN56" s="80"/>
      <c r="ARO56" s="80"/>
      <c r="ARP56" s="80"/>
      <c r="ARQ56" s="80"/>
      <c r="ARR56" s="80"/>
      <c r="ARS56" s="80"/>
      <c r="ART56" s="80"/>
      <c r="ARU56" s="80"/>
      <c r="ARV56" s="80"/>
      <c r="ARW56" s="80"/>
      <c r="ARZ56" s="80"/>
      <c r="ASA56" s="80"/>
      <c r="ASB56" s="80"/>
      <c r="ASC56" s="80"/>
      <c r="ASD56" s="80"/>
      <c r="ASE56" s="80"/>
      <c r="ASF56" s="80"/>
      <c r="ASG56" s="80"/>
      <c r="ASH56" s="80"/>
      <c r="ASI56" s="80"/>
      <c r="ASL56" s="80"/>
      <c r="ASM56" s="80"/>
      <c r="ASN56" s="80"/>
      <c r="ASO56" s="80"/>
      <c r="ASP56" s="80"/>
      <c r="ASQ56" s="80"/>
      <c r="ASR56" s="80"/>
      <c r="ASS56" s="80"/>
      <c r="AST56" s="80"/>
      <c r="ASU56" s="80"/>
      <c r="ASX56" s="80"/>
      <c r="ASY56" s="80"/>
      <c r="ASZ56" s="80"/>
      <c r="ATA56" s="80"/>
      <c r="ATB56" s="80"/>
      <c r="ATC56" s="80"/>
      <c r="ATD56" s="80"/>
      <c r="ATE56" s="80"/>
      <c r="ATF56" s="80"/>
      <c r="ATG56" s="80"/>
      <c r="ATJ56" s="80"/>
      <c r="ATK56" s="80"/>
      <c r="ATL56" s="80"/>
      <c r="ATM56" s="80"/>
      <c r="ATN56" s="80"/>
      <c r="ATO56" s="80"/>
      <c r="ATP56" s="80"/>
      <c r="ATQ56" s="80"/>
      <c r="ATR56" s="80"/>
      <c r="ATS56" s="80"/>
      <c r="ATV56" s="80"/>
      <c r="ATW56" s="80"/>
      <c r="ATX56" s="80"/>
      <c r="ATY56" s="80"/>
      <c r="ATZ56" s="80"/>
      <c r="AUA56" s="80"/>
      <c r="AUB56" s="80"/>
      <c r="AUC56" s="80"/>
      <c r="AUD56" s="80"/>
      <c r="AUE56" s="80"/>
      <c r="AUH56" s="80"/>
      <c r="AUI56" s="80"/>
      <c r="AUJ56" s="80"/>
      <c r="AUK56" s="80"/>
      <c r="AUL56" s="80"/>
      <c r="AUM56" s="80"/>
      <c r="AUN56" s="80"/>
      <c r="AUO56" s="80"/>
      <c r="AUP56" s="80"/>
      <c r="AUQ56" s="80"/>
      <c r="AUT56" s="80"/>
      <c r="AUU56" s="80"/>
      <c r="AUV56" s="80"/>
      <c r="AUW56" s="80"/>
      <c r="AUX56" s="80"/>
      <c r="AUY56" s="80"/>
      <c r="AUZ56" s="80"/>
      <c r="AVA56" s="80"/>
      <c r="AVB56" s="80"/>
      <c r="AVC56" s="80"/>
      <c r="AVF56" s="80"/>
      <c r="AVG56" s="80"/>
      <c r="AVH56" s="80"/>
      <c r="AVI56" s="80"/>
      <c r="AVJ56" s="80"/>
      <c r="AVK56" s="80"/>
      <c r="AVL56" s="80"/>
      <c r="AVM56" s="80"/>
      <c r="AVN56" s="80"/>
      <c r="AVO56" s="80"/>
      <c r="AVR56" s="80"/>
      <c r="AVS56" s="80"/>
      <c r="AVT56" s="80"/>
      <c r="AVU56" s="80"/>
      <c r="AVV56" s="80"/>
      <c r="AVW56" s="80"/>
      <c r="AVX56" s="80"/>
      <c r="AVY56" s="80"/>
      <c r="AVZ56" s="80"/>
      <c r="AWA56" s="80"/>
      <c r="AWD56" s="80"/>
      <c r="AWE56" s="80"/>
      <c r="AWF56" s="80"/>
      <c r="AWG56" s="80"/>
      <c r="AWH56" s="80"/>
      <c r="AWI56" s="80"/>
      <c r="AWJ56" s="80"/>
      <c r="AWK56" s="80"/>
      <c r="AWL56" s="80"/>
      <c r="AWM56" s="80"/>
      <c r="AWP56" s="80"/>
      <c r="AWQ56" s="80"/>
      <c r="AWR56" s="80"/>
      <c r="AWS56" s="80"/>
      <c r="AWT56" s="80"/>
      <c r="AWU56" s="80"/>
      <c r="AWV56" s="80"/>
      <c r="AWW56" s="80"/>
      <c r="AWX56" s="80"/>
      <c r="AWY56" s="80"/>
      <c r="AXB56" s="80"/>
      <c r="AXC56" s="80"/>
      <c r="AXD56" s="80"/>
      <c r="AXE56" s="80"/>
      <c r="AXF56" s="80"/>
      <c r="AXG56" s="80"/>
      <c r="AXH56" s="80"/>
      <c r="AXI56" s="80"/>
      <c r="AXJ56" s="80"/>
      <c r="AXK56" s="80"/>
      <c r="AXN56" s="80"/>
      <c r="AXO56" s="80"/>
      <c r="AXP56" s="80"/>
      <c r="AXQ56" s="80"/>
      <c r="AXR56" s="80"/>
      <c r="AXS56" s="80"/>
      <c r="AXT56" s="80"/>
      <c r="AXU56" s="80"/>
      <c r="AXV56" s="80"/>
      <c r="AXW56" s="80"/>
      <c r="AXZ56" s="80"/>
      <c r="AYA56" s="80"/>
      <c r="AYB56" s="80"/>
      <c r="AYC56" s="80"/>
      <c r="AYD56" s="80"/>
      <c r="AYE56" s="80"/>
      <c r="AYF56" s="80"/>
      <c r="AYG56" s="80"/>
      <c r="AYH56" s="80"/>
      <c r="AYI56" s="80"/>
      <c r="AYL56" s="80"/>
      <c r="AYM56" s="80"/>
      <c r="AYN56" s="80"/>
      <c r="AYO56" s="80"/>
      <c r="AYP56" s="80"/>
      <c r="AYQ56" s="80"/>
      <c r="AYR56" s="80"/>
      <c r="AYS56" s="80"/>
      <c r="AYT56" s="80"/>
      <c r="AYU56" s="80"/>
      <c r="AYX56" s="80"/>
      <c r="AYY56" s="80"/>
      <c r="AYZ56" s="80"/>
      <c r="AZA56" s="80"/>
      <c r="AZB56" s="80"/>
      <c r="AZC56" s="80"/>
      <c r="AZD56" s="80"/>
      <c r="AZE56" s="80"/>
      <c r="AZF56" s="80"/>
      <c r="AZG56" s="80"/>
      <c r="AZJ56" s="80"/>
      <c r="AZK56" s="80"/>
      <c r="AZL56" s="80"/>
      <c r="AZM56" s="80"/>
      <c r="AZN56" s="80"/>
      <c r="AZO56" s="80"/>
      <c r="AZP56" s="80"/>
      <c r="AZQ56" s="80"/>
      <c r="AZR56" s="80"/>
      <c r="AZS56" s="80"/>
      <c r="AZV56" s="80"/>
      <c r="AZW56" s="80"/>
      <c r="AZX56" s="80"/>
      <c r="AZY56" s="80"/>
      <c r="AZZ56" s="80"/>
      <c r="BAA56" s="80"/>
      <c r="BAB56" s="80"/>
      <c r="BAC56" s="80"/>
      <c r="BAD56" s="80"/>
      <c r="BAE56" s="80"/>
      <c r="BAH56" s="80"/>
      <c r="BAI56" s="80"/>
      <c r="BAJ56" s="80"/>
      <c r="BAK56" s="80"/>
      <c r="BAL56" s="80"/>
      <c r="BAM56" s="80"/>
      <c r="BAN56" s="80"/>
      <c r="BAO56" s="80"/>
      <c r="BAP56" s="80"/>
      <c r="BAQ56" s="80"/>
      <c r="BAT56" s="80"/>
      <c r="BAU56" s="80"/>
      <c r="BAV56" s="80"/>
      <c r="BAW56" s="80"/>
      <c r="BAX56" s="80"/>
      <c r="BAY56" s="80"/>
      <c r="BAZ56" s="80"/>
      <c r="BBA56" s="80"/>
      <c r="BBB56" s="80"/>
      <c r="BBC56" s="80"/>
      <c r="BBF56" s="80"/>
      <c r="BBG56" s="80"/>
      <c r="BBH56" s="80"/>
      <c r="BBI56" s="80"/>
      <c r="BBJ56" s="80"/>
      <c r="BBK56" s="80"/>
      <c r="BBL56" s="80"/>
      <c r="BBM56" s="80"/>
      <c r="BBN56" s="80"/>
      <c r="BBO56" s="80"/>
      <c r="BBR56" s="80"/>
      <c r="BBS56" s="80"/>
      <c r="BBT56" s="80"/>
      <c r="BBU56" s="80"/>
      <c r="BBV56" s="80"/>
      <c r="BBW56" s="80"/>
      <c r="BBX56" s="80"/>
      <c r="BBY56" s="80"/>
      <c r="BBZ56" s="80"/>
      <c r="BCA56" s="80"/>
      <c r="BCD56" s="80"/>
      <c r="BCE56" s="80"/>
      <c r="BCF56" s="80"/>
      <c r="BCG56" s="80"/>
      <c r="BCH56" s="80"/>
      <c r="BCI56" s="80"/>
      <c r="BCJ56" s="80"/>
      <c r="BCK56" s="80"/>
      <c r="BCL56" s="80"/>
      <c r="BCM56" s="80"/>
      <c r="BCP56" s="80"/>
      <c r="BCQ56" s="80"/>
      <c r="BCR56" s="80"/>
      <c r="BCS56" s="80"/>
      <c r="BCT56" s="80"/>
      <c r="BCU56" s="80"/>
      <c r="BCV56" s="80"/>
      <c r="BCW56" s="80"/>
      <c r="BCX56" s="80"/>
      <c r="BCY56" s="80"/>
      <c r="BDB56" s="80"/>
      <c r="BDC56" s="80"/>
      <c r="BDD56" s="80"/>
      <c r="BDE56" s="80"/>
      <c r="BDF56" s="80"/>
      <c r="BDG56" s="80"/>
      <c r="BDH56" s="80"/>
      <c r="BDI56" s="80"/>
      <c r="BDJ56" s="80"/>
      <c r="BDK56" s="80"/>
      <c r="BDN56" s="80"/>
      <c r="BDO56" s="80"/>
      <c r="BDP56" s="80"/>
      <c r="BDQ56" s="80"/>
      <c r="BDR56" s="80"/>
      <c r="BDS56" s="80"/>
      <c r="BDT56" s="80"/>
      <c r="BDU56" s="80"/>
      <c r="BDV56" s="80"/>
      <c r="BDW56" s="80"/>
      <c r="BDZ56" s="80"/>
      <c r="BEA56" s="80"/>
      <c r="BEB56" s="80"/>
      <c r="BEC56" s="80"/>
      <c r="BED56" s="80"/>
      <c r="BEE56" s="80"/>
      <c r="BEF56" s="80"/>
      <c r="BEG56" s="80"/>
      <c r="BEH56" s="80"/>
      <c r="BEI56" s="80"/>
      <c r="BEL56" s="80"/>
      <c r="BEM56" s="80"/>
      <c r="BEN56" s="80"/>
      <c r="BEO56" s="80"/>
      <c r="BEP56" s="80"/>
      <c r="BEQ56" s="80"/>
      <c r="BER56" s="80"/>
      <c r="BES56" s="80"/>
      <c r="BET56" s="80"/>
      <c r="BEU56" s="80"/>
      <c r="BEX56" s="80"/>
      <c r="BEY56" s="80"/>
      <c r="BEZ56" s="80"/>
      <c r="BFA56" s="80"/>
      <c r="BFB56" s="80"/>
      <c r="BFC56" s="80"/>
      <c r="BFD56" s="80"/>
      <c r="BFE56" s="80"/>
      <c r="BFF56" s="80"/>
      <c r="BFG56" s="80"/>
      <c r="BFJ56" s="80"/>
      <c r="BFK56" s="80"/>
      <c r="BFL56" s="80"/>
      <c r="BFM56" s="80"/>
      <c r="BFN56" s="80"/>
      <c r="BFO56" s="80"/>
      <c r="BFP56" s="80"/>
      <c r="BFQ56" s="80"/>
      <c r="BFR56" s="80"/>
      <c r="BFS56" s="80"/>
      <c r="BFV56" s="80"/>
      <c r="BFW56" s="80"/>
      <c r="BFX56" s="80"/>
      <c r="BFY56" s="80"/>
      <c r="BFZ56" s="80"/>
      <c r="BGA56" s="80"/>
      <c r="BGB56" s="80"/>
      <c r="BGC56" s="80"/>
      <c r="BGD56" s="80"/>
      <c r="BGE56" s="80"/>
      <c r="BGH56" s="80"/>
      <c r="BGI56" s="80"/>
      <c r="BGJ56" s="80"/>
      <c r="BGK56" s="80"/>
      <c r="BGL56" s="80"/>
      <c r="BGM56" s="80"/>
      <c r="BGN56" s="80"/>
      <c r="BGO56" s="80"/>
      <c r="BGP56" s="80"/>
      <c r="BGQ56" s="80"/>
      <c r="BGT56" s="80"/>
      <c r="BGU56" s="80"/>
      <c r="BGV56" s="80"/>
      <c r="BGW56" s="80"/>
      <c r="BGX56" s="80"/>
      <c r="BGY56" s="80"/>
      <c r="BGZ56" s="80"/>
      <c r="BHA56" s="80"/>
      <c r="BHB56" s="80"/>
      <c r="BHC56" s="80"/>
      <c r="BHF56" s="80"/>
      <c r="BHG56" s="80"/>
      <c r="BHH56" s="80"/>
      <c r="BHI56" s="80"/>
      <c r="BHJ56" s="80"/>
      <c r="BHK56" s="80"/>
      <c r="BHL56" s="80"/>
      <c r="BHM56" s="80"/>
      <c r="BHN56" s="80"/>
      <c r="BHO56" s="80"/>
      <c r="BHR56" s="80"/>
      <c r="BHS56" s="80"/>
      <c r="BHT56" s="80"/>
      <c r="BHU56" s="80"/>
      <c r="BHV56" s="80"/>
      <c r="BHW56" s="80"/>
      <c r="BHX56" s="80"/>
      <c r="BHY56" s="80"/>
      <c r="BHZ56" s="80"/>
      <c r="BIA56" s="80"/>
      <c r="BID56" s="80"/>
      <c r="BIE56" s="80"/>
      <c r="BIF56" s="80"/>
      <c r="BIG56" s="80"/>
      <c r="BIH56" s="80"/>
      <c r="BII56" s="80"/>
      <c r="BIJ56" s="80"/>
      <c r="BIK56" s="80"/>
      <c r="BIL56" s="80"/>
      <c r="BIM56" s="80"/>
      <c r="BIP56" s="80"/>
      <c r="BIQ56" s="80"/>
      <c r="BIR56" s="80"/>
      <c r="BIS56" s="80"/>
      <c r="BIT56" s="80"/>
      <c r="BIU56" s="80"/>
      <c r="BIV56" s="80"/>
      <c r="BIW56" s="80"/>
      <c r="BIX56" s="80"/>
      <c r="BIY56" s="80"/>
      <c r="BJB56" s="80"/>
      <c r="BJC56" s="80"/>
      <c r="BJD56" s="80"/>
      <c r="BJE56" s="80"/>
      <c r="BJF56" s="80"/>
      <c r="BJG56" s="80"/>
      <c r="BJH56" s="80"/>
      <c r="BJI56" s="80"/>
      <c r="BJJ56" s="80"/>
      <c r="BJK56" s="80"/>
      <c r="BJN56" s="80"/>
      <c r="BJO56" s="80"/>
      <c r="BJP56" s="80"/>
      <c r="BJQ56" s="80"/>
      <c r="BJR56" s="80"/>
      <c r="BJS56" s="80"/>
      <c r="BJT56" s="80"/>
      <c r="BJU56" s="80"/>
      <c r="BJV56" s="80"/>
      <c r="BJW56" s="80"/>
      <c r="BJZ56" s="80"/>
      <c r="BKA56" s="80"/>
      <c r="BKB56" s="80"/>
      <c r="BKC56" s="80"/>
      <c r="BKD56" s="80"/>
      <c r="BKE56" s="80"/>
      <c r="BKF56" s="80"/>
      <c r="BKG56" s="80"/>
      <c r="BKH56" s="80"/>
      <c r="BKI56" s="80"/>
      <c r="BKL56" s="80"/>
      <c r="BKM56" s="80"/>
      <c r="BKN56" s="80"/>
      <c r="BKO56" s="80"/>
      <c r="BKP56" s="80"/>
      <c r="BKQ56" s="80"/>
      <c r="BKR56" s="80"/>
      <c r="BKS56" s="80"/>
      <c r="BKT56" s="80"/>
      <c r="BKU56" s="80"/>
      <c r="BKX56" s="80"/>
      <c r="BKY56" s="80"/>
      <c r="BKZ56" s="80"/>
      <c r="BLA56" s="80"/>
      <c r="BLB56" s="80"/>
      <c r="BLC56" s="80"/>
      <c r="BLD56" s="80"/>
      <c r="BLE56" s="80"/>
      <c r="BLF56" s="80"/>
      <c r="BLG56" s="80"/>
      <c r="BLJ56" s="80"/>
      <c r="BLK56" s="80"/>
      <c r="BLL56" s="80"/>
      <c r="BLM56" s="80"/>
      <c r="BLN56" s="80"/>
      <c r="BLO56" s="80"/>
      <c r="BLP56" s="80"/>
      <c r="BLQ56" s="80"/>
      <c r="BLR56" s="80"/>
      <c r="BLS56" s="80"/>
      <c r="BLV56" s="80"/>
      <c r="BLW56" s="80"/>
      <c r="BLX56" s="80"/>
      <c r="BLY56" s="80"/>
      <c r="BLZ56" s="80"/>
      <c r="BMA56" s="80"/>
      <c r="BMB56" s="80"/>
      <c r="BMC56" s="80"/>
      <c r="BMD56" s="80"/>
      <c r="BME56" s="80"/>
      <c r="BMH56" s="80"/>
      <c r="BMI56" s="80"/>
      <c r="BMJ56" s="80"/>
      <c r="BMK56" s="80"/>
      <c r="BML56" s="80"/>
      <c r="BMM56" s="80"/>
      <c r="BMN56" s="80"/>
      <c r="BMO56" s="80"/>
      <c r="BMP56" s="80"/>
      <c r="BMQ56" s="80"/>
      <c r="BMT56" s="80"/>
      <c r="BMU56" s="80"/>
      <c r="BMV56" s="80"/>
      <c r="BMW56" s="80"/>
      <c r="BMX56" s="80"/>
      <c r="BMY56" s="80"/>
      <c r="BMZ56" s="80"/>
      <c r="BNA56" s="80"/>
      <c r="BNB56" s="80"/>
      <c r="BNC56" s="80"/>
      <c r="BNF56" s="80"/>
      <c r="BNG56" s="80"/>
      <c r="BNH56" s="80"/>
      <c r="BNI56" s="80"/>
      <c r="BNJ56" s="80"/>
      <c r="BNK56" s="80"/>
      <c r="BNL56" s="80"/>
      <c r="BNM56" s="80"/>
      <c r="BNN56" s="80"/>
      <c r="BNO56" s="80"/>
      <c r="BNR56" s="80"/>
      <c r="BNS56" s="80"/>
      <c r="BNT56" s="80"/>
      <c r="BNU56" s="80"/>
      <c r="BNV56" s="80"/>
      <c r="BNW56" s="80"/>
      <c r="BNX56" s="80"/>
      <c r="BNY56" s="80"/>
      <c r="BNZ56" s="80"/>
      <c r="BOA56" s="80"/>
      <c r="BOD56" s="80"/>
      <c r="BOE56" s="80"/>
      <c r="BOF56" s="80"/>
      <c r="BOG56" s="80"/>
      <c r="BOH56" s="80"/>
      <c r="BOI56" s="80"/>
      <c r="BOJ56" s="80"/>
      <c r="BOK56" s="80"/>
      <c r="BOL56" s="80"/>
      <c r="BOM56" s="80"/>
      <c r="BOP56" s="80"/>
      <c r="BOQ56" s="80"/>
      <c r="BOR56" s="80"/>
      <c r="BOS56" s="80"/>
      <c r="BOT56" s="80"/>
      <c r="BOU56" s="80"/>
      <c r="BOV56" s="80"/>
      <c r="BOW56" s="80"/>
      <c r="BOX56" s="80"/>
      <c r="BOY56" s="80"/>
      <c r="BPB56" s="80"/>
      <c r="BPC56" s="80"/>
      <c r="BPD56" s="80"/>
      <c r="BPE56" s="80"/>
      <c r="BPF56" s="80"/>
      <c r="BPG56" s="80"/>
      <c r="BPH56" s="80"/>
      <c r="BPI56" s="80"/>
      <c r="BPJ56" s="80"/>
      <c r="BPK56" s="80"/>
      <c r="BPN56" s="80"/>
      <c r="BPO56" s="80"/>
      <c r="BPP56" s="80"/>
      <c r="BPQ56" s="80"/>
      <c r="BPR56" s="80"/>
      <c r="BPS56" s="80"/>
      <c r="BPT56" s="80"/>
      <c r="BPU56" s="80"/>
      <c r="BPV56" s="80"/>
      <c r="BPW56" s="80"/>
      <c r="BPZ56" s="80"/>
      <c r="BQA56" s="80"/>
      <c r="BQB56" s="80"/>
      <c r="BQC56" s="80"/>
      <c r="BQD56" s="80"/>
      <c r="BQE56" s="80"/>
      <c r="BQF56" s="80"/>
      <c r="BQG56" s="80"/>
      <c r="BQH56" s="80"/>
      <c r="BQI56" s="80"/>
      <c r="BQL56" s="80"/>
      <c r="BQM56" s="80"/>
      <c r="BQN56" s="80"/>
      <c r="BQO56" s="80"/>
      <c r="BQP56" s="80"/>
      <c r="BQQ56" s="80"/>
      <c r="BQR56" s="80"/>
      <c r="BQS56" s="80"/>
      <c r="BQT56" s="80"/>
      <c r="BQU56" s="80"/>
      <c r="BQX56" s="80"/>
      <c r="BQY56" s="80"/>
      <c r="BQZ56" s="80"/>
      <c r="BRA56" s="80"/>
      <c r="BRB56" s="80"/>
      <c r="BRC56" s="80"/>
      <c r="BRD56" s="80"/>
      <c r="BRE56" s="80"/>
      <c r="BRF56" s="80"/>
      <c r="BRG56" s="80"/>
      <c r="BRJ56" s="80"/>
      <c r="BRK56" s="80"/>
      <c r="BRL56" s="80"/>
      <c r="BRM56" s="80"/>
      <c r="BRN56" s="80"/>
      <c r="BRO56" s="80"/>
      <c r="BRP56" s="80"/>
      <c r="BRQ56" s="80"/>
      <c r="BRR56" s="80"/>
      <c r="BRS56" s="80"/>
      <c r="BRV56" s="80"/>
      <c r="BRW56" s="80"/>
      <c r="BRX56" s="80"/>
      <c r="BRY56" s="80"/>
      <c r="BRZ56" s="80"/>
      <c r="BSA56" s="80"/>
      <c r="BSB56" s="80"/>
      <c r="BSC56" s="80"/>
      <c r="BSD56" s="80"/>
      <c r="BSE56" s="80"/>
      <c r="BSH56" s="80"/>
      <c r="BSI56" s="80"/>
      <c r="BSJ56" s="80"/>
      <c r="BSK56" s="80"/>
      <c r="BSL56" s="80"/>
      <c r="BSM56" s="80"/>
      <c r="BSN56" s="80"/>
      <c r="BSO56" s="80"/>
      <c r="BSP56" s="80"/>
      <c r="BSQ56" s="80"/>
      <c r="BST56" s="80"/>
      <c r="BSU56" s="80"/>
      <c r="BSV56" s="80"/>
      <c r="BSW56" s="80"/>
      <c r="BSX56" s="80"/>
      <c r="BSY56" s="80"/>
      <c r="BSZ56" s="80"/>
      <c r="BTA56" s="80"/>
      <c r="BTB56" s="80"/>
      <c r="BTC56" s="80"/>
      <c r="BTF56" s="80"/>
      <c r="BTG56" s="80"/>
      <c r="BTH56" s="80"/>
      <c r="BTI56" s="80"/>
      <c r="BTJ56" s="80"/>
      <c r="BTK56" s="80"/>
      <c r="BTL56" s="80"/>
      <c r="BTM56" s="80"/>
      <c r="BTN56" s="80"/>
      <c r="BTO56" s="80"/>
      <c r="BTR56" s="80"/>
      <c r="BTS56" s="80"/>
      <c r="BTT56" s="80"/>
      <c r="BTU56" s="80"/>
      <c r="BTV56" s="80"/>
      <c r="BTW56" s="80"/>
      <c r="BTX56" s="80"/>
      <c r="BTY56" s="80"/>
      <c r="BTZ56" s="80"/>
      <c r="BUA56" s="80"/>
      <c r="BUD56" s="80"/>
      <c r="BUE56" s="80"/>
      <c r="BUF56" s="80"/>
      <c r="BUG56" s="80"/>
      <c r="BUH56" s="80"/>
      <c r="BUI56" s="80"/>
      <c r="BUJ56" s="80"/>
      <c r="BUK56" s="80"/>
      <c r="BUL56" s="80"/>
      <c r="BUM56" s="80"/>
      <c r="BUP56" s="80"/>
      <c r="BUQ56" s="80"/>
      <c r="BUR56" s="80"/>
      <c r="BUS56" s="80"/>
      <c r="BUT56" s="80"/>
      <c r="BUU56" s="80"/>
      <c r="BUV56" s="80"/>
      <c r="BUW56" s="80"/>
      <c r="BUX56" s="80"/>
      <c r="BUY56" s="80"/>
      <c r="BVB56" s="80"/>
      <c r="BVC56" s="80"/>
      <c r="BVD56" s="80"/>
      <c r="BVE56" s="80"/>
      <c r="BVF56" s="80"/>
      <c r="BVG56" s="80"/>
      <c r="BVH56" s="80"/>
      <c r="BVI56" s="80"/>
      <c r="BVJ56" s="80"/>
      <c r="BVK56" s="80"/>
      <c r="BVN56" s="80"/>
      <c r="BVO56" s="80"/>
      <c r="BVP56" s="80"/>
      <c r="BVQ56" s="80"/>
      <c r="BVR56" s="80"/>
      <c r="BVS56" s="80"/>
      <c r="BVT56" s="80"/>
      <c r="BVU56" s="80"/>
      <c r="BVV56" s="80"/>
      <c r="BVW56" s="80"/>
      <c r="BVZ56" s="80"/>
      <c r="BWA56" s="80"/>
      <c r="BWB56" s="80"/>
      <c r="BWC56" s="80"/>
      <c r="BWD56" s="80"/>
      <c r="BWE56" s="80"/>
      <c r="BWF56" s="80"/>
      <c r="BWG56" s="80"/>
      <c r="BWH56" s="80"/>
      <c r="BWI56" s="80"/>
      <c r="BWL56" s="80"/>
      <c r="BWM56" s="80"/>
      <c r="BWN56" s="80"/>
      <c r="BWO56" s="80"/>
      <c r="BWP56" s="80"/>
      <c r="BWQ56" s="80"/>
      <c r="BWR56" s="80"/>
      <c r="BWS56" s="80"/>
      <c r="BWT56" s="80"/>
      <c r="BWU56" s="80"/>
      <c r="BWX56" s="80"/>
      <c r="BWY56" s="80"/>
      <c r="BWZ56" s="80"/>
      <c r="BXA56" s="80"/>
      <c r="BXB56" s="80"/>
      <c r="BXC56" s="80"/>
      <c r="BXD56" s="80"/>
      <c r="BXE56" s="80"/>
      <c r="BXF56" s="80"/>
      <c r="BXG56" s="80"/>
      <c r="BXJ56" s="80"/>
      <c r="BXK56" s="80"/>
      <c r="BXL56" s="80"/>
      <c r="BXM56" s="80"/>
      <c r="BXN56" s="80"/>
      <c r="BXO56" s="80"/>
      <c r="BXP56" s="80"/>
      <c r="BXQ56" s="80"/>
      <c r="BXR56" s="80"/>
      <c r="BXS56" s="80"/>
      <c r="BXV56" s="80"/>
      <c r="BXW56" s="80"/>
      <c r="BXX56" s="80"/>
      <c r="BXY56" s="80"/>
      <c r="BXZ56" s="80"/>
      <c r="BYA56" s="80"/>
      <c r="BYB56" s="80"/>
      <c r="BYC56" s="80"/>
      <c r="BYD56" s="80"/>
      <c r="BYE56" s="80"/>
      <c r="BYH56" s="80"/>
      <c r="BYI56" s="80"/>
      <c r="BYJ56" s="80"/>
      <c r="BYK56" s="80"/>
      <c r="BYL56" s="80"/>
      <c r="BYM56" s="80"/>
      <c r="BYN56" s="80"/>
      <c r="BYO56" s="80"/>
      <c r="BYP56" s="80"/>
      <c r="BYQ56" s="80"/>
      <c r="BYT56" s="80"/>
      <c r="BYU56" s="80"/>
      <c r="BYV56" s="80"/>
      <c r="BYW56" s="80"/>
      <c r="BYX56" s="80"/>
      <c r="BYY56" s="80"/>
      <c r="BYZ56" s="80"/>
      <c r="BZA56" s="80"/>
      <c r="BZB56" s="80"/>
      <c r="BZC56" s="80"/>
      <c r="BZF56" s="80"/>
      <c r="BZG56" s="80"/>
      <c r="BZH56" s="80"/>
      <c r="BZI56" s="80"/>
      <c r="BZJ56" s="80"/>
      <c r="BZK56" s="80"/>
      <c r="BZL56" s="80"/>
      <c r="BZM56" s="80"/>
      <c r="BZN56" s="80"/>
      <c r="BZO56" s="80"/>
      <c r="BZR56" s="80"/>
      <c r="BZS56" s="80"/>
      <c r="BZT56" s="80"/>
      <c r="BZU56" s="80"/>
      <c r="BZV56" s="80"/>
      <c r="BZW56" s="80"/>
      <c r="BZX56" s="80"/>
      <c r="BZY56" s="80"/>
      <c r="BZZ56" s="80"/>
      <c r="CAA56" s="80"/>
      <c r="CAD56" s="80"/>
      <c r="CAE56" s="80"/>
      <c r="CAF56" s="80"/>
      <c r="CAG56" s="80"/>
      <c r="CAH56" s="80"/>
      <c r="CAI56" s="80"/>
      <c r="CAJ56" s="80"/>
      <c r="CAK56" s="80"/>
      <c r="CAL56" s="80"/>
      <c r="CAM56" s="80"/>
      <c r="CAP56" s="80"/>
      <c r="CAQ56" s="80"/>
      <c r="CAR56" s="80"/>
      <c r="CAS56" s="80"/>
      <c r="CAT56" s="80"/>
      <c r="CAU56" s="80"/>
      <c r="CAV56" s="80"/>
      <c r="CAW56" s="80"/>
      <c r="CAX56" s="80"/>
      <c r="CAY56" s="80"/>
      <c r="CBB56" s="80"/>
      <c r="CBC56" s="80"/>
      <c r="CBD56" s="80"/>
      <c r="CBE56" s="80"/>
      <c r="CBF56" s="80"/>
      <c r="CBG56" s="80"/>
      <c r="CBH56" s="80"/>
      <c r="CBI56" s="80"/>
      <c r="CBJ56" s="80"/>
      <c r="CBK56" s="80"/>
      <c r="CBN56" s="80"/>
      <c r="CBO56" s="80"/>
      <c r="CBP56" s="80"/>
      <c r="CBQ56" s="80"/>
      <c r="CBR56" s="80"/>
      <c r="CBS56" s="80"/>
      <c r="CBT56" s="80"/>
      <c r="CBU56" s="80"/>
      <c r="CBV56" s="80"/>
      <c r="CBW56" s="80"/>
      <c r="CBZ56" s="80"/>
      <c r="CCA56" s="80"/>
      <c r="CCB56" s="80"/>
      <c r="CCC56" s="80"/>
      <c r="CCD56" s="80"/>
      <c r="CCE56" s="80"/>
      <c r="CCF56" s="80"/>
      <c r="CCG56" s="80"/>
      <c r="CCH56" s="80"/>
      <c r="CCI56" s="80"/>
      <c r="CCL56" s="80"/>
      <c r="CCM56" s="80"/>
      <c r="CCN56" s="80"/>
      <c r="CCO56" s="80"/>
      <c r="CCP56" s="80"/>
      <c r="CCQ56" s="80"/>
      <c r="CCR56" s="80"/>
      <c r="CCS56" s="80"/>
      <c r="CCT56" s="80"/>
      <c r="CCU56" s="80"/>
      <c r="CCX56" s="80"/>
      <c r="CCY56" s="80"/>
      <c r="CCZ56" s="80"/>
      <c r="CDA56" s="80"/>
      <c r="CDB56" s="80"/>
      <c r="CDC56" s="80"/>
      <c r="CDD56" s="80"/>
      <c r="CDE56" s="80"/>
      <c r="CDF56" s="80"/>
      <c r="CDG56" s="80"/>
      <c r="CDJ56" s="80"/>
      <c r="CDK56" s="80"/>
      <c r="CDL56" s="80"/>
      <c r="CDM56" s="80"/>
      <c r="CDN56" s="80"/>
      <c r="CDO56" s="80"/>
      <c r="CDP56" s="80"/>
      <c r="CDQ56" s="80"/>
      <c r="CDR56" s="80"/>
      <c r="CDS56" s="80"/>
      <c r="CDV56" s="80"/>
      <c r="CDW56" s="80"/>
      <c r="CDX56" s="80"/>
      <c r="CDY56" s="80"/>
      <c r="CDZ56" s="80"/>
      <c r="CEA56" s="80"/>
      <c r="CEB56" s="80"/>
      <c r="CEC56" s="80"/>
      <c r="CED56" s="80"/>
      <c r="CEE56" s="80"/>
      <c r="CEH56" s="80"/>
      <c r="CEI56" s="80"/>
      <c r="CEJ56" s="80"/>
      <c r="CEK56" s="80"/>
      <c r="CEL56" s="80"/>
      <c r="CEM56" s="80"/>
      <c r="CEN56" s="80"/>
      <c r="CEO56" s="80"/>
      <c r="CEP56" s="80"/>
      <c r="CEQ56" s="80"/>
      <c r="CET56" s="80"/>
      <c r="CEU56" s="80"/>
      <c r="CEV56" s="80"/>
      <c r="CEW56" s="80"/>
      <c r="CEX56" s="80"/>
      <c r="CEY56" s="80"/>
      <c r="CEZ56" s="80"/>
      <c r="CFA56" s="80"/>
      <c r="CFB56" s="80"/>
      <c r="CFC56" s="80"/>
      <c r="CFF56" s="80"/>
      <c r="CFG56" s="80"/>
      <c r="CFH56" s="80"/>
      <c r="CFI56" s="80"/>
      <c r="CFJ56" s="80"/>
      <c r="CFK56" s="80"/>
      <c r="CFL56" s="80"/>
      <c r="CFM56" s="80"/>
      <c r="CFN56" s="80"/>
      <c r="CFO56" s="80"/>
      <c r="CFR56" s="80"/>
      <c r="CFS56" s="80"/>
      <c r="CFT56" s="80"/>
      <c r="CFU56" s="80"/>
      <c r="CFV56" s="80"/>
      <c r="CFW56" s="80"/>
      <c r="CFX56" s="80"/>
      <c r="CFY56" s="80"/>
      <c r="CFZ56" s="80"/>
      <c r="CGA56" s="80"/>
      <c r="CGD56" s="80"/>
      <c r="CGE56" s="80"/>
      <c r="CGF56" s="80"/>
      <c r="CGG56" s="80"/>
      <c r="CGH56" s="80"/>
      <c r="CGI56" s="80"/>
      <c r="CGJ56" s="80"/>
      <c r="CGK56" s="80"/>
      <c r="CGL56" s="80"/>
      <c r="CGM56" s="80"/>
      <c r="CGP56" s="80"/>
      <c r="CGQ56" s="80"/>
      <c r="CGR56" s="80"/>
      <c r="CGS56" s="80"/>
      <c r="CGT56" s="80"/>
      <c r="CGU56" s="80"/>
      <c r="CGV56" s="80"/>
      <c r="CGW56" s="80"/>
      <c r="CGX56" s="80"/>
      <c r="CGY56" s="80"/>
      <c r="CHB56" s="80"/>
      <c r="CHC56" s="80"/>
      <c r="CHD56" s="80"/>
      <c r="CHE56" s="80"/>
      <c r="CHF56" s="80"/>
      <c r="CHG56" s="80"/>
      <c r="CHH56" s="80"/>
      <c r="CHI56" s="80"/>
      <c r="CHJ56" s="80"/>
      <c r="CHK56" s="80"/>
      <c r="CHN56" s="80"/>
      <c r="CHO56" s="80"/>
      <c r="CHP56" s="80"/>
      <c r="CHQ56" s="80"/>
      <c r="CHR56" s="80"/>
      <c r="CHS56" s="80"/>
      <c r="CHT56" s="80"/>
      <c r="CHU56" s="80"/>
      <c r="CHV56" s="80"/>
      <c r="CHW56" s="80"/>
      <c r="CHZ56" s="80"/>
      <c r="CIA56" s="80"/>
      <c r="CIB56" s="80"/>
      <c r="CIC56" s="80"/>
      <c r="CID56" s="80"/>
      <c r="CIE56" s="80"/>
      <c r="CIF56" s="80"/>
      <c r="CIG56" s="80"/>
      <c r="CIH56" s="80"/>
      <c r="CII56" s="80"/>
      <c r="CIL56" s="80"/>
      <c r="CIM56" s="80"/>
      <c r="CIN56" s="80"/>
      <c r="CIO56" s="80"/>
      <c r="CIP56" s="80"/>
      <c r="CIQ56" s="80"/>
      <c r="CIR56" s="80"/>
      <c r="CIS56" s="80"/>
      <c r="CIT56" s="80"/>
      <c r="CIU56" s="80"/>
      <c r="CIX56" s="80"/>
      <c r="CIY56" s="80"/>
      <c r="CIZ56" s="80"/>
      <c r="CJA56" s="80"/>
      <c r="CJB56" s="80"/>
      <c r="CJC56" s="80"/>
      <c r="CJD56" s="80"/>
      <c r="CJE56" s="80"/>
      <c r="CJF56" s="80"/>
      <c r="CJG56" s="80"/>
      <c r="CJJ56" s="80"/>
      <c r="CJK56" s="80"/>
      <c r="CJL56" s="80"/>
      <c r="CJM56" s="80"/>
      <c r="CJN56" s="80"/>
      <c r="CJO56" s="80"/>
      <c r="CJP56" s="80"/>
      <c r="CJQ56" s="80"/>
      <c r="CJR56" s="80"/>
      <c r="CJS56" s="80"/>
      <c r="CJV56" s="80"/>
      <c r="CJW56" s="80"/>
      <c r="CJX56" s="80"/>
      <c r="CJY56" s="80"/>
      <c r="CJZ56" s="80"/>
      <c r="CKA56" s="80"/>
      <c r="CKB56" s="80"/>
      <c r="CKC56" s="80"/>
      <c r="CKD56" s="80"/>
      <c r="CKE56" s="80"/>
      <c r="CKH56" s="80"/>
      <c r="CKI56" s="80"/>
      <c r="CKJ56" s="80"/>
      <c r="CKK56" s="80"/>
      <c r="CKL56" s="80"/>
      <c r="CKM56" s="80"/>
      <c r="CKN56" s="80"/>
      <c r="CKO56" s="80"/>
      <c r="CKP56" s="80"/>
      <c r="CKQ56" s="80"/>
      <c r="CKT56" s="80"/>
      <c r="CKU56" s="80"/>
      <c r="CKV56" s="80"/>
      <c r="CKW56" s="80"/>
      <c r="CKX56" s="80"/>
      <c r="CKY56" s="80"/>
      <c r="CKZ56" s="80"/>
      <c r="CLA56" s="80"/>
      <c r="CLB56" s="80"/>
      <c r="CLC56" s="80"/>
      <c r="CLF56" s="80"/>
      <c r="CLG56" s="80"/>
      <c r="CLH56" s="80"/>
      <c r="CLI56" s="80"/>
      <c r="CLJ56" s="80"/>
      <c r="CLK56" s="80"/>
      <c r="CLL56" s="80"/>
      <c r="CLM56" s="80"/>
      <c r="CLN56" s="80"/>
      <c r="CLO56" s="80"/>
      <c r="CLR56" s="80"/>
      <c r="CLS56" s="80"/>
      <c r="CLT56" s="80"/>
      <c r="CLU56" s="80"/>
      <c r="CLV56" s="80"/>
      <c r="CLW56" s="80"/>
      <c r="CLX56" s="80"/>
      <c r="CLY56" s="80"/>
      <c r="CLZ56" s="80"/>
      <c r="CMA56" s="80"/>
      <c r="CMD56" s="80"/>
      <c r="CME56" s="80"/>
      <c r="CMF56" s="80"/>
      <c r="CMG56" s="80"/>
      <c r="CMH56" s="80"/>
      <c r="CMI56" s="80"/>
      <c r="CMJ56" s="80"/>
      <c r="CMK56" s="80"/>
      <c r="CML56" s="80"/>
      <c r="CMM56" s="80"/>
      <c r="CMP56" s="80"/>
      <c r="CMQ56" s="80"/>
      <c r="CMR56" s="80"/>
      <c r="CMS56" s="80"/>
      <c r="CMT56" s="80"/>
      <c r="CMU56" s="80"/>
      <c r="CMV56" s="80"/>
      <c r="CMW56" s="80"/>
      <c r="CMX56" s="80"/>
      <c r="CMY56" s="80"/>
      <c r="CNB56" s="80"/>
      <c r="CNC56" s="80"/>
      <c r="CND56" s="80"/>
      <c r="CNE56" s="80"/>
      <c r="CNF56" s="80"/>
      <c r="CNG56" s="80"/>
      <c r="CNH56" s="80"/>
      <c r="CNI56" s="80"/>
      <c r="CNJ56" s="80"/>
      <c r="CNK56" s="80"/>
      <c r="CNN56" s="80"/>
      <c r="CNO56" s="80"/>
      <c r="CNP56" s="80"/>
      <c r="CNQ56" s="80"/>
      <c r="CNR56" s="80"/>
      <c r="CNS56" s="80"/>
      <c r="CNT56" s="80"/>
      <c r="CNU56" s="80"/>
      <c r="CNV56" s="80"/>
      <c r="CNW56" s="80"/>
      <c r="CNZ56" s="80"/>
      <c r="COA56" s="80"/>
      <c r="COB56" s="80"/>
      <c r="COC56" s="80"/>
      <c r="COD56" s="80"/>
      <c r="COE56" s="80"/>
      <c r="COF56" s="80"/>
      <c r="COG56" s="80"/>
      <c r="COH56" s="80"/>
      <c r="COI56" s="80"/>
      <c r="COL56" s="80"/>
      <c r="COM56" s="80"/>
      <c r="CON56" s="80"/>
      <c r="COO56" s="80"/>
      <c r="COP56" s="80"/>
      <c r="COQ56" s="80"/>
      <c r="COR56" s="80"/>
      <c r="COS56" s="80"/>
      <c r="COT56" s="80"/>
      <c r="COU56" s="80"/>
      <c r="COX56" s="80"/>
      <c r="COY56" s="80"/>
      <c r="COZ56" s="80"/>
      <c r="CPA56" s="80"/>
      <c r="CPB56" s="80"/>
      <c r="CPC56" s="80"/>
      <c r="CPD56" s="80"/>
      <c r="CPE56" s="80"/>
      <c r="CPF56" s="80"/>
      <c r="CPG56" s="80"/>
      <c r="CPJ56" s="80"/>
      <c r="CPK56" s="80"/>
      <c r="CPL56" s="80"/>
      <c r="CPM56" s="80"/>
      <c r="CPN56" s="80"/>
      <c r="CPO56" s="80"/>
      <c r="CPP56" s="80"/>
      <c r="CPQ56" s="80"/>
      <c r="CPR56" s="80"/>
      <c r="CPS56" s="80"/>
      <c r="CPV56" s="80"/>
      <c r="CPW56" s="80"/>
      <c r="CPX56" s="80"/>
      <c r="CPY56" s="80"/>
      <c r="CPZ56" s="80"/>
      <c r="CQA56" s="80"/>
      <c r="CQB56" s="80"/>
      <c r="CQC56" s="80"/>
      <c r="CQD56" s="80"/>
      <c r="CQE56" s="80"/>
      <c r="CQH56" s="80"/>
      <c r="CQI56" s="80"/>
      <c r="CQJ56" s="80"/>
      <c r="CQK56" s="80"/>
      <c r="CQL56" s="80"/>
      <c r="CQM56" s="80"/>
      <c r="CQN56" s="80"/>
      <c r="CQO56" s="80"/>
      <c r="CQP56" s="80"/>
      <c r="CQQ56" s="80"/>
      <c r="CQT56" s="80"/>
      <c r="CQU56" s="80"/>
      <c r="CQV56" s="80"/>
      <c r="CQW56" s="80"/>
      <c r="CQX56" s="80"/>
      <c r="CQY56" s="80"/>
      <c r="CQZ56" s="80"/>
      <c r="CRA56" s="80"/>
      <c r="CRB56" s="80"/>
      <c r="CRC56" s="80"/>
      <c r="CRF56" s="80"/>
      <c r="CRG56" s="80"/>
      <c r="CRH56" s="80"/>
      <c r="CRI56" s="80"/>
      <c r="CRJ56" s="80"/>
      <c r="CRK56" s="80"/>
      <c r="CRL56" s="80"/>
      <c r="CRM56" s="80"/>
      <c r="CRN56" s="80"/>
      <c r="CRO56" s="80"/>
      <c r="CRR56" s="80"/>
      <c r="CRS56" s="80"/>
      <c r="CRT56" s="80"/>
      <c r="CRU56" s="80"/>
      <c r="CRV56" s="80"/>
      <c r="CRW56" s="80"/>
      <c r="CRX56" s="80"/>
      <c r="CRY56" s="80"/>
      <c r="CRZ56" s="80"/>
      <c r="CSA56" s="80"/>
      <c r="CSD56" s="80"/>
      <c r="CSE56" s="80"/>
      <c r="CSF56" s="80"/>
      <c r="CSG56" s="80"/>
      <c r="CSH56" s="80"/>
      <c r="CSI56" s="80"/>
      <c r="CSJ56" s="80"/>
      <c r="CSK56" s="80"/>
      <c r="CSL56" s="80"/>
      <c r="CSM56" s="80"/>
      <c r="CSP56" s="80"/>
      <c r="CSQ56" s="80"/>
      <c r="CSR56" s="80"/>
      <c r="CSS56" s="80"/>
      <c r="CST56" s="80"/>
      <c r="CSU56" s="80"/>
      <c r="CSV56" s="80"/>
      <c r="CSW56" s="80"/>
      <c r="CSX56" s="80"/>
      <c r="CSY56" s="80"/>
      <c r="CTB56" s="80"/>
      <c r="CTC56" s="80"/>
      <c r="CTD56" s="80"/>
      <c r="CTE56" s="80"/>
      <c r="CTF56" s="80"/>
      <c r="CTG56" s="80"/>
      <c r="CTH56" s="80"/>
      <c r="CTI56" s="80"/>
      <c r="CTJ56" s="80"/>
      <c r="CTK56" s="80"/>
      <c r="CTN56" s="80"/>
      <c r="CTO56" s="80"/>
      <c r="CTP56" s="80"/>
      <c r="CTQ56" s="80"/>
      <c r="CTR56" s="80"/>
      <c r="CTS56" s="80"/>
      <c r="CTT56" s="80"/>
      <c r="CTU56" s="80"/>
      <c r="CTV56" s="80"/>
      <c r="CTW56" s="80"/>
      <c r="CTZ56" s="80"/>
      <c r="CUA56" s="80"/>
      <c r="CUB56" s="80"/>
      <c r="CUC56" s="80"/>
      <c r="CUD56" s="80"/>
      <c r="CUE56" s="80"/>
      <c r="CUF56" s="80"/>
      <c r="CUG56" s="80"/>
      <c r="CUH56" s="80"/>
      <c r="CUI56" s="80"/>
      <c r="CUL56" s="80"/>
      <c r="CUM56" s="80"/>
      <c r="CUN56" s="80"/>
      <c r="CUO56" s="80"/>
      <c r="CUP56" s="80"/>
      <c r="CUQ56" s="80"/>
      <c r="CUR56" s="80"/>
      <c r="CUS56" s="80"/>
      <c r="CUT56" s="80"/>
      <c r="CUU56" s="80"/>
      <c r="CUX56" s="80"/>
      <c r="CUY56" s="80"/>
      <c r="CUZ56" s="80"/>
      <c r="CVA56" s="80"/>
      <c r="CVB56" s="80"/>
      <c r="CVC56" s="80"/>
      <c r="CVD56" s="80"/>
      <c r="CVE56" s="80"/>
      <c r="CVF56" s="80"/>
      <c r="CVG56" s="80"/>
      <c r="CVJ56" s="80"/>
      <c r="CVK56" s="80"/>
      <c r="CVL56" s="80"/>
      <c r="CVM56" s="80"/>
      <c r="CVN56" s="80"/>
      <c r="CVO56" s="80"/>
      <c r="CVP56" s="80"/>
      <c r="CVQ56" s="80"/>
      <c r="CVR56" s="80"/>
      <c r="CVS56" s="80"/>
      <c r="CVV56" s="80"/>
      <c r="CVW56" s="80"/>
      <c r="CVX56" s="80"/>
      <c r="CVY56" s="80"/>
      <c r="CVZ56" s="80"/>
      <c r="CWA56" s="80"/>
      <c r="CWB56" s="80"/>
      <c r="CWC56" s="80"/>
      <c r="CWD56" s="80"/>
      <c r="CWE56" s="80"/>
    </row>
    <row r="57" spans="2:1023 1026:2631" x14ac:dyDescent="0.25"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L57" s="4"/>
      <c r="ADM57" s="4"/>
      <c r="ADN57" s="4"/>
      <c r="ADO57" s="4"/>
      <c r="ADP57" s="4"/>
      <c r="ADQ57" s="4"/>
      <c r="ADR57" s="4"/>
      <c r="ADS57" s="4"/>
      <c r="ADT57" s="4"/>
      <c r="ADU57" s="4"/>
      <c r="ADV57" s="4"/>
      <c r="ADY57" s="4"/>
      <c r="ADZ57" s="4"/>
      <c r="AEA57" s="4"/>
      <c r="AEB57" s="4"/>
      <c r="AEC57" s="4"/>
      <c r="AED57" s="4"/>
      <c r="AEE57" s="4"/>
      <c r="AEF57" s="4"/>
      <c r="AEG57" s="4"/>
      <c r="AEH57" s="4"/>
      <c r="AEI57" s="4"/>
      <c r="AEL57" s="4"/>
      <c r="AEM57" s="4"/>
      <c r="AEN57" s="4"/>
      <c r="AEO57" s="4"/>
      <c r="AEP57" s="4"/>
      <c r="AEQ57" s="4"/>
      <c r="AER57" s="4"/>
      <c r="AES57" s="4"/>
      <c r="AET57" s="4"/>
      <c r="AEU57" s="4"/>
      <c r="AEV57" s="4"/>
      <c r="AEY57" s="4"/>
      <c r="AEZ57" s="4"/>
      <c r="AFA57" s="4"/>
      <c r="AFB57" s="4"/>
      <c r="AFC57" s="4"/>
      <c r="AFD57" s="4"/>
      <c r="AFE57" s="4"/>
      <c r="AFF57" s="4"/>
      <c r="AFG57" s="4"/>
      <c r="AFH57" s="4"/>
      <c r="AFI57" s="4"/>
      <c r="AFL57" s="4"/>
      <c r="AFM57" s="4"/>
      <c r="AFN57" s="4"/>
      <c r="AFO57" s="4"/>
      <c r="AFP57" s="4"/>
      <c r="AFQ57" s="4"/>
      <c r="AFR57" s="4"/>
      <c r="AFS57" s="4"/>
      <c r="AFT57" s="4"/>
      <c r="AFU57" s="4"/>
      <c r="AFV57" s="4"/>
      <c r="AFZ57" s="4"/>
      <c r="AGA57" s="4"/>
      <c r="AGB57" s="4"/>
      <c r="AGC57" s="4"/>
      <c r="AGD57" s="4"/>
      <c r="AGE57" s="4"/>
      <c r="AGF57" s="4"/>
      <c r="AGG57" s="4"/>
      <c r="AGH57" s="4"/>
      <c r="AGI57" s="4"/>
      <c r="AGL57" s="4"/>
      <c r="AGM57" s="4"/>
      <c r="AGN57" s="4"/>
      <c r="AGO57" s="4"/>
      <c r="AGP57" s="4"/>
      <c r="AGQ57" s="4"/>
      <c r="AGR57" s="4"/>
      <c r="AGS57" s="4"/>
      <c r="AGT57" s="4"/>
      <c r="AGU57" s="4"/>
      <c r="AGX57" s="4"/>
      <c r="AGY57" s="4"/>
      <c r="AGZ57" s="4"/>
      <c r="AHA57" s="4"/>
      <c r="AHB57" s="4"/>
      <c r="AHC57" s="4"/>
      <c r="AHD57" s="4"/>
      <c r="AHE57" s="4"/>
      <c r="AHF57" s="4"/>
      <c r="AHG57" s="4"/>
      <c r="AHJ57" s="4"/>
      <c r="AHK57" s="4"/>
      <c r="AHL57" s="4"/>
      <c r="AHM57" s="4"/>
      <c r="AHN57" s="4"/>
      <c r="AHO57" s="4"/>
      <c r="AHP57" s="4"/>
      <c r="AHQ57" s="4"/>
      <c r="AHR57" s="4"/>
      <c r="AHS57" s="4"/>
      <c r="AHV57" s="4"/>
      <c r="AHW57" s="4"/>
      <c r="AHX57" s="4"/>
      <c r="AHY57" s="4"/>
      <c r="AHZ57" s="4"/>
      <c r="AIA57" s="4"/>
      <c r="AIB57" s="4"/>
      <c r="AIC57" s="4"/>
      <c r="AID57" s="4"/>
      <c r="AIE57" s="4"/>
      <c r="AIH57" s="4"/>
      <c r="AII57" s="4"/>
      <c r="AIJ57" s="4"/>
      <c r="AIK57" s="4"/>
      <c r="AIL57" s="4"/>
      <c r="AIM57" s="4"/>
      <c r="AIN57" s="4"/>
      <c r="AIO57" s="4"/>
      <c r="AIP57" s="4"/>
      <c r="AIQ57" s="4"/>
      <c r="AIT57" s="4"/>
      <c r="AIU57" s="4"/>
      <c r="AIV57" s="4"/>
      <c r="AIW57" s="4"/>
      <c r="AIX57" s="4"/>
      <c r="AIY57" s="4"/>
      <c r="AIZ57" s="4"/>
      <c r="AJA57" s="4"/>
      <c r="AJB57" s="4"/>
      <c r="AJC57" s="4"/>
      <c r="AJF57" s="4"/>
      <c r="AJG57" s="4"/>
      <c r="AJH57" s="4"/>
      <c r="AJI57" s="4"/>
      <c r="AJJ57" s="4"/>
      <c r="AJK57" s="4"/>
      <c r="AJL57" s="4"/>
      <c r="AJM57" s="4"/>
      <c r="AJN57" s="4"/>
      <c r="AJO57" s="4"/>
      <c r="AJR57" s="4"/>
      <c r="AJS57" s="4"/>
      <c r="AJT57" s="4"/>
      <c r="AJU57" s="4"/>
      <c r="AJV57" s="4"/>
      <c r="AJW57" s="4"/>
      <c r="AJX57" s="4"/>
      <c r="AJY57" s="4"/>
      <c r="AJZ57" s="4"/>
      <c r="AKA57" s="4"/>
      <c r="AKD57" s="4"/>
      <c r="AKE57" s="4"/>
      <c r="AKF57" s="4"/>
      <c r="AKG57" s="4"/>
      <c r="AKH57" s="4"/>
      <c r="AKI57" s="4"/>
      <c r="AKJ57" s="4"/>
      <c r="AKK57" s="4"/>
      <c r="AKL57" s="4"/>
      <c r="AKM57" s="4"/>
      <c r="AKP57" s="4"/>
      <c r="AKQ57" s="4"/>
      <c r="AKR57" s="4"/>
      <c r="AKS57" s="4"/>
      <c r="AKT57" s="4"/>
      <c r="AKU57" s="4"/>
      <c r="AKV57" s="4"/>
      <c r="AKW57" s="4"/>
      <c r="AKX57" s="4"/>
      <c r="AKY57" s="4"/>
      <c r="ALB57" s="4"/>
      <c r="ALC57" s="4"/>
      <c r="ALD57" s="4"/>
      <c r="ALE57" s="4"/>
      <c r="ALF57" s="4"/>
      <c r="ALG57" s="4"/>
      <c r="ALH57" s="4"/>
      <c r="ALI57" s="4"/>
      <c r="ALJ57" s="4"/>
      <c r="ALK57" s="4"/>
      <c r="ALN57" s="4"/>
      <c r="ALO57" s="4"/>
      <c r="ALP57" s="4"/>
      <c r="ALQ57" s="4"/>
      <c r="ALR57" s="4"/>
      <c r="ALS57" s="4"/>
      <c r="ALT57" s="4"/>
      <c r="ALU57" s="4"/>
      <c r="ALV57" s="4"/>
      <c r="ALW57" s="4"/>
      <c r="ALZ57" s="4"/>
      <c r="AMA57" s="4"/>
      <c r="AMB57" s="4"/>
      <c r="AMC57" s="4"/>
      <c r="AMD57" s="4"/>
      <c r="AME57" s="4"/>
      <c r="AMF57" s="4"/>
      <c r="AMG57" s="4"/>
      <c r="AMH57" s="4"/>
      <c r="AMI57" s="4"/>
      <c r="AML57" s="4"/>
      <c r="AMM57" s="4"/>
      <c r="AMN57" s="4"/>
      <c r="AMO57" s="4"/>
      <c r="AMP57" s="4"/>
      <c r="AMQ57" s="4"/>
      <c r="AMR57" s="4"/>
      <c r="AMS57" s="4"/>
      <c r="AMT57" s="4"/>
      <c r="AMU57" s="4"/>
      <c r="AMX57" s="4"/>
      <c r="AMY57" s="4"/>
      <c r="AMZ57" s="4"/>
      <c r="ANA57" s="4"/>
      <c r="ANB57" s="4"/>
      <c r="ANC57" s="4"/>
      <c r="AND57" s="4"/>
      <c r="ANE57" s="4"/>
      <c r="ANF57" s="4"/>
      <c r="ANG57" s="4"/>
      <c r="ANJ57" s="4"/>
      <c r="ANK57" s="4"/>
      <c r="ANL57" s="4"/>
      <c r="ANM57" s="4"/>
      <c r="ANN57" s="4"/>
      <c r="ANO57" s="4"/>
      <c r="ANP57" s="4"/>
      <c r="ANQ57" s="4"/>
      <c r="ANR57" s="4"/>
      <c r="ANS57" s="4"/>
      <c r="ANV57" s="4"/>
      <c r="ANW57" s="4"/>
      <c r="ANX57" s="4"/>
      <c r="ANY57" s="4"/>
      <c r="ANZ57" s="4"/>
      <c r="AOA57" s="4"/>
      <c r="AOB57" s="4"/>
      <c r="AOC57" s="4"/>
      <c r="AOD57" s="4"/>
      <c r="AOE57" s="4"/>
      <c r="AOH57" s="4"/>
      <c r="AOI57" s="4"/>
      <c r="AOJ57" s="4"/>
      <c r="AOK57" s="4"/>
      <c r="AOL57" s="4"/>
      <c r="AOM57" s="4"/>
      <c r="AON57" s="4"/>
      <c r="AOO57" s="4"/>
      <c r="AOP57" s="4"/>
      <c r="AOQ57" s="4"/>
      <c r="AOT57" s="4"/>
      <c r="AOU57" s="4"/>
      <c r="AOV57" s="4"/>
      <c r="AOW57" s="4"/>
      <c r="AOX57" s="4"/>
      <c r="AOY57" s="4"/>
      <c r="AOZ57" s="4"/>
      <c r="APA57" s="4"/>
      <c r="APB57" s="4"/>
      <c r="APC57" s="4"/>
      <c r="APF57" s="4"/>
      <c r="APG57" s="4"/>
      <c r="APH57" s="4"/>
      <c r="API57" s="4"/>
      <c r="APJ57" s="4"/>
      <c r="APK57" s="4"/>
      <c r="APL57" s="4"/>
      <c r="APM57" s="4"/>
      <c r="APN57" s="4"/>
      <c r="APO57" s="4"/>
      <c r="APR57" s="4"/>
      <c r="APS57" s="4"/>
      <c r="APT57" s="4"/>
      <c r="APU57" s="4"/>
      <c r="APV57" s="4"/>
      <c r="APW57" s="4"/>
      <c r="APX57" s="4"/>
      <c r="APY57" s="4"/>
      <c r="APZ57" s="4"/>
      <c r="AQA57" s="4"/>
      <c r="AQD57" s="4"/>
      <c r="AQE57" s="4"/>
      <c r="AQF57" s="4"/>
      <c r="AQG57" s="4"/>
      <c r="AQH57" s="4"/>
      <c r="AQI57" s="4"/>
      <c r="AQJ57" s="4"/>
      <c r="AQK57" s="4"/>
      <c r="AQL57" s="4"/>
      <c r="AQM57" s="4"/>
      <c r="AQP57" s="4"/>
      <c r="AQQ57" s="4"/>
      <c r="AQR57" s="4"/>
      <c r="AQS57" s="4"/>
      <c r="AQT57" s="4"/>
      <c r="AQU57" s="4"/>
      <c r="AQV57" s="4"/>
      <c r="AQW57" s="4"/>
      <c r="AQX57" s="4"/>
      <c r="AQY57" s="4"/>
      <c r="ARB57" s="4"/>
      <c r="ARC57" s="4"/>
      <c r="ARD57" s="4"/>
      <c r="ARE57" s="4"/>
      <c r="ARF57" s="4"/>
      <c r="ARG57" s="4"/>
      <c r="ARH57" s="4"/>
      <c r="ARI57" s="4"/>
      <c r="ARJ57" s="4"/>
      <c r="ARK57" s="4"/>
      <c r="ARN57" s="4"/>
      <c r="ARO57" s="4"/>
      <c r="ARP57" s="4"/>
      <c r="ARQ57" s="4"/>
      <c r="ARR57" s="4"/>
      <c r="ARS57" s="4"/>
      <c r="ART57" s="4"/>
      <c r="ARU57" s="4"/>
      <c r="ARV57" s="4"/>
      <c r="ARW57" s="4"/>
      <c r="ARZ57" s="4"/>
      <c r="ASA57" s="4"/>
      <c r="ASB57" s="4"/>
      <c r="ASC57" s="4"/>
      <c r="ASD57" s="4"/>
      <c r="ASE57" s="4"/>
      <c r="ASF57" s="4"/>
      <c r="ASG57" s="4"/>
      <c r="ASH57" s="4"/>
      <c r="ASI57" s="4"/>
      <c r="ASL57" s="4"/>
      <c r="ASM57" s="4"/>
      <c r="ASN57" s="4"/>
      <c r="ASO57" s="4"/>
      <c r="ASP57" s="4"/>
      <c r="ASQ57" s="4"/>
      <c r="ASR57" s="4"/>
      <c r="ASS57" s="4"/>
      <c r="AST57" s="4"/>
      <c r="ASU57" s="4"/>
      <c r="ASX57" s="4"/>
      <c r="ASY57" s="4"/>
      <c r="ASZ57" s="4"/>
      <c r="ATA57" s="4"/>
      <c r="ATB57" s="4"/>
      <c r="ATC57" s="4"/>
      <c r="ATD57" s="4"/>
      <c r="ATE57" s="4"/>
      <c r="ATF57" s="4"/>
      <c r="ATG57" s="4"/>
      <c r="ATJ57" s="4"/>
      <c r="ATK57" s="4"/>
      <c r="ATL57" s="4"/>
      <c r="ATM57" s="4"/>
      <c r="ATN57" s="4"/>
      <c r="ATO57" s="4"/>
      <c r="ATP57" s="4"/>
      <c r="ATQ57" s="4"/>
      <c r="ATR57" s="4"/>
      <c r="ATS57" s="4"/>
      <c r="ATV57" s="4"/>
      <c r="ATW57" s="4"/>
      <c r="ATX57" s="4"/>
      <c r="ATY57" s="4"/>
      <c r="ATZ57" s="4"/>
      <c r="AUA57" s="4"/>
      <c r="AUB57" s="4"/>
      <c r="AUC57" s="4"/>
      <c r="AUD57" s="4"/>
      <c r="AUE57" s="4"/>
      <c r="AUH57" s="4"/>
      <c r="AUI57" s="4"/>
      <c r="AUJ57" s="4"/>
      <c r="AUK57" s="4"/>
      <c r="AUL57" s="4"/>
      <c r="AUM57" s="4"/>
      <c r="AUN57" s="4"/>
      <c r="AUO57" s="4"/>
      <c r="AUP57" s="4"/>
      <c r="AUQ57" s="4"/>
      <c r="AUT57" s="4"/>
      <c r="AUU57" s="4"/>
      <c r="AUV57" s="4"/>
      <c r="AUW57" s="4"/>
      <c r="AUX57" s="4"/>
      <c r="AUY57" s="4"/>
      <c r="AUZ57" s="4"/>
      <c r="AVA57" s="4"/>
      <c r="AVB57" s="4"/>
      <c r="AVC57" s="4"/>
      <c r="AVF57" s="4"/>
      <c r="AVG57" s="4"/>
      <c r="AVH57" s="4"/>
      <c r="AVI57" s="4"/>
      <c r="AVJ57" s="4"/>
      <c r="AVK57" s="4"/>
      <c r="AVL57" s="4"/>
      <c r="AVM57" s="4"/>
      <c r="AVN57" s="4"/>
      <c r="AVO57" s="4"/>
      <c r="AVR57" s="4"/>
      <c r="AVS57" s="4"/>
      <c r="AVT57" s="4"/>
      <c r="AVU57" s="4"/>
      <c r="AVV57" s="4"/>
      <c r="AVW57" s="4"/>
      <c r="AVX57" s="4"/>
      <c r="AVY57" s="4"/>
      <c r="AVZ57" s="4"/>
      <c r="AWA57" s="4"/>
      <c r="AWD57" s="4"/>
      <c r="AWE57" s="4"/>
      <c r="AWF57" s="4"/>
      <c r="AWG57" s="4"/>
      <c r="AWH57" s="4"/>
      <c r="AWI57" s="4"/>
      <c r="AWJ57" s="4"/>
      <c r="AWK57" s="4"/>
      <c r="AWL57" s="4"/>
      <c r="AWM57" s="4"/>
      <c r="AWP57" s="4"/>
      <c r="AWQ57" s="4"/>
      <c r="AWR57" s="4"/>
      <c r="AWS57" s="4"/>
      <c r="AWT57" s="4"/>
      <c r="AWU57" s="4"/>
      <c r="AWV57" s="4"/>
      <c r="AWW57" s="4"/>
      <c r="AWX57" s="4"/>
      <c r="AWY57" s="4"/>
      <c r="AXB57" s="4"/>
      <c r="AXC57" s="4"/>
      <c r="AXD57" s="4"/>
      <c r="AXE57" s="4"/>
      <c r="AXF57" s="4"/>
      <c r="AXG57" s="4"/>
      <c r="AXH57" s="4"/>
      <c r="AXI57" s="4"/>
      <c r="AXJ57" s="4"/>
      <c r="AXK57" s="4"/>
      <c r="AXN57" s="4"/>
      <c r="AXO57" s="4"/>
      <c r="AXP57" s="4"/>
      <c r="AXQ57" s="4"/>
      <c r="AXR57" s="4"/>
      <c r="AXS57" s="4"/>
      <c r="AXT57" s="4"/>
      <c r="AXU57" s="4"/>
      <c r="AXV57" s="4"/>
      <c r="AXW57" s="4"/>
      <c r="AXZ57" s="4"/>
      <c r="AYA57" s="4"/>
      <c r="AYB57" s="4"/>
      <c r="AYC57" s="4"/>
      <c r="AYD57" s="4"/>
      <c r="AYE57" s="4"/>
      <c r="AYF57" s="4"/>
      <c r="AYG57" s="4"/>
      <c r="AYH57" s="4"/>
      <c r="AYI57" s="4"/>
      <c r="AYL57" s="4"/>
      <c r="AYM57" s="4"/>
      <c r="AYN57" s="4"/>
      <c r="AYO57" s="4"/>
      <c r="AYP57" s="4"/>
      <c r="AYQ57" s="4"/>
      <c r="AYR57" s="4"/>
      <c r="AYS57" s="4"/>
      <c r="AYT57" s="4"/>
      <c r="AYU57" s="4"/>
      <c r="AYX57" s="4"/>
      <c r="AYY57" s="4"/>
      <c r="AYZ57" s="4"/>
      <c r="AZA57" s="4"/>
      <c r="AZB57" s="4"/>
      <c r="AZC57" s="4"/>
      <c r="AZD57" s="4"/>
      <c r="AZE57" s="4"/>
      <c r="AZF57" s="4"/>
      <c r="AZG57" s="4"/>
      <c r="AZJ57" s="4"/>
      <c r="AZK57" s="4"/>
      <c r="AZL57" s="4"/>
      <c r="AZM57" s="4"/>
      <c r="AZN57" s="4"/>
      <c r="AZO57" s="4"/>
      <c r="AZP57" s="4"/>
      <c r="AZQ57" s="4"/>
      <c r="AZR57" s="4"/>
      <c r="AZS57" s="4"/>
      <c r="AZV57" s="4"/>
      <c r="AZW57" s="4"/>
      <c r="AZX57" s="4"/>
      <c r="AZY57" s="4"/>
      <c r="AZZ57" s="4"/>
      <c r="BAA57" s="4"/>
      <c r="BAB57" s="4"/>
      <c r="BAC57" s="4"/>
      <c r="BAD57" s="4"/>
      <c r="BAE57" s="4"/>
      <c r="BAH57" s="4"/>
      <c r="BAI57" s="4"/>
      <c r="BAJ57" s="4"/>
      <c r="BAK57" s="4"/>
      <c r="BAL57" s="4"/>
      <c r="BAM57" s="4"/>
      <c r="BAN57" s="4"/>
      <c r="BAO57" s="4"/>
      <c r="BAP57" s="4"/>
      <c r="BAQ57" s="4"/>
      <c r="BAT57" s="4"/>
      <c r="BAU57" s="4"/>
      <c r="BAV57" s="4"/>
      <c r="BAW57" s="4"/>
      <c r="BAX57" s="4"/>
      <c r="BAY57" s="4"/>
      <c r="BAZ57" s="4"/>
      <c r="BBA57" s="4"/>
      <c r="BBB57" s="4"/>
      <c r="BBC57" s="4"/>
      <c r="BBF57" s="4"/>
      <c r="BBG57" s="4"/>
      <c r="BBH57" s="4"/>
      <c r="BBI57" s="4"/>
      <c r="BBJ57" s="4"/>
      <c r="BBK57" s="4"/>
      <c r="BBL57" s="4"/>
      <c r="BBM57" s="4"/>
      <c r="BBN57" s="4"/>
      <c r="BBO57" s="4"/>
      <c r="BBR57" s="4"/>
      <c r="BBS57" s="4"/>
      <c r="BBT57" s="4"/>
      <c r="BBU57" s="4"/>
      <c r="BBV57" s="4"/>
      <c r="BBW57" s="4"/>
      <c r="BBX57" s="4"/>
      <c r="BBY57" s="4"/>
      <c r="BBZ57" s="4"/>
      <c r="BCA57" s="4"/>
      <c r="BCD57" s="4"/>
      <c r="BCE57" s="4"/>
      <c r="BCF57" s="4"/>
      <c r="BCG57" s="4"/>
      <c r="BCH57" s="4"/>
      <c r="BCI57" s="4"/>
      <c r="BCJ57" s="4"/>
      <c r="BCK57" s="4"/>
      <c r="BCL57" s="4"/>
      <c r="BCM57" s="4"/>
      <c r="BCP57" s="4"/>
      <c r="BCQ57" s="4"/>
      <c r="BCR57" s="4"/>
      <c r="BCS57" s="4"/>
      <c r="BCT57" s="4"/>
      <c r="BCU57" s="4"/>
      <c r="BCV57" s="4"/>
      <c r="BCW57" s="4"/>
      <c r="BCX57" s="4"/>
      <c r="BCY57" s="4"/>
      <c r="BDB57" s="4"/>
      <c r="BDC57" s="4"/>
      <c r="BDD57" s="4"/>
      <c r="BDE57" s="4"/>
      <c r="BDF57" s="4"/>
      <c r="BDG57" s="4"/>
      <c r="BDH57" s="4"/>
      <c r="BDI57" s="4"/>
      <c r="BDJ57" s="4"/>
      <c r="BDK57" s="4"/>
      <c r="BDN57" s="4"/>
      <c r="BDO57" s="4"/>
      <c r="BDP57" s="4"/>
      <c r="BDQ57" s="4"/>
      <c r="BDR57" s="4"/>
      <c r="BDS57" s="4"/>
      <c r="BDT57" s="4"/>
      <c r="BDU57" s="4"/>
      <c r="BDV57" s="4"/>
      <c r="BDW57" s="4"/>
      <c r="BDZ57" s="4"/>
      <c r="BEA57" s="4"/>
      <c r="BEB57" s="4"/>
      <c r="BEC57" s="4"/>
      <c r="BED57" s="4"/>
      <c r="BEE57" s="4"/>
      <c r="BEF57" s="4"/>
      <c r="BEG57" s="4"/>
      <c r="BEH57" s="4"/>
      <c r="BEI57" s="4"/>
      <c r="BEL57" s="4"/>
      <c r="BEM57" s="4"/>
      <c r="BEN57" s="4"/>
      <c r="BEO57" s="4"/>
      <c r="BEP57" s="4"/>
      <c r="BEQ57" s="4"/>
      <c r="BER57" s="4"/>
      <c r="BES57" s="4"/>
      <c r="BET57" s="4"/>
      <c r="BEU57" s="4"/>
      <c r="BEX57" s="4"/>
      <c r="BEY57" s="4"/>
      <c r="BEZ57" s="4"/>
      <c r="BFA57" s="4"/>
      <c r="BFB57" s="4"/>
      <c r="BFC57" s="4"/>
      <c r="BFD57" s="4"/>
      <c r="BFE57" s="4"/>
      <c r="BFF57" s="4"/>
      <c r="BFG57" s="4"/>
      <c r="BFJ57" s="4"/>
      <c r="BFK57" s="4"/>
      <c r="BFL57" s="4"/>
      <c r="BFM57" s="4"/>
      <c r="BFN57" s="4"/>
      <c r="BFO57" s="4"/>
      <c r="BFP57" s="4"/>
      <c r="BFQ57" s="4"/>
      <c r="BFR57" s="4"/>
      <c r="BFS57" s="4"/>
      <c r="BFV57" s="4"/>
      <c r="BFW57" s="4"/>
      <c r="BFX57" s="4"/>
      <c r="BFY57" s="4"/>
      <c r="BFZ57" s="4"/>
      <c r="BGA57" s="4"/>
      <c r="BGB57" s="4"/>
      <c r="BGC57" s="4"/>
      <c r="BGD57" s="4"/>
      <c r="BGE57" s="4"/>
      <c r="BGH57" s="4"/>
      <c r="BGI57" s="4"/>
      <c r="BGJ57" s="4"/>
      <c r="BGK57" s="4"/>
      <c r="BGL57" s="4"/>
      <c r="BGM57" s="4"/>
      <c r="BGN57" s="4"/>
      <c r="BGO57" s="4"/>
      <c r="BGP57" s="4"/>
      <c r="BGQ57" s="4"/>
      <c r="BGT57" s="4"/>
      <c r="BGU57" s="4"/>
      <c r="BGV57" s="4"/>
      <c r="BGW57" s="4"/>
      <c r="BGX57" s="4"/>
      <c r="BGY57" s="4"/>
      <c r="BGZ57" s="4"/>
      <c r="BHA57" s="4"/>
      <c r="BHB57" s="4"/>
      <c r="BHC57" s="4"/>
      <c r="BHF57" s="4"/>
      <c r="BHG57" s="4"/>
      <c r="BHH57" s="4"/>
      <c r="BHI57" s="4"/>
      <c r="BHJ57" s="4"/>
      <c r="BHK57" s="4"/>
      <c r="BHL57" s="4"/>
      <c r="BHM57" s="4"/>
      <c r="BHN57" s="4"/>
      <c r="BHO57" s="4"/>
      <c r="BHR57" s="4"/>
      <c r="BHS57" s="4"/>
      <c r="BHT57" s="4"/>
      <c r="BHU57" s="4"/>
      <c r="BHV57" s="4"/>
      <c r="BHW57" s="4"/>
      <c r="BHX57" s="4"/>
      <c r="BHY57" s="4"/>
      <c r="BHZ57" s="4"/>
      <c r="BIA57" s="4"/>
      <c r="BID57" s="4"/>
      <c r="BIE57" s="4"/>
      <c r="BIF57" s="4"/>
      <c r="BIG57" s="4"/>
      <c r="BIH57" s="4"/>
      <c r="BII57" s="4"/>
      <c r="BIJ57" s="4"/>
      <c r="BIK57" s="4"/>
      <c r="BIL57" s="4"/>
      <c r="BIM57" s="4"/>
      <c r="BIP57" s="4"/>
      <c r="BIQ57" s="4"/>
      <c r="BIR57" s="4"/>
      <c r="BIS57" s="4"/>
      <c r="BIT57" s="4"/>
      <c r="BIU57" s="4"/>
      <c r="BIV57" s="4"/>
      <c r="BIW57" s="4"/>
      <c r="BIX57" s="4"/>
      <c r="BIY57" s="4"/>
      <c r="BJB57" s="4"/>
      <c r="BJC57" s="4"/>
      <c r="BJD57" s="4"/>
      <c r="BJE57" s="4"/>
      <c r="BJF57" s="4"/>
      <c r="BJG57" s="4"/>
      <c r="BJH57" s="4"/>
      <c r="BJI57" s="4"/>
      <c r="BJJ57" s="4"/>
      <c r="BJK57" s="4"/>
      <c r="BJN57" s="4"/>
      <c r="BJO57" s="4"/>
      <c r="BJP57" s="4"/>
      <c r="BJQ57" s="4"/>
      <c r="BJR57" s="4"/>
      <c r="BJS57" s="4"/>
      <c r="BJT57" s="4"/>
      <c r="BJU57" s="4"/>
      <c r="BJV57" s="4"/>
      <c r="BJW57" s="4"/>
      <c r="BJZ57" s="4"/>
      <c r="BKA57" s="4"/>
      <c r="BKB57" s="4"/>
      <c r="BKC57" s="4"/>
      <c r="BKD57" s="4"/>
      <c r="BKE57" s="4"/>
      <c r="BKF57" s="4"/>
      <c r="BKG57" s="4"/>
      <c r="BKH57" s="4"/>
      <c r="BKI57" s="4"/>
      <c r="BKL57" s="4"/>
      <c r="BKM57" s="4"/>
      <c r="BKN57" s="4"/>
      <c r="BKO57" s="4"/>
      <c r="BKP57" s="4"/>
      <c r="BKQ57" s="4"/>
      <c r="BKR57" s="4"/>
      <c r="BKS57" s="4"/>
      <c r="BKT57" s="4"/>
      <c r="BKU57" s="4"/>
      <c r="BKX57" s="4"/>
      <c r="BKY57" s="4"/>
      <c r="BKZ57" s="4"/>
      <c r="BLA57" s="4"/>
      <c r="BLB57" s="4"/>
      <c r="BLC57" s="4"/>
      <c r="BLD57" s="4"/>
      <c r="BLE57" s="4"/>
      <c r="BLF57" s="4"/>
      <c r="BLG57" s="4"/>
      <c r="BLJ57" s="4"/>
      <c r="BLK57" s="4"/>
      <c r="BLL57" s="4"/>
      <c r="BLM57" s="4"/>
      <c r="BLN57" s="4"/>
      <c r="BLO57" s="4"/>
      <c r="BLP57" s="4"/>
      <c r="BLQ57" s="4"/>
      <c r="BLR57" s="4"/>
      <c r="BLS57" s="4"/>
      <c r="BLV57" s="4"/>
      <c r="BLW57" s="4"/>
      <c r="BLX57" s="4"/>
      <c r="BLY57" s="4"/>
      <c r="BLZ57" s="4"/>
      <c r="BMA57" s="4"/>
      <c r="BMB57" s="4"/>
      <c r="BMC57" s="4"/>
      <c r="BMD57" s="4"/>
      <c r="BME57" s="4"/>
      <c r="BMH57" s="4"/>
      <c r="BMI57" s="4"/>
      <c r="BMJ57" s="4"/>
      <c r="BMK57" s="4"/>
      <c r="BML57" s="4"/>
      <c r="BMM57" s="4"/>
      <c r="BMN57" s="4"/>
      <c r="BMO57" s="4"/>
      <c r="BMP57" s="4"/>
      <c r="BMQ57" s="4"/>
      <c r="BMT57" s="4"/>
      <c r="BMU57" s="4"/>
      <c r="BMV57" s="4"/>
      <c r="BMW57" s="4"/>
      <c r="BMX57" s="4"/>
      <c r="BMY57" s="4"/>
      <c r="BMZ57" s="4"/>
      <c r="BNA57" s="4"/>
      <c r="BNB57" s="4"/>
      <c r="BNC57" s="4"/>
      <c r="BNF57" s="4"/>
      <c r="BNG57" s="4"/>
      <c r="BNH57" s="4"/>
      <c r="BNI57" s="4"/>
      <c r="BNJ57" s="4"/>
      <c r="BNK57" s="4"/>
      <c r="BNL57" s="4"/>
      <c r="BNM57" s="4"/>
      <c r="BNN57" s="4"/>
      <c r="BNO57" s="4"/>
      <c r="BNR57" s="4"/>
      <c r="BNS57" s="4"/>
      <c r="BNT57" s="4"/>
      <c r="BNU57" s="4"/>
      <c r="BNV57" s="4"/>
      <c r="BNW57" s="4"/>
      <c r="BNX57" s="4"/>
      <c r="BNY57" s="4"/>
      <c r="BNZ57" s="4"/>
      <c r="BOA57" s="4"/>
      <c r="BOD57" s="4"/>
      <c r="BOE57" s="4"/>
      <c r="BOF57" s="4"/>
      <c r="BOG57" s="4"/>
      <c r="BOH57" s="4"/>
      <c r="BOI57" s="4"/>
      <c r="BOJ57" s="4"/>
      <c r="BOK57" s="4"/>
      <c r="BOL57" s="4"/>
      <c r="BOM57" s="4"/>
      <c r="BOP57" s="4"/>
      <c r="BOQ57" s="4"/>
      <c r="BOR57" s="4"/>
      <c r="BOS57" s="4"/>
      <c r="BOT57" s="4"/>
      <c r="BOU57" s="4"/>
      <c r="BOV57" s="4"/>
      <c r="BOW57" s="4"/>
      <c r="BOX57" s="4"/>
      <c r="BOY57" s="4"/>
      <c r="BPB57" s="4"/>
      <c r="BPC57" s="4"/>
      <c r="BPD57" s="4"/>
      <c r="BPE57" s="4"/>
      <c r="BPF57" s="4"/>
      <c r="BPG57" s="4"/>
      <c r="BPH57" s="4"/>
      <c r="BPI57" s="4"/>
      <c r="BPJ57" s="4"/>
      <c r="BPK57" s="4"/>
      <c r="BPN57" s="4"/>
      <c r="BPO57" s="4"/>
      <c r="BPP57" s="4"/>
      <c r="BPQ57" s="4"/>
      <c r="BPR57" s="4"/>
      <c r="BPS57" s="4"/>
      <c r="BPT57" s="4"/>
      <c r="BPU57" s="4"/>
      <c r="BPV57" s="4"/>
      <c r="BPW57" s="4"/>
      <c r="BPZ57" s="4"/>
      <c r="BQA57" s="4"/>
      <c r="BQB57" s="4"/>
      <c r="BQC57" s="4"/>
      <c r="BQD57" s="4"/>
      <c r="BQE57" s="4"/>
      <c r="BQF57" s="4"/>
      <c r="BQG57" s="4"/>
      <c r="BQH57" s="4"/>
      <c r="BQI57" s="4"/>
      <c r="BQL57" s="4"/>
      <c r="BQM57" s="4"/>
      <c r="BQN57" s="4"/>
      <c r="BQO57" s="4"/>
      <c r="BQP57" s="4"/>
      <c r="BQQ57" s="4"/>
      <c r="BQR57" s="4"/>
      <c r="BQS57" s="4"/>
      <c r="BQT57" s="4"/>
      <c r="BQU57" s="4"/>
      <c r="BQX57" s="4"/>
      <c r="BQY57" s="4"/>
      <c r="BQZ57" s="4"/>
      <c r="BRA57" s="4"/>
      <c r="BRB57" s="4"/>
      <c r="BRC57" s="4"/>
      <c r="BRD57" s="4"/>
      <c r="BRE57" s="4"/>
      <c r="BRF57" s="4"/>
      <c r="BRG57" s="4"/>
      <c r="BRJ57" s="4"/>
      <c r="BRK57" s="4"/>
      <c r="BRL57" s="4"/>
      <c r="BRM57" s="4"/>
      <c r="BRN57" s="4"/>
      <c r="BRO57" s="4"/>
      <c r="BRP57" s="4"/>
      <c r="BRQ57" s="4"/>
      <c r="BRR57" s="4"/>
      <c r="BRS57" s="4"/>
      <c r="BRV57" s="4"/>
      <c r="BRW57" s="4"/>
      <c r="BRX57" s="4"/>
      <c r="BRY57" s="4"/>
      <c r="BRZ57" s="4"/>
      <c r="BSA57" s="4"/>
      <c r="BSB57" s="4"/>
      <c r="BSC57" s="4"/>
      <c r="BSD57" s="4"/>
      <c r="BSE57" s="4"/>
      <c r="BSH57" s="4"/>
      <c r="BSI57" s="4"/>
      <c r="BSJ57" s="4"/>
      <c r="BSK57" s="4"/>
      <c r="BSL57" s="4"/>
      <c r="BSM57" s="4"/>
      <c r="BSN57" s="4"/>
      <c r="BSO57" s="4"/>
      <c r="BSP57" s="4"/>
      <c r="BSQ57" s="4"/>
      <c r="BST57" s="4"/>
      <c r="BSU57" s="4"/>
      <c r="BSV57" s="4"/>
      <c r="BSW57" s="4"/>
      <c r="BSX57" s="4"/>
      <c r="BSY57" s="4"/>
      <c r="BSZ57" s="4"/>
      <c r="BTA57" s="4"/>
      <c r="BTB57" s="4"/>
      <c r="BTC57" s="4"/>
      <c r="BTF57" s="4"/>
      <c r="BTG57" s="4"/>
      <c r="BTH57" s="4"/>
      <c r="BTI57" s="4"/>
      <c r="BTJ57" s="4"/>
      <c r="BTK57" s="4"/>
      <c r="BTL57" s="4"/>
      <c r="BTM57" s="4"/>
      <c r="BTN57" s="4"/>
      <c r="BTO57" s="4"/>
      <c r="BTR57" s="4"/>
      <c r="BTS57" s="4"/>
      <c r="BTT57" s="4"/>
      <c r="BTU57" s="4"/>
      <c r="BTV57" s="4"/>
      <c r="BTW57" s="4"/>
      <c r="BTX57" s="4"/>
      <c r="BTY57" s="4"/>
      <c r="BTZ57" s="4"/>
      <c r="BUA57" s="4"/>
      <c r="BUD57" s="4"/>
      <c r="BUE57" s="4"/>
      <c r="BUF57" s="4"/>
      <c r="BUG57" s="4"/>
      <c r="BUH57" s="4"/>
      <c r="BUI57" s="4"/>
      <c r="BUJ57" s="4"/>
      <c r="BUK57" s="4"/>
      <c r="BUL57" s="4"/>
      <c r="BUM57" s="4"/>
      <c r="BUP57" s="4"/>
      <c r="BUQ57" s="4"/>
      <c r="BUR57" s="4"/>
      <c r="BUS57" s="4"/>
      <c r="BUT57" s="4"/>
      <c r="BUU57" s="4"/>
      <c r="BUV57" s="4"/>
      <c r="BUW57" s="4"/>
      <c r="BUX57" s="4"/>
      <c r="BUY57" s="4"/>
      <c r="BVB57" s="4"/>
      <c r="BVC57" s="4"/>
      <c r="BVD57" s="4"/>
      <c r="BVE57" s="4"/>
      <c r="BVF57" s="4"/>
      <c r="BVG57" s="4"/>
      <c r="BVH57" s="4"/>
      <c r="BVI57" s="4"/>
      <c r="BVJ57" s="4"/>
      <c r="BVK57" s="4"/>
      <c r="BVN57" s="4"/>
      <c r="BVO57" s="4"/>
      <c r="BVP57" s="4"/>
      <c r="BVQ57" s="4"/>
      <c r="BVR57" s="4"/>
      <c r="BVS57" s="4"/>
      <c r="BVT57" s="4"/>
      <c r="BVU57" s="4"/>
      <c r="BVV57" s="4"/>
      <c r="BVW57" s="4"/>
      <c r="BVZ57" s="4"/>
      <c r="BWA57" s="4"/>
      <c r="BWB57" s="4"/>
      <c r="BWC57" s="4"/>
      <c r="BWD57" s="4"/>
      <c r="BWE57" s="4"/>
      <c r="BWF57" s="4"/>
      <c r="BWG57" s="4"/>
      <c r="BWH57" s="4"/>
      <c r="BWI57" s="4"/>
      <c r="BWL57" s="4"/>
      <c r="BWM57" s="4"/>
      <c r="BWN57" s="4"/>
      <c r="BWO57" s="4"/>
      <c r="BWP57" s="4"/>
      <c r="BWQ57" s="4"/>
      <c r="BWR57" s="4"/>
      <c r="BWS57" s="4"/>
      <c r="BWT57" s="4"/>
      <c r="BWU57" s="4"/>
      <c r="BWX57" s="4"/>
      <c r="BWY57" s="4"/>
      <c r="BWZ57" s="4"/>
      <c r="BXA57" s="4"/>
      <c r="BXB57" s="4"/>
      <c r="BXC57" s="4"/>
      <c r="BXD57" s="4"/>
      <c r="BXE57" s="4"/>
      <c r="BXF57" s="4"/>
      <c r="BXG57" s="4"/>
      <c r="BXJ57" s="4"/>
      <c r="BXK57" s="4"/>
      <c r="BXL57" s="4"/>
      <c r="BXM57" s="4"/>
      <c r="BXN57" s="4"/>
      <c r="BXO57" s="4"/>
      <c r="BXP57" s="4"/>
      <c r="BXQ57" s="4"/>
      <c r="BXR57" s="4"/>
      <c r="BXS57" s="4"/>
      <c r="BXV57" s="4"/>
      <c r="BXW57" s="4"/>
      <c r="BXX57" s="4"/>
      <c r="BXY57" s="4"/>
      <c r="BXZ57" s="4"/>
      <c r="BYA57" s="4"/>
      <c r="BYB57" s="4"/>
      <c r="BYC57" s="4"/>
      <c r="BYD57" s="4"/>
      <c r="BYE57" s="4"/>
      <c r="BYH57" s="4"/>
      <c r="BYI57" s="4"/>
      <c r="BYJ57" s="4"/>
      <c r="BYK57" s="4"/>
      <c r="BYL57" s="4"/>
      <c r="BYM57" s="4"/>
      <c r="BYN57" s="4"/>
      <c r="BYO57" s="4"/>
      <c r="BYP57" s="4"/>
      <c r="BYQ57" s="4"/>
      <c r="BYT57" s="4"/>
      <c r="BYU57" s="4"/>
      <c r="BYV57" s="4"/>
      <c r="BYW57" s="4"/>
      <c r="BYX57" s="4"/>
      <c r="BYY57" s="4"/>
      <c r="BYZ57" s="4"/>
      <c r="BZA57" s="4"/>
      <c r="BZB57" s="4"/>
      <c r="BZC57" s="4"/>
      <c r="BZF57" s="4"/>
      <c r="BZG57" s="4"/>
      <c r="BZH57" s="4"/>
      <c r="BZI57" s="4"/>
      <c r="BZJ57" s="4"/>
      <c r="BZK57" s="4"/>
      <c r="BZL57" s="4"/>
      <c r="BZM57" s="4"/>
      <c r="BZN57" s="4"/>
      <c r="BZO57" s="4"/>
      <c r="BZR57" s="4"/>
      <c r="BZS57" s="4"/>
      <c r="BZT57" s="4"/>
      <c r="BZU57" s="4"/>
      <c r="BZV57" s="4"/>
      <c r="BZW57" s="4"/>
      <c r="BZX57" s="4"/>
      <c r="BZY57" s="4"/>
      <c r="BZZ57" s="4"/>
      <c r="CAA57" s="4"/>
      <c r="CAD57" s="4"/>
      <c r="CAE57" s="4"/>
      <c r="CAF57" s="4"/>
      <c r="CAG57" s="4"/>
      <c r="CAH57" s="4"/>
      <c r="CAI57" s="4"/>
      <c r="CAJ57" s="4"/>
      <c r="CAK57" s="4"/>
      <c r="CAL57" s="4"/>
      <c r="CAM57" s="4"/>
      <c r="CAP57" s="4"/>
      <c r="CAQ57" s="4"/>
      <c r="CAR57" s="4"/>
      <c r="CAS57" s="4"/>
      <c r="CAT57" s="4"/>
      <c r="CAU57" s="4"/>
      <c r="CAV57" s="4"/>
      <c r="CAW57" s="4"/>
      <c r="CAX57" s="4"/>
      <c r="CAY57" s="4"/>
      <c r="CBB57" s="4"/>
      <c r="CBC57" s="4"/>
      <c r="CBD57" s="4"/>
      <c r="CBE57" s="4"/>
      <c r="CBF57" s="4"/>
      <c r="CBG57" s="4"/>
      <c r="CBH57" s="4"/>
      <c r="CBI57" s="4"/>
      <c r="CBJ57" s="4"/>
      <c r="CBK57" s="4"/>
      <c r="CBN57" s="4"/>
      <c r="CBO57" s="4"/>
      <c r="CBP57" s="4"/>
      <c r="CBQ57" s="4"/>
      <c r="CBR57" s="4"/>
      <c r="CBS57" s="4"/>
      <c r="CBT57" s="4"/>
      <c r="CBU57" s="4"/>
      <c r="CBV57" s="4"/>
      <c r="CBW57" s="4"/>
      <c r="CBZ57" s="4"/>
      <c r="CCA57" s="4"/>
      <c r="CCB57" s="4"/>
      <c r="CCC57" s="4"/>
      <c r="CCD57" s="4"/>
      <c r="CCE57" s="4"/>
      <c r="CCF57" s="4"/>
      <c r="CCG57" s="4"/>
      <c r="CCH57" s="4"/>
      <c r="CCI57" s="4"/>
      <c r="CCL57" s="4"/>
      <c r="CCM57" s="4"/>
      <c r="CCN57" s="4"/>
      <c r="CCO57" s="4"/>
      <c r="CCP57" s="4"/>
      <c r="CCQ57" s="4"/>
      <c r="CCR57" s="4"/>
      <c r="CCS57" s="4"/>
      <c r="CCT57" s="4"/>
      <c r="CCU57" s="4"/>
      <c r="CCX57" s="4"/>
      <c r="CCY57" s="4"/>
      <c r="CCZ57" s="4"/>
      <c r="CDA57" s="4"/>
      <c r="CDB57" s="4"/>
      <c r="CDC57" s="4"/>
      <c r="CDD57" s="4"/>
      <c r="CDE57" s="4"/>
      <c r="CDF57" s="4"/>
      <c r="CDG57" s="4"/>
      <c r="CDJ57" s="4"/>
      <c r="CDK57" s="4"/>
      <c r="CDL57" s="4"/>
      <c r="CDM57" s="4"/>
      <c r="CDN57" s="4"/>
      <c r="CDO57" s="4"/>
      <c r="CDP57" s="4"/>
      <c r="CDQ57" s="4"/>
      <c r="CDR57" s="4"/>
      <c r="CDS57" s="4"/>
      <c r="CDV57" s="4"/>
      <c r="CDW57" s="4"/>
      <c r="CDX57" s="4"/>
      <c r="CDY57" s="4"/>
      <c r="CDZ57" s="4"/>
      <c r="CEA57" s="4"/>
      <c r="CEB57" s="4"/>
      <c r="CEC57" s="4"/>
      <c r="CED57" s="4"/>
      <c r="CEE57" s="4"/>
      <c r="CEH57" s="4"/>
      <c r="CEI57" s="4"/>
      <c r="CEJ57" s="4"/>
      <c r="CEK57" s="4"/>
      <c r="CEL57" s="4"/>
      <c r="CEM57" s="4"/>
      <c r="CEN57" s="4"/>
      <c r="CEO57" s="4"/>
      <c r="CEP57" s="4"/>
      <c r="CEQ57" s="4"/>
      <c r="CET57" s="4"/>
      <c r="CEU57" s="4"/>
      <c r="CEV57" s="4"/>
      <c r="CEW57" s="4"/>
      <c r="CEX57" s="4"/>
      <c r="CEY57" s="4"/>
      <c r="CEZ57" s="4"/>
      <c r="CFA57" s="4"/>
      <c r="CFB57" s="4"/>
      <c r="CFC57" s="4"/>
      <c r="CFF57" s="4"/>
      <c r="CFG57" s="4"/>
      <c r="CFH57" s="4"/>
      <c r="CFI57" s="4"/>
      <c r="CFJ57" s="4"/>
      <c r="CFK57" s="4"/>
      <c r="CFL57" s="4"/>
      <c r="CFM57" s="4"/>
      <c r="CFN57" s="4"/>
      <c r="CFO57" s="4"/>
      <c r="CFR57" s="4"/>
      <c r="CFS57" s="4"/>
      <c r="CFT57" s="4"/>
      <c r="CFU57" s="4"/>
      <c r="CFV57" s="4"/>
      <c r="CFW57" s="4"/>
      <c r="CFX57" s="4"/>
      <c r="CFY57" s="4"/>
      <c r="CFZ57" s="4"/>
      <c r="CGA57" s="4"/>
      <c r="CGD57" s="4"/>
      <c r="CGE57" s="4"/>
      <c r="CGF57" s="4"/>
      <c r="CGG57" s="4"/>
      <c r="CGH57" s="4"/>
      <c r="CGI57" s="4"/>
      <c r="CGJ57" s="4"/>
      <c r="CGK57" s="4"/>
      <c r="CGL57" s="4"/>
      <c r="CGM57" s="4"/>
      <c r="CGP57" s="4"/>
      <c r="CGQ57" s="4"/>
      <c r="CGR57" s="4"/>
      <c r="CGS57" s="4"/>
      <c r="CGT57" s="4"/>
      <c r="CGU57" s="4"/>
      <c r="CGV57" s="4"/>
      <c r="CGW57" s="4"/>
      <c r="CGX57" s="4"/>
      <c r="CGY57" s="4"/>
      <c r="CHB57" s="4"/>
      <c r="CHC57" s="4"/>
      <c r="CHD57" s="4"/>
      <c r="CHE57" s="4"/>
      <c r="CHF57" s="4"/>
      <c r="CHG57" s="4"/>
      <c r="CHH57" s="4"/>
      <c r="CHI57" s="4"/>
      <c r="CHJ57" s="4"/>
      <c r="CHK57" s="4"/>
      <c r="CHN57" s="4"/>
      <c r="CHO57" s="4"/>
      <c r="CHP57" s="4"/>
      <c r="CHQ57" s="4"/>
      <c r="CHR57" s="4"/>
      <c r="CHS57" s="4"/>
      <c r="CHT57" s="4"/>
      <c r="CHU57" s="4"/>
      <c r="CHV57" s="4"/>
      <c r="CHW57" s="4"/>
      <c r="CHZ57" s="4"/>
      <c r="CIA57" s="4"/>
      <c r="CIB57" s="4"/>
      <c r="CIC57" s="4"/>
      <c r="CID57" s="4"/>
      <c r="CIE57" s="4"/>
      <c r="CIF57" s="4"/>
      <c r="CIG57" s="4"/>
      <c r="CIH57" s="4"/>
      <c r="CII57" s="4"/>
      <c r="CIL57" s="4"/>
      <c r="CIM57" s="4"/>
      <c r="CIN57" s="4"/>
      <c r="CIO57" s="4"/>
      <c r="CIP57" s="4"/>
      <c r="CIQ57" s="4"/>
      <c r="CIR57" s="4"/>
      <c r="CIS57" s="4"/>
      <c r="CIT57" s="4"/>
      <c r="CIU57" s="4"/>
      <c r="CIX57" s="4"/>
      <c r="CIY57" s="4"/>
      <c r="CIZ57" s="4"/>
      <c r="CJA57" s="4"/>
      <c r="CJB57" s="4"/>
      <c r="CJC57" s="4"/>
      <c r="CJD57" s="4"/>
      <c r="CJE57" s="4"/>
      <c r="CJF57" s="4"/>
      <c r="CJG57" s="4"/>
      <c r="CJJ57" s="4"/>
      <c r="CJK57" s="4"/>
      <c r="CJL57" s="4"/>
      <c r="CJM57" s="4"/>
      <c r="CJN57" s="4"/>
      <c r="CJO57" s="4"/>
      <c r="CJP57" s="4"/>
      <c r="CJQ57" s="4"/>
      <c r="CJR57" s="4"/>
      <c r="CJS57" s="4"/>
      <c r="CJV57" s="4"/>
      <c r="CJW57" s="4"/>
      <c r="CJX57" s="4"/>
      <c r="CJY57" s="4"/>
      <c r="CJZ57" s="4"/>
      <c r="CKA57" s="4"/>
      <c r="CKB57" s="4"/>
      <c r="CKC57" s="4"/>
      <c r="CKD57" s="4"/>
      <c r="CKE57" s="4"/>
      <c r="CKH57" s="4"/>
      <c r="CKI57" s="4"/>
      <c r="CKJ57" s="4"/>
      <c r="CKK57" s="4"/>
      <c r="CKL57" s="4"/>
      <c r="CKM57" s="4"/>
      <c r="CKN57" s="4"/>
      <c r="CKO57" s="4"/>
      <c r="CKP57" s="4"/>
      <c r="CKQ57" s="4"/>
      <c r="CKT57" s="4"/>
      <c r="CKU57" s="4"/>
      <c r="CKV57" s="4"/>
      <c r="CKW57" s="4"/>
      <c r="CKX57" s="4"/>
      <c r="CKY57" s="4"/>
      <c r="CKZ57" s="4"/>
      <c r="CLA57" s="4"/>
      <c r="CLB57" s="4"/>
      <c r="CLC57" s="4"/>
      <c r="CLF57" s="4"/>
      <c r="CLG57" s="4"/>
      <c r="CLH57" s="4"/>
      <c r="CLI57" s="4"/>
      <c r="CLJ57" s="4"/>
      <c r="CLK57" s="4"/>
      <c r="CLL57" s="4"/>
      <c r="CLM57" s="4"/>
      <c r="CLN57" s="4"/>
      <c r="CLO57" s="4"/>
      <c r="CLR57" s="4"/>
      <c r="CLS57" s="4"/>
      <c r="CLT57" s="4"/>
      <c r="CLU57" s="4"/>
      <c r="CLV57" s="4"/>
      <c r="CLW57" s="4"/>
      <c r="CLX57" s="4"/>
      <c r="CLY57" s="4"/>
      <c r="CLZ57" s="4"/>
      <c r="CMA57" s="4"/>
      <c r="CMD57" s="4"/>
      <c r="CME57" s="4"/>
      <c r="CMF57" s="4"/>
      <c r="CMG57" s="4"/>
      <c r="CMH57" s="4"/>
      <c r="CMI57" s="4"/>
      <c r="CMJ57" s="4"/>
      <c r="CMK57" s="4"/>
      <c r="CML57" s="4"/>
      <c r="CMM57" s="4"/>
      <c r="CMP57" s="4"/>
      <c r="CMQ57" s="4"/>
      <c r="CMR57" s="4"/>
      <c r="CMS57" s="4"/>
      <c r="CMT57" s="4"/>
      <c r="CMU57" s="4"/>
      <c r="CMV57" s="4"/>
      <c r="CMW57" s="4"/>
      <c r="CMX57" s="4"/>
      <c r="CMY57" s="4"/>
      <c r="CNB57" s="4"/>
      <c r="CNC57" s="4"/>
      <c r="CND57" s="4"/>
      <c r="CNE57" s="4"/>
      <c r="CNF57" s="4"/>
      <c r="CNG57" s="4"/>
      <c r="CNH57" s="4"/>
      <c r="CNI57" s="4"/>
      <c r="CNJ57" s="4"/>
      <c r="CNK57" s="4"/>
      <c r="CNN57" s="4"/>
      <c r="CNO57" s="4"/>
      <c r="CNP57" s="4"/>
      <c r="CNQ57" s="4"/>
      <c r="CNR57" s="4"/>
      <c r="CNS57" s="4"/>
      <c r="CNT57" s="4"/>
      <c r="CNU57" s="4"/>
      <c r="CNV57" s="4"/>
      <c r="CNW57" s="4"/>
      <c r="CNZ57" s="4"/>
      <c r="COA57" s="4"/>
      <c r="COB57" s="4"/>
      <c r="COC57" s="4"/>
      <c r="COD57" s="4"/>
      <c r="COE57" s="4"/>
      <c r="COF57" s="4"/>
      <c r="COG57" s="4"/>
      <c r="COH57" s="4"/>
      <c r="COI57" s="4"/>
      <c r="COL57" s="4"/>
      <c r="COM57" s="4"/>
      <c r="CON57" s="4"/>
      <c r="COO57" s="4"/>
      <c r="COP57" s="4"/>
      <c r="COQ57" s="4"/>
      <c r="COR57" s="4"/>
      <c r="COS57" s="4"/>
      <c r="COT57" s="4"/>
      <c r="COU57" s="4"/>
      <c r="COX57" s="4"/>
      <c r="COY57" s="4"/>
      <c r="COZ57" s="4"/>
      <c r="CPA57" s="4"/>
      <c r="CPB57" s="4"/>
      <c r="CPC57" s="4"/>
      <c r="CPD57" s="4"/>
      <c r="CPE57" s="4"/>
      <c r="CPF57" s="4"/>
      <c r="CPG57" s="4"/>
      <c r="CPJ57" s="4"/>
      <c r="CPK57" s="4"/>
      <c r="CPL57" s="4"/>
      <c r="CPM57" s="4"/>
      <c r="CPN57" s="4"/>
      <c r="CPO57" s="4"/>
      <c r="CPP57" s="4"/>
      <c r="CPQ57" s="4"/>
      <c r="CPR57" s="4"/>
      <c r="CPS57" s="4"/>
      <c r="CPV57" s="4"/>
      <c r="CPW57" s="4"/>
      <c r="CPX57" s="4"/>
      <c r="CPY57" s="4"/>
      <c r="CPZ57" s="4"/>
      <c r="CQA57" s="4"/>
      <c r="CQB57" s="4"/>
      <c r="CQC57" s="4"/>
      <c r="CQD57" s="4"/>
      <c r="CQE57" s="4"/>
      <c r="CQH57" s="4"/>
      <c r="CQI57" s="4"/>
      <c r="CQJ57" s="4"/>
      <c r="CQK57" s="4"/>
      <c r="CQL57" s="4"/>
      <c r="CQM57" s="4"/>
      <c r="CQN57" s="4"/>
      <c r="CQO57" s="4"/>
      <c r="CQP57" s="4"/>
      <c r="CQQ57" s="4"/>
      <c r="CQT57" s="4"/>
      <c r="CQU57" s="4"/>
      <c r="CQV57" s="4"/>
      <c r="CQW57" s="4"/>
      <c r="CQX57" s="4"/>
      <c r="CQY57" s="4"/>
      <c r="CQZ57" s="4"/>
      <c r="CRA57" s="4"/>
      <c r="CRB57" s="4"/>
      <c r="CRC57" s="4"/>
      <c r="CRF57" s="4"/>
      <c r="CRG57" s="4"/>
      <c r="CRH57" s="4"/>
      <c r="CRI57" s="4"/>
      <c r="CRJ57" s="4"/>
      <c r="CRK57" s="4"/>
      <c r="CRL57" s="4"/>
      <c r="CRM57" s="4"/>
      <c r="CRN57" s="4"/>
      <c r="CRO57" s="4"/>
      <c r="CRR57" s="4"/>
      <c r="CRS57" s="4"/>
      <c r="CRT57" s="4"/>
      <c r="CRU57" s="4"/>
      <c r="CRV57" s="4"/>
      <c r="CRW57" s="4"/>
      <c r="CRX57" s="4"/>
      <c r="CRY57" s="4"/>
      <c r="CRZ57" s="4"/>
      <c r="CSA57" s="4"/>
      <c r="CSD57" s="4"/>
      <c r="CSE57" s="4"/>
      <c r="CSF57" s="4"/>
      <c r="CSG57" s="4"/>
      <c r="CSH57" s="4"/>
      <c r="CSI57" s="4"/>
      <c r="CSJ57" s="4"/>
      <c r="CSK57" s="4"/>
      <c r="CSL57" s="4"/>
      <c r="CSM57" s="4"/>
      <c r="CSP57" s="4"/>
      <c r="CSQ57" s="4"/>
      <c r="CSR57" s="4"/>
      <c r="CSS57" s="4"/>
      <c r="CST57" s="4"/>
      <c r="CSU57" s="4"/>
      <c r="CSV57" s="4"/>
      <c r="CSW57" s="4"/>
      <c r="CSX57" s="4"/>
      <c r="CSY57" s="4"/>
      <c r="CTB57" s="4"/>
      <c r="CTC57" s="4"/>
      <c r="CTD57" s="4"/>
      <c r="CTE57" s="4"/>
      <c r="CTF57" s="4"/>
      <c r="CTG57" s="4"/>
      <c r="CTH57" s="4"/>
      <c r="CTI57" s="4"/>
      <c r="CTJ57" s="4"/>
      <c r="CTK57" s="4"/>
      <c r="CTN57" s="4"/>
      <c r="CTO57" s="4"/>
      <c r="CTP57" s="4"/>
      <c r="CTQ57" s="4"/>
      <c r="CTR57" s="4"/>
      <c r="CTS57" s="4"/>
      <c r="CTT57" s="4"/>
      <c r="CTU57" s="4"/>
      <c r="CTV57" s="4"/>
      <c r="CTW57" s="4"/>
      <c r="CTZ57" s="4"/>
      <c r="CUA57" s="4"/>
      <c r="CUB57" s="4"/>
      <c r="CUC57" s="4"/>
      <c r="CUD57" s="4"/>
      <c r="CUE57" s="4"/>
      <c r="CUF57" s="4"/>
      <c r="CUG57" s="4"/>
      <c r="CUH57" s="4"/>
      <c r="CUI57" s="4"/>
      <c r="CUL57" s="4"/>
      <c r="CUM57" s="4"/>
      <c r="CUN57" s="4"/>
      <c r="CUO57" s="4"/>
      <c r="CUP57" s="4"/>
      <c r="CUQ57" s="4"/>
      <c r="CUR57" s="4"/>
      <c r="CUS57" s="4"/>
      <c r="CUT57" s="4"/>
      <c r="CUU57" s="4"/>
      <c r="CUX57" s="4"/>
      <c r="CUY57" s="4"/>
      <c r="CUZ57" s="4"/>
      <c r="CVA57" s="4"/>
      <c r="CVB57" s="4"/>
      <c r="CVC57" s="4"/>
      <c r="CVD57" s="4"/>
      <c r="CVE57" s="4"/>
      <c r="CVF57" s="4"/>
      <c r="CVG57" s="4"/>
      <c r="CVJ57" s="4"/>
      <c r="CVK57" s="4"/>
      <c r="CVL57" s="4"/>
      <c r="CVM57" s="4"/>
      <c r="CVN57" s="4"/>
      <c r="CVO57" s="4"/>
      <c r="CVP57" s="4"/>
      <c r="CVQ57" s="4"/>
      <c r="CVR57" s="4"/>
      <c r="CVS57" s="4"/>
      <c r="CVV57" s="4"/>
      <c r="CVW57" s="4"/>
      <c r="CVX57" s="4"/>
      <c r="CVY57" s="4"/>
      <c r="CVZ57" s="4"/>
      <c r="CWA57" s="4"/>
      <c r="CWB57" s="4"/>
      <c r="CWC57" s="4"/>
      <c r="CWD57" s="4"/>
      <c r="CWE57" s="4"/>
    </row>
    <row r="58" spans="2:1023 1026:2631" x14ac:dyDescent="0.25"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L58" s="4"/>
      <c r="ADM58" s="4"/>
      <c r="ADN58" s="4"/>
      <c r="ADO58" s="4"/>
      <c r="ADP58" s="4"/>
      <c r="ADQ58" s="4"/>
      <c r="ADR58" s="4"/>
      <c r="ADS58" s="4"/>
      <c r="ADT58" s="4"/>
      <c r="ADU58" s="4"/>
      <c r="ADV58" s="4"/>
      <c r="ADY58" s="4"/>
      <c r="ADZ58" s="4"/>
      <c r="AEA58" s="4"/>
      <c r="AEB58" s="4"/>
      <c r="AEC58" s="4"/>
      <c r="AED58" s="4"/>
      <c r="AEE58" s="4"/>
      <c r="AEF58" s="4"/>
      <c r="AEG58" s="4"/>
      <c r="AEH58" s="4"/>
      <c r="AEI58" s="4"/>
      <c r="AEL58" s="4"/>
      <c r="AEM58" s="4"/>
      <c r="AEN58" s="4"/>
      <c r="AEO58" s="4"/>
      <c r="AEP58" s="4"/>
      <c r="AEQ58" s="4"/>
      <c r="AER58" s="4"/>
      <c r="AES58" s="4"/>
      <c r="AET58" s="4"/>
      <c r="AEU58" s="4"/>
      <c r="AEV58" s="4"/>
      <c r="AEY58" s="4"/>
      <c r="AEZ58" s="4"/>
      <c r="AFA58" s="4"/>
      <c r="AFB58" s="4"/>
      <c r="AFC58" s="4"/>
      <c r="AFD58" s="4"/>
      <c r="AFE58" s="4"/>
      <c r="AFF58" s="4"/>
      <c r="AFG58" s="4"/>
      <c r="AFH58" s="4"/>
      <c r="AFI58" s="4"/>
      <c r="AFL58" s="4"/>
      <c r="AFM58" s="4"/>
      <c r="AFN58" s="4"/>
      <c r="AFO58" s="4"/>
      <c r="AFP58" s="4"/>
      <c r="AFQ58" s="4"/>
      <c r="AFR58" s="4"/>
      <c r="AFS58" s="4"/>
      <c r="AFT58" s="4"/>
      <c r="AFU58" s="4"/>
      <c r="AFV58" s="4"/>
      <c r="AFZ58" s="4"/>
      <c r="AGA58" s="4"/>
      <c r="AGB58" s="4"/>
      <c r="AGC58" s="4"/>
      <c r="AGD58" s="4"/>
      <c r="AGE58" s="4"/>
      <c r="AGF58" s="4"/>
      <c r="AGG58" s="4"/>
      <c r="AGH58" s="4"/>
      <c r="AGI58" s="4"/>
      <c r="AGL58" s="4"/>
      <c r="AGM58" s="4"/>
      <c r="AGN58" s="4"/>
      <c r="AGO58" s="4"/>
      <c r="AGP58" s="4"/>
      <c r="AGQ58" s="4"/>
      <c r="AGR58" s="4"/>
      <c r="AGS58" s="4"/>
      <c r="AGT58" s="4"/>
      <c r="AGU58" s="4"/>
      <c r="AGX58" s="4"/>
      <c r="AGY58" s="4"/>
      <c r="AGZ58" s="4"/>
      <c r="AHA58" s="4"/>
      <c r="AHB58" s="4"/>
      <c r="AHC58" s="4"/>
      <c r="AHD58" s="4"/>
      <c r="AHE58" s="4"/>
      <c r="AHF58" s="4"/>
      <c r="AHG58" s="4"/>
      <c r="AHJ58" s="4"/>
      <c r="AHK58" s="4"/>
      <c r="AHL58" s="4"/>
      <c r="AHM58" s="4"/>
      <c r="AHN58" s="4"/>
      <c r="AHO58" s="4"/>
      <c r="AHP58" s="4"/>
      <c r="AHQ58" s="4"/>
      <c r="AHR58" s="4"/>
      <c r="AHS58" s="4"/>
      <c r="AHV58" s="4"/>
      <c r="AHW58" s="4"/>
      <c r="AHX58" s="4"/>
      <c r="AHY58" s="4"/>
      <c r="AHZ58" s="4"/>
      <c r="AIA58" s="4"/>
      <c r="AIB58" s="4"/>
      <c r="AIC58" s="4"/>
      <c r="AID58" s="4"/>
      <c r="AIE58" s="4"/>
      <c r="AIH58" s="4"/>
      <c r="AII58" s="4"/>
      <c r="AIJ58" s="4"/>
      <c r="AIK58" s="4"/>
      <c r="AIL58" s="4"/>
      <c r="AIM58" s="4"/>
      <c r="AIN58" s="4"/>
      <c r="AIO58" s="4"/>
      <c r="AIP58" s="4"/>
      <c r="AIQ58" s="4"/>
      <c r="AIT58" s="4"/>
      <c r="AIU58" s="4"/>
      <c r="AIV58" s="4"/>
      <c r="AIW58" s="4"/>
      <c r="AIX58" s="4"/>
      <c r="AIY58" s="4"/>
      <c r="AIZ58" s="4"/>
      <c r="AJA58" s="4"/>
      <c r="AJB58" s="4"/>
      <c r="AJC58" s="4"/>
      <c r="AJF58" s="4"/>
      <c r="AJG58" s="4"/>
      <c r="AJH58" s="4"/>
      <c r="AJI58" s="4"/>
      <c r="AJJ58" s="4"/>
      <c r="AJK58" s="4"/>
      <c r="AJL58" s="4"/>
      <c r="AJM58" s="4"/>
      <c r="AJN58" s="4"/>
      <c r="AJO58" s="4"/>
      <c r="AJR58" s="4"/>
      <c r="AJS58" s="4"/>
      <c r="AJT58" s="4"/>
      <c r="AJU58" s="4"/>
      <c r="AJV58" s="4"/>
      <c r="AJW58" s="4"/>
      <c r="AJX58" s="4"/>
      <c r="AJY58" s="4"/>
      <c r="AJZ58" s="4"/>
      <c r="AKA58" s="4"/>
      <c r="AKD58" s="4"/>
      <c r="AKE58" s="4"/>
      <c r="AKF58" s="4"/>
      <c r="AKG58" s="4"/>
      <c r="AKH58" s="4"/>
      <c r="AKI58" s="4"/>
      <c r="AKJ58" s="4"/>
      <c r="AKK58" s="4"/>
      <c r="AKL58" s="4"/>
      <c r="AKM58" s="4"/>
      <c r="AKP58" s="4"/>
      <c r="AKQ58" s="4"/>
      <c r="AKR58" s="4"/>
      <c r="AKS58" s="4"/>
      <c r="AKT58" s="4"/>
      <c r="AKU58" s="4"/>
      <c r="AKV58" s="4"/>
      <c r="AKW58" s="4"/>
      <c r="AKX58" s="4"/>
      <c r="AKY58" s="4"/>
      <c r="ALB58" s="4"/>
      <c r="ALC58" s="4"/>
      <c r="ALD58" s="4"/>
      <c r="ALE58" s="4"/>
      <c r="ALF58" s="4"/>
      <c r="ALG58" s="4"/>
      <c r="ALH58" s="4"/>
      <c r="ALI58" s="4"/>
      <c r="ALJ58" s="4"/>
      <c r="ALK58" s="4"/>
      <c r="ALN58" s="4"/>
      <c r="ALO58" s="4"/>
      <c r="ALP58" s="4"/>
      <c r="ALQ58" s="4"/>
      <c r="ALR58" s="4"/>
      <c r="ALS58" s="4"/>
      <c r="ALT58" s="4"/>
      <c r="ALU58" s="4"/>
      <c r="ALV58" s="4"/>
      <c r="ALW58" s="4"/>
      <c r="ALZ58" s="4"/>
      <c r="AMA58" s="4"/>
      <c r="AMB58" s="4"/>
      <c r="AMC58" s="4"/>
      <c r="AMD58" s="4"/>
      <c r="AME58" s="4"/>
      <c r="AMF58" s="4"/>
      <c r="AMG58" s="4"/>
      <c r="AMH58" s="4"/>
      <c r="AMI58" s="4"/>
      <c r="AML58" s="4"/>
      <c r="AMM58" s="4"/>
      <c r="AMN58" s="4"/>
      <c r="AMO58" s="4"/>
      <c r="AMP58" s="4"/>
      <c r="AMQ58" s="4"/>
      <c r="AMR58" s="4"/>
      <c r="AMS58" s="4"/>
      <c r="AMT58" s="4"/>
      <c r="AMU58" s="4"/>
      <c r="AMX58" s="4"/>
      <c r="AMY58" s="4"/>
      <c r="AMZ58" s="4"/>
      <c r="ANA58" s="4"/>
      <c r="ANB58" s="4"/>
      <c r="ANC58" s="4"/>
      <c r="AND58" s="4"/>
      <c r="ANE58" s="4"/>
      <c r="ANF58" s="4"/>
      <c r="ANG58" s="4"/>
      <c r="ANJ58" s="4"/>
      <c r="ANK58" s="4"/>
      <c r="ANL58" s="4"/>
      <c r="ANM58" s="4"/>
      <c r="ANN58" s="4"/>
      <c r="ANO58" s="4"/>
      <c r="ANP58" s="4"/>
      <c r="ANQ58" s="4"/>
      <c r="ANR58" s="4"/>
      <c r="ANS58" s="4"/>
      <c r="ANV58" s="4"/>
      <c r="ANW58" s="4"/>
      <c r="ANX58" s="4"/>
      <c r="ANY58" s="4"/>
      <c r="ANZ58" s="4"/>
      <c r="AOA58" s="4"/>
      <c r="AOB58" s="4"/>
      <c r="AOC58" s="4"/>
      <c r="AOD58" s="4"/>
      <c r="AOE58" s="4"/>
      <c r="AOH58" s="4"/>
      <c r="AOI58" s="4"/>
      <c r="AOJ58" s="4"/>
      <c r="AOK58" s="4"/>
      <c r="AOL58" s="4"/>
      <c r="AOM58" s="4"/>
      <c r="AON58" s="4"/>
      <c r="AOO58" s="4"/>
      <c r="AOP58" s="4"/>
      <c r="AOQ58" s="4"/>
      <c r="AOT58" s="4"/>
      <c r="AOU58" s="4"/>
      <c r="AOV58" s="4"/>
      <c r="AOW58" s="4"/>
      <c r="AOX58" s="4"/>
      <c r="AOY58" s="4"/>
      <c r="AOZ58" s="4"/>
      <c r="APA58" s="4"/>
      <c r="APB58" s="4"/>
      <c r="APC58" s="4"/>
      <c r="APF58" s="4"/>
      <c r="APG58" s="4"/>
      <c r="APH58" s="4"/>
      <c r="API58" s="4"/>
      <c r="APJ58" s="4"/>
      <c r="APK58" s="4"/>
      <c r="APL58" s="4"/>
      <c r="APM58" s="4"/>
      <c r="APN58" s="4"/>
      <c r="APO58" s="4"/>
      <c r="APR58" s="4"/>
      <c r="APS58" s="4"/>
      <c r="APT58" s="4"/>
      <c r="APU58" s="4"/>
      <c r="APV58" s="4"/>
      <c r="APW58" s="4"/>
      <c r="APX58" s="4"/>
      <c r="APY58" s="4"/>
      <c r="APZ58" s="4"/>
      <c r="AQA58" s="4"/>
      <c r="AQD58" s="4"/>
      <c r="AQE58" s="4"/>
      <c r="AQF58" s="4"/>
      <c r="AQG58" s="4"/>
      <c r="AQH58" s="4"/>
      <c r="AQI58" s="4"/>
      <c r="AQJ58" s="4"/>
      <c r="AQK58" s="4"/>
      <c r="AQL58" s="4"/>
      <c r="AQM58" s="4"/>
      <c r="AQP58" s="4"/>
      <c r="AQQ58" s="4"/>
      <c r="AQR58" s="4"/>
      <c r="AQS58" s="4"/>
      <c r="AQT58" s="4"/>
      <c r="AQU58" s="4"/>
      <c r="AQV58" s="4"/>
      <c r="AQW58" s="4"/>
      <c r="AQX58" s="4"/>
      <c r="AQY58" s="4"/>
      <c r="ARB58" s="4"/>
      <c r="ARC58" s="4"/>
      <c r="ARD58" s="4"/>
      <c r="ARE58" s="4"/>
      <c r="ARF58" s="4"/>
      <c r="ARG58" s="4"/>
      <c r="ARH58" s="4"/>
      <c r="ARI58" s="4"/>
      <c r="ARJ58" s="4"/>
      <c r="ARK58" s="4"/>
      <c r="ARN58" s="4"/>
      <c r="ARO58" s="4"/>
      <c r="ARP58" s="4"/>
      <c r="ARQ58" s="4"/>
      <c r="ARR58" s="4"/>
      <c r="ARS58" s="4"/>
      <c r="ART58" s="4"/>
      <c r="ARU58" s="4"/>
      <c r="ARV58" s="4"/>
      <c r="ARW58" s="4"/>
      <c r="ARZ58" s="4"/>
      <c r="ASA58" s="4"/>
      <c r="ASB58" s="4"/>
      <c r="ASC58" s="4"/>
      <c r="ASD58" s="4"/>
      <c r="ASE58" s="4"/>
      <c r="ASF58" s="4"/>
      <c r="ASG58" s="4"/>
      <c r="ASH58" s="4"/>
      <c r="ASI58" s="4"/>
      <c r="ASL58" s="4"/>
      <c r="ASM58" s="4"/>
      <c r="ASN58" s="4"/>
      <c r="ASO58" s="4"/>
      <c r="ASP58" s="4"/>
      <c r="ASQ58" s="4"/>
      <c r="ASR58" s="4"/>
      <c r="ASS58" s="4"/>
      <c r="AST58" s="4"/>
      <c r="ASU58" s="4"/>
      <c r="ASX58" s="4"/>
      <c r="ASY58" s="4"/>
      <c r="ASZ58" s="4"/>
      <c r="ATA58" s="4"/>
      <c r="ATB58" s="4"/>
      <c r="ATC58" s="4"/>
      <c r="ATD58" s="4"/>
      <c r="ATE58" s="4"/>
      <c r="ATF58" s="4"/>
      <c r="ATG58" s="4"/>
      <c r="ATJ58" s="4"/>
      <c r="ATK58" s="4"/>
      <c r="ATL58" s="4"/>
      <c r="ATM58" s="4"/>
      <c r="ATN58" s="4"/>
      <c r="ATO58" s="4"/>
      <c r="ATP58" s="4"/>
      <c r="ATQ58" s="4"/>
      <c r="ATR58" s="4"/>
      <c r="ATS58" s="4"/>
      <c r="ATV58" s="4"/>
      <c r="ATW58" s="4"/>
      <c r="ATX58" s="4"/>
      <c r="ATY58" s="4"/>
      <c r="ATZ58" s="4"/>
      <c r="AUA58" s="4"/>
      <c r="AUB58" s="4"/>
      <c r="AUC58" s="4"/>
      <c r="AUD58" s="4"/>
      <c r="AUE58" s="4"/>
      <c r="AUH58" s="4"/>
      <c r="AUI58" s="4"/>
      <c r="AUJ58" s="4"/>
      <c r="AUK58" s="4"/>
      <c r="AUL58" s="4"/>
      <c r="AUM58" s="4"/>
      <c r="AUN58" s="4"/>
      <c r="AUO58" s="4"/>
      <c r="AUP58" s="4"/>
      <c r="AUQ58" s="4"/>
      <c r="AUT58" s="4"/>
      <c r="AUU58" s="4"/>
      <c r="AUV58" s="4"/>
      <c r="AUW58" s="4"/>
      <c r="AUX58" s="4"/>
      <c r="AUY58" s="4"/>
      <c r="AUZ58" s="4"/>
      <c r="AVA58" s="4"/>
      <c r="AVB58" s="4"/>
      <c r="AVC58" s="4"/>
      <c r="AVF58" s="4"/>
      <c r="AVG58" s="4"/>
      <c r="AVH58" s="4"/>
      <c r="AVI58" s="4"/>
      <c r="AVJ58" s="4"/>
      <c r="AVK58" s="4"/>
      <c r="AVL58" s="4"/>
      <c r="AVM58" s="4"/>
      <c r="AVN58" s="4"/>
      <c r="AVO58" s="4"/>
      <c r="AVR58" s="4"/>
      <c r="AVS58" s="4"/>
      <c r="AVT58" s="4"/>
      <c r="AVU58" s="4"/>
      <c r="AVV58" s="4"/>
      <c r="AVW58" s="4"/>
      <c r="AVX58" s="4"/>
      <c r="AVY58" s="4"/>
      <c r="AVZ58" s="4"/>
      <c r="AWA58" s="4"/>
      <c r="AWD58" s="4"/>
      <c r="AWE58" s="4"/>
      <c r="AWF58" s="4"/>
      <c r="AWG58" s="4"/>
      <c r="AWH58" s="4"/>
      <c r="AWI58" s="4"/>
      <c r="AWJ58" s="4"/>
      <c r="AWK58" s="4"/>
      <c r="AWL58" s="4"/>
      <c r="AWM58" s="4"/>
      <c r="AWP58" s="4"/>
      <c r="AWQ58" s="4"/>
      <c r="AWR58" s="4"/>
      <c r="AWS58" s="4"/>
      <c r="AWT58" s="4"/>
      <c r="AWU58" s="4"/>
      <c r="AWV58" s="4"/>
      <c r="AWW58" s="4"/>
      <c r="AWX58" s="4"/>
      <c r="AWY58" s="4"/>
      <c r="AXB58" s="4"/>
      <c r="AXC58" s="4"/>
      <c r="AXD58" s="4"/>
      <c r="AXE58" s="4"/>
      <c r="AXF58" s="4"/>
      <c r="AXG58" s="4"/>
      <c r="AXH58" s="4"/>
      <c r="AXI58" s="4"/>
      <c r="AXJ58" s="4"/>
      <c r="AXK58" s="4"/>
      <c r="AXN58" s="4"/>
      <c r="AXO58" s="4"/>
      <c r="AXP58" s="4"/>
      <c r="AXQ58" s="4"/>
      <c r="AXR58" s="4"/>
      <c r="AXS58" s="4"/>
      <c r="AXT58" s="4"/>
      <c r="AXU58" s="4"/>
      <c r="AXV58" s="4"/>
      <c r="AXW58" s="4"/>
      <c r="AXZ58" s="4"/>
      <c r="AYA58" s="4"/>
      <c r="AYB58" s="4"/>
      <c r="AYC58" s="4"/>
      <c r="AYD58" s="4"/>
      <c r="AYE58" s="4"/>
      <c r="AYF58" s="4"/>
      <c r="AYG58" s="4"/>
      <c r="AYH58" s="4"/>
      <c r="AYI58" s="4"/>
      <c r="AYL58" s="4"/>
      <c r="AYM58" s="4"/>
      <c r="AYN58" s="4"/>
      <c r="AYO58" s="4"/>
      <c r="AYP58" s="4"/>
      <c r="AYQ58" s="4"/>
      <c r="AYR58" s="4"/>
      <c r="AYS58" s="4"/>
      <c r="AYT58" s="4"/>
      <c r="AYU58" s="4"/>
      <c r="AYX58" s="4"/>
      <c r="AYY58" s="4"/>
      <c r="AYZ58" s="4"/>
      <c r="AZA58" s="4"/>
      <c r="AZB58" s="4"/>
      <c r="AZC58" s="4"/>
      <c r="AZD58" s="4"/>
      <c r="AZE58" s="4"/>
      <c r="AZF58" s="4"/>
      <c r="AZG58" s="4"/>
      <c r="AZJ58" s="4"/>
      <c r="AZK58" s="4"/>
      <c r="AZL58" s="4"/>
      <c r="AZM58" s="4"/>
      <c r="AZN58" s="4"/>
      <c r="AZO58" s="4"/>
      <c r="AZP58" s="4"/>
      <c r="AZQ58" s="4"/>
      <c r="AZR58" s="4"/>
      <c r="AZS58" s="4"/>
      <c r="AZV58" s="4"/>
      <c r="AZW58" s="4"/>
      <c r="AZX58" s="4"/>
      <c r="AZY58" s="4"/>
      <c r="AZZ58" s="4"/>
      <c r="BAA58" s="4"/>
      <c r="BAB58" s="4"/>
      <c r="BAC58" s="4"/>
      <c r="BAD58" s="4"/>
      <c r="BAE58" s="4"/>
      <c r="BAH58" s="4"/>
      <c r="BAI58" s="4"/>
      <c r="BAJ58" s="4"/>
      <c r="BAK58" s="4"/>
      <c r="BAL58" s="4"/>
      <c r="BAM58" s="4"/>
      <c r="BAN58" s="4"/>
      <c r="BAO58" s="4"/>
      <c r="BAP58" s="4"/>
      <c r="BAQ58" s="4"/>
      <c r="BAT58" s="4"/>
      <c r="BAU58" s="4"/>
      <c r="BAV58" s="4"/>
      <c r="BAW58" s="4"/>
      <c r="BAX58" s="4"/>
      <c r="BAY58" s="4"/>
      <c r="BAZ58" s="4"/>
      <c r="BBA58" s="4"/>
      <c r="BBB58" s="4"/>
      <c r="BBC58" s="4"/>
      <c r="BBF58" s="4"/>
      <c r="BBG58" s="4"/>
      <c r="BBH58" s="4"/>
      <c r="BBI58" s="4"/>
      <c r="BBJ58" s="4"/>
      <c r="BBK58" s="4"/>
      <c r="BBL58" s="4"/>
      <c r="BBM58" s="4"/>
      <c r="BBN58" s="4"/>
      <c r="BBO58" s="4"/>
      <c r="BBR58" s="4"/>
      <c r="BBS58" s="4"/>
      <c r="BBT58" s="4"/>
      <c r="BBU58" s="4"/>
      <c r="BBV58" s="4"/>
      <c r="BBW58" s="4"/>
      <c r="BBX58" s="4"/>
      <c r="BBY58" s="4"/>
      <c r="BBZ58" s="4"/>
      <c r="BCA58" s="4"/>
      <c r="BCD58" s="4"/>
      <c r="BCE58" s="4"/>
      <c r="BCF58" s="4"/>
      <c r="BCG58" s="4"/>
      <c r="BCH58" s="4"/>
      <c r="BCI58" s="4"/>
      <c r="BCJ58" s="4"/>
      <c r="BCK58" s="4"/>
      <c r="BCL58" s="4"/>
      <c r="BCM58" s="4"/>
      <c r="BCP58" s="4"/>
      <c r="BCQ58" s="4"/>
      <c r="BCR58" s="4"/>
      <c r="BCS58" s="4"/>
      <c r="BCT58" s="4"/>
      <c r="BCU58" s="4"/>
      <c r="BCV58" s="4"/>
      <c r="BCW58" s="4"/>
      <c r="BCX58" s="4"/>
      <c r="BCY58" s="4"/>
      <c r="BDB58" s="4"/>
      <c r="BDC58" s="4"/>
      <c r="BDD58" s="4"/>
      <c r="BDE58" s="4"/>
      <c r="BDF58" s="4"/>
      <c r="BDG58" s="4"/>
      <c r="BDH58" s="4"/>
      <c r="BDI58" s="4"/>
      <c r="BDJ58" s="4"/>
      <c r="BDK58" s="4"/>
      <c r="BDN58" s="4"/>
      <c r="BDO58" s="4"/>
      <c r="BDP58" s="4"/>
      <c r="BDQ58" s="4"/>
      <c r="BDR58" s="4"/>
      <c r="BDS58" s="4"/>
      <c r="BDT58" s="4"/>
      <c r="BDU58" s="4"/>
      <c r="BDV58" s="4"/>
      <c r="BDW58" s="4"/>
      <c r="BDZ58" s="4"/>
      <c r="BEA58" s="4"/>
      <c r="BEB58" s="4"/>
      <c r="BEC58" s="4"/>
      <c r="BED58" s="4"/>
      <c r="BEE58" s="4"/>
      <c r="BEF58" s="4"/>
      <c r="BEG58" s="4"/>
      <c r="BEH58" s="4"/>
      <c r="BEI58" s="4"/>
      <c r="BEL58" s="4"/>
      <c r="BEM58" s="4"/>
      <c r="BEN58" s="4"/>
      <c r="BEO58" s="4"/>
      <c r="BEP58" s="4"/>
      <c r="BEQ58" s="4"/>
      <c r="BER58" s="4"/>
      <c r="BES58" s="4"/>
      <c r="BET58" s="4"/>
      <c r="BEU58" s="4"/>
      <c r="BEX58" s="4"/>
      <c r="BEY58" s="4"/>
      <c r="BEZ58" s="4"/>
      <c r="BFA58" s="4"/>
      <c r="BFB58" s="4"/>
      <c r="BFC58" s="4"/>
      <c r="BFD58" s="4"/>
      <c r="BFE58" s="4"/>
      <c r="BFF58" s="4"/>
      <c r="BFG58" s="4"/>
      <c r="BFJ58" s="4"/>
      <c r="BFK58" s="4"/>
      <c r="BFL58" s="4"/>
      <c r="BFM58" s="4"/>
      <c r="BFN58" s="4"/>
      <c r="BFO58" s="4"/>
      <c r="BFP58" s="4"/>
      <c r="BFQ58" s="4"/>
      <c r="BFR58" s="4"/>
      <c r="BFS58" s="4"/>
      <c r="BFV58" s="4"/>
      <c r="BFW58" s="4"/>
      <c r="BFX58" s="4"/>
      <c r="BFY58" s="4"/>
      <c r="BFZ58" s="4"/>
      <c r="BGA58" s="4"/>
      <c r="BGB58" s="4"/>
      <c r="BGC58" s="4"/>
      <c r="BGD58" s="4"/>
      <c r="BGE58" s="4"/>
      <c r="BGH58" s="4"/>
      <c r="BGI58" s="4"/>
      <c r="BGJ58" s="4"/>
      <c r="BGK58" s="4"/>
      <c r="BGL58" s="4"/>
      <c r="BGM58" s="4"/>
      <c r="BGN58" s="4"/>
      <c r="BGO58" s="4"/>
      <c r="BGP58" s="4"/>
      <c r="BGQ58" s="4"/>
      <c r="BGT58" s="4"/>
      <c r="BGU58" s="4"/>
      <c r="BGV58" s="4"/>
      <c r="BGW58" s="4"/>
      <c r="BGX58" s="4"/>
      <c r="BGY58" s="4"/>
      <c r="BGZ58" s="4"/>
      <c r="BHA58" s="4"/>
      <c r="BHB58" s="4"/>
      <c r="BHC58" s="4"/>
      <c r="BHF58" s="4"/>
      <c r="BHG58" s="4"/>
      <c r="BHH58" s="4"/>
      <c r="BHI58" s="4"/>
      <c r="BHJ58" s="4"/>
      <c r="BHK58" s="4"/>
      <c r="BHL58" s="4"/>
      <c r="BHM58" s="4"/>
      <c r="BHN58" s="4"/>
      <c r="BHO58" s="4"/>
      <c r="BHR58" s="4"/>
      <c r="BHS58" s="4"/>
      <c r="BHT58" s="4"/>
      <c r="BHU58" s="4"/>
      <c r="BHV58" s="4"/>
      <c r="BHW58" s="4"/>
      <c r="BHX58" s="4"/>
      <c r="BHY58" s="4"/>
      <c r="BHZ58" s="4"/>
      <c r="BIA58" s="4"/>
      <c r="BID58" s="4"/>
      <c r="BIE58" s="4"/>
      <c r="BIF58" s="4"/>
      <c r="BIG58" s="4"/>
      <c r="BIH58" s="4"/>
      <c r="BII58" s="4"/>
      <c r="BIJ58" s="4"/>
      <c r="BIK58" s="4"/>
      <c r="BIL58" s="4"/>
      <c r="BIM58" s="4"/>
      <c r="BIP58" s="4"/>
      <c r="BIQ58" s="4"/>
      <c r="BIR58" s="4"/>
      <c r="BIS58" s="4"/>
      <c r="BIT58" s="4"/>
      <c r="BIU58" s="4"/>
      <c r="BIV58" s="4"/>
      <c r="BIW58" s="4"/>
      <c r="BIX58" s="4"/>
      <c r="BIY58" s="4"/>
      <c r="BJB58" s="4"/>
      <c r="BJC58" s="4"/>
      <c r="BJD58" s="4"/>
      <c r="BJE58" s="4"/>
      <c r="BJF58" s="4"/>
      <c r="BJG58" s="4"/>
      <c r="BJH58" s="4"/>
      <c r="BJI58" s="4"/>
      <c r="BJJ58" s="4"/>
      <c r="BJK58" s="4"/>
      <c r="BJN58" s="4"/>
      <c r="BJO58" s="4"/>
      <c r="BJP58" s="4"/>
      <c r="BJQ58" s="4"/>
      <c r="BJR58" s="4"/>
      <c r="BJS58" s="4"/>
      <c r="BJT58" s="4"/>
      <c r="BJU58" s="4"/>
      <c r="BJV58" s="4"/>
      <c r="BJW58" s="4"/>
      <c r="BJZ58" s="4"/>
      <c r="BKA58" s="4"/>
      <c r="BKB58" s="4"/>
      <c r="BKC58" s="4"/>
      <c r="BKD58" s="4"/>
      <c r="BKE58" s="4"/>
      <c r="BKF58" s="4"/>
      <c r="BKG58" s="4"/>
      <c r="BKH58" s="4"/>
      <c r="BKI58" s="4"/>
      <c r="BKL58" s="4"/>
      <c r="BKM58" s="4"/>
      <c r="BKN58" s="4"/>
      <c r="BKO58" s="4"/>
      <c r="BKP58" s="4"/>
      <c r="BKQ58" s="4"/>
      <c r="BKR58" s="4"/>
      <c r="BKS58" s="4"/>
      <c r="BKT58" s="4"/>
      <c r="BKU58" s="4"/>
      <c r="BKX58" s="4"/>
      <c r="BKY58" s="4"/>
      <c r="BKZ58" s="4"/>
      <c r="BLA58" s="4"/>
      <c r="BLB58" s="4"/>
      <c r="BLC58" s="4"/>
      <c r="BLD58" s="4"/>
      <c r="BLE58" s="4"/>
      <c r="BLF58" s="4"/>
      <c r="BLG58" s="4"/>
      <c r="BLJ58" s="4"/>
      <c r="BLK58" s="4"/>
      <c r="BLL58" s="4"/>
      <c r="BLM58" s="4"/>
      <c r="BLN58" s="4"/>
      <c r="BLO58" s="4"/>
      <c r="BLP58" s="4"/>
      <c r="BLQ58" s="4"/>
      <c r="BLR58" s="4"/>
      <c r="BLS58" s="4"/>
      <c r="BLV58" s="4"/>
      <c r="BLW58" s="4"/>
      <c r="BLX58" s="4"/>
      <c r="BLY58" s="4"/>
      <c r="BLZ58" s="4"/>
      <c r="BMA58" s="4"/>
      <c r="BMB58" s="4"/>
      <c r="BMC58" s="4"/>
      <c r="BMD58" s="4"/>
      <c r="BME58" s="4"/>
      <c r="BMH58" s="4"/>
      <c r="BMI58" s="4"/>
      <c r="BMJ58" s="4"/>
      <c r="BMK58" s="4"/>
      <c r="BML58" s="4"/>
      <c r="BMM58" s="4"/>
      <c r="BMN58" s="4"/>
      <c r="BMO58" s="4"/>
      <c r="BMP58" s="4"/>
      <c r="BMQ58" s="4"/>
      <c r="BMT58" s="4"/>
      <c r="BMU58" s="4"/>
      <c r="BMV58" s="4"/>
      <c r="BMW58" s="4"/>
      <c r="BMX58" s="4"/>
      <c r="BMY58" s="4"/>
      <c r="BMZ58" s="4"/>
      <c r="BNA58" s="4"/>
      <c r="BNB58" s="4"/>
      <c r="BNC58" s="4"/>
      <c r="BNF58" s="4"/>
      <c r="BNG58" s="4"/>
      <c r="BNH58" s="4"/>
      <c r="BNI58" s="4"/>
      <c r="BNJ58" s="4"/>
      <c r="BNK58" s="4"/>
      <c r="BNL58" s="4"/>
      <c r="BNM58" s="4"/>
      <c r="BNN58" s="4"/>
      <c r="BNO58" s="4"/>
      <c r="BNR58" s="4"/>
      <c r="BNS58" s="4"/>
      <c r="BNT58" s="4"/>
      <c r="BNU58" s="4"/>
      <c r="BNV58" s="4"/>
      <c r="BNW58" s="4"/>
      <c r="BNX58" s="4"/>
      <c r="BNY58" s="4"/>
      <c r="BNZ58" s="4"/>
      <c r="BOA58" s="4"/>
      <c r="BOD58" s="4"/>
      <c r="BOE58" s="4"/>
      <c r="BOF58" s="4"/>
      <c r="BOG58" s="4"/>
      <c r="BOH58" s="4"/>
      <c r="BOI58" s="4"/>
      <c r="BOJ58" s="4"/>
      <c r="BOK58" s="4"/>
      <c r="BOL58" s="4"/>
      <c r="BOM58" s="4"/>
      <c r="BOP58" s="4"/>
      <c r="BOQ58" s="4"/>
      <c r="BOR58" s="4"/>
      <c r="BOS58" s="4"/>
      <c r="BOT58" s="4"/>
      <c r="BOU58" s="4"/>
      <c r="BOV58" s="4"/>
      <c r="BOW58" s="4"/>
      <c r="BOX58" s="4"/>
      <c r="BOY58" s="4"/>
      <c r="BPB58" s="4"/>
      <c r="BPC58" s="4"/>
      <c r="BPD58" s="4"/>
      <c r="BPE58" s="4"/>
      <c r="BPF58" s="4"/>
      <c r="BPG58" s="4"/>
      <c r="BPH58" s="4"/>
      <c r="BPI58" s="4"/>
      <c r="BPJ58" s="4"/>
      <c r="BPK58" s="4"/>
      <c r="BPN58" s="4"/>
      <c r="BPO58" s="4"/>
      <c r="BPP58" s="4"/>
      <c r="BPQ58" s="4"/>
      <c r="BPR58" s="4"/>
      <c r="BPS58" s="4"/>
      <c r="BPT58" s="4"/>
      <c r="BPU58" s="4"/>
      <c r="BPV58" s="4"/>
      <c r="BPW58" s="4"/>
      <c r="BPZ58" s="4"/>
      <c r="BQA58" s="4"/>
      <c r="BQB58" s="4"/>
      <c r="BQC58" s="4"/>
      <c r="BQD58" s="4"/>
      <c r="BQE58" s="4"/>
      <c r="BQF58" s="4"/>
      <c r="BQG58" s="4"/>
      <c r="BQH58" s="4"/>
      <c r="BQI58" s="4"/>
      <c r="BQL58" s="4"/>
      <c r="BQM58" s="4"/>
      <c r="BQN58" s="4"/>
      <c r="BQO58" s="4"/>
      <c r="BQP58" s="4"/>
      <c r="BQQ58" s="4"/>
      <c r="BQR58" s="4"/>
      <c r="BQS58" s="4"/>
      <c r="BQT58" s="4"/>
      <c r="BQU58" s="4"/>
      <c r="BQX58" s="4"/>
      <c r="BQY58" s="4"/>
      <c r="BQZ58" s="4"/>
      <c r="BRA58" s="4"/>
      <c r="BRB58" s="4"/>
      <c r="BRC58" s="4"/>
      <c r="BRD58" s="4"/>
      <c r="BRE58" s="4"/>
      <c r="BRF58" s="4"/>
      <c r="BRG58" s="4"/>
      <c r="BRJ58" s="4"/>
      <c r="BRK58" s="4"/>
      <c r="BRL58" s="4"/>
      <c r="BRM58" s="4"/>
      <c r="BRN58" s="4"/>
      <c r="BRO58" s="4"/>
      <c r="BRP58" s="4"/>
      <c r="BRQ58" s="4"/>
      <c r="BRR58" s="4"/>
      <c r="BRS58" s="4"/>
      <c r="BRV58" s="4"/>
      <c r="BRW58" s="4"/>
      <c r="BRX58" s="4"/>
      <c r="BRY58" s="4"/>
      <c r="BRZ58" s="4"/>
      <c r="BSA58" s="4"/>
      <c r="BSB58" s="4"/>
      <c r="BSC58" s="4"/>
      <c r="BSD58" s="4"/>
      <c r="BSE58" s="4"/>
      <c r="BSH58" s="4"/>
      <c r="BSI58" s="4"/>
      <c r="BSJ58" s="4"/>
      <c r="BSK58" s="4"/>
      <c r="BSL58" s="4"/>
      <c r="BSM58" s="4"/>
      <c r="BSN58" s="4"/>
      <c r="BSO58" s="4"/>
      <c r="BSP58" s="4"/>
      <c r="BSQ58" s="4"/>
      <c r="BST58" s="4"/>
      <c r="BSU58" s="4"/>
      <c r="BSV58" s="4"/>
      <c r="BSW58" s="4"/>
      <c r="BSX58" s="4"/>
      <c r="BSY58" s="4"/>
      <c r="BSZ58" s="4"/>
      <c r="BTA58" s="4"/>
      <c r="BTB58" s="4"/>
      <c r="BTC58" s="4"/>
      <c r="BTF58" s="4"/>
      <c r="BTG58" s="4"/>
      <c r="BTH58" s="4"/>
      <c r="BTI58" s="4"/>
      <c r="BTJ58" s="4"/>
      <c r="BTK58" s="4"/>
      <c r="BTL58" s="4"/>
      <c r="BTM58" s="4"/>
      <c r="BTN58" s="4"/>
      <c r="BTO58" s="4"/>
      <c r="BTR58" s="4"/>
      <c r="BTS58" s="4"/>
      <c r="BTT58" s="4"/>
      <c r="BTU58" s="4"/>
      <c r="BTV58" s="4"/>
      <c r="BTW58" s="4"/>
      <c r="BTX58" s="4"/>
      <c r="BTY58" s="4"/>
      <c r="BTZ58" s="4"/>
      <c r="BUA58" s="4"/>
      <c r="BUD58" s="4"/>
      <c r="BUE58" s="4"/>
      <c r="BUF58" s="4"/>
      <c r="BUG58" s="4"/>
      <c r="BUH58" s="4"/>
      <c r="BUI58" s="4"/>
      <c r="BUJ58" s="4"/>
      <c r="BUK58" s="4"/>
      <c r="BUL58" s="4"/>
      <c r="BUM58" s="4"/>
      <c r="BUP58" s="4"/>
      <c r="BUQ58" s="4"/>
      <c r="BUR58" s="4"/>
      <c r="BUS58" s="4"/>
      <c r="BUT58" s="4"/>
      <c r="BUU58" s="4"/>
      <c r="BUV58" s="4"/>
      <c r="BUW58" s="4"/>
      <c r="BUX58" s="4"/>
      <c r="BUY58" s="4"/>
      <c r="BVB58" s="4"/>
      <c r="BVC58" s="4"/>
      <c r="BVD58" s="4"/>
      <c r="BVE58" s="4"/>
      <c r="BVF58" s="4"/>
      <c r="BVG58" s="4"/>
      <c r="BVH58" s="4"/>
      <c r="BVI58" s="4"/>
      <c r="BVJ58" s="4"/>
      <c r="BVK58" s="4"/>
      <c r="BVN58" s="4"/>
      <c r="BVO58" s="4"/>
      <c r="BVP58" s="4"/>
      <c r="BVQ58" s="4"/>
      <c r="BVR58" s="4"/>
      <c r="BVS58" s="4"/>
      <c r="BVT58" s="4"/>
      <c r="BVU58" s="4"/>
      <c r="BVV58" s="4"/>
      <c r="BVW58" s="4"/>
      <c r="BVZ58" s="4"/>
      <c r="BWA58" s="4"/>
      <c r="BWB58" s="4"/>
      <c r="BWC58" s="4"/>
      <c r="BWD58" s="4"/>
      <c r="BWE58" s="4"/>
      <c r="BWF58" s="4"/>
      <c r="BWG58" s="4"/>
      <c r="BWH58" s="4"/>
      <c r="BWI58" s="4"/>
      <c r="BWL58" s="4"/>
      <c r="BWM58" s="4"/>
      <c r="BWN58" s="4"/>
      <c r="BWO58" s="4"/>
      <c r="BWP58" s="4"/>
      <c r="BWQ58" s="4"/>
      <c r="BWR58" s="4"/>
      <c r="BWS58" s="4"/>
      <c r="BWT58" s="4"/>
      <c r="BWU58" s="4"/>
      <c r="BWX58" s="4"/>
      <c r="BWY58" s="4"/>
      <c r="BWZ58" s="4"/>
      <c r="BXA58" s="4"/>
      <c r="BXB58" s="4"/>
      <c r="BXC58" s="4"/>
      <c r="BXD58" s="4"/>
      <c r="BXE58" s="4"/>
      <c r="BXF58" s="4"/>
      <c r="BXG58" s="4"/>
      <c r="BXJ58" s="4"/>
      <c r="BXK58" s="4"/>
      <c r="BXL58" s="4"/>
      <c r="BXM58" s="4"/>
      <c r="BXN58" s="4"/>
      <c r="BXO58" s="4"/>
      <c r="BXP58" s="4"/>
      <c r="BXQ58" s="4"/>
      <c r="BXR58" s="4"/>
      <c r="BXS58" s="4"/>
      <c r="BXV58" s="4"/>
      <c r="BXW58" s="4"/>
      <c r="BXX58" s="4"/>
      <c r="BXY58" s="4"/>
      <c r="BXZ58" s="4"/>
      <c r="BYA58" s="4"/>
      <c r="BYB58" s="4"/>
      <c r="BYC58" s="4"/>
      <c r="BYD58" s="4"/>
      <c r="BYE58" s="4"/>
      <c r="BYH58" s="4"/>
      <c r="BYI58" s="4"/>
      <c r="BYJ58" s="4"/>
      <c r="BYK58" s="4"/>
      <c r="BYL58" s="4"/>
      <c r="BYM58" s="4"/>
      <c r="BYN58" s="4"/>
      <c r="BYO58" s="4"/>
      <c r="BYP58" s="4"/>
      <c r="BYQ58" s="4"/>
      <c r="BYT58" s="4"/>
      <c r="BYU58" s="4"/>
      <c r="BYV58" s="4"/>
      <c r="BYW58" s="4"/>
      <c r="BYX58" s="4"/>
      <c r="BYY58" s="4"/>
      <c r="BYZ58" s="4"/>
      <c r="BZA58" s="4"/>
      <c r="BZB58" s="4"/>
      <c r="BZC58" s="4"/>
      <c r="BZF58" s="4"/>
      <c r="BZG58" s="4"/>
      <c r="BZH58" s="4"/>
      <c r="BZI58" s="4"/>
      <c r="BZJ58" s="4"/>
      <c r="BZK58" s="4"/>
      <c r="BZL58" s="4"/>
      <c r="BZM58" s="4"/>
      <c r="BZN58" s="4"/>
      <c r="BZO58" s="4"/>
      <c r="BZR58" s="4"/>
      <c r="BZS58" s="4"/>
      <c r="BZT58" s="4"/>
      <c r="BZU58" s="4"/>
      <c r="BZV58" s="4"/>
      <c r="BZW58" s="4"/>
      <c r="BZX58" s="4"/>
      <c r="BZY58" s="4"/>
      <c r="BZZ58" s="4"/>
      <c r="CAA58" s="4"/>
      <c r="CAD58" s="4"/>
      <c r="CAE58" s="4"/>
      <c r="CAF58" s="4"/>
      <c r="CAG58" s="4"/>
      <c r="CAH58" s="4"/>
      <c r="CAI58" s="4"/>
      <c r="CAJ58" s="4"/>
      <c r="CAK58" s="4"/>
      <c r="CAL58" s="4"/>
      <c r="CAM58" s="4"/>
      <c r="CAP58" s="4"/>
      <c r="CAQ58" s="4"/>
      <c r="CAR58" s="4"/>
      <c r="CAS58" s="4"/>
      <c r="CAT58" s="4"/>
      <c r="CAU58" s="4"/>
      <c r="CAV58" s="4"/>
      <c r="CAW58" s="4"/>
      <c r="CAX58" s="4"/>
      <c r="CAY58" s="4"/>
      <c r="CBB58" s="4"/>
      <c r="CBC58" s="4"/>
      <c r="CBD58" s="4"/>
      <c r="CBE58" s="4"/>
      <c r="CBF58" s="4"/>
      <c r="CBG58" s="4"/>
      <c r="CBH58" s="4"/>
      <c r="CBI58" s="4"/>
      <c r="CBJ58" s="4"/>
      <c r="CBK58" s="4"/>
      <c r="CBN58" s="4"/>
      <c r="CBO58" s="4"/>
      <c r="CBP58" s="4"/>
      <c r="CBQ58" s="4"/>
      <c r="CBR58" s="4"/>
      <c r="CBS58" s="4"/>
      <c r="CBT58" s="4"/>
      <c r="CBU58" s="4"/>
      <c r="CBV58" s="4"/>
      <c r="CBW58" s="4"/>
      <c r="CBZ58" s="4"/>
      <c r="CCA58" s="4"/>
      <c r="CCB58" s="4"/>
      <c r="CCC58" s="4"/>
      <c r="CCD58" s="4"/>
      <c r="CCE58" s="4"/>
      <c r="CCF58" s="4"/>
      <c r="CCG58" s="4"/>
      <c r="CCH58" s="4"/>
      <c r="CCI58" s="4"/>
      <c r="CCL58" s="4"/>
      <c r="CCM58" s="4"/>
      <c r="CCN58" s="4"/>
      <c r="CCO58" s="4"/>
      <c r="CCP58" s="4"/>
      <c r="CCQ58" s="4"/>
      <c r="CCR58" s="4"/>
      <c r="CCS58" s="4"/>
      <c r="CCT58" s="4"/>
      <c r="CCU58" s="4"/>
      <c r="CCX58" s="4"/>
      <c r="CCY58" s="4"/>
      <c r="CCZ58" s="4"/>
      <c r="CDA58" s="4"/>
      <c r="CDB58" s="4"/>
      <c r="CDC58" s="4"/>
      <c r="CDD58" s="4"/>
      <c r="CDE58" s="4"/>
      <c r="CDF58" s="4"/>
      <c r="CDG58" s="4"/>
      <c r="CDJ58" s="4"/>
      <c r="CDK58" s="4"/>
      <c r="CDL58" s="4"/>
      <c r="CDM58" s="4"/>
      <c r="CDN58" s="4"/>
      <c r="CDO58" s="4"/>
      <c r="CDP58" s="4"/>
      <c r="CDQ58" s="4"/>
      <c r="CDR58" s="4"/>
      <c r="CDS58" s="4"/>
      <c r="CDV58" s="4"/>
      <c r="CDW58" s="4"/>
      <c r="CDX58" s="4"/>
      <c r="CDY58" s="4"/>
      <c r="CDZ58" s="4"/>
      <c r="CEA58" s="4"/>
      <c r="CEB58" s="4"/>
      <c r="CEC58" s="4"/>
      <c r="CED58" s="4"/>
      <c r="CEE58" s="4"/>
      <c r="CEH58" s="4"/>
      <c r="CEI58" s="4"/>
      <c r="CEJ58" s="4"/>
      <c r="CEK58" s="4"/>
      <c r="CEL58" s="4"/>
      <c r="CEM58" s="4"/>
      <c r="CEN58" s="4"/>
      <c r="CEO58" s="4"/>
      <c r="CEP58" s="4"/>
      <c r="CEQ58" s="4"/>
      <c r="CET58" s="4"/>
      <c r="CEU58" s="4"/>
      <c r="CEV58" s="4"/>
      <c r="CEW58" s="4"/>
      <c r="CEX58" s="4"/>
      <c r="CEY58" s="4"/>
      <c r="CEZ58" s="4"/>
      <c r="CFA58" s="4"/>
      <c r="CFB58" s="4"/>
      <c r="CFC58" s="4"/>
      <c r="CFF58" s="4"/>
      <c r="CFG58" s="4"/>
      <c r="CFH58" s="4"/>
      <c r="CFI58" s="4"/>
      <c r="CFJ58" s="4"/>
      <c r="CFK58" s="4"/>
      <c r="CFL58" s="4"/>
      <c r="CFM58" s="4"/>
      <c r="CFN58" s="4"/>
      <c r="CFO58" s="4"/>
      <c r="CFR58" s="4"/>
      <c r="CFS58" s="4"/>
      <c r="CFT58" s="4"/>
      <c r="CFU58" s="4"/>
      <c r="CFV58" s="4"/>
      <c r="CFW58" s="4"/>
      <c r="CFX58" s="4"/>
      <c r="CFY58" s="4"/>
      <c r="CFZ58" s="4"/>
      <c r="CGA58" s="4"/>
      <c r="CGD58" s="4"/>
      <c r="CGE58" s="4"/>
      <c r="CGF58" s="4"/>
      <c r="CGG58" s="4"/>
      <c r="CGH58" s="4"/>
      <c r="CGI58" s="4"/>
      <c r="CGJ58" s="4"/>
      <c r="CGK58" s="4"/>
      <c r="CGL58" s="4"/>
      <c r="CGM58" s="4"/>
      <c r="CGP58" s="4"/>
      <c r="CGQ58" s="4"/>
      <c r="CGR58" s="4"/>
      <c r="CGS58" s="4"/>
      <c r="CGT58" s="4"/>
      <c r="CGU58" s="4"/>
      <c r="CGV58" s="4"/>
      <c r="CGW58" s="4"/>
      <c r="CGX58" s="4"/>
      <c r="CGY58" s="4"/>
      <c r="CHB58" s="4"/>
      <c r="CHC58" s="4"/>
      <c r="CHD58" s="4"/>
      <c r="CHE58" s="4"/>
      <c r="CHF58" s="4"/>
      <c r="CHG58" s="4"/>
      <c r="CHH58" s="4"/>
      <c r="CHI58" s="4"/>
      <c r="CHJ58" s="4"/>
      <c r="CHK58" s="4"/>
      <c r="CHN58" s="4"/>
      <c r="CHO58" s="4"/>
      <c r="CHP58" s="4"/>
      <c r="CHQ58" s="4"/>
      <c r="CHR58" s="4"/>
      <c r="CHS58" s="4"/>
      <c r="CHT58" s="4"/>
      <c r="CHU58" s="4"/>
      <c r="CHV58" s="4"/>
      <c r="CHW58" s="4"/>
      <c r="CHZ58" s="4"/>
      <c r="CIA58" s="4"/>
      <c r="CIB58" s="4"/>
      <c r="CIC58" s="4"/>
      <c r="CID58" s="4"/>
      <c r="CIE58" s="4"/>
      <c r="CIF58" s="4"/>
      <c r="CIG58" s="4"/>
      <c r="CIH58" s="4"/>
      <c r="CII58" s="4"/>
      <c r="CIL58" s="4"/>
      <c r="CIM58" s="4"/>
      <c r="CIN58" s="4"/>
      <c r="CIO58" s="4"/>
      <c r="CIP58" s="4"/>
      <c r="CIQ58" s="4"/>
      <c r="CIR58" s="4"/>
      <c r="CIS58" s="4"/>
      <c r="CIT58" s="4"/>
      <c r="CIU58" s="4"/>
      <c r="CIX58" s="4"/>
      <c r="CIY58" s="4"/>
      <c r="CIZ58" s="4"/>
      <c r="CJA58" s="4"/>
      <c r="CJB58" s="4"/>
      <c r="CJC58" s="4"/>
      <c r="CJD58" s="4"/>
      <c r="CJE58" s="4"/>
      <c r="CJF58" s="4"/>
      <c r="CJG58" s="4"/>
      <c r="CJJ58" s="4"/>
      <c r="CJK58" s="4"/>
      <c r="CJL58" s="4"/>
      <c r="CJM58" s="4"/>
      <c r="CJN58" s="4"/>
      <c r="CJO58" s="4"/>
      <c r="CJP58" s="4"/>
      <c r="CJQ58" s="4"/>
      <c r="CJR58" s="4"/>
      <c r="CJS58" s="4"/>
      <c r="CJV58" s="4"/>
      <c r="CJW58" s="4"/>
      <c r="CJX58" s="4"/>
      <c r="CJY58" s="4"/>
      <c r="CJZ58" s="4"/>
      <c r="CKA58" s="4"/>
      <c r="CKB58" s="4"/>
      <c r="CKC58" s="4"/>
      <c r="CKD58" s="4"/>
      <c r="CKE58" s="4"/>
      <c r="CKH58" s="4"/>
      <c r="CKI58" s="4"/>
      <c r="CKJ58" s="4"/>
      <c r="CKK58" s="4"/>
      <c r="CKL58" s="4"/>
      <c r="CKM58" s="4"/>
      <c r="CKN58" s="4"/>
      <c r="CKO58" s="4"/>
      <c r="CKP58" s="4"/>
      <c r="CKQ58" s="4"/>
      <c r="CKT58" s="4"/>
      <c r="CKU58" s="4"/>
      <c r="CKV58" s="4"/>
      <c r="CKW58" s="4"/>
      <c r="CKX58" s="4"/>
      <c r="CKY58" s="4"/>
      <c r="CKZ58" s="4"/>
      <c r="CLA58" s="4"/>
      <c r="CLB58" s="4"/>
      <c r="CLC58" s="4"/>
      <c r="CLF58" s="4"/>
      <c r="CLG58" s="4"/>
      <c r="CLH58" s="4"/>
      <c r="CLI58" s="4"/>
      <c r="CLJ58" s="4"/>
      <c r="CLK58" s="4"/>
      <c r="CLL58" s="4"/>
      <c r="CLM58" s="4"/>
      <c r="CLN58" s="4"/>
      <c r="CLO58" s="4"/>
      <c r="CLR58" s="4"/>
      <c r="CLS58" s="4"/>
      <c r="CLT58" s="4"/>
      <c r="CLU58" s="4"/>
      <c r="CLV58" s="4"/>
      <c r="CLW58" s="4"/>
      <c r="CLX58" s="4"/>
      <c r="CLY58" s="4"/>
      <c r="CLZ58" s="4"/>
      <c r="CMA58" s="4"/>
      <c r="CMD58" s="4"/>
      <c r="CME58" s="4"/>
      <c r="CMF58" s="4"/>
      <c r="CMG58" s="4"/>
      <c r="CMH58" s="4"/>
      <c r="CMI58" s="4"/>
      <c r="CMJ58" s="4"/>
      <c r="CMK58" s="4"/>
      <c r="CML58" s="4"/>
      <c r="CMM58" s="4"/>
      <c r="CMP58" s="4"/>
      <c r="CMQ58" s="4"/>
      <c r="CMR58" s="4"/>
      <c r="CMS58" s="4"/>
      <c r="CMT58" s="4"/>
      <c r="CMU58" s="4"/>
      <c r="CMV58" s="4"/>
      <c r="CMW58" s="4"/>
      <c r="CMX58" s="4"/>
      <c r="CMY58" s="4"/>
      <c r="CNB58" s="4"/>
      <c r="CNC58" s="4"/>
      <c r="CND58" s="4"/>
      <c r="CNE58" s="4"/>
      <c r="CNF58" s="4"/>
      <c r="CNG58" s="4"/>
      <c r="CNH58" s="4"/>
      <c r="CNI58" s="4"/>
      <c r="CNJ58" s="4"/>
      <c r="CNK58" s="4"/>
      <c r="CNN58" s="4"/>
      <c r="CNO58" s="4"/>
      <c r="CNP58" s="4"/>
      <c r="CNQ58" s="4"/>
      <c r="CNR58" s="4"/>
      <c r="CNS58" s="4"/>
      <c r="CNT58" s="4"/>
      <c r="CNU58" s="4"/>
      <c r="CNV58" s="4"/>
      <c r="CNW58" s="4"/>
      <c r="CNZ58" s="4"/>
      <c r="COA58" s="4"/>
      <c r="COB58" s="4"/>
      <c r="COC58" s="4"/>
      <c r="COD58" s="4"/>
      <c r="COE58" s="4"/>
      <c r="COF58" s="4"/>
      <c r="COG58" s="4"/>
      <c r="COH58" s="4"/>
      <c r="COI58" s="4"/>
      <c r="COL58" s="4"/>
      <c r="COM58" s="4"/>
      <c r="CON58" s="4"/>
      <c r="COO58" s="4"/>
      <c r="COP58" s="4"/>
      <c r="COQ58" s="4"/>
      <c r="COR58" s="4"/>
      <c r="COS58" s="4"/>
      <c r="COT58" s="4"/>
      <c r="COU58" s="4"/>
      <c r="COX58" s="4"/>
      <c r="COY58" s="4"/>
      <c r="COZ58" s="4"/>
      <c r="CPA58" s="4"/>
      <c r="CPB58" s="4"/>
      <c r="CPC58" s="4"/>
      <c r="CPD58" s="4"/>
      <c r="CPE58" s="4"/>
      <c r="CPF58" s="4"/>
      <c r="CPG58" s="4"/>
      <c r="CPJ58" s="4"/>
      <c r="CPK58" s="4"/>
      <c r="CPL58" s="4"/>
      <c r="CPM58" s="4"/>
      <c r="CPN58" s="4"/>
      <c r="CPO58" s="4"/>
      <c r="CPP58" s="4"/>
      <c r="CPQ58" s="4"/>
      <c r="CPR58" s="4"/>
      <c r="CPS58" s="4"/>
      <c r="CPV58" s="4"/>
      <c r="CPW58" s="4"/>
      <c r="CPX58" s="4"/>
      <c r="CPY58" s="4"/>
      <c r="CPZ58" s="4"/>
      <c r="CQA58" s="4"/>
      <c r="CQB58" s="4"/>
      <c r="CQC58" s="4"/>
      <c r="CQD58" s="4"/>
      <c r="CQE58" s="4"/>
      <c r="CQH58" s="4"/>
      <c r="CQI58" s="4"/>
      <c r="CQJ58" s="4"/>
      <c r="CQK58" s="4"/>
      <c r="CQL58" s="4"/>
      <c r="CQM58" s="4"/>
      <c r="CQN58" s="4"/>
      <c r="CQO58" s="4"/>
      <c r="CQP58" s="4"/>
      <c r="CQQ58" s="4"/>
      <c r="CQT58" s="4"/>
      <c r="CQU58" s="4"/>
      <c r="CQV58" s="4"/>
      <c r="CQW58" s="4"/>
      <c r="CQX58" s="4"/>
      <c r="CQY58" s="4"/>
      <c r="CQZ58" s="4"/>
      <c r="CRA58" s="4"/>
      <c r="CRB58" s="4"/>
      <c r="CRC58" s="4"/>
      <c r="CRF58" s="4"/>
      <c r="CRG58" s="4"/>
      <c r="CRH58" s="4"/>
      <c r="CRI58" s="4"/>
      <c r="CRJ58" s="4"/>
      <c r="CRK58" s="4"/>
      <c r="CRL58" s="4"/>
      <c r="CRM58" s="4"/>
      <c r="CRN58" s="4"/>
      <c r="CRO58" s="4"/>
      <c r="CRR58" s="4"/>
      <c r="CRS58" s="4"/>
      <c r="CRT58" s="4"/>
      <c r="CRU58" s="4"/>
      <c r="CRV58" s="4"/>
      <c r="CRW58" s="4"/>
      <c r="CRX58" s="4"/>
      <c r="CRY58" s="4"/>
      <c r="CRZ58" s="4"/>
      <c r="CSA58" s="4"/>
      <c r="CSD58" s="4"/>
      <c r="CSE58" s="4"/>
      <c r="CSF58" s="4"/>
      <c r="CSG58" s="4"/>
      <c r="CSH58" s="4"/>
      <c r="CSI58" s="4"/>
      <c r="CSJ58" s="4"/>
      <c r="CSK58" s="4"/>
      <c r="CSL58" s="4"/>
      <c r="CSM58" s="4"/>
      <c r="CSP58" s="4"/>
      <c r="CSQ58" s="4"/>
      <c r="CSR58" s="4"/>
      <c r="CSS58" s="4"/>
      <c r="CST58" s="4"/>
      <c r="CSU58" s="4"/>
      <c r="CSV58" s="4"/>
      <c r="CSW58" s="4"/>
      <c r="CSX58" s="4"/>
      <c r="CSY58" s="4"/>
      <c r="CTB58" s="4"/>
      <c r="CTC58" s="4"/>
      <c r="CTD58" s="4"/>
      <c r="CTE58" s="4"/>
      <c r="CTF58" s="4"/>
      <c r="CTG58" s="4"/>
      <c r="CTH58" s="4"/>
      <c r="CTI58" s="4"/>
      <c r="CTJ58" s="4"/>
      <c r="CTK58" s="4"/>
      <c r="CTN58" s="4"/>
      <c r="CTO58" s="4"/>
      <c r="CTP58" s="4"/>
      <c r="CTQ58" s="4"/>
      <c r="CTR58" s="4"/>
      <c r="CTS58" s="4"/>
      <c r="CTT58" s="4"/>
      <c r="CTU58" s="4"/>
      <c r="CTV58" s="4"/>
      <c r="CTW58" s="4"/>
      <c r="CTZ58" s="4"/>
      <c r="CUA58" s="4"/>
      <c r="CUB58" s="4"/>
      <c r="CUC58" s="4"/>
      <c r="CUD58" s="4"/>
      <c r="CUE58" s="4"/>
      <c r="CUF58" s="4"/>
      <c r="CUG58" s="4"/>
      <c r="CUH58" s="4"/>
      <c r="CUI58" s="4"/>
      <c r="CUL58" s="4"/>
      <c r="CUM58" s="4"/>
      <c r="CUN58" s="4"/>
      <c r="CUO58" s="4"/>
      <c r="CUP58" s="4"/>
      <c r="CUQ58" s="4"/>
      <c r="CUR58" s="4"/>
      <c r="CUS58" s="4"/>
      <c r="CUT58" s="4"/>
      <c r="CUU58" s="4"/>
      <c r="CUX58" s="4"/>
      <c r="CUY58" s="4"/>
      <c r="CUZ58" s="4"/>
      <c r="CVA58" s="4"/>
      <c r="CVB58" s="4"/>
      <c r="CVC58" s="4"/>
      <c r="CVD58" s="4"/>
      <c r="CVE58" s="4"/>
      <c r="CVF58" s="4"/>
      <c r="CVG58" s="4"/>
      <c r="CVJ58" s="4"/>
      <c r="CVK58" s="4"/>
      <c r="CVL58" s="4"/>
      <c r="CVM58" s="4"/>
      <c r="CVN58" s="4"/>
      <c r="CVO58" s="4"/>
      <c r="CVP58" s="4"/>
      <c r="CVQ58" s="4"/>
      <c r="CVR58" s="4"/>
      <c r="CVS58" s="4"/>
      <c r="CVV58" s="4"/>
      <c r="CVW58" s="4"/>
      <c r="CVX58" s="4"/>
      <c r="CVY58" s="4"/>
      <c r="CVZ58" s="4"/>
      <c r="CWA58" s="4"/>
      <c r="CWB58" s="4"/>
      <c r="CWC58" s="4"/>
      <c r="CWD58" s="4"/>
      <c r="CWE58" s="4"/>
    </row>
    <row r="59" spans="2:1023 1026:2631" x14ac:dyDescent="0.25"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F59" s="4"/>
      <c r="AJG59" s="4"/>
      <c r="AJH59" s="4"/>
      <c r="AJI59" s="4"/>
      <c r="AJJ59" s="4"/>
      <c r="AJK59" s="4"/>
      <c r="AJL59" s="4"/>
      <c r="AJM59" s="4"/>
      <c r="AJN59" s="4"/>
      <c r="AJO59" s="4"/>
      <c r="AJR59" s="4"/>
      <c r="AJS59" s="4"/>
      <c r="AJT59" s="4"/>
      <c r="AJU59" s="4"/>
      <c r="AJV59" s="4"/>
      <c r="AJW59" s="4"/>
      <c r="AJX59" s="4"/>
      <c r="AJY59" s="4"/>
      <c r="AJZ59" s="4"/>
      <c r="AKA59" s="4"/>
      <c r="AKD59" s="4"/>
      <c r="AKE59" s="4"/>
      <c r="AKF59" s="4"/>
      <c r="AKG59" s="4"/>
      <c r="AKH59" s="4"/>
      <c r="AKI59" s="4"/>
      <c r="AKJ59" s="4"/>
      <c r="AKK59" s="4"/>
      <c r="AKL59" s="4"/>
      <c r="AKM59" s="4"/>
      <c r="AKP59" s="4"/>
      <c r="AKQ59" s="4"/>
      <c r="AKR59" s="4"/>
      <c r="AKS59" s="4"/>
      <c r="AKT59" s="4"/>
      <c r="AKU59" s="4"/>
      <c r="AKV59" s="4"/>
      <c r="AKW59" s="4"/>
      <c r="AKX59" s="4"/>
      <c r="AKY59" s="4"/>
      <c r="ALB59" s="4"/>
      <c r="ALC59" s="4"/>
      <c r="ALD59" s="4"/>
      <c r="ALE59" s="4"/>
      <c r="ALF59" s="4"/>
      <c r="ALG59" s="4"/>
      <c r="ALH59" s="4"/>
      <c r="ALI59" s="4"/>
      <c r="ALJ59" s="4"/>
      <c r="ALK59" s="4"/>
      <c r="ALN59" s="4"/>
      <c r="ALO59" s="4"/>
      <c r="ALP59" s="4"/>
      <c r="ALQ59" s="4"/>
      <c r="ALR59" s="4"/>
      <c r="ALS59" s="4"/>
      <c r="ALT59" s="4"/>
      <c r="ALU59" s="4"/>
      <c r="ALV59" s="4"/>
      <c r="ALW59" s="4"/>
      <c r="ALZ59" s="4"/>
      <c r="AMA59" s="4"/>
      <c r="AMB59" s="4"/>
      <c r="AMC59" s="4"/>
      <c r="AMD59" s="4"/>
      <c r="AME59" s="4"/>
      <c r="AMF59" s="4"/>
      <c r="AMG59" s="4"/>
      <c r="AMH59" s="4"/>
      <c r="AMI59" s="4"/>
      <c r="AML59" s="4"/>
      <c r="AMM59" s="4"/>
      <c r="AMN59" s="4"/>
      <c r="AMO59" s="4"/>
      <c r="AMP59" s="4"/>
      <c r="AMQ59" s="4"/>
      <c r="AMR59" s="4"/>
      <c r="AMS59" s="4"/>
      <c r="AMT59" s="4"/>
      <c r="AMU59" s="4"/>
      <c r="AMX59" s="4"/>
      <c r="AMY59" s="4"/>
      <c r="AMZ59" s="4"/>
      <c r="ANA59" s="4"/>
      <c r="ANB59" s="4"/>
      <c r="ANC59" s="4"/>
      <c r="AND59" s="4"/>
      <c r="ANE59" s="4"/>
      <c r="ANF59" s="4"/>
      <c r="ANG59" s="4"/>
      <c r="ANJ59" s="4"/>
      <c r="ANK59" s="4"/>
      <c r="ANL59" s="4"/>
      <c r="ANM59" s="4"/>
      <c r="ANN59" s="4"/>
      <c r="ANO59" s="4"/>
      <c r="ANP59" s="4"/>
      <c r="ANQ59" s="4"/>
      <c r="ANR59" s="4"/>
      <c r="ANS59" s="4"/>
      <c r="ANV59" s="4"/>
      <c r="ANW59" s="4"/>
      <c r="ANX59" s="4"/>
      <c r="ANY59" s="4"/>
      <c r="ANZ59" s="4"/>
      <c r="AOA59" s="4"/>
      <c r="AOB59" s="4"/>
      <c r="AOC59" s="4"/>
      <c r="AOD59" s="4"/>
      <c r="AOE59" s="4"/>
      <c r="AOH59" s="4"/>
      <c r="AOI59" s="4"/>
      <c r="AOJ59" s="4"/>
      <c r="AOK59" s="4"/>
      <c r="AOL59" s="4"/>
      <c r="AOM59" s="4"/>
      <c r="AON59" s="4"/>
      <c r="AOO59" s="4"/>
      <c r="AOP59" s="4"/>
      <c r="AOQ59" s="4"/>
      <c r="AOT59" s="4"/>
      <c r="AOU59" s="4"/>
      <c r="AOV59" s="4"/>
      <c r="AOW59" s="4"/>
      <c r="AOX59" s="4"/>
      <c r="AOY59" s="4"/>
      <c r="AOZ59" s="4"/>
      <c r="APA59" s="4"/>
      <c r="APB59" s="4"/>
      <c r="APC59" s="4"/>
      <c r="APF59" s="4"/>
      <c r="APG59" s="4"/>
      <c r="APH59" s="4"/>
      <c r="API59" s="4"/>
      <c r="APJ59" s="4"/>
      <c r="APK59" s="4"/>
      <c r="APL59" s="4"/>
      <c r="APM59" s="4"/>
      <c r="APN59" s="4"/>
      <c r="APO59" s="4"/>
      <c r="APR59" s="4"/>
      <c r="APS59" s="4"/>
      <c r="APT59" s="4"/>
      <c r="APU59" s="4"/>
      <c r="APV59" s="4"/>
      <c r="APW59" s="4"/>
      <c r="APX59" s="4"/>
      <c r="APY59" s="4"/>
      <c r="APZ59" s="4"/>
      <c r="AQA59" s="4"/>
      <c r="AQD59" s="4"/>
      <c r="AQE59" s="4"/>
      <c r="AQF59" s="4"/>
      <c r="AQG59" s="4"/>
      <c r="AQH59" s="4"/>
      <c r="AQI59" s="4"/>
      <c r="AQJ59" s="4"/>
      <c r="AQK59" s="4"/>
      <c r="AQL59" s="4"/>
      <c r="AQM59" s="4"/>
      <c r="AQP59" s="4"/>
      <c r="AQQ59" s="4"/>
      <c r="AQR59" s="4"/>
      <c r="AQS59" s="4"/>
      <c r="AQT59" s="4"/>
      <c r="AQU59" s="4"/>
      <c r="AQV59" s="4"/>
      <c r="AQW59" s="4"/>
      <c r="AQX59" s="4"/>
      <c r="AQY59" s="4"/>
      <c r="ARB59" s="4"/>
      <c r="ARC59" s="4"/>
      <c r="ARD59" s="4"/>
      <c r="ARE59" s="4"/>
      <c r="ARF59" s="4"/>
      <c r="ARG59" s="4"/>
      <c r="ARH59" s="4"/>
      <c r="ARI59" s="4"/>
      <c r="ARJ59" s="4"/>
      <c r="ARK59" s="4"/>
      <c r="ARN59" s="4"/>
      <c r="ARO59" s="4"/>
      <c r="ARP59" s="4"/>
      <c r="ARQ59" s="4"/>
      <c r="ARR59" s="4"/>
      <c r="ARS59" s="4"/>
      <c r="ART59" s="4"/>
      <c r="ARU59" s="4"/>
      <c r="ARV59" s="4"/>
      <c r="ARW59" s="4"/>
      <c r="ARZ59" s="4"/>
      <c r="ASA59" s="4"/>
      <c r="ASB59" s="4"/>
      <c r="ASC59" s="4"/>
      <c r="ASD59" s="4"/>
      <c r="ASE59" s="4"/>
      <c r="ASF59" s="4"/>
      <c r="ASG59" s="4"/>
      <c r="ASH59" s="4"/>
      <c r="ASI59" s="4"/>
      <c r="ASL59" s="4"/>
      <c r="ASM59" s="4"/>
      <c r="ASN59" s="4"/>
      <c r="ASO59" s="4"/>
      <c r="ASP59" s="4"/>
      <c r="ASQ59" s="4"/>
      <c r="ASR59" s="4"/>
      <c r="ASS59" s="4"/>
      <c r="AST59" s="4"/>
      <c r="ASU59" s="4"/>
      <c r="ASX59" s="4"/>
      <c r="ASY59" s="4"/>
      <c r="ASZ59" s="4"/>
      <c r="ATA59" s="4"/>
      <c r="ATB59" s="4"/>
      <c r="ATC59" s="4"/>
      <c r="ATD59" s="4"/>
      <c r="ATE59" s="4"/>
      <c r="ATF59" s="4"/>
      <c r="ATG59" s="4"/>
      <c r="ATJ59" s="4"/>
      <c r="ATK59" s="4"/>
      <c r="ATL59" s="4"/>
      <c r="ATM59" s="4"/>
      <c r="ATN59" s="4"/>
      <c r="ATO59" s="4"/>
      <c r="ATP59" s="4"/>
      <c r="ATQ59" s="4"/>
      <c r="ATR59" s="4"/>
      <c r="ATS59" s="4"/>
      <c r="ATV59" s="4"/>
      <c r="ATW59" s="4"/>
      <c r="ATX59" s="4"/>
      <c r="ATY59" s="4"/>
      <c r="ATZ59" s="4"/>
      <c r="AUA59" s="4"/>
      <c r="AUB59" s="4"/>
      <c r="AUC59" s="4"/>
      <c r="AUD59" s="4"/>
      <c r="AUE59" s="4"/>
      <c r="AUH59" s="4"/>
      <c r="AUI59" s="4"/>
      <c r="AUJ59" s="4"/>
      <c r="AUK59" s="4"/>
      <c r="AUL59" s="4"/>
      <c r="AUM59" s="4"/>
      <c r="AUN59" s="4"/>
      <c r="AUO59" s="4"/>
      <c r="AUP59" s="4"/>
      <c r="AUQ59" s="4"/>
      <c r="AUT59" s="4"/>
      <c r="AUU59" s="4"/>
      <c r="AUV59" s="4"/>
      <c r="AUW59" s="4"/>
      <c r="AUX59" s="4"/>
      <c r="AUY59" s="4"/>
      <c r="AUZ59" s="4"/>
      <c r="AVA59" s="4"/>
      <c r="AVB59" s="4"/>
      <c r="AVC59" s="4"/>
      <c r="AVF59" s="4"/>
      <c r="AVG59" s="4"/>
      <c r="AVH59" s="4"/>
      <c r="AVI59" s="4"/>
      <c r="AVJ59" s="4"/>
      <c r="AVK59" s="4"/>
      <c r="AVL59" s="4"/>
      <c r="AVM59" s="4"/>
      <c r="AVN59" s="4"/>
      <c r="AVO59" s="4"/>
      <c r="AVR59" s="4"/>
      <c r="AVS59" s="4"/>
      <c r="AVT59" s="4"/>
      <c r="AVU59" s="4"/>
      <c r="AVV59" s="4"/>
      <c r="AVW59" s="4"/>
      <c r="AVX59" s="4"/>
      <c r="AVY59" s="4"/>
      <c r="AVZ59" s="4"/>
      <c r="AWA59" s="4"/>
      <c r="AWD59" s="4"/>
      <c r="AWE59" s="4"/>
      <c r="AWF59" s="4"/>
      <c r="AWG59" s="4"/>
      <c r="AWH59" s="4"/>
      <c r="AWI59" s="4"/>
      <c r="AWJ59" s="4"/>
      <c r="AWK59" s="4"/>
      <c r="AWL59" s="4"/>
      <c r="AWM59" s="4"/>
      <c r="AWP59" s="4"/>
      <c r="AWQ59" s="4"/>
      <c r="AWR59" s="4"/>
      <c r="AWS59" s="4"/>
      <c r="AWT59" s="4"/>
      <c r="AWU59" s="4"/>
      <c r="AWV59" s="4"/>
      <c r="AWW59" s="4"/>
      <c r="AWX59" s="4"/>
      <c r="AWY59" s="4"/>
      <c r="AXB59" s="4"/>
      <c r="AXC59" s="4"/>
      <c r="AXD59" s="4"/>
      <c r="AXE59" s="4"/>
      <c r="AXF59" s="4"/>
      <c r="AXG59" s="4"/>
      <c r="AXH59" s="4"/>
      <c r="AXI59" s="4"/>
      <c r="AXJ59" s="4"/>
      <c r="AXK59" s="4"/>
      <c r="AXN59" s="4"/>
      <c r="AXO59" s="4"/>
      <c r="AXP59" s="4"/>
      <c r="AXQ59" s="4"/>
      <c r="AXR59" s="4"/>
      <c r="AXS59" s="4"/>
      <c r="AXT59" s="4"/>
      <c r="AXU59" s="4"/>
      <c r="AXV59" s="4"/>
      <c r="AXW59" s="4"/>
      <c r="AXZ59" s="4"/>
      <c r="AYA59" s="4"/>
      <c r="AYB59" s="4"/>
      <c r="AYC59" s="4"/>
      <c r="AYD59" s="4"/>
      <c r="AYE59" s="4"/>
      <c r="AYF59" s="4"/>
      <c r="AYG59" s="4"/>
      <c r="AYH59" s="4"/>
      <c r="AYI59" s="4"/>
      <c r="AYL59" s="4"/>
      <c r="AYM59" s="4"/>
      <c r="AYN59" s="4"/>
      <c r="AYO59" s="4"/>
      <c r="AYP59" s="4"/>
      <c r="AYQ59" s="4"/>
      <c r="AYR59" s="4"/>
      <c r="AYS59" s="4"/>
      <c r="AYT59" s="4"/>
      <c r="AYU59" s="4"/>
      <c r="AYX59" s="4"/>
      <c r="AYY59" s="4"/>
      <c r="AYZ59" s="4"/>
      <c r="AZA59" s="4"/>
      <c r="AZB59" s="4"/>
      <c r="AZC59" s="4"/>
      <c r="AZD59" s="4"/>
      <c r="AZE59" s="4"/>
      <c r="AZF59" s="4"/>
      <c r="AZG59" s="4"/>
      <c r="AZJ59" s="4"/>
      <c r="AZK59" s="4"/>
      <c r="AZL59" s="4"/>
      <c r="AZM59" s="4"/>
      <c r="AZN59" s="4"/>
      <c r="AZO59" s="4"/>
      <c r="AZP59" s="4"/>
      <c r="AZQ59" s="4"/>
      <c r="AZR59" s="4"/>
      <c r="AZS59" s="4"/>
      <c r="AZV59" s="4"/>
      <c r="AZW59" s="4"/>
      <c r="AZX59" s="4"/>
      <c r="AZY59" s="4"/>
      <c r="AZZ59" s="4"/>
      <c r="BAA59" s="4"/>
      <c r="BAB59" s="4"/>
      <c r="BAC59" s="4"/>
      <c r="BAD59" s="4"/>
      <c r="BAE59" s="4"/>
      <c r="BAH59" s="4"/>
      <c r="BAI59" s="4"/>
      <c r="BAJ59" s="4"/>
      <c r="BAK59" s="4"/>
      <c r="BAL59" s="4"/>
      <c r="BAM59" s="4"/>
      <c r="BAN59" s="4"/>
      <c r="BAO59" s="4"/>
      <c r="BAP59" s="4"/>
      <c r="BAQ59" s="4"/>
      <c r="BAT59" s="4"/>
      <c r="BAU59" s="4"/>
      <c r="BAV59" s="4"/>
      <c r="BAW59" s="4"/>
      <c r="BAX59" s="4"/>
      <c r="BAY59" s="4"/>
      <c r="BAZ59" s="4"/>
      <c r="BBA59" s="4"/>
      <c r="BBB59" s="4"/>
      <c r="BBC59" s="4"/>
      <c r="BBF59" s="4"/>
      <c r="BBG59" s="4"/>
      <c r="BBH59" s="4"/>
      <c r="BBI59" s="4"/>
      <c r="BBJ59" s="4"/>
      <c r="BBK59" s="4"/>
      <c r="BBL59" s="4"/>
      <c r="BBM59" s="4"/>
      <c r="BBN59" s="4"/>
      <c r="BBO59" s="4"/>
      <c r="BBR59" s="4"/>
      <c r="BBS59" s="4"/>
      <c r="BBT59" s="4"/>
      <c r="BBU59" s="4"/>
      <c r="BBV59" s="4"/>
      <c r="BBW59" s="4"/>
      <c r="BBX59" s="4"/>
      <c r="BBY59" s="4"/>
      <c r="BBZ59" s="4"/>
      <c r="BCA59" s="4"/>
      <c r="BCD59" s="4"/>
      <c r="BCE59" s="4"/>
      <c r="BCF59" s="4"/>
      <c r="BCG59" s="4"/>
      <c r="BCH59" s="4"/>
      <c r="BCI59" s="4"/>
      <c r="BCJ59" s="4"/>
      <c r="BCK59" s="4"/>
      <c r="BCL59" s="4"/>
      <c r="BCM59" s="4"/>
      <c r="BCP59" s="4"/>
      <c r="BCQ59" s="4"/>
      <c r="BCR59" s="4"/>
      <c r="BCS59" s="4"/>
      <c r="BCT59" s="4"/>
      <c r="BCU59" s="4"/>
      <c r="BCV59" s="4"/>
      <c r="BCW59" s="4"/>
      <c r="BCX59" s="4"/>
      <c r="BCY59" s="4"/>
      <c r="BDB59" s="4"/>
      <c r="BDC59" s="4"/>
      <c r="BDD59" s="4"/>
      <c r="BDE59" s="4"/>
      <c r="BDF59" s="4"/>
      <c r="BDG59" s="4"/>
      <c r="BDH59" s="4"/>
      <c r="BDI59" s="4"/>
      <c r="BDJ59" s="4"/>
      <c r="BDK59" s="4"/>
      <c r="BDN59" s="4"/>
      <c r="BDO59" s="4"/>
      <c r="BDP59" s="4"/>
      <c r="BDQ59" s="4"/>
      <c r="BDR59" s="4"/>
      <c r="BDS59" s="4"/>
      <c r="BDT59" s="4"/>
      <c r="BDU59" s="4"/>
      <c r="BDV59" s="4"/>
      <c r="BDW59" s="4"/>
      <c r="BDZ59" s="4"/>
      <c r="BEA59" s="4"/>
      <c r="BEB59" s="4"/>
      <c r="BEC59" s="4"/>
      <c r="BED59" s="4"/>
      <c r="BEE59" s="4"/>
      <c r="BEF59" s="4"/>
      <c r="BEG59" s="4"/>
      <c r="BEH59" s="4"/>
      <c r="BEI59" s="4"/>
      <c r="BEL59" s="4"/>
      <c r="BEM59" s="4"/>
      <c r="BEN59" s="4"/>
      <c r="BEO59" s="4"/>
      <c r="BEP59" s="4"/>
      <c r="BEQ59" s="4"/>
      <c r="BER59" s="4"/>
      <c r="BES59" s="4"/>
      <c r="BET59" s="4"/>
      <c r="BEU59" s="4"/>
      <c r="BEX59" s="4"/>
      <c r="BEY59" s="4"/>
      <c r="BEZ59" s="4"/>
      <c r="BFA59" s="4"/>
      <c r="BFB59" s="4"/>
      <c r="BFC59" s="4"/>
      <c r="BFD59" s="4"/>
      <c r="BFE59" s="4"/>
      <c r="BFF59" s="4"/>
      <c r="BFG59" s="4"/>
      <c r="BFJ59" s="4"/>
      <c r="BFK59" s="4"/>
      <c r="BFL59" s="4"/>
      <c r="BFM59" s="4"/>
      <c r="BFN59" s="4"/>
      <c r="BFO59" s="4"/>
      <c r="BFP59" s="4"/>
      <c r="BFQ59" s="4"/>
      <c r="BFR59" s="4"/>
      <c r="BFS59" s="4"/>
      <c r="BFV59" s="4"/>
      <c r="BFW59" s="4"/>
      <c r="BFX59" s="4"/>
      <c r="BFY59" s="4"/>
      <c r="BFZ59" s="4"/>
      <c r="BGA59" s="4"/>
      <c r="BGB59" s="4"/>
      <c r="BGC59" s="4"/>
      <c r="BGD59" s="4"/>
      <c r="BGE59" s="4"/>
      <c r="BGH59" s="4"/>
      <c r="BGI59" s="4"/>
      <c r="BGJ59" s="4"/>
      <c r="BGK59" s="4"/>
      <c r="BGL59" s="4"/>
      <c r="BGM59" s="4"/>
      <c r="BGN59" s="4"/>
      <c r="BGO59" s="4"/>
      <c r="BGP59" s="4"/>
      <c r="BGQ59" s="4"/>
      <c r="BGT59" s="4"/>
      <c r="BGU59" s="4"/>
      <c r="BGV59" s="4"/>
      <c r="BGW59" s="4"/>
      <c r="BGX59" s="4"/>
      <c r="BGY59" s="4"/>
      <c r="BGZ59" s="4"/>
      <c r="BHA59" s="4"/>
      <c r="BHB59" s="4"/>
      <c r="BHC59" s="4"/>
      <c r="BHF59" s="4"/>
      <c r="BHG59" s="4"/>
      <c r="BHH59" s="4"/>
      <c r="BHI59" s="4"/>
      <c r="BHJ59" s="4"/>
      <c r="BHK59" s="4"/>
      <c r="BHL59" s="4"/>
      <c r="BHM59" s="4"/>
      <c r="BHN59" s="4"/>
      <c r="BHO59" s="4"/>
      <c r="BHR59" s="4"/>
      <c r="BHS59" s="4"/>
      <c r="BHT59" s="4"/>
      <c r="BHU59" s="4"/>
      <c r="BHV59" s="4"/>
      <c r="BHW59" s="4"/>
      <c r="BHX59" s="4"/>
      <c r="BHY59" s="4"/>
      <c r="BHZ59" s="4"/>
      <c r="BIA59" s="4"/>
      <c r="BID59" s="4"/>
      <c r="BIE59" s="4"/>
      <c r="BIF59" s="4"/>
      <c r="BIG59" s="4"/>
      <c r="BIH59" s="4"/>
      <c r="BII59" s="4"/>
      <c r="BIJ59" s="4"/>
      <c r="BIK59" s="4"/>
      <c r="BIL59" s="4"/>
      <c r="BIM59" s="4"/>
      <c r="BIP59" s="4"/>
      <c r="BIQ59" s="4"/>
      <c r="BIR59" s="4"/>
      <c r="BIS59" s="4"/>
      <c r="BIT59" s="4"/>
      <c r="BIU59" s="4"/>
      <c r="BIV59" s="4"/>
      <c r="BIW59" s="4"/>
      <c r="BIX59" s="4"/>
      <c r="BIY59" s="4"/>
      <c r="BJB59" s="4"/>
      <c r="BJC59" s="4"/>
      <c r="BJD59" s="4"/>
      <c r="BJE59" s="4"/>
      <c r="BJF59" s="4"/>
      <c r="BJG59" s="4"/>
      <c r="BJH59" s="4"/>
      <c r="BJI59" s="4"/>
      <c r="BJJ59" s="4"/>
      <c r="BJK59" s="4"/>
      <c r="BJN59" s="4"/>
      <c r="BJO59" s="4"/>
      <c r="BJP59" s="4"/>
      <c r="BJQ59" s="4"/>
      <c r="BJR59" s="4"/>
      <c r="BJS59" s="4"/>
      <c r="BJT59" s="4"/>
      <c r="BJU59" s="4"/>
      <c r="BJV59" s="4"/>
      <c r="BJW59" s="4"/>
      <c r="BJZ59" s="4"/>
      <c r="BKA59" s="4"/>
      <c r="BKB59" s="4"/>
      <c r="BKC59" s="4"/>
      <c r="BKD59" s="4"/>
      <c r="BKE59" s="4"/>
      <c r="BKF59" s="4"/>
      <c r="BKG59" s="4"/>
      <c r="BKH59" s="4"/>
      <c r="BKI59" s="4"/>
      <c r="BKL59" s="4"/>
      <c r="BKM59" s="4"/>
      <c r="BKN59" s="4"/>
      <c r="BKO59" s="4"/>
      <c r="BKP59" s="4"/>
      <c r="BKQ59" s="4"/>
      <c r="BKR59" s="4"/>
      <c r="BKS59" s="4"/>
      <c r="BKT59" s="4"/>
      <c r="BKU59" s="4"/>
      <c r="BKX59" s="4"/>
      <c r="BKY59" s="4"/>
      <c r="BKZ59" s="4"/>
      <c r="BLA59" s="4"/>
      <c r="BLB59" s="4"/>
      <c r="BLC59" s="4"/>
      <c r="BLD59" s="4"/>
      <c r="BLE59" s="4"/>
      <c r="BLF59" s="4"/>
      <c r="BLG59" s="4"/>
      <c r="BLJ59" s="4"/>
      <c r="BLK59" s="4"/>
      <c r="BLL59" s="4"/>
      <c r="BLM59" s="4"/>
      <c r="BLN59" s="4"/>
      <c r="BLO59" s="4"/>
      <c r="BLP59" s="4"/>
      <c r="BLQ59" s="4"/>
      <c r="BLR59" s="4"/>
      <c r="BLS59" s="4"/>
      <c r="BLV59" s="4"/>
      <c r="BLW59" s="4"/>
      <c r="BLX59" s="4"/>
      <c r="BLY59" s="4"/>
      <c r="BLZ59" s="4"/>
      <c r="BMA59" s="4"/>
      <c r="BMB59" s="4"/>
      <c r="BMC59" s="4"/>
      <c r="BMD59" s="4"/>
      <c r="BME59" s="4"/>
      <c r="BMH59" s="4"/>
      <c r="BMI59" s="4"/>
      <c r="BMJ59" s="4"/>
      <c r="BMK59" s="4"/>
      <c r="BML59" s="4"/>
      <c r="BMM59" s="4"/>
      <c r="BMN59" s="4"/>
      <c r="BMO59" s="4"/>
      <c r="BMP59" s="4"/>
      <c r="BMQ59" s="4"/>
      <c r="BMT59" s="4"/>
      <c r="BMU59" s="4"/>
      <c r="BMV59" s="4"/>
      <c r="BMW59" s="4"/>
      <c r="BMX59" s="4"/>
      <c r="BMY59" s="4"/>
      <c r="BMZ59" s="4"/>
      <c r="BNA59" s="4"/>
      <c r="BNB59" s="4"/>
      <c r="BNC59" s="4"/>
      <c r="BNF59" s="4"/>
      <c r="BNG59" s="4"/>
      <c r="BNH59" s="4"/>
      <c r="BNI59" s="4"/>
      <c r="BNJ59" s="4"/>
      <c r="BNK59" s="4"/>
      <c r="BNL59" s="4"/>
      <c r="BNM59" s="4"/>
      <c r="BNN59" s="4"/>
      <c r="BNO59" s="4"/>
      <c r="BNR59" s="4"/>
      <c r="BNS59" s="4"/>
      <c r="BNT59" s="4"/>
      <c r="BNU59" s="4"/>
      <c r="BNV59" s="4"/>
      <c r="BNW59" s="4"/>
      <c r="BNX59" s="4"/>
      <c r="BNY59" s="4"/>
      <c r="BNZ59" s="4"/>
      <c r="BOA59" s="4"/>
      <c r="BOD59" s="4"/>
      <c r="BOE59" s="4"/>
      <c r="BOF59" s="4"/>
      <c r="BOG59" s="4"/>
      <c r="BOH59" s="4"/>
      <c r="BOI59" s="4"/>
      <c r="BOJ59" s="4"/>
      <c r="BOK59" s="4"/>
      <c r="BOL59" s="4"/>
      <c r="BOM59" s="4"/>
      <c r="BOP59" s="4"/>
      <c r="BOQ59" s="4"/>
      <c r="BOR59" s="4"/>
      <c r="BOS59" s="4"/>
      <c r="BOT59" s="4"/>
      <c r="BOU59" s="4"/>
      <c r="BOV59" s="4"/>
      <c r="BOW59" s="4"/>
      <c r="BOX59" s="4"/>
      <c r="BOY59" s="4"/>
      <c r="BPB59" s="4"/>
      <c r="BPC59" s="4"/>
      <c r="BPD59" s="4"/>
      <c r="BPE59" s="4"/>
      <c r="BPF59" s="4"/>
      <c r="BPG59" s="4"/>
      <c r="BPH59" s="4"/>
      <c r="BPI59" s="4"/>
      <c r="BPJ59" s="4"/>
      <c r="BPK59" s="4"/>
      <c r="BPN59" s="4"/>
      <c r="BPO59" s="4"/>
      <c r="BPP59" s="4"/>
      <c r="BPQ59" s="4"/>
      <c r="BPR59" s="4"/>
      <c r="BPS59" s="4"/>
      <c r="BPT59" s="4"/>
      <c r="BPU59" s="4"/>
      <c r="BPV59" s="4"/>
      <c r="BPW59" s="4"/>
      <c r="BPZ59" s="4"/>
      <c r="BQA59" s="4"/>
      <c r="BQB59" s="4"/>
      <c r="BQC59" s="4"/>
      <c r="BQD59" s="4"/>
      <c r="BQE59" s="4"/>
      <c r="BQF59" s="4"/>
      <c r="BQG59" s="4"/>
      <c r="BQH59" s="4"/>
      <c r="BQI59" s="4"/>
      <c r="BQL59" s="4"/>
      <c r="BQM59" s="4"/>
      <c r="BQN59" s="4"/>
      <c r="BQO59" s="4"/>
      <c r="BQP59" s="4"/>
      <c r="BQQ59" s="4"/>
      <c r="BQR59" s="4"/>
      <c r="BQS59" s="4"/>
      <c r="BQT59" s="4"/>
      <c r="BQU59" s="4"/>
      <c r="BQX59" s="4"/>
      <c r="BQY59" s="4"/>
      <c r="BQZ59" s="4"/>
      <c r="BRA59" s="4"/>
      <c r="BRB59" s="4"/>
      <c r="BRC59" s="4"/>
      <c r="BRD59" s="4"/>
      <c r="BRE59" s="4"/>
      <c r="BRF59" s="4"/>
      <c r="BRG59" s="4"/>
      <c r="BRJ59" s="4"/>
      <c r="BRK59" s="4"/>
      <c r="BRL59" s="4"/>
      <c r="BRM59" s="4"/>
      <c r="BRN59" s="4"/>
      <c r="BRO59" s="4"/>
      <c r="BRP59" s="4"/>
      <c r="BRQ59" s="4"/>
      <c r="BRR59" s="4"/>
      <c r="BRS59" s="4"/>
      <c r="BRV59" s="4"/>
      <c r="BRW59" s="4"/>
      <c r="BRX59" s="4"/>
      <c r="BRY59" s="4"/>
      <c r="BRZ59" s="4"/>
      <c r="BSA59" s="4"/>
      <c r="BSB59" s="4"/>
      <c r="BSC59" s="4"/>
      <c r="BSD59" s="4"/>
      <c r="BSE59" s="4"/>
      <c r="BSH59" s="4"/>
      <c r="BSI59" s="4"/>
      <c r="BSJ59" s="4"/>
      <c r="BSK59" s="4"/>
      <c r="BSL59" s="4"/>
      <c r="BSM59" s="4"/>
      <c r="BSN59" s="4"/>
      <c r="BSO59" s="4"/>
      <c r="BSP59" s="4"/>
      <c r="BSQ59" s="4"/>
      <c r="BST59" s="4"/>
      <c r="BSU59" s="4"/>
      <c r="BSV59" s="4"/>
      <c r="BSW59" s="4"/>
      <c r="BSX59" s="4"/>
      <c r="BSY59" s="4"/>
      <c r="BSZ59" s="4"/>
      <c r="BTA59" s="4"/>
      <c r="BTB59" s="4"/>
      <c r="BTC59" s="4"/>
      <c r="BTF59" s="4"/>
      <c r="BTG59" s="4"/>
      <c r="BTH59" s="4"/>
      <c r="BTI59" s="4"/>
      <c r="BTJ59" s="4"/>
      <c r="BTK59" s="4"/>
      <c r="BTL59" s="4"/>
      <c r="BTM59" s="4"/>
      <c r="BTN59" s="4"/>
      <c r="BTO59" s="4"/>
      <c r="BTR59" s="4"/>
      <c r="BTS59" s="4"/>
      <c r="BTT59" s="4"/>
      <c r="BTU59" s="4"/>
      <c r="BTV59" s="4"/>
      <c r="BTW59" s="4"/>
      <c r="BTX59" s="4"/>
      <c r="BTY59" s="4"/>
      <c r="BTZ59" s="4"/>
      <c r="BUA59" s="4"/>
      <c r="BUD59" s="4"/>
      <c r="BUE59" s="4"/>
      <c r="BUF59" s="4"/>
      <c r="BUG59" s="4"/>
      <c r="BUH59" s="4"/>
      <c r="BUI59" s="4"/>
      <c r="BUJ59" s="4"/>
      <c r="BUK59" s="4"/>
      <c r="BUL59" s="4"/>
      <c r="BUM59" s="4"/>
      <c r="BUP59" s="4"/>
      <c r="BUQ59" s="4"/>
      <c r="BUR59" s="4"/>
      <c r="BUS59" s="4"/>
      <c r="BUT59" s="4"/>
      <c r="BUU59" s="4"/>
      <c r="BUV59" s="4"/>
      <c r="BUW59" s="4"/>
      <c r="BUX59" s="4"/>
      <c r="BUY59" s="4"/>
      <c r="BVB59" s="4"/>
      <c r="BVC59" s="4"/>
      <c r="BVD59" s="4"/>
      <c r="BVE59" s="4"/>
      <c r="BVF59" s="4"/>
      <c r="BVG59" s="4"/>
      <c r="BVH59" s="4"/>
      <c r="BVI59" s="4"/>
      <c r="BVJ59" s="4"/>
      <c r="BVK59" s="4"/>
      <c r="BVN59" s="4"/>
      <c r="BVO59" s="4"/>
      <c r="BVP59" s="4"/>
      <c r="BVQ59" s="4"/>
      <c r="BVR59" s="4"/>
      <c r="BVS59" s="4"/>
      <c r="BVT59" s="4"/>
      <c r="BVU59" s="4"/>
      <c r="BVV59" s="4"/>
      <c r="BVW59" s="4"/>
      <c r="BVZ59" s="4"/>
      <c r="BWA59" s="4"/>
      <c r="BWB59" s="4"/>
      <c r="BWC59" s="4"/>
      <c r="BWD59" s="4"/>
      <c r="BWE59" s="4"/>
      <c r="BWF59" s="4"/>
      <c r="BWG59" s="4"/>
      <c r="BWH59" s="4"/>
      <c r="BWI59" s="4"/>
      <c r="BWL59" s="4"/>
      <c r="BWM59" s="4"/>
      <c r="BWN59" s="4"/>
      <c r="BWO59" s="4"/>
      <c r="BWP59" s="4"/>
      <c r="BWQ59" s="4"/>
      <c r="BWR59" s="4"/>
      <c r="BWS59" s="4"/>
      <c r="BWT59" s="4"/>
      <c r="BWU59" s="4"/>
      <c r="BWX59" s="4"/>
      <c r="BWY59" s="4"/>
      <c r="BWZ59" s="4"/>
      <c r="BXA59" s="4"/>
      <c r="BXB59" s="4"/>
      <c r="BXC59" s="4"/>
      <c r="BXD59" s="4"/>
      <c r="BXE59" s="4"/>
      <c r="BXF59" s="4"/>
      <c r="BXG59" s="4"/>
      <c r="BXJ59" s="4"/>
      <c r="BXK59" s="4"/>
      <c r="BXL59" s="4"/>
      <c r="BXM59" s="4"/>
      <c r="BXN59" s="4"/>
      <c r="BXO59" s="4"/>
      <c r="BXP59" s="4"/>
      <c r="BXQ59" s="4"/>
      <c r="BXR59" s="4"/>
      <c r="BXS59" s="4"/>
      <c r="BXV59" s="4"/>
      <c r="BXW59" s="4"/>
      <c r="BXX59" s="4"/>
      <c r="BXY59" s="4"/>
      <c r="BXZ59" s="4"/>
      <c r="BYA59" s="4"/>
      <c r="BYB59" s="4"/>
      <c r="BYC59" s="4"/>
      <c r="BYD59" s="4"/>
      <c r="BYE59" s="4"/>
      <c r="BYH59" s="4"/>
      <c r="BYI59" s="4"/>
      <c r="BYJ59" s="4"/>
      <c r="BYK59" s="4"/>
      <c r="BYL59" s="4"/>
      <c r="BYM59" s="4"/>
      <c r="BYN59" s="4"/>
      <c r="BYO59" s="4"/>
      <c r="BYP59" s="4"/>
      <c r="BYQ59" s="4"/>
      <c r="BYT59" s="4"/>
      <c r="BYU59" s="4"/>
      <c r="BYV59" s="4"/>
      <c r="BYW59" s="4"/>
      <c r="BYX59" s="4"/>
      <c r="BYY59" s="4"/>
      <c r="BYZ59" s="4"/>
      <c r="BZA59" s="4"/>
      <c r="BZB59" s="4"/>
      <c r="BZC59" s="4"/>
      <c r="BZF59" s="4"/>
      <c r="BZG59" s="4"/>
      <c r="BZH59" s="4"/>
      <c r="BZI59" s="4"/>
      <c r="BZJ59" s="4"/>
      <c r="BZK59" s="4"/>
      <c r="BZL59" s="4"/>
      <c r="BZM59" s="4"/>
      <c r="BZN59" s="4"/>
      <c r="BZO59" s="4"/>
      <c r="BZR59" s="4"/>
      <c r="BZS59" s="4"/>
      <c r="BZT59" s="4"/>
      <c r="BZU59" s="4"/>
      <c r="BZV59" s="4"/>
      <c r="BZW59" s="4"/>
      <c r="BZX59" s="4"/>
      <c r="BZY59" s="4"/>
      <c r="BZZ59" s="4"/>
      <c r="CAA59" s="4"/>
      <c r="CAD59" s="4"/>
      <c r="CAE59" s="4"/>
      <c r="CAF59" s="4"/>
      <c r="CAG59" s="4"/>
      <c r="CAH59" s="4"/>
      <c r="CAI59" s="4"/>
      <c r="CAJ59" s="4"/>
      <c r="CAK59" s="4"/>
      <c r="CAL59" s="4"/>
      <c r="CAM59" s="4"/>
      <c r="CAP59" s="4"/>
      <c r="CAQ59" s="4"/>
      <c r="CAR59" s="4"/>
      <c r="CAS59" s="4"/>
      <c r="CAT59" s="4"/>
      <c r="CAU59" s="4"/>
      <c r="CAV59" s="4"/>
      <c r="CAW59" s="4"/>
      <c r="CAX59" s="4"/>
      <c r="CAY59" s="4"/>
      <c r="CBB59" s="4"/>
      <c r="CBC59" s="4"/>
      <c r="CBD59" s="4"/>
      <c r="CBE59" s="4"/>
      <c r="CBF59" s="4"/>
      <c r="CBG59" s="4"/>
      <c r="CBH59" s="4"/>
      <c r="CBI59" s="4"/>
      <c r="CBJ59" s="4"/>
      <c r="CBK59" s="4"/>
      <c r="CBN59" s="4"/>
      <c r="CBO59" s="4"/>
      <c r="CBP59" s="4"/>
      <c r="CBQ59" s="4"/>
      <c r="CBR59" s="4"/>
      <c r="CBS59" s="4"/>
      <c r="CBT59" s="4"/>
      <c r="CBU59" s="4"/>
      <c r="CBV59" s="4"/>
      <c r="CBW59" s="4"/>
      <c r="CBZ59" s="4"/>
      <c r="CCA59" s="4"/>
      <c r="CCB59" s="4"/>
      <c r="CCC59" s="4"/>
      <c r="CCD59" s="4"/>
      <c r="CCE59" s="4"/>
      <c r="CCF59" s="4"/>
      <c r="CCG59" s="4"/>
      <c r="CCH59" s="4"/>
      <c r="CCI59" s="4"/>
      <c r="CCL59" s="4"/>
      <c r="CCM59" s="4"/>
      <c r="CCN59" s="4"/>
      <c r="CCO59" s="4"/>
      <c r="CCP59" s="4"/>
      <c r="CCQ59" s="4"/>
      <c r="CCR59" s="4"/>
      <c r="CCS59" s="4"/>
      <c r="CCT59" s="4"/>
      <c r="CCU59" s="4"/>
      <c r="CCX59" s="4"/>
      <c r="CCY59" s="4"/>
      <c r="CCZ59" s="4"/>
      <c r="CDA59" s="4"/>
      <c r="CDB59" s="4"/>
      <c r="CDC59" s="4"/>
      <c r="CDD59" s="4"/>
      <c r="CDE59" s="4"/>
      <c r="CDF59" s="4"/>
      <c r="CDG59" s="4"/>
      <c r="CDJ59" s="4"/>
      <c r="CDK59" s="4"/>
      <c r="CDL59" s="4"/>
      <c r="CDM59" s="4"/>
      <c r="CDN59" s="4"/>
      <c r="CDO59" s="4"/>
      <c r="CDP59" s="4"/>
      <c r="CDQ59" s="4"/>
      <c r="CDR59" s="4"/>
      <c r="CDS59" s="4"/>
      <c r="CDV59" s="4"/>
      <c r="CDW59" s="4"/>
      <c r="CDX59" s="4"/>
      <c r="CDY59" s="4"/>
      <c r="CDZ59" s="4"/>
      <c r="CEA59" s="4"/>
      <c r="CEB59" s="4"/>
      <c r="CEC59" s="4"/>
      <c r="CED59" s="4"/>
      <c r="CEE59" s="4"/>
      <c r="CEH59" s="4"/>
      <c r="CEI59" s="4"/>
      <c r="CEJ59" s="4"/>
      <c r="CEK59" s="4"/>
      <c r="CEL59" s="4"/>
      <c r="CEM59" s="4"/>
      <c r="CEN59" s="4"/>
      <c r="CEO59" s="4"/>
      <c r="CEP59" s="4"/>
      <c r="CEQ59" s="4"/>
      <c r="CET59" s="4"/>
      <c r="CEU59" s="4"/>
      <c r="CEV59" s="4"/>
      <c r="CEW59" s="4"/>
      <c r="CEX59" s="4"/>
      <c r="CEY59" s="4"/>
      <c r="CEZ59" s="4"/>
      <c r="CFA59" s="4"/>
      <c r="CFB59" s="4"/>
      <c r="CFC59" s="4"/>
      <c r="CFF59" s="4"/>
      <c r="CFG59" s="4"/>
      <c r="CFH59" s="4"/>
      <c r="CFI59" s="4"/>
      <c r="CFJ59" s="4"/>
      <c r="CFK59" s="4"/>
      <c r="CFL59" s="4"/>
      <c r="CFM59" s="4"/>
      <c r="CFN59" s="4"/>
      <c r="CFO59" s="4"/>
      <c r="CFR59" s="4"/>
      <c r="CFS59" s="4"/>
      <c r="CFT59" s="4"/>
      <c r="CFU59" s="4"/>
      <c r="CFV59" s="4"/>
      <c r="CFW59" s="4"/>
      <c r="CFX59" s="4"/>
      <c r="CFY59" s="4"/>
      <c r="CFZ59" s="4"/>
      <c r="CGA59" s="4"/>
      <c r="CGD59" s="4"/>
      <c r="CGE59" s="4"/>
      <c r="CGF59" s="4"/>
      <c r="CGG59" s="4"/>
      <c r="CGH59" s="4"/>
      <c r="CGI59" s="4"/>
      <c r="CGJ59" s="4"/>
      <c r="CGK59" s="4"/>
      <c r="CGL59" s="4"/>
      <c r="CGM59" s="4"/>
      <c r="CGP59" s="4"/>
      <c r="CGQ59" s="4"/>
      <c r="CGR59" s="4"/>
      <c r="CGS59" s="4"/>
      <c r="CGT59" s="4"/>
      <c r="CGU59" s="4"/>
      <c r="CGV59" s="4"/>
      <c r="CGW59" s="4"/>
      <c r="CGX59" s="4"/>
      <c r="CGY59" s="4"/>
      <c r="CHB59" s="4"/>
      <c r="CHC59" s="4"/>
      <c r="CHD59" s="4"/>
      <c r="CHE59" s="4"/>
      <c r="CHF59" s="4"/>
      <c r="CHG59" s="4"/>
      <c r="CHH59" s="4"/>
      <c r="CHI59" s="4"/>
      <c r="CHJ59" s="4"/>
      <c r="CHK59" s="4"/>
      <c r="CHN59" s="4"/>
      <c r="CHO59" s="4"/>
      <c r="CHP59" s="4"/>
      <c r="CHQ59" s="4"/>
      <c r="CHR59" s="4"/>
      <c r="CHS59" s="4"/>
      <c r="CHT59" s="4"/>
      <c r="CHU59" s="4"/>
      <c r="CHV59" s="4"/>
      <c r="CHW59" s="4"/>
      <c r="CHZ59" s="4"/>
      <c r="CIA59" s="4"/>
      <c r="CIB59" s="4"/>
      <c r="CIC59" s="4"/>
      <c r="CID59" s="4"/>
      <c r="CIE59" s="4"/>
      <c r="CIF59" s="4"/>
      <c r="CIG59" s="4"/>
      <c r="CIH59" s="4"/>
      <c r="CII59" s="4"/>
      <c r="CIL59" s="4"/>
      <c r="CIM59" s="4"/>
      <c r="CIN59" s="4"/>
      <c r="CIO59" s="4"/>
      <c r="CIP59" s="4"/>
      <c r="CIQ59" s="4"/>
      <c r="CIR59" s="4"/>
      <c r="CIS59" s="4"/>
      <c r="CIT59" s="4"/>
      <c r="CIU59" s="4"/>
      <c r="CIX59" s="4"/>
      <c r="CIY59" s="4"/>
      <c r="CIZ59" s="4"/>
      <c r="CJA59" s="4"/>
      <c r="CJB59" s="4"/>
      <c r="CJC59" s="4"/>
      <c r="CJD59" s="4"/>
      <c r="CJE59" s="4"/>
      <c r="CJF59" s="4"/>
      <c r="CJG59" s="4"/>
      <c r="CJJ59" s="4"/>
      <c r="CJK59" s="4"/>
      <c r="CJL59" s="4"/>
      <c r="CJM59" s="4"/>
      <c r="CJN59" s="4"/>
      <c r="CJO59" s="4"/>
      <c r="CJP59" s="4"/>
      <c r="CJQ59" s="4"/>
      <c r="CJR59" s="4"/>
      <c r="CJS59" s="4"/>
      <c r="CJV59" s="4"/>
      <c r="CJW59" s="4"/>
      <c r="CJX59" s="4"/>
      <c r="CJY59" s="4"/>
      <c r="CJZ59" s="4"/>
      <c r="CKA59" s="4"/>
      <c r="CKB59" s="4"/>
      <c r="CKC59" s="4"/>
      <c r="CKD59" s="4"/>
      <c r="CKE59" s="4"/>
      <c r="CKH59" s="4"/>
      <c r="CKI59" s="4"/>
      <c r="CKJ59" s="4"/>
      <c r="CKK59" s="4"/>
      <c r="CKL59" s="4"/>
      <c r="CKM59" s="4"/>
      <c r="CKN59" s="4"/>
      <c r="CKO59" s="4"/>
      <c r="CKP59" s="4"/>
      <c r="CKQ59" s="4"/>
      <c r="CKT59" s="4"/>
      <c r="CKU59" s="4"/>
      <c r="CKV59" s="4"/>
      <c r="CKW59" s="4"/>
      <c r="CKX59" s="4"/>
      <c r="CKY59" s="4"/>
      <c r="CKZ59" s="4"/>
      <c r="CLA59" s="4"/>
      <c r="CLB59" s="4"/>
      <c r="CLC59" s="4"/>
      <c r="CLF59" s="4"/>
      <c r="CLG59" s="4"/>
      <c r="CLH59" s="4"/>
      <c r="CLI59" s="4"/>
      <c r="CLJ59" s="4"/>
      <c r="CLK59" s="4"/>
      <c r="CLL59" s="4"/>
      <c r="CLM59" s="4"/>
      <c r="CLN59" s="4"/>
      <c r="CLO59" s="4"/>
      <c r="CLR59" s="4"/>
      <c r="CLS59" s="4"/>
      <c r="CLT59" s="4"/>
      <c r="CLU59" s="4"/>
      <c r="CLV59" s="4"/>
      <c r="CLW59" s="4"/>
      <c r="CLX59" s="4"/>
      <c r="CLY59" s="4"/>
      <c r="CLZ59" s="4"/>
      <c r="CMA59" s="4"/>
      <c r="CMD59" s="4"/>
      <c r="CME59" s="4"/>
      <c r="CMF59" s="4"/>
      <c r="CMG59" s="4"/>
      <c r="CMH59" s="4"/>
      <c r="CMI59" s="4"/>
      <c r="CMJ59" s="4"/>
      <c r="CMK59" s="4"/>
      <c r="CML59" s="4"/>
      <c r="CMM59" s="4"/>
      <c r="CMP59" s="4"/>
      <c r="CMQ59" s="4"/>
      <c r="CMR59" s="4"/>
      <c r="CMS59" s="4"/>
      <c r="CMT59" s="4"/>
      <c r="CMU59" s="4"/>
      <c r="CMV59" s="4"/>
      <c r="CMW59" s="4"/>
      <c r="CMX59" s="4"/>
      <c r="CMY59" s="4"/>
      <c r="CNB59" s="4"/>
      <c r="CNC59" s="4"/>
      <c r="CND59" s="4"/>
      <c r="CNE59" s="4"/>
      <c r="CNF59" s="4"/>
      <c r="CNG59" s="4"/>
      <c r="CNH59" s="4"/>
      <c r="CNI59" s="4"/>
      <c r="CNJ59" s="4"/>
      <c r="CNK59" s="4"/>
      <c r="CNN59" s="4"/>
      <c r="CNO59" s="4"/>
      <c r="CNP59" s="4"/>
      <c r="CNQ59" s="4"/>
      <c r="CNR59" s="4"/>
      <c r="CNS59" s="4"/>
      <c r="CNT59" s="4"/>
      <c r="CNU59" s="4"/>
      <c r="CNV59" s="4"/>
      <c r="CNW59" s="4"/>
      <c r="CNZ59" s="4"/>
      <c r="COA59" s="4"/>
      <c r="COB59" s="4"/>
      <c r="COC59" s="4"/>
      <c r="COD59" s="4"/>
      <c r="COE59" s="4"/>
      <c r="COF59" s="4"/>
      <c r="COG59" s="4"/>
      <c r="COH59" s="4"/>
      <c r="COI59" s="4"/>
      <c r="COL59" s="4"/>
      <c r="COM59" s="4"/>
      <c r="CON59" s="4"/>
      <c r="COO59" s="4"/>
      <c r="COP59" s="4"/>
      <c r="COQ59" s="4"/>
      <c r="COR59" s="4"/>
      <c r="COS59" s="4"/>
      <c r="COT59" s="4"/>
      <c r="COU59" s="4"/>
      <c r="COX59" s="4"/>
      <c r="COY59" s="4"/>
      <c r="COZ59" s="4"/>
      <c r="CPA59" s="4"/>
      <c r="CPB59" s="4"/>
      <c r="CPC59" s="4"/>
      <c r="CPD59" s="4"/>
      <c r="CPE59" s="4"/>
      <c r="CPF59" s="4"/>
      <c r="CPG59" s="4"/>
      <c r="CPJ59" s="4"/>
      <c r="CPK59" s="4"/>
      <c r="CPL59" s="4"/>
      <c r="CPM59" s="4"/>
      <c r="CPN59" s="4"/>
      <c r="CPO59" s="4"/>
      <c r="CPP59" s="4"/>
      <c r="CPQ59" s="4"/>
      <c r="CPR59" s="4"/>
      <c r="CPS59" s="4"/>
      <c r="CPV59" s="4"/>
      <c r="CPW59" s="4"/>
      <c r="CPX59" s="4"/>
      <c r="CPY59" s="4"/>
      <c r="CPZ59" s="4"/>
      <c r="CQA59" s="4"/>
      <c r="CQB59" s="4"/>
      <c r="CQC59" s="4"/>
      <c r="CQD59" s="4"/>
      <c r="CQE59" s="4"/>
      <c r="CQH59" s="4"/>
      <c r="CQI59" s="4"/>
      <c r="CQJ59" s="4"/>
      <c r="CQK59" s="4"/>
      <c r="CQL59" s="4"/>
      <c r="CQM59" s="4"/>
      <c r="CQN59" s="4"/>
      <c r="CQO59" s="4"/>
      <c r="CQP59" s="4"/>
      <c r="CQQ59" s="4"/>
      <c r="CQT59" s="4"/>
      <c r="CQU59" s="4"/>
      <c r="CQV59" s="4"/>
      <c r="CQW59" s="4"/>
      <c r="CQX59" s="4"/>
      <c r="CQY59" s="4"/>
      <c r="CQZ59" s="4"/>
      <c r="CRA59" s="4"/>
      <c r="CRB59" s="4"/>
      <c r="CRC59" s="4"/>
      <c r="CRF59" s="4"/>
      <c r="CRG59" s="4"/>
      <c r="CRH59" s="4"/>
      <c r="CRI59" s="4"/>
      <c r="CRJ59" s="4"/>
      <c r="CRK59" s="4"/>
      <c r="CRL59" s="4"/>
      <c r="CRM59" s="4"/>
      <c r="CRN59" s="4"/>
      <c r="CRO59" s="4"/>
      <c r="CRR59" s="4"/>
      <c r="CRS59" s="4"/>
      <c r="CRT59" s="4"/>
      <c r="CRU59" s="4"/>
      <c r="CRV59" s="4"/>
      <c r="CRW59" s="4"/>
      <c r="CRX59" s="4"/>
      <c r="CRY59" s="4"/>
      <c r="CRZ59" s="4"/>
      <c r="CSA59" s="4"/>
      <c r="CSD59" s="4"/>
      <c r="CSE59" s="4"/>
      <c r="CSF59" s="4"/>
      <c r="CSG59" s="4"/>
      <c r="CSH59" s="4"/>
      <c r="CSI59" s="4"/>
      <c r="CSJ59" s="4"/>
      <c r="CSK59" s="4"/>
      <c r="CSL59" s="4"/>
      <c r="CSM59" s="4"/>
      <c r="CSP59" s="4"/>
      <c r="CSQ59" s="4"/>
      <c r="CSR59" s="4"/>
      <c r="CSS59" s="4"/>
      <c r="CST59" s="4"/>
      <c r="CSU59" s="4"/>
      <c r="CSV59" s="4"/>
      <c r="CSW59" s="4"/>
      <c r="CSX59" s="4"/>
      <c r="CSY59" s="4"/>
      <c r="CTB59" s="4"/>
      <c r="CTC59" s="4"/>
      <c r="CTD59" s="4"/>
      <c r="CTE59" s="4"/>
      <c r="CTF59" s="4"/>
      <c r="CTG59" s="4"/>
      <c r="CTH59" s="4"/>
      <c r="CTI59" s="4"/>
      <c r="CTJ59" s="4"/>
      <c r="CTK59" s="4"/>
      <c r="CTN59" s="4"/>
      <c r="CTO59" s="4"/>
      <c r="CTP59" s="4"/>
      <c r="CTQ59" s="4"/>
      <c r="CTR59" s="4"/>
      <c r="CTS59" s="4"/>
      <c r="CTT59" s="4"/>
      <c r="CTU59" s="4"/>
      <c r="CTV59" s="4"/>
      <c r="CTW59" s="4"/>
      <c r="CTZ59" s="4"/>
      <c r="CUA59" s="4"/>
      <c r="CUB59" s="4"/>
      <c r="CUC59" s="4"/>
      <c r="CUD59" s="4"/>
      <c r="CUE59" s="4"/>
      <c r="CUF59" s="4"/>
      <c r="CUG59" s="4"/>
      <c r="CUH59" s="4"/>
      <c r="CUI59" s="4"/>
      <c r="CUL59" s="4"/>
      <c r="CUM59" s="4"/>
      <c r="CUN59" s="4"/>
      <c r="CUO59" s="4"/>
      <c r="CUP59" s="4"/>
      <c r="CUQ59" s="4"/>
      <c r="CUR59" s="4"/>
      <c r="CUS59" s="4"/>
      <c r="CUT59" s="4"/>
      <c r="CUU59" s="4"/>
      <c r="CUX59" s="4"/>
      <c r="CUY59" s="4"/>
      <c r="CUZ59" s="4"/>
      <c r="CVA59" s="4"/>
      <c r="CVB59" s="4"/>
      <c r="CVC59" s="4"/>
      <c r="CVD59" s="4"/>
      <c r="CVE59" s="4"/>
      <c r="CVF59" s="4"/>
      <c r="CVG59" s="4"/>
      <c r="CVJ59" s="4"/>
      <c r="CVK59" s="4"/>
      <c r="CVL59" s="4"/>
      <c r="CVM59" s="4"/>
      <c r="CVN59" s="4"/>
      <c r="CVO59" s="4"/>
      <c r="CVP59" s="4"/>
      <c r="CVQ59" s="4"/>
      <c r="CVR59" s="4"/>
      <c r="CVS59" s="4"/>
      <c r="CVV59" s="4"/>
      <c r="CVW59" s="4"/>
      <c r="CVX59" s="4"/>
      <c r="CVY59" s="4"/>
      <c r="CVZ59" s="4"/>
      <c r="CWA59" s="4"/>
      <c r="CWB59" s="4"/>
      <c r="CWC59" s="4"/>
      <c r="CWD59" s="4"/>
      <c r="CWE59" s="4"/>
    </row>
    <row r="60" spans="2:1023 1026:2631" x14ac:dyDescent="0.25">
      <c r="ZY60" s="4"/>
      <c r="ZZ60" s="4"/>
      <c r="AAA60" s="4"/>
      <c r="AAB60" s="4"/>
      <c r="AAC60" s="4"/>
      <c r="AAD60" s="4"/>
      <c r="AAE60" s="4"/>
      <c r="AAF60" s="4"/>
      <c r="AAG60" s="4"/>
      <c r="AAH60" s="4"/>
      <c r="AAI60" s="4"/>
      <c r="AAJ60" s="4"/>
      <c r="AAL60" s="4"/>
      <c r="AAM60" s="4"/>
      <c r="AAN60" s="4"/>
      <c r="AAO60" s="4"/>
      <c r="AAP60" s="4"/>
      <c r="AAQ60" s="4"/>
      <c r="AAR60" s="4"/>
      <c r="AAS60" s="4"/>
      <c r="AAT60" s="4"/>
      <c r="AAU60" s="4"/>
      <c r="AAV60" s="4"/>
      <c r="AAY60" s="4"/>
      <c r="AAZ60" s="4"/>
      <c r="ABA60" s="4"/>
      <c r="ABB60" s="4"/>
      <c r="ABC60" s="4"/>
      <c r="ABD60" s="4"/>
      <c r="ABE60" s="4"/>
      <c r="ABF60" s="4"/>
      <c r="ABG60" s="4"/>
      <c r="ABH60" s="4"/>
      <c r="ABI60" s="4"/>
      <c r="ABL60" s="4"/>
      <c r="ABM60" s="4"/>
      <c r="ABN60" s="4"/>
      <c r="ABO60" s="4"/>
      <c r="ABP60" s="4"/>
      <c r="ABQ60" s="4"/>
      <c r="ABR60" s="4"/>
      <c r="ABS60" s="4"/>
      <c r="ABT60" s="4"/>
      <c r="ABU60" s="4"/>
      <c r="ABV60" s="4"/>
      <c r="ABY60" s="4"/>
      <c r="ABZ60" s="4"/>
      <c r="ACA60" s="4"/>
      <c r="ACB60" s="4"/>
      <c r="ACC60" s="4"/>
      <c r="ACD60" s="4"/>
      <c r="ACE60" s="4"/>
      <c r="ACF60" s="4"/>
      <c r="ACG60" s="4"/>
      <c r="ACH60" s="4"/>
      <c r="ACI60" s="4"/>
      <c r="ACL60" s="4"/>
      <c r="ACM60" s="4"/>
      <c r="ACN60" s="4"/>
      <c r="ACO60" s="4"/>
      <c r="ACP60" s="4"/>
      <c r="ACQ60" s="4"/>
      <c r="ACR60" s="4"/>
      <c r="ACS60" s="4"/>
      <c r="ACT60" s="4"/>
      <c r="ACU60" s="4"/>
      <c r="ACV60" s="4"/>
      <c r="ACY60" s="4"/>
      <c r="ACZ60" s="4"/>
      <c r="ADA60" s="4"/>
      <c r="ADB60" s="4"/>
      <c r="ADC60" s="4"/>
      <c r="ADD60" s="4"/>
      <c r="ADE60" s="4"/>
      <c r="ADF60" s="4"/>
      <c r="ADG60" s="4"/>
      <c r="ADH60" s="4"/>
      <c r="ADI60" s="4"/>
      <c r="ADL60" s="4"/>
      <c r="ADM60" s="4"/>
      <c r="ADN60" s="4"/>
      <c r="ADO60" s="4"/>
      <c r="ADP60" s="4"/>
      <c r="ADQ60" s="4"/>
      <c r="ADR60" s="4"/>
      <c r="ADS60" s="4"/>
      <c r="ADT60" s="4"/>
      <c r="ADU60" s="4"/>
      <c r="ADV60" s="4"/>
      <c r="ADY60" s="4"/>
      <c r="ADZ60" s="4"/>
      <c r="AEA60" s="4"/>
      <c r="AEB60" s="4"/>
      <c r="AEC60" s="4"/>
      <c r="AED60" s="4"/>
      <c r="AEE60" s="4"/>
      <c r="AEF60" s="4"/>
      <c r="AEG60" s="4"/>
      <c r="AEH60" s="4"/>
      <c r="AEI60" s="4"/>
      <c r="AEL60" s="4"/>
      <c r="AEM60" s="4"/>
      <c r="AEN60" s="4"/>
      <c r="AEO60" s="4"/>
      <c r="AEP60" s="4"/>
      <c r="AEQ60" s="4"/>
      <c r="AER60" s="4"/>
      <c r="AES60" s="4"/>
      <c r="AET60" s="4"/>
      <c r="AEU60" s="4"/>
      <c r="AEV60" s="4"/>
      <c r="AEY60" s="4"/>
      <c r="AEZ60" s="4"/>
      <c r="AFA60" s="4"/>
      <c r="AFB60" s="4"/>
      <c r="AFC60" s="4"/>
      <c r="AFD60" s="4"/>
      <c r="AFE60" s="4"/>
      <c r="AFF60" s="4"/>
      <c r="AFG60" s="4"/>
      <c r="AFH60" s="4"/>
      <c r="AFI60" s="4"/>
      <c r="AFL60" s="4"/>
      <c r="AFM60" s="4"/>
      <c r="AFN60" s="4"/>
      <c r="AFO60" s="4"/>
      <c r="AFP60" s="4"/>
      <c r="AFQ60" s="4"/>
      <c r="AFR60" s="4"/>
      <c r="AFS60" s="4"/>
      <c r="AFT60" s="4"/>
      <c r="AFU60" s="4"/>
      <c r="AFV60" s="4"/>
      <c r="AFZ60" s="4"/>
      <c r="AGA60" s="4"/>
      <c r="AGB60" s="4"/>
      <c r="AGC60" s="4"/>
      <c r="AGD60" s="4"/>
      <c r="AGE60" s="4"/>
      <c r="AGF60" s="4"/>
      <c r="AGG60" s="4"/>
      <c r="AGH60" s="4"/>
      <c r="AGI60" s="4"/>
      <c r="AGL60" s="4"/>
      <c r="AGM60" s="4"/>
      <c r="AGN60" s="4"/>
      <c r="AGO60" s="4"/>
      <c r="AGP60" s="4"/>
      <c r="AGQ60" s="4"/>
      <c r="AGR60" s="4"/>
      <c r="AGS60" s="4"/>
      <c r="AGT60" s="4"/>
      <c r="AGU60" s="4"/>
      <c r="AGX60" s="4"/>
      <c r="AGY60" s="4"/>
      <c r="AGZ60" s="4"/>
      <c r="AHA60" s="4"/>
      <c r="AHB60" s="4"/>
      <c r="AHC60" s="4"/>
      <c r="AHD60" s="4"/>
      <c r="AHE60" s="4"/>
      <c r="AHF60" s="4"/>
      <c r="AHG60" s="4"/>
      <c r="AHJ60" s="4"/>
      <c r="AHK60" s="4"/>
      <c r="AHL60" s="4"/>
      <c r="AHM60" s="4"/>
      <c r="AHN60" s="4"/>
      <c r="AHO60" s="4"/>
      <c r="AHP60" s="4"/>
      <c r="AHQ60" s="4"/>
      <c r="AHR60" s="4"/>
      <c r="AHS60" s="4"/>
      <c r="AHV60" s="4"/>
      <c r="AHW60" s="4"/>
      <c r="AHX60" s="4"/>
      <c r="AHY60" s="4"/>
      <c r="AHZ60" s="4"/>
      <c r="AIA60" s="4"/>
      <c r="AIB60" s="4"/>
      <c r="AIC60" s="4"/>
      <c r="AID60" s="4"/>
      <c r="AIE60" s="4"/>
      <c r="AIH60" s="4"/>
      <c r="AII60" s="4"/>
      <c r="AIJ60" s="4"/>
      <c r="AIK60" s="4"/>
      <c r="AIL60" s="4"/>
      <c r="AIM60" s="4"/>
      <c r="AIN60" s="4"/>
      <c r="AIO60" s="4"/>
      <c r="AIP60" s="4"/>
      <c r="AIQ60" s="4"/>
      <c r="AIT60" s="4"/>
      <c r="AIU60" s="4"/>
      <c r="AIV60" s="4"/>
      <c r="AIW60" s="4"/>
      <c r="AIX60" s="4"/>
      <c r="AIY60" s="4"/>
      <c r="AIZ60" s="4"/>
      <c r="AJA60" s="4"/>
      <c r="AJB60" s="4"/>
      <c r="AJC60" s="4"/>
      <c r="AJF60" s="4"/>
      <c r="AJG60" s="4"/>
      <c r="AJH60" s="4"/>
      <c r="AJI60" s="4"/>
      <c r="AJJ60" s="4"/>
      <c r="AJK60" s="4"/>
      <c r="AJL60" s="4"/>
      <c r="AJM60" s="4"/>
      <c r="AJN60" s="4"/>
      <c r="AJO60" s="4"/>
      <c r="AJR60" s="4"/>
      <c r="AJS60" s="4"/>
      <c r="AJT60" s="4"/>
      <c r="AJU60" s="4"/>
      <c r="AJV60" s="4"/>
      <c r="AJW60" s="4"/>
      <c r="AJX60" s="4"/>
      <c r="AJY60" s="4"/>
      <c r="AJZ60" s="4"/>
      <c r="AKA60" s="4"/>
      <c r="AKD60" s="4"/>
      <c r="AKE60" s="4"/>
      <c r="AKF60" s="4"/>
      <c r="AKG60" s="4"/>
      <c r="AKH60" s="4"/>
      <c r="AKI60" s="4"/>
      <c r="AKJ60" s="4"/>
      <c r="AKK60" s="4"/>
      <c r="AKL60" s="4"/>
      <c r="AKM60" s="4"/>
      <c r="AKP60" s="4"/>
      <c r="AKQ60" s="4"/>
      <c r="AKR60" s="4"/>
      <c r="AKS60" s="4"/>
      <c r="AKT60" s="4"/>
      <c r="AKU60" s="4"/>
      <c r="AKV60" s="4"/>
      <c r="AKW60" s="4"/>
      <c r="AKX60" s="4"/>
      <c r="AKY60" s="4"/>
      <c r="ALB60" s="4"/>
      <c r="ALC60" s="4"/>
      <c r="ALD60" s="4"/>
      <c r="ALE60" s="4"/>
      <c r="ALF60" s="4"/>
      <c r="ALG60" s="4"/>
      <c r="ALH60" s="4"/>
      <c r="ALI60" s="4"/>
      <c r="ALJ60" s="4"/>
      <c r="ALK60" s="4"/>
      <c r="ALN60" s="4"/>
      <c r="ALO60" s="4"/>
      <c r="ALP60" s="4"/>
      <c r="ALQ60" s="4"/>
      <c r="ALR60" s="4"/>
      <c r="ALS60" s="4"/>
      <c r="ALT60" s="4"/>
      <c r="ALU60" s="4"/>
      <c r="ALV60" s="4"/>
      <c r="ALW60" s="4"/>
      <c r="ALZ60" s="4"/>
      <c r="AMA60" s="4"/>
      <c r="AMB60" s="4"/>
      <c r="AMC60" s="4"/>
      <c r="AMD60" s="4"/>
      <c r="AME60" s="4"/>
      <c r="AMF60" s="4"/>
      <c r="AMG60" s="4"/>
      <c r="AMH60" s="4"/>
      <c r="AMI60" s="4"/>
      <c r="AML60" s="4"/>
      <c r="AMM60" s="4"/>
      <c r="AMN60" s="4"/>
      <c r="AMO60" s="4"/>
      <c r="AMP60" s="4"/>
      <c r="AMQ60" s="4"/>
      <c r="AMR60" s="4"/>
      <c r="AMS60" s="4"/>
      <c r="AMT60" s="4"/>
      <c r="AMU60" s="4"/>
      <c r="AMX60" s="4"/>
      <c r="AMY60" s="4"/>
      <c r="AMZ60" s="4"/>
      <c r="ANA60" s="4"/>
      <c r="ANB60" s="4"/>
      <c r="ANC60" s="4"/>
      <c r="AND60" s="4"/>
      <c r="ANE60" s="4"/>
      <c r="ANF60" s="4"/>
      <c r="ANG60" s="4"/>
      <c r="ANJ60" s="4"/>
      <c r="ANK60" s="4"/>
      <c r="ANL60" s="4"/>
      <c r="ANM60" s="4"/>
      <c r="ANN60" s="4"/>
      <c r="ANO60" s="4"/>
      <c r="ANP60" s="4"/>
      <c r="ANQ60" s="4"/>
      <c r="ANR60" s="4"/>
      <c r="ANS60" s="4"/>
      <c r="ANV60" s="4"/>
      <c r="ANW60" s="4"/>
      <c r="ANX60" s="4"/>
      <c r="ANY60" s="4"/>
      <c r="ANZ60" s="4"/>
      <c r="AOA60" s="4"/>
      <c r="AOB60" s="4"/>
      <c r="AOC60" s="4"/>
      <c r="AOD60" s="4"/>
      <c r="AOE60" s="4"/>
      <c r="AOH60" s="4"/>
      <c r="AOI60" s="4"/>
      <c r="AOJ60" s="4"/>
      <c r="AOK60" s="4"/>
      <c r="AOL60" s="4"/>
      <c r="AOM60" s="4"/>
      <c r="AON60" s="4"/>
      <c r="AOO60" s="4"/>
      <c r="AOP60" s="4"/>
      <c r="AOQ60" s="4"/>
      <c r="AOT60" s="4"/>
      <c r="AOU60" s="4"/>
      <c r="AOV60" s="4"/>
      <c r="AOW60" s="4"/>
      <c r="AOX60" s="4"/>
      <c r="AOY60" s="4"/>
      <c r="AOZ60" s="4"/>
      <c r="APA60" s="4"/>
      <c r="APB60" s="4"/>
      <c r="APC60" s="4"/>
      <c r="APF60" s="4"/>
      <c r="APG60" s="4"/>
      <c r="APH60" s="4"/>
      <c r="API60" s="4"/>
      <c r="APJ60" s="4"/>
      <c r="APK60" s="4"/>
      <c r="APL60" s="4"/>
      <c r="APM60" s="4"/>
      <c r="APN60" s="4"/>
      <c r="APO60" s="4"/>
      <c r="APR60" s="4"/>
      <c r="APS60" s="4"/>
      <c r="APT60" s="4"/>
      <c r="APU60" s="4"/>
      <c r="APV60" s="4"/>
      <c r="APW60" s="4"/>
      <c r="APX60" s="4"/>
      <c r="APY60" s="4"/>
      <c r="APZ60" s="4"/>
      <c r="AQA60" s="4"/>
      <c r="AQD60" s="4"/>
      <c r="AQE60" s="4"/>
      <c r="AQF60" s="4"/>
      <c r="AQG60" s="4"/>
      <c r="AQH60" s="4"/>
      <c r="AQI60" s="4"/>
      <c r="AQJ60" s="4"/>
      <c r="AQK60" s="4"/>
      <c r="AQL60" s="4"/>
      <c r="AQM60" s="4"/>
      <c r="AQP60" s="4"/>
      <c r="AQQ60" s="4"/>
      <c r="AQR60" s="4"/>
      <c r="AQS60" s="4"/>
      <c r="AQT60" s="4"/>
      <c r="AQU60" s="4"/>
      <c r="AQV60" s="4"/>
      <c r="AQW60" s="4"/>
      <c r="AQX60" s="4"/>
      <c r="AQY60" s="4"/>
      <c r="ARB60" s="4"/>
      <c r="ARC60" s="4"/>
      <c r="ARD60" s="4"/>
      <c r="ARE60" s="4"/>
      <c r="ARF60" s="4"/>
      <c r="ARG60" s="4"/>
      <c r="ARH60" s="4"/>
      <c r="ARI60" s="4"/>
      <c r="ARJ60" s="4"/>
      <c r="ARK60" s="4"/>
      <c r="ARN60" s="4"/>
      <c r="ARO60" s="4"/>
      <c r="ARP60" s="4"/>
      <c r="ARQ60" s="4"/>
      <c r="ARR60" s="4"/>
      <c r="ARS60" s="4"/>
      <c r="ART60" s="4"/>
      <c r="ARU60" s="4"/>
      <c r="ARV60" s="4"/>
      <c r="ARW60" s="4"/>
      <c r="ARZ60" s="4"/>
      <c r="ASA60" s="4"/>
      <c r="ASB60" s="4"/>
      <c r="ASC60" s="4"/>
      <c r="ASD60" s="4"/>
      <c r="ASE60" s="4"/>
      <c r="ASF60" s="4"/>
      <c r="ASG60" s="4"/>
      <c r="ASH60" s="4"/>
      <c r="ASI60" s="4"/>
      <c r="ASL60" s="4"/>
      <c r="ASM60" s="4"/>
      <c r="ASN60" s="4"/>
      <c r="ASO60" s="4"/>
      <c r="ASP60" s="4"/>
      <c r="ASQ60" s="4"/>
      <c r="ASR60" s="4"/>
      <c r="ASS60" s="4"/>
      <c r="AST60" s="4"/>
      <c r="ASU60" s="4"/>
      <c r="ASX60" s="4"/>
      <c r="ASY60" s="4"/>
      <c r="ASZ60" s="4"/>
      <c r="ATA60" s="4"/>
      <c r="ATB60" s="4"/>
      <c r="ATC60" s="4"/>
      <c r="ATD60" s="4"/>
      <c r="ATE60" s="4"/>
      <c r="ATF60" s="4"/>
      <c r="ATG60" s="4"/>
      <c r="ATJ60" s="4"/>
      <c r="ATK60" s="4"/>
      <c r="ATL60" s="4"/>
      <c r="ATM60" s="4"/>
      <c r="ATN60" s="4"/>
      <c r="ATO60" s="4"/>
      <c r="ATP60" s="4"/>
      <c r="ATQ60" s="4"/>
      <c r="ATR60" s="4"/>
      <c r="ATS60" s="4"/>
      <c r="ATV60" s="4"/>
      <c r="ATW60" s="4"/>
      <c r="ATX60" s="4"/>
      <c r="ATY60" s="4"/>
      <c r="ATZ60" s="4"/>
      <c r="AUA60" s="4"/>
      <c r="AUB60" s="4"/>
      <c r="AUC60" s="4"/>
      <c r="AUD60" s="4"/>
      <c r="AUE60" s="4"/>
      <c r="AUH60" s="4"/>
      <c r="AUI60" s="4"/>
      <c r="AUJ60" s="4"/>
      <c r="AUK60" s="4"/>
      <c r="AUL60" s="4"/>
      <c r="AUM60" s="4"/>
      <c r="AUN60" s="4"/>
      <c r="AUO60" s="4"/>
      <c r="AUP60" s="4"/>
      <c r="AUQ60" s="4"/>
      <c r="AUT60" s="4"/>
      <c r="AUU60" s="4"/>
      <c r="AUV60" s="4"/>
      <c r="AUW60" s="4"/>
      <c r="AUX60" s="4"/>
      <c r="AUY60" s="4"/>
      <c r="AUZ60" s="4"/>
      <c r="AVA60" s="4"/>
      <c r="AVB60" s="4"/>
      <c r="AVC60" s="4"/>
      <c r="AVF60" s="4"/>
      <c r="AVG60" s="4"/>
      <c r="AVH60" s="4"/>
      <c r="AVI60" s="4"/>
      <c r="AVJ60" s="4"/>
      <c r="AVK60" s="4"/>
      <c r="AVL60" s="4"/>
      <c r="AVM60" s="4"/>
      <c r="AVN60" s="4"/>
      <c r="AVO60" s="4"/>
      <c r="AVR60" s="4"/>
      <c r="AVS60" s="4"/>
      <c r="AVT60" s="4"/>
      <c r="AVU60" s="4"/>
      <c r="AVV60" s="4"/>
      <c r="AVW60" s="4"/>
      <c r="AVX60" s="4"/>
      <c r="AVY60" s="4"/>
      <c r="AVZ60" s="4"/>
      <c r="AWA60" s="4"/>
      <c r="AWD60" s="4"/>
      <c r="AWE60" s="4"/>
      <c r="AWF60" s="4"/>
      <c r="AWG60" s="4"/>
      <c r="AWH60" s="4"/>
      <c r="AWI60" s="4"/>
      <c r="AWJ60" s="4"/>
      <c r="AWK60" s="4"/>
      <c r="AWL60" s="4"/>
      <c r="AWM60" s="4"/>
      <c r="AWP60" s="4"/>
      <c r="AWQ60" s="4"/>
      <c r="AWR60" s="4"/>
      <c r="AWS60" s="4"/>
      <c r="AWT60" s="4"/>
      <c r="AWU60" s="4"/>
      <c r="AWV60" s="4"/>
      <c r="AWW60" s="4"/>
      <c r="AWX60" s="4"/>
      <c r="AWY60" s="4"/>
      <c r="AXB60" s="4"/>
      <c r="AXC60" s="4"/>
      <c r="AXD60" s="4"/>
      <c r="AXE60" s="4"/>
      <c r="AXF60" s="4"/>
      <c r="AXG60" s="4"/>
      <c r="AXH60" s="4"/>
      <c r="AXI60" s="4"/>
      <c r="AXJ60" s="4"/>
      <c r="AXK60" s="4"/>
      <c r="AXN60" s="4"/>
      <c r="AXO60" s="4"/>
      <c r="AXP60" s="4"/>
      <c r="AXQ60" s="4"/>
      <c r="AXR60" s="4"/>
      <c r="AXS60" s="4"/>
      <c r="AXT60" s="4"/>
      <c r="AXU60" s="4"/>
      <c r="AXV60" s="4"/>
      <c r="AXW60" s="4"/>
      <c r="AXZ60" s="4"/>
      <c r="AYA60" s="4"/>
      <c r="AYB60" s="4"/>
      <c r="AYC60" s="4"/>
      <c r="AYD60" s="4"/>
      <c r="AYE60" s="4"/>
      <c r="AYF60" s="4"/>
      <c r="AYG60" s="4"/>
      <c r="AYH60" s="4"/>
      <c r="AYI60" s="4"/>
      <c r="AYL60" s="4"/>
      <c r="AYM60" s="4"/>
      <c r="AYN60" s="4"/>
      <c r="AYO60" s="4"/>
      <c r="AYP60" s="4"/>
      <c r="AYQ60" s="4"/>
      <c r="AYR60" s="4"/>
      <c r="AYS60" s="4"/>
      <c r="AYT60" s="4"/>
      <c r="AYU60" s="4"/>
      <c r="AYX60" s="4"/>
      <c r="AYY60" s="4"/>
      <c r="AYZ60" s="4"/>
      <c r="AZA60" s="4"/>
      <c r="AZB60" s="4"/>
      <c r="AZC60" s="4"/>
      <c r="AZD60" s="4"/>
      <c r="AZE60" s="4"/>
      <c r="AZF60" s="4"/>
      <c r="AZG60" s="4"/>
      <c r="AZJ60" s="4"/>
      <c r="AZK60" s="4"/>
      <c r="AZL60" s="4"/>
      <c r="AZM60" s="4"/>
      <c r="AZN60" s="4"/>
      <c r="AZO60" s="4"/>
      <c r="AZP60" s="4"/>
      <c r="AZQ60" s="4"/>
      <c r="AZR60" s="4"/>
      <c r="AZS60" s="4"/>
      <c r="AZV60" s="4"/>
      <c r="AZW60" s="4"/>
      <c r="AZX60" s="4"/>
      <c r="AZY60" s="4"/>
      <c r="AZZ60" s="4"/>
      <c r="BAA60" s="4"/>
      <c r="BAB60" s="4"/>
      <c r="BAC60" s="4"/>
      <c r="BAD60" s="4"/>
      <c r="BAE60" s="4"/>
      <c r="BAH60" s="4"/>
      <c r="BAI60" s="4"/>
      <c r="BAJ60" s="4"/>
      <c r="BAK60" s="4"/>
      <c r="BAL60" s="4"/>
      <c r="BAM60" s="4"/>
      <c r="BAN60" s="4"/>
      <c r="BAO60" s="4"/>
      <c r="BAP60" s="4"/>
      <c r="BAQ60" s="4"/>
      <c r="BAT60" s="4"/>
      <c r="BAU60" s="4"/>
      <c r="BAV60" s="4"/>
      <c r="BAW60" s="4"/>
      <c r="BAX60" s="4"/>
      <c r="BAY60" s="4"/>
      <c r="BAZ60" s="4"/>
      <c r="BBA60" s="4"/>
      <c r="BBB60" s="4"/>
      <c r="BBC60" s="4"/>
      <c r="BBF60" s="4"/>
      <c r="BBG60" s="4"/>
      <c r="BBH60" s="4"/>
      <c r="BBI60" s="4"/>
      <c r="BBJ60" s="4"/>
      <c r="BBK60" s="4"/>
      <c r="BBL60" s="4"/>
      <c r="BBM60" s="4"/>
      <c r="BBN60" s="4"/>
      <c r="BBO60" s="4"/>
      <c r="BBR60" s="4"/>
      <c r="BBS60" s="4"/>
      <c r="BBT60" s="4"/>
      <c r="BBU60" s="4"/>
      <c r="BBV60" s="4"/>
      <c r="BBW60" s="4"/>
      <c r="BBX60" s="4"/>
      <c r="BBY60" s="4"/>
      <c r="BBZ60" s="4"/>
      <c r="BCA60" s="4"/>
      <c r="BCD60" s="4"/>
      <c r="BCE60" s="4"/>
      <c r="BCF60" s="4"/>
      <c r="BCG60" s="4"/>
      <c r="BCH60" s="4"/>
      <c r="BCI60" s="4"/>
      <c r="BCJ60" s="4"/>
      <c r="BCK60" s="4"/>
      <c r="BCL60" s="4"/>
      <c r="BCM60" s="4"/>
      <c r="BCP60" s="4"/>
      <c r="BCQ60" s="4"/>
      <c r="BCR60" s="4"/>
      <c r="BCS60" s="4"/>
      <c r="BCT60" s="4"/>
      <c r="BCU60" s="4"/>
      <c r="BCV60" s="4"/>
      <c r="BCW60" s="4"/>
      <c r="BCX60" s="4"/>
      <c r="BCY60" s="4"/>
      <c r="BDB60" s="4"/>
      <c r="BDC60" s="4"/>
      <c r="BDD60" s="4"/>
      <c r="BDE60" s="4"/>
      <c r="BDF60" s="4"/>
      <c r="BDG60" s="4"/>
      <c r="BDH60" s="4"/>
      <c r="BDI60" s="4"/>
      <c r="BDJ60" s="4"/>
      <c r="BDK60" s="4"/>
      <c r="BDN60" s="4"/>
      <c r="BDO60" s="4"/>
      <c r="BDP60" s="4"/>
      <c r="BDQ60" s="4"/>
      <c r="BDR60" s="4"/>
      <c r="BDS60" s="4"/>
      <c r="BDT60" s="4"/>
      <c r="BDU60" s="4"/>
      <c r="BDV60" s="4"/>
      <c r="BDW60" s="4"/>
      <c r="BDZ60" s="4"/>
      <c r="BEA60" s="4"/>
      <c r="BEB60" s="4"/>
      <c r="BEC60" s="4"/>
      <c r="BED60" s="4"/>
      <c r="BEE60" s="4"/>
      <c r="BEF60" s="4"/>
      <c r="BEG60" s="4"/>
      <c r="BEH60" s="4"/>
      <c r="BEI60" s="4"/>
      <c r="BEL60" s="4"/>
      <c r="BEM60" s="4"/>
      <c r="BEN60" s="4"/>
      <c r="BEO60" s="4"/>
      <c r="BEP60" s="4"/>
      <c r="BEQ60" s="4"/>
      <c r="BER60" s="4"/>
      <c r="BES60" s="4"/>
      <c r="BET60" s="4"/>
      <c r="BEU60" s="4"/>
      <c r="BEX60" s="4"/>
      <c r="BEY60" s="4"/>
      <c r="BEZ60" s="4"/>
      <c r="BFA60" s="4"/>
      <c r="BFB60" s="4"/>
      <c r="BFC60" s="4"/>
      <c r="BFD60" s="4"/>
      <c r="BFE60" s="4"/>
      <c r="BFF60" s="4"/>
      <c r="BFG60" s="4"/>
      <c r="BFJ60" s="4"/>
      <c r="BFK60" s="4"/>
      <c r="BFL60" s="4"/>
      <c r="BFM60" s="4"/>
      <c r="BFN60" s="4"/>
      <c r="BFO60" s="4"/>
      <c r="BFP60" s="4"/>
      <c r="BFQ60" s="4"/>
      <c r="BFR60" s="4"/>
      <c r="BFS60" s="4"/>
      <c r="BFV60" s="4"/>
      <c r="BFW60" s="4"/>
      <c r="BFX60" s="4"/>
      <c r="BFY60" s="4"/>
      <c r="BFZ60" s="4"/>
      <c r="BGA60" s="4"/>
      <c r="BGB60" s="4"/>
      <c r="BGC60" s="4"/>
      <c r="BGD60" s="4"/>
      <c r="BGE60" s="4"/>
      <c r="BGH60" s="4"/>
      <c r="BGI60" s="4"/>
      <c r="BGJ60" s="4"/>
      <c r="BGK60" s="4"/>
      <c r="BGL60" s="4"/>
      <c r="BGM60" s="4"/>
      <c r="BGN60" s="4"/>
      <c r="BGO60" s="4"/>
      <c r="BGP60" s="4"/>
      <c r="BGQ60" s="4"/>
      <c r="BGT60" s="4"/>
      <c r="BGU60" s="4"/>
      <c r="BGV60" s="4"/>
      <c r="BGW60" s="4"/>
      <c r="BGX60" s="4"/>
      <c r="BGY60" s="4"/>
      <c r="BGZ60" s="4"/>
      <c r="BHA60" s="4"/>
      <c r="BHB60" s="4"/>
      <c r="BHC60" s="4"/>
      <c r="BHF60" s="4"/>
      <c r="BHG60" s="4"/>
      <c r="BHH60" s="4"/>
      <c r="BHI60" s="4"/>
      <c r="BHJ60" s="4"/>
      <c r="BHK60" s="4"/>
      <c r="BHL60" s="4"/>
      <c r="BHM60" s="4"/>
      <c r="BHN60" s="4"/>
      <c r="BHO60" s="4"/>
      <c r="BHR60" s="4"/>
      <c r="BHS60" s="4"/>
      <c r="BHT60" s="4"/>
      <c r="BHU60" s="4"/>
      <c r="BHV60" s="4"/>
      <c r="BHW60" s="4"/>
      <c r="BHX60" s="4"/>
      <c r="BHY60" s="4"/>
      <c r="BHZ60" s="4"/>
      <c r="BIA60" s="4"/>
      <c r="BID60" s="4"/>
      <c r="BIE60" s="4"/>
      <c r="BIF60" s="4"/>
      <c r="BIG60" s="4"/>
      <c r="BIH60" s="4"/>
      <c r="BII60" s="4"/>
      <c r="BIJ60" s="4"/>
      <c r="BIK60" s="4"/>
      <c r="BIL60" s="4"/>
      <c r="BIM60" s="4"/>
      <c r="BIP60" s="4"/>
      <c r="BIQ60" s="4"/>
      <c r="BIR60" s="4"/>
      <c r="BIS60" s="4"/>
      <c r="BIT60" s="4"/>
      <c r="BIU60" s="4"/>
      <c r="BIV60" s="4"/>
      <c r="BIW60" s="4"/>
      <c r="BIX60" s="4"/>
      <c r="BIY60" s="4"/>
      <c r="BJB60" s="4"/>
      <c r="BJC60" s="4"/>
      <c r="BJD60" s="4"/>
      <c r="BJE60" s="4"/>
      <c r="BJF60" s="4"/>
      <c r="BJG60" s="4"/>
      <c r="BJH60" s="4"/>
      <c r="BJI60" s="4"/>
      <c r="BJJ60" s="4"/>
      <c r="BJK60" s="4"/>
      <c r="BJN60" s="4"/>
      <c r="BJO60" s="4"/>
      <c r="BJP60" s="4"/>
      <c r="BJQ60" s="4"/>
      <c r="BJR60" s="4"/>
      <c r="BJS60" s="4"/>
      <c r="BJT60" s="4"/>
      <c r="BJU60" s="4"/>
      <c r="BJV60" s="4"/>
      <c r="BJW60" s="4"/>
      <c r="BJZ60" s="4"/>
      <c r="BKA60" s="4"/>
      <c r="BKB60" s="4"/>
      <c r="BKC60" s="4"/>
      <c r="BKD60" s="4"/>
      <c r="BKE60" s="4"/>
      <c r="BKF60" s="4"/>
      <c r="BKG60" s="4"/>
      <c r="BKH60" s="4"/>
      <c r="BKI60" s="4"/>
      <c r="BKL60" s="4"/>
      <c r="BKM60" s="4"/>
      <c r="BKN60" s="4"/>
      <c r="BKO60" s="4"/>
      <c r="BKP60" s="4"/>
      <c r="BKQ60" s="4"/>
      <c r="BKR60" s="4"/>
      <c r="BKS60" s="4"/>
      <c r="BKT60" s="4"/>
      <c r="BKU60" s="4"/>
      <c r="BKX60" s="4"/>
      <c r="BKY60" s="4"/>
      <c r="BKZ60" s="4"/>
      <c r="BLA60" s="4"/>
      <c r="BLB60" s="4"/>
      <c r="BLC60" s="4"/>
      <c r="BLD60" s="4"/>
      <c r="BLE60" s="4"/>
      <c r="BLF60" s="4"/>
      <c r="BLG60" s="4"/>
      <c r="BLJ60" s="4"/>
      <c r="BLK60" s="4"/>
      <c r="BLL60" s="4"/>
      <c r="BLM60" s="4"/>
      <c r="BLN60" s="4"/>
      <c r="BLO60" s="4"/>
      <c r="BLP60" s="4"/>
      <c r="BLQ60" s="4"/>
      <c r="BLR60" s="4"/>
      <c r="BLS60" s="4"/>
      <c r="BLV60" s="4"/>
      <c r="BLW60" s="4"/>
      <c r="BLX60" s="4"/>
      <c r="BLY60" s="4"/>
      <c r="BLZ60" s="4"/>
      <c r="BMA60" s="4"/>
      <c r="BMB60" s="4"/>
      <c r="BMC60" s="4"/>
      <c r="BMD60" s="4"/>
      <c r="BME60" s="4"/>
      <c r="BMH60" s="4"/>
      <c r="BMI60" s="4"/>
      <c r="BMJ60" s="4"/>
      <c r="BMK60" s="4"/>
      <c r="BML60" s="4"/>
      <c r="BMM60" s="4"/>
      <c r="BMN60" s="4"/>
      <c r="BMO60" s="4"/>
      <c r="BMP60" s="4"/>
      <c r="BMQ60" s="4"/>
      <c r="BMT60" s="4"/>
      <c r="BMU60" s="4"/>
      <c r="BMV60" s="4"/>
      <c r="BMW60" s="4"/>
      <c r="BMX60" s="4"/>
      <c r="BMY60" s="4"/>
      <c r="BMZ60" s="4"/>
      <c r="BNA60" s="4"/>
      <c r="BNB60" s="4"/>
      <c r="BNC60" s="4"/>
      <c r="BNF60" s="4"/>
      <c r="BNG60" s="4"/>
      <c r="BNH60" s="4"/>
      <c r="BNI60" s="4"/>
      <c r="BNJ60" s="4"/>
      <c r="BNK60" s="4"/>
      <c r="BNL60" s="4"/>
      <c r="BNM60" s="4"/>
      <c r="BNN60" s="4"/>
      <c r="BNO60" s="4"/>
      <c r="BNR60" s="4"/>
      <c r="BNS60" s="4"/>
      <c r="BNT60" s="4"/>
      <c r="BNU60" s="4"/>
      <c r="BNV60" s="4"/>
      <c r="BNW60" s="4"/>
      <c r="BNX60" s="4"/>
      <c r="BNY60" s="4"/>
      <c r="BNZ60" s="4"/>
      <c r="BOA60" s="4"/>
      <c r="BOD60" s="4"/>
      <c r="BOE60" s="4"/>
      <c r="BOF60" s="4"/>
      <c r="BOG60" s="4"/>
      <c r="BOH60" s="4"/>
      <c r="BOI60" s="4"/>
      <c r="BOJ60" s="4"/>
      <c r="BOK60" s="4"/>
      <c r="BOL60" s="4"/>
      <c r="BOM60" s="4"/>
      <c r="BOP60" s="4"/>
      <c r="BOQ60" s="4"/>
      <c r="BOR60" s="4"/>
      <c r="BOS60" s="4"/>
      <c r="BOT60" s="4"/>
      <c r="BOU60" s="4"/>
      <c r="BOV60" s="4"/>
      <c r="BOW60" s="4"/>
      <c r="BOX60" s="4"/>
      <c r="BOY60" s="4"/>
      <c r="BPB60" s="4"/>
      <c r="BPC60" s="4"/>
      <c r="BPD60" s="4"/>
      <c r="BPE60" s="4"/>
      <c r="BPF60" s="4"/>
      <c r="BPG60" s="4"/>
      <c r="BPH60" s="4"/>
      <c r="BPI60" s="4"/>
      <c r="BPJ60" s="4"/>
      <c r="BPK60" s="4"/>
      <c r="BPN60" s="4"/>
      <c r="BPO60" s="4"/>
      <c r="BPP60" s="4"/>
      <c r="BPQ60" s="4"/>
      <c r="BPR60" s="4"/>
      <c r="BPS60" s="4"/>
      <c r="BPT60" s="4"/>
      <c r="BPU60" s="4"/>
      <c r="BPV60" s="4"/>
      <c r="BPW60" s="4"/>
      <c r="BPZ60" s="4"/>
      <c r="BQA60" s="4"/>
      <c r="BQB60" s="4"/>
      <c r="BQC60" s="4"/>
      <c r="BQD60" s="4"/>
      <c r="BQE60" s="4"/>
      <c r="BQF60" s="4"/>
      <c r="BQG60" s="4"/>
      <c r="BQH60" s="4"/>
      <c r="BQI60" s="4"/>
      <c r="BQL60" s="4"/>
      <c r="BQM60" s="4"/>
      <c r="BQN60" s="4"/>
      <c r="BQO60" s="4"/>
      <c r="BQP60" s="4"/>
      <c r="BQQ60" s="4"/>
      <c r="BQR60" s="4"/>
      <c r="BQS60" s="4"/>
      <c r="BQT60" s="4"/>
      <c r="BQU60" s="4"/>
      <c r="BQX60" s="4"/>
      <c r="BQY60" s="4"/>
      <c r="BQZ60" s="4"/>
      <c r="BRA60" s="4"/>
      <c r="BRB60" s="4"/>
      <c r="BRC60" s="4"/>
      <c r="BRD60" s="4"/>
      <c r="BRE60" s="4"/>
      <c r="BRF60" s="4"/>
      <c r="BRG60" s="4"/>
      <c r="BRJ60" s="4"/>
      <c r="BRK60" s="4"/>
      <c r="BRL60" s="4"/>
      <c r="BRM60" s="4"/>
      <c r="BRN60" s="4"/>
      <c r="BRO60" s="4"/>
      <c r="BRP60" s="4"/>
      <c r="BRQ60" s="4"/>
      <c r="BRR60" s="4"/>
      <c r="BRS60" s="4"/>
      <c r="BRV60" s="4"/>
      <c r="BRW60" s="4"/>
      <c r="BRX60" s="4"/>
      <c r="BRY60" s="4"/>
      <c r="BRZ60" s="4"/>
      <c r="BSA60" s="4"/>
      <c r="BSB60" s="4"/>
      <c r="BSC60" s="4"/>
      <c r="BSD60" s="4"/>
      <c r="BSE60" s="4"/>
      <c r="BSH60" s="4"/>
      <c r="BSI60" s="4"/>
      <c r="BSJ60" s="4"/>
      <c r="BSK60" s="4"/>
      <c r="BSL60" s="4"/>
      <c r="BSM60" s="4"/>
      <c r="BSN60" s="4"/>
      <c r="BSO60" s="4"/>
      <c r="BSP60" s="4"/>
      <c r="BSQ60" s="4"/>
      <c r="BST60" s="4"/>
      <c r="BSU60" s="4"/>
      <c r="BSV60" s="4"/>
      <c r="BSW60" s="4"/>
      <c r="BSX60" s="4"/>
      <c r="BSY60" s="4"/>
      <c r="BSZ60" s="4"/>
      <c r="BTA60" s="4"/>
      <c r="BTB60" s="4"/>
      <c r="BTC60" s="4"/>
      <c r="BTF60" s="4"/>
      <c r="BTG60" s="4"/>
      <c r="BTH60" s="4"/>
      <c r="BTI60" s="4"/>
      <c r="BTJ60" s="4"/>
      <c r="BTK60" s="4"/>
      <c r="BTL60" s="4"/>
      <c r="BTM60" s="4"/>
      <c r="BTN60" s="4"/>
      <c r="BTO60" s="4"/>
      <c r="BTR60" s="4"/>
      <c r="BTS60" s="4"/>
      <c r="BTT60" s="4"/>
      <c r="BTU60" s="4"/>
      <c r="BTV60" s="4"/>
      <c r="BTW60" s="4"/>
      <c r="BTX60" s="4"/>
      <c r="BTY60" s="4"/>
      <c r="BTZ60" s="4"/>
      <c r="BUA60" s="4"/>
      <c r="BUD60" s="4"/>
      <c r="BUE60" s="4"/>
      <c r="BUF60" s="4"/>
      <c r="BUG60" s="4"/>
      <c r="BUH60" s="4"/>
      <c r="BUI60" s="4"/>
      <c r="BUJ60" s="4"/>
      <c r="BUK60" s="4"/>
      <c r="BUL60" s="4"/>
      <c r="BUM60" s="4"/>
      <c r="BUP60" s="4"/>
      <c r="BUQ60" s="4"/>
      <c r="BUR60" s="4"/>
      <c r="BUS60" s="4"/>
      <c r="BUT60" s="4"/>
      <c r="BUU60" s="4"/>
      <c r="BUV60" s="4"/>
      <c r="BUW60" s="4"/>
      <c r="BUX60" s="4"/>
      <c r="BUY60" s="4"/>
      <c r="BVB60" s="4"/>
      <c r="BVC60" s="4"/>
      <c r="BVD60" s="4"/>
      <c r="BVE60" s="4"/>
      <c r="BVF60" s="4"/>
      <c r="BVG60" s="4"/>
      <c r="BVH60" s="4"/>
      <c r="BVI60" s="4"/>
      <c r="BVJ60" s="4"/>
      <c r="BVK60" s="4"/>
      <c r="BVN60" s="4"/>
      <c r="BVO60" s="4"/>
      <c r="BVP60" s="4"/>
      <c r="BVQ60" s="4"/>
      <c r="BVR60" s="4"/>
      <c r="BVS60" s="4"/>
      <c r="BVT60" s="4"/>
      <c r="BVU60" s="4"/>
      <c r="BVV60" s="4"/>
      <c r="BVW60" s="4"/>
      <c r="BVZ60" s="4"/>
      <c r="BWA60" s="4"/>
      <c r="BWB60" s="4"/>
      <c r="BWC60" s="4"/>
      <c r="BWD60" s="4"/>
      <c r="BWE60" s="4"/>
      <c r="BWF60" s="4"/>
      <c r="BWG60" s="4"/>
      <c r="BWH60" s="4"/>
      <c r="BWI60" s="4"/>
      <c r="BWL60" s="4"/>
      <c r="BWM60" s="4"/>
      <c r="BWN60" s="4"/>
      <c r="BWO60" s="4"/>
      <c r="BWP60" s="4"/>
      <c r="BWQ60" s="4"/>
      <c r="BWR60" s="4"/>
      <c r="BWS60" s="4"/>
      <c r="BWT60" s="4"/>
      <c r="BWU60" s="4"/>
      <c r="BWX60" s="4"/>
      <c r="BWY60" s="4"/>
      <c r="BWZ60" s="4"/>
      <c r="BXA60" s="4"/>
      <c r="BXB60" s="4"/>
      <c r="BXC60" s="4"/>
      <c r="BXD60" s="4"/>
      <c r="BXE60" s="4"/>
      <c r="BXF60" s="4"/>
      <c r="BXG60" s="4"/>
      <c r="BXJ60" s="4"/>
      <c r="BXK60" s="4"/>
      <c r="BXL60" s="4"/>
      <c r="BXM60" s="4"/>
      <c r="BXN60" s="4"/>
      <c r="BXO60" s="4"/>
      <c r="BXP60" s="4"/>
      <c r="BXQ60" s="4"/>
      <c r="BXR60" s="4"/>
      <c r="BXS60" s="4"/>
      <c r="BXV60" s="4"/>
      <c r="BXW60" s="4"/>
      <c r="BXX60" s="4"/>
      <c r="BXY60" s="4"/>
      <c r="BXZ60" s="4"/>
      <c r="BYA60" s="4"/>
      <c r="BYB60" s="4"/>
      <c r="BYC60" s="4"/>
      <c r="BYD60" s="4"/>
      <c r="BYE60" s="4"/>
      <c r="BYH60" s="4"/>
      <c r="BYI60" s="4"/>
      <c r="BYJ60" s="4"/>
      <c r="BYK60" s="4"/>
      <c r="BYL60" s="4"/>
      <c r="BYM60" s="4"/>
      <c r="BYN60" s="4"/>
      <c r="BYO60" s="4"/>
      <c r="BYP60" s="4"/>
      <c r="BYQ60" s="4"/>
      <c r="BYT60" s="4"/>
      <c r="BYU60" s="4"/>
      <c r="BYV60" s="4"/>
      <c r="BYW60" s="4"/>
      <c r="BYX60" s="4"/>
      <c r="BYY60" s="4"/>
      <c r="BYZ60" s="4"/>
      <c r="BZA60" s="4"/>
      <c r="BZB60" s="4"/>
      <c r="BZC60" s="4"/>
      <c r="BZF60" s="4"/>
      <c r="BZG60" s="4"/>
      <c r="BZH60" s="4"/>
      <c r="BZI60" s="4"/>
      <c r="BZJ60" s="4"/>
      <c r="BZK60" s="4"/>
      <c r="BZL60" s="4"/>
      <c r="BZM60" s="4"/>
      <c r="BZN60" s="4"/>
      <c r="BZO60" s="4"/>
      <c r="BZR60" s="4"/>
      <c r="BZS60" s="4"/>
      <c r="BZT60" s="4"/>
      <c r="BZU60" s="4"/>
      <c r="BZV60" s="4"/>
      <c r="BZW60" s="4"/>
      <c r="BZX60" s="4"/>
      <c r="BZY60" s="4"/>
      <c r="BZZ60" s="4"/>
      <c r="CAA60" s="4"/>
      <c r="CAD60" s="4"/>
      <c r="CAE60" s="4"/>
      <c r="CAF60" s="4"/>
      <c r="CAG60" s="4"/>
      <c r="CAH60" s="4"/>
      <c r="CAI60" s="4"/>
      <c r="CAJ60" s="4"/>
      <c r="CAK60" s="4"/>
      <c r="CAL60" s="4"/>
      <c r="CAM60" s="4"/>
      <c r="CAP60" s="4"/>
      <c r="CAQ60" s="4"/>
      <c r="CAR60" s="4"/>
      <c r="CAS60" s="4"/>
      <c r="CAT60" s="4"/>
      <c r="CAU60" s="4"/>
      <c r="CAV60" s="4"/>
      <c r="CAW60" s="4"/>
      <c r="CAX60" s="4"/>
      <c r="CAY60" s="4"/>
      <c r="CBB60" s="4"/>
      <c r="CBC60" s="4"/>
      <c r="CBD60" s="4"/>
      <c r="CBE60" s="4"/>
      <c r="CBF60" s="4"/>
      <c r="CBG60" s="4"/>
      <c r="CBH60" s="4"/>
      <c r="CBI60" s="4"/>
      <c r="CBJ60" s="4"/>
      <c r="CBK60" s="4"/>
      <c r="CBN60" s="4"/>
      <c r="CBO60" s="4"/>
      <c r="CBP60" s="4"/>
      <c r="CBQ60" s="4"/>
      <c r="CBR60" s="4"/>
      <c r="CBS60" s="4"/>
      <c r="CBT60" s="4"/>
      <c r="CBU60" s="4"/>
      <c r="CBV60" s="4"/>
      <c r="CBW60" s="4"/>
      <c r="CBZ60" s="4"/>
      <c r="CCA60" s="4"/>
      <c r="CCB60" s="4"/>
      <c r="CCC60" s="4"/>
      <c r="CCD60" s="4"/>
      <c r="CCE60" s="4"/>
      <c r="CCF60" s="4"/>
      <c r="CCG60" s="4"/>
      <c r="CCH60" s="4"/>
      <c r="CCI60" s="4"/>
      <c r="CCL60" s="4"/>
      <c r="CCM60" s="4"/>
      <c r="CCN60" s="4"/>
      <c r="CCO60" s="4"/>
      <c r="CCP60" s="4"/>
      <c r="CCQ60" s="4"/>
      <c r="CCR60" s="4"/>
      <c r="CCS60" s="4"/>
      <c r="CCT60" s="4"/>
      <c r="CCU60" s="4"/>
      <c r="CCX60" s="4"/>
      <c r="CCY60" s="4"/>
      <c r="CCZ60" s="4"/>
      <c r="CDA60" s="4"/>
      <c r="CDB60" s="4"/>
      <c r="CDC60" s="4"/>
      <c r="CDD60" s="4"/>
      <c r="CDE60" s="4"/>
      <c r="CDF60" s="4"/>
      <c r="CDG60" s="4"/>
      <c r="CDJ60" s="4"/>
      <c r="CDK60" s="4"/>
      <c r="CDL60" s="4"/>
      <c r="CDM60" s="4"/>
      <c r="CDN60" s="4"/>
      <c r="CDO60" s="4"/>
      <c r="CDP60" s="4"/>
      <c r="CDQ60" s="4"/>
      <c r="CDR60" s="4"/>
      <c r="CDS60" s="4"/>
      <c r="CDV60" s="4"/>
      <c r="CDW60" s="4"/>
      <c r="CDX60" s="4"/>
      <c r="CDY60" s="4"/>
      <c r="CDZ60" s="4"/>
      <c r="CEA60" s="4"/>
      <c r="CEB60" s="4"/>
      <c r="CEC60" s="4"/>
      <c r="CED60" s="4"/>
      <c r="CEE60" s="4"/>
      <c r="CEH60" s="4"/>
      <c r="CEI60" s="4"/>
      <c r="CEJ60" s="4"/>
      <c r="CEK60" s="4"/>
      <c r="CEL60" s="4"/>
      <c r="CEM60" s="4"/>
      <c r="CEN60" s="4"/>
      <c r="CEO60" s="4"/>
      <c r="CEP60" s="4"/>
      <c r="CEQ60" s="4"/>
      <c r="CET60" s="4"/>
      <c r="CEU60" s="4"/>
      <c r="CEV60" s="4"/>
      <c r="CEW60" s="4"/>
      <c r="CEX60" s="4"/>
      <c r="CEY60" s="4"/>
      <c r="CEZ60" s="4"/>
      <c r="CFA60" s="4"/>
      <c r="CFB60" s="4"/>
      <c r="CFC60" s="4"/>
      <c r="CFF60" s="4"/>
      <c r="CFG60" s="4"/>
      <c r="CFH60" s="4"/>
      <c r="CFI60" s="4"/>
      <c r="CFJ60" s="4"/>
      <c r="CFK60" s="4"/>
      <c r="CFL60" s="4"/>
      <c r="CFM60" s="4"/>
      <c r="CFN60" s="4"/>
      <c r="CFO60" s="4"/>
      <c r="CFR60" s="4"/>
      <c r="CFS60" s="4"/>
      <c r="CFT60" s="4"/>
      <c r="CFU60" s="4"/>
      <c r="CFV60" s="4"/>
      <c r="CFW60" s="4"/>
      <c r="CFX60" s="4"/>
      <c r="CFY60" s="4"/>
      <c r="CFZ60" s="4"/>
      <c r="CGA60" s="4"/>
      <c r="CGD60" s="4"/>
      <c r="CGE60" s="4"/>
      <c r="CGF60" s="4"/>
      <c r="CGG60" s="4"/>
      <c r="CGH60" s="4"/>
      <c r="CGI60" s="4"/>
      <c r="CGJ60" s="4"/>
      <c r="CGK60" s="4"/>
      <c r="CGL60" s="4"/>
      <c r="CGM60" s="4"/>
      <c r="CGP60" s="4"/>
      <c r="CGQ60" s="4"/>
      <c r="CGR60" s="4"/>
      <c r="CGS60" s="4"/>
      <c r="CGT60" s="4"/>
      <c r="CGU60" s="4"/>
      <c r="CGV60" s="4"/>
      <c r="CGW60" s="4"/>
      <c r="CGX60" s="4"/>
      <c r="CGY60" s="4"/>
      <c r="CHB60" s="4"/>
      <c r="CHC60" s="4"/>
      <c r="CHD60" s="4"/>
      <c r="CHE60" s="4"/>
      <c r="CHF60" s="4"/>
      <c r="CHG60" s="4"/>
      <c r="CHH60" s="4"/>
      <c r="CHI60" s="4"/>
      <c r="CHJ60" s="4"/>
      <c r="CHK60" s="4"/>
      <c r="CHN60" s="4"/>
      <c r="CHO60" s="4"/>
      <c r="CHP60" s="4"/>
      <c r="CHQ60" s="4"/>
      <c r="CHR60" s="4"/>
      <c r="CHS60" s="4"/>
      <c r="CHT60" s="4"/>
      <c r="CHU60" s="4"/>
      <c r="CHV60" s="4"/>
      <c r="CHW60" s="4"/>
      <c r="CHZ60" s="4"/>
      <c r="CIA60" s="4"/>
      <c r="CIB60" s="4"/>
      <c r="CIC60" s="4"/>
      <c r="CID60" s="4"/>
      <c r="CIE60" s="4"/>
      <c r="CIF60" s="4"/>
      <c r="CIG60" s="4"/>
      <c r="CIH60" s="4"/>
      <c r="CII60" s="4"/>
      <c r="CIL60" s="4"/>
      <c r="CIM60" s="4"/>
      <c r="CIN60" s="4"/>
      <c r="CIO60" s="4"/>
      <c r="CIP60" s="4"/>
      <c r="CIQ60" s="4"/>
      <c r="CIR60" s="4"/>
      <c r="CIS60" s="4"/>
      <c r="CIT60" s="4"/>
      <c r="CIU60" s="4"/>
      <c r="CIX60" s="4"/>
      <c r="CIY60" s="4"/>
      <c r="CIZ60" s="4"/>
      <c r="CJA60" s="4"/>
      <c r="CJB60" s="4"/>
      <c r="CJC60" s="4"/>
      <c r="CJD60" s="4"/>
      <c r="CJE60" s="4"/>
      <c r="CJF60" s="4"/>
      <c r="CJG60" s="4"/>
      <c r="CJJ60" s="4"/>
      <c r="CJK60" s="4"/>
      <c r="CJL60" s="4"/>
      <c r="CJM60" s="4"/>
      <c r="CJN60" s="4"/>
      <c r="CJO60" s="4"/>
      <c r="CJP60" s="4"/>
      <c r="CJQ60" s="4"/>
      <c r="CJR60" s="4"/>
      <c r="CJS60" s="4"/>
      <c r="CJV60" s="4"/>
      <c r="CJW60" s="4"/>
      <c r="CJX60" s="4"/>
      <c r="CJY60" s="4"/>
      <c r="CJZ60" s="4"/>
      <c r="CKA60" s="4"/>
      <c r="CKB60" s="4"/>
      <c r="CKC60" s="4"/>
      <c r="CKD60" s="4"/>
      <c r="CKE60" s="4"/>
      <c r="CKH60" s="4"/>
      <c r="CKI60" s="4"/>
      <c r="CKJ60" s="4"/>
      <c r="CKK60" s="4"/>
      <c r="CKL60" s="4"/>
      <c r="CKM60" s="4"/>
      <c r="CKN60" s="4"/>
      <c r="CKO60" s="4"/>
      <c r="CKP60" s="4"/>
      <c r="CKQ60" s="4"/>
      <c r="CKT60" s="4"/>
      <c r="CKU60" s="4"/>
      <c r="CKV60" s="4"/>
      <c r="CKW60" s="4"/>
      <c r="CKX60" s="4"/>
      <c r="CKY60" s="4"/>
      <c r="CKZ60" s="4"/>
      <c r="CLA60" s="4"/>
      <c r="CLB60" s="4"/>
      <c r="CLC60" s="4"/>
      <c r="CLF60" s="4"/>
      <c r="CLG60" s="4"/>
      <c r="CLH60" s="4"/>
      <c r="CLI60" s="4"/>
      <c r="CLJ60" s="4"/>
      <c r="CLK60" s="4"/>
      <c r="CLL60" s="4"/>
      <c r="CLM60" s="4"/>
      <c r="CLN60" s="4"/>
      <c r="CLO60" s="4"/>
      <c r="CLR60" s="4"/>
      <c r="CLS60" s="4"/>
      <c r="CLT60" s="4"/>
      <c r="CLU60" s="4"/>
      <c r="CLV60" s="4"/>
      <c r="CLW60" s="4"/>
      <c r="CLX60" s="4"/>
      <c r="CLY60" s="4"/>
      <c r="CLZ60" s="4"/>
      <c r="CMA60" s="4"/>
      <c r="CMD60" s="4"/>
      <c r="CME60" s="4"/>
      <c r="CMF60" s="4"/>
      <c r="CMG60" s="4"/>
      <c r="CMH60" s="4"/>
      <c r="CMI60" s="4"/>
      <c r="CMJ60" s="4"/>
      <c r="CMK60" s="4"/>
      <c r="CML60" s="4"/>
      <c r="CMM60" s="4"/>
      <c r="CMP60" s="4"/>
      <c r="CMQ60" s="4"/>
      <c r="CMR60" s="4"/>
      <c r="CMS60" s="4"/>
      <c r="CMT60" s="4"/>
      <c r="CMU60" s="4"/>
      <c r="CMV60" s="4"/>
      <c r="CMW60" s="4"/>
      <c r="CMX60" s="4"/>
      <c r="CMY60" s="4"/>
      <c r="CNB60" s="4"/>
      <c r="CNC60" s="4"/>
      <c r="CND60" s="4"/>
      <c r="CNE60" s="4"/>
      <c r="CNF60" s="4"/>
      <c r="CNG60" s="4"/>
      <c r="CNH60" s="4"/>
      <c r="CNI60" s="4"/>
      <c r="CNJ60" s="4"/>
      <c r="CNK60" s="4"/>
      <c r="CNN60" s="4"/>
      <c r="CNO60" s="4"/>
      <c r="CNP60" s="4"/>
      <c r="CNQ60" s="4"/>
      <c r="CNR60" s="4"/>
      <c r="CNS60" s="4"/>
      <c r="CNT60" s="4"/>
      <c r="CNU60" s="4"/>
      <c r="CNV60" s="4"/>
      <c r="CNW60" s="4"/>
      <c r="CNZ60" s="4"/>
      <c r="COA60" s="4"/>
      <c r="COB60" s="4"/>
      <c r="COC60" s="4"/>
      <c r="COD60" s="4"/>
      <c r="COE60" s="4"/>
      <c r="COF60" s="4"/>
      <c r="COG60" s="4"/>
      <c r="COH60" s="4"/>
      <c r="COI60" s="4"/>
      <c r="COL60" s="4"/>
      <c r="COM60" s="4"/>
      <c r="CON60" s="4"/>
      <c r="COO60" s="4"/>
      <c r="COP60" s="4"/>
      <c r="COQ60" s="4"/>
      <c r="COR60" s="4"/>
      <c r="COS60" s="4"/>
      <c r="COT60" s="4"/>
      <c r="COU60" s="4"/>
      <c r="COX60" s="4"/>
      <c r="COY60" s="4"/>
      <c r="COZ60" s="4"/>
      <c r="CPA60" s="4"/>
      <c r="CPB60" s="4"/>
      <c r="CPC60" s="4"/>
      <c r="CPD60" s="4"/>
      <c r="CPE60" s="4"/>
      <c r="CPF60" s="4"/>
      <c r="CPG60" s="4"/>
      <c r="CPJ60" s="4"/>
      <c r="CPK60" s="4"/>
      <c r="CPL60" s="4"/>
      <c r="CPM60" s="4"/>
      <c r="CPN60" s="4"/>
      <c r="CPO60" s="4"/>
      <c r="CPP60" s="4"/>
      <c r="CPQ60" s="4"/>
      <c r="CPR60" s="4"/>
      <c r="CPS60" s="4"/>
      <c r="CPV60" s="4"/>
      <c r="CPW60" s="4"/>
      <c r="CPX60" s="4"/>
      <c r="CPY60" s="4"/>
      <c r="CPZ60" s="4"/>
      <c r="CQA60" s="4"/>
      <c r="CQB60" s="4"/>
      <c r="CQC60" s="4"/>
      <c r="CQD60" s="4"/>
      <c r="CQE60" s="4"/>
      <c r="CQH60" s="4"/>
      <c r="CQI60" s="4"/>
      <c r="CQJ60" s="4"/>
      <c r="CQK60" s="4"/>
      <c r="CQL60" s="4"/>
      <c r="CQM60" s="4"/>
      <c r="CQN60" s="4"/>
      <c r="CQO60" s="4"/>
      <c r="CQP60" s="4"/>
      <c r="CQQ60" s="4"/>
      <c r="CQT60" s="4"/>
      <c r="CQU60" s="4"/>
      <c r="CQV60" s="4"/>
      <c r="CQW60" s="4"/>
      <c r="CQX60" s="4"/>
      <c r="CQY60" s="4"/>
      <c r="CQZ60" s="4"/>
      <c r="CRA60" s="4"/>
      <c r="CRB60" s="4"/>
      <c r="CRC60" s="4"/>
      <c r="CRF60" s="4"/>
      <c r="CRG60" s="4"/>
      <c r="CRH60" s="4"/>
      <c r="CRI60" s="4"/>
      <c r="CRJ60" s="4"/>
      <c r="CRK60" s="4"/>
      <c r="CRL60" s="4"/>
      <c r="CRM60" s="4"/>
      <c r="CRN60" s="4"/>
      <c r="CRO60" s="4"/>
      <c r="CRR60" s="4"/>
      <c r="CRS60" s="4"/>
      <c r="CRT60" s="4"/>
      <c r="CRU60" s="4"/>
      <c r="CRV60" s="4"/>
      <c r="CRW60" s="4"/>
      <c r="CRX60" s="4"/>
      <c r="CRY60" s="4"/>
      <c r="CRZ60" s="4"/>
      <c r="CSA60" s="4"/>
      <c r="CSD60" s="4"/>
      <c r="CSE60" s="4"/>
      <c r="CSF60" s="4"/>
      <c r="CSG60" s="4"/>
      <c r="CSH60" s="4"/>
      <c r="CSI60" s="4"/>
      <c r="CSJ60" s="4"/>
      <c r="CSK60" s="4"/>
      <c r="CSL60" s="4"/>
      <c r="CSM60" s="4"/>
      <c r="CSP60" s="4"/>
      <c r="CSQ60" s="4"/>
      <c r="CSR60" s="4"/>
      <c r="CSS60" s="4"/>
      <c r="CST60" s="4"/>
      <c r="CSU60" s="4"/>
      <c r="CSV60" s="4"/>
      <c r="CSW60" s="4"/>
      <c r="CSX60" s="4"/>
      <c r="CSY60" s="4"/>
      <c r="CTB60" s="4"/>
      <c r="CTC60" s="4"/>
      <c r="CTD60" s="4"/>
      <c r="CTE60" s="4"/>
      <c r="CTF60" s="4"/>
      <c r="CTG60" s="4"/>
      <c r="CTH60" s="4"/>
      <c r="CTI60" s="4"/>
      <c r="CTJ60" s="4"/>
      <c r="CTK60" s="4"/>
      <c r="CTN60" s="4"/>
      <c r="CTO60" s="4"/>
      <c r="CTP60" s="4"/>
      <c r="CTQ60" s="4"/>
      <c r="CTR60" s="4"/>
      <c r="CTS60" s="4"/>
      <c r="CTT60" s="4"/>
      <c r="CTU60" s="4"/>
      <c r="CTV60" s="4"/>
      <c r="CTW60" s="4"/>
      <c r="CTZ60" s="4"/>
      <c r="CUA60" s="4"/>
      <c r="CUB60" s="4"/>
      <c r="CUC60" s="4"/>
      <c r="CUD60" s="4"/>
      <c r="CUE60" s="4"/>
      <c r="CUF60" s="4"/>
      <c r="CUG60" s="4"/>
      <c r="CUH60" s="4"/>
      <c r="CUI60" s="4"/>
      <c r="CUL60" s="4"/>
      <c r="CUM60" s="4"/>
      <c r="CUN60" s="4"/>
      <c r="CUO60" s="4"/>
      <c r="CUP60" s="4"/>
      <c r="CUQ60" s="4"/>
      <c r="CUR60" s="4"/>
      <c r="CUS60" s="4"/>
      <c r="CUT60" s="4"/>
      <c r="CUU60" s="4"/>
      <c r="CUX60" s="4"/>
      <c r="CUY60" s="4"/>
      <c r="CUZ60" s="4"/>
      <c r="CVA60" s="4"/>
      <c r="CVB60" s="4"/>
      <c r="CVC60" s="4"/>
      <c r="CVD60" s="4"/>
      <c r="CVE60" s="4"/>
      <c r="CVF60" s="4"/>
      <c r="CVG60" s="4"/>
      <c r="CVJ60" s="4"/>
      <c r="CVK60" s="4"/>
      <c r="CVL60" s="4"/>
      <c r="CVM60" s="4"/>
      <c r="CVN60" s="4"/>
      <c r="CVO60" s="4"/>
      <c r="CVP60" s="4"/>
      <c r="CVQ60" s="4"/>
      <c r="CVR60" s="4"/>
      <c r="CVS60" s="4"/>
      <c r="CVV60" s="4"/>
      <c r="CVW60" s="4"/>
      <c r="CVX60" s="4"/>
      <c r="CVY60" s="4"/>
      <c r="CVZ60" s="4"/>
      <c r="CWA60" s="4"/>
      <c r="CWB60" s="4"/>
      <c r="CWC60" s="4"/>
      <c r="CWD60" s="4"/>
      <c r="CWE60" s="4"/>
    </row>
    <row r="61" spans="2:1023 1026:2631" x14ac:dyDescent="0.25"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F61" s="4"/>
      <c r="AJG61" s="4"/>
      <c r="AJH61" s="4"/>
      <c r="AJI61" s="4"/>
      <c r="AJJ61" s="4"/>
      <c r="AJK61" s="4"/>
      <c r="AJL61" s="4"/>
      <c r="AJM61" s="4"/>
      <c r="AJN61" s="4"/>
      <c r="AJO61" s="4"/>
      <c r="AJR61" s="4"/>
      <c r="AJS61" s="4"/>
      <c r="AJT61" s="4"/>
      <c r="AJU61" s="4"/>
      <c r="AJV61" s="4"/>
      <c r="AJW61" s="4"/>
      <c r="AJX61" s="4"/>
      <c r="AJY61" s="4"/>
      <c r="AJZ61" s="4"/>
      <c r="AKA61" s="4"/>
      <c r="AKD61" s="4"/>
      <c r="AKE61" s="4"/>
      <c r="AKF61" s="4"/>
      <c r="AKG61" s="4"/>
      <c r="AKH61" s="4"/>
      <c r="AKI61" s="4"/>
      <c r="AKJ61" s="4"/>
      <c r="AKK61" s="4"/>
      <c r="AKL61" s="4"/>
      <c r="AKM61" s="4"/>
      <c r="AKP61" s="4"/>
      <c r="AKQ61" s="4"/>
      <c r="AKR61" s="4"/>
      <c r="AKS61" s="4"/>
      <c r="AKT61" s="4"/>
      <c r="AKU61" s="4"/>
      <c r="AKV61" s="4"/>
      <c r="AKW61" s="4"/>
      <c r="AKX61" s="4"/>
      <c r="AKY61" s="4"/>
      <c r="ALB61" s="4"/>
      <c r="ALC61" s="4"/>
      <c r="ALD61" s="4"/>
      <c r="ALE61" s="4"/>
      <c r="ALF61" s="4"/>
      <c r="ALG61" s="4"/>
      <c r="ALH61" s="4"/>
      <c r="ALI61" s="4"/>
      <c r="ALJ61" s="4"/>
      <c r="ALK61" s="4"/>
      <c r="ALN61" s="4"/>
      <c r="ALO61" s="4"/>
      <c r="ALP61" s="4"/>
      <c r="ALQ61" s="4"/>
      <c r="ALR61" s="4"/>
      <c r="ALS61" s="4"/>
      <c r="ALT61" s="4"/>
      <c r="ALU61" s="4"/>
      <c r="ALV61" s="4"/>
      <c r="ALW61" s="4"/>
      <c r="ALZ61" s="4"/>
      <c r="AMA61" s="4"/>
      <c r="AMB61" s="4"/>
      <c r="AMC61" s="4"/>
      <c r="AMD61" s="4"/>
      <c r="AME61" s="4"/>
      <c r="AMF61" s="4"/>
      <c r="AMG61" s="4"/>
      <c r="AMH61" s="4"/>
      <c r="AMI61" s="4"/>
      <c r="AML61" s="4"/>
      <c r="AMM61" s="4"/>
      <c r="AMN61" s="4"/>
      <c r="AMO61" s="4"/>
      <c r="AMP61" s="4"/>
      <c r="AMQ61" s="4"/>
      <c r="AMR61" s="4"/>
      <c r="AMS61" s="4"/>
      <c r="AMT61" s="4"/>
      <c r="AMU61" s="4"/>
      <c r="AMX61" s="4"/>
      <c r="AMY61" s="4"/>
      <c r="AMZ61" s="4"/>
      <c r="ANA61" s="4"/>
      <c r="ANB61" s="4"/>
      <c r="ANC61" s="4"/>
      <c r="AND61" s="4"/>
      <c r="ANE61" s="4"/>
      <c r="ANF61" s="4"/>
      <c r="ANG61" s="4"/>
      <c r="ANJ61" s="4"/>
      <c r="ANK61" s="4"/>
      <c r="ANL61" s="4"/>
      <c r="ANM61" s="4"/>
      <c r="ANN61" s="4"/>
      <c r="ANO61" s="4"/>
      <c r="ANP61" s="4"/>
      <c r="ANQ61" s="4"/>
      <c r="ANR61" s="4"/>
      <c r="ANS61" s="4"/>
      <c r="ANV61" s="4"/>
      <c r="ANW61" s="4"/>
      <c r="ANX61" s="4"/>
      <c r="ANY61" s="4"/>
      <c r="ANZ61" s="4"/>
      <c r="AOA61" s="4"/>
      <c r="AOB61" s="4"/>
      <c r="AOC61" s="4"/>
      <c r="AOD61" s="4"/>
      <c r="AOE61" s="4"/>
      <c r="AOH61" s="4"/>
      <c r="AOI61" s="4"/>
      <c r="AOJ61" s="4"/>
      <c r="AOK61" s="4"/>
      <c r="AOL61" s="4"/>
      <c r="AOM61" s="4"/>
      <c r="AON61" s="4"/>
      <c r="AOO61" s="4"/>
      <c r="AOP61" s="4"/>
      <c r="AOQ61" s="4"/>
      <c r="AOT61" s="4"/>
      <c r="AOU61" s="4"/>
      <c r="AOV61" s="4"/>
      <c r="AOW61" s="4"/>
      <c r="AOX61" s="4"/>
      <c r="AOY61" s="4"/>
      <c r="AOZ61" s="4"/>
      <c r="APA61" s="4"/>
      <c r="APB61" s="4"/>
      <c r="APC61" s="4"/>
      <c r="APF61" s="4"/>
      <c r="APG61" s="4"/>
      <c r="APH61" s="4"/>
      <c r="API61" s="4"/>
      <c r="APJ61" s="4"/>
      <c r="APK61" s="4"/>
      <c r="APL61" s="4"/>
      <c r="APM61" s="4"/>
      <c r="APN61" s="4"/>
      <c r="APO61" s="4"/>
      <c r="APR61" s="4"/>
      <c r="APS61" s="4"/>
      <c r="APT61" s="4"/>
      <c r="APU61" s="4"/>
      <c r="APV61" s="4"/>
      <c r="APW61" s="4"/>
      <c r="APX61" s="4"/>
      <c r="APY61" s="4"/>
      <c r="APZ61" s="4"/>
      <c r="AQA61" s="4"/>
      <c r="AQD61" s="4"/>
      <c r="AQE61" s="4"/>
      <c r="AQF61" s="4"/>
      <c r="AQG61" s="4"/>
      <c r="AQH61" s="4"/>
      <c r="AQI61" s="4"/>
      <c r="AQJ61" s="4"/>
      <c r="AQK61" s="4"/>
      <c r="AQL61" s="4"/>
      <c r="AQM61" s="4"/>
      <c r="AQP61" s="4"/>
      <c r="AQQ61" s="4"/>
      <c r="AQR61" s="4"/>
      <c r="AQS61" s="4"/>
      <c r="AQT61" s="4"/>
      <c r="AQU61" s="4"/>
      <c r="AQV61" s="4"/>
      <c r="AQW61" s="4"/>
      <c r="AQX61" s="4"/>
      <c r="AQY61" s="4"/>
      <c r="ARB61" s="4"/>
      <c r="ARC61" s="4"/>
      <c r="ARD61" s="4"/>
      <c r="ARE61" s="4"/>
      <c r="ARF61" s="4"/>
      <c r="ARG61" s="4"/>
      <c r="ARH61" s="4"/>
      <c r="ARI61" s="4"/>
      <c r="ARJ61" s="4"/>
      <c r="ARK61" s="4"/>
      <c r="ARN61" s="4"/>
      <c r="ARO61" s="4"/>
      <c r="ARP61" s="4"/>
      <c r="ARQ61" s="4"/>
      <c r="ARR61" s="4"/>
      <c r="ARS61" s="4"/>
      <c r="ART61" s="4"/>
      <c r="ARU61" s="4"/>
      <c r="ARV61" s="4"/>
      <c r="ARW61" s="4"/>
      <c r="ARZ61" s="4"/>
      <c r="ASA61" s="4"/>
      <c r="ASB61" s="4"/>
      <c r="ASC61" s="4"/>
      <c r="ASD61" s="4"/>
      <c r="ASE61" s="4"/>
      <c r="ASF61" s="4"/>
      <c r="ASG61" s="4"/>
      <c r="ASH61" s="4"/>
      <c r="ASI61" s="4"/>
      <c r="ASL61" s="4"/>
      <c r="ASM61" s="4"/>
      <c r="ASN61" s="4"/>
      <c r="ASO61" s="4"/>
      <c r="ASP61" s="4"/>
      <c r="ASQ61" s="4"/>
      <c r="ASR61" s="4"/>
      <c r="ASS61" s="4"/>
      <c r="AST61" s="4"/>
      <c r="ASU61" s="4"/>
      <c r="ASX61" s="4"/>
      <c r="ASY61" s="4"/>
      <c r="ASZ61" s="4"/>
      <c r="ATA61" s="4"/>
      <c r="ATB61" s="4"/>
      <c r="ATC61" s="4"/>
      <c r="ATD61" s="4"/>
      <c r="ATE61" s="4"/>
      <c r="ATF61" s="4"/>
      <c r="ATG61" s="4"/>
      <c r="ATJ61" s="4"/>
      <c r="ATK61" s="4"/>
      <c r="ATL61" s="4"/>
      <c r="ATM61" s="4"/>
      <c r="ATN61" s="4"/>
      <c r="ATO61" s="4"/>
      <c r="ATP61" s="4"/>
      <c r="ATQ61" s="4"/>
      <c r="ATR61" s="4"/>
      <c r="ATS61" s="4"/>
      <c r="ATV61" s="4"/>
      <c r="ATW61" s="4"/>
      <c r="ATX61" s="4"/>
      <c r="ATY61" s="4"/>
      <c r="ATZ61" s="4"/>
      <c r="AUA61" s="4"/>
      <c r="AUB61" s="4"/>
      <c r="AUC61" s="4"/>
      <c r="AUD61" s="4"/>
      <c r="AUE61" s="4"/>
      <c r="AUH61" s="4"/>
      <c r="AUI61" s="4"/>
      <c r="AUJ61" s="4"/>
      <c r="AUK61" s="4"/>
      <c r="AUL61" s="4"/>
      <c r="AUM61" s="4"/>
      <c r="AUN61" s="4"/>
      <c r="AUO61" s="4"/>
      <c r="AUP61" s="4"/>
      <c r="AUQ61" s="4"/>
      <c r="AUT61" s="4"/>
      <c r="AUU61" s="4"/>
      <c r="AUV61" s="4"/>
      <c r="AUW61" s="4"/>
      <c r="AUX61" s="4"/>
      <c r="AUY61" s="4"/>
      <c r="AUZ61" s="4"/>
      <c r="AVA61" s="4"/>
      <c r="AVB61" s="4"/>
      <c r="AVC61" s="4"/>
      <c r="AVF61" s="4"/>
      <c r="AVG61" s="4"/>
      <c r="AVH61" s="4"/>
      <c r="AVI61" s="4"/>
      <c r="AVJ61" s="4"/>
      <c r="AVK61" s="4"/>
      <c r="AVL61" s="4"/>
      <c r="AVM61" s="4"/>
      <c r="AVN61" s="4"/>
      <c r="AVO61" s="4"/>
      <c r="AVR61" s="4"/>
      <c r="AVS61" s="4"/>
      <c r="AVT61" s="4"/>
      <c r="AVU61" s="4"/>
      <c r="AVV61" s="4"/>
      <c r="AVW61" s="4"/>
      <c r="AVX61" s="4"/>
      <c r="AVY61" s="4"/>
      <c r="AVZ61" s="4"/>
      <c r="AWA61" s="4"/>
      <c r="AWD61" s="4"/>
      <c r="AWE61" s="4"/>
      <c r="AWF61" s="4"/>
      <c r="AWG61" s="4"/>
      <c r="AWH61" s="4"/>
      <c r="AWI61" s="4"/>
      <c r="AWJ61" s="4"/>
      <c r="AWK61" s="4"/>
      <c r="AWL61" s="4"/>
      <c r="AWM61" s="4"/>
      <c r="AWP61" s="4"/>
      <c r="AWQ61" s="4"/>
      <c r="AWR61" s="4"/>
      <c r="AWS61" s="4"/>
      <c r="AWT61" s="4"/>
      <c r="AWU61" s="4"/>
      <c r="AWV61" s="4"/>
      <c r="AWW61" s="4"/>
      <c r="AWX61" s="4"/>
      <c r="AWY61" s="4"/>
      <c r="AXB61" s="4"/>
      <c r="AXC61" s="4"/>
      <c r="AXD61" s="4"/>
      <c r="AXE61" s="4"/>
      <c r="AXF61" s="4"/>
      <c r="AXG61" s="4"/>
      <c r="AXH61" s="4"/>
      <c r="AXI61" s="4"/>
      <c r="AXJ61" s="4"/>
      <c r="AXK61" s="4"/>
      <c r="AXN61" s="4"/>
      <c r="AXO61" s="4"/>
      <c r="AXP61" s="4"/>
      <c r="AXQ61" s="4"/>
      <c r="AXR61" s="4"/>
      <c r="AXS61" s="4"/>
      <c r="AXT61" s="4"/>
      <c r="AXU61" s="4"/>
      <c r="AXV61" s="4"/>
      <c r="AXW61" s="4"/>
      <c r="AXZ61" s="4"/>
      <c r="AYA61" s="4"/>
      <c r="AYB61" s="4"/>
      <c r="AYC61" s="4"/>
      <c r="AYD61" s="4"/>
      <c r="AYE61" s="4"/>
      <c r="AYF61" s="4"/>
      <c r="AYG61" s="4"/>
      <c r="AYH61" s="4"/>
      <c r="AYI61" s="4"/>
      <c r="AYL61" s="4"/>
      <c r="AYM61" s="4"/>
      <c r="AYN61" s="4"/>
      <c r="AYO61" s="4"/>
      <c r="AYP61" s="4"/>
      <c r="AYQ61" s="4"/>
      <c r="AYR61" s="4"/>
      <c r="AYS61" s="4"/>
      <c r="AYT61" s="4"/>
      <c r="AYU61" s="4"/>
      <c r="AYX61" s="4"/>
      <c r="AYY61" s="4"/>
      <c r="AYZ61" s="4"/>
      <c r="AZA61" s="4"/>
      <c r="AZB61" s="4"/>
      <c r="AZC61" s="4"/>
      <c r="AZD61" s="4"/>
      <c r="AZE61" s="4"/>
      <c r="AZF61" s="4"/>
      <c r="AZG61" s="4"/>
      <c r="AZJ61" s="4"/>
      <c r="AZK61" s="4"/>
      <c r="AZL61" s="4"/>
      <c r="AZM61" s="4"/>
      <c r="AZN61" s="4"/>
      <c r="AZO61" s="4"/>
      <c r="AZP61" s="4"/>
      <c r="AZQ61" s="4"/>
      <c r="AZR61" s="4"/>
      <c r="AZS61" s="4"/>
      <c r="AZV61" s="4"/>
      <c r="AZW61" s="4"/>
      <c r="AZX61" s="4"/>
      <c r="AZY61" s="4"/>
      <c r="AZZ61" s="4"/>
      <c r="BAA61" s="4"/>
      <c r="BAB61" s="4"/>
      <c r="BAC61" s="4"/>
      <c r="BAD61" s="4"/>
      <c r="BAE61" s="4"/>
      <c r="BAH61" s="4"/>
      <c r="BAI61" s="4"/>
      <c r="BAJ61" s="4"/>
      <c r="BAK61" s="4"/>
      <c r="BAL61" s="4"/>
      <c r="BAM61" s="4"/>
      <c r="BAN61" s="4"/>
      <c r="BAO61" s="4"/>
      <c r="BAP61" s="4"/>
      <c r="BAQ61" s="4"/>
      <c r="BAT61" s="4"/>
      <c r="BAU61" s="4"/>
      <c r="BAV61" s="4"/>
      <c r="BAW61" s="4"/>
      <c r="BAX61" s="4"/>
      <c r="BAY61" s="4"/>
      <c r="BAZ61" s="4"/>
      <c r="BBA61" s="4"/>
      <c r="BBB61" s="4"/>
      <c r="BBC61" s="4"/>
      <c r="BBF61" s="4"/>
      <c r="BBG61" s="4"/>
      <c r="BBH61" s="4"/>
      <c r="BBI61" s="4"/>
      <c r="BBJ61" s="4"/>
      <c r="BBK61" s="4"/>
      <c r="BBL61" s="4"/>
      <c r="BBM61" s="4"/>
      <c r="BBN61" s="4"/>
      <c r="BBO61" s="4"/>
      <c r="BBR61" s="4"/>
      <c r="BBS61" s="4"/>
      <c r="BBT61" s="4"/>
      <c r="BBU61" s="4"/>
      <c r="BBV61" s="4"/>
      <c r="BBW61" s="4"/>
      <c r="BBX61" s="4"/>
      <c r="BBY61" s="4"/>
      <c r="BBZ61" s="4"/>
      <c r="BCA61" s="4"/>
      <c r="BCD61" s="4"/>
      <c r="BCE61" s="4"/>
      <c r="BCF61" s="4"/>
      <c r="BCG61" s="4"/>
      <c r="BCH61" s="4"/>
      <c r="BCI61" s="4"/>
      <c r="BCJ61" s="4"/>
      <c r="BCK61" s="4"/>
      <c r="BCL61" s="4"/>
      <c r="BCM61" s="4"/>
      <c r="BCP61" s="4"/>
      <c r="BCQ61" s="4"/>
      <c r="BCR61" s="4"/>
      <c r="BCS61" s="4"/>
      <c r="BCT61" s="4"/>
      <c r="BCU61" s="4"/>
      <c r="BCV61" s="4"/>
      <c r="BCW61" s="4"/>
      <c r="BCX61" s="4"/>
      <c r="BCY61" s="4"/>
      <c r="BDB61" s="4"/>
      <c r="BDC61" s="4"/>
      <c r="BDD61" s="4"/>
      <c r="BDE61" s="4"/>
      <c r="BDF61" s="4"/>
      <c r="BDG61" s="4"/>
      <c r="BDH61" s="4"/>
      <c r="BDI61" s="4"/>
      <c r="BDJ61" s="4"/>
      <c r="BDK61" s="4"/>
      <c r="BDN61" s="4"/>
      <c r="BDO61" s="4"/>
      <c r="BDP61" s="4"/>
      <c r="BDQ61" s="4"/>
      <c r="BDR61" s="4"/>
      <c r="BDS61" s="4"/>
      <c r="BDT61" s="4"/>
      <c r="BDU61" s="4"/>
      <c r="BDV61" s="4"/>
      <c r="BDW61" s="4"/>
      <c r="BDZ61" s="4"/>
      <c r="BEA61" s="4"/>
      <c r="BEB61" s="4"/>
      <c r="BEC61" s="4"/>
      <c r="BED61" s="4"/>
      <c r="BEE61" s="4"/>
      <c r="BEF61" s="4"/>
      <c r="BEG61" s="4"/>
      <c r="BEH61" s="4"/>
      <c r="BEI61" s="4"/>
      <c r="BEL61" s="4"/>
      <c r="BEM61" s="4"/>
      <c r="BEN61" s="4"/>
      <c r="BEO61" s="4"/>
      <c r="BEP61" s="4"/>
      <c r="BEQ61" s="4"/>
      <c r="BER61" s="4"/>
      <c r="BES61" s="4"/>
      <c r="BET61" s="4"/>
      <c r="BEU61" s="4"/>
      <c r="BEX61" s="4"/>
      <c r="BEY61" s="4"/>
      <c r="BEZ61" s="4"/>
      <c r="BFA61" s="4"/>
      <c r="BFB61" s="4"/>
      <c r="BFC61" s="4"/>
      <c r="BFD61" s="4"/>
      <c r="BFE61" s="4"/>
      <c r="BFF61" s="4"/>
      <c r="BFG61" s="4"/>
      <c r="BFJ61" s="4"/>
      <c r="BFK61" s="4"/>
      <c r="BFL61" s="4"/>
      <c r="BFM61" s="4"/>
      <c r="BFN61" s="4"/>
      <c r="BFO61" s="4"/>
      <c r="BFP61" s="4"/>
      <c r="BFQ61" s="4"/>
      <c r="BFR61" s="4"/>
      <c r="BFS61" s="4"/>
      <c r="BFV61" s="4"/>
      <c r="BFW61" s="4"/>
      <c r="BFX61" s="4"/>
      <c r="BFY61" s="4"/>
      <c r="BFZ61" s="4"/>
      <c r="BGA61" s="4"/>
      <c r="BGB61" s="4"/>
      <c r="BGC61" s="4"/>
      <c r="BGD61" s="4"/>
      <c r="BGE61" s="4"/>
      <c r="BGH61" s="4"/>
      <c r="BGI61" s="4"/>
      <c r="BGJ61" s="4"/>
      <c r="BGK61" s="4"/>
      <c r="BGL61" s="4"/>
      <c r="BGM61" s="4"/>
      <c r="BGN61" s="4"/>
      <c r="BGO61" s="4"/>
      <c r="BGP61" s="4"/>
      <c r="BGQ61" s="4"/>
      <c r="BGT61" s="4"/>
      <c r="BGU61" s="4"/>
      <c r="BGV61" s="4"/>
      <c r="BGW61" s="4"/>
      <c r="BGX61" s="4"/>
      <c r="BGY61" s="4"/>
      <c r="BGZ61" s="4"/>
      <c r="BHA61" s="4"/>
      <c r="BHB61" s="4"/>
      <c r="BHC61" s="4"/>
      <c r="BHF61" s="4"/>
      <c r="BHG61" s="4"/>
      <c r="BHH61" s="4"/>
      <c r="BHI61" s="4"/>
      <c r="BHJ61" s="4"/>
      <c r="BHK61" s="4"/>
      <c r="BHL61" s="4"/>
      <c r="BHM61" s="4"/>
      <c r="BHN61" s="4"/>
      <c r="BHO61" s="4"/>
      <c r="BHR61" s="4"/>
      <c r="BHS61" s="4"/>
      <c r="BHT61" s="4"/>
      <c r="BHU61" s="4"/>
      <c r="BHV61" s="4"/>
      <c r="BHW61" s="4"/>
      <c r="BHX61" s="4"/>
      <c r="BHY61" s="4"/>
      <c r="BHZ61" s="4"/>
      <c r="BIA61" s="4"/>
      <c r="BID61" s="4"/>
      <c r="BIE61" s="4"/>
      <c r="BIF61" s="4"/>
      <c r="BIG61" s="4"/>
      <c r="BIH61" s="4"/>
      <c r="BII61" s="4"/>
      <c r="BIJ61" s="4"/>
      <c r="BIK61" s="4"/>
      <c r="BIL61" s="4"/>
      <c r="BIM61" s="4"/>
      <c r="BIP61" s="4"/>
      <c r="BIQ61" s="4"/>
      <c r="BIR61" s="4"/>
      <c r="BIS61" s="4"/>
      <c r="BIT61" s="4"/>
      <c r="BIU61" s="4"/>
      <c r="BIV61" s="4"/>
      <c r="BIW61" s="4"/>
      <c r="BIX61" s="4"/>
      <c r="BIY61" s="4"/>
      <c r="BJB61" s="4"/>
      <c r="BJC61" s="4"/>
      <c r="BJD61" s="4"/>
      <c r="BJE61" s="4"/>
      <c r="BJF61" s="4"/>
      <c r="BJG61" s="4"/>
      <c r="BJH61" s="4"/>
      <c r="BJI61" s="4"/>
      <c r="BJJ61" s="4"/>
      <c r="BJK61" s="4"/>
      <c r="BJN61" s="4"/>
      <c r="BJO61" s="4"/>
      <c r="BJP61" s="4"/>
      <c r="BJQ61" s="4"/>
      <c r="BJR61" s="4"/>
      <c r="BJS61" s="4"/>
      <c r="BJT61" s="4"/>
      <c r="BJU61" s="4"/>
      <c r="BJV61" s="4"/>
      <c r="BJW61" s="4"/>
      <c r="BJZ61" s="4"/>
      <c r="BKA61" s="4"/>
      <c r="BKB61" s="4"/>
      <c r="BKC61" s="4"/>
      <c r="BKD61" s="4"/>
      <c r="BKE61" s="4"/>
      <c r="BKF61" s="4"/>
      <c r="BKG61" s="4"/>
      <c r="BKH61" s="4"/>
      <c r="BKI61" s="4"/>
      <c r="BKL61" s="4"/>
      <c r="BKM61" s="4"/>
      <c r="BKN61" s="4"/>
      <c r="BKO61" s="4"/>
      <c r="BKP61" s="4"/>
      <c r="BKQ61" s="4"/>
      <c r="BKR61" s="4"/>
      <c r="BKS61" s="4"/>
      <c r="BKT61" s="4"/>
      <c r="BKU61" s="4"/>
      <c r="BKX61" s="4"/>
      <c r="BKY61" s="4"/>
      <c r="BKZ61" s="4"/>
      <c r="BLA61" s="4"/>
      <c r="BLB61" s="4"/>
      <c r="BLC61" s="4"/>
      <c r="BLD61" s="4"/>
      <c r="BLE61" s="4"/>
      <c r="BLF61" s="4"/>
      <c r="BLG61" s="4"/>
      <c r="BLJ61" s="4"/>
      <c r="BLK61" s="4"/>
      <c r="BLL61" s="4"/>
      <c r="BLM61" s="4"/>
      <c r="BLN61" s="4"/>
      <c r="BLO61" s="4"/>
      <c r="BLP61" s="4"/>
      <c r="BLQ61" s="4"/>
      <c r="BLR61" s="4"/>
      <c r="BLS61" s="4"/>
      <c r="BLV61" s="4"/>
      <c r="BLW61" s="4"/>
      <c r="BLX61" s="4"/>
      <c r="BLY61" s="4"/>
      <c r="BLZ61" s="4"/>
      <c r="BMA61" s="4"/>
      <c r="BMB61" s="4"/>
      <c r="BMC61" s="4"/>
      <c r="BMD61" s="4"/>
      <c r="BME61" s="4"/>
      <c r="BMH61" s="4"/>
      <c r="BMI61" s="4"/>
      <c r="BMJ61" s="4"/>
      <c r="BMK61" s="4"/>
      <c r="BML61" s="4"/>
      <c r="BMM61" s="4"/>
      <c r="BMN61" s="4"/>
      <c r="BMO61" s="4"/>
      <c r="BMP61" s="4"/>
      <c r="BMQ61" s="4"/>
      <c r="BMT61" s="4"/>
      <c r="BMU61" s="4"/>
      <c r="BMV61" s="4"/>
      <c r="BMW61" s="4"/>
      <c r="BMX61" s="4"/>
      <c r="BMY61" s="4"/>
      <c r="BMZ61" s="4"/>
      <c r="BNA61" s="4"/>
      <c r="BNB61" s="4"/>
      <c r="BNC61" s="4"/>
      <c r="BNF61" s="4"/>
      <c r="BNG61" s="4"/>
      <c r="BNH61" s="4"/>
      <c r="BNI61" s="4"/>
      <c r="BNJ61" s="4"/>
      <c r="BNK61" s="4"/>
      <c r="BNL61" s="4"/>
      <c r="BNM61" s="4"/>
      <c r="BNN61" s="4"/>
      <c r="BNO61" s="4"/>
      <c r="BNR61" s="4"/>
      <c r="BNS61" s="4"/>
      <c r="BNT61" s="4"/>
      <c r="BNU61" s="4"/>
      <c r="BNV61" s="4"/>
      <c r="BNW61" s="4"/>
      <c r="BNX61" s="4"/>
      <c r="BNY61" s="4"/>
      <c r="BNZ61" s="4"/>
      <c r="BOA61" s="4"/>
      <c r="BOD61" s="4"/>
      <c r="BOE61" s="4"/>
      <c r="BOF61" s="4"/>
      <c r="BOG61" s="4"/>
      <c r="BOH61" s="4"/>
      <c r="BOI61" s="4"/>
      <c r="BOJ61" s="4"/>
      <c r="BOK61" s="4"/>
      <c r="BOL61" s="4"/>
      <c r="BOM61" s="4"/>
      <c r="BOP61" s="4"/>
      <c r="BOQ61" s="4"/>
      <c r="BOR61" s="4"/>
      <c r="BOS61" s="4"/>
      <c r="BOT61" s="4"/>
      <c r="BOU61" s="4"/>
      <c r="BOV61" s="4"/>
      <c r="BOW61" s="4"/>
      <c r="BOX61" s="4"/>
      <c r="BOY61" s="4"/>
      <c r="BPB61" s="4"/>
      <c r="BPC61" s="4"/>
      <c r="BPD61" s="4"/>
      <c r="BPE61" s="4"/>
      <c r="BPF61" s="4"/>
      <c r="BPG61" s="4"/>
      <c r="BPH61" s="4"/>
      <c r="BPI61" s="4"/>
      <c r="BPJ61" s="4"/>
      <c r="BPK61" s="4"/>
      <c r="BPN61" s="4"/>
      <c r="BPO61" s="4"/>
      <c r="BPP61" s="4"/>
      <c r="BPQ61" s="4"/>
      <c r="BPR61" s="4"/>
      <c r="BPS61" s="4"/>
      <c r="BPT61" s="4"/>
      <c r="BPU61" s="4"/>
      <c r="BPV61" s="4"/>
      <c r="BPW61" s="4"/>
      <c r="BPZ61" s="4"/>
      <c r="BQA61" s="4"/>
      <c r="BQB61" s="4"/>
      <c r="BQC61" s="4"/>
      <c r="BQD61" s="4"/>
      <c r="BQE61" s="4"/>
      <c r="BQF61" s="4"/>
      <c r="BQG61" s="4"/>
      <c r="BQH61" s="4"/>
      <c r="BQI61" s="4"/>
      <c r="BQL61" s="4"/>
      <c r="BQM61" s="4"/>
      <c r="BQN61" s="4"/>
      <c r="BQO61" s="4"/>
      <c r="BQP61" s="4"/>
      <c r="BQQ61" s="4"/>
      <c r="BQR61" s="4"/>
      <c r="BQS61" s="4"/>
      <c r="BQT61" s="4"/>
      <c r="BQU61" s="4"/>
      <c r="BQX61" s="4"/>
      <c r="BQY61" s="4"/>
      <c r="BQZ61" s="4"/>
      <c r="BRA61" s="4"/>
      <c r="BRB61" s="4"/>
      <c r="BRC61" s="4"/>
      <c r="BRD61" s="4"/>
      <c r="BRE61" s="4"/>
      <c r="BRF61" s="4"/>
      <c r="BRG61" s="4"/>
      <c r="BRJ61" s="4"/>
      <c r="BRK61" s="4"/>
      <c r="BRL61" s="4"/>
      <c r="BRM61" s="4"/>
      <c r="BRN61" s="4"/>
      <c r="BRO61" s="4"/>
      <c r="BRP61" s="4"/>
      <c r="BRQ61" s="4"/>
      <c r="BRR61" s="4"/>
      <c r="BRS61" s="4"/>
      <c r="BRV61" s="4"/>
      <c r="BRW61" s="4"/>
      <c r="BRX61" s="4"/>
      <c r="BRY61" s="4"/>
      <c r="BRZ61" s="4"/>
      <c r="BSA61" s="4"/>
      <c r="BSB61" s="4"/>
      <c r="BSC61" s="4"/>
      <c r="BSD61" s="4"/>
      <c r="BSE61" s="4"/>
      <c r="BSH61" s="4"/>
      <c r="BSI61" s="4"/>
      <c r="BSJ61" s="4"/>
      <c r="BSK61" s="4"/>
      <c r="BSL61" s="4"/>
      <c r="BSM61" s="4"/>
      <c r="BSN61" s="4"/>
      <c r="BSO61" s="4"/>
      <c r="BSP61" s="4"/>
      <c r="BSQ61" s="4"/>
      <c r="BST61" s="4"/>
      <c r="BSU61" s="4"/>
      <c r="BSV61" s="4"/>
      <c r="BSW61" s="4"/>
      <c r="BSX61" s="4"/>
      <c r="BSY61" s="4"/>
      <c r="BSZ61" s="4"/>
      <c r="BTA61" s="4"/>
      <c r="BTB61" s="4"/>
      <c r="BTC61" s="4"/>
      <c r="BTF61" s="4"/>
      <c r="BTG61" s="4"/>
      <c r="BTH61" s="4"/>
      <c r="BTI61" s="4"/>
      <c r="BTJ61" s="4"/>
      <c r="BTK61" s="4"/>
      <c r="BTL61" s="4"/>
      <c r="BTM61" s="4"/>
      <c r="BTN61" s="4"/>
      <c r="BTO61" s="4"/>
      <c r="BTR61" s="4"/>
      <c r="BTS61" s="4"/>
      <c r="BTT61" s="4"/>
      <c r="BTU61" s="4"/>
      <c r="BTV61" s="4"/>
      <c r="BTW61" s="4"/>
      <c r="BTX61" s="4"/>
      <c r="BTY61" s="4"/>
      <c r="BTZ61" s="4"/>
      <c r="BUA61" s="4"/>
      <c r="BUD61" s="4"/>
      <c r="BUE61" s="4"/>
      <c r="BUF61" s="4"/>
      <c r="BUG61" s="4"/>
      <c r="BUH61" s="4"/>
      <c r="BUI61" s="4"/>
      <c r="BUJ61" s="4"/>
      <c r="BUK61" s="4"/>
      <c r="BUL61" s="4"/>
      <c r="BUM61" s="4"/>
      <c r="BUP61" s="4"/>
      <c r="BUQ61" s="4"/>
      <c r="BUR61" s="4"/>
      <c r="BUS61" s="4"/>
      <c r="BUT61" s="4"/>
      <c r="BUU61" s="4"/>
      <c r="BUV61" s="4"/>
      <c r="BUW61" s="4"/>
      <c r="BUX61" s="4"/>
      <c r="BUY61" s="4"/>
      <c r="BVB61" s="4"/>
      <c r="BVC61" s="4"/>
      <c r="BVD61" s="4"/>
      <c r="BVE61" s="4"/>
      <c r="BVF61" s="4"/>
      <c r="BVG61" s="4"/>
      <c r="BVH61" s="4"/>
      <c r="BVI61" s="4"/>
      <c r="BVJ61" s="4"/>
      <c r="BVK61" s="4"/>
      <c r="BVN61" s="4"/>
      <c r="BVO61" s="4"/>
      <c r="BVP61" s="4"/>
      <c r="BVQ61" s="4"/>
      <c r="BVR61" s="4"/>
      <c r="BVS61" s="4"/>
      <c r="BVT61" s="4"/>
      <c r="BVU61" s="4"/>
      <c r="BVV61" s="4"/>
      <c r="BVW61" s="4"/>
      <c r="BVZ61" s="4"/>
      <c r="BWA61" s="4"/>
      <c r="BWB61" s="4"/>
      <c r="BWC61" s="4"/>
      <c r="BWD61" s="4"/>
      <c r="BWE61" s="4"/>
      <c r="BWF61" s="4"/>
      <c r="BWG61" s="4"/>
      <c r="BWH61" s="4"/>
      <c r="BWI61" s="4"/>
      <c r="BWL61" s="4"/>
      <c r="BWM61" s="4"/>
      <c r="BWN61" s="4"/>
      <c r="BWO61" s="4"/>
      <c r="BWP61" s="4"/>
      <c r="BWQ61" s="4"/>
      <c r="BWR61" s="4"/>
      <c r="BWS61" s="4"/>
      <c r="BWT61" s="4"/>
      <c r="BWU61" s="4"/>
      <c r="BWX61" s="4"/>
      <c r="BWY61" s="4"/>
      <c r="BWZ61" s="4"/>
      <c r="BXA61" s="4"/>
      <c r="BXB61" s="4"/>
      <c r="BXC61" s="4"/>
      <c r="BXD61" s="4"/>
      <c r="BXE61" s="4"/>
      <c r="BXF61" s="4"/>
      <c r="BXG61" s="4"/>
      <c r="BXJ61" s="4"/>
      <c r="BXK61" s="4"/>
      <c r="BXL61" s="4"/>
      <c r="BXM61" s="4"/>
      <c r="BXN61" s="4"/>
      <c r="BXO61" s="4"/>
      <c r="BXP61" s="4"/>
      <c r="BXQ61" s="4"/>
      <c r="BXR61" s="4"/>
      <c r="BXS61" s="4"/>
      <c r="BXV61" s="4"/>
      <c r="BXW61" s="4"/>
      <c r="BXX61" s="4"/>
      <c r="BXY61" s="4"/>
      <c r="BXZ61" s="4"/>
      <c r="BYA61" s="4"/>
      <c r="BYB61" s="4"/>
      <c r="BYC61" s="4"/>
      <c r="BYD61" s="4"/>
      <c r="BYE61" s="4"/>
      <c r="BYH61" s="4"/>
      <c r="BYI61" s="4"/>
      <c r="BYJ61" s="4"/>
      <c r="BYK61" s="4"/>
      <c r="BYL61" s="4"/>
      <c r="BYM61" s="4"/>
      <c r="BYN61" s="4"/>
      <c r="BYO61" s="4"/>
      <c r="BYP61" s="4"/>
      <c r="BYQ61" s="4"/>
      <c r="BYT61" s="4"/>
      <c r="BYU61" s="4"/>
      <c r="BYV61" s="4"/>
      <c r="BYW61" s="4"/>
      <c r="BYX61" s="4"/>
      <c r="BYY61" s="4"/>
      <c r="BYZ61" s="4"/>
      <c r="BZA61" s="4"/>
      <c r="BZB61" s="4"/>
      <c r="BZC61" s="4"/>
      <c r="BZF61" s="4"/>
      <c r="BZG61" s="4"/>
      <c r="BZH61" s="4"/>
      <c r="BZI61" s="4"/>
      <c r="BZJ61" s="4"/>
      <c r="BZK61" s="4"/>
      <c r="BZL61" s="4"/>
      <c r="BZM61" s="4"/>
      <c r="BZN61" s="4"/>
      <c r="BZO61" s="4"/>
      <c r="BZR61" s="4"/>
      <c r="BZS61" s="4"/>
      <c r="BZT61" s="4"/>
      <c r="BZU61" s="4"/>
      <c r="BZV61" s="4"/>
      <c r="BZW61" s="4"/>
      <c r="BZX61" s="4"/>
      <c r="BZY61" s="4"/>
      <c r="BZZ61" s="4"/>
      <c r="CAA61" s="4"/>
      <c r="CAD61" s="4"/>
      <c r="CAE61" s="4"/>
      <c r="CAF61" s="4"/>
      <c r="CAG61" s="4"/>
      <c r="CAH61" s="4"/>
      <c r="CAI61" s="4"/>
      <c r="CAJ61" s="4"/>
      <c r="CAK61" s="4"/>
      <c r="CAL61" s="4"/>
      <c r="CAM61" s="4"/>
      <c r="CAP61" s="4"/>
      <c r="CAQ61" s="4"/>
      <c r="CAR61" s="4"/>
      <c r="CAS61" s="4"/>
      <c r="CAT61" s="4"/>
      <c r="CAU61" s="4"/>
      <c r="CAV61" s="4"/>
      <c r="CAW61" s="4"/>
      <c r="CAX61" s="4"/>
      <c r="CAY61" s="4"/>
      <c r="CBB61" s="4"/>
      <c r="CBC61" s="4"/>
      <c r="CBD61" s="4"/>
      <c r="CBE61" s="4"/>
      <c r="CBF61" s="4"/>
      <c r="CBG61" s="4"/>
      <c r="CBH61" s="4"/>
      <c r="CBI61" s="4"/>
      <c r="CBJ61" s="4"/>
      <c r="CBK61" s="4"/>
      <c r="CBN61" s="4"/>
      <c r="CBO61" s="4"/>
      <c r="CBP61" s="4"/>
      <c r="CBQ61" s="4"/>
      <c r="CBR61" s="4"/>
      <c r="CBS61" s="4"/>
      <c r="CBT61" s="4"/>
      <c r="CBU61" s="4"/>
      <c r="CBV61" s="4"/>
      <c r="CBW61" s="4"/>
      <c r="CBZ61" s="4"/>
      <c r="CCA61" s="4"/>
      <c r="CCB61" s="4"/>
      <c r="CCC61" s="4"/>
      <c r="CCD61" s="4"/>
      <c r="CCE61" s="4"/>
      <c r="CCF61" s="4"/>
      <c r="CCG61" s="4"/>
      <c r="CCH61" s="4"/>
      <c r="CCI61" s="4"/>
      <c r="CCL61" s="4"/>
      <c r="CCM61" s="4"/>
      <c r="CCN61" s="4"/>
      <c r="CCO61" s="4"/>
      <c r="CCP61" s="4"/>
      <c r="CCQ61" s="4"/>
      <c r="CCR61" s="4"/>
      <c r="CCS61" s="4"/>
      <c r="CCT61" s="4"/>
      <c r="CCU61" s="4"/>
      <c r="CCX61" s="4"/>
      <c r="CCY61" s="4"/>
      <c r="CCZ61" s="4"/>
      <c r="CDA61" s="4"/>
      <c r="CDB61" s="4"/>
      <c r="CDC61" s="4"/>
      <c r="CDD61" s="4"/>
      <c r="CDE61" s="4"/>
      <c r="CDF61" s="4"/>
      <c r="CDG61" s="4"/>
      <c r="CDJ61" s="4"/>
      <c r="CDK61" s="4"/>
      <c r="CDL61" s="4"/>
      <c r="CDM61" s="4"/>
      <c r="CDN61" s="4"/>
      <c r="CDO61" s="4"/>
      <c r="CDP61" s="4"/>
      <c r="CDQ61" s="4"/>
      <c r="CDR61" s="4"/>
      <c r="CDS61" s="4"/>
      <c r="CDV61" s="4"/>
      <c r="CDW61" s="4"/>
      <c r="CDX61" s="4"/>
      <c r="CDY61" s="4"/>
      <c r="CDZ61" s="4"/>
      <c r="CEA61" s="4"/>
      <c r="CEB61" s="4"/>
      <c r="CEC61" s="4"/>
      <c r="CED61" s="4"/>
      <c r="CEE61" s="4"/>
      <c r="CEH61" s="4"/>
      <c r="CEI61" s="4"/>
      <c r="CEJ61" s="4"/>
      <c r="CEK61" s="4"/>
      <c r="CEL61" s="4"/>
      <c r="CEM61" s="4"/>
      <c r="CEN61" s="4"/>
      <c r="CEO61" s="4"/>
      <c r="CEP61" s="4"/>
      <c r="CEQ61" s="4"/>
      <c r="CET61" s="4"/>
      <c r="CEU61" s="4"/>
      <c r="CEV61" s="4"/>
      <c r="CEW61" s="4"/>
      <c r="CEX61" s="4"/>
      <c r="CEY61" s="4"/>
      <c r="CEZ61" s="4"/>
      <c r="CFA61" s="4"/>
      <c r="CFB61" s="4"/>
      <c r="CFC61" s="4"/>
      <c r="CFF61" s="4"/>
      <c r="CFG61" s="4"/>
      <c r="CFH61" s="4"/>
      <c r="CFI61" s="4"/>
      <c r="CFJ61" s="4"/>
      <c r="CFK61" s="4"/>
      <c r="CFL61" s="4"/>
      <c r="CFM61" s="4"/>
      <c r="CFN61" s="4"/>
      <c r="CFO61" s="4"/>
      <c r="CFR61" s="4"/>
      <c r="CFS61" s="4"/>
      <c r="CFT61" s="4"/>
      <c r="CFU61" s="4"/>
      <c r="CFV61" s="4"/>
      <c r="CFW61" s="4"/>
      <c r="CFX61" s="4"/>
      <c r="CFY61" s="4"/>
      <c r="CFZ61" s="4"/>
      <c r="CGA61" s="4"/>
      <c r="CGD61" s="4"/>
      <c r="CGE61" s="4"/>
      <c r="CGF61" s="4"/>
      <c r="CGG61" s="4"/>
      <c r="CGH61" s="4"/>
      <c r="CGI61" s="4"/>
      <c r="CGJ61" s="4"/>
      <c r="CGK61" s="4"/>
      <c r="CGL61" s="4"/>
      <c r="CGM61" s="4"/>
      <c r="CGP61" s="4"/>
      <c r="CGQ61" s="4"/>
      <c r="CGR61" s="4"/>
      <c r="CGS61" s="4"/>
      <c r="CGT61" s="4"/>
      <c r="CGU61" s="4"/>
      <c r="CGV61" s="4"/>
      <c r="CGW61" s="4"/>
      <c r="CGX61" s="4"/>
      <c r="CGY61" s="4"/>
      <c r="CHB61" s="4"/>
      <c r="CHC61" s="4"/>
      <c r="CHD61" s="4"/>
      <c r="CHE61" s="4"/>
      <c r="CHF61" s="4"/>
      <c r="CHG61" s="4"/>
      <c r="CHH61" s="4"/>
      <c r="CHI61" s="4"/>
      <c r="CHJ61" s="4"/>
      <c r="CHK61" s="4"/>
      <c r="CHN61" s="4"/>
      <c r="CHO61" s="4"/>
      <c r="CHP61" s="4"/>
      <c r="CHQ61" s="4"/>
      <c r="CHR61" s="4"/>
      <c r="CHS61" s="4"/>
      <c r="CHT61" s="4"/>
      <c r="CHU61" s="4"/>
      <c r="CHV61" s="4"/>
      <c r="CHW61" s="4"/>
      <c r="CHZ61" s="4"/>
      <c r="CIA61" s="4"/>
      <c r="CIB61" s="4"/>
      <c r="CIC61" s="4"/>
      <c r="CID61" s="4"/>
      <c r="CIE61" s="4"/>
      <c r="CIF61" s="4"/>
      <c r="CIG61" s="4"/>
      <c r="CIH61" s="4"/>
      <c r="CII61" s="4"/>
      <c r="CIL61" s="4"/>
      <c r="CIM61" s="4"/>
      <c r="CIN61" s="4"/>
      <c r="CIO61" s="4"/>
      <c r="CIP61" s="4"/>
      <c r="CIQ61" s="4"/>
      <c r="CIR61" s="4"/>
      <c r="CIS61" s="4"/>
      <c r="CIT61" s="4"/>
      <c r="CIU61" s="4"/>
      <c r="CIX61" s="4"/>
      <c r="CIY61" s="4"/>
      <c r="CIZ61" s="4"/>
      <c r="CJA61" s="4"/>
      <c r="CJB61" s="4"/>
      <c r="CJC61" s="4"/>
      <c r="CJD61" s="4"/>
      <c r="CJE61" s="4"/>
      <c r="CJF61" s="4"/>
      <c r="CJG61" s="4"/>
      <c r="CJJ61" s="4"/>
      <c r="CJK61" s="4"/>
      <c r="CJL61" s="4"/>
      <c r="CJM61" s="4"/>
      <c r="CJN61" s="4"/>
      <c r="CJO61" s="4"/>
      <c r="CJP61" s="4"/>
      <c r="CJQ61" s="4"/>
      <c r="CJR61" s="4"/>
      <c r="CJS61" s="4"/>
      <c r="CJV61" s="4"/>
      <c r="CJW61" s="4"/>
      <c r="CJX61" s="4"/>
      <c r="CJY61" s="4"/>
      <c r="CJZ61" s="4"/>
      <c r="CKA61" s="4"/>
      <c r="CKB61" s="4"/>
      <c r="CKC61" s="4"/>
      <c r="CKD61" s="4"/>
      <c r="CKE61" s="4"/>
      <c r="CKH61" s="4"/>
      <c r="CKI61" s="4"/>
      <c r="CKJ61" s="4"/>
      <c r="CKK61" s="4"/>
      <c r="CKL61" s="4"/>
      <c r="CKM61" s="4"/>
      <c r="CKN61" s="4"/>
      <c r="CKO61" s="4"/>
      <c r="CKP61" s="4"/>
      <c r="CKQ61" s="4"/>
      <c r="CKT61" s="4"/>
      <c r="CKU61" s="4"/>
      <c r="CKV61" s="4"/>
      <c r="CKW61" s="4"/>
      <c r="CKX61" s="4"/>
      <c r="CKY61" s="4"/>
      <c r="CKZ61" s="4"/>
      <c r="CLA61" s="4"/>
      <c r="CLB61" s="4"/>
      <c r="CLC61" s="4"/>
      <c r="CLF61" s="4"/>
      <c r="CLG61" s="4"/>
      <c r="CLH61" s="4"/>
      <c r="CLI61" s="4"/>
      <c r="CLJ61" s="4"/>
      <c r="CLK61" s="4"/>
      <c r="CLL61" s="4"/>
      <c r="CLM61" s="4"/>
      <c r="CLN61" s="4"/>
      <c r="CLO61" s="4"/>
      <c r="CLR61" s="4"/>
      <c r="CLS61" s="4"/>
      <c r="CLT61" s="4"/>
      <c r="CLU61" s="4"/>
      <c r="CLV61" s="4"/>
      <c r="CLW61" s="4"/>
      <c r="CLX61" s="4"/>
      <c r="CLY61" s="4"/>
      <c r="CLZ61" s="4"/>
      <c r="CMA61" s="4"/>
      <c r="CMD61" s="4"/>
      <c r="CME61" s="4"/>
      <c r="CMF61" s="4"/>
      <c r="CMG61" s="4"/>
      <c r="CMH61" s="4"/>
      <c r="CMI61" s="4"/>
      <c r="CMJ61" s="4"/>
      <c r="CMK61" s="4"/>
      <c r="CML61" s="4"/>
      <c r="CMM61" s="4"/>
      <c r="CMP61" s="4"/>
      <c r="CMQ61" s="4"/>
      <c r="CMR61" s="4"/>
      <c r="CMS61" s="4"/>
      <c r="CMT61" s="4"/>
      <c r="CMU61" s="4"/>
      <c r="CMV61" s="4"/>
      <c r="CMW61" s="4"/>
      <c r="CMX61" s="4"/>
      <c r="CMY61" s="4"/>
      <c r="CNB61" s="4"/>
      <c r="CNC61" s="4"/>
      <c r="CND61" s="4"/>
      <c r="CNE61" s="4"/>
      <c r="CNF61" s="4"/>
      <c r="CNG61" s="4"/>
      <c r="CNH61" s="4"/>
      <c r="CNI61" s="4"/>
      <c r="CNJ61" s="4"/>
      <c r="CNK61" s="4"/>
      <c r="CNN61" s="4"/>
      <c r="CNO61" s="4"/>
      <c r="CNP61" s="4"/>
      <c r="CNQ61" s="4"/>
      <c r="CNR61" s="4"/>
      <c r="CNS61" s="4"/>
      <c r="CNT61" s="4"/>
      <c r="CNU61" s="4"/>
      <c r="CNV61" s="4"/>
      <c r="CNW61" s="4"/>
      <c r="CNZ61" s="4"/>
      <c r="COA61" s="4"/>
      <c r="COB61" s="4"/>
      <c r="COC61" s="4"/>
      <c r="COD61" s="4"/>
      <c r="COE61" s="4"/>
      <c r="COF61" s="4"/>
      <c r="COG61" s="4"/>
      <c r="COH61" s="4"/>
      <c r="COI61" s="4"/>
      <c r="COL61" s="4"/>
      <c r="COM61" s="4"/>
      <c r="CON61" s="4"/>
      <c r="COO61" s="4"/>
      <c r="COP61" s="4"/>
      <c r="COQ61" s="4"/>
      <c r="COR61" s="4"/>
      <c r="COS61" s="4"/>
      <c r="COT61" s="4"/>
      <c r="COU61" s="4"/>
      <c r="COX61" s="4"/>
      <c r="COY61" s="4"/>
      <c r="COZ61" s="4"/>
      <c r="CPA61" s="4"/>
      <c r="CPB61" s="4"/>
      <c r="CPC61" s="4"/>
      <c r="CPD61" s="4"/>
      <c r="CPE61" s="4"/>
      <c r="CPF61" s="4"/>
      <c r="CPG61" s="4"/>
      <c r="CPJ61" s="4"/>
      <c r="CPK61" s="4"/>
      <c r="CPL61" s="4"/>
      <c r="CPM61" s="4"/>
      <c r="CPN61" s="4"/>
      <c r="CPO61" s="4"/>
      <c r="CPP61" s="4"/>
      <c r="CPQ61" s="4"/>
      <c r="CPR61" s="4"/>
      <c r="CPS61" s="4"/>
      <c r="CPV61" s="4"/>
      <c r="CPW61" s="4"/>
      <c r="CPX61" s="4"/>
      <c r="CPY61" s="4"/>
      <c r="CPZ61" s="4"/>
      <c r="CQA61" s="4"/>
      <c r="CQB61" s="4"/>
      <c r="CQC61" s="4"/>
      <c r="CQD61" s="4"/>
      <c r="CQE61" s="4"/>
      <c r="CQH61" s="4"/>
      <c r="CQI61" s="4"/>
      <c r="CQJ61" s="4"/>
      <c r="CQK61" s="4"/>
      <c r="CQL61" s="4"/>
      <c r="CQM61" s="4"/>
      <c r="CQN61" s="4"/>
      <c r="CQO61" s="4"/>
      <c r="CQP61" s="4"/>
      <c r="CQQ61" s="4"/>
      <c r="CQT61" s="4"/>
      <c r="CQU61" s="4"/>
      <c r="CQV61" s="4"/>
      <c r="CQW61" s="4"/>
      <c r="CQX61" s="4"/>
      <c r="CQY61" s="4"/>
      <c r="CQZ61" s="4"/>
      <c r="CRA61" s="4"/>
      <c r="CRB61" s="4"/>
      <c r="CRC61" s="4"/>
      <c r="CRF61" s="4"/>
      <c r="CRG61" s="4"/>
      <c r="CRH61" s="4"/>
      <c r="CRI61" s="4"/>
      <c r="CRJ61" s="4"/>
      <c r="CRK61" s="4"/>
      <c r="CRL61" s="4"/>
      <c r="CRM61" s="4"/>
      <c r="CRN61" s="4"/>
      <c r="CRO61" s="4"/>
      <c r="CRR61" s="4"/>
      <c r="CRS61" s="4"/>
      <c r="CRT61" s="4"/>
      <c r="CRU61" s="4"/>
      <c r="CRV61" s="4"/>
      <c r="CRW61" s="4"/>
      <c r="CRX61" s="4"/>
      <c r="CRY61" s="4"/>
      <c r="CRZ61" s="4"/>
      <c r="CSA61" s="4"/>
      <c r="CSD61" s="4"/>
      <c r="CSE61" s="4"/>
      <c r="CSF61" s="4"/>
      <c r="CSG61" s="4"/>
      <c r="CSH61" s="4"/>
      <c r="CSI61" s="4"/>
      <c r="CSJ61" s="4"/>
      <c r="CSK61" s="4"/>
      <c r="CSL61" s="4"/>
      <c r="CSM61" s="4"/>
      <c r="CSP61" s="4"/>
      <c r="CSQ61" s="4"/>
      <c r="CSR61" s="4"/>
      <c r="CSS61" s="4"/>
      <c r="CST61" s="4"/>
      <c r="CSU61" s="4"/>
      <c r="CSV61" s="4"/>
      <c r="CSW61" s="4"/>
      <c r="CSX61" s="4"/>
      <c r="CSY61" s="4"/>
      <c r="CTB61" s="4"/>
      <c r="CTC61" s="4"/>
      <c r="CTD61" s="4"/>
      <c r="CTE61" s="4"/>
      <c r="CTF61" s="4"/>
      <c r="CTG61" s="4"/>
      <c r="CTH61" s="4"/>
      <c r="CTI61" s="4"/>
      <c r="CTJ61" s="4"/>
      <c r="CTK61" s="4"/>
      <c r="CTN61" s="4"/>
      <c r="CTO61" s="4"/>
      <c r="CTP61" s="4"/>
      <c r="CTQ61" s="4"/>
      <c r="CTR61" s="4"/>
      <c r="CTS61" s="4"/>
      <c r="CTT61" s="4"/>
      <c r="CTU61" s="4"/>
      <c r="CTV61" s="4"/>
      <c r="CTW61" s="4"/>
      <c r="CTZ61" s="4"/>
      <c r="CUA61" s="4"/>
      <c r="CUB61" s="4"/>
      <c r="CUC61" s="4"/>
      <c r="CUD61" s="4"/>
      <c r="CUE61" s="4"/>
      <c r="CUF61" s="4"/>
      <c r="CUG61" s="4"/>
      <c r="CUH61" s="4"/>
      <c r="CUI61" s="4"/>
      <c r="CUL61" s="4"/>
      <c r="CUM61" s="4"/>
      <c r="CUN61" s="4"/>
      <c r="CUO61" s="4"/>
      <c r="CUP61" s="4"/>
      <c r="CUQ61" s="4"/>
      <c r="CUR61" s="4"/>
      <c r="CUS61" s="4"/>
      <c r="CUT61" s="4"/>
      <c r="CUU61" s="4"/>
      <c r="CUX61" s="4"/>
      <c r="CUY61" s="4"/>
      <c r="CUZ61" s="4"/>
      <c r="CVA61" s="4"/>
      <c r="CVB61" s="4"/>
      <c r="CVC61" s="4"/>
      <c r="CVD61" s="4"/>
      <c r="CVE61" s="4"/>
      <c r="CVF61" s="4"/>
      <c r="CVG61" s="4"/>
      <c r="CVJ61" s="4"/>
      <c r="CVK61" s="4"/>
      <c r="CVL61" s="4"/>
      <c r="CVM61" s="4"/>
      <c r="CVN61" s="4"/>
      <c r="CVO61" s="4"/>
      <c r="CVP61" s="4"/>
      <c r="CVQ61" s="4"/>
      <c r="CVR61" s="4"/>
      <c r="CVS61" s="4"/>
      <c r="CVV61" s="4"/>
      <c r="CVW61" s="4"/>
      <c r="CVX61" s="4"/>
      <c r="CVY61" s="4"/>
      <c r="CVZ61" s="4"/>
      <c r="CWA61" s="4"/>
      <c r="CWB61" s="4"/>
      <c r="CWC61" s="4"/>
      <c r="CWD61" s="4"/>
      <c r="CWE61" s="4"/>
    </row>
    <row r="62" spans="2:1023 1026:2631" x14ac:dyDescent="0.25"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F62" s="4"/>
      <c r="AJG62" s="4"/>
      <c r="AJH62" s="4"/>
      <c r="AJI62" s="4"/>
      <c r="AJJ62" s="4"/>
      <c r="AJK62" s="4"/>
      <c r="AJL62" s="4"/>
      <c r="AJM62" s="4"/>
      <c r="AJN62" s="4"/>
      <c r="AJO62" s="4"/>
      <c r="AJR62" s="4"/>
      <c r="AJS62" s="4"/>
      <c r="AJT62" s="4"/>
      <c r="AJU62" s="4"/>
      <c r="AJV62" s="4"/>
      <c r="AJW62" s="4"/>
      <c r="AJX62" s="4"/>
      <c r="AJY62" s="4"/>
      <c r="AJZ62" s="4"/>
      <c r="AKA62" s="4"/>
      <c r="AKD62" s="4"/>
      <c r="AKE62" s="4"/>
      <c r="AKF62" s="4"/>
      <c r="AKG62" s="4"/>
      <c r="AKH62" s="4"/>
      <c r="AKI62" s="4"/>
      <c r="AKJ62" s="4"/>
      <c r="AKK62" s="4"/>
      <c r="AKL62" s="4"/>
      <c r="AKM62" s="4"/>
      <c r="AKP62" s="4"/>
      <c r="AKQ62" s="4"/>
      <c r="AKR62" s="4"/>
      <c r="AKS62" s="4"/>
      <c r="AKT62" s="4"/>
      <c r="AKU62" s="4"/>
      <c r="AKV62" s="4"/>
      <c r="AKW62" s="4"/>
      <c r="AKX62" s="4"/>
      <c r="AKY62" s="4"/>
      <c r="ALB62" s="4"/>
      <c r="ALC62" s="4"/>
      <c r="ALD62" s="4"/>
      <c r="ALE62" s="4"/>
      <c r="ALF62" s="4"/>
      <c r="ALG62" s="4"/>
      <c r="ALH62" s="4"/>
      <c r="ALI62" s="4"/>
      <c r="ALJ62" s="4"/>
      <c r="ALK62" s="4"/>
      <c r="ALN62" s="4"/>
      <c r="ALO62" s="4"/>
      <c r="ALP62" s="4"/>
      <c r="ALQ62" s="4"/>
      <c r="ALR62" s="4"/>
      <c r="ALS62" s="4"/>
      <c r="ALT62" s="4"/>
      <c r="ALU62" s="4"/>
      <c r="ALV62" s="4"/>
      <c r="ALW62" s="4"/>
      <c r="ALZ62" s="4"/>
      <c r="AMA62" s="4"/>
      <c r="AMB62" s="4"/>
      <c r="AMC62" s="4"/>
      <c r="AMD62" s="4"/>
      <c r="AME62" s="4"/>
      <c r="AMF62" s="4"/>
      <c r="AMG62" s="4"/>
      <c r="AMH62" s="4"/>
      <c r="AMI62" s="4"/>
      <c r="AML62" s="4"/>
      <c r="AMM62" s="4"/>
      <c r="AMN62" s="4"/>
      <c r="AMO62" s="4"/>
      <c r="AMP62" s="4"/>
      <c r="AMQ62" s="4"/>
      <c r="AMR62" s="4"/>
      <c r="AMS62" s="4"/>
      <c r="AMT62" s="4"/>
      <c r="AMU62" s="4"/>
      <c r="AMX62" s="4"/>
      <c r="AMY62" s="4"/>
      <c r="AMZ62" s="4"/>
      <c r="ANA62" s="4"/>
      <c r="ANB62" s="4"/>
      <c r="ANC62" s="4"/>
      <c r="AND62" s="4"/>
      <c r="ANE62" s="4"/>
      <c r="ANF62" s="4"/>
      <c r="ANG62" s="4"/>
      <c r="ANJ62" s="4"/>
      <c r="ANK62" s="4"/>
      <c r="ANL62" s="4"/>
      <c r="ANM62" s="4"/>
      <c r="ANN62" s="4"/>
      <c r="ANO62" s="4"/>
      <c r="ANP62" s="4"/>
      <c r="ANQ62" s="4"/>
      <c r="ANR62" s="4"/>
      <c r="ANS62" s="4"/>
      <c r="ANV62" s="4"/>
      <c r="ANW62" s="4"/>
      <c r="ANX62" s="4"/>
      <c r="ANY62" s="4"/>
      <c r="ANZ62" s="4"/>
      <c r="AOA62" s="4"/>
      <c r="AOB62" s="4"/>
      <c r="AOC62" s="4"/>
      <c r="AOD62" s="4"/>
      <c r="AOE62" s="4"/>
      <c r="AOH62" s="4"/>
      <c r="AOI62" s="4"/>
      <c r="AOJ62" s="4"/>
      <c r="AOK62" s="4"/>
      <c r="AOL62" s="4"/>
      <c r="AOM62" s="4"/>
      <c r="AON62" s="4"/>
      <c r="AOO62" s="4"/>
      <c r="AOP62" s="4"/>
      <c r="AOQ62" s="4"/>
      <c r="AOT62" s="4"/>
      <c r="AOU62" s="4"/>
      <c r="AOV62" s="4"/>
      <c r="AOW62" s="4"/>
      <c r="AOX62" s="4"/>
      <c r="AOY62" s="4"/>
      <c r="AOZ62" s="4"/>
      <c r="APA62" s="4"/>
      <c r="APB62" s="4"/>
      <c r="APC62" s="4"/>
      <c r="APF62" s="4"/>
      <c r="APG62" s="4"/>
      <c r="APH62" s="4"/>
      <c r="API62" s="4"/>
      <c r="APJ62" s="4"/>
      <c r="APK62" s="4"/>
      <c r="APL62" s="4"/>
      <c r="APM62" s="4"/>
      <c r="APN62" s="4"/>
      <c r="APO62" s="4"/>
      <c r="APR62" s="4"/>
      <c r="APS62" s="4"/>
      <c r="APT62" s="4"/>
      <c r="APU62" s="4"/>
      <c r="APV62" s="4"/>
      <c r="APW62" s="4"/>
      <c r="APX62" s="4"/>
      <c r="APY62" s="4"/>
      <c r="APZ62" s="4"/>
      <c r="AQA62" s="4"/>
      <c r="AQD62" s="4"/>
      <c r="AQE62" s="4"/>
      <c r="AQF62" s="4"/>
      <c r="AQG62" s="4"/>
      <c r="AQH62" s="4"/>
      <c r="AQI62" s="4"/>
      <c r="AQJ62" s="4"/>
      <c r="AQK62" s="4"/>
      <c r="AQL62" s="4"/>
      <c r="AQM62" s="4"/>
      <c r="AQP62" s="4"/>
      <c r="AQQ62" s="4"/>
      <c r="AQR62" s="4"/>
      <c r="AQS62" s="4"/>
      <c r="AQT62" s="4"/>
      <c r="AQU62" s="4"/>
      <c r="AQV62" s="4"/>
      <c r="AQW62" s="4"/>
      <c r="AQX62" s="4"/>
      <c r="AQY62" s="4"/>
      <c r="ARB62" s="4"/>
      <c r="ARC62" s="4"/>
      <c r="ARD62" s="4"/>
      <c r="ARE62" s="4"/>
      <c r="ARF62" s="4"/>
      <c r="ARG62" s="4"/>
      <c r="ARH62" s="4"/>
      <c r="ARI62" s="4"/>
      <c r="ARJ62" s="4"/>
      <c r="ARK62" s="4"/>
      <c r="ARN62" s="4"/>
      <c r="ARO62" s="4"/>
      <c r="ARP62" s="4"/>
      <c r="ARQ62" s="4"/>
      <c r="ARR62" s="4"/>
      <c r="ARS62" s="4"/>
      <c r="ART62" s="4"/>
      <c r="ARU62" s="4"/>
      <c r="ARV62" s="4"/>
      <c r="ARW62" s="4"/>
      <c r="ARZ62" s="4"/>
      <c r="ASA62" s="4"/>
      <c r="ASB62" s="4"/>
      <c r="ASC62" s="4"/>
      <c r="ASD62" s="4"/>
      <c r="ASE62" s="4"/>
      <c r="ASF62" s="4"/>
      <c r="ASG62" s="4"/>
      <c r="ASH62" s="4"/>
      <c r="ASI62" s="4"/>
      <c r="ASL62" s="4"/>
      <c r="ASM62" s="4"/>
      <c r="ASN62" s="4"/>
      <c r="ASO62" s="4"/>
      <c r="ASP62" s="4"/>
      <c r="ASQ62" s="4"/>
      <c r="ASR62" s="4"/>
      <c r="ASS62" s="4"/>
      <c r="AST62" s="4"/>
      <c r="ASU62" s="4"/>
      <c r="ASX62" s="4"/>
      <c r="ASY62" s="4"/>
      <c r="ASZ62" s="4"/>
      <c r="ATA62" s="4"/>
      <c r="ATB62" s="4"/>
      <c r="ATC62" s="4"/>
      <c r="ATD62" s="4"/>
      <c r="ATE62" s="4"/>
      <c r="ATF62" s="4"/>
      <c r="ATG62" s="4"/>
      <c r="ATJ62" s="4"/>
      <c r="ATK62" s="4"/>
      <c r="ATL62" s="4"/>
      <c r="ATM62" s="4"/>
      <c r="ATN62" s="4"/>
      <c r="ATO62" s="4"/>
      <c r="ATP62" s="4"/>
      <c r="ATQ62" s="4"/>
      <c r="ATR62" s="4"/>
      <c r="ATS62" s="4"/>
      <c r="ATV62" s="4"/>
      <c r="ATW62" s="4"/>
      <c r="ATX62" s="4"/>
      <c r="ATY62" s="4"/>
      <c r="ATZ62" s="4"/>
      <c r="AUA62" s="4"/>
      <c r="AUB62" s="4"/>
      <c r="AUC62" s="4"/>
      <c r="AUD62" s="4"/>
      <c r="AUE62" s="4"/>
      <c r="AUH62" s="4"/>
      <c r="AUI62" s="4"/>
      <c r="AUJ62" s="4"/>
      <c r="AUK62" s="4"/>
      <c r="AUL62" s="4"/>
      <c r="AUM62" s="4"/>
      <c r="AUN62" s="4"/>
      <c r="AUO62" s="4"/>
      <c r="AUP62" s="4"/>
      <c r="AUQ62" s="4"/>
      <c r="AUT62" s="4"/>
      <c r="AUU62" s="4"/>
      <c r="AUV62" s="4"/>
      <c r="AUW62" s="4"/>
      <c r="AUX62" s="4"/>
      <c r="AUY62" s="4"/>
      <c r="AUZ62" s="4"/>
      <c r="AVA62" s="4"/>
      <c r="AVB62" s="4"/>
      <c r="AVC62" s="4"/>
      <c r="AVF62" s="4"/>
      <c r="AVG62" s="4"/>
      <c r="AVH62" s="4"/>
      <c r="AVI62" s="4"/>
      <c r="AVJ62" s="4"/>
      <c r="AVK62" s="4"/>
      <c r="AVL62" s="4"/>
      <c r="AVM62" s="4"/>
      <c r="AVN62" s="4"/>
      <c r="AVO62" s="4"/>
      <c r="AVR62" s="4"/>
      <c r="AVS62" s="4"/>
      <c r="AVT62" s="4"/>
      <c r="AVU62" s="4"/>
      <c r="AVV62" s="4"/>
      <c r="AVW62" s="4"/>
      <c r="AVX62" s="4"/>
      <c r="AVY62" s="4"/>
      <c r="AVZ62" s="4"/>
      <c r="AWA62" s="4"/>
      <c r="AWD62" s="4"/>
      <c r="AWE62" s="4"/>
      <c r="AWF62" s="4"/>
      <c r="AWG62" s="4"/>
      <c r="AWH62" s="4"/>
      <c r="AWI62" s="4"/>
      <c r="AWJ62" s="4"/>
      <c r="AWK62" s="4"/>
      <c r="AWL62" s="4"/>
      <c r="AWM62" s="4"/>
      <c r="AWP62" s="4"/>
      <c r="AWQ62" s="4"/>
      <c r="AWR62" s="4"/>
      <c r="AWS62" s="4"/>
      <c r="AWT62" s="4"/>
      <c r="AWU62" s="4"/>
      <c r="AWV62" s="4"/>
      <c r="AWW62" s="4"/>
      <c r="AWX62" s="4"/>
      <c r="AWY62" s="4"/>
      <c r="AXB62" s="4"/>
      <c r="AXC62" s="4"/>
      <c r="AXD62" s="4"/>
      <c r="AXE62" s="4"/>
      <c r="AXF62" s="4"/>
      <c r="AXG62" s="4"/>
      <c r="AXH62" s="4"/>
      <c r="AXI62" s="4"/>
      <c r="AXJ62" s="4"/>
      <c r="AXK62" s="4"/>
      <c r="AXN62" s="4"/>
      <c r="AXO62" s="4"/>
      <c r="AXP62" s="4"/>
      <c r="AXQ62" s="4"/>
      <c r="AXR62" s="4"/>
      <c r="AXS62" s="4"/>
      <c r="AXT62" s="4"/>
      <c r="AXU62" s="4"/>
      <c r="AXV62" s="4"/>
      <c r="AXW62" s="4"/>
      <c r="AXZ62" s="4"/>
      <c r="AYA62" s="4"/>
      <c r="AYB62" s="4"/>
      <c r="AYC62" s="4"/>
      <c r="AYD62" s="4"/>
      <c r="AYE62" s="4"/>
      <c r="AYF62" s="4"/>
      <c r="AYG62" s="4"/>
      <c r="AYH62" s="4"/>
      <c r="AYI62" s="4"/>
      <c r="AYL62" s="4"/>
      <c r="AYM62" s="4"/>
      <c r="AYN62" s="4"/>
      <c r="AYO62" s="4"/>
      <c r="AYP62" s="4"/>
      <c r="AYQ62" s="4"/>
      <c r="AYR62" s="4"/>
      <c r="AYS62" s="4"/>
      <c r="AYT62" s="4"/>
      <c r="AYU62" s="4"/>
      <c r="AYX62" s="4"/>
      <c r="AYY62" s="4"/>
      <c r="AYZ62" s="4"/>
      <c r="AZA62" s="4"/>
      <c r="AZB62" s="4"/>
      <c r="AZC62" s="4"/>
      <c r="AZD62" s="4"/>
      <c r="AZE62" s="4"/>
      <c r="AZF62" s="4"/>
      <c r="AZG62" s="4"/>
      <c r="AZJ62" s="4"/>
      <c r="AZK62" s="4"/>
      <c r="AZL62" s="4"/>
      <c r="AZM62" s="4"/>
      <c r="AZN62" s="4"/>
      <c r="AZO62" s="4"/>
      <c r="AZP62" s="4"/>
      <c r="AZQ62" s="4"/>
      <c r="AZR62" s="4"/>
      <c r="AZS62" s="4"/>
      <c r="AZV62" s="4"/>
      <c r="AZW62" s="4"/>
      <c r="AZX62" s="4"/>
      <c r="AZY62" s="4"/>
      <c r="AZZ62" s="4"/>
      <c r="BAA62" s="4"/>
      <c r="BAB62" s="4"/>
      <c r="BAC62" s="4"/>
      <c r="BAD62" s="4"/>
      <c r="BAE62" s="4"/>
      <c r="BAH62" s="4"/>
      <c r="BAI62" s="4"/>
      <c r="BAJ62" s="4"/>
      <c r="BAK62" s="4"/>
      <c r="BAL62" s="4"/>
      <c r="BAM62" s="4"/>
      <c r="BAN62" s="4"/>
      <c r="BAO62" s="4"/>
      <c r="BAP62" s="4"/>
      <c r="BAQ62" s="4"/>
      <c r="BAT62" s="4"/>
      <c r="BAU62" s="4"/>
      <c r="BAV62" s="4"/>
      <c r="BAW62" s="4"/>
      <c r="BAX62" s="4"/>
      <c r="BAY62" s="4"/>
      <c r="BAZ62" s="4"/>
      <c r="BBA62" s="4"/>
      <c r="BBB62" s="4"/>
      <c r="BBC62" s="4"/>
      <c r="BBF62" s="4"/>
      <c r="BBG62" s="4"/>
      <c r="BBH62" s="4"/>
      <c r="BBI62" s="4"/>
      <c r="BBJ62" s="4"/>
      <c r="BBK62" s="4"/>
      <c r="BBL62" s="4"/>
      <c r="BBM62" s="4"/>
      <c r="BBN62" s="4"/>
      <c r="BBO62" s="4"/>
      <c r="BBR62" s="4"/>
      <c r="BBS62" s="4"/>
      <c r="BBT62" s="4"/>
      <c r="BBU62" s="4"/>
      <c r="BBV62" s="4"/>
      <c r="BBW62" s="4"/>
      <c r="BBX62" s="4"/>
      <c r="BBY62" s="4"/>
      <c r="BBZ62" s="4"/>
      <c r="BCA62" s="4"/>
      <c r="BCD62" s="4"/>
      <c r="BCE62" s="4"/>
      <c r="BCF62" s="4"/>
      <c r="BCG62" s="4"/>
      <c r="BCH62" s="4"/>
      <c r="BCI62" s="4"/>
      <c r="BCJ62" s="4"/>
      <c r="BCK62" s="4"/>
      <c r="BCL62" s="4"/>
      <c r="BCM62" s="4"/>
      <c r="BCP62" s="4"/>
      <c r="BCQ62" s="4"/>
      <c r="BCR62" s="4"/>
      <c r="BCS62" s="4"/>
      <c r="BCT62" s="4"/>
      <c r="BCU62" s="4"/>
      <c r="BCV62" s="4"/>
      <c r="BCW62" s="4"/>
      <c r="BCX62" s="4"/>
      <c r="BCY62" s="4"/>
      <c r="BDB62" s="4"/>
      <c r="BDC62" s="4"/>
      <c r="BDD62" s="4"/>
      <c r="BDE62" s="4"/>
      <c r="BDF62" s="4"/>
      <c r="BDG62" s="4"/>
      <c r="BDH62" s="4"/>
      <c r="BDI62" s="4"/>
      <c r="BDJ62" s="4"/>
      <c r="BDK62" s="4"/>
      <c r="BDN62" s="4"/>
      <c r="BDO62" s="4"/>
      <c r="BDP62" s="4"/>
      <c r="BDQ62" s="4"/>
      <c r="BDR62" s="4"/>
      <c r="BDS62" s="4"/>
      <c r="BDT62" s="4"/>
      <c r="BDU62" s="4"/>
      <c r="BDV62" s="4"/>
      <c r="BDW62" s="4"/>
      <c r="BDZ62" s="4"/>
      <c r="BEA62" s="4"/>
      <c r="BEB62" s="4"/>
      <c r="BEC62" s="4"/>
      <c r="BED62" s="4"/>
      <c r="BEE62" s="4"/>
      <c r="BEF62" s="4"/>
      <c r="BEG62" s="4"/>
      <c r="BEH62" s="4"/>
      <c r="BEI62" s="4"/>
      <c r="BEL62" s="4"/>
      <c r="BEM62" s="4"/>
      <c r="BEN62" s="4"/>
      <c r="BEO62" s="4"/>
      <c r="BEP62" s="4"/>
      <c r="BEQ62" s="4"/>
      <c r="BER62" s="4"/>
      <c r="BES62" s="4"/>
      <c r="BET62" s="4"/>
      <c r="BEU62" s="4"/>
      <c r="BEX62" s="4"/>
      <c r="BEY62" s="4"/>
      <c r="BEZ62" s="4"/>
      <c r="BFA62" s="4"/>
      <c r="BFB62" s="4"/>
      <c r="BFC62" s="4"/>
      <c r="BFD62" s="4"/>
      <c r="BFE62" s="4"/>
      <c r="BFF62" s="4"/>
      <c r="BFG62" s="4"/>
      <c r="BFJ62" s="4"/>
      <c r="BFK62" s="4"/>
      <c r="BFL62" s="4"/>
      <c r="BFM62" s="4"/>
      <c r="BFN62" s="4"/>
      <c r="BFO62" s="4"/>
      <c r="BFP62" s="4"/>
      <c r="BFQ62" s="4"/>
      <c r="BFR62" s="4"/>
      <c r="BFS62" s="4"/>
      <c r="BFV62" s="4"/>
      <c r="BFW62" s="4"/>
      <c r="BFX62" s="4"/>
      <c r="BFY62" s="4"/>
      <c r="BFZ62" s="4"/>
      <c r="BGA62" s="4"/>
      <c r="BGB62" s="4"/>
      <c r="BGC62" s="4"/>
      <c r="BGD62" s="4"/>
      <c r="BGE62" s="4"/>
      <c r="BGH62" s="4"/>
      <c r="BGI62" s="4"/>
      <c r="BGJ62" s="4"/>
      <c r="BGK62" s="4"/>
      <c r="BGL62" s="4"/>
      <c r="BGM62" s="4"/>
      <c r="BGN62" s="4"/>
      <c r="BGO62" s="4"/>
      <c r="BGP62" s="4"/>
      <c r="BGQ62" s="4"/>
      <c r="BGT62" s="4"/>
      <c r="BGU62" s="4"/>
      <c r="BGV62" s="4"/>
      <c r="BGW62" s="4"/>
      <c r="BGX62" s="4"/>
      <c r="BGY62" s="4"/>
      <c r="BGZ62" s="4"/>
      <c r="BHA62" s="4"/>
      <c r="BHB62" s="4"/>
      <c r="BHC62" s="4"/>
      <c r="BHF62" s="4"/>
      <c r="BHG62" s="4"/>
      <c r="BHH62" s="4"/>
      <c r="BHI62" s="4"/>
      <c r="BHJ62" s="4"/>
      <c r="BHK62" s="4"/>
      <c r="BHL62" s="4"/>
      <c r="BHM62" s="4"/>
      <c r="BHN62" s="4"/>
      <c r="BHO62" s="4"/>
      <c r="BHR62" s="4"/>
      <c r="BHS62" s="4"/>
      <c r="BHT62" s="4"/>
      <c r="BHU62" s="4"/>
      <c r="BHV62" s="4"/>
      <c r="BHW62" s="4"/>
      <c r="BHX62" s="4"/>
      <c r="BHY62" s="4"/>
      <c r="BHZ62" s="4"/>
      <c r="BIA62" s="4"/>
      <c r="BID62" s="4"/>
      <c r="BIE62" s="4"/>
      <c r="BIF62" s="4"/>
      <c r="BIG62" s="4"/>
      <c r="BIH62" s="4"/>
      <c r="BII62" s="4"/>
      <c r="BIJ62" s="4"/>
      <c r="BIK62" s="4"/>
      <c r="BIL62" s="4"/>
      <c r="BIM62" s="4"/>
      <c r="BIP62" s="4"/>
      <c r="BIQ62" s="4"/>
      <c r="BIR62" s="4"/>
      <c r="BIS62" s="4"/>
      <c r="BIT62" s="4"/>
      <c r="BIU62" s="4"/>
      <c r="BIV62" s="4"/>
      <c r="BIW62" s="4"/>
      <c r="BIX62" s="4"/>
      <c r="BIY62" s="4"/>
      <c r="BJB62" s="4"/>
      <c r="BJC62" s="4"/>
      <c r="BJD62" s="4"/>
      <c r="BJE62" s="4"/>
      <c r="BJF62" s="4"/>
      <c r="BJG62" s="4"/>
      <c r="BJH62" s="4"/>
      <c r="BJI62" s="4"/>
      <c r="BJJ62" s="4"/>
      <c r="BJK62" s="4"/>
      <c r="BJN62" s="4"/>
      <c r="BJO62" s="4"/>
      <c r="BJP62" s="4"/>
      <c r="BJQ62" s="4"/>
      <c r="BJR62" s="4"/>
      <c r="BJS62" s="4"/>
      <c r="BJT62" s="4"/>
      <c r="BJU62" s="4"/>
      <c r="BJV62" s="4"/>
      <c r="BJW62" s="4"/>
      <c r="BJZ62" s="4"/>
      <c r="BKA62" s="4"/>
      <c r="BKB62" s="4"/>
      <c r="BKC62" s="4"/>
      <c r="BKD62" s="4"/>
      <c r="BKE62" s="4"/>
      <c r="BKF62" s="4"/>
      <c r="BKG62" s="4"/>
      <c r="BKH62" s="4"/>
      <c r="BKI62" s="4"/>
      <c r="BKL62" s="4"/>
      <c r="BKM62" s="4"/>
      <c r="BKN62" s="4"/>
      <c r="BKO62" s="4"/>
      <c r="BKP62" s="4"/>
      <c r="BKQ62" s="4"/>
      <c r="BKR62" s="4"/>
      <c r="BKS62" s="4"/>
      <c r="BKT62" s="4"/>
      <c r="BKU62" s="4"/>
      <c r="BKX62" s="4"/>
      <c r="BKY62" s="4"/>
      <c r="BKZ62" s="4"/>
      <c r="BLA62" s="4"/>
      <c r="BLB62" s="4"/>
      <c r="BLC62" s="4"/>
      <c r="BLD62" s="4"/>
      <c r="BLE62" s="4"/>
      <c r="BLF62" s="4"/>
      <c r="BLG62" s="4"/>
      <c r="BLJ62" s="4"/>
      <c r="BLK62" s="4"/>
      <c r="BLL62" s="4"/>
      <c r="BLM62" s="4"/>
      <c r="BLN62" s="4"/>
      <c r="BLO62" s="4"/>
      <c r="BLP62" s="4"/>
      <c r="BLQ62" s="4"/>
      <c r="BLR62" s="4"/>
      <c r="BLS62" s="4"/>
      <c r="BLV62" s="4"/>
      <c r="BLW62" s="4"/>
      <c r="BLX62" s="4"/>
      <c r="BLY62" s="4"/>
      <c r="BLZ62" s="4"/>
      <c r="BMA62" s="4"/>
      <c r="BMB62" s="4"/>
      <c r="BMC62" s="4"/>
      <c r="BMD62" s="4"/>
      <c r="BME62" s="4"/>
      <c r="BMH62" s="4"/>
      <c r="BMI62" s="4"/>
      <c r="BMJ62" s="4"/>
      <c r="BMK62" s="4"/>
      <c r="BML62" s="4"/>
      <c r="BMM62" s="4"/>
      <c r="BMN62" s="4"/>
      <c r="BMO62" s="4"/>
      <c r="BMP62" s="4"/>
      <c r="BMQ62" s="4"/>
      <c r="BMT62" s="4"/>
      <c r="BMU62" s="4"/>
      <c r="BMV62" s="4"/>
      <c r="BMW62" s="4"/>
      <c r="BMX62" s="4"/>
      <c r="BMY62" s="4"/>
      <c r="BMZ62" s="4"/>
      <c r="BNA62" s="4"/>
      <c r="BNB62" s="4"/>
      <c r="BNC62" s="4"/>
      <c r="BNF62" s="4"/>
      <c r="BNG62" s="4"/>
      <c r="BNH62" s="4"/>
      <c r="BNI62" s="4"/>
      <c r="BNJ62" s="4"/>
      <c r="BNK62" s="4"/>
      <c r="BNL62" s="4"/>
      <c r="BNM62" s="4"/>
      <c r="BNN62" s="4"/>
      <c r="BNO62" s="4"/>
      <c r="BNR62" s="4"/>
      <c r="BNS62" s="4"/>
      <c r="BNT62" s="4"/>
      <c r="BNU62" s="4"/>
      <c r="BNV62" s="4"/>
      <c r="BNW62" s="4"/>
      <c r="BNX62" s="4"/>
      <c r="BNY62" s="4"/>
      <c r="BNZ62" s="4"/>
      <c r="BOA62" s="4"/>
      <c r="BOD62" s="4"/>
      <c r="BOE62" s="4"/>
      <c r="BOF62" s="4"/>
      <c r="BOG62" s="4"/>
      <c r="BOH62" s="4"/>
      <c r="BOI62" s="4"/>
      <c r="BOJ62" s="4"/>
      <c r="BOK62" s="4"/>
      <c r="BOL62" s="4"/>
      <c r="BOM62" s="4"/>
      <c r="BOP62" s="4"/>
      <c r="BOQ62" s="4"/>
      <c r="BOR62" s="4"/>
      <c r="BOS62" s="4"/>
      <c r="BOT62" s="4"/>
      <c r="BOU62" s="4"/>
      <c r="BOV62" s="4"/>
      <c r="BOW62" s="4"/>
      <c r="BOX62" s="4"/>
      <c r="BOY62" s="4"/>
      <c r="BPB62" s="4"/>
      <c r="BPC62" s="4"/>
      <c r="BPD62" s="4"/>
      <c r="BPE62" s="4"/>
      <c r="BPF62" s="4"/>
      <c r="BPG62" s="4"/>
      <c r="BPH62" s="4"/>
      <c r="BPI62" s="4"/>
      <c r="BPJ62" s="4"/>
      <c r="BPK62" s="4"/>
      <c r="BPN62" s="4"/>
      <c r="BPO62" s="4"/>
      <c r="BPP62" s="4"/>
      <c r="BPQ62" s="4"/>
      <c r="BPR62" s="4"/>
      <c r="BPS62" s="4"/>
      <c r="BPT62" s="4"/>
      <c r="BPU62" s="4"/>
      <c r="BPV62" s="4"/>
      <c r="BPW62" s="4"/>
      <c r="BPZ62" s="4"/>
      <c r="BQA62" s="4"/>
      <c r="BQB62" s="4"/>
      <c r="BQC62" s="4"/>
      <c r="BQD62" s="4"/>
      <c r="BQE62" s="4"/>
      <c r="BQF62" s="4"/>
      <c r="BQG62" s="4"/>
      <c r="BQH62" s="4"/>
      <c r="BQI62" s="4"/>
      <c r="BQL62" s="4"/>
      <c r="BQM62" s="4"/>
      <c r="BQN62" s="4"/>
      <c r="BQO62" s="4"/>
      <c r="BQP62" s="4"/>
      <c r="BQQ62" s="4"/>
      <c r="BQR62" s="4"/>
      <c r="BQS62" s="4"/>
      <c r="BQT62" s="4"/>
      <c r="BQU62" s="4"/>
      <c r="BQX62" s="4"/>
      <c r="BQY62" s="4"/>
      <c r="BQZ62" s="4"/>
      <c r="BRA62" s="4"/>
      <c r="BRB62" s="4"/>
      <c r="BRC62" s="4"/>
      <c r="BRD62" s="4"/>
      <c r="BRE62" s="4"/>
      <c r="BRF62" s="4"/>
      <c r="BRG62" s="4"/>
      <c r="BRJ62" s="4"/>
      <c r="BRK62" s="4"/>
      <c r="BRL62" s="4"/>
      <c r="BRM62" s="4"/>
      <c r="BRN62" s="4"/>
      <c r="BRO62" s="4"/>
      <c r="BRP62" s="4"/>
      <c r="BRQ62" s="4"/>
      <c r="BRR62" s="4"/>
      <c r="BRS62" s="4"/>
      <c r="BRV62" s="4"/>
      <c r="BRW62" s="4"/>
      <c r="BRX62" s="4"/>
      <c r="BRY62" s="4"/>
      <c r="BRZ62" s="4"/>
      <c r="BSA62" s="4"/>
      <c r="BSB62" s="4"/>
      <c r="BSC62" s="4"/>
      <c r="BSD62" s="4"/>
      <c r="BSE62" s="4"/>
      <c r="BSH62" s="4"/>
      <c r="BSI62" s="4"/>
      <c r="BSJ62" s="4"/>
      <c r="BSK62" s="4"/>
      <c r="BSL62" s="4"/>
      <c r="BSM62" s="4"/>
      <c r="BSN62" s="4"/>
      <c r="BSO62" s="4"/>
      <c r="BSP62" s="4"/>
      <c r="BSQ62" s="4"/>
      <c r="BST62" s="4"/>
      <c r="BSU62" s="4"/>
      <c r="BSV62" s="4"/>
      <c r="BSW62" s="4"/>
      <c r="BSX62" s="4"/>
      <c r="BSY62" s="4"/>
      <c r="BSZ62" s="4"/>
      <c r="BTA62" s="4"/>
      <c r="BTB62" s="4"/>
      <c r="BTC62" s="4"/>
      <c r="BTF62" s="4"/>
      <c r="BTG62" s="4"/>
      <c r="BTH62" s="4"/>
      <c r="BTI62" s="4"/>
      <c r="BTJ62" s="4"/>
      <c r="BTK62" s="4"/>
      <c r="BTL62" s="4"/>
      <c r="BTM62" s="4"/>
      <c r="BTN62" s="4"/>
      <c r="BTO62" s="4"/>
      <c r="BTR62" s="4"/>
      <c r="BTS62" s="4"/>
      <c r="BTT62" s="4"/>
      <c r="BTU62" s="4"/>
      <c r="BTV62" s="4"/>
      <c r="BTW62" s="4"/>
      <c r="BTX62" s="4"/>
      <c r="BTY62" s="4"/>
      <c r="BTZ62" s="4"/>
      <c r="BUA62" s="4"/>
      <c r="BUD62" s="4"/>
      <c r="BUE62" s="4"/>
      <c r="BUF62" s="4"/>
      <c r="BUG62" s="4"/>
      <c r="BUH62" s="4"/>
      <c r="BUI62" s="4"/>
      <c r="BUJ62" s="4"/>
      <c r="BUK62" s="4"/>
      <c r="BUL62" s="4"/>
      <c r="BUM62" s="4"/>
      <c r="BUP62" s="4"/>
      <c r="BUQ62" s="4"/>
      <c r="BUR62" s="4"/>
      <c r="BUS62" s="4"/>
      <c r="BUT62" s="4"/>
      <c r="BUU62" s="4"/>
      <c r="BUV62" s="4"/>
      <c r="BUW62" s="4"/>
      <c r="BUX62" s="4"/>
      <c r="BUY62" s="4"/>
      <c r="BVB62" s="4"/>
      <c r="BVC62" s="4"/>
      <c r="BVD62" s="4"/>
      <c r="BVE62" s="4"/>
      <c r="BVF62" s="4"/>
      <c r="BVG62" s="4"/>
      <c r="BVH62" s="4"/>
      <c r="BVI62" s="4"/>
      <c r="BVJ62" s="4"/>
      <c r="BVK62" s="4"/>
      <c r="BVN62" s="4"/>
      <c r="BVO62" s="4"/>
      <c r="BVP62" s="4"/>
      <c r="BVQ62" s="4"/>
      <c r="BVR62" s="4"/>
      <c r="BVS62" s="4"/>
      <c r="BVT62" s="4"/>
      <c r="BVU62" s="4"/>
      <c r="BVV62" s="4"/>
      <c r="BVW62" s="4"/>
      <c r="BVZ62" s="4"/>
      <c r="BWA62" s="4"/>
      <c r="BWB62" s="4"/>
      <c r="BWC62" s="4"/>
      <c r="BWD62" s="4"/>
      <c r="BWE62" s="4"/>
      <c r="BWF62" s="4"/>
      <c r="BWG62" s="4"/>
      <c r="BWH62" s="4"/>
      <c r="BWI62" s="4"/>
      <c r="BWL62" s="4"/>
      <c r="BWM62" s="4"/>
      <c r="BWN62" s="4"/>
      <c r="BWO62" s="4"/>
      <c r="BWP62" s="4"/>
      <c r="BWQ62" s="4"/>
      <c r="BWR62" s="4"/>
      <c r="BWS62" s="4"/>
      <c r="BWT62" s="4"/>
      <c r="BWU62" s="4"/>
      <c r="BWX62" s="4"/>
      <c r="BWY62" s="4"/>
      <c r="BWZ62" s="4"/>
      <c r="BXA62" s="4"/>
      <c r="BXB62" s="4"/>
      <c r="BXC62" s="4"/>
      <c r="BXD62" s="4"/>
      <c r="BXE62" s="4"/>
      <c r="BXF62" s="4"/>
      <c r="BXG62" s="4"/>
      <c r="BXJ62" s="4"/>
      <c r="BXK62" s="4"/>
      <c r="BXL62" s="4"/>
      <c r="BXM62" s="4"/>
      <c r="BXN62" s="4"/>
      <c r="BXO62" s="4"/>
      <c r="BXP62" s="4"/>
      <c r="BXQ62" s="4"/>
      <c r="BXR62" s="4"/>
      <c r="BXS62" s="4"/>
      <c r="BXV62" s="4"/>
      <c r="BXW62" s="4"/>
      <c r="BXX62" s="4"/>
      <c r="BXY62" s="4"/>
      <c r="BXZ62" s="4"/>
      <c r="BYA62" s="4"/>
      <c r="BYB62" s="4"/>
      <c r="BYC62" s="4"/>
      <c r="BYD62" s="4"/>
      <c r="BYE62" s="4"/>
      <c r="BYH62" s="4"/>
      <c r="BYI62" s="4"/>
      <c r="BYJ62" s="4"/>
      <c r="BYK62" s="4"/>
      <c r="BYL62" s="4"/>
      <c r="BYM62" s="4"/>
      <c r="BYN62" s="4"/>
      <c r="BYO62" s="4"/>
      <c r="BYP62" s="4"/>
      <c r="BYQ62" s="4"/>
      <c r="BYT62" s="4"/>
      <c r="BYU62" s="4"/>
      <c r="BYV62" s="4"/>
      <c r="BYW62" s="4"/>
      <c r="BYX62" s="4"/>
      <c r="BYY62" s="4"/>
      <c r="BYZ62" s="4"/>
      <c r="BZA62" s="4"/>
      <c r="BZB62" s="4"/>
      <c r="BZC62" s="4"/>
      <c r="BZF62" s="4"/>
      <c r="BZG62" s="4"/>
      <c r="BZH62" s="4"/>
      <c r="BZI62" s="4"/>
      <c r="BZJ62" s="4"/>
      <c r="BZK62" s="4"/>
      <c r="BZL62" s="4"/>
      <c r="BZM62" s="4"/>
      <c r="BZN62" s="4"/>
      <c r="BZO62" s="4"/>
      <c r="BZR62" s="4"/>
      <c r="BZS62" s="4"/>
      <c r="BZT62" s="4"/>
      <c r="BZU62" s="4"/>
      <c r="BZV62" s="4"/>
      <c r="BZW62" s="4"/>
      <c r="BZX62" s="4"/>
      <c r="BZY62" s="4"/>
      <c r="BZZ62" s="4"/>
      <c r="CAA62" s="4"/>
      <c r="CAD62" s="4"/>
      <c r="CAE62" s="4"/>
      <c r="CAF62" s="4"/>
      <c r="CAG62" s="4"/>
      <c r="CAH62" s="4"/>
      <c r="CAI62" s="4"/>
      <c r="CAJ62" s="4"/>
      <c r="CAK62" s="4"/>
      <c r="CAL62" s="4"/>
      <c r="CAM62" s="4"/>
      <c r="CAP62" s="4"/>
      <c r="CAQ62" s="4"/>
      <c r="CAR62" s="4"/>
      <c r="CAS62" s="4"/>
      <c r="CAT62" s="4"/>
      <c r="CAU62" s="4"/>
      <c r="CAV62" s="4"/>
      <c r="CAW62" s="4"/>
      <c r="CAX62" s="4"/>
      <c r="CAY62" s="4"/>
      <c r="CBB62" s="4"/>
      <c r="CBC62" s="4"/>
      <c r="CBD62" s="4"/>
      <c r="CBE62" s="4"/>
      <c r="CBF62" s="4"/>
      <c r="CBG62" s="4"/>
      <c r="CBH62" s="4"/>
      <c r="CBI62" s="4"/>
      <c r="CBJ62" s="4"/>
      <c r="CBK62" s="4"/>
      <c r="CBN62" s="4"/>
      <c r="CBO62" s="4"/>
      <c r="CBP62" s="4"/>
      <c r="CBQ62" s="4"/>
      <c r="CBR62" s="4"/>
      <c r="CBS62" s="4"/>
      <c r="CBT62" s="4"/>
      <c r="CBU62" s="4"/>
      <c r="CBV62" s="4"/>
      <c r="CBW62" s="4"/>
      <c r="CBZ62" s="4"/>
      <c r="CCA62" s="4"/>
      <c r="CCB62" s="4"/>
      <c r="CCC62" s="4"/>
      <c r="CCD62" s="4"/>
      <c r="CCE62" s="4"/>
      <c r="CCF62" s="4"/>
      <c r="CCG62" s="4"/>
      <c r="CCH62" s="4"/>
      <c r="CCI62" s="4"/>
      <c r="CCL62" s="4"/>
      <c r="CCM62" s="4"/>
      <c r="CCN62" s="4"/>
      <c r="CCO62" s="4"/>
      <c r="CCP62" s="4"/>
      <c r="CCQ62" s="4"/>
      <c r="CCR62" s="4"/>
      <c r="CCS62" s="4"/>
      <c r="CCT62" s="4"/>
      <c r="CCU62" s="4"/>
      <c r="CCX62" s="4"/>
      <c r="CCY62" s="4"/>
      <c r="CCZ62" s="4"/>
      <c r="CDA62" s="4"/>
      <c r="CDB62" s="4"/>
      <c r="CDC62" s="4"/>
      <c r="CDD62" s="4"/>
      <c r="CDE62" s="4"/>
      <c r="CDF62" s="4"/>
      <c r="CDG62" s="4"/>
      <c r="CDJ62" s="4"/>
      <c r="CDK62" s="4"/>
      <c r="CDL62" s="4"/>
      <c r="CDM62" s="4"/>
      <c r="CDN62" s="4"/>
      <c r="CDO62" s="4"/>
      <c r="CDP62" s="4"/>
      <c r="CDQ62" s="4"/>
      <c r="CDR62" s="4"/>
      <c r="CDS62" s="4"/>
      <c r="CDV62" s="4"/>
      <c r="CDW62" s="4"/>
      <c r="CDX62" s="4"/>
      <c r="CDY62" s="4"/>
      <c r="CDZ62" s="4"/>
      <c r="CEA62" s="4"/>
      <c r="CEB62" s="4"/>
      <c r="CEC62" s="4"/>
      <c r="CED62" s="4"/>
      <c r="CEE62" s="4"/>
      <c r="CEH62" s="4"/>
      <c r="CEI62" s="4"/>
      <c r="CEJ62" s="4"/>
      <c r="CEK62" s="4"/>
      <c r="CEL62" s="4"/>
      <c r="CEM62" s="4"/>
      <c r="CEN62" s="4"/>
      <c r="CEO62" s="4"/>
      <c r="CEP62" s="4"/>
      <c r="CEQ62" s="4"/>
      <c r="CET62" s="4"/>
      <c r="CEU62" s="4"/>
      <c r="CEV62" s="4"/>
      <c r="CEW62" s="4"/>
      <c r="CEX62" s="4"/>
      <c r="CEY62" s="4"/>
      <c r="CEZ62" s="4"/>
      <c r="CFA62" s="4"/>
      <c r="CFB62" s="4"/>
      <c r="CFC62" s="4"/>
      <c r="CFF62" s="4"/>
      <c r="CFG62" s="4"/>
      <c r="CFH62" s="4"/>
      <c r="CFI62" s="4"/>
      <c r="CFJ62" s="4"/>
      <c r="CFK62" s="4"/>
      <c r="CFL62" s="4"/>
      <c r="CFM62" s="4"/>
      <c r="CFN62" s="4"/>
      <c r="CFO62" s="4"/>
      <c r="CFR62" s="4"/>
      <c r="CFS62" s="4"/>
      <c r="CFT62" s="4"/>
      <c r="CFU62" s="4"/>
      <c r="CFV62" s="4"/>
      <c r="CFW62" s="4"/>
      <c r="CFX62" s="4"/>
      <c r="CFY62" s="4"/>
      <c r="CFZ62" s="4"/>
      <c r="CGA62" s="4"/>
      <c r="CGD62" s="4"/>
      <c r="CGE62" s="4"/>
      <c r="CGF62" s="4"/>
      <c r="CGG62" s="4"/>
      <c r="CGH62" s="4"/>
      <c r="CGI62" s="4"/>
      <c r="CGJ62" s="4"/>
      <c r="CGK62" s="4"/>
      <c r="CGL62" s="4"/>
      <c r="CGM62" s="4"/>
      <c r="CGP62" s="4"/>
      <c r="CGQ62" s="4"/>
      <c r="CGR62" s="4"/>
      <c r="CGS62" s="4"/>
      <c r="CGT62" s="4"/>
      <c r="CGU62" s="4"/>
      <c r="CGV62" s="4"/>
      <c r="CGW62" s="4"/>
      <c r="CGX62" s="4"/>
      <c r="CGY62" s="4"/>
      <c r="CHB62" s="4"/>
      <c r="CHC62" s="4"/>
      <c r="CHD62" s="4"/>
      <c r="CHE62" s="4"/>
      <c r="CHF62" s="4"/>
      <c r="CHG62" s="4"/>
      <c r="CHH62" s="4"/>
      <c r="CHI62" s="4"/>
      <c r="CHJ62" s="4"/>
      <c r="CHK62" s="4"/>
      <c r="CHN62" s="4"/>
      <c r="CHO62" s="4"/>
      <c r="CHP62" s="4"/>
      <c r="CHQ62" s="4"/>
      <c r="CHR62" s="4"/>
      <c r="CHS62" s="4"/>
      <c r="CHT62" s="4"/>
      <c r="CHU62" s="4"/>
      <c r="CHV62" s="4"/>
      <c r="CHW62" s="4"/>
      <c r="CHZ62" s="4"/>
      <c r="CIA62" s="4"/>
      <c r="CIB62" s="4"/>
      <c r="CIC62" s="4"/>
      <c r="CID62" s="4"/>
      <c r="CIE62" s="4"/>
      <c r="CIF62" s="4"/>
      <c r="CIG62" s="4"/>
      <c r="CIH62" s="4"/>
      <c r="CII62" s="4"/>
      <c r="CIL62" s="4"/>
      <c r="CIM62" s="4"/>
      <c r="CIN62" s="4"/>
      <c r="CIO62" s="4"/>
      <c r="CIP62" s="4"/>
      <c r="CIQ62" s="4"/>
      <c r="CIR62" s="4"/>
      <c r="CIS62" s="4"/>
      <c r="CIT62" s="4"/>
      <c r="CIU62" s="4"/>
      <c r="CIX62" s="4"/>
      <c r="CIY62" s="4"/>
      <c r="CIZ62" s="4"/>
      <c r="CJA62" s="4"/>
      <c r="CJB62" s="4"/>
      <c r="CJC62" s="4"/>
      <c r="CJD62" s="4"/>
      <c r="CJE62" s="4"/>
      <c r="CJF62" s="4"/>
      <c r="CJG62" s="4"/>
      <c r="CJJ62" s="4"/>
      <c r="CJK62" s="4"/>
      <c r="CJL62" s="4"/>
      <c r="CJM62" s="4"/>
      <c r="CJN62" s="4"/>
      <c r="CJO62" s="4"/>
      <c r="CJP62" s="4"/>
      <c r="CJQ62" s="4"/>
      <c r="CJR62" s="4"/>
      <c r="CJS62" s="4"/>
      <c r="CJV62" s="4"/>
      <c r="CJW62" s="4"/>
      <c r="CJX62" s="4"/>
      <c r="CJY62" s="4"/>
      <c r="CJZ62" s="4"/>
      <c r="CKA62" s="4"/>
      <c r="CKB62" s="4"/>
      <c r="CKC62" s="4"/>
      <c r="CKD62" s="4"/>
      <c r="CKE62" s="4"/>
      <c r="CKH62" s="4"/>
      <c r="CKI62" s="4"/>
      <c r="CKJ62" s="4"/>
      <c r="CKK62" s="4"/>
      <c r="CKL62" s="4"/>
      <c r="CKM62" s="4"/>
      <c r="CKN62" s="4"/>
      <c r="CKO62" s="4"/>
      <c r="CKP62" s="4"/>
      <c r="CKQ62" s="4"/>
      <c r="CKT62" s="4"/>
      <c r="CKU62" s="4"/>
      <c r="CKV62" s="4"/>
      <c r="CKW62" s="4"/>
      <c r="CKX62" s="4"/>
      <c r="CKY62" s="4"/>
      <c r="CKZ62" s="4"/>
      <c r="CLA62" s="4"/>
      <c r="CLB62" s="4"/>
      <c r="CLC62" s="4"/>
      <c r="CLF62" s="4"/>
      <c r="CLG62" s="4"/>
      <c r="CLH62" s="4"/>
      <c r="CLI62" s="4"/>
      <c r="CLJ62" s="4"/>
      <c r="CLK62" s="4"/>
      <c r="CLL62" s="4"/>
      <c r="CLM62" s="4"/>
      <c r="CLN62" s="4"/>
      <c r="CLO62" s="4"/>
      <c r="CLR62" s="4"/>
      <c r="CLS62" s="4"/>
      <c r="CLT62" s="4"/>
      <c r="CLU62" s="4"/>
      <c r="CLV62" s="4"/>
      <c r="CLW62" s="4"/>
      <c r="CLX62" s="4"/>
      <c r="CLY62" s="4"/>
      <c r="CLZ62" s="4"/>
      <c r="CMA62" s="4"/>
      <c r="CMD62" s="4"/>
      <c r="CME62" s="4"/>
      <c r="CMF62" s="4"/>
      <c r="CMG62" s="4"/>
      <c r="CMH62" s="4"/>
      <c r="CMI62" s="4"/>
      <c r="CMJ62" s="4"/>
      <c r="CMK62" s="4"/>
      <c r="CML62" s="4"/>
      <c r="CMM62" s="4"/>
      <c r="CMP62" s="4"/>
      <c r="CMQ62" s="4"/>
      <c r="CMR62" s="4"/>
      <c r="CMS62" s="4"/>
      <c r="CMT62" s="4"/>
      <c r="CMU62" s="4"/>
      <c r="CMV62" s="4"/>
      <c r="CMW62" s="4"/>
      <c r="CMX62" s="4"/>
      <c r="CMY62" s="4"/>
      <c r="CNB62" s="4"/>
      <c r="CNC62" s="4"/>
      <c r="CND62" s="4"/>
      <c r="CNE62" s="4"/>
      <c r="CNF62" s="4"/>
      <c r="CNG62" s="4"/>
      <c r="CNH62" s="4"/>
      <c r="CNI62" s="4"/>
      <c r="CNJ62" s="4"/>
      <c r="CNK62" s="4"/>
      <c r="CNN62" s="4"/>
      <c r="CNO62" s="4"/>
      <c r="CNP62" s="4"/>
      <c r="CNQ62" s="4"/>
      <c r="CNR62" s="4"/>
      <c r="CNS62" s="4"/>
      <c r="CNT62" s="4"/>
      <c r="CNU62" s="4"/>
      <c r="CNV62" s="4"/>
      <c r="CNW62" s="4"/>
      <c r="CNZ62" s="4"/>
      <c r="COA62" s="4"/>
      <c r="COB62" s="4"/>
      <c r="COC62" s="4"/>
      <c r="COD62" s="4"/>
      <c r="COE62" s="4"/>
      <c r="COF62" s="4"/>
      <c r="COG62" s="4"/>
      <c r="COH62" s="4"/>
      <c r="COI62" s="4"/>
      <c r="COL62" s="4"/>
      <c r="COM62" s="4"/>
      <c r="CON62" s="4"/>
      <c r="COO62" s="4"/>
      <c r="COP62" s="4"/>
      <c r="COQ62" s="4"/>
      <c r="COR62" s="4"/>
      <c r="COS62" s="4"/>
      <c r="COT62" s="4"/>
      <c r="COU62" s="4"/>
      <c r="COX62" s="4"/>
      <c r="COY62" s="4"/>
      <c r="COZ62" s="4"/>
      <c r="CPA62" s="4"/>
      <c r="CPB62" s="4"/>
      <c r="CPC62" s="4"/>
      <c r="CPD62" s="4"/>
      <c r="CPE62" s="4"/>
      <c r="CPF62" s="4"/>
      <c r="CPG62" s="4"/>
      <c r="CPJ62" s="4"/>
      <c r="CPK62" s="4"/>
      <c r="CPL62" s="4"/>
      <c r="CPM62" s="4"/>
      <c r="CPN62" s="4"/>
      <c r="CPO62" s="4"/>
      <c r="CPP62" s="4"/>
      <c r="CPQ62" s="4"/>
      <c r="CPR62" s="4"/>
      <c r="CPS62" s="4"/>
      <c r="CPV62" s="4"/>
      <c r="CPW62" s="4"/>
      <c r="CPX62" s="4"/>
      <c r="CPY62" s="4"/>
      <c r="CPZ62" s="4"/>
      <c r="CQA62" s="4"/>
      <c r="CQB62" s="4"/>
      <c r="CQC62" s="4"/>
      <c r="CQD62" s="4"/>
      <c r="CQE62" s="4"/>
      <c r="CQH62" s="4"/>
      <c r="CQI62" s="4"/>
      <c r="CQJ62" s="4"/>
      <c r="CQK62" s="4"/>
      <c r="CQL62" s="4"/>
      <c r="CQM62" s="4"/>
      <c r="CQN62" s="4"/>
      <c r="CQO62" s="4"/>
      <c r="CQP62" s="4"/>
      <c r="CQQ62" s="4"/>
      <c r="CQT62" s="4"/>
      <c r="CQU62" s="4"/>
      <c r="CQV62" s="4"/>
      <c r="CQW62" s="4"/>
      <c r="CQX62" s="4"/>
      <c r="CQY62" s="4"/>
      <c r="CQZ62" s="4"/>
      <c r="CRA62" s="4"/>
      <c r="CRB62" s="4"/>
      <c r="CRC62" s="4"/>
      <c r="CRF62" s="4"/>
      <c r="CRG62" s="4"/>
      <c r="CRH62" s="4"/>
      <c r="CRI62" s="4"/>
      <c r="CRJ62" s="4"/>
      <c r="CRK62" s="4"/>
      <c r="CRL62" s="4"/>
      <c r="CRM62" s="4"/>
      <c r="CRN62" s="4"/>
      <c r="CRO62" s="4"/>
      <c r="CRR62" s="4"/>
      <c r="CRS62" s="4"/>
      <c r="CRT62" s="4"/>
      <c r="CRU62" s="4"/>
      <c r="CRV62" s="4"/>
      <c r="CRW62" s="4"/>
      <c r="CRX62" s="4"/>
      <c r="CRY62" s="4"/>
      <c r="CRZ62" s="4"/>
      <c r="CSA62" s="4"/>
      <c r="CSD62" s="4"/>
      <c r="CSE62" s="4"/>
      <c r="CSF62" s="4"/>
      <c r="CSG62" s="4"/>
      <c r="CSH62" s="4"/>
      <c r="CSI62" s="4"/>
      <c r="CSJ62" s="4"/>
      <c r="CSK62" s="4"/>
      <c r="CSL62" s="4"/>
      <c r="CSM62" s="4"/>
      <c r="CSP62" s="4"/>
      <c r="CSQ62" s="4"/>
      <c r="CSR62" s="4"/>
      <c r="CSS62" s="4"/>
      <c r="CST62" s="4"/>
      <c r="CSU62" s="4"/>
      <c r="CSV62" s="4"/>
      <c r="CSW62" s="4"/>
      <c r="CSX62" s="4"/>
      <c r="CSY62" s="4"/>
      <c r="CTB62" s="4"/>
      <c r="CTC62" s="4"/>
      <c r="CTD62" s="4"/>
      <c r="CTE62" s="4"/>
      <c r="CTF62" s="4"/>
      <c r="CTG62" s="4"/>
      <c r="CTH62" s="4"/>
      <c r="CTI62" s="4"/>
      <c r="CTJ62" s="4"/>
      <c r="CTK62" s="4"/>
      <c r="CTN62" s="4"/>
      <c r="CTO62" s="4"/>
      <c r="CTP62" s="4"/>
      <c r="CTQ62" s="4"/>
      <c r="CTR62" s="4"/>
      <c r="CTS62" s="4"/>
      <c r="CTT62" s="4"/>
      <c r="CTU62" s="4"/>
      <c r="CTV62" s="4"/>
      <c r="CTW62" s="4"/>
      <c r="CTZ62" s="4"/>
      <c r="CUA62" s="4"/>
      <c r="CUB62" s="4"/>
      <c r="CUC62" s="4"/>
      <c r="CUD62" s="4"/>
      <c r="CUE62" s="4"/>
      <c r="CUF62" s="4"/>
      <c r="CUG62" s="4"/>
      <c r="CUH62" s="4"/>
      <c r="CUI62" s="4"/>
      <c r="CUL62" s="4"/>
      <c r="CUM62" s="4"/>
      <c r="CUN62" s="4"/>
      <c r="CUO62" s="4"/>
      <c r="CUP62" s="4"/>
      <c r="CUQ62" s="4"/>
      <c r="CUR62" s="4"/>
      <c r="CUS62" s="4"/>
      <c r="CUT62" s="4"/>
      <c r="CUU62" s="4"/>
      <c r="CUX62" s="4"/>
      <c r="CUY62" s="4"/>
      <c r="CUZ62" s="4"/>
      <c r="CVA62" s="4"/>
      <c r="CVB62" s="4"/>
      <c r="CVC62" s="4"/>
      <c r="CVD62" s="4"/>
      <c r="CVE62" s="4"/>
      <c r="CVF62" s="4"/>
      <c r="CVG62" s="4"/>
      <c r="CVJ62" s="4"/>
      <c r="CVK62" s="4"/>
      <c r="CVL62" s="4"/>
      <c r="CVM62" s="4"/>
      <c r="CVN62" s="4"/>
      <c r="CVO62" s="4"/>
      <c r="CVP62" s="4"/>
      <c r="CVQ62" s="4"/>
      <c r="CVR62" s="4"/>
      <c r="CVS62" s="4"/>
      <c r="CVV62" s="4"/>
      <c r="CVW62" s="4"/>
      <c r="CVX62" s="4"/>
      <c r="CVY62" s="4"/>
      <c r="CVZ62" s="4"/>
      <c r="CWA62" s="4"/>
      <c r="CWB62" s="4"/>
      <c r="CWC62" s="4"/>
      <c r="CWD62" s="4"/>
      <c r="CWE62" s="4"/>
    </row>
    <row r="63" spans="2:1023 1026:2631" x14ac:dyDescent="0.25">
      <c r="ZY63" s="4"/>
      <c r="ZZ63" s="4"/>
      <c r="AAA63" s="4"/>
      <c r="AAB63" s="4"/>
      <c r="AAC63" s="4"/>
      <c r="AAD63" s="4"/>
      <c r="AAE63" s="4"/>
      <c r="AAF63" s="4"/>
      <c r="AAG63" s="4"/>
      <c r="AAH63" s="4"/>
      <c r="AAI63" s="4"/>
      <c r="AAJ63" s="4"/>
      <c r="AAL63" s="4"/>
      <c r="AAM63" s="4"/>
      <c r="AAN63" s="4"/>
      <c r="AAO63" s="4"/>
      <c r="AAP63" s="4"/>
      <c r="AAQ63" s="4"/>
      <c r="AAR63" s="4"/>
      <c r="AAS63" s="4"/>
      <c r="AAT63" s="4"/>
      <c r="AAU63" s="4"/>
      <c r="AAV63" s="4"/>
      <c r="AAY63" s="4"/>
      <c r="AAZ63" s="4"/>
      <c r="ABA63" s="4"/>
      <c r="ABB63" s="4"/>
      <c r="ABC63" s="4"/>
      <c r="ABD63" s="4"/>
      <c r="ABE63" s="4"/>
      <c r="ABF63" s="4"/>
      <c r="ABG63" s="4"/>
      <c r="ABH63" s="4"/>
      <c r="ABI63" s="4"/>
      <c r="ABL63" s="4"/>
      <c r="ABM63" s="4"/>
      <c r="ABN63" s="4"/>
      <c r="ABO63" s="4"/>
      <c r="ABP63" s="4"/>
      <c r="ABQ63" s="4"/>
      <c r="ABR63" s="4"/>
      <c r="ABS63" s="4"/>
      <c r="ABT63" s="4"/>
      <c r="ABU63" s="4"/>
      <c r="ABV63" s="4"/>
      <c r="ABY63" s="4"/>
      <c r="ABZ63" s="4"/>
      <c r="ACA63" s="4"/>
      <c r="ACB63" s="4"/>
      <c r="ACC63" s="4"/>
      <c r="ACD63" s="4"/>
      <c r="ACE63" s="4"/>
      <c r="ACF63" s="4"/>
      <c r="ACG63" s="4"/>
      <c r="ACH63" s="4"/>
      <c r="ACI63" s="4"/>
      <c r="ACL63" s="4"/>
      <c r="ACM63" s="4"/>
      <c r="ACN63" s="4"/>
      <c r="ACO63" s="4"/>
      <c r="ACP63" s="4"/>
      <c r="ACQ63" s="4"/>
      <c r="ACR63" s="4"/>
      <c r="ACS63" s="4"/>
      <c r="ACT63" s="4"/>
      <c r="ACU63" s="4"/>
      <c r="ACV63" s="4"/>
      <c r="ACY63" s="4"/>
      <c r="ACZ63" s="4"/>
      <c r="ADA63" s="4"/>
      <c r="ADB63" s="4"/>
      <c r="ADC63" s="4"/>
      <c r="ADD63" s="4"/>
      <c r="ADE63" s="4"/>
      <c r="ADF63" s="4"/>
      <c r="ADG63" s="4"/>
      <c r="ADH63" s="4"/>
      <c r="ADI63" s="4"/>
      <c r="ADL63" s="4"/>
      <c r="ADM63" s="4"/>
      <c r="ADN63" s="4"/>
      <c r="ADO63" s="4"/>
      <c r="ADP63" s="4"/>
      <c r="ADQ63" s="4"/>
      <c r="ADR63" s="4"/>
      <c r="ADS63" s="4"/>
      <c r="ADT63" s="4"/>
      <c r="ADU63" s="4"/>
      <c r="ADV63" s="4"/>
      <c r="ADY63" s="4"/>
      <c r="ADZ63" s="4"/>
      <c r="AEA63" s="4"/>
      <c r="AEB63" s="4"/>
      <c r="AEC63" s="4"/>
      <c r="AED63" s="4"/>
      <c r="AEE63" s="4"/>
      <c r="AEF63" s="4"/>
      <c r="AEG63" s="4"/>
      <c r="AEH63" s="4"/>
      <c r="AEI63" s="4"/>
      <c r="AEL63" s="4"/>
      <c r="AEM63" s="4"/>
      <c r="AEN63" s="4"/>
      <c r="AEO63" s="4"/>
      <c r="AEP63" s="4"/>
      <c r="AEQ63" s="4"/>
      <c r="AER63" s="4"/>
      <c r="AES63" s="4"/>
      <c r="AET63" s="4"/>
      <c r="AEU63" s="4"/>
      <c r="AEV63" s="4"/>
      <c r="AEY63" s="4"/>
      <c r="AEZ63" s="4"/>
      <c r="AFA63" s="4"/>
      <c r="AFB63" s="4"/>
      <c r="AFC63" s="4"/>
      <c r="AFD63" s="4"/>
      <c r="AFE63" s="4"/>
      <c r="AFF63" s="4"/>
      <c r="AFG63" s="4"/>
      <c r="AFH63" s="4"/>
      <c r="AFI63" s="4"/>
      <c r="AFL63" s="4"/>
      <c r="AFM63" s="4"/>
      <c r="AFN63" s="4"/>
      <c r="AFO63" s="4"/>
      <c r="AFP63" s="4"/>
      <c r="AFQ63" s="4"/>
      <c r="AFR63" s="4"/>
      <c r="AFS63" s="4"/>
      <c r="AFT63" s="4"/>
      <c r="AFU63" s="4"/>
      <c r="AFV63" s="4"/>
      <c r="AFZ63" s="4"/>
      <c r="AGA63" s="4"/>
      <c r="AGB63" s="4"/>
      <c r="AGC63" s="4"/>
      <c r="AGD63" s="4"/>
      <c r="AGE63" s="4"/>
      <c r="AGF63" s="4"/>
      <c r="AGG63" s="4"/>
      <c r="AGH63" s="4"/>
      <c r="AGI63" s="4"/>
      <c r="AGL63" s="4"/>
      <c r="AGM63" s="4"/>
      <c r="AGN63" s="4"/>
      <c r="AGO63" s="4"/>
      <c r="AGP63" s="4"/>
      <c r="AGQ63" s="4"/>
      <c r="AGR63" s="4"/>
      <c r="AGS63" s="4"/>
      <c r="AGT63" s="4"/>
      <c r="AGU63" s="4"/>
      <c r="AGX63" s="4"/>
      <c r="AGY63" s="4"/>
      <c r="AGZ63" s="4"/>
      <c r="AHA63" s="4"/>
      <c r="AHB63" s="4"/>
      <c r="AHC63" s="4"/>
      <c r="AHD63" s="4"/>
      <c r="AHE63" s="4"/>
      <c r="AHF63" s="4"/>
      <c r="AHG63" s="4"/>
      <c r="AHJ63" s="4"/>
      <c r="AHK63" s="4"/>
      <c r="AHL63" s="4"/>
      <c r="AHM63" s="4"/>
      <c r="AHN63" s="4"/>
      <c r="AHO63" s="4"/>
      <c r="AHP63" s="4"/>
      <c r="AHQ63" s="4"/>
      <c r="AHR63" s="4"/>
      <c r="AHS63" s="4"/>
      <c r="AHV63" s="4"/>
      <c r="AHW63" s="4"/>
      <c r="AHX63" s="4"/>
      <c r="AHY63" s="4"/>
      <c r="AHZ63" s="4"/>
      <c r="AIA63" s="4"/>
      <c r="AIB63" s="4"/>
      <c r="AIC63" s="4"/>
      <c r="AID63" s="4"/>
      <c r="AIE63" s="4"/>
      <c r="AIH63" s="4"/>
      <c r="AII63" s="4"/>
      <c r="AIJ63" s="4"/>
      <c r="AIK63" s="4"/>
      <c r="AIL63" s="4"/>
      <c r="AIM63" s="4"/>
      <c r="AIN63" s="4"/>
      <c r="AIO63" s="4"/>
      <c r="AIP63" s="4"/>
      <c r="AIQ63" s="4"/>
      <c r="AIT63" s="4"/>
      <c r="AIU63" s="4"/>
      <c r="AIV63" s="4"/>
      <c r="AIW63" s="4"/>
      <c r="AIX63" s="4"/>
      <c r="AIY63" s="4"/>
      <c r="AIZ63" s="4"/>
      <c r="AJA63" s="4"/>
      <c r="AJB63" s="4"/>
      <c r="AJC63" s="4"/>
      <c r="AJF63" s="4"/>
      <c r="AJG63" s="4"/>
      <c r="AJH63" s="4"/>
      <c r="AJI63" s="4"/>
      <c r="AJJ63" s="4"/>
      <c r="AJK63" s="4"/>
      <c r="AJL63" s="4"/>
      <c r="AJM63" s="4"/>
      <c r="AJN63" s="4"/>
      <c r="AJO63" s="4"/>
      <c r="AJR63" s="4"/>
      <c r="AJS63" s="4"/>
      <c r="AJT63" s="4"/>
      <c r="AJU63" s="4"/>
      <c r="AJV63" s="4"/>
      <c r="AJW63" s="4"/>
      <c r="AJX63" s="4"/>
      <c r="AJY63" s="4"/>
      <c r="AJZ63" s="4"/>
      <c r="AKA63" s="4"/>
      <c r="AKD63" s="4"/>
      <c r="AKE63" s="4"/>
      <c r="AKF63" s="4"/>
      <c r="AKG63" s="4"/>
      <c r="AKH63" s="4"/>
      <c r="AKI63" s="4"/>
      <c r="AKJ63" s="4"/>
      <c r="AKK63" s="4"/>
      <c r="AKL63" s="4"/>
      <c r="AKM63" s="4"/>
      <c r="AKP63" s="4"/>
      <c r="AKQ63" s="4"/>
      <c r="AKR63" s="4"/>
      <c r="AKS63" s="4"/>
      <c r="AKT63" s="4"/>
      <c r="AKU63" s="4"/>
      <c r="AKV63" s="4"/>
      <c r="AKW63" s="4"/>
      <c r="AKX63" s="4"/>
      <c r="AKY63" s="4"/>
      <c r="ALB63" s="4"/>
      <c r="ALC63" s="4"/>
      <c r="ALD63" s="4"/>
      <c r="ALE63" s="4"/>
      <c r="ALF63" s="4"/>
      <c r="ALG63" s="4"/>
      <c r="ALH63" s="4"/>
      <c r="ALI63" s="4"/>
      <c r="ALJ63" s="4"/>
      <c r="ALK63" s="4"/>
      <c r="ALN63" s="4"/>
      <c r="ALO63" s="4"/>
      <c r="ALP63" s="4"/>
      <c r="ALQ63" s="4"/>
      <c r="ALR63" s="4"/>
      <c r="ALS63" s="4"/>
      <c r="ALT63" s="4"/>
      <c r="ALU63" s="4"/>
      <c r="ALV63" s="4"/>
      <c r="ALW63" s="4"/>
      <c r="ALZ63" s="4"/>
      <c r="AMA63" s="4"/>
      <c r="AMB63" s="4"/>
      <c r="AMC63" s="4"/>
      <c r="AMD63" s="4"/>
      <c r="AME63" s="4"/>
      <c r="AMF63" s="4"/>
      <c r="AMG63" s="4"/>
      <c r="AMH63" s="4"/>
      <c r="AMI63" s="4"/>
      <c r="AML63" s="4"/>
      <c r="AMM63" s="4"/>
      <c r="AMN63" s="4"/>
      <c r="AMO63" s="4"/>
      <c r="AMP63" s="4"/>
      <c r="AMQ63" s="4"/>
      <c r="AMR63" s="4"/>
      <c r="AMS63" s="4"/>
      <c r="AMT63" s="4"/>
      <c r="AMU63" s="4"/>
      <c r="AMX63" s="4"/>
      <c r="AMY63" s="4"/>
      <c r="AMZ63" s="4"/>
      <c r="ANA63" s="4"/>
      <c r="ANB63" s="4"/>
      <c r="ANC63" s="4"/>
      <c r="AND63" s="4"/>
      <c r="ANE63" s="4"/>
      <c r="ANF63" s="4"/>
      <c r="ANG63" s="4"/>
      <c r="ANJ63" s="4"/>
      <c r="ANK63" s="4"/>
      <c r="ANL63" s="4"/>
      <c r="ANM63" s="4"/>
      <c r="ANN63" s="4"/>
      <c r="ANO63" s="4"/>
      <c r="ANP63" s="4"/>
      <c r="ANQ63" s="4"/>
      <c r="ANR63" s="4"/>
      <c r="ANS63" s="4"/>
      <c r="ANV63" s="4"/>
      <c r="ANW63" s="4"/>
      <c r="ANX63" s="4"/>
      <c r="ANY63" s="4"/>
      <c r="ANZ63" s="4"/>
      <c r="AOA63" s="4"/>
      <c r="AOB63" s="4"/>
      <c r="AOC63" s="4"/>
      <c r="AOD63" s="4"/>
      <c r="AOE63" s="4"/>
      <c r="AOH63" s="4"/>
      <c r="AOI63" s="4"/>
      <c r="AOJ63" s="4"/>
      <c r="AOK63" s="4"/>
      <c r="AOL63" s="4"/>
      <c r="AOM63" s="4"/>
      <c r="AON63" s="4"/>
      <c r="AOO63" s="4"/>
      <c r="AOP63" s="4"/>
      <c r="AOQ63" s="4"/>
      <c r="AOT63" s="4"/>
      <c r="AOU63" s="4"/>
      <c r="AOV63" s="4"/>
      <c r="AOW63" s="4"/>
      <c r="AOX63" s="4"/>
      <c r="AOY63" s="4"/>
      <c r="AOZ63" s="4"/>
      <c r="APA63" s="4"/>
      <c r="APB63" s="4"/>
      <c r="APC63" s="4"/>
      <c r="APF63" s="4"/>
      <c r="APG63" s="4"/>
      <c r="APH63" s="4"/>
      <c r="API63" s="4"/>
      <c r="APJ63" s="4"/>
      <c r="APK63" s="4"/>
      <c r="APL63" s="4"/>
      <c r="APM63" s="4"/>
      <c r="APN63" s="4"/>
      <c r="APO63" s="4"/>
      <c r="APR63" s="4"/>
      <c r="APS63" s="4"/>
      <c r="APT63" s="4"/>
      <c r="APU63" s="4"/>
      <c r="APV63" s="4"/>
      <c r="APW63" s="4"/>
      <c r="APX63" s="4"/>
      <c r="APY63" s="4"/>
      <c r="APZ63" s="4"/>
      <c r="AQA63" s="4"/>
      <c r="AQD63" s="4"/>
      <c r="AQE63" s="4"/>
      <c r="AQF63" s="4"/>
      <c r="AQG63" s="4"/>
      <c r="AQH63" s="4"/>
      <c r="AQI63" s="4"/>
      <c r="AQJ63" s="4"/>
      <c r="AQK63" s="4"/>
      <c r="AQL63" s="4"/>
      <c r="AQM63" s="4"/>
      <c r="AQP63" s="4"/>
      <c r="AQQ63" s="4"/>
      <c r="AQR63" s="4"/>
      <c r="AQS63" s="4"/>
      <c r="AQT63" s="4"/>
      <c r="AQU63" s="4"/>
      <c r="AQV63" s="4"/>
      <c r="AQW63" s="4"/>
      <c r="AQX63" s="4"/>
      <c r="AQY63" s="4"/>
      <c r="ARB63" s="4"/>
      <c r="ARC63" s="4"/>
      <c r="ARD63" s="4"/>
      <c r="ARE63" s="4"/>
      <c r="ARF63" s="4"/>
      <c r="ARG63" s="4"/>
      <c r="ARH63" s="4"/>
      <c r="ARI63" s="4"/>
      <c r="ARJ63" s="4"/>
      <c r="ARK63" s="4"/>
      <c r="ARN63" s="4"/>
      <c r="ARO63" s="4"/>
      <c r="ARP63" s="4"/>
      <c r="ARQ63" s="4"/>
      <c r="ARR63" s="4"/>
      <c r="ARS63" s="4"/>
      <c r="ART63" s="4"/>
      <c r="ARU63" s="4"/>
      <c r="ARV63" s="4"/>
      <c r="ARW63" s="4"/>
      <c r="ARZ63" s="4"/>
      <c r="ASA63" s="4"/>
      <c r="ASB63" s="4"/>
      <c r="ASC63" s="4"/>
      <c r="ASD63" s="4"/>
      <c r="ASE63" s="4"/>
      <c r="ASF63" s="4"/>
      <c r="ASG63" s="4"/>
      <c r="ASH63" s="4"/>
      <c r="ASI63" s="4"/>
      <c r="ASL63" s="4"/>
      <c r="ASM63" s="4"/>
      <c r="ASN63" s="4"/>
      <c r="ASO63" s="4"/>
      <c r="ASP63" s="4"/>
      <c r="ASQ63" s="4"/>
      <c r="ASR63" s="4"/>
      <c r="ASS63" s="4"/>
      <c r="AST63" s="4"/>
      <c r="ASU63" s="4"/>
      <c r="ASX63" s="4"/>
      <c r="ASY63" s="4"/>
      <c r="ASZ63" s="4"/>
      <c r="ATA63" s="4"/>
      <c r="ATB63" s="4"/>
      <c r="ATC63" s="4"/>
      <c r="ATD63" s="4"/>
      <c r="ATE63" s="4"/>
      <c r="ATF63" s="4"/>
      <c r="ATG63" s="4"/>
      <c r="ATJ63" s="4"/>
      <c r="ATK63" s="4"/>
      <c r="ATL63" s="4"/>
      <c r="ATM63" s="4"/>
      <c r="ATN63" s="4"/>
      <c r="ATO63" s="4"/>
      <c r="ATP63" s="4"/>
      <c r="ATQ63" s="4"/>
      <c r="ATR63" s="4"/>
      <c r="ATS63" s="4"/>
      <c r="ATV63" s="4"/>
      <c r="ATW63" s="4"/>
      <c r="ATX63" s="4"/>
      <c r="ATY63" s="4"/>
      <c r="ATZ63" s="4"/>
      <c r="AUA63" s="4"/>
      <c r="AUB63" s="4"/>
      <c r="AUC63" s="4"/>
      <c r="AUD63" s="4"/>
      <c r="AUE63" s="4"/>
      <c r="AUH63" s="4"/>
      <c r="AUI63" s="4"/>
      <c r="AUJ63" s="4"/>
      <c r="AUK63" s="4"/>
      <c r="AUL63" s="4"/>
      <c r="AUM63" s="4"/>
      <c r="AUN63" s="4"/>
      <c r="AUO63" s="4"/>
      <c r="AUP63" s="4"/>
      <c r="AUQ63" s="4"/>
      <c r="AUT63" s="4"/>
      <c r="AUU63" s="4"/>
      <c r="AUV63" s="4"/>
      <c r="AUW63" s="4"/>
      <c r="AUX63" s="4"/>
      <c r="AUY63" s="4"/>
      <c r="AUZ63" s="4"/>
      <c r="AVA63" s="4"/>
      <c r="AVB63" s="4"/>
      <c r="AVC63" s="4"/>
      <c r="AVF63" s="4"/>
      <c r="AVG63" s="4"/>
      <c r="AVH63" s="4"/>
      <c r="AVI63" s="4"/>
      <c r="AVJ63" s="4"/>
      <c r="AVK63" s="4"/>
      <c r="AVL63" s="4"/>
      <c r="AVM63" s="4"/>
      <c r="AVN63" s="4"/>
      <c r="AVO63" s="4"/>
      <c r="AVR63" s="4"/>
      <c r="AVS63" s="4"/>
      <c r="AVT63" s="4"/>
      <c r="AVU63" s="4"/>
      <c r="AVV63" s="4"/>
      <c r="AVW63" s="4"/>
      <c r="AVX63" s="4"/>
      <c r="AVY63" s="4"/>
      <c r="AVZ63" s="4"/>
      <c r="AWA63" s="4"/>
      <c r="AWD63" s="4"/>
      <c r="AWE63" s="4"/>
      <c r="AWF63" s="4"/>
      <c r="AWG63" s="4"/>
      <c r="AWH63" s="4"/>
      <c r="AWI63" s="4"/>
      <c r="AWJ63" s="4"/>
      <c r="AWK63" s="4"/>
      <c r="AWL63" s="4"/>
      <c r="AWM63" s="4"/>
      <c r="AWP63" s="4"/>
      <c r="AWQ63" s="4"/>
      <c r="AWR63" s="4"/>
      <c r="AWS63" s="4"/>
      <c r="AWT63" s="4"/>
      <c r="AWU63" s="4"/>
      <c r="AWV63" s="4"/>
      <c r="AWW63" s="4"/>
      <c r="AWX63" s="4"/>
      <c r="AWY63" s="4"/>
      <c r="AXB63" s="4"/>
      <c r="AXC63" s="4"/>
      <c r="AXD63" s="4"/>
      <c r="AXE63" s="4"/>
      <c r="AXF63" s="4"/>
      <c r="AXG63" s="4"/>
      <c r="AXH63" s="4"/>
      <c r="AXI63" s="4"/>
      <c r="AXJ63" s="4"/>
      <c r="AXK63" s="4"/>
      <c r="AXN63" s="4"/>
      <c r="AXO63" s="4"/>
      <c r="AXP63" s="4"/>
      <c r="AXQ63" s="4"/>
      <c r="AXR63" s="4"/>
      <c r="AXS63" s="4"/>
      <c r="AXT63" s="4"/>
      <c r="AXU63" s="4"/>
      <c r="AXV63" s="4"/>
      <c r="AXW63" s="4"/>
      <c r="AXZ63" s="4"/>
      <c r="AYA63" s="4"/>
      <c r="AYB63" s="4"/>
      <c r="AYC63" s="4"/>
      <c r="AYD63" s="4"/>
      <c r="AYE63" s="4"/>
      <c r="AYF63" s="4"/>
      <c r="AYG63" s="4"/>
      <c r="AYH63" s="4"/>
      <c r="AYI63" s="4"/>
      <c r="AYL63" s="4"/>
      <c r="AYM63" s="4"/>
      <c r="AYN63" s="4"/>
      <c r="AYO63" s="4"/>
      <c r="AYP63" s="4"/>
      <c r="AYQ63" s="4"/>
      <c r="AYR63" s="4"/>
      <c r="AYS63" s="4"/>
      <c r="AYT63" s="4"/>
      <c r="AYU63" s="4"/>
      <c r="AYX63" s="4"/>
      <c r="AYY63" s="4"/>
      <c r="AYZ63" s="4"/>
      <c r="AZA63" s="4"/>
      <c r="AZB63" s="4"/>
      <c r="AZC63" s="4"/>
      <c r="AZD63" s="4"/>
      <c r="AZE63" s="4"/>
      <c r="AZF63" s="4"/>
      <c r="AZG63" s="4"/>
      <c r="AZJ63" s="4"/>
      <c r="AZK63" s="4"/>
      <c r="AZL63" s="4"/>
      <c r="AZM63" s="4"/>
      <c r="AZN63" s="4"/>
      <c r="AZO63" s="4"/>
      <c r="AZP63" s="4"/>
      <c r="AZQ63" s="4"/>
      <c r="AZR63" s="4"/>
      <c r="AZS63" s="4"/>
      <c r="AZV63" s="4"/>
      <c r="AZW63" s="4"/>
      <c r="AZX63" s="4"/>
      <c r="AZY63" s="4"/>
      <c r="AZZ63" s="4"/>
      <c r="BAA63" s="4"/>
      <c r="BAB63" s="4"/>
      <c r="BAC63" s="4"/>
      <c r="BAD63" s="4"/>
      <c r="BAE63" s="4"/>
      <c r="BAH63" s="4"/>
      <c r="BAI63" s="4"/>
      <c r="BAJ63" s="4"/>
      <c r="BAK63" s="4"/>
      <c r="BAL63" s="4"/>
      <c r="BAM63" s="4"/>
      <c r="BAN63" s="4"/>
      <c r="BAO63" s="4"/>
      <c r="BAP63" s="4"/>
      <c r="BAQ63" s="4"/>
      <c r="BAT63" s="4"/>
      <c r="BAU63" s="4"/>
      <c r="BAV63" s="4"/>
      <c r="BAW63" s="4"/>
      <c r="BAX63" s="4"/>
      <c r="BAY63" s="4"/>
      <c r="BAZ63" s="4"/>
      <c r="BBA63" s="4"/>
      <c r="BBB63" s="4"/>
      <c r="BBC63" s="4"/>
      <c r="BBF63" s="4"/>
      <c r="BBG63" s="4"/>
      <c r="BBH63" s="4"/>
      <c r="BBI63" s="4"/>
      <c r="BBJ63" s="4"/>
      <c r="BBK63" s="4"/>
      <c r="BBL63" s="4"/>
      <c r="BBM63" s="4"/>
      <c r="BBN63" s="4"/>
      <c r="BBO63" s="4"/>
      <c r="BBR63" s="4"/>
      <c r="BBS63" s="4"/>
      <c r="BBT63" s="4"/>
      <c r="BBU63" s="4"/>
      <c r="BBV63" s="4"/>
      <c r="BBW63" s="4"/>
      <c r="BBX63" s="4"/>
      <c r="BBY63" s="4"/>
      <c r="BBZ63" s="4"/>
      <c r="BCA63" s="4"/>
      <c r="BCD63" s="4"/>
      <c r="BCE63" s="4"/>
      <c r="BCF63" s="4"/>
      <c r="BCG63" s="4"/>
      <c r="BCH63" s="4"/>
      <c r="BCI63" s="4"/>
      <c r="BCJ63" s="4"/>
      <c r="BCK63" s="4"/>
      <c r="BCL63" s="4"/>
      <c r="BCM63" s="4"/>
      <c r="BCP63" s="4"/>
      <c r="BCQ63" s="4"/>
      <c r="BCR63" s="4"/>
      <c r="BCS63" s="4"/>
      <c r="BCT63" s="4"/>
      <c r="BCU63" s="4"/>
      <c r="BCV63" s="4"/>
      <c r="BCW63" s="4"/>
      <c r="BCX63" s="4"/>
      <c r="BCY63" s="4"/>
      <c r="BDB63" s="4"/>
      <c r="BDC63" s="4"/>
      <c r="BDD63" s="4"/>
      <c r="BDE63" s="4"/>
      <c r="BDF63" s="4"/>
      <c r="BDG63" s="4"/>
      <c r="BDH63" s="4"/>
      <c r="BDI63" s="4"/>
      <c r="BDJ63" s="4"/>
      <c r="BDK63" s="4"/>
      <c r="BDN63" s="4"/>
      <c r="BDO63" s="4"/>
      <c r="BDP63" s="4"/>
      <c r="BDQ63" s="4"/>
      <c r="BDR63" s="4"/>
      <c r="BDS63" s="4"/>
      <c r="BDT63" s="4"/>
      <c r="BDU63" s="4"/>
      <c r="BDV63" s="4"/>
      <c r="BDW63" s="4"/>
      <c r="BDZ63" s="4"/>
      <c r="BEA63" s="4"/>
      <c r="BEB63" s="4"/>
      <c r="BEC63" s="4"/>
      <c r="BED63" s="4"/>
      <c r="BEE63" s="4"/>
      <c r="BEF63" s="4"/>
      <c r="BEG63" s="4"/>
      <c r="BEH63" s="4"/>
      <c r="BEI63" s="4"/>
      <c r="BEL63" s="4"/>
      <c r="BEM63" s="4"/>
      <c r="BEN63" s="4"/>
      <c r="BEO63" s="4"/>
      <c r="BEP63" s="4"/>
      <c r="BEQ63" s="4"/>
      <c r="BER63" s="4"/>
      <c r="BES63" s="4"/>
      <c r="BET63" s="4"/>
      <c r="BEU63" s="4"/>
      <c r="BEX63" s="4"/>
      <c r="BEY63" s="4"/>
      <c r="BEZ63" s="4"/>
      <c r="BFA63" s="4"/>
      <c r="BFB63" s="4"/>
      <c r="BFC63" s="4"/>
      <c r="BFD63" s="4"/>
      <c r="BFE63" s="4"/>
      <c r="BFF63" s="4"/>
      <c r="BFG63" s="4"/>
      <c r="BFJ63" s="4"/>
      <c r="BFK63" s="4"/>
      <c r="BFL63" s="4"/>
      <c r="BFM63" s="4"/>
      <c r="BFN63" s="4"/>
      <c r="BFO63" s="4"/>
      <c r="BFP63" s="4"/>
      <c r="BFQ63" s="4"/>
      <c r="BFR63" s="4"/>
      <c r="BFS63" s="4"/>
      <c r="BFV63" s="4"/>
      <c r="BFW63" s="4"/>
      <c r="BFX63" s="4"/>
      <c r="BFY63" s="4"/>
      <c r="BFZ63" s="4"/>
      <c r="BGA63" s="4"/>
      <c r="BGB63" s="4"/>
      <c r="BGC63" s="4"/>
      <c r="BGD63" s="4"/>
      <c r="BGE63" s="4"/>
      <c r="BGH63" s="4"/>
      <c r="BGI63" s="4"/>
      <c r="BGJ63" s="4"/>
      <c r="BGK63" s="4"/>
      <c r="BGL63" s="4"/>
      <c r="BGM63" s="4"/>
      <c r="BGN63" s="4"/>
      <c r="BGO63" s="4"/>
      <c r="BGP63" s="4"/>
      <c r="BGQ63" s="4"/>
      <c r="BGT63" s="4"/>
      <c r="BGU63" s="4"/>
      <c r="BGV63" s="4"/>
      <c r="BGW63" s="4"/>
      <c r="BGX63" s="4"/>
      <c r="BGY63" s="4"/>
      <c r="BGZ63" s="4"/>
      <c r="BHA63" s="4"/>
      <c r="BHB63" s="4"/>
      <c r="BHC63" s="4"/>
      <c r="BHF63" s="4"/>
      <c r="BHG63" s="4"/>
      <c r="BHH63" s="4"/>
      <c r="BHI63" s="4"/>
      <c r="BHJ63" s="4"/>
      <c r="BHK63" s="4"/>
      <c r="BHL63" s="4"/>
      <c r="BHM63" s="4"/>
      <c r="BHN63" s="4"/>
      <c r="BHO63" s="4"/>
      <c r="BHR63" s="4"/>
      <c r="BHS63" s="4"/>
      <c r="BHT63" s="4"/>
      <c r="BHU63" s="4"/>
      <c r="BHV63" s="4"/>
      <c r="BHW63" s="4"/>
      <c r="BHX63" s="4"/>
      <c r="BHY63" s="4"/>
      <c r="BHZ63" s="4"/>
      <c r="BIA63" s="4"/>
      <c r="BID63" s="4"/>
      <c r="BIE63" s="4"/>
      <c r="BIF63" s="4"/>
      <c r="BIG63" s="4"/>
      <c r="BIH63" s="4"/>
      <c r="BII63" s="4"/>
      <c r="BIJ63" s="4"/>
      <c r="BIK63" s="4"/>
      <c r="BIL63" s="4"/>
      <c r="BIM63" s="4"/>
      <c r="BIP63" s="4"/>
      <c r="BIQ63" s="4"/>
      <c r="BIR63" s="4"/>
      <c r="BIS63" s="4"/>
      <c r="BIT63" s="4"/>
      <c r="BIU63" s="4"/>
      <c r="BIV63" s="4"/>
      <c r="BIW63" s="4"/>
      <c r="BIX63" s="4"/>
      <c r="BIY63" s="4"/>
      <c r="BJB63" s="4"/>
      <c r="BJC63" s="4"/>
      <c r="BJD63" s="4"/>
      <c r="BJE63" s="4"/>
      <c r="BJF63" s="4"/>
      <c r="BJG63" s="4"/>
      <c r="BJH63" s="4"/>
      <c r="BJI63" s="4"/>
      <c r="BJJ63" s="4"/>
      <c r="BJK63" s="4"/>
      <c r="BJN63" s="4"/>
      <c r="BJO63" s="4"/>
      <c r="BJP63" s="4"/>
      <c r="BJQ63" s="4"/>
      <c r="BJR63" s="4"/>
      <c r="BJS63" s="4"/>
      <c r="BJT63" s="4"/>
      <c r="BJU63" s="4"/>
      <c r="BJV63" s="4"/>
      <c r="BJW63" s="4"/>
      <c r="BJZ63" s="4"/>
      <c r="BKA63" s="4"/>
      <c r="BKB63" s="4"/>
      <c r="BKC63" s="4"/>
      <c r="BKD63" s="4"/>
      <c r="BKE63" s="4"/>
      <c r="BKF63" s="4"/>
      <c r="BKG63" s="4"/>
      <c r="BKH63" s="4"/>
      <c r="BKI63" s="4"/>
      <c r="BKL63" s="4"/>
      <c r="BKM63" s="4"/>
      <c r="BKN63" s="4"/>
      <c r="BKO63" s="4"/>
      <c r="BKP63" s="4"/>
      <c r="BKQ63" s="4"/>
      <c r="BKR63" s="4"/>
      <c r="BKS63" s="4"/>
      <c r="BKT63" s="4"/>
      <c r="BKU63" s="4"/>
      <c r="BKX63" s="4"/>
      <c r="BKY63" s="4"/>
      <c r="BKZ63" s="4"/>
      <c r="BLA63" s="4"/>
      <c r="BLB63" s="4"/>
      <c r="BLC63" s="4"/>
      <c r="BLD63" s="4"/>
      <c r="BLE63" s="4"/>
      <c r="BLF63" s="4"/>
      <c r="BLG63" s="4"/>
      <c r="BLJ63" s="4"/>
      <c r="BLK63" s="4"/>
      <c r="BLL63" s="4"/>
      <c r="BLM63" s="4"/>
      <c r="BLN63" s="4"/>
      <c r="BLO63" s="4"/>
      <c r="BLP63" s="4"/>
      <c r="BLQ63" s="4"/>
      <c r="BLR63" s="4"/>
      <c r="BLS63" s="4"/>
      <c r="BLV63" s="4"/>
      <c r="BLW63" s="4"/>
      <c r="BLX63" s="4"/>
      <c r="BLY63" s="4"/>
      <c r="BLZ63" s="4"/>
      <c r="BMA63" s="4"/>
      <c r="BMB63" s="4"/>
      <c r="BMC63" s="4"/>
      <c r="BMD63" s="4"/>
      <c r="BME63" s="4"/>
      <c r="BMH63" s="4"/>
      <c r="BMI63" s="4"/>
      <c r="BMJ63" s="4"/>
      <c r="BMK63" s="4"/>
      <c r="BML63" s="4"/>
      <c r="BMM63" s="4"/>
      <c r="BMN63" s="4"/>
      <c r="BMO63" s="4"/>
      <c r="BMP63" s="4"/>
      <c r="BMQ63" s="4"/>
      <c r="BMT63" s="4"/>
      <c r="BMU63" s="4"/>
      <c r="BMV63" s="4"/>
      <c r="BMW63" s="4"/>
      <c r="BMX63" s="4"/>
      <c r="BMY63" s="4"/>
      <c r="BMZ63" s="4"/>
      <c r="BNA63" s="4"/>
      <c r="BNB63" s="4"/>
      <c r="BNC63" s="4"/>
      <c r="BNF63" s="4"/>
      <c r="BNG63" s="4"/>
      <c r="BNH63" s="4"/>
      <c r="BNI63" s="4"/>
      <c r="BNJ63" s="4"/>
      <c r="BNK63" s="4"/>
      <c r="BNL63" s="4"/>
      <c r="BNM63" s="4"/>
      <c r="BNN63" s="4"/>
      <c r="BNO63" s="4"/>
      <c r="BNR63" s="4"/>
      <c r="BNS63" s="4"/>
      <c r="BNT63" s="4"/>
      <c r="BNU63" s="4"/>
      <c r="BNV63" s="4"/>
      <c r="BNW63" s="4"/>
      <c r="BNX63" s="4"/>
      <c r="BNY63" s="4"/>
      <c r="BNZ63" s="4"/>
      <c r="BOA63" s="4"/>
      <c r="BOD63" s="4"/>
      <c r="BOE63" s="4"/>
      <c r="BOF63" s="4"/>
      <c r="BOG63" s="4"/>
      <c r="BOH63" s="4"/>
      <c r="BOI63" s="4"/>
      <c r="BOJ63" s="4"/>
      <c r="BOK63" s="4"/>
      <c r="BOL63" s="4"/>
      <c r="BOM63" s="4"/>
      <c r="BOP63" s="4"/>
      <c r="BOQ63" s="4"/>
      <c r="BOR63" s="4"/>
      <c r="BOS63" s="4"/>
      <c r="BOT63" s="4"/>
      <c r="BOU63" s="4"/>
      <c r="BOV63" s="4"/>
      <c r="BOW63" s="4"/>
      <c r="BOX63" s="4"/>
      <c r="BOY63" s="4"/>
      <c r="BPB63" s="4"/>
      <c r="BPC63" s="4"/>
      <c r="BPD63" s="4"/>
      <c r="BPE63" s="4"/>
      <c r="BPF63" s="4"/>
      <c r="BPG63" s="4"/>
      <c r="BPH63" s="4"/>
      <c r="BPI63" s="4"/>
      <c r="BPJ63" s="4"/>
      <c r="BPK63" s="4"/>
      <c r="BPN63" s="4"/>
      <c r="BPO63" s="4"/>
      <c r="BPP63" s="4"/>
      <c r="BPQ63" s="4"/>
      <c r="BPR63" s="4"/>
      <c r="BPS63" s="4"/>
      <c r="BPT63" s="4"/>
      <c r="BPU63" s="4"/>
      <c r="BPV63" s="4"/>
      <c r="BPW63" s="4"/>
      <c r="BPZ63" s="4"/>
      <c r="BQA63" s="4"/>
      <c r="BQB63" s="4"/>
      <c r="BQC63" s="4"/>
      <c r="BQD63" s="4"/>
      <c r="BQE63" s="4"/>
      <c r="BQF63" s="4"/>
      <c r="BQG63" s="4"/>
      <c r="BQH63" s="4"/>
      <c r="BQI63" s="4"/>
      <c r="BQL63" s="4"/>
      <c r="BQM63" s="4"/>
      <c r="BQN63" s="4"/>
      <c r="BQO63" s="4"/>
      <c r="BQP63" s="4"/>
      <c r="BQQ63" s="4"/>
      <c r="BQR63" s="4"/>
      <c r="BQS63" s="4"/>
      <c r="BQT63" s="4"/>
      <c r="BQU63" s="4"/>
      <c r="BQX63" s="4"/>
      <c r="BQY63" s="4"/>
      <c r="BQZ63" s="4"/>
      <c r="BRA63" s="4"/>
      <c r="BRB63" s="4"/>
      <c r="BRC63" s="4"/>
      <c r="BRD63" s="4"/>
      <c r="BRE63" s="4"/>
      <c r="BRF63" s="4"/>
      <c r="BRG63" s="4"/>
      <c r="BRJ63" s="4"/>
      <c r="BRK63" s="4"/>
      <c r="BRL63" s="4"/>
      <c r="BRM63" s="4"/>
      <c r="BRN63" s="4"/>
      <c r="BRO63" s="4"/>
      <c r="BRP63" s="4"/>
      <c r="BRQ63" s="4"/>
      <c r="BRR63" s="4"/>
      <c r="BRS63" s="4"/>
      <c r="BRV63" s="4"/>
      <c r="BRW63" s="4"/>
      <c r="BRX63" s="4"/>
      <c r="BRY63" s="4"/>
      <c r="BRZ63" s="4"/>
      <c r="BSA63" s="4"/>
      <c r="BSB63" s="4"/>
      <c r="BSC63" s="4"/>
      <c r="BSD63" s="4"/>
      <c r="BSE63" s="4"/>
      <c r="BSH63" s="4"/>
      <c r="BSI63" s="4"/>
      <c r="BSJ63" s="4"/>
      <c r="BSK63" s="4"/>
      <c r="BSL63" s="4"/>
      <c r="BSM63" s="4"/>
      <c r="BSN63" s="4"/>
      <c r="BSO63" s="4"/>
      <c r="BSP63" s="4"/>
      <c r="BSQ63" s="4"/>
      <c r="BST63" s="4"/>
      <c r="BSU63" s="4"/>
      <c r="BSV63" s="4"/>
      <c r="BSW63" s="4"/>
      <c r="BSX63" s="4"/>
      <c r="BSY63" s="4"/>
      <c r="BSZ63" s="4"/>
      <c r="BTA63" s="4"/>
      <c r="BTB63" s="4"/>
      <c r="BTC63" s="4"/>
      <c r="BTF63" s="4"/>
      <c r="BTG63" s="4"/>
      <c r="BTH63" s="4"/>
      <c r="BTI63" s="4"/>
      <c r="BTJ63" s="4"/>
      <c r="BTK63" s="4"/>
      <c r="BTL63" s="4"/>
      <c r="BTM63" s="4"/>
      <c r="BTN63" s="4"/>
      <c r="BTO63" s="4"/>
      <c r="BTR63" s="4"/>
      <c r="BTS63" s="4"/>
      <c r="BTT63" s="4"/>
      <c r="BTU63" s="4"/>
      <c r="BTV63" s="4"/>
      <c r="BTW63" s="4"/>
      <c r="BTX63" s="4"/>
      <c r="BTY63" s="4"/>
      <c r="BTZ63" s="4"/>
      <c r="BUA63" s="4"/>
      <c r="BUD63" s="4"/>
      <c r="BUE63" s="4"/>
      <c r="BUF63" s="4"/>
      <c r="BUG63" s="4"/>
      <c r="BUH63" s="4"/>
      <c r="BUI63" s="4"/>
      <c r="BUJ63" s="4"/>
      <c r="BUK63" s="4"/>
      <c r="BUL63" s="4"/>
      <c r="BUM63" s="4"/>
      <c r="BUP63" s="4"/>
      <c r="BUQ63" s="4"/>
      <c r="BUR63" s="4"/>
      <c r="BUS63" s="4"/>
      <c r="BUT63" s="4"/>
      <c r="BUU63" s="4"/>
      <c r="BUV63" s="4"/>
      <c r="BUW63" s="4"/>
      <c r="BUX63" s="4"/>
      <c r="BUY63" s="4"/>
      <c r="BVB63" s="4"/>
      <c r="BVC63" s="4"/>
      <c r="BVD63" s="4"/>
      <c r="BVE63" s="4"/>
      <c r="BVF63" s="4"/>
      <c r="BVG63" s="4"/>
      <c r="BVH63" s="4"/>
      <c r="BVI63" s="4"/>
      <c r="BVJ63" s="4"/>
      <c r="BVK63" s="4"/>
      <c r="BVN63" s="4"/>
      <c r="BVO63" s="4"/>
      <c r="BVP63" s="4"/>
      <c r="BVQ63" s="4"/>
      <c r="BVR63" s="4"/>
      <c r="BVS63" s="4"/>
      <c r="BVT63" s="4"/>
      <c r="BVU63" s="4"/>
      <c r="BVV63" s="4"/>
      <c r="BVW63" s="4"/>
      <c r="BVZ63" s="4"/>
      <c r="BWA63" s="4"/>
      <c r="BWB63" s="4"/>
      <c r="BWC63" s="4"/>
      <c r="BWD63" s="4"/>
      <c r="BWE63" s="4"/>
      <c r="BWF63" s="4"/>
      <c r="BWG63" s="4"/>
      <c r="BWH63" s="4"/>
      <c r="BWI63" s="4"/>
      <c r="BWL63" s="4"/>
      <c r="BWM63" s="4"/>
      <c r="BWN63" s="4"/>
      <c r="BWO63" s="4"/>
      <c r="BWP63" s="4"/>
      <c r="BWQ63" s="4"/>
      <c r="BWR63" s="4"/>
      <c r="BWS63" s="4"/>
      <c r="BWT63" s="4"/>
      <c r="BWU63" s="4"/>
      <c r="BWX63" s="4"/>
      <c r="BWY63" s="4"/>
      <c r="BWZ63" s="4"/>
      <c r="BXA63" s="4"/>
      <c r="BXB63" s="4"/>
      <c r="BXC63" s="4"/>
      <c r="BXD63" s="4"/>
      <c r="BXE63" s="4"/>
      <c r="BXF63" s="4"/>
      <c r="BXG63" s="4"/>
      <c r="BXJ63" s="4"/>
      <c r="BXK63" s="4"/>
      <c r="BXL63" s="4"/>
      <c r="BXM63" s="4"/>
      <c r="BXN63" s="4"/>
      <c r="BXO63" s="4"/>
      <c r="BXP63" s="4"/>
      <c r="BXQ63" s="4"/>
      <c r="BXR63" s="4"/>
      <c r="BXS63" s="4"/>
      <c r="BXV63" s="4"/>
      <c r="BXW63" s="4"/>
      <c r="BXX63" s="4"/>
      <c r="BXY63" s="4"/>
      <c r="BXZ63" s="4"/>
      <c r="BYA63" s="4"/>
      <c r="BYB63" s="4"/>
      <c r="BYC63" s="4"/>
      <c r="BYD63" s="4"/>
      <c r="BYE63" s="4"/>
      <c r="BYH63" s="4"/>
      <c r="BYI63" s="4"/>
      <c r="BYJ63" s="4"/>
      <c r="BYK63" s="4"/>
      <c r="BYL63" s="4"/>
      <c r="BYM63" s="4"/>
      <c r="BYN63" s="4"/>
      <c r="BYO63" s="4"/>
      <c r="BYP63" s="4"/>
      <c r="BYQ63" s="4"/>
      <c r="BYT63" s="4"/>
      <c r="BYU63" s="4"/>
      <c r="BYV63" s="4"/>
      <c r="BYW63" s="4"/>
      <c r="BYX63" s="4"/>
      <c r="BYY63" s="4"/>
      <c r="BYZ63" s="4"/>
      <c r="BZA63" s="4"/>
      <c r="BZB63" s="4"/>
      <c r="BZC63" s="4"/>
      <c r="BZF63" s="4"/>
      <c r="BZG63" s="4"/>
      <c r="BZH63" s="4"/>
      <c r="BZI63" s="4"/>
      <c r="BZJ63" s="4"/>
      <c r="BZK63" s="4"/>
      <c r="BZL63" s="4"/>
      <c r="BZM63" s="4"/>
      <c r="BZN63" s="4"/>
      <c r="BZO63" s="4"/>
      <c r="BZR63" s="4"/>
      <c r="BZS63" s="4"/>
      <c r="BZT63" s="4"/>
      <c r="BZU63" s="4"/>
      <c r="BZV63" s="4"/>
      <c r="BZW63" s="4"/>
      <c r="BZX63" s="4"/>
      <c r="BZY63" s="4"/>
      <c r="BZZ63" s="4"/>
      <c r="CAA63" s="4"/>
      <c r="CAD63" s="4"/>
      <c r="CAE63" s="4"/>
      <c r="CAF63" s="4"/>
      <c r="CAG63" s="4"/>
      <c r="CAH63" s="4"/>
      <c r="CAI63" s="4"/>
      <c r="CAJ63" s="4"/>
      <c r="CAK63" s="4"/>
      <c r="CAL63" s="4"/>
      <c r="CAM63" s="4"/>
      <c r="CAP63" s="4"/>
      <c r="CAQ63" s="4"/>
      <c r="CAR63" s="4"/>
      <c r="CAS63" s="4"/>
      <c r="CAT63" s="4"/>
      <c r="CAU63" s="4"/>
      <c r="CAV63" s="4"/>
      <c r="CAW63" s="4"/>
      <c r="CAX63" s="4"/>
      <c r="CAY63" s="4"/>
      <c r="CBB63" s="4"/>
      <c r="CBC63" s="4"/>
      <c r="CBD63" s="4"/>
      <c r="CBE63" s="4"/>
      <c r="CBF63" s="4"/>
      <c r="CBG63" s="4"/>
      <c r="CBH63" s="4"/>
      <c r="CBI63" s="4"/>
      <c r="CBJ63" s="4"/>
      <c r="CBK63" s="4"/>
      <c r="CBN63" s="4"/>
      <c r="CBO63" s="4"/>
      <c r="CBP63" s="4"/>
      <c r="CBQ63" s="4"/>
      <c r="CBR63" s="4"/>
      <c r="CBS63" s="4"/>
      <c r="CBT63" s="4"/>
      <c r="CBU63" s="4"/>
      <c r="CBV63" s="4"/>
      <c r="CBW63" s="4"/>
      <c r="CBZ63" s="4"/>
      <c r="CCA63" s="4"/>
      <c r="CCB63" s="4"/>
      <c r="CCC63" s="4"/>
      <c r="CCD63" s="4"/>
      <c r="CCE63" s="4"/>
      <c r="CCF63" s="4"/>
      <c r="CCG63" s="4"/>
      <c r="CCH63" s="4"/>
      <c r="CCI63" s="4"/>
      <c r="CCL63" s="4"/>
      <c r="CCM63" s="4"/>
      <c r="CCN63" s="4"/>
      <c r="CCO63" s="4"/>
      <c r="CCP63" s="4"/>
      <c r="CCQ63" s="4"/>
      <c r="CCR63" s="4"/>
      <c r="CCS63" s="4"/>
      <c r="CCT63" s="4"/>
      <c r="CCU63" s="4"/>
      <c r="CCX63" s="4"/>
      <c r="CCY63" s="4"/>
      <c r="CCZ63" s="4"/>
      <c r="CDA63" s="4"/>
      <c r="CDB63" s="4"/>
      <c r="CDC63" s="4"/>
      <c r="CDD63" s="4"/>
      <c r="CDE63" s="4"/>
      <c r="CDF63" s="4"/>
      <c r="CDG63" s="4"/>
      <c r="CDJ63" s="4"/>
      <c r="CDK63" s="4"/>
      <c r="CDL63" s="4"/>
      <c r="CDM63" s="4"/>
      <c r="CDN63" s="4"/>
      <c r="CDO63" s="4"/>
      <c r="CDP63" s="4"/>
      <c r="CDQ63" s="4"/>
      <c r="CDR63" s="4"/>
      <c r="CDS63" s="4"/>
      <c r="CDV63" s="4"/>
      <c r="CDW63" s="4"/>
      <c r="CDX63" s="4"/>
      <c r="CDY63" s="4"/>
      <c r="CDZ63" s="4"/>
      <c r="CEA63" s="4"/>
      <c r="CEB63" s="4"/>
      <c r="CEC63" s="4"/>
      <c r="CED63" s="4"/>
      <c r="CEE63" s="4"/>
      <c r="CEH63" s="4"/>
      <c r="CEI63" s="4"/>
      <c r="CEJ63" s="4"/>
      <c r="CEK63" s="4"/>
      <c r="CEL63" s="4"/>
      <c r="CEM63" s="4"/>
      <c r="CEN63" s="4"/>
      <c r="CEO63" s="4"/>
      <c r="CEP63" s="4"/>
      <c r="CEQ63" s="4"/>
      <c r="CET63" s="4"/>
      <c r="CEU63" s="4"/>
      <c r="CEV63" s="4"/>
      <c r="CEW63" s="4"/>
      <c r="CEX63" s="4"/>
      <c r="CEY63" s="4"/>
      <c r="CEZ63" s="4"/>
      <c r="CFA63" s="4"/>
      <c r="CFB63" s="4"/>
      <c r="CFC63" s="4"/>
      <c r="CFF63" s="4"/>
      <c r="CFG63" s="4"/>
      <c r="CFH63" s="4"/>
      <c r="CFI63" s="4"/>
      <c r="CFJ63" s="4"/>
      <c r="CFK63" s="4"/>
      <c r="CFL63" s="4"/>
      <c r="CFM63" s="4"/>
      <c r="CFN63" s="4"/>
      <c r="CFO63" s="4"/>
      <c r="CFR63" s="4"/>
      <c r="CFS63" s="4"/>
      <c r="CFT63" s="4"/>
      <c r="CFU63" s="4"/>
      <c r="CFV63" s="4"/>
      <c r="CFW63" s="4"/>
      <c r="CFX63" s="4"/>
      <c r="CFY63" s="4"/>
      <c r="CFZ63" s="4"/>
      <c r="CGA63" s="4"/>
      <c r="CGD63" s="4"/>
      <c r="CGE63" s="4"/>
      <c r="CGF63" s="4"/>
      <c r="CGG63" s="4"/>
      <c r="CGH63" s="4"/>
      <c r="CGI63" s="4"/>
      <c r="CGJ63" s="4"/>
      <c r="CGK63" s="4"/>
      <c r="CGL63" s="4"/>
      <c r="CGM63" s="4"/>
      <c r="CGP63" s="4"/>
      <c r="CGQ63" s="4"/>
      <c r="CGR63" s="4"/>
      <c r="CGS63" s="4"/>
      <c r="CGT63" s="4"/>
      <c r="CGU63" s="4"/>
      <c r="CGV63" s="4"/>
      <c r="CGW63" s="4"/>
      <c r="CGX63" s="4"/>
      <c r="CGY63" s="4"/>
      <c r="CHB63" s="4"/>
      <c r="CHC63" s="4"/>
      <c r="CHD63" s="4"/>
      <c r="CHE63" s="4"/>
      <c r="CHF63" s="4"/>
      <c r="CHG63" s="4"/>
      <c r="CHH63" s="4"/>
      <c r="CHI63" s="4"/>
      <c r="CHJ63" s="4"/>
      <c r="CHK63" s="4"/>
      <c r="CHN63" s="4"/>
      <c r="CHO63" s="4"/>
      <c r="CHP63" s="4"/>
      <c r="CHQ63" s="4"/>
      <c r="CHR63" s="4"/>
      <c r="CHS63" s="4"/>
      <c r="CHT63" s="4"/>
      <c r="CHU63" s="4"/>
      <c r="CHV63" s="4"/>
      <c r="CHW63" s="4"/>
      <c r="CHZ63" s="4"/>
      <c r="CIA63" s="4"/>
      <c r="CIB63" s="4"/>
      <c r="CIC63" s="4"/>
      <c r="CID63" s="4"/>
      <c r="CIE63" s="4"/>
      <c r="CIF63" s="4"/>
      <c r="CIG63" s="4"/>
      <c r="CIH63" s="4"/>
      <c r="CII63" s="4"/>
      <c r="CIL63" s="4"/>
      <c r="CIM63" s="4"/>
      <c r="CIN63" s="4"/>
      <c r="CIO63" s="4"/>
      <c r="CIP63" s="4"/>
      <c r="CIQ63" s="4"/>
      <c r="CIR63" s="4"/>
      <c r="CIS63" s="4"/>
      <c r="CIT63" s="4"/>
      <c r="CIU63" s="4"/>
      <c r="CIX63" s="4"/>
      <c r="CIY63" s="4"/>
      <c r="CIZ63" s="4"/>
      <c r="CJA63" s="4"/>
      <c r="CJB63" s="4"/>
      <c r="CJC63" s="4"/>
      <c r="CJD63" s="4"/>
      <c r="CJE63" s="4"/>
      <c r="CJF63" s="4"/>
      <c r="CJG63" s="4"/>
      <c r="CJJ63" s="4"/>
      <c r="CJK63" s="4"/>
      <c r="CJL63" s="4"/>
      <c r="CJM63" s="4"/>
      <c r="CJN63" s="4"/>
      <c r="CJO63" s="4"/>
      <c r="CJP63" s="4"/>
      <c r="CJQ63" s="4"/>
      <c r="CJR63" s="4"/>
      <c r="CJS63" s="4"/>
      <c r="CJV63" s="4"/>
      <c r="CJW63" s="4"/>
      <c r="CJX63" s="4"/>
      <c r="CJY63" s="4"/>
      <c r="CJZ63" s="4"/>
      <c r="CKA63" s="4"/>
      <c r="CKB63" s="4"/>
      <c r="CKC63" s="4"/>
      <c r="CKD63" s="4"/>
      <c r="CKE63" s="4"/>
      <c r="CKH63" s="4"/>
      <c r="CKI63" s="4"/>
      <c r="CKJ63" s="4"/>
      <c r="CKK63" s="4"/>
      <c r="CKL63" s="4"/>
      <c r="CKM63" s="4"/>
      <c r="CKN63" s="4"/>
      <c r="CKO63" s="4"/>
      <c r="CKP63" s="4"/>
      <c r="CKQ63" s="4"/>
      <c r="CKT63" s="4"/>
      <c r="CKU63" s="4"/>
      <c r="CKV63" s="4"/>
      <c r="CKW63" s="4"/>
      <c r="CKX63" s="4"/>
      <c r="CKY63" s="4"/>
      <c r="CKZ63" s="4"/>
      <c r="CLA63" s="4"/>
      <c r="CLB63" s="4"/>
      <c r="CLC63" s="4"/>
      <c r="CLF63" s="4"/>
      <c r="CLG63" s="4"/>
      <c r="CLH63" s="4"/>
      <c r="CLI63" s="4"/>
      <c r="CLJ63" s="4"/>
      <c r="CLK63" s="4"/>
      <c r="CLL63" s="4"/>
      <c r="CLM63" s="4"/>
      <c r="CLN63" s="4"/>
      <c r="CLO63" s="4"/>
      <c r="CLR63" s="4"/>
      <c r="CLS63" s="4"/>
      <c r="CLT63" s="4"/>
      <c r="CLU63" s="4"/>
      <c r="CLV63" s="4"/>
      <c r="CLW63" s="4"/>
      <c r="CLX63" s="4"/>
      <c r="CLY63" s="4"/>
      <c r="CLZ63" s="4"/>
      <c r="CMA63" s="4"/>
      <c r="CMD63" s="4"/>
      <c r="CME63" s="4"/>
      <c r="CMF63" s="4"/>
      <c r="CMG63" s="4"/>
      <c r="CMH63" s="4"/>
      <c r="CMI63" s="4"/>
      <c r="CMJ63" s="4"/>
      <c r="CMK63" s="4"/>
      <c r="CML63" s="4"/>
      <c r="CMM63" s="4"/>
      <c r="CMP63" s="4"/>
      <c r="CMQ63" s="4"/>
      <c r="CMR63" s="4"/>
      <c r="CMS63" s="4"/>
      <c r="CMT63" s="4"/>
      <c r="CMU63" s="4"/>
      <c r="CMV63" s="4"/>
      <c r="CMW63" s="4"/>
      <c r="CMX63" s="4"/>
      <c r="CMY63" s="4"/>
      <c r="CNB63" s="4"/>
      <c r="CNC63" s="4"/>
      <c r="CND63" s="4"/>
      <c r="CNE63" s="4"/>
      <c r="CNF63" s="4"/>
      <c r="CNG63" s="4"/>
      <c r="CNH63" s="4"/>
      <c r="CNI63" s="4"/>
      <c r="CNJ63" s="4"/>
      <c r="CNK63" s="4"/>
      <c r="CNN63" s="4"/>
      <c r="CNO63" s="4"/>
      <c r="CNP63" s="4"/>
      <c r="CNQ63" s="4"/>
      <c r="CNR63" s="4"/>
      <c r="CNS63" s="4"/>
      <c r="CNT63" s="4"/>
      <c r="CNU63" s="4"/>
      <c r="CNV63" s="4"/>
      <c r="CNW63" s="4"/>
      <c r="CNZ63" s="4"/>
      <c r="COA63" s="4"/>
      <c r="COB63" s="4"/>
      <c r="COC63" s="4"/>
      <c r="COD63" s="4"/>
      <c r="COE63" s="4"/>
      <c r="COF63" s="4"/>
      <c r="COG63" s="4"/>
      <c r="COH63" s="4"/>
      <c r="COI63" s="4"/>
      <c r="COL63" s="4"/>
      <c r="COM63" s="4"/>
      <c r="CON63" s="4"/>
      <c r="COO63" s="4"/>
      <c r="COP63" s="4"/>
      <c r="COQ63" s="4"/>
      <c r="COR63" s="4"/>
      <c r="COS63" s="4"/>
      <c r="COT63" s="4"/>
      <c r="COU63" s="4"/>
      <c r="COX63" s="4"/>
      <c r="COY63" s="4"/>
      <c r="COZ63" s="4"/>
      <c r="CPA63" s="4"/>
      <c r="CPB63" s="4"/>
      <c r="CPC63" s="4"/>
      <c r="CPD63" s="4"/>
      <c r="CPE63" s="4"/>
      <c r="CPF63" s="4"/>
      <c r="CPG63" s="4"/>
      <c r="CPJ63" s="4"/>
      <c r="CPK63" s="4"/>
      <c r="CPL63" s="4"/>
      <c r="CPM63" s="4"/>
      <c r="CPN63" s="4"/>
      <c r="CPO63" s="4"/>
      <c r="CPP63" s="4"/>
      <c r="CPQ63" s="4"/>
      <c r="CPR63" s="4"/>
      <c r="CPS63" s="4"/>
      <c r="CPV63" s="4"/>
      <c r="CPW63" s="4"/>
      <c r="CPX63" s="4"/>
      <c r="CPY63" s="4"/>
      <c r="CPZ63" s="4"/>
      <c r="CQA63" s="4"/>
      <c r="CQB63" s="4"/>
      <c r="CQC63" s="4"/>
      <c r="CQD63" s="4"/>
      <c r="CQE63" s="4"/>
      <c r="CQH63" s="4"/>
      <c r="CQI63" s="4"/>
      <c r="CQJ63" s="4"/>
      <c r="CQK63" s="4"/>
      <c r="CQL63" s="4"/>
      <c r="CQM63" s="4"/>
      <c r="CQN63" s="4"/>
      <c r="CQO63" s="4"/>
      <c r="CQP63" s="4"/>
      <c r="CQQ63" s="4"/>
      <c r="CQT63" s="4"/>
      <c r="CQU63" s="4"/>
      <c r="CQV63" s="4"/>
      <c r="CQW63" s="4"/>
      <c r="CQX63" s="4"/>
      <c r="CQY63" s="4"/>
      <c r="CQZ63" s="4"/>
      <c r="CRA63" s="4"/>
      <c r="CRB63" s="4"/>
      <c r="CRC63" s="4"/>
      <c r="CRF63" s="4"/>
      <c r="CRG63" s="4"/>
      <c r="CRH63" s="4"/>
      <c r="CRI63" s="4"/>
      <c r="CRJ63" s="4"/>
      <c r="CRK63" s="4"/>
      <c r="CRL63" s="4"/>
      <c r="CRM63" s="4"/>
      <c r="CRN63" s="4"/>
      <c r="CRO63" s="4"/>
      <c r="CRR63" s="4"/>
      <c r="CRS63" s="4"/>
      <c r="CRT63" s="4"/>
      <c r="CRU63" s="4"/>
      <c r="CRV63" s="4"/>
      <c r="CRW63" s="4"/>
      <c r="CRX63" s="4"/>
      <c r="CRY63" s="4"/>
      <c r="CRZ63" s="4"/>
      <c r="CSA63" s="4"/>
      <c r="CSD63" s="4"/>
      <c r="CSE63" s="4"/>
      <c r="CSF63" s="4"/>
      <c r="CSG63" s="4"/>
      <c r="CSH63" s="4"/>
      <c r="CSI63" s="4"/>
      <c r="CSJ63" s="4"/>
      <c r="CSK63" s="4"/>
      <c r="CSL63" s="4"/>
      <c r="CSM63" s="4"/>
      <c r="CSP63" s="4"/>
      <c r="CSQ63" s="4"/>
      <c r="CSR63" s="4"/>
      <c r="CSS63" s="4"/>
      <c r="CST63" s="4"/>
      <c r="CSU63" s="4"/>
      <c r="CSV63" s="4"/>
      <c r="CSW63" s="4"/>
      <c r="CSX63" s="4"/>
      <c r="CSY63" s="4"/>
      <c r="CTB63" s="4"/>
      <c r="CTC63" s="4"/>
      <c r="CTD63" s="4"/>
      <c r="CTE63" s="4"/>
      <c r="CTF63" s="4"/>
      <c r="CTG63" s="4"/>
      <c r="CTH63" s="4"/>
      <c r="CTI63" s="4"/>
      <c r="CTJ63" s="4"/>
      <c r="CTK63" s="4"/>
      <c r="CTN63" s="4"/>
      <c r="CTO63" s="4"/>
      <c r="CTP63" s="4"/>
      <c r="CTQ63" s="4"/>
      <c r="CTR63" s="4"/>
      <c r="CTS63" s="4"/>
      <c r="CTT63" s="4"/>
      <c r="CTU63" s="4"/>
      <c r="CTV63" s="4"/>
      <c r="CTW63" s="4"/>
      <c r="CTZ63" s="4"/>
      <c r="CUA63" s="4"/>
      <c r="CUB63" s="4"/>
      <c r="CUC63" s="4"/>
      <c r="CUD63" s="4"/>
      <c r="CUE63" s="4"/>
      <c r="CUF63" s="4"/>
      <c r="CUG63" s="4"/>
      <c r="CUH63" s="4"/>
      <c r="CUI63" s="4"/>
      <c r="CUL63" s="4"/>
      <c r="CUM63" s="4"/>
      <c r="CUN63" s="4"/>
      <c r="CUO63" s="4"/>
      <c r="CUP63" s="4"/>
      <c r="CUQ63" s="4"/>
      <c r="CUR63" s="4"/>
      <c r="CUS63" s="4"/>
      <c r="CUT63" s="4"/>
      <c r="CUU63" s="4"/>
      <c r="CUX63" s="4"/>
      <c r="CUY63" s="4"/>
      <c r="CUZ63" s="4"/>
      <c r="CVA63" s="4"/>
      <c r="CVB63" s="4"/>
      <c r="CVC63" s="4"/>
      <c r="CVD63" s="4"/>
      <c r="CVE63" s="4"/>
      <c r="CVF63" s="4"/>
      <c r="CVG63" s="4"/>
      <c r="CVJ63" s="4"/>
      <c r="CVK63" s="4"/>
      <c r="CVL63" s="4"/>
      <c r="CVM63" s="4"/>
      <c r="CVN63" s="4"/>
      <c r="CVO63" s="4"/>
      <c r="CVP63" s="4"/>
      <c r="CVQ63" s="4"/>
      <c r="CVR63" s="4"/>
      <c r="CVS63" s="4"/>
      <c r="CVV63" s="4"/>
      <c r="CVW63" s="4"/>
      <c r="CVX63" s="4"/>
      <c r="CVY63" s="4"/>
      <c r="CVZ63" s="4"/>
      <c r="CWA63" s="4"/>
      <c r="CWB63" s="4"/>
      <c r="CWC63" s="4"/>
      <c r="CWD63" s="4"/>
      <c r="CWE63" s="4"/>
    </row>
    <row r="64" spans="2:1023 1026:2631" x14ac:dyDescent="0.25"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L64" s="4"/>
      <c r="ADM64" s="4"/>
      <c r="ADN64" s="4"/>
      <c r="ADO64" s="4"/>
      <c r="ADP64" s="4"/>
      <c r="ADQ64" s="4"/>
      <c r="ADR64" s="4"/>
      <c r="ADS64" s="4"/>
      <c r="ADT64" s="4"/>
      <c r="ADU64" s="4"/>
      <c r="ADV64" s="4"/>
      <c r="ADY64" s="4"/>
      <c r="ADZ64" s="4"/>
      <c r="AEA64" s="4"/>
      <c r="AEB64" s="4"/>
      <c r="AEC64" s="4"/>
      <c r="AED64" s="4"/>
      <c r="AEE64" s="4"/>
      <c r="AEF64" s="4"/>
      <c r="AEG64" s="4"/>
      <c r="AEH64" s="4"/>
      <c r="AEI64" s="4"/>
      <c r="AEL64" s="4"/>
      <c r="AEM64" s="4"/>
      <c r="AEN64" s="4"/>
      <c r="AEO64" s="4"/>
      <c r="AEP64" s="4"/>
      <c r="AEQ64" s="4"/>
      <c r="AER64" s="4"/>
      <c r="AES64" s="4"/>
      <c r="AET64" s="4"/>
      <c r="AEU64" s="4"/>
      <c r="AEV64" s="4"/>
      <c r="AEY64" s="4"/>
      <c r="AEZ64" s="4"/>
      <c r="AFA64" s="4"/>
      <c r="AFB64" s="4"/>
      <c r="AFC64" s="4"/>
      <c r="AFD64" s="4"/>
      <c r="AFE64" s="4"/>
      <c r="AFF64" s="4"/>
      <c r="AFG64" s="4"/>
      <c r="AFH64" s="4"/>
      <c r="AFI64" s="4"/>
      <c r="AFL64" s="4"/>
      <c r="AFM64" s="4"/>
      <c r="AFN64" s="4"/>
      <c r="AFO64" s="4"/>
      <c r="AFP64" s="4"/>
      <c r="AFQ64" s="4"/>
      <c r="AFR64" s="4"/>
      <c r="AFS64" s="4"/>
      <c r="AFT64" s="4"/>
      <c r="AFU64" s="4"/>
      <c r="AFV64" s="4"/>
      <c r="AFZ64" s="4"/>
      <c r="AGA64" s="4"/>
      <c r="AGB64" s="4"/>
      <c r="AGC64" s="4"/>
      <c r="AGD64" s="4"/>
      <c r="AGE64" s="4"/>
      <c r="AGF64" s="4"/>
      <c r="AGG64" s="4"/>
      <c r="AGH64" s="4"/>
      <c r="AGI64" s="4"/>
      <c r="AGL64" s="4"/>
      <c r="AGM64" s="4"/>
      <c r="AGN64" s="4"/>
      <c r="AGO64" s="4"/>
      <c r="AGP64" s="4"/>
      <c r="AGQ64" s="4"/>
      <c r="AGR64" s="4"/>
      <c r="AGS64" s="4"/>
      <c r="AGT64" s="4"/>
      <c r="AGU64" s="4"/>
      <c r="AGX64" s="4"/>
      <c r="AGY64" s="4"/>
      <c r="AGZ64" s="4"/>
      <c r="AHA64" s="4"/>
      <c r="AHB64" s="4"/>
      <c r="AHC64" s="4"/>
      <c r="AHD64" s="4"/>
      <c r="AHE64" s="4"/>
      <c r="AHF64" s="4"/>
      <c r="AHG64" s="4"/>
      <c r="AHJ64" s="4"/>
      <c r="AHK64" s="4"/>
      <c r="AHL64" s="4"/>
      <c r="AHM64" s="4"/>
      <c r="AHN64" s="4"/>
      <c r="AHO64" s="4"/>
      <c r="AHP64" s="4"/>
      <c r="AHQ64" s="4"/>
      <c r="AHR64" s="4"/>
      <c r="AHS64" s="4"/>
      <c r="AHV64" s="4"/>
      <c r="AHW64" s="4"/>
      <c r="AHX64" s="4"/>
      <c r="AHY64" s="4"/>
      <c r="AHZ64" s="4"/>
      <c r="AIA64" s="4"/>
      <c r="AIB64" s="4"/>
      <c r="AIC64" s="4"/>
      <c r="AID64" s="4"/>
      <c r="AIE64" s="4"/>
      <c r="AIH64" s="4"/>
      <c r="AII64" s="4"/>
      <c r="AIJ64" s="4"/>
      <c r="AIK64" s="4"/>
      <c r="AIL64" s="4"/>
      <c r="AIM64" s="4"/>
      <c r="AIN64" s="4"/>
      <c r="AIO64" s="4"/>
      <c r="AIP64" s="4"/>
      <c r="AIQ64" s="4"/>
      <c r="AIT64" s="4"/>
      <c r="AIU64" s="4"/>
      <c r="AIV64" s="4"/>
      <c r="AIW64" s="4"/>
      <c r="AIX64" s="4"/>
      <c r="AIY64" s="4"/>
      <c r="AIZ64" s="4"/>
      <c r="AJA64" s="4"/>
      <c r="AJB64" s="4"/>
      <c r="AJC64" s="4"/>
      <c r="AJF64" s="4"/>
      <c r="AJG64" s="4"/>
      <c r="AJH64" s="4"/>
      <c r="AJI64" s="4"/>
      <c r="AJJ64" s="4"/>
      <c r="AJK64" s="4"/>
      <c r="AJL64" s="4"/>
      <c r="AJM64" s="4"/>
      <c r="AJN64" s="4"/>
      <c r="AJO64" s="4"/>
      <c r="AJR64" s="4"/>
      <c r="AJS64" s="4"/>
      <c r="AJT64" s="4"/>
      <c r="AJU64" s="4"/>
      <c r="AJV64" s="4"/>
      <c r="AJW64" s="4"/>
      <c r="AJX64" s="4"/>
      <c r="AJY64" s="4"/>
      <c r="AJZ64" s="4"/>
      <c r="AKA64" s="4"/>
      <c r="AKD64" s="4"/>
      <c r="AKE64" s="4"/>
      <c r="AKF64" s="4"/>
      <c r="AKG64" s="4"/>
      <c r="AKH64" s="4"/>
      <c r="AKI64" s="4"/>
      <c r="AKJ64" s="4"/>
      <c r="AKK64" s="4"/>
      <c r="AKL64" s="4"/>
      <c r="AKM64" s="4"/>
      <c r="AKP64" s="4"/>
      <c r="AKQ64" s="4"/>
      <c r="AKR64" s="4"/>
      <c r="AKS64" s="4"/>
      <c r="AKT64" s="4"/>
      <c r="AKU64" s="4"/>
      <c r="AKV64" s="4"/>
      <c r="AKW64" s="4"/>
      <c r="AKX64" s="4"/>
      <c r="AKY64" s="4"/>
      <c r="ALB64" s="4"/>
      <c r="ALC64" s="4"/>
      <c r="ALD64" s="4"/>
      <c r="ALE64" s="4"/>
      <c r="ALF64" s="4"/>
      <c r="ALG64" s="4"/>
      <c r="ALH64" s="4"/>
      <c r="ALI64" s="4"/>
      <c r="ALJ64" s="4"/>
      <c r="ALK64" s="4"/>
      <c r="ALN64" s="4"/>
      <c r="ALO64" s="4"/>
      <c r="ALP64" s="4"/>
      <c r="ALQ64" s="4"/>
      <c r="ALR64" s="4"/>
      <c r="ALS64" s="4"/>
      <c r="ALT64" s="4"/>
      <c r="ALU64" s="4"/>
      <c r="ALV64" s="4"/>
      <c r="ALW64" s="4"/>
      <c r="ALZ64" s="4"/>
      <c r="AMA64" s="4"/>
      <c r="AMB64" s="4"/>
      <c r="AMC64" s="4"/>
      <c r="AMD64" s="4"/>
      <c r="AME64" s="4"/>
      <c r="AMF64" s="4"/>
      <c r="AMG64" s="4"/>
      <c r="AMH64" s="4"/>
      <c r="AMI64" s="4"/>
      <c r="AML64" s="4"/>
      <c r="AMM64" s="4"/>
      <c r="AMN64" s="4"/>
      <c r="AMO64" s="4"/>
      <c r="AMP64" s="4"/>
      <c r="AMQ64" s="4"/>
      <c r="AMR64" s="4"/>
      <c r="AMS64" s="4"/>
      <c r="AMT64" s="4"/>
      <c r="AMU64" s="4"/>
      <c r="AMX64" s="4"/>
      <c r="AMY64" s="4"/>
      <c r="AMZ64" s="4"/>
      <c r="ANA64" s="4"/>
      <c r="ANB64" s="4"/>
      <c r="ANC64" s="4"/>
      <c r="AND64" s="4"/>
      <c r="ANE64" s="4"/>
      <c r="ANF64" s="4"/>
      <c r="ANG64" s="4"/>
      <c r="ANJ64" s="4"/>
      <c r="ANK64" s="4"/>
      <c r="ANL64" s="4"/>
      <c r="ANM64" s="4"/>
      <c r="ANN64" s="4"/>
      <c r="ANO64" s="4"/>
      <c r="ANP64" s="4"/>
      <c r="ANQ64" s="4"/>
      <c r="ANR64" s="4"/>
      <c r="ANS64" s="4"/>
      <c r="ANV64" s="4"/>
      <c r="ANW64" s="4"/>
      <c r="ANX64" s="4"/>
      <c r="ANY64" s="4"/>
      <c r="ANZ64" s="4"/>
      <c r="AOA64" s="4"/>
      <c r="AOB64" s="4"/>
      <c r="AOC64" s="4"/>
      <c r="AOD64" s="4"/>
      <c r="AOE64" s="4"/>
      <c r="AOH64" s="4"/>
      <c r="AOI64" s="4"/>
      <c r="AOJ64" s="4"/>
      <c r="AOK64" s="4"/>
      <c r="AOL64" s="4"/>
      <c r="AOM64" s="4"/>
      <c r="AON64" s="4"/>
      <c r="AOO64" s="4"/>
      <c r="AOP64" s="4"/>
      <c r="AOQ64" s="4"/>
      <c r="AOT64" s="4"/>
      <c r="AOU64" s="4"/>
      <c r="AOV64" s="4"/>
      <c r="AOW64" s="4"/>
      <c r="AOX64" s="4"/>
      <c r="AOY64" s="4"/>
      <c r="AOZ64" s="4"/>
      <c r="APA64" s="4"/>
      <c r="APB64" s="4"/>
      <c r="APC64" s="4"/>
      <c r="APF64" s="4"/>
      <c r="APG64" s="4"/>
      <c r="APH64" s="4"/>
      <c r="API64" s="4"/>
      <c r="APJ64" s="4"/>
      <c r="APK64" s="4"/>
      <c r="APL64" s="4"/>
      <c r="APM64" s="4"/>
      <c r="APN64" s="4"/>
      <c r="APO64" s="4"/>
      <c r="APR64" s="4"/>
      <c r="APS64" s="4"/>
      <c r="APT64" s="4"/>
      <c r="APU64" s="4"/>
      <c r="APV64" s="4"/>
      <c r="APW64" s="4"/>
      <c r="APX64" s="4"/>
      <c r="APY64" s="4"/>
      <c r="APZ64" s="4"/>
      <c r="AQA64" s="4"/>
      <c r="AQD64" s="4"/>
      <c r="AQE64" s="4"/>
      <c r="AQF64" s="4"/>
      <c r="AQG64" s="4"/>
      <c r="AQH64" s="4"/>
      <c r="AQI64" s="4"/>
      <c r="AQJ64" s="4"/>
      <c r="AQK64" s="4"/>
      <c r="AQL64" s="4"/>
      <c r="AQM64" s="4"/>
      <c r="AQP64" s="4"/>
      <c r="AQQ64" s="4"/>
      <c r="AQR64" s="4"/>
      <c r="AQS64" s="4"/>
      <c r="AQT64" s="4"/>
      <c r="AQU64" s="4"/>
      <c r="AQV64" s="4"/>
      <c r="AQW64" s="4"/>
      <c r="AQX64" s="4"/>
      <c r="AQY64" s="4"/>
      <c r="ARB64" s="4"/>
      <c r="ARC64" s="4"/>
      <c r="ARD64" s="4"/>
      <c r="ARE64" s="4"/>
      <c r="ARF64" s="4"/>
      <c r="ARG64" s="4"/>
      <c r="ARH64" s="4"/>
      <c r="ARI64" s="4"/>
      <c r="ARJ64" s="4"/>
      <c r="ARK64" s="4"/>
      <c r="ARN64" s="4"/>
      <c r="ARO64" s="4"/>
      <c r="ARP64" s="4"/>
      <c r="ARQ64" s="4"/>
      <c r="ARR64" s="4"/>
      <c r="ARS64" s="4"/>
      <c r="ART64" s="4"/>
      <c r="ARU64" s="4"/>
      <c r="ARV64" s="4"/>
      <c r="ARW64" s="4"/>
      <c r="ARZ64" s="4"/>
      <c r="ASA64" s="4"/>
      <c r="ASB64" s="4"/>
      <c r="ASC64" s="4"/>
      <c r="ASD64" s="4"/>
      <c r="ASE64" s="4"/>
      <c r="ASF64" s="4"/>
      <c r="ASG64" s="4"/>
      <c r="ASH64" s="4"/>
      <c r="ASI64" s="4"/>
      <c r="ASL64" s="4"/>
      <c r="ASM64" s="4"/>
      <c r="ASN64" s="4"/>
      <c r="ASO64" s="4"/>
      <c r="ASP64" s="4"/>
      <c r="ASQ64" s="4"/>
      <c r="ASR64" s="4"/>
      <c r="ASS64" s="4"/>
      <c r="AST64" s="4"/>
      <c r="ASU64" s="4"/>
      <c r="ASX64" s="4"/>
      <c r="ASY64" s="4"/>
      <c r="ASZ64" s="4"/>
      <c r="ATA64" s="4"/>
      <c r="ATB64" s="4"/>
      <c r="ATC64" s="4"/>
      <c r="ATD64" s="4"/>
      <c r="ATE64" s="4"/>
      <c r="ATF64" s="4"/>
      <c r="ATG64" s="4"/>
      <c r="ATJ64" s="4"/>
      <c r="ATK64" s="4"/>
      <c r="ATL64" s="4"/>
      <c r="ATM64" s="4"/>
      <c r="ATN64" s="4"/>
      <c r="ATO64" s="4"/>
      <c r="ATP64" s="4"/>
      <c r="ATQ64" s="4"/>
      <c r="ATR64" s="4"/>
      <c r="ATS64" s="4"/>
      <c r="ATV64" s="4"/>
      <c r="ATW64" s="4"/>
      <c r="ATX64" s="4"/>
      <c r="ATY64" s="4"/>
      <c r="ATZ64" s="4"/>
      <c r="AUA64" s="4"/>
      <c r="AUB64" s="4"/>
      <c r="AUC64" s="4"/>
      <c r="AUD64" s="4"/>
      <c r="AUE64" s="4"/>
      <c r="AUH64" s="4"/>
      <c r="AUI64" s="4"/>
      <c r="AUJ64" s="4"/>
      <c r="AUK64" s="4"/>
      <c r="AUL64" s="4"/>
      <c r="AUM64" s="4"/>
      <c r="AUN64" s="4"/>
      <c r="AUO64" s="4"/>
      <c r="AUP64" s="4"/>
      <c r="AUQ64" s="4"/>
      <c r="AUT64" s="4"/>
      <c r="AUU64" s="4"/>
      <c r="AUV64" s="4"/>
      <c r="AUW64" s="4"/>
      <c r="AUX64" s="4"/>
      <c r="AUY64" s="4"/>
      <c r="AUZ64" s="4"/>
      <c r="AVA64" s="4"/>
      <c r="AVB64" s="4"/>
      <c r="AVC64" s="4"/>
      <c r="AVF64" s="4"/>
      <c r="AVG64" s="4"/>
      <c r="AVH64" s="4"/>
      <c r="AVI64" s="4"/>
      <c r="AVJ64" s="4"/>
      <c r="AVK64" s="4"/>
      <c r="AVL64" s="4"/>
      <c r="AVM64" s="4"/>
      <c r="AVN64" s="4"/>
      <c r="AVO64" s="4"/>
      <c r="AVR64" s="4"/>
      <c r="AVS64" s="4"/>
      <c r="AVT64" s="4"/>
      <c r="AVU64" s="4"/>
      <c r="AVV64" s="4"/>
      <c r="AVW64" s="4"/>
      <c r="AVX64" s="4"/>
      <c r="AVY64" s="4"/>
      <c r="AVZ64" s="4"/>
      <c r="AWA64" s="4"/>
      <c r="AWD64" s="4"/>
      <c r="AWE64" s="4"/>
      <c r="AWF64" s="4"/>
      <c r="AWG64" s="4"/>
      <c r="AWH64" s="4"/>
      <c r="AWI64" s="4"/>
      <c r="AWJ64" s="4"/>
      <c r="AWK64" s="4"/>
      <c r="AWL64" s="4"/>
      <c r="AWM64" s="4"/>
      <c r="AWP64" s="4"/>
      <c r="AWQ64" s="4"/>
      <c r="AWR64" s="4"/>
      <c r="AWS64" s="4"/>
      <c r="AWT64" s="4"/>
      <c r="AWU64" s="4"/>
      <c r="AWV64" s="4"/>
      <c r="AWW64" s="4"/>
      <c r="AWX64" s="4"/>
      <c r="AWY64" s="4"/>
      <c r="AXB64" s="4"/>
      <c r="AXC64" s="4"/>
      <c r="AXD64" s="4"/>
      <c r="AXE64" s="4"/>
      <c r="AXF64" s="4"/>
      <c r="AXG64" s="4"/>
      <c r="AXH64" s="4"/>
      <c r="AXI64" s="4"/>
      <c r="AXJ64" s="4"/>
      <c r="AXK64" s="4"/>
      <c r="AXN64" s="4"/>
      <c r="AXO64" s="4"/>
      <c r="AXP64" s="4"/>
      <c r="AXQ64" s="4"/>
      <c r="AXR64" s="4"/>
      <c r="AXS64" s="4"/>
      <c r="AXT64" s="4"/>
      <c r="AXU64" s="4"/>
      <c r="AXV64" s="4"/>
      <c r="AXW64" s="4"/>
      <c r="AXZ64" s="4"/>
      <c r="AYA64" s="4"/>
      <c r="AYB64" s="4"/>
      <c r="AYC64" s="4"/>
      <c r="AYD64" s="4"/>
      <c r="AYE64" s="4"/>
      <c r="AYF64" s="4"/>
      <c r="AYG64" s="4"/>
      <c r="AYH64" s="4"/>
      <c r="AYI64" s="4"/>
      <c r="AYL64" s="4"/>
      <c r="AYM64" s="4"/>
      <c r="AYN64" s="4"/>
      <c r="AYO64" s="4"/>
      <c r="AYP64" s="4"/>
      <c r="AYQ64" s="4"/>
      <c r="AYR64" s="4"/>
      <c r="AYS64" s="4"/>
      <c r="AYT64" s="4"/>
      <c r="AYU64" s="4"/>
      <c r="AYX64" s="4"/>
      <c r="AYY64" s="4"/>
      <c r="AYZ64" s="4"/>
      <c r="AZA64" s="4"/>
      <c r="AZB64" s="4"/>
      <c r="AZC64" s="4"/>
      <c r="AZD64" s="4"/>
      <c r="AZE64" s="4"/>
      <c r="AZF64" s="4"/>
      <c r="AZG64" s="4"/>
      <c r="AZJ64" s="4"/>
      <c r="AZK64" s="4"/>
      <c r="AZL64" s="4"/>
      <c r="AZM64" s="4"/>
      <c r="AZN64" s="4"/>
      <c r="AZO64" s="4"/>
      <c r="AZP64" s="4"/>
      <c r="AZQ64" s="4"/>
      <c r="AZR64" s="4"/>
      <c r="AZS64" s="4"/>
      <c r="AZV64" s="4"/>
      <c r="AZW64" s="4"/>
      <c r="AZX64" s="4"/>
      <c r="AZY64" s="4"/>
      <c r="AZZ64" s="4"/>
      <c r="BAA64" s="4"/>
      <c r="BAB64" s="4"/>
      <c r="BAC64" s="4"/>
      <c r="BAD64" s="4"/>
      <c r="BAE64" s="4"/>
      <c r="BAH64" s="4"/>
      <c r="BAI64" s="4"/>
      <c r="BAJ64" s="4"/>
      <c r="BAK64" s="4"/>
      <c r="BAL64" s="4"/>
      <c r="BAM64" s="4"/>
      <c r="BAN64" s="4"/>
      <c r="BAO64" s="4"/>
      <c r="BAP64" s="4"/>
      <c r="BAQ64" s="4"/>
      <c r="BAT64" s="4"/>
      <c r="BAU64" s="4"/>
      <c r="BAV64" s="4"/>
      <c r="BAW64" s="4"/>
      <c r="BAX64" s="4"/>
      <c r="BAY64" s="4"/>
      <c r="BAZ64" s="4"/>
      <c r="BBA64" s="4"/>
      <c r="BBB64" s="4"/>
      <c r="BBC64" s="4"/>
      <c r="BBF64" s="4"/>
      <c r="BBG64" s="4"/>
      <c r="BBH64" s="4"/>
      <c r="BBI64" s="4"/>
      <c r="BBJ64" s="4"/>
      <c r="BBK64" s="4"/>
      <c r="BBL64" s="4"/>
      <c r="BBM64" s="4"/>
      <c r="BBN64" s="4"/>
      <c r="BBO64" s="4"/>
      <c r="BBR64" s="4"/>
      <c r="BBS64" s="4"/>
      <c r="BBT64" s="4"/>
      <c r="BBU64" s="4"/>
      <c r="BBV64" s="4"/>
      <c r="BBW64" s="4"/>
      <c r="BBX64" s="4"/>
      <c r="BBY64" s="4"/>
      <c r="BBZ64" s="4"/>
      <c r="BCA64" s="4"/>
      <c r="BCD64" s="4"/>
      <c r="BCE64" s="4"/>
      <c r="BCF64" s="4"/>
      <c r="BCG64" s="4"/>
      <c r="BCH64" s="4"/>
      <c r="BCI64" s="4"/>
      <c r="BCJ64" s="4"/>
      <c r="BCK64" s="4"/>
      <c r="BCL64" s="4"/>
      <c r="BCM64" s="4"/>
      <c r="BCP64" s="4"/>
      <c r="BCQ64" s="4"/>
      <c r="BCR64" s="4"/>
      <c r="BCS64" s="4"/>
      <c r="BCT64" s="4"/>
      <c r="BCU64" s="4"/>
      <c r="BCV64" s="4"/>
      <c r="BCW64" s="4"/>
      <c r="BCX64" s="4"/>
      <c r="BCY64" s="4"/>
      <c r="BDB64" s="4"/>
      <c r="BDC64" s="4"/>
      <c r="BDD64" s="4"/>
      <c r="BDE64" s="4"/>
      <c r="BDF64" s="4"/>
      <c r="BDG64" s="4"/>
      <c r="BDH64" s="4"/>
      <c r="BDI64" s="4"/>
      <c r="BDJ64" s="4"/>
      <c r="BDK64" s="4"/>
      <c r="BDN64" s="4"/>
      <c r="BDO64" s="4"/>
      <c r="BDP64" s="4"/>
      <c r="BDQ64" s="4"/>
      <c r="BDR64" s="4"/>
      <c r="BDS64" s="4"/>
      <c r="BDT64" s="4"/>
      <c r="BDU64" s="4"/>
      <c r="BDV64" s="4"/>
      <c r="BDW64" s="4"/>
      <c r="BDZ64" s="4"/>
      <c r="BEA64" s="4"/>
      <c r="BEB64" s="4"/>
      <c r="BEC64" s="4"/>
      <c r="BED64" s="4"/>
      <c r="BEE64" s="4"/>
      <c r="BEF64" s="4"/>
      <c r="BEG64" s="4"/>
      <c r="BEH64" s="4"/>
      <c r="BEI64" s="4"/>
      <c r="BEL64" s="4"/>
      <c r="BEM64" s="4"/>
      <c r="BEN64" s="4"/>
      <c r="BEO64" s="4"/>
      <c r="BEP64" s="4"/>
      <c r="BEQ64" s="4"/>
      <c r="BER64" s="4"/>
      <c r="BES64" s="4"/>
      <c r="BET64" s="4"/>
      <c r="BEU64" s="4"/>
      <c r="BEX64" s="4"/>
      <c r="BEY64" s="4"/>
      <c r="BEZ64" s="4"/>
      <c r="BFA64" s="4"/>
      <c r="BFB64" s="4"/>
      <c r="BFC64" s="4"/>
      <c r="BFD64" s="4"/>
      <c r="BFE64" s="4"/>
      <c r="BFF64" s="4"/>
      <c r="BFG64" s="4"/>
      <c r="BFJ64" s="4"/>
      <c r="BFK64" s="4"/>
      <c r="BFL64" s="4"/>
      <c r="BFM64" s="4"/>
      <c r="BFN64" s="4"/>
      <c r="BFO64" s="4"/>
      <c r="BFP64" s="4"/>
      <c r="BFQ64" s="4"/>
      <c r="BFR64" s="4"/>
      <c r="BFS64" s="4"/>
      <c r="BFV64" s="4"/>
      <c r="BFW64" s="4"/>
      <c r="BFX64" s="4"/>
      <c r="BFY64" s="4"/>
      <c r="BFZ64" s="4"/>
      <c r="BGA64" s="4"/>
      <c r="BGB64" s="4"/>
      <c r="BGC64" s="4"/>
      <c r="BGD64" s="4"/>
      <c r="BGE64" s="4"/>
      <c r="BGH64" s="4"/>
      <c r="BGI64" s="4"/>
      <c r="BGJ64" s="4"/>
      <c r="BGK64" s="4"/>
      <c r="BGL64" s="4"/>
      <c r="BGM64" s="4"/>
      <c r="BGN64" s="4"/>
      <c r="BGO64" s="4"/>
      <c r="BGP64" s="4"/>
      <c r="BGQ64" s="4"/>
      <c r="BGT64" s="4"/>
      <c r="BGU64" s="4"/>
      <c r="BGV64" s="4"/>
      <c r="BGW64" s="4"/>
      <c r="BGX64" s="4"/>
      <c r="BGY64" s="4"/>
      <c r="BGZ64" s="4"/>
      <c r="BHA64" s="4"/>
      <c r="BHB64" s="4"/>
      <c r="BHC64" s="4"/>
      <c r="BHF64" s="4"/>
      <c r="BHG64" s="4"/>
      <c r="BHH64" s="4"/>
      <c r="BHI64" s="4"/>
      <c r="BHJ64" s="4"/>
      <c r="BHK64" s="4"/>
      <c r="BHL64" s="4"/>
      <c r="BHM64" s="4"/>
      <c r="BHN64" s="4"/>
      <c r="BHO64" s="4"/>
      <c r="BHR64" s="4"/>
      <c r="BHS64" s="4"/>
      <c r="BHT64" s="4"/>
      <c r="BHU64" s="4"/>
      <c r="BHV64" s="4"/>
      <c r="BHW64" s="4"/>
      <c r="BHX64" s="4"/>
      <c r="BHY64" s="4"/>
      <c r="BHZ64" s="4"/>
      <c r="BIA64" s="4"/>
      <c r="BID64" s="4"/>
      <c r="BIE64" s="4"/>
      <c r="BIF64" s="4"/>
      <c r="BIG64" s="4"/>
      <c r="BIH64" s="4"/>
      <c r="BII64" s="4"/>
      <c r="BIJ64" s="4"/>
      <c r="BIK64" s="4"/>
      <c r="BIL64" s="4"/>
      <c r="BIM64" s="4"/>
      <c r="BIP64" s="4"/>
      <c r="BIQ64" s="4"/>
      <c r="BIR64" s="4"/>
      <c r="BIS64" s="4"/>
      <c r="BIT64" s="4"/>
      <c r="BIU64" s="4"/>
      <c r="BIV64" s="4"/>
      <c r="BIW64" s="4"/>
      <c r="BIX64" s="4"/>
      <c r="BIY64" s="4"/>
      <c r="BJB64" s="4"/>
      <c r="BJC64" s="4"/>
      <c r="BJD64" s="4"/>
      <c r="BJE64" s="4"/>
      <c r="BJF64" s="4"/>
      <c r="BJG64" s="4"/>
      <c r="BJH64" s="4"/>
      <c r="BJI64" s="4"/>
      <c r="BJJ64" s="4"/>
      <c r="BJK64" s="4"/>
      <c r="BJN64" s="4"/>
      <c r="BJO64" s="4"/>
      <c r="BJP64" s="4"/>
      <c r="BJQ64" s="4"/>
      <c r="BJR64" s="4"/>
      <c r="BJS64" s="4"/>
      <c r="BJT64" s="4"/>
      <c r="BJU64" s="4"/>
      <c r="BJV64" s="4"/>
      <c r="BJW64" s="4"/>
      <c r="BJZ64" s="4"/>
      <c r="BKA64" s="4"/>
      <c r="BKB64" s="4"/>
      <c r="BKC64" s="4"/>
      <c r="BKD64" s="4"/>
      <c r="BKE64" s="4"/>
      <c r="BKF64" s="4"/>
      <c r="BKG64" s="4"/>
      <c r="BKH64" s="4"/>
      <c r="BKI64" s="4"/>
      <c r="BKL64" s="4"/>
      <c r="BKM64" s="4"/>
      <c r="BKN64" s="4"/>
      <c r="BKO64" s="4"/>
      <c r="BKP64" s="4"/>
      <c r="BKQ64" s="4"/>
      <c r="BKR64" s="4"/>
      <c r="BKS64" s="4"/>
      <c r="BKT64" s="4"/>
      <c r="BKU64" s="4"/>
      <c r="BKX64" s="4"/>
      <c r="BKY64" s="4"/>
      <c r="BKZ64" s="4"/>
      <c r="BLA64" s="4"/>
      <c r="BLB64" s="4"/>
      <c r="BLC64" s="4"/>
      <c r="BLD64" s="4"/>
      <c r="BLE64" s="4"/>
      <c r="BLF64" s="4"/>
      <c r="BLG64" s="4"/>
      <c r="BLJ64" s="4"/>
      <c r="BLK64" s="4"/>
      <c r="BLL64" s="4"/>
      <c r="BLM64" s="4"/>
      <c r="BLN64" s="4"/>
      <c r="BLO64" s="4"/>
      <c r="BLP64" s="4"/>
      <c r="BLQ64" s="4"/>
      <c r="BLR64" s="4"/>
      <c r="BLS64" s="4"/>
      <c r="BLV64" s="4"/>
      <c r="BLW64" s="4"/>
      <c r="BLX64" s="4"/>
      <c r="BLY64" s="4"/>
      <c r="BLZ64" s="4"/>
      <c r="BMA64" s="4"/>
      <c r="BMB64" s="4"/>
      <c r="BMC64" s="4"/>
      <c r="BMD64" s="4"/>
      <c r="BME64" s="4"/>
      <c r="BMH64" s="4"/>
      <c r="BMI64" s="4"/>
      <c r="BMJ64" s="4"/>
      <c r="BMK64" s="4"/>
      <c r="BML64" s="4"/>
      <c r="BMM64" s="4"/>
      <c r="BMN64" s="4"/>
      <c r="BMO64" s="4"/>
      <c r="BMP64" s="4"/>
      <c r="BMQ64" s="4"/>
      <c r="BMT64" s="4"/>
      <c r="BMU64" s="4"/>
      <c r="BMV64" s="4"/>
      <c r="BMW64" s="4"/>
      <c r="BMX64" s="4"/>
      <c r="BMY64" s="4"/>
      <c r="BMZ64" s="4"/>
      <c r="BNA64" s="4"/>
      <c r="BNB64" s="4"/>
      <c r="BNC64" s="4"/>
      <c r="BNF64" s="4"/>
      <c r="BNG64" s="4"/>
      <c r="BNH64" s="4"/>
      <c r="BNI64" s="4"/>
      <c r="BNJ64" s="4"/>
      <c r="BNK64" s="4"/>
      <c r="BNL64" s="4"/>
      <c r="BNM64" s="4"/>
      <c r="BNN64" s="4"/>
      <c r="BNO64" s="4"/>
      <c r="BNR64" s="4"/>
      <c r="BNS64" s="4"/>
      <c r="BNT64" s="4"/>
      <c r="BNU64" s="4"/>
      <c r="BNV64" s="4"/>
      <c r="BNW64" s="4"/>
      <c r="BNX64" s="4"/>
      <c r="BNY64" s="4"/>
      <c r="BNZ64" s="4"/>
      <c r="BOA64" s="4"/>
      <c r="BOD64" s="4"/>
      <c r="BOE64" s="4"/>
      <c r="BOF64" s="4"/>
      <c r="BOG64" s="4"/>
      <c r="BOH64" s="4"/>
      <c r="BOI64" s="4"/>
      <c r="BOJ64" s="4"/>
      <c r="BOK64" s="4"/>
      <c r="BOL64" s="4"/>
      <c r="BOM64" s="4"/>
      <c r="BOP64" s="4"/>
      <c r="BOQ64" s="4"/>
      <c r="BOR64" s="4"/>
      <c r="BOS64" s="4"/>
      <c r="BOT64" s="4"/>
      <c r="BOU64" s="4"/>
      <c r="BOV64" s="4"/>
      <c r="BOW64" s="4"/>
      <c r="BOX64" s="4"/>
      <c r="BOY64" s="4"/>
      <c r="BPB64" s="4"/>
      <c r="BPC64" s="4"/>
      <c r="BPD64" s="4"/>
      <c r="BPE64" s="4"/>
      <c r="BPF64" s="4"/>
      <c r="BPG64" s="4"/>
      <c r="BPH64" s="4"/>
      <c r="BPI64" s="4"/>
      <c r="BPJ64" s="4"/>
      <c r="BPK64" s="4"/>
      <c r="BPN64" s="4"/>
      <c r="BPO64" s="4"/>
      <c r="BPP64" s="4"/>
      <c r="BPQ64" s="4"/>
      <c r="BPR64" s="4"/>
      <c r="BPS64" s="4"/>
      <c r="BPT64" s="4"/>
      <c r="BPU64" s="4"/>
      <c r="BPV64" s="4"/>
      <c r="BPW64" s="4"/>
      <c r="BPZ64" s="4"/>
      <c r="BQA64" s="4"/>
      <c r="BQB64" s="4"/>
      <c r="BQC64" s="4"/>
      <c r="BQD64" s="4"/>
      <c r="BQE64" s="4"/>
      <c r="BQF64" s="4"/>
      <c r="BQG64" s="4"/>
      <c r="BQH64" s="4"/>
      <c r="BQI64" s="4"/>
      <c r="BQL64" s="4"/>
      <c r="BQM64" s="4"/>
      <c r="BQN64" s="4"/>
      <c r="BQO64" s="4"/>
      <c r="BQP64" s="4"/>
      <c r="BQQ64" s="4"/>
      <c r="BQR64" s="4"/>
      <c r="BQS64" s="4"/>
      <c r="BQT64" s="4"/>
      <c r="BQU64" s="4"/>
      <c r="BQX64" s="4"/>
      <c r="BQY64" s="4"/>
      <c r="BQZ64" s="4"/>
      <c r="BRA64" s="4"/>
      <c r="BRB64" s="4"/>
      <c r="BRC64" s="4"/>
      <c r="BRD64" s="4"/>
      <c r="BRE64" s="4"/>
      <c r="BRF64" s="4"/>
      <c r="BRG64" s="4"/>
      <c r="BRJ64" s="4"/>
      <c r="BRK64" s="4"/>
      <c r="BRL64" s="4"/>
      <c r="BRM64" s="4"/>
      <c r="BRN64" s="4"/>
      <c r="BRO64" s="4"/>
      <c r="BRP64" s="4"/>
      <c r="BRQ64" s="4"/>
      <c r="BRR64" s="4"/>
      <c r="BRS64" s="4"/>
      <c r="BRV64" s="4"/>
      <c r="BRW64" s="4"/>
      <c r="BRX64" s="4"/>
      <c r="BRY64" s="4"/>
      <c r="BRZ64" s="4"/>
      <c r="BSA64" s="4"/>
      <c r="BSB64" s="4"/>
      <c r="BSC64" s="4"/>
      <c r="BSD64" s="4"/>
      <c r="BSE64" s="4"/>
      <c r="BSH64" s="4"/>
      <c r="BSI64" s="4"/>
      <c r="BSJ64" s="4"/>
      <c r="BSK64" s="4"/>
      <c r="BSL64" s="4"/>
      <c r="BSM64" s="4"/>
      <c r="BSN64" s="4"/>
      <c r="BSO64" s="4"/>
      <c r="BSP64" s="4"/>
      <c r="BSQ64" s="4"/>
      <c r="BST64" s="4"/>
      <c r="BSU64" s="4"/>
      <c r="BSV64" s="4"/>
      <c r="BSW64" s="4"/>
      <c r="BSX64" s="4"/>
      <c r="BSY64" s="4"/>
      <c r="BSZ64" s="4"/>
      <c r="BTA64" s="4"/>
      <c r="BTB64" s="4"/>
      <c r="BTC64" s="4"/>
      <c r="BTF64" s="4"/>
      <c r="BTG64" s="4"/>
      <c r="BTH64" s="4"/>
      <c r="BTI64" s="4"/>
      <c r="BTJ64" s="4"/>
      <c r="BTK64" s="4"/>
      <c r="BTL64" s="4"/>
      <c r="BTM64" s="4"/>
      <c r="BTN64" s="4"/>
      <c r="BTO64" s="4"/>
      <c r="BTR64" s="4"/>
      <c r="BTS64" s="4"/>
      <c r="BTT64" s="4"/>
      <c r="BTU64" s="4"/>
      <c r="BTV64" s="4"/>
      <c r="BTW64" s="4"/>
      <c r="BTX64" s="4"/>
      <c r="BTY64" s="4"/>
      <c r="BTZ64" s="4"/>
      <c r="BUA64" s="4"/>
      <c r="BUD64" s="4"/>
      <c r="BUE64" s="4"/>
      <c r="BUF64" s="4"/>
      <c r="BUG64" s="4"/>
      <c r="BUH64" s="4"/>
      <c r="BUI64" s="4"/>
      <c r="BUJ64" s="4"/>
      <c r="BUK64" s="4"/>
      <c r="BUL64" s="4"/>
      <c r="BUM64" s="4"/>
      <c r="BUP64" s="4"/>
      <c r="BUQ64" s="4"/>
      <c r="BUR64" s="4"/>
      <c r="BUS64" s="4"/>
      <c r="BUT64" s="4"/>
      <c r="BUU64" s="4"/>
      <c r="BUV64" s="4"/>
      <c r="BUW64" s="4"/>
      <c r="BUX64" s="4"/>
      <c r="BUY64" s="4"/>
      <c r="BVB64" s="4"/>
      <c r="BVC64" s="4"/>
      <c r="BVD64" s="4"/>
      <c r="BVE64" s="4"/>
      <c r="BVF64" s="4"/>
      <c r="BVG64" s="4"/>
      <c r="BVH64" s="4"/>
      <c r="BVI64" s="4"/>
      <c r="BVJ64" s="4"/>
      <c r="BVK64" s="4"/>
      <c r="BVN64" s="4"/>
      <c r="BVO64" s="4"/>
      <c r="BVP64" s="4"/>
      <c r="BVQ64" s="4"/>
      <c r="BVR64" s="4"/>
      <c r="BVS64" s="4"/>
      <c r="BVT64" s="4"/>
      <c r="BVU64" s="4"/>
      <c r="BVV64" s="4"/>
      <c r="BVW64" s="4"/>
      <c r="BVZ64" s="4"/>
      <c r="BWA64" s="4"/>
      <c r="BWB64" s="4"/>
      <c r="BWC64" s="4"/>
      <c r="BWD64" s="4"/>
      <c r="BWE64" s="4"/>
      <c r="BWF64" s="4"/>
      <c r="BWG64" s="4"/>
      <c r="BWH64" s="4"/>
      <c r="BWI64" s="4"/>
      <c r="BWL64" s="4"/>
      <c r="BWM64" s="4"/>
      <c r="BWN64" s="4"/>
      <c r="BWO64" s="4"/>
      <c r="BWP64" s="4"/>
      <c r="BWQ64" s="4"/>
      <c r="BWR64" s="4"/>
      <c r="BWS64" s="4"/>
      <c r="BWT64" s="4"/>
      <c r="BWU64" s="4"/>
      <c r="BWX64" s="4"/>
      <c r="BWY64" s="4"/>
      <c r="BWZ64" s="4"/>
      <c r="BXA64" s="4"/>
      <c r="BXB64" s="4"/>
      <c r="BXC64" s="4"/>
      <c r="BXD64" s="4"/>
      <c r="BXE64" s="4"/>
      <c r="BXF64" s="4"/>
      <c r="BXG64" s="4"/>
      <c r="BXJ64" s="4"/>
      <c r="BXK64" s="4"/>
      <c r="BXL64" s="4"/>
      <c r="BXM64" s="4"/>
      <c r="BXN64" s="4"/>
      <c r="BXO64" s="4"/>
      <c r="BXP64" s="4"/>
      <c r="BXQ64" s="4"/>
      <c r="BXR64" s="4"/>
      <c r="BXS64" s="4"/>
      <c r="BXV64" s="4"/>
      <c r="BXW64" s="4"/>
      <c r="BXX64" s="4"/>
      <c r="BXY64" s="4"/>
      <c r="BXZ64" s="4"/>
      <c r="BYA64" s="4"/>
      <c r="BYB64" s="4"/>
      <c r="BYC64" s="4"/>
      <c r="BYD64" s="4"/>
      <c r="BYE64" s="4"/>
      <c r="BYH64" s="4"/>
      <c r="BYI64" s="4"/>
      <c r="BYJ64" s="4"/>
      <c r="BYK64" s="4"/>
      <c r="BYL64" s="4"/>
      <c r="BYM64" s="4"/>
      <c r="BYN64" s="4"/>
      <c r="BYO64" s="4"/>
      <c r="BYP64" s="4"/>
      <c r="BYQ64" s="4"/>
      <c r="BYT64" s="4"/>
      <c r="BYU64" s="4"/>
      <c r="BYV64" s="4"/>
      <c r="BYW64" s="4"/>
      <c r="BYX64" s="4"/>
      <c r="BYY64" s="4"/>
      <c r="BYZ64" s="4"/>
      <c r="BZA64" s="4"/>
      <c r="BZB64" s="4"/>
      <c r="BZC64" s="4"/>
      <c r="BZF64" s="4"/>
      <c r="BZG64" s="4"/>
      <c r="BZH64" s="4"/>
      <c r="BZI64" s="4"/>
      <c r="BZJ64" s="4"/>
      <c r="BZK64" s="4"/>
      <c r="BZL64" s="4"/>
      <c r="BZM64" s="4"/>
      <c r="BZN64" s="4"/>
      <c r="BZO64" s="4"/>
      <c r="BZR64" s="4"/>
      <c r="BZS64" s="4"/>
      <c r="BZT64" s="4"/>
      <c r="BZU64" s="4"/>
      <c r="BZV64" s="4"/>
      <c r="BZW64" s="4"/>
      <c r="BZX64" s="4"/>
      <c r="BZY64" s="4"/>
      <c r="BZZ64" s="4"/>
      <c r="CAA64" s="4"/>
      <c r="CAD64" s="4"/>
      <c r="CAE64" s="4"/>
      <c r="CAF64" s="4"/>
      <c r="CAG64" s="4"/>
      <c r="CAH64" s="4"/>
      <c r="CAI64" s="4"/>
      <c r="CAJ64" s="4"/>
      <c r="CAK64" s="4"/>
      <c r="CAL64" s="4"/>
      <c r="CAM64" s="4"/>
      <c r="CAP64" s="4"/>
      <c r="CAQ64" s="4"/>
      <c r="CAR64" s="4"/>
      <c r="CAS64" s="4"/>
      <c r="CAT64" s="4"/>
      <c r="CAU64" s="4"/>
      <c r="CAV64" s="4"/>
      <c r="CAW64" s="4"/>
      <c r="CAX64" s="4"/>
      <c r="CAY64" s="4"/>
      <c r="CBB64" s="4"/>
      <c r="CBC64" s="4"/>
      <c r="CBD64" s="4"/>
      <c r="CBE64" s="4"/>
      <c r="CBF64" s="4"/>
      <c r="CBG64" s="4"/>
      <c r="CBH64" s="4"/>
      <c r="CBI64" s="4"/>
      <c r="CBJ64" s="4"/>
      <c r="CBK64" s="4"/>
      <c r="CBN64" s="4"/>
      <c r="CBO64" s="4"/>
      <c r="CBP64" s="4"/>
      <c r="CBQ64" s="4"/>
      <c r="CBR64" s="4"/>
      <c r="CBS64" s="4"/>
      <c r="CBT64" s="4"/>
      <c r="CBU64" s="4"/>
      <c r="CBV64" s="4"/>
      <c r="CBW64" s="4"/>
      <c r="CBZ64" s="4"/>
      <c r="CCA64" s="4"/>
      <c r="CCB64" s="4"/>
      <c r="CCC64" s="4"/>
      <c r="CCD64" s="4"/>
      <c r="CCE64" s="4"/>
      <c r="CCF64" s="4"/>
      <c r="CCG64" s="4"/>
      <c r="CCH64" s="4"/>
      <c r="CCI64" s="4"/>
      <c r="CCL64" s="4"/>
      <c r="CCM64" s="4"/>
      <c r="CCN64" s="4"/>
      <c r="CCO64" s="4"/>
      <c r="CCP64" s="4"/>
      <c r="CCQ64" s="4"/>
      <c r="CCR64" s="4"/>
      <c r="CCS64" s="4"/>
      <c r="CCT64" s="4"/>
      <c r="CCU64" s="4"/>
      <c r="CCX64" s="4"/>
      <c r="CCY64" s="4"/>
      <c r="CCZ64" s="4"/>
      <c r="CDA64" s="4"/>
      <c r="CDB64" s="4"/>
      <c r="CDC64" s="4"/>
      <c r="CDD64" s="4"/>
      <c r="CDE64" s="4"/>
      <c r="CDF64" s="4"/>
      <c r="CDG64" s="4"/>
      <c r="CDJ64" s="4"/>
      <c r="CDK64" s="4"/>
      <c r="CDL64" s="4"/>
      <c r="CDM64" s="4"/>
      <c r="CDN64" s="4"/>
      <c r="CDO64" s="4"/>
      <c r="CDP64" s="4"/>
      <c r="CDQ64" s="4"/>
      <c r="CDR64" s="4"/>
      <c r="CDS64" s="4"/>
      <c r="CDV64" s="4"/>
      <c r="CDW64" s="4"/>
      <c r="CDX64" s="4"/>
      <c r="CDY64" s="4"/>
      <c r="CDZ64" s="4"/>
      <c r="CEA64" s="4"/>
      <c r="CEB64" s="4"/>
      <c r="CEC64" s="4"/>
      <c r="CED64" s="4"/>
      <c r="CEE64" s="4"/>
      <c r="CEH64" s="4"/>
      <c r="CEI64" s="4"/>
      <c r="CEJ64" s="4"/>
      <c r="CEK64" s="4"/>
      <c r="CEL64" s="4"/>
      <c r="CEM64" s="4"/>
      <c r="CEN64" s="4"/>
      <c r="CEO64" s="4"/>
      <c r="CEP64" s="4"/>
      <c r="CEQ64" s="4"/>
      <c r="CET64" s="4"/>
      <c r="CEU64" s="4"/>
      <c r="CEV64" s="4"/>
      <c r="CEW64" s="4"/>
      <c r="CEX64" s="4"/>
      <c r="CEY64" s="4"/>
      <c r="CEZ64" s="4"/>
      <c r="CFA64" s="4"/>
      <c r="CFB64" s="4"/>
      <c r="CFC64" s="4"/>
      <c r="CFF64" s="4"/>
      <c r="CFG64" s="4"/>
      <c r="CFH64" s="4"/>
      <c r="CFI64" s="4"/>
      <c r="CFJ64" s="4"/>
      <c r="CFK64" s="4"/>
      <c r="CFL64" s="4"/>
      <c r="CFM64" s="4"/>
      <c r="CFN64" s="4"/>
      <c r="CFO64" s="4"/>
      <c r="CFR64" s="4"/>
      <c r="CFS64" s="4"/>
      <c r="CFT64" s="4"/>
      <c r="CFU64" s="4"/>
      <c r="CFV64" s="4"/>
      <c r="CFW64" s="4"/>
      <c r="CFX64" s="4"/>
      <c r="CFY64" s="4"/>
      <c r="CFZ64" s="4"/>
      <c r="CGA64" s="4"/>
      <c r="CGD64" s="4"/>
      <c r="CGE64" s="4"/>
      <c r="CGF64" s="4"/>
      <c r="CGG64" s="4"/>
      <c r="CGH64" s="4"/>
      <c r="CGI64" s="4"/>
      <c r="CGJ64" s="4"/>
      <c r="CGK64" s="4"/>
      <c r="CGL64" s="4"/>
      <c r="CGM64" s="4"/>
      <c r="CGP64" s="4"/>
      <c r="CGQ64" s="4"/>
      <c r="CGR64" s="4"/>
      <c r="CGS64" s="4"/>
      <c r="CGT64" s="4"/>
      <c r="CGU64" s="4"/>
      <c r="CGV64" s="4"/>
      <c r="CGW64" s="4"/>
      <c r="CGX64" s="4"/>
      <c r="CGY64" s="4"/>
      <c r="CHB64" s="4"/>
      <c r="CHC64" s="4"/>
      <c r="CHD64" s="4"/>
      <c r="CHE64" s="4"/>
      <c r="CHF64" s="4"/>
      <c r="CHG64" s="4"/>
      <c r="CHH64" s="4"/>
      <c r="CHI64" s="4"/>
      <c r="CHJ64" s="4"/>
      <c r="CHK64" s="4"/>
      <c r="CHN64" s="4"/>
      <c r="CHO64" s="4"/>
      <c r="CHP64" s="4"/>
      <c r="CHQ64" s="4"/>
      <c r="CHR64" s="4"/>
      <c r="CHS64" s="4"/>
      <c r="CHT64" s="4"/>
      <c r="CHU64" s="4"/>
      <c r="CHV64" s="4"/>
      <c r="CHW64" s="4"/>
      <c r="CHZ64" s="4"/>
      <c r="CIA64" s="4"/>
      <c r="CIB64" s="4"/>
      <c r="CIC64" s="4"/>
      <c r="CID64" s="4"/>
      <c r="CIE64" s="4"/>
      <c r="CIF64" s="4"/>
      <c r="CIG64" s="4"/>
      <c r="CIH64" s="4"/>
      <c r="CII64" s="4"/>
      <c r="CIL64" s="4"/>
      <c r="CIM64" s="4"/>
      <c r="CIN64" s="4"/>
      <c r="CIO64" s="4"/>
      <c r="CIP64" s="4"/>
      <c r="CIQ64" s="4"/>
      <c r="CIR64" s="4"/>
      <c r="CIS64" s="4"/>
      <c r="CIT64" s="4"/>
      <c r="CIU64" s="4"/>
      <c r="CIX64" s="4"/>
      <c r="CIY64" s="4"/>
      <c r="CIZ64" s="4"/>
      <c r="CJA64" s="4"/>
      <c r="CJB64" s="4"/>
      <c r="CJC64" s="4"/>
      <c r="CJD64" s="4"/>
      <c r="CJE64" s="4"/>
      <c r="CJF64" s="4"/>
      <c r="CJG64" s="4"/>
      <c r="CJJ64" s="4"/>
      <c r="CJK64" s="4"/>
      <c r="CJL64" s="4"/>
      <c r="CJM64" s="4"/>
      <c r="CJN64" s="4"/>
      <c r="CJO64" s="4"/>
      <c r="CJP64" s="4"/>
      <c r="CJQ64" s="4"/>
      <c r="CJR64" s="4"/>
      <c r="CJS64" s="4"/>
      <c r="CJV64" s="4"/>
      <c r="CJW64" s="4"/>
      <c r="CJX64" s="4"/>
      <c r="CJY64" s="4"/>
      <c r="CJZ64" s="4"/>
      <c r="CKA64" s="4"/>
      <c r="CKB64" s="4"/>
      <c r="CKC64" s="4"/>
      <c r="CKD64" s="4"/>
      <c r="CKE64" s="4"/>
      <c r="CKH64" s="4"/>
      <c r="CKI64" s="4"/>
      <c r="CKJ64" s="4"/>
      <c r="CKK64" s="4"/>
      <c r="CKL64" s="4"/>
      <c r="CKM64" s="4"/>
      <c r="CKN64" s="4"/>
      <c r="CKO64" s="4"/>
      <c r="CKP64" s="4"/>
      <c r="CKQ64" s="4"/>
      <c r="CKT64" s="4"/>
      <c r="CKU64" s="4"/>
      <c r="CKV64" s="4"/>
      <c r="CKW64" s="4"/>
      <c r="CKX64" s="4"/>
      <c r="CKY64" s="4"/>
      <c r="CKZ64" s="4"/>
      <c r="CLA64" s="4"/>
      <c r="CLB64" s="4"/>
      <c r="CLC64" s="4"/>
      <c r="CLF64" s="4"/>
      <c r="CLG64" s="4"/>
      <c r="CLH64" s="4"/>
      <c r="CLI64" s="4"/>
      <c r="CLJ64" s="4"/>
      <c r="CLK64" s="4"/>
      <c r="CLL64" s="4"/>
      <c r="CLM64" s="4"/>
      <c r="CLN64" s="4"/>
      <c r="CLO64" s="4"/>
      <c r="CLR64" s="4"/>
      <c r="CLS64" s="4"/>
      <c r="CLT64" s="4"/>
      <c r="CLU64" s="4"/>
      <c r="CLV64" s="4"/>
      <c r="CLW64" s="4"/>
      <c r="CLX64" s="4"/>
      <c r="CLY64" s="4"/>
      <c r="CLZ64" s="4"/>
      <c r="CMA64" s="4"/>
      <c r="CMD64" s="4"/>
      <c r="CME64" s="4"/>
      <c r="CMF64" s="4"/>
      <c r="CMG64" s="4"/>
      <c r="CMH64" s="4"/>
      <c r="CMI64" s="4"/>
      <c r="CMJ64" s="4"/>
      <c r="CMK64" s="4"/>
      <c r="CML64" s="4"/>
      <c r="CMM64" s="4"/>
      <c r="CMP64" s="4"/>
      <c r="CMQ64" s="4"/>
      <c r="CMR64" s="4"/>
      <c r="CMS64" s="4"/>
      <c r="CMT64" s="4"/>
      <c r="CMU64" s="4"/>
      <c r="CMV64" s="4"/>
      <c r="CMW64" s="4"/>
      <c r="CMX64" s="4"/>
      <c r="CMY64" s="4"/>
      <c r="CNB64" s="4"/>
      <c r="CNC64" s="4"/>
      <c r="CND64" s="4"/>
      <c r="CNE64" s="4"/>
      <c r="CNF64" s="4"/>
      <c r="CNG64" s="4"/>
      <c r="CNH64" s="4"/>
      <c r="CNI64" s="4"/>
      <c r="CNJ64" s="4"/>
      <c r="CNK64" s="4"/>
      <c r="CNN64" s="4"/>
      <c r="CNO64" s="4"/>
      <c r="CNP64" s="4"/>
      <c r="CNQ64" s="4"/>
      <c r="CNR64" s="4"/>
      <c r="CNS64" s="4"/>
      <c r="CNT64" s="4"/>
      <c r="CNU64" s="4"/>
      <c r="CNV64" s="4"/>
      <c r="CNW64" s="4"/>
      <c r="CNZ64" s="4"/>
      <c r="COA64" s="4"/>
      <c r="COB64" s="4"/>
      <c r="COC64" s="4"/>
      <c r="COD64" s="4"/>
      <c r="COE64" s="4"/>
      <c r="COF64" s="4"/>
      <c r="COG64" s="4"/>
      <c r="COH64" s="4"/>
      <c r="COI64" s="4"/>
      <c r="COL64" s="4"/>
      <c r="COM64" s="4"/>
      <c r="CON64" s="4"/>
      <c r="COO64" s="4"/>
      <c r="COP64" s="4"/>
      <c r="COQ64" s="4"/>
      <c r="COR64" s="4"/>
      <c r="COS64" s="4"/>
      <c r="COT64" s="4"/>
      <c r="COU64" s="4"/>
      <c r="COX64" s="4"/>
      <c r="COY64" s="4"/>
      <c r="COZ64" s="4"/>
      <c r="CPA64" s="4"/>
      <c r="CPB64" s="4"/>
      <c r="CPC64" s="4"/>
      <c r="CPD64" s="4"/>
      <c r="CPE64" s="4"/>
      <c r="CPF64" s="4"/>
      <c r="CPG64" s="4"/>
      <c r="CPJ64" s="4"/>
      <c r="CPK64" s="4"/>
      <c r="CPL64" s="4"/>
      <c r="CPM64" s="4"/>
      <c r="CPN64" s="4"/>
      <c r="CPO64" s="4"/>
      <c r="CPP64" s="4"/>
      <c r="CPQ64" s="4"/>
      <c r="CPR64" s="4"/>
      <c r="CPS64" s="4"/>
      <c r="CPV64" s="4"/>
      <c r="CPW64" s="4"/>
      <c r="CPX64" s="4"/>
      <c r="CPY64" s="4"/>
      <c r="CPZ64" s="4"/>
      <c r="CQA64" s="4"/>
      <c r="CQB64" s="4"/>
      <c r="CQC64" s="4"/>
      <c r="CQD64" s="4"/>
      <c r="CQE64" s="4"/>
      <c r="CQH64" s="4"/>
      <c r="CQI64" s="4"/>
      <c r="CQJ64" s="4"/>
      <c r="CQK64" s="4"/>
      <c r="CQL64" s="4"/>
      <c r="CQM64" s="4"/>
      <c r="CQN64" s="4"/>
      <c r="CQO64" s="4"/>
      <c r="CQP64" s="4"/>
      <c r="CQQ64" s="4"/>
      <c r="CQT64" s="4"/>
      <c r="CQU64" s="4"/>
      <c r="CQV64" s="4"/>
      <c r="CQW64" s="4"/>
      <c r="CQX64" s="4"/>
      <c r="CQY64" s="4"/>
      <c r="CQZ64" s="4"/>
      <c r="CRA64" s="4"/>
      <c r="CRB64" s="4"/>
      <c r="CRC64" s="4"/>
      <c r="CRF64" s="4"/>
      <c r="CRG64" s="4"/>
      <c r="CRH64" s="4"/>
      <c r="CRI64" s="4"/>
      <c r="CRJ64" s="4"/>
      <c r="CRK64" s="4"/>
      <c r="CRL64" s="4"/>
      <c r="CRM64" s="4"/>
      <c r="CRN64" s="4"/>
      <c r="CRO64" s="4"/>
      <c r="CRR64" s="4"/>
      <c r="CRS64" s="4"/>
      <c r="CRT64" s="4"/>
      <c r="CRU64" s="4"/>
      <c r="CRV64" s="4"/>
      <c r="CRW64" s="4"/>
      <c r="CRX64" s="4"/>
      <c r="CRY64" s="4"/>
      <c r="CRZ64" s="4"/>
      <c r="CSA64" s="4"/>
      <c r="CSD64" s="4"/>
      <c r="CSE64" s="4"/>
      <c r="CSF64" s="4"/>
      <c r="CSG64" s="4"/>
      <c r="CSH64" s="4"/>
      <c r="CSI64" s="4"/>
      <c r="CSJ64" s="4"/>
      <c r="CSK64" s="4"/>
      <c r="CSL64" s="4"/>
      <c r="CSM64" s="4"/>
      <c r="CSP64" s="4"/>
      <c r="CSQ64" s="4"/>
      <c r="CSR64" s="4"/>
      <c r="CSS64" s="4"/>
      <c r="CST64" s="4"/>
      <c r="CSU64" s="4"/>
      <c r="CSV64" s="4"/>
      <c r="CSW64" s="4"/>
      <c r="CSX64" s="4"/>
      <c r="CSY64" s="4"/>
      <c r="CTB64" s="4"/>
      <c r="CTC64" s="4"/>
      <c r="CTD64" s="4"/>
      <c r="CTE64" s="4"/>
      <c r="CTF64" s="4"/>
      <c r="CTG64" s="4"/>
      <c r="CTH64" s="4"/>
      <c r="CTI64" s="4"/>
      <c r="CTJ64" s="4"/>
      <c r="CTK64" s="4"/>
      <c r="CTN64" s="4"/>
      <c r="CTO64" s="4"/>
      <c r="CTP64" s="4"/>
      <c r="CTQ64" s="4"/>
      <c r="CTR64" s="4"/>
      <c r="CTS64" s="4"/>
      <c r="CTT64" s="4"/>
      <c r="CTU64" s="4"/>
      <c r="CTV64" s="4"/>
      <c r="CTW64" s="4"/>
      <c r="CTZ64" s="4"/>
      <c r="CUA64" s="4"/>
      <c r="CUB64" s="4"/>
      <c r="CUC64" s="4"/>
      <c r="CUD64" s="4"/>
      <c r="CUE64" s="4"/>
      <c r="CUF64" s="4"/>
      <c r="CUG64" s="4"/>
      <c r="CUH64" s="4"/>
      <c r="CUI64" s="4"/>
      <c r="CUL64" s="4"/>
      <c r="CUM64" s="4"/>
      <c r="CUN64" s="4"/>
      <c r="CUO64" s="4"/>
      <c r="CUP64" s="4"/>
      <c r="CUQ64" s="4"/>
      <c r="CUR64" s="4"/>
      <c r="CUS64" s="4"/>
      <c r="CUT64" s="4"/>
      <c r="CUU64" s="4"/>
      <c r="CUX64" s="4"/>
      <c r="CUY64" s="4"/>
      <c r="CUZ64" s="4"/>
      <c r="CVA64" s="4"/>
      <c r="CVB64" s="4"/>
      <c r="CVC64" s="4"/>
      <c r="CVD64" s="4"/>
      <c r="CVE64" s="4"/>
      <c r="CVF64" s="4"/>
      <c r="CVG64" s="4"/>
      <c r="CVJ64" s="4"/>
      <c r="CVK64" s="4"/>
      <c r="CVL64" s="4"/>
      <c r="CVM64" s="4"/>
      <c r="CVN64" s="4"/>
      <c r="CVO64" s="4"/>
      <c r="CVP64" s="4"/>
      <c r="CVQ64" s="4"/>
      <c r="CVR64" s="4"/>
      <c r="CVS64" s="4"/>
      <c r="CVV64" s="4"/>
      <c r="CVW64" s="4"/>
      <c r="CVX64" s="4"/>
      <c r="CVY64" s="4"/>
      <c r="CVZ64" s="4"/>
      <c r="CWA64" s="4"/>
      <c r="CWB64" s="4"/>
      <c r="CWC64" s="4"/>
      <c r="CWD64" s="4"/>
      <c r="CWE64" s="4"/>
    </row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</sheetData>
  <autoFilter ref="A10:L22" xr:uid="{0A837CF9-1F08-4003-8370-822DB9A868CF}">
    <filterColumn colId="1" showButton="0"/>
    <filterColumn colId="2" showButton="0"/>
    <filterColumn colId="7" showButton="0"/>
    <filterColumn colId="8" showButton="0"/>
    <filterColumn colId="10" showButton="0"/>
  </autoFilter>
  <mergeCells count="15870">
    <mergeCell ref="CVQ48:CVS48"/>
    <mergeCell ref="CWC48:CWE48"/>
    <mergeCell ref="CSW48:CSY48"/>
    <mergeCell ref="CTI48:CTK48"/>
    <mergeCell ref="CTU48:CTW48"/>
    <mergeCell ref="CUG48:CUI48"/>
    <mergeCell ref="CUS48:CUU48"/>
    <mergeCell ref="CVE48:CVG48"/>
    <mergeCell ref="CQC48:CQE48"/>
    <mergeCell ref="CQO48:CQQ48"/>
    <mergeCell ref="CRA48:CRC48"/>
    <mergeCell ref="CRM48:CRO48"/>
    <mergeCell ref="CRY48:CSA48"/>
    <mergeCell ref="CSK48:CSM48"/>
    <mergeCell ref="CNI48:CNK48"/>
    <mergeCell ref="CNU48:CNW48"/>
    <mergeCell ref="COG48:COI48"/>
    <mergeCell ref="COS48:COU48"/>
    <mergeCell ref="CPE48:CPG48"/>
    <mergeCell ref="CPQ48:CPS48"/>
    <mergeCell ref="CKO48:CKQ48"/>
    <mergeCell ref="CLA48:CLC48"/>
    <mergeCell ref="CLM48:CLO48"/>
    <mergeCell ref="CLY48:CMA48"/>
    <mergeCell ref="CMK48:CMM48"/>
    <mergeCell ref="CMW48:CMY48"/>
    <mergeCell ref="CHU48:CHW48"/>
    <mergeCell ref="CIG48:CII48"/>
    <mergeCell ref="CIS48:CIU48"/>
    <mergeCell ref="CJE48:CJG48"/>
    <mergeCell ref="CJQ48:CJS48"/>
    <mergeCell ref="CKC48:CKE48"/>
    <mergeCell ref="CFA48:CFC48"/>
    <mergeCell ref="CFM48:CFO48"/>
    <mergeCell ref="CFY48:CGA48"/>
    <mergeCell ref="CGK48:CGM48"/>
    <mergeCell ref="CGW48:CGY48"/>
    <mergeCell ref="CHI48:CHK48"/>
    <mergeCell ref="CCG48:CCI48"/>
    <mergeCell ref="CCS48:CCU48"/>
    <mergeCell ref="CDE48:CDG48"/>
    <mergeCell ref="CDQ48:CDS48"/>
    <mergeCell ref="CEC48:CEE48"/>
    <mergeCell ref="CEO48:CEQ48"/>
    <mergeCell ref="BZM48:BZO48"/>
    <mergeCell ref="BZY48:CAA48"/>
    <mergeCell ref="CAK48:CAM48"/>
    <mergeCell ref="CAW48:CAY48"/>
    <mergeCell ref="CBI48:CBK48"/>
    <mergeCell ref="CBU48:CBW48"/>
    <mergeCell ref="BWS48:BWU48"/>
    <mergeCell ref="BXE48:BXG48"/>
    <mergeCell ref="BXQ48:BXS48"/>
    <mergeCell ref="BYC48:BYE48"/>
    <mergeCell ref="BYO48:BYQ48"/>
    <mergeCell ref="BZA48:BZC48"/>
    <mergeCell ref="BTY48:BUA48"/>
    <mergeCell ref="BUK48:BUM48"/>
    <mergeCell ref="BUW48:BUY48"/>
    <mergeCell ref="BVI48:BVK48"/>
    <mergeCell ref="BVU48:BVW48"/>
    <mergeCell ref="BWG48:BWI48"/>
    <mergeCell ref="BRE48:BRG48"/>
    <mergeCell ref="BRQ48:BRS48"/>
    <mergeCell ref="BSC48:BSE48"/>
    <mergeCell ref="BSO48:BSQ48"/>
    <mergeCell ref="BTA48:BTC48"/>
    <mergeCell ref="BTM48:BTO48"/>
    <mergeCell ref="BOK48:BOM48"/>
    <mergeCell ref="BOW48:BOY48"/>
    <mergeCell ref="BPI48:BPK48"/>
    <mergeCell ref="BPU48:BPW48"/>
    <mergeCell ref="BQG48:BQI48"/>
    <mergeCell ref="BQS48:BQU48"/>
    <mergeCell ref="BLQ48:BLS48"/>
    <mergeCell ref="BMC48:BME48"/>
    <mergeCell ref="BMO48:BMQ48"/>
    <mergeCell ref="BNA48:BNC48"/>
    <mergeCell ref="BNM48:BNO48"/>
    <mergeCell ref="BNY48:BOA48"/>
    <mergeCell ref="BIW48:BIY48"/>
    <mergeCell ref="BJI48:BJK48"/>
    <mergeCell ref="BJU48:BJW48"/>
    <mergeCell ref="BKG48:BKI48"/>
    <mergeCell ref="BKS48:BKU48"/>
    <mergeCell ref="BLE48:BLG48"/>
    <mergeCell ref="BGC48:BGE48"/>
    <mergeCell ref="BGO48:BGQ48"/>
    <mergeCell ref="BHA48:BHC48"/>
    <mergeCell ref="BHM48:BHO48"/>
    <mergeCell ref="BHY48:BIA48"/>
    <mergeCell ref="BIK48:BIM48"/>
    <mergeCell ref="BDI48:BDK48"/>
    <mergeCell ref="BDU48:BDW48"/>
    <mergeCell ref="BEG48:BEI48"/>
    <mergeCell ref="BES48:BEU48"/>
    <mergeCell ref="BFE48:BFG48"/>
    <mergeCell ref="BFQ48:BFS48"/>
    <mergeCell ref="BAO48:BAQ48"/>
    <mergeCell ref="BBA48:BBC48"/>
    <mergeCell ref="BBM48:BBO48"/>
    <mergeCell ref="BBY48:BCA48"/>
    <mergeCell ref="BCK48:BCM48"/>
    <mergeCell ref="BCW48:BCY48"/>
    <mergeCell ref="AXU48:AXW48"/>
    <mergeCell ref="AYG48:AYI48"/>
    <mergeCell ref="AYS48:AYU48"/>
    <mergeCell ref="AZE48:AZG48"/>
    <mergeCell ref="AZQ48:AZS48"/>
    <mergeCell ref="BAC48:BAE48"/>
    <mergeCell ref="AVA48:AVC48"/>
    <mergeCell ref="AVM48:AVO48"/>
    <mergeCell ref="AVY48:AWA48"/>
    <mergeCell ref="AWK48:AWM48"/>
    <mergeCell ref="AWW48:AWY48"/>
    <mergeCell ref="AXI48:AXK48"/>
    <mergeCell ref="ASG48:ASI48"/>
    <mergeCell ref="ASS48:ASU48"/>
    <mergeCell ref="ATE48:ATG48"/>
    <mergeCell ref="ATQ48:ATS48"/>
    <mergeCell ref="AUC48:AUE48"/>
    <mergeCell ref="AUO48:AUQ48"/>
    <mergeCell ref="APM48:APO48"/>
    <mergeCell ref="APY48:AQA48"/>
    <mergeCell ref="AQK48:AQM48"/>
    <mergeCell ref="AQW48:AQY48"/>
    <mergeCell ref="ARI48:ARK48"/>
    <mergeCell ref="ARU48:ARW48"/>
    <mergeCell ref="AMS48:AMU48"/>
    <mergeCell ref="ANE48:ANG48"/>
    <mergeCell ref="ANQ48:ANS48"/>
    <mergeCell ref="AOC48:AOE48"/>
    <mergeCell ref="AOO48:AOQ48"/>
    <mergeCell ref="APA48:APC48"/>
    <mergeCell ref="AJY48:AKA48"/>
    <mergeCell ref="AKK48:AKM48"/>
    <mergeCell ref="AKW48:AKY48"/>
    <mergeCell ref="ALI48:ALK48"/>
    <mergeCell ref="ALU48:ALW48"/>
    <mergeCell ref="AMG48:AMI48"/>
    <mergeCell ref="AHE48:AHG48"/>
    <mergeCell ref="AHQ48:AHS48"/>
    <mergeCell ref="AIC48:AIE48"/>
    <mergeCell ref="AIO48:AIQ48"/>
    <mergeCell ref="AJA48:AJC48"/>
    <mergeCell ref="AJM48:AJO48"/>
    <mergeCell ref="AEG48:AEI48"/>
    <mergeCell ref="AET48:AEV48"/>
    <mergeCell ref="AFG48:AFI48"/>
    <mergeCell ref="AFT48:AFV48"/>
    <mergeCell ref="AGG48:AGI48"/>
    <mergeCell ref="AGS48:AGU48"/>
    <mergeCell ref="CVJ47:CVM47"/>
    <mergeCell ref="CVV47:CVY47"/>
    <mergeCell ref="AAG48:AAI48"/>
    <mergeCell ref="AAT48:AAV48"/>
    <mergeCell ref="ABG48:ABI48"/>
    <mergeCell ref="ABT48:ABV48"/>
    <mergeCell ref="ACG48:ACI48"/>
    <mergeCell ref="ACT48:ACV48"/>
    <mergeCell ref="ADG48:ADI48"/>
    <mergeCell ref="ADT48:ADV48"/>
    <mergeCell ref="CSP47:CSS47"/>
    <mergeCell ref="CTB47:CTE47"/>
    <mergeCell ref="CTN47:CTQ47"/>
    <mergeCell ref="CTZ47:CUC47"/>
    <mergeCell ref="CUL47:CUO47"/>
    <mergeCell ref="CUX47:CVA47"/>
    <mergeCell ref="CPV47:CPY47"/>
    <mergeCell ref="CQH47:CQK47"/>
    <mergeCell ref="CQT47:CQW47"/>
    <mergeCell ref="CRF47:CRI47"/>
    <mergeCell ref="CRR47:CRU47"/>
    <mergeCell ref="CSD47:CSG47"/>
    <mergeCell ref="CNB47:CNE47"/>
    <mergeCell ref="CNN47:CNQ47"/>
    <mergeCell ref="CNZ47:COC47"/>
    <mergeCell ref="COL47:COO47"/>
    <mergeCell ref="COX47:CPA47"/>
    <mergeCell ref="CPJ47:CPM47"/>
    <mergeCell ref="CKH47:CKK47"/>
    <mergeCell ref="CKT47:CKW47"/>
    <mergeCell ref="CLF47:CLI47"/>
    <mergeCell ref="CLR47:CLU47"/>
    <mergeCell ref="CMD47:CMG47"/>
    <mergeCell ref="CMP47:CMS47"/>
    <mergeCell ref="CHN47:CHQ47"/>
    <mergeCell ref="CHZ47:CIC47"/>
    <mergeCell ref="CIL47:CIO47"/>
    <mergeCell ref="CIX47:CJA47"/>
    <mergeCell ref="CJJ47:CJM47"/>
    <mergeCell ref="CJV47:CJY47"/>
    <mergeCell ref="CET47:CEW47"/>
    <mergeCell ref="CFF47:CFI47"/>
    <mergeCell ref="CFR47:CFU47"/>
    <mergeCell ref="CGD47:CGG47"/>
    <mergeCell ref="CGP47:CGS47"/>
    <mergeCell ref="CHB47:CHE47"/>
    <mergeCell ref="CBZ47:CCC47"/>
    <mergeCell ref="CCL47:CCO47"/>
    <mergeCell ref="CCX47:CDA47"/>
    <mergeCell ref="CDJ47:CDM47"/>
    <mergeCell ref="CDV47:CDY47"/>
    <mergeCell ref="CEH47:CEK47"/>
    <mergeCell ref="BZF47:BZI47"/>
    <mergeCell ref="BZR47:BZU47"/>
    <mergeCell ref="CAD47:CAG47"/>
    <mergeCell ref="CAP47:CAS47"/>
    <mergeCell ref="CBB47:CBE47"/>
    <mergeCell ref="CBN47:CBQ47"/>
    <mergeCell ref="BWL47:BWO47"/>
    <mergeCell ref="BWX47:BXA47"/>
    <mergeCell ref="BXJ47:BXM47"/>
    <mergeCell ref="BXV47:BXY47"/>
    <mergeCell ref="BYH47:BYK47"/>
    <mergeCell ref="BYT47:BYW47"/>
    <mergeCell ref="BTR47:BTU47"/>
    <mergeCell ref="BUD47:BUG47"/>
    <mergeCell ref="BUP47:BUS47"/>
    <mergeCell ref="BVB47:BVE47"/>
    <mergeCell ref="BVN47:BVQ47"/>
    <mergeCell ref="BVZ47:BWC47"/>
    <mergeCell ref="BQX47:BRA47"/>
    <mergeCell ref="BRJ47:BRM47"/>
    <mergeCell ref="BRV47:BRY47"/>
    <mergeCell ref="BSH47:BSK47"/>
    <mergeCell ref="BST47:BSW47"/>
    <mergeCell ref="BTF47:BTI47"/>
    <mergeCell ref="BOD47:BOG47"/>
    <mergeCell ref="BOP47:BOS47"/>
    <mergeCell ref="BPB47:BPE47"/>
    <mergeCell ref="BPN47:BPQ47"/>
    <mergeCell ref="BPZ47:BQC47"/>
    <mergeCell ref="BQL47:BQO47"/>
    <mergeCell ref="BLJ47:BLM47"/>
    <mergeCell ref="BLV47:BLY47"/>
    <mergeCell ref="BMH47:BMK47"/>
    <mergeCell ref="BMT47:BMW47"/>
    <mergeCell ref="BNF47:BNI47"/>
    <mergeCell ref="BNR47:BNU47"/>
    <mergeCell ref="BIP47:BIS47"/>
    <mergeCell ref="BJB47:BJE47"/>
    <mergeCell ref="BJN47:BJQ47"/>
    <mergeCell ref="BJZ47:BKC47"/>
    <mergeCell ref="BKL47:BKO47"/>
    <mergeCell ref="BKX47:BLA47"/>
    <mergeCell ref="BFV47:BFY47"/>
    <mergeCell ref="BGH47:BGK47"/>
    <mergeCell ref="BGT47:BGW47"/>
    <mergeCell ref="BHF47:BHI47"/>
    <mergeCell ref="BHR47:BHU47"/>
    <mergeCell ref="BID47:BIG47"/>
    <mergeCell ref="BDB47:BDE47"/>
    <mergeCell ref="BDN47:BDQ47"/>
    <mergeCell ref="BDZ47:BEC47"/>
    <mergeCell ref="BEL47:BEO47"/>
    <mergeCell ref="BEX47:BFA47"/>
    <mergeCell ref="BFJ47:BFM47"/>
    <mergeCell ref="BAH47:BAK47"/>
    <mergeCell ref="BAT47:BAW47"/>
    <mergeCell ref="BBF47:BBI47"/>
    <mergeCell ref="BBR47:BBU47"/>
    <mergeCell ref="BCD47:BCG47"/>
    <mergeCell ref="BCP47:BCS47"/>
    <mergeCell ref="AXN47:AXQ47"/>
    <mergeCell ref="AXZ47:AYC47"/>
    <mergeCell ref="AYL47:AYO47"/>
    <mergeCell ref="AYX47:AZA47"/>
    <mergeCell ref="AZJ47:AZM47"/>
    <mergeCell ref="AZV47:AZY47"/>
    <mergeCell ref="AUT47:AUW47"/>
    <mergeCell ref="AVF47:AVI47"/>
    <mergeCell ref="AVR47:AVU47"/>
    <mergeCell ref="AWD47:AWG47"/>
    <mergeCell ref="AWP47:AWS47"/>
    <mergeCell ref="AXB47:AXE47"/>
    <mergeCell ref="ARZ47:ASC47"/>
    <mergeCell ref="ASL47:ASO47"/>
    <mergeCell ref="ASX47:ATA47"/>
    <mergeCell ref="ATJ47:ATM47"/>
    <mergeCell ref="ATV47:ATY47"/>
    <mergeCell ref="AUH47:AUK47"/>
    <mergeCell ref="APF47:API47"/>
    <mergeCell ref="APR47:APU47"/>
    <mergeCell ref="AQD47:AQG47"/>
    <mergeCell ref="AQP47:AQS47"/>
    <mergeCell ref="ARB47:ARE47"/>
    <mergeCell ref="ARN47:ARQ47"/>
    <mergeCell ref="AML47:AMO47"/>
    <mergeCell ref="AMX47:ANA47"/>
    <mergeCell ref="ANJ47:ANM47"/>
    <mergeCell ref="ANV47:ANY47"/>
    <mergeCell ref="AOH47:AOK47"/>
    <mergeCell ref="AOT47:AOW47"/>
    <mergeCell ref="AJR47:AJU47"/>
    <mergeCell ref="AKD47:AKG47"/>
    <mergeCell ref="AKP47:AKS47"/>
    <mergeCell ref="ALB47:ALE47"/>
    <mergeCell ref="ALN47:ALQ47"/>
    <mergeCell ref="ALZ47:AMC47"/>
    <mergeCell ref="AGX47:AHA47"/>
    <mergeCell ref="AHJ47:AHM47"/>
    <mergeCell ref="AHV47:AHY47"/>
    <mergeCell ref="AIH47:AIK47"/>
    <mergeCell ref="AIT47:AIW47"/>
    <mergeCell ref="AJF47:AJI47"/>
    <mergeCell ref="ADZ47:AEC47"/>
    <mergeCell ref="AEM47:AEP47"/>
    <mergeCell ref="AEZ47:AFC47"/>
    <mergeCell ref="AFM47:AFP47"/>
    <mergeCell ref="AFZ47:AGC47"/>
    <mergeCell ref="AGL47:AGO47"/>
    <mergeCell ref="CVJ46:CVM46"/>
    <mergeCell ref="CVV46:CVY46"/>
    <mergeCell ref="ZZ47:AAC47"/>
    <mergeCell ref="AAM47:AAP47"/>
    <mergeCell ref="AAZ47:ABC47"/>
    <mergeCell ref="ABM47:ABP47"/>
    <mergeCell ref="ABZ47:ACC47"/>
    <mergeCell ref="ACM47:ACP47"/>
    <mergeCell ref="ACZ47:ADC47"/>
    <mergeCell ref="ADM47:ADP47"/>
    <mergeCell ref="CSP46:CSS46"/>
    <mergeCell ref="CTB46:CTE46"/>
    <mergeCell ref="CTN46:CTQ46"/>
    <mergeCell ref="CTZ46:CUC46"/>
    <mergeCell ref="CUL46:CUO46"/>
    <mergeCell ref="CUX46:CVA46"/>
    <mergeCell ref="CPV46:CPY46"/>
    <mergeCell ref="CQH46:CQK46"/>
    <mergeCell ref="CQT46:CQW46"/>
    <mergeCell ref="CRF46:CRI46"/>
    <mergeCell ref="CRR46:CRU46"/>
    <mergeCell ref="CSD46:CSG46"/>
    <mergeCell ref="CNB46:CNE46"/>
    <mergeCell ref="CNN46:CNQ46"/>
    <mergeCell ref="CNZ46:COC46"/>
    <mergeCell ref="COL46:COO46"/>
    <mergeCell ref="COX46:CPA46"/>
    <mergeCell ref="CPJ46:CPM46"/>
    <mergeCell ref="CKH46:CKK46"/>
    <mergeCell ref="CKT46:CKW46"/>
    <mergeCell ref="CLF46:CLI46"/>
    <mergeCell ref="CLR46:CLU46"/>
    <mergeCell ref="CMD46:CMG46"/>
    <mergeCell ref="CMP46:CMS46"/>
    <mergeCell ref="CHN46:CHQ46"/>
    <mergeCell ref="CHZ46:CIC46"/>
    <mergeCell ref="CIL46:CIO46"/>
    <mergeCell ref="CIX46:CJA46"/>
    <mergeCell ref="CJJ46:CJM46"/>
    <mergeCell ref="CJV46:CJY46"/>
    <mergeCell ref="CET46:CEW46"/>
    <mergeCell ref="CFF46:CFI46"/>
    <mergeCell ref="CFR46:CFU46"/>
    <mergeCell ref="CGD46:CGG46"/>
    <mergeCell ref="CGP46:CGS46"/>
    <mergeCell ref="CHB46:CHE46"/>
    <mergeCell ref="CBZ46:CCC46"/>
    <mergeCell ref="CCL46:CCO46"/>
    <mergeCell ref="CCX46:CDA46"/>
    <mergeCell ref="CDJ46:CDM46"/>
    <mergeCell ref="CDV46:CDY46"/>
    <mergeCell ref="CEH46:CEK46"/>
    <mergeCell ref="BZF46:BZI46"/>
    <mergeCell ref="BZR46:BZU46"/>
    <mergeCell ref="CAD46:CAG46"/>
    <mergeCell ref="CAP46:CAS46"/>
    <mergeCell ref="CBB46:CBE46"/>
    <mergeCell ref="CBN46:CBQ46"/>
    <mergeCell ref="BWL46:BWO46"/>
    <mergeCell ref="BWX46:BXA46"/>
    <mergeCell ref="BXJ46:BXM46"/>
    <mergeCell ref="BXV46:BXY46"/>
    <mergeCell ref="BYH46:BYK46"/>
    <mergeCell ref="BYT46:BYW46"/>
    <mergeCell ref="BTR46:BTU46"/>
    <mergeCell ref="BUD46:BUG46"/>
    <mergeCell ref="BUP46:BUS46"/>
    <mergeCell ref="BVB46:BVE46"/>
    <mergeCell ref="BVN46:BVQ46"/>
    <mergeCell ref="BVZ46:BWC46"/>
    <mergeCell ref="BQX46:BRA46"/>
    <mergeCell ref="BRJ46:BRM46"/>
    <mergeCell ref="BRV46:BRY46"/>
    <mergeCell ref="BSH46:BSK46"/>
    <mergeCell ref="BST46:BSW46"/>
    <mergeCell ref="BTF46:BTI46"/>
    <mergeCell ref="BOD46:BOG46"/>
    <mergeCell ref="BOP46:BOS46"/>
    <mergeCell ref="BPB46:BPE46"/>
    <mergeCell ref="BPN46:BPQ46"/>
    <mergeCell ref="BPZ46:BQC46"/>
    <mergeCell ref="BQL46:BQO46"/>
    <mergeCell ref="BLJ46:BLM46"/>
    <mergeCell ref="BLV46:BLY46"/>
    <mergeCell ref="BMH46:BMK46"/>
    <mergeCell ref="BMT46:BMW46"/>
    <mergeCell ref="BNF46:BNI46"/>
    <mergeCell ref="BNR46:BNU46"/>
    <mergeCell ref="BIP46:BIS46"/>
    <mergeCell ref="BJB46:BJE46"/>
    <mergeCell ref="BJN46:BJQ46"/>
    <mergeCell ref="BJZ46:BKC46"/>
    <mergeCell ref="BKL46:BKO46"/>
    <mergeCell ref="BKX46:BLA46"/>
    <mergeCell ref="BFV46:BFY46"/>
    <mergeCell ref="BGH46:BGK46"/>
    <mergeCell ref="BGT46:BGW46"/>
    <mergeCell ref="BHF46:BHI46"/>
    <mergeCell ref="BHR46:BHU46"/>
    <mergeCell ref="BID46:BIG46"/>
    <mergeCell ref="BDB46:BDE46"/>
    <mergeCell ref="BDN46:BDQ46"/>
    <mergeCell ref="BDZ46:BEC46"/>
    <mergeCell ref="BEL46:BEO46"/>
    <mergeCell ref="BEX46:BFA46"/>
    <mergeCell ref="BFJ46:BFM46"/>
    <mergeCell ref="BAH46:BAK46"/>
    <mergeCell ref="BAT46:BAW46"/>
    <mergeCell ref="BBF46:BBI46"/>
    <mergeCell ref="BBR46:BBU46"/>
    <mergeCell ref="BCD46:BCG46"/>
    <mergeCell ref="BCP46:BCS46"/>
    <mergeCell ref="AXN46:AXQ46"/>
    <mergeCell ref="AXZ46:AYC46"/>
    <mergeCell ref="AYL46:AYO46"/>
    <mergeCell ref="AYX46:AZA46"/>
    <mergeCell ref="AZJ46:AZM46"/>
    <mergeCell ref="AZV46:AZY46"/>
    <mergeCell ref="AUT46:AUW46"/>
    <mergeCell ref="AVF46:AVI46"/>
    <mergeCell ref="AVR46:AVU46"/>
    <mergeCell ref="AWD46:AWG46"/>
    <mergeCell ref="AWP46:AWS46"/>
    <mergeCell ref="AXB46:AXE46"/>
    <mergeCell ref="ARZ46:ASC46"/>
    <mergeCell ref="ASL46:ASO46"/>
    <mergeCell ref="ASX46:ATA46"/>
    <mergeCell ref="ATJ46:ATM46"/>
    <mergeCell ref="ATV46:ATY46"/>
    <mergeCell ref="AUH46:AUK46"/>
    <mergeCell ref="APF46:API46"/>
    <mergeCell ref="APR46:APU46"/>
    <mergeCell ref="AQD46:AQG46"/>
    <mergeCell ref="AQP46:AQS46"/>
    <mergeCell ref="ARB46:ARE46"/>
    <mergeCell ref="ARN46:ARQ46"/>
    <mergeCell ref="AML46:AMO46"/>
    <mergeCell ref="AMX46:ANA46"/>
    <mergeCell ref="ANJ46:ANM46"/>
    <mergeCell ref="ANV46:ANY46"/>
    <mergeCell ref="AOH46:AOK46"/>
    <mergeCell ref="AOT46:AOW46"/>
    <mergeCell ref="AJR46:AJU46"/>
    <mergeCell ref="AKD46:AKG46"/>
    <mergeCell ref="AKP46:AKS46"/>
    <mergeCell ref="ALB46:ALE46"/>
    <mergeCell ref="ALN46:ALQ46"/>
    <mergeCell ref="ALZ46:AMC46"/>
    <mergeCell ref="AGX46:AHA46"/>
    <mergeCell ref="AHJ46:AHM46"/>
    <mergeCell ref="AHV46:AHY46"/>
    <mergeCell ref="AIH46:AIK46"/>
    <mergeCell ref="AIT46:AIW46"/>
    <mergeCell ref="AJF46:AJI46"/>
    <mergeCell ref="ADZ46:AEC46"/>
    <mergeCell ref="AEM46:AEP46"/>
    <mergeCell ref="AEZ46:AFC46"/>
    <mergeCell ref="AFM46:AFP46"/>
    <mergeCell ref="AFZ46:AGC46"/>
    <mergeCell ref="AGL46:AGO46"/>
    <mergeCell ref="AAZ46:ABC46"/>
    <mergeCell ref="ABM46:ABP46"/>
    <mergeCell ref="ABZ46:ACC46"/>
    <mergeCell ref="ACM46:ACP46"/>
    <mergeCell ref="ACZ46:ADC46"/>
    <mergeCell ref="ADM46:ADP46"/>
    <mergeCell ref="YY46:ZB46"/>
    <mergeCell ref="ZD46:ZG46"/>
    <mergeCell ref="ZM46:ZP46"/>
    <mergeCell ref="ZR46:ZU46"/>
    <mergeCell ref="ZZ46:AAC46"/>
    <mergeCell ref="AAM46:AAP46"/>
    <mergeCell ref="XI46:XL46"/>
    <mergeCell ref="XN46:XQ46"/>
    <mergeCell ref="XW46:XZ46"/>
    <mergeCell ref="YB46:YE46"/>
    <mergeCell ref="YK46:YN46"/>
    <mergeCell ref="YP46:YS46"/>
    <mergeCell ref="VS46:VV46"/>
    <mergeCell ref="VX46:WA46"/>
    <mergeCell ref="WG46:WJ46"/>
    <mergeCell ref="WL46:WO46"/>
    <mergeCell ref="WU46:WX46"/>
    <mergeCell ref="WZ46:XC46"/>
    <mergeCell ref="UC46:UF46"/>
    <mergeCell ref="UH46:UK46"/>
    <mergeCell ref="UQ46:UT46"/>
    <mergeCell ref="UV46:UY46"/>
    <mergeCell ref="VE46:VH46"/>
    <mergeCell ref="VJ46:VM46"/>
    <mergeCell ref="SM46:SP46"/>
    <mergeCell ref="SR46:SU46"/>
    <mergeCell ref="TA46:TD46"/>
    <mergeCell ref="TF46:TI46"/>
    <mergeCell ref="TO46:TR46"/>
    <mergeCell ref="TT46:TW46"/>
    <mergeCell ref="QW46:QZ46"/>
    <mergeCell ref="RB46:RE46"/>
    <mergeCell ref="RK46:RN46"/>
    <mergeCell ref="RP46:RS46"/>
    <mergeCell ref="RY46:SB46"/>
    <mergeCell ref="SD46:SG46"/>
    <mergeCell ref="PG46:PJ46"/>
    <mergeCell ref="PL46:PO46"/>
    <mergeCell ref="PU46:PX46"/>
    <mergeCell ref="PZ46:QC46"/>
    <mergeCell ref="QI46:QL46"/>
    <mergeCell ref="QN46:QQ46"/>
    <mergeCell ref="NQ46:NT46"/>
    <mergeCell ref="NV46:NY46"/>
    <mergeCell ref="OE46:OH46"/>
    <mergeCell ref="OJ46:OM46"/>
    <mergeCell ref="OS46:OV46"/>
    <mergeCell ref="OX46:PA46"/>
    <mergeCell ref="MA46:MD46"/>
    <mergeCell ref="MF46:MI46"/>
    <mergeCell ref="MO46:MR46"/>
    <mergeCell ref="MT46:MW46"/>
    <mergeCell ref="NC46:NF46"/>
    <mergeCell ref="NH46:NK46"/>
    <mergeCell ref="KK46:KN46"/>
    <mergeCell ref="KP46:KS46"/>
    <mergeCell ref="KY46:LB46"/>
    <mergeCell ref="LD46:LG46"/>
    <mergeCell ref="LM46:LP46"/>
    <mergeCell ref="LR46:LU46"/>
    <mergeCell ref="IU46:IX46"/>
    <mergeCell ref="IZ46:JC46"/>
    <mergeCell ref="JI46:JL46"/>
    <mergeCell ref="JN46:JQ46"/>
    <mergeCell ref="JW46:JZ46"/>
    <mergeCell ref="KB46:KE46"/>
    <mergeCell ref="HE46:HH46"/>
    <mergeCell ref="HJ46:HM46"/>
    <mergeCell ref="HS46:HV46"/>
    <mergeCell ref="HX46:IA46"/>
    <mergeCell ref="IG46:IJ46"/>
    <mergeCell ref="IL46:IO46"/>
    <mergeCell ref="FO46:FR46"/>
    <mergeCell ref="FT46:FW46"/>
    <mergeCell ref="GC46:GF46"/>
    <mergeCell ref="GH46:GK46"/>
    <mergeCell ref="GQ46:GT46"/>
    <mergeCell ref="GV46:GY46"/>
    <mergeCell ref="DY46:EB46"/>
    <mergeCell ref="ED46:EG46"/>
    <mergeCell ref="EM46:EP46"/>
    <mergeCell ref="ER46:EU46"/>
    <mergeCell ref="FA46:FD46"/>
    <mergeCell ref="FF46:FI46"/>
    <mergeCell ref="CI46:CL46"/>
    <mergeCell ref="CN46:CQ46"/>
    <mergeCell ref="CW46:CZ46"/>
    <mergeCell ref="DB46:DE46"/>
    <mergeCell ref="DK46:DN46"/>
    <mergeCell ref="DP46:DS46"/>
    <mergeCell ref="AS46:AV46"/>
    <mergeCell ref="AX46:BA46"/>
    <mergeCell ref="BG46:BJ46"/>
    <mergeCell ref="BL46:BO46"/>
    <mergeCell ref="BU46:BX46"/>
    <mergeCell ref="BZ46:CC46"/>
    <mergeCell ref="C46:F46"/>
    <mergeCell ref="H46:K46"/>
    <mergeCell ref="Q46:T46"/>
    <mergeCell ref="V46:Y46"/>
    <mergeCell ref="AE46:AH46"/>
    <mergeCell ref="AJ46:AM46"/>
    <mergeCell ref="CTN45:CTQ45"/>
    <mergeCell ref="CTZ45:CUC45"/>
    <mergeCell ref="CUL45:CUO45"/>
    <mergeCell ref="CUX45:CVA45"/>
    <mergeCell ref="CVJ45:CVM45"/>
    <mergeCell ref="CVV45:CVY45"/>
    <mergeCell ref="CQT45:CQW45"/>
    <mergeCell ref="CRF45:CRI45"/>
    <mergeCell ref="CRR45:CRU45"/>
    <mergeCell ref="CSD45:CSG45"/>
    <mergeCell ref="CSP45:CSS45"/>
    <mergeCell ref="CTB45:CTE45"/>
    <mergeCell ref="CNZ45:COC45"/>
    <mergeCell ref="COL45:COO45"/>
    <mergeCell ref="COX45:CPA45"/>
    <mergeCell ref="CPJ45:CPM45"/>
    <mergeCell ref="CPV45:CPY45"/>
    <mergeCell ref="CQH45:CQK45"/>
    <mergeCell ref="CLF45:CLI45"/>
    <mergeCell ref="CLR45:CLU45"/>
    <mergeCell ref="CMD45:CMG45"/>
    <mergeCell ref="CMP45:CMS45"/>
    <mergeCell ref="CNB45:CNE45"/>
    <mergeCell ref="CNN45:CNQ45"/>
    <mergeCell ref="CIL45:CIO45"/>
    <mergeCell ref="CIX45:CJA45"/>
    <mergeCell ref="CJJ45:CJM45"/>
    <mergeCell ref="CJV45:CJY45"/>
    <mergeCell ref="CKH45:CKK45"/>
    <mergeCell ref="CKT45:CKW45"/>
    <mergeCell ref="CFR45:CFU45"/>
    <mergeCell ref="CGD45:CGG45"/>
    <mergeCell ref="CGP45:CGS45"/>
    <mergeCell ref="CHB45:CHE45"/>
    <mergeCell ref="CHN45:CHQ45"/>
    <mergeCell ref="CHZ45:CIC45"/>
    <mergeCell ref="CCX45:CDA45"/>
    <mergeCell ref="CDJ45:CDM45"/>
    <mergeCell ref="CDV45:CDY45"/>
    <mergeCell ref="CEH45:CEK45"/>
    <mergeCell ref="CET45:CEW45"/>
    <mergeCell ref="CFF45:CFI45"/>
    <mergeCell ref="CAD45:CAG45"/>
    <mergeCell ref="CAP45:CAS45"/>
    <mergeCell ref="CBB45:CBE45"/>
    <mergeCell ref="CBN45:CBQ45"/>
    <mergeCell ref="CBZ45:CCC45"/>
    <mergeCell ref="CCL45:CCO45"/>
    <mergeCell ref="BXJ45:BXM45"/>
    <mergeCell ref="BXV45:BXY45"/>
    <mergeCell ref="BYH45:BYK45"/>
    <mergeCell ref="BYT45:BYW45"/>
    <mergeCell ref="BZF45:BZI45"/>
    <mergeCell ref="BZR45:BZU45"/>
    <mergeCell ref="BUP45:BUS45"/>
    <mergeCell ref="BVB45:BVE45"/>
    <mergeCell ref="BVN45:BVQ45"/>
    <mergeCell ref="BVZ45:BWC45"/>
    <mergeCell ref="BWL45:BWO45"/>
    <mergeCell ref="BWX45:BXA45"/>
    <mergeCell ref="BRV45:BRY45"/>
    <mergeCell ref="BSH45:BSK45"/>
    <mergeCell ref="BST45:BSW45"/>
    <mergeCell ref="BTF45:BTI45"/>
    <mergeCell ref="BTR45:BTU45"/>
    <mergeCell ref="BUD45:BUG45"/>
    <mergeCell ref="BPB45:BPE45"/>
    <mergeCell ref="BPN45:BPQ45"/>
    <mergeCell ref="BPZ45:BQC45"/>
    <mergeCell ref="BQL45:BQO45"/>
    <mergeCell ref="BQX45:BRA45"/>
    <mergeCell ref="BRJ45:BRM45"/>
    <mergeCell ref="BMH45:BMK45"/>
    <mergeCell ref="BMT45:BMW45"/>
    <mergeCell ref="BNF45:BNI45"/>
    <mergeCell ref="BNR45:BNU45"/>
    <mergeCell ref="BOD45:BOG45"/>
    <mergeCell ref="BOP45:BOS45"/>
    <mergeCell ref="BJN45:BJQ45"/>
    <mergeCell ref="BJZ45:BKC45"/>
    <mergeCell ref="BKL45:BKO45"/>
    <mergeCell ref="BKX45:BLA45"/>
    <mergeCell ref="BLJ45:BLM45"/>
    <mergeCell ref="BLV45:BLY45"/>
    <mergeCell ref="BGT45:BGW45"/>
    <mergeCell ref="BHF45:BHI45"/>
    <mergeCell ref="BHR45:BHU45"/>
    <mergeCell ref="BID45:BIG45"/>
    <mergeCell ref="BIP45:BIS45"/>
    <mergeCell ref="BJB45:BJE45"/>
    <mergeCell ref="BDZ45:BEC45"/>
    <mergeCell ref="BEL45:BEO45"/>
    <mergeCell ref="BEX45:BFA45"/>
    <mergeCell ref="BFJ45:BFM45"/>
    <mergeCell ref="BFV45:BFY45"/>
    <mergeCell ref="BGH45:BGK45"/>
    <mergeCell ref="BBF45:BBI45"/>
    <mergeCell ref="BBR45:BBU45"/>
    <mergeCell ref="BCD45:BCG45"/>
    <mergeCell ref="BCP45:BCS45"/>
    <mergeCell ref="BDB45:BDE45"/>
    <mergeCell ref="BDN45:BDQ45"/>
    <mergeCell ref="AYL45:AYO45"/>
    <mergeCell ref="AYX45:AZA45"/>
    <mergeCell ref="AZJ45:AZM45"/>
    <mergeCell ref="AZV45:AZY45"/>
    <mergeCell ref="BAH45:BAK45"/>
    <mergeCell ref="BAT45:BAW45"/>
    <mergeCell ref="AVR45:AVU45"/>
    <mergeCell ref="AWD45:AWG45"/>
    <mergeCell ref="AWP45:AWS45"/>
    <mergeCell ref="AXB45:AXE45"/>
    <mergeCell ref="AXN45:AXQ45"/>
    <mergeCell ref="AXZ45:AYC45"/>
    <mergeCell ref="ASX45:ATA45"/>
    <mergeCell ref="ATJ45:ATM45"/>
    <mergeCell ref="ATV45:ATY45"/>
    <mergeCell ref="AUH45:AUK45"/>
    <mergeCell ref="AUT45:AUW45"/>
    <mergeCell ref="AVF45:AVI45"/>
    <mergeCell ref="AQD45:AQG45"/>
    <mergeCell ref="AQP45:AQS45"/>
    <mergeCell ref="ARB45:ARE45"/>
    <mergeCell ref="ARN45:ARQ45"/>
    <mergeCell ref="ARZ45:ASC45"/>
    <mergeCell ref="ASL45:ASO45"/>
    <mergeCell ref="ANJ45:ANM45"/>
    <mergeCell ref="ANV45:ANY45"/>
    <mergeCell ref="AOH45:AOK45"/>
    <mergeCell ref="AOT45:AOW45"/>
    <mergeCell ref="APF45:API45"/>
    <mergeCell ref="APR45:APU45"/>
    <mergeCell ref="AKP45:AKS45"/>
    <mergeCell ref="ALB45:ALE45"/>
    <mergeCell ref="ALN45:ALQ45"/>
    <mergeCell ref="ALZ45:AMC45"/>
    <mergeCell ref="AML45:AMO45"/>
    <mergeCell ref="AMX45:ANA45"/>
    <mergeCell ref="AHV45:AHY45"/>
    <mergeCell ref="AIH45:AIK45"/>
    <mergeCell ref="AIT45:AIW45"/>
    <mergeCell ref="AJF45:AJI45"/>
    <mergeCell ref="AJR45:AJU45"/>
    <mergeCell ref="AKD45:AKG45"/>
    <mergeCell ref="AEZ45:AFC45"/>
    <mergeCell ref="AFM45:AFP45"/>
    <mergeCell ref="AFZ45:AGC45"/>
    <mergeCell ref="AGL45:AGO45"/>
    <mergeCell ref="AGX45:AHA45"/>
    <mergeCell ref="AHJ45:AHM45"/>
    <mergeCell ref="ABZ45:ACC45"/>
    <mergeCell ref="ACM45:ACP45"/>
    <mergeCell ref="ACZ45:ADC45"/>
    <mergeCell ref="ADM45:ADP45"/>
    <mergeCell ref="ADZ45:AEC45"/>
    <mergeCell ref="AEM45:AEP45"/>
    <mergeCell ref="ZM45:ZP45"/>
    <mergeCell ref="ZR45:ZU45"/>
    <mergeCell ref="ZZ45:AAC45"/>
    <mergeCell ref="AAM45:AAP45"/>
    <mergeCell ref="AAZ45:ABC45"/>
    <mergeCell ref="ABM45:ABP45"/>
    <mergeCell ref="XW45:XZ45"/>
    <mergeCell ref="YB45:YE45"/>
    <mergeCell ref="YK45:YN45"/>
    <mergeCell ref="YP45:YS45"/>
    <mergeCell ref="YY45:ZB45"/>
    <mergeCell ref="ZD45:ZG45"/>
    <mergeCell ref="WG45:WJ45"/>
    <mergeCell ref="WL45:WO45"/>
    <mergeCell ref="WU45:WX45"/>
    <mergeCell ref="WZ45:XC45"/>
    <mergeCell ref="XI45:XL45"/>
    <mergeCell ref="XN45:XQ45"/>
    <mergeCell ref="UQ45:UT45"/>
    <mergeCell ref="UV45:UY45"/>
    <mergeCell ref="VE45:VH45"/>
    <mergeCell ref="VJ45:VM45"/>
    <mergeCell ref="VS45:VV45"/>
    <mergeCell ref="VX45:WA45"/>
    <mergeCell ref="TA45:TD45"/>
    <mergeCell ref="TF45:TI45"/>
    <mergeCell ref="TO45:TR45"/>
    <mergeCell ref="TT45:TW45"/>
    <mergeCell ref="UC45:UF45"/>
    <mergeCell ref="UH45:UK45"/>
    <mergeCell ref="RK45:RN45"/>
    <mergeCell ref="RP45:RS45"/>
    <mergeCell ref="RY45:SB45"/>
    <mergeCell ref="SD45:SG45"/>
    <mergeCell ref="SM45:SP45"/>
    <mergeCell ref="SR45:SU45"/>
    <mergeCell ref="PU45:PX45"/>
    <mergeCell ref="PZ45:QC45"/>
    <mergeCell ref="QI45:QL45"/>
    <mergeCell ref="QN45:QQ45"/>
    <mergeCell ref="QW45:QZ45"/>
    <mergeCell ref="RB45:RE45"/>
    <mergeCell ref="OE45:OH45"/>
    <mergeCell ref="OJ45:OM45"/>
    <mergeCell ref="OS45:OV45"/>
    <mergeCell ref="OX45:PA45"/>
    <mergeCell ref="PG45:PJ45"/>
    <mergeCell ref="PL45:PO45"/>
    <mergeCell ref="MO45:MR45"/>
    <mergeCell ref="MT45:MW45"/>
    <mergeCell ref="NC45:NF45"/>
    <mergeCell ref="NH45:NK45"/>
    <mergeCell ref="NQ45:NT45"/>
    <mergeCell ref="NV45:NY45"/>
    <mergeCell ref="KY45:LB45"/>
    <mergeCell ref="LD45:LG45"/>
    <mergeCell ref="LM45:LP45"/>
    <mergeCell ref="LR45:LU45"/>
    <mergeCell ref="MA45:MD45"/>
    <mergeCell ref="MF45:MI45"/>
    <mergeCell ref="JI45:JL45"/>
    <mergeCell ref="JN45:JQ45"/>
    <mergeCell ref="JW45:JZ45"/>
    <mergeCell ref="KB45:KE45"/>
    <mergeCell ref="KK45:KN45"/>
    <mergeCell ref="KP45:KS45"/>
    <mergeCell ref="HS45:HV45"/>
    <mergeCell ref="HX45:IA45"/>
    <mergeCell ref="IG45:IJ45"/>
    <mergeCell ref="IL45:IO45"/>
    <mergeCell ref="IU45:IX45"/>
    <mergeCell ref="IZ45:JC45"/>
    <mergeCell ref="GC45:GF45"/>
    <mergeCell ref="GH45:GK45"/>
    <mergeCell ref="GQ45:GT45"/>
    <mergeCell ref="GV45:GY45"/>
    <mergeCell ref="HE45:HH45"/>
    <mergeCell ref="HJ45:HM45"/>
    <mergeCell ref="EM45:EP45"/>
    <mergeCell ref="ER45:EU45"/>
    <mergeCell ref="FA45:FD45"/>
    <mergeCell ref="FF45:FI45"/>
    <mergeCell ref="FO45:FR45"/>
    <mergeCell ref="FT45:FW45"/>
    <mergeCell ref="CW45:CZ45"/>
    <mergeCell ref="DB45:DE45"/>
    <mergeCell ref="DK45:DN45"/>
    <mergeCell ref="DP45:DS45"/>
    <mergeCell ref="DY45:EB45"/>
    <mergeCell ref="ED45:EG45"/>
    <mergeCell ref="BG45:BJ45"/>
    <mergeCell ref="BL45:BO45"/>
    <mergeCell ref="BU45:BX45"/>
    <mergeCell ref="BZ45:CC45"/>
    <mergeCell ref="CI45:CL45"/>
    <mergeCell ref="CN45:CQ45"/>
    <mergeCell ref="CVQ44:CVS44"/>
    <mergeCell ref="CWC44:CWE44"/>
    <mergeCell ref="C45:F45"/>
    <mergeCell ref="H45:K45"/>
    <mergeCell ref="Q45:T45"/>
    <mergeCell ref="V45:Y45"/>
    <mergeCell ref="AE45:AH45"/>
    <mergeCell ref="AJ45:AM45"/>
    <mergeCell ref="AS45:AV45"/>
    <mergeCell ref="AX45:BA45"/>
    <mergeCell ref="CSW44:CSY44"/>
    <mergeCell ref="CTI44:CTK44"/>
    <mergeCell ref="CTU44:CTW44"/>
    <mergeCell ref="CUG44:CUI44"/>
    <mergeCell ref="CUS44:CUU44"/>
    <mergeCell ref="CVE44:CVG44"/>
    <mergeCell ref="CQC44:CQE44"/>
    <mergeCell ref="CQO44:CQQ44"/>
    <mergeCell ref="CRA44:CRC44"/>
    <mergeCell ref="CRM44:CRO44"/>
    <mergeCell ref="CRY44:CSA44"/>
    <mergeCell ref="CSK44:CSM44"/>
    <mergeCell ref="CNI44:CNK44"/>
    <mergeCell ref="CNU44:CNW44"/>
    <mergeCell ref="COG44:COI44"/>
    <mergeCell ref="COS44:COU44"/>
    <mergeCell ref="CPE44:CPG44"/>
    <mergeCell ref="CPQ44:CPS44"/>
    <mergeCell ref="CKO44:CKQ44"/>
    <mergeCell ref="CLA44:CLC44"/>
    <mergeCell ref="CLM44:CLO44"/>
    <mergeCell ref="CLY44:CMA44"/>
    <mergeCell ref="CMK44:CMM44"/>
    <mergeCell ref="CMW44:CMY44"/>
    <mergeCell ref="CHU44:CHW44"/>
    <mergeCell ref="CIG44:CII44"/>
    <mergeCell ref="CIS44:CIU44"/>
    <mergeCell ref="CJE44:CJG44"/>
    <mergeCell ref="CJQ44:CJS44"/>
    <mergeCell ref="CKC44:CKE44"/>
    <mergeCell ref="CFA44:CFC44"/>
    <mergeCell ref="CFM44:CFO44"/>
    <mergeCell ref="CFY44:CGA44"/>
    <mergeCell ref="CGK44:CGM44"/>
    <mergeCell ref="CGW44:CGY44"/>
    <mergeCell ref="CHI44:CHK44"/>
    <mergeCell ref="CCG44:CCI44"/>
    <mergeCell ref="CCS44:CCU44"/>
    <mergeCell ref="CDE44:CDG44"/>
    <mergeCell ref="CDQ44:CDS44"/>
    <mergeCell ref="CEC44:CEE44"/>
    <mergeCell ref="CEO44:CEQ44"/>
    <mergeCell ref="BZM44:BZO44"/>
    <mergeCell ref="BZY44:CAA44"/>
    <mergeCell ref="CAK44:CAM44"/>
    <mergeCell ref="CAW44:CAY44"/>
    <mergeCell ref="CBI44:CBK44"/>
    <mergeCell ref="CBU44:CBW44"/>
    <mergeCell ref="BWS44:BWU44"/>
    <mergeCell ref="BXE44:BXG44"/>
    <mergeCell ref="BXQ44:BXS44"/>
    <mergeCell ref="BYC44:BYE44"/>
    <mergeCell ref="BYO44:BYQ44"/>
    <mergeCell ref="BZA44:BZC44"/>
    <mergeCell ref="BTY44:BUA44"/>
    <mergeCell ref="BUK44:BUM44"/>
    <mergeCell ref="BUW44:BUY44"/>
    <mergeCell ref="BVI44:BVK44"/>
    <mergeCell ref="BVU44:BVW44"/>
    <mergeCell ref="BWG44:BWI44"/>
    <mergeCell ref="BRE44:BRG44"/>
    <mergeCell ref="BRQ44:BRS44"/>
    <mergeCell ref="BSC44:BSE44"/>
    <mergeCell ref="BSO44:BSQ44"/>
    <mergeCell ref="BTA44:BTC44"/>
    <mergeCell ref="BTM44:BTO44"/>
    <mergeCell ref="BOK44:BOM44"/>
    <mergeCell ref="BOW44:BOY44"/>
    <mergeCell ref="BPI44:BPK44"/>
    <mergeCell ref="BPU44:BPW44"/>
    <mergeCell ref="BQG44:BQI44"/>
    <mergeCell ref="BQS44:BQU44"/>
    <mergeCell ref="BLQ44:BLS44"/>
    <mergeCell ref="BMC44:BME44"/>
    <mergeCell ref="BMO44:BMQ44"/>
    <mergeCell ref="BNA44:BNC44"/>
    <mergeCell ref="BNM44:BNO44"/>
    <mergeCell ref="BNY44:BOA44"/>
    <mergeCell ref="BIW44:BIY44"/>
    <mergeCell ref="BJI44:BJK44"/>
    <mergeCell ref="BJU44:BJW44"/>
    <mergeCell ref="BKG44:BKI44"/>
    <mergeCell ref="BKS44:BKU44"/>
    <mergeCell ref="BLE44:BLG44"/>
    <mergeCell ref="BGC44:BGE44"/>
    <mergeCell ref="BGO44:BGQ44"/>
    <mergeCell ref="BHA44:BHC44"/>
    <mergeCell ref="BHM44:BHO44"/>
    <mergeCell ref="BHY44:BIA44"/>
    <mergeCell ref="BIK44:BIM44"/>
    <mergeCell ref="BDI44:BDK44"/>
    <mergeCell ref="BDU44:BDW44"/>
    <mergeCell ref="BEG44:BEI44"/>
    <mergeCell ref="BES44:BEU44"/>
    <mergeCell ref="BFE44:BFG44"/>
    <mergeCell ref="BFQ44:BFS44"/>
    <mergeCell ref="BAO44:BAQ44"/>
    <mergeCell ref="BBA44:BBC44"/>
    <mergeCell ref="BBM44:BBO44"/>
    <mergeCell ref="BBY44:BCA44"/>
    <mergeCell ref="BCK44:BCM44"/>
    <mergeCell ref="BCW44:BCY44"/>
    <mergeCell ref="AXU44:AXW44"/>
    <mergeCell ref="AYG44:AYI44"/>
    <mergeCell ref="AYS44:AYU44"/>
    <mergeCell ref="AZE44:AZG44"/>
    <mergeCell ref="AZQ44:AZS44"/>
    <mergeCell ref="BAC44:BAE44"/>
    <mergeCell ref="AVA44:AVC44"/>
    <mergeCell ref="AVM44:AVO44"/>
    <mergeCell ref="AVY44:AWA44"/>
    <mergeCell ref="AWK44:AWM44"/>
    <mergeCell ref="AWW44:AWY44"/>
    <mergeCell ref="AXI44:AXK44"/>
    <mergeCell ref="ASG44:ASI44"/>
    <mergeCell ref="ASS44:ASU44"/>
    <mergeCell ref="ATE44:ATG44"/>
    <mergeCell ref="ATQ44:ATS44"/>
    <mergeCell ref="AUC44:AUE44"/>
    <mergeCell ref="AUO44:AUQ44"/>
    <mergeCell ref="APM44:APO44"/>
    <mergeCell ref="APY44:AQA44"/>
    <mergeCell ref="AQK44:AQM44"/>
    <mergeCell ref="AQW44:AQY44"/>
    <mergeCell ref="ARI44:ARK44"/>
    <mergeCell ref="ARU44:ARW44"/>
    <mergeCell ref="AMS44:AMU44"/>
    <mergeCell ref="ANE44:ANG44"/>
    <mergeCell ref="ANQ44:ANS44"/>
    <mergeCell ref="AOC44:AOE44"/>
    <mergeCell ref="AOO44:AOQ44"/>
    <mergeCell ref="APA44:APC44"/>
    <mergeCell ref="AJY44:AKA44"/>
    <mergeCell ref="AKK44:AKM44"/>
    <mergeCell ref="AKW44:AKY44"/>
    <mergeCell ref="ALI44:ALK44"/>
    <mergeCell ref="ALU44:ALW44"/>
    <mergeCell ref="AMG44:AMI44"/>
    <mergeCell ref="AHE44:AHG44"/>
    <mergeCell ref="AHQ44:AHS44"/>
    <mergeCell ref="AIC44:AIE44"/>
    <mergeCell ref="AIO44:AIQ44"/>
    <mergeCell ref="AJA44:AJC44"/>
    <mergeCell ref="AJM44:AJO44"/>
    <mergeCell ref="AEG44:AEI44"/>
    <mergeCell ref="AET44:AEV44"/>
    <mergeCell ref="AFG44:AFI44"/>
    <mergeCell ref="AFT44:AFV44"/>
    <mergeCell ref="AGG44:AGI44"/>
    <mergeCell ref="AGS44:AGU44"/>
    <mergeCell ref="AEY43:AFD43"/>
    <mergeCell ref="AFL43:AFQ43"/>
    <mergeCell ref="AAG44:AAI44"/>
    <mergeCell ref="AAT44:AAV44"/>
    <mergeCell ref="ABG44:ABI44"/>
    <mergeCell ref="ABT44:ABV44"/>
    <mergeCell ref="ACG44:ACI44"/>
    <mergeCell ref="ACT44:ACV44"/>
    <mergeCell ref="ADG44:ADI44"/>
    <mergeCell ref="ADT44:ADV44"/>
    <mergeCell ref="ABY43:ACD43"/>
    <mergeCell ref="ACL43:ACQ43"/>
    <mergeCell ref="ACY43:ADD43"/>
    <mergeCell ref="ADL43:ADQ43"/>
    <mergeCell ref="ADY43:AED43"/>
    <mergeCell ref="AEL43:AEQ43"/>
    <mergeCell ref="YX43:ZH43"/>
    <mergeCell ref="ZL43:ZV43"/>
    <mergeCell ref="ZY43:AAD43"/>
    <mergeCell ref="AAL43:AAQ43"/>
    <mergeCell ref="AAY43:ABD43"/>
    <mergeCell ref="ABL43:ABQ43"/>
    <mergeCell ref="VR43:WB43"/>
    <mergeCell ref="WF43:WP43"/>
    <mergeCell ref="WT43:XD43"/>
    <mergeCell ref="XH43:XR43"/>
    <mergeCell ref="XV43:YF43"/>
    <mergeCell ref="YJ43:YT43"/>
    <mergeCell ref="SL43:SV43"/>
    <mergeCell ref="SZ43:TJ43"/>
    <mergeCell ref="TN43:TX43"/>
    <mergeCell ref="UB43:UL43"/>
    <mergeCell ref="UP43:UZ43"/>
    <mergeCell ref="VD43:VN43"/>
    <mergeCell ref="PF43:PP43"/>
    <mergeCell ref="PT43:QD43"/>
    <mergeCell ref="QH43:QR43"/>
    <mergeCell ref="QV43:RF43"/>
    <mergeCell ref="RJ43:RT43"/>
    <mergeCell ref="RX43:SH43"/>
    <mergeCell ref="LZ43:MJ43"/>
    <mergeCell ref="MN43:MX43"/>
    <mergeCell ref="NB43:NL43"/>
    <mergeCell ref="NP43:NZ43"/>
    <mergeCell ref="OD43:ON43"/>
    <mergeCell ref="OR43:PB43"/>
    <mergeCell ref="IT43:JD43"/>
    <mergeCell ref="JH43:JR43"/>
    <mergeCell ref="JV43:KF43"/>
    <mergeCell ref="KJ43:KT43"/>
    <mergeCell ref="KX43:LH43"/>
    <mergeCell ref="LL43:LV43"/>
    <mergeCell ref="FN43:FX43"/>
    <mergeCell ref="GB43:GL43"/>
    <mergeCell ref="GP43:GZ43"/>
    <mergeCell ref="HD43:HN43"/>
    <mergeCell ref="HR43:IB43"/>
    <mergeCell ref="IF43:IP43"/>
    <mergeCell ref="CH43:CR43"/>
    <mergeCell ref="CV43:DF43"/>
    <mergeCell ref="DJ43:DT43"/>
    <mergeCell ref="DX43:EH43"/>
    <mergeCell ref="EL43:EV43"/>
    <mergeCell ref="EZ43:FJ43"/>
    <mergeCell ref="B43:L43"/>
    <mergeCell ref="P43:Z43"/>
    <mergeCell ref="AD43:AN43"/>
    <mergeCell ref="AR43:BB43"/>
    <mergeCell ref="BF43:BP43"/>
    <mergeCell ref="BT43:CD43"/>
    <mergeCell ref="CTN42:CTQ42"/>
    <mergeCell ref="CTZ42:CUC42"/>
    <mergeCell ref="CUL42:CUO42"/>
    <mergeCell ref="CUX42:CVA42"/>
    <mergeCell ref="CVJ42:CVM42"/>
    <mergeCell ref="CVV42:CVY42"/>
    <mergeCell ref="CQT42:CQW42"/>
    <mergeCell ref="CRF42:CRI42"/>
    <mergeCell ref="CRR42:CRU42"/>
    <mergeCell ref="CSD42:CSG42"/>
    <mergeCell ref="CSP42:CSS42"/>
    <mergeCell ref="CTB42:CTE42"/>
    <mergeCell ref="CNZ42:COC42"/>
    <mergeCell ref="COL42:COO42"/>
    <mergeCell ref="COX42:CPA42"/>
    <mergeCell ref="CPJ42:CPM42"/>
    <mergeCell ref="CPV42:CPY42"/>
    <mergeCell ref="CQH42:CQK42"/>
    <mergeCell ref="CLF42:CLI42"/>
    <mergeCell ref="CLR42:CLU42"/>
    <mergeCell ref="CMD42:CMG42"/>
    <mergeCell ref="CMP42:CMS42"/>
    <mergeCell ref="CNB42:CNE42"/>
    <mergeCell ref="CNN42:CNQ42"/>
    <mergeCell ref="CIL42:CIO42"/>
    <mergeCell ref="CIX42:CJA42"/>
    <mergeCell ref="CJJ42:CJM42"/>
    <mergeCell ref="CJV42:CJY42"/>
    <mergeCell ref="CKH42:CKK42"/>
    <mergeCell ref="CKT42:CKW42"/>
    <mergeCell ref="CFR42:CFU42"/>
    <mergeCell ref="CGD42:CGG42"/>
    <mergeCell ref="CGP42:CGS42"/>
    <mergeCell ref="CHB42:CHE42"/>
    <mergeCell ref="CHN42:CHQ42"/>
    <mergeCell ref="CHZ42:CIC42"/>
    <mergeCell ref="CCX42:CDA42"/>
    <mergeCell ref="CDJ42:CDM42"/>
    <mergeCell ref="CDV42:CDY42"/>
    <mergeCell ref="CEH42:CEK42"/>
    <mergeCell ref="CET42:CEW42"/>
    <mergeCell ref="CFF42:CFI42"/>
    <mergeCell ref="CAD42:CAG42"/>
    <mergeCell ref="CAP42:CAS42"/>
    <mergeCell ref="CBB42:CBE42"/>
    <mergeCell ref="CBN42:CBQ42"/>
    <mergeCell ref="CBZ42:CCC42"/>
    <mergeCell ref="CCL42:CCO42"/>
    <mergeCell ref="BXJ42:BXM42"/>
    <mergeCell ref="BXV42:BXY42"/>
    <mergeCell ref="BYH42:BYK42"/>
    <mergeCell ref="BYT42:BYW42"/>
    <mergeCell ref="BZF42:BZI42"/>
    <mergeCell ref="BZR42:BZU42"/>
    <mergeCell ref="BUP42:BUS42"/>
    <mergeCell ref="BVB42:BVE42"/>
    <mergeCell ref="BVN42:BVQ42"/>
    <mergeCell ref="BVZ42:BWC42"/>
    <mergeCell ref="BWL42:BWO42"/>
    <mergeCell ref="BWX42:BXA42"/>
    <mergeCell ref="BRV42:BRY42"/>
    <mergeCell ref="BSH42:BSK42"/>
    <mergeCell ref="BST42:BSW42"/>
    <mergeCell ref="BTF42:BTI42"/>
    <mergeCell ref="BTR42:BTU42"/>
    <mergeCell ref="BUD42:BUG42"/>
    <mergeCell ref="BPB42:BPE42"/>
    <mergeCell ref="BPN42:BPQ42"/>
    <mergeCell ref="BPZ42:BQC42"/>
    <mergeCell ref="BQL42:BQO42"/>
    <mergeCell ref="BQX42:BRA42"/>
    <mergeCell ref="BRJ42:BRM42"/>
    <mergeCell ref="BMH42:BMK42"/>
    <mergeCell ref="BMT42:BMW42"/>
    <mergeCell ref="BNF42:BNI42"/>
    <mergeCell ref="BNR42:BNU42"/>
    <mergeCell ref="BOD42:BOG42"/>
    <mergeCell ref="BOP42:BOS42"/>
    <mergeCell ref="BJN42:BJQ42"/>
    <mergeCell ref="BJZ42:BKC42"/>
    <mergeCell ref="BKL42:BKO42"/>
    <mergeCell ref="BKX42:BLA42"/>
    <mergeCell ref="BLJ42:BLM42"/>
    <mergeCell ref="BLV42:BLY42"/>
    <mergeCell ref="BGT42:BGW42"/>
    <mergeCell ref="BHF42:BHI42"/>
    <mergeCell ref="BHR42:BHU42"/>
    <mergeCell ref="BID42:BIG42"/>
    <mergeCell ref="BIP42:BIS42"/>
    <mergeCell ref="BJB42:BJE42"/>
    <mergeCell ref="BDZ42:BEC42"/>
    <mergeCell ref="BEL42:BEO42"/>
    <mergeCell ref="BEX42:BFA42"/>
    <mergeCell ref="BFJ42:BFM42"/>
    <mergeCell ref="BFV42:BFY42"/>
    <mergeCell ref="BGH42:BGK42"/>
    <mergeCell ref="BBF42:BBI42"/>
    <mergeCell ref="BBR42:BBU42"/>
    <mergeCell ref="BCD42:BCG42"/>
    <mergeCell ref="BCP42:BCS42"/>
    <mergeCell ref="BDB42:BDE42"/>
    <mergeCell ref="BDN42:BDQ42"/>
    <mergeCell ref="AYL42:AYO42"/>
    <mergeCell ref="AYX42:AZA42"/>
    <mergeCell ref="AZJ42:AZM42"/>
    <mergeCell ref="AZV42:AZY42"/>
    <mergeCell ref="BAH42:BAK42"/>
    <mergeCell ref="BAT42:BAW42"/>
    <mergeCell ref="AVR42:AVU42"/>
    <mergeCell ref="AWD42:AWG42"/>
    <mergeCell ref="AWP42:AWS42"/>
    <mergeCell ref="AXB42:AXE42"/>
    <mergeCell ref="AXN42:AXQ42"/>
    <mergeCell ref="AXZ42:AYC42"/>
    <mergeCell ref="ASX42:ATA42"/>
    <mergeCell ref="ATJ42:ATM42"/>
    <mergeCell ref="ATV42:ATY42"/>
    <mergeCell ref="AUH42:AUK42"/>
    <mergeCell ref="AUT42:AUW42"/>
    <mergeCell ref="AVF42:AVI42"/>
    <mergeCell ref="AQD42:AQG42"/>
    <mergeCell ref="AQP42:AQS42"/>
    <mergeCell ref="ARB42:ARE42"/>
    <mergeCell ref="ARN42:ARQ42"/>
    <mergeCell ref="ARZ42:ASC42"/>
    <mergeCell ref="ASL42:ASO42"/>
    <mergeCell ref="ANJ42:ANM42"/>
    <mergeCell ref="ANV42:ANY42"/>
    <mergeCell ref="AOH42:AOK42"/>
    <mergeCell ref="AOT42:AOW42"/>
    <mergeCell ref="APF42:API42"/>
    <mergeCell ref="APR42:APU42"/>
    <mergeCell ref="AKP42:AKS42"/>
    <mergeCell ref="ALB42:ALE42"/>
    <mergeCell ref="ALN42:ALQ42"/>
    <mergeCell ref="ALZ42:AMC42"/>
    <mergeCell ref="AML42:AMO42"/>
    <mergeCell ref="AMX42:ANA42"/>
    <mergeCell ref="AHV42:AHY42"/>
    <mergeCell ref="AIH42:AIK42"/>
    <mergeCell ref="AIT42:AIW42"/>
    <mergeCell ref="AJF42:AJI42"/>
    <mergeCell ref="AJR42:AJU42"/>
    <mergeCell ref="AKD42:AKG42"/>
    <mergeCell ref="AEZ42:AFC42"/>
    <mergeCell ref="AFM42:AFP42"/>
    <mergeCell ref="AFZ42:AGC42"/>
    <mergeCell ref="AGL42:AGO42"/>
    <mergeCell ref="AGX42:AHA42"/>
    <mergeCell ref="AHJ42:AHM42"/>
    <mergeCell ref="ABZ42:ACC42"/>
    <mergeCell ref="ACM42:ACP42"/>
    <mergeCell ref="ACZ42:ADC42"/>
    <mergeCell ref="ADM42:ADP42"/>
    <mergeCell ref="ADZ42:AEC42"/>
    <mergeCell ref="AEM42:AEP42"/>
    <mergeCell ref="ZM42:ZO42"/>
    <mergeCell ref="ZP42:ZV42"/>
    <mergeCell ref="ZZ42:AAC42"/>
    <mergeCell ref="AAM42:AAP42"/>
    <mergeCell ref="AAZ42:ABC42"/>
    <mergeCell ref="ABM42:ABP42"/>
    <mergeCell ref="XW42:XY42"/>
    <mergeCell ref="XZ42:YF42"/>
    <mergeCell ref="YK42:YM42"/>
    <mergeCell ref="YN42:YT42"/>
    <mergeCell ref="YY42:ZA42"/>
    <mergeCell ref="ZB42:ZH42"/>
    <mergeCell ref="WG42:WI42"/>
    <mergeCell ref="WJ42:WP42"/>
    <mergeCell ref="WU42:WW42"/>
    <mergeCell ref="WX42:XD42"/>
    <mergeCell ref="XI42:XK42"/>
    <mergeCell ref="XL42:XR42"/>
    <mergeCell ref="UQ42:US42"/>
    <mergeCell ref="UT42:UZ42"/>
    <mergeCell ref="VE42:VG42"/>
    <mergeCell ref="VH42:VN42"/>
    <mergeCell ref="VS42:VU42"/>
    <mergeCell ref="VV42:WB42"/>
    <mergeCell ref="TA42:TC42"/>
    <mergeCell ref="TD42:TJ42"/>
    <mergeCell ref="TO42:TQ42"/>
    <mergeCell ref="TR42:TX42"/>
    <mergeCell ref="UC42:UE42"/>
    <mergeCell ref="UF42:UL42"/>
    <mergeCell ref="RK42:RM42"/>
    <mergeCell ref="RN42:RT42"/>
    <mergeCell ref="RY42:SA42"/>
    <mergeCell ref="SB42:SH42"/>
    <mergeCell ref="SM42:SO42"/>
    <mergeCell ref="SP42:SV42"/>
    <mergeCell ref="PU42:PW42"/>
    <mergeCell ref="PX42:QD42"/>
    <mergeCell ref="QI42:QK42"/>
    <mergeCell ref="QL42:QR42"/>
    <mergeCell ref="QW42:QY42"/>
    <mergeCell ref="QZ42:RF42"/>
    <mergeCell ref="OE42:OG42"/>
    <mergeCell ref="OH42:ON42"/>
    <mergeCell ref="OS42:OU42"/>
    <mergeCell ref="OV42:PB42"/>
    <mergeCell ref="PG42:PI42"/>
    <mergeCell ref="PJ42:PP42"/>
    <mergeCell ref="MO42:MQ42"/>
    <mergeCell ref="MR42:MX42"/>
    <mergeCell ref="NC42:NE42"/>
    <mergeCell ref="NF42:NL42"/>
    <mergeCell ref="NQ42:NS42"/>
    <mergeCell ref="NT42:NZ42"/>
    <mergeCell ref="KY42:LA42"/>
    <mergeCell ref="LB42:LH42"/>
    <mergeCell ref="LM42:LO42"/>
    <mergeCell ref="LP42:LV42"/>
    <mergeCell ref="MA42:MC42"/>
    <mergeCell ref="MD42:MJ42"/>
    <mergeCell ref="JI42:JK42"/>
    <mergeCell ref="JL42:JR42"/>
    <mergeCell ref="JW42:JY42"/>
    <mergeCell ref="JZ42:KF42"/>
    <mergeCell ref="KK42:KM42"/>
    <mergeCell ref="KN42:KT42"/>
    <mergeCell ref="HS42:HU42"/>
    <mergeCell ref="HV42:IB42"/>
    <mergeCell ref="IG42:II42"/>
    <mergeCell ref="IJ42:IP42"/>
    <mergeCell ref="IU42:IW42"/>
    <mergeCell ref="IX42:JD42"/>
    <mergeCell ref="GC42:GE42"/>
    <mergeCell ref="GF42:GL42"/>
    <mergeCell ref="GQ42:GS42"/>
    <mergeCell ref="GT42:GZ42"/>
    <mergeCell ref="HE42:HG42"/>
    <mergeCell ref="HH42:HN42"/>
    <mergeCell ref="EM42:EO42"/>
    <mergeCell ref="EP42:EV42"/>
    <mergeCell ref="FA42:FC42"/>
    <mergeCell ref="FD42:FJ42"/>
    <mergeCell ref="FO42:FQ42"/>
    <mergeCell ref="FR42:FX42"/>
    <mergeCell ref="CW42:CY42"/>
    <mergeCell ref="CZ42:DF42"/>
    <mergeCell ref="DK42:DM42"/>
    <mergeCell ref="DN42:DT42"/>
    <mergeCell ref="DY42:EA42"/>
    <mergeCell ref="EB42:EH42"/>
    <mergeCell ref="BG42:BI42"/>
    <mergeCell ref="BJ42:BP42"/>
    <mergeCell ref="BU42:BW42"/>
    <mergeCell ref="BX42:CD42"/>
    <mergeCell ref="CI42:CK42"/>
    <mergeCell ref="CL42:CR42"/>
    <mergeCell ref="CVJ41:CVM41"/>
    <mergeCell ref="CVV41:CVY41"/>
    <mergeCell ref="C42:E42"/>
    <mergeCell ref="F42:L42"/>
    <mergeCell ref="Q42:S42"/>
    <mergeCell ref="T42:Z42"/>
    <mergeCell ref="AE42:AG42"/>
    <mergeCell ref="AH42:AN42"/>
    <mergeCell ref="AS42:AU42"/>
    <mergeCell ref="AV42:BB42"/>
    <mergeCell ref="CSP41:CSS41"/>
    <mergeCell ref="CTB41:CTE41"/>
    <mergeCell ref="CTN41:CTQ41"/>
    <mergeCell ref="CTZ41:CUC41"/>
    <mergeCell ref="CUL41:CUO41"/>
    <mergeCell ref="CUX41:CVA41"/>
    <mergeCell ref="CPV41:CPY41"/>
    <mergeCell ref="CQH41:CQK41"/>
    <mergeCell ref="CQT41:CQW41"/>
    <mergeCell ref="CRF41:CRI41"/>
    <mergeCell ref="CRR41:CRU41"/>
    <mergeCell ref="CSD41:CSG41"/>
    <mergeCell ref="CNB41:CNE41"/>
    <mergeCell ref="CNN41:CNQ41"/>
    <mergeCell ref="CNZ41:COC41"/>
    <mergeCell ref="COL41:COO41"/>
    <mergeCell ref="COX41:CPA41"/>
    <mergeCell ref="CPJ41:CPM41"/>
    <mergeCell ref="CKH41:CKK41"/>
    <mergeCell ref="CKT41:CKW41"/>
    <mergeCell ref="CLF41:CLI41"/>
    <mergeCell ref="CLR41:CLU41"/>
    <mergeCell ref="CMD41:CMG41"/>
    <mergeCell ref="CMP41:CMS41"/>
    <mergeCell ref="CHN41:CHQ41"/>
    <mergeCell ref="CHZ41:CIC41"/>
    <mergeCell ref="CIL41:CIO41"/>
    <mergeCell ref="CIX41:CJA41"/>
    <mergeCell ref="CJJ41:CJM41"/>
    <mergeCell ref="CJV41:CJY41"/>
    <mergeCell ref="CET41:CEW41"/>
    <mergeCell ref="CFF41:CFI41"/>
    <mergeCell ref="CFR41:CFU41"/>
    <mergeCell ref="CGD41:CGG41"/>
    <mergeCell ref="CGP41:CGS41"/>
    <mergeCell ref="CHB41:CHE41"/>
    <mergeCell ref="CBZ41:CCC41"/>
    <mergeCell ref="CCL41:CCO41"/>
    <mergeCell ref="CCX41:CDA41"/>
    <mergeCell ref="CDJ41:CDM41"/>
    <mergeCell ref="CDV41:CDY41"/>
    <mergeCell ref="CEH41:CEK41"/>
    <mergeCell ref="BZF41:BZI41"/>
    <mergeCell ref="BZR41:BZU41"/>
    <mergeCell ref="CAD41:CAG41"/>
    <mergeCell ref="CAP41:CAS41"/>
    <mergeCell ref="CBB41:CBE41"/>
    <mergeCell ref="CBN41:CBQ41"/>
    <mergeCell ref="BWL41:BWO41"/>
    <mergeCell ref="BWX41:BXA41"/>
    <mergeCell ref="BXJ41:BXM41"/>
    <mergeCell ref="BXV41:BXY41"/>
    <mergeCell ref="BYH41:BYK41"/>
    <mergeCell ref="BYT41:BYW41"/>
    <mergeCell ref="BTR41:BTU41"/>
    <mergeCell ref="BUD41:BUG41"/>
    <mergeCell ref="BUP41:BUS41"/>
    <mergeCell ref="BVB41:BVE41"/>
    <mergeCell ref="BVN41:BVQ41"/>
    <mergeCell ref="BVZ41:BWC41"/>
    <mergeCell ref="BQX41:BRA41"/>
    <mergeCell ref="BRJ41:BRM41"/>
    <mergeCell ref="BRV41:BRY41"/>
    <mergeCell ref="BSH41:BSK41"/>
    <mergeCell ref="BST41:BSW41"/>
    <mergeCell ref="BTF41:BTI41"/>
    <mergeCell ref="BOD41:BOG41"/>
    <mergeCell ref="BOP41:BOS41"/>
    <mergeCell ref="BPB41:BPE41"/>
    <mergeCell ref="BPN41:BPQ41"/>
    <mergeCell ref="BPZ41:BQC41"/>
    <mergeCell ref="BQL41:BQO41"/>
    <mergeCell ref="BLJ41:BLM41"/>
    <mergeCell ref="BLV41:BLY41"/>
    <mergeCell ref="BMH41:BMK41"/>
    <mergeCell ref="BMT41:BMW41"/>
    <mergeCell ref="BNF41:BNI41"/>
    <mergeCell ref="BNR41:BNU41"/>
    <mergeCell ref="BIP41:BIS41"/>
    <mergeCell ref="BJB41:BJE41"/>
    <mergeCell ref="BJN41:BJQ41"/>
    <mergeCell ref="BJZ41:BKC41"/>
    <mergeCell ref="BKL41:BKO41"/>
    <mergeCell ref="BKX41:BLA41"/>
    <mergeCell ref="BFV41:BFY41"/>
    <mergeCell ref="BGH41:BGK41"/>
    <mergeCell ref="BGT41:BGW41"/>
    <mergeCell ref="BHF41:BHI41"/>
    <mergeCell ref="BHR41:BHU41"/>
    <mergeCell ref="BID41:BIG41"/>
    <mergeCell ref="BDB41:BDE41"/>
    <mergeCell ref="BDN41:BDQ41"/>
    <mergeCell ref="BDZ41:BEC41"/>
    <mergeCell ref="BEL41:BEO41"/>
    <mergeCell ref="BEX41:BFA41"/>
    <mergeCell ref="BFJ41:BFM41"/>
    <mergeCell ref="BAH41:BAK41"/>
    <mergeCell ref="BAT41:BAW41"/>
    <mergeCell ref="BBF41:BBI41"/>
    <mergeCell ref="BBR41:BBU41"/>
    <mergeCell ref="BCD41:BCG41"/>
    <mergeCell ref="BCP41:BCS41"/>
    <mergeCell ref="AXN41:AXQ41"/>
    <mergeCell ref="AXZ41:AYC41"/>
    <mergeCell ref="AYL41:AYO41"/>
    <mergeCell ref="AYX41:AZA41"/>
    <mergeCell ref="AZJ41:AZM41"/>
    <mergeCell ref="AZV41:AZY41"/>
    <mergeCell ref="AUT41:AUW41"/>
    <mergeCell ref="AVF41:AVI41"/>
    <mergeCell ref="AVR41:AVU41"/>
    <mergeCell ref="AWD41:AWG41"/>
    <mergeCell ref="AWP41:AWS41"/>
    <mergeCell ref="AXB41:AXE41"/>
    <mergeCell ref="ARZ41:ASC41"/>
    <mergeCell ref="ASL41:ASO41"/>
    <mergeCell ref="ASX41:ATA41"/>
    <mergeCell ref="ATJ41:ATM41"/>
    <mergeCell ref="ATV41:ATY41"/>
    <mergeCell ref="AUH41:AUK41"/>
    <mergeCell ref="APF41:API41"/>
    <mergeCell ref="APR41:APU41"/>
    <mergeCell ref="AQD41:AQG41"/>
    <mergeCell ref="AQP41:AQS41"/>
    <mergeCell ref="ARB41:ARE41"/>
    <mergeCell ref="ARN41:ARQ41"/>
    <mergeCell ref="AML41:AMO41"/>
    <mergeCell ref="AMX41:ANA41"/>
    <mergeCell ref="ANJ41:ANM41"/>
    <mergeCell ref="ANV41:ANY41"/>
    <mergeCell ref="AOH41:AOK41"/>
    <mergeCell ref="AOT41:AOW41"/>
    <mergeCell ref="AJR41:AJU41"/>
    <mergeCell ref="AKD41:AKG41"/>
    <mergeCell ref="AKP41:AKS41"/>
    <mergeCell ref="ALB41:ALE41"/>
    <mergeCell ref="ALN41:ALQ41"/>
    <mergeCell ref="ALZ41:AMC41"/>
    <mergeCell ref="AGX41:AHA41"/>
    <mergeCell ref="AHJ41:AHM41"/>
    <mergeCell ref="AHV41:AHY41"/>
    <mergeCell ref="AIH41:AIK41"/>
    <mergeCell ref="AIT41:AIW41"/>
    <mergeCell ref="AJF41:AJI41"/>
    <mergeCell ref="ADZ41:AEC41"/>
    <mergeCell ref="AEM41:AEP41"/>
    <mergeCell ref="AEZ41:AFC41"/>
    <mergeCell ref="AFM41:AFP41"/>
    <mergeCell ref="AFZ41:AGC41"/>
    <mergeCell ref="AGL41:AGO41"/>
    <mergeCell ref="AAZ41:ABC41"/>
    <mergeCell ref="ABM41:ABP41"/>
    <mergeCell ref="ABZ41:ACC41"/>
    <mergeCell ref="ACM41:ACP41"/>
    <mergeCell ref="ACZ41:ADC41"/>
    <mergeCell ref="ADM41:ADP41"/>
    <mergeCell ref="ZG41:ZH41"/>
    <mergeCell ref="ZM41:ZO41"/>
    <mergeCell ref="ZP41:ZT41"/>
    <mergeCell ref="ZU41:ZV41"/>
    <mergeCell ref="ZZ41:AAC41"/>
    <mergeCell ref="AAM41:AAP41"/>
    <mergeCell ref="YE41:YF41"/>
    <mergeCell ref="YK41:YM41"/>
    <mergeCell ref="YN41:YR41"/>
    <mergeCell ref="YS41:YT41"/>
    <mergeCell ref="YY41:ZA41"/>
    <mergeCell ref="ZB41:ZF41"/>
    <mergeCell ref="XC41:XD41"/>
    <mergeCell ref="XI41:XK41"/>
    <mergeCell ref="XL41:XP41"/>
    <mergeCell ref="XQ41:XR41"/>
    <mergeCell ref="XW41:XY41"/>
    <mergeCell ref="XZ41:YD41"/>
    <mergeCell ref="WA41:WB41"/>
    <mergeCell ref="WG41:WI41"/>
    <mergeCell ref="WJ41:WN41"/>
    <mergeCell ref="WO41:WP41"/>
    <mergeCell ref="WU41:WW41"/>
    <mergeCell ref="WX41:XB41"/>
    <mergeCell ref="UY41:UZ41"/>
    <mergeCell ref="VE41:VG41"/>
    <mergeCell ref="VH41:VL41"/>
    <mergeCell ref="VM41:VN41"/>
    <mergeCell ref="VS41:VU41"/>
    <mergeCell ref="VV41:VZ41"/>
    <mergeCell ref="TW41:TX41"/>
    <mergeCell ref="UC41:UE41"/>
    <mergeCell ref="UF41:UJ41"/>
    <mergeCell ref="UK41:UL41"/>
    <mergeCell ref="UQ41:US41"/>
    <mergeCell ref="UT41:UX41"/>
    <mergeCell ref="SU41:SV41"/>
    <mergeCell ref="TA41:TC41"/>
    <mergeCell ref="TD41:TH41"/>
    <mergeCell ref="TI41:TJ41"/>
    <mergeCell ref="TO41:TQ41"/>
    <mergeCell ref="TR41:TV41"/>
    <mergeCell ref="RS41:RT41"/>
    <mergeCell ref="RY41:SA41"/>
    <mergeCell ref="SB41:SF41"/>
    <mergeCell ref="SG41:SH41"/>
    <mergeCell ref="SM41:SO41"/>
    <mergeCell ref="SP41:ST41"/>
    <mergeCell ref="QQ41:QR41"/>
    <mergeCell ref="QW41:QY41"/>
    <mergeCell ref="QZ41:RD41"/>
    <mergeCell ref="RE41:RF41"/>
    <mergeCell ref="RK41:RM41"/>
    <mergeCell ref="RN41:RR41"/>
    <mergeCell ref="PO41:PP41"/>
    <mergeCell ref="PU41:PW41"/>
    <mergeCell ref="PX41:QB41"/>
    <mergeCell ref="QC41:QD41"/>
    <mergeCell ref="QI41:QK41"/>
    <mergeCell ref="QL41:QP41"/>
    <mergeCell ref="OM41:ON41"/>
    <mergeCell ref="OS41:OU41"/>
    <mergeCell ref="OV41:OZ41"/>
    <mergeCell ref="PA41:PB41"/>
    <mergeCell ref="PG41:PI41"/>
    <mergeCell ref="PJ41:PN41"/>
    <mergeCell ref="NK41:NL41"/>
    <mergeCell ref="NQ41:NS41"/>
    <mergeCell ref="NT41:NX41"/>
    <mergeCell ref="NY41:NZ41"/>
    <mergeCell ref="OE41:OG41"/>
    <mergeCell ref="OH41:OL41"/>
    <mergeCell ref="MI41:MJ41"/>
    <mergeCell ref="MO41:MQ41"/>
    <mergeCell ref="MR41:MV41"/>
    <mergeCell ref="MW41:MX41"/>
    <mergeCell ref="NC41:NE41"/>
    <mergeCell ref="NF41:NJ41"/>
    <mergeCell ref="LG41:LH41"/>
    <mergeCell ref="LM41:LO41"/>
    <mergeCell ref="LP41:LT41"/>
    <mergeCell ref="LU41:LV41"/>
    <mergeCell ref="MA41:MC41"/>
    <mergeCell ref="MD41:MH41"/>
    <mergeCell ref="KE41:KF41"/>
    <mergeCell ref="KK41:KM41"/>
    <mergeCell ref="KN41:KR41"/>
    <mergeCell ref="KS41:KT41"/>
    <mergeCell ref="KY41:LA41"/>
    <mergeCell ref="LB41:LF41"/>
    <mergeCell ref="JC41:JD41"/>
    <mergeCell ref="JI41:JK41"/>
    <mergeCell ref="JL41:JP41"/>
    <mergeCell ref="JQ41:JR41"/>
    <mergeCell ref="JW41:JY41"/>
    <mergeCell ref="JZ41:KD41"/>
    <mergeCell ref="IA41:IB41"/>
    <mergeCell ref="IG41:II41"/>
    <mergeCell ref="IJ41:IN41"/>
    <mergeCell ref="IO41:IP41"/>
    <mergeCell ref="IU41:IW41"/>
    <mergeCell ref="IX41:JB41"/>
    <mergeCell ref="GY41:GZ41"/>
    <mergeCell ref="HE41:HG41"/>
    <mergeCell ref="HH41:HL41"/>
    <mergeCell ref="HM41:HN41"/>
    <mergeCell ref="HS41:HU41"/>
    <mergeCell ref="HV41:HZ41"/>
    <mergeCell ref="FW41:FX41"/>
    <mergeCell ref="GC41:GE41"/>
    <mergeCell ref="GF41:GJ41"/>
    <mergeCell ref="GK41:GL41"/>
    <mergeCell ref="GQ41:GS41"/>
    <mergeCell ref="GT41:GX41"/>
    <mergeCell ref="EU41:EV41"/>
    <mergeCell ref="FA41:FC41"/>
    <mergeCell ref="FD41:FH41"/>
    <mergeCell ref="FI41:FJ41"/>
    <mergeCell ref="FO41:FQ41"/>
    <mergeCell ref="FR41:FV41"/>
    <mergeCell ref="DS41:DT41"/>
    <mergeCell ref="DY41:EA41"/>
    <mergeCell ref="EB41:EF41"/>
    <mergeCell ref="EG41:EH41"/>
    <mergeCell ref="EM41:EO41"/>
    <mergeCell ref="EP41:ET41"/>
    <mergeCell ref="CQ41:CR41"/>
    <mergeCell ref="CW41:CY41"/>
    <mergeCell ref="CZ41:DD41"/>
    <mergeCell ref="DE41:DF41"/>
    <mergeCell ref="DK41:DM41"/>
    <mergeCell ref="DN41:DR41"/>
    <mergeCell ref="BO41:BP41"/>
    <mergeCell ref="BU41:BW41"/>
    <mergeCell ref="BX41:CB41"/>
    <mergeCell ref="CC41:CD41"/>
    <mergeCell ref="CI41:CK41"/>
    <mergeCell ref="CL41:CP41"/>
    <mergeCell ref="AM41:AN41"/>
    <mergeCell ref="AS41:AU41"/>
    <mergeCell ref="AV41:AZ41"/>
    <mergeCell ref="BA41:BB41"/>
    <mergeCell ref="BG41:BI41"/>
    <mergeCell ref="BJ41:BN41"/>
    <mergeCell ref="CVV40:CVY40"/>
    <mergeCell ref="CWC40:CWE40"/>
    <mergeCell ref="C41:E41"/>
    <mergeCell ref="F41:J41"/>
    <mergeCell ref="K41:L41"/>
    <mergeCell ref="Q41:S41"/>
    <mergeCell ref="T41:X41"/>
    <mergeCell ref="Y41:Z41"/>
    <mergeCell ref="AE41:AG41"/>
    <mergeCell ref="AH41:AL41"/>
    <mergeCell ref="CUL40:CUO40"/>
    <mergeCell ref="CUS40:CUU40"/>
    <mergeCell ref="CUX40:CVA40"/>
    <mergeCell ref="CVE40:CVG40"/>
    <mergeCell ref="CVJ40:CVM40"/>
    <mergeCell ref="CVQ40:CVS40"/>
    <mergeCell ref="CTB40:CTE40"/>
    <mergeCell ref="CTI40:CTK40"/>
    <mergeCell ref="CTN40:CTQ40"/>
    <mergeCell ref="CTU40:CTW40"/>
    <mergeCell ref="CTZ40:CUC40"/>
    <mergeCell ref="CUG40:CUI40"/>
    <mergeCell ref="CRR40:CRU40"/>
    <mergeCell ref="CRY40:CSA40"/>
    <mergeCell ref="CSD40:CSG40"/>
    <mergeCell ref="CSK40:CSM40"/>
    <mergeCell ref="CSP40:CSS40"/>
    <mergeCell ref="CSW40:CSY40"/>
    <mergeCell ref="CQH40:CQK40"/>
    <mergeCell ref="CQO40:CQQ40"/>
    <mergeCell ref="CQT40:CQW40"/>
    <mergeCell ref="CRA40:CRC40"/>
    <mergeCell ref="CRF40:CRI40"/>
    <mergeCell ref="CRM40:CRO40"/>
    <mergeCell ref="COX40:CPA40"/>
    <mergeCell ref="CPE40:CPG40"/>
    <mergeCell ref="CPJ40:CPM40"/>
    <mergeCell ref="CPQ40:CPS40"/>
    <mergeCell ref="CPV40:CPY40"/>
    <mergeCell ref="CQC40:CQE40"/>
    <mergeCell ref="CNN40:CNQ40"/>
    <mergeCell ref="CNU40:CNW40"/>
    <mergeCell ref="CNZ40:COC40"/>
    <mergeCell ref="COG40:COI40"/>
    <mergeCell ref="COL40:COO40"/>
    <mergeCell ref="COS40:COU40"/>
    <mergeCell ref="CMD40:CMG40"/>
    <mergeCell ref="CMK40:CMM40"/>
    <mergeCell ref="CMP40:CMS40"/>
    <mergeCell ref="CMW40:CMY40"/>
    <mergeCell ref="CNB40:CNE40"/>
    <mergeCell ref="CNI40:CNK40"/>
    <mergeCell ref="CKT40:CKW40"/>
    <mergeCell ref="CLA40:CLC40"/>
    <mergeCell ref="CLF40:CLI40"/>
    <mergeCell ref="CLM40:CLO40"/>
    <mergeCell ref="CLR40:CLU40"/>
    <mergeCell ref="CLY40:CMA40"/>
    <mergeCell ref="CJJ40:CJM40"/>
    <mergeCell ref="CJQ40:CJS40"/>
    <mergeCell ref="CJV40:CJY40"/>
    <mergeCell ref="CKC40:CKE40"/>
    <mergeCell ref="CKH40:CKK40"/>
    <mergeCell ref="CKO40:CKQ40"/>
    <mergeCell ref="CHZ40:CIC40"/>
    <mergeCell ref="CIG40:CII40"/>
    <mergeCell ref="CIL40:CIO40"/>
    <mergeCell ref="CIS40:CIU40"/>
    <mergeCell ref="CIX40:CJA40"/>
    <mergeCell ref="CJE40:CJG40"/>
    <mergeCell ref="CGP40:CGS40"/>
    <mergeCell ref="CGW40:CGY40"/>
    <mergeCell ref="CHB40:CHE40"/>
    <mergeCell ref="CHI40:CHK40"/>
    <mergeCell ref="CHN40:CHQ40"/>
    <mergeCell ref="CHU40:CHW40"/>
    <mergeCell ref="CFF40:CFI40"/>
    <mergeCell ref="CFM40:CFO40"/>
    <mergeCell ref="CFR40:CFU40"/>
    <mergeCell ref="CFY40:CGA40"/>
    <mergeCell ref="CGD40:CGG40"/>
    <mergeCell ref="CGK40:CGM40"/>
    <mergeCell ref="CDV40:CDY40"/>
    <mergeCell ref="CEC40:CEE40"/>
    <mergeCell ref="CEH40:CEK40"/>
    <mergeCell ref="CEO40:CEQ40"/>
    <mergeCell ref="CET40:CEW40"/>
    <mergeCell ref="CFA40:CFC40"/>
    <mergeCell ref="CCL40:CCO40"/>
    <mergeCell ref="CCS40:CCU40"/>
    <mergeCell ref="CCX40:CDA40"/>
    <mergeCell ref="CDE40:CDG40"/>
    <mergeCell ref="CDJ40:CDM40"/>
    <mergeCell ref="CDQ40:CDS40"/>
    <mergeCell ref="CBB40:CBE40"/>
    <mergeCell ref="CBI40:CBK40"/>
    <mergeCell ref="CBN40:CBQ40"/>
    <mergeCell ref="CBU40:CBW40"/>
    <mergeCell ref="CBZ40:CCC40"/>
    <mergeCell ref="CCG40:CCI40"/>
    <mergeCell ref="BZR40:BZU40"/>
    <mergeCell ref="BZY40:CAA40"/>
    <mergeCell ref="CAD40:CAG40"/>
    <mergeCell ref="CAK40:CAM40"/>
    <mergeCell ref="CAP40:CAS40"/>
    <mergeCell ref="CAW40:CAY40"/>
    <mergeCell ref="BYH40:BYK40"/>
    <mergeCell ref="BYO40:BYQ40"/>
    <mergeCell ref="BYT40:BYW40"/>
    <mergeCell ref="BZA40:BZC40"/>
    <mergeCell ref="BZF40:BZI40"/>
    <mergeCell ref="BZM40:BZO40"/>
    <mergeCell ref="BWX40:BXA40"/>
    <mergeCell ref="BXE40:BXG40"/>
    <mergeCell ref="BXJ40:BXM40"/>
    <mergeCell ref="BXQ40:BXS40"/>
    <mergeCell ref="BXV40:BXY40"/>
    <mergeCell ref="BYC40:BYE40"/>
    <mergeCell ref="BVN40:BVQ40"/>
    <mergeCell ref="BVU40:BVW40"/>
    <mergeCell ref="BVZ40:BWC40"/>
    <mergeCell ref="BWG40:BWI40"/>
    <mergeCell ref="BWL40:BWO40"/>
    <mergeCell ref="BWS40:BWU40"/>
    <mergeCell ref="BUD40:BUG40"/>
    <mergeCell ref="BUK40:BUM40"/>
    <mergeCell ref="BUP40:BUS40"/>
    <mergeCell ref="BUW40:BUY40"/>
    <mergeCell ref="BVB40:BVE40"/>
    <mergeCell ref="BVI40:BVK40"/>
    <mergeCell ref="BST40:BSW40"/>
    <mergeCell ref="BTA40:BTC40"/>
    <mergeCell ref="BTF40:BTI40"/>
    <mergeCell ref="BTM40:BTO40"/>
    <mergeCell ref="BTR40:BTU40"/>
    <mergeCell ref="BTY40:BUA40"/>
    <mergeCell ref="BRJ40:BRM40"/>
    <mergeCell ref="BRQ40:BRS40"/>
    <mergeCell ref="BRV40:BRY40"/>
    <mergeCell ref="BSC40:BSE40"/>
    <mergeCell ref="BSH40:BSK40"/>
    <mergeCell ref="BSO40:BSQ40"/>
    <mergeCell ref="BPZ40:BQC40"/>
    <mergeCell ref="BQG40:BQI40"/>
    <mergeCell ref="BQL40:BQO40"/>
    <mergeCell ref="BQS40:BQU40"/>
    <mergeCell ref="BQX40:BRA40"/>
    <mergeCell ref="BRE40:BRG40"/>
    <mergeCell ref="BOP40:BOS40"/>
    <mergeCell ref="BOW40:BOY40"/>
    <mergeCell ref="BPB40:BPE40"/>
    <mergeCell ref="BPI40:BPK40"/>
    <mergeCell ref="BPN40:BPQ40"/>
    <mergeCell ref="BPU40:BPW40"/>
    <mergeCell ref="BNF40:BNI40"/>
    <mergeCell ref="BNM40:BNO40"/>
    <mergeCell ref="BNR40:BNU40"/>
    <mergeCell ref="BNY40:BOA40"/>
    <mergeCell ref="BOD40:BOG40"/>
    <mergeCell ref="BOK40:BOM40"/>
    <mergeCell ref="BLV40:BLY40"/>
    <mergeCell ref="BMC40:BME40"/>
    <mergeCell ref="BMH40:BMK40"/>
    <mergeCell ref="BMO40:BMQ40"/>
    <mergeCell ref="BMT40:BMW40"/>
    <mergeCell ref="BNA40:BNC40"/>
    <mergeCell ref="BKL40:BKO40"/>
    <mergeCell ref="BKS40:BKU40"/>
    <mergeCell ref="BKX40:BLA40"/>
    <mergeCell ref="BLE40:BLG40"/>
    <mergeCell ref="BLJ40:BLM40"/>
    <mergeCell ref="BLQ40:BLS40"/>
    <mergeCell ref="BJB40:BJE40"/>
    <mergeCell ref="BJI40:BJK40"/>
    <mergeCell ref="BJN40:BJQ40"/>
    <mergeCell ref="BJU40:BJW40"/>
    <mergeCell ref="BJZ40:BKC40"/>
    <mergeCell ref="BKG40:BKI40"/>
    <mergeCell ref="BHR40:BHU40"/>
    <mergeCell ref="BHY40:BIA40"/>
    <mergeCell ref="BID40:BIG40"/>
    <mergeCell ref="BIK40:BIM40"/>
    <mergeCell ref="BIP40:BIS40"/>
    <mergeCell ref="BIW40:BIY40"/>
    <mergeCell ref="BGH40:BGK40"/>
    <mergeCell ref="BGO40:BGQ40"/>
    <mergeCell ref="BGT40:BGW40"/>
    <mergeCell ref="BHA40:BHC40"/>
    <mergeCell ref="BHF40:BHI40"/>
    <mergeCell ref="BHM40:BHO40"/>
    <mergeCell ref="BEX40:BFA40"/>
    <mergeCell ref="BFE40:BFG40"/>
    <mergeCell ref="BFJ40:BFM40"/>
    <mergeCell ref="BFQ40:BFS40"/>
    <mergeCell ref="BFV40:BFY40"/>
    <mergeCell ref="BGC40:BGE40"/>
    <mergeCell ref="BDN40:BDQ40"/>
    <mergeCell ref="BDU40:BDW40"/>
    <mergeCell ref="BDZ40:BEC40"/>
    <mergeCell ref="BEG40:BEI40"/>
    <mergeCell ref="BEL40:BEO40"/>
    <mergeCell ref="BES40:BEU40"/>
    <mergeCell ref="BCD40:BCG40"/>
    <mergeCell ref="BCK40:BCM40"/>
    <mergeCell ref="BCP40:BCS40"/>
    <mergeCell ref="BCW40:BCY40"/>
    <mergeCell ref="BDB40:BDE40"/>
    <mergeCell ref="BDI40:BDK40"/>
    <mergeCell ref="BAT40:BAW40"/>
    <mergeCell ref="BBA40:BBC40"/>
    <mergeCell ref="BBF40:BBI40"/>
    <mergeCell ref="BBM40:BBO40"/>
    <mergeCell ref="BBR40:BBU40"/>
    <mergeCell ref="BBY40:BCA40"/>
    <mergeCell ref="AZJ40:AZM40"/>
    <mergeCell ref="AZQ40:AZS40"/>
    <mergeCell ref="AZV40:AZY40"/>
    <mergeCell ref="BAC40:BAE40"/>
    <mergeCell ref="BAH40:BAK40"/>
    <mergeCell ref="BAO40:BAQ40"/>
    <mergeCell ref="AXZ40:AYC40"/>
    <mergeCell ref="AYG40:AYI40"/>
    <mergeCell ref="AYL40:AYO40"/>
    <mergeCell ref="AYS40:AYU40"/>
    <mergeCell ref="AYX40:AZA40"/>
    <mergeCell ref="AZE40:AZG40"/>
    <mergeCell ref="AWP40:AWS40"/>
    <mergeCell ref="AWW40:AWY40"/>
    <mergeCell ref="AXB40:AXE40"/>
    <mergeCell ref="AXI40:AXK40"/>
    <mergeCell ref="AXN40:AXQ40"/>
    <mergeCell ref="AXU40:AXW40"/>
    <mergeCell ref="AVF40:AVI40"/>
    <mergeCell ref="AVM40:AVO40"/>
    <mergeCell ref="AVR40:AVU40"/>
    <mergeCell ref="AVY40:AWA40"/>
    <mergeCell ref="AWD40:AWG40"/>
    <mergeCell ref="AWK40:AWM40"/>
    <mergeCell ref="ATV40:ATY40"/>
    <mergeCell ref="AUC40:AUE40"/>
    <mergeCell ref="AUH40:AUK40"/>
    <mergeCell ref="AUO40:AUQ40"/>
    <mergeCell ref="AUT40:AUW40"/>
    <mergeCell ref="AVA40:AVC40"/>
    <mergeCell ref="ASL40:ASO40"/>
    <mergeCell ref="ASS40:ASU40"/>
    <mergeCell ref="ASX40:ATA40"/>
    <mergeCell ref="ATE40:ATG40"/>
    <mergeCell ref="ATJ40:ATM40"/>
    <mergeCell ref="ATQ40:ATS40"/>
    <mergeCell ref="ARB40:ARE40"/>
    <mergeCell ref="ARI40:ARK40"/>
    <mergeCell ref="ARN40:ARQ40"/>
    <mergeCell ref="ARU40:ARW40"/>
    <mergeCell ref="ARZ40:ASC40"/>
    <mergeCell ref="ASG40:ASI40"/>
    <mergeCell ref="APR40:APU40"/>
    <mergeCell ref="APY40:AQA40"/>
    <mergeCell ref="AQD40:AQG40"/>
    <mergeCell ref="AQK40:AQM40"/>
    <mergeCell ref="AQP40:AQS40"/>
    <mergeCell ref="AQW40:AQY40"/>
    <mergeCell ref="AOH40:AOK40"/>
    <mergeCell ref="AOO40:AOQ40"/>
    <mergeCell ref="AOT40:AOW40"/>
    <mergeCell ref="APA40:APC40"/>
    <mergeCell ref="APF40:API40"/>
    <mergeCell ref="APM40:APO40"/>
    <mergeCell ref="AMX40:ANA40"/>
    <mergeCell ref="ANE40:ANG40"/>
    <mergeCell ref="ANJ40:ANM40"/>
    <mergeCell ref="ANQ40:ANS40"/>
    <mergeCell ref="ANV40:ANY40"/>
    <mergeCell ref="AOC40:AOE40"/>
    <mergeCell ref="ALN40:ALQ40"/>
    <mergeCell ref="ALU40:ALW40"/>
    <mergeCell ref="ALZ40:AMC40"/>
    <mergeCell ref="AMG40:AMI40"/>
    <mergeCell ref="AML40:AMO40"/>
    <mergeCell ref="AMS40:AMU40"/>
    <mergeCell ref="AKD40:AKG40"/>
    <mergeCell ref="AKK40:AKM40"/>
    <mergeCell ref="AKP40:AKS40"/>
    <mergeCell ref="AKW40:AKY40"/>
    <mergeCell ref="ALB40:ALE40"/>
    <mergeCell ref="ALI40:ALK40"/>
    <mergeCell ref="AIT40:AIW40"/>
    <mergeCell ref="AJA40:AJC40"/>
    <mergeCell ref="AJF40:AJI40"/>
    <mergeCell ref="AJM40:AJO40"/>
    <mergeCell ref="AJR40:AJU40"/>
    <mergeCell ref="AJY40:AKA40"/>
    <mergeCell ref="AHJ40:AHM40"/>
    <mergeCell ref="AHQ40:AHS40"/>
    <mergeCell ref="AHV40:AHY40"/>
    <mergeCell ref="AIC40:AIE40"/>
    <mergeCell ref="AIH40:AIK40"/>
    <mergeCell ref="AIO40:AIQ40"/>
    <mergeCell ref="AFZ40:AGC40"/>
    <mergeCell ref="AGG40:AGI40"/>
    <mergeCell ref="AGL40:AGO40"/>
    <mergeCell ref="AGS40:AGU40"/>
    <mergeCell ref="AGX40:AHA40"/>
    <mergeCell ref="AHE40:AHG40"/>
    <mergeCell ref="AEM40:AEP40"/>
    <mergeCell ref="AET40:AEV40"/>
    <mergeCell ref="AEZ40:AFC40"/>
    <mergeCell ref="AFG40:AFI40"/>
    <mergeCell ref="AFM40:AFP40"/>
    <mergeCell ref="AFT40:AFV40"/>
    <mergeCell ref="ACZ40:ADC40"/>
    <mergeCell ref="ADG40:ADI40"/>
    <mergeCell ref="ADM40:ADP40"/>
    <mergeCell ref="ADT40:ADV40"/>
    <mergeCell ref="ADZ40:AEC40"/>
    <mergeCell ref="AEG40:AEI40"/>
    <mergeCell ref="ABM40:ABP40"/>
    <mergeCell ref="ABT40:ABV40"/>
    <mergeCell ref="ABZ40:ACC40"/>
    <mergeCell ref="ACG40:ACI40"/>
    <mergeCell ref="ACM40:ACP40"/>
    <mergeCell ref="ACT40:ACV40"/>
    <mergeCell ref="CUL39:CUO39"/>
    <mergeCell ref="CUX39:CVA39"/>
    <mergeCell ref="CVJ39:CVM39"/>
    <mergeCell ref="CVV39:CVY39"/>
    <mergeCell ref="ZZ40:AAC40"/>
    <mergeCell ref="AAG40:AAI40"/>
    <mergeCell ref="AAM40:AAP40"/>
    <mergeCell ref="AAT40:AAV40"/>
    <mergeCell ref="AAZ40:ABC40"/>
    <mergeCell ref="ABG40:ABI40"/>
    <mergeCell ref="CRR39:CRU39"/>
    <mergeCell ref="CSD39:CSG39"/>
    <mergeCell ref="CSP39:CSS39"/>
    <mergeCell ref="CTB39:CTE39"/>
    <mergeCell ref="CTN39:CTQ39"/>
    <mergeCell ref="CTZ39:CUC39"/>
    <mergeCell ref="COX39:CPA39"/>
    <mergeCell ref="CPJ39:CPM39"/>
    <mergeCell ref="CPV39:CPY39"/>
    <mergeCell ref="CQH39:CQK39"/>
    <mergeCell ref="CQT39:CQW39"/>
    <mergeCell ref="CRF39:CRI39"/>
    <mergeCell ref="CMD39:CMG39"/>
    <mergeCell ref="CMP39:CMS39"/>
    <mergeCell ref="CNB39:CNE39"/>
    <mergeCell ref="CNN39:CNQ39"/>
    <mergeCell ref="CNZ39:COC39"/>
    <mergeCell ref="COL39:COO39"/>
    <mergeCell ref="CJJ39:CJM39"/>
    <mergeCell ref="CJV39:CJY39"/>
    <mergeCell ref="CKH39:CKK39"/>
    <mergeCell ref="CKT39:CKW39"/>
    <mergeCell ref="CLF39:CLI39"/>
    <mergeCell ref="CLR39:CLU39"/>
    <mergeCell ref="CGP39:CGS39"/>
    <mergeCell ref="CHB39:CHE39"/>
    <mergeCell ref="CHN39:CHQ39"/>
    <mergeCell ref="CHZ39:CIC39"/>
    <mergeCell ref="CIL39:CIO39"/>
    <mergeCell ref="CIX39:CJA39"/>
    <mergeCell ref="CDV39:CDY39"/>
    <mergeCell ref="CEH39:CEK39"/>
    <mergeCell ref="CET39:CEW39"/>
    <mergeCell ref="CFF39:CFI39"/>
    <mergeCell ref="CFR39:CFU39"/>
    <mergeCell ref="CGD39:CGG39"/>
    <mergeCell ref="CBB39:CBE39"/>
    <mergeCell ref="CBN39:CBQ39"/>
    <mergeCell ref="CBZ39:CCC39"/>
    <mergeCell ref="CCL39:CCO39"/>
    <mergeCell ref="CCX39:CDA39"/>
    <mergeCell ref="CDJ39:CDM39"/>
    <mergeCell ref="BYH39:BYK39"/>
    <mergeCell ref="BYT39:BYW39"/>
    <mergeCell ref="BZF39:BZI39"/>
    <mergeCell ref="BZR39:BZU39"/>
    <mergeCell ref="CAD39:CAG39"/>
    <mergeCell ref="CAP39:CAS39"/>
    <mergeCell ref="BVN39:BVQ39"/>
    <mergeCell ref="BVZ39:BWC39"/>
    <mergeCell ref="BWL39:BWO39"/>
    <mergeCell ref="BWX39:BXA39"/>
    <mergeCell ref="BXJ39:BXM39"/>
    <mergeCell ref="BXV39:BXY39"/>
    <mergeCell ref="BST39:BSW39"/>
    <mergeCell ref="BTF39:BTI39"/>
    <mergeCell ref="BTR39:BTU39"/>
    <mergeCell ref="BUD39:BUG39"/>
    <mergeCell ref="BUP39:BUS39"/>
    <mergeCell ref="BVB39:BVE39"/>
    <mergeCell ref="BPZ39:BQC39"/>
    <mergeCell ref="BQL39:BQO39"/>
    <mergeCell ref="BQX39:BRA39"/>
    <mergeCell ref="BRJ39:BRM39"/>
    <mergeCell ref="BRV39:BRY39"/>
    <mergeCell ref="BSH39:BSK39"/>
    <mergeCell ref="BNF39:BNI39"/>
    <mergeCell ref="BNR39:BNU39"/>
    <mergeCell ref="BOD39:BOG39"/>
    <mergeCell ref="BOP39:BOS39"/>
    <mergeCell ref="BPB39:BPE39"/>
    <mergeCell ref="BPN39:BPQ39"/>
    <mergeCell ref="BKL39:BKO39"/>
    <mergeCell ref="BKX39:BLA39"/>
    <mergeCell ref="BLJ39:BLM39"/>
    <mergeCell ref="BLV39:BLY39"/>
    <mergeCell ref="BMH39:BMK39"/>
    <mergeCell ref="BMT39:BMW39"/>
    <mergeCell ref="BHR39:BHU39"/>
    <mergeCell ref="BID39:BIG39"/>
    <mergeCell ref="BIP39:BIS39"/>
    <mergeCell ref="BJB39:BJE39"/>
    <mergeCell ref="BJN39:BJQ39"/>
    <mergeCell ref="BJZ39:BKC39"/>
    <mergeCell ref="BEX39:BFA39"/>
    <mergeCell ref="BFJ39:BFM39"/>
    <mergeCell ref="BFV39:BFY39"/>
    <mergeCell ref="BGH39:BGK39"/>
    <mergeCell ref="BGT39:BGW39"/>
    <mergeCell ref="BHF39:BHI39"/>
    <mergeCell ref="BCD39:BCG39"/>
    <mergeCell ref="BCP39:BCS39"/>
    <mergeCell ref="BDB39:BDE39"/>
    <mergeCell ref="BDN39:BDQ39"/>
    <mergeCell ref="BDZ39:BEC39"/>
    <mergeCell ref="BEL39:BEO39"/>
    <mergeCell ref="AZJ39:AZM39"/>
    <mergeCell ref="AZV39:AZY39"/>
    <mergeCell ref="BAH39:BAK39"/>
    <mergeCell ref="BAT39:BAW39"/>
    <mergeCell ref="BBF39:BBI39"/>
    <mergeCell ref="BBR39:BBU39"/>
    <mergeCell ref="AWP39:AWS39"/>
    <mergeCell ref="AXB39:AXE39"/>
    <mergeCell ref="AXN39:AXQ39"/>
    <mergeCell ref="AXZ39:AYC39"/>
    <mergeCell ref="AYL39:AYO39"/>
    <mergeCell ref="AYX39:AZA39"/>
    <mergeCell ref="ATV39:ATY39"/>
    <mergeCell ref="AUH39:AUK39"/>
    <mergeCell ref="AUT39:AUW39"/>
    <mergeCell ref="AVF39:AVI39"/>
    <mergeCell ref="AVR39:AVU39"/>
    <mergeCell ref="AWD39:AWG39"/>
    <mergeCell ref="ARB39:ARE39"/>
    <mergeCell ref="ARN39:ARQ39"/>
    <mergeCell ref="ARZ39:ASC39"/>
    <mergeCell ref="ASL39:ASO39"/>
    <mergeCell ref="ASX39:ATA39"/>
    <mergeCell ref="ATJ39:ATM39"/>
    <mergeCell ref="AOH39:AOK39"/>
    <mergeCell ref="AOT39:AOW39"/>
    <mergeCell ref="APF39:API39"/>
    <mergeCell ref="APR39:APU39"/>
    <mergeCell ref="AQD39:AQG39"/>
    <mergeCell ref="AQP39:AQS39"/>
    <mergeCell ref="ALN39:ALQ39"/>
    <mergeCell ref="ALZ39:AMC39"/>
    <mergeCell ref="AML39:AMO39"/>
    <mergeCell ref="AMX39:ANA39"/>
    <mergeCell ref="ANJ39:ANM39"/>
    <mergeCell ref="ANV39:ANY39"/>
    <mergeCell ref="AIT39:AIW39"/>
    <mergeCell ref="AJF39:AJI39"/>
    <mergeCell ref="AJR39:AJU39"/>
    <mergeCell ref="AKD39:AKG39"/>
    <mergeCell ref="AKP39:AKS39"/>
    <mergeCell ref="ALB39:ALE39"/>
    <mergeCell ref="AFZ39:AGC39"/>
    <mergeCell ref="AGL39:AGO39"/>
    <mergeCell ref="AGX39:AHA39"/>
    <mergeCell ref="AHJ39:AHM39"/>
    <mergeCell ref="AHV39:AHY39"/>
    <mergeCell ref="AIH39:AIK39"/>
    <mergeCell ref="ACZ39:ADC39"/>
    <mergeCell ref="ADM39:ADP39"/>
    <mergeCell ref="ADZ39:AEC39"/>
    <mergeCell ref="AEM39:AEP39"/>
    <mergeCell ref="AEZ39:AFC39"/>
    <mergeCell ref="AFM39:AFP39"/>
    <mergeCell ref="ZZ39:AAC39"/>
    <mergeCell ref="AAM39:AAP39"/>
    <mergeCell ref="AAZ39:ABC39"/>
    <mergeCell ref="ABM39:ABP39"/>
    <mergeCell ref="ABZ39:ACC39"/>
    <mergeCell ref="ACM39:ACP39"/>
    <mergeCell ref="CTN38:CTQ38"/>
    <mergeCell ref="CTZ38:CUC38"/>
    <mergeCell ref="CUL38:CUO38"/>
    <mergeCell ref="CUX38:CVA38"/>
    <mergeCell ref="CVJ38:CVM38"/>
    <mergeCell ref="CVV38:CVY38"/>
    <mergeCell ref="CQT38:CQW38"/>
    <mergeCell ref="CRF38:CRI38"/>
    <mergeCell ref="CRR38:CRU38"/>
    <mergeCell ref="CSD38:CSG38"/>
    <mergeCell ref="CSP38:CSS38"/>
    <mergeCell ref="CTB38:CTE38"/>
    <mergeCell ref="CNZ38:COC38"/>
    <mergeCell ref="COL38:COO38"/>
    <mergeCell ref="COX38:CPA38"/>
    <mergeCell ref="CPJ38:CPM38"/>
    <mergeCell ref="CPV38:CPY38"/>
    <mergeCell ref="CQH38:CQK38"/>
    <mergeCell ref="CLF38:CLI38"/>
    <mergeCell ref="CLR38:CLU38"/>
    <mergeCell ref="CMD38:CMG38"/>
    <mergeCell ref="CMP38:CMS38"/>
    <mergeCell ref="CNB38:CNE38"/>
    <mergeCell ref="CNN38:CNQ38"/>
    <mergeCell ref="CIL38:CIO38"/>
    <mergeCell ref="CIX38:CJA38"/>
    <mergeCell ref="CJJ38:CJM38"/>
    <mergeCell ref="CJV38:CJY38"/>
    <mergeCell ref="CKH38:CKK38"/>
    <mergeCell ref="CKT38:CKW38"/>
    <mergeCell ref="CFR38:CFU38"/>
    <mergeCell ref="CGD38:CGG38"/>
    <mergeCell ref="CGP38:CGS38"/>
    <mergeCell ref="CHB38:CHE38"/>
    <mergeCell ref="CHN38:CHQ38"/>
    <mergeCell ref="CHZ38:CIC38"/>
    <mergeCell ref="CCX38:CDA38"/>
    <mergeCell ref="CDJ38:CDM38"/>
    <mergeCell ref="CDV38:CDY38"/>
    <mergeCell ref="CEH38:CEK38"/>
    <mergeCell ref="CET38:CEW38"/>
    <mergeCell ref="CFF38:CFI38"/>
    <mergeCell ref="CAD38:CAG38"/>
    <mergeCell ref="CAP38:CAS38"/>
    <mergeCell ref="CBB38:CBE38"/>
    <mergeCell ref="CBN38:CBQ38"/>
    <mergeCell ref="CBZ38:CCC38"/>
    <mergeCell ref="CCL38:CCO38"/>
    <mergeCell ref="BXJ38:BXM38"/>
    <mergeCell ref="BXV38:BXY38"/>
    <mergeCell ref="BYH38:BYK38"/>
    <mergeCell ref="BYT38:BYW38"/>
    <mergeCell ref="BZF38:BZI38"/>
    <mergeCell ref="BZR38:BZU38"/>
    <mergeCell ref="BUP38:BUS38"/>
    <mergeCell ref="BVB38:BVE38"/>
    <mergeCell ref="BVN38:BVQ38"/>
    <mergeCell ref="BVZ38:BWC38"/>
    <mergeCell ref="BWL38:BWO38"/>
    <mergeCell ref="BWX38:BXA38"/>
    <mergeCell ref="BRV38:BRY38"/>
    <mergeCell ref="BSH38:BSK38"/>
    <mergeCell ref="BST38:BSW38"/>
    <mergeCell ref="BTF38:BTI38"/>
    <mergeCell ref="BTR38:BTU38"/>
    <mergeCell ref="BUD38:BUG38"/>
    <mergeCell ref="BPB38:BPE38"/>
    <mergeCell ref="BPN38:BPQ38"/>
    <mergeCell ref="BPZ38:BQC38"/>
    <mergeCell ref="BQL38:BQO38"/>
    <mergeCell ref="BQX38:BRA38"/>
    <mergeCell ref="BRJ38:BRM38"/>
    <mergeCell ref="BMH38:BMK38"/>
    <mergeCell ref="BMT38:BMW38"/>
    <mergeCell ref="BNF38:BNI38"/>
    <mergeCell ref="BNR38:BNU38"/>
    <mergeCell ref="BOD38:BOG38"/>
    <mergeCell ref="BOP38:BOS38"/>
    <mergeCell ref="BJN38:BJQ38"/>
    <mergeCell ref="BJZ38:BKC38"/>
    <mergeCell ref="BKL38:BKO38"/>
    <mergeCell ref="BKX38:BLA38"/>
    <mergeCell ref="BLJ38:BLM38"/>
    <mergeCell ref="BLV38:BLY38"/>
    <mergeCell ref="BGT38:BGW38"/>
    <mergeCell ref="BHF38:BHI38"/>
    <mergeCell ref="BHR38:BHU38"/>
    <mergeCell ref="BID38:BIG38"/>
    <mergeCell ref="BIP38:BIS38"/>
    <mergeCell ref="BJB38:BJE38"/>
    <mergeCell ref="BDZ38:BEC38"/>
    <mergeCell ref="BEL38:BEO38"/>
    <mergeCell ref="BEX38:BFA38"/>
    <mergeCell ref="BFJ38:BFM38"/>
    <mergeCell ref="BFV38:BFY38"/>
    <mergeCell ref="BGH38:BGK38"/>
    <mergeCell ref="BBF38:BBI38"/>
    <mergeCell ref="BBR38:BBU38"/>
    <mergeCell ref="BCD38:BCG38"/>
    <mergeCell ref="BCP38:BCS38"/>
    <mergeCell ref="BDB38:BDE38"/>
    <mergeCell ref="BDN38:BDQ38"/>
    <mergeCell ref="AYL38:AYO38"/>
    <mergeCell ref="AYX38:AZA38"/>
    <mergeCell ref="AZJ38:AZM38"/>
    <mergeCell ref="AZV38:AZY38"/>
    <mergeCell ref="BAH38:BAK38"/>
    <mergeCell ref="BAT38:BAW38"/>
    <mergeCell ref="AVR38:AVU38"/>
    <mergeCell ref="AWD38:AWG38"/>
    <mergeCell ref="AWP38:AWS38"/>
    <mergeCell ref="AXB38:AXE38"/>
    <mergeCell ref="AXN38:AXQ38"/>
    <mergeCell ref="AXZ38:AYC38"/>
    <mergeCell ref="ASX38:ATA38"/>
    <mergeCell ref="ATJ38:ATM38"/>
    <mergeCell ref="ATV38:ATY38"/>
    <mergeCell ref="AUH38:AUK38"/>
    <mergeCell ref="AUT38:AUW38"/>
    <mergeCell ref="AVF38:AVI38"/>
    <mergeCell ref="AQD38:AQG38"/>
    <mergeCell ref="AQP38:AQS38"/>
    <mergeCell ref="ARB38:ARE38"/>
    <mergeCell ref="ARN38:ARQ38"/>
    <mergeCell ref="ARZ38:ASC38"/>
    <mergeCell ref="ASL38:ASO38"/>
    <mergeCell ref="ANJ38:ANM38"/>
    <mergeCell ref="ANV38:ANY38"/>
    <mergeCell ref="AOH38:AOK38"/>
    <mergeCell ref="AOT38:AOW38"/>
    <mergeCell ref="APF38:API38"/>
    <mergeCell ref="APR38:APU38"/>
    <mergeCell ref="AKP38:AKS38"/>
    <mergeCell ref="ALB38:ALE38"/>
    <mergeCell ref="ALN38:ALQ38"/>
    <mergeCell ref="ALZ38:AMC38"/>
    <mergeCell ref="AML38:AMO38"/>
    <mergeCell ref="AMX38:ANA38"/>
    <mergeCell ref="AHV38:AHY38"/>
    <mergeCell ref="AIH38:AIK38"/>
    <mergeCell ref="AIT38:AIW38"/>
    <mergeCell ref="AJF38:AJI38"/>
    <mergeCell ref="AJR38:AJU38"/>
    <mergeCell ref="AKD38:AKG38"/>
    <mergeCell ref="AEZ38:AFC38"/>
    <mergeCell ref="AFM38:AFP38"/>
    <mergeCell ref="AFZ38:AGC38"/>
    <mergeCell ref="AGL38:AGO38"/>
    <mergeCell ref="AGX38:AHA38"/>
    <mergeCell ref="AHJ38:AHM38"/>
    <mergeCell ref="ABZ38:ACC38"/>
    <mergeCell ref="ACM38:ACP38"/>
    <mergeCell ref="ACZ38:ADC38"/>
    <mergeCell ref="ADM38:ADP38"/>
    <mergeCell ref="ADZ38:AEC38"/>
    <mergeCell ref="AEM38:AEP38"/>
    <mergeCell ref="YX38:ZH38"/>
    <mergeCell ref="ZL38:ZV38"/>
    <mergeCell ref="ZZ38:AAC38"/>
    <mergeCell ref="AAM38:AAP38"/>
    <mergeCell ref="AAZ38:ABC38"/>
    <mergeCell ref="ABM38:ABP38"/>
    <mergeCell ref="VR38:WB38"/>
    <mergeCell ref="WF38:WP38"/>
    <mergeCell ref="WT38:XD38"/>
    <mergeCell ref="XH38:XR38"/>
    <mergeCell ref="XV38:YF38"/>
    <mergeCell ref="YJ38:YT38"/>
    <mergeCell ref="SL38:SV38"/>
    <mergeCell ref="SZ38:TJ38"/>
    <mergeCell ref="TN38:TX38"/>
    <mergeCell ref="UB38:UL38"/>
    <mergeCell ref="UP38:UZ38"/>
    <mergeCell ref="VD38:VN38"/>
    <mergeCell ref="PF38:PP38"/>
    <mergeCell ref="PT38:QD38"/>
    <mergeCell ref="QH38:QR38"/>
    <mergeCell ref="QV38:RF38"/>
    <mergeCell ref="RJ38:RT38"/>
    <mergeCell ref="RX38:SH38"/>
    <mergeCell ref="LZ38:MJ38"/>
    <mergeCell ref="MN38:MX38"/>
    <mergeCell ref="NB38:NL38"/>
    <mergeCell ref="NP38:NZ38"/>
    <mergeCell ref="OD38:ON38"/>
    <mergeCell ref="OR38:PB38"/>
    <mergeCell ref="IT38:JD38"/>
    <mergeCell ref="JH38:JR38"/>
    <mergeCell ref="JV38:KF38"/>
    <mergeCell ref="KJ38:KT38"/>
    <mergeCell ref="KX38:LH38"/>
    <mergeCell ref="LL38:LV38"/>
    <mergeCell ref="FN38:FX38"/>
    <mergeCell ref="GB38:GL38"/>
    <mergeCell ref="GP38:GZ38"/>
    <mergeCell ref="HD38:HN38"/>
    <mergeCell ref="HR38:IB38"/>
    <mergeCell ref="IF38:IP38"/>
    <mergeCell ref="CH38:CR38"/>
    <mergeCell ref="CV38:DF38"/>
    <mergeCell ref="DJ38:DT38"/>
    <mergeCell ref="DX38:EH38"/>
    <mergeCell ref="EL38:EV38"/>
    <mergeCell ref="EZ38:FJ38"/>
    <mergeCell ref="CUS37:CUU37"/>
    <mergeCell ref="CVE37:CVG37"/>
    <mergeCell ref="CVQ37:CVS37"/>
    <mergeCell ref="CWC37:CWE37"/>
    <mergeCell ref="B38:L38"/>
    <mergeCell ref="P38:Z38"/>
    <mergeCell ref="AD38:AN38"/>
    <mergeCell ref="AR38:BB38"/>
    <mergeCell ref="BF38:BP38"/>
    <mergeCell ref="BT38:CD38"/>
    <mergeCell ref="CRY37:CSA37"/>
    <mergeCell ref="CSK37:CSM37"/>
    <mergeCell ref="CSW37:CSY37"/>
    <mergeCell ref="CTI37:CTK37"/>
    <mergeCell ref="CTU37:CTW37"/>
    <mergeCell ref="CUG37:CUI37"/>
    <mergeCell ref="CPE37:CPG37"/>
    <mergeCell ref="CPQ37:CPS37"/>
    <mergeCell ref="CQC37:CQE37"/>
    <mergeCell ref="CQO37:CQQ37"/>
    <mergeCell ref="CRA37:CRC37"/>
    <mergeCell ref="CRM37:CRO37"/>
    <mergeCell ref="CMK37:CMM37"/>
    <mergeCell ref="CMW37:CMY37"/>
    <mergeCell ref="CNI37:CNK37"/>
    <mergeCell ref="CNU37:CNW37"/>
    <mergeCell ref="COG37:COI37"/>
    <mergeCell ref="COS37:COU37"/>
    <mergeCell ref="CJQ37:CJS37"/>
    <mergeCell ref="CKC37:CKE37"/>
    <mergeCell ref="CKO37:CKQ37"/>
    <mergeCell ref="CLA37:CLC37"/>
    <mergeCell ref="CLM37:CLO37"/>
    <mergeCell ref="CLY37:CMA37"/>
    <mergeCell ref="CGW37:CGY37"/>
    <mergeCell ref="CHI37:CHK37"/>
    <mergeCell ref="CHU37:CHW37"/>
    <mergeCell ref="CIG37:CII37"/>
    <mergeCell ref="CIS37:CIU37"/>
    <mergeCell ref="CJE37:CJG37"/>
    <mergeCell ref="CEC37:CEE37"/>
    <mergeCell ref="CEO37:CEQ37"/>
    <mergeCell ref="CFA37:CFC37"/>
    <mergeCell ref="CFM37:CFO37"/>
    <mergeCell ref="CFY37:CGA37"/>
    <mergeCell ref="CGK37:CGM37"/>
    <mergeCell ref="CBI37:CBK37"/>
    <mergeCell ref="CBU37:CBW37"/>
    <mergeCell ref="CCG37:CCI37"/>
    <mergeCell ref="CCS37:CCU37"/>
    <mergeCell ref="CDE37:CDG37"/>
    <mergeCell ref="CDQ37:CDS37"/>
    <mergeCell ref="BYO37:BYQ37"/>
    <mergeCell ref="BZA37:BZC37"/>
    <mergeCell ref="BZM37:BZO37"/>
    <mergeCell ref="BZY37:CAA37"/>
    <mergeCell ref="CAK37:CAM37"/>
    <mergeCell ref="CAW37:CAY37"/>
    <mergeCell ref="BVU37:BVW37"/>
    <mergeCell ref="BWG37:BWI37"/>
    <mergeCell ref="BWS37:BWU37"/>
    <mergeCell ref="BXE37:BXG37"/>
    <mergeCell ref="BXQ37:BXS37"/>
    <mergeCell ref="BYC37:BYE37"/>
    <mergeCell ref="BTA37:BTC37"/>
    <mergeCell ref="BTM37:BTO37"/>
    <mergeCell ref="BTY37:BUA37"/>
    <mergeCell ref="BUK37:BUM37"/>
    <mergeCell ref="BUW37:BUY37"/>
    <mergeCell ref="BVI37:BVK37"/>
    <mergeCell ref="BQG37:BQI37"/>
    <mergeCell ref="BQS37:BQU37"/>
    <mergeCell ref="BRE37:BRG37"/>
    <mergeCell ref="BRQ37:BRS37"/>
    <mergeCell ref="BSC37:BSE37"/>
    <mergeCell ref="BSO37:BSQ37"/>
    <mergeCell ref="BNM37:BNO37"/>
    <mergeCell ref="BNY37:BOA37"/>
    <mergeCell ref="BOK37:BOM37"/>
    <mergeCell ref="BOW37:BOY37"/>
    <mergeCell ref="BPI37:BPK37"/>
    <mergeCell ref="BPU37:BPW37"/>
    <mergeCell ref="BKS37:BKU37"/>
    <mergeCell ref="BLE37:BLG37"/>
    <mergeCell ref="BLQ37:BLS37"/>
    <mergeCell ref="BMC37:BME37"/>
    <mergeCell ref="BMO37:BMQ37"/>
    <mergeCell ref="BNA37:BNC37"/>
    <mergeCell ref="BHY37:BIA37"/>
    <mergeCell ref="BIK37:BIM37"/>
    <mergeCell ref="BIW37:BIY37"/>
    <mergeCell ref="BJI37:BJK37"/>
    <mergeCell ref="BJU37:BJW37"/>
    <mergeCell ref="BKG37:BKI37"/>
    <mergeCell ref="BFE37:BFG37"/>
    <mergeCell ref="BFQ37:BFS37"/>
    <mergeCell ref="BGC37:BGE37"/>
    <mergeCell ref="BGO37:BGQ37"/>
    <mergeCell ref="BHA37:BHC37"/>
    <mergeCell ref="BHM37:BHO37"/>
    <mergeCell ref="BCK37:BCM37"/>
    <mergeCell ref="BCW37:BCY37"/>
    <mergeCell ref="BDI37:BDK37"/>
    <mergeCell ref="BDU37:BDW37"/>
    <mergeCell ref="BEG37:BEI37"/>
    <mergeCell ref="BES37:BEU37"/>
    <mergeCell ref="AZQ37:AZS37"/>
    <mergeCell ref="BAC37:BAE37"/>
    <mergeCell ref="BAO37:BAQ37"/>
    <mergeCell ref="BBA37:BBC37"/>
    <mergeCell ref="BBM37:BBO37"/>
    <mergeCell ref="BBY37:BCA37"/>
    <mergeCell ref="AWW37:AWY37"/>
    <mergeCell ref="AXI37:AXK37"/>
    <mergeCell ref="AXU37:AXW37"/>
    <mergeCell ref="AYG37:AYI37"/>
    <mergeCell ref="AYS37:AYU37"/>
    <mergeCell ref="AZE37:AZG37"/>
    <mergeCell ref="AUC37:AUE37"/>
    <mergeCell ref="AUO37:AUQ37"/>
    <mergeCell ref="AVA37:AVC37"/>
    <mergeCell ref="AVM37:AVO37"/>
    <mergeCell ref="AVY37:AWA37"/>
    <mergeCell ref="AWK37:AWM37"/>
    <mergeCell ref="ARI37:ARK37"/>
    <mergeCell ref="ARU37:ARW37"/>
    <mergeCell ref="ASG37:ASI37"/>
    <mergeCell ref="ASS37:ASU37"/>
    <mergeCell ref="ATE37:ATG37"/>
    <mergeCell ref="ATQ37:ATS37"/>
    <mergeCell ref="AOO37:AOQ37"/>
    <mergeCell ref="APA37:APC37"/>
    <mergeCell ref="APM37:APO37"/>
    <mergeCell ref="APY37:AQA37"/>
    <mergeCell ref="AQK37:AQM37"/>
    <mergeCell ref="AQW37:AQY37"/>
    <mergeCell ref="ALU37:ALW37"/>
    <mergeCell ref="AMG37:AMI37"/>
    <mergeCell ref="AMS37:AMU37"/>
    <mergeCell ref="ANE37:ANG37"/>
    <mergeCell ref="ANQ37:ANS37"/>
    <mergeCell ref="AOC37:AOE37"/>
    <mergeCell ref="AJA37:AJC37"/>
    <mergeCell ref="AJM37:AJO37"/>
    <mergeCell ref="AJY37:AKA37"/>
    <mergeCell ref="AKK37:AKM37"/>
    <mergeCell ref="AKW37:AKY37"/>
    <mergeCell ref="ALI37:ALK37"/>
    <mergeCell ref="AGG37:AGI37"/>
    <mergeCell ref="AGS37:AGU37"/>
    <mergeCell ref="AHE37:AHG37"/>
    <mergeCell ref="AHQ37:AHS37"/>
    <mergeCell ref="AIC37:AIE37"/>
    <mergeCell ref="AIO37:AIQ37"/>
    <mergeCell ref="AEL37:AEQ37"/>
    <mergeCell ref="AET37:AEV37"/>
    <mergeCell ref="AEY37:AFD37"/>
    <mergeCell ref="AFG37:AFI37"/>
    <mergeCell ref="AFL37:AFQ37"/>
    <mergeCell ref="AFT37:AFV37"/>
    <mergeCell ref="ACY37:ADD37"/>
    <mergeCell ref="ADG37:ADI37"/>
    <mergeCell ref="ADL37:ADQ37"/>
    <mergeCell ref="ADT37:ADV37"/>
    <mergeCell ref="ADY37:AED37"/>
    <mergeCell ref="AEG37:AEI37"/>
    <mergeCell ref="ABL37:ABQ37"/>
    <mergeCell ref="ABT37:ABV37"/>
    <mergeCell ref="ABY37:ACD37"/>
    <mergeCell ref="ACG37:ACI37"/>
    <mergeCell ref="ACL37:ACQ37"/>
    <mergeCell ref="ACT37:ACV37"/>
    <mergeCell ref="ZY37:AAD37"/>
    <mergeCell ref="AAG37:AAI37"/>
    <mergeCell ref="AAL37:AAQ37"/>
    <mergeCell ref="AAT37:AAV37"/>
    <mergeCell ref="AAY37:ABD37"/>
    <mergeCell ref="ABG37:ABI37"/>
    <mergeCell ref="WT37:XD37"/>
    <mergeCell ref="XH37:XR37"/>
    <mergeCell ref="XV37:YF37"/>
    <mergeCell ref="YJ37:YT37"/>
    <mergeCell ref="YX37:ZH37"/>
    <mergeCell ref="ZL37:ZV37"/>
    <mergeCell ref="TN37:TX37"/>
    <mergeCell ref="UB37:UL37"/>
    <mergeCell ref="UP37:UZ37"/>
    <mergeCell ref="VD37:VN37"/>
    <mergeCell ref="VR37:WB37"/>
    <mergeCell ref="WF37:WP37"/>
    <mergeCell ref="QH37:QR37"/>
    <mergeCell ref="QV37:RF37"/>
    <mergeCell ref="RJ37:RT37"/>
    <mergeCell ref="RX37:SH37"/>
    <mergeCell ref="SL37:SV37"/>
    <mergeCell ref="SZ37:TJ37"/>
    <mergeCell ref="NB37:NL37"/>
    <mergeCell ref="NP37:NZ37"/>
    <mergeCell ref="OD37:ON37"/>
    <mergeCell ref="OR37:PB37"/>
    <mergeCell ref="PF37:PP37"/>
    <mergeCell ref="PT37:QD37"/>
    <mergeCell ref="JV37:KF37"/>
    <mergeCell ref="KJ37:KT37"/>
    <mergeCell ref="KX37:LH37"/>
    <mergeCell ref="LL37:LV37"/>
    <mergeCell ref="LZ37:MJ37"/>
    <mergeCell ref="MN37:MX37"/>
    <mergeCell ref="GP37:GZ37"/>
    <mergeCell ref="HD37:HN37"/>
    <mergeCell ref="HR37:IB37"/>
    <mergeCell ref="IF37:IP37"/>
    <mergeCell ref="IT37:JD37"/>
    <mergeCell ref="JH37:JR37"/>
    <mergeCell ref="DJ37:DT37"/>
    <mergeCell ref="DX37:EH37"/>
    <mergeCell ref="EL37:EV37"/>
    <mergeCell ref="EZ37:FJ37"/>
    <mergeCell ref="FN37:FX37"/>
    <mergeCell ref="GB37:GL37"/>
    <mergeCell ref="YX35:ZH36"/>
    <mergeCell ref="ZL35:ZV36"/>
    <mergeCell ref="B37:L37"/>
    <mergeCell ref="P37:Z37"/>
    <mergeCell ref="AD37:AN37"/>
    <mergeCell ref="AR37:BB37"/>
    <mergeCell ref="BF37:BP37"/>
    <mergeCell ref="BT37:CD37"/>
    <mergeCell ref="CH37:CR37"/>
    <mergeCell ref="CV37:DF37"/>
    <mergeCell ref="VR35:WB36"/>
    <mergeCell ref="WF35:WP36"/>
    <mergeCell ref="WT35:XD36"/>
    <mergeCell ref="XH35:XR36"/>
    <mergeCell ref="XV35:YF36"/>
    <mergeCell ref="YJ35:YT36"/>
    <mergeCell ref="SL35:SV36"/>
    <mergeCell ref="SZ35:TJ36"/>
    <mergeCell ref="TN35:TX36"/>
    <mergeCell ref="UB35:UL36"/>
    <mergeCell ref="UP35:UZ36"/>
    <mergeCell ref="VD35:VN36"/>
    <mergeCell ref="PF35:PP36"/>
    <mergeCell ref="PT35:QD36"/>
    <mergeCell ref="QH35:QR36"/>
    <mergeCell ref="QV35:RF36"/>
    <mergeCell ref="RJ35:RT36"/>
    <mergeCell ref="RX35:SH36"/>
    <mergeCell ref="LZ35:MJ36"/>
    <mergeCell ref="MN35:MX36"/>
    <mergeCell ref="NB35:NL36"/>
    <mergeCell ref="NP35:NZ36"/>
    <mergeCell ref="OD35:ON36"/>
    <mergeCell ref="OR35:PB36"/>
    <mergeCell ref="IT35:JD36"/>
    <mergeCell ref="JH35:JR36"/>
    <mergeCell ref="JV35:KF36"/>
    <mergeCell ref="KJ35:KT36"/>
    <mergeCell ref="KX35:LH36"/>
    <mergeCell ref="LL35:LV36"/>
    <mergeCell ref="FN35:FX36"/>
    <mergeCell ref="GB35:GL36"/>
    <mergeCell ref="GP35:GZ36"/>
    <mergeCell ref="HD35:HN36"/>
    <mergeCell ref="HR35:IB36"/>
    <mergeCell ref="IF35:IP36"/>
    <mergeCell ref="CH35:CR36"/>
    <mergeCell ref="CV35:DF36"/>
    <mergeCell ref="DJ35:DT36"/>
    <mergeCell ref="DX35:EH36"/>
    <mergeCell ref="EL35:EV36"/>
    <mergeCell ref="EZ35:FJ36"/>
    <mergeCell ref="CVJ34:CVM34"/>
    <mergeCell ref="CVQ34:CVS34"/>
    <mergeCell ref="CVV34:CVY34"/>
    <mergeCell ref="CWC34:CWE34"/>
    <mergeCell ref="B35:L36"/>
    <mergeCell ref="P35:Z36"/>
    <mergeCell ref="AD35:AN36"/>
    <mergeCell ref="AR35:BB36"/>
    <mergeCell ref="BF35:BP36"/>
    <mergeCell ref="BT35:CD36"/>
    <mergeCell ref="CTZ34:CUC34"/>
    <mergeCell ref="CUG34:CUI34"/>
    <mergeCell ref="CUL34:CUO34"/>
    <mergeCell ref="CUS34:CUU34"/>
    <mergeCell ref="CUX34:CVA34"/>
    <mergeCell ref="CVE34:CVG34"/>
    <mergeCell ref="CSP34:CSS34"/>
    <mergeCell ref="CSW34:CSY34"/>
    <mergeCell ref="CTB34:CTE34"/>
    <mergeCell ref="CTI34:CTK34"/>
    <mergeCell ref="CTN34:CTQ34"/>
    <mergeCell ref="CTU34:CTW34"/>
    <mergeCell ref="CRF34:CRI34"/>
    <mergeCell ref="CRM34:CRO34"/>
    <mergeCell ref="CRR34:CRU34"/>
    <mergeCell ref="CRY34:CSA34"/>
    <mergeCell ref="CSD34:CSG34"/>
    <mergeCell ref="CSK34:CSM34"/>
    <mergeCell ref="CPV34:CPY34"/>
    <mergeCell ref="CQC34:CQE34"/>
    <mergeCell ref="CQH34:CQK34"/>
    <mergeCell ref="CQO34:CQQ34"/>
    <mergeCell ref="CQT34:CQW34"/>
    <mergeCell ref="CRA34:CRC34"/>
    <mergeCell ref="COL34:COO34"/>
    <mergeCell ref="COS34:COU34"/>
    <mergeCell ref="COX34:CPA34"/>
    <mergeCell ref="CPE34:CPG34"/>
    <mergeCell ref="CPJ34:CPM34"/>
    <mergeCell ref="CPQ34:CPS34"/>
    <mergeCell ref="CNB34:CNE34"/>
    <mergeCell ref="CNI34:CNK34"/>
    <mergeCell ref="CNN34:CNQ34"/>
    <mergeCell ref="CNU34:CNW34"/>
    <mergeCell ref="CNZ34:COC34"/>
    <mergeCell ref="COG34:COI34"/>
    <mergeCell ref="CLR34:CLU34"/>
    <mergeCell ref="CLY34:CMA34"/>
    <mergeCell ref="CMD34:CMG34"/>
    <mergeCell ref="CMK34:CMM34"/>
    <mergeCell ref="CMP34:CMS34"/>
    <mergeCell ref="CMW34:CMY34"/>
    <mergeCell ref="CKH34:CKK34"/>
    <mergeCell ref="CKO34:CKQ34"/>
    <mergeCell ref="CKT34:CKW34"/>
    <mergeCell ref="CLA34:CLC34"/>
    <mergeCell ref="CLF34:CLI34"/>
    <mergeCell ref="CLM34:CLO34"/>
    <mergeCell ref="CIX34:CJA34"/>
    <mergeCell ref="CJE34:CJG34"/>
    <mergeCell ref="CJJ34:CJM34"/>
    <mergeCell ref="CJQ34:CJS34"/>
    <mergeCell ref="CJV34:CJY34"/>
    <mergeCell ref="CKC34:CKE34"/>
    <mergeCell ref="CHN34:CHQ34"/>
    <mergeCell ref="CHU34:CHW34"/>
    <mergeCell ref="CHZ34:CIC34"/>
    <mergeCell ref="CIG34:CII34"/>
    <mergeCell ref="CIL34:CIO34"/>
    <mergeCell ref="CIS34:CIU34"/>
    <mergeCell ref="CGD34:CGG34"/>
    <mergeCell ref="CGK34:CGM34"/>
    <mergeCell ref="CGP34:CGS34"/>
    <mergeCell ref="CGW34:CGY34"/>
    <mergeCell ref="CHB34:CHE34"/>
    <mergeCell ref="CHI34:CHK34"/>
    <mergeCell ref="CET34:CEW34"/>
    <mergeCell ref="CFA34:CFC34"/>
    <mergeCell ref="CFF34:CFI34"/>
    <mergeCell ref="CFM34:CFO34"/>
    <mergeCell ref="CFR34:CFU34"/>
    <mergeCell ref="CFY34:CGA34"/>
    <mergeCell ref="CDJ34:CDM34"/>
    <mergeCell ref="CDQ34:CDS34"/>
    <mergeCell ref="CDV34:CDY34"/>
    <mergeCell ref="CEC34:CEE34"/>
    <mergeCell ref="CEH34:CEK34"/>
    <mergeCell ref="CEO34:CEQ34"/>
    <mergeCell ref="CBZ34:CCC34"/>
    <mergeCell ref="CCG34:CCI34"/>
    <mergeCell ref="CCL34:CCO34"/>
    <mergeCell ref="CCS34:CCU34"/>
    <mergeCell ref="CCX34:CDA34"/>
    <mergeCell ref="CDE34:CDG34"/>
    <mergeCell ref="CAP34:CAS34"/>
    <mergeCell ref="CAW34:CAY34"/>
    <mergeCell ref="CBB34:CBE34"/>
    <mergeCell ref="CBI34:CBK34"/>
    <mergeCell ref="CBN34:CBQ34"/>
    <mergeCell ref="CBU34:CBW34"/>
    <mergeCell ref="BZF34:BZI34"/>
    <mergeCell ref="BZM34:BZO34"/>
    <mergeCell ref="BZR34:BZU34"/>
    <mergeCell ref="BZY34:CAA34"/>
    <mergeCell ref="CAD34:CAG34"/>
    <mergeCell ref="CAK34:CAM34"/>
    <mergeCell ref="BXV34:BXY34"/>
    <mergeCell ref="BYC34:BYE34"/>
    <mergeCell ref="BYH34:BYK34"/>
    <mergeCell ref="BYO34:BYQ34"/>
    <mergeCell ref="BYT34:BYW34"/>
    <mergeCell ref="BZA34:BZC34"/>
    <mergeCell ref="BWL34:BWO34"/>
    <mergeCell ref="BWS34:BWU34"/>
    <mergeCell ref="BWX34:BXA34"/>
    <mergeCell ref="BXE34:BXG34"/>
    <mergeCell ref="BXJ34:BXM34"/>
    <mergeCell ref="BXQ34:BXS34"/>
    <mergeCell ref="BVB34:BVE34"/>
    <mergeCell ref="BVI34:BVK34"/>
    <mergeCell ref="BVN34:BVQ34"/>
    <mergeCell ref="BVU34:BVW34"/>
    <mergeCell ref="BVZ34:BWC34"/>
    <mergeCell ref="BWG34:BWI34"/>
    <mergeCell ref="BTR34:BTU34"/>
    <mergeCell ref="BTY34:BUA34"/>
    <mergeCell ref="BUD34:BUG34"/>
    <mergeCell ref="BUK34:BUM34"/>
    <mergeCell ref="BUP34:BUS34"/>
    <mergeCell ref="BUW34:BUY34"/>
    <mergeCell ref="BSH34:BSK34"/>
    <mergeCell ref="BSO34:BSQ34"/>
    <mergeCell ref="BST34:BSW34"/>
    <mergeCell ref="BTA34:BTC34"/>
    <mergeCell ref="BTF34:BTI34"/>
    <mergeCell ref="BTM34:BTO34"/>
    <mergeCell ref="BQX34:BRA34"/>
    <mergeCell ref="BRE34:BRG34"/>
    <mergeCell ref="BRJ34:BRM34"/>
    <mergeCell ref="BRQ34:BRS34"/>
    <mergeCell ref="BRV34:BRY34"/>
    <mergeCell ref="BSC34:BSE34"/>
    <mergeCell ref="BPN34:BPQ34"/>
    <mergeCell ref="BPU34:BPW34"/>
    <mergeCell ref="BPZ34:BQC34"/>
    <mergeCell ref="BQG34:BQI34"/>
    <mergeCell ref="BQL34:BQO34"/>
    <mergeCell ref="BQS34:BQU34"/>
    <mergeCell ref="BOD34:BOG34"/>
    <mergeCell ref="BOK34:BOM34"/>
    <mergeCell ref="BOP34:BOS34"/>
    <mergeCell ref="BOW34:BOY34"/>
    <mergeCell ref="BPB34:BPE34"/>
    <mergeCell ref="BPI34:BPK34"/>
    <mergeCell ref="BMT34:BMW34"/>
    <mergeCell ref="BNA34:BNC34"/>
    <mergeCell ref="BNF34:BNI34"/>
    <mergeCell ref="BNM34:BNO34"/>
    <mergeCell ref="BNR34:BNU34"/>
    <mergeCell ref="BNY34:BOA34"/>
    <mergeCell ref="BLJ34:BLM34"/>
    <mergeCell ref="BLQ34:BLS34"/>
    <mergeCell ref="BLV34:BLY34"/>
    <mergeCell ref="BMC34:BME34"/>
    <mergeCell ref="BMH34:BMK34"/>
    <mergeCell ref="BMO34:BMQ34"/>
    <mergeCell ref="BJZ34:BKC34"/>
    <mergeCell ref="BKG34:BKI34"/>
    <mergeCell ref="BKL34:BKO34"/>
    <mergeCell ref="BKS34:BKU34"/>
    <mergeCell ref="BKX34:BLA34"/>
    <mergeCell ref="BLE34:BLG34"/>
    <mergeCell ref="BIP34:BIS34"/>
    <mergeCell ref="BIW34:BIY34"/>
    <mergeCell ref="BJB34:BJE34"/>
    <mergeCell ref="BJI34:BJK34"/>
    <mergeCell ref="BJN34:BJQ34"/>
    <mergeCell ref="BJU34:BJW34"/>
    <mergeCell ref="BHF34:BHI34"/>
    <mergeCell ref="BHM34:BHO34"/>
    <mergeCell ref="BHR34:BHU34"/>
    <mergeCell ref="BHY34:BIA34"/>
    <mergeCell ref="BID34:BIG34"/>
    <mergeCell ref="BIK34:BIM34"/>
    <mergeCell ref="BFV34:BFY34"/>
    <mergeCell ref="BGC34:BGE34"/>
    <mergeCell ref="BGH34:BGK34"/>
    <mergeCell ref="BGO34:BGQ34"/>
    <mergeCell ref="BGT34:BGW34"/>
    <mergeCell ref="BHA34:BHC34"/>
    <mergeCell ref="BEL34:BEO34"/>
    <mergeCell ref="BES34:BEU34"/>
    <mergeCell ref="BEX34:BFA34"/>
    <mergeCell ref="BFE34:BFG34"/>
    <mergeCell ref="BFJ34:BFM34"/>
    <mergeCell ref="BFQ34:BFS34"/>
    <mergeCell ref="BDB34:BDE34"/>
    <mergeCell ref="BDI34:BDK34"/>
    <mergeCell ref="BDN34:BDQ34"/>
    <mergeCell ref="BDU34:BDW34"/>
    <mergeCell ref="BDZ34:BEC34"/>
    <mergeCell ref="BEG34:BEI34"/>
    <mergeCell ref="BBR34:BBU34"/>
    <mergeCell ref="BBY34:BCA34"/>
    <mergeCell ref="BCD34:BCG34"/>
    <mergeCell ref="BCK34:BCM34"/>
    <mergeCell ref="BCP34:BCS34"/>
    <mergeCell ref="BCW34:BCY34"/>
    <mergeCell ref="BAH34:BAK34"/>
    <mergeCell ref="BAO34:BAQ34"/>
    <mergeCell ref="BAT34:BAW34"/>
    <mergeCell ref="BBA34:BBC34"/>
    <mergeCell ref="BBF34:BBI34"/>
    <mergeCell ref="BBM34:BBO34"/>
    <mergeCell ref="AYX34:AZA34"/>
    <mergeCell ref="AZE34:AZG34"/>
    <mergeCell ref="AZJ34:AZM34"/>
    <mergeCell ref="AZQ34:AZS34"/>
    <mergeCell ref="AZV34:AZY34"/>
    <mergeCell ref="BAC34:BAE34"/>
    <mergeCell ref="AXN34:AXQ34"/>
    <mergeCell ref="AXU34:AXW34"/>
    <mergeCell ref="AXZ34:AYC34"/>
    <mergeCell ref="AYG34:AYI34"/>
    <mergeCell ref="AYL34:AYO34"/>
    <mergeCell ref="AYS34:AYU34"/>
    <mergeCell ref="AWD34:AWG34"/>
    <mergeCell ref="AWK34:AWM34"/>
    <mergeCell ref="AWP34:AWS34"/>
    <mergeCell ref="AWW34:AWY34"/>
    <mergeCell ref="AXB34:AXE34"/>
    <mergeCell ref="AXI34:AXK34"/>
    <mergeCell ref="AUT34:AUW34"/>
    <mergeCell ref="AVA34:AVC34"/>
    <mergeCell ref="AVF34:AVI34"/>
    <mergeCell ref="AVM34:AVO34"/>
    <mergeCell ref="AVR34:AVU34"/>
    <mergeCell ref="AVY34:AWA34"/>
    <mergeCell ref="ATJ34:ATM34"/>
    <mergeCell ref="ATQ34:ATS34"/>
    <mergeCell ref="ATV34:ATY34"/>
    <mergeCell ref="AUC34:AUE34"/>
    <mergeCell ref="AUH34:AUK34"/>
    <mergeCell ref="AUO34:AUQ34"/>
    <mergeCell ref="ARZ34:ASC34"/>
    <mergeCell ref="ASG34:ASI34"/>
    <mergeCell ref="ASL34:ASO34"/>
    <mergeCell ref="ASS34:ASU34"/>
    <mergeCell ref="ASX34:ATA34"/>
    <mergeCell ref="ATE34:ATG34"/>
    <mergeCell ref="AQP34:AQS34"/>
    <mergeCell ref="AQW34:AQY34"/>
    <mergeCell ref="ARB34:ARE34"/>
    <mergeCell ref="ARI34:ARK34"/>
    <mergeCell ref="ARN34:ARQ34"/>
    <mergeCell ref="ARU34:ARW34"/>
    <mergeCell ref="APF34:API34"/>
    <mergeCell ref="APM34:APO34"/>
    <mergeCell ref="APR34:APU34"/>
    <mergeCell ref="APY34:AQA34"/>
    <mergeCell ref="AQD34:AQG34"/>
    <mergeCell ref="AQK34:AQM34"/>
    <mergeCell ref="ANV34:ANY34"/>
    <mergeCell ref="AOC34:AOE34"/>
    <mergeCell ref="AOH34:AOK34"/>
    <mergeCell ref="AOO34:AOQ34"/>
    <mergeCell ref="AOT34:AOW34"/>
    <mergeCell ref="APA34:APC34"/>
    <mergeCell ref="AML34:AMO34"/>
    <mergeCell ref="AMS34:AMU34"/>
    <mergeCell ref="AMX34:ANA34"/>
    <mergeCell ref="ANE34:ANG34"/>
    <mergeCell ref="ANJ34:ANM34"/>
    <mergeCell ref="ANQ34:ANS34"/>
    <mergeCell ref="ALB34:ALE34"/>
    <mergeCell ref="ALI34:ALK34"/>
    <mergeCell ref="ALN34:ALQ34"/>
    <mergeCell ref="ALU34:ALW34"/>
    <mergeCell ref="ALZ34:AMC34"/>
    <mergeCell ref="AMG34:AMI34"/>
    <mergeCell ref="AJR34:AJU34"/>
    <mergeCell ref="AJY34:AKA34"/>
    <mergeCell ref="AKD34:AKG34"/>
    <mergeCell ref="AKK34:AKM34"/>
    <mergeCell ref="AKP34:AKS34"/>
    <mergeCell ref="AKW34:AKY34"/>
    <mergeCell ref="AIH34:AIK34"/>
    <mergeCell ref="AIO34:AIQ34"/>
    <mergeCell ref="AIT34:AIW34"/>
    <mergeCell ref="AJA34:AJC34"/>
    <mergeCell ref="AJF34:AJI34"/>
    <mergeCell ref="AJM34:AJO34"/>
    <mergeCell ref="AGX34:AHA34"/>
    <mergeCell ref="AHE34:AHG34"/>
    <mergeCell ref="AHJ34:AHM34"/>
    <mergeCell ref="AHQ34:AHS34"/>
    <mergeCell ref="AHV34:AHY34"/>
    <mergeCell ref="AIC34:AIE34"/>
    <mergeCell ref="AFM34:AFP34"/>
    <mergeCell ref="AFT34:AFV34"/>
    <mergeCell ref="AFZ34:AGC34"/>
    <mergeCell ref="AGG34:AGI34"/>
    <mergeCell ref="AGL34:AGO34"/>
    <mergeCell ref="AGS34:AGU34"/>
    <mergeCell ref="ADZ34:AEC34"/>
    <mergeCell ref="AEG34:AEI34"/>
    <mergeCell ref="AEM34:AEP34"/>
    <mergeCell ref="AET34:AEV34"/>
    <mergeCell ref="AEZ34:AFC34"/>
    <mergeCell ref="AFG34:AFI34"/>
    <mergeCell ref="ACM34:ACP34"/>
    <mergeCell ref="ACT34:ACV34"/>
    <mergeCell ref="ACZ34:ADC34"/>
    <mergeCell ref="ADG34:ADI34"/>
    <mergeCell ref="ADM34:ADP34"/>
    <mergeCell ref="ADT34:ADV34"/>
    <mergeCell ref="AAZ34:ABC34"/>
    <mergeCell ref="ABG34:ABI34"/>
    <mergeCell ref="ABM34:ABP34"/>
    <mergeCell ref="ABT34:ABV34"/>
    <mergeCell ref="ABZ34:ACC34"/>
    <mergeCell ref="ACG34:ACI34"/>
    <mergeCell ref="YX34:ZH34"/>
    <mergeCell ref="ZL34:ZV34"/>
    <mergeCell ref="ZZ34:AAC34"/>
    <mergeCell ref="AAG34:AAI34"/>
    <mergeCell ref="AAM34:AAP34"/>
    <mergeCell ref="AAT34:AAV34"/>
    <mergeCell ref="VR34:WB34"/>
    <mergeCell ref="WF34:WP34"/>
    <mergeCell ref="WT34:XD34"/>
    <mergeCell ref="XH34:XR34"/>
    <mergeCell ref="XV34:YF34"/>
    <mergeCell ref="YJ34:YT34"/>
    <mergeCell ref="SL34:SV34"/>
    <mergeCell ref="SZ34:TJ34"/>
    <mergeCell ref="TN34:TX34"/>
    <mergeCell ref="UB34:UL34"/>
    <mergeCell ref="UP34:UZ34"/>
    <mergeCell ref="VD34:VN34"/>
    <mergeCell ref="PF34:PP34"/>
    <mergeCell ref="PT34:QD34"/>
    <mergeCell ref="QH34:QR34"/>
    <mergeCell ref="QV34:RF34"/>
    <mergeCell ref="RJ34:RT34"/>
    <mergeCell ref="RX34:SH34"/>
    <mergeCell ref="LZ34:MJ34"/>
    <mergeCell ref="MN34:MX34"/>
    <mergeCell ref="NB34:NL34"/>
    <mergeCell ref="NP34:NZ34"/>
    <mergeCell ref="OD34:ON34"/>
    <mergeCell ref="OR34:PB34"/>
    <mergeCell ref="IT34:JD34"/>
    <mergeCell ref="JH34:JR34"/>
    <mergeCell ref="JV34:KF34"/>
    <mergeCell ref="KJ34:KT34"/>
    <mergeCell ref="KX34:LH34"/>
    <mergeCell ref="LL34:LV34"/>
    <mergeCell ref="FN34:FX34"/>
    <mergeCell ref="GB34:GL34"/>
    <mergeCell ref="GP34:GZ34"/>
    <mergeCell ref="HD34:HN34"/>
    <mergeCell ref="HR34:IB34"/>
    <mergeCell ref="IF34:IP34"/>
    <mergeCell ref="CH34:CR34"/>
    <mergeCell ref="CV34:DF34"/>
    <mergeCell ref="DJ34:DT34"/>
    <mergeCell ref="DX34:EH34"/>
    <mergeCell ref="EL34:EV34"/>
    <mergeCell ref="EZ34:FJ34"/>
    <mergeCell ref="CVQ33:CVS33"/>
    <mergeCell ref="CVV33:CVY33"/>
    <mergeCell ref="CVZ33:CWB33"/>
    <mergeCell ref="CWC33:CWE33"/>
    <mergeCell ref="B34:L34"/>
    <mergeCell ref="P34:Z34"/>
    <mergeCell ref="AD34:AN34"/>
    <mergeCell ref="AR34:BB34"/>
    <mergeCell ref="BF34:BP34"/>
    <mergeCell ref="BT34:CD34"/>
    <mergeCell ref="CUS33:CUU33"/>
    <mergeCell ref="CUX33:CVA33"/>
    <mergeCell ref="CVB33:CVD33"/>
    <mergeCell ref="CVE33:CVG33"/>
    <mergeCell ref="CVJ33:CVM33"/>
    <mergeCell ref="CVN33:CVP33"/>
    <mergeCell ref="CTU33:CTW33"/>
    <mergeCell ref="CTZ33:CUC33"/>
    <mergeCell ref="CUD33:CUF33"/>
    <mergeCell ref="CUG33:CUI33"/>
    <mergeCell ref="CUL33:CUO33"/>
    <mergeCell ref="CUP33:CUR33"/>
    <mergeCell ref="CSW33:CSY33"/>
    <mergeCell ref="CTB33:CTE33"/>
    <mergeCell ref="CTF33:CTH33"/>
    <mergeCell ref="CTI33:CTK33"/>
    <mergeCell ref="CTN33:CTQ33"/>
    <mergeCell ref="CTR33:CTT33"/>
    <mergeCell ref="CRY33:CSA33"/>
    <mergeCell ref="CSD33:CSG33"/>
    <mergeCell ref="CSH33:CSJ33"/>
    <mergeCell ref="CSK33:CSM33"/>
    <mergeCell ref="CSP33:CSS33"/>
    <mergeCell ref="CST33:CSV33"/>
    <mergeCell ref="CRA33:CRC33"/>
    <mergeCell ref="CRF33:CRI33"/>
    <mergeCell ref="CRJ33:CRL33"/>
    <mergeCell ref="CRM33:CRO33"/>
    <mergeCell ref="CRR33:CRU33"/>
    <mergeCell ref="CRV33:CRX33"/>
    <mergeCell ref="CQC33:CQE33"/>
    <mergeCell ref="CQH33:CQK33"/>
    <mergeCell ref="CQL33:CQN33"/>
    <mergeCell ref="CQO33:CQQ33"/>
    <mergeCell ref="CQT33:CQW33"/>
    <mergeCell ref="CQX33:CQZ33"/>
    <mergeCell ref="CPE33:CPG33"/>
    <mergeCell ref="CPJ33:CPM33"/>
    <mergeCell ref="CPN33:CPP33"/>
    <mergeCell ref="CPQ33:CPS33"/>
    <mergeCell ref="CPV33:CPY33"/>
    <mergeCell ref="CPZ33:CQB33"/>
    <mergeCell ref="COG33:COI33"/>
    <mergeCell ref="COL33:COO33"/>
    <mergeCell ref="COP33:COR33"/>
    <mergeCell ref="COS33:COU33"/>
    <mergeCell ref="COX33:CPA33"/>
    <mergeCell ref="CPB33:CPD33"/>
    <mergeCell ref="CNI33:CNK33"/>
    <mergeCell ref="CNN33:CNQ33"/>
    <mergeCell ref="CNR33:CNT33"/>
    <mergeCell ref="CNU33:CNW33"/>
    <mergeCell ref="CNZ33:COC33"/>
    <mergeCell ref="COD33:COF33"/>
    <mergeCell ref="CMK33:CMM33"/>
    <mergeCell ref="CMP33:CMS33"/>
    <mergeCell ref="CMT33:CMV33"/>
    <mergeCell ref="CMW33:CMY33"/>
    <mergeCell ref="CNB33:CNE33"/>
    <mergeCell ref="CNF33:CNH33"/>
    <mergeCell ref="CLM33:CLO33"/>
    <mergeCell ref="CLR33:CLU33"/>
    <mergeCell ref="CLV33:CLX33"/>
    <mergeCell ref="CLY33:CMA33"/>
    <mergeCell ref="CMD33:CMG33"/>
    <mergeCell ref="CMH33:CMJ33"/>
    <mergeCell ref="CKO33:CKQ33"/>
    <mergeCell ref="CKT33:CKW33"/>
    <mergeCell ref="CKX33:CKZ33"/>
    <mergeCell ref="CLA33:CLC33"/>
    <mergeCell ref="CLF33:CLI33"/>
    <mergeCell ref="CLJ33:CLL33"/>
    <mergeCell ref="CJQ33:CJS33"/>
    <mergeCell ref="CJV33:CJY33"/>
    <mergeCell ref="CJZ33:CKB33"/>
    <mergeCell ref="CKC33:CKE33"/>
    <mergeCell ref="CKH33:CKK33"/>
    <mergeCell ref="CKL33:CKN33"/>
    <mergeCell ref="CIS33:CIU33"/>
    <mergeCell ref="CIX33:CJA33"/>
    <mergeCell ref="CJB33:CJD33"/>
    <mergeCell ref="CJE33:CJG33"/>
    <mergeCell ref="CJJ33:CJM33"/>
    <mergeCell ref="CJN33:CJP33"/>
    <mergeCell ref="CHU33:CHW33"/>
    <mergeCell ref="CHZ33:CIC33"/>
    <mergeCell ref="CID33:CIF33"/>
    <mergeCell ref="CIG33:CII33"/>
    <mergeCell ref="CIL33:CIO33"/>
    <mergeCell ref="CIP33:CIR33"/>
    <mergeCell ref="CGW33:CGY33"/>
    <mergeCell ref="CHB33:CHE33"/>
    <mergeCell ref="CHF33:CHH33"/>
    <mergeCell ref="CHI33:CHK33"/>
    <mergeCell ref="CHN33:CHQ33"/>
    <mergeCell ref="CHR33:CHT33"/>
    <mergeCell ref="CFY33:CGA33"/>
    <mergeCell ref="CGD33:CGG33"/>
    <mergeCell ref="CGH33:CGJ33"/>
    <mergeCell ref="CGK33:CGM33"/>
    <mergeCell ref="CGP33:CGS33"/>
    <mergeCell ref="CGT33:CGV33"/>
    <mergeCell ref="CFA33:CFC33"/>
    <mergeCell ref="CFF33:CFI33"/>
    <mergeCell ref="CFJ33:CFL33"/>
    <mergeCell ref="CFM33:CFO33"/>
    <mergeCell ref="CFR33:CFU33"/>
    <mergeCell ref="CFV33:CFX33"/>
    <mergeCell ref="CEC33:CEE33"/>
    <mergeCell ref="CEH33:CEK33"/>
    <mergeCell ref="CEL33:CEN33"/>
    <mergeCell ref="CEO33:CEQ33"/>
    <mergeCell ref="CET33:CEW33"/>
    <mergeCell ref="CEX33:CEZ33"/>
    <mergeCell ref="CDE33:CDG33"/>
    <mergeCell ref="CDJ33:CDM33"/>
    <mergeCell ref="CDN33:CDP33"/>
    <mergeCell ref="CDQ33:CDS33"/>
    <mergeCell ref="CDV33:CDY33"/>
    <mergeCell ref="CDZ33:CEB33"/>
    <mergeCell ref="CCG33:CCI33"/>
    <mergeCell ref="CCL33:CCO33"/>
    <mergeCell ref="CCP33:CCR33"/>
    <mergeCell ref="CCS33:CCU33"/>
    <mergeCell ref="CCX33:CDA33"/>
    <mergeCell ref="CDB33:CDD33"/>
    <mergeCell ref="CBI33:CBK33"/>
    <mergeCell ref="CBN33:CBQ33"/>
    <mergeCell ref="CBR33:CBT33"/>
    <mergeCell ref="CBU33:CBW33"/>
    <mergeCell ref="CBZ33:CCC33"/>
    <mergeCell ref="CCD33:CCF33"/>
    <mergeCell ref="CAK33:CAM33"/>
    <mergeCell ref="CAP33:CAS33"/>
    <mergeCell ref="CAT33:CAV33"/>
    <mergeCell ref="CAW33:CAY33"/>
    <mergeCell ref="CBB33:CBE33"/>
    <mergeCell ref="CBF33:CBH33"/>
    <mergeCell ref="BZM33:BZO33"/>
    <mergeCell ref="BZR33:BZU33"/>
    <mergeCell ref="BZV33:BZX33"/>
    <mergeCell ref="BZY33:CAA33"/>
    <mergeCell ref="CAD33:CAG33"/>
    <mergeCell ref="CAH33:CAJ33"/>
    <mergeCell ref="BYO33:BYQ33"/>
    <mergeCell ref="BYT33:BYW33"/>
    <mergeCell ref="BYX33:BYZ33"/>
    <mergeCell ref="BZA33:BZC33"/>
    <mergeCell ref="BZF33:BZI33"/>
    <mergeCell ref="BZJ33:BZL33"/>
    <mergeCell ref="BXQ33:BXS33"/>
    <mergeCell ref="BXV33:BXY33"/>
    <mergeCell ref="BXZ33:BYB33"/>
    <mergeCell ref="BYC33:BYE33"/>
    <mergeCell ref="BYH33:BYK33"/>
    <mergeCell ref="BYL33:BYN33"/>
    <mergeCell ref="BWS33:BWU33"/>
    <mergeCell ref="BWX33:BXA33"/>
    <mergeCell ref="BXB33:BXD33"/>
    <mergeCell ref="BXE33:BXG33"/>
    <mergeCell ref="BXJ33:BXM33"/>
    <mergeCell ref="BXN33:BXP33"/>
    <mergeCell ref="BVU33:BVW33"/>
    <mergeCell ref="BVZ33:BWC33"/>
    <mergeCell ref="BWD33:BWF33"/>
    <mergeCell ref="BWG33:BWI33"/>
    <mergeCell ref="BWL33:BWO33"/>
    <mergeCell ref="BWP33:BWR33"/>
    <mergeCell ref="BUW33:BUY33"/>
    <mergeCell ref="BVB33:BVE33"/>
    <mergeCell ref="BVF33:BVH33"/>
    <mergeCell ref="BVI33:BVK33"/>
    <mergeCell ref="BVN33:BVQ33"/>
    <mergeCell ref="BVR33:BVT33"/>
    <mergeCell ref="BTY33:BUA33"/>
    <mergeCell ref="BUD33:BUG33"/>
    <mergeCell ref="BUH33:BUJ33"/>
    <mergeCell ref="BUK33:BUM33"/>
    <mergeCell ref="BUP33:BUS33"/>
    <mergeCell ref="BUT33:BUV33"/>
    <mergeCell ref="BTA33:BTC33"/>
    <mergeCell ref="BTF33:BTI33"/>
    <mergeCell ref="BTJ33:BTL33"/>
    <mergeCell ref="BTM33:BTO33"/>
    <mergeCell ref="BTR33:BTU33"/>
    <mergeCell ref="BTV33:BTX33"/>
    <mergeCell ref="BSC33:BSE33"/>
    <mergeCell ref="BSH33:BSK33"/>
    <mergeCell ref="BSL33:BSN33"/>
    <mergeCell ref="BSO33:BSQ33"/>
    <mergeCell ref="BST33:BSW33"/>
    <mergeCell ref="BSX33:BSZ33"/>
    <mergeCell ref="BRE33:BRG33"/>
    <mergeCell ref="BRJ33:BRM33"/>
    <mergeCell ref="BRN33:BRP33"/>
    <mergeCell ref="BRQ33:BRS33"/>
    <mergeCell ref="BRV33:BRY33"/>
    <mergeCell ref="BRZ33:BSB33"/>
    <mergeCell ref="BQG33:BQI33"/>
    <mergeCell ref="BQL33:BQO33"/>
    <mergeCell ref="BQP33:BQR33"/>
    <mergeCell ref="BQS33:BQU33"/>
    <mergeCell ref="BQX33:BRA33"/>
    <mergeCell ref="BRB33:BRD33"/>
    <mergeCell ref="BPI33:BPK33"/>
    <mergeCell ref="BPN33:BPQ33"/>
    <mergeCell ref="BPR33:BPT33"/>
    <mergeCell ref="BPU33:BPW33"/>
    <mergeCell ref="BPZ33:BQC33"/>
    <mergeCell ref="BQD33:BQF33"/>
    <mergeCell ref="BOK33:BOM33"/>
    <mergeCell ref="BOP33:BOS33"/>
    <mergeCell ref="BOT33:BOV33"/>
    <mergeCell ref="BOW33:BOY33"/>
    <mergeCell ref="BPB33:BPE33"/>
    <mergeCell ref="BPF33:BPH33"/>
    <mergeCell ref="BNM33:BNO33"/>
    <mergeCell ref="BNR33:BNU33"/>
    <mergeCell ref="BNV33:BNX33"/>
    <mergeCell ref="BNY33:BOA33"/>
    <mergeCell ref="BOD33:BOG33"/>
    <mergeCell ref="BOH33:BOJ33"/>
    <mergeCell ref="BMO33:BMQ33"/>
    <mergeCell ref="BMT33:BMW33"/>
    <mergeCell ref="BMX33:BMZ33"/>
    <mergeCell ref="BNA33:BNC33"/>
    <mergeCell ref="BNF33:BNI33"/>
    <mergeCell ref="BNJ33:BNL33"/>
    <mergeCell ref="BLQ33:BLS33"/>
    <mergeCell ref="BLV33:BLY33"/>
    <mergeCell ref="BLZ33:BMB33"/>
    <mergeCell ref="BMC33:BME33"/>
    <mergeCell ref="BMH33:BMK33"/>
    <mergeCell ref="BML33:BMN33"/>
    <mergeCell ref="BKS33:BKU33"/>
    <mergeCell ref="BKX33:BLA33"/>
    <mergeCell ref="BLB33:BLD33"/>
    <mergeCell ref="BLE33:BLG33"/>
    <mergeCell ref="BLJ33:BLM33"/>
    <mergeCell ref="BLN33:BLP33"/>
    <mergeCell ref="BJU33:BJW33"/>
    <mergeCell ref="BJZ33:BKC33"/>
    <mergeCell ref="BKD33:BKF33"/>
    <mergeCell ref="BKG33:BKI33"/>
    <mergeCell ref="BKL33:BKO33"/>
    <mergeCell ref="BKP33:BKR33"/>
    <mergeCell ref="BIW33:BIY33"/>
    <mergeCell ref="BJB33:BJE33"/>
    <mergeCell ref="BJF33:BJH33"/>
    <mergeCell ref="BJI33:BJK33"/>
    <mergeCell ref="BJN33:BJQ33"/>
    <mergeCell ref="BJR33:BJT33"/>
    <mergeCell ref="BHY33:BIA33"/>
    <mergeCell ref="BID33:BIG33"/>
    <mergeCell ref="BIH33:BIJ33"/>
    <mergeCell ref="BIK33:BIM33"/>
    <mergeCell ref="BIP33:BIS33"/>
    <mergeCell ref="BIT33:BIV33"/>
    <mergeCell ref="BGT33:BGW33"/>
    <mergeCell ref="BHA33:BHC33"/>
    <mergeCell ref="BHF33:BHI33"/>
    <mergeCell ref="BHM33:BHO33"/>
    <mergeCell ref="BHR33:BHU33"/>
    <mergeCell ref="BHV33:BHX33"/>
    <mergeCell ref="BFJ33:BFM33"/>
    <mergeCell ref="BFQ33:BFS33"/>
    <mergeCell ref="BFV33:BFY33"/>
    <mergeCell ref="BGC33:BGE33"/>
    <mergeCell ref="BGH33:BGK33"/>
    <mergeCell ref="BGO33:BGQ33"/>
    <mergeCell ref="BDZ33:BEC33"/>
    <mergeCell ref="BEG33:BEI33"/>
    <mergeCell ref="BEL33:BEO33"/>
    <mergeCell ref="BES33:BEU33"/>
    <mergeCell ref="BEX33:BFA33"/>
    <mergeCell ref="BFE33:BFG33"/>
    <mergeCell ref="BCP33:BCS33"/>
    <mergeCell ref="BCW33:BCY33"/>
    <mergeCell ref="BDB33:BDE33"/>
    <mergeCell ref="BDI33:BDK33"/>
    <mergeCell ref="BDN33:BDQ33"/>
    <mergeCell ref="BDU33:BDW33"/>
    <mergeCell ref="BBF33:BBI33"/>
    <mergeCell ref="BBM33:BBO33"/>
    <mergeCell ref="BBR33:BBU33"/>
    <mergeCell ref="BBY33:BCA33"/>
    <mergeCell ref="BCD33:BCG33"/>
    <mergeCell ref="BCK33:BCM33"/>
    <mergeCell ref="AZV33:AZY33"/>
    <mergeCell ref="BAC33:BAE33"/>
    <mergeCell ref="BAH33:BAK33"/>
    <mergeCell ref="BAO33:BAQ33"/>
    <mergeCell ref="BAT33:BAW33"/>
    <mergeCell ref="BBA33:BBC33"/>
    <mergeCell ref="AYL33:AYO33"/>
    <mergeCell ref="AYS33:AYU33"/>
    <mergeCell ref="AYX33:AZA33"/>
    <mergeCell ref="AZE33:AZG33"/>
    <mergeCell ref="AZJ33:AZM33"/>
    <mergeCell ref="AZQ33:AZS33"/>
    <mergeCell ref="AXB33:AXE33"/>
    <mergeCell ref="AXI33:AXK33"/>
    <mergeCell ref="AXN33:AXQ33"/>
    <mergeCell ref="AXU33:AXW33"/>
    <mergeCell ref="AXZ33:AYC33"/>
    <mergeCell ref="AYG33:AYI33"/>
    <mergeCell ref="AVR33:AVU33"/>
    <mergeCell ref="AVY33:AWA33"/>
    <mergeCell ref="AWD33:AWG33"/>
    <mergeCell ref="AWK33:AWM33"/>
    <mergeCell ref="AWP33:AWS33"/>
    <mergeCell ref="AWW33:AWY33"/>
    <mergeCell ref="AUH33:AUK33"/>
    <mergeCell ref="AUO33:AUQ33"/>
    <mergeCell ref="AUT33:AUW33"/>
    <mergeCell ref="AVA33:AVC33"/>
    <mergeCell ref="AVF33:AVI33"/>
    <mergeCell ref="AVM33:AVO33"/>
    <mergeCell ref="ASX33:ATA33"/>
    <mergeCell ref="ATE33:ATG33"/>
    <mergeCell ref="ATJ33:ATM33"/>
    <mergeCell ref="ATQ33:ATS33"/>
    <mergeCell ref="ATV33:ATY33"/>
    <mergeCell ref="AUC33:AUE33"/>
    <mergeCell ref="ARN33:ARQ33"/>
    <mergeCell ref="ARU33:ARW33"/>
    <mergeCell ref="ARZ33:ASC33"/>
    <mergeCell ref="ASG33:ASI33"/>
    <mergeCell ref="ASL33:ASO33"/>
    <mergeCell ref="ASS33:ASU33"/>
    <mergeCell ref="AQD33:AQG33"/>
    <mergeCell ref="AQK33:AQM33"/>
    <mergeCell ref="AQP33:AQS33"/>
    <mergeCell ref="AQW33:AQY33"/>
    <mergeCell ref="ARB33:ARE33"/>
    <mergeCell ref="ARI33:ARK33"/>
    <mergeCell ref="AOT33:AOW33"/>
    <mergeCell ref="APA33:APC33"/>
    <mergeCell ref="APF33:API33"/>
    <mergeCell ref="APM33:APO33"/>
    <mergeCell ref="APR33:APU33"/>
    <mergeCell ref="APY33:AQA33"/>
    <mergeCell ref="ANJ33:ANM33"/>
    <mergeCell ref="ANQ33:ANS33"/>
    <mergeCell ref="ANV33:ANY33"/>
    <mergeCell ref="AOC33:AOE33"/>
    <mergeCell ref="AOH33:AOK33"/>
    <mergeCell ref="AOO33:AOQ33"/>
    <mergeCell ref="ALZ33:AMC33"/>
    <mergeCell ref="AMG33:AMI33"/>
    <mergeCell ref="AML33:AMO33"/>
    <mergeCell ref="AMS33:AMU33"/>
    <mergeCell ref="AMX33:ANA33"/>
    <mergeCell ref="ANE33:ANG33"/>
    <mergeCell ref="AKP33:AKS33"/>
    <mergeCell ref="AKW33:AKY33"/>
    <mergeCell ref="ALB33:ALE33"/>
    <mergeCell ref="ALI33:ALK33"/>
    <mergeCell ref="ALN33:ALQ33"/>
    <mergeCell ref="ALU33:ALW33"/>
    <mergeCell ref="AJF33:AJI33"/>
    <mergeCell ref="AJM33:AJO33"/>
    <mergeCell ref="AJR33:AJU33"/>
    <mergeCell ref="AJY33:AKA33"/>
    <mergeCell ref="AKD33:AKG33"/>
    <mergeCell ref="AKK33:AKM33"/>
    <mergeCell ref="AHV33:AHY33"/>
    <mergeCell ref="AIC33:AIE33"/>
    <mergeCell ref="AIH33:AIK33"/>
    <mergeCell ref="AIO33:AIQ33"/>
    <mergeCell ref="AIT33:AIW33"/>
    <mergeCell ref="AJA33:AJC33"/>
    <mergeCell ref="AGL33:AGO33"/>
    <mergeCell ref="AGS33:AGU33"/>
    <mergeCell ref="AGX33:AHA33"/>
    <mergeCell ref="AHE33:AHG33"/>
    <mergeCell ref="AHJ33:AHM33"/>
    <mergeCell ref="AHQ33:AHS33"/>
    <mergeCell ref="AEZ33:AFC33"/>
    <mergeCell ref="AFG33:AFI33"/>
    <mergeCell ref="AFM33:AFP33"/>
    <mergeCell ref="AFT33:AFV33"/>
    <mergeCell ref="AFZ33:AGC33"/>
    <mergeCell ref="AGG33:AGI33"/>
    <mergeCell ref="ADM33:ADP33"/>
    <mergeCell ref="ADT33:ADV33"/>
    <mergeCell ref="ADZ33:AEC33"/>
    <mergeCell ref="AEG33:AEI33"/>
    <mergeCell ref="AEM33:AEP33"/>
    <mergeCell ref="AET33:AEV33"/>
    <mergeCell ref="ABZ33:ACC33"/>
    <mergeCell ref="ACG33:ACI33"/>
    <mergeCell ref="ACM33:ACP33"/>
    <mergeCell ref="ACT33:ACV33"/>
    <mergeCell ref="ACZ33:ADC33"/>
    <mergeCell ref="ADG33:ADI33"/>
    <mergeCell ref="CVN32:CVP32"/>
    <mergeCell ref="CVZ32:CWB32"/>
    <mergeCell ref="ZZ33:AAC33"/>
    <mergeCell ref="AAG33:AAI33"/>
    <mergeCell ref="AAM33:AAP33"/>
    <mergeCell ref="AAT33:AAV33"/>
    <mergeCell ref="AAZ33:ABC33"/>
    <mergeCell ref="ABG33:ABI33"/>
    <mergeCell ref="ABM33:ABP33"/>
    <mergeCell ref="ABT33:ABV33"/>
    <mergeCell ref="CST32:CSV32"/>
    <mergeCell ref="CTF32:CTH32"/>
    <mergeCell ref="CTR32:CTT32"/>
    <mergeCell ref="CUD32:CUF32"/>
    <mergeCell ref="CUP32:CUR32"/>
    <mergeCell ref="CVB32:CVD32"/>
    <mergeCell ref="CPZ32:CQB32"/>
    <mergeCell ref="CQL32:CQN32"/>
    <mergeCell ref="CQX32:CQZ32"/>
    <mergeCell ref="CRJ32:CRL32"/>
    <mergeCell ref="CRV32:CRX32"/>
    <mergeCell ref="CSH32:CSJ32"/>
    <mergeCell ref="CNF32:CNH32"/>
    <mergeCell ref="CNR32:CNT32"/>
    <mergeCell ref="COD32:COF32"/>
    <mergeCell ref="COP32:COR32"/>
    <mergeCell ref="CPB32:CPD32"/>
    <mergeCell ref="CPN32:CPP32"/>
    <mergeCell ref="CKL32:CKN32"/>
    <mergeCell ref="CKX32:CKZ32"/>
    <mergeCell ref="CLJ32:CLL32"/>
    <mergeCell ref="CLV32:CLX32"/>
    <mergeCell ref="CMH32:CMJ32"/>
    <mergeCell ref="CMT32:CMV32"/>
    <mergeCell ref="CHR32:CHT32"/>
    <mergeCell ref="CID32:CIF32"/>
    <mergeCell ref="CIP32:CIR32"/>
    <mergeCell ref="CJB32:CJD32"/>
    <mergeCell ref="CJN32:CJP32"/>
    <mergeCell ref="CJZ32:CKB32"/>
    <mergeCell ref="CEX32:CEZ32"/>
    <mergeCell ref="CFJ32:CFL32"/>
    <mergeCell ref="CFV32:CFX32"/>
    <mergeCell ref="CGH32:CGJ32"/>
    <mergeCell ref="CGT32:CGV32"/>
    <mergeCell ref="CHF32:CHH32"/>
    <mergeCell ref="CCD32:CCF32"/>
    <mergeCell ref="CCP32:CCR32"/>
    <mergeCell ref="CDB32:CDD32"/>
    <mergeCell ref="CDN32:CDP32"/>
    <mergeCell ref="CDZ32:CEB32"/>
    <mergeCell ref="CEL32:CEN32"/>
    <mergeCell ref="BZJ32:BZL32"/>
    <mergeCell ref="BZV32:BZX32"/>
    <mergeCell ref="CAH32:CAJ32"/>
    <mergeCell ref="CAT32:CAV32"/>
    <mergeCell ref="CBF32:CBH32"/>
    <mergeCell ref="CBR32:CBT32"/>
    <mergeCell ref="BWP32:BWR32"/>
    <mergeCell ref="BXB32:BXD32"/>
    <mergeCell ref="BXN32:BXP32"/>
    <mergeCell ref="BXZ32:BYB32"/>
    <mergeCell ref="BYL32:BYN32"/>
    <mergeCell ref="BYX32:BYZ32"/>
    <mergeCell ref="BTV32:BTX32"/>
    <mergeCell ref="BUH32:BUJ32"/>
    <mergeCell ref="BUT32:BUV32"/>
    <mergeCell ref="BVF32:BVH32"/>
    <mergeCell ref="BVR32:BVT32"/>
    <mergeCell ref="BWD32:BWF32"/>
    <mergeCell ref="BRB32:BRD32"/>
    <mergeCell ref="BRN32:BRP32"/>
    <mergeCell ref="BRZ32:BSB32"/>
    <mergeCell ref="BSL32:BSN32"/>
    <mergeCell ref="BSX32:BSZ32"/>
    <mergeCell ref="BTJ32:BTL32"/>
    <mergeCell ref="BOH32:BOJ32"/>
    <mergeCell ref="BOT32:BOV32"/>
    <mergeCell ref="BPF32:BPH32"/>
    <mergeCell ref="BPR32:BPT32"/>
    <mergeCell ref="BQD32:BQF32"/>
    <mergeCell ref="BQP32:BQR32"/>
    <mergeCell ref="BLN32:BLP32"/>
    <mergeCell ref="BLZ32:BMB32"/>
    <mergeCell ref="BML32:BMN32"/>
    <mergeCell ref="BMX32:BMZ32"/>
    <mergeCell ref="BNJ32:BNL32"/>
    <mergeCell ref="BNV32:BNX32"/>
    <mergeCell ref="CVJ30:CVS30"/>
    <mergeCell ref="CVV30:CWE30"/>
    <mergeCell ref="BHV32:BHX32"/>
    <mergeCell ref="BIH32:BIJ32"/>
    <mergeCell ref="BIT32:BIV32"/>
    <mergeCell ref="BJF32:BJH32"/>
    <mergeCell ref="BJR32:BJT32"/>
    <mergeCell ref="BKD32:BKF32"/>
    <mergeCell ref="BKP32:BKR32"/>
    <mergeCell ref="BLB32:BLD32"/>
    <mergeCell ref="CSP30:CSY30"/>
    <mergeCell ref="CTB30:CTK30"/>
    <mergeCell ref="CTN30:CTW30"/>
    <mergeCell ref="CTZ30:CUI30"/>
    <mergeCell ref="CUL30:CUU30"/>
    <mergeCell ref="CUX30:CVG30"/>
    <mergeCell ref="CPV30:CQE30"/>
    <mergeCell ref="CQH30:CQQ30"/>
    <mergeCell ref="CQT30:CRC30"/>
    <mergeCell ref="CRF30:CRO30"/>
    <mergeCell ref="CRR30:CSA30"/>
    <mergeCell ref="CSD30:CSM30"/>
    <mergeCell ref="CNB30:CNK30"/>
    <mergeCell ref="CNN30:CNW30"/>
    <mergeCell ref="CNZ30:COI30"/>
    <mergeCell ref="COL30:COU30"/>
    <mergeCell ref="COX30:CPG30"/>
    <mergeCell ref="CPJ30:CPS30"/>
    <mergeCell ref="CKH30:CKQ30"/>
    <mergeCell ref="CKT30:CLC30"/>
    <mergeCell ref="CLF30:CLO30"/>
    <mergeCell ref="CLR30:CMA30"/>
    <mergeCell ref="CMD30:CMM30"/>
    <mergeCell ref="CMP30:CMY30"/>
    <mergeCell ref="CHN30:CHW30"/>
    <mergeCell ref="CHZ30:CII30"/>
    <mergeCell ref="CIL30:CIU30"/>
    <mergeCell ref="CIX30:CJG30"/>
    <mergeCell ref="CJJ30:CJS30"/>
    <mergeCell ref="CJV30:CKE30"/>
    <mergeCell ref="CET30:CFC30"/>
    <mergeCell ref="CFF30:CFO30"/>
    <mergeCell ref="CFR30:CGA30"/>
    <mergeCell ref="CGD30:CGM30"/>
    <mergeCell ref="CGP30:CGY30"/>
    <mergeCell ref="CHB30:CHK30"/>
    <mergeCell ref="CBZ30:CCI30"/>
    <mergeCell ref="CCL30:CCU30"/>
    <mergeCell ref="CCX30:CDG30"/>
    <mergeCell ref="CDJ30:CDS30"/>
    <mergeCell ref="CDV30:CEE30"/>
    <mergeCell ref="CEH30:CEQ30"/>
    <mergeCell ref="BZF30:BZO30"/>
    <mergeCell ref="BZR30:CAA30"/>
    <mergeCell ref="CAD30:CAM30"/>
    <mergeCell ref="CAP30:CAY30"/>
    <mergeCell ref="CBB30:CBK30"/>
    <mergeCell ref="CBN30:CBW30"/>
    <mergeCell ref="BWL30:BWU30"/>
    <mergeCell ref="BWX30:BXG30"/>
    <mergeCell ref="BXJ30:BXS30"/>
    <mergeCell ref="BXV30:BYE30"/>
    <mergeCell ref="BYH30:BYQ30"/>
    <mergeCell ref="BYT30:BZC30"/>
    <mergeCell ref="BTR30:BUA30"/>
    <mergeCell ref="BUD30:BUM30"/>
    <mergeCell ref="BUP30:BUY30"/>
    <mergeCell ref="BVB30:BVK30"/>
    <mergeCell ref="BVN30:BVW30"/>
    <mergeCell ref="BVZ30:BWI30"/>
    <mergeCell ref="BQX30:BRG30"/>
    <mergeCell ref="BRJ30:BRS30"/>
    <mergeCell ref="BRV30:BSE30"/>
    <mergeCell ref="BSH30:BSQ30"/>
    <mergeCell ref="BST30:BTC30"/>
    <mergeCell ref="BTF30:BTO30"/>
    <mergeCell ref="BOD30:BOM30"/>
    <mergeCell ref="BOP30:BOY30"/>
    <mergeCell ref="BPB30:BPK30"/>
    <mergeCell ref="BPN30:BPW30"/>
    <mergeCell ref="BPZ30:BQI30"/>
    <mergeCell ref="BQL30:BQU30"/>
    <mergeCell ref="BLJ30:BLS30"/>
    <mergeCell ref="BLV30:BME30"/>
    <mergeCell ref="BMH30:BMQ30"/>
    <mergeCell ref="BMT30:BNC30"/>
    <mergeCell ref="BNF30:BNO30"/>
    <mergeCell ref="BNR30:BOA30"/>
    <mergeCell ref="CVJ29:CVS29"/>
    <mergeCell ref="CVV29:CWE29"/>
    <mergeCell ref="BHR30:BIA30"/>
    <mergeCell ref="BID30:BIM30"/>
    <mergeCell ref="BIP30:BIY30"/>
    <mergeCell ref="BJB30:BJK30"/>
    <mergeCell ref="BJN30:BJW30"/>
    <mergeCell ref="BJZ30:BKI30"/>
    <mergeCell ref="BKL30:BKU30"/>
    <mergeCell ref="BKX30:BLG30"/>
    <mergeCell ref="CSP29:CSY29"/>
    <mergeCell ref="CTB29:CTK29"/>
    <mergeCell ref="CTN29:CTW29"/>
    <mergeCell ref="CTZ29:CUI29"/>
    <mergeCell ref="CUL29:CUU29"/>
    <mergeCell ref="CUX29:CVG29"/>
    <mergeCell ref="CPV29:CQE29"/>
    <mergeCell ref="CQH29:CQQ29"/>
    <mergeCell ref="CQT29:CRC29"/>
    <mergeCell ref="CRF29:CRO29"/>
    <mergeCell ref="CRR29:CSA29"/>
    <mergeCell ref="CSD29:CSM29"/>
    <mergeCell ref="CNB29:CNK29"/>
    <mergeCell ref="CNN29:CNW29"/>
    <mergeCell ref="CNZ29:COI29"/>
    <mergeCell ref="COL29:COU29"/>
    <mergeCell ref="COX29:CPG29"/>
    <mergeCell ref="CPJ29:CPS29"/>
    <mergeCell ref="CKH29:CKQ29"/>
    <mergeCell ref="CKT29:CLC29"/>
    <mergeCell ref="CLF29:CLO29"/>
    <mergeCell ref="CLR29:CMA29"/>
    <mergeCell ref="CMD29:CMM29"/>
    <mergeCell ref="CMP29:CMY29"/>
    <mergeCell ref="CHN29:CHW29"/>
    <mergeCell ref="CHZ29:CII29"/>
    <mergeCell ref="CIL29:CIU29"/>
    <mergeCell ref="CIX29:CJG29"/>
    <mergeCell ref="CJJ29:CJS29"/>
    <mergeCell ref="CJV29:CKE29"/>
    <mergeCell ref="CET29:CFC29"/>
    <mergeCell ref="CFF29:CFO29"/>
    <mergeCell ref="CFR29:CGA29"/>
    <mergeCell ref="CGD29:CGM29"/>
    <mergeCell ref="CGP29:CGY29"/>
    <mergeCell ref="CHB29:CHK29"/>
    <mergeCell ref="CBZ29:CCI29"/>
    <mergeCell ref="CCL29:CCU29"/>
    <mergeCell ref="CCX29:CDG29"/>
    <mergeCell ref="CDJ29:CDS29"/>
    <mergeCell ref="CDV29:CEE29"/>
    <mergeCell ref="CEH29:CEQ29"/>
    <mergeCell ref="BZF29:BZO29"/>
    <mergeCell ref="BZR29:CAA29"/>
    <mergeCell ref="CAD29:CAM29"/>
    <mergeCell ref="CAP29:CAY29"/>
    <mergeCell ref="CBB29:CBK29"/>
    <mergeCell ref="CBN29:CBW29"/>
    <mergeCell ref="BWL29:BWU29"/>
    <mergeCell ref="BWX29:BXG29"/>
    <mergeCell ref="BXJ29:BXS29"/>
    <mergeCell ref="BXV29:BYE29"/>
    <mergeCell ref="BYH29:BYQ29"/>
    <mergeCell ref="BYT29:BZC29"/>
    <mergeCell ref="BTR29:BUA29"/>
    <mergeCell ref="BUD29:BUM29"/>
    <mergeCell ref="BUP29:BUY29"/>
    <mergeCell ref="BVB29:BVK29"/>
    <mergeCell ref="BVN29:BVW29"/>
    <mergeCell ref="BVZ29:BWI29"/>
    <mergeCell ref="BQX29:BRG29"/>
    <mergeCell ref="BRJ29:BRS29"/>
    <mergeCell ref="BRV29:BSE29"/>
    <mergeCell ref="BSH29:BSQ29"/>
    <mergeCell ref="BST29:BTC29"/>
    <mergeCell ref="BTF29:BTO29"/>
    <mergeCell ref="BOD29:BOM29"/>
    <mergeCell ref="BOP29:BOY29"/>
    <mergeCell ref="BPB29:BPK29"/>
    <mergeCell ref="BPN29:BPW29"/>
    <mergeCell ref="BPZ29:BQI29"/>
    <mergeCell ref="BQL29:BQU29"/>
    <mergeCell ref="BLJ29:BLS29"/>
    <mergeCell ref="BLV29:BME29"/>
    <mergeCell ref="BMH29:BMQ29"/>
    <mergeCell ref="BMT29:BNC29"/>
    <mergeCell ref="BNF29:BNO29"/>
    <mergeCell ref="BNR29:BOA29"/>
    <mergeCell ref="BIP29:BIY29"/>
    <mergeCell ref="BJB29:BJK29"/>
    <mergeCell ref="BJN29:BJW29"/>
    <mergeCell ref="BJZ29:BKI29"/>
    <mergeCell ref="BKL29:BKU29"/>
    <mergeCell ref="BKX29:BLG29"/>
    <mergeCell ref="WU29:WW30"/>
    <mergeCell ref="XI29:XK30"/>
    <mergeCell ref="XW29:XY30"/>
    <mergeCell ref="YK29:YM30"/>
    <mergeCell ref="YY29:ZA30"/>
    <mergeCell ref="ZM29:ZO30"/>
    <mergeCell ref="TO29:TQ30"/>
    <mergeCell ref="UC29:UE30"/>
    <mergeCell ref="UQ29:US30"/>
    <mergeCell ref="VE29:VG30"/>
    <mergeCell ref="VS29:VU30"/>
    <mergeCell ref="WG29:WI30"/>
    <mergeCell ref="QI29:QK30"/>
    <mergeCell ref="QW29:QY30"/>
    <mergeCell ref="RK29:RM30"/>
    <mergeCell ref="RY29:SA30"/>
    <mergeCell ref="SM29:SO30"/>
    <mergeCell ref="TA29:TC30"/>
    <mergeCell ref="NC29:NE30"/>
    <mergeCell ref="NQ29:NS30"/>
    <mergeCell ref="OE29:OG30"/>
    <mergeCell ref="OS29:OU30"/>
    <mergeCell ref="PG29:PI30"/>
    <mergeCell ref="PU29:PW30"/>
    <mergeCell ref="JW29:JY30"/>
    <mergeCell ref="KK29:KM30"/>
    <mergeCell ref="KY29:LA30"/>
    <mergeCell ref="LM29:LO30"/>
    <mergeCell ref="MA29:MC30"/>
    <mergeCell ref="MO29:MQ30"/>
    <mergeCell ref="GQ29:GS30"/>
    <mergeCell ref="HE29:HG30"/>
    <mergeCell ref="HS29:HU30"/>
    <mergeCell ref="IG29:II30"/>
    <mergeCell ref="IU29:IW30"/>
    <mergeCell ref="JI29:JK30"/>
    <mergeCell ref="DK29:DM30"/>
    <mergeCell ref="DY29:EA30"/>
    <mergeCell ref="EM29:EO30"/>
    <mergeCell ref="FA29:FC30"/>
    <mergeCell ref="FO29:FQ30"/>
    <mergeCell ref="GC29:GE30"/>
    <mergeCell ref="CVJ28:CVS28"/>
    <mergeCell ref="CVV28:CWE28"/>
    <mergeCell ref="C29:E30"/>
    <mergeCell ref="Q29:S30"/>
    <mergeCell ref="AE29:AG30"/>
    <mergeCell ref="AS29:AU30"/>
    <mergeCell ref="BG29:BI30"/>
    <mergeCell ref="BU29:BW30"/>
    <mergeCell ref="CI29:CK30"/>
    <mergeCell ref="CW29:CY30"/>
    <mergeCell ref="CSP28:CSY28"/>
    <mergeCell ref="CTB28:CTK28"/>
    <mergeCell ref="CTN28:CTW28"/>
    <mergeCell ref="CTZ28:CUI28"/>
    <mergeCell ref="CUL28:CUU28"/>
    <mergeCell ref="CUX28:CVG28"/>
    <mergeCell ref="CPV28:CQE28"/>
    <mergeCell ref="CQH28:CQQ28"/>
    <mergeCell ref="CQT28:CRC28"/>
    <mergeCell ref="CRF28:CRO28"/>
    <mergeCell ref="CRR28:CSA28"/>
    <mergeCell ref="CSD28:CSM28"/>
    <mergeCell ref="CNB28:CNK28"/>
    <mergeCell ref="CNN28:CNW28"/>
    <mergeCell ref="CNZ28:COI28"/>
    <mergeCell ref="COL28:COU28"/>
    <mergeCell ref="COX28:CPG28"/>
    <mergeCell ref="CPJ28:CPS28"/>
    <mergeCell ref="CKH28:CKQ28"/>
    <mergeCell ref="CKT28:CLC28"/>
    <mergeCell ref="CLF28:CLO28"/>
    <mergeCell ref="CLR28:CMA28"/>
    <mergeCell ref="CMD28:CMM28"/>
    <mergeCell ref="CMP28:CMY28"/>
    <mergeCell ref="CHN28:CHW28"/>
    <mergeCell ref="CHZ28:CII28"/>
    <mergeCell ref="CIL28:CIU28"/>
    <mergeCell ref="CIX28:CJG28"/>
    <mergeCell ref="CJJ28:CJS28"/>
    <mergeCell ref="CJV28:CKE28"/>
    <mergeCell ref="CET28:CFC28"/>
    <mergeCell ref="CFF28:CFO28"/>
    <mergeCell ref="CFR28:CGA28"/>
    <mergeCell ref="CGD28:CGM28"/>
    <mergeCell ref="CGP28:CGY28"/>
    <mergeCell ref="CHB28:CHK28"/>
    <mergeCell ref="CBZ28:CCI28"/>
    <mergeCell ref="CCL28:CCU28"/>
    <mergeCell ref="CCX28:CDG28"/>
    <mergeCell ref="CDJ28:CDS28"/>
    <mergeCell ref="CDV28:CEE28"/>
    <mergeCell ref="CEH28:CEQ28"/>
    <mergeCell ref="BZF28:BZO28"/>
    <mergeCell ref="BZR28:CAA28"/>
    <mergeCell ref="CAD28:CAM28"/>
    <mergeCell ref="CAP28:CAY28"/>
    <mergeCell ref="CBB28:CBK28"/>
    <mergeCell ref="CBN28:CBW28"/>
    <mergeCell ref="BWL28:BWU28"/>
    <mergeCell ref="BWX28:BXG28"/>
    <mergeCell ref="BXJ28:BXS28"/>
    <mergeCell ref="BXV28:BYE28"/>
    <mergeCell ref="BYH28:BYQ28"/>
    <mergeCell ref="BYT28:BZC28"/>
    <mergeCell ref="BTR28:BUA28"/>
    <mergeCell ref="BUD28:BUM28"/>
    <mergeCell ref="BUP28:BUY28"/>
    <mergeCell ref="BVB28:BVK28"/>
    <mergeCell ref="BVN28:BVW28"/>
    <mergeCell ref="BVZ28:BWI28"/>
    <mergeCell ref="BQX28:BRG28"/>
    <mergeCell ref="BRJ28:BRS28"/>
    <mergeCell ref="BRV28:BSE28"/>
    <mergeCell ref="BSH28:BSQ28"/>
    <mergeCell ref="BST28:BTC28"/>
    <mergeCell ref="BTF28:BTO28"/>
    <mergeCell ref="BOD28:BOM28"/>
    <mergeCell ref="BOP28:BOY28"/>
    <mergeCell ref="BPB28:BPK28"/>
    <mergeCell ref="BPN28:BPW28"/>
    <mergeCell ref="BPZ28:BQI28"/>
    <mergeCell ref="BQL28:BQU28"/>
    <mergeCell ref="BLJ28:BLS28"/>
    <mergeCell ref="BLV28:BME28"/>
    <mergeCell ref="BMH28:BMQ28"/>
    <mergeCell ref="BMT28:BNC28"/>
    <mergeCell ref="BNF28:BNO28"/>
    <mergeCell ref="BNR28:BOA28"/>
    <mergeCell ref="BIP28:BIY28"/>
    <mergeCell ref="BJB28:BJK28"/>
    <mergeCell ref="BJN28:BJW28"/>
    <mergeCell ref="BJZ28:BKI28"/>
    <mergeCell ref="BKL28:BKU28"/>
    <mergeCell ref="BKX28:BLG28"/>
    <mergeCell ref="YB28:YD28"/>
    <mergeCell ref="YE28:YF28"/>
    <mergeCell ref="YP28:YR28"/>
    <mergeCell ref="YS28:YT28"/>
    <mergeCell ref="ZD28:ZF28"/>
    <mergeCell ref="ZG28:ZH28"/>
    <mergeCell ref="WL28:WN28"/>
    <mergeCell ref="WO28:WP28"/>
    <mergeCell ref="WZ28:XB28"/>
    <mergeCell ref="XC28:XD28"/>
    <mergeCell ref="XN28:XP28"/>
    <mergeCell ref="XQ28:XR28"/>
    <mergeCell ref="UV28:UX28"/>
    <mergeCell ref="UY28:UZ28"/>
    <mergeCell ref="VJ28:VL28"/>
    <mergeCell ref="VM28:VN28"/>
    <mergeCell ref="VX28:VZ28"/>
    <mergeCell ref="WA28:WB28"/>
    <mergeCell ref="TF28:TH28"/>
    <mergeCell ref="TI28:TJ28"/>
    <mergeCell ref="TT28:TV28"/>
    <mergeCell ref="TW28:TX28"/>
    <mergeCell ref="UH28:UJ28"/>
    <mergeCell ref="UK28:UL28"/>
    <mergeCell ref="RP28:RR28"/>
    <mergeCell ref="RS28:RT28"/>
    <mergeCell ref="SD28:SF28"/>
    <mergeCell ref="SG28:SH28"/>
    <mergeCell ref="SR28:ST28"/>
    <mergeCell ref="SU28:SV28"/>
    <mergeCell ref="PZ28:QB28"/>
    <mergeCell ref="QC28:QD28"/>
    <mergeCell ref="QN28:QP28"/>
    <mergeCell ref="QQ28:QR28"/>
    <mergeCell ref="RB28:RD28"/>
    <mergeCell ref="RE28:RF28"/>
    <mergeCell ref="OJ28:OL28"/>
    <mergeCell ref="OM28:ON28"/>
    <mergeCell ref="OX28:OZ28"/>
    <mergeCell ref="PA28:PB28"/>
    <mergeCell ref="PL28:PN28"/>
    <mergeCell ref="PO28:PP28"/>
    <mergeCell ref="MT28:MV28"/>
    <mergeCell ref="MW28:MX28"/>
    <mergeCell ref="NH28:NJ28"/>
    <mergeCell ref="NK28:NL28"/>
    <mergeCell ref="NV28:NX28"/>
    <mergeCell ref="NY28:NZ28"/>
    <mergeCell ref="LD28:LF28"/>
    <mergeCell ref="LG28:LH28"/>
    <mergeCell ref="LR28:LT28"/>
    <mergeCell ref="LU28:LV28"/>
    <mergeCell ref="MF28:MH28"/>
    <mergeCell ref="MI28:MJ28"/>
    <mergeCell ref="JN28:JP28"/>
    <mergeCell ref="JQ28:JR28"/>
    <mergeCell ref="KB28:KD28"/>
    <mergeCell ref="KE28:KF28"/>
    <mergeCell ref="KP28:KR28"/>
    <mergeCell ref="KS28:KT28"/>
    <mergeCell ref="HX28:HZ28"/>
    <mergeCell ref="IA28:IB28"/>
    <mergeCell ref="IL28:IN28"/>
    <mergeCell ref="IO28:IP28"/>
    <mergeCell ref="IZ28:JB28"/>
    <mergeCell ref="JC28:JD28"/>
    <mergeCell ref="GH28:GJ28"/>
    <mergeCell ref="GK28:GL28"/>
    <mergeCell ref="GV28:GX28"/>
    <mergeCell ref="GY28:GZ28"/>
    <mergeCell ref="HJ28:HL28"/>
    <mergeCell ref="HM28:HN28"/>
    <mergeCell ref="ER28:ET28"/>
    <mergeCell ref="EU28:EV28"/>
    <mergeCell ref="FF28:FH28"/>
    <mergeCell ref="FI28:FJ28"/>
    <mergeCell ref="FT28:FV28"/>
    <mergeCell ref="FW28:FX28"/>
    <mergeCell ref="DB28:DD28"/>
    <mergeCell ref="DE28:DF28"/>
    <mergeCell ref="DP28:DR28"/>
    <mergeCell ref="DS28:DT28"/>
    <mergeCell ref="ED28:EF28"/>
    <mergeCell ref="EG28:EH28"/>
    <mergeCell ref="BL28:BN28"/>
    <mergeCell ref="BO28:BP28"/>
    <mergeCell ref="BZ28:CB28"/>
    <mergeCell ref="CC28:CD28"/>
    <mergeCell ref="CN28:CP28"/>
    <mergeCell ref="CQ28:CR28"/>
    <mergeCell ref="CVJ27:CVS27"/>
    <mergeCell ref="CVV27:CWE27"/>
    <mergeCell ref="H28:J28"/>
    <mergeCell ref="K28:L28"/>
    <mergeCell ref="V28:X28"/>
    <mergeCell ref="Y28:Z28"/>
    <mergeCell ref="AJ28:AL28"/>
    <mergeCell ref="AM28:AN28"/>
    <mergeCell ref="AX28:AZ28"/>
    <mergeCell ref="BA28:BB28"/>
    <mergeCell ref="CSP27:CSY27"/>
    <mergeCell ref="CTB27:CTK27"/>
    <mergeCell ref="CTN27:CTW27"/>
    <mergeCell ref="CTZ27:CUI27"/>
    <mergeCell ref="CUL27:CUU27"/>
    <mergeCell ref="CUX27:CVG27"/>
    <mergeCell ref="CPV27:CQE27"/>
    <mergeCell ref="CQH27:CQQ27"/>
    <mergeCell ref="CQT27:CRC27"/>
    <mergeCell ref="CRF27:CRO27"/>
    <mergeCell ref="CRR27:CSA27"/>
    <mergeCell ref="CSD27:CSM27"/>
    <mergeCell ref="CNB27:CNK27"/>
    <mergeCell ref="CNN27:CNW27"/>
    <mergeCell ref="CNZ27:COI27"/>
    <mergeCell ref="COL27:COU27"/>
    <mergeCell ref="COX27:CPG27"/>
    <mergeCell ref="CPJ27:CPS27"/>
    <mergeCell ref="CKH27:CKQ27"/>
    <mergeCell ref="CKT27:CLC27"/>
    <mergeCell ref="CLF27:CLO27"/>
    <mergeCell ref="CLR27:CMA27"/>
    <mergeCell ref="CMD27:CMM27"/>
    <mergeCell ref="CMP27:CMY27"/>
    <mergeCell ref="CHN27:CHW27"/>
    <mergeCell ref="CHZ27:CII27"/>
    <mergeCell ref="CIL27:CIU27"/>
    <mergeCell ref="CIX27:CJG27"/>
    <mergeCell ref="CJJ27:CJS27"/>
    <mergeCell ref="CJV27:CKE27"/>
    <mergeCell ref="CET27:CFC27"/>
    <mergeCell ref="CFF27:CFO27"/>
    <mergeCell ref="CFR27:CGA27"/>
    <mergeCell ref="CGD27:CGM27"/>
    <mergeCell ref="CGP27:CGY27"/>
    <mergeCell ref="CHB27:CHK27"/>
    <mergeCell ref="CBZ27:CCI27"/>
    <mergeCell ref="CCL27:CCU27"/>
    <mergeCell ref="CCX27:CDG27"/>
    <mergeCell ref="CDJ27:CDS27"/>
    <mergeCell ref="CDV27:CEE27"/>
    <mergeCell ref="CEH27:CEQ27"/>
    <mergeCell ref="BZF27:BZO27"/>
    <mergeCell ref="BZR27:CAA27"/>
    <mergeCell ref="CAD27:CAM27"/>
    <mergeCell ref="CAP27:CAY27"/>
    <mergeCell ref="CBB27:CBK27"/>
    <mergeCell ref="CBN27:CBW27"/>
    <mergeCell ref="BWL27:BWU27"/>
    <mergeCell ref="BWX27:BXG27"/>
    <mergeCell ref="BXJ27:BXS27"/>
    <mergeCell ref="BXV27:BYE27"/>
    <mergeCell ref="BYH27:BYQ27"/>
    <mergeCell ref="BYT27:BZC27"/>
    <mergeCell ref="BTR27:BUA27"/>
    <mergeCell ref="BUD27:BUM27"/>
    <mergeCell ref="BUP27:BUY27"/>
    <mergeCell ref="BVB27:BVK27"/>
    <mergeCell ref="BVN27:BVW27"/>
    <mergeCell ref="BVZ27:BWI27"/>
    <mergeCell ref="BQX27:BRG27"/>
    <mergeCell ref="BRJ27:BRS27"/>
    <mergeCell ref="BRV27:BSE27"/>
    <mergeCell ref="BSH27:BSQ27"/>
    <mergeCell ref="BST27:BTC27"/>
    <mergeCell ref="BTF27:BTO27"/>
    <mergeCell ref="BOD27:BOM27"/>
    <mergeCell ref="BOP27:BOY27"/>
    <mergeCell ref="BPB27:BPK27"/>
    <mergeCell ref="BPN27:BPW27"/>
    <mergeCell ref="BPZ27:BQI27"/>
    <mergeCell ref="BQL27:BQU27"/>
    <mergeCell ref="BLJ27:BLS27"/>
    <mergeCell ref="BLV27:BME27"/>
    <mergeCell ref="BMH27:BMQ27"/>
    <mergeCell ref="BMT27:BNC27"/>
    <mergeCell ref="BNF27:BNO27"/>
    <mergeCell ref="BNR27:BOA27"/>
    <mergeCell ref="BIP27:BIY27"/>
    <mergeCell ref="BJB27:BJK27"/>
    <mergeCell ref="BJN27:BJW27"/>
    <mergeCell ref="BJZ27:BKI27"/>
    <mergeCell ref="BKL27:BKU27"/>
    <mergeCell ref="BKX27:BLG27"/>
    <mergeCell ref="BFV27:BGE30"/>
    <mergeCell ref="BGH27:BGQ30"/>
    <mergeCell ref="BGT27:BHC30"/>
    <mergeCell ref="BHF27:BHO30"/>
    <mergeCell ref="BHR27:BIA27"/>
    <mergeCell ref="BID27:BIM27"/>
    <mergeCell ref="BHR28:BIA28"/>
    <mergeCell ref="BID28:BIM28"/>
    <mergeCell ref="BHR29:BIA29"/>
    <mergeCell ref="BID29:BIM29"/>
    <mergeCell ref="BDB27:BDK30"/>
    <mergeCell ref="BDN27:BDW30"/>
    <mergeCell ref="BDZ27:BEI30"/>
    <mergeCell ref="BEL27:BEU30"/>
    <mergeCell ref="BEX27:BFG30"/>
    <mergeCell ref="BFJ27:BFS30"/>
    <mergeCell ref="BAH27:BAQ30"/>
    <mergeCell ref="BAT27:BBC30"/>
    <mergeCell ref="BBF27:BBO30"/>
    <mergeCell ref="BBR27:BCA30"/>
    <mergeCell ref="BCD27:BCM30"/>
    <mergeCell ref="BCP27:BCY30"/>
    <mergeCell ref="AXN27:AXW30"/>
    <mergeCell ref="AXZ27:AYI30"/>
    <mergeCell ref="AYL27:AYU30"/>
    <mergeCell ref="AYX27:AZG30"/>
    <mergeCell ref="AZJ27:AZS30"/>
    <mergeCell ref="AZV27:BAE30"/>
    <mergeCell ref="AUT27:AVC30"/>
    <mergeCell ref="AVF27:AVO30"/>
    <mergeCell ref="AVR27:AWA30"/>
    <mergeCell ref="AWD27:AWM30"/>
    <mergeCell ref="AWP27:AWY30"/>
    <mergeCell ref="AXB27:AXK30"/>
    <mergeCell ref="ARZ27:ASI30"/>
    <mergeCell ref="ASL27:ASU30"/>
    <mergeCell ref="ASX27:ATG30"/>
    <mergeCell ref="ATJ27:ATS30"/>
    <mergeCell ref="ATV27:AUE30"/>
    <mergeCell ref="AUH27:AUQ30"/>
    <mergeCell ref="APF27:APO30"/>
    <mergeCell ref="APR27:AQA30"/>
    <mergeCell ref="AQD27:AQM30"/>
    <mergeCell ref="AQP27:AQY30"/>
    <mergeCell ref="ARB27:ARK30"/>
    <mergeCell ref="ARN27:ARW30"/>
    <mergeCell ref="AML27:AMU30"/>
    <mergeCell ref="AMX27:ANG30"/>
    <mergeCell ref="ANJ27:ANS30"/>
    <mergeCell ref="ANV27:AOE30"/>
    <mergeCell ref="AOH27:AOQ30"/>
    <mergeCell ref="AOT27:APC30"/>
    <mergeCell ref="AJR27:AKA30"/>
    <mergeCell ref="AKD27:AKM30"/>
    <mergeCell ref="AKP27:AKY30"/>
    <mergeCell ref="ALB27:ALK30"/>
    <mergeCell ref="ALN27:ALW30"/>
    <mergeCell ref="ALZ27:AMI30"/>
    <mergeCell ref="AGX27:AHG30"/>
    <mergeCell ref="AHJ27:AHS30"/>
    <mergeCell ref="AHV27:AIE30"/>
    <mergeCell ref="AIH27:AIQ30"/>
    <mergeCell ref="AIT27:AJC30"/>
    <mergeCell ref="AJF27:AJO30"/>
    <mergeCell ref="ADZ27:AEI30"/>
    <mergeCell ref="AEM27:AEV30"/>
    <mergeCell ref="AEZ27:AFI30"/>
    <mergeCell ref="AFM27:AFV30"/>
    <mergeCell ref="AFZ27:AGI30"/>
    <mergeCell ref="AGL27:AGU30"/>
    <mergeCell ref="AAZ27:ABI30"/>
    <mergeCell ref="ABM27:ABV30"/>
    <mergeCell ref="ABZ27:ACI30"/>
    <mergeCell ref="ACM27:ACV30"/>
    <mergeCell ref="ACZ27:ADI30"/>
    <mergeCell ref="ADM27:ADV30"/>
    <mergeCell ref="ZD27:ZF27"/>
    <mergeCell ref="ZG27:ZH27"/>
    <mergeCell ref="ZR27:ZT27"/>
    <mergeCell ref="ZU27:ZV27"/>
    <mergeCell ref="ZZ27:AAI30"/>
    <mergeCell ref="AAM27:AAV30"/>
    <mergeCell ref="ZR28:ZT28"/>
    <mergeCell ref="ZU28:ZV28"/>
    <mergeCell ref="XN27:XP27"/>
    <mergeCell ref="XQ27:XR27"/>
    <mergeCell ref="YB27:YD27"/>
    <mergeCell ref="YE27:YF27"/>
    <mergeCell ref="YP27:YR27"/>
    <mergeCell ref="YS27:YT27"/>
    <mergeCell ref="VX27:VZ27"/>
    <mergeCell ref="WA27:WB27"/>
    <mergeCell ref="WL27:WN27"/>
    <mergeCell ref="WO27:WP27"/>
    <mergeCell ref="WZ27:XB27"/>
    <mergeCell ref="XC27:XD27"/>
    <mergeCell ref="UH27:UJ27"/>
    <mergeCell ref="UK27:UL27"/>
    <mergeCell ref="UV27:UX27"/>
    <mergeCell ref="UY27:UZ27"/>
    <mergeCell ref="VJ27:VL27"/>
    <mergeCell ref="VM27:VN27"/>
    <mergeCell ref="SR27:ST27"/>
    <mergeCell ref="SU27:SV27"/>
    <mergeCell ref="TF27:TH27"/>
    <mergeCell ref="TI27:TJ27"/>
    <mergeCell ref="TT27:TV27"/>
    <mergeCell ref="TW27:TX27"/>
    <mergeCell ref="RB27:RD27"/>
    <mergeCell ref="RE27:RF27"/>
    <mergeCell ref="RP27:RR27"/>
    <mergeCell ref="RS27:RT27"/>
    <mergeCell ref="SD27:SF27"/>
    <mergeCell ref="SG27:SH27"/>
    <mergeCell ref="PL27:PN27"/>
    <mergeCell ref="PO27:PP27"/>
    <mergeCell ref="PZ27:QB27"/>
    <mergeCell ref="QC27:QD27"/>
    <mergeCell ref="QN27:QP27"/>
    <mergeCell ref="QQ27:QR27"/>
    <mergeCell ref="NV27:NX27"/>
    <mergeCell ref="NY27:NZ27"/>
    <mergeCell ref="OJ27:OL27"/>
    <mergeCell ref="OM27:ON27"/>
    <mergeCell ref="OX27:OZ27"/>
    <mergeCell ref="PA27:PB27"/>
    <mergeCell ref="MF27:MH27"/>
    <mergeCell ref="MI27:MJ27"/>
    <mergeCell ref="MT27:MV27"/>
    <mergeCell ref="MW27:MX27"/>
    <mergeCell ref="NH27:NJ27"/>
    <mergeCell ref="NK27:NL27"/>
    <mergeCell ref="KP27:KR27"/>
    <mergeCell ref="KS27:KT27"/>
    <mergeCell ref="LD27:LF27"/>
    <mergeCell ref="LG27:LH27"/>
    <mergeCell ref="LR27:LT27"/>
    <mergeCell ref="LU27:LV27"/>
    <mergeCell ref="IZ27:JB27"/>
    <mergeCell ref="JC27:JD27"/>
    <mergeCell ref="JN27:JP27"/>
    <mergeCell ref="JQ27:JR27"/>
    <mergeCell ref="KB27:KD27"/>
    <mergeCell ref="KE27:KF27"/>
    <mergeCell ref="HJ27:HL27"/>
    <mergeCell ref="HM27:HN27"/>
    <mergeCell ref="HX27:HZ27"/>
    <mergeCell ref="IA27:IB27"/>
    <mergeCell ref="IL27:IN27"/>
    <mergeCell ref="IO27:IP27"/>
    <mergeCell ref="FT27:FV27"/>
    <mergeCell ref="FW27:FX27"/>
    <mergeCell ref="GH27:GJ27"/>
    <mergeCell ref="GK27:GL27"/>
    <mergeCell ref="GV27:GX27"/>
    <mergeCell ref="GY27:GZ27"/>
    <mergeCell ref="ED27:EF27"/>
    <mergeCell ref="EG27:EH27"/>
    <mergeCell ref="ER27:ET27"/>
    <mergeCell ref="EU27:EV27"/>
    <mergeCell ref="FF27:FH27"/>
    <mergeCell ref="FI27:FJ27"/>
    <mergeCell ref="CN27:CP27"/>
    <mergeCell ref="CQ27:CR27"/>
    <mergeCell ref="DB27:DD27"/>
    <mergeCell ref="DE27:DF27"/>
    <mergeCell ref="DP27:DR27"/>
    <mergeCell ref="DS27:DT27"/>
    <mergeCell ref="AX27:AZ27"/>
    <mergeCell ref="BA27:BB27"/>
    <mergeCell ref="BL27:BN27"/>
    <mergeCell ref="BO27:BP27"/>
    <mergeCell ref="BZ27:CB27"/>
    <mergeCell ref="CC27:CD27"/>
    <mergeCell ref="H27:J27"/>
    <mergeCell ref="K27:L27"/>
    <mergeCell ref="V27:X27"/>
    <mergeCell ref="Y27:Z27"/>
    <mergeCell ref="AJ27:AL27"/>
    <mergeCell ref="AM27:AN27"/>
    <mergeCell ref="CTN26:CTW26"/>
    <mergeCell ref="CTZ26:CUI26"/>
    <mergeCell ref="CUL26:CUU26"/>
    <mergeCell ref="CUX26:CVG26"/>
    <mergeCell ref="CVJ26:CVS26"/>
    <mergeCell ref="CVV26:CWE26"/>
    <mergeCell ref="CQT26:CRC26"/>
    <mergeCell ref="CRF26:CRO26"/>
    <mergeCell ref="CRR26:CSA26"/>
    <mergeCell ref="CSD26:CSM26"/>
    <mergeCell ref="CSP26:CSY26"/>
    <mergeCell ref="CTB26:CTK26"/>
    <mergeCell ref="CNZ26:COI26"/>
    <mergeCell ref="COL26:COU26"/>
    <mergeCell ref="COX26:CPG26"/>
    <mergeCell ref="CPJ26:CPS26"/>
    <mergeCell ref="CPV26:CQE26"/>
    <mergeCell ref="CQH26:CQQ26"/>
    <mergeCell ref="CLF26:CLO26"/>
    <mergeCell ref="CLR26:CMA26"/>
    <mergeCell ref="CMD26:CMM26"/>
    <mergeCell ref="CMP26:CMY26"/>
    <mergeCell ref="CNB26:CNK26"/>
    <mergeCell ref="CNN26:CNW26"/>
    <mergeCell ref="CIL26:CIU26"/>
    <mergeCell ref="CIX26:CJG26"/>
    <mergeCell ref="CJJ26:CJS26"/>
    <mergeCell ref="CJV26:CKE26"/>
    <mergeCell ref="CKH26:CKQ26"/>
    <mergeCell ref="CKT26:CLC26"/>
    <mergeCell ref="CFR26:CGA26"/>
    <mergeCell ref="CGD26:CGM26"/>
    <mergeCell ref="CGP26:CGY26"/>
    <mergeCell ref="CHB26:CHK26"/>
    <mergeCell ref="CHN26:CHW26"/>
    <mergeCell ref="CHZ26:CII26"/>
    <mergeCell ref="CCX26:CDG26"/>
    <mergeCell ref="CDJ26:CDS26"/>
    <mergeCell ref="CDV26:CEE26"/>
    <mergeCell ref="CEH26:CEQ26"/>
    <mergeCell ref="CET26:CFC26"/>
    <mergeCell ref="CFF26:CFO26"/>
    <mergeCell ref="CAD26:CAM26"/>
    <mergeCell ref="CAP26:CAY26"/>
    <mergeCell ref="CBB26:CBK26"/>
    <mergeCell ref="CBN26:CBW26"/>
    <mergeCell ref="CBZ26:CCI26"/>
    <mergeCell ref="CCL26:CCU26"/>
    <mergeCell ref="BXJ26:BXS26"/>
    <mergeCell ref="BXV26:BYE26"/>
    <mergeCell ref="BYH26:BYQ26"/>
    <mergeCell ref="BYT26:BZC26"/>
    <mergeCell ref="BZF26:BZO26"/>
    <mergeCell ref="BZR26:CAA26"/>
    <mergeCell ref="BUP26:BUY26"/>
    <mergeCell ref="BVB26:BVK26"/>
    <mergeCell ref="BVN26:BVW26"/>
    <mergeCell ref="BVZ26:BWI26"/>
    <mergeCell ref="BWL26:BWU26"/>
    <mergeCell ref="BWX26:BXG26"/>
    <mergeCell ref="BRV26:BSE26"/>
    <mergeCell ref="BSH26:BSQ26"/>
    <mergeCell ref="BST26:BTC26"/>
    <mergeCell ref="BTF26:BTO26"/>
    <mergeCell ref="BTR26:BUA26"/>
    <mergeCell ref="BUD26:BUM26"/>
    <mergeCell ref="BPB26:BPK26"/>
    <mergeCell ref="BPN26:BPW26"/>
    <mergeCell ref="BPZ26:BQI26"/>
    <mergeCell ref="BQL26:BQU26"/>
    <mergeCell ref="BQX26:BRG26"/>
    <mergeCell ref="BRJ26:BRS26"/>
    <mergeCell ref="BMH26:BMQ26"/>
    <mergeCell ref="BMT26:BNC26"/>
    <mergeCell ref="BNF26:BNO26"/>
    <mergeCell ref="BNR26:BOA26"/>
    <mergeCell ref="BOD26:BOM26"/>
    <mergeCell ref="BOP26:BOY26"/>
    <mergeCell ref="BJN26:BJW26"/>
    <mergeCell ref="BJZ26:BKI26"/>
    <mergeCell ref="BKL26:BKU26"/>
    <mergeCell ref="BKX26:BLG26"/>
    <mergeCell ref="BLJ26:BLS26"/>
    <mergeCell ref="BLV26:BME26"/>
    <mergeCell ref="BGT26:BHC26"/>
    <mergeCell ref="BHF26:BHO26"/>
    <mergeCell ref="BHR26:BIA26"/>
    <mergeCell ref="BID26:BIM26"/>
    <mergeCell ref="BIP26:BIY26"/>
    <mergeCell ref="BJB26:BJK26"/>
    <mergeCell ref="BDZ26:BEI26"/>
    <mergeCell ref="BEL26:BEU26"/>
    <mergeCell ref="BEX26:BFG26"/>
    <mergeCell ref="BFJ26:BFS26"/>
    <mergeCell ref="BFV26:BGE26"/>
    <mergeCell ref="BGH26:BGQ26"/>
    <mergeCell ref="BBF26:BBO26"/>
    <mergeCell ref="BBR26:BCA26"/>
    <mergeCell ref="BCD26:BCM26"/>
    <mergeCell ref="BCP26:BCY26"/>
    <mergeCell ref="BDB26:BDK26"/>
    <mergeCell ref="BDN26:BDW26"/>
    <mergeCell ref="AYL26:AYU26"/>
    <mergeCell ref="AYX26:AZG26"/>
    <mergeCell ref="AZJ26:AZS26"/>
    <mergeCell ref="AZV26:BAE26"/>
    <mergeCell ref="BAH26:BAQ26"/>
    <mergeCell ref="BAT26:BBC26"/>
    <mergeCell ref="AVR26:AWA26"/>
    <mergeCell ref="AWD26:AWM26"/>
    <mergeCell ref="AWP26:AWY26"/>
    <mergeCell ref="AXB26:AXK26"/>
    <mergeCell ref="AXN26:AXW26"/>
    <mergeCell ref="AXZ26:AYI26"/>
    <mergeCell ref="ASX26:ATG26"/>
    <mergeCell ref="ATJ26:ATS26"/>
    <mergeCell ref="ATV26:AUE26"/>
    <mergeCell ref="AUH26:AUQ26"/>
    <mergeCell ref="AUT26:AVC26"/>
    <mergeCell ref="AVF26:AVO26"/>
    <mergeCell ref="AQD26:AQM26"/>
    <mergeCell ref="AQP26:AQY26"/>
    <mergeCell ref="ARB26:ARK26"/>
    <mergeCell ref="ARN26:ARW26"/>
    <mergeCell ref="ARZ26:ASI26"/>
    <mergeCell ref="ASL26:ASU26"/>
    <mergeCell ref="ANJ26:ANS26"/>
    <mergeCell ref="ANV26:AOE26"/>
    <mergeCell ref="AOH26:AOQ26"/>
    <mergeCell ref="AOT26:APC26"/>
    <mergeCell ref="APF26:APO26"/>
    <mergeCell ref="APR26:AQA26"/>
    <mergeCell ref="AKP26:AKY26"/>
    <mergeCell ref="ALB26:ALK26"/>
    <mergeCell ref="ALN26:ALW26"/>
    <mergeCell ref="ALZ26:AMI26"/>
    <mergeCell ref="AML26:AMU26"/>
    <mergeCell ref="AMX26:ANG26"/>
    <mergeCell ref="AHV26:AIE26"/>
    <mergeCell ref="AIH26:AIQ26"/>
    <mergeCell ref="AIT26:AJC26"/>
    <mergeCell ref="AJF26:AJO26"/>
    <mergeCell ref="AJR26:AKA26"/>
    <mergeCell ref="AKD26:AKM26"/>
    <mergeCell ref="AEZ26:AFI26"/>
    <mergeCell ref="AFM26:AFV26"/>
    <mergeCell ref="AFZ26:AGI26"/>
    <mergeCell ref="AGL26:AGU26"/>
    <mergeCell ref="AGX26:AHG26"/>
    <mergeCell ref="AHJ26:AHS26"/>
    <mergeCell ref="ABZ26:ACI26"/>
    <mergeCell ref="ACM26:ACV26"/>
    <mergeCell ref="ACZ26:ADI26"/>
    <mergeCell ref="ADM26:ADV26"/>
    <mergeCell ref="ADZ26:AEI26"/>
    <mergeCell ref="AEM26:AEV26"/>
    <mergeCell ref="ZR26:ZT26"/>
    <mergeCell ref="ZU26:ZV26"/>
    <mergeCell ref="ZZ26:AAI26"/>
    <mergeCell ref="AAM26:AAV26"/>
    <mergeCell ref="AAZ26:ABI26"/>
    <mergeCell ref="ABM26:ABV26"/>
    <mergeCell ref="YB26:YD26"/>
    <mergeCell ref="YE26:YF26"/>
    <mergeCell ref="YP26:YR26"/>
    <mergeCell ref="YS26:YT26"/>
    <mergeCell ref="ZD26:ZF26"/>
    <mergeCell ref="ZG26:ZH26"/>
    <mergeCell ref="WL26:WN26"/>
    <mergeCell ref="WO26:WP26"/>
    <mergeCell ref="WZ26:XB26"/>
    <mergeCell ref="XC26:XD26"/>
    <mergeCell ref="XN26:XP26"/>
    <mergeCell ref="XQ26:XR26"/>
    <mergeCell ref="UV26:UX26"/>
    <mergeCell ref="UY26:UZ26"/>
    <mergeCell ref="VJ26:VL26"/>
    <mergeCell ref="VM26:VN26"/>
    <mergeCell ref="VX26:VZ26"/>
    <mergeCell ref="WA26:WB26"/>
    <mergeCell ref="TF26:TH26"/>
    <mergeCell ref="TI26:TJ26"/>
    <mergeCell ref="TT26:TV26"/>
    <mergeCell ref="TW26:TX26"/>
    <mergeCell ref="UH26:UJ26"/>
    <mergeCell ref="UK26:UL26"/>
    <mergeCell ref="RP26:RR26"/>
    <mergeCell ref="RS26:RT26"/>
    <mergeCell ref="SD26:SF26"/>
    <mergeCell ref="SG26:SH26"/>
    <mergeCell ref="SR26:ST26"/>
    <mergeCell ref="SU26:SV26"/>
    <mergeCell ref="PZ26:QB26"/>
    <mergeCell ref="QC26:QD26"/>
    <mergeCell ref="QN26:QP26"/>
    <mergeCell ref="QQ26:QR26"/>
    <mergeCell ref="RB26:RD26"/>
    <mergeCell ref="RE26:RF26"/>
    <mergeCell ref="OJ26:OL26"/>
    <mergeCell ref="OM26:ON26"/>
    <mergeCell ref="OX26:OZ26"/>
    <mergeCell ref="PA26:PB26"/>
    <mergeCell ref="PL26:PN26"/>
    <mergeCell ref="PO26:PP26"/>
    <mergeCell ref="MT26:MV26"/>
    <mergeCell ref="MW26:MX26"/>
    <mergeCell ref="NH26:NJ26"/>
    <mergeCell ref="NK26:NL26"/>
    <mergeCell ref="NV26:NX26"/>
    <mergeCell ref="NY26:NZ26"/>
    <mergeCell ref="LD26:LF26"/>
    <mergeCell ref="LG26:LH26"/>
    <mergeCell ref="LR26:LT26"/>
    <mergeCell ref="LU26:LV26"/>
    <mergeCell ref="MF26:MH26"/>
    <mergeCell ref="MI26:MJ26"/>
    <mergeCell ref="JN26:JP26"/>
    <mergeCell ref="JQ26:JR26"/>
    <mergeCell ref="KB26:KD26"/>
    <mergeCell ref="KE26:KF26"/>
    <mergeCell ref="KP26:KR26"/>
    <mergeCell ref="KS26:KT26"/>
    <mergeCell ref="HX26:HZ26"/>
    <mergeCell ref="IA26:IB26"/>
    <mergeCell ref="IL26:IN26"/>
    <mergeCell ref="IO26:IP26"/>
    <mergeCell ref="IZ26:JB26"/>
    <mergeCell ref="JC26:JD26"/>
    <mergeCell ref="GH26:GJ26"/>
    <mergeCell ref="GK26:GL26"/>
    <mergeCell ref="GV26:GX26"/>
    <mergeCell ref="GY26:GZ26"/>
    <mergeCell ref="HJ26:HL26"/>
    <mergeCell ref="HM26:HN26"/>
    <mergeCell ref="ER26:ET26"/>
    <mergeCell ref="EU26:EV26"/>
    <mergeCell ref="FF26:FH26"/>
    <mergeCell ref="FI26:FJ26"/>
    <mergeCell ref="FT26:FV26"/>
    <mergeCell ref="FW26:FX26"/>
    <mergeCell ref="DB26:DD26"/>
    <mergeCell ref="DE26:DF26"/>
    <mergeCell ref="DP26:DR26"/>
    <mergeCell ref="DS26:DT26"/>
    <mergeCell ref="ED26:EF26"/>
    <mergeCell ref="EG26:EH26"/>
    <mergeCell ref="BL26:BN26"/>
    <mergeCell ref="BO26:BP26"/>
    <mergeCell ref="BZ26:CB26"/>
    <mergeCell ref="CC26:CD26"/>
    <mergeCell ref="CN26:CP26"/>
    <mergeCell ref="CQ26:CR26"/>
    <mergeCell ref="CVJ25:CVS25"/>
    <mergeCell ref="CVV25:CWE25"/>
    <mergeCell ref="H26:J26"/>
    <mergeCell ref="K26:L26"/>
    <mergeCell ref="V26:X26"/>
    <mergeCell ref="Y26:Z26"/>
    <mergeCell ref="AJ26:AL26"/>
    <mergeCell ref="AM26:AN26"/>
    <mergeCell ref="AX26:AZ26"/>
    <mergeCell ref="BA26:BB26"/>
    <mergeCell ref="CSP25:CSY25"/>
    <mergeCell ref="CTB25:CTK25"/>
    <mergeCell ref="CTN25:CTW25"/>
    <mergeCell ref="CTZ25:CUI25"/>
    <mergeCell ref="CUL25:CUU25"/>
    <mergeCell ref="CUX25:CVG25"/>
    <mergeCell ref="CPV25:CQE25"/>
    <mergeCell ref="CQH25:CQQ25"/>
    <mergeCell ref="CQT25:CRC25"/>
    <mergeCell ref="CRF25:CRO25"/>
    <mergeCell ref="CRR25:CSA25"/>
    <mergeCell ref="CSD25:CSM25"/>
    <mergeCell ref="CNB25:CNK25"/>
    <mergeCell ref="CNN25:CNW25"/>
    <mergeCell ref="CNZ25:COI25"/>
    <mergeCell ref="COL25:COU25"/>
    <mergeCell ref="COX25:CPG25"/>
    <mergeCell ref="CPJ25:CPS25"/>
    <mergeCell ref="CKH25:CKQ25"/>
    <mergeCell ref="CKT25:CLC25"/>
    <mergeCell ref="CLF25:CLO25"/>
    <mergeCell ref="CLR25:CMA25"/>
    <mergeCell ref="CMD25:CMM25"/>
    <mergeCell ref="CMP25:CMY25"/>
    <mergeCell ref="CHN25:CHW25"/>
    <mergeCell ref="CHZ25:CII25"/>
    <mergeCell ref="CIL25:CIU25"/>
    <mergeCell ref="CIX25:CJG25"/>
    <mergeCell ref="CJJ25:CJS25"/>
    <mergeCell ref="CJV25:CKE25"/>
    <mergeCell ref="CET25:CFC25"/>
    <mergeCell ref="CFF25:CFO25"/>
    <mergeCell ref="CFR25:CGA25"/>
    <mergeCell ref="CGD25:CGM25"/>
    <mergeCell ref="CGP25:CGY25"/>
    <mergeCell ref="CHB25:CHK25"/>
    <mergeCell ref="CBZ25:CCI25"/>
    <mergeCell ref="CCL25:CCU25"/>
    <mergeCell ref="CCX25:CDG25"/>
    <mergeCell ref="CDJ25:CDS25"/>
    <mergeCell ref="CDV25:CEE25"/>
    <mergeCell ref="CEH25:CEQ25"/>
    <mergeCell ref="BZF25:BZO25"/>
    <mergeCell ref="BZR25:CAA25"/>
    <mergeCell ref="CAD25:CAM25"/>
    <mergeCell ref="CAP25:CAY25"/>
    <mergeCell ref="CBB25:CBK25"/>
    <mergeCell ref="CBN25:CBW25"/>
    <mergeCell ref="BWL25:BWU25"/>
    <mergeCell ref="BWX25:BXG25"/>
    <mergeCell ref="BXJ25:BXS25"/>
    <mergeCell ref="BXV25:BYE25"/>
    <mergeCell ref="BYH25:BYQ25"/>
    <mergeCell ref="BYT25:BZC25"/>
    <mergeCell ref="BTR25:BUA25"/>
    <mergeCell ref="BUD25:BUM25"/>
    <mergeCell ref="BUP25:BUY25"/>
    <mergeCell ref="BVB25:BVK25"/>
    <mergeCell ref="BVN25:BVW25"/>
    <mergeCell ref="BVZ25:BWI25"/>
    <mergeCell ref="BQX25:BRG25"/>
    <mergeCell ref="BRJ25:BRS25"/>
    <mergeCell ref="BRV25:BSE25"/>
    <mergeCell ref="BSH25:BSQ25"/>
    <mergeCell ref="BST25:BTC25"/>
    <mergeCell ref="BTF25:BTO25"/>
    <mergeCell ref="BOD25:BOM25"/>
    <mergeCell ref="BOP25:BOY25"/>
    <mergeCell ref="BPB25:BPK25"/>
    <mergeCell ref="BPN25:BPW25"/>
    <mergeCell ref="BPZ25:BQI25"/>
    <mergeCell ref="BQL25:BQU25"/>
    <mergeCell ref="BLJ25:BLS25"/>
    <mergeCell ref="BLV25:BME25"/>
    <mergeCell ref="BMH25:BMQ25"/>
    <mergeCell ref="BMT25:BNC25"/>
    <mergeCell ref="BNF25:BNO25"/>
    <mergeCell ref="BNR25:BOA25"/>
    <mergeCell ref="BIP25:BIY25"/>
    <mergeCell ref="BJB25:BJK25"/>
    <mergeCell ref="BJN25:BJW25"/>
    <mergeCell ref="BJZ25:BKI25"/>
    <mergeCell ref="BKL25:BKU25"/>
    <mergeCell ref="BKX25:BLG25"/>
    <mergeCell ref="ZD25:ZF25"/>
    <mergeCell ref="ZG25:ZH25"/>
    <mergeCell ref="ZR25:ZT25"/>
    <mergeCell ref="ZU25:ZV25"/>
    <mergeCell ref="BHR25:BIA25"/>
    <mergeCell ref="BID25:BIM25"/>
    <mergeCell ref="XN25:XP25"/>
    <mergeCell ref="XQ25:XR25"/>
    <mergeCell ref="YB25:YD25"/>
    <mergeCell ref="YE25:YF25"/>
    <mergeCell ref="YP25:YR25"/>
    <mergeCell ref="YS25:YT25"/>
    <mergeCell ref="VX25:VZ25"/>
    <mergeCell ref="WA25:WB25"/>
    <mergeCell ref="WL25:WN25"/>
    <mergeCell ref="WO25:WP25"/>
    <mergeCell ref="WZ25:XB25"/>
    <mergeCell ref="XC25:XD25"/>
    <mergeCell ref="UH25:UJ25"/>
    <mergeCell ref="UK25:UL25"/>
    <mergeCell ref="UV25:UX25"/>
    <mergeCell ref="UY25:UZ25"/>
    <mergeCell ref="VJ25:VL25"/>
    <mergeCell ref="VM25:VN25"/>
    <mergeCell ref="SR25:ST25"/>
    <mergeCell ref="SU25:SV25"/>
    <mergeCell ref="TF25:TH25"/>
    <mergeCell ref="TI25:TJ25"/>
    <mergeCell ref="TT25:TV25"/>
    <mergeCell ref="TW25:TX25"/>
    <mergeCell ref="RB25:RD25"/>
    <mergeCell ref="RE25:RF25"/>
    <mergeCell ref="RP25:RR25"/>
    <mergeCell ref="RS25:RT25"/>
    <mergeCell ref="SD25:SF25"/>
    <mergeCell ref="SG25:SH25"/>
    <mergeCell ref="PL25:PN25"/>
    <mergeCell ref="PO25:PP25"/>
    <mergeCell ref="PZ25:QB25"/>
    <mergeCell ref="QC25:QD25"/>
    <mergeCell ref="QN25:QP25"/>
    <mergeCell ref="QQ25:QR25"/>
    <mergeCell ref="NV25:NX25"/>
    <mergeCell ref="NY25:NZ25"/>
    <mergeCell ref="OJ25:OL25"/>
    <mergeCell ref="OM25:ON25"/>
    <mergeCell ref="OX25:OZ25"/>
    <mergeCell ref="PA25:PB25"/>
    <mergeCell ref="MF25:MH25"/>
    <mergeCell ref="MI25:MJ25"/>
    <mergeCell ref="MT25:MV25"/>
    <mergeCell ref="MW25:MX25"/>
    <mergeCell ref="NH25:NJ25"/>
    <mergeCell ref="NK25:NL25"/>
    <mergeCell ref="KP25:KR25"/>
    <mergeCell ref="KS25:KT25"/>
    <mergeCell ref="LD25:LF25"/>
    <mergeCell ref="LG25:LH25"/>
    <mergeCell ref="LR25:LT25"/>
    <mergeCell ref="LU25:LV25"/>
    <mergeCell ref="IZ25:JB25"/>
    <mergeCell ref="JC25:JD25"/>
    <mergeCell ref="JN25:JP25"/>
    <mergeCell ref="JQ25:JR25"/>
    <mergeCell ref="KB25:KD25"/>
    <mergeCell ref="KE25:KF25"/>
    <mergeCell ref="HJ25:HL25"/>
    <mergeCell ref="HM25:HN25"/>
    <mergeCell ref="HX25:HZ25"/>
    <mergeCell ref="IA25:IB25"/>
    <mergeCell ref="IL25:IN25"/>
    <mergeCell ref="IO25:IP25"/>
    <mergeCell ref="FT25:FV25"/>
    <mergeCell ref="FW25:FX25"/>
    <mergeCell ref="GH25:GJ25"/>
    <mergeCell ref="GK25:GL25"/>
    <mergeCell ref="GV25:GX25"/>
    <mergeCell ref="GY25:GZ25"/>
    <mergeCell ref="ED25:EF25"/>
    <mergeCell ref="EG25:EH25"/>
    <mergeCell ref="ER25:ET25"/>
    <mergeCell ref="EU25:EV25"/>
    <mergeCell ref="FF25:FH25"/>
    <mergeCell ref="FI25:FJ25"/>
    <mergeCell ref="CN25:CP25"/>
    <mergeCell ref="CQ25:CR25"/>
    <mergeCell ref="DB25:DD25"/>
    <mergeCell ref="DE25:DF25"/>
    <mergeCell ref="DP25:DR25"/>
    <mergeCell ref="DS25:DT25"/>
    <mergeCell ref="AX25:AZ25"/>
    <mergeCell ref="BA25:BB25"/>
    <mergeCell ref="BL25:BN25"/>
    <mergeCell ref="BO25:BP25"/>
    <mergeCell ref="BZ25:CB25"/>
    <mergeCell ref="CC25:CD25"/>
    <mergeCell ref="H25:J25"/>
    <mergeCell ref="K25:L25"/>
    <mergeCell ref="V25:X25"/>
    <mergeCell ref="Y25:Z25"/>
    <mergeCell ref="AJ25:AL25"/>
    <mergeCell ref="AM25:AN25"/>
    <mergeCell ref="CVJ24:CVL24"/>
    <mergeCell ref="CVM24:CVO24"/>
    <mergeCell ref="CVQ24:CVR24"/>
    <mergeCell ref="CVV24:CVX24"/>
    <mergeCell ref="CVY24:CWA24"/>
    <mergeCell ref="CWC24:CWD24"/>
    <mergeCell ref="CUL24:CUN24"/>
    <mergeCell ref="CUO24:CUQ24"/>
    <mergeCell ref="CUS24:CUT24"/>
    <mergeCell ref="CUX24:CUZ24"/>
    <mergeCell ref="CVA24:CVC24"/>
    <mergeCell ref="CVE24:CVF24"/>
    <mergeCell ref="CTN24:CTP24"/>
    <mergeCell ref="CTQ24:CTS24"/>
    <mergeCell ref="CTU24:CTV24"/>
    <mergeCell ref="CTZ24:CUB24"/>
    <mergeCell ref="CUC24:CUE24"/>
    <mergeCell ref="CUG24:CUH24"/>
    <mergeCell ref="CSP24:CSR24"/>
    <mergeCell ref="CSS24:CSU24"/>
    <mergeCell ref="CSW24:CSX24"/>
    <mergeCell ref="CTB24:CTD24"/>
    <mergeCell ref="CTE24:CTG24"/>
    <mergeCell ref="CTI24:CTJ24"/>
    <mergeCell ref="CRR24:CRT24"/>
    <mergeCell ref="CRU24:CRW24"/>
    <mergeCell ref="CRY24:CRZ24"/>
    <mergeCell ref="CSD24:CSF24"/>
    <mergeCell ref="CSG24:CSI24"/>
    <mergeCell ref="CSK24:CSL24"/>
    <mergeCell ref="CQT24:CQV24"/>
    <mergeCell ref="CQW24:CQY24"/>
    <mergeCell ref="CRA24:CRB24"/>
    <mergeCell ref="CRF24:CRH24"/>
    <mergeCell ref="CRI24:CRK24"/>
    <mergeCell ref="CRM24:CRN24"/>
    <mergeCell ref="CPV24:CPX24"/>
    <mergeCell ref="CPY24:CQA24"/>
    <mergeCell ref="CQC24:CQD24"/>
    <mergeCell ref="CQH24:CQJ24"/>
    <mergeCell ref="CQK24:CQM24"/>
    <mergeCell ref="CQO24:CQP24"/>
    <mergeCell ref="COX24:COZ24"/>
    <mergeCell ref="CPA24:CPC24"/>
    <mergeCell ref="CPE24:CPF24"/>
    <mergeCell ref="CPJ24:CPL24"/>
    <mergeCell ref="CPM24:CPO24"/>
    <mergeCell ref="CPQ24:CPR24"/>
    <mergeCell ref="CNZ24:COB24"/>
    <mergeCell ref="COC24:COE24"/>
    <mergeCell ref="COG24:COH24"/>
    <mergeCell ref="COL24:CON24"/>
    <mergeCell ref="COO24:COQ24"/>
    <mergeCell ref="COS24:COT24"/>
    <mergeCell ref="CNB24:CND24"/>
    <mergeCell ref="CNE24:CNG24"/>
    <mergeCell ref="CNI24:CNJ24"/>
    <mergeCell ref="CNN24:CNP24"/>
    <mergeCell ref="CNQ24:CNS24"/>
    <mergeCell ref="CNU24:CNV24"/>
    <mergeCell ref="CMD24:CMF24"/>
    <mergeCell ref="CMG24:CMI24"/>
    <mergeCell ref="CMK24:CML24"/>
    <mergeCell ref="CMP24:CMR24"/>
    <mergeCell ref="CMS24:CMU24"/>
    <mergeCell ref="CMW24:CMX24"/>
    <mergeCell ref="CLF24:CLH24"/>
    <mergeCell ref="CLI24:CLK24"/>
    <mergeCell ref="CLM24:CLN24"/>
    <mergeCell ref="CLR24:CLT24"/>
    <mergeCell ref="CLU24:CLW24"/>
    <mergeCell ref="CLY24:CLZ24"/>
    <mergeCell ref="CKH24:CKJ24"/>
    <mergeCell ref="CKK24:CKM24"/>
    <mergeCell ref="CKO24:CKP24"/>
    <mergeCell ref="CKT24:CKV24"/>
    <mergeCell ref="CKW24:CKY24"/>
    <mergeCell ref="CLA24:CLB24"/>
    <mergeCell ref="CJJ24:CJL24"/>
    <mergeCell ref="CJM24:CJO24"/>
    <mergeCell ref="CJQ24:CJR24"/>
    <mergeCell ref="CJV24:CJX24"/>
    <mergeCell ref="CJY24:CKA24"/>
    <mergeCell ref="CKC24:CKD24"/>
    <mergeCell ref="CIL24:CIN24"/>
    <mergeCell ref="CIO24:CIQ24"/>
    <mergeCell ref="CIS24:CIT24"/>
    <mergeCell ref="CIX24:CIZ24"/>
    <mergeCell ref="CJA24:CJC24"/>
    <mergeCell ref="CJE24:CJF24"/>
    <mergeCell ref="CHN24:CHP24"/>
    <mergeCell ref="CHQ24:CHS24"/>
    <mergeCell ref="CHU24:CHV24"/>
    <mergeCell ref="CHZ24:CIB24"/>
    <mergeCell ref="CIC24:CIE24"/>
    <mergeCell ref="CIG24:CIH24"/>
    <mergeCell ref="CGP24:CGR24"/>
    <mergeCell ref="CGS24:CGU24"/>
    <mergeCell ref="CGW24:CGX24"/>
    <mergeCell ref="CHB24:CHD24"/>
    <mergeCell ref="CHE24:CHG24"/>
    <mergeCell ref="CHI24:CHJ24"/>
    <mergeCell ref="CFR24:CFT24"/>
    <mergeCell ref="CFU24:CFW24"/>
    <mergeCell ref="CFY24:CFZ24"/>
    <mergeCell ref="CGD24:CGF24"/>
    <mergeCell ref="CGG24:CGI24"/>
    <mergeCell ref="CGK24:CGL24"/>
    <mergeCell ref="CET24:CEV24"/>
    <mergeCell ref="CEW24:CEY24"/>
    <mergeCell ref="CFA24:CFB24"/>
    <mergeCell ref="CFF24:CFH24"/>
    <mergeCell ref="CFI24:CFK24"/>
    <mergeCell ref="CFM24:CFN24"/>
    <mergeCell ref="CDV24:CDX24"/>
    <mergeCell ref="CDY24:CEA24"/>
    <mergeCell ref="CEC24:CED24"/>
    <mergeCell ref="CEH24:CEJ24"/>
    <mergeCell ref="CEK24:CEM24"/>
    <mergeCell ref="CEO24:CEP24"/>
    <mergeCell ref="CCX24:CCZ24"/>
    <mergeCell ref="CDA24:CDC24"/>
    <mergeCell ref="CDE24:CDF24"/>
    <mergeCell ref="CDJ24:CDL24"/>
    <mergeCell ref="CDM24:CDO24"/>
    <mergeCell ref="CDQ24:CDR24"/>
    <mergeCell ref="CBZ24:CCB24"/>
    <mergeCell ref="CCC24:CCE24"/>
    <mergeCell ref="CCG24:CCH24"/>
    <mergeCell ref="CCL24:CCN24"/>
    <mergeCell ref="CCO24:CCQ24"/>
    <mergeCell ref="CCS24:CCT24"/>
    <mergeCell ref="CBB24:CBD24"/>
    <mergeCell ref="CBE24:CBG24"/>
    <mergeCell ref="CBI24:CBJ24"/>
    <mergeCell ref="CBN24:CBP24"/>
    <mergeCell ref="CBQ24:CBS24"/>
    <mergeCell ref="CBU24:CBV24"/>
    <mergeCell ref="CAD24:CAF24"/>
    <mergeCell ref="CAG24:CAI24"/>
    <mergeCell ref="CAK24:CAL24"/>
    <mergeCell ref="CAP24:CAR24"/>
    <mergeCell ref="CAS24:CAU24"/>
    <mergeCell ref="CAW24:CAX24"/>
    <mergeCell ref="BZF24:BZH24"/>
    <mergeCell ref="BZI24:BZK24"/>
    <mergeCell ref="BZM24:BZN24"/>
    <mergeCell ref="BZR24:BZT24"/>
    <mergeCell ref="BZU24:BZW24"/>
    <mergeCell ref="BZY24:BZZ24"/>
    <mergeCell ref="BYH24:BYJ24"/>
    <mergeCell ref="BYK24:BYM24"/>
    <mergeCell ref="BYO24:BYP24"/>
    <mergeCell ref="BYT24:BYV24"/>
    <mergeCell ref="BYW24:BYY24"/>
    <mergeCell ref="BZA24:BZB24"/>
    <mergeCell ref="BXJ24:BXL24"/>
    <mergeCell ref="BXM24:BXO24"/>
    <mergeCell ref="BXQ24:BXR24"/>
    <mergeCell ref="BXV24:BXX24"/>
    <mergeCell ref="BXY24:BYA24"/>
    <mergeCell ref="BYC24:BYD24"/>
    <mergeCell ref="BWL24:BWN24"/>
    <mergeCell ref="BWO24:BWQ24"/>
    <mergeCell ref="BWS24:BWT24"/>
    <mergeCell ref="BWX24:BWZ24"/>
    <mergeCell ref="BXA24:BXC24"/>
    <mergeCell ref="BXE24:BXF24"/>
    <mergeCell ref="BVN24:BVP24"/>
    <mergeCell ref="BVQ24:BVS24"/>
    <mergeCell ref="BVU24:BVV24"/>
    <mergeCell ref="BVZ24:BWB24"/>
    <mergeCell ref="BWC24:BWE24"/>
    <mergeCell ref="BWG24:BWH24"/>
    <mergeCell ref="BUP24:BUR24"/>
    <mergeCell ref="BUS24:BUU24"/>
    <mergeCell ref="BUW24:BUX24"/>
    <mergeCell ref="BVB24:BVD24"/>
    <mergeCell ref="BVE24:BVG24"/>
    <mergeCell ref="BVI24:BVJ24"/>
    <mergeCell ref="BTR24:BTT24"/>
    <mergeCell ref="BTU24:BTW24"/>
    <mergeCell ref="BTY24:BTZ24"/>
    <mergeCell ref="BUD24:BUF24"/>
    <mergeCell ref="BUG24:BUI24"/>
    <mergeCell ref="BUK24:BUL24"/>
    <mergeCell ref="BST24:BSV24"/>
    <mergeCell ref="BSW24:BSY24"/>
    <mergeCell ref="BTA24:BTB24"/>
    <mergeCell ref="BTF24:BTH24"/>
    <mergeCell ref="BTI24:BTK24"/>
    <mergeCell ref="BTM24:BTN24"/>
    <mergeCell ref="BRV24:BRX24"/>
    <mergeCell ref="BRY24:BSA24"/>
    <mergeCell ref="BSC24:BSD24"/>
    <mergeCell ref="BSH24:BSJ24"/>
    <mergeCell ref="BSK24:BSM24"/>
    <mergeCell ref="BSO24:BSP24"/>
    <mergeCell ref="BQX24:BQZ24"/>
    <mergeCell ref="BRA24:BRC24"/>
    <mergeCell ref="BRE24:BRF24"/>
    <mergeCell ref="BRJ24:BRL24"/>
    <mergeCell ref="BRM24:BRO24"/>
    <mergeCell ref="BRQ24:BRR24"/>
    <mergeCell ref="BPZ24:BQB24"/>
    <mergeCell ref="BQC24:BQE24"/>
    <mergeCell ref="BQG24:BQH24"/>
    <mergeCell ref="BQL24:BQN24"/>
    <mergeCell ref="BQO24:BQQ24"/>
    <mergeCell ref="BQS24:BQT24"/>
    <mergeCell ref="BPB24:BPD24"/>
    <mergeCell ref="BPE24:BPG24"/>
    <mergeCell ref="BPI24:BPJ24"/>
    <mergeCell ref="BPN24:BPP24"/>
    <mergeCell ref="BPQ24:BPS24"/>
    <mergeCell ref="BPU24:BPV24"/>
    <mergeCell ref="BOD24:BOF24"/>
    <mergeCell ref="BOG24:BOI24"/>
    <mergeCell ref="BOK24:BOL24"/>
    <mergeCell ref="BOP24:BOR24"/>
    <mergeCell ref="BOS24:BOU24"/>
    <mergeCell ref="BOW24:BOX24"/>
    <mergeCell ref="BNF24:BNH24"/>
    <mergeCell ref="BNI24:BNK24"/>
    <mergeCell ref="BNM24:BNN24"/>
    <mergeCell ref="BNR24:BNT24"/>
    <mergeCell ref="BNU24:BNW24"/>
    <mergeCell ref="BNY24:BNZ24"/>
    <mergeCell ref="BMH24:BMJ24"/>
    <mergeCell ref="BMK24:BMM24"/>
    <mergeCell ref="BMO24:BMP24"/>
    <mergeCell ref="BMT24:BMV24"/>
    <mergeCell ref="BMW24:BMY24"/>
    <mergeCell ref="BNA24:BNB24"/>
    <mergeCell ref="BLJ24:BLL24"/>
    <mergeCell ref="BLM24:BLO24"/>
    <mergeCell ref="BLQ24:BLR24"/>
    <mergeCell ref="BLV24:BLX24"/>
    <mergeCell ref="BLY24:BMA24"/>
    <mergeCell ref="BMC24:BMD24"/>
    <mergeCell ref="BKL24:BKN24"/>
    <mergeCell ref="BKO24:BKQ24"/>
    <mergeCell ref="BKS24:BKT24"/>
    <mergeCell ref="BKX24:BKZ24"/>
    <mergeCell ref="BLA24:BLC24"/>
    <mergeCell ref="BLE24:BLF24"/>
    <mergeCell ref="BJN24:BJP24"/>
    <mergeCell ref="BJQ24:BJS24"/>
    <mergeCell ref="BJU24:BJV24"/>
    <mergeCell ref="BJZ24:BKB24"/>
    <mergeCell ref="BKC24:BKE24"/>
    <mergeCell ref="BKG24:BKH24"/>
    <mergeCell ref="BIP24:BIR24"/>
    <mergeCell ref="BIS24:BIU24"/>
    <mergeCell ref="BIW24:BIX24"/>
    <mergeCell ref="BJB24:BJD24"/>
    <mergeCell ref="BJE24:BJG24"/>
    <mergeCell ref="BJI24:BJJ24"/>
    <mergeCell ref="BHR24:BHT24"/>
    <mergeCell ref="BHU24:BHW24"/>
    <mergeCell ref="BHY24:BHZ24"/>
    <mergeCell ref="BID24:BIF24"/>
    <mergeCell ref="BIG24:BII24"/>
    <mergeCell ref="BIK24:BIL24"/>
    <mergeCell ref="BGT24:BGV24"/>
    <mergeCell ref="BGW24:BGY24"/>
    <mergeCell ref="BHA24:BHB24"/>
    <mergeCell ref="BHF24:BHH24"/>
    <mergeCell ref="BHI24:BHK24"/>
    <mergeCell ref="BHM24:BHN24"/>
    <mergeCell ref="BFV24:BFX24"/>
    <mergeCell ref="BFY24:BGA24"/>
    <mergeCell ref="BGC24:BGD24"/>
    <mergeCell ref="BGH24:BGJ24"/>
    <mergeCell ref="BGK24:BGM24"/>
    <mergeCell ref="BGO24:BGP24"/>
    <mergeCell ref="BEX24:BEZ24"/>
    <mergeCell ref="BFA24:BFC24"/>
    <mergeCell ref="BFE24:BFF24"/>
    <mergeCell ref="BFJ24:BFL24"/>
    <mergeCell ref="BFM24:BFO24"/>
    <mergeCell ref="BFQ24:BFR24"/>
    <mergeCell ref="BDZ24:BEB24"/>
    <mergeCell ref="BEC24:BEE24"/>
    <mergeCell ref="BEG24:BEH24"/>
    <mergeCell ref="BEL24:BEN24"/>
    <mergeCell ref="BEO24:BEQ24"/>
    <mergeCell ref="BES24:BET24"/>
    <mergeCell ref="BDB24:BDD24"/>
    <mergeCell ref="BDE24:BDG24"/>
    <mergeCell ref="BDI24:BDJ24"/>
    <mergeCell ref="BDN24:BDP24"/>
    <mergeCell ref="BDQ24:BDS24"/>
    <mergeCell ref="BDU24:BDV24"/>
    <mergeCell ref="BCD24:BCF24"/>
    <mergeCell ref="BCG24:BCI24"/>
    <mergeCell ref="BCK24:BCL24"/>
    <mergeCell ref="BCP24:BCR24"/>
    <mergeCell ref="BCS24:BCU24"/>
    <mergeCell ref="BCW24:BCX24"/>
    <mergeCell ref="BBF24:BBH24"/>
    <mergeCell ref="BBI24:BBK24"/>
    <mergeCell ref="BBM24:BBN24"/>
    <mergeCell ref="BBR24:BBT24"/>
    <mergeCell ref="BBU24:BBW24"/>
    <mergeCell ref="BBY24:BBZ24"/>
    <mergeCell ref="BAH24:BAJ24"/>
    <mergeCell ref="BAK24:BAM24"/>
    <mergeCell ref="BAO24:BAP24"/>
    <mergeCell ref="BAT24:BAV24"/>
    <mergeCell ref="BAW24:BAY24"/>
    <mergeCell ref="BBA24:BBB24"/>
    <mergeCell ref="AZJ24:AZL24"/>
    <mergeCell ref="AZM24:AZO24"/>
    <mergeCell ref="AZQ24:AZR24"/>
    <mergeCell ref="AZV24:AZX24"/>
    <mergeCell ref="AZY24:BAA24"/>
    <mergeCell ref="BAC24:BAD24"/>
    <mergeCell ref="AYL24:AYN24"/>
    <mergeCell ref="AYO24:AYQ24"/>
    <mergeCell ref="AYS24:AYT24"/>
    <mergeCell ref="AYX24:AYZ24"/>
    <mergeCell ref="AZA24:AZC24"/>
    <mergeCell ref="AZE24:AZF24"/>
    <mergeCell ref="AXN24:AXP24"/>
    <mergeCell ref="AXQ24:AXS24"/>
    <mergeCell ref="AXU24:AXV24"/>
    <mergeCell ref="AXZ24:AYB24"/>
    <mergeCell ref="AYC24:AYE24"/>
    <mergeCell ref="AYG24:AYH24"/>
    <mergeCell ref="AWP24:AWR24"/>
    <mergeCell ref="AWS24:AWU24"/>
    <mergeCell ref="AWW24:AWX24"/>
    <mergeCell ref="AXB24:AXD24"/>
    <mergeCell ref="AXE24:AXG24"/>
    <mergeCell ref="AXI24:AXJ24"/>
    <mergeCell ref="AVR24:AVT24"/>
    <mergeCell ref="AVU24:AVW24"/>
    <mergeCell ref="AVY24:AVZ24"/>
    <mergeCell ref="AWD24:AWF24"/>
    <mergeCell ref="AWG24:AWI24"/>
    <mergeCell ref="AWK24:AWL24"/>
    <mergeCell ref="AUT24:AUV24"/>
    <mergeCell ref="AUW24:AUY24"/>
    <mergeCell ref="AVA24:AVB24"/>
    <mergeCell ref="AVF24:AVH24"/>
    <mergeCell ref="AVI24:AVK24"/>
    <mergeCell ref="AVM24:AVN24"/>
    <mergeCell ref="ATV24:ATX24"/>
    <mergeCell ref="ATY24:AUA24"/>
    <mergeCell ref="AUC24:AUD24"/>
    <mergeCell ref="AUH24:AUJ24"/>
    <mergeCell ref="AUK24:AUM24"/>
    <mergeCell ref="AUO24:AUP24"/>
    <mergeCell ref="ASX24:ASZ24"/>
    <mergeCell ref="ATA24:ATC24"/>
    <mergeCell ref="ATE24:ATF24"/>
    <mergeCell ref="ATJ24:ATL24"/>
    <mergeCell ref="ATM24:ATO24"/>
    <mergeCell ref="ATQ24:ATR24"/>
    <mergeCell ref="ARZ24:ASB24"/>
    <mergeCell ref="ASC24:ASE24"/>
    <mergeCell ref="ASG24:ASH24"/>
    <mergeCell ref="ASL24:ASN24"/>
    <mergeCell ref="ASO24:ASQ24"/>
    <mergeCell ref="ASS24:AST24"/>
    <mergeCell ref="ARB24:ARD24"/>
    <mergeCell ref="ARE24:ARG24"/>
    <mergeCell ref="ARI24:ARJ24"/>
    <mergeCell ref="ARN24:ARP24"/>
    <mergeCell ref="ARQ24:ARS24"/>
    <mergeCell ref="ARU24:ARV24"/>
    <mergeCell ref="AQD24:AQF24"/>
    <mergeCell ref="AQG24:AQI24"/>
    <mergeCell ref="AQK24:AQL24"/>
    <mergeCell ref="AQP24:AQR24"/>
    <mergeCell ref="AQS24:AQU24"/>
    <mergeCell ref="AQW24:AQX24"/>
    <mergeCell ref="APF24:APH24"/>
    <mergeCell ref="API24:APK24"/>
    <mergeCell ref="APM24:APN24"/>
    <mergeCell ref="APR24:APT24"/>
    <mergeCell ref="APU24:APW24"/>
    <mergeCell ref="APY24:APZ24"/>
    <mergeCell ref="AOH24:AOJ24"/>
    <mergeCell ref="AOK24:AOM24"/>
    <mergeCell ref="AOO24:AOP24"/>
    <mergeCell ref="AOT24:AOV24"/>
    <mergeCell ref="AOW24:AOY24"/>
    <mergeCell ref="APA24:APB24"/>
    <mergeCell ref="ANJ24:ANL24"/>
    <mergeCell ref="ANM24:ANO24"/>
    <mergeCell ref="ANQ24:ANR24"/>
    <mergeCell ref="ANV24:ANX24"/>
    <mergeCell ref="ANY24:AOA24"/>
    <mergeCell ref="AOC24:AOD24"/>
    <mergeCell ref="AML24:AMN24"/>
    <mergeCell ref="AMO24:AMQ24"/>
    <mergeCell ref="AMS24:AMT24"/>
    <mergeCell ref="AMX24:AMZ24"/>
    <mergeCell ref="ANA24:ANC24"/>
    <mergeCell ref="ANE24:ANF24"/>
    <mergeCell ref="ALN24:ALP24"/>
    <mergeCell ref="ALQ24:ALS24"/>
    <mergeCell ref="ALU24:ALV24"/>
    <mergeCell ref="ALZ24:AMB24"/>
    <mergeCell ref="AMC24:AME24"/>
    <mergeCell ref="AMG24:AMH24"/>
    <mergeCell ref="AKP24:AKR24"/>
    <mergeCell ref="AKS24:AKU24"/>
    <mergeCell ref="AKW24:AKX24"/>
    <mergeCell ref="ALB24:ALD24"/>
    <mergeCell ref="ALE24:ALG24"/>
    <mergeCell ref="ALI24:ALJ24"/>
    <mergeCell ref="AJR24:AJT24"/>
    <mergeCell ref="AJU24:AJW24"/>
    <mergeCell ref="AJY24:AJZ24"/>
    <mergeCell ref="AKD24:AKF24"/>
    <mergeCell ref="AKG24:AKI24"/>
    <mergeCell ref="AKK24:AKL24"/>
    <mergeCell ref="AIT24:AIV24"/>
    <mergeCell ref="AIW24:AIY24"/>
    <mergeCell ref="AJA24:AJB24"/>
    <mergeCell ref="AJF24:AJH24"/>
    <mergeCell ref="AJI24:AJK24"/>
    <mergeCell ref="AJM24:AJN24"/>
    <mergeCell ref="AHV24:AHX24"/>
    <mergeCell ref="AHY24:AIA24"/>
    <mergeCell ref="AIC24:AID24"/>
    <mergeCell ref="AIH24:AIJ24"/>
    <mergeCell ref="AIK24:AIM24"/>
    <mergeCell ref="AIO24:AIP24"/>
    <mergeCell ref="AGX24:AGZ24"/>
    <mergeCell ref="AHA24:AHC24"/>
    <mergeCell ref="AHE24:AHF24"/>
    <mergeCell ref="AHJ24:AHL24"/>
    <mergeCell ref="AHM24:AHO24"/>
    <mergeCell ref="AHQ24:AHR24"/>
    <mergeCell ref="AFZ24:AGB24"/>
    <mergeCell ref="AGC24:AGE24"/>
    <mergeCell ref="AGG24:AGH24"/>
    <mergeCell ref="AGL24:AGN24"/>
    <mergeCell ref="AGO24:AGQ24"/>
    <mergeCell ref="AGS24:AGT24"/>
    <mergeCell ref="AEZ24:AFB24"/>
    <mergeCell ref="AFC24:AFE24"/>
    <mergeCell ref="AFG24:AFH24"/>
    <mergeCell ref="AFM24:AFO24"/>
    <mergeCell ref="AFP24:AFR24"/>
    <mergeCell ref="AFT24:AFU24"/>
    <mergeCell ref="ADZ24:AEB24"/>
    <mergeCell ref="AEC24:AEE24"/>
    <mergeCell ref="AEG24:AEH24"/>
    <mergeCell ref="AEM24:AEO24"/>
    <mergeCell ref="AEP24:AER24"/>
    <mergeCell ref="AET24:AEU24"/>
    <mergeCell ref="ACZ24:ADB24"/>
    <mergeCell ref="ADC24:ADE24"/>
    <mergeCell ref="ADG24:ADH24"/>
    <mergeCell ref="ADM24:ADO24"/>
    <mergeCell ref="ADP24:ADR24"/>
    <mergeCell ref="ADT24:ADU24"/>
    <mergeCell ref="ABZ24:ACB24"/>
    <mergeCell ref="ACC24:ACE24"/>
    <mergeCell ref="ACG24:ACH24"/>
    <mergeCell ref="ACM24:ACO24"/>
    <mergeCell ref="ACP24:ACR24"/>
    <mergeCell ref="ACT24:ACU24"/>
    <mergeCell ref="AAZ24:ABB24"/>
    <mergeCell ref="ABC24:ABE24"/>
    <mergeCell ref="ABG24:ABH24"/>
    <mergeCell ref="ABM24:ABO24"/>
    <mergeCell ref="ABP24:ABR24"/>
    <mergeCell ref="ABT24:ABU24"/>
    <mergeCell ref="ZZ24:AAB24"/>
    <mergeCell ref="AAC24:AAE24"/>
    <mergeCell ref="AAG24:AAH24"/>
    <mergeCell ref="AAM24:AAO24"/>
    <mergeCell ref="AAP24:AAR24"/>
    <mergeCell ref="AAT24:AAU24"/>
    <mergeCell ref="YX24:YZ24"/>
    <mergeCell ref="ZD24:ZF24"/>
    <mergeCell ref="ZG24:ZH24"/>
    <mergeCell ref="ZL24:ZN24"/>
    <mergeCell ref="ZR24:ZT24"/>
    <mergeCell ref="ZU24:ZV24"/>
    <mergeCell ref="XV24:XX24"/>
    <mergeCell ref="YB24:YD24"/>
    <mergeCell ref="YE24:YF24"/>
    <mergeCell ref="YJ24:YL24"/>
    <mergeCell ref="YP24:YR24"/>
    <mergeCell ref="YS24:YT24"/>
    <mergeCell ref="WT24:WV24"/>
    <mergeCell ref="WZ24:XB24"/>
    <mergeCell ref="XC24:XD24"/>
    <mergeCell ref="XH24:XJ24"/>
    <mergeCell ref="XN24:XP24"/>
    <mergeCell ref="XQ24:XR24"/>
    <mergeCell ref="VR24:VT24"/>
    <mergeCell ref="VX24:VZ24"/>
    <mergeCell ref="WA24:WB24"/>
    <mergeCell ref="WF24:WH24"/>
    <mergeCell ref="WL24:WN24"/>
    <mergeCell ref="WO24:WP24"/>
    <mergeCell ref="UP24:UR24"/>
    <mergeCell ref="UV24:UX24"/>
    <mergeCell ref="UY24:UZ24"/>
    <mergeCell ref="VD24:VF24"/>
    <mergeCell ref="VJ24:VL24"/>
    <mergeCell ref="VM24:VN24"/>
    <mergeCell ref="TN24:TP24"/>
    <mergeCell ref="TT24:TV24"/>
    <mergeCell ref="TW24:TX24"/>
    <mergeCell ref="UB24:UD24"/>
    <mergeCell ref="UH24:UJ24"/>
    <mergeCell ref="UK24:UL24"/>
    <mergeCell ref="SL24:SN24"/>
    <mergeCell ref="SR24:ST24"/>
    <mergeCell ref="SU24:SV24"/>
    <mergeCell ref="SZ24:TB24"/>
    <mergeCell ref="TF24:TH24"/>
    <mergeCell ref="TI24:TJ24"/>
    <mergeCell ref="RJ24:RL24"/>
    <mergeCell ref="RP24:RR24"/>
    <mergeCell ref="RS24:RT24"/>
    <mergeCell ref="RX24:RZ24"/>
    <mergeCell ref="SD24:SF24"/>
    <mergeCell ref="SG24:SH24"/>
    <mergeCell ref="QH24:QJ24"/>
    <mergeCell ref="QN24:QP24"/>
    <mergeCell ref="QQ24:QR24"/>
    <mergeCell ref="QV24:QX24"/>
    <mergeCell ref="RB24:RD24"/>
    <mergeCell ref="RE24:RF24"/>
    <mergeCell ref="PF24:PH24"/>
    <mergeCell ref="PL24:PN24"/>
    <mergeCell ref="PO24:PP24"/>
    <mergeCell ref="PT24:PV24"/>
    <mergeCell ref="PZ24:QB24"/>
    <mergeCell ref="QC24:QD24"/>
    <mergeCell ref="OD24:OF24"/>
    <mergeCell ref="OJ24:OL24"/>
    <mergeCell ref="OM24:ON24"/>
    <mergeCell ref="OR24:OT24"/>
    <mergeCell ref="OX24:OZ24"/>
    <mergeCell ref="PA24:PB24"/>
    <mergeCell ref="NB24:ND24"/>
    <mergeCell ref="NH24:NJ24"/>
    <mergeCell ref="NK24:NL24"/>
    <mergeCell ref="NP24:NR24"/>
    <mergeCell ref="NV24:NX24"/>
    <mergeCell ref="NY24:NZ24"/>
    <mergeCell ref="LZ24:MB24"/>
    <mergeCell ref="MF24:MH24"/>
    <mergeCell ref="MI24:MJ24"/>
    <mergeCell ref="MN24:MP24"/>
    <mergeCell ref="MT24:MV24"/>
    <mergeCell ref="MW24:MX24"/>
    <mergeCell ref="KX24:KZ24"/>
    <mergeCell ref="LD24:LF24"/>
    <mergeCell ref="LG24:LH24"/>
    <mergeCell ref="LL24:LN24"/>
    <mergeCell ref="LR24:LT24"/>
    <mergeCell ref="LU24:LV24"/>
    <mergeCell ref="JV24:JX24"/>
    <mergeCell ref="KB24:KD24"/>
    <mergeCell ref="KE24:KF24"/>
    <mergeCell ref="KJ24:KL24"/>
    <mergeCell ref="KP24:KR24"/>
    <mergeCell ref="KS24:KT24"/>
    <mergeCell ref="IT24:IV24"/>
    <mergeCell ref="IZ24:JB24"/>
    <mergeCell ref="JC24:JD24"/>
    <mergeCell ref="JH24:JJ24"/>
    <mergeCell ref="JN24:JP24"/>
    <mergeCell ref="JQ24:JR24"/>
    <mergeCell ref="HR24:HT24"/>
    <mergeCell ref="HX24:HZ24"/>
    <mergeCell ref="IA24:IB24"/>
    <mergeCell ref="IF24:IH24"/>
    <mergeCell ref="IL24:IN24"/>
    <mergeCell ref="IO24:IP24"/>
    <mergeCell ref="GP24:GR24"/>
    <mergeCell ref="GV24:GX24"/>
    <mergeCell ref="GY24:GZ24"/>
    <mergeCell ref="HD24:HF24"/>
    <mergeCell ref="HJ24:HL24"/>
    <mergeCell ref="HM24:HN24"/>
    <mergeCell ref="FN24:FP24"/>
    <mergeCell ref="FT24:FV24"/>
    <mergeCell ref="FW24:FX24"/>
    <mergeCell ref="GB24:GD24"/>
    <mergeCell ref="GH24:GJ24"/>
    <mergeCell ref="GK24:GL24"/>
    <mergeCell ref="EL24:EN24"/>
    <mergeCell ref="ER24:ET24"/>
    <mergeCell ref="EU24:EV24"/>
    <mergeCell ref="EZ24:FB24"/>
    <mergeCell ref="FF24:FH24"/>
    <mergeCell ref="FI24:FJ24"/>
    <mergeCell ref="DJ24:DL24"/>
    <mergeCell ref="DP24:DR24"/>
    <mergeCell ref="DS24:DT24"/>
    <mergeCell ref="DX24:DZ24"/>
    <mergeCell ref="ED24:EF24"/>
    <mergeCell ref="EG24:EH24"/>
    <mergeCell ref="CH24:CJ24"/>
    <mergeCell ref="CN24:CP24"/>
    <mergeCell ref="CQ24:CR24"/>
    <mergeCell ref="CV24:CX24"/>
    <mergeCell ref="DB24:DD24"/>
    <mergeCell ref="DE24:DF24"/>
    <mergeCell ref="BF24:BH24"/>
    <mergeCell ref="BL24:BN24"/>
    <mergeCell ref="BO24:BP24"/>
    <mergeCell ref="BT24:BV24"/>
    <mergeCell ref="BZ24:CB24"/>
    <mergeCell ref="CC24:CD24"/>
    <mergeCell ref="AD24:AF24"/>
    <mergeCell ref="AJ24:AL24"/>
    <mergeCell ref="AM24:AN24"/>
    <mergeCell ref="AR24:AT24"/>
    <mergeCell ref="AX24:AZ24"/>
    <mergeCell ref="BA24:BB24"/>
    <mergeCell ref="CVQ23:CVR23"/>
    <mergeCell ref="CVV23:CVX23"/>
    <mergeCell ref="CVY23:CWA23"/>
    <mergeCell ref="CWC23:CWD23"/>
    <mergeCell ref="B24:D24"/>
    <mergeCell ref="H24:J24"/>
    <mergeCell ref="K24:L24"/>
    <mergeCell ref="P24:R24"/>
    <mergeCell ref="V24:X24"/>
    <mergeCell ref="Y24:Z24"/>
    <mergeCell ref="CUS23:CUT23"/>
    <mergeCell ref="CUX23:CUZ23"/>
    <mergeCell ref="CVA23:CVC23"/>
    <mergeCell ref="CVE23:CVF23"/>
    <mergeCell ref="CVJ23:CVL23"/>
    <mergeCell ref="CVM23:CVO23"/>
    <mergeCell ref="CTU23:CTV23"/>
    <mergeCell ref="CTZ23:CUB23"/>
    <mergeCell ref="CUC23:CUE23"/>
    <mergeCell ref="CUG23:CUH23"/>
    <mergeCell ref="CUL23:CUN23"/>
    <mergeCell ref="CUO23:CUQ23"/>
    <mergeCell ref="CSW23:CSX23"/>
    <mergeCell ref="CTB23:CTD23"/>
    <mergeCell ref="CTE23:CTG23"/>
    <mergeCell ref="CTI23:CTJ23"/>
    <mergeCell ref="CTN23:CTP23"/>
    <mergeCell ref="CTQ23:CTS23"/>
    <mergeCell ref="CRY23:CRZ23"/>
    <mergeCell ref="CSD23:CSF23"/>
    <mergeCell ref="CSG23:CSI23"/>
    <mergeCell ref="CSK23:CSL23"/>
    <mergeCell ref="CSP23:CSR23"/>
    <mergeCell ref="CSS23:CSU23"/>
    <mergeCell ref="CRA23:CRB23"/>
    <mergeCell ref="CRF23:CRH23"/>
    <mergeCell ref="CRI23:CRK23"/>
    <mergeCell ref="CRM23:CRN23"/>
    <mergeCell ref="CRR23:CRT23"/>
    <mergeCell ref="CRU23:CRW23"/>
    <mergeCell ref="CQC23:CQD23"/>
    <mergeCell ref="CQH23:CQJ23"/>
    <mergeCell ref="CQK23:CQM23"/>
    <mergeCell ref="CQO23:CQP23"/>
    <mergeCell ref="CQT23:CQV23"/>
    <mergeCell ref="CQW23:CQY23"/>
    <mergeCell ref="CPE23:CPF23"/>
    <mergeCell ref="CPJ23:CPL23"/>
    <mergeCell ref="CPM23:CPO23"/>
    <mergeCell ref="CPQ23:CPR23"/>
    <mergeCell ref="CPV23:CPX23"/>
    <mergeCell ref="CPY23:CQA23"/>
    <mergeCell ref="COG23:COH23"/>
    <mergeCell ref="COL23:CON23"/>
    <mergeCell ref="COO23:COQ23"/>
    <mergeCell ref="COS23:COT23"/>
    <mergeCell ref="COX23:COZ23"/>
    <mergeCell ref="CPA23:CPC23"/>
    <mergeCell ref="CNI23:CNJ23"/>
    <mergeCell ref="CNN23:CNP23"/>
    <mergeCell ref="CNQ23:CNS23"/>
    <mergeCell ref="CNU23:CNV23"/>
    <mergeCell ref="CNZ23:COB23"/>
    <mergeCell ref="COC23:COE23"/>
    <mergeCell ref="CMK23:CML23"/>
    <mergeCell ref="CMP23:CMR23"/>
    <mergeCell ref="CMS23:CMU23"/>
    <mergeCell ref="CMW23:CMX23"/>
    <mergeCell ref="CNB23:CND23"/>
    <mergeCell ref="CNE23:CNG23"/>
    <mergeCell ref="CLM23:CLN23"/>
    <mergeCell ref="CLR23:CLT23"/>
    <mergeCell ref="CLU23:CLW23"/>
    <mergeCell ref="CLY23:CLZ23"/>
    <mergeCell ref="CMD23:CMF23"/>
    <mergeCell ref="CMG23:CMI23"/>
    <mergeCell ref="CKO23:CKP23"/>
    <mergeCell ref="CKT23:CKV23"/>
    <mergeCell ref="CKW23:CKY23"/>
    <mergeCell ref="CLA23:CLB23"/>
    <mergeCell ref="CLF23:CLH23"/>
    <mergeCell ref="CLI23:CLK23"/>
    <mergeCell ref="CJQ23:CJR23"/>
    <mergeCell ref="CJV23:CJX23"/>
    <mergeCell ref="CJY23:CKA23"/>
    <mergeCell ref="CKC23:CKD23"/>
    <mergeCell ref="CKH23:CKJ23"/>
    <mergeCell ref="CKK23:CKM23"/>
    <mergeCell ref="CIS23:CIT23"/>
    <mergeCell ref="CIX23:CIZ23"/>
    <mergeCell ref="CJA23:CJC23"/>
    <mergeCell ref="CJE23:CJF23"/>
    <mergeCell ref="CJJ23:CJL23"/>
    <mergeCell ref="CJM23:CJO23"/>
    <mergeCell ref="CHU23:CHV23"/>
    <mergeCell ref="CHZ23:CIB23"/>
    <mergeCell ref="CIC23:CIE23"/>
    <mergeCell ref="CIG23:CIH23"/>
    <mergeCell ref="CIL23:CIN23"/>
    <mergeCell ref="CIO23:CIQ23"/>
    <mergeCell ref="CGW23:CGX23"/>
    <mergeCell ref="CHB23:CHD23"/>
    <mergeCell ref="CHE23:CHG23"/>
    <mergeCell ref="CHI23:CHJ23"/>
    <mergeCell ref="CHN23:CHP23"/>
    <mergeCell ref="CHQ23:CHS23"/>
    <mergeCell ref="CFY23:CFZ23"/>
    <mergeCell ref="CGD23:CGF23"/>
    <mergeCell ref="CGG23:CGI23"/>
    <mergeCell ref="CGK23:CGL23"/>
    <mergeCell ref="CGP23:CGR23"/>
    <mergeCell ref="CGS23:CGU23"/>
    <mergeCell ref="CFA23:CFB23"/>
    <mergeCell ref="CFF23:CFH23"/>
    <mergeCell ref="CFI23:CFK23"/>
    <mergeCell ref="CFM23:CFN23"/>
    <mergeCell ref="CFR23:CFT23"/>
    <mergeCell ref="CFU23:CFW23"/>
    <mergeCell ref="CEC23:CED23"/>
    <mergeCell ref="CEH23:CEJ23"/>
    <mergeCell ref="CEK23:CEM23"/>
    <mergeCell ref="CEO23:CEP23"/>
    <mergeCell ref="CET23:CEV23"/>
    <mergeCell ref="CEW23:CEY23"/>
    <mergeCell ref="CDE23:CDF23"/>
    <mergeCell ref="CDJ23:CDL23"/>
    <mergeCell ref="CDM23:CDO23"/>
    <mergeCell ref="CDQ23:CDR23"/>
    <mergeCell ref="CDV23:CDX23"/>
    <mergeCell ref="CDY23:CEA23"/>
    <mergeCell ref="CCG23:CCH23"/>
    <mergeCell ref="CCL23:CCN23"/>
    <mergeCell ref="CCO23:CCQ23"/>
    <mergeCell ref="CCS23:CCT23"/>
    <mergeCell ref="CCX23:CCZ23"/>
    <mergeCell ref="CDA23:CDC23"/>
    <mergeCell ref="CBI23:CBJ23"/>
    <mergeCell ref="CBN23:CBP23"/>
    <mergeCell ref="CBQ23:CBS23"/>
    <mergeCell ref="CBU23:CBV23"/>
    <mergeCell ref="CBZ23:CCB23"/>
    <mergeCell ref="CCC23:CCE23"/>
    <mergeCell ref="CAK23:CAL23"/>
    <mergeCell ref="CAP23:CAR23"/>
    <mergeCell ref="CAS23:CAU23"/>
    <mergeCell ref="CAW23:CAX23"/>
    <mergeCell ref="CBB23:CBD23"/>
    <mergeCell ref="CBE23:CBG23"/>
    <mergeCell ref="BZM23:BZN23"/>
    <mergeCell ref="BZR23:BZT23"/>
    <mergeCell ref="BZU23:BZW23"/>
    <mergeCell ref="BZY23:BZZ23"/>
    <mergeCell ref="CAD23:CAF23"/>
    <mergeCell ref="CAG23:CAI23"/>
    <mergeCell ref="BYO23:BYP23"/>
    <mergeCell ref="BYT23:BYV23"/>
    <mergeCell ref="BYW23:BYY23"/>
    <mergeCell ref="BZA23:BZB23"/>
    <mergeCell ref="BZF23:BZH23"/>
    <mergeCell ref="BZI23:BZK23"/>
    <mergeCell ref="BXQ23:BXR23"/>
    <mergeCell ref="BXV23:BXX23"/>
    <mergeCell ref="BXY23:BYA23"/>
    <mergeCell ref="BYC23:BYD23"/>
    <mergeCell ref="BYH23:BYJ23"/>
    <mergeCell ref="BYK23:BYM23"/>
    <mergeCell ref="BWS23:BWT23"/>
    <mergeCell ref="BWX23:BWZ23"/>
    <mergeCell ref="BXA23:BXC23"/>
    <mergeCell ref="BXE23:BXF23"/>
    <mergeCell ref="BXJ23:BXL23"/>
    <mergeCell ref="BXM23:BXO23"/>
    <mergeCell ref="BVU23:BVV23"/>
    <mergeCell ref="BVZ23:BWB23"/>
    <mergeCell ref="BWC23:BWE23"/>
    <mergeCell ref="BWG23:BWH23"/>
    <mergeCell ref="BWL23:BWN23"/>
    <mergeCell ref="BWO23:BWQ23"/>
    <mergeCell ref="BUW23:BUX23"/>
    <mergeCell ref="BVB23:BVD23"/>
    <mergeCell ref="BVE23:BVG23"/>
    <mergeCell ref="BVI23:BVJ23"/>
    <mergeCell ref="BVN23:BVP23"/>
    <mergeCell ref="BVQ23:BVS23"/>
    <mergeCell ref="BTY23:BTZ23"/>
    <mergeCell ref="BUD23:BUF23"/>
    <mergeCell ref="BUG23:BUI23"/>
    <mergeCell ref="BUK23:BUL23"/>
    <mergeCell ref="BUP23:BUR23"/>
    <mergeCell ref="BUS23:BUU23"/>
    <mergeCell ref="BTA23:BTB23"/>
    <mergeCell ref="BTF23:BTH23"/>
    <mergeCell ref="BTI23:BTK23"/>
    <mergeCell ref="BTM23:BTN23"/>
    <mergeCell ref="BTR23:BTT23"/>
    <mergeCell ref="BTU23:BTW23"/>
    <mergeCell ref="BSC23:BSD23"/>
    <mergeCell ref="BSH23:BSJ23"/>
    <mergeCell ref="BSK23:BSM23"/>
    <mergeCell ref="BSO23:BSP23"/>
    <mergeCell ref="BST23:BSV23"/>
    <mergeCell ref="BSW23:BSY23"/>
    <mergeCell ref="BRE23:BRF23"/>
    <mergeCell ref="BRJ23:BRL23"/>
    <mergeCell ref="BRM23:BRO23"/>
    <mergeCell ref="BRQ23:BRR23"/>
    <mergeCell ref="BRV23:BRX23"/>
    <mergeCell ref="BRY23:BSA23"/>
    <mergeCell ref="BQG23:BQH23"/>
    <mergeCell ref="BQL23:BQN23"/>
    <mergeCell ref="BQO23:BQQ23"/>
    <mergeCell ref="BQS23:BQT23"/>
    <mergeCell ref="BQX23:BQZ23"/>
    <mergeCell ref="BRA23:BRC23"/>
    <mergeCell ref="BPI23:BPJ23"/>
    <mergeCell ref="BPN23:BPP23"/>
    <mergeCell ref="BPQ23:BPS23"/>
    <mergeCell ref="BPU23:BPV23"/>
    <mergeCell ref="BPZ23:BQB23"/>
    <mergeCell ref="BQC23:BQE23"/>
    <mergeCell ref="BOK23:BOL23"/>
    <mergeCell ref="BOP23:BOR23"/>
    <mergeCell ref="BOS23:BOU23"/>
    <mergeCell ref="BOW23:BOX23"/>
    <mergeCell ref="BPB23:BPD23"/>
    <mergeCell ref="BPE23:BPG23"/>
    <mergeCell ref="BNM23:BNN23"/>
    <mergeCell ref="BNR23:BNT23"/>
    <mergeCell ref="BNU23:BNW23"/>
    <mergeCell ref="BNY23:BNZ23"/>
    <mergeCell ref="BOD23:BOF23"/>
    <mergeCell ref="BOG23:BOI23"/>
    <mergeCell ref="BMO23:BMP23"/>
    <mergeCell ref="BMT23:BMV23"/>
    <mergeCell ref="BMW23:BMY23"/>
    <mergeCell ref="BNA23:BNB23"/>
    <mergeCell ref="BNF23:BNH23"/>
    <mergeCell ref="BNI23:BNK23"/>
    <mergeCell ref="BLQ23:BLR23"/>
    <mergeCell ref="BLV23:BLX23"/>
    <mergeCell ref="BLY23:BMA23"/>
    <mergeCell ref="BMC23:BMD23"/>
    <mergeCell ref="BMH23:BMJ23"/>
    <mergeCell ref="BMK23:BMM23"/>
    <mergeCell ref="BKS23:BKT23"/>
    <mergeCell ref="BKX23:BKZ23"/>
    <mergeCell ref="BLA23:BLC23"/>
    <mergeCell ref="BLE23:BLF23"/>
    <mergeCell ref="BLJ23:BLL23"/>
    <mergeCell ref="BLM23:BLO23"/>
    <mergeCell ref="BJU23:BJV23"/>
    <mergeCell ref="BJZ23:BKB23"/>
    <mergeCell ref="BKC23:BKE23"/>
    <mergeCell ref="BKG23:BKH23"/>
    <mergeCell ref="BKL23:BKN23"/>
    <mergeCell ref="BKO23:BKQ23"/>
    <mergeCell ref="BIW23:BIX23"/>
    <mergeCell ref="BJB23:BJD23"/>
    <mergeCell ref="BJE23:BJG23"/>
    <mergeCell ref="BJI23:BJJ23"/>
    <mergeCell ref="BJN23:BJP23"/>
    <mergeCell ref="BJQ23:BJS23"/>
    <mergeCell ref="BHY23:BHZ23"/>
    <mergeCell ref="BID23:BIF23"/>
    <mergeCell ref="BIG23:BII23"/>
    <mergeCell ref="BIK23:BIL23"/>
    <mergeCell ref="BIP23:BIR23"/>
    <mergeCell ref="BIS23:BIU23"/>
    <mergeCell ref="BHA23:BHB23"/>
    <mergeCell ref="BHF23:BHH23"/>
    <mergeCell ref="BHI23:BHK23"/>
    <mergeCell ref="BHM23:BHN23"/>
    <mergeCell ref="BHR23:BHT23"/>
    <mergeCell ref="BHU23:BHW23"/>
    <mergeCell ref="BGC23:BGD23"/>
    <mergeCell ref="BGH23:BGJ23"/>
    <mergeCell ref="BGK23:BGM23"/>
    <mergeCell ref="BGO23:BGP23"/>
    <mergeCell ref="BGT23:BGV23"/>
    <mergeCell ref="BGW23:BGY23"/>
    <mergeCell ref="BFE23:BFF23"/>
    <mergeCell ref="BFJ23:BFL23"/>
    <mergeCell ref="BFM23:BFO23"/>
    <mergeCell ref="BFQ23:BFR23"/>
    <mergeCell ref="BFV23:BFX23"/>
    <mergeCell ref="BFY23:BGA23"/>
    <mergeCell ref="BEG23:BEH23"/>
    <mergeCell ref="BEL23:BEN23"/>
    <mergeCell ref="BEO23:BEQ23"/>
    <mergeCell ref="BES23:BET23"/>
    <mergeCell ref="BEX23:BEZ23"/>
    <mergeCell ref="BFA23:BFC23"/>
    <mergeCell ref="BDI23:BDJ23"/>
    <mergeCell ref="BDN23:BDP23"/>
    <mergeCell ref="BDQ23:BDS23"/>
    <mergeCell ref="BDU23:BDV23"/>
    <mergeCell ref="BDZ23:BEB23"/>
    <mergeCell ref="BEC23:BEE23"/>
    <mergeCell ref="BCK23:BCL23"/>
    <mergeCell ref="BCP23:BCR23"/>
    <mergeCell ref="BCS23:BCU23"/>
    <mergeCell ref="BCW23:BCX23"/>
    <mergeCell ref="BDB23:BDD23"/>
    <mergeCell ref="BDE23:BDG23"/>
    <mergeCell ref="BBM23:BBN23"/>
    <mergeCell ref="BBR23:BBT23"/>
    <mergeCell ref="BBU23:BBW23"/>
    <mergeCell ref="BBY23:BBZ23"/>
    <mergeCell ref="BCD23:BCF23"/>
    <mergeCell ref="BCG23:BCI23"/>
    <mergeCell ref="BAO23:BAP23"/>
    <mergeCell ref="BAT23:BAV23"/>
    <mergeCell ref="BAW23:BAY23"/>
    <mergeCell ref="BBA23:BBB23"/>
    <mergeCell ref="BBF23:BBH23"/>
    <mergeCell ref="BBI23:BBK23"/>
    <mergeCell ref="AZQ23:AZR23"/>
    <mergeCell ref="AZV23:AZX23"/>
    <mergeCell ref="AZY23:BAA23"/>
    <mergeCell ref="BAC23:BAD23"/>
    <mergeCell ref="BAH23:BAJ23"/>
    <mergeCell ref="BAK23:BAM23"/>
    <mergeCell ref="AYS23:AYT23"/>
    <mergeCell ref="AYX23:AYZ23"/>
    <mergeCell ref="AZA23:AZC23"/>
    <mergeCell ref="AZE23:AZF23"/>
    <mergeCell ref="AZJ23:AZL23"/>
    <mergeCell ref="AZM23:AZO23"/>
    <mergeCell ref="AXU23:AXV23"/>
    <mergeCell ref="AXZ23:AYB23"/>
    <mergeCell ref="AYC23:AYE23"/>
    <mergeCell ref="AYG23:AYH23"/>
    <mergeCell ref="AYL23:AYN23"/>
    <mergeCell ref="AYO23:AYQ23"/>
    <mergeCell ref="AWW23:AWX23"/>
    <mergeCell ref="AXB23:AXD23"/>
    <mergeCell ref="AXE23:AXG23"/>
    <mergeCell ref="AXI23:AXJ23"/>
    <mergeCell ref="AXN23:AXP23"/>
    <mergeCell ref="AXQ23:AXS23"/>
    <mergeCell ref="AVY23:AVZ23"/>
    <mergeCell ref="AWD23:AWF23"/>
    <mergeCell ref="AWG23:AWI23"/>
    <mergeCell ref="AWK23:AWL23"/>
    <mergeCell ref="AWP23:AWR23"/>
    <mergeCell ref="AWS23:AWU23"/>
    <mergeCell ref="AVA23:AVB23"/>
    <mergeCell ref="AVF23:AVH23"/>
    <mergeCell ref="AVI23:AVK23"/>
    <mergeCell ref="AVM23:AVN23"/>
    <mergeCell ref="AVR23:AVT23"/>
    <mergeCell ref="AVU23:AVW23"/>
    <mergeCell ref="AUC23:AUD23"/>
    <mergeCell ref="AUH23:AUJ23"/>
    <mergeCell ref="AUK23:AUM23"/>
    <mergeCell ref="AUO23:AUP23"/>
    <mergeCell ref="AUT23:AUV23"/>
    <mergeCell ref="AUW23:AUY23"/>
    <mergeCell ref="ATE23:ATF23"/>
    <mergeCell ref="ATJ23:ATL23"/>
    <mergeCell ref="ATM23:ATO23"/>
    <mergeCell ref="ATQ23:ATR23"/>
    <mergeCell ref="ATV23:ATX23"/>
    <mergeCell ref="ATY23:AUA23"/>
    <mergeCell ref="ASG23:ASH23"/>
    <mergeCell ref="ASL23:ASN23"/>
    <mergeCell ref="ASO23:ASQ23"/>
    <mergeCell ref="ASS23:AST23"/>
    <mergeCell ref="ASX23:ASZ23"/>
    <mergeCell ref="ATA23:ATC23"/>
    <mergeCell ref="ARI23:ARJ23"/>
    <mergeCell ref="ARN23:ARP23"/>
    <mergeCell ref="ARQ23:ARS23"/>
    <mergeCell ref="ARU23:ARV23"/>
    <mergeCell ref="ARZ23:ASB23"/>
    <mergeCell ref="ASC23:ASE23"/>
    <mergeCell ref="AQK23:AQL23"/>
    <mergeCell ref="AQP23:AQR23"/>
    <mergeCell ref="AQS23:AQU23"/>
    <mergeCell ref="AQW23:AQX23"/>
    <mergeCell ref="ARB23:ARD23"/>
    <mergeCell ref="ARE23:ARG23"/>
    <mergeCell ref="APM23:APN23"/>
    <mergeCell ref="APR23:APT23"/>
    <mergeCell ref="APU23:APW23"/>
    <mergeCell ref="APY23:APZ23"/>
    <mergeCell ref="AQD23:AQF23"/>
    <mergeCell ref="AQG23:AQI23"/>
    <mergeCell ref="AOO23:AOP23"/>
    <mergeCell ref="AOT23:AOV23"/>
    <mergeCell ref="AOW23:AOY23"/>
    <mergeCell ref="APA23:APB23"/>
    <mergeCell ref="APF23:APH23"/>
    <mergeCell ref="API23:APK23"/>
    <mergeCell ref="ANQ23:ANR23"/>
    <mergeCell ref="ANV23:ANX23"/>
    <mergeCell ref="ANY23:AOA23"/>
    <mergeCell ref="AOC23:AOD23"/>
    <mergeCell ref="AOH23:AOJ23"/>
    <mergeCell ref="AOK23:AOM23"/>
    <mergeCell ref="AMS23:AMT23"/>
    <mergeCell ref="AMX23:AMZ23"/>
    <mergeCell ref="ANA23:ANC23"/>
    <mergeCell ref="ANE23:ANF23"/>
    <mergeCell ref="ANJ23:ANL23"/>
    <mergeCell ref="ANM23:ANO23"/>
    <mergeCell ref="ALU23:ALV23"/>
    <mergeCell ref="ALZ23:AMB23"/>
    <mergeCell ref="AMC23:AME23"/>
    <mergeCell ref="AMG23:AMH23"/>
    <mergeCell ref="AML23:AMN23"/>
    <mergeCell ref="AMO23:AMQ23"/>
    <mergeCell ref="AKW23:AKX23"/>
    <mergeCell ref="ALB23:ALD23"/>
    <mergeCell ref="ALE23:ALG23"/>
    <mergeCell ref="ALI23:ALJ23"/>
    <mergeCell ref="ALN23:ALP23"/>
    <mergeCell ref="ALQ23:ALS23"/>
    <mergeCell ref="AJY23:AJZ23"/>
    <mergeCell ref="AKD23:AKF23"/>
    <mergeCell ref="AKG23:AKI23"/>
    <mergeCell ref="AKK23:AKL23"/>
    <mergeCell ref="AKP23:AKR23"/>
    <mergeCell ref="AKS23:AKU23"/>
    <mergeCell ref="AJA23:AJB23"/>
    <mergeCell ref="AJF23:AJH23"/>
    <mergeCell ref="AJI23:AJK23"/>
    <mergeCell ref="AJM23:AJN23"/>
    <mergeCell ref="AJR23:AJT23"/>
    <mergeCell ref="AJU23:AJW23"/>
    <mergeCell ref="AIC23:AID23"/>
    <mergeCell ref="AIH23:AIJ23"/>
    <mergeCell ref="AIK23:AIM23"/>
    <mergeCell ref="AIO23:AIP23"/>
    <mergeCell ref="AIT23:AIV23"/>
    <mergeCell ref="AIW23:AIY23"/>
    <mergeCell ref="AHE23:AHF23"/>
    <mergeCell ref="AHJ23:AHL23"/>
    <mergeCell ref="AHM23:AHO23"/>
    <mergeCell ref="AHQ23:AHR23"/>
    <mergeCell ref="AHV23:AHX23"/>
    <mergeCell ref="AHY23:AIA23"/>
    <mergeCell ref="AGG23:AGH23"/>
    <mergeCell ref="AGL23:AGN23"/>
    <mergeCell ref="AGO23:AGQ23"/>
    <mergeCell ref="AGS23:AGT23"/>
    <mergeCell ref="AGX23:AGZ23"/>
    <mergeCell ref="AHA23:AHC23"/>
    <mergeCell ref="AFG23:AFH23"/>
    <mergeCell ref="AFM23:AFO23"/>
    <mergeCell ref="AFP23:AFR23"/>
    <mergeCell ref="AFT23:AFU23"/>
    <mergeCell ref="AFZ23:AGB23"/>
    <mergeCell ref="AGC23:AGE23"/>
    <mergeCell ref="AEG23:AEH23"/>
    <mergeCell ref="AEM23:AEO23"/>
    <mergeCell ref="AEP23:AER23"/>
    <mergeCell ref="AET23:AEU23"/>
    <mergeCell ref="AEZ23:AFB23"/>
    <mergeCell ref="AFC23:AFE23"/>
    <mergeCell ref="ADG23:ADH23"/>
    <mergeCell ref="ADM23:ADO23"/>
    <mergeCell ref="ADP23:ADR23"/>
    <mergeCell ref="ADT23:ADU23"/>
    <mergeCell ref="ADZ23:AEB23"/>
    <mergeCell ref="AEC23:AEE23"/>
    <mergeCell ref="ACG23:ACH23"/>
    <mergeCell ref="ACM23:ACO23"/>
    <mergeCell ref="ACP23:ACR23"/>
    <mergeCell ref="ACT23:ACU23"/>
    <mergeCell ref="ACZ23:ADB23"/>
    <mergeCell ref="ADC23:ADE23"/>
    <mergeCell ref="ABG23:ABH23"/>
    <mergeCell ref="ABM23:ABO23"/>
    <mergeCell ref="ABP23:ABR23"/>
    <mergeCell ref="ABT23:ABU23"/>
    <mergeCell ref="ABZ23:ACB23"/>
    <mergeCell ref="ACC23:ACE23"/>
    <mergeCell ref="AAG23:AAH23"/>
    <mergeCell ref="AAM23:AAO23"/>
    <mergeCell ref="AAP23:AAR23"/>
    <mergeCell ref="AAT23:AAU23"/>
    <mergeCell ref="AAZ23:ABB23"/>
    <mergeCell ref="ABC23:ABE23"/>
    <mergeCell ref="ZD23:ZF23"/>
    <mergeCell ref="ZG23:ZH23"/>
    <mergeCell ref="ZR23:ZT23"/>
    <mergeCell ref="ZU23:ZV23"/>
    <mergeCell ref="ZZ23:AAB23"/>
    <mergeCell ref="AAC23:AAE23"/>
    <mergeCell ref="XN23:XP23"/>
    <mergeCell ref="XQ23:XR23"/>
    <mergeCell ref="YB23:YD23"/>
    <mergeCell ref="YE23:YF23"/>
    <mergeCell ref="YP23:YR23"/>
    <mergeCell ref="YS23:YT23"/>
    <mergeCell ref="VX23:VZ23"/>
    <mergeCell ref="WA23:WB23"/>
    <mergeCell ref="WL23:WN23"/>
    <mergeCell ref="WO23:WP23"/>
    <mergeCell ref="WZ23:XB23"/>
    <mergeCell ref="XC23:XD23"/>
    <mergeCell ref="UH23:UJ23"/>
    <mergeCell ref="UK23:UL23"/>
    <mergeCell ref="UV23:UX23"/>
    <mergeCell ref="UY23:UZ23"/>
    <mergeCell ref="VJ23:VL23"/>
    <mergeCell ref="VM23:VN23"/>
    <mergeCell ref="SR23:ST23"/>
    <mergeCell ref="SU23:SV23"/>
    <mergeCell ref="TF23:TH23"/>
    <mergeCell ref="TI23:TJ23"/>
    <mergeCell ref="TT23:TV23"/>
    <mergeCell ref="TW23:TX23"/>
    <mergeCell ref="RB23:RD23"/>
    <mergeCell ref="RE23:RF23"/>
    <mergeCell ref="RP23:RR23"/>
    <mergeCell ref="RS23:RT23"/>
    <mergeCell ref="SD23:SF23"/>
    <mergeCell ref="SG23:SH23"/>
    <mergeCell ref="PL23:PN23"/>
    <mergeCell ref="PO23:PP23"/>
    <mergeCell ref="PZ23:QB23"/>
    <mergeCell ref="QC23:QD23"/>
    <mergeCell ref="QN23:QP23"/>
    <mergeCell ref="QQ23:QR23"/>
    <mergeCell ref="NV23:NX23"/>
    <mergeCell ref="NY23:NZ23"/>
    <mergeCell ref="OJ23:OL23"/>
    <mergeCell ref="OM23:ON23"/>
    <mergeCell ref="OX23:OZ23"/>
    <mergeCell ref="PA23:PB23"/>
    <mergeCell ref="MF23:MH23"/>
    <mergeCell ref="MI23:MJ23"/>
    <mergeCell ref="MT23:MV23"/>
    <mergeCell ref="MW23:MX23"/>
    <mergeCell ref="NH23:NJ23"/>
    <mergeCell ref="NK23:NL23"/>
    <mergeCell ref="KP23:KR23"/>
    <mergeCell ref="KS23:KT23"/>
    <mergeCell ref="LD23:LF23"/>
    <mergeCell ref="LG23:LH23"/>
    <mergeCell ref="LR23:LT23"/>
    <mergeCell ref="LU23:LV23"/>
    <mergeCell ref="IZ23:JB23"/>
    <mergeCell ref="JC23:JD23"/>
    <mergeCell ref="JN23:JP23"/>
    <mergeCell ref="JQ23:JR23"/>
    <mergeCell ref="KB23:KD23"/>
    <mergeCell ref="KE23:KF23"/>
    <mergeCell ref="HJ23:HL23"/>
    <mergeCell ref="HM23:HN23"/>
    <mergeCell ref="HX23:HZ23"/>
    <mergeCell ref="IA23:IB23"/>
    <mergeCell ref="IL23:IN23"/>
    <mergeCell ref="IO23:IP23"/>
    <mergeCell ref="FT23:FV23"/>
    <mergeCell ref="FW23:FX23"/>
    <mergeCell ref="GH23:GJ23"/>
    <mergeCell ref="GK23:GL23"/>
    <mergeCell ref="GV23:GX23"/>
    <mergeCell ref="GY23:GZ23"/>
    <mergeCell ref="ED23:EF23"/>
    <mergeCell ref="EG23:EH23"/>
    <mergeCell ref="ER23:ET23"/>
    <mergeCell ref="EU23:EV23"/>
    <mergeCell ref="FF23:FH23"/>
    <mergeCell ref="FI23:FJ23"/>
    <mergeCell ref="CN23:CP23"/>
    <mergeCell ref="CQ23:CR23"/>
    <mergeCell ref="DB23:DD23"/>
    <mergeCell ref="DE23:DF23"/>
    <mergeCell ref="DP23:DR23"/>
    <mergeCell ref="DS23:DT23"/>
    <mergeCell ref="AX23:AZ23"/>
    <mergeCell ref="BA23:BB23"/>
    <mergeCell ref="BL23:BN23"/>
    <mergeCell ref="BO23:BP23"/>
    <mergeCell ref="BZ23:CB23"/>
    <mergeCell ref="CC23:CD23"/>
    <mergeCell ref="CVM22:CVO22"/>
    <mergeCell ref="CVQ22:CVR22"/>
    <mergeCell ref="CVY22:CWA22"/>
    <mergeCell ref="CWC22:CWD22"/>
    <mergeCell ref="H23:J23"/>
    <mergeCell ref="K23:L23"/>
    <mergeCell ref="V23:X23"/>
    <mergeCell ref="Y23:Z23"/>
    <mergeCell ref="AJ23:AL23"/>
    <mergeCell ref="AM23:AN23"/>
    <mergeCell ref="CUC22:CUE22"/>
    <mergeCell ref="CUG22:CUH22"/>
    <mergeCell ref="CUO22:CUQ22"/>
    <mergeCell ref="CUS22:CUT22"/>
    <mergeCell ref="CVA22:CVC22"/>
    <mergeCell ref="CVE22:CVF22"/>
    <mergeCell ref="CSS22:CSU22"/>
    <mergeCell ref="CSW22:CSX22"/>
    <mergeCell ref="CTE22:CTG22"/>
    <mergeCell ref="CTI22:CTJ22"/>
    <mergeCell ref="CTQ22:CTS22"/>
    <mergeCell ref="CTU22:CTV22"/>
    <mergeCell ref="CRI22:CRK22"/>
    <mergeCell ref="CRM22:CRN22"/>
    <mergeCell ref="CRU22:CRW22"/>
    <mergeCell ref="CRY22:CRZ22"/>
    <mergeCell ref="CSG22:CSI22"/>
    <mergeCell ref="CSK22:CSL22"/>
    <mergeCell ref="CPY22:CQA22"/>
    <mergeCell ref="CQC22:CQD22"/>
    <mergeCell ref="CQK22:CQM22"/>
    <mergeCell ref="CQO22:CQP22"/>
    <mergeCell ref="CQW22:CQY22"/>
    <mergeCell ref="CRA22:CRB22"/>
    <mergeCell ref="COO22:COQ22"/>
    <mergeCell ref="COS22:COT22"/>
    <mergeCell ref="CPA22:CPC22"/>
    <mergeCell ref="CPE22:CPF22"/>
    <mergeCell ref="CPM22:CPO22"/>
    <mergeCell ref="CPQ22:CPR22"/>
    <mergeCell ref="CNE22:CNG22"/>
    <mergeCell ref="CNI22:CNJ22"/>
    <mergeCell ref="CNQ22:CNS22"/>
    <mergeCell ref="CNU22:CNV22"/>
    <mergeCell ref="COC22:COE22"/>
    <mergeCell ref="COG22:COH22"/>
    <mergeCell ref="CLU22:CLW22"/>
    <mergeCell ref="CLY22:CLZ22"/>
    <mergeCell ref="CMG22:CMI22"/>
    <mergeCell ref="CMK22:CML22"/>
    <mergeCell ref="CMS22:CMU22"/>
    <mergeCell ref="CMW22:CMX22"/>
    <mergeCell ref="CKK22:CKM22"/>
    <mergeCell ref="CKO22:CKP22"/>
    <mergeCell ref="CKW22:CKY22"/>
    <mergeCell ref="CLA22:CLB22"/>
    <mergeCell ref="CLI22:CLK22"/>
    <mergeCell ref="CLM22:CLN22"/>
    <mergeCell ref="CJA22:CJC22"/>
    <mergeCell ref="CJE22:CJF22"/>
    <mergeCell ref="CJM22:CJO22"/>
    <mergeCell ref="CJQ22:CJR22"/>
    <mergeCell ref="CJY22:CKA22"/>
    <mergeCell ref="CKC22:CKD22"/>
    <mergeCell ref="CHQ22:CHS22"/>
    <mergeCell ref="CHU22:CHV22"/>
    <mergeCell ref="CIC22:CIE22"/>
    <mergeCell ref="CIG22:CIH22"/>
    <mergeCell ref="CIO22:CIQ22"/>
    <mergeCell ref="CIS22:CIT22"/>
    <mergeCell ref="CGG22:CGI22"/>
    <mergeCell ref="CGK22:CGL22"/>
    <mergeCell ref="CGS22:CGU22"/>
    <mergeCell ref="CGW22:CGX22"/>
    <mergeCell ref="CHE22:CHG22"/>
    <mergeCell ref="CHI22:CHJ22"/>
    <mergeCell ref="CEW22:CEY22"/>
    <mergeCell ref="CFA22:CFB22"/>
    <mergeCell ref="CFI22:CFK22"/>
    <mergeCell ref="CFM22:CFN22"/>
    <mergeCell ref="CFU22:CFW22"/>
    <mergeCell ref="CFY22:CFZ22"/>
    <mergeCell ref="CDM22:CDO22"/>
    <mergeCell ref="CDQ22:CDR22"/>
    <mergeCell ref="CDY22:CEA22"/>
    <mergeCell ref="CEC22:CED22"/>
    <mergeCell ref="CEK22:CEM22"/>
    <mergeCell ref="CEO22:CEP22"/>
    <mergeCell ref="CCC22:CCE22"/>
    <mergeCell ref="CCG22:CCH22"/>
    <mergeCell ref="CCO22:CCQ22"/>
    <mergeCell ref="CCS22:CCT22"/>
    <mergeCell ref="CDA22:CDC22"/>
    <mergeCell ref="CDE22:CDF22"/>
    <mergeCell ref="CAS22:CAU22"/>
    <mergeCell ref="CAW22:CAX22"/>
    <mergeCell ref="CBE22:CBG22"/>
    <mergeCell ref="CBI22:CBJ22"/>
    <mergeCell ref="CBQ22:CBS22"/>
    <mergeCell ref="CBU22:CBV22"/>
    <mergeCell ref="BZI22:BZK22"/>
    <mergeCell ref="BZM22:BZN22"/>
    <mergeCell ref="BZU22:BZW22"/>
    <mergeCell ref="BZY22:BZZ22"/>
    <mergeCell ref="CAG22:CAI22"/>
    <mergeCell ref="CAK22:CAL22"/>
    <mergeCell ref="BXY22:BYA22"/>
    <mergeCell ref="BYC22:BYD22"/>
    <mergeCell ref="BYK22:BYM22"/>
    <mergeCell ref="BYO22:BYP22"/>
    <mergeCell ref="BYW22:BYY22"/>
    <mergeCell ref="BZA22:BZB22"/>
    <mergeCell ref="BWO22:BWQ22"/>
    <mergeCell ref="BWS22:BWT22"/>
    <mergeCell ref="BXA22:BXC22"/>
    <mergeCell ref="BXE22:BXF22"/>
    <mergeCell ref="BXM22:BXO22"/>
    <mergeCell ref="BXQ22:BXR22"/>
    <mergeCell ref="BVE22:BVG22"/>
    <mergeCell ref="BVI22:BVJ22"/>
    <mergeCell ref="BVQ22:BVS22"/>
    <mergeCell ref="BVU22:BVV22"/>
    <mergeCell ref="BWC22:BWE22"/>
    <mergeCell ref="BWG22:BWH22"/>
    <mergeCell ref="BTU22:BTW22"/>
    <mergeCell ref="BTY22:BTZ22"/>
    <mergeCell ref="BUG22:BUI22"/>
    <mergeCell ref="BUK22:BUL22"/>
    <mergeCell ref="BUS22:BUU22"/>
    <mergeCell ref="BUW22:BUX22"/>
    <mergeCell ref="BSK22:BSM22"/>
    <mergeCell ref="BSO22:BSP22"/>
    <mergeCell ref="BSW22:BSY22"/>
    <mergeCell ref="BTA22:BTB22"/>
    <mergeCell ref="BTI22:BTK22"/>
    <mergeCell ref="BTM22:BTN22"/>
    <mergeCell ref="BRA22:BRC22"/>
    <mergeCell ref="BRE22:BRF22"/>
    <mergeCell ref="BRM22:BRO22"/>
    <mergeCell ref="BRQ22:BRR22"/>
    <mergeCell ref="BRY22:BSA22"/>
    <mergeCell ref="BSC22:BSD22"/>
    <mergeCell ref="BPQ22:BPS22"/>
    <mergeCell ref="BPU22:BPV22"/>
    <mergeCell ref="BQC22:BQE22"/>
    <mergeCell ref="BQG22:BQH22"/>
    <mergeCell ref="BQO22:BQQ22"/>
    <mergeCell ref="BQS22:BQT22"/>
    <mergeCell ref="BOG22:BOI22"/>
    <mergeCell ref="BOK22:BOL22"/>
    <mergeCell ref="BOS22:BOU22"/>
    <mergeCell ref="BOW22:BOX22"/>
    <mergeCell ref="BPE22:BPG22"/>
    <mergeCell ref="BPI22:BPJ22"/>
    <mergeCell ref="BMW22:BMY22"/>
    <mergeCell ref="BNA22:BNB22"/>
    <mergeCell ref="BNI22:BNK22"/>
    <mergeCell ref="BNM22:BNN22"/>
    <mergeCell ref="BNU22:BNW22"/>
    <mergeCell ref="BNY22:BNZ22"/>
    <mergeCell ref="BLM22:BLO22"/>
    <mergeCell ref="BLQ22:BLR22"/>
    <mergeCell ref="BLY22:BMA22"/>
    <mergeCell ref="BMC22:BMD22"/>
    <mergeCell ref="BMK22:BMM22"/>
    <mergeCell ref="BMO22:BMP22"/>
    <mergeCell ref="BKC22:BKE22"/>
    <mergeCell ref="BKG22:BKH22"/>
    <mergeCell ref="BKO22:BKQ22"/>
    <mergeCell ref="BKS22:BKT22"/>
    <mergeCell ref="BLA22:BLC22"/>
    <mergeCell ref="BLE22:BLF22"/>
    <mergeCell ref="BIS22:BIU22"/>
    <mergeCell ref="BIW22:BIX22"/>
    <mergeCell ref="BJE22:BJG22"/>
    <mergeCell ref="BJI22:BJJ22"/>
    <mergeCell ref="BJQ22:BJS22"/>
    <mergeCell ref="BJU22:BJV22"/>
    <mergeCell ref="BHI22:BHK22"/>
    <mergeCell ref="BHM22:BHN22"/>
    <mergeCell ref="BHU22:BHW22"/>
    <mergeCell ref="BHY22:BHZ22"/>
    <mergeCell ref="BIG22:BII22"/>
    <mergeCell ref="BIK22:BIL22"/>
    <mergeCell ref="BFY22:BGA22"/>
    <mergeCell ref="BGC22:BGD22"/>
    <mergeCell ref="BGK22:BGM22"/>
    <mergeCell ref="BGO22:BGP22"/>
    <mergeCell ref="BGW22:BGY22"/>
    <mergeCell ref="BHA22:BHB22"/>
    <mergeCell ref="BEO22:BEQ22"/>
    <mergeCell ref="BES22:BET22"/>
    <mergeCell ref="BFA22:BFC22"/>
    <mergeCell ref="BFE22:BFF22"/>
    <mergeCell ref="BFM22:BFO22"/>
    <mergeCell ref="BFQ22:BFR22"/>
    <mergeCell ref="BDE22:BDG22"/>
    <mergeCell ref="BDI22:BDJ22"/>
    <mergeCell ref="BDQ22:BDS22"/>
    <mergeCell ref="BDU22:BDV22"/>
    <mergeCell ref="BEC22:BEE22"/>
    <mergeCell ref="BEG22:BEH22"/>
    <mergeCell ref="BBU22:BBW22"/>
    <mergeCell ref="BBY22:BBZ22"/>
    <mergeCell ref="BCG22:BCI22"/>
    <mergeCell ref="BCK22:BCL22"/>
    <mergeCell ref="BCS22:BCU22"/>
    <mergeCell ref="BCW22:BCX22"/>
    <mergeCell ref="BAK22:BAM22"/>
    <mergeCell ref="BAO22:BAP22"/>
    <mergeCell ref="BAW22:BAY22"/>
    <mergeCell ref="BBA22:BBB22"/>
    <mergeCell ref="BBI22:BBK22"/>
    <mergeCell ref="BBM22:BBN22"/>
    <mergeCell ref="AZA22:AZC22"/>
    <mergeCell ref="AZE22:AZF22"/>
    <mergeCell ref="AZM22:AZO22"/>
    <mergeCell ref="AZQ22:AZR22"/>
    <mergeCell ref="AZY22:BAA22"/>
    <mergeCell ref="BAC22:BAD22"/>
    <mergeCell ref="AXQ22:AXS22"/>
    <mergeCell ref="AXU22:AXV22"/>
    <mergeCell ref="AYC22:AYE22"/>
    <mergeCell ref="AYG22:AYH22"/>
    <mergeCell ref="AYO22:AYQ22"/>
    <mergeCell ref="AYS22:AYT22"/>
    <mergeCell ref="AWG22:AWI22"/>
    <mergeCell ref="AWK22:AWL22"/>
    <mergeCell ref="AWS22:AWU22"/>
    <mergeCell ref="AWW22:AWX22"/>
    <mergeCell ref="AXE22:AXG22"/>
    <mergeCell ref="AXI22:AXJ22"/>
    <mergeCell ref="AUW22:AUY22"/>
    <mergeCell ref="AVA22:AVB22"/>
    <mergeCell ref="AVI22:AVK22"/>
    <mergeCell ref="AVM22:AVN22"/>
    <mergeCell ref="AVU22:AVW22"/>
    <mergeCell ref="AVY22:AVZ22"/>
    <mergeCell ref="ATM22:ATO22"/>
    <mergeCell ref="ATQ22:ATR22"/>
    <mergeCell ref="ATY22:AUA22"/>
    <mergeCell ref="AUC22:AUD22"/>
    <mergeCell ref="AUK22:AUM22"/>
    <mergeCell ref="AUO22:AUP22"/>
    <mergeCell ref="ASC22:ASE22"/>
    <mergeCell ref="ASG22:ASH22"/>
    <mergeCell ref="ASO22:ASQ22"/>
    <mergeCell ref="ASS22:AST22"/>
    <mergeCell ref="ATA22:ATC22"/>
    <mergeCell ref="ATE22:ATF22"/>
    <mergeCell ref="AQS22:AQU22"/>
    <mergeCell ref="AQW22:AQX22"/>
    <mergeCell ref="ARE22:ARG22"/>
    <mergeCell ref="ARI22:ARJ22"/>
    <mergeCell ref="ARQ22:ARS22"/>
    <mergeCell ref="ARU22:ARV22"/>
    <mergeCell ref="API22:APK22"/>
    <mergeCell ref="APM22:APN22"/>
    <mergeCell ref="APU22:APW22"/>
    <mergeCell ref="APY22:APZ22"/>
    <mergeCell ref="AQG22:AQI22"/>
    <mergeCell ref="AQK22:AQL22"/>
    <mergeCell ref="ANY22:AOA22"/>
    <mergeCell ref="AOC22:AOD22"/>
    <mergeCell ref="AOK22:AOM22"/>
    <mergeCell ref="AOO22:AOP22"/>
    <mergeCell ref="AOW22:AOY22"/>
    <mergeCell ref="APA22:APB22"/>
    <mergeCell ref="AMO22:AMQ22"/>
    <mergeCell ref="AMS22:AMT22"/>
    <mergeCell ref="ANA22:ANC22"/>
    <mergeCell ref="ANE22:ANF22"/>
    <mergeCell ref="ANM22:ANO22"/>
    <mergeCell ref="ANQ22:ANR22"/>
    <mergeCell ref="ALE22:ALG22"/>
    <mergeCell ref="ALI22:ALJ22"/>
    <mergeCell ref="ALQ22:ALS22"/>
    <mergeCell ref="ALU22:ALV22"/>
    <mergeCell ref="AMC22:AME22"/>
    <mergeCell ref="AMG22:AMH22"/>
    <mergeCell ref="AJU22:AJW22"/>
    <mergeCell ref="AJY22:AJZ22"/>
    <mergeCell ref="AKG22:AKI22"/>
    <mergeCell ref="AKK22:AKL22"/>
    <mergeCell ref="AKS22:AKU22"/>
    <mergeCell ref="AKW22:AKX22"/>
    <mergeCell ref="AIK22:AIM22"/>
    <mergeCell ref="AIO22:AIP22"/>
    <mergeCell ref="AIW22:AIY22"/>
    <mergeCell ref="AJA22:AJB22"/>
    <mergeCell ref="AJI22:AJK22"/>
    <mergeCell ref="AJM22:AJN22"/>
    <mergeCell ref="AHA22:AHC22"/>
    <mergeCell ref="AHE22:AHF22"/>
    <mergeCell ref="AHM22:AHO22"/>
    <mergeCell ref="AHQ22:AHR22"/>
    <mergeCell ref="AHY22:AIA22"/>
    <mergeCell ref="AIC22:AID22"/>
    <mergeCell ref="AFP22:AFR22"/>
    <mergeCell ref="AFT22:AFU22"/>
    <mergeCell ref="AGC22:AGE22"/>
    <mergeCell ref="AGG22:AGH22"/>
    <mergeCell ref="AGO22:AGQ22"/>
    <mergeCell ref="AGS22:AGT22"/>
    <mergeCell ref="AEC22:AEE22"/>
    <mergeCell ref="AEG22:AEH22"/>
    <mergeCell ref="AEP22:AER22"/>
    <mergeCell ref="AET22:AEU22"/>
    <mergeCell ref="AFC22:AFE22"/>
    <mergeCell ref="AFG22:AFH22"/>
    <mergeCell ref="ACP22:ACR22"/>
    <mergeCell ref="ACT22:ACU22"/>
    <mergeCell ref="ADC22:ADE22"/>
    <mergeCell ref="ADG22:ADH22"/>
    <mergeCell ref="ADP22:ADR22"/>
    <mergeCell ref="ADT22:ADU22"/>
    <mergeCell ref="ABC22:ABE22"/>
    <mergeCell ref="ABG22:ABH22"/>
    <mergeCell ref="ABP22:ABR22"/>
    <mergeCell ref="ABT22:ABU22"/>
    <mergeCell ref="ACC22:ACE22"/>
    <mergeCell ref="ACG22:ACH22"/>
    <mergeCell ref="ZR22:ZT22"/>
    <mergeCell ref="ZU22:ZV22"/>
    <mergeCell ref="AAC22:AAE22"/>
    <mergeCell ref="AAG22:AAH22"/>
    <mergeCell ref="AAP22:AAR22"/>
    <mergeCell ref="AAT22:AAU22"/>
    <mergeCell ref="YP22:YR22"/>
    <mergeCell ref="YS22:YT22"/>
    <mergeCell ref="YX22:YZ22"/>
    <mergeCell ref="ZD22:ZF22"/>
    <mergeCell ref="ZG22:ZH22"/>
    <mergeCell ref="ZL22:ZN22"/>
    <mergeCell ref="XN22:XP22"/>
    <mergeCell ref="XQ22:XR22"/>
    <mergeCell ref="XV22:XX22"/>
    <mergeCell ref="YB22:YD22"/>
    <mergeCell ref="YE22:YF22"/>
    <mergeCell ref="YJ22:YL22"/>
    <mergeCell ref="WL22:WN22"/>
    <mergeCell ref="WO22:WP22"/>
    <mergeCell ref="WT22:WV22"/>
    <mergeCell ref="WZ22:XB22"/>
    <mergeCell ref="XC22:XD22"/>
    <mergeCell ref="XH22:XJ22"/>
    <mergeCell ref="VJ22:VL22"/>
    <mergeCell ref="VM22:VN22"/>
    <mergeCell ref="VR22:VT22"/>
    <mergeCell ref="VX22:VZ22"/>
    <mergeCell ref="WA22:WB22"/>
    <mergeCell ref="WF22:WH22"/>
    <mergeCell ref="UH22:UJ22"/>
    <mergeCell ref="UK22:UL22"/>
    <mergeCell ref="UP22:UR22"/>
    <mergeCell ref="UV22:UX22"/>
    <mergeCell ref="UY22:UZ22"/>
    <mergeCell ref="VD22:VF22"/>
    <mergeCell ref="TF22:TH22"/>
    <mergeCell ref="TI22:TJ22"/>
    <mergeCell ref="TN22:TP22"/>
    <mergeCell ref="TT22:TV22"/>
    <mergeCell ref="TW22:TX22"/>
    <mergeCell ref="UB22:UD22"/>
    <mergeCell ref="SD22:SF22"/>
    <mergeCell ref="SG22:SH22"/>
    <mergeCell ref="SL22:SN22"/>
    <mergeCell ref="SR22:ST22"/>
    <mergeCell ref="SU22:SV22"/>
    <mergeCell ref="SZ22:TB22"/>
    <mergeCell ref="RB22:RD22"/>
    <mergeCell ref="RE22:RF22"/>
    <mergeCell ref="RJ22:RL22"/>
    <mergeCell ref="RP22:RR22"/>
    <mergeCell ref="RS22:RT22"/>
    <mergeCell ref="RX22:RZ22"/>
    <mergeCell ref="PZ22:QB22"/>
    <mergeCell ref="QC22:QD22"/>
    <mergeCell ref="QH22:QJ22"/>
    <mergeCell ref="QN22:QP22"/>
    <mergeCell ref="QQ22:QR22"/>
    <mergeCell ref="QV22:QX22"/>
    <mergeCell ref="OX22:OZ22"/>
    <mergeCell ref="PA22:PB22"/>
    <mergeCell ref="PF22:PH22"/>
    <mergeCell ref="PL22:PN22"/>
    <mergeCell ref="PO22:PP22"/>
    <mergeCell ref="PT22:PV22"/>
    <mergeCell ref="NV22:NX22"/>
    <mergeCell ref="NY22:NZ22"/>
    <mergeCell ref="OD22:OF22"/>
    <mergeCell ref="OJ22:OL22"/>
    <mergeCell ref="OM22:ON22"/>
    <mergeCell ref="OR22:OT22"/>
    <mergeCell ref="MT22:MV22"/>
    <mergeCell ref="MW22:MX22"/>
    <mergeCell ref="NB22:ND22"/>
    <mergeCell ref="NH22:NJ22"/>
    <mergeCell ref="NK22:NL22"/>
    <mergeCell ref="NP22:NR22"/>
    <mergeCell ref="LR22:LT22"/>
    <mergeCell ref="LU22:LV22"/>
    <mergeCell ref="LZ22:MB22"/>
    <mergeCell ref="MF22:MH22"/>
    <mergeCell ref="MI22:MJ22"/>
    <mergeCell ref="MN22:MP22"/>
    <mergeCell ref="KP22:KR22"/>
    <mergeCell ref="KS22:KT22"/>
    <mergeCell ref="KX22:KZ22"/>
    <mergeCell ref="LD22:LF22"/>
    <mergeCell ref="LG22:LH22"/>
    <mergeCell ref="LL22:LN22"/>
    <mergeCell ref="IL22:IN22"/>
    <mergeCell ref="IO22:IP22"/>
    <mergeCell ref="IT22:IV22"/>
    <mergeCell ref="IZ22:JB22"/>
    <mergeCell ref="JC22:JD22"/>
    <mergeCell ref="JH22:JJ22"/>
    <mergeCell ref="GH22:GJ22"/>
    <mergeCell ref="GK22:GL22"/>
    <mergeCell ref="GP22:GR22"/>
    <mergeCell ref="GV22:GX22"/>
    <mergeCell ref="GY22:GZ22"/>
    <mergeCell ref="HD22:HF22"/>
    <mergeCell ref="ED22:EF22"/>
    <mergeCell ref="EG22:EH22"/>
    <mergeCell ref="EL22:EN22"/>
    <mergeCell ref="ER22:ET22"/>
    <mergeCell ref="EU22:EV22"/>
    <mergeCell ref="EZ22:FB22"/>
    <mergeCell ref="BZ22:CB22"/>
    <mergeCell ref="CC22:CD22"/>
    <mergeCell ref="CH22:CJ22"/>
    <mergeCell ref="CN22:CP22"/>
    <mergeCell ref="CQ22:CR22"/>
    <mergeCell ref="CV22:CX22"/>
    <mergeCell ref="ZR21:ZT21"/>
    <mergeCell ref="ZU21:ZV21"/>
    <mergeCell ref="B22:D22"/>
    <mergeCell ref="H22:J22"/>
    <mergeCell ref="K22:L22"/>
    <mergeCell ref="P22:R22"/>
    <mergeCell ref="V22:X22"/>
    <mergeCell ref="Y22:Z22"/>
    <mergeCell ref="AD22:AF22"/>
    <mergeCell ref="AJ22:AL22"/>
    <mergeCell ref="YB21:YD21"/>
    <mergeCell ref="YE21:YF21"/>
    <mergeCell ref="YP21:YR21"/>
    <mergeCell ref="YS21:YT21"/>
    <mergeCell ref="ZD21:ZF21"/>
    <mergeCell ref="ZG21:ZH21"/>
    <mergeCell ref="WL21:WN21"/>
    <mergeCell ref="WO21:WP21"/>
    <mergeCell ref="WZ21:XB21"/>
    <mergeCell ref="XC21:XD21"/>
    <mergeCell ref="XN21:XP21"/>
    <mergeCell ref="XQ21:XR21"/>
    <mergeCell ref="UV21:UX21"/>
    <mergeCell ref="UY21:UZ21"/>
    <mergeCell ref="VJ21:VL21"/>
    <mergeCell ref="VM21:VN21"/>
    <mergeCell ref="VX21:VZ21"/>
    <mergeCell ref="WA21:WB21"/>
    <mergeCell ref="TF21:TH21"/>
    <mergeCell ref="TI21:TJ21"/>
    <mergeCell ref="TT21:TV21"/>
    <mergeCell ref="TW21:TX21"/>
    <mergeCell ref="UH21:UJ21"/>
    <mergeCell ref="UK21:UL21"/>
    <mergeCell ref="RP21:RR21"/>
    <mergeCell ref="RS21:RT21"/>
    <mergeCell ref="SD21:SF21"/>
    <mergeCell ref="SG21:SH21"/>
    <mergeCell ref="SR21:ST21"/>
    <mergeCell ref="SU21:SV21"/>
    <mergeCell ref="PZ21:QB21"/>
    <mergeCell ref="QC21:QD21"/>
    <mergeCell ref="QN21:QP21"/>
    <mergeCell ref="QQ21:QR21"/>
    <mergeCell ref="RB21:RD21"/>
    <mergeCell ref="RE21:RF21"/>
    <mergeCell ref="OJ21:OL21"/>
    <mergeCell ref="OM21:ON21"/>
    <mergeCell ref="OX21:OZ21"/>
    <mergeCell ref="PA21:PB21"/>
    <mergeCell ref="PL21:PN21"/>
    <mergeCell ref="PO21:PP21"/>
    <mergeCell ref="MT21:MV21"/>
    <mergeCell ref="MW21:MX21"/>
    <mergeCell ref="NH21:NJ21"/>
    <mergeCell ref="NK21:NL21"/>
    <mergeCell ref="NV21:NX21"/>
    <mergeCell ref="NY21:NZ21"/>
    <mergeCell ref="LD21:LF21"/>
    <mergeCell ref="LG21:LH21"/>
    <mergeCell ref="LR21:LT21"/>
    <mergeCell ref="LU21:LV21"/>
    <mergeCell ref="MF21:MH21"/>
    <mergeCell ref="MI21:MJ21"/>
    <mergeCell ref="JU21:JU22"/>
    <mergeCell ref="KB21:KD21"/>
    <mergeCell ref="KE21:KF21"/>
    <mergeCell ref="KI21:KI22"/>
    <mergeCell ref="KP21:KR21"/>
    <mergeCell ref="KS21:KT21"/>
    <mergeCell ref="JV22:JX22"/>
    <mergeCell ref="KB22:KD22"/>
    <mergeCell ref="KE22:KF22"/>
    <mergeCell ref="KJ22:KL22"/>
    <mergeCell ref="IS21:IS22"/>
    <mergeCell ref="IZ21:JB21"/>
    <mergeCell ref="JC21:JD21"/>
    <mergeCell ref="JG21:JG22"/>
    <mergeCell ref="JN21:JP21"/>
    <mergeCell ref="JQ21:JR21"/>
    <mergeCell ref="JN22:JP22"/>
    <mergeCell ref="JQ22:JR22"/>
    <mergeCell ref="HQ21:HQ22"/>
    <mergeCell ref="HX21:HZ21"/>
    <mergeCell ref="IA21:IB21"/>
    <mergeCell ref="IE21:IE22"/>
    <mergeCell ref="IL21:IN21"/>
    <mergeCell ref="IO21:IP21"/>
    <mergeCell ref="HR22:HT22"/>
    <mergeCell ref="HX22:HZ22"/>
    <mergeCell ref="IA22:IB22"/>
    <mergeCell ref="IF22:IH22"/>
    <mergeCell ref="GO21:GO22"/>
    <mergeCell ref="GV21:GX21"/>
    <mergeCell ref="GY21:GZ21"/>
    <mergeCell ref="HC21:HC22"/>
    <mergeCell ref="HJ21:HL21"/>
    <mergeCell ref="HM21:HN21"/>
    <mergeCell ref="HJ22:HL22"/>
    <mergeCell ref="HM22:HN22"/>
    <mergeCell ref="FM21:FM22"/>
    <mergeCell ref="FT21:FV21"/>
    <mergeCell ref="FW21:FX21"/>
    <mergeCell ref="GA21:GA22"/>
    <mergeCell ref="GH21:GJ21"/>
    <mergeCell ref="GK21:GL21"/>
    <mergeCell ref="FN22:FP22"/>
    <mergeCell ref="FT22:FV22"/>
    <mergeCell ref="FW22:FX22"/>
    <mergeCell ref="GB22:GD22"/>
    <mergeCell ref="EK21:EK22"/>
    <mergeCell ref="ER21:ET21"/>
    <mergeCell ref="EU21:EV21"/>
    <mergeCell ref="EY21:EY22"/>
    <mergeCell ref="FF21:FH21"/>
    <mergeCell ref="FI21:FJ21"/>
    <mergeCell ref="FF22:FH22"/>
    <mergeCell ref="FI22:FJ22"/>
    <mergeCell ref="DI21:DI22"/>
    <mergeCell ref="DP21:DR21"/>
    <mergeCell ref="DS21:DT21"/>
    <mergeCell ref="DW21:DW22"/>
    <mergeCell ref="ED21:EF21"/>
    <mergeCell ref="EG21:EH21"/>
    <mergeCell ref="DJ22:DL22"/>
    <mergeCell ref="DP22:DR22"/>
    <mergeCell ref="DS22:DT22"/>
    <mergeCell ref="DX22:DZ22"/>
    <mergeCell ref="CG21:CG22"/>
    <mergeCell ref="CN21:CP21"/>
    <mergeCell ref="CQ21:CR21"/>
    <mergeCell ref="CU21:CU22"/>
    <mergeCell ref="DB21:DD21"/>
    <mergeCell ref="DE21:DF21"/>
    <mergeCell ref="DB22:DD22"/>
    <mergeCell ref="DE22:DF22"/>
    <mergeCell ref="BE21:BE22"/>
    <mergeCell ref="BL21:BN21"/>
    <mergeCell ref="BO21:BP21"/>
    <mergeCell ref="BS21:BS22"/>
    <mergeCell ref="BZ21:CB21"/>
    <mergeCell ref="CC21:CD21"/>
    <mergeCell ref="BF22:BH22"/>
    <mergeCell ref="BL22:BN22"/>
    <mergeCell ref="BO22:BP22"/>
    <mergeCell ref="BT22:BV22"/>
    <mergeCell ref="AC21:AC22"/>
    <mergeCell ref="AJ21:AL21"/>
    <mergeCell ref="AM21:AN21"/>
    <mergeCell ref="AQ21:AQ22"/>
    <mergeCell ref="AX21:AZ21"/>
    <mergeCell ref="BA21:BB21"/>
    <mergeCell ref="AM22:AN22"/>
    <mergeCell ref="AR22:AT22"/>
    <mergeCell ref="AX22:AZ22"/>
    <mergeCell ref="BA22:BB22"/>
    <mergeCell ref="A21:A22"/>
    <mergeCell ref="H21:J21"/>
    <mergeCell ref="K21:L21"/>
    <mergeCell ref="O21:O22"/>
    <mergeCell ref="V21:X21"/>
    <mergeCell ref="Y21:Z21"/>
    <mergeCell ref="CVJ20:CVL20"/>
    <mergeCell ref="CVM20:CVO20"/>
    <mergeCell ref="CVQ20:CVR20"/>
    <mergeCell ref="CVV20:CVX20"/>
    <mergeCell ref="CVY20:CWA20"/>
    <mergeCell ref="CWC20:CWD20"/>
    <mergeCell ref="CUL20:CUN20"/>
    <mergeCell ref="CUO20:CUQ20"/>
    <mergeCell ref="CUS20:CUT20"/>
    <mergeCell ref="CUX20:CUZ20"/>
    <mergeCell ref="CVA20:CVC20"/>
    <mergeCell ref="CVE20:CVF20"/>
    <mergeCell ref="CTN20:CTP20"/>
    <mergeCell ref="CTQ20:CTS20"/>
    <mergeCell ref="CTU20:CTV20"/>
    <mergeCell ref="CTZ20:CUB20"/>
    <mergeCell ref="CUC20:CUE20"/>
    <mergeCell ref="CUG20:CUH20"/>
    <mergeCell ref="CSP20:CSR20"/>
    <mergeCell ref="CSS20:CSU20"/>
    <mergeCell ref="CSW20:CSX20"/>
    <mergeCell ref="CTB20:CTD20"/>
    <mergeCell ref="CTE20:CTG20"/>
    <mergeCell ref="CTI20:CTJ20"/>
    <mergeCell ref="CRR20:CRT20"/>
    <mergeCell ref="CRU20:CRW20"/>
    <mergeCell ref="CRY20:CRZ20"/>
    <mergeCell ref="CSD20:CSF20"/>
    <mergeCell ref="CSG20:CSI20"/>
    <mergeCell ref="CSK20:CSL20"/>
    <mergeCell ref="CQT20:CQV20"/>
    <mergeCell ref="CQW20:CQY20"/>
    <mergeCell ref="CRA20:CRB20"/>
    <mergeCell ref="CRF20:CRH20"/>
    <mergeCell ref="CRI20:CRK20"/>
    <mergeCell ref="CRM20:CRN20"/>
    <mergeCell ref="CPV20:CPX20"/>
    <mergeCell ref="CPY20:CQA20"/>
    <mergeCell ref="CQC20:CQD20"/>
    <mergeCell ref="CQH20:CQJ20"/>
    <mergeCell ref="CQK20:CQM20"/>
    <mergeCell ref="CQO20:CQP20"/>
    <mergeCell ref="COX20:COZ20"/>
    <mergeCell ref="CPA20:CPC20"/>
    <mergeCell ref="CPE20:CPF20"/>
    <mergeCell ref="CPJ20:CPL20"/>
    <mergeCell ref="CPM20:CPO20"/>
    <mergeCell ref="CPQ20:CPR20"/>
    <mergeCell ref="CNZ20:COB20"/>
    <mergeCell ref="COC20:COE20"/>
    <mergeCell ref="COG20:COH20"/>
    <mergeCell ref="COL20:CON20"/>
    <mergeCell ref="COO20:COQ20"/>
    <mergeCell ref="COS20:COT20"/>
    <mergeCell ref="CNB20:CND20"/>
    <mergeCell ref="CNE20:CNG20"/>
    <mergeCell ref="CNI20:CNJ20"/>
    <mergeCell ref="CNN20:CNP20"/>
    <mergeCell ref="CNQ20:CNS20"/>
    <mergeCell ref="CNU20:CNV20"/>
    <mergeCell ref="CMD20:CMF20"/>
    <mergeCell ref="CMG20:CMI20"/>
    <mergeCell ref="CMK20:CML20"/>
    <mergeCell ref="CMP20:CMR20"/>
    <mergeCell ref="CMS20:CMU20"/>
    <mergeCell ref="CMW20:CMX20"/>
    <mergeCell ref="CLF20:CLH20"/>
    <mergeCell ref="CLI20:CLK20"/>
    <mergeCell ref="CLM20:CLN20"/>
    <mergeCell ref="CLR20:CLT20"/>
    <mergeCell ref="CLU20:CLW20"/>
    <mergeCell ref="CLY20:CLZ20"/>
    <mergeCell ref="CKH20:CKJ20"/>
    <mergeCell ref="CKK20:CKM20"/>
    <mergeCell ref="CKO20:CKP20"/>
    <mergeCell ref="CKT20:CKV20"/>
    <mergeCell ref="CKW20:CKY20"/>
    <mergeCell ref="CLA20:CLB20"/>
    <mergeCell ref="CJJ20:CJL20"/>
    <mergeCell ref="CJM20:CJO20"/>
    <mergeCell ref="CJQ20:CJR20"/>
    <mergeCell ref="CJV20:CJX20"/>
    <mergeCell ref="CJY20:CKA20"/>
    <mergeCell ref="CKC20:CKD20"/>
    <mergeCell ref="CIL20:CIN20"/>
    <mergeCell ref="CIO20:CIQ20"/>
    <mergeCell ref="CIS20:CIT20"/>
    <mergeCell ref="CIX20:CIZ20"/>
    <mergeCell ref="CJA20:CJC20"/>
    <mergeCell ref="CJE20:CJF20"/>
    <mergeCell ref="CHN20:CHP20"/>
    <mergeCell ref="CHQ20:CHS20"/>
    <mergeCell ref="CHU20:CHV20"/>
    <mergeCell ref="CHZ20:CIB20"/>
    <mergeCell ref="CIC20:CIE20"/>
    <mergeCell ref="CIG20:CIH20"/>
    <mergeCell ref="CGP20:CGR20"/>
    <mergeCell ref="CGS20:CGU20"/>
    <mergeCell ref="CGW20:CGX20"/>
    <mergeCell ref="CHB20:CHD20"/>
    <mergeCell ref="CHE20:CHG20"/>
    <mergeCell ref="CHI20:CHJ20"/>
    <mergeCell ref="CFR20:CFT20"/>
    <mergeCell ref="CFU20:CFW20"/>
    <mergeCell ref="CFY20:CFZ20"/>
    <mergeCell ref="CGD20:CGF20"/>
    <mergeCell ref="CGG20:CGI20"/>
    <mergeCell ref="CGK20:CGL20"/>
    <mergeCell ref="CET20:CEV20"/>
    <mergeCell ref="CEW20:CEY20"/>
    <mergeCell ref="CFA20:CFB20"/>
    <mergeCell ref="CFF20:CFH20"/>
    <mergeCell ref="CFI20:CFK20"/>
    <mergeCell ref="CFM20:CFN20"/>
    <mergeCell ref="CDV20:CDX20"/>
    <mergeCell ref="CDY20:CEA20"/>
    <mergeCell ref="CEC20:CED20"/>
    <mergeCell ref="CEH20:CEJ20"/>
    <mergeCell ref="CEK20:CEM20"/>
    <mergeCell ref="CEO20:CEP20"/>
    <mergeCell ref="CCX20:CCZ20"/>
    <mergeCell ref="CDA20:CDC20"/>
    <mergeCell ref="CDE20:CDF20"/>
    <mergeCell ref="CDJ20:CDL20"/>
    <mergeCell ref="CDM20:CDO20"/>
    <mergeCell ref="CDQ20:CDR20"/>
    <mergeCell ref="CBZ20:CCB20"/>
    <mergeCell ref="CCC20:CCE20"/>
    <mergeCell ref="CCG20:CCH20"/>
    <mergeCell ref="CCL20:CCN20"/>
    <mergeCell ref="CCO20:CCQ20"/>
    <mergeCell ref="CCS20:CCT20"/>
    <mergeCell ref="CBB20:CBD20"/>
    <mergeCell ref="CBE20:CBG20"/>
    <mergeCell ref="CBI20:CBJ20"/>
    <mergeCell ref="CBN20:CBP20"/>
    <mergeCell ref="CBQ20:CBS20"/>
    <mergeCell ref="CBU20:CBV20"/>
    <mergeCell ref="CAD20:CAF20"/>
    <mergeCell ref="CAG20:CAI20"/>
    <mergeCell ref="CAK20:CAL20"/>
    <mergeCell ref="CAP20:CAR20"/>
    <mergeCell ref="CAS20:CAU20"/>
    <mergeCell ref="CAW20:CAX20"/>
    <mergeCell ref="BZF20:BZH20"/>
    <mergeCell ref="BZI20:BZK20"/>
    <mergeCell ref="BZM20:BZN20"/>
    <mergeCell ref="BZR20:BZT20"/>
    <mergeCell ref="BZU20:BZW20"/>
    <mergeCell ref="BZY20:BZZ20"/>
    <mergeCell ref="BYH20:BYJ20"/>
    <mergeCell ref="BYK20:BYM20"/>
    <mergeCell ref="BYO20:BYP20"/>
    <mergeCell ref="BYT20:BYV20"/>
    <mergeCell ref="BYW20:BYY20"/>
    <mergeCell ref="BZA20:BZB20"/>
    <mergeCell ref="BXJ20:BXL20"/>
    <mergeCell ref="BXM20:BXO20"/>
    <mergeCell ref="BXQ20:BXR20"/>
    <mergeCell ref="BXV20:BXX20"/>
    <mergeCell ref="BXY20:BYA20"/>
    <mergeCell ref="BYC20:BYD20"/>
    <mergeCell ref="BWL20:BWN20"/>
    <mergeCell ref="BWO20:BWQ20"/>
    <mergeCell ref="BWS20:BWT20"/>
    <mergeCell ref="BWX20:BWZ20"/>
    <mergeCell ref="BXA20:BXC20"/>
    <mergeCell ref="BXE20:BXF20"/>
    <mergeCell ref="BVN20:BVP20"/>
    <mergeCell ref="BVQ20:BVS20"/>
    <mergeCell ref="BVU20:BVV20"/>
    <mergeCell ref="BVZ20:BWB20"/>
    <mergeCell ref="BWC20:BWE20"/>
    <mergeCell ref="BWG20:BWH20"/>
    <mergeCell ref="BUP20:BUR20"/>
    <mergeCell ref="BUS20:BUU20"/>
    <mergeCell ref="BUW20:BUX20"/>
    <mergeCell ref="BVB20:BVD20"/>
    <mergeCell ref="BVE20:BVG20"/>
    <mergeCell ref="BVI20:BVJ20"/>
    <mergeCell ref="BTR20:BTT20"/>
    <mergeCell ref="BTU20:BTW20"/>
    <mergeCell ref="BTY20:BTZ20"/>
    <mergeCell ref="BUD20:BUF20"/>
    <mergeCell ref="BUG20:BUI20"/>
    <mergeCell ref="BUK20:BUL20"/>
    <mergeCell ref="BST20:BSV20"/>
    <mergeCell ref="BSW20:BSY20"/>
    <mergeCell ref="BTA20:BTB20"/>
    <mergeCell ref="BTF20:BTH20"/>
    <mergeCell ref="BTI20:BTK20"/>
    <mergeCell ref="BTM20:BTN20"/>
    <mergeCell ref="BRV20:BRX20"/>
    <mergeCell ref="BRY20:BSA20"/>
    <mergeCell ref="BSC20:BSD20"/>
    <mergeCell ref="BSH20:BSJ20"/>
    <mergeCell ref="BSK20:BSM20"/>
    <mergeCell ref="BSO20:BSP20"/>
    <mergeCell ref="BQX20:BQZ20"/>
    <mergeCell ref="BRA20:BRC20"/>
    <mergeCell ref="BRE20:BRF20"/>
    <mergeCell ref="BRJ20:BRL20"/>
    <mergeCell ref="BRM20:BRO20"/>
    <mergeCell ref="BRQ20:BRR20"/>
    <mergeCell ref="BPZ20:BQB20"/>
    <mergeCell ref="BQC20:BQE20"/>
    <mergeCell ref="BQG20:BQH20"/>
    <mergeCell ref="BQL20:BQN20"/>
    <mergeCell ref="BQO20:BQQ20"/>
    <mergeCell ref="BQS20:BQT20"/>
    <mergeCell ref="BPB20:BPD20"/>
    <mergeCell ref="BPE20:BPG20"/>
    <mergeCell ref="BPI20:BPJ20"/>
    <mergeCell ref="BPN20:BPP20"/>
    <mergeCell ref="BPQ20:BPS20"/>
    <mergeCell ref="BPU20:BPV20"/>
    <mergeCell ref="BOD20:BOF20"/>
    <mergeCell ref="BOG20:BOI20"/>
    <mergeCell ref="BOK20:BOL20"/>
    <mergeCell ref="BOP20:BOR20"/>
    <mergeCell ref="BOS20:BOU20"/>
    <mergeCell ref="BOW20:BOX20"/>
    <mergeCell ref="BNF20:BNH20"/>
    <mergeCell ref="BNI20:BNK20"/>
    <mergeCell ref="BNM20:BNN20"/>
    <mergeCell ref="BNR20:BNT20"/>
    <mergeCell ref="BNU20:BNW20"/>
    <mergeCell ref="BNY20:BNZ20"/>
    <mergeCell ref="BMH20:BMJ20"/>
    <mergeCell ref="BMK20:BMM20"/>
    <mergeCell ref="BMO20:BMP20"/>
    <mergeCell ref="BMT20:BMV20"/>
    <mergeCell ref="BMW20:BMY20"/>
    <mergeCell ref="BNA20:BNB20"/>
    <mergeCell ref="BLJ20:BLL20"/>
    <mergeCell ref="BLM20:BLO20"/>
    <mergeCell ref="BLQ20:BLR20"/>
    <mergeCell ref="BLV20:BLX20"/>
    <mergeCell ref="BLY20:BMA20"/>
    <mergeCell ref="BMC20:BMD20"/>
    <mergeCell ref="BKL20:BKN20"/>
    <mergeCell ref="BKO20:BKQ20"/>
    <mergeCell ref="BKS20:BKT20"/>
    <mergeCell ref="BKX20:BKZ20"/>
    <mergeCell ref="BLA20:BLC20"/>
    <mergeCell ref="BLE20:BLF20"/>
    <mergeCell ref="BJN20:BJP20"/>
    <mergeCell ref="BJQ20:BJS20"/>
    <mergeCell ref="BJU20:BJV20"/>
    <mergeCell ref="BJZ20:BKB20"/>
    <mergeCell ref="BKC20:BKE20"/>
    <mergeCell ref="BKG20:BKH20"/>
    <mergeCell ref="BIP20:BIR20"/>
    <mergeCell ref="BIS20:BIU20"/>
    <mergeCell ref="BIW20:BIX20"/>
    <mergeCell ref="BJB20:BJD20"/>
    <mergeCell ref="BJE20:BJG20"/>
    <mergeCell ref="BJI20:BJJ20"/>
    <mergeCell ref="BHR20:BHT20"/>
    <mergeCell ref="BHU20:BHW20"/>
    <mergeCell ref="BHY20:BHZ20"/>
    <mergeCell ref="BID20:BIF20"/>
    <mergeCell ref="BIG20:BII20"/>
    <mergeCell ref="BIK20:BIL20"/>
    <mergeCell ref="BGT20:BGV20"/>
    <mergeCell ref="BGW20:BGY20"/>
    <mergeCell ref="BHA20:BHB20"/>
    <mergeCell ref="BHF20:BHH20"/>
    <mergeCell ref="BHI20:BHK20"/>
    <mergeCell ref="BHM20:BHN20"/>
    <mergeCell ref="BFV20:BFX20"/>
    <mergeCell ref="BFY20:BGA20"/>
    <mergeCell ref="BGC20:BGD20"/>
    <mergeCell ref="BGH20:BGJ20"/>
    <mergeCell ref="BGK20:BGM20"/>
    <mergeCell ref="BGO20:BGP20"/>
    <mergeCell ref="BEX20:BEZ20"/>
    <mergeCell ref="BFA20:BFC20"/>
    <mergeCell ref="BFE20:BFF20"/>
    <mergeCell ref="BFJ20:BFL20"/>
    <mergeCell ref="BFM20:BFO20"/>
    <mergeCell ref="BFQ20:BFR20"/>
    <mergeCell ref="BDZ20:BEB20"/>
    <mergeCell ref="BEC20:BEE20"/>
    <mergeCell ref="BEG20:BEH20"/>
    <mergeCell ref="BEL20:BEN20"/>
    <mergeCell ref="BEO20:BEQ20"/>
    <mergeCell ref="BES20:BET20"/>
    <mergeCell ref="BDB20:BDD20"/>
    <mergeCell ref="BDE20:BDG20"/>
    <mergeCell ref="BDI20:BDJ20"/>
    <mergeCell ref="BDN20:BDP20"/>
    <mergeCell ref="BDQ20:BDS20"/>
    <mergeCell ref="BDU20:BDV20"/>
    <mergeCell ref="BCD20:BCF20"/>
    <mergeCell ref="BCG20:BCI20"/>
    <mergeCell ref="BCK20:BCL20"/>
    <mergeCell ref="BCP20:BCR20"/>
    <mergeCell ref="BCS20:BCU20"/>
    <mergeCell ref="BCW20:BCX20"/>
    <mergeCell ref="BBF20:BBH20"/>
    <mergeCell ref="BBI20:BBK20"/>
    <mergeCell ref="BBM20:BBN20"/>
    <mergeCell ref="BBR20:BBT20"/>
    <mergeCell ref="BBU20:BBW20"/>
    <mergeCell ref="BBY20:BBZ20"/>
    <mergeCell ref="BAH20:BAJ20"/>
    <mergeCell ref="BAK20:BAM20"/>
    <mergeCell ref="BAO20:BAP20"/>
    <mergeCell ref="BAT20:BAV20"/>
    <mergeCell ref="BAW20:BAY20"/>
    <mergeCell ref="BBA20:BBB20"/>
    <mergeCell ref="AZJ20:AZL20"/>
    <mergeCell ref="AZM20:AZO20"/>
    <mergeCell ref="AZQ20:AZR20"/>
    <mergeCell ref="AZV20:AZX20"/>
    <mergeCell ref="AZY20:BAA20"/>
    <mergeCell ref="BAC20:BAD20"/>
    <mergeCell ref="AYL20:AYN20"/>
    <mergeCell ref="AYO20:AYQ20"/>
    <mergeCell ref="AYS20:AYT20"/>
    <mergeCell ref="AYX20:AYZ20"/>
    <mergeCell ref="AZA20:AZC20"/>
    <mergeCell ref="AZE20:AZF20"/>
    <mergeCell ref="AXN20:AXP20"/>
    <mergeCell ref="AXQ20:AXS20"/>
    <mergeCell ref="AXU20:AXV20"/>
    <mergeCell ref="AXZ20:AYB20"/>
    <mergeCell ref="AYC20:AYE20"/>
    <mergeCell ref="AYG20:AYH20"/>
    <mergeCell ref="AWP20:AWR20"/>
    <mergeCell ref="AWS20:AWU20"/>
    <mergeCell ref="AWW20:AWX20"/>
    <mergeCell ref="AXB20:AXD20"/>
    <mergeCell ref="AXE20:AXG20"/>
    <mergeCell ref="AXI20:AXJ20"/>
    <mergeCell ref="AVR20:AVT20"/>
    <mergeCell ref="AVU20:AVW20"/>
    <mergeCell ref="AVY20:AVZ20"/>
    <mergeCell ref="AWD20:AWF20"/>
    <mergeCell ref="AWG20:AWI20"/>
    <mergeCell ref="AWK20:AWL20"/>
    <mergeCell ref="AUT20:AUV20"/>
    <mergeCell ref="AUW20:AUY20"/>
    <mergeCell ref="AVA20:AVB20"/>
    <mergeCell ref="AVF20:AVH20"/>
    <mergeCell ref="AVI20:AVK20"/>
    <mergeCell ref="AVM20:AVN20"/>
    <mergeCell ref="ATV20:ATX20"/>
    <mergeCell ref="ATY20:AUA20"/>
    <mergeCell ref="AUC20:AUD20"/>
    <mergeCell ref="AUH20:AUJ20"/>
    <mergeCell ref="AUK20:AUM20"/>
    <mergeCell ref="AUO20:AUP20"/>
    <mergeCell ref="ASX20:ASZ20"/>
    <mergeCell ref="ATA20:ATC20"/>
    <mergeCell ref="ATE20:ATF20"/>
    <mergeCell ref="ATJ20:ATL20"/>
    <mergeCell ref="ATM20:ATO20"/>
    <mergeCell ref="ATQ20:ATR20"/>
    <mergeCell ref="ARZ20:ASB20"/>
    <mergeCell ref="ASC20:ASE20"/>
    <mergeCell ref="ASG20:ASH20"/>
    <mergeCell ref="ASL20:ASN20"/>
    <mergeCell ref="ASO20:ASQ20"/>
    <mergeCell ref="ASS20:AST20"/>
    <mergeCell ref="ARB20:ARD20"/>
    <mergeCell ref="ARE20:ARG20"/>
    <mergeCell ref="ARI20:ARJ20"/>
    <mergeCell ref="ARN20:ARP20"/>
    <mergeCell ref="ARQ20:ARS20"/>
    <mergeCell ref="ARU20:ARV20"/>
    <mergeCell ref="AQD20:AQF20"/>
    <mergeCell ref="AQG20:AQI20"/>
    <mergeCell ref="AQK20:AQL20"/>
    <mergeCell ref="AQP20:AQR20"/>
    <mergeCell ref="AQS20:AQU20"/>
    <mergeCell ref="AQW20:AQX20"/>
    <mergeCell ref="APF20:APH20"/>
    <mergeCell ref="API20:APK20"/>
    <mergeCell ref="APM20:APN20"/>
    <mergeCell ref="APR20:APT20"/>
    <mergeCell ref="APU20:APW20"/>
    <mergeCell ref="APY20:APZ20"/>
    <mergeCell ref="AOH20:AOJ20"/>
    <mergeCell ref="AOK20:AOM20"/>
    <mergeCell ref="AOO20:AOP20"/>
    <mergeCell ref="AOT20:AOV20"/>
    <mergeCell ref="AOW20:AOY20"/>
    <mergeCell ref="APA20:APB20"/>
    <mergeCell ref="ANJ20:ANL20"/>
    <mergeCell ref="ANM20:ANO20"/>
    <mergeCell ref="ANQ20:ANR20"/>
    <mergeCell ref="ANV20:ANX20"/>
    <mergeCell ref="ANY20:AOA20"/>
    <mergeCell ref="AOC20:AOD20"/>
    <mergeCell ref="AML20:AMN20"/>
    <mergeCell ref="AMO20:AMQ20"/>
    <mergeCell ref="AMS20:AMT20"/>
    <mergeCell ref="AMX20:AMZ20"/>
    <mergeCell ref="ANA20:ANC20"/>
    <mergeCell ref="ANE20:ANF20"/>
    <mergeCell ref="ALN20:ALP20"/>
    <mergeCell ref="ALQ20:ALS20"/>
    <mergeCell ref="ALU20:ALV20"/>
    <mergeCell ref="ALZ20:AMB20"/>
    <mergeCell ref="AMC20:AME20"/>
    <mergeCell ref="AMG20:AMH20"/>
    <mergeCell ref="AKP20:AKR20"/>
    <mergeCell ref="AKS20:AKU20"/>
    <mergeCell ref="AKW20:AKX20"/>
    <mergeCell ref="ALB20:ALD20"/>
    <mergeCell ref="ALE20:ALG20"/>
    <mergeCell ref="ALI20:ALJ20"/>
    <mergeCell ref="AJR20:AJT20"/>
    <mergeCell ref="AJU20:AJW20"/>
    <mergeCell ref="AJY20:AJZ20"/>
    <mergeCell ref="AKD20:AKF20"/>
    <mergeCell ref="AKG20:AKI20"/>
    <mergeCell ref="AKK20:AKL20"/>
    <mergeCell ref="AIT20:AIV20"/>
    <mergeCell ref="AIW20:AIY20"/>
    <mergeCell ref="AJA20:AJB20"/>
    <mergeCell ref="AJF20:AJH20"/>
    <mergeCell ref="AJI20:AJK20"/>
    <mergeCell ref="AJM20:AJN20"/>
    <mergeCell ref="AHV20:AHX20"/>
    <mergeCell ref="AHY20:AIA20"/>
    <mergeCell ref="AIC20:AID20"/>
    <mergeCell ref="AIH20:AIJ20"/>
    <mergeCell ref="AIK20:AIM20"/>
    <mergeCell ref="AIO20:AIP20"/>
    <mergeCell ref="AGX20:AGZ20"/>
    <mergeCell ref="AHA20:AHC20"/>
    <mergeCell ref="AHE20:AHF20"/>
    <mergeCell ref="AHJ20:AHL20"/>
    <mergeCell ref="AHM20:AHO20"/>
    <mergeCell ref="AHQ20:AHR20"/>
    <mergeCell ref="AFZ20:AGB20"/>
    <mergeCell ref="AGC20:AGE20"/>
    <mergeCell ref="AGG20:AGH20"/>
    <mergeCell ref="AGL20:AGN20"/>
    <mergeCell ref="AGO20:AGQ20"/>
    <mergeCell ref="AGS20:AGT20"/>
    <mergeCell ref="AEZ20:AFB20"/>
    <mergeCell ref="AFC20:AFE20"/>
    <mergeCell ref="AFG20:AFH20"/>
    <mergeCell ref="AFM20:AFO20"/>
    <mergeCell ref="AFP20:AFR20"/>
    <mergeCell ref="AFT20:AFU20"/>
    <mergeCell ref="ADZ20:AEB20"/>
    <mergeCell ref="AEC20:AEE20"/>
    <mergeCell ref="AEG20:AEH20"/>
    <mergeCell ref="AEM20:AEO20"/>
    <mergeCell ref="AEP20:AER20"/>
    <mergeCell ref="AET20:AEU20"/>
    <mergeCell ref="ACZ20:ADB20"/>
    <mergeCell ref="ADC20:ADE20"/>
    <mergeCell ref="ADG20:ADH20"/>
    <mergeCell ref="ADM20:ADO20"/>
    <mergeCell ref="ADP20:ADR20"/>
    <mergeCell ref="ADT20:ADU20"/>
    <mergeCell ref="ABZ20:ACB20"/>
    <mergeCell ref="ACC20:ACE20"/>
    <mergeCell ref="ACG20:ACH20"/>
    <mergeCell ref="ACM20:ACO20"/>
    <mergeCell ref="ACP20:ACR20"/>
    <mergeCell ref="ACT20:ACU20"/>
    <mergeCell ref="AAZ20:ABB20"/>
    <mergeCell ref="ABC20:ABE20"/>
    <mergeCell ref="ABG20:ABH20"/>
    <mergeCell ref="ABM20:ABO20"/>
    <mergeCell ref="ABP20:ABR20"/>
    <mergeCell ref="ABT20:ABU20"/>
    <mergeCell ref="ZZ20:AAB20"/>
    <mergeCell ref="AAC20:AAE20"/>
    <mergeCell ref="AAG20:AAH20"/>
    <mergeCell ref="AAM20:AAO20"/>
    <mergeCell ref="AAP20:AAR20"/>
    <mergeCell ref="AAT20:AAU20"/>
    <mergeCell ref="YX20:YZ20"/>
    <mergeCell ref="ZD20:ZF20"/>
    <mergeCell ref="ZG20:ZH20"/>
    <mergeCell ref="ZL20:ZN20"/>
    <mergeCell ref="ZR20:ZT20"/>
    <mergeCell ref="ZU20:ZV20"/>
    <mergeCell ref="XV20:XX20"/>
    <mergeCell ref="YB20:YD20"/>
    <mergeCell ref="YE20:YF20"/>
    <mergeCell ref="YJ20:YL20"/>
    <mergeCell ref="YP20:YR20"/>
    <mergeCell ref="YS20:YT20"/>
    <mergeCell ref="WT20:WV20"/>
    <mergeCell ref="WZ20:XB20"/>
    <mergeCell ref="XC20:XD20"/>
    <mergeCell ref="XH20:XJ20"/>
    <mergeCell ref="XN20:XP20"/>
    <mergeCell ref="XQ20:XR20"/>
    <mergeCell ref="VR20:VT20"/>
    <mergeCell ref="VX20:VZ20"/>
    <mergeCell ref="WA20:WB20"/>
    <mergeCell ref="WF20:WH20"/>
    <mergeCell ref="WL20:WN20"/>
    <mergeCell ref="WO20:WP20"/>
    <mergeCell ref="UP20:UR20"/>
    <mergeCell ref="UV20:UX20"/>
    <mergeCell ref="UY20:UZ20"/>
    <mergeCell ref="VD20:VF20"/>
    <mergeCell ref="VJ20:VL20"/>
    <mergeCell ref="VM20:VN20"/>
    <mergeCell ref="TN20:TP20"/>
    <mergeCell ref="TT20:TV20"/>
    <mergeCell ref="TW20:TX20"/>
    <mergeCell ref="UB20:UD20"/>
    <mergeCell ref="UH20:UJ20"/>
    <mergeCell ref="UK20:UL20"/>
    <mergeCell ref="SL20:SN20"/>
    <mergeCell ref="SR20:ST20"/>
    <mergeCell ref="SU20:SV20"/>
    <mergeCell ref="SZ20:TB20"/>
    <mergeCell ref="TF20:TH20"/>
    <mergeCell ref="TI20:TJ20"/>
    <mergeCell ref="RJ20:RL20"/>
    <mergeCell ref="RP20:RR20"/>
    <mergeCell ref="RS20:RT20"/>
    <mergeCell ref="RX20:RZ20"/>
    <mergeCell ref="SD20:SF20"/>
    <mergeCell ref="SG20:SH20"/>
    <mergeCell ref="QH20:QJ20"/>
    <mergeCell ref="QN20:QP20"/>
    <mergeCell ref="QQ20:QR20"/>
    <mergeCell ref="QV20:QX20"/>
    <mergeCell ref="RB20:RD20"/>
    <mergeCell ref="RE20:RF20"/>
    <mergeCell ref="PF20:PH20"/>
    <mergeCell ref="PL20:PN20"/>
    <mergeCell ref="PO20:PP20"/>
    <mergeCell ref="PT20:PV20"/>
    <mergeCell ref="PZ20:QB20"/>
    <mergeCell ref="QC20:QD20"/>
    <mergeCell ref="OD20:OF20"/>
    <mergeCell ref="OJ20:OL20"/>
    <mergeCell ref="OM20:ON20"/>
    <mergeCell ref="OR20:OT20"/>
    <mergeCell ref="OX20:OZ20"/>
    <mergeCell ref="PA20:PB20"/>
    <mergeCell ref="NB20:ND20"/>
    <mergeCell ref="NH20:NJ20"/>
    <mergeCell ref="NK20:NL20"/>
    <mergeCell ref="NP20:NR20"/>
    <mergeCell ref="NV20:NX20"/>
    <mergeCell ref="NY20:NZ20"/>
    <mergeCell ref="LZ20:MB20"/>
    <mergeCell ref="MF20:MH20"/>
    <mergeCell ref="MI20:MJ20"/>
    <mergeCell ref="MN20:MP20"/>
    <mergeCell ref="MT20:MV20"/>
    <mergeCell ref="MW20:MX20"/>
    <mergeCell ref="KX20:KZ20"/>
    <mergeCell ref="LD20:LF20"/>
    <mergeCell ref="LG20:LH20"/>
    <mergeCell ref="LL20:LN20"/>
    <mergeCell ref="LR20:LT20"/>
    <mergeCell ref="LU20:LV20"/>
    <mergeCell ref="JV20:JX20"/>
    <mergeCell ref="KB20:KD20"/>
    <mergeCell ref="KE20:KF20"/>
    <mergeCell ref="KJ20:KL20"/>
    <mergeCell ref="KP20:KR20"/>
    <mergeCell ref="KS20:KT20"/>
    <mergeCell ref="IT20:IV20"/>
    <mergeCell ref="IZ20:JB20"/>
    <mergeCell ref="JC20:JD20"/>
    <mergeCell ref="JH20:JJ20"/>
    <mergeCell ref="JN20:JP20"/>
    <mergeCell ref="JQ20:JR20"/>
    <mergeCell ref="HR20:HT20"/>
    <mergeCell ref="HX20:HZ20"/>
    <mergeCell ref="IA20:IB20"/>
    <mergeCell ref="IF20:IH20"/>
    <mergeCell ref="IL20:IN20"/>
    <mergeCell ref="IO20:IP20"/>
    <mergeCell ref="GP20:GR20"/>
    <mergeCell ref="GV20:GX20"/>
    <mergeCell ref="GY20:GZ20"/>
    <mergeCell ref="HD20:HF20"/>
    <mergeCell ref="HJ20:HL20"/>
    <mergeCell ref="HM20:HN20"/>
    <mergeCell ref="FN20:FP20"/>
    <mergeCell ref="FT20:FV20"/>
    <mergeCell ref="FW20:FX20"/>
    <mergeCell ref="GB20:GD20"/>
    <mergeCell ref="GH20:GJ20"/>
    <mergeCell ref="GK20:GL20"/>
    <mergeCell ref="EL20:EN20"/>
    <mergeCell ref="ER20:ET20"/>
    <mergeCell ref="EU20:EV20"/>
    <mergeCell ref="EZ20:FB20"/>
    <mergeCell ref="FF20:FH20"/>
    <mergeCell ref="FI20:FJ20"/>
    <mergeCell ref="DJ20:DL20"/>
    <mergeCell ref="DP20:DR20"/>
    <mergeCell ref="DS20:DT20"/>
    <mergeCell ref="DX20:DZ20"/>
    <mergeCell ref="ED20:EF20"/>
    <mergeCell ref="EG20:EH20"/>
    <mergeCell ref="CH20:CJ20"/>
    <mergeCell ref="CN20:CP20"/>
    <mergeCell ref="CQ20:CR20"/>
    <mergeCell ref="CV20:CX20"/>
    <mergeCell ref="DB20:DD20"/>
    <mergeCell ref="DE20:DF20"/>
    <mergeCell ref="BF20:BH20"/>
    <mergeCell ref="BL20:BN20"/>
    <mergeCell ref="BO20:BP20"/>
    <mergeCell ref="BT20:BV20"/>
    <mergeCell ref="BZ20:CB20"/>
    <mergeCell ref="CC20:CD20"/>
    <mergeCell ref="AD20:AF20"/>
    <mergeCell ref="AJ20:AL20"/>
    <mergeCell ref="AM20:AN20"/>
    <mergeCell ref="AR20:AT20"/>
    <mergeCell ref="AX20:AZ20"/>
    <mergeCell ref="BA20:BB20"/>
    <mergeCell ref="B20:D20"/>
    <mergeCell ref="H20:J20"/>
    <mergeCell ref="K20:L20"/>
    <mergeCell ref="P20:R20"/>
    <mergeCell ref="V20:X20"/>
    <mergeCell ref="Y20:Z20"/>
    <mergeCell ref="CVJ19:CVL19"/>
    <mergeCell ref="CVM19:CVO19"/>
    <mergeCell ref="CVQ19:CVR19"/>
    <mergeCell ref="CVV19:CVX19"/>
    <mergeCell ref="CVY19:CWA19"/>
    <mergeCell ref="CWC19:CWD19"/>
    <mergeCell ref="CUL19:CUN19"/>
    <mergeCell ref="CUO19:CUQ19"/>
    <mergeCell ref="CUS19:CUT19"/>
    <mergeCell ref="CUX19:CUZ19"/>
    <mergeCell ref="CVA19:CVC19"/>
    <mergeCell ref="CVE19:CVF19"/>
    <mergeCell ref="CTN19:CTP19"/>
    <mergeCell ref="CTQ19:CTS19"/>
    <mergeCell ref="CTU19:CTV19"/>
    <mergeCell ref="CTZ19:CUB19"/>
    <mergeCell ref="CUC19:CUE19"/>
    <mergeCell ref="CUG19:CUH19"/>
    <mergeCell ref="CSP19:CSR19"/>
    <mergeCell ref="CSS19:CSU19"/>
    <mergeCell ref="CSW19:CSX19"/>
    <mergeCell ref="CTB19:CTD19"/>
    <mergeCell ref="CTE19:CTG19"/>
    <mergeCell ref="CTI19:CTJ19"/>
    <mergeCell ref="CRR19:CRT19"/>
    <mergeCell ref="CRU19:CRW19"/>
    <mergeCell ref="CRY19:CRZ19"/>
    <mergeCell ref="CSD19:CSF19"/>
    <mergeCell ref="CSG19:CSI19"/>
    <mergeCell ref="CSK19:CSL19"/>
    <mergeCell ref="CQT19:CQV19"/>
    <mergeCell ref="CQW19:CQY19"/>
    <mergeCell ref="CRA19:CRB19"/>
    <mergeCell ref="CRF19:CRH19"/>
    <mergeCell ref="CRI19:CRK19"/>
    <mergeCell ref="CRM19:CRN19"/>
    <mergeCell ref="CPV19:CPX19"/>
    <mergeCell ref="CPY19:CQA19"/>
    <mergeCell ref="CQC19:CQD19"/>
    <mergeCell ref="CQH19:CQJ19"/>
    <mergeCell ref="CQK19:CQM19"/>
    <mergeCell ref="CQO19:CQP19"/>
    <mergeCell ref="COX19:COZ19"/>
    <mergeCell ref="CPA19:CPC19"/>
    <mergeCell ref="CPE19:CPF19"/>
    <mergeCell ref="CPJ19:CPL19"/>
    <mergeCell ref="CPM19:CPO19"/>
    <mergeCell ref="CPQ19:CPR19"/>
    <mergeCell ref="CNZ19:COB19"/>
    <mergeCell ref="COC19:COE19"/>
    <mergeCell ref="COG19:COH19"/>
    <mergeCell ref="COL19:CON19"/>
    <mergeCell ref="COO19:COQ19"/>
    <mergeCell ref="COS19:COT19"/>
    <mergeCell ref="CNB19:CND19"/>
    <mergeCell ref="CNE19:CNG19"/>
    <mergeCell ref="CNI19:CNJ19"/>
    <mergeCell ref="CNN19:CNP19"/>
    <mergeCell ref="CNQ19:CNS19"/>
    <mergeCell ref="CNU19:CNV19"/>
    <mergeCell ref="CMD19:CMF19"/>
    <mergeCell ref="CMG19:CMI19"/>
    <mergeCell ref="CMK19:CML19"/>
    <mergeCell ref="CMP19:CMR19"/>
    <mergeCell ref="CMS19:CMU19"/>
    <mergeCell ref="CMW19:CMX19"/>
    <mergeCell ref="CLF19:CLH19"/>
    <mergeCell ref="CLI19:CLK19"/>
    <mergeCell ref="CLM19:CLN19"/>
    <mergeCell ref="CLR19:CLT19"/>
    <mergeCell ref="CLU19:CLW19"/>
    <mergeCell ref="CLY19:CLZ19"/>
    <mergeCell ref="CKH19:CKJ19"/>
    <mergeCell ref="CKK19:CKM19"/>
    <mergeCell ref="CKO19:CKP19"/>
    <mergeCell ref="CKT19:CKV19"/>
    <mergeCell ref="CKW19:CKY19"/>
    <mergeCell ref="CLA19:CLB19"/>
    <mergeCell ref="CJJ19:CJL19"/>
    <mergeCell ref="CJM19:CJO19"/>
    <mergeCell ref="CJQ19:CJR19"/>
    <mergeCell ref="CJV19:CJX19"/>
    <mergeCell ref="CJY19:CKA19"/>
    <mergeCell ref="CKC19:CKD19"/>
    <mergeCell ref="CIL19:CIN19"/>
    <mergeCell ref="CIO19:CIQ19"/>
    <mergeCell ref="CIS19:CIT19"/>
    <mergeCell ref="CIX19:CIZ19"/>
    <mergeCell ref="CJA19:CJC19"/>
    <mergeCell ref="CJE19:CJF19"/>
    <mergeCell ref="CHN19:CHP19"/>
    <mergeCell ref="CHQ19:CHS19"/>
    <mergeCell ref="CHU19:CHV19"/>
    <mergeCell ref="CHZ19:CIB19"/>
    <mergeCell ref="CIC19:CIE19"/>
    <mergeCell ref="CIG19:CIH19"/>
    <mergeCell ref="CGP19:CGR19"/>
    <mergeCell ref="CGS19:CGU19"/>
    <mergeCell ref="CGW19:CGX19"/>
    <mergeCell ref="CHB19:CHD19"/>
    <mergeCell ref="CHE19:CHG19"/>
    <mergeCell ref="CHI19:CHJ19"/>
    <mergeCell ref="CFR19:CFT19"/>
    <mergeCell ref="CFU19:CFW19"/>
    <mergeCell ref="CFY19:CFZ19"/>
    <mergeCell ref="CGD19:CGF19"/>
    <mergeCell ref="CGG19:CGI19"/>
    <mergeCell ref="CGK19:CGL19"/>
    <mergeCell ref="CET19:CEV19"/>
    <mergeCell ref="CEW19:CEY19"/>
    <mergeCell ref="CFA19:CFB19"/>
    <mergeCell ref="CFF19:CFH19"/>
    <mergeCell ref="CFI19:CFK19"/>
    <mergeCell ref="CFM19:CFN19"/>
    <mergeCell ref="CDV19:CDX19"/>
    <mergeCell ref="CDY19:CEA19"/>
    <mergeCell ref="CEC19:CED19"/>
    <mergeCell ref="CEH19:CEJ19"/>
    <mergeCell ref="CEK19:CEM19"/>
    <mergeCell ref="CEO19:CEP19"/>
    <mergeCell ref="CCX19:CCZ19"/>
    <mergeCell ref="CDA19:CDC19"/>
    <mergeCell ref="CDE19:CDF19"/>
    <mergeCell ref="CDJ19:CDL19"/>
    <mergeCell ref="CDM19:CDO19"/>
    <mergeCell ref="CDQ19:CDR19"/>
    <mergeCell ref="CBZ19:CCB19"/>
    <mergeCell ref="CCC19:CCE19"/>
    <mergeCell ref="CCG19:CCH19"/>
    <mergeCell ref="CCL19:CCN19"/>
    <mergeCell ref="CCO19:CCQ19"/>
    <mergeCell ref="CCS19:CCT19"/>
    <mergeCell ref="CBB19:CBD19"/>
    <mergeCell ref="CBE19:CBG19"/>
    <mergeCell ref="CBI19:CBJ19"/>
    <mergeCell ref="CBN19:CBP19"/>
    <mergeCell ref="CBQ19:CBS19"/>
    <mergeCell ref="CBU19:CBV19"/>
    <mergeCell ref="CAD19:CAF19"/>
    <mergeCell ref="CAG19:CAI19"/>
    <mergeCell ref="CAK19:CAL19"/>
    <mergeCell ref="CAP19:CAR19"/>
    <mergeCell ref="CAS19:CAU19"/>
    <mergeCell ref="CAW19:CAX19"/>
    <mergeCell ref="BZF19:BZH19"/>
    <mergeCell ref="BZI19:BZK19"/>
    <mergeCell ref="BZM19:BZN19"/>
    <mergeCell ref="BZR19:BZT19"/>
    <mergeCell ref="BZU19:BZW19"/>
    <mergeCell ref="BZY19:BZZ19"/>
    <mergeCell ref="BYH19:BYJ19"/>
    <mergeCell ref="BYK19:BYM19"/>
    <mergeCell ref="BYO19:BYP19"/>
    <mergeCell ref="BYT19:BYV19"/>
    <mergeCell ref="BYW19:BYY19"/>
    <mergeCell ref="BZA19:BZB19"/>
    <mergeCell ref="BXJ19:BXL19"/>
    <mergeCell ref="BXM19:BXO19"/>
    <mergeCell ref="BXQ19:BXR19"/>
    <mergeCell ref="BXV19:BXX19"/>
    <mergeCell ref="BXY19:BYA19"/>
    <mergeCell ref="BYC19:BYD19"/>
    <mergeCell ref="BWL19:BWN19"/>
    <mergeCell ref="BWO19:BWQ19"/>
    <mergeCell ref="BWS19:BWT19"/>
    <mergeCell ref="BWX19:BWZ19"/>
    <mergeCell ref="BXA19:BXC19"/>
    <mergeCell ref="BXE19:BXF19"/>
    <mergeCell ref="BVN19:BVP19"/>
    <mergeCell ref="BVQ19:BVS19"/>
    <mergeCell ref="BVU19:BVV19"/>
    <mergeCell ref="BVZ19:BWB19"/>
    <mergeCell ref="BWC19:BWE19"/>
    <mergeCell ref="BWG19:BWH19"/>
    <mergeCell ref="BUP19:BUR19"/>
    <mergeCell ref="BUS19:BUU19"/>
    <mergeCell ref="BUW19:BUX19"/>
    <mergeCell ref="BVB19:BVD19"/>
    <mergeCell ref="BVE19:BVG19"/>
    <mergeCell ref="BVI19:BVJ19"/>
    <mergeCell ref="BTR19:BTT19"/>
    <mergeCell ref="BTU19:BTW19"/>
    <mergeCell ref="BTY19:BTZ19"/>
    <mergeCell ref="BUD19:BUF19"/>
    <mergeCell ref="BUG19:BUI19"/>
    <mergeCell ref="BUK19:BUL19"/>
    <mergeCell ref="BST19:BSV19"/>
    <mergeCell ref="BSW19:BSY19"/>
    <mergeCell ref="BTA19:BTB19"/>
    <mergeCell ref="BTF19:BTH19"/>
    <mergeCell ref="BTI19:BTK19"/>
    <mergeCell ref="BTM19:BTN19"/>
    <mergeCell ref="BRV19:BRX19"/>
    <mergeCell ref="BRY19:BSA19"/>
    <mergeCell ref="BSC19:BSD19"/>
    <mergeCell ref="BSH19:BSJ19"/>
    <mergeCell ref="BSK19:BSM19"/>
    <mergeCell ref="BSO19:BSP19"/>
    <mergeCell ref="BQX19:BQZ19"/>
    <mergeCell ref="BRA19:BRC19"/>
    <mergeCell ref="BRE19:BRF19"/>
    <mergeCell ref="BRJ19:BRL19"/>
    <mergeCell ref="BRM19:BRO19"/>
    <mergeCell ref="BRQ19:BRR19"/>
    <mergeCell ref="BPZ19:BQB19"/>
    <mergeCell ref="BQC19:BQE19"/>
    <mergeCell ref="BQG19:BQH19"/>
    <mergeCell ref="BQL19:BQN19"/>
    <mergeCell ref="BQO19:BQQ19"/>
    <mergeCell ref="BQS19:BQT19"/>
    <mergeCell ref="BPB19:BPD19"/>
    <mergeCell ref="BPE19:BPG19"/>
    <mergeCell ref="BPI19:BPJ19"/>
    <mergeCell ref="BPN19:BPP19"/>
    <mergeCell ref="BPQ19:BPS19"/>
    <mergeCell ref="BPU19:BPV19"/>
    <mergeCell ref="BOD19:BOF19"/>
    <mergeCell ref="BOG19:BOI19"/>
    <mergeCell ref="BOK19:BOL19"/>
    <mergeCell ref="BOP19:BOR19"/>
    <mergeCell ref="BOS19:BOU19"/>
    <mergeCell ref="BOW19:BOX19"/>
    <mergeCell ref="BNF19:BNH19"/>
    <mergeCell ref="BNI19:BNK19"/>
    <mergeCell ref="BNM19:BNN19"/>
    <mergeCell ref="BNR19:BNT19"/>
    <mergeCell ref="BNU19:BNW19"/>
    <mergeCell ref="BNY19:BNZ19"/>
    <mergeCell ref="BMH19:BMJ19"/>
    <mergeCell ref="BMK19:BMM19"/>
    <mergeCell ref="BMO19:BMP19"/>
    <mergeCell ref="BMT19:BMV19"/>
    <mergeCell ref="BMW19:BMY19"/>
    <mergeCell ref="BNA19:BNB19"/>
    <mergeCell ref="BLJ19:BLL19"/>
    <mergeCell ref="BLM19:BLO19"/>
    <mergeCell ref="BLQ19:BLR19"/>
    <mergeCell ref="BLV19:BLX19"/>
    <mergeCell ref="BLY19:BMA19"/>
    <mergeCell ref="BMC19:BMD19"/>
    <mergeCell ref="BKL19:BKN19"/>
    <mergeCell ref="BKO19:BKQ19"/>
    <mergeCell ref="BKS19:BKT19"/>
    <mergeCell ref="BKX19:BKZ19"/>
    <mergeCell ref="BLA19:BLC19"/>
    <mergeCell ref="BLE19:BLF19"/>
    <mergeCell ref="BJN19:BJP19"/>
    <mergeCell ref="BJQ19:BJS19"/>
    <mergeCell ref="BJU19:BJV19"/>
    <mergeCell ref="BJZ19:BKB19"/>
    <mergeCell ref="BKC19:BKE19"/>
    <mergeCell ref="BKG19:BKH19"/>
    <mergeCell ref="BIP19:BIR19"/>
    <mergeCell ref="BIS19:BIU19"/>
    <mergeCell ref="BIW19:BIX19"/>
    <mergeCell ref="BJB19:BJD19"/>
    <mergeCell ref="BJE19:BJG19"/>
    <mergeCell ref="BJI19:BJJ19"/>
    <mergeCell ref="BHR19:BHT19"/>
    <mergeCell ref="BHU19:BHW19"/>
    <mergeCell ref="BHY19:BHZ19"/>
    <mergeCell ref="BID19:BIF19"/>
    <mergeCell ref="BIG19:BII19"/>
    <mergeCell ref="BIK19:BIL19"/>
    <mergeCell ref="BGT19:BGV19"/>
    <mergeCell ref="BGW19:BGY19"/>
    <mergeCell ref="BHA19:BHB19"/>
    <mergeCell ref="BHF19:BHH19"/>
    <mergeCell ref="BHI19:BHK19"/>
    <mergeCell ref="BHM19:BHN19"/>
    <mergeCell ref="BFV19:BFX19"/>
    <mergeCell ref="BFY19:BGA19"/>
    <mergeCell ref="BGC19:BGD19"/>
    <mergeCell ref="BGH19:BGJ19"/>
    <mergeCell ref="BGK19:BGM19"/>
    <mergeCell ref="BGO19:BGP19"/>
    <mergeCell ref="BEX19:BEZ19"/>
    <mergeCell ref="BFA19:BFC19"/>
    <mergeCell ref="BFE19:BFF19"/>
    <mergeCell ref="BFJ19:BFL19"/>
    <mergeCell ref="BFM19:BFO19"/>
    <mergeCell ref="BFQ19:BFR19"/>
    <mergeCell ref="BDZ19:BEB19"/>
    <mergeCell ref="BEC19:BEE19"/>
    <mergeCell ref="BEG19:BEH19"/>
    <mergeCell ref="BEL19:BEN19"/>
    <mergeCell ref="BEO19:BEQ19"/>
    <mergeCell ref="BES19:BET19"/>
    <mergeCell ref="BDB19:BDD19"/>
    <mergeCell ref="BDE19:BDG19"/>
    <mergeCell ref="BDI19:BDJ19"/>
    <mergeCell ref="BDN19:BDP19"/>
    <mergeCell ref="BDQ19:BDS19"/>
    <mergeCell ref="BDU19:BDV19"/>
    <mergeCell ref="BCD19:BCF19"/>
    <mergeCell ref="BCG19:BCI19"/>
    <mergeCell ref="BCK19:BCL19"/>
    <mergeCell ref="BCP19:BCR19"/>
    <mergeCell ref="BCS19:BCU19"/>
    <mergeCell ref="BCW19:BCX19"/>
    <mergeCell ref="BBF19:BBH19"/>
    <mergeCell ref="BBI19:BBK19"/>
    <mergeCell ref="BBM19:BBN19"/>
    <mergeCell ref="BBR19:BBT19"/>
    <mergeCell ref="BBU19:BBW19"/>
    <mergeCell ref="BBY19:BBZ19"/>
    <mergeCell ref="BAH19:BAJ19"/>
    <mergeCell ref="BAK19:BAM19"/>
    <mergeCell ref="BAO19:BAP19"/>
    <mergeCell ref="BAT19:BAV19"/>
    <mergeCell ref="BAW19:BAY19"/>
    <mergeCell ref="BBA19:BBB19"/>
    <mergeCell ref="AZJ19:AZL19"/>
    <mergeCell ref="AZM19:AZO19"/>
    <mergeCell ref="AZQ19:AZR19"/>
    <mergeCell ref="AZV19:AZX19"/>
    <mergeCell ref="AZY19:BAA19"/>
    <mergeCell ref="BAC19:BAD19"/>
    <mergeCell ref="AYL19:AYN19"/>
    <mergeCell ref="AYO19:AYQ19"/>
    <mergeCell ref="AYS19:AYT19"/>
    <mergeCell ref="AYX19:AYZ19"/>
    <mergeCell ref="AZA19:AZC19"/>
    <mergeCell ref="AZE19:AZF19"/>
    <mergeCell ref="AXN19:AXP19"/>
    <mergeCell ref="AXQ19:AXS19"/>
    <mergeCell ref="AXU19:AXV19"/>
    <mergeCell ref="AXZ19:AYB19"/>
    <mergeCell ref="AYC19:AYE19"/>
    <mergeCell ref="AYG19:AYH19"/>
    <mergeCell ref="AWP19:AWR19"/>
    <mergeCell ref="AWS19:AWU19"/>
    <mergeCell ref="AWW19:AWX19"/>
    <mergeCell ref="AXB19:AXD19"/>
    <mergeCell ref="AXE19:AXG19"/>
    <mergeCell ref="AXI19:AXJ19"/>
    <mergeCell ref="AVR19:AVT19"/>
    <mergeCell ref="AVU19:AVW19"/>
    <mergeCell ref="AVY19:AVZ19"/>
    <mergeCell ref="AWD19:AWF19"/>
    <mergeCell ref="AWG19:AWI19"/>
    <mergeCell ref="AWK19:AWL19"/>
    <mergeCell ref="AUT19:AUV19"/>
    <mergeCell ref="AUW19:AUY19"/>
    <mergeCell ref="AVA19:AVB19"/>
    <mergeCell ref="AVF19:AVH19"/>
    <mergeCell ref="AVI19:AVK19"/>
    <mergeCell ref="AVM19:AVN19"/>
    <mergeCell ref="ATV19:ATX19"/>
    <mergeCell ref="ATY19:AUA19"/>
    <mergeCell ref="AUC19:AUD19"/>
    <mergeCell ref="AUH19:AUJ19"/>
    <mergeCell ref="AUK19:AUM19"/>
    <mergeCell ref="AUO19:AUP19"/>
    <mergeCell ref="ASX19:ASZ19"/>
    <mergeCell ref="ATA19:ATC19"/>
    <mergeCell ref="ATE19:ATF19"/>
    <mergeCell ref="ATJ19:ATL19"/>
    <mergeCell ref="ATM19:ATO19"/>
    <mergeCell ref="ATQ19:ATR19"/>
    <mergeCell ref="ARZ19:ASB19"/>
    <mergeCell ref="ASC19:ASE19"/>
    <mergeCell ref="ASG19:ASH19"/>
    <mergeCell ref="ASL19:ASN19"/>
    <mergeCell ref="ASO19:ASQ19"/>
    <mergeCell ref="ASS19:AST19"/>
    <mergeCell ref="ARB19:ARD19"/>
    <mergeCell ref="ARE19:ARG19"/>
    <mergeCell ref="ARI19:ARJ19"/>
    <mergeCell ref="ARN19:ARP19"/>
    <mergeCell ref="ARQ19:ARS19"/>
    <mergeCell ref="ARU19:ARV19"/>
    <mergeCell ref="AQD19:AQF19"/>
    <mergeCell ref="AQG19:AQI19"/>
    <mergeCell ref="AQK19:AQL19"/>
    <mergeCell ref="AQP19:AQR19"/>
    <mergeCell ref="AQS19:AQU19"/>
    <mergeCell ref="AQW19:AQX19"/>
    <mergeCell ref="APF19:APH19"/>
    <mergeCell ref="API19:APK19"/>
    <mergeCell ref="APM19:APN19"/>
    <mergeCell ref="APR19:APT19"/>
    <mergeCell ref="APU19:APW19"/>
    <mergeCell ref="APY19:APZ19"/>
    <mergeCell ref="AOH19:AOJ19"/>
    <mergeCell ref="AOK19:AOM19"/>
    <mergeCell ref="AOO19:AOP19"/>
    <mergeCell ref="AOT19:AOV19"/>
    <mergeCell ref="AOW19:AOY19"/>
    <mergeCell ref="APA19:APB19"/>
    <mergeCell ref="ANJ19:ANL19"/>
    <mergeCell ref="ANM19:ANO19"/>
    <mergeCell ref="ANQ19:ANR19"/>
    <mergeCell ref="ANV19:ANX19"/>
    <mergeCell ref="ANY19:AOA19"/>
    <mergeCell ref="AOC19:AOD19"/>
    <mergeCell ref="AML19:AMN19"/>
    <mergeCell ref="AMO19:AMQ19"/>
    <mergeCell ref="AMS19:AMT19"/>
    <mergeCell ref="AMX19:AMZ19"/>
    <mergeCell ref="ANA19:ANC19"/>
    <mergeCell ref="ANE19:ANF19"/>
    <mergeCell ref="ALN19:ALP19"/>
    <mergeCell ref="ALQ19:ALS19"/>
    <mergeCell ref="ALU19:ALV19"/>
    <mergeCell ref="ALZ19:AMB19"/>
    <mergeCell ref="AMC19:AME19"/>
    <mergeCell ref="AMG19:AMH19"/>
    <mergeCell ref="AKP19:AKR19"/>
    <mergeCell ref="AKS19:AKU19"/>
    <mergeCell ref="AKW19:AKX19"/>
    <mergeCell ref="ALB19:ALD19"/>
    <mergeCell ref="ALE19:ALG19"/>
    <mergeCell ref="ALI19:ALJ19"/>
    <mergeCell ref="AJR19:AJT19"/>
    <mergeCell ref="AJU19:AJW19"/>
    <mergeCell ref="AJY19:AJZ19"/>
    <mergeCell ref="AKD19:AKF19"/>
    <mergeCell ref="AKG19:AKI19"/>
    <mergeCell ref="AKK19:AKL19"/>
    <mergeCell ref="AIT19:AIV19"/>
    <mergeCell ref="AIW19:AIY19"/>
    <mergeCell ref="AJA19:AJB19"/>
    <mergeCell ref="AJF19:AJH19"/>
    <mergeCell ref="AJI19:AJK19"/>
    <mergeCell ref="AJM19:AJN19"/>
    <mergeCell ref="AHV19:AHX19"/>
    <mergeCell ref="AHY19:AIA19"/>
    <mergeCell ref="AIC19:AID19"/>
    <mergeCell ref="AIH19:AIJ19"/>
    <mergeCell ref="AIK19:AIM19"/>
    <mergeCell ref="AIO19:AIP19"/>
    <mergeCell ref="AGX19:AGZ19"/>
    <mergeCell ref="AHA19:AHC19"/>
    <mergeCell ref="AHE19:AHF19"/>
    <mergeCell ref="AHJ19:AHL19"/>
    <mergeCell ref="AHM19:AHO19"/>
    <mergeCell ref="AHQ19:AHR19"/>
    <mergeCell ref="AFZ19:AGB19"/>
    <mergeCell ref="AGC19:AGE19"/>
    <mergeCell ref="AGG19:AGH19"/>
    <mergeCell ref="AGL19:AGN19"/>
    <mergeCell ref="AGO19:AGQ19"/>
    <mergeCell ref="AGS19:AGT19"/>
    <mergeCell ref="AEZ19:AFB19"/>
    <mergeCell ref="AFC19:AFE19"/>
    <mergeCell ref="AFG19:AFH19"/>
    <mergeCell ref="AFM19:AFO19"/>
    <mergeCell ref="AFP19:AFR19"/>
    <mergeCell ref="AFT19:AFU19"/>
    <mergeCell ref="ADZ19:AEB19"/>
    <mergeCell ref="AEC19:AEE19"/>
    <mergeCell ref="AEG19:AEH19"/>
    <mergeCell ref="AEM19:AEO19"/>
    <mergeCell ref="AEP19:AER19"/>
    <mergeCell ref="AET19:AEU19"/>
    <mergeCell ref="ACZ19:ADB19"/>
    <mergeCell ref="ADC19:ADE19"/>
    <mergeCell ref="ADG19:ADH19"/>
    <mergeCell ref="ADM19:ADO19"/>
    <mergeCell ref="ADP19:ADR19"/>
    <mergeCell ref="ADT19:ADU19"/>
    <mergeCell ref="ABZ19:ACB19"/>
    <mergeCell ref="ACC19:ACE19"/>
    <mergeCell ref="ACG19:ACH19"/>
    <mergeCell ref="ACM19:ACO19"/>
    <mergeCell ref="ACP19:ACR19"/>
    <mergeCell ref="ACT19:ACU19"/>
    <mergeCell ref="AAZ19:ABB19"/>
    <mergeCell ref="ABC19:ABE19"/>
    <mergeCell ref="ABG19:ABH19"/>
    <mergeCell ref="ABM19:ABO19"/>
    <mergeCell ref="ABP19:ABR19"/>
    <mergeCell ref="ABT19:ABU19"/>
    <mergeCell ref="ZZ19:AAB19"/>
    <mergeCell ref="AAC19:AAE19"/>
    <mergeCell ref="AAG19:AAH19"/>
    <mergeCell ref="AAM19:AAO19"/>
    <mergeCell ref="AAP19:AAR19"/>
    <mergeCell ref="AAT19:AAU19"/>
    <mergeCell ref="YX19:YZ19"/>
    <mergeCell ref="ZD19:ZF19"/>
    <mergeCell ref="ZG19:ZH19"/>
    <mergeCell ref="ZL19:ZN19"/>
    <mergeCell ref="ZR19:ZT19"/>
    <mergeCell ref="ZU19:ZV19"/>
    <mergeCell ref="XV19:XX19"/>
    <mergeCell ref="YB19:YD19"/>
    <mergeCell ref="YE19:YF19"/>
    <mergeCell ref="YJ19:YL19"/>
    <mergeCell ref="YP19:YR19"/>
    <mergeCell ref="YS19:YT19"/>
    <mergeCell ref="WT19:WV19"/>
    <mergeCell ref="WZ19:XB19"/>
    <mergeCell ref="XC19:XD19"/>
    <mergeCell ref="XH19:XJ19"/>
    <mergeCell ref="XN19:XP19"/>
    <mergeCell ref="XQ19:XR19"/>
    <mergeCell ref="VR19:VT19"/>
    <mergeCell ref="VX19:VZ19"/>
    <mergeCell ref="WA19:WB19"/>
    <mergeCell ref="WF19:WH19"/>
    <mergeCell ref="WL19:WN19"/>
    <mergeCell ref="WO19:WP19"/>
    <mergeCell ref="UP19:UR19"/>
    <mergeCell ref="UV19:UX19"/>
    <mergeCell ref="UY19:UZ19"/>
    <mergeCell ref="VD19:VF19"/>
    <mergeCell ref="VJ19:VL19"/>
    <mergeCell ref="VM19:VN19"/>
    <mergeCell ref="TN19:TP19"/>
    <mergeCell ref="TT19:TV19"/>
    <mergeCell ref="TW19:TX19"/>
    <mergeCell ref="UB19:UD19"/>
    <mergeCell ref="UH19:UJ19"/>
    <mergeCell ref="UK19:UL19"/>
    <mergeCell ref="SL19:SN19"/>
    <mergeCell ref="SR19:ST19"/>
    <mergeCell ref="SU19:SV19"/>
    <mergeCell ref="SZ19:TB19"/>
    <mergeCell ref="TF19:TH19"/>
    <mergeCell ref="TI19:TJ19"/>
    <mergeCell ref="RJ19:RL19"/>
    <mergeCell ref="RP19:RR19"/>
    <mergeCell ref="RS19:RT19"/>
    <mergeCell ref="RX19:RZ19"/>
    <mergeCell ref="SD19:SF19"/>
    <mergeCell ref="SG19:SH19"/>
    <mergeCell ref="QH19:QJ19"/>
    <mergeCell ref="QN19:QP19"/>
    <mergeCell ref="QQ19:QR19"/>
    <mergeCell ref="QV19:QX19"/>
    <mergeCell ref="RB19:RD19"/>
    <mergeCell ref="RE19:RF19"/>
    <mergeCell ref="PF19:PH19"/>
    <mergeCell ref="PL19:PN19"/>
    <mergeCell ref="PO19:PP19"/>
    <mergeCell ref="PT19:PV19"/>
    <mergeCell ref="PZ19:QB19"/>
    <mergeCell ref="QC19:QD19"/>
    <mergeCell ref="OD19:OF19"/>
    <mergeCell ref="OJ19:OL19"/>
    <mergeCell ref="OM19:ON19"/>
    <mergeCell ref="OR19:OT19"/>
    <mergeCell ref="OX19:OZ19"/>
    <mergeCell ref="PA19:PB19"/>
    <mergeCell ref="NB19:ND19"/>
    <mergeCell ref="NH19:NJ19"/>
    <mergeCell ref="NK19:NL19"/>
    <mergeCell ref="NP19:NR19"/>
    <mergeCell ref="NV19:NX19"/>
    <mergeCell ref="NY19:NZ19"/>
    <mergeCell ref="LZ19:MB19"/>
    <mergeCell ref="MF19:MH19"/>
    <mergeCell ref="MI19:MJ19"/>
    <mergeCell ref="MN19:MP19"/>
    <mergeCell ref="MT19:MV19"/>
    <mergeCell ref="MW19:MX19"/>
    <mergeCell ref="KX19:KZ19"/>
    <mergeCell ref="LD19:LF19"/>
    <mergeCell ref="LG19:LH19"/>
    <mergeCell ref="LL19:LN19"/>
    <mergeCell ref="LR19:LT19"/>
    <mergeCell ref="LU19:LV19"/>
    <mergeCell ref="JV19:JX19"/>
    <mergeCell ref="KB19:KD19"/>
    <mergeCell ref="KE19:KF19"/>
    <mergeCell ref="KJ19:KL19"/>
    <mergeCell ref="KP19:KR19"/>
    <mergeCell ref="KS19:KT19"/>
    <mergeCell ref="IT19:IV19"/>
    <mergeCell ref="IZ19:JB19"/>
    <mergeCell ref="JC19:JD19"/>
    <mergeCell ref="JH19:JJ19"/>
    <mergeCell ref="JN19:JP19"/>
    <mergeCell ref="JQ19:JR19"/>
    <mergeCell ref="HR19:HT19"/>
    <mergeCell ref="HX19:HZ19"/>
    <mergeCell ref="IA19:IB19"/>
    <mergeCell ref="IF19:IH19"/>
    <mergeCell ref="IL19:IN19"/>
    <mergeCell ref="IO19:IP19"/>
    <mergeCell ref="GP19:GR19"/>
    <mergeCell ref="GV19:GX19"/>
    <mergeCell ref="GY19:GZ19"/>
    <mergeCell ref="HD19:HF19"/>
    <mergeCell ref="HJ19:HL19"/>
    <mergeCell ref="HM19:HN19"/>
    <mergeCell ref="FN19:FP19"/>
    <mergeCell ref="FT19:FV19"/>
    <mergeCell ref="FW19:FX19"/>
    <mergeCell ref="GB19:GD19"/>
    <mergeCell ref="GH19:GJ19"/>
    <mergeCell ref="GK19:GL19"/>
    <mergeCell ref="EL19:EN19"/>
    <mergeCell ref="ER19:ET19"/>
    <mergeCell ref="EU19:EV19"/>
    <mergeCell ref="EZ19:FB19"/>
    <mergeCell ref="FF19:FH19"/>
    <mergeCell ref="FI19:FJ19"/>
    <mergeCell ref="DJ19:DL19"/>
    <mergeCell ref="DP19:DR19"/>
    <mergeCell ref="DS19:DT19"/>
    <mergeCell ref="DX19:DZ19"/>
    <mergeCell ref="ED19:EF19"/>
    <mergeCell ref="EG19:EH19"/>
    <mergeCell ref="CH19:CJ19"/>
    <mergeCell ref="CN19:CP19"/>
    <mergeCell ref="CQ19:CR19"/>
    <mergeCell ref="CV19:CX19"/>
    <mergeCell ref="DB19:DD19"/>
    <mergeCell ref="DE19:DF19"/>
    <mergeCell ref="BF19:BH19"/>
    <mergeCell ref="BL19:BN19"/>
    <mergeCell ref="BO19:BP19"/>
    <mergeCell ref="BT19:BV19"/>
    <mergeCell ref="BZ19:CB19"/>
    <mergeCell ref="CC19:CD19"/>
    <mergeCell ref="AD19:AF19"/>
    <mergeCell ref="AJ19:AL19"/>
    <mergeCell ref="AM19:AN19"/>
    <mergeCell ref="AR19:AT19"/>
    <mergeCell ref="AX19:AZ19"/>
    <mergeCell ref="BA19:BB19"/>
    <mergeCell ref="B19:D19"/>
    <mergeCell ref="H19:J19"/>
    <mergeCell ref="K19:L19"/>
    <mergeCell ref="P19:R19"/>
    <mergeCell ref="V19:X19"/>
    <mergeCell ref="Y19:Z19"/>
    <mergeCell ref="CVJ18:CVL18"/>
    <mergeCell ref="CVM18:CVO18"/>
    <mergeCell ref="CVQ18:CVR18"/>
    <mergeCell ref="CVV18:CVX18"/>
    <mergeCell ref="CVY18:CWA18"/>
    <mergeCell ref="CWC18:CWD18"/>
    <mergeCell ref="CUL18:CUN18"/>
    <mergeCell ref="CUO18:CUQ18"/>
    <mergeCell ref="CUS18:CUT18"/>
    <mergeCell ref="CUX18:CUZ18"/>
    <mergeCell ref="CVA18:CVC18"/>
    <mergeCell ref="CVE18:CVF18"/>
    <mergeCell ref="CTN18:CTP18"/>
    <mergeCell ref="CTQ18:CTS18"/>
    <mergeCell ref="CTU18:CTV18"/>
    <mergeCell ref="CTZ18:CUB18"/>
    <mergeCell ref="CUC18:CUE18"/>
    <mergeCell ref="CUG18:CUH18"/>
    <mergeCell ref="CSP18:CSR18"/>
    <mergeCell ref="CSS18:CSU18"/>
    <mergeCell ref="CSW18:CSX18"/>
    <mergeCell ref="CTB18:CTD18"/>
    <mergeCell ref="CTE18:CTG18"/>
    <mergeCell ref="CTI18:CTJ18"/>
    <mergeCell ref="CRR18:CRT18"/>
    <mergeCell ref="CRU18:CRW18"/>
    <mergeCell ref="CRY18:CRZ18"/>
    <mergeCell ref="CSD18:CSF18"/>
    <mergeCell ref="CSG18:CSI18"/>
    <mergeCell ref="CSK18:CSL18"/>
    <mergeCell ref="CQT18:CQV18"/>
    <mergeCell ref="CQW18:CQY18"/>
    <mergeCell ref="CRA18:CRB18"/>
    <mergeCell ref="CRF18:CRH18"/>
    <mergeCell ref="CRI18:CRK18"/>
    <mergeCell ref="CRM18:CRN18"/>
    <mergeCell ref="CPV18:CPX18"/>
    <mergeCell ref="CPY18:CQA18"/>
    <mergeCell ref="CQC18:CQD18"/>
    <mergeCell ref="CQH18:CQJ18"/>
    <mergeCell ref="CQK18:CQM18"/>
    <mergeCell ref="CQO18:CQP18"/>
    <mergeCell ref="COX18:COZ18"/>
    <mergeCell ref="CPA18:CPC18"/>
    <mergeCell ref="CPE18:CPF18"/>
    <mergeCell ref="CPJ18:CPL18"/>
    <mergeCell ref="CPM18:CPO18"/>
    <mergeCell ref="CPQ18:CPR18"/>
    <mergeCell ref="CNZ18:COB18"/>
    <mergeCell ref="COC18:COE18"/>
    <mergeCell ref="COG18:COH18"/>
    <mergeCell ref="COL18:CON18"/>
    <mergeCell ref="COO18:COQ18"/>
    <mergeCell ref="COS18:COT18"/>
    <mergeCell ref="CNB18:CND18"/>
    <mergeCell ref="CNE18:CNG18"/>
    <mergeCell ref="CNI18:CNJ18"/>
    <mergeCell ref="CNN18:CNP18"/>
    <mergeCell ref="CNQ18:CNS18"/>
    <mergeCell ref="CNU18:CNV18"/>
    <mergeCell ref="CMD18:CMF18"/>
    <mergeCell ref="CMG18:CMI18"/>
    <mergeCell ref="CMK18:CML18"/>
    <mergeCell ref="CMP18:CMR18"/>
    <mergeCell ref="CMS18:CMU18"/>
    <mergeCell ref="CMW18:CMX18"/>
    <mergeCell ref="CLF18:CLH18"/>
    <mergeCell ref="CLI18:CLK18"/>
    <mergeCell ref="CLM18:CLN18"/>
    <mergeCell ref="CLR18:CLT18"/>
    <mergeCell ref="CLU18:CLW18"/>
    <mergeCell ref="CLY18:CLZ18"/>
    <mergeCell ref="CKH18:CKJ18"/>
    <mergeCell ref="CKK18:CKM18"/>
    <mergeCell ref="CKO18:CKP18"/>
    <mergeCell ref="CKT18:CKV18"/>
    <mergeCell ref="CKW18:CKY18"/>
    <mergeCell ref="CLA18:CLB18"/>
    <mergeCell ref="CJJ18:CJL18"/>
    <mergeCell ref="CJM18:CJO18"/>
    <mergeCell ref="CJQ18:CJR18"/>
    <mergeCell ref="CJV18:CJX18"/>
    <mergeCell ref="CJY18:CKA18"/>
    <mergeCell ref="CKC18:CKD18"/>
    <mergeCell ref="CIL18:CIN18"/>
    <mergeCell ref="CIO18:CIQ18"/>
    <mergeCell ref="CIS18:CIT18"/>
    <mergeCell ref="CIX18:CIZ18"/>
    <mergeCell ref="CJA18:CJC18"/>
    <mergeCell ref="CJE18:CJF18"/>
    <mergeCell ref="CHN18:CHP18"/>
    <mergeCell ref="CHQ18:CHS18"/>
    <mergeCell ref="CHU18:CHV18"/>
    <mergeCell ref="CHZ18:CIB18"/>
    <mergeCell ref="CIC18:CIE18"/>
    <mergeCell ref="CIG18:CIH18"/>
    <mergeCell ref="CGP18:CGR18"/>
    <mergeCell ref="CGS18:CGU18"/>
    <mergeCell ref="CGW18:CGX18"/>
    <mergeCell ref="CHB18:CHD18"/>
    <mergeCell ref="CHE18:CHG18"/>
    <mergeCell ref="CHI18:CHJ18"/>
    <mergeCell ref="CFR18:CFT18"/>
    <mergeCell ref="CFU18:CFW18"/>
    <mergeCell ref="CFY18:CFZ18"/>
    <mergeCell ref="CGD18:CGF18"/>
    <mergeCell ref="CGG18:CGI18"/>
    <mergeCell ref="CGK18:CGL18"/>
    <mergeCell ref="CET18:CEV18"/>
    <mergeCell ref="CEW18:CEY18"/>
    <mergeCell ref="CFA18:CFB18"/>
    <mergeCell ref="CFF18:CFH18"/>
    <mergeCell ref="CFI18:CFK18"/>
    <mergeCell ref="CFM18:CFN18"/>
    <mergeCell ref="CDV18:CDX18"/>
    <mergeCell ref="CDY18:CEA18"/>
    <mergeCell ref="CEC18:CED18"/>
    <mergeCell ref="CEH18:CEJ18"/>
    <mergeCell ref="CEK18:CEM18"/>
    <mergeCell ref="CEO18:CEP18"/>
    <mergeCell ref="CCX18:CCZ18"/>
    <mergeCell ref="CDA18:CDC18"/>
    <mergeCell ref="CDE18:CDF18"/>
    <mergeCell ref="CDJ18:CDL18"/>
    <mergeCell ref="CDM18:CDO18"/>
    <mergeCell ref="CDQ18:CDR18"/>
    <mergeCell ref="CBZ18:CCB18"/>
    <mergeCell ref="CCC18:CCE18"/>
    <mergeCell ref="CCG18:CCH18"/>
    <mergeCell ref="CCL18:CCN18"/>
    <mergeCell ref="CCO18:CCQ18"/>
    <mergeCell ref="CCS18:CCT18"/>
    <mergeCell ref="CBB18:CBD18"/>
    <mergeCell ref="CBE18:CBG18"/>
    <mergeCell ref="CBI18:CBJ18"/>
    <mergeCell ref="CBN18:CBP18"/>
    <mergeCell ref="CBQ18:CBS18"/>
    <mergeCell ref="CBU18:CBV18"/>
    <mergeCell ref="CAD18:CAF18"/>
    <mergeCell ref="CAG18:CAI18"/>
    <mergeCell ref="CAK18:CAL18"/>
    <mergeCell ref="CAP18:CAR18"/>
    <mergeCell ref="CAS18:CAU18"/>
    <mergeCell ref="CAW18:CAX18"/>
    <mergeCell ref="BZF18:BZH18"/>
    <mergeCell ref="BZI18:BZK18"/>
    <mergeCell ref="BZM18:BZN18"/>
    <mergeCell ref="BZR18:BZT18"/>
    <mergeCell ref="BZU18:BZW18"/>
    <mergeCell ref="BZY18:BZZ18"/>
    <mergeCell ref="BYH18:BYJ18"/>
    <mergeCell ref="BYK18:BYM18"/>
    <mergeCell ref="BYO18:BYP18"/>
    <mergeCell ref="BYT18:BYV18"/>
    <mergeCell ref="BYW18:BYY18"/>
    <mergeCell ref="BZA18:BZB18"/>
    <mergeCell ref="BXJ18:BXL18"/>
    <mergeCell ref="BXM18:BXO18"/>
    <mergeCell ref="BXQ18:BXR18"/>
    <mergeCell ref="BXV18:BXX18"/>
    <mergeCell ref="BXY18:BYA18"/>
    <mergeCell ref="BYC18:BYD18"/>
    <mergeCell ref="BWL18:BWN18"/>
    <mergeCell ref="BWO18:BWQ18"/>
    <mergeCell ref="BWS18:BWT18"/>
    <mergeCell ref="BWX18:BWZ18"/>
    <mergeCell ref="BXA18:BXC18"/>
    <mergeCell ref="BXE18:BXF18"/>
    <mergeCell ref="BVN18:BVP18"/>
    <mergeCell ref="BVQ18:BVS18"/>
    <mergeCell ref="BVU18:BVV18"/>
    <mergeCell ref="BVZ18:BWB18"/>
    <mergeCell ref="BWC18:BWE18"/>
    <mergeCell ref="BWG18:BWH18"/>
    <mergeCell ref="BUP18:BUR18"/>
    <mergeCell ref="BUS18:BUU18"/>
    <mergeCell ref="BUW18:BUX18"/>
    <mergeCell ref="BVB18:BVD18"/>
    <mergeCell ref="BVE18:BVG18"/>
    <mergeCell ref="BVI18:BVJ18"/>
    <mergeCell ref="BTR18:BTT18"/>
    <mergeCell ref="BTU18:BTW18"/>
    <mergeCell ref="BTY18:BTZ18"/>
    <mergeCell ref="BUD18:BUF18"/>
    <mergeCell ref="BUG18:BUI18"/>
    <mergeCell ref="BUK18:BUL18"/>
    <mergeCell ref="BST18:BSV18"/>
    <mergeCell ref="BSW18:BSY18"/>
    <mergeCell ref="BTA18:BTB18"/>
    <mergeCell ref="BTF18:BTH18"/>
    <mergeCell ref="BTI18:BTK18"/>
    <mergeCell ref="BTM18:BTN18"/>
    <mergeCell ref="BRV18:BRX18"/>
    <mergeCell ref="BRY18:BSA18"/>
    <mergeCell ref="BSC18:BSD18"/>
    <mergeCell ref="BSH18:BSJ18"/>
    <mergeCell ref="BSK18:BSM18"/>
    <mergeCell ref="BSO18:BSP18"/>
    <mergeCell ref="BQX18:BQZ18"/>
    <mergeCell ref="BRA18:BRC18"/>
    <mergeCell ref="BRE18:BRF18"/>
    <mergeCell ref="BRJ18:BRL18"/>
    <mergeCell ref="BRM18:BRO18"/>
    <mergeCell ref="BRQ18:BRR18"/>
    <mergeCell ref="BPZ18:BQB18"/>
    <mergeCell ref="BQC18:BQE18"/>
    <mergeCell ref="BQG18:BQH18"/>
    <mergeCell ref="BQL18:BQN18"/>
    <mergeCell ref="BQO18:BQQ18"/>
    <mergeCell ref="BQS18:BQT18"/>
    <mergeCell ref="BPB18:BPD18"/>
    <mergeCell ref="BPE18:BPG18"/>
    <mergeCell ref="BPI18:BPJ18"/>
    <mergeCell ref="BPN18:BPP18"/>
    <mergeCell ref="BPQ18:BPS18"/>
    <mergeCell ref="BPU18:BPV18"/>
    <mergeCell ref="BOD18:BOF18"/>
    <mergeCell ref="BOG18:BOI18"/>
    <mergeCell ref="BOK18:BOL18"/>
    <mergeCell ref="BOP18:BOR18"/>
    <mergeCell ref="BOS18:BOU18"/>
    <mergeCell ref="BOW18:BOX18"/>
    <mergeCell ref="BNF18:BNH18"/>
    <mergeCell ref="BNI18:BNK18"/>
    <mergeCell ref="BNM18:BNN18"/>
    <mergeCell ref="BNR18:BNT18"/>
    <mergeCell ref="BNU18:BNW18"/>
    <mergeCell ref="BNY18:BNZ18"/>
    <mergeCell ref="BMH18:BMJ18"/>
    <mergeCell ref="BMK18:BMM18"/>
    <mergeCell ref="BMO18:BMP18"/>
    <mergeCell ref="BMT18:BMV18"/>
    <mergeCell ref="BMW18:BMY18"/>
    <mergeCell ref="BNA18:BNB18"/>
    <mergeCell ref="BLJ18:BLL18"/>
    <mergeCell ref="BLM18:BLO18"/>
    <mergeCell ref="BLQ18:BLR18"/>
    <mergeCell ref="BLV18:BLX18"/>
    <mergeCell ref="BLY18:BMA18"/>
    <mergeCell ref="BMC18:BMD18"/>
    <mergeCell ref="BKL18:BKN18"/>
    <mergeCell ref="BKO18:BKQ18"/>
    <mergeCell ref="BKS18:BKT18"/>
    <mergeCell ref="BKX18:BKZ18"/>
    <mergeCell ref="BLA18:BLC18"/>
    <mergeCell ref="BLE18:BLF18"/>
    <mergeCell ref="BJN18:BJP18"/>
    <mergeCell ref="BJQ18:BJS18"/>
    <mergeCell ref="BJU18:BJV18"/>
    <mergeCell ref="BJZ18:BKB18"/>
    <mergeCell ref="BKC18:BKE18"/>
    <mergeCell ref="BKG18:BKH18"/>
    <mergeCell ref="BIP18:BIR18"/>
    <mergeCell ref="BIS18:BIU18"/>
    <mergeCell ref="BIW18:BIX18"/>
    <mergeCell ref="BJB18:BJD18"/>
    <mergeCell ref="BJE18:BJG18"/>
    <mergeCell ref="BJI18:BJJ18"/>
    <mergeCell ref="BHR18:BHT18"/>
    <mergeCell ref="BHU18:BHW18"/>
    <mergeCell ref="BHY18:BHZ18"/>
    <mergeCell ref="BID18:BIF18"/>
    <mergeCell ref="BIG18:BII18"/>
    <mergeCell ref="BIK18:BIL18"/>
    <mergeCell ref="BGT18:BGV18"/>
    <mergeCell ref="BGW18:BGY18"/>
    <mergeCell ref="BHA18:BHB18"/>
    <mergeCell ref="BHF18:BHH18"/>
    <mergeCell ref="BHI18:BHK18"/>
    <mergeCell ref="BHM18:BHN18"/>
    <mergeCell ref="BFV18:BFX18"/>
    <mergeCell ref="BFY18:BGA18"/>
    <mergeCell ref="BGC18:BGD18"/>
    <mergeCell ref="BGH18:BGJ18"/>
    <mergeCell ref="BGK18:BGM18"/>
    <mergeCell ref="BGO18:BGP18"/>
    <mergeCell ref="BEX18:BEZ18"/>
    <mergeCell ref="BFA18:BFC18"/>
    <mergeCell ref="BFE18:BFF18"/>
    <mergeCell ref="BFJ18:BFL18"/>
    <mergeCell ref="BFM18:BFO18"/>
    <mergeCell ref="BFQ18:BFR18"/>
    <mergeCell ref="BDZ18:BEB18"/>
    <mergeCell ref="BEC18:BEE18"/>
    <mergeCell ref="BEG18:BEH18"/>
    <mergeCell ref="BEL18:BEN18"/>
    <mergeCell ref="BEO18:BEQ18"/>
    <mergeCell ref="BES18:BET18"/>
    <mergeCell ref="BDB18:BDD18"/>
    <mergeCell ref="BDE18:BDG18"/>
    <mergeCell ref="BDI18:BDJ18"/>
    <mergeCell ref="BDN18:BDP18"/>
    <mergeCell ref="BDQ18:BDS18"/>
    <mergeCell ref="BDU18:BDV18"/>
    <mergeCell ref="BCD18:BCF18"/>
    <mergeCell ref="BCG18:BCI18"/>
    <mergeCell ref="BCK18:BCL18"/>
    <mergeCell ref="BCP18:BCR18"/>
    <mergeCell ref="BCS18:BCU18"/>
    <mergeCell ref="BCW18:BCX18"/>
    <mergeCell ref="BBF18:BBH18"/>
    <mergeCell ref="BBI18:BBK18"/>
    <mergeCell ref="BBM18:BBN18"/>
    <mergeCell ref="BBR18:BBT18"/>
    <mergeCell ref="BBU18:BBW18"/>
    <mergeCell ref="BBY18:BBZ18"/>
    <mergeCell ref="BAH18:BAJ18"/>
    <mergeCell ref="BAK18:BAM18"/>
    <mergeCell ref="BAO18:BAP18"/>
    <mergeCell ref="BAT18:BAV18"/>
    <mergeCell ref="BAW18:BAY18"/>
    <mergeCell ref="BBA18:BBB18"/>
    <mergeCell ref="AZJ18:AZL18"/>
    <mergeCell ref="AZM18:AZO18"/>
    <mergeCell ref="AZQ18:AZR18"/>
    <mergeCell ref="AZV18:AZX18"/>
    <mergeCell ref="AZY18:BAA18"/>
    <mergeCell ref="BAC18:BAD18"/>
    <mergeCell ref="AYL18:AYN18"/>
    <mergeCell ref="AYO18:AYQ18"/>
    <mergeCell ref="AYS18:AYT18"/>
    <mergeCell ref="AYX18:AYZ18"/>
    <mergeCell ref="AZA18:AZC18"/>
    <mergeCell ref="AZE18:AZF18"/>
    <mergeCell ref="AXN18:AXP18"/>
    <mergeCell ref="AXQ18:AXS18"/>
    <mergeCell ref="AXU18:AXV18"/>
    <mergeCell ref="AXZ18:AYB18"/>
    <mergeCell ref="AYC18:AYE18"/>
    <mergeCell ref="AYG18:AYH18"/>
    <mergeCell ref="AWP18:AWR18"/>
    <mergeCell ref="AWS18:AWU18"/>
    <mergeCell ref="AWW18:AWX18"/>
    <mergeCell ref="AXB18:AXD18"/>
    <mergeCell ref="AXE18:AXG18"/>
    <mergeCell ref="AXI18:AXJ18"/>
    <mergeCell ref="AVR18:AVT18"/>
    <mergeCell ref="AVU18:AVW18"/>
    <mergeCell ref="AVY18:AVZ18"/>
    <mergeCell ref="AWD18:AWF18"/>
    <mergeCell ref="AWG18:AWI18"/>
    <mergeCell ref="AWK18:AWL18"/>
    <mergeCell ref="AUT18:AUV18"/>
    <mergeCell ref="AUW18:AUY18"/>
    <mergeCell ref="AVA18:AVB18"/>
    <mergeCell ref="AVF18:AVH18"/>
    <mergeCell ref="AVI18:AVK18"/>
    <mergeCell ref="AVM18:AVN18"/>
    <mergeCell ref="ATV18:ATX18"/>
    <mergeCell ref="ATY18:AUA18"/>
    <mergeCell ref="AUC18:AUD18"/>
    <mergeCell ref="AUH18:AUJ18"/>
    <mergeCell ref="AUK18:AUM18"/>
    <mergeCell ref="AUO18:AUP18"/>
    <mergeCell ref="ASX18:ASZ18"/>
    <mergeCell ref="ATA18:ATC18"/>
    <mergeCell ref="ATE18:ATF18"/>
    <mergeCell ref="ATJ18:ATL18"/>
    <mergeCell ref="ATM18:ATO18"/>
    <mergeCell ref="ATQ18:ATR18"/>
    <mergeCell ref="ARZ18:ASB18"/>
    <mergeCell ref="ASC18:ASE18"/>
    <mergeCell ref="ASG18:ASH18"/>
    <mergeCell ref="ASL18:ASN18"/>
    <mergeCell ref="ASO18:ASQ18"/>
    <mergeCell ref="ASS18:AST18"/>
    <mergeCell ref="ARB18:ARD18"/>
    <mergeCell ref="ARE18:ARG18"/>
    <mergeCell ref="ARI18:ARJ18"/>
    <mergeCell ref="ARN18:ARP18"/>
    <mergeCell ref="ARQ18:ARS18"/>
    <mergeCell ref="ARU18:ARV18"/>
    <mergeCell ref="AQD18:AQF18"/>
    <mergeCell ref="AQG18:AQI18"/>
    <mergeCell ref="AQK18:AQL18"/>
    <mergeCell ref="AQP18:AQR18"/>
    <mergeCell ref="AQS18:AQU18"/>
    <mergeCell ref="AQW18:AQX18"/>
    <mergeCell ref="APF18:APH18"/>
    <mergeCell ref="API18:APK18"/>
    <mergeCell ref="APM18:APN18"/>
    <mergeCell ref="APR18:APT18"/>
    <mergeCell ref="APU18:APW18"/>
    <mergeCell ref="APY18:APZ18"/>
    <mergeCell ref="AOH18:AOJ18"/>
    <mergeCell ref="AOK18:AOM18"/>
    <mergeCell ref="AOO18:AOP18"/>
    <mergeCell ref="AOT18:AOV18"/>
    <mergeCell ref="AOW18:AOY18"/>
    <mergeCell ref="APA18:APB18"/>
    <mergeCell ref="ANJ18:ANL18"/>
    <mergeCell ref="ANM18:ANO18"/>
    <mergeCell ref="ANQ18:ANR18"/>
    <mergeCell ref="ANV18:ANX18"/>
    <mergeCell ref="ANY18:AOA18"/>
    <mergeCell ref="AOC18:AOD18"/>
    <mergeCell ref="AML18:AMN18"/>
    <mergeCell ref="AMO18:AMQ18"/>
    <mergeCell ref="AMS18:AMT18"/>
    <mergeCell ref="AMX18:AMZ18"/>
    <mergeCell ref="ANA18:ANC18"/>
    <mergeCell ref="ANE18:ANF18"/>
    <mergeCell ref="ALN18:ALP18"/>
    <mergeCell ref="ALQ18:ALS18"/>
    <mergeCell ref="ALU18:ALV18"/>
    <mergeCell ref="ALZ18:AMB18"/>
    <mergeCell ref="AMC18:AME18"/>
    <mergeCell ref="AMG18:AMH18"/>
    <mergeCell ref="AKP18:AKR18"/>
    <mergeCell ref="AKS18:AKU18"/>
    <mergeCell ref="AKW18:AKX18"/>
    <mergeCell ref="ALB18:ALD18"/>
    <mergeCell ref="ALE18:ALG18"/>
    <mergeCell ref="ALI18:ALJ18"/>
    <mergeCell ref="AJR18:AJT18"/>
    <mergeCell ref="AJU18:AJW18"/>
    <mergeCell ref="AJY18:AJZ18"/>
    <mergeCell ref="AKD18:AKF18"/>
    <mergeCell ref="AKG18:AKI18"/>
    <mergeCell ref="AKK18:AKL18"/>
    <mergeCell ref="AIT18:AIV18"/>
    <mergeCell ref="AIW18:AIY18"/>
    <mergeCell ref="AJA18:AJB18"/>
    <mergeCell ref="AJF18:AJH18"/>
    <mergeCell ref="AJI18:AJK18"/>
    <mergeCell ref="AJM18:AJN18"/>
    <mergeCell ref="AHV18:AHX18"/>
    <mergeCell ref="AHY18:AIA18"/>
    <mergeCell ref="AIC18:AID18"/>
    <mergeCell ref="AIH18:AIJ18"/>
    <mergeCell ref="AIK18:AIM18"/>
    <mergeCell ref="AIO18:AIP18"/>
    <mergeCell ref="AGX18:AGZ18"/>
    <mergeCell ref="AHA18:AHC18"/>
    <mergeCell ref="AHE18:AHF18"/>
    <mergeCell ref="AHJ18:AHL18"/>
    <mergeCell ref="AHM18:AHO18"/>
    <mergeCell ref="AHQ18:AHR18"/>
    <mergeCell ref="AFZ18:AGB18"/>
    <mergeCell ref="AGC18:AGE18"/>
    <mergeCell ref="AGG18:AGH18"/>
    <mergeCell ref="AGL18:AGN18"/>
    <mergeCell ref="AGO18:AGQ18"/>
    <mergeCell ref="AGS18:AGT18"/>
    <mergeCell ref="AEZ18:AFB18"/>
    <mergeCell ref="AFC18:AFE18"/>
    <mergeCell ref="AFG18:AFH18"/>
    <mergeCell ref="AFM18:AFO18"/>
    <mergeCell ref="AFP18:AFR18"/>
    <mergeCell ref="AFT18:AFU18"/>
    <mergeCell ref="ADZ18:AEB18"/>
    <mergeCell ref="AEC18:AEE18"/>
    <mergeCell ref="AEG18:AEH18"/>
    <mergeCell ref="AEM18:AEO18"/>
    <mergeCell ref="AEP18:AER18"/>
    <mergeCell ref="AET18:AEU18"/>
    <mergeCell ref="ACZ18:ADB18"/>
    <mergeCell ref="ADC18:ADE18"/>
    <mergeCell ref="ADG18:ADH18"/>
    <mergeCell ref="ADM18:ADO18"/>
    <mergeCell ref="ADP18:ADR18"/>
    <mergeCell ref="ADT18:ADU18"/>
    <mergeCell ref="ABZ18:ACB18"/>
    <mergeCell ref="ACC18:ACE18"/>
    <mergeCell ref="ACG18:ACH18"/>
    <mergeCell ref="ACM18:ACO18"/>
    <mergeCell ref="ACP18:ACR18"/>
    <mergeCell ref="ACT18:ACU18"/>
    <mergeCell ref="AAZ18:ABB18"/>
    <mergeCell ref="ABC18:ABE18"/>
    <mergeCell ref="ABG18:ABH18"/>
    <mergeCell ref="ABM18:ABO18"/>
    <mergeCell ref="ABP18:ABR18"/>
    <mergeCell ref="ABT18:ABU18"/>
    <mergeCell ref="ZZ18:AAB18"/>
    <mergeCell ref="AAC18:AAE18"/>
    <mergeCell ref="AAG18:AAH18"/>
    <mergeCell ref="AAM18:AAO18"/>
    <mergeCell ref="AAP18:AAR18"/>
    <mergeCell ref="AAT18:AAU18"/>
    <mergeCell ref="YX18:YZ18"/>
    <mergeCell ref="ZD18:ZF18"/>
    <mergeCell ref="ZG18:ZH18"/>
    <mergeCell ref="ZL18:ZN18"/>
    <mergeCell ref="ZR18:ZT18"/>
    <mergeCell ref="ZU18:ZV18"/>
    <mergeCell ref="XV18:XX18"/>
    <mergeCell ref="YB18:YD18"/>
    <mergeCell ref="YE18:YF18"/>
    <mergeCell ref="YJ18:YL18"/>
    <mergeCell ref="YP18:YR18"/>
    <mergeCell ref="YS18:YT18"/>
    <mergeCell ref="WT18:WV18"/>
    <mergeCell ref="WZ18:XB18"/>
    <mergeCell ref="XC18:XD18"/>
    <mergeCell ref="XH18:XJ18"/>
    <mergeCell ref="XN18:XP18"/>
    <mergeCell ref="XQ18:XR18"/>
    <mergeCell ref="VR18:VT18"/>
    <mergeCell ref="VX18:VZ18"/>
    <mergeCell ref="WA18:WB18"/>
    <mergeCell ref="WF18:WH18"/>
    <mergeCell ref="WL18:WN18"/>
    <mergeCell ref="WO18:WP18"/>
    <mergeCell ref="UP18:UR18"/>
    <mergeCell ref="UV18:UX18"/>
    <mergeCell ref="UY18:UZ18"/>
    <mergeCell ref="VD18:VF18"/>
    <mergeCell ref="VJ18:VL18"/>
    <mergeCell ref="VM18:VN18"/>
    <mergeCell ref="TN18:TP18"/>
    <mergeCell ref="TT18:TV18"/>
    <mergeCell ref="TW18:TX18"/>
    <mergeCell ref="UB18:UD18"/>
    <mergeCell ref="UH18:UJ18"/>
    <mergeCell ref="UK18:UL18"/>
    <mergeCell ref="SL18:SN18"/>
    <mergeCell ref="SR18:ST18"/>
    <mergeCell ref="SU18:SV18"/>
    <mergeCell ref="SZ18:TB18"/>
    <mergeCell ref="TF18:TH18"/>
    <mergeCell ref="TI18:TJ18"/>
    <mergeCell ref="RJ18:RL18"/>
    <mergeCell ref="RP18:RR18"/>
    <mergeCell ref="RS18:RT18"/>
    <mergeCell ref="RX18:RZ18"/>
    <mergeCell ref="SD18:SF18"/>
    <mergeCell ref="SG18:SH18"/>
    <mergeCell ref="QH18:QJ18"/>
    <mergeCell ref="QN18:QP18"/>
    <mergeCell ref="QQ18:QR18"/>
    <mergeCell ref="QV18:QX18"/>
    <mergeCell ref="RB18:RD18"/>
    <mergeCell ref="RE18:RF18"/>
    <mergeCell ref="PF18:PH18"/>
    <mergeCell ref="PL18:PN18"/>
    <mergeCell ref="PO18:PP18"/>
    <mergeCell ref="PT18:PV18"/>
    <mergeCell ref="PZ18:QB18"/>
    <mergeCell ref="QC18:QD18"/>
    <mergeCell ref="OD18:OF18"/>
    <mergeCell ref="OJ18:OL18"/>
    <mergeCell ref="OM18:ON18"/>
    <mergeCell ref="OR18:OT18"/>
    <mergeCell ref="OX18:OZ18"/>
    <mergeCell ref="PA18:PB18"/>
    <mergeCell ref="NB18:ND18"/>
    <mergeCell ref="NH18:NJ18"/>
    <mergeCell ref="NK18:NL18"/>
    <mergeCell ref="NP18:NR18"/>
    <mergeCell ref="NV18:NX18"/>
    <mergeCell ref="NY18:NZ18"/>
    <mergeCell ref="LZ18:MB18"/>
    <mergeCell ref="MF18:MH18"/>
    <mergeCell ref="MI18:MJ18"/>
    <mergeCell ref="MN18:MP18"/>
    <mergeCell ref="MT18:MV18"/>
    <mergeCell ref="MW18:MX18"/>
    <mergeCell ref="KX18:KZ18"/>
    <mergeCell ref="LD18:LF18"/>
    <mergeCell ref="LG18:LH18"/>
    <mergeCell ref="LL18:LN18"/>
    <mergeCell ref="LR18:LT18"/>
    <mergeCell ref="LU18:LV18"/>
    <mergeCell ref="JV18:JX18"/>
    <mergeCell ref="KB18:KD18"/>
    <mergeCell ref="KE18:KF18"/>
    <mergeCell ref="KJ18:KL18"/>
    <mergeCell ref="KP18:KR18"/>
    <mergeCell ref="KS18:KT18"/>
    <mergeCell ref="IT18:IV18"/>
    <mergeCell ref="IZ18:JB18"/>
    <mergeCell ref="JC18:JD18"/>
    <mergeCell ref="JH18:JJ18"/>
    <mergeCell ref="JN18:JP18"/>
    <mergeCell ref="JQ18:JR18"/>
    <mergeCell ref="HR18:HT18"/>
    <mergeCell ref="HX18:HZ18"/>
    <mergeCell ref="IA18:IB18"/>
    <mergeCell ref="IF18:IH18"/>
    <mergeCell ref="IL18:IN18"/>
    <mergeCell ref="IO18:IP18"/>
    <mergeCell ref="GP18:GR18"/>
    <mergeCell ref="GV18:GX18"/>
    <mergeCell ref="GY18:GZ18"/>
    <mergeCell ref="HD18:HF18"/>
    <mergeCell ref="HJ18:HL18"/>
    <mergeCell ref="HM18:HN18"/>
    <mergeCell ref="FN18:FP18"/>
    <mergeCell ref="FT18:FV18"/>
    <mergeCell ref="FW18:FX18"/>
    <mergeCell ref="GB18:GD18"/>
    <mergeCell ref="GH18:GJ18"/>
    <mergeCell ref="GK18:GL18"/>
    <mergeCell ref="EL18:EN18"/>
    <mergeCell ref="ER18:ET18"/>
    <mergeCell ref="EU18:EV18"/>
    <mergeCell ref="EZ18:FB18"/>
    <mergeCell ref="FF18:FH18"/>
    <mergeCell ref="FI18:FJ18"/>
    <mergeCell ref="DJ18:DL18"/>
    <mergeCell ref="DP18:DR18"/>
    <mergeCell ref="DS18:DT18"/>
    <mergeCell ref="DX18:DZ18"/>
    <mergeCell ref="ED18:EF18"/>
    <mergeCell ref="EG18:EH18"/>
    <mergeCell ref="CH18:CJ18"/>
    <mergeCell ref="CN18:CP18"/>
    <mergeCell ref="CQ18:CR18"/>
    <mergeCell ref="CV18:CX18"/>
    <mergeCell ref="DB18:DD18"/>
    <mergeCell ref="DE18:DF18"/>
    <mergeCell ref="BF18:BH18"/>
    <mergeCell ref="BL18:BN18"/>
    <mergeCell ref="BO18:BP18"/>
    <mergeCell ref="BT18:BV18"/>
    <mergeCell ref="BZ18:CB18"/>
    <mergeCell ref="CC18:CD18"/>
    <mergeCell ref="AD18:AF18"/>
    <mergeCell ref="AJ18:AL18"/>
    <mergeCell ref="AM18:AN18"/>
    <mergeCell ref="AR18:AT18"/>
    <mergeCell ref="AX18:AZ18"/>
    <mergeCell ref="BA18:BB18"/>
    <mergeCell ref="B18:D18"/>
    <mergeCell ref="H18:J18"/>
    <mergeCell ref="K18:L18"/>
    <mergeCell ref="P18:R18"/>
    <mergeCell ref="V18:X18"/>
    <mergeCell ref="Y18:Z18"/>
    <mergeCell ref="CVJ17:CVL17"/>
    <mergeCell ref="CVM17:CVO17"/>
    <mergeCell ref="CVQ17:CVR17"/>
    <mergeCell ref="CVV17:CVX17"/>
    <mergeCell ref="CVY17:CWA17"/>
    <mergeCell ref="CWC17:CWD17"/>
    <mergeCell ref="CUL17:CUN17"/>
    <mergeCell ref="CUO17:CUQ17"/>
    <mergeCell ref="CUS17:CUT17"/>
    <mergeCell ref="CUX17:CUZ17"/>
    <mergeCell ref="CVA17:CVC17"/>
    <mergeCell ref="CVE17:CVF17"/>
    <mergeCell ref="CTN17:CTP17"/>
    <mergeCell ref="CTQ17:CTS17"/>
    <mergeCell ref="CTU17:CTV17"/>
    <mergeCell ref="CTZ17:CUB17"/>
    <mergeCell ref="CUC17:CUE17"/>
    <mergeCell ref="CUG17:CUH17"/>
    <mergeCell ref="CSP17:CSR17"/>
    <mergeCell ref="CSS17:CSU17"/>
    <mergeCell ref="CSW17:CSX17"/>
    <mergeCell ref="CTB17:CTD17"/>
    <mergeCell ref="CTE17:CTG17"/>
    <mergeCell ref="CTI17:CTJ17"/>
    <mergeCell ref="CRR17:CRT17"/>
    <mergeCell ref="CRU17:CRW17"/>
    <mergeCell ref="CRY17:CRZ17"/>
    <mergeCell ref="CSD17:CSF17"/>
    <mergeCell ref="CSG17:CSI17"/>
    <mergeCell ref="CSK17:CSL17"/>
    <mergeCell ref="CQT17:CQV17"/>
    <mergeCell ref="CQW17:CQY17"/>
    <mergeCell ref="CRA17:CRB17"/>
    <mergeCell ref="CRF17:CRH17"/>
    <mergeCell ref="CRI17:CRK17"/>
    <mergeCell ref="CRM17:CRN17"/>
    <mergeCell ref="CPV17:CPX17"/>
    <mergeCell ref="CPY17:CQA17"/>
    <mergeCell ref="CQC17:CQD17"/>
    <mergeCell ref="CQH17:CQJ17"/>
    <mergeCell ref="CQK17:CQM17"/>
    <mergeCell ref="CQO17:CQP17"/>
    <mergeCell ref="COX17:COZ17"/>
    <mergeCell ref="CPA17:CPC17"/>
    <mergeCell ref="CPE17:CPF17"/>
    <mergeCell ref="CPJ17:CPL17"/>
    <mergeCell ref="CPM17:CPO17"/>
    <mergeCell ref="CPQ17:CPR17"/>
    <mergeCell ref="CNZ17:COB17"/>
    <mergeCell ref="COC17:COE17"/>
    <mergeCell ref="COG17:COH17"/>
    <mergeCell ref="COL17:CON17"/>
    <mergeCell ref="COO17:COQ17"/>
    <mergeCell ref="COS17:COT17"/>
    <mergeCell ref="CNB17:CND17"/>
    <mergeCell ref="CNE17:CNG17"/>
    <mergeCell ref="CNI17:CNJ17"/>
    <mergeCell ref="CNN17:CNP17"/>
    <mergeCell ref="CNQ17:CNS17"/>
    <mergeCell ref="CNU17:CNV17"/>
    <mergeCell ref="CMD17:CMF17"/>
    <mergeCell ref="CMG17:CMI17"/>
    <mergeCell ref="CMK17:CML17"/>
    <mergeCell ref="CMP17:CMR17"/>
    <mergeCell ref="CMS17:CMU17"/>
    <mergeCell ref="CMW17:CMX17"/>
    <mergeCell ref="CLF17:CLH17"/>
    <mergeCell ref="CLI17:CLK17"/>
    <mergeCell ref="CLM17:CLN17"/>
    <mergeCell ref="CLR17:CLT17"/>
    <mergeCell ref="CLU17:CLW17"/>
    <mergeCell ref="CLY17:CLZ17"/>
    <mergeCell ref="CKH17:CKJ17"/>
    <mergeCell ref="CKK17:CKM17"/>
    <mergeCell ref="CKO17:CKP17"/>
    <mergeCell ref="CKT17:CKV17"/>
    <mergeCell ref="CKW17:CKY17"/>
    <mergeCell ref="CLA17:CLB17"/>
    <mergeCell ref="CJJ17:CJL17"/>
    <mergeCell ref="CJM17:CJO17"/>
    <mergeCell ref="CJQ17:CJR17"/>
    <mergeCell ref="CJV17:CJX17"/>
    <mergeCell ref="CJY17:CKA17"/>
    <mergeCell ref="CKC17:CKD17"/>
    <mergeCell ref="CIL17:CIN17"/>
    <mergeCell ref="CIO17:CIQ17"/>
    <mergeCell ref="CIS17:CIT17"/>
    <mergeCell ref="CIX17:CIZ17"/>
    <mergeCell ref="CJA17:CJC17"/>
    <mergeCell ref="CJE17:CJF17"/>
    <mergeCell ref="CHN17:CHP17"/>
    <mergeCell ref="CHQ17:CHS17"/>
    <mergeCell ref="CHU17:CHV17"/>
    <mergeCell ref="CHZ17:CIB17"/>
    <mergeCell ref="CIC17:CIE17"/>
    <mergeCell ref="CIG17:CIH17"/>
    <mergeCell ref="CGP17:CGR17"/>
    <mergeCell ref="CGS17:CGU17"/>
    <mergeCell ref="CGW17:CGX17"/>
    <mergeCell ref="CHB17:CHD17"/>
    <mergeCell ref="CHE17:CHG17"/>
    <mergeCell ref="CHI17:CHJ17"/>
    <mergeCell ref="CFR17:CFT17"/>
    <mergeCell ref="CFU17:CFW17"/>
    <mergeCell ref="CFY17:CFZ17"/>
    <mergeCell ref="CGD17:CGF17"/>
    <mergeCell ref="CGG17:CGI17"/>
    <mergeCell ref="CGK17:CGL17"/>
    <mergeCell ref="CET17:CEV17"/>
    <mergeCell ref="CEW17:CEY17"/>
    <mergeCell ref="CFA17:CFB17"/>
    <mergeCell ref="CFF17:CFH17"/>
    <mergeCell ref="CFI17:CFK17"/>
    <mergeCell ref="CFM17:CFN17"/>
    <mergeCell ref="CDV17:CDX17"/>
    <mergeCell ref="CDY17:CEA17"/>
    <mergeCell ref="CEC17:CED17"/>
    <mergeCell ref="CEH17:CEJ17"/>
    <mergeCell ref="CEK17:CEM17"/>
    <mergeCell ref="CEO17:CEP17"/>
    <mergeCell ref="CCX17:CCZ17"/>
    <mergeCell ref="CDA17:CDC17"/>
    <mergeCell ref="CDE17:CDF17"/>
    <mergeCell ref="CDJ17:CDL17"/>
    <mergeCell ref="CDM17:CDO17"/>
    <mergeCell ref="CDQ17:CDR17"/>
    <mergeCell ref="CBZ17:CCB17"/>
    <mergeCell ref="CCC17:CCE17"/>
    <mergeCell ref="CCG17:CCH17"/>
    <mergeCell ref="CCL17:CCN17"/>
    <mergeCell ref="CCO17:CCQ17"/>
    <mergeCell ref="CCS17:CCT17"/>
    <mergeCell ref="CBB17:CBD17"/>
    <mergeCell ref="CBE17:CBG17"/>
    <mergeCell ref="CBI17:CBJ17"/>
    <mergeCell ref="CBN17:CBP17"/>
    <mergeCell ref="CBQ17:CBS17"/>
    <mergeCell ref="CBU17:CBV17"/>
    <mergeCell ref="CAD17:CAF17"/>
    <mergeCell ref="CAG17:CAI17"/>
    <mergeCell ref="CAK17:CAL17"/>
    <mergeCell ref="CAP17:CAR17"/>
    <mergeCell ref="CAS17:CAU17"/>
    <mergeCell ref="CAW17:CAX17"/>
    <mergeCell ref="BZF17:BZH17"/>
    <mergeCell ref="BZI17:BZK17"/>
    <mergeCell ref="BZM17:BZN17"/>
    <mergeCell ref="BZR17:BZT17"/>
    <mergeCell ref="BZU17:BZW17"/>
    <mergeCell ref="BZY17:BZZ17"/>
    <mergeCell ref="BYH17:BYJ17"/>
    <mergeCell ref="BYK17:BYM17"/>
    <mergeCell ref="BYO17:BYP17"/>
    <mergeCell ref="BYT17:BYV17"/>
    <mergeCell ref="BYW17:BYY17"/>
    <mergeCell ref="BZA17:BZB17"/>
    <mergeCell ref="BXJ17:BXL17"/>
    <mergeCell ref="BXM17:BXO17"/>
    <mergeCell ref="BXQ17:BXR17"/>
    <mergeCell ref="BXV17:BXX17"/>
    <mergeCell ref="BXY17:BYA17"/>
    <mergeCell ref="BYC17:BYD17"/>
    <mergeCell ref="BWL17:BWN17"/>
    <mergeCell ref="BWO17:BWQ17"/>
    <mergeCell ref="BWS17:BWT17"/>
    <mergeCell ref="BWX17:BWZ17"/>
    <mergeCell ref="BXA17:BXC17"/>
    <mergeCell ref="BXE17:BXF17"/>
    <mergeCell ref="BVN17:BVP17"/>
    <mergeCell ref="BVQ17:BVS17"/>
    <mergeCell ref="BVU17:BVV17"/>
    <mergeCell ref="BVZ17:BWB17"/>
    <mergeCell ref="BWC17:BWE17"/>
    <mergeCell ref="BWG17:BWH17"/>
    <mergeCell ref="BUP17:BUR17"/>
    <mergeCell ref="BUS17:BUU17"/>
    <mergeCell ref="BUW17:BUX17"/>
    <mergeCell ref="BVB17:BVD17"/>
    <mergeCell ref="BVE17:BVG17"/>
    <mergeCell ref="BVI17:BVJ17"/>
    <mergeCell ref="BTR17:BTT17"/>
    <mergeCell ref="BTU17:BTW17"/>
    <mergeCell ref="BTY17:BTZ17"/>
    <mergeCell ref="BUD17:BUF17"/>
    <mergeCell ref="BUG17:BUI17"/>
    <mergeCell ref="BUK17:BUL17"/>
    <mergeCell ref="BST17:BSV17"/>
    <mergeCell ref="BSW17:BSY17"/>
    <mergeCell ref="BTA17:BTB17"/>
    <mergeCell ref="BTF17:BTH17"/>
    <mergeCell ref="BTI17:BTK17"/>
    <mergeCell ref="BTM17:BTN17"/>
    <mergeCell ref="BRV17:BRX17"/>
    <mergeCell ref="BRY17:BSA17"/>
    <mergeCell ref="BSC17:BSD17"/>
    <mergeCell ref="BSH17:BSJ17"/>
    <mergeCell ref="BSK17:BSM17"/>
    <mergeCell ref="BSO17:BSP17"/>
    <mergeCell ref="BQX17:BQZ17"/>
    <mergeCell ref="BRA17:BRC17"/>
    <mergeCell ref="BRE17:BRF17"/>
    <mergeCell ref="BRJ17:BRL17"/>
    <mergeCell ref="BRM17:BRO17"/>
    <mergeCell ref="BRQ17:BRR17"/>
    <mergeCell ref="BPZ17:BQB17"/>
    <mergeCell ref="BQC17:BQE17"/>
    <mergeCell ref="BQG17:BQH17"/>
    <mergeCell ref="BQL17:BQN17"/>
    <mergeCell ref="BQO17:BQQ17"/>
    <mergeCell ref="BQS17:BQT17"/>
    <mergeCell ref="BPB17:BPD17"/>
    <mergeCell ref="BPE17:BPG17"/>
    <mergeCell ref="BPI17:BPJ17"/>
    <mergeCell ref="BPN17:BPP17"/>
    <mergeCell ref="BPQ17:BPS17"/>
    <mergeCell ref="BPU17:BPV17"/>
    <mergeCell ref="BOD17:BOF17"/>
    <mergeCell ref="BOG17:BOI17"/>
    <mergeCell ref="BOK17:BOL17"/>
    <mergeCell ref="BOP17:BOR17"/>
    <mergeCell ref="BOS17:BOU17"/>
    <mergeCell ref="BOW17:BOX17"/>
    <mergeCell ref="BNF17:BNH17"/>
    <mergeCell ref="BNI17:BNK17"/>
    <mergeCell ref="BNM17:BNN17"/>
    <mergeCell ref="BNR17:BNT17"/>
    <mergeCell ref="BNU17:BNW17"/>
    <mergeCell ref="BNY17:BNZ17"/>
    <mergeCell ref="BMH17:BMJ17"/>
    <mergeCell ref="BMK17:BMM17"/>
    <mergeCell ref="BMO17:BMP17"/>
    <mergeCell ref="BMT17:BMV17"/>
    <mergeCell ref="BMW17:BMY17"/>
    <mergeCell ref="BNA17:BNB17"/>
    <mergeCell ref="BLJ17:BLL17"/>
    <mergeCell ref="BLM17:BLO17"/>
    <mergeCell ref="BLQ17:BLR17"/>
    <mergeCell ref="BLV17:BLX17"/>
    <mergeCell ref="BLY17:BMA17"/>
    <mergeCell ref="BMC17:BMD17"/>
    <mergeCell ref="BKL17:BKN17"/>
    <mergeCell ref="BKO17:BKQ17"/>
    <mergeCell ref="BKS17:BKT17"/>
    <mergeCell ref="BKX17:BKZ17"/>
    <mergeCell ref="BLA17:BLC17"/>
    <mergeCell ref="BLE17:BLF17"/>
    <mergeCell ref="BJN17:BJP17"/>
    <mergeCell ref="BJQ17:BJS17"/>
    <mergeCell ref="BJU17:BJV17"/>
    <mergeCell ref="BJZ17:BKB17"/>
    <mergeCell ref="BKC17:BKE17"/>
    <mergeCell ref="BKG17:BKH17"/>
    <mergeCell ref="BIP17:BIR17"/>
    <mergeCell ref="BIS17:BIU17"/>
    <mergeCell ref="BIW17:BIX17"/>
    <mergeCell ref="BJB17:BJD17"/>
    <mergeCell ref="BJE17:BJG17"/>
    <mergeCell ref="BJI17:BJJ17"/>
    <mergeCell ref="BHR17:BHT17"/>
    <mergeCell ref="BHU17:BHW17"/>
    <mergeCell ref="BHY17:BHZ17"/>
    <mergeCell ref="BID17:BIF17"/>
    <mergeCell ref="BIG17:BII17"/>
    <mergeCell ref="BIK17:BIL17"/>
    <mergeCell ref="BGT17:BGV17"/>
    <mergeCell ref="BGW17:BGY17"/>
    <mergeCell ref="BHA17:BHB17"/>
    <mergeCell ref="BHF17:BHH17"/>
    <mergeCell ref="BHI17:BHK17"/>
    <mergeCell ref="BHM17:BHN17"/>
    <mergeCell ref="BFV17:BFX17"/>
    <mergeCell ref="BFY17:BGA17"/>
    <mergeCell ref="BGC17:BGD17"/>
    <mergeCell ref="BGH17:BGJ17"/>
    <mergeCell ref="BGK17:BGM17"/>
    <mergeCell ref="BGO17:BGP17"/>
    <mergeCell ref="BEX17:BEZ17"/>
    <mergeCell ref="BFA17:BFC17"/>
    <mergeCell ref="BFE17:BFF17"/>
    <mergeCell ref="BFJ17:BFL17"/>
    <mergeCell ref="BFM17:BFO17"/>
    <mergeCell ref="BFQ17:BFR17"/>
    <mergeCell ref="BDZ17:BEB17"/>
    <mergeCell ref="BEC17:BEE17"/>
    <mergeCell ref="BEG17:BEH17"/>
    <mergeCell ref="BEL17:BEN17"/>
    <mergeCell ref="BEO17:BEQ17"/>
    <mergeCell ref="BES17:BET17"/>
    <mergeCell ref="BDB17:BDD17"/>
    <mergeCell ref="BDE17:BDG17"/>
    <mergeCell ref="BDI17:BDJ17"/>
    <mergeCell ref="BDN17:BDP17"/>
    <mergeCell ref="BDQ17:BDS17"/>
    <mergeCell ref="BDU17:BDV17"/>
    <mergeCell ref="BCD17:BCF17"/>
    <mergeCell ref="BCG17:BCI17"/>
    <mergeCell ref="BCK17:BCL17"/>
    <mergeCell ref="BCP17:BCR17"/>
    <mergeCell ref="BCS17:BCU17"/>
    <mergeCell ref="BCW17:BCX17"/>
    <mergeCell ref="BBF17:BBH17"/>
    <mergeCell ref="BBI17:BBK17"/>
    <mergeCell ref="BBM17:BBN17"/>
    <mergeCell ref="BBR17:BBT17"/>
    <mergeCell ref="BBU17:BBW17"/>
    <mergeCell ref="BBY17:BBZ17"/>
    <mergeCell ref="BAH17:BAJ17"/>
    <mergeCell ref="BAK17:BAM17"/>
    <mergeCell ref="BAO17:BAP17"/>
    <mergeCell ref="BAT17:BAV17"/>
    <mergeCell ref="BAW17:BAY17"/>
    <mergeCell ref="BBA17:BBB17"/>
    <mergeCell ref="AZJ17:AZL17"/>
    <mergeCell ref="AZM17:AZO17"/>
    <mergeCell ref="AZQ17:AZR17"/>
    <mergeCell ref="AZV17:AZX17"/>
    <mergeCell ref="AZY17:BAA17"/>
    <mergeCell ref="BAC17:BAD17"/>
    <mergeCell ref="AYL17:AYN17"/>
    <mergeCell ref="AYO17:AYQ17"/>
    <mergeCell ref="AYS17:AYT17"/>
    <mergeCell ref="AYX17:AYZ17"/>
    <mergeCell ref="AZA17:AZC17"/>
    <mergeCell ref="AZE17:AZF17"/>
    <mergeCell ref="AXN17:AXP17"/>
    <mergeCell ref="AXQ17:AXS17"/>
    <mergeCell ref="AXU17:AXV17"/>
    <mergeCell ref="AXZ17:AYB17"/>
    <mergeCell ref="AYC17:AYE17"/>
    <mergeCell ref="AYG17:AYH17"/>
    <mergeCell ref="AWP17:AWR17"/>
    <mergeCell ref="AWS17:AWU17"/>
    <mergeCell ref="AWW17:AWX17"/>
    <mergeCell ref="AXB17:AXD17"/>
    <mergeCell ref="AXE17:AXG17"/>
    <mergeCell ref="AXI17:AXJ17"/>
    <mergeCell ref="AVR17:AVT17"/>
    <mergeCell ref="AVU17:AVW17"/>
    <mergeCell ref="AVY17:AVZ17"/>
    <mergeCell ref="AWD17:AWF17"/>
    <mergeCell ref="AWG17:AWI17"/>
    <mergeCell ref="AWK17:AWL17"/>
    <mergeCell ref="AUT17:AUV17"/>
    <mergeCell ref="AUW17:AUY17"/>
    <mergeCell ref="AVA17:AVB17"/>
    <mergeCell ref="AVF17:AVH17"/>
    <mergeCell ref="AVI17:AVK17"/>
    <mergeCell ref="AVM17:AVN17"/>
    <mergeCell ref="ATV17:ATX17"/>
    <mergeCell ref="ATY17:AUA17"/>
    <mergeCell ref="AUC17:AUD17"/>
    <mergeCell ref="AUH17:AUJ17"/>
    <mergeCell ref="AUK17:AUM17"/>
    <mergeCell ref="AUO17:AUP17"/>
    <mergeCell ref="ASX17:ASZ17"/>
    <mergeCell ref="ATA17:ATC17"/>
    <mergeCell ref="ATE17:ATF17"/>
    <mergeCell ref="ATJ17:ATL17"/>
    <mergeCell ref="ATM17:ATO17"/>
    <mergeCell ref="ATQ17:ATR17"/>
    <mergeCell ref="ARZ17:ASB17"/>
    <mergeCell ref="ASC17:ASE17"/>
    <mergeCell ref="ASG17:ASH17"/>
    <mergeCell ref="ASL17:ASN17"/>
    <mergeCell ref="ASO17:ASQ17"/>
    <mergeCell ref="ASS17:AST17"/>
    <mergeCell ref="ARB17:ARD17"/>
    <mergeCell ref="ARE17:ARG17"/>
    <mergeCell ref="ARI17:ARJ17"/>
    <mergeCell ref="ARN17:ARP17"/>
    <mergeCell ref="ARQ17:ARS17"/>
    <mergeCell ref="ARU17:ARV17"/>
    <mergeCell ref="AQD17:AQF17"/>
    <mergeCell ref="AQG17:AQI17"/>
    <mergeCell ref="AQK17:AQL17"/>
    <mergeCell ref="AQP17:AQR17"/>
    <mergeCell ref="AQS17:AQU17"/>
    <mergeCell ref="AQW17:AQX17"/>
    <mergeCell ref="APF17:APH17"/>
    <mergeCell ref="API17:APK17"/>
    <mergeCell ref="APM17:APN17"/>
    <mergeCell ref="APR17:APT17"/>
    <mergeCell ref="APU17:APW17"/>
    <mergeCell ref="APY17:APZ17"/>
    <mergeCell ref="AOH17:AOJ17"/>
    <mergeCell ref="AOK17:AOM17"/>
    <mergeCell ref="AOO17:AOP17"/>
    <mergeCell ref="AOT17:AOV17"/>
    <mergeCell ref="AOW17:AOY17"/>
    <mergeCell ref="APA17:APB17"/>
    <mergeCell ref="ANJ17:ANL17"/>
    <mergeCell ref="ANM17:ANO17"/>
    <mergeCell ref="ANQ17:ANR17"/>
    <mergeCell ref="ANV17:ANX17"/>
    <mergeCell ref="ANY17:AOA17"/>
    <mergeCell ref="AOC17:AOD17"/>
    <mergeCell ref="AML17:AMN17"/>
    <mergeCell ref="AMO17:AMQ17"/>
    <mergeCell ref="AMS17:AMT17"/>
    <mergeCell ref="AMX17:AMZ17"/>
    <mergeCell ref="ANA17:ANC17"/>
    <mergeCell ref="ANE17:ANF17"/>
    <mergeCell ref="ALN17:ALP17"/>
    <mergeCell ref="ALQ17:ALS17"/>
    <mergeCell ref="ALU17:ALV17"/>
    <mergeCell ref="ALZ17:AMB17"/>
    <mergeCell ref="AMC17:AME17"/>
    <mergeCell ref="AMG17:AMH17"/>
    <mergeCell ref="AKP17:AKR17"/>
    <mergeCell ref="AKS17:AKU17"/>
    <mergeCell ref="AKW17:AKX17"/>
    <mergeCell ref="ALB17:ALD17"/>
    <mergeCell ref="ALE17:ALG17"/>
    <mergeCell ref="ALI17:ALJ17"/>
    <mergeCell ref="AJR17:AJT17"/>
    <mergeCell ref="AJU17:AJW17"/>
    <mergeCell ref="AJY17:AJZ17"/>
    <mergeCell ref="AKD17:AKF17"/>
    <mergeCell ref="AKG17:AKI17"/>
    <mergeCell ref="AKK17:AKL17"/>
    <mergeCell ref="AIT17:AIV17"/>
    <mergeCell ref="AIW17:AIY17"/>
    <mergeCell ref="AJA17:AJB17"/>
    <mergeCell ref="AJF17:AJH17"/>
    <mergeCell ref="AJI17:AJK17"/>
    <mergeCell ref="AJM17:AJN17"/>
    <mergeCell ref="AHV17:AHX17"/>
    <mergeCell ref="AHY17:AIA17"/>
    <mergeCell ref="AIC17:AID17"/>
    <mergeCell ref="AIH17:AIJ17"/>
    <mergeCell ref="AIK17:AIM17"/>
    <mergeCell ref="AIO17:AIP17"/>
    <mergeCell ref="AGX17:AGZ17"/>
    <mergeCell ref="AHA17:AHC17"/>
    <mergeCell ref="AHE17:AHF17"/>
    <mergeCell ref="AHJ17:AHL17"/>
    <mergeCell ref="AHM17:AHO17"/>
    <mergeCell ref="AHQ17:AHR17"/>
    <mergeCell ref="AFZ17:AGB17"/>
    <mergeCell ref="AGC17:AGE17"/>
    <mergeCell ref="AGG17:AGH17"/>
    <mergeCell ref="AGL17:AGN17"/>
    <mergeCell ref="AGO17:AGQ17"/>
    <mergeCell ref="AGS17:AGT17"/>
    <mergeCell ref="AEZ17:AFB17"/>
    <mergeCell ref="AFC17:AFE17"/>
    <mergeCell ref="AFG17:AFH17"/>
    <mergeCell ref="AFM17:AFO17"/>
    <mergeCell ref="AFP17:AFR17"/>
    <mergeCell ref="AFT17:AFU17"/>
    <mergeCell ref="ADZ17:AEB17"/>
    <mergeCell ref="AEC17:AEE17"/>
    <mergeCell ref="AEG17:AEH17"/>
    <mergeCell ref="AEM17:AEO17"/>
    <mergeCell ref="AEP17:AER17"/>
    <mergeCell ref="AET17:AEU17"/>
    <mergeCell ref="ACZ17:ADB17"/>
    <mergeCell ref="ADC17:ADE17"/>
    <mergeCell ref="ADG17:ADH17"/>
    <mergeCell ref="ADM17:ADO17"/>
    <mergeCell ref="ADP17:ADR17"/>
    <mergeCell ref="ADT17:ADU17"/>
    <mergeCell ref="ABZ17:ACB17"/>
    <mergeCell ref="ACC17:ACE17"/>
    <mergeCell ref="ACG17:ACH17"/>
    <mergeCell ref="ACM17:ACO17"/>
    <mergeCell ref="ACP17:ACR17"/>
    <mergeCell ref="ACT17:ACU17"/>
    <mergeCell ref="AAZ17:ABB17"/>
    <mergeCell ref="ABC17:ABE17"/>
    <mergeCell ref="ABG17:ABH17"/>
    <mergeCell ref="ABM17:ABO17"/>
    <mergeCell ref="ABP17:ABR17"/>
    <mergeCell ref="ABT17:ABU17"/>
    <mergeCell ref="ZZ17:AAB17"/>
    <mergeCell ref="AAC17:AAE17"/>
    <mergeCell ref="AAG17:AAH17"/>
    <mergeCell ref="AAM17:AAO17"/>
    <mergeCell ref="AAP17:AAR17"/>
    <mergeCell ref="AAT17:AAU17"/>
    <mergeCell ref="YX17:YZ17"/>
    <mergeCell ref="ZD17:ZF17"/>
    <mergeCell ref="ZG17:ZH17"/>
    <mergeCell ref="ZL17:ZN17"/>
    <mergeCell ref="ZR17:ZT17"/>
    <mergeCell ref="ZU17:ZV17"/>
    <mergeCell ref="XV17:XX17"/>
    <mergeCell ref="YB17:YD17"/>
    <mergeCell ref="YE17:YF17"/>
    <mergeCell ref="YJ17:YL17"/>
    <mergeCell ref="YP17:YR17"/>
    <mergeCell ref="YS17:YT17"/>
    <mergeCell ref="WT17:WV17"/>
    <mergeCell ref="WZ17:XB17"/>
    <mergeCell ref="XC17:XD17"/>
    <mergeCell ref="XH17:XJ17"/>
    <mergeCell ref="XN17:XP17"/>
    <mergeCell ref="XQ17:XR17"/>
    <mergeCell ref="VR17:VT17"/>
    <mergeCell ref="VX17:VZ17"/>
    <mergeCell ref="WA17:WB17"/>
    <mergeCell ref="WF17:WH17"/>
    <mergeCell ref="WL17:WN17"/>
    <mergeCell ref="WO17:WP17"/>
    <mergeCell ref="UP17:UR17"/>
    <mergeCell ref="UV17:UX17"/>
    <mergeCell ref="UY17:UZ17"/>
    <mergeCell ref="VD17:VF17"/>
    <mergeCell ref="VJ17:VL17"/>
    <mergeCell ref="VM17:VN17"/>
    <mergeCell ref="TN17:TP17"/>
    <mergeCell ref="TT17:TV17"/>
    <mergeCell ref="TW17:TX17"/>
    <mergeCell ref="UB17:UD17"/>
    <mergeCell ref="UH17:UJ17"/>
    <mergeCell ref="UK17:UL17"/>
    <mergeCell ref="SL17:SN17"/>
    <mergeCell ref="SR17:ST17"/>
    <mergeCell ref="SU17:SV17"/>
    <mergeCell ref="SZ17:TB17"/>
    <mergeCell ref="TF17:TH17"/>
    <mergeCell ref="TI17:TJ17"/>
    <mergeCell ref="RJ17:RL17"/>
    <mergeCell ref="RP17:RR17"/>
    <mergeCell ref="RS17:RT17"/>
    <mergeCell ref="RX17:RZ17"/>
    <mergeCell ref="SD17:SF17"/>
    <mergeCell ref="SG17:SH17"/>
    <mergeCell ref="QH17:QJ17"/>
    <mergeCell ref="QN17:QP17"/>
    <mergeCell ref="QQ17:QR17"/>
    <mergeCell ref="QV17:QX17"/>
    <mergeCell ref="RB17:RD17"/>
    <mergeCell ref="RE17:RF17"/>
    <mergeCell ref="PF17:PH17"/>
    <mergeCell ref="PL17:PN17"/>
    <mergeCell ref="PO17:PP17"/>
    <mergeCell ref="PT17:PV17"/>
    <mergeCell ref="PZ17:QB17"/>
    <mergeCell ref="QC17:QD17"/>
    <mergeCell ref="OD17:OF17"/>
    <mergeCell ref="OJ17:OL17"/>
    <mergeCell ref="OM17:ON17"/>
    <mergeCell ref="OR17:OT17"/>
    <mergeCell ref="OX17:OZ17"/>
    <mergeCell ref="PA17:PB17"/>
    <mergeCell ref="NB17:ND17"/>
    <mergeCell ref="NH17:NJ17"/>
    <mergeCell ref="NK17:NL17"/>
    <mergeCell ref="NP17:NR17"/>
    <mergeCell ref="NV17:NX17"/>
    <mergeCell ref="NY17:NZ17"/>
    <mergeCell ref="LZ17:MB17"/>
    <mergeCell ref="MF17:MH17"/>
    <mergeCell ref="MI17:MJ17"/>
    <mergeCell ref="MN17:MP17"/>
    <mergeCell ref="MT17:MV17"/>
    <mergeCell ref="MW17:MX17"/>
    <mergeCell ref="KX17:KZ17"/>
    <mergeCell ref="LD17:LF17"/>
    <mergeCell ref="LG17:LH17"/>
    <mergeCell ref="LL17:LN17"/>
    <mergeCell ref="LR17:LT17"/>
    <mergeCell ref="LU17:LV17"/>
    <mergeCell ref="JV17:JX17"/>
    <mergeCell ref="KB17:KD17"/>
    <mergeCell ref="KE17:KF17"/>
    <mergeCell ref="KJ17:KL17"/>
    <mergeCell ref="KP17:KR17"/>
    <mergeCell ref="KS17:KT17"/>
    <mergeCell ref="IT17:IV17"/>
    <mergeCell ref="IZ17:JB17"/>
    <mergeCell ref="JC17:JD17"/>
    <mergeCell ref="JH17:JJ17"/>
    <mergeCell ref="JN17:JP17"/>
    <mergeCell ref="JQ17:JR17"/>
    <mergeCell ref="HR17:HT17"/>
    <mergeCell ref="HX17:HZ17"/>
    <mergeCell ref="IA17:IB17"/>
    <mergeCell ref="IF17:IH17"/>
    <mergeCell ref="IL17:IN17"/>
    <mergeCell ref="IO17:IP17"/>
    <mergeCell ref="GP17:GR17"/>
    <mergeCell ref="GV17:GX17"/>
    <mergeCell ref="GY17:GZ17"/>
    <mergeCell ref="HD17:HF17"/>
    <mergeCell ref="HJ17:HL17"/>
    <mergeCell ref="HM17:HN17"/>
    <mergeCell ref="FN17:FP17"/>
    <mergeCell ref="FT17:FV17"/>
    <mergeCell ref="FW17:FX17"/>
    <mergeCell ref="GB17:GD17"/>
    <mergeCell ref="GH17:GJ17"/>
    <mergeCell ref="GK17:GL17"/>
    <mergeCell ref="EL17:EN17"/>
    <mergeCell ref="ER17:ET17"/>
    <mergeCell ref="EU17:EV17"/>
    <mergeCell ref="EZ17:FB17"/>
    <mergeCell ref="FF17:FH17"/>
    <mergeCell ref="FI17:FJ17"/>
    <mergeCell ref="DJ17:DL17"/>
    <mergeCell ref="DP17:DR17"/>
    <mergeCell ref="DS17:DT17"/>
    <mergeCell ref="DX17:DZ17"/>
    <mergeCell ref="ED17:EF17"/>
    <mergeCell ref="EG17:EH17"/>
    <mergeCell ref="CH17:CJ17"/>
    <mergeCell ref="CN17:CP17"/>
    <mergeCell ref="CQ17:CR17"/>
    <mergeCell ref="CV17:CX17"/>
    <mergeCell ref="DB17:DD17"/>
    <mergeCell ref="DE17:DF17"/>
    <mergeCell ref="BF17:BH17"/>
    <mergeCell ref="BL17:BN17"/>
    <mergeCell ref="BO17:BP17"/>
    <mergeCell ref="BT17:BV17"/>
    <mergeCell ref="BZ17:CB17"/>
    <mergeCell ref="CC17:CD17"/>
    <mergeCell ref="AD17:AF17"/>
    <mergeCell ref="AJ17:AL17"/>
    <mergeCell ref="AM17:AN17"/>
    <mergeCell ref="AR17:AT17"/>
    <mergeCell ref="AX17:AZ17"/>
    <mergeCell ref="BA17:BB17"/>
    <mergeCell ref="B17:D17"/>
    <mergeCell ref="H17:J17"/>
    <mergeCell ref="K17:L17"/>
    <mergeCell ref="P17:R17"/>
    <mergeCell ref="V17:X17"/>
    <mergeCell ref="Y17:Z17"/>
    <mergeCell ref="CVJ16:CVL16"/>
    <mergeCell ref="CVM16:CVO16"/>
    <mergeCell ref="CVQ16:CVR16"/>
    <mergeCell ref="CVV16:CVX16"/>
    <mergeCell ref="CVY16:CWA16"/>
    <mergeCell ref="CWC16:CWD16"/>
    <mergeCell ref="CUL16:CUN16"/>
    <mergeCell ref="CUO16:CUQ16"/>
    <mergeCell ref="CUS16:CUT16"/>
    <mergeCell ref="CUX16:CUZ16"/>
    <mergeCell ref="CVA16:CVC16"/>
    <mergeCell ref="CVE16:CVF16"/>
    <mergeCell ref="CTN16:CTP16"/>
    <mergeCell ref="CTQ16:CTS16"/>
    <mergeCell ref="CTU16:CTV16"/>
    <mergeCell ref="CTZ16:CUB16"/>
    <mergeCell ref="CUC16:CUE16"/>
    <mergeCell ref="CUG16:CUH16"/>
    <mergeCell ref="CSP16:CSR16"/>
    <mergeCell ref="CSS16:CSU16"/>
    <mergeCell ref="CSW16:CSX16"/>
    <mergeCell ref="CTB16:CTD16"/>
    <mergeCell ref="CTE16:CTG16"/>
    <mergeCell ref="CTI16:CTJ16"/>
    <mergeCell ref="CRR16:CRT16"/>
    <mergeCell ref="CRU16:CRW16"/>
    <mergeCell ref="CRY16:CRZ16"/>
    <mergeCell ref="CSD16:CSF16"/>
    <mergeCell ref="CSG16:CSI16"/>
    <mergeCell ref="CSK16:CSL16"/>
    <mergeCell ref="CQT16:CQV16"/>
    <mergeCell ref="CQW16:CQY16"/>
    <mergeCell ref="CRA16:CRB16"/>
    <mergeCell ref="CRF16:CRH16"/>
    <mergeCell ref="CRI16:CRK16"/>
    <mergeCell ref="CRM16:CRN16"/>
    <mergeCell ref="CPV16:CPX16"/>
    <mergeCell ref="CPY16:CQA16"/>
    <mergeCell ref="CQC16:CQD16"/>
    <mergeCell ref="CQH16:CQJ16"/>
    <mergeCell ref="CQK16:CQM16"/>
    <mergeCell ref="CQO16:CQP16"/>
    <mergeCell ref="COX16:COZ16"/>
    <mergeCell ref="CPA16:CPC16"/>
    <mergeCell ref="CPE16:CPF16"/>
    <mergeCell ref="CPJ16:CPL16"/>
    <mergeCell ref="CPM16:CPO16"/>
    <mergeCell ref="CPQ16:CPR16"/>
    <mergeCell ref="CNZ16:COB16"/>
    <mergeCell ref="COC16:COE16"/>
    <mergeCell ref="COG16:COH16"/>
    <mergeCell ref="COL16:CON16"/>
    <mergeCell ref="COO16:COQ16"/>
    <mergeCell ref="COS16:COT16"/>
    <mergeCell ref="CNB16:CND16"/>
    <mergeCell ref="CNE16:CNG16"/>
    <mergeCell ref="CNI16:CNJ16"/>
    <mergeCell ref="CNN16:CNP16"/>
    <mergeCell ref="CNQ16:CNS16"/>
    <mergeCell ref="CNU16:CNV16"/>
    <mergeCell ref="CMD16:CMF16"/>
    <mergeCell ref="CMG16:CMI16"/>
    <mergeCell ref="CMK16:CML16"/>
    <mergeCell ref="CMP16:CMR16"/>
    <mergeCell ref="CMS16:CMU16"/>
    <mergeCell ref="CMW16:CMX16"/>
    <mergeCell ref="CLF16:CLH16"/>
    <mergeCell ref="CLI16:CLK16"/>
    <mergeCell ref="CLM16:CLN16"/>
    <mergeCell ref="CLR16:CLT16"/>
    <mergeCell ref="CLU16:CLW16"/>
    <mergeCell ref="CLY16:CLZ16"/>
    <mergeCell ref="CKH16:CKJ16"/>
    <mergeCell ref="CKK16:CKM16"/>
    <mergeCell ref="CKO16:CKP16"/>
    <mergeCell ref="CKT16:CKV16"/>
    <mergeCell ref="CKW16:CKY16"/>
    <mergeCell ref="CLA16:CLB16"/>
    <mergeCell ref="CJJ16:CJL16"/>
    <mergeCell ref="CJM16:CJO16"/>
    <mergeCell ref="CJQ16:CJR16"/>
    <mergeCell ref="CJV16:CJX16"/>
    <mergeCell ref="CJY16:CKA16"/>
    <mergeCell ref="CKC16:CKD16"/>
    <mergeCell ref="CIL16:CIN16"/>
    <mergeCell ref="CIO16:CIQ16"/>
    <mergeCell ref="CIS16:CIT16"/>
    <mergeCell ref="CIX16:CIZ16"/>
    <mergeCell ref="CJA16:CJC16"/>
    <mergeCell ref="CJE16:CJF16"/>
    <mergeCell ref="CHN16:CHP16"/>
    <mergeCell ref="CHQ16:CHS16"/>
    <mergeCell ref="CHU16:CHV16"/>
    <mergeCell ref="CHZ16:CIB16"/>
    <mergeCell ref="CIC16:CIE16"/>
    <mergeCell ref="CIG16:CIH16"/>
    <mergeCell ref="CGP16:CGR16"/>
    <mergeCell ref="CGS16:CGU16"/>
    <mergeCell ref="CGW16:CGX16"/>
    <mergeCell ref="CHB16:CHD16"/>
    <mergeCell ref="CHE16:CHG16"/>
    <mergeCell ref="CHI16:CHJ16"/>
    <mergeCell ref="CFR16:CFT16"/>
    <mergeCell ref="CFU16:CFW16"/>
    <mergeCell ref="CFY16:CFZ16"/>
    <mergeCell ref="CGD16:CGF16"/>
    <mergeCell ref="CGG16:CGI16"/>
    <mergeCell ref="CGK16:CGL16"/>
    <mergeCell ref="CET16:CEV16"/>
    <mergeCell ref="CEW16:CEY16"/>
    <mergeCell ref="CFA16:CFB16"/>
    <mergeCell ref="CFF16:CFH16"/>
    <mergeCell ref="CFI16:CFK16"/>
    <mergeCell ref="CFM16:CFN16"/>
    <mergeCell ref="CDV16:CDX16"/>
    <mergeCell ref="CDY16:CEA16"/>
    <mergeCell ref="CEC16:CED16"/>
    <mergeCell ref="CEH16:CEJ16"/>
    <mergeCell ref="CEK16:CEM16"/>
    <mergeCell ref="CEO16:CEP16"/>
    <mergeCell ref="CCX16:CCZ16"/>
    <mergeCell ref="CDA16:CDC16"/>
    <mergeCell ref="CDE16:CDF16"/>
    <mergeCell ref="CDJ16:CDL16"/>
    <mergeCell ref="CDM16:CDO16"/>
    <mergeCell ref="CDQ16:CDR16"/>
    <mergeCell ref="CBZ16:CCB16"/>
    <mergeCell ref="CCC16:CCE16"/>
    <mergeCell ref="CCG16:CCH16"/>
    <mergeCell ref="CCL16:CCN16"/>
    <mergeCell ref="CCO16:CCQ16"/>
    <mergeCell ref="CCS16:CCT16"/>
    <mergeCell ref="CBB16:CBD16"/>
    <mergeCell ref="CBE16:CBG16"/>
    <mergeCell ref="CBI16:CBJ16"/>
    <mergeCell ref="CBN16:CBP16"/>
    <mergeCell ref="CBQ16:CBS16"/>
    <mergeCell ref="CBU16:CBV16"/>
    <mergeCell ref="CAD16:CAF16"/>
    <mergeCell ref="CAG16:CAI16"/>
    <mergeCell ref="CAK16:CAL16"/>
    <mergeCell ref="CAP16:CAR16"/>
    <mergeCell ref="CAS16:CAU16"/>
    <mergeCell ref="CAW16:CAX16"/>
    <mergeCell ref="BZF16:BZH16"/>
    <mergeCell ref="BZI16:BZK16"/>
    <mergeCell ref="BZM16:BZN16"/>
    <mergeCell ref="BZR16:BZT16"/>
    <mergeCell ref="BZU16:BZW16"/>
    <mergeCell ref="BZY16:BZZ16"/>
    <mergeCell ref="BYH16:BYJ16"/>
    <mergeCell ref="BYK16:BYM16"/>
    <mergeCell ref="BYO16:BYP16"/>
    <mergeCell ref="BYT16:BYV16"/>
    <mergeCell ref="BYW16:BYY16"/>
    <mergeCell ref="BZA16:BZB16"/>
    <mergeCell ref="BXJ16:BXL16"/>
    <mergeCell ref="BXM16:BXO16"/>
    <mergeCell ref="BXQ16:BXR16"/>
    <mergeCell ref="BXV16:BXX16"/>
    <mergeCell ref="BXY16:BYA16"/>
    <mergeCell ref="BYC16:BYD16"/>
    <mergeCell ref="BWL16:BWN16"/>
    <mergeCell ref="BWO16:BWQ16"/>
    <mergeCell ref="BWS16:BWT16"/>
    <mergeCell ref="BWX16:BWZ16"/>
    <mergeCell ref="BXA16:BXC16"/>
    <mergeCell ref="BXE16:BXF16"/>
    <mergeCell ref="BVN16:BVP16"/>
    <mergeCell ref="BVQ16:BVS16"/>
    <mergeCell ref="BVU16:BVV16"/>
    <mergeCell ref="BVZ16:BWB16"/>
    <mergeCell ref="BWC16:BWE16"/>
    <mergeCell ref="BWG16:BWH16"/>
    <mergeCell ref="BUP16:BUR16"/>
    <mergeCell ref="BUS16:BUU16"/>
    <mergeCell ref="BUW16:BUX16"/>
    <mergeCell ref="BVB16:BVD16"/>
    <mergeCell ref="BVE16:BVG16"/>
    <mergeCell ref="BVI16:BVJ16"/>
    <mergeCell ref="BTR16:BTT16"/>
    <mergeCell ref="BTU16:BTW16"/>
    <mergeCell ref="BTY16:BTZ16"/>
    <mergeCell ref="BUD16:BUF16"/>
    <mergeCell ref="BUG16:BUI16"/>
    <mergeCell ref="BUK16:BUL16"/>
    <mergeCell ref="BST16:BSV16"/>
    <mergeCell ref="BSW16:BSY16"/>
    <mergeCell ref="BTA16:BTB16"/>
    <mergeCell ref="BTF16:BTH16"/>
    <mergeCell ref="BTI16:BTK16"/>
    <mergeCell ref="BTM16:BTN16"/>
    <mergeCell ref="BRV16:BRX16"/>
    <mergeCell ref="BRY16:BSA16"/>
    <mergeCell ref="BSC16:BSD16"/>
    <mergeCell ref="BSH16:BSJ16"/>
    <mergeCell ref="BSK16:BSM16"/>
    <mergeCell ref="BSO16:BSP16"/>
    <mergeCell ref="BQX16:BQZ16"/>
    <mergeCell ref="BRA16:BRC16"/>
    <mergeCell ref="BRE16:BRF16"/>
    <mergeCell ref="BRJ16:BRL16"/>
    <mergeCell ref="BRM16:BRO16"/>
    <mergeCell ref="BRQ16:BRR16"/>
    <mergeCell ref="BPZ16:BQB16"/>
    <mergeCell ref="BQC16:BQE16"/>
    <mergeCell ref="BQG16:BQH16"/>
    <mergeCell ref="BQL16:BQN16"/>
    <mergeCell ref="BQO16:BQQ16"/>
    <mergeCell ref="BQS16:BQT16"/>
    <mergeCell ref="BPB16:BPD16"/>
    <mergeCell ref="BPE16:BPG16"/>
    <mergeCell ref="BPI16:BPJ16"/>
    <mergeCell ref="BPN16:BPP16"/>
    <mergeCell ref="BPQ16:BPS16"/>
    <mergeCell ref="BPU16:BPV16"/>
    <mergeCell ref="BOD16:BOF16"/>
    <mergeCell ref="BOG16:BOI16"/>
    <mergeCell ref="BOK16:BOL16"/>
    <mergeCell ref="BOP16:BOR16"/>
    <mergeCell ref="BOS16:BOU16"/>
    <mergeCell ref="BOW16:BOX16"/>
    <mergeCell ref="BNF16:BNH16"/>
    <mergeCell ref="BNI16:BNK16"/>
    <mergeCell ref="BNM16:BNN16"/>
    <mergeCell ref="BNR16:BNT16"/>
    <mergeCell ref="BNU16:BNW16"/>
    <mergeCell ref="BNY16:BNZ16"/>
    <mergeCell ref="BMH16:BMJ16"/>
    <mergeCell ref="BMK16:BMM16"/>
    <mergeCell ref="BMO16:BMP16"/>
    <mergeCell ref="BMT16:BMV16"/>
    <mergeCell ref="BMW16:BMY16"/>
    <mergeCell ref="BNA16:BNB16"/>
    <mergeCell ref="BLJ16:BLL16"/>
    <mergeCell ref="BLM16:BLO16"/>
    <mergeCell ref="BLQ16:BLR16"/>
    <mergeCell ref="BLV16:BLX16"/>
    <mergeCell ref="BLY16:BMA16"/>
    <mergeCell ref="BMC16:BMD16"/>
    <mergeCell ref="BKL16:BKN16"/>
    <mergeCell ref="BKO16:BKQ16"/>
    <mergeCell ref="BKS16:BKT16"/>
    <mergeCell ref="BKX16:BKZ16"/>
    <mergeCell ref="BLA16:BLC16"/>
    <mergeCell ref="BLE16:BLF16"/>
    <mergeCell ref="BJN16:BJP16"/>
    <mergeCell ref="BJQ16:BJS16"/>
    <mergeCell ref="BJU16:BJV16"/>
    <mergeCell ref="BJZ16:BKB16"/>
    <mergeCell ref="BKC16:BKE16"/>
    <mergeCell ref="BKG16:BKH16"/>
    <mergeCell ref="BIP16:BIR16"/>
    <mergeCell ref="BIS16:BIU16"/>
    <mergeCell ref="BIW16:BIX16"/>
    <mergeCell ref="BJB16:BJD16"/>
    <mergeCell ref="BJE16:BJG16"/>
    <mergeCell ref="BJI16:BJJ16"/>
    <mergeCell ref="BHR16:BHT16"/>
    <mergeCell ref="BHU16:BHW16"/>
    <mergeCell ref="BHY16:BHZ16"/>
    <mergeCell ref="BID16:BIF16"/>
    <mergeCell ref="BIG16:BII16"/>
    <mergeCell ref="BIK16:BIL16"/>
    <mergeCell ref="BGT16:BGV16"/>
    <mergeCell ref="BGW16:BGY16"/>
    <mergeCell ref="BHA16:BHB16"/>
    <mergeCell ref="BHF16:BHH16"/>
    <mergeCell ref="BHI16:BHK16"/>
    <mergeCell ref="BHM16:BHN16"/>
    <mergeCell ref="BFV16:BFX16"/>
    <mergeCell ref="BFY16:BGA16"/>
    <mergeCell ref="BGC16:BGD16"/>
    <mergeCell ref="BGH16:BGJ16"/>
    <mergeCell ref="BGK16:BGM16"/>
    <mergeCell ref="BGO16:BGP16"/>
    <mergeCell ref="BEX16:BEZ16"/>
    <mergeCell ref="BFA16:BFC16"/>
    <mergeCell ref="BFE16:BFF16"/>
    <mergeCell ref="BFJ16:BFL16"/>
    <mergeCell ref="BFM16:BFO16"/>
    <mergeCell ref="BFQ16:BFR16"/>
    <mergeCell ref="BDZ16:BEB16"/>
    <mergeCell ref="BEC16:BEE16"/>
    <mergeCell ref="BEG16:BEH16"/>
    <mergeCell ref="BEL16:BEN16"/>
    <mergeCell ref="BEO16:BEQ16"/>
    <mergeCell ref="BES16:BET16"/>
    <mergeCell ref="BDB16:BDD16"/>
    <mergeCell ref="BDE16:BDG16"/>
    <mergeCell ref="BDI16:BDJ16"/>
    <mergeCell ref="BDN16:BDP16"/>
    <mergeCell ref="BDQ16:BDS16"/>
    <mergeCell ref="BDU16:BDV16"/>
    <mergeCell ref="BCD16:BCF16"/>
    <mergeCell ref="BCG16:BCI16"/>
    <mergeCell ref="BCK16:BCL16"/>
    <mergeCell ref="BCP16:BCR16"/>
    <mergeCell ref="BCS16:BCU16"/>
    <mergeCell ref="BCW16:BCX16"/>
    <mergeCell ref="BBF16:BBH16"/>
    <mergeCell ref="BBI16:BBK16"/>
    <mergeCell ref="BBM16:BBN16"/>
    <mergeCell ref="BBR16:BBT16"/>
    <mergeCell ref="BBU16:BBW16"/>
    <mergeCell ref="BBY16:BBZ16"/>
    <mergeCell ref="BAH16:BAJ16"/>
    <mergeCell ref="BAK16:BAM16"/>
    <mergeCell ref="BAO16:BAP16"/>
    <mergeCell ref="BAT16:BAV16"/>
    <mergeCell ref="BAW16:BAY16"/>
    <mergeCell ref="BBA16:BBB16"/>
    <mergeCell ref="AZJ16:AZL16"/>
    <mergeCell ref="AZM16:AZO16"/>
    <mergeCell ref="AZQ16:AZR16"/>
    <mergeCell ref="AZV16:AZX16"/>
    <mergeCell ref="AZY16:BAA16"/>
    <mergeCell ref="BAC16:BAD16"/>
    <mergeCell ref="AYL16:AYN16"/>
    <mergeCell ref="AYO16:AYQ16"/>
    <mergeCell ref="AYS16:AYT16"/>
    <mergeCell ref="AYX16:AYZ16"/>
    <mergeCell ref="AZA16:AZC16"/>
    <mergeCell ref="AZE16:AZF16"/>
    <mergeCell ref="AXN16:AXP16"/>
    <mergeCell ref="AXQ16:AXS16"/>
    <mergeCell ref="AXU16:AXV16"/>
    <mergeCell ref="AXZ16:AYB16"/>
    <mergeCell ref="AYC16:AYE16"/>
    <mergeCell ref="AYG16:AYH16"/>
    <mergeCell ref="AWP16:AWR16"/>
    <mergeCell ref="AWS16:AWU16"/>
    <mergeCell ref="AWW16:AWX16"/>
    <mergeCell ref="AXB16:AXD16"/>
    <mergeCell ref="AXE16:AXG16"/>
    <mergeCell ref="AXI16:AXJ16"/>
    <mergeCell ref="AVR16:AVT16"/>
    <mergeCell ref="AVU16:AVW16"/>
    <mergeCell ref="AVY16:AVZ16"/>
    <mergeCell ref="AWD16:AWF16"/>
    <mergeCell ref="AWG16:AWI16"/>
    <mergeCell ref="AWK16:AWL16"/>
    <mergeCell ref="AUT16:AUV16"/>
    <mergeCell ref="AUW16:AUY16"/>
    <mergeCell ref="AVA16:AVB16"/>
    <mergeCell ref="AVF16:AVH16"/>
    <mergeCell ref="AVI16:AVK16"/>
    <mergeCell ref="AVM16:AVN16"/>
    <mergeCell ref="ATV16:ATX16"/>
    <mergeCell ref="ATY16:AUA16"/>
    <mergeCell ref="AUC16:AUD16"/>
    <mergeCell ref="AUH16:AUJ16"/>
    <mergeCell ref="AUK16:AUM16"/>
    <mergeCell ref="AUO16:AUP16"/>
    <mergeCell ref="ASX16:ASZ16"/>
    <mergeCell ref="ATA16:ATC16"/>
    <mergeCell ref="ATE16:ATF16"/>
    <mergeCell ref="ATJ16:ATL16"/>
    <mergeCell ref="ATM16:ATO16"/>
    <mergeCell ref="ATQ16:ATR16"/>
    <mergeCell ref="ARZ16:ASB16"/>
    <mergeCell ref="ASC16:ASE16"/>
    <mergeCell ref="ASG16:ASH16"/>
    <mergeCell ref="ASL16:ASN16"/>
    <mergeCell ref="ASO16:ASQ16"/>
    <mergeCell ref="ASS16:AST16"/>
    <mergeCell ref="ARB16:ARD16"/>
    <mergeCell ref="ARE16:ARG16"/>
    <mergeCell ref="ARI16:ARJ16"/>
    <mergeCell ref="ARN16:ARP16"/>
    <mergeCell ref="ARQ16:ARS16"/>
    <mergeCell ref="ARU16:ARV16"/>
    <mergeCell ref="AQD16:AQF16"/>
    <mergeCell ref="AQG16:AQI16"/>
    <mergeCell ref="AQK16:AQL16"/>
    <mergeCell ref="AQP16:AQR16"/>
    <mergeCell ref="AQS16:AQU16"/>
    <mergeCell ref="AQW16:AQX16"/>
    <mergeCell ref="APF16:APH16"/>
    <mergeCell ref="API16:APK16"/>
    <mergeCell ref="APM16:APN16"/>
    <mergeCell ref="APR16:APT16"/>
    <mergeCell ref="APU16:APW16"/>
    <mergeCell ref="APY16:APZ16"/>
    <mergeCell ref="AOH16:AOJ16"/>
    <mergeCell ref="AOK16:AOM16"/>
    <mergeCell ref="AOO16:AOP16"/>
    <mergeCell ref="AOT16:AOV16"/>
    <mergeCell ref="AOW16:AOY16"/>
    <mergeCell ref="APA16:APB16"/>
    <mergeCell ref="ANJ16:ANL16"/>
    <mergeCell ref="ANM16:ANO16"/>
    <mergeCell ref="ANQ16:ANR16"/>
    <mergeCell ref="ANV16:ANX16"/>
    <mergeCell ref="ANY16:AOA16"/>
    <mergeCell ref="AOC16:AOD16"/>
    <mergeCell ref="AML16:AMN16"/>
    <mergeCell ref="AMO16:AMQ16"/>
    <mergeCell ref="AMS16:AMT16"/>
    <mergeCell ref="AMX16:AMZ16"/>
    <mergeCell ref="ANA16:ANC16"/>
    <mergeCell ref="ANE16:ANF16"/>
    <mergeCell ref="ALN16:ALP16"/>
    <mergeCell ref="ALQ16:ALS16"/>
    <mergeCell ref="ALU16:ALV16"/>
    <mergeCell ref="ALZ16:AMB16"/>
    <mergeCell ref="AMC16:AME16"/>
    <mergeCell ref="AMG16:AMH16"/>
    <mergeCell ref="AKP16:AKR16"/>
    <mergeCell ref="AKS16:AKU16"/>
    <mergeCell ref="AKW16:AKX16"/>
    <mergeCell ref="ALB16:ALD16"/>
    <mergeCell ref="ALE16:ALG16"/>
    <mergeCell ref="ALI16:ALJ16"/>
    <mergeCell ref="AJR16:AJT16"/>
    <mergeCell ref="AJU16:AJW16"/>
    <mergeCell ref="AJY16:AJZ16"/>
    <mergeCell ref="AKD16:AKF16"/>
    <mergeCell ref="AKG16:AKI16"/>
    <mergeCell ref="AKK16:AKL16"/>
    <mergeCell ref="AIT16:AIV16"/>
    <mergeCell ref="AIW16:AIY16"/>
    <mergeCell ref="AJA16:AJB16"/>
    <mergeCell ref="AJF16:AJH16"/>
    <mergeCell ref="AJI16:AJK16"/>
    <mergeCell ref="AJM16:AJN16"/>
    <mergeCell ref="AHV16:AHX16"/>
    <mergeCell ref="AHY16:AIA16"/>
    <mergeCell ref="AIC16:AID16"/>
    <mergeCell ref="AIH16:AIJ16"/>
    <mergeCell ref="AIK16:AIM16"/>
    <mergeCell ref="AIO16:AIP16"/>
    <mergeCell ref="AGX16:AGZ16"/>
    <mergeCell ref="AHA16:AHC16"/>
    <mergeCell ref="AHE16:AHF16"/>
    <mergeCell ref="AHJ16:AHL16"/>
    <mergeCell ref="AHM16:AHO16"/>
    <mergeCell ref="AHQ16:AHR16"/>
    <mergeCell ref="AFZ16:AGB16"/>
    <mergeCell ref="AGC16:AGE16"/>
    <mergeCell ref="AGG16:AGH16"/>
    <mergeCell ref="AGL16:AGN16"/>
    <mergeCell ref="AGO16:AGQ16"/>
    <mergeCell ref="AGS16:AGT16"/>
    <mergeCell ref="AEZ16:AFB16"/>
    <mergeCell ref="AFC16:AFE16"/>
    <mergeCell ref="AFG16:AFH16"/>
    <mergeCell ref="AFM16:AFO16"/>
    <mergeCell ref="AFP16:AFR16"/>
    <mergeCell ref="AFT16:AFU16"/>
    <mergeCell ref="ADZ16:AEB16"/>
    <mergeCell ref="AEC16:AEE16"/>
    <mergeCell ref="AEG16:AEH16"/>
    <mergeCell ref="AEM16:AEO16"/>
    <mergeCell ref="AEP16:AER16"/>
    <mergeCell ref="AET16:AEU16"/>
    <mergeCell ref="ACZ16:ADB16"/>
    <mergeCell ref="ADC16:ADE16"/>
    <mergeCell ref="ADG16:ADH16"/>
    <mergeCell ref="ADM16:ADO16"/>
    <mergeCell ref="ADP16:ADR16"/>
    <mergeCell ref="ADT16:ADU16"/>
    <mergeCell ref="ABZ16:ACB16"/>
    <mergeCell ref="ACC16:ACE16"/>
    <mergeCell ref="ACG16:ACH16"/>
    <mergeCell ref="ACM16:ACO16"/>
    <mergeCell ref="ACP16:ACR16"/>
    <mergeCell ref="ACT16:ACU16"/>
    <mergeCell ref="AAZ16:ABB16"/>
    <mergeCell ref="ABC16:ABE16"/>
    <mergeCell ref="ABG16:ABH16"/>
    <mergeCell ref="ABM16:ABO16"/>
    <mergeCell ref="ABP16:ABR16"/>
    <mergeCell ref="ABT16:ABU16"/>
    <mergeCell ref="ZZ16:AAB16"/>
    <mergeCell ref="AAC16:AAE16"/>
    <mergeCell ref="AAG16:AAH16"/>
    <mergeCell ref="AAM16:AAO16"/>
    <mergeCell ref="AAP16:AAR16"/>
    <mergeCell ref="AAT16:AAU16"/>
    <mergeCell ref="YX16:YZ16"/>
    <mergeCell ref="ZD16:ZF16"/>
    <mergeCell ref="ZG16:ZH16"/>
    <mergeCell ref="ZL16:ZN16"/>
    <mergeCell ref="ZR16:ZT16"/>
    <mergeCell ref="ZU16:ZV16"/>
    <mergeCell ref="XV16:XX16"/>
    <mergeCell ref="YB16:YD16"/>
    <mergeCell ref="YE16:YF16"/>
    <mergeCell ref="YJ16:YL16"/>
    <mergeCell ref="YP16:YR16"/>
    <mergeCell ref="YS16:YT16"/>
    <mergeCell ref="WT16:WV16"/>
    <mergeCell ref="WZ16:XB16"/>
    <mergeCell ref="XC16:XD16"/>
    <mergeCell ref="XH16:XJ16"/>
    <mergeCell ref="XN16:XP16"/>
    <mergeCell ref="XQ16:XR16"/>
    <mergeCell ref="VR16:VT16"/>
    <mergeCell ref="VX16:VZ16"/>
    <mergeCell ref="WA16:WB16"/>
    <mergeCell ref="WF16:WH16"/>
    <mergeCell ref="WL16:WN16"/>
    <mergeCell ref="WO16:WP16"/>
    <mergeCell ref="UP16:UR16"/>
    <mergeCell ref="UV16:UX16"/>
    <mergeCell ref="UY16:UZ16"/>
    <mergeCell ref="VD16:VF16"/>
    <mergeCell ref="VJ16:VL16"/>
    <mergeCell ref="VM16:VN16"/>
    <mergeCell ref="TN16:TP16"/>
    <mergeCell ref="TT16:TV16"/>
    <mergeCell ref="TW16:TX16"/>
    <mergeCell ref="UB16:UD16"/>
    <mergeCell ref="UH16:UJ16"/>
    <mergeCell ref="UK16:UL16"/>
    <mergeCell ref="SL16:SN16"/>
    <mergeCell ref="SR16:ST16"/>
    <mergeCell ref="SU16:SV16"/>
    <mergeCell ref="SZ16:TB16"/>
    <mergeCell ref="TF16:TH16"/>
    <mergeCell ref="TI16:TJ16"/>
    <mergeCell ref="RJ16:RL16"/>
    <mergeCell ref="RP16:RR16"/>
    <mergeCell ref="RS16:RT16"/>
    <mergeCell ref="RX16:RZ16"/>
    <mergeCell ref="SD16:SF16"/>
    <mergeCell ref="SG16:SH16"/>
    <mergeCell ref="QH16:QJ16"/>
    <mergeCell ref="QN16:QP16"/>
    <mergeCell ref="QQ16:QR16"/>
    <mergeCell ref="QV16:QX16"/>
    <mergeCell ref="RB16:RD16"/>
    <mergeCell ref="RE16:RF16"/>
    <mergeCell ref="PF16:PH16"/>
    <mergeCell ref="PL16:PN16"/>
    <mergeCell ref="PO16:PP16"/>
    <mergeCell ref="PT16:PV16"/>
    <mergeCell ref="PZ16:QB16"/>
    <mergeCell ref="QC16:QD16"/>
    <mergeCell ref="OD16:OF16"/>
    <mergeCell ref="OJ16:OL16"/>
    <mergeCell ref="OM16:ON16"/>
    <mergeCell ref="OR16:OT16"/>
    <mergeCell ref="OX16:OZ16"/>
    <mergeCell ref="PA16:PB16"/>
    <mergeCell ref="NB16:ND16"/>
    <mergeCell ref="NH16:NJ16"/>
    <mergeCell ref="NK16:NL16"/>
    <mergeCell ref="NP16:NR16"/>
    <mergeCell ref="NV16:NX16"/>
    <mergeCell ref="NY16:NZ16"/>
    <mergeCell ref="LZ16:MB16"/>
    <mergeCell ref="MF16:MH16"/>
    <mergeCell ref="MI16:MJ16"/>
    <mergeCell ref="MN16:MP16"/>
    <mergeCell ref="MT16:MV16"/>
    <mergeCell ref="MW16:MX16"/>
    <mergeCell ref="KX16:KZ16"/>
    <mergeCell ref="LD16:LF16"/>
    <mergeCell ref="LG16:LH16"/>
    <mergeCell ref="LL16:LN16"/>
    <mergeCell ref="LR16:LT16"/>
    <mergeCell ref="LU16:LV16"/>
    <mergeCell ref="JV16:JX16"/>
    <mergeCell ref="KB16:KD16"/>
    <mergeCell ref="KE16:KF16"/>
    <mergeCell ref="KJ16:KL16"/>
    <mergeCell ref="KP16:KR16"/>
    <mergeCell ref="KS16:KT16"/>
    <mergeCell ref="IT16:IV16"/>
    <mergeCell ref="IZ16:JB16"/>
    <mergeCell ref="JC16:JD16"/>
    <mergeCell ref="JH16:JJ16"/>
    <mergeCell ref="JN16:JP16"/>
    <mergeCell ref="JQ16:JR16"/>
    <mergeCell ref="HR16:HT16"/>
    <mergeCell ref="HX16:HZ16"/>
    <mergeCell ref="IA16:IB16"/>
    <mergeCell ref="IF16:IH16"/>
    <mergeCell ref="IL16:IN16"/>
    <mergeCell ref="IO16:IP16"/>
    <mergeCell ref="GP16:GR16"/>
    <mergeCell ref="GV16:GX16"/>
    <mergeCell ref="GY16:GZ16"/>
    <mergeCell ref="HD16:HF16"/>
    <mergeCell ref="HJ16:HL16"/>
    <mergeCell ref="HM16:HN16"/>
    <mergeCell ref="FN16:FP16"/>
    <mergeCell ref="FT16:FV16"/>
    <mergeCell ref="FW16:FX16"/>
    <mergeCell ref="GB16:GD16"/>
    <mergeCell ref="GH16:GJ16"/>
    <mergeCell ref="GK16:GL16"/>
    <mergeCell ref="EL16:EN16"/>
    <mergeCell ref="ER16:ET16"/>
    <mergeCell ref="EU16:EV16"/>
    <mergeCell ref="EZ16:FB16"/>
    <mergeCell ref="FF16:FH16"/>
    <mergeCell ref="FI16:FJ16"/>
    <mergeCell ref="DJ16:DL16"/>
    <mergeCell ref="DP16:DR16"/>
    <mergeCell ref="DS16:DT16"/>
    <mergeCell ref="DX16:DZ16"/>
    <mergeCell ref="ED16:EF16"/>
    <mergeCell ref="EG16:EH16"/>
    <mergeCell ref="CH16:CJ16"/>
    <mergeCell ref="CN16:CP16"/>
    <mergeCell ref="CQ16:CR16"/>
    <mergeCell ref="CV16:CX16"/>
    <mergeCell ref="DB16:DD16"/>
    <mergeCell ref="DE16:DF16"/>
    <mergeCell ref="BF16:BH16"/>
    <mergeCell ref="BL16:BN16"/>
    <mergeCell ref="BO16:BP16"/>
    <mergeCell ref="BT16:BV16"/>
    <mergeCell ref="BZ16:CB16"/>
    <mergeCell ref="CC16:CD16"/>
    <mergeCell ref="AD16:AF16"/>
    <mergeCell ref="AJ16:AL16"/>
    <mergeCell ref="AM16:AN16"/>
    <mergeCell ref="AR16:AT16"/>
    <mergeCell ref="AX16:AZ16"/>
    <mergeCell ref="BA16:BB16"/>
    <mergeCell ref="CVQ15:CVR15"/>
    <mergeCell ref="CVV15:CVX15"/>
    <mergeCell ref="CVY15:CWA15"/>
    <mergeCell ref="CWC15:CWD15"/>
    <mergeCell ref="B16:D16"/>
    <mergeCell ref="H16:J16"/>
    <mergeCell ref="K16:L16"/>
    <mergeCell ref="P16:R16"/>
    <mergeCell ref="V16:X16"/>
    <mergeCell ref="Y16:Z16"/>
    <mergeCell ref="CUS15:CUT15"/>
    <mergeCell ref="CUX15:CUZ15"/>
    <mergeCell ref="CVA15:CVC15"/>
    <mergeCell ref="CVE15:CVF15"/>
    <mergeCell ref="CVJ15:CVL15"/>
    <mergeCell ref="CVM15:CVO15"/>
    <mergeCell ref="CTU15:CTV15"/>
    <mergeCell ref="CTZ15:CUB15"/>
    <mergeCell ref="CUC15:CUE15"/>
    <mergeCell ref="CUG15:CUH15"/>
    <mergeCell ref="CUL15:CUN15"/>
    <mergeCell ref="CUO15:CUQ15"/>
    <mergeCell ref="CSW15:CSX15"/>
    <mergeCell ref="CTB15:CTD15"/>
    <mergeCell ref="CTE15:CTG15"/>
    <mergeCell ref="CTI15:CTJ15"/>
    <mergeCell ref="CTN15:CTP15"/>
    <mergeCell ref="CTQ15:CTS15"/>
    <mergeCell ref="CRY15:CRZ15"/>
    <mergeCell ref="CSD15:CSF15"/>
    <mergeCell ref="CSG15:CSI15"/>
    <mergeCell ref="CSK15:CSL15"/>
    <mergeCell ref="CSP15:CSR15"/>
    <mergeCell ref="CSS15:CSU15"/>
    <mergeCell ref="CRA15:CRB15"/>
    <mergeCell ref="CRF15:CRH15"/>
    <mergeCell ref="CRI15:CRK15"/>
    <mergeCell ref="CRM15:CRN15"/>
    <mergeCell ref="CRR15:CRT15"/>
    <mergeCell ref="CRU15:CRW15"/>
    <mergeCell ref="CQC15:CQD15"/>
    <mergeCell ref="CQH15:CQJ15"/>
    <mergeCell ref="CQK15:CQM15"/>
    <mergeCell ref="CQO15:CQP15"/>
    <mergeCell ref="CQT15:CQV15"/>
    <mergeCell ref="CQW15:CQY15"/>
    <mergeCell ref="CPE15:CPF15"/>
    <mergeCell ref="CPJ15:CPL15"/>
    <mergeCell ref="CPM15:CPO15"/>
    <mergeCell ref="CPQ15:CPR15"/>
    <mergeCell ref="CPV15:CPX15"/>
    <mergeCell ref="CPY15:CQA15"/>
    <mergeCell ref="COG15:COH15"/>
    <mergeCell ref="COL15:CON15"/>
    <mergeCell ref="COO15:COQ15"/>
    <mergeCell ref="COS15:COT15"/>
    <mergeCell ref="COX15:COZ15"/>
    <mergeCell ref="CPA15:CPC15"/>
    <mergeCell ref="CNI15:CNJ15"/>
    <mergeCell ref="CNN15:CNP15"/>
    <mergeCell ref="CNQ15:CNS15"/>
    <mergeCell ref="CNU15:CNV15"/>
    <mergeCell ref="CNZ15:COB15"/>
    <mergeCell ref="COC15:COE15"/>
    <mergeCell ref="CMK15:CML15"/>
    <mergeCell ref="CMP15:CMR15"/>
    <mergeCell ref="CMS15:CMU15"/>
    <mergeCell ref="CMW15:CMX15"/>
    <mergeCell ref="CNB15:CND15"/>
    <mergeCell ref="CNE15:CNG15"/>
    <mergeCell ref="CLM15:CLN15"/>
    <mergeCell ref="CLR15:CLT15"/>
    <mergeCell ref="CLU15:CLW15"/>
    <mergeCell ref="CLY15:CLZ15"/>
    <mergeCell ref="CMD15:CMF15"/>
    <mergeCell ref="CMG15:CMI15"/>
    <mergeCell ref="CKO15:CKP15"/>
    <mergeCell ref="CKT15:CKV15"/>
    <mergeCell ref="CKW15:CKY15"/>
    <mergeCell ref="CLA15:CLB15"/>
    <mergeCell ref="CLF15:CLH15"/>
    <mergeCell ref="CLI15:CLK15"/>
    <mergeCell ref="CJQ15:CJR15"/>
    <mergeCell ref="CJV15:CJX15"/>
    <mergeCell ref="CJY15:CKA15"/>
    <mergeCell ref="CKC15:CKD15"/>
    <mergeCell ref="CKH15:CKJ15"/>
    <mergeCell ref="CKK15:CKM15"/>
    <mergeCell ref="CIS15:CIT15"/>
    <mergeCell ref="CIX15:CIZ15"/>
    <mergeCell ref="CJA15:CJC15"/>
    <mergeCell ref="CJE15:CJF15"/>
    <mergeCell ref="CJJ15:CJL15"/>
    <mergeCell ref="CJM15:CJO15"/>
    <mergeCell ref="CHU15:CHV15"/>
    <mergeCell ref="CHZ15:CIB15"/>
    <mergeCell ref="CIC15:CIE15"/>
    <mergeCell ref="CIG15:CIH15"/>
    <mergeCell ref="CIL15:CIN15"/>
    <mergeCell ref="CIO15:CIQ15"/>
    <mergeCell ref="CGW15:CGX15"/>
    <mergeCell ref="CHB15:CHD15"/>
    <mergeCell ref="CHE15:CHG15"/>
    <mergeCell ref="CHI15:CHJ15"/>
    <mergeCell ref="CHN15:CHP15"/>
    <mergeCell ref="CHQ15:CHS15"/>
    <mergeCell ref="CFY15:CFZ15"/>
    <mergeCell ref="CGD15:CGF15"/>
    <mergeCell ref="CGG15:CGI15"/>
    <mergeCell ref="CGK15:CGL15"/>
    <mergeCell ref="CGP15:CGR15"/>
    <mergeCell ref="CGS15:CGU15"/>
    <mergeCell ref="CFA15:CFB15"/>
    <mergeCell ref="CFF15:CFH15"/>
    <mergeCell ref="CFI15:CFK15"/>
    <mergeCell ref="CFM15:CFN15"/>
    <mergeCell ref="CFR15:CFT15"/>
    <mergeCell ref="CFU15:CFW15"/>
    <mergeCell ref="CEC15:CED15"/>
    <mergeCell ref="CEH15:CEJ15"/>
    <mergeCell ref="CEK15:CEM15"/>
    <mergeCell ref="CEO15:CEP15"/>
    <mergeCell ref="CET15:CEV15"/>
    <mergeCell ref="CEW15:CEY15"/>
    <mergeCell ref="CDE15:CDF15"/>
    <mergeCell ref="CDJ15:CDL15"/>
    <mergeCell ref="CDM15:CDO15"/>
    <mergeCell ref="CDQ15:CDR15"/>
    <mergeCell ref="CDV15:CDX15"/>
    <mergeCell ref="CDY15:CEA15"/>
    <mergeCell ref="CCG15:CCH15"/>
    <mergeCell ref="CCL15:CCN15"/>
    <mergeCell ref="CCO15:CCQ15"/>
    <mergeCell ref="CCS15:CCT15"/>
    <mergeCell ref="CCX15:CCZ15"/>
    <mergeCell ref="CDA15:CDC15"/>
    <mergeCell ref="CBI15:CBJ15"/>
    <mergeCell ref="CBN15:CBP15"/>
    <mergeCell ref="CBQ15:CBS15"/>
    <mergeCell ref="CBU15:CBV15"/>
    <mergeCell ref="CBZ15:CCB15"/>
    <mergeCell ref="CCC15:CCE15"/>
    <mergeCell ref="CAK15:CAL15"/>
    <mergeCell ref="CAP15:CAR15"/>
    <mergeCell ref="CAS15:CAU15"/>
    <mergeCell ref="CAW15:CAX15"/>
    <mergeCell ref="CBB15:CBD15"/>
    <mergeCell ref="CBE15:CBG15"/>
    <mergeCell ref="BZM15:BZN15"/>
    <mergeCell ref="BZR15:BZT15"/>
    <mergeCell ref="BZU15:BZW15"/>
    <mergeCell ref="BZY15:BZZ15"/>
    <mergeCell ref="CAD15:CAF15"/>
    <mergeCell ref="CAG15:CAI15"/>
    <mergeCell ref="BYO15:BYP15"/>
    <mergeCell ref="BYT15:BYV15"/>
    <mergeCell ref="BYW15:BYY15"/>
    <mergeCell ref="BZA15:BZB15"/>
    <mergeCell ref="BZF15:BZH15"/>
    <mergeCell ref="BZI15:BZK15"/>
    <mergeCell ref="BXQ15:BXR15"/>
    <mergeCell ref="BXV15:BXX15"/>
    <mergeCell ref="BXY15:BYA15"/>
    <mergeCell ref="BYC15:BYD15"/>
    <mergeCell ref="BYH15:BYJ15"/>
    <mergeCell ref="BYK15:BYM15"/>
    <mergeCell ref="BWS15:BWT15"/>
    <mergeCell ref="BWX15:BWZ15"/>
    <mergeCell ref="BXA15:BXC15"/>
    <mergeCell ref="BXE15:BXF15"/>
    <mergeCell ref="BXJ15:BXL15"/>
    <mergeCell ref="BXM15:BXO15"/>
    <mergeCell ref="BVU15:BVV15"/>
    <mergeCell ref="BVZ15:BWB15"/>
    <mergeCell ref="BWC15:BWE15"/>
    <mergeCell ref="BWG15:BWH15"/>
    <mergeCell ref="BWL15:BWN15"/>
    <mergeCell ref="BWO15:BWQ15"/>
    <mergeCell ref="BUW15:BUX15"/>
    <mergeCell ref="BVB15:BVD15"/>
    <mergeCell ref="BVE15:BVG15"/>
    <mergeCell ref="BVI15:BVJ15"/>
    <mergeCell ref="BVN15:BVP15"/>
    <mergeCell ref="BVQ15:BVS15"/>
    <mergeCell ref="BTY15:BTZ15"/>
    <mergeCell ref="BUD15:BUF15"/>
    <mergeCell ref="BUG15:BUI15"/>
    <mergeCell ref="BUK15:BUL15"/>
    <mergeCell ref="BUP15:BUR15"/>
    <mergeCell ref="BUS15:BUU15"/>
    <mergeCell ref="BTA15:BTB15"/>
    <mergeCell ref="BTF15:BTH15"/>
    <mergeCell ref="BTI15:BTK15"/>
    <mergeCell ref="BTM15:BTN15"/>
    <mergeCell ref="BTR15:BTT15"/>
    <mergeCell ref="BTU15:BTW15"/>
    <mergeCell ref="BSC15:BSD15"/>
    <mergeCell ref="BSH15:BSJ15"/>
    <mergeCell ref="BSK15:BSM15"/>
    <mergeCell ref="BSO15:BSP15"/>
    <mergeCell ref="BST15:BSV15"/>
    <mergeCell ref="BSW15:BSY15"/>
    <mergeCell ref="BRE15:BRF15"/>
    <mergeCell ref="BRJ15:BRL15"/>
    <mergeCell ref="BRM15:BRO15"/>
    <mergeCell ref="BRQ15:BRR15"/>
    <mergeCell ref="BRV15:BRX15"/>
    <mergeCell ref="BRY15:BSA15"/>
    <mergeCell ref="BQG15:BQH15"/>
    <mergeCell ref="BQL15:BQN15"/>
    <mergeCell ref="BQO15:BQQ15"/>
    <mergeCell ref="BQS15:BQT15"/>
    <mergeCell ref="BQX15:BQZ15"/>
    <mergeCell ref="BRA15:BRC15"/>
    <mergeCell ref="BPI15:BPJ15"/>
    <mergeCell ref="BPN15:BPP15"/>
    <mergeCell ref="BPQ15:BPS15"/>
    <mergeCell ref="BPU15:BPV15"/>
    <mergeCell ref="BPZ15:BQB15"/>
    <mergeCell ref="BQC15:BQE15"/>
    <mergeCell ref="BOK15:BOL15"/>
    <mergeCell ref="BOP15:BOR15"/>
    <mergeCell ref="BOS15:BOU15"/>
    <mergeCell ref="BOW15:BOX15"/>
    <mergeCell ref="BPB15:BPD15"/>
    <mergeCell ref="BPE15:BPG15"/>
    <mergeCell ref="BNM15:BNN15"/>
    <mergeCell ref="BNR15:BNT15"/>
    <mergeCell ref="BNU15:BNW15"/>
    <mergeCell ref="BNY15:BNZ15"/>
    <mergeCell ref="BOD15:BOF15"/>
    <mergeCell ref="BOG15:BOI15"/>
    <mergeCell ref="BMO15:BMP15"/>
    <mergeCell ref="BMT15:BMV15"/>
    <mergeCell ref="BMW15:BMY15"/>
    <mergeCell ref="BNA15:BNB15"/>
    <mergeCell ref="BNF15:BNH15"/>
    <mergeCell ref="BNI15:BNK15"/>
    <mergeCell ref="BLQ15:BLR15"/>
    <mergeCell ref="BLV15:BLX15"/>
    <mergeCell ref="BLY15:BMA15"/>
    <mergeCell ref="BMC15:BMD15"/>
    <mergeCell ref="BMH15:BMJ15"/>
    <mergeCell ref="BMK15:BMM15"/>
    <mergeCell ref="BKS15:BKT15"/>
    <mergeCell ref="BKX15:BKZ15"/>
    <mergeCell ref="BLA15:BLC15"/>
    <mergeCell ref="BLE15:BLF15"/>
    <mergeCell ref="BLJ15:BLL15"/>
    <mergeCell ref="BLM15:BLO15"/>
    <mergeCell ref="BJU15:BJV15"/>
    <mergeCell ref="BJZ15:BKB15"/>
    <mergeCell ref="BKC15:BKE15"/>
    <mergeCell ref="BKG15:BKH15"/>
    <mergeCell ref="BKL15:BKN15"/>
    <mergeCell ref="BKO15:BKQ15"/>
    <mergeCell ref="BIW15:BIX15"/>
    <mergeCell ref="BJB15:BJD15"/>
    <mergeCell ref="BJE15:BJG15"/>
    <mergeCell ref="BJI15:BJJ15"/>
    <mergeCell ref="BJN15:BJP15"/>
    <mergeCell ref="BJQ15:BJS15"/>
    <mergeCell ref="BHY15:BHZ15"/>
    <mergeCell ref="BID15:BIF15"/>
    <mergeCell ref="BIG15:BII15"/>
    <mergeCell ref="BIK15:BIL15"/>
    <mergeCell ref="BIP15:BIR15"/>
    <mergeCell ref="BIS15:BIU15"/>
    <mergeCell ref="BHA15:BHB15"/>
    <mergeCell ref="BHF15:BHH15"/>
    <mergeCell ref="BHI15:BHK15"/>
    <mergeCell ref="BHM15:BHN15"/>
    <mergeCell ref="BHR15:BHT15"/>
    <mergeCell ref="BHU15:BHW15"/>
    <mergeCell ref="BGC15:BGD15"/>
    <mergeCell ref="BGH15:BGJ15"/>
    <mergeCell ref="BGK15:BGM15"/>
    <mergeCell ref="BGO15:BGP15"/>
    <mergeCell ref="BGT15:BGV15"/>
    <mergeCell ref="BGW15:BGY15"/>
    <mergeCell ref="BFE15:BFF15"/>
    <mergeCell ref="BFJ15:BFL15"/>
    <mergeCell ref="BFM15:BFO15"/>
    <mergeCell ref="BFQ15:BFR15"/>
    <mergeCell ref="BFV15:BFX15"/>
    <mergeCell ref="BFY15:BGA15"/>
    <mergeCell ref="BEG15:BEH15"/>
    <mergeCell ref="BEL15:BEN15"/>
    <mergeCell ref="BEO15:BEQ15"/>
    <mergeCell ref="BES15:BET15"/>
    <mergeCell ref="BEX15:BEZ15"/>
    <mergeCell ref="BFA15:BFC15"/>
    <mergeCell ref="BDI15:BDJ15"/>
    <mergeCell ref="BDN15:BDP15"/>
    <mergeCell ref="BDQ15:BDS15"/>
    <mergeCell ref="BDU15:BDV15"/>
    <mergeCell ref="BDZ15:BEB15"/>
    <mergeCell ref="BEC15:BEE15"/>
    <mergeCell ref="BCK15:BCL15"/>
    <mergeCell ref="BCP15:BCR15"/>
    <mergeCell ref="BCS15:BCU15"/>
    <mergeCell ref="BCW15:BCX15"/>
    <mergeCell ref="BDB15:BDD15"/>
    <mergeCell ref="BDE15:BDG15"/>
    <mergeCell ref="BBM15:BBN15"/>
    <mergeCell ref="BBR15:BBT15"/>
    <mergeCell ref="BBU15:BBW15"/>
    <mergeCell ref="BBY15:BBZ15"/>
    <mergeCell ref="BCD15:BCF15"/>
    <mergeCell ref="BCG15:BCI15"/>
    <mergeCell ref="BAO15:BAP15"/>
    <mergeCell ref="BAT15:BAV15"/>
    <mergeCell ref="BAW15:BAY15"/>
    <mergeCell ref="BBA15:BBB15"/>
    <mergeCell ref="BBF15:BBH15"/>
    <mergeCell ref="BBI15:BBK15"/>
    <mergeCell ref="AZQ15:AZR15"/>
    <mergeCell ref="AZV15:AZX15"/>
    <mergeCell ref="AZY15:BAA15"/>
    <mergeCell ref="BAC15:BAD15"/>
    <mergeCell ref="BAH15:BAJ15"/>
    <mergeCell ref="BAK15:BAM15"/>
    <mergeCell ref="AYS15:AYT15"/>
    <mergeCell ref="AYX15:AYZ15"/>
    <mergeCell ref="AZA15:AZC15"/>
    <mergeCell ref="AZE15:AZF15"/>
    <mergeCell ref="AZJ15:AZL15"/>
    <mergeCell ref="AZM15:AZO15"/>
    <mergeCell ref="AXU15:AXV15"/>
    <mergeCell ref="AXZ15:AYB15"/>
    <mergeCell ref="AYC15:AYE15"/>
    <mergeCell ref="AYG15:AYH15"/>
    <mergeCell ref="AYL15:AYN15"/>
    <mergeCell ref="AYO15:AYQ15"/>
    <mergeCell ref="AWW15:AWX15"/>
    <mergeCell ref="AXB15:AXD15"/>
    <mergeCell ref="AXE15:AXG15"/>
    <mergeCell ref="AXI15:AXJ15"/>
    <mergeCell ref="AXN15:AXP15"/>
    <mergeCell ref="AXQ15:AXS15"/>
    <mergeCell ref="AVY15:AVZ15"/>
    <mergeCell ref="AWD15:AWF15"/>
    <mergeCell ref="AWG15:AWI15"/>
    <mergeCell ref="AWK15:AWL15"/>
    <mergeCell ref="AWP15:AWR15"/>
    <mergeCell ref="AWS15:AWU15"/>
    <mergeCell ref="AVA15:AVB15"/>
    <mergeCell ref="AVF15:AVH15"/>
    <mergeCell ref="AVI15:AVK15"/>
    <mergeCell ref="AVM15:AVN15"/>
    <mergeCell ref="AVR15:AVT15"/>
    <mergeCell ref="AVU15:AVW15"/>
    <mergeCell ref="AUC15:AUD15"/>
    <mergeCell ref="AUH15:AUJ15"/>
    <mergeCell ref="AUK15:AUM15"/>
    <mergeCell ref="AUO15:AUP15"/>
    <mergeCell ref="AUT15:AUV15"/>
    <mergeCell ref="AUW15:AUY15"/>
    <mergeCell ref="ATE15:ATF15"/>
    <mergeCell ref="ATJ15:ATL15"/>
    <mergeCell ref="ATM15:ATO15"/>
    <mergeCell ref="ATQ15:ATR15"/>
    <mergeCell ref="ATV15:ATX15"/>
    <mergeCell ref="ATY15:AUA15"/>
    <mergeCell ref="ASG15:ASH15"/>
    <mergeCell ref="ASL15:ASN15"/>
    <mergeCell ref="ASO15:ASQ15"/>
    <mergeCell ref="ASS15:AST15"/>
    <mergeCell ref="ASX15:ASZ15"/>
    <mergeCell ref="ATA15:ATC15"/>
    <mergeCell ref="ARI15:ARJ15"/>
    <mergeCell ref="ARN15:ARP15"/>
    <mergeCell ref="ARQ15:ARS15"/>
    <mergeCell ref="ARU15:ARV15"/>
    <mergeCell ref="ARZ15:ASB15"/>
    <mergeCell ref="ASC15:ASE15"/>
    <mergeCell ref="AQK15:AQL15"/>
    <mergeCell ref="AQP15:AQR15"/>
    <mergeCell ref="AQS15:AQU15"/>
    <mergeCell ref="AQW15:AQX15"/>
    <mergeCell ref="ARB15:ARD15"/>
    <mergeCell ref="ARE15:ARG15"/>
    <mergeCell ref="APM15:APN15"/>
    <mergeCell ref="APR15:APT15"/>
    <mergeCell ref="APU15:APW15"/>
    <mergeCell ref="APY15:APZ15"/>
    <mergeCell ref="AQD15:AQF15"/>
    <mergeCell ref="AQG15:AQI15"/>
    <mergeCell ref="AOO15:AOP15"/>
    <mergeCell ref="AOT15:AOV15"/>
    <mergeCell ref="AOW15:AOY15"/>
    <mergeCell ref="APA15:APB15"/>
    <mergeCell ref="APF15:APH15"/>
    <mergeCell ref="API15:APK15"/>
    <mergeCell ref="ANQ15:ANR15"/>
    <mergeCell ref="ANV15:ANX15"/>
    <mergeCell ref="ANY15:AOA15"/>
    <mergeCell ref="AOC15:AOD15"/>
    <mergeCell ref="AOH15:AOJ15"/>
    <mergeCell ref="AOK15:AOM15"/>
    <mergeCell ref="AMS15:AMT15"/>
    <mergeCell ref="AMX15:AMZ15"/>
    <mergeCell ref="ANA15:ANC15"/>
    <mergeCell ref="ANE15:ANF15"/>
    <mergeCell ref="ANJ15:ANL15"/>
    <mergeCell ref="ANM15:ANO15"/>
    <mergeCell ref="ALU15:ALV15"/>
    <mergeCell ref="ALZ15:AMB15"/>
    <mergeCell ref="AMC15:AME15"/>
    <mergeCell ref="AMG15:AMH15"/>
    <mergeCell ref="AML15:AMN15"/>
    <mergeCell ref="AMO15:AMQ15"/>
    <mergeCell ref="AKW15:AKX15"/>
    <mergeCell ref="ALB15:ALD15"/>
    <mergeCell ref="ALE15:ALG15"/>
    <mergeCell ref="ALI15:ALJ15"/>
    <mergeCell ref="ALN15:ALP15"/>
    <mergeCell ref="ALQ15:ALS15"/>
    <mergeCell ref="AJY15:AJZ15"/>
    <mergeCell ref="AKD15:AKF15"/>
    <mergeCell ref="AKG15:AKI15"/>
    <mergeCell ref="AKK15:AKL15"/>
    <mergeCell ref="AKP15:AKR15"/>
    <mergeCell ref="AKS15:AKU15"/>
    <mergeCell ref="AJA15:AJB15"/>
    <mergeCell ref="AJF15:AJH15"/>
    <mergeCell ref="AJI15:AJK15"/>
    <mergeCell ref="AJM15:AJN15"/>
    <mergeCell ref="AJR15:AJT15"/>
    <mergeCell ref="AJU15:AJW15"/>
    <mergeCell ref="AIC15:AID15"/>
    <mergeCell ref="AIH15:AIJ15"/>
    <mergeCell ref="AIK15:AIM15"/>
    <mergeCell ref="AIO15:AIP15"/>
    <mergeCell ref="AIT15:AIV15"/>
    <mergeCell ref="AIW15:AIY15"/>
    <mergeCell ref="AHE15:AHF15"/>
    <mergeCell ref="AHJ15:AHL15"/>
    <mergeCell ref="AHM15:AHO15"/>
    <mergeCell ref="AHQ15:AHR15"/>
    <mergeCell ref="AHV15:AHX15"/>
    <mergeCell ref="AHY15:AIA15"/>
    <mergeCell ref="AGG15:AGH15"/>
    <mergeCell ref="AGL15:AGN15"/>
    <mergeCell ref="AGO15:AGQ15"/>
    <mergeCell ref="AGS15:AGT15"/>
    <mergeCell ref="AGX15:AGZ15"/>
    <mergeCell ref="AHA15:AHC15"/>
    <mergeCell ref="AFG15:AFH15"/>
    <mergeCell ref="AFM15:AFO15"/>
    <mergeCell ref="AFP15:AFR15"/>
    <mergeCell ref="AFT15:AFU15"/>
    <mergeCell ref="AFZ15:AGB15"/>
    <mergeCell ref="AGC15:AGE15"/>
    <mergeCell ref="AEG15:AEH15"/>
    <mergeCell ref="AEM15:AEO15"/>
    <mergeCell ref="AEP15:AER15"/>
    <mergeCell ref="AET15:AEU15"/>
    <mergeCell ref="AEZ15:AFB15"/>
    <mergeCell ref="AFC15:AFE15"/>
    <mergeCell ref="ADG15:ADH15"/>
    <mergeCell ref="ADM15:ADO15"/>
    <mergeCell ref="ADP15:ADR15"/>
    <mergeCell ref="ADT15:ADU15"/>
    <mergeCell ref="ADZ15:AEB15"/>
    <mergeCell ref="AEC15:AEE15"/>
    <mergeCell ref="ACG15:ACH15"/>
    <mergeCell ref="ACM15:ACO15"/>
    <mergeCell ref="ACP15:ACR15"/>
    <mergeCell ref="ACT15:ACU15"/>
    <mergeCell ref="ACZ15:ADB15"/>
    <mergeCell ref="ADC15:ADE15"/>
    <mergeCell ref="ABG15:ABH15"/>
    <mergeCell ref="ABM15:ABO15"/>
    <mergeCell ref="ABP15:ABR15"/>
    <mergeCell ref="ABT15:ABU15"/>
    <mergeCell ref="ABZ15:ACB15"/>
    <mergeCell ref="ACC15:ACE15"/>
    <mergeCell ref="AAG15:AAH15"/>
    <mergeCell ref="AAM15:AAO15"/>
    <mergeCell ref="AAP15:AAR15"/>
    <mergeCell ref="AAT15:AAU15"/>
    <mergeCell ref="AAZ15:ABB15"/>
    <mergeCell ref="ABC15:ABE15"/>
    <mergeCell ref="ZG15:ZH15"/>
    <mergeCell ref="ZL15:ZN15"/>
    <mergeCell ref="ZR15:ZT15"/>
    <mergeCell ref="ZU15:ZV15"/>
    <mergeCell ref="ZZ15:AAB15"/>
    <mergeCell ref="AAC15:AAE15"/>
    <mergeCell ref="YE15:YF15"/>
    <mergeCell ref="YJ15:YL15"/>
    <mergeCell ref="YP15:YR15"/>
    <mergeCell ref="YS15:YT15"/>
    <mergeCell ref="YX15:YZ15"/>
    <mergeCell ref="ZD15:ZF15"/>
    <mergeCell ref="XC15:XD15"/>
    <mergeCell ref="XH15:XJ15"/>
    <mergeCell ref="XN15:XP15"/>
    <mergeCell ref="XQ15:XR15"/>
    <mergeCell ref="XV15:XX15"/>
    <mergeCell ref="YB15:YD15"/>
    <mergeCell ref="WA15:WB15"/>
    <mergeCell ref="WF15:WH15"/>
    <mergeCell ref="WL15:WN15"/>
    <mergeCell ref="WO15:WP15"/>
    <mergeCell ref="WT15:WV15"/>
    <mergeCell ref="WZ15:XB15"/>
    <mergeCell ref="UY15:UZ15"/>
    <mergeCell ref="VD15:VF15"/>
    <mergeCell ref="VJ15:VL15"/>
    <mergeCell ref="VM15:VN15"/>
    <mergeCell ref="VR15:VT15"/>
    <mergeCell ref="VX15:VZ15"/>
    <mergeCell ref="TW15:TX15"/>
    <mergeCell ref="UB15:UD15"/>
    <mergeCell ref="UH15:UJ15"/>
    <mergeCell ref="UK15:UL15"/>
    <mergeCell ref="UP15:UR15"/>
    <mergeCell ref="UV15:UX15"/>
    <mergeCell ref="SU15:SV15"/>
    <mergeCell ref="SZ15:TB15"/>
    <mergeCell ref="TF15:TH15"/>
    <mergeCell ref="TI15:TJ15"/>
    <mergeCell ref="TN15:TP15"/>
    <mergeCell ref="TT15:TV15"/>
    <mergeCell ref="RS15:RT15"/>
    <mergeCell ref="RX15:RZ15"/>
    <mergeCell ref="SD15:SF15"/>
    <mergeCell ref="SG15:SH15"/>
    <mergeCell ref="SL15:SN15"/>
    <mergeCell ref="SR15:ST15"/>
    <mergeCell ref="QQ15:QR15"/>
    <mergeCell ref="QV15:QX15"/>
    <mergeCell ref="RB15:RD15"/>
    <mergeCell ref="RE15:RF15"/>
    <mergeCell ref="RJ15:RL15"/>
    <mergeCell ref="RP15:RR15"/>
    <mergeCell ref="PO15:PP15"/>
    <mergeCell ref="PT15:PV15"/>
    <mergeCell ref="PZ15:QB15"/>
    <mergeCell ref="QC15:QD15"/>
    <mergeCell ref="QH15:QJ15"/>
    <mergeCell ref="QN15:QP15"/>
    <mergeCell ref="OM15:ON15"/>
    <mergeCell ref="OR15:OT15"/>
    <mergeCell ref="OX15:OZ15"/>
    <mergeCell ref="PA15:PB15"/>
    <mergeCell ref="PF15:PH15"/>
    <mergeCell ref="PL15:PN15"/>
    <mergeCell ref="NK15:NL15"/>
    <mergeCell ref="NP15:NR15"/>
    <mergeCell ref="NV15:NX15"/>
    <mergeCell ref="NY15:NZ15"/>
    <mergeCell ref="OD15:OF15"/>
    <mergeCell ref="OJ15:OL15"/>
    <mergeCell ref="MI15:MJ15"/>
    <mergeCell ref="MN15:MP15"/>
    <mergeCell ref="MT15:MV15"/>
    <mergeCell ref="MW15:MX15"/>
    <mergeCell ref="NB15:ND15"/>
    <mergeCell ref="NH15:NJ15"/>
    <mergeCell ref="LG15:LH15"/>
    <mergeCell ref="LL15:LN15"/>
    <mergeCell ref="LR15:LT15"/>
    <mergeCell ref="LU15:LV15"/>
    <mergeCell ref="LZ15:MB15"/>
    <mergeCell ref="MF15:MH15"/>
    <mergeCell ref="KE15:KF15"/>
    <mergeCell ref="KJ15:KL15"/>
    <mergeCell ref="KP15:KR15"/>
    <mergeCell ref="KS15:KT15"/>
    <mergeCell ref="KX15:KZ15"/>
    <mergeCell ref="LD15:LF15"/>
    <mergeCell ref="JC15:JD15"/>
    <mergeCell ref="JH15:JJ15"/>
    <mergeCell ref="JN15:JP15"/>
    <mergeCell ref="JQ15:JR15"/>
    <mergeCell ref="JV15:JX15"/>
    <mergeCell ref="KB15:KD15"/>
    <mergeCell ref="IA15:IB15"/>
    <mergeCell ref="IF15:IH15"/>
    <mergeCell ref="IL15:IN15"/>
    <mergeCell ref="IO15:IP15"/>
    <mergeCell ref="IT15:IV15"/>
    <mergeCell ref="IZ15:JB15"/>
    <mergeCell ref="GY15:GZ15"/>
    <mergeCell ref="HD15:HF15"/>
    <mergeCell ref="HJ15:HL15"/>
    <mergeCell ref="HM15:HN15"/>
    <mergeCell ref="HR15:HT15"/>
    <mergeCell ref="HX15:HZ15"/>
    <mergeCell ref="FW15:FX15"/>
    <mergeCell ref="GB15:GD15"/>
    <mergeCell ref="GH15:GJ15"/>
    <mergeCell ref="GK15:GL15"/>
    <mergeCell ref="GP15:GR15"/>
    <mergeCell ref="GV15:GX15"/>
    <mergeCell ref="EU15:EV15"/>
    <mergeCell ref="EZ15:FB15"/>
    <mergeCell ref="FF15:FH15"/>
    <mergeCell ref="FI15:FJ15"/>
    <mergeCell ref="FN15:FP15"/>
    <mergeCell ref="FT15:FV15"/>
    <mergeCell ref="DS15:DT15"/>
    <mergeCell ref="DX15:DZ15"/>
    <mergeCell ref="ED15:EF15"/>
    <mergeCell ref="EG15:EH15"/>
    <mergeCell ref="EL15:EN15"/>
    <mergeCell ref="ER15:ET15"/>
    <mergeCell ref="CQ15:CR15"/>
    <mergeCell ref="CV15:CX15"/>
    <mergeCell ref="DB15:DD15"/>
    <mergeCell ref="DE15:DF15"/>
    <mergeCell ref="DJ15:DL15"/>
    <mergeCell ref="DP15:DR15"/>
    <mergeCell ref="BO15:BP15"/>
    <mergeCell ref="BT15:BV15"/>
    <mergeCell ref="BZ15:CB15"/>
    <mergeCell ref="CC15:CD15"/>
    <mergeCell ref="CH15:CJ15"/>
    <mergeCell ref="CN15:CP15"/>
    <mergeCell ref="AM15:AN15"/>
    <mergeCell ref="AR15:AT15"/>
    <mergeCell ref="AX15:AZ15"/>
    <mergeCell ref="BA15:BB15"/>
    <mergeCell ref="BF15:BH15"/>
    <mergeCell ref="BL15:BN15"/>
    <mergeCell ref="CVY14:CWA14"/>
    <mergeCell ref="CWC14:CWD14"/>
    <mergeCell ref="B15:D15"/>
    <mergeCell ref="H15:J15"/>
    <mergeCell ref="K15:L15"/>
    <mergeCell ref="P15:R15"/>
    <mergeCell ref="V15:X15"/>
    <mergeCell ref="Y15:Z15"/>
    <mergeCell ref="AD15:AF15"/>
    <mergeCell ref="AJ15:AL15"/>
    <mergeCell ref="CVA14:CVC14"/>
    <mergeCell ref="CVE14:CVF14"/>
    <mergeCell ref="CVJ14:CVL14"/>
    <mergeCell ref="CVM14:CVO14"/>
    <mergeCell ref="CVQ14:CVR14"/>
    <mergeCell ref="CVV14:CVX14"/>
    <mergeCell ref="CUC14:CUE14"/>
    <mergeCell ref="CUG14:CUH14"/>
    <mergeCell ref="CUL14:CUN14"/>
    <mergeCell ref="CUO14:CUQ14"/>
    <mergeCell ref="CUS14:CUT14"/>
    <mergeCell ref="CUX14:CUZ14"/>
    <mergeCell ref="CTE14:CTG14"/>
    <mergeCell ref="CTI14:CTJ14"/>
    <mergeCell ref="CTN14:CTP14"/>
    <mergeCell ref="CTQ14:CTS14"/>
    <mergeCell ref="CTU14:CTV14"/>
    <mergeCell ref="CTZ14:CUB14"/>
    <mergeCell ref="CSG14:CSI14"/>
    <mergeCell ref="CSK14:CSL14"/>
    <mergeCell ref="CSP14:CSR14"/>
    <mergeCell ref="CSS14:CSU14"/>
    <mergeCell ref="CSW14:CSX14"/>
    <mergeCell ref="CTB14:CTD14"/>
    <mergeCell ref="CRI14:CRK14"/>
    <mergeCell ref="CRM14:CRN14"/>
    <mergeCell ref="CRR14:CRT14"/>
    <mergeCell ref="CRU14:CRW14"/>
    <mergeCell ref="CRY14:CRZ14"/>
    <mergeCell ref="CSD14:CSF14"/>
    <mergeCell ref="CQK14:CQM14"/>
    <mergeCell ref="CQO14:CQP14"/>
    <mergeCell ref="CQT14:CQV14"/>
    <mergeCell ref="CQW14:CQY14"/>
    <mergeCell ref="CRA14:CRB14"/>
    <mergeCell ref="CRF14:CRH14"/>
    <mergeCell ref="CPM14:CPO14"/>
    <mergeCell ref="CPQ14:CPR14"/>
    <mergeCell ref="CPV14:CPX14"/>
    <mergeCell ref="CPY14:CQA14"/>
    <mergeCell ref="CQC14:CQD14"/>
    <mergeCell ref="CQH14:CQJ14"/>
    <mergeCell ref="COO14:COQ14"/>
    <mergeCell ref="COS14:COT14"/>
    <mergeCell ref="COX14:COZ14"/>
    <mergeCell ref="CPA14:CPC14"/>
    <mergeCell ref="CPE14:CPF14"/>
    <mergeCell ref="CPJ14:CPL14"/>
    <mergeCell ref="CNQ14:CNS14"/>
    <mergeCell ref="CNU14:CNV14"/>
    <mergeCell ref="CNZ14:COB14"/>
    <mergeCell ref="COC14:COE14"/>
    <mergeCell ref="COG14:COH14"/>
    <mergeCell ref="COL14:CON14"/>
    <mergeCell ref="CMS14:CMU14"/>
    <mergeCell ref="CMW14:CMX14"/>
    <mergeCell ref="CNB14:CND14"/>
    <mergeCell ref="CNE14:CNG14"/>
    <mergeCell ref="CNI14:CNJ14"/>
    <mergeCell ref="CNN14:CNP14"/>
    <mergeCell ref="CLU14:CLW14"/>
    <mergeCell ref="CLY14:CLZ14"/>
    <mergeCell ref="CMD14:CMF14"/>
    <mergeCell ref="CMG14:CMI14"/>
    <mergeCell ref="CMK14:CML14"/>
    <mergeCell ref="CMP14:CMR14"/>
    <mergeCell ref="CKW14:CKY14"/>
    <mergeCell ref="CLA14:CLB14"/>
    <mergeCell ref="CLF14:CLH14"/>
    <mergeCell ref="CLI14:CLK14"/>
    <mergeCell ref="CLM14:CLN14"/>
    <mergeCell ref="CLR14:CLT14"/>
    <mergeCell ref="CJY14:CKA14"/>
    <mergeCell ref="CKC14:CKD14"/>
    <mergeCell ref="CKH14:CKJ14"/>
    <mergeCell ref="CKK14:CKM14"/>
    <mergeCell ref="CKO14:CKP14"/>
    <mergeCell ref="CKT14:CKV14"/>
    <mergeCell ref="CJA14:CJC14"/>
    <mergeCell ref="CJE14:CJF14"/>
    <mergeCell ref="CJJ14:CJL14"/>
    <mergeCell ref="CJM14:CJO14"/>
    <mergeCell ref="CJQ14:CJR14"/>
    <mergeCell ref="CJV14:CJX14"/>
    <mergeCell ref="CIC14:CIE14"/>
    <mergeCell ref="CIG14:CIH14"/>
    <mergeCell ref="CIL14:CIN14"/>
    <mergeCell ref="CIO14:CIQ14"/>
    <mergeCell ref="CIS14:CIT14"/>
    <mergeCell ref="CIX14:CIZ14"/>
    <mergeCell ref="CHE14:CHG14"/>
    <mergeCell ref="CHI14:CHJ14"/>
    <mergeCell ref="CHN14:CHP14"/>
    <mergeCell ref="CHQ14:CHS14"/>
    <mergeCell ref="CHU14:CHV14"/>
    <mergeCell ref="CHZ14:CIB14"/>
    <mergeCell ref="CGG14:CGI14"/>
    <mergeCell ref="CGK14:CGL14"/>
    <mergeCell ref="CGP14:CGR14"/>
    <mergeCell ref="CGS14:CGU14"/>
    <mergeCell ref="CGW14:CGX14"/>
    <mergeCell ref="CHB14:CHD14"/>
    <mergeCell ref="CFI14:CFK14"/>
    <mergeCell ref="CFM14:CFN14"/>
    <mergeCell ref="CFR14:CFT14"/>
    <mergeCell ref="CFU14:CFW14"/>
    <mergeCell ref="CFY14:CFZ14"/>
    <mergeCell ref="CGD14:CGF14"/>
    <mergeCell ref="CEK14:CEM14"/>
    <mergeCell ref="CEO14:CEP14"/>
    <mergeCell ref="CET14:CEV14"/>
    <mergeCell ref="CEW14:CEY14"/>
    <mergeCell ref="CFA14:CFB14"/>
    <mergeCell ref="CFF14:CFH14"/>
    <mergeCell ref="CDM14:CDO14"/>
    <mergeCell ref="CDQ14:CDR14"/>
    <mergeCell ref="CDV14:CDX14"/>
    <mergeCell ref="CDY14:CEA14"/>
    <mergeCell ref="CEC14:CED14"/>
    <mergeCell ref="CEH14:CEJ14"/>
    <mergeCell ref="CCO14:CCQ14"/>
    <mergeCell ref="CCS14:CCT14"/>
    <mergeCell ref="CCX14:CCZ14"/>
    <mergeCell ref="CDA14:CDC14"/>
    <mergeCell ref="CDE14:CDF14"/>
    <mergeCell ref="CDJ14:CDL14"/>
    <mergeCell ref="CBQ14:CBS14"/>
    <mergeCell ref="CBU14:CBV14"/>
    <mergeCell ref="CBZ14:CCB14"/>
    <mergeCell ref="CCC14:CCE14"/>
    <mergeCell ref="CCG14:CCH14"/>
    <mergeCell ref="CCL14:CCN14"/>
    <mergeCell ref="CAS14:CAU14"/>
    <mergeCell ref="CAW14:CAX14"/>
    <mergeCell ref="CBB14:CBD14"/>
    <mergeCell ref="CBE14:CBG14"/>
    <mergeCell ref="CBI14:CBJ14"/>
    <mergeCell ref="CBN14:CBP14"/>
    <mergeCell ref="BZU14:BZW14"/>
    <mergeCell ref="BZY14:BZZ14"/>
    <mergeCell ref="CAD14:CAF14"/>
    <mergeCell ref="CAG14:CAI14"/>
    <mergeCell ref="CAK14:CAL14"/>
    <mergeCell ref="CAP14:CAR14"/>
    <mergeCell ref="BYW14:BYY14"/>
    <mergeCell ref="BZA14:BZB14"/>
    <mergeCell ref="BZF14:BZH14"/>
    <mergeCell ref="BZI14:BZK14"/>
    <mergeCell ref="BZM14:BZN14"/>
    <mergeCell ref="BZR14:BZT14"/>
    <mergeCell ref="BXY14:BYA14"/>
    <mergeCell ref="BYC14:BYD14"/>
    <mergeCell ref="BYH14:BYJ14"/>
    <mergeCell ref="BYK14:BYM14"/>
    <mergeCell ref="BYO14:BYP14"/>
    <mergeCell ref="BYT14:BYV14"/>
    <mergeCell ref="BXA14:BXC14"/>
    <mergeCell ref="BXE14:BXF14"/>
    <mergeCell ref="BXJ14:BXL14"/>
    <mergeCell ref="BXM14:BXO14"/>
    <mergeCell ref="BXQ14:BXR14"/>
    <mergeCell ref="BXV14:BXX14"/>
    <mergeCell ref="BWC14:BWE14"/>
    <mergeCell ref="BWG14:BWH14"/>
    <mergeCell ref="BWL14:BWN14"/>
    <mergeCell ref="BWO14:BWQ14"/>
    <mergeCell ref="BWS14:BWT14"/>
    <mergeCell ref="BWX14:BWZ14"/>
    <mergeCell ref="BVE14:BVG14"/>
    <mergeCell ref="BVI14:BVJ14"/>
    <mergeCell ref="BVN14:BVP14"/>
    <mergeCell ref="BVQ14:BVS14"/>
    <mergeCell ref="BVU14:BVV14"/>
    <mergeCell ref="BVZ14:BWB14"/>
    <mergeCell ref="BUG14:BUI14"/>
    <mergeCell ref="BUK14:BUL14"/>
    <mergeCell ref="BUP14:BUR14"/>
    <mergeCell ref="BUS14:BUU14"/>
    <mergeCell ref="BUW14:BUX14"/>
    <mergeCell ref="BVB14:BVD14"/>
    <mergeCell ref="BTI14:BTK14"/>
    <mergeCell ref="BTM14:BTN14"/>
    <mergeCell ref="BTR14:BTT14"/>
    <mergeCell ref="BTU14:BTW14"/>
    <mergeCell ref="BTY14:BTZ14"/>
    <mergeCell ref="BUD14:BUF14"/>
    <mergeCell ref="BSK14:BSM14"/>
    <mergeCell ref="BSO14:BSP14"/>
    <mergeCell ref="BST14:BSV14"/>
    <mergeCell ref="BSW14:BSY14"/>
    <mergeCell ref="BTA14:BTB14"/>
    <mergeCell ref="BTF14:BTH14"/>
    <mergeCell ref="BRM14:BRO14"/>
    <mergeCell ref="BRQ14:BRR14"/>
    <mergeCell ref="BRV14:BRX14"/>
    <mergeCell ref="BRY14:BSA14"/>
    <mergeCell ref="BSC14:BSD14"/>
    <mergeCell ref="BSH14:BSJ14"/>
    <mergeCell ref="BQO14:BQQ14"/>
    <mergeCell ref="BQS14:BQT14"/>
    <mergeCell ref="BQX14:BQZ14"/>
    <mergeCell ref="BRA14:BRC14"/>
    <mergeCell ref="BRE14:BRF14"/>
    <mergeCell ref="BRJ14:BRL14"/>
    <mergeCell ref="BPQ14:BPS14"/>
    <mergeCell ref="BPU14:BPV14"/>
    <mergeCell ref="BPZ14:BQB14"/>
    <mergeCell ref="BQC14:BQE14"/>
    <mergeCell ref="BQG14:BQH14"/>
    <mergeCell ref="BQL14:BQN14"/>
    <mergeCell ref="BOS14:BOU14"/>
    <mergeCell ref="BOW14:BOX14"/>
    <mergeCell ref="BPB14:BPD14"/>
    <mergeCell ref="BPE14:BPG14"/>
    <mergeCell ref="BPI14:BPJ14"/>
    <mergeCell ref="BPN14:BPP14"/>
    <mergeCell ref="BNU14:BNW14"/>
    <mergeCell ref="BNY14:BNZ14"/>
    <mergeCell ref="BOD14:BOF14"/>
    <mergeCell ref="BOG14:BOI14"/>
    <mergeCell ref="BOK14:BOL14"/>
    <mergeCell ref="BOP14:BOR14"/>
    <mergeCell ref="BMW14:BMY14"/>
    <mergeCell ref="BNA14:BNB14"/>
    <mergeCell ref="BNF14:BNH14"/>
    <mergeCell ref="BNI14:BNK14"/>
    <mergeCell ref="BNM14:BNN14"/>
    <mergeCell ref="BNR14:BNT14"/>
    <mergeCell ref="BLY14:BMA14"/>
    <mergeCell ref="BMC14:BMD14"/>
    <mergeCell ref="BMH14:BMJ14"/>
    <mergeCell ref="BMK14:BMM14"/>
    <mergeCell ref="BMO14:BMP14"/>
    <mergeCell ref="BMT14:BMV14"/>
    <mergeCell ref="BLA14:BLC14"/>
    <mergeCell ref="BLE14:BLF14"/>
    <mergeCell ref="BLJ14:BLL14"/>
    <mergeCell ref="BLM14:BLO14"/>
    <mergeCell ref="BLQ14:BLR14"/>
    <mergeCell ref="BLV14:BLX14"/>
    <mergeCell ref="BKC14:BKE14"/>
    <mergeCell ref="BKG14:BKH14"/>
    <mergeCell ref="BKL14:BKN14"/>
    <mergeCell ref="BKO14:BKQ14"/>
    <mergeCell ref="BKS14:BKT14"/>
    <mergeCell ref="BKX14:BKZ14"/>
    <mergeCell ref="BJE14:BJG14"/>
    <mergeCell ref="BJI14:BJJ14"/>
    <mergeCell ref="BJN14:BJP14"/>
    <mergeCell ref="BJQ14:BJS14"/>
    <mergeCell ref="BJU14:BJV14"/>
    <mergeCell ref="BJZ14:BKB14"/>
    <mergeCell ref="BIG14:BII14"/>
    <mergeCell ref="BIK14:BIL14"/>
    <mergeCell ref="BIP14:BIR14"/>
    <mergeCell ref="BIS14:BIU14"/>
    <mergeCell ref="BIW14:BIX14"/>
    <mergeCell ref="BJB14:BJD14"/>
    <mergeCell ref="BHI14:BHK14"/>
    <mergeCell ref="BHM14:BHN14"/>
    <mergeCell ref="BHR14:BHT14"/>
    <mergeCell ref="BHU14:BHW14"/>
    <mergeCell ref="BHY14:BHZ14"/>
    <mergeCell ref="BID14:BIF14"/>
    <mergeCell ref="BGK14:BGM14"/>
    <mergeCell ref="BGO14:BGP14"/>
    <mergeCell ref="BGT14:BGV14"/>
    <mergeCell ref="BGW14:BGY14"/>
    <mergeCell ref="BHA14:BHB14"/>
    <mergeCell ref="BHF14:BHH14"/>
    <mergeCell ref="BFM14:BFO14"/>
    <mergeCell ref="BFQ14:BFR14"/>
    <mergeCell ref="BFV14:BFX14"/>
    <mergeCell ref="BFY14:BGA14"/>
    <mergeCell ref="BGC14:BGD14"/>
    <mergeCell ref="BGH14:BGJ14"/>
    <mergeCell ref="BEO14:BEQ14"/>
    <mergeCell ref="BES14:BET14"/>
    <mergeCell ref="BEX14:BEZ14"/>
    <mergeCell ref="BFA14:BFC14"/>
    <mergeCell ref="BFE14:BFF14"/>
    <mergeCell ref="BFJ14:BFL14"/>
    <mergeCell ref="BDQ14:BDS14"/>
    <mergeCell ref="BDU14:BDV14"/>
    <mergeCell ref="BDZ14:BEB14"/>
    <mergeCell ref="BEC14:BEE14"/>
    <mergeCell ref="BEG14:BEH14"/>
    <mergeCell ref="BEL14:BEN14"/>
    <mergeCell ref="BCS14:BCU14"/>
    <mergeCell ref="BCW14:BCX14"/>
    <mergeCell ref="BDB14:BDD14"/>
    <mergeCell ref="BDE14:BDG14"/>
    <mergeCell ref="BDI14:BDJ14"/>
    <mergeCell ref="BDN14:BDP14"/>
    <mergeCell ref="BBU14:BBW14"/>
    <mergeCell ref="BBY14:BBZ14"/>
    <mergeCell ref="BCD14:BCF14"/>
    <mergeCell ref="BCG14:BCI14"/>
    <mergeCell ref="BCK14:BCL14"/>
    <mergeCell ref="BCP14:BCR14"/>
    <mergeCell ref="BAW14:BAY14"/>
    <mergeCell ref="BBA14:BBB14"/>
    <mergeCell ref="BBF14:BBH14"/>
    <mergeCell ref="BBI14:BBK14"/>
    <mergeCell ref="BBM14:BBN14"/>
    <mergeCell ref="BBR14:BBT14"/>
    <mergeCell ref="AZY14:BAA14"/>
    <mergeCell ref="BAC14:BAD14"/>
    <mergeCell ref="BAH14:BAJ14"/>
    <mergeCell ref="BAK14:BAM14"/>
    <mergeCell ref="BAO14:BAP14"/>
    <mergeCell ref="BAT14:BAV14"/>
    <mergeCell ref="AZA14:AZC14"/>
    <mergeCell ref="AZE14:AZF14"/>
    <mergeCell ref="AZJ14:AZL14"/>
    <mergeCell ref="AZM14:AZO14"/>
    <mergeCell ref="AZQ14:AZR14"/>
    <mergeCell ref="AZV14:AZX14"/>
    <mergeCell ref="AYC14:AYE14"/>
    <mergeCell ref="AYG14:AYH14"/>
    <mergeCell ref="AYL14:AYN14"/>
    <mergeCell ref="AYO14:AYQ14"/>
    <mergeCell ref="AYS14:AYT14"/>
    <mergeCell ref="AYX14:AYZ14"/>
    <mergeCell ref="AXE14:AXG14"/>
    <mergeCell ref="AXI14:AXJ14"/>
    <mergeCell ref="AXN14:AXP14"/>
    <mergeCell ref="AXQ14:AXS14"/>
    <mergeCell ref="AXU14:AXV14"/>
    <mergeCell ref="AXZ14:AYB14"/>
    <mergeCell ref="AWG14:AWI14"/>
    <mergeCell ref="AWK14:AWL14"/>
    <mergeCell ref="AWP14:AWR14"/>
    <mergeCell ref="AWS14:AWU14"/>
    <mergeCell ref="AWW14:AWX14"/>
    <mergeCell ref="AXB14:AXD14"/>
    <mergeCell ref="AVI14:AVK14"/>
    <mergeCell ref="AVM14:AVN14"/>
    <mergeCell ref="AVR14:AVT14"/>
    <mergeCell ref="AVU14:AVW14"/>
    <mergeCell ref="AVY14:AVZ14"/>
    <mergeCell ref="AWD14:AWF14"/>
    <mergeCell ref="AUK14:AUM14"/>
    <mergeCell ref="AUO14:AUP14"/>
    <mergeCell ref="AUT14:AUV14"/>
    <mergeCell ref="AUW14:AUY14"/>
    <mergeCell ref="AVA14:AVB14"/>
    <mergeCell ref="AVF14:AVH14"/>
    <mergeCell ref="ATM14:ATO14"/>
    <mergeCell ref="ATQ14:ATR14"/>
    <mergeCell ref="ATV14:ATX14"/>
    <mergeCell ref="ATY14:AUA14"/>
    <mergeCell ref="AUC14:AUD14"/>
    <mergeCell ref="AUH14:AUJ14"/>
    <mergeCell ref="ASO14:ASQ14"/>
    <mergeCell ref="ASS14:AST14"/>
    <mergeCell ref="ASX14:ASZ14"/>
    <mergeCell ref="ATA14:ATC14"/>
    <mergeCell ref="ATE14:ATF14"/>
    <mergeCell ref="ATJ14:ATL14"/>
    <mergeCell ref="ARQ14:ARS14"/>
    <mergeCell ref="ARU14:ARV14"/>
    <mergeCell ref="ARZ14:ASB14"/>
    <mergeCell ref="ASC14:ASE14"/>
    <mergeCell ref="ASG14:ASH14"/>
    <mergeCell ref="ASL14:ASN14"/>
    <mergeCell ref="AQS14:AQU14"/>
    <mergeCell ref="AQW14:AQX14"/>
    <mergeCell ref="ARB14:ARD14"/>
    <mergeCell ref="ARE14:ARG14"/>
    <mergeCell ref="ARI14:ARJ14"/>
    <mergeCell ref="ARN14:ARP14"/>
    <mergeCell ref="APU14:APW14"/>
    <mergeCell ref="APY14:APZ14"/>
    <mergeCell ref="AQD14:AQF14"/>
    <mergeCell ref="AQG14:AQI14"/>
    <mergeCell ref="AQK14:AQL14"/>
    <mergeCell ref="AQP14:AQR14"/>
    <mergeCell ref="AOW14:AOY14"/>
    <mergeCell ref="APA14:APB14"/>
    <mergeCell ref="APF14:APH14"/>
    <mergeCell ref="API14:APK14"/>
    <mergeCell ref="APM14:APN14"/>
    <mergeCell ref="APR14:APT14"/>
    <mergeCell ref="ANY14:AOA14"/>
    <mergeCell ref="AOC14:AOD14"/>
    <mergeCell ref="AOH14:AOJ14"/>
    <mergeCell ref="AOK14:AOM14"/>
    <mergeCell ref="AOO14:AOP14"/>
    <mergeCell ref="AOT14:AOV14"/>
    <mergeCell ref="ANA14:ANC14"/>
    <mergeCell ref="ANE14:ANF14"/>
    <mergeCell ref="ANJ14:ANL14"/>
    <mergeCell ref="ANM14:ANO14"/>
    <mergeCell ref="ANQ14:ANR14"/>
    <mergeCell ref="ANV14:ANX14"/>
    <mergeCell ref="AMC14:AME14"/>
    <mergeCell ref="AMG14:AMH14"/>
    <mergeCell ref="AML14:AMN14"/>
    <mergeCell ref="AMO14:AMQ14"/>
    <mergeCell ref="AMS14:AMT14"/>
    <mergeCell ref="AMX14:AMZ14"/>
    <mergeCell ref="ALE14:ALG14"/>
    <mergeCell ref="ALI14:ALJ14"/>
    <mergeCell ref="ALN14:ALP14"/>
    <mergeCell ref="ALQ14:ALS14"/>
    <mergeCell ref="ALU14:ALV14"/>
    <mergeCell ref="ALZ14:AMB14"/>
    <mergeCell ref="AKG14:AKI14"/>
    <mergeCell ref="AKK14:AKL14"/>
    <mergeCell ref="AKP14:AKR14"/>
    <mergeCell ref="AKS14:AKU14"/>
    <mergeCell ref="AKW14:AKX14"/>
    <mergeCell ref="ALB14:ALD14"/>
    <mergeCell ref="AJI14:AJK14"/>
    <mergeCell ref="AJM14:AJN14"/>
    <mergeCell ref="AJR14:AJT14"/>
    <mergeCell ref="AJU14:AJW14"/>
    <mergeCell ref="AJY14:AJZ14"/>
    <mergeCell ref="AKD14:AKF14"/>
    <mergeCell ref="AIK14:AIM14"/>
    <mergeCell ref="AIO14:AIP14"/>
    <mergeCell ref="AIT14:AIV14"/>
    <mergeCell ref="AIW14:AIY14"/>
    <mergeCell ref="AJA14:AJB14"/>
    <mergeCell ref="AJF14:AJH14"/>
    <mergeCell ref="AHM14:AHO14"/>
    <mergeCell ref="AHQ14:AHR14"/>
    <mergeCell ref="AHV14:AHX14"/>
    <mergeCell ref="AHY14:AIA14"/>
    <mergeCell ref="AIC14:AID14"/>
    <mergeCell ref="AIH14:AIJ14"/>
    <mergeCell ref="AGO14:AGQ14"/>
    <mergeCell ref="AGS14:AGT14"/>
    <mergeCell ref="AGX14:AGZ14"/>
    <mergeCell ref="AHA14:AHC14"/>
    <mergeCell ref="AHE14:AHF14"/>
    <mergeCell ref="AHJ14:AHL14"/>
    <mergeCell ref="AFP14:AFR14"/>
    <mergeCell ref="AFT14:AFU14"/>
    <mergeCell ref="AFZ14:AGB14"/>
    <mergeCell ref="AGC14:AGE14"/>
    <mergeCell ref="AGG14:AGH14"/>
    <mergeCell ref="AGL14:AGN14"/>
    <mergeCell ref="AEP14:AER14"/>
    <mergeCell ref="AET14:AEU14"/>
    <mergeCell ref="AEZ14:AFB14"/>
    <mergeCell ref="AFC14:AFE14"/>
    <mergeCell ref="AFG14:AFH14"/>
    <mergeCell ref="AFM14:AFO14"/>
    <mergeCell ref="ADP14:ADR14"/>
    <mergeCell ref="ADT14:ADU14"/>
    <mergeCell ref="ADZ14:AEB14"/>
    <mergeCell ref="AEC14:AEE14"/>
    <mergeCell ref="AEG14:AEH14"/>
    <mergeCell ref="AEM14:AEO14"/>
    <mergeCell ref="ACP14:ACR14"/>
    <mergeCell ref="ACT14:ACU14"/>
    <mergeCell ref="ACZ14:ADB14"/>
    <mergeCell ref="ADC14:ADE14"/>
    <mergeCell ref="ADG14:ADH14"/>
    <mergeCell ref="ADM14:ADO14"/>
    <mergeCell ref="ABP14:ABR14"/>
    <mergeCell ref="ABT14:ABU14"/>
    <mergeCell ref="ABZ14:ACB14"/>
    <mergeCell ref="ACC14:ACE14"/>
    <mergeCell ref="ACG14:ACH14"/>
    <mergeCell ref="ACM14:ACO14"/>
    <mergeCell ref="AAP14:AAR14"/>
    <mergeCell ref="AAT14:AAU14"/>
    <mergeCell ref="AAZ14:ABB14"/>
    <mergeCell ref="ABC14:ABE14"/>
    <mergeCell ref="ABG14:ABH14"/>
    <mergeCell ref="ABM14:ABO14"/>
    <mergeCell ref="ZR14:ZT14"/>
    <mergeCell ref="ZU14:ZV14"/>
    <mergeCell ref="ZZ14:AAB14"/>
    <mergeCell ref="AAC14:AAE14"/>
    <mergeCell ref="AAG14:AAH14"/>
    <mergeCell ref="AAM14:AAO14"/>
    <mergeCell ref="YP14:YR14"/>
    <mergeCell ref="YS14:YT14"/>
    <mergeCell ref="YX14:YZ14"/>
    <mergeCell ref="ZD14:ZF14"/>
    <mergeCell ref="ZG14:ZH14"/>
    <mergeCell ref="ZL14:ZN14"/>
    <mergeCell ref="XN14:XP14"/>
    <mergeCell ref="XQ14:XR14"/>
    <mergeCell ref="XV14:XX14"/>
    <mergeCell ref="YB14:YD14"/>
    <mergeCell ref="YE14:YF14"/>
    <mergeCell ref="YJ14:YL14"/>
    <mergeCell ref="WL14:WN14"/>
    <mergeCell ref="WO14:WP14"/>
    <mergeCell ref="WT14:WV14"/>
    <mergeCell ref="WZ14:XB14"/>
    <mergeCell ref="XC14:XD14"/>
    <mergeCell ref="XH14:XJ14"/>
    <mergeCell ref="VJ14:VL14"/>
    <mergeCell ref="VM14:VN14"/>
    <mergeCell ref="VR14:VT14"/>
    <mergeCell ref="VX14:VZ14"/>
    <mergeCell ref="WA14:WB14"/>
    <mergeCell ref="WF14:WH14"/>
    <mergeCell ref="UH14:UJ14"/>
    <mergeCell ref="UK14:UL14"/>
    <mergeCell ref="UP14:UR14"/>
    <mergeCell ref="UV14:UX14"/>
    <mergeCell ref="UY14:UZ14"/>
    <mergeCell ref="VD14:VF14"/>
    <mergeCell ref="TF14:TH14"/>
    <mergeCell ref="TI14:TJ14"/>
    <mergeCell ref="TN14:TP14"/>
    <mergeCell ref="TT14:TV14"/>
    <mergeCell ref="TW14:TX14"/>
    <mergeCell ref="UB14:UD14"/>
    <mergeCell ref="SD14:SF14"/>
    <mergeCell ref="SG14:SH14"/>
    <mergeCell ref="SL14:SN14"/>
    <mergeCell ref="SR14:ST14"/>
    <mergeCell ref="SU14:SV14"/>
    <mergeCell ref="SZ14:TB14"/>
    <mergeCell ref="RB14:RD14"/>
    <mergeCell ref="RE14:RF14"/>
    <mergeCell ref="RJ14:RL14"/>
    <mergeCell ref="RP14:RR14"/>
    <mergeCell ref="RS14:RT14"/>
    <mergeCell ref="RX14:RZ14"/>
    <mergeCell ref="PZ14:QB14"/>
    <mergeCell ref="QC14:QD14"/>
    <mergeCell ref="QH14:QJ14"/>
    <mergeCell ref="QN14:QP14"/>
    <mergeCell ref="QQ14:QR14"/>
    <mergeCell ref="QV14:QX14"/>
    <mergeCell ref="OX14:OZ14"/>
    <mergeCell ref="PA14:PB14"/>
    <mergeCell ref="PF14:PH14"/>
    <mergeCell ref="PL14:PN14"/>
    <mergeCell ref="PO14:PP14"/>
    <mergeCell ref="PT14:PV14"/>
    <mergeCell ref="NV14:NX14"/>
    <mergeCell ref="NY14:NZ14"/>
    <mergeCell ref="OD14:OF14"/>
    <mergeCell ref="OJ14:OL14"/>
    <mergeCell ref="OM14:ON14"/>
    <mergeCell ref="OR14:OT14"/>
    <mergeCell ref="MT14:MV14"/>
    <mergeCell ref="MW14:MX14"/>
    <mergeCell ref="NB14:ND14"/>
    <mergeCell ref="NH14:NJ14"/>
    <mergeCell ref="NK14:NL14"/>
    <mergeCell ref="NP14:NR14"/>
    <mergeCell ref="LR14:LT14"/>
    <mergeCell ref="LU14:LV14"/>
    <mergeCell ref="LZ14:MB14"/>
    <mergeCell ref="MF14:MH14"/>
    <mergeCell ref="MI14:MJ14"/>
    <mergeCell ref="MN14:MP14"/>
    <mergeCell ref="KP14:KR14"/>
    <mergeCell ref="KS14:KT14"/>
    <mergeCell ref="KX14:KZ14"/>
    <mergeCell ref="LD14:LF14"/>
    <mergeCell ref="LG14:LH14"/>
    <mergeCell ref="LL14:LN14"/>
    <mergeCell ref="IA14:IB14"/>
    <mergeCell ref="IF14:IH14"/>
    <mergeCell ref="IL14:IN14"/>
    <mergeCell ref="IO14:IP14"/>
    <mergeCell ref="IT14:IV14"/>
    <mergeCell ref="IZ14:JB14"/>
    <mergeCell ref="EU14:EV14"/>
    <mergeCell ref="EZ14:FB14"/>
    <mergeCell ref="FF14:FH14"/>
    <mergeCell ref="FI14:FJ14"/>
    <mergeCell ref="FN14:FP14"/>
    <mergeCell ref="FT14:FV14"/>
    <mergeCell ref="BO14:BP14"/>
    <mergeCell ref="BT14:BV14"/>
    <mergeCell ref="BZ14:CB14"/>
    <mergeCell ref="CC14:CD14"/>
    <mergeCell ref="CH14:CJ14"/>
    <mergeCell ref="CN14:CP14"/>
    <mergeCell ref="CVY13:CWA13"/>
    <mergeCell ref="CWC13:CWD13"/>
    <mergeCell ref="B14:D14"/>
    <mergeCell ref="H14:J14"/>
    <mergeCell ref="K14:L14"/>
    <mergeCell ref="P14:R14"/>
    <mergeCell ref="V14:X14"/>
    <mergeCell ref="Y14:Z14"/>
    <mergeCell ref="AD14:AF14"/>
    <mergeCell ref="AJ14:AL14"/>
    <mergeCell ref="CVA13:CVC13"/>
    <mergeCell ref="CVE13:CVF13"/>
    <mergeCell ref="CVJ13:CVL13"/>
    <mergeCell ref="CVM13:CVO13"/>
    <mergeCell ref="CVQ13:CVR13"/>
    <mergeCell ref="CVV13:CVX13"/>
    <mergeCell ref="CUC13:CUE13"/>
    <mergeCell ref="CUG13:CUH13"/>
    <mergeCell ref="CUL13:CUN13"/>
    <mergeCell ref="CUO13:CUQ13"/>
    <mergeCell ref="CUS13:CUT13"/>
    <mergeCell ref="CUX13:CUZ13"/>
    <mergeCell ref="CTE13:CTG13"/>
    <mergeCell ref="CTI13:CTJ13"/>
    <mergeCell ref="CTN13:CTP13"/>
    <mergeCell ref="CTQ13:CTS13"/>
    <mergeCell ref="CTU13:CTV13"/>
    <mergeCell ref="CTZ13:CUB13"/>
    <mergeCell ref="CSG13:CSI13"/>
    <mergeCell ref="CSK13:CSL13"/>
    <mergeCell ref="CSP13:CSR13"/>
    <mergeCell ref="CSS13:CSU13"/>
    <mergeCell ref="CSW13:CSX13"/>
    <mergeCell ref="CTB13:CTD13"/>
    <mergeCell ref="CRI13:CRK13"/>
    <mergeCell ref="CRM13:CRN13"/>
    <mergeCell ref="CRR13:CRT13"/>
    <mergeCell ref="CRU13:CRW13"/>
    <mergeCell ref="CRY13:CRZ13"/>
    <mergeCell ref="CSD13:CSF13"/>
    <mergeCell ref="CQK13:CQM13"/>
    <mergeCell ref="CQO13:CQP13"/>
    <mergeCell ref="CQT13:CQV13"/>
    <mergeCell ref="CQW13:CQY13"/>
    <mergeCell ref="CRA13:CRB13"/>
    <mergeCell ref="CRF13:CRH13"/>
    <mergeCell ref="CPM13:CPO13"/>
    <mergeCell ref="CPQ13:CPR13"/>
    <mergeCell ref="CPV13:CPX13"/>
    <mergeCell ref="CPY13:CQA13"/>
    <mergeCell ref="CQC13:CQD13"/>
    <mergeCell ref="CQH13:CQJ13"/>
    <mergeCell ref="COO13:COQ13"/>
    <mergeCell ref="COS13:COT13"/>
    <mergeCell ref="COX13:COZ13"/>
    <mergeCell ref="CPA13:CPC13"/>
    <mergeCell ref="CPE13:CPF13"/>
    <mergeCell ref="CPJ13:CPL13"/>
    <mergeCell ref="CNQ13:CNS13"/>
    <mergeCell ref="CNU13:CNV13"/>
    <mergeCell ref="CNZ13:COB13"/>
    <mergeCell ref="COC13:COE13"/>
    <mergeCell ref="COG13:COH13"/>
    <mergeCell ref="COL13:CON13"/>
    <mergeCell ref="CMS13:CMU13"/>
    <mergeCell ref="CMW13:CMX13"/>
    <mergeCell ref="CNB13:CND13"/>
    <mergeCell ref="CNE13:CNG13"/>
    <mergeCell ref="CNI13:CNJ13"/>
    <mergeCell ref="CNN13:CNP13"/>
    <mergeCell ref="CLU13:CLW13"/>
    <mergeCell ref="CLY13:CLZ13"/>
    <mergeCell ref="CMD13:CMF13"/>
    <mergeCell ref="CMG13:CMI13"/>
    <mergeCell ref="CMK13:CML13"/>
    <mergeCell ref="CMP13:CMR13"/>
    <mergeCell ref="CKW13:CKY13"/>
    <mergeCell ref="CLA13:CLB13"/>
    <mergeCell ref="CLF13:CLH13"/>
    <mergeCell ref="CLI13:CLK13"/>
    <mergeCell ref="CLM13:CLN13"/>
    <mergeCell ref="CLR13:CLT13"/>
    <mergeCell ref="CJY13:CKA13"/>
    <mergeCell ref="CKC13:CKD13"/>
    <mergeCell ref="CKH13:CKJ13"/>
    <mergeCell ref="CKK13:CKM13"/>
    <mergeCell ref="CKO13:CKP13"/>
    <mergeCell ref="CKT13:CKV13"/>
    <mergeCell ref="CJA13:CJC13"/>
    <mergeCell ref="CJE13:CJF13"/>
    <mergeCell ref="CJJ13:CJL13"/>
    <mergeCell ref="CJM13:CJO13"/>
    <mergeCell ref="CJQ13:CJR13"/>
    <mergeCell ref="CJV13:CJX13"/>
    <mergeCell ref="CIC13:CIE13"/>
    <mergeCell ref="CIG13:CIH13"/>
    <mergeCell ref="CIL13:CIN13"/>
    <mergeCell ref="CIO13:CIQ13"/>
    <mergeCell ref="CIS13:CIT13"/>
    <mergeCell ref="CIX13:CIZ13"/>
    <mergeCell ref="CHE13:CHG13"/>
    <mergeCell ref="CHI13:CHJ13"/>
    <mergeCell ref="CHN13:CHP13"/>
    <mergeCell ref="CHQ13:CHS13"/>
    <mergeCell ref="CHU13:CHV13"/>
    <mergeCell ref="CHZ13:CIB13"/>
    <mergeCell ref="CGG13:CGI13"/>
    <mergeCell ref="CGK13:CGL13"/>
    <mergeCell ref="CGP13:CGR13"/>
    <mergeCell ref="CGS13:CGU13"/>
    <mergeCell ref="CGW13:CGX13"/>
    <mergeCell ref="CHB13:CHD13"/>
    <mergeCell ref="CFI13:CFK13"/>
    <mergeCell ref="CFM13:CFN13"/>
    <mergeCell ref="CFR13:CFT13"/>
    <mergeCell ref="CFU13:CFW13"/>
    <mergeCell ref="CFY13:CFZ13"/>
    <mergeCell ref="CGD13:CGF13"/>
    <mergeCell ref="CEK13:CEM13"/>
    <mergeCell ref="CEO13:CEP13"/>
    <mergeCell ref="CET13:CEV13"/>
    <mergeCell ref="CEW13:CEY13"/>
    <mergeCell ref="CFA13:CFB13"/>
    <mergeCell ref="CFF13:CFH13"/>
    <mergeCell ref="CDM13:CDO13"/>
    <mergeCell ref="CDQ13:CDR13"/>
    <mergeCell ref="CDV13:CDX13"/>
    <mergeCell ref="CDY13:CEA13"/>
    <mergeCell ref="CEC13:CED13"/>
    <mergeCell ref="CEH13:CEJ13"/>
    <mergeCell ref="CCO13:CCQ13"/>
    <mergeCell ref="CCS13:CCT13"/>
    <mergeCell ref="CCX13:CCZ13"/>
    <mergeCell ref="CDA13:CDC13"/>
    <mergeCell ref="CDE13:CDF13"/>
    <mergeCell ref="CDJ13:CDL13"/>
    <mergeCell ref="CBQ13:CBS13"/>
    <mergeCell ref="CBU13:CBV13"/>
    <mergeCell ref="CBZ13:CCB13"/>
    <mergeCell ref="CCC13:CCE13"/>
    <mergeCell ref="CCG13:CCH13"/>
    <mergeCell ref="CCL13:CCN13"/>
    <mergeCell ref="CAS13:CAU13"/>
    <mergeCell ref="CAW13:CAX13"/>
    <mergeCell ref="CBB13:CBD13"/>
    <mergeCell ref="CBE13:CBG13"/>
    <mergeCell ref="CBI13:CBJ13"/>
    <mergeCell ref="CBN13:CBP13"/>
    <mergeCell ref="BZU13:BZW13"/>
    <mergeCell ref="BZY13:BZZ13"/>
    <mergeCell ref="CAD13:CAF13"/>
    <mergeCell ref="CAG13:CAI13"/>
    <mergeCell ref="CAK13:CAL13"/>
    <mergeCell ref="CAP13:CAR13"/>
    <mergeCell ref="BYW13:BYY13"/>
    <mergeCell ref="BZA13:BZB13"/>
    <mergeCell ref="BZF13:BZH13"/>
    <mergeCell ref="BZI13:BZK13"/>
    <mergeCell ref="BZM13:BZN13"/>
    <mergeCell ref="BZR13:BZT13"/>
    <mergeCell ref="BXY13:BYA13"/>
    <mergeCell ref="BYC13:BYD13"/>
    <mergeCell ref="BYH13:BYJ13"/>
    <mergeCell ref="BYK13:BYM13"/>
    <mergeCell ref="BYO13:BYP13"/>
    <mergeCell ref="BYT13:BYV13"/>
    <mergeCell ref="BXA13:BXC13"/>
    <mergeCell ref="BXE13:BXF13"/>
    <mergeCell ref="BXJ13:BXL13"/>
    <mergeCell ref="BXM13:BXO13"/>
    <mergeCell ref="BXQ13:BXR13"/>
    <mergeCell ref="BXV13:BXX13"/>
    <mergeCell ref="BWC13:BWE13"/>
    <mergeCell ref="BWG13:BWH13"/>
    <mergeCell ref="BWL13:BWN13"/>
    <mergeCell ref="BWO13:BWQ13"/>
    <mergeCell ref="BWS13:BWT13"/>
    <mergeCell ref="BWX13:BWZ13"/>
    <mergeCell ref="BVE13:BVG13"/>
    <mergeCell ref="BVI13:BVJ13"/>
    <mergeCell ref="BVN13:BVP13"/>
    <mergeCell ref="BVQ13:BVS13"/>
    <mergeCell ref="BVU13:BVV13"/>
    <mergeCell ref="BVZ13:BWB13"/>
    <mergeCell ref="BUG13:BUI13"/>
    <mergeCell ref="BUK13:BUL13"/>
    <mergeCell ref="BUP13:BUR13"/>
    <mergeCell ref="BUS13:BUU13"/>
    <mergeCell ref="BUW13:BUX13"/>
    <mergeCell ref="BVB13:BVD13"/>
    <mergeCell ref="BTI13:BTK13"/>
    <mergeCell ref="BTM13:BTN13"/>
    <mergeCell ref="BTR13:BTT13"/>
    <mergeCell ref="BTU13:BTW13"/>
    <mergeCell ref="BTY13:BTZ13"/>
    <mergeCell ref="BUD13:BUF13"/>
    <mergeCell ref="BSK13:BSM13"/>
    <mergeCell ref="BSO13:BSP13"/>
    <mergeCell ref="BST13:BSV13"/>
    <mergeCell ref="BSW13:BSY13"/>
    <mergeCell ref="BTA13:BTB13"/>
    <mergeCell ref="BTF13:BTH13"/>
    <mergeCell ref="BRM13:BRO13"/>
    <mergeCell ref="BRQ13:BRR13"/>
    <mergeCell ref="BRV13:BRX13"/>
    <mergeCell ref="BRY13:BSA13"/>
    <mergeCell ref="BSC13:BSD13"/>
    <mergeCell ref="BSH13:BSJ13"/>
    <mergeCell ref="BQO13:BQQ13"/>
    <mergeCell ref="BQS13:BQT13"/>
    <mergeCell ref="BQX13:BQZ13"/>
    <mergeCell ref="BRA13:BRC13"/>
    <mergeCell ref="BRE13:BRF13"/>
    <mergeCell ref="BRJ13:BRL13"/>
    <mergeCell ref="BPQ13:BPS13"/>
    <mergeCell ref="BPU13:BPV13"/>
    <mergeCell ref="BPZ13:BQB13"/>
    <mergeCell ref="BQC13:BQE13"/>
    <mergeCell ref="BQG13:BQH13"/>
    <mergeCell ref="BQL13:BQN13"/>
    <mergeCell ref="BOS13:BOU13"/>
    <mergeCell ref="BOW13:BOX13"/>
    <mergeCell ref="BPB13:BPD13"/>
    <mergeCell ref="BPE13:BPG13"/>
    <mergeCell ref="BPI13:BPJ13"/>
    <mergeCell ref="BPN13:BPP13"/>
    <mergeCell ref="BNU13:BNW13"/>
    <mergeCell ref="BNY13:BNZ13"/>
    <mergeCell ref="BOD13:BOF13"/>
    <mergeCell ref="BOG13:BOI13"/>
    <mergeCell ref="BOK13:BOL13"/>
    <mergeCell ref="BOP13:BOR13"/>
    <mergeCell ref="BMW13:BMY13"/>
    <mergeCell ref="BNA13:BNB13"/>
    <mergeCell ref="BNF13:BNH13"/>
    <mergeCell ref="BNI13:BNK13"/>
    <mergeCell ref="BNM13:BNN13"/>
    <mergeCell ref="BNR13:BNT13"/>
    <mergeCell ref="BLY13:BMA13"/>
    <mergeCell ref="BMC13:BMD13"/>
    <mergeCell ref="BMH13:BMJ13"/>
    <mergeCell ref="BMK13:BMM13"/>
    <mergeCell ref="BMO13:BMP13"/>
    <mergeCell ref="BMT13:BMV13"/>
    <mergeCell ref="BLA13:BLC13"/>
    <mergeCell ref="BLE13:BLF13"/>
    <mergeCell ref="BLJ13:BLL13"/>
    <mergeCell ref="BLM13:BLO13"/>
    <mergeCell ref="BLQ13:BLR13"/>
    <mergeCell ref="BLV13:BLX13"/>
    <mergeCell ref="BKC13:BKE13"/>
    <mergeCell ref="BKG13:BKH13"/>
    <mergeCell ref="BKL13:BKN13"/>
    <mergeCell ref="BKO13:BKQ13"/>
    <mergeCell ref="BKS13:BKT13"/>
    <mergeCell ref="BKX13:BKZ13"/>
    <mergeCell ref="BJE13:BJG13"/>
    <mergeCell ref="BJI13:BJJ13"/>
    <mergeCell ref="BJN13:BJP13"/>
    <mergeCell ref="BJQ13:BJS13"/>
    <mergeCell ref="BJU13:BJV13"/>
    <mergeCell ref="BJZ13:BKB13"/>
    <mergeCell ref="BIG13:BII13"/>
    <mergeCell ref="BIK13:BIL13"/>
    <mergeCell ref="BIP13:BIR13"/>
    <mergeCell ref="BIS13:BIU13"/>
    <mergeCell ref="BIW13:BIX13"/>
    <mergeCell ref="BJB13:BJD13"/>
    <mergeCell ref="BHI13:BHK13"/>
    <mergeCell ref="BHM13:BHN13"/>
    <mergeCell ref="BHR13:BHT13"/>
    <mergeCell ref="BHU13:BHW13"/>
    <mergeCell ref="BHY13:BHZ13"/>
    <mergeCell ref="BID13:BIF13"/>
    <mergeCell ref="BGK13:BGM13"/>
    <mergeCell ref="BGO13:BGP13"/>
    <mergeCell ref="BGT13:BGV13"/>
    <mergeCell ref="BGW13:BGY13"/>
    <mergeCell ref="BHA13:BHB13"/>
    <mergeCell ref="BHF13:BHH13"/>
    <mergeCell ref="BFM13:BFO13"/>
    <mergeCell ref="BFQ13:BFR13"/>
    <mergeCell ref="BFV13:BFX13"/>
    <mergeCell ref="BFY13:BGA13"/>
    <mergeCell ref="BGC13:BGD13"/>
    <mergeCell ref="BGH13:BGJ13"/>
    <mergeCell ref="BEO13:BEQ13"/>
    <mergeCell ref="BES13:BET13"/>
    <mergeCell ref="BEX13:BEZ13"/>
    <mergeCell ref="BFA13:BFC13"/>
    <mergeCell ref="BFE13:BFF13"/>
    <mergeCell ref="BFJ13:BFL13"/>
    <mergeCell ref="BDQ13:BDS13"/>
    <mergeCell ref="BDU13:BDV13"/>
    <mergeCell ref="BDZ13:BEB13"/>
    <mergeCell ref="BEC13:BEE13"/>
    <mergeCell ref="BEG13:BEH13"/>
    <mergeCell ref="BEL13:BEN13"/>
    <mergeCell ref="BCS13:BCU13"/>
    <mergeCell ref="BCW13:BCX13"/>
    <mergeCell ref="BDB13:BDD13"/>
    <mergeCell ref="BDE13:BDG13"/>
    <mergeCell ref="BDI13:BDJ13"/>
    <mergeCell ref="BDN13:BDP13"/>
    <mergeCell ref="BBU13:BBW13"/>
    <mergeCell ref="BBY13:BBZ13"/>
    <mergeCell ref="BCD13:BCF13"/>
    <mergeCell ref="BCG13:BCI13"/>
    <mergeCell ref="BCK13:BCL13"/>
    <mergeCell ref="BCP13:BCR13"/>
    <mergeCell ref="BAW13:BAY13"/>
    <mergeCell ref="BBA13:BBB13"/>
    <mergeCell ref="BBF13:BBH13"/>
    <mergeCell ref="BBI13:BBK13"/>
    <mergeCell ref="BBM13:BBN13"/>
    <mergeCell ref="BBR13:BBT13"/>
    <mergeCell ref="AZY13:BAA13"/>
    <mergeCell ref="BAC13:BAD13"/>
    <mergeCell ref="BAH13:BAJ13"/>
    <mergeCell ref="BAK13:BAM13"/>
    <mergeCell ref="BAO13:BAP13"/>
    <mergeCell ref="BAT13:BAV13"/>
    <mergeCell ref="AZA13:AZC13"/>
    <mergeCell ref="AZE13:AZF13"/>
    <mergeCell ref="AZJ13:AZL13"/>
    <mergeCell ref="AZM13:AZO13"/>
    <mergeCell ref="AZQ13:AZR13"/>
    <mergeCell ref="AZV13:AZX13"/>
    <mergeCell ref="AYC13:AYE13"/>
    <mergeCell ref="AYG13:AYH13"/>
    <mergeCell ref="AYL13:AYN13"/>
    <mergeCell ref="AYO13:AYQ13"/>
    <mergeCell ref="AYS13:AYT13"/>
    <mergeCell ref="AYX13:AYZ13"/>
    <mergeCell ref="AXE13:AXG13"/>
    <mergeCell ref="AXI13:AXJ13"/>
    <mergeCell ref="AXN13:AXP13"/>
    <mergeCell ref="AXQ13:AXS13"/>
    <mergeCell ref="AXU13:AXV13"/>
    <mergeCell ref="AXZ13:AYB13"/>
    <mergeCell ref="AWG13:AWI13"/>
    <mergeCell ref="AWK13:AWL13"/>
    <mergeCell ref="AWP13:AWR13"/>
    <mergeCell ref="AWS13:AWU13"/>
    <mergeCell ref="AWW13:AWX13"/>
    <mergeCell ref="AXB13:AXD13"/>
    <mergeCell ref="AVI13:AVK13"/>
    <mergeCell ref="AVM13:AVN13"/>
    <mergeCell ref="AVR13:AVT13"/>
    <mergeCell ref="AVU13:AVW13"/>
    <mergeCell ref="AVY13:AVZ13"/>
    <mergeCell ref="AWD13:AWF13"/>
    <mergeCell ref="AUK13:AUM13"/>
    <mergeCell ref="AUO13:AUP13"/>
    <mergeCell ref="AUT13:AUV13"/>
    <mergeCell ref="AUW13:AUY13"/>
    <mergeCell ref="AVA13:AVB13"/>
    <mergeCell ref="AVF13:AVH13"/>
    <mergeCell ref="ATM13:ATO13"/>
    <mergeCell ref="ATQ13:ATR13"/>
    <mergeCell ref="ATV13:ATX13"/>
    <mergeCell ref="ATY13:AUA13"/>
    <mergeCell ref="AUC13:AUD13"/>
    <mergeCell ref="AUH13:AUJ13"/>
    <mergeCell ref="ASO13:ASQ13"/>
    <mergeCell ref="ASS13:AST13"/>
    <mergeCell ref="ASX13:ASZ13"/>
    <mergeCell ref="ATA13:ATC13"/>
    <mergeCell ref="ATE13:ATF13"/>
    <mergeCell ref="ATJ13:ATL13"/>
    <mergeCell ref="ARQ13:ARS13"/>
    <mergeCell ref="ARU13:ARV13"/>
    <mergeCell ref="ARZ13:ASB13"/>
    <mergeCell ref="ASC13:ASE13"/>
    <mergeCell ref="ASG13:ASH13"/>
    <mergeCell ref="ASL13:ASN13"/>
    <mergeCell ref="AQS13:AQU13"/>
    <mergeCell ref="AQW13:AQX13"/>
    <mergeCell ref="ARB13:ARD13"/>
    <mergeCell ref="ARE13:ARG13"/>
    <mergeCell ref="ARI13:ARJ13"/>
    <mergeCell ref="ARN13:ARP13"/>
    <mergeCell ref="APU13:APW13"/>
    <mergeCell ref="APY13:APZ13"/>
    <mergeCell ref="AQD13:AQF13"/>
    <mergeCell ref="AQG13:AQI13"/>
    <mergeCell ref="AQK13:AQL13"/>
    <mergeCell ref="AQP13:AQR13"/>
    <mergeCell ref="AOW13:AOY13"/>
    <mergeCell ref="APA13:APB13"/>
    <mergeCell ref="APF13:APH13"/>
    <mergeCell ref="API13:APK13"/>
    <mergeCell ref="APM13:APN13"/>
    <mergeCell ref="APR13:APT13"/>
    <mergeCell ref="ANY13:AOA13"/>
    <mergeCell ref="AOC13:AOD13"/>
    <mergeCell ref="AOH13:AOJ13"/>
    <mergeCell ref="AOK13:AOM13"/>
    <mergeCell ref="AOO13:AOP13"/>
    <mergeCell ref="AOT13:AOV13"/>
    <mergeCell ref="ANA13:ANC13"/>
    <mergeCell ref="ANE13:ANF13"/>
    <mergeCell ref="ANJ13:ANL13"/>
    <mergeCell ref="ANM13:ANO13"/>
    <mergeCell ref="ANQ13:ANR13"/>
    <mergeCell ref="ANV13:ANX13"/>
    <mergeCell ref="AMC13:AME13"/>
    <mergeCell ref="AMG13:AMH13"/>
    <mergeCell ref="AML13:AMN13"/>
    <mergeCell ref="AMO13:AMQ13"/>
    <mergeCell ref="AMS13:AMT13"/>
    <mergeCell ref="AMX13:AMZ13"/>
    <mergeCell ref="ALE13:ALG13"/>
    <mergeCell ref="ALI13:ALJ13"/>
    <mergeCell ref="ALN13:ALP13"/>
    <mergeCell ref="ALQ13:ALS13"/>
    <mergeCell ref="ALU13:ALV13"/>
    <mergeCell ref="ALZ13:AMB13"/>
    <mergeCell ref="AKG13:AKI13"/>
    <mergeCell ref="AKK13:AKL13"/>
    <mergeCell ref="AKP13:AKR13"/>
    <mergeCell ref="AKS13:AKU13"/>
    <mergeCell ref="AKW13:AKX13"/>
    <mergeCell ref="ALB13:ALD13"/>
    <mergeCell ref="AJI13:AJK13"/>
    <mergeCell ref="AJM13:AJN13"/>
    <mergeCell ref="AJR13:AJT13"/>
    <mergeCell ref="AJU13:AJW13"/>
    <mergeCell ref="AJY13:AJZ13"/>
    <mergeCell ref="AKD13:AKF13"/>
    <mergeCell ref="AIK13:AIM13"/>
    <mergeCell ref="AIO13:AIP13"/>
    <mergeCell ref="AIT13:AIV13"/>
    <mergeCell ref="AIW13:AIY13"/>
    <mergeCell ref="AJA13:AJB13"/>
    <mergeCell ref="AJF13:AJH13"/>
    <mergeCell ref="AHM13:AHO13"/>
    <mergeCell ref="AHQ13:AHR13"/>
    <mergeCell ref="AHV13:AHX13"/>
    <mergeCell ref="AHY13:AIA13"/>
    <mergeCell ref="AIC13:AID13"/>
    <mergeCell ref="AIH13:AIJ13"/>
    <mergeCell ref="AGO13:AGQ13"/>
    <mergeCell ref="AGS13:AGT13"/>
    <mergeCell ref="AGX13:AGZ13"/>
    <mergeCell ref="AHA13:AHC13"/>
    <mergeCell ref="AHE13:AHF13"/>
    <mergeCell ref="AHJ13:AHL13"/>
    <mergeCell ref="AFP13:AFR13"/>
    <mergeCell ref="AFT13:AFU13"/>
    <mergeCell ref="AFZ13:AGB13"/>
    <mergeCell ref="AGC13:AGE13"/>
    <mergeCell ref="AGG13:AGH13"/>
    <mergeCell ref="AGL13:AGN13"/>
    <mergeCell ref="AEP13:AER13"/>
    <mergeCell ref="AET13:AEU13"/>
    <mergeCell ref="AEZ13:AFB13"/>
    <mergeCell ref="AFC13:AFE13"/>
    <mergeCell ref="AFG13:AFH13"/>
    <mergeCell ref="AFM13:AFO13"/>
    <mergeCell ref="ADP13:ADR13"/>
    <mergeCell ref="ADT13:ADU13"/>
    <mergeCell ref="ADZ13:AEB13"/>
    <mergeCell ref="AEC13:AEE13"/>
    <mergeCell ref="AEG13:AEH13"/>
    <mergeCell ref="AEM13:AEO13"/>
    <mergeCell ref="ACP13:ACR13"/>
    <mergeCell ref="ACT13:ACU13"/>
    <mergeCell ref="ACZ13:ADB13"/>
    <mergeCell ref="ADC13:ADE13"/>
    <mergeCell ref="ADG13:ADH13"/>
    <mergeCell ref="ADM13:ADO13"/>
    <mergeCell ref="ABP13:ABR13"/>
    <mergeCell ref="ABT13:ABU13"/>
    <mergeCell ref="ABZ13:ACB13"/>
    <mergeCell ref="ACC13:ACE13"/>
    <mergeCell ref="ACG13:ACH13"/>
    <mergeCell ref="ACM13:ACO13"/>
    <mergeCell ref="AAP13:AAR13"/>
    <mergeCell ref="AAT13:AAU13"/>
    <mergeCell ref="AAZ13:ABB13"/>
    <mergeCell ref="ABC13:ABE13"/>
    <mergeCell ref="ABG13:ABH13"/>
    <mergeCell ref="ABM13:ABO13"/>
    <mergeCell ref="ZR13:ZT13"/>
    <mergeCell ref="ZU13:ZV13"/>
    <mergeCell ref="ZZ13:AAB13"/>
    <mergeCell ref="AAC13:AAE13"/>
    <mergeCell ref="AAG13:AAH13"/>
    <mergeCell ref="AAM13:AAO13"/>
    <mergeCell ref="YP13:YR13"/>
    <mergeCell ref="YS13:YT13"/>
    <mergeCell ref="YX13:YZ13"/>
    <mergeCell ref="ZD13:ZF13"/>
    <mergeCell ref="ZG13:ZH13"/>
    <mergeCell ref="ZL13:ZN13"/>
    <mergeCell ref="XN13:XP13"/>
    <mergeCell ref="XQ13:XR13"/>
    <mergeCell ref="XV13:XX13"/>
    <mergeCell ref="YB13:YD13"/>
    <mergeCell ref="YE13:YF13"/>
    <mergeCell ref="YJ13:YL13"/>
    <mergeCell ref="WL13:WN13"/>
    <mergeCell ref="WO13:WP13"/>
    <mergeCell ref="WT13:WV13"/>
    <mergeCell ref="WZ13:XB13"/>
    <mergeCell ref="XC13:XD13"/>
    <mergeCell ref="XH13:XJ13"/>
    <mergeCell ref="VJ13:VL13"/>
    <mergeCell ref="VM13:VN13"/>
    <mergeCell ref="VR13:VT13"/>
    <mergeCell ref="VX13:VZ13"/>
    <mergeCell ref="WA13:WB13"/>
    <mergeCell ref="WF13:WH13"/>
    <mergeCell ref="UH13:UJ13"/>
    <mergeCell ref="UK13:UL13"/>
    <mergeCell ref="UP13:UR13"/>
    <mergeCell ref="UV13:UX13"/>
    <mergeCell ref="UY13:UZ13"/>
    <mergeCell ref="VD13:VF13"/>
    <mergeCell ref="TF13:TH13"/>
    <mergeCell ref="TI13:TJ13"/>
    <mergeCell ref="TN13:TP13"/>
    <mergeCell ref="TT13:TV13"/>
    <mergeCell ref="TW13:TX13"/>
    <mergeCell ref="UB13:UD13"/>
    <mergeCell ref="SD13:SF13"/>
    <mergeCell ref="SG13:SH13"/>
    <mergeCell ref="SL13:SN13"/>
    <mergeCell ref="SR13:ST13"/>
    <mergeCell ref="SU13:SV13"/>
    <mergeCell ref="SZ13:TB13"/>
    <mergeCell ref="RB13:RD13"/>
    <mergeCell ref="RE13:RF13"/>
    <mergeCell ref="RJ13:RL13"/>
    <mergeCell ref="RP13:RR13"/>
    <mergeCell ref="RS13:RT13"/>
    <mergeCell ref="RX13:RZ13"/>
    <mergeCell ref="PZ13:QB13"/>
    <mergeCell ref="QC13:QD13"/>
    <mergeCell ref="QH13:QJ13"/>
    <mergeCell ref="QN13:QP13"/>
    <mergeCell ref="QQ13:QR13"/>
    <mergeCell ref="QV13:QX13"/>
    <mergeCell ref="OX13:OZ13"/>
    <mergeCell ref="PA13:PB13"/>
    <mergeCell ref="PF13:PH13"/>
    <mergeCell ref="PL13:PN13"/>
    <mergeCell ref="PO13:PP13"/>
    <mergeCell ref="PT13:PV13"/>
    <mergeCell ref="NV13:NX13"/>
    <mergeCell ref="NY13:NZ13"/>
    <mergeCell ref="OD13:OF13"/>
    <mergeCell ref="OJ13:OL13"/>
    <mergeCell ref="OM13:ON13"/>
    <mergeCell ref="OR13:OT13"/>
    <mergeCell ref="MT13:MV13"/>
    <mergeCell ref="MW13:MX13"/>
    <mergeCell ref="NB13:ND13"/>
    <mergeCell ref="NH13:NJ13"/>
    <mergeCell ref="NK13:NL13"/>
    <mergeCell ref="NP13:NR13"/>
    <mergeCell ref="LR13:LT13"/>
    <mergeCell ref="LU13:LV13"/>
    <mergeCell ref="LZ13:MB13"/>
    <mergeCell ref="MF13:MH13"/>
    <mergeCell ref="MI13:MJ13"/>
    <mergeCell ref="MN13:MP13"/>
    <mergeCell ref="KP13:KR13"/>
    <mergeCell ref="KS13:KT13"/>
    <mergeCell ref="KX13:KZ13"/>
    <mergeCell ref="LD13:LF13"/>
    <mergeCell ref="LG13:LH13"/>
    <mergeCell ref="LL13:LN13"/>
    <mergeCell ref="JU13:JU14"/>
    <mergeCell ref="JV13:JX13"/>
    <mergeCell ref="KB13:KD13"/>
    <mergeCell ref="KE13:KF13"/>
    <mergeCell ref="KI13:KI14"/>
    <mergeCell ref="KJ13:KL13"/>
    <mergeCell ref="JV14:JX14"/>
    <mergeCell ref="KB14:KD14"/>
    <mergeCell ref="KE14:KF14"/>
    <mergeCell ref="KJ14:KL14"/>
    <mergeCell ref="IZ13:JB13"/>
    <mergeCell ref="JC13:JD13"/>
    <mergeCell ref="JG13:JG14"/>
    <mergeCell ref="JH13:JJ13"/>
    <mergeCell ref="JN13:JP13"/>
    <mergeCell ref="JQ13:JR13"/>
    <mergeCell ref="JC14:JD14"/>
    <mergeCell ref="JH14:JJ14"/>
    <mergeCell ref="JN14:JP14"/>
    <mergeCell ref="JQ14:JR14"/>
    <mergeCell ref="IE13:IE14"/>
    <mergeCell ref="IF13:IH13"/>
    <mergeCell ref="IL13:IN13"/>
    <mergeCell ref="IO13:IP13"/>
    <mergeCell ref="IS13:IS14"/>
    <mergeCell ref="IT13:IV13"/>
    <mergeCell ref="HJ13:HL13"/>
    <mergeCell ref="HM13:HN13"/>
    <mergeCell ref="HQ13:HQ14"/>
    <mergeCell ref="HR13:HT13"/>
    <mergeCell ref="HX13:HZ13"/>
    <mergeCell ref="IA13:IB13"/>
    <mergeCell ref="HJ14:HL14"/>
    <mergeCell ref="HM14:HN14"/>
    <mergeCell ref="HR14:HT14"/>
    <mergeCell ref="HX14:HZ14"/>
    <mergeCell ref="GO13:GO14"/>
    <mergeCell ref="GP13:GR13"/>
    <mergeCell ref="GV13:GX13"/>
    <mergeCell ref="GY13:GZ13"/>
    <mergeCell ref="HC13:HC14"/>
    <mergeCell ref="HD13:HF13"/>
    <mergeCell ref="GP14:GR14"/>
    <mergeCell ref="GV14:GX14"/>
    <mergeCell ref="GY14:GZ14"/>
    <mergeCell ref="HD14:HF14"/>
    <mergeCell ref="FT13:FV13"/>
    <mergeCell ref="FW13:FX13"/>
    <mergeCell ref="GA13:GA14"/>
    <mergeCell ref="GB13:GD13"/>
    <mergeCell ref="GH13:GJ13"/>
    <mergeCell ref="GK13:GL13"/>
    <mergeCell ref="FW14:FX14"/>
    <mergeCell ref="GB14:GD14"/>
    <mergeCell ref="GH14:GJ14"/>
    <mergeCell ref="GK14:GL14"/>
    <mergeCell ref="EY13:EY14"/>
    <mergeCell ref="EZ13:FB13"/>
    <mergeCell ref="FF13:FH13"/>
    <mergeCell ref="FI13:FJ13"/>
    <mergeCell ref="FM13:FM14"/>
    <mergeCell ref="FN13:FP13"/>
    <mergeCell ref="ED13:EF13"/>
    <mergeCell ref="EG13:EH13"/>
    <mergeCell ref="EK13:EK14"/>
    <mergeCell ref="EL13:EN13"/>
    <mergeCell ref="ER13:ET13"/>
    <mergeCell ref="EU13:EV13"/>
    <mergeCell ref="ED14:EF14"/>
    <mergeCell ref="EG14:EH14"/>
    <mergeCell ref="EL14:EN14"/>
    <mergeCell ref="ER14:ET14"/>
    <mergeCell ref="DI13:DI14"/>
    <mergeCell ref="DJ13:DL13"/>
    <mergeCell ref="DP13:DR13"/>
    <mergeCell ref="DS13:DT13"/>
    <mergeCell ref="DW13:DW14"/>
    <mergeCell ref="DX13:DZ13"/>
    <mergeCell ref="DJ14:DL14"/>
    <mergeCell ref="DP14:DR14"/>
    <mergeCell ref="DS14:DT14"/>
    <mergeCell ref="DX14:DZ14"/>
    <mergeCell ref="CN13:CP13"/>
    <mergeCell ref="CQ13:CR13"/>
    <mergeCell ref="CU13:CU14"/>
    <mergeCell ref="CV13:CX13"/>
    <mergeCell ref="DB13:DD13"/>
    <mergeCell ref="DE13:DF13"/>
    <mergeCell ref="CQ14:CR14"/>
    <mergeCell ref="CV14:CX14"/>
    <mergeCell ref="DB14:DD14"/>
    <mergeCell ref="DE14:DF14"/>
    <mergeCell ref="BS13:BS14"/>
    <mergeCell ref="BT13:BV13"/>
    <mergeCell ref="BZ13:CB13"/>
    <mergeCell ref="CC13:CD13"/>
    <mergeCell ref="CG13:CG14"/>
    <mergeCell ref="CH13:CJ13"/>
    <mergeCell ref="AX13:AZ13"/>
    <mergeCell ref="BA13:BB13"/>
    <mergeCell ref="BE13:BE14"/>
    <mergeCell ref="BF13:BH13"/>
    <mergeCell ref="BL13:BN13"/>
    <mergeCell ref="BO13:BP13"/>
    <mergeCell ref="AX14:AZ14"/>
    <mergeCell ref="BA14:BB14"/>
    <mergeCell ref="BF14:BH14"/>
    <mergeCell ref="BL14:BN14"/>
    <mergeCell ref="Y13:Z13"/>
    <mergeCell ref="AD13:AF13"/>
    <mergeCell ref="AJ13:AL13"/>
    <mergeCell ref="AM13:AN13"/>
    <mergeCell ref="AQ13:AQ14"/>
    <mergeCell ref="AR13:AT13"/>
    <mergeCell ref="AM14:AN14"/>
    <mergeCell ref="AR14:AT14"/>
    <mergeCell ref="CVV12:CVX12"/>
    <mergeCell ref="CVY12:CWA12"/>
    <mergeCell ref="CWC12:CWD12"/>
    <mergeCell ref="A13:A14"/>
    <mergeCell ref="B13:D13"/>
    <mergeCell ref="H13:J13"/>
    <mergeCell ref="K13:L13"/>
    <mergeCell ref="O13:O14"/>
    <mergeCell ref="P13:R13"/>
    <mergeCell ref="V13:X13"/>
    <mergeCell ref="CUX12:CUZ12"/>
    <mergeCell ref="CVA12:CVC12"/>
    <mergeCell ref="CVE12:CVF12"/>
    <mergeCell ref="CVJ12:CVL12"/>
    <mergeCell ref="CVM12:CVO12"/>
    <mergeCell ref="CVQ12:CVR12"/>
    <mergeCell ref="CTZ12:CUB12"/>
    <mergeCell ref="CUC12:CUE12"/>
    <mergeCell ref="CUG12:CUH12"/>
    <mergeCell ref="CUL12:CUN12"/>
    <mergeCell ref="CUO12:CUQ12"/>
    <mergeCell ref="CUS12:CUT12"/>
    <mergeCell ref="CTB12:CTD12"/>
    <mergeCell ref="CTE12:CTG12"/>
    <mergeCell ref="CTI12:CTJ12"/>
    <mergeCell ref="CTN12:CTP12"/>
    <mergeCell ref="CTQ12:CTS12"/>
    <mergeCell ref="CTU12:CTV12"/>
    <mergeCell ref="CSD12:CSF12"/>
    <mergeCell ref="CSG12:CSI12"/>
    <mergeCell ref="CSK12:CSL12"/>
    <mergeCell ref="CSP12:CSR12"/>
    <mergeCell ref="CSS12:CSU12"/>
    <mergeCell ref="CSW12:CSX12"/>
    <mergeCell ref="CRF12:CRH12"/>
    <mergeCell ref="CRI12:CRK12"/>
    <mergeCell ref="CRM12:CRN12"/>
    <mergeCell ref="CRR12:CRT12"/>
    <mergeCell ref="CRU12:CRW12"/>
    <mergeCell ref="CRY12:CRZ12"/>
    <mergeCell ref="CQH12:CQJ12"/>
    <mergeCell ref="CQK12:CQM12"/>
    <mergeCell ref="CQO12:CQP12"/>
    <mergeCell ref="CQT12:CQV12"/>
    <mergeCell ref="CQW12:CQY12"/>
    <mergeCell ref="CRA12:CRB12"/>
    <mergeCell ref="CPJ12:CPL12"/>
    <mergeCell ref="CPM12:CPO12"/>
    <mergeCell ref="CPQ12:CPR12"/>
    <mergeCell ref="CPV12:CPX12"/>
    <mergeCell ref="CPY12:CQA12"/>
    <mergeCell ref="CQC12:CQD12"/>
    <mergeCell ref="COL12:CON12"/>
    <mergeCell ref="COO12:COQ12"/>
    <mergeCell ref="COS12:COT12"/>
    <mergeCell ref="COX12:COZ12"/>
    <mergeCell ref="CPA12:CPC12"/>
    <mergeCell ref="CPE12:CPF12"/>
    <mergeCell ref="CNN12:CNP12"/>
    <mergeCell ref="CNQ12:CNS12"/>
    <mergeCell ref="CNU12:CNV12"/>
    <mergeCell ref="CNZ12:COB12"/>
    <mergeCell ref="COC12:COE12"/>
    <mergeCell ref="COG12:COH12"/>
    <mergeCell ref="CMP12:CMR12"/>
    <mergeCell ref="CMS12:CMU12"/>
    <mergeCell ref="CMW12:CMX12"/>
    <mergeCell ref="CNB12:CND12"/>
    <mergeCell ref="CNE12:CNG12"/>
    <mergeCell ref="CNI12:CNJ12"/>
    <mergeCell ref="CLR12:CLT12"/>
    <mergeCell ref="CLU12:CLW12"/>
    <mergeCell ref="CLY12:CLZ12"/>
    <mergeCell ref="CMD12:CMF12"/>
    <mergeCell ref="CMG12:CMI12"/>
    <mergeCell ref="CMK12:CML12"/>
    <mergeCell ref="CKT12:CKV12"/>
    <mergeCell ref="CKW12:CKY12"/>
    <mergeCell ref="CLA12:CLB12"/>
    <mergeCell ref="CLF12:CLH12"/>
    <mergeCell ref="CLI12:CLK12"/>
    <mergeCell ref="CLM12:CLN12"/>
    <mergeCell ref="CJV12:CJX12"/>
    <mergeCell ref="CJY12:CKA12"/>
    <mergeCell ref="CKC12:CKD12"/>
    <mergeCell ref="CKH12:CKJ12"/>
    <mergeCell ref="CKK12:CKM12"/>
    <mergeCell ref="CKO12:CKP12"/>
    <mergeCell ref="CIX12:CIZ12"/>
    <mergeCell ref="CJA12:CJC12"/>
    <mergeCell ref="CJE12:CJF12"/>
    <mergeCell ref="CJJ12:CJL12"/>
    <mergeCell ref="CJM12:CJO12"/>
    <mergeCell ref="CJQ12:CJR12"/>
    <mergeCell ref="CHZ12:CIB12"/>
    <mergeCell ref="CIC12:CIE12"/>
    <mergeCell ref="CIG12:CIH12"/>
    <mergeCell ref="CIL12:CIN12"/>
    <mergeCell ref="CIO12:CIQ12"/>
    <mergeCell ref="CIS12:CIT12"/>
    <mergeCell ref="CHB12:CHD12"/>
    <mergeCell ref="CHE12:CHG12"/>
    <mergeCell ref="CHI12:CHJ12"/>
    <mergeCell ref="CHN12:CHP12"/>
    <mergeCell ref="CHQ12:CHS12"/>
    <mergeCell ref="CHU12:CHV12"/>
    <mergeCell ref="CGD12:CGF12"/>
    <mergeCell ref="CGG12:CGI12"/>
    <mergeCell ref="CGK12:CGL12"/>
    <mergeCell ref="CGP12:CGR12"/>
    <mergeCell ref="CGS12:CGU12"/>
    <mergeCell ref="CGW12:CGX12"/>
    <mergeCell ref="CFF12:CFH12"/>
    <mergeCell ref="CFI12:CFK12"/>
    <mergeCell ref="CFM12:CFN12"/>
    <mergeCell ref="CFR12:CFT12"/>
    <mergeCell ref="CFU12:CFW12"/>
    <mergeCell ref="CFY12:CFZ12"/>
    <mergeCell ref="CEH12:CEJ12"/>
    <mergeCell ref="CEK12:CEM12"/>
    <mergeCell ref="CEO12:CEP12"/>
    <mergeCell ref="CET12:CEV12"/>
    <mergeCell ref="CEW12:CEY12"/>
    <mergeCell ref="CFA12:CFB12"/>
    <mergeCell ref="CDJ12:CDL12"/>
    <mergeCell ref="CDM12:CDO12"/>
    <mergeCell ref="CDQ12:CDR12"/>
    <mergeCell ref="CDV12:CDX12"/>
    <mergeCell ref="CDY12:CEA12"/>
    <mergeCell ref="CEC12:CED12"/>
    <mergeCell ref="CCL12:CCN12"/>
    <mergeCell ref="CCO12:CCQ12"/>
    <mergeCell ref="CCS12:CCT12"/>
    <mergeCell ref="CCX12:CCZ12"/>
    <mergeCell ref="CDA12:CDC12"/>
    <mergeCell ref="CDE12:CDF12"/>
    <mergeCell ref="CBN12:CBP12"/>
    <mergeCell ref="CBQ12:CBS12"/>
    <mergeCell ref="CBU12:CBV12"/>
    <mergeCell ref="CBZ12:CCB12"/>
    <mergeCell ref="CCC12:CCE12"/>
    <mergeCell ref="CCG12:CCH12"/>
    <mergeCell ref="CAP12:CAR12"/>
    <mergeCell ref="CAS12:CAU12"/>
    <mergeCell ref="CAW12:CAX12"/>
    <mergeCell ref="CBB12:CBD12"/>
    <mergeCell ref="CBE12:CBG12"/>
    <mergeCell ref="CBI12:CBJ12"/>
    <mergeCell ref="BZR12:BZT12"/>
    <mergeCell ref="BZU12:BZW12"/>
    <mergeCell ref="BZY12:BZZ12"/>
    <mergeCell ref="CAD12:CAF12"/>
    <mergeCell ref="CAG12:CAI12"/>
    <mergeCell ref="CAK12:CAL12"/>
    <mergeCell ref="BYT12:BYV12"/>
    <mergeCell ref="BYW12:BYY12"/>
    <mergeCell ref="BZA12:BZB12"/>
    <mergeCell ref="BZF12:BZH12"/>
    <mergeCell ref="BZI12:BZK12"/>
    <mergeCell ref="BZM12:BZN12"/>
    <mergeCell ref="BXV12:BXX12"/>
    <mergeCell ref="BXY12:BYA12"/>
    <mergeCell ref="BYC12:BYD12"/>
    <mergeCell ref="BYH12:BYJ12"/>
    <mergeCell ref="BYK12:BYM12"/>
    <mergeCell ref="BYO12:BYP12"/>
    <mergeCell ref="BWX12:BWZ12"/>
    <mergeCell ref="BXA12:BXC12"/>
    <mergeCell ref="BXE12:BXF12"/>
    <mergeCell ref="BXJ12:BXL12"/>
    <mergeCell ref="BXM12:BXO12"/>
    <mergeCell ref="BXQ12:BXR12"/>
    <mergeCell ref="BVZ12:BWB12"/>
    <mergeCell ref="BWC12:BWE12"/>
    <mergeCell ref="BWG12:BWH12"/>
    <mergeCell ref="BWL12:BWN12"/>
    <mergeCell ref="BWO12:BWQ12"/>
    <mergeCell ref="BWS12:BWT12"/>
    <mergeCell ref="BVB12:BVD12"/>
    <mergeCell ref="BVE12:BVG12"/>
    <mergeCell ref="BVI12:BVJ12"/>
    <mergeCell ref="BVN12:BVP12"/>
    <mergeCell ref="BVQ12:BVS12"/>
    <mergeCell ref="BVU12:BVV12"/>
    <mergeCell ref="BUD12:BUF12"/>
    <mergeCell ref="BUG12:BUI12"/>
    <mergeCell ref="BUK12:BUL12"/>
    <mergeCell ref="BUP12:BUR12"/>
    <mergeCell ref="BUS12:BUU12"/>
    <mergeCell ref="BUW12:BUX12"/>
    <mergeCell ref="BTF12:BTH12"/>
    <mergeCell ref="BTI12:BTK12"/>
    <mergeCell ref="BTM12:BTN12"/>
    <mergeCell ref="BTR12:BTT12"/>
    <mergeCell ref="BTU12:BTW12"/>
    <mergeCell ref="BTY12:BTZ12"/>
    <mergeCell ref="BSH12:BSJ12"/>
    <mergeCell ref="BSK12:BSM12"/>
    <mergeCell ref="BSO12:BSP12"/>
    <mergeCell ref="BST12:BSV12"/>
    <mergeCell ref="BSW12:BSY12"/>
    <mergeCell ref="BTA12:BTB12"/>
    <mergeCell ref="BRJ12:BRL12"/>
    <mergeCell ref="BRM12:BRO12"/>
    <mergeCell ref="BRQ12:BRR12"/>
    <mergeCell ref="BRV12:BRX12"/>
    <mergeCell ref="BRY12:BSA12"/>
    <mergeCell ref="BSC12:BSD12"/>
    <mergeCell ref="BQL12:BQN12"/>
    <mergeCell ref="BQO12:BQQ12"/>
    <mergeCell ref="BQS12:BQT12"/>
    <mergeCell ref="BQX12:BQZ12"/>
    <mergeCell ref="BRA12:BRC12"/>
    <mergeCell ref="BRE12:BRF12"/>
    <mergeCell ref="BPN12:BPP12"/>
    <mergeCell ref="BPQ12:BPS12"/>
    <mergeCell ref="BPU12:BPV12"/>
    <mergeCell ref="BPZ12:BQB12"/>
    <mergeCell ref="BQC12:BQE12"/>
    <mergeCell ref="BQG12:BQH12"/>
    <mergeCell ref="BOP12:BOR12"/>
    <mergeCell ref="BOS12:BOU12"/>
    <mergeCell ref="BOW12:BOX12"/>
    <mergeCell ref="BPB12:BPD12"/>
    <mergeCell ref="BPE12:BPG12"/>
    <mergeCell ref="BPI12:BPJ12"/>
    <mergeCell ref="BNR12:BNT12"/>
    <mergeCell ref="BNU12:BNW12"/>
    <mergeCell ref="BNY12:BNZ12"/>
    <mergeCell ref="BOD12:BOF12"/>
    <mergeCell ref="BOG12:BOI12"/>
    <mergeCell ref="BOK12:BOL12"/>
    <mergeCell ref="BMT12:BMV12"/>
    <mergeCell ref="BMW12:BMY12"/>
    <mergeCell ref="BNA12:BNB12"/>
    <mergeCell ref="BNF12:BNH12"/>
    <mergeCell ref="BNI12:BNK12"/>
    <mergeCell ref="BNM12:BNN12"/>
    <mergeCell ref="BLV12:BLX12"/>
    <mergeCell ref="BLY12:BMA12"/>
    <mergeCell ref="BMC12:BMD12"/>
    <mergeCell ref="BMH12:BMJ12"/>
    <mergeCell ref="BMK12:BMM12"/>
    <mergeCell ref="BMO12:BMP12"/>
    <mergeCell ref="BKX12:BKZ12"/>
    <mergeCell ref="BLA12:BLC12"/>
    <mergeCell ref="BLE12:BLF12"/>
    <mergeCell ref="BLJ12:BLL12"/>
    <mergeCell ref="BLM12:BLO12"/>
    <mergeCell ref="BLQ12:BLR12"/>
    <mergeCell ref="BJZ12:BKB12"/>
    <mergeCell ref="BKC12:BKE12"/>
    <mergeCell ref="BKG12:BKH12"/>
    <mergeCell ref="BKL12:BKN12"/>
    <mergeCell ref="BKO12:BKQ12"/>
    <mergeCell ref="BKS12:BKT12"/>
    <mergeCell ref="BJB12:BJD12"/>
    <mergeCell ref="BJE12:BJG12"/>
    <mergeCell ref="BJI12:BJJ12"/>
    <mergeCell ref="BJN12:BJP12"/>
    <mergeCell ref="BJQ12:BJS12"/>
    <mergeCell ref="BJU12:BJV12"/>
    <mergeCell ref="BID12:BIF12"/>
    <mergeCell ref="BIG12:BII12"/>
    <mergeCell ref="BIK12:BIL12"/>
    <mergeCell ref="BIP12:BIR12"/>
    <mergeCell ref="BIS12:BIU12"/>
    <mergeCell ref="BIW12:BIX12"/>
    <mergeCell ref="BHF12:BHH12"/>
    <mergeCell ref="BHI12:BHK12"/>
    <mergeCell ref="BHM12:BHN12"/>
    <mergeCell ref="BHR12:BHT12"/>
    <mergeCell ref="BHU12:BHW12"/>
    <mergeCell ref="BHY12:BHZ12"/>
    <mergeCell ref="BGH12:BGJ12"/>
    <mergeCell ref="BGK12:BGM12"/>
    <mergeCell ref="BGO12:BGP12"/>
    <mergeCell ref="BGT12:BGV12"/>
    <mergeCell ref="BGW12:BGY12"/>
    <mergeCell ref="BHA12:BHB12"/>
    <mergeCell ref="BFJ12:BFL12"/>
    <mergeCell ref="BFM12:BFO12"/>
    <mergeCell ref="BFQ12:BFR12"/>
    <mergeCell ref="BFV12:BFX12"/>
    <mergeCell ref="BFY12:BGA12"/>
    <mergeCell ref="BGC12:BGD12"/>
    <mergeCell ref="BEL12:BEN12"/>
    <mergeCell ref="BEO12:BEQ12"/>
    <mergeCell ref="BES12:BET12"/>
    <mergeCell ref="BEX12:BEZ12"/>
    <mergeCell ref="BFA12:BFC12"/>
    <mergeCell ref="BFE12:BFF12"/>
    <mergeCell ref="BDN12:BDP12"/>
    <mergeCell ref="BDQ12:BDS12"/>
    <mergeCell ref="BDU12:BDV12"/>
    <mergeCell ref="BDZ12:BEB12"/>
    <mergeCell ref="BEC12:BEE12"/>
    <mergeCell ref="BEG12:BEH12"/>
    <mergeCell ref="BCP12:BCR12"/>
    <mergeCell ref="BCS12:BCU12"/>
    <mergeCell ref="BCW12:BCX12"/>
    <mergeCell ref="BDB12:BDD12"/>
    <mergeCell ref="BDE12:BDG12"/>
    <mergeCell ref="BDI12:BDJ12"/>
    <mergeCell ref="BBR12:BBT12"/>
    <mergeCell ref="BBU12:BBW12"/>
    <mergeCell ref="BBY12:BBZ12"/>
    <mergeCell ref="BCD12:BCF12"/>
    <mergeCell ref="BCG12:BCI12"/>
    <mergeCell ref="BCK12:BCL12"/>
    <mergeCell ref="BAT12:BAV12"/>
    <mergeCell ref="BAW12:BAY12"/>
    <mergeCell ref="BBA12:BBB12"/>
    <mergeCell ref="BBF12:BBH12"/>
    <mergeCell ref="BBI12:BBK12"/>
    <mergeCell ref="BBM12:BBN12"/>
    <mergeCell ref="AZV12:AZX12"/>
    <mergeCell ref="AZY12:BAA12"/>
    <mergeCell ref="BAC12:BAD12"/>
    <mergeCell ref="BAH12:BAJ12"/>
    <mergeCell ref="BAK12:BAM12"/>
    <mergeCell ref="BAO12:BAP12"/>
    <mergeCell ref="AYX12:AYZ12"/>
    <mergeCell ref="AZA12:AZC12"/>
    <mergeCell ref="AZE12:AZF12"/>
    <mergeCell ref="AZJ12:AZL12"/>
    <mergeCell ref="AZM12:AZO12"/>
    <mergeCell ref="AZQ12:AZR12"/>
    <mergeCell ref="AXZ12:AYB12"/>
    <mergeCell ref="AYC12:AYE12"/>
    <mergeCell ref="AYG12:AYH12"/>
    <mergeCell ref="AYL12:AYN12"/>
    <mergeCell ref="AYO12:AYQ12"/>
    <mergeCell ref="AYS12:AYT12"/>
    <mergeCell ref="AXB12:AXD12"/>
    <mergeCell ref="AXE12:AXG12"/>
    <mergeCell ref="AXI12:AXJ12"/>
    <mergeCell ref="AXN12:AXP12"/>
    <mergeCell ref="AXQ12:AXS12"/>
    <mergeCell ref="AXU12:AXV12"/>
    <mergeCell ref="AWD12:AWF12"/>
    <mergeCell ref="AWG12:AWI12"/>
    <mergeCell ref="AWK12:AWL12"/>
    <mergeCell ref="AWP12:AWR12"/>
    <mergeCell ref="AWS12:AWU12"/>
    <mergeCell ref="AWW12:AWX12"/>
    <mergeCell ref="AVF12:AVH12"/>
    <mergeCell ref="AVI12:AVK12"/>
    <mergeCell ref="AVM12:AVN12"/>
    <mergeCell ref="AVR12:AVT12"/>
    <mergeCell ref="AVU12:AVW12"/>
    <mergeCell ref="AVY12:AVZ12"/>
    <mergeCell ref="AUH12:AUJ12"/>
    <mergeCell ref="AUK12:AUM12"/>
    <mergeCell ref="AUO12:AUP12"/>
    <mergeCell ref="AUT12:AUV12"/>
    <mergeCell ref="AUW12:AUY12"/>
    <mergeCell ref="AVA12:AVB12"/>
    <mergeCell ref="ATJ12:ATL12"/>
    <mergeCell ref="ATM12:ATO12"/>
    <mergeCell ref="ATQ12:ATR12"/>
    <mergeCell ref="ATV12:ATX12"/>
    <mergeCell ref="ATY12:AUA12"/>
    <mergeCell ref="AUC12:AUD12"/>
    <mergeCell ref="ASL12:ASN12"/>
    <mergeCell ref="ASO12:ASQ12"/>
    <mergeCell ref="ASS12:AST12"/>
    <mergeCell ref="ASX12:ASZ12"/>
    <mergeCell ref="ATA12:ATC12"/>
    <mergeCell ref="ATE12:ATF12"/>
    <mergeCell ref="ARN12:ARP12"/>
    <mergeCell ref="ARQ12:ARS12"/>
    <mergeCell ref="ARU12:ARV12"/>
    <mergeCell ref="ARZ12:ASB12"/>
    <mergeCell ref="ASC12:ASE12"/>
    <mergeCell ref="ASG12:ASH12"/>
    <mergeCell ref="AQP12:AQR12"/>
    <mergeCell ref="AQS12:AQU12"/>
    <mergeCell ref="AQW12:AQX12"/>
    <mergeCell ref="ARB12:ARD12"/>
    <mergeCell ref="ARE12:ARG12"/>
    <mergeCell ref="ARI12:ARJ12"/>
    <mergeCell ref="APR12:APT12"/>
    <mergeCell ref="APU12:APW12"/>
    <mergeCell ref="APY12:APZ12"/>
    <mergeCell ref="AQD12:AQF12"/>
    <mergeCell ref="AQG12:AQI12"/>
    <mergeCell ref="AQK12:AQL12"/>
    <mergeCell ref="AOT12:AOV12"/>
    <mergeCell ref="AOW12:AOY12"/>
    <mergeCell ref="APA12:APB12"/>
    <mergeCell ref="APF12:APH12"/>
    <mergeCell ref="API12:APK12"/>
    <mergeCell ref="APM12:APN12"/>
    <mergeCell ref="ANV12:ANX12"/>
    <mergeCell ref="ANY12:AOA12"/>
    <mergeCell ref="AOC12:AOD12"/>
    <mergeCell ref="AOH12:AOJ12"/>
    <mergeCell ref="AOK12:AOM12"/>
    <mergeCell ref="AOO12:AOP12"/>
    <mergeCell ref="AMX12:AMZ12"/>
    <mergeCell ref="ANA12:ANC12"/>
    <mergeCell ref="ANE12:ANF12"/>
    <mergeCell ref="ANJ12:ANL12"/>
    <mergeCell ref="ANM12:ANO12"/>
    <mergeCell ref="ANQ12:ANR12"/>
    <mergeCell ref="ALZ12:AMB12"/>
    <mergeCell ref="AMC12:AME12"/>
    <mergeCell ref="AMG12:AMH12"/>
    <mergeCell ref="AML12:AMN12"/>
    <mergeCell ref="AMO12:AMQ12"/>
    <mergeCell ref="AMS12:AMT12"/>
    <mergeCell ref="ALB12:ALD12"/>
    <mergeCell ref="ALE12:ALG12"/>
    <mergeCell ref="ALI12:ALJ12"/>
    <mergeCell ref="ALN12:ALP12"/>
    <mergeCell ref="ALQ12:ALS12"/>
    <mergeCell ref="ALU12:ALV12"/>
    <mergeCell ref="AKD12:AKF12"/>
    <mergeCell ref="AKG12:AKI12"/>
    <mergeCell ref="AKK12:AKL12"/>
    <mergeCell ref="AKP12:AKR12"/>
    <mergeCell ref="AKS12:AKU12"/>
    <mergeCell ref="AKW12:AKX12"/>
    <mergeCell ref="AJF12:AJH12"/>
    <mergeCell ref="AJI12:AJK12"/>
    <mergeCell ref="AJM12:AJN12"/>
    <mergeCell ref="AJR12:AJT12"/>
    <mergeCell ref="AJU12:AJW12"/>
    <mergeCell ref="AJY12:AJZ12"/>
    <mergeCell ref="AIH12:AIJ12"/>
    <mergeCell ref="AIK12:AIM12"/>
    <mergeCell ref="AIO12:AIP12"/>
    <mergeCell ref="AIT12:AIV12"/>
    <mergeCell ref="AIW12:AIY12"/>
    <mergeCell ref="AJA12:AJB12"/>
    <mergeCell ref="AHJ12:AHL12"/>
    <mergeCell ref="AHM12:AHO12"/>
    <mergeCell ref="AHQ12:AHR12"/>
    <mergeCell ref="AHV12:AHX12"/>
    <mergeCell ref="AHY12:AIA12"/>
    <mergeCell ref="AIC12:AID12"/>
    <mergeCell ref="AGL12:AGN12"/>
    <mergeCell ref="AGO12:AGQ12"/>
    <mergeCell ref="AGS12:AGT12"/>
    <mergeCell ref="AGX12:AGZ12"/>
    <mergeCell ref="AHA12:AHC12"/>
    <mergeCell ref="AHE12:AHF12"/>
    <mergeCell ref="AFM12:AFO12"/>
    <mergeCell ref="AFP12:AFR12"/>
    <mergeCell ref="AFT12:AFU12"/>
    <mergeCell ref="AFZ12:AGB12"/>
    <mergeCell ref="AGC12:AGE12"/>
    <mergeCell ref="AGG12:AGH12"/>
    <mergeCell ref="AEM12:AEO12"/>
    <mergeCell ref="AEP12:AER12"/>
    <mergeCell ref="AET12:AEU12"/>
    <mergeCell ref="AEZ12:AFB12"/>
    <mergeCell ref="AFC12:AFE12"/>
    <mergeCell ref="AFG12:AFH12"/>
    <mergeCell ref="ADM12:ADO12"/>
    <mergeCell ref="ADP12:ADR12"/>
    <mergeCell ref="ADT12:ADU12"/>
    <mergeCell ref="ADZ12:AEB12"/>
    <mergeCell ref="AEC12:AEE12"/>
    <mergeCell ref="AEG12:AEH12"/>
    <mergeCell ref="ACM12:ACO12"/>
    <mergeCell ref="ACP12:ACR12"/>
    <mergeCell ref="ACT12:ACU12"/>
    <mergeCell ref="ACZ12:ADB12"/>
    <mergeCell ref="ADC12:ADE12"/>
    <mergeCell ref="ADG12:ADH12"/>
    <mergeCell ref="ABM12:ABO12"/>
    <mergeCell ref="ABP12:ABR12"/>
    <mergeCell ref="ABT12:ABU12"/>
    <mergeCell ref="ABZ12:ACB12"/>
    <mergeCell ref="ACC12:ACE12"/>
    <mergeCell ref="ACG12:ACH12"/>
    <mergeCell ref="AAM12:AAO12"/>
    <mergeCell ref="AAP12:AAR12"/>
    <mergeCell ref="AAT12:AAU12"/>
    <mergeCell ref="AAZ12:ABB12"/>
    <mergeCell ref="ABC12:ABE12"/>
    <mergeCell ref="ABG12:ABH12"/>
    <mergeCell ref="ZL12:ZN12"/>
    <mergeCell ref="ZR12:ZT12"/>
    <mergeCell ref="ZU12:ZV12"/>
    <mergeCell ref="ZZ12:AAB12"/>
    <mergeCell ref="AAC12:AAE12"/>
    <mergeCell ref="AAG12:AAH12"/>
    <mergeCell ref="YJ12:YL12"/>
    <mergeCell ref="YP12:YR12"/>
    <mergeCell ref="YS12:YT12"/>
    <mergeCell ref="YX12:YZ12"/>
    <mergeCell ref="ZD12:ZF12"/>
    <mergeCell ref="ZG12:ZH12"/>
    <mergeCell ref="XH12:XJ12"/>
    <mergeCell ref="XN12:XP12"/>
    <mergeCell ref="XQ12:XR12"/>
    <mergeCell ref="XV12:XX12"/>
    <mergeCell ref="YB12:YD12"/>
    <mergeCell ref="YE12:YF12"/>
    <mergeCell ref="WF12:WH12"/>
    <mergeCell ref="WL12:WN12"/>
    <mergeCell ref="WO12:WP12"/>
    <mergeCell ref="WT12:WV12"/>
    <mergeCell ref="WZ12:XB12"/>
    <mergeCell ref="XC12:XD12"/>
    <mergeCell ref="VD12:VF12"/>
    <mergeCell ref="VJ12:VL12"/>
    <mergeCell ref="VM12:VN12"/>
    <mergeCell ref="VR12:VT12"/>
    <mergeCell ref="VX12:VZ12"/>
    <mergeCell ref="WA12:WB12"/>
    <mergeCell ref="UB12:UD12"/>
    <mergeCell ref="UH12:UJ12"/>
    <mergeCell ref="UK12:UL12"/>
    <mergeCell ref="UP12:UR12"/>
    <mergeCell ref="UV12:UX12"/>
    <mergeCell ref="UY12:UZ12"/>
    <mergeCell ref="SZ12:TB12"/>
    <mergeCell ref="TF12:TH12"/>
    <mergeCell ref="TI12:TJ12"/>
    <mergeCell ref="TN12:TP12"/>
    <mergeCell ref="TT12:TV12"/>
    <mergeCell ref="TW12:TX12"/>
    <mergeCell ref="RX12:RZ12"/>
    <mergeCell ref="SD12:SF12"/>
    <mergeCell ref="SG12:SH12"/>
    <mergeCell ref="SL12:SN12"/>
    <mergeCell ref="SR12:ST12"/>
    <mergeCell ref="SU12:SV12"/>
    <mergeCell ref="QV12:QX12"/>
    <mergeCell ref="RB12:RD12"/>
    <mergeCell ref="RE12:RF12"/>
    <mergeCell ref="RJ12:RL12"/>
    <mergeCell ref="RP12:RR12"/>
    <mergeCell ref="RS12:RT12"/>
    <mergeCell ref="PT12:PV12"/>
    <mergeCell ref="PZ12:QB12"/>
    <mergeCell ref="QC12:QD12"/>
    <mergeCell ref="QH12:QJ12"/>
    <mergeCell ref="QN12:QP12"/>
    <mergeCell ref="QQ12:QR12"/>
    <mergeCell ref="OR12:OT12"/>
    <mergeCell ref="OX12:OZ12"/>
    <mergeCell ref="PA12:PB12"/>
    <mergeCell ref="PF12:PH12"/>
    <mergeCell ref="PL12:PN12"/>
    <mergeCell ref="PO12:PP12"/>
    <mergeCell ref="NP12:NR12"/>
    <mergeCell ref="NV12:NX12"/>
    <mergeCell ref="NY12:NZ12"/>
    <mergeCell ref="OD12:OF12"/>
    <mergeCell ref="OJ12:OL12"/>
    <mergeCell ref="OM12:ON12"/>
    <mergeCell ref="MN12:MP12"/>
    <mergeCell ref="MT12:MV12"/>
    <mergeCell ref="MW12:MX12"/>
    <mergeCell ref="NB12:ND12"/>
    <mergeCell ref="NH12:NJ12"/>
    <mergeCell ref="NK12:NL12"/>
    <mergeCell ref="LL12:LN12"/>
    <mergeCell ref="LR12:LT12"/>
    <mergeCell ref="LU12:LV12"/>
    <mergeCell ref="LZ12:MB12"/>
    <mergeCell ref="MF12:MH12"/>
    <mergeCell ref="MI12:MJ12"/>
    <mergeCell ref="KJ12:KL12"/>
    <mergeCell ref="KP12:KR12"/>
    <mergeCell ref="KS12:KT12"/>
    <mergeCell ref="KX12:KZ12"/>
    <mergeCell ref="LD12:LF12"/>
    <mergeCell ref="LG12:LH12"/>
    <mergeCell ref="HX12:HZ12"/>
    <mergeCell ref="IA12:IB12"/>
    <mergeCell ref="IF12:IH12"/>
    <mergeCell ref="IL12:IN12"/>
    <mergeCell ref="IO12:IP12"/>
    <mergeCell ref="IT12:IV12"/>
    <mergeCell ref="ER12:ET12"/>
    <mergeCell ref="EU12:EV12"/>
    <mergeCell ref="EZ12:FB12"/>
    <mergeCell ref="FF12:FH12"/>
    <mergeCell ref="FI12:FJ12"/>
    <mergeCell ref="FN12:FP12"/>
    <mergeCell ref="BL12:BN12"/>
    <mergeCell ref="BO12:BP12"/>
    <mergeCell ref="BT12:BV12"/>
    <mergeCell ref="BZ12:CB12"/>
    <mergeCell ref="CC12:CD12"/>
    <mergeCell ref="CH12:CJ12"/>
    <mergeCell ref="CVV11:CVX11"/>
    <mergeCell ref="CVY11:CWA11"/>
    <mergeCell ref="CWC11:CWD11"/>
    <mergeCell ref="B12:D12"/>
    <mergeCell ref="H12:J12"/>
    <mergeCell ref="K12:L12"/>
    <mergeCell ref="P12:R12"/>
    <mergeCell ref="V12:X12"/>
    <mergeCell ref="Y12:Z12"/>
    <mergeCell ref="AD12:AF12"/>
    <mergeCell ref="CUX11:CUZ11"/>
    <mergeCell ref="CVA11:CVC11"/>
    <mergeCell ref="CVE11:CVF11"/>
    <mergeCell ref="CVJ11:CVL11"/>
    <mergeCell ref="CVM11:CVO11"/>
    <mergeCell ref="CVQ11:CVR11"/>
    <mergeCell ref="CTZ11:CUB11"/>
    <mergeCell ref="CUC11:CUE11"/>
    <mergeCell ref="CUG11:CUH11"/>
    <mergeCell ref="CUL11:CUN11"/>
    <mergeCell ref="CUO11:CUQ11"/>
    <mergeCell ref="CUS11:CUT11"/>
    <mergeCell ref="CTB11:CTD11"/>
    <mergeCell ref="CTE11:CTG11"/>
    <mergeCell ref="CTI11:CTJ11"/>
    <mergeCell ref="CTN11:CTP11"/>
    <mergeCell ref="CTQ11:CTS11"/>
    <mergeCell ref="CTU11:CTV11"/>
    <mergeCell ref="CSD11:CSF11"/>
    <mergeCell ref="CSG11:CSI11"/>
    <mergeCell ref="CSK11:CSL11"/>
    <mergeCell ref="CSP11:CSR11"/>
    <mergeCell ref="CSS11:CSU11"/>
    <mergeCell ref="CSW11:CSX11"/>
    <mergeCell ref="CRF11:CRH11"/>
    <mergeCell ref="CRI11:CRK11"/>
    <mergeCell ref="CRM11:CRN11"/>
    <mergeCell ref="CRR11:CRT11"/>
    <mergeCell ref="CRU11:CRW11"/>
    <mergeCell ref="CRY11:CRZ11"/>
    <mergeCell ref="CQH11:CQJ11"/>
    <mergeCell ref="CQK11:CQM11"/>
    <mergeCell ref="CQO11:CQP11"/>
    <mergeCell ref="CQT11:CQV11"/>
    <mergeCell ref="CQW11:CQY11"/>
    <mergeCell ref="CRA11:CRB11"/>
    <mergeCell ref="CPJ11:CPL11"/>
    <mergeCell ref="CPM11:CPO11"/>
    <mergeCell ref="CPQ11:CPR11"/>
    <mergeCell ref="CPV11:CPX11"/>
    <mergeCell ref="CPY11:CQA11"/>
    <mergeCell ref="CQC11:CQD11"/>
    <mergeCell ref="COL11:CON11"/>
    <mergeCell ref="COO11:COQ11"/>
    <mergeCell ref="COS11:COT11"/>
    <mergeCell ref="COX11:COZ11"/>
    <mergeCell ref="CPA11:CPC11"/>
    <mergeCell ref="CPE11:CPF11"/>
    <mergeCell ref="CNN11:CNP11"/>
    <mergeCell ref="CNQ11:CNS11"/>
    <mergeCell ref="CNU11:CNV11"/>
    <mergeCell ref="CNZ11:COB11"/>
    <mergeCell ref="COC11:COE11"/>
    <mergeCell ref="COG11:COH11"/>
    <mergeCell ref="CMP11:CMR11"/>
    <mergeCell ref="CMS11:CMU11"/>
    <mergeCell ref="CMW11:CMX11"/>
    <mergeCell ref="CNB11:CND11"/>
    <mergeCell ref="CNE11:CNG11"/>
    <mergeCell ref="CNI11:CNJ11"/>
    <mergeCell ref="CLR11:CLT11"/>
    <mergeCell ref="CLU11:CLW11"/>
    <mergeCell ref="CLY11:CLZ11"/>
    <mergeCell ref="CMD11:CMF11"/>
    <mergeCell ref="CMG11:CMI11"/>
    <mergeCell ref="CMK11:CML11"/>
    <mergeCell ref="CKT11:CKV11"/>
    <mergeCell ref="CKW11:CKY11"/>
    <mergeCell ref="CLA11:CLB11"/>
    <mergeCell ref="CLF11:CLH11"/>
    <mergeCell ref="CLI11:CLK11"/>
    <mergeCell ref="CLM11:CLN11"/>
    <mergeCell ref="CJV11:CJX11"/>
    <mergeCell ref="CJY11:CKA11"/>
    <mergeCell ref="CKC11:CKD11"/>
    <mergeCell ref="CKH11:CKJ11"/>
    <mergeCell ref="CKK11:CKM11"/>
    <mergeCell ref="CKO11:CKP11"/>
    <mergeCell ref="CIX11:CIZ11"/>
    <mergeCell ref="CJA11:CJC11"/>
    <mergeCell ref="CJE11:CJF11"/>
    <mergeCell ref="CJJ11:CJL11"/>
    <mergeCell ref="CJM11:CJO11"/>
    <mergeCell ref="CJQ11:CJR11"/>
    <mergeCell ref="CHZ11:CIB11"/>
    <mergeCell ref="CIC11:CIE11"/>
    <mergeCell ref="CIG11:CIH11"/>
    <mergeCell ref="CIL11:CIN11"/>
    <mergeCell ref="CIO11:CIQ11"/>
    <mergeCell ref="CIS11:CIT11"/>
    <mergeCell ref="CHB11:CHD11"/>
    <mergeCell ref="CHE11:CHG11"/>
    <mergeCell ref="CHI11:CHJ11"/>
    <mergeCell ref="CHN11:CHP11"/>
    <mergeCell ref="CHQ11:CHS11"/>
    <mergeCell ref="CHU11:CHV11"/>
    <mergeCell ref="CGD11:CGF11"/>
    <mergeCell ref="CGG11:CGI11"/>
    <mergeCell ref="CGK11:CGL11"/>
    <mergeCell ref="CGP11:CGR11"/>
    <mergeCell ref="CGS11:CGU11"/>
    <mergeCell ref="CGW11:CGX11"/>
    <mergeCell ref="CFF11:CFH11"/>
    <mergeCell ref="CFI11:CFK11"/>
    <mergeCell ref="CFM11:CFN11"/>
    <mergeCell ref="CFR11:CFT11"/>
    <mergeCell ref="CFU11:CFW11"/>
    <mergeCell ref="CFY11:CFZ11"/>
    <mergeCell ref="CEH11:CEJ11"/>
    <mergeCell ref="CEK11:CEM11"/>
    <mergeCell ref="CEO11:CEP11"/>
    <mergeCell ref="CET11:CEV11"/>
    <mergeCell ref="CEW11:CEY11"/>
    <mergeCell ref="CFA11:CFB11"/>
    <mergeCell ref="CDJ11:CDL11"/>
    <mergeCell ref="CDM11:CDO11"/>
    <mergeCell ref="CDQ11:CDR11"/>
    <mergeCell ref="CDV11:CDX11"/>
    <mergeCell ref="CDY11:CEA11"/>
    <mergeCell ref="CEC11:CED11"/>
    <mergeCell ref="CCL11:CCN11"/>
    <mergeCell ref="CCO11:CCQ11"/>
    <mergeCell ref="CCS11:CCT11"/>
    <mergeCell ref="CCX11:CCZ11"/>
    <mergeCell ref="CDA11:CDC11"/>
    <mergeCell ref="CDE11:CDF11"/>
    <mergeCell ref="CBN11:CBP11"/>
    <mergeCell ref="CBQ11:CBS11"/>
    <mergeCell ref="CBU11:CBV11"/>
    <mergeCell ref="CBZ11:CCB11"/>
    <mergeCell ref="CCC11:CCE11"/>
    <mergeCell ref="CCG11:CCH11"/>
    <mergeCell ref="CAP11:CAR11"/>
    <mergeCell ref="CAS11:CAU11"/>
    <mergeCell ref="CAW11:CAX11"/>
    <mergeCell ref="CBB11:CBD11"/>
    <mergeCell ref="CBE11:CBG11"/>
    <mergeCell ref="CBI11:CBJ11"/>
    <mergeCell ref="BZR11:BZT11"/>
    <mergeCell ref="BZU11:BZW11"/>
    <mergeCell ref="BZY11:BZZ11"/>
    <mergeCell ref="CAD11:CAF11"/>
    <mergeCell ref="CAG11:CAI11"/>
    <mergeCell ref="CAK11:CAL11"/>
    <mergeCell ref="BYT11:BYV11"/>
    <mergeCell ref="BYW11:BYY11"/>
    <mergeCell ref="BZA11:BZB11"/>
    <mergeCell ref="BZF11:BZH11"/>
    <mergeCell ref="BZI11:BZK11"/>
    <mergeCell ref="BZM11:BZN11"/>
    <mergeCell ref="BXV11:BXX11"/>
    <mergeCell ref="BXY11:BYA11"/>
    <mergeCell ref="BYC11:BYD11"/>
    <mergeCell ref="BYH11:BYJ11"/>
    <mergeCell ref="BYK11:BYM11"/>
    <mergeCell ref="BYO11:BYP11"/>
    <mergeCell ref="BWX11:BWZ11"/>
    <mergeCell ref="BXA11:BXC11"/>
    <mergeCell ref="BXE11:BXF11"/>
    <mergeCell ref="BXJ11:BXL11"/>
    <mergeCell ref="BXM11:BXO11"/>
    <mergeCell ref="BXQ11:BXR11"/>
    <mergeCell ref="BVZ11:BWB11"/>
    <mergeCell ref="BWC11:BWE11"/>
    <mergeCell ref="BWG11:BWH11"/>
    <mergeCell ref="BWL11:BWN11"/>
    <mergeCell ref="BWO11:BWQ11"/>
    <mergeCell ref="BWS11:BWT11"/>
    <mergeCell ref="BVB11:BVD11"/>
    <mergeCell ref="BVE11:BVG11"/>
    <mergeCell ref="BVI11:BVJ11"/>
    <mergeCell ref="BVN11:BVP11"/>
    <mergeCell ref="BVQ11:BVS11"/>
    <mergeCell ref="BVU11:BVV11"/>
    <mergeCell ref="BUD11:BUF11"/>
    <mergeCell ref="BUG11:BUI11"/>
    <mergeCell ref="BUK11:BUL11"/>
    <mergeCell ref="BUP11:BUR11"/>
    <mergeCell ref="BUS11:BUU11"/>
    <mergeCell ref="BUW11:BUX11"/>
    <mergeCell ref="BTF11:BTH11"/>
    <mergeCell ref="BTI11:BTK11"/>
    <mergeCell ref="BTM11:BTN11"/>
    <mergeCell ref="BTR11:BTT11"/>
    <mergeCell ref="BTU11:BTW11"/>
    <mergeCell ref="BTY11:BTZ11"/>
    <mergeCell ref="BSH11:BSJ11"/>
    <mergeCell ref="BSK11:BSM11"/>
    <mergeCell ref="BSO11:BSP11"/>
    <mergeCell ref="BST11:BSV11"/>
    <mergeCell ref="BSW11:BSY11"/>
    <mergeCell ref="BTA11:BTB11"/>
    <mergeCell ref="BRJ11:BRL11"/>
    <mergeCell ref="BRM11:BRO11"/>
    <mergeCell ref="BRQ11:BRR11"/>
    <mergeCell ref="BRV11:BRX11"/>
    <mergeCell ref="BRY11:BSA11"/>
    <mergeCell ref="BSC11:BSD11"/>
    <mergeCell ref="BQL11:BQN11"/>
    <mergeCell ref="BQO11:BQQ11"/>
    <mergeCell ref="BQS11:BQT11"/>
    <mergeCell ref="BQX11:BQZ11"/>
    <mergeCell ref="BRA11:BRC11"/>
    <mergeCell ref="BRE11:BRF11"/>
    <mergeCell ref="BPN11:BPP11"/>
    <mergeCell ref="BPQ11:BPS11"/>
    <mergeCell ref="BPU11:BPV11"/>
    <mergeCell ref="BPZ11:BQB11"/>
    <mergeCell ref="BQC11:BQE11"/>
    <mergeCell ref="BQG11:BQH11"/>
    <mergeCell ref="BOP11:BOR11"/>
    <mergeCell ref="BOS11:BOU11"/>
    <mergeCell ref="BOW11:BOX11"/>
    <mergeCell ref="BPB11:BPD11"/>
    <mergeCell ref="BPE11:BPG11"/>
    <mergeCell ref="BPI11:BPJ11"/>
    <mergeCell ref="BNR11:BNT11"/>
    <mergeCell ref="BNU11:BNW11"/>
    <mergeCell ref="BNY11:BNZ11"/>
    <mergeCell ref="BOD11:BOF11"/>
    <mergeCell ref="BOG11:BOI11"/>
    <mergeCell ref="BOK11:BOL11"/>
    <mergeCell ref="BMT11:BMV11"/>
    <mergeCell ref="BMW11:BMY11"/>
    <mergeCell ref="BNA11:BNB11"/>
    <mergeCell ref="BNF11:BNH11"/>
    <mergeCell ref="BNI11:BNK11"/>
    <mergeCell ref="BNM11:BNN11"/>
    <mergeCell ref="BLV11:BLX11"/>
    <mergeCell ref="BLY11:BMA11"/>
    <mergeCell ref="BMC11:BMD11"/>
    <mergeCell ref="BMH11:BMJ11"/>
    <mergeCell ref="BMK11:BMM11"/>
    <mergeCell ref="BMO11:BMP11"/>
    <mergeCell ref="BKX11:BKZ11"/>
    <mergeCell ref="BLA11:BLC11"/>
    <mergeCell ref="BLE11:BLF11"/>
    <mergeCell ref="BLJ11:BLL11"/>
    <mergeCell ref="BLM11:BLO11"/>
    <mergeCell ref="BLQ11:BLR11"/>
    <mergeCell ref="BJZ11:BKB11"/>
    <mergeCell ref="BKC11:BKE11"/>
    <mergeCell ref="BKG11:BKH11"/>
    <mergeCell ref="BKL11:BKN11"/>
    <mergeCell ref="BKO11:BKQ11"/>
    <mergeCell ref="BKS11:BKT11"/>
    <mergeCell ref="BJB11:BJD11"/>
    <mergeCell ref="BJE11:BJG11"/>
    <mergeCell ref="BJI11:BJJ11"/>
    <mergeCell ref="BJN11:BJP11"/>
    <mergeCell ref="BJQ11:BJS11"/>
    <mergeCell ref="BJU11:BJV11"/>
    <mergeCell ref="BID11:BIF11"/>
    <mergeCell ref="BIG11:BII11"/>
    <mergeCell ref="BIK11:BIL11"/>
    <mergeCell ref="BIP11:BIR11"/>
    <mergeCell ref="BIS11:BIU11"/>
    <mergeCell ref="BIW11:BIX11"/>
    <mergeCell ref="BHF11:BHH11"/>
    <mergeCell ref="BHI11:BHK11"/>
    <mergeCell ref="BHM11:BHN11"/>
    <mergeCell ref="BHR11:BHT11"/>
    <mergeCell ref="BHU11:BHW11"/>
    <mergeCell ref="BHY11:BHZ11"/>
    <mergeCell ref="BGH11:BGJ11"/>
    <mergeCell ref="BGK11:BGM11"/>
    <mergeCell ref="BGO11:BGP11"/>
    <mergeCell ref="BGT11:BGV11"/>
    <mergeCell ref="BGW11:BGY11"/>
    <mergeCell ref="BHA11:BHB11"/>
    <mergeCell ref="BFJ11:BFL11"/>
    <mergeCell ref="BFM11:BFO11"/>
    <mergeCell ref="BFQ11:BFR11"/>
    <mergeCell ref="BFV11:BFX11"/>
    <mergeCell ref="BFY11:BGA11"/>
    <mergeCell ref="BGC11:BGD11"/>
    <mergeCell ref="BEL11:BEN11"/>
    <mergeCell ref="BEO11:BEQ11"/>
    <mergeCell ref="BES11:BET11"/>
    <mergeCell ref="BEX11:BEZ11"/>
    <mergeCell ref="BFA11:BFC11"/>
    <mergeCell ref="BFE11:BFF11"/>
    <mergeCell ref="BDN11:BDP11"/>
    <mergeCell ref="BDQ11:BDS11"/>
    <mergeCell ref="BDU11:BDV11"/>
    <mergeCell ref="BDZ11:BEB11"/>
    <mergeCell ref="BEC11:BEE11"/>
    <mergeCell ref="BEG11:BEH11"/>
    <mergeCell ref="BCP11:BCR11"/>
    <mergeCell ref="BCS11:BCU11"/>
    <mergeCell ref="BCW11:BCX11"/>
    <mergeCell ref="BDB11:BDD11"/>
    <mergeCell ref="BDE11:BDG11"/>
    <mergeCell ref="BDI11:BDJ11"/>
    <mergeCell ref="BBR11:BBT11"/>
    <mergeCell ref="BBU11:BBW11"/>
    <mergeCell ref="BBY11:BBZ11"/>
    <mergeCell ref="BCD11:BCF11"/>
    <mergeCell ref="BCG11:BCI11"/>
    <mergeCell ref="BCK11:BCL11"/>
    <mergeCell ref="BAT11:BAV11"/>
    <mergeCell ref="BAW11:BAY11"/>
    <mergeCell ref="BBA11:BBB11"/>
    <mergeCell ref="BBF11:BBH11"/>
    <mergeCell ref="BBI11:BBK11"/>
    <mergeCell ref="BBM11:BBN11"/>
    <mergeCell ref="AZV11:AZX11"/>
    <mergeCell ref="AZY11:BAA11"/>
    <mergeCell ref="BAC11:BAD11"/>
    <mergeCell ref="BAH11:BAJ11"/>
    <mergeCell ref="BAK11:BAM11"/>
    <mergeCell ref="BAO11:BAP11"/>
    <mergeCell ref="AYX11:AYZ11"/>
    <mergeCell ref="AZA11:AZC11"/>
    <mergeCell ref="AZE11:AZF11"/>
    <mergeCell ref="AZJ11:AZL11"/>
    <mergeCell ref="AZM11:AZO11"/>
    <mergeCell ref="AZQ11:AZR11"/>
    <mergeCell ref="AXZ11:AYB11"/>
    <mergeCell ref="AYC11:AYE11"/>
    <mergeCell ref="AYG11:AYH11"/>
    <mergeCell ref="AYL11:AYN11"/>
    <mergeCell ref="AYO11:AYQ11"/>
    <mergeCell ref="AYS11:AYT11"/>
    <mergeCell ref="AXB11:AXD11"/>
    <mergeCell ref="AXE11:AXG11"/>
    <mergeCell ref="AXI11:AXJ11"/>
    <mergeCell ref="AXN11:AXP11"/>
    <mergeCell ref="AXQ11:AXS11"/>
    <mergeCell ref="AXU11:AXV11"/>
    <mergeCell ref="AWD11:AWF11"/>
    <mergeCell ref="AWG11:AWI11"/>
    <mergeCell ref="AWK11:AWL11"/>
    <mergeCell ref="AWP11:AWR11"/>
    <mergeCell ref="AWS11:AWU11"/>
    <mergeCell ref="AWW11:AWX11"/>
    <mergeCell ref="AVF11:AVH11"/>
    <mergeCell ref="AVI11:AVK11"/>
    <mergeCell ref="AVM11:AVN11"/>
    <mergeCell ref="AVR11:AVT11"/>
    <mergeCell ref="AVU11:AVW11"/>
    <mergeCell ref="AVY11:AVZ11"/>
    <mergeCell ref="AUH11:AUJ11"/>
    <mergeCell ref="AUK11:AUM11"/>
    <mergeCell ref="AUO11:AUP11"/>
    <mergeCell ref="AUT11:AUV11"/>
    <mergeCell ref="AUW11:AUY11"/>
    <mergeCell ref="AVA11:AVB11"/>
    <mergeCell ref="ATJ11:ATL11"/>
    <mergeCell ref="ATM11:ATO11"/>
    <mergeCell ref="ATQ11:ATR11"/>
    <mergeCell ref="ATV11:ATX11"/>
    <mergeCell ref="ATY11:AUA11"/>
    <mergeCell ref="AUC11:AUD11"/>
    <mergeCell ref="ASL11:ASN11"/>
    <mergeCell ref="ASO11:ASQ11"/>
    <mergeCell ref="ASS11:AST11"/>
    <mergeCell ref="ASX11:ASZ11"/>
    <mergeCell ref="ATA11:ATC11"/>
    <mergeCell ref="ATE11:ATF11"/>
    <mergeCell ref="ARN11:ARP11"/>
    <mergeCell ref="ARQ11:ARS11"/>
    <mergeCell ref="ARU11:ARV11"/>
    <mergeCell ref="ARZ11:ASB11"/>
    <mergeCell ref="ASC11:ASE11"/>
    <mergeCell ref="ASG11:ASH11"/>
    <mergeCell ref="AQP11:AQR11"/>
    <mergeCell ref="AQS11:AQU11"/>
    <mergeCell ref="AQW11:AQX11"/>
    <mergeCell ref="ARB11:ARD11"/>
    <mergeCell ref="ARE11:ARG11"/>
    <mergeCell ref="ARI11:ARJ11"/>
    <mergeCell ref="APR11:APT11"/>
    <mergeCell ref="APU11:APW11"/>
    <mergeCell ref="APY11:APZ11"/>
    <mergeCell ref="AQD11:AQF11"/>
    <mergeCell ref="AQG11:AQI11"/>
    <mergeCell ref="AQK11:AQL11"/>
    <mergeCell ref="AOT11:AOV11"/>
    <mergeCell ref="AOW11:AOY11"/>
    <mergeCell ref="APA11:APB11"/>
    <mergeCell ref="APF11:APH11"/>
    <mergeCell ref="API11:APK11"/>
    <mergeCell ref="APM11:APN11"/>
    <mergeCell ref="ANV11:ANX11"/>
    <mergeCell ref="ANY11:AOA11"/>
    <mergeCell ref="AOC11:AOD11"/>
    <mergeCell ref="AOH11:AOJ11"/>
    <mergeCell ref="AOK11:AOM11"/>
    <mergeCell ref="AOO11:AOP11"/>
    <mergeCell ref="AMX11:AMZ11"/>
    <mergeCell ref="ANA11:ANC11"/>
    <mergeCell ref="ANE11:ANF11"/>
    <mergeCell ref="ANJ11:ANL11"/>
    <mergeCell ref="ANM11:ANO11"/>
    <mergeCell ref="ANQ11:ANR11"/>
    <mergeCell ref="ALZ11:AMB11"/>
    <mergeCell ref="AMC11:AME11"/>
    <mergeCell ref="AMG11:AMH11"/>
    <mergeCell ref="AML11:AMN11"/>
    <mergeCell ref="AMO11:AMQ11"/>
    <mergeCell ref="AMS11:AMT11"/>
    <mergeCell ref="ALB11:ALD11"/>
    <mergeCell ref="ALE11:ALG11"/>
    <mergeCell ref="ALI11:ALJ11"/>
    <mergeCell ref="ALN11:ALP11"/>
    <mergeCell ref="ALQ11:ALS11"/>
    <mergeCell ref="ALU11:ALV11"/>
    <mergeCell ref="AKD11:AKF11"/>
    <mergeCell ref="AKG11:AKI11"/>
    <mergeCell ref="AKK11:AKL11"/>
    <mergeCell ref="AKP11:AKR11"/>
    <mergeCell ref="AKS11:AKU11"/>
    <mergeCell ref="AKW11:AKX11"/>
    <mergeCell ref="AJF11:AJH11"/>
    <mergeCell ref="AJI11:AJK11"/>
    <mergeCell ref="AJM11:AJN11"/>
    <mergeCell ref="AJR11:AJT11"/>
    <mergeCell ref="AJU11:AJW11"/>
    <mergeCell ref="AJY11:AJZ11"/>
    <mergeCell ref="AIH11:AIJ11"/>
    <mergeCell ref="AIK11:AIM11"/>
    <mergeCell ref="AIO11:AIP11"/>
    <mergeCell ref="AIT11:AIV11"/>
    <mergeCell ref="AIW11:AIY11"/>
    <mergeCell ref="AJA11:AJB11"/>
    <mergeCell ref="AHJ11:AHL11"/>
    <mergeCell ref="AHM11:AHO11"/>
    <mergeCell ref="AHQ11:AHR11"/>
    <mergeCell ref="AHV11:AHX11"/>
    <mergeCell ref="AHY11:AIA11"/>
    <mergeCell ref="AIC11:AID11"/>
    <mergeCell ref="AGL11:AGN11"/>
    <mergeCell ref="AGO11:AGQ11"/>
    <mergeCell ref="AGS11:AGT11"/>
    <mergeCell ref="AGX11:AGZ11"/>
    <mergeCell ref="AHA11:AHC11"/>
    <mergeCell ref="AHE11:AHF11"/>
    <mergeCell ref="AFM11:AFO11"/>
    <mergeCell ref="AFP11:AFR11"/>
    <mergeCell ref="AFT11:AFU11"/>
    <mergeCell ref="AFZ11:AGB11"/>
    <mergeCell ref="AGC11:AGE11"/>
    <mergeCell ref="AGG11:AGH11"/>
    <mergeCell ref="AEM11:AEO11"/>
    <mergeCell ref="AEP11:AER11"/>
    <mergeCell ref="AET11:AEU11"/>
    <mergeCell ref="AEZ11:AFB11"/>
    <mergeCell ref="AFC11:AFE11"/>
    <mergeCell ref="AFG11:AFH11"/>
    <mergeCell ref="ADM11:ADO11"/>
    <mergeCell ref="ADP11:ADR11"/>
    <mergeCell ref="ADT11:ADU11"/>
    <mergeCell ref="ADZ11:AEB11"/>
    <mergeCell ref="AEC11:AEE11"/>
    <mergeCell ref="AEG11:AEH11"/>
    <mergeCell ref="ACM11:ACO11"/>
    <mergeCell ref="ACP11:ACR11"/>
    <mergeCell ref="ACT11:ACU11"/>
    <mergeCell ref="ACZ11:ADB11"/>
    <mergeCell ref="ADC11:ADE11"/>
    <mergeCell ref="ADG11:ADH11"/>
    <mergeCell ref="ABM11:ABO11"/>
    <mergeCell ref="ABP11:ABR11"/>
    <mergeCell ref="ABT11:ABU11"/>
    <mergeCell ref="ABZ11:ACB11"/>
    <mergeCell ref="ACC11:ACE11"/>
    <mergeCell ref="ACG11:ACH11"/>
    <mergeCell ref="AAM11:AAO11"/>
    <mergeCell ref="AAP11:AAR11"/>
    <mergeCell ref="AAT11:AAU11"/>
    <mergeCell ref="AAZ11:ABB11"/>
    <mergeCell ref="ABC11:ABE11"/>
    <mergeCell ref="ABG11:ABH11"/>
    <mergeCell ref="ZL11:ZN11"/>
    <mergeCell ref="ZR11:ZT11"/>
    <mergeCell ref="ZU11:ZV11"/>
    <mergeCell ref="ZZ11:AAB11"/>
    <mergeCell ref="AAC11:AAE11"/>
    <mergeCell ref="AAG11:AAH11"/>
    <mergeCell ref="YJ11:YL11"/>
    <mergeCell ref="YP11:YR11"/>
    <mergeCell ref="YS11:YT11"/>
    <mergeCell ref="YX11:YZ11"/>
    <mergeCell ref="ZD11:ZF11"/>
    <mergeCell ref="ZG11:ZH11"/>
    <mergeCell ref="XH11:XJ11"/>
    <mergeCell ref="XN11:XP11"/>
    <mergeCell ref="XQ11:XR11"/>
    <mergeCell ref="XV11:XX11"/>
    <mergeCell ref="YB11:YD11"/>
    <mergeCell ref="YE11:YF11"/>
    <mergeCell ref="WF11:WH11"/>
    <mergeCell ref="WL11:WN11"/>
    <mergeCell ref="WO11:WP11"/>
    <mergeCell ref="WT11:WV11"/>
    <mergeCell ref="WZ11:XB11"/>
    <mergeCell ref="XC11:XD11"/>
    <mergeCell ref="VD11:VF11"/>
    <mergeCell ref="VJ11:VL11"/>
    <mergeCell ref="VM11:VN11"/>
    <mergeCell ref="VR11:VT11"/>
    <mergeCell ref="VX11:VZ11"/>
    <mergeCell ref="WA11:WB11"/>
    <mergeCell ref="UB11:UD11"/>
    <mergeCell ref="UH11:UJ11"/>
    <mergeCell ref="UK11:UL11"/>
    <mergeCell ref="UP11:UR11"/>
    <mergeCell ref="UV11:UX11"/>
    <mergeCell ref="UY11:UZ11"/>
    <mergeCell ref="SZ11:TB11"/>
    <mergeCell ref="TF11:TH11"/>
    <mergeCell ref="TI11:TJ11"/>
    <mergeCell ref="TN11:TP11"/>
    <mergeCell ref="TT11:TV11"/>
    <mergeCell ref="TW11:TX11"/>
    <mergeCell ref="RX11:RZ11"/>
    <mergeCell ref="SD11:SF11"/>
    <mergeCell ref="SG11:SH11"/>
    <mergeCell ref="SL11:SN11"/>
    <mergeCell ref="SR11:ST11"/>
    <mergeCell ref="SU11:SV11"/>
    <mergeCell ref="QV11:QX11"/>
    <mergeCell ref="RB11:RD11"/>
    <mergeCell ref="RE11:RF11"/>
    <mergeCell ref="RJ11:RL11"/>
    <mergeCell ref="RP11:RR11"/>
    <mergeCell ref="RS11:RT11"/>
    <mergeCell ref="PT11:PV11"/>
    <mergeCell ref="PZ11:QB11"/>
    <mergeCell ref="QC11:QD11"/>
    <mergeCell ref="QH11:QJ11"/>
    <mergeCell ref="QN11:QP11"/>
    <mergeCell ref="QQ11:QR11"/>
    <mergeCell ref="OR11:OT11"/>
    <mergeCell ref="OX11:OZ11"/>
    <mergeCell ref="PA11:PB11"/>
    <mergeCell ref="PF11:PH11"/>
    <mergeCell ref="PL11:PN11"/>
    <mergeCell ref="PO11:PP11"/>
    <mergeCell ref="NP11:NR11"/>
    <mergeCell ref="NV11:NX11"/>
    <mergeCell ref="NY11:NZ11"/>
    <mergeCell ref="OD11:OF11"/>
    <mergeCell ref="OJ11:OL11"/>
    <mergeCell ref="OM11:ON11"/>
    <mergeCell ref="MN11:MP11"/>
    <mergeCell ref="MT11:MV11"/>
    <mergeCell ref="MW11:MX11"/>
    <mergeCell ref="NB11:ND11"/>
    <mergeCell ref="NH11:NJ11"/>
    <mergeCell ref="NK11:NL11"/>
    <mergeCell ref="LL11:LN11"/>
    <mergeCell ref="LR11:LT11"/>
    <mergeCell ref="LU11:LV11"/>
    <mergeCell ref="LZ11:MB11"/>
    <mergeCell ref="MF11:MH11"/>
    <mergeCell ref="MI11:MJ11"/>
    <mergeCell ref="KJ11:KL11"/>
    <mergeCell ref="KP11:KR11"/>
    <mergeCell ref="KS11:KT11"/>
    <mergeCell ref="KX11:KZ11"/>
    <mergeCell ref="LD11:LF11"/>
    <mergeCell ref="LG11:LH11"/>
    <mergeCell ref="JQ11:JR11"/>
    <mergeCell ref="JU11:JU12"/>
    <mergeCell ref="JV11:JX11"/>
    <mergeCell ref="KB11:KD11"/>
    <mergeCell ref="KE11:KF11"/>
    <mergeCell ref="KI11:KI12"/>
    <mergeCell ref="JQ12:JR12"/>
    <mergeCell ref="JV12:JX12"/>
    <mergeCell ref="KB12:KD12"/>
    <mergeCell ref="KE12:KF12"/>
    <mergeCell ref="IT11:IV11"/>
    <mergeCell ref="IZ11:JB11"/>
    <mergeCell ref="JC11:JD11"/>
    <mergeCell ref="JG11:JG12"/>
    <mergeCell ref="JH11:JJ11"/>
    <mergeCell ref="JN11:JP11"/>
    <mergeCell ref="IZ12:JB12"/>
    <mergeCell ref="JC12:JD12"/>
    <mergeCell ref="JH12:JJ12"/>
    <mergeCell ref="JN12:JP12"/>
    <mergeCell ref="IA11:IB11"/>
    <mergeCell ref="IE11:IE12"/>
    <mergeCell ref="IF11:IH11"/>
    <mergeCell ref="IL11:IN11"/>
    <mergeCell ref="IO11:IP11"/>
    <mergeCell ref="IS11:IS12"/>
    <mergeCell ref="HD11:HF11"/>
    <mergeCell ref="HJ11:HL11"/>
    <mergeCell ref="HM11:HN11"/>
    <mergeCell ref="HQ11:HQ12"/>
    <mergeCell ref="HR11:HT11"/>
    <mergeCell ref="HX11:HZ11"/>
    <mergeCell ref="HD12:HF12"/>
    <mergeCell ref="HJ12:HL12"/>
    <mergeCell ref="HM12:HN12"/>
    <mergeCell ref="HR12:HT12"/>
    <mergeCell ref="GK11:GL11"/>
    <mergeCell ref="GO11:GO12"/>
    <mergeCell ref="GP11:GR11"/>
    <mergeCell ref="GV11:GX11"/>
    <mergeCell ref="GY11:GZ11"/>
    <mergeCell ref="HC11:HC12"/>
    <mergeCell ref="GK12:GL12"/>
    <mergeCell ref="GP12:GR12"/>
    <mergeCell ref="GV12:GX12"/>
    <mergeCell ref="GY12:GZ12"/>
    <mergeCell ref="FN11:FP11"/>
    <mergeCell ref="FT11:FV11"/>
    <mergeCell ref="FW11:FX11"/>
    <mergeCell ref="GA11:GA12"/>
    <mergeCell ref="GB11:GD11"/>
    <mergeCell ref="GH11:GJ11"/>
    <mergeCell ref="FT12:FV12"/>
    <mergeCell ref="FW12:FX12"/>
    <mergeCell ref="GB12:GD12"/>
    <mergeCell ref="GH12:GJ12"/>
    <mergeCell ref="EU11:EV11"/>
    <mergeCell ref="EY11:EY12"/>
    <mergeCell ref="EZ11:FB11"/>
    <mergeCell ref="FF11:FH11"/>
    <mergeCell ref="FI11:FJ11"/>
    <mergeCell ref="FM11:FM12"/>
    <mergeCell ref="DX11:DZ11"/>
    <mergeCell ref="ED11:EF11"/>
    <mergeCell ref="EG11:EH11"/>
    <mergeCell ref="EK11:EK12"/>
    <mergeCell ref="EL11:EN11"/>
    <mergeCell ref="ER11:ET11"/>
    <mergeCell ref="DX12:DZ12"/>
    <mergeCell ref="ED12:EF12"/>
    <mergeCell ref="EG12:EH12"/>
    <mergeCell ref="EL12:EN12"/>
    <mergeCell ref="DE11:DF11"/>
    <mergeCell ref="DI11:DI12"/>
    <mergeCell ref="DJ11:DL11"/>
    <mergeCell ref="DP11:DR11"/>
    <mergeCell ref="DS11:DT11"/>
    <mergeCell ref="DW11:DW12"/>
    <mergeCell ref="DE12:DF12"/>
    <mergeCell ref="DJ12:DL12"/>
    <mergeCell ref="DP12:DR12"/>
    <mergeCell ref="DS12:DT12"/>
    <mergeCell ref="CH11:CJ11"/>
    <mergeCell ref="CN11:CP11"/>
    <mergeCell ref="CQ11:CR11"/>
    <mergeCell ref="CU11:CU12"/>
    <mergeCell ref="CV11:CX11"/>
    <mergeCell ref="DB11:DD11"/>
    <mergeCell ref="CN12:CP12"/>
    <mergeCell ref="CQ12:CR12"/>
    <mergeCell ref="CV12:CX12"/>
    <mergeCell ref="DB12:DD12"/>
    <mergeCell ref="BO11:BP11"/>
    <mergeCell ref="BS11:BS12"/>
    <mergeCell ref="BT11:BV11"/>
    <mergeCell ref="BZ11:CB11"/>
    <mergeCell ref="CC11:CD11"/>
    <mergeCell ref="CG11:CG12"/>
    <mergeCell ref="AR11:AT11"/>
    <mergeCell ref="AX11:AZ11"/>
    <mergeCell ref="BA11:BB11"/>
    <mergeCell ref="BE11:BE12"/>
    <mergeCell ref="BF11:BH11"/>
    <mergeCell ref="BL11:BN11"/>
    <mergeCell ref="AR12:AT12"/>
    <mergeCell ref="AX12:AZ12"/>
    <mergeCell ref="BA12:BB12"/>
    <mergeCell ref="BF12:BH12"/>
    <mergeCell ref="V11:X11"/>
    <mergeCell ref="Y11:Z11"/>
    <mergeCell ref="AD11:AF11"/>
    <mergeCell ref="AJ11:AL11"/>
    <mergeCell ref="AM11:AN11"/>
    <mergeCell ref="AQ11:AQ12"/>
    <mergeCell ref="AJ12:AL12"/>
    <mergeCell ref="AM12:AN12"/>
    <mergeCell ref="A11:A12"/>
    <mergeCell ref="B11:D11"/>
    <mergeCell ref="H11:J11"/>
    <mergeCell ref="K11:L11"/>
    <mergeCell ref="O11:O12"/>
    <mergeCell ref="P11:R11"/>
    <mergeCell ref="YX10:YZ10"/>
    <mergeCell ref="ZD10:ZF10"/>
    <mergeCell ref="ZG10:ZH10"/>
    <mergeCell ref="ZL10:ZN10"/>
    <mergeCell ref="ZR10:ZT10"/>
    <mergeCell ref="ZU10:ZV10"/>
    <mergeCell ref="XV10:XX10"/>
    <mergeCell ref="YB10:YD10"/>
    <mergeCell ref="YE10:YF10"/>
    <mergeCell ref="YJ10:YL10"/>
    <mergeCell ref="YP10:YR10"/>
    <mergeCell ref="YS10:YT10"/>
    <mergeCell ref="WT10:WV10"/>
    <mergeCell ref="WZ10:XB10"/>
    <mergeCell ref="XC10:XD10"/>
    <mergeCell ref="XH10:XJ10"/>
    <mergeCell ref="XN10:XP10"/>
    <mergeCell ref="XQ10:XR10"/>
    <mergeCell ref="VR10:VT10"/>
    <mergeCell ref="VX10:VZ10"/>
    <mergeCell ref="WA10:WB10"/>
    <mergeCell ref="WF10:WH10"/>
    <mergeCell ref="WL10:WN10"/>
    <mergeCell ref="WO10:WP10"/>
    <mergeCell ref="UP10:UR10"/>
    <mergeCell ref="UV10:UX10"/>
    <mergeCell ref="UY10:UZ10"/>
    <mergeCell ref="VD10:VF10"/>
    <mergeCell ref="VJ10:VL10"/>
    <mergeCell ref="VM10:VN10"/>
    <mergeCell ref="TN10:TP10"/>
    <mergeCell ref="TT10:TV10"/>
    <mergeCell ref="TW10:TX10"/>
    <mergeCell ref="UB10:UD10"/>
    <mergeCell ref="UH10:UJ10"/>
    <mergeCell ref="UK10:UL10"/>
    <mergeCell ref="SL10:SN10"/>
    <mergeCell ref="SR10:ST10"/>
    <mergeCell ref="SU10:SV10"/>
    <mergeCell ref="SZ10:TB10"/>
    <mergeCell ref="TF10:TH10"/>
    <mergeCell ref="TI10:TJ10"/>
    <mergeCell ref="RJ10:RL10"/>
    <mergeCell ref="RP10:RR10"/>
    <mergeCell ref="RS10:RT10"/>
    <mergeCell ref="RX10:RZ10"/>
    <mergeCell ref="SD10:SF10"/>
    <mergeCell ref="SG10:SH10"/>
    <mergeCell ref="QH10:QJ10"/>
    <mergeCell ref="QN10:QP10"/>
    <mergeCell ref="QQ10:QR10"/>
    <mergeCell ref="QV10:QX10"/>
    <mergeCell ref="RB10:RD10"/>
    <mergeCell ref="RE10:RF10"/>
    <mergeCell ref="PF10:PH10"/>
    <mergeCell ref="PL10:PN10"/>
    <mergeCell ref="PO10:PP10"/>
    <mergeCell ref="PT10:PV10"/>
    <mergeCell ref="PZ10:QB10"/>
    <mergeCell ref="QC10:QD10"/>
    <mergeCell ref="OD10:OF10"/>
    <mergeCell ref="OJ10:OL10"/>
    <mergeCell ref="OM10:ON10"/>
    <mergeCell ref="OR10:OT10"/>
    <mergeCell ref="OX10:OZ10"/>
    <mergeCell ref="PA10:PB10"/>
    <mergeCell ref="NB10:ND10"/>
    <mergeCell ref="NH10:NJ10"/>
    <mergeCell ref="NK10:NL10"/>
    <mergeCell ref="NP10:NR10"/>
    <mergeCell ref="NV10:NX10"/>
    <mergeCell ref="NY10:NZ10"/>
    <mergeCell ref="LZ10:MB10"/>
    <mergeCell ref="MF10:MH10"/>
    <mergeCell ref="MI10:MJ10"/>
    <mergeCell ref="MN10:MP10"/>
    <mergeCell ref="MT10:MV10"/>
    <mergeCell ref="MW10:MX10"/>
    <mergeCell ref="KX10:KZ10"/>
    <mergeCell ref="LD10:LF10"/>
    <mergeCell ref="LG10:LH10"/>
    <mergeCell ref="LL10:LN10"/>
    <mergeCell ref="LR10:LT10"/>
    <mergeCell ref="LU10:LV10"/>
    <mergeCell ref="JV10:JX10"/>
    <mergeCell ref="KB10:KD10"/>
    <mergeCell ref="KE10:KF10"/>
    <mergeCell ref="KJ10:KL10"/>
    <mergeCell ref="KP10:KR10"/>
    <mergeCell ref="KS10:KT10"/>
    <mergeCell ref="IT10:IV10"/>
    <mergeCell ref="IZ10:JB10"/>
    <mergeCell ref="JC10:JD10"/>
    <mergeCell ref="JH10:JJ10"/>
    <mergeCell ref="JN10:JP10"/>
    <mergeCell ref="JQ10:JR10"/>
    <mergeCell ref="HR10:HT10"/>
    <mergeCell ref="HX10:HZ10"/>
    <mergeCell ref="IA10:IB10"/>
    <mergeCell ref="IF10:IH10"/>
    <mergeCell ref="IL10:IN10"/>
    <mergeCell ref="IO10:IP10"/>
    <mergeCell ref="GP10:GR10"/>
    <mergeCell ref="GV10:GX10"/>
    <mergeCell ref="GY10:GZ10"/>
    <mergeCell ref="HD10:HF10"/>
    <mergeCell ref="HJ10:HL10"/>
    <mergeCell ref="HM10:HN10"/>
    <mergeCell ref="FN10:FP10"/>
    <mergeCell ref="FT10:FV10"/>
    <mergeCell ref="FW10:FX10"/>
    <mergeCell ref="GB10:GD10"/>
    <mergeCell ref="GH10:GJ10"/>
    <mergeCell ref="GK10:GL10"/>
    <mergeCell ref="EL10:EN10"/>
    <mergeCell ref="ER10:ET10"/>
    <mergeCell ref="EU10:EV10"/>
    <mergeCell ref="EZ10:FB10"/>
    <mergeCell ref="FF10:FH10"/>
    <mergeCell ref="FI10:FJ10"/>
    <mergeCell ref="DJ10:DL10"/>
    <mergeCell ref="DP10:DR10"/>
    <mergeCell ref="DS10:DT10"/>
    <mergeCell ref="DX10:DZ10"/>
    <mergeCell ref="ED10:EF10"/>
    <mergeCell ref="EG10:EH10"/>
    <mergeCell ref="CH10:CJ10"/>
    <mergeCell ref="CN10:CP10"/>
    <mergeCell ref="CQ10:CR10"/>
    <mergeCell ref="CV10:CX10"/>
    <mergeCell ref="DB10:DD10"/>
    <mergeCell ref="DE10:DF10"/>
    <mergeCell ref="BF10:BH10"/>
    <mergeCell ref="BL10:BN10"/>
    <mergeCell ref="BO10:BP10"/>
    <mergeCell ref="BT10:BV10"/>
    <mergeCell ref="BZ10:CB10"/>
    <mergeCell ref="CC10:CD10"/>
    <mergeCell ref="AD10:AF10"/>
    <mergeCell ref="AJ10:AL10"/>
    <mergeCell ref="AM10:AN10"/>
    <mergeCell ref="AR10:AT10"/>
    <mergeCell ref="AX10:AZ10"/>
    <mergeCell ref="BA10:BB10"/>
    <mergeCell ref="ZD8:ZH8"/>
    <mergeCell ref="ZK8:ZP8"/>
    <mergeCell ref="ZR8:ZV8"/>
    <mergeCell ref="AAF9:AAJ9"/>
    <mergeCell ref="B10:D10"/>
    <mergeCell ref="H10:J10"/>
    <mergeCell ref="K10:L10"/>
    <mergeCell ref="P10:R10"/>
    <mergeCell ref="V10:X10"/>
    <mergeCell ref="Y10:Z10"/>
    <mergeCell ref="XN8:XR8"/>
    <mergeCell ref="XU8:XZ8"/>
    <mergeCell ref="YB8:YF8"/>
    <mergeCell ref="YI8:YN8"/>
    <mergeCell ref="YP8:YT8"/>
    <mergeCell ref="YW8:ZB8"/>
    <mergeCell ref="VX8:WB8"/>
    <mergeCell ref="WE8:WJ8"/>
    <mergeCell ref="WL8:WP8"/>
    <mergeCell ref="WS8:WX8"/>
    <mergeCell ref="WZ8:XD8"/>
    <mergeCell ref="XG8:XL8"/>
    <mergeCell ref="UH8:UL8"/>
    <mergeCell ref="UO8:UT8"/>
    <mergeCell ref="UV8:UZ8"/>
    <mergeCell ref="VC8:VH8"/>
    <mergeCell ref="VJ8:VN8"/>
    <mergeCell ref="VQ8:VV8"/>
    <mergeCell ref="SR8:SV8"/>
    <mergeCell ref="SY8:TD8"/>
    <mergeCell ref="TF8:TJ8"/>
    <mergeCell ref="TM8:TR8"/>
    <mergeCell ref="TT8:TX8"/>
    <mergeCell ref="UA8:UF8"/>
    <mergeCell ref="RB8:RF8"/>
    <mergeCell ref="RI8:RN8"/>
    <mergeCell ref="RP8:RT8"/>
    <mergeCell ref="RW8:SB8"/>
    <mergeCell ref="SD8:SH8"/>
    <mergeCell ref="SK8:SP8"/>
    <mergeCell ref="PL8:PP8"/>
    <mergeCell ref="PS8:PX8"/>
    <mergeCell ref="PZ8:QD8"/>
    <mergeCell ref="QG8:QL8"/>
    <mergeCell ref="QN8:QR8"/>
    <mergeCell ref="QU8:QZ8"/>
    <mergeCell ref="NV8:NZ8"/>
    <mergeCell ref="OC8:OH8"/>
    <mergeCell ref="OJ8:ON8"/>
    <mergeCell ref="OQ8:OV8"/>
    <mergeCell ref="OX8:PB8"/>
    <mergeCell ref="PE8:PJ8"/>
    <mergeCell ref="MF8:MJ8"/>
    <mergeCell ref="MM8:MR8"/>
    <mergeCell ref="MT8:MX8"/>
    <mergeCell ref="NA8:NF8"/>
    <mergeCell ref="NH8:NL8"/>
    <mergeCell ref="NO8:NT8"/>
    <mergeCell ref="KP8:KT8"/>
    <mergeCell ref="KW8:LB8"/>
    <mergeCell ref="LD8:LH8"/>
    <mergeCell ref="LK8:LP8"/>
    <mergeCell ref="LR8:LV8"/>
    <mergeCell ref="LY8:MD8"/>
    <mergeCell ref="IZ8:JD8"/>
    <mergeCell ref="JG8:JL8"/>
    <mergeCell ref="JN8:JR8"/>
    <mergeCell ref="JU8:JZ8"/>
    <mergeCell ref="KB8:KF8"/>
    <mergeCell ref="KI8:KN8"/>
    <mergeCell ref="HJ8:HN8"/>
    <mergeCell ref="HQ8:HV8"/>
    <mergeCell ref="HX8:IB8"/>
    <mergeCell ref="IE8:IJ8"/>
    <mergeCell ref="IL8:IP8"/>
    <mergeCell ref="IS8:IX8"/>
    <mergeCell ref="FT8:FX8"/>
    <mergeCell ref="GA8:GF8"/>
    <mergeCell ref="GH8:GL8"/>
    <mergeCell ref="GO8:GT8"/>
    <mergeCell ref="GV8:GZ8"/>
    <mergeCell ref="HC8:HH8"/>
    <mergeCell ref="ED8:EH8"/>
    <mergeCell ref="EK8:EP8"/>
    <mergeCell ref="ER8:EV8"/>
    <mergeCell ref="EY8:FD8"/>
    <mergeCell ref="FF8:FJ8"/>
    <mergeCell ref="FM8:FR8"/>
    <mergeCell ref="CN8:CR8"/>
    <mergeCell ref="CU8:CZ8"/>
    <mergeCell ref="DB8:DF8"/>
    <mergeCell ref="DI8:DN8"/>
    <mergeCell ref="DP8:DT8"/>
    <mergeCell ref="DW8:EB8"/>
    <mergeCell ref="AX8:BB8"/>
    <mergeCell ref="BE8:BJ8"/>
    <mergeCell ref="BL8:BP8"/>
    <mergeCell ref="BS8:BX8"/>
    <mergeCell ref="BZ8:CD8"/>
    <mergeCell ref="CG8:CL8"/>
    <mergeCell ref="CVO7:CVQ7"/>
    <mergeCell ref="CVV7:CVY7"/>
    <mergeCell ref="CWA7:CWC7"/>
    <mergeCell ref="A8:F8"/>
    <mergeCell ref="H8:L8"/>
    <mergeCell ref="O8:T8"/>
    <mergeCell ref="V8:Z8"/>
    <mergeCell ref="AC8:AH8"/>
    <mergeCell ref="AJ8:AN8"/>
    <mergeCell ref="AQ8:AV8"/>
    <mergeCell ref="CUE7:CUG7"/>
    <mergeCell ref="CUL7:CUO7"/>
    <mergeCell ref="CUQ7:CUS7"/>
    <mergeCell ref="CUX7:CVA7"/>
    <mergeCell ref="CVC7:CVE7"/>
    <mergeCell ref="CVJ7:CVM7"/>
    <mergeCell ref="CSU7:CSW7"/>
    <mergeCell ref="CTB7:CTE7"/>
    <mergeCell ref="CTG7:CTI7"/>
    <mergeCell ref="CTN7:CTQ7"/>
    <mergeCell ref="CTS7:CTU7"/>
    <mergeCell ref="CTZ7:CUC7"/>
    <mergeCell ref="CRK7:CRM7"/>
    <mergeCell ref="CRR7:CRU7"/>
    <mergeCell ref="CRW7:CRY7"/>
    <mergeCell ref="CSD7:CSG7"/>
    <mergeCell ref="CSI7:CSK7"/>
    <mergeCell ref="CSP7:CSS7"/>
    <mergeCell ref="CQA7:CQC7"/>
    <mergeCell ref="CQH7:CQK7"/>
    <mergeCell ref="CQM7:CQO7"/>
    <mergeCell ref="CQT7:CQW7"/>
    <mergeCell ref="CQY7:CRA7"/>
    <mergeCell ref="CRF7:CRI7"/>
    <mergeCell ref="COQ7:COS7"/>
    <mergeCell ref="COX7:CPA7"/>
    <mergeCell ref="CPC7:CPE7"/>
    <mergeCell ref="CPJ7:CPM7"/>
    <mergeCell ref="CPO7:CPQ7"/>
    <mergeCell ref="CPV7:CPY7"/>
    <mergeCell ref="CNG7:CNI7"/>
    <mergeCell ref="CNN7:CNQ7"/>
    <mergeCell ref="CNS7:CNU7"/>
    <mergeCell ref="CNZ7:COC7"/>
    <mergeCell ref="COE7:COG7"/>
    <mergeCell ref="COL7:COO7"/>
    <mergeCell ref="CLW7:CLY7"/>
    <mergeCell ref="CMD7:CMG7"/>
    <mergeCell ref="CMI7:CMK7"/>
    <mergeCell ref="CMP7:CMS7"/>
    <mergeCell ref="CMU7:CMW7"/>
    <mergeCell ref="CNB7:CNE7"/>
    <mergeCell ref="CKM7:CKO7"/>
    <mergeCell ref="CKT7:CKW7"/>
    <mergeCell ref="CKY7:CLA7"/>
    <mergeCell ref="CLF7:CLI7"/>
    <mergeCell ref="CLK7:CLM7"/>
    <mergeCell ref="CLR7:CLU7"/>
    <mergeCell ref="CJC7:CJE7"/>
    <mergeCell ref="CJJ7:CJM7"/>
    <mergeCell ref="CJO7:CJQ7"/>
    <mergeCell ref="CJV7:CJY7"/>
    <mergeCell ref="CKA7:CKC7"/>
    <mergeCell ref="CKH7:CKK7"/>
    <mergeCell ref="CHS7:CHU7"/>
    <mergeCell ref="CHZ7:CIC7"/>
    <mergeCell ref="CIE7:CIG7"/>
    <mergeCell ref="CIL7:CIO7"/>
    <mergeCell ref="CIQ7:CIS7"/>
    <mergeCell ref="CIX7:CJA7"/>
    <mergeCell ref="CGI7:CGK7"/>
    <mergeCell ref="CGP7:CGS7"/>
    <mergeCell ref="CGU7:CGW7"/>
    <mergeCell ref="CHB7:CHE7"/>
    <mergeCell ref="CHG7:CHI7"/>
    <mergeCell ref="CHN7:CHQ7"/>
    <mergeCell ref="CEY7:CFA7"/>
    <mergeCell ref="CFF7:CFI7"/>
    <mergeCell ref="CFK7:CFM7"/>
    <mergeCell ref="CFR7:CFU7"/>
    <mergeCell ref="CFW7:CFY7"/>
    <mergeCell ref="CGD7:CGG7"/>
    <mergeCell ref="CDO7:CDQ7"/>
    <mergeCell ref="CDV7:CDY7"/>
    <mergeCell ref="CEA7:CEC7"/>
    <mergeCell ref="CEH7:CEK7"/>
    <mergeCell ref="CEM7:CEO7"/>
    <mergeCell ref="CET7:CEW7"/>
    <mergeCell ref="CCE7:CCG7"/>
    <mergeCell ref="CCL7:CCO7"/>
    <mergeCell ref="CCQ7:CCS7"/>
    <mergeCell ref="CCX7:CDA7"/>
    <mergeCell ref="CDC7:CDE7"/>
    <mergeCell ref="CDJ7:CDM7"/>
    <mergeCell ref="CAU7:CAW7"/>
    <mergeCell ref="CBB7:CBE7"/>
    <mergeCell ref="CBG7:CBI7"/>
    <mergeCell ref="CBN7:CBQ7"/>
    <mergeCell ref="CBS7:CBU7"/>
    <mergeCell ref="CBZ7:CCC7"/>
    <mergeCell ref="BZK7:BZM7"/>
    <mergeCell ref="BZR7:BZU7"/>
    <mergeCell ref="BZW7:BZY7"/>
    <mergeCell ref="CAD7:CAG7"/>
    <mergeCell ref="CAI7:CAK7"/>
    <mergeCell ref="CAP7:CAS7"/>
    <mergeCell ref="BYA7:BYC7"/>
    <mergeCell ref="BYH7:BYK7"/>
    <mergeCell ref="BYM7:BYO7"/>
    <mergeCell ref="BYT7:BYW7"/>
    <mergeCell ref="BYY7:BZA7"/>
    <mergeCell ref="BZF7:BZI7"/>
    <mergeCell ref="BWQ7:BWS7"/>
    <mergeCell ref="BWX7:BXA7"/>
    <mergeCell ref="BXC7:BXE7"/>
    <mergeCell ref="BXJ7:BXM7"/>
    <mergeCell ref="BXO7:BXQ7"/>
    <mergeCell ref="BXV7:BXY7"/>
    <mergeCell ref="BVG7:BVI7"/>
    <mergeCell ref="BVN7:BVQ7"/>
    <mergeCell ref="BVS7:BVU7"/>
    <mergeCell ref="BVZ7:BWC7"/>
    <mergeCell ref="BWE7:BWG7"/>
    <mergeCell ref="BWL7:BWO7"/>
    <mergeCell ref="BTW7:BTY7"/>
    <mergeCell ref="BUD7:BUG7"/>
    <mergeCell ref="BUI7:BUK7"/>
    <mergeCell ref="BUP7:BUS7"/>
    <mergeCell ref="BUU7:BUW7"/>
    <mergeCell ref="BVB7:BVE7"/>
    <mergeCell ref="BSM7:BSO7"/>
    <mergeCell ref="BST7:BSW7"/>
    <mergeCell ref="BSY7:BTA7"/>
    <mergeCell ref="BTF7:BTI7"/>
    <mergeCell ref="BTK7:BTM7"/>
    <mergeCell ref="BTR7:BTU7"/>
    <mergeCell ref="BRC7:BRE7"/>
    <mergeCell ref="BRJ7:BRM7"/>
    <mergeCell ref="BRO7:BRQ7"/>
    <mergeCell ref="BRV7:BRY7"/>
    <mergeCell ref="BSA7:BSC7"/>
    <mergeCell ref="BSH7:BSK7"/>
    <mergeCell ref="BPS7:BPU7"/>
    <mergeCell ref="BPZ7:BQC7"/>
    <mergeCell ref="BQE7:BQG7"/>
    <mergeCell ref="BQL7:BQO7"/>
    <mergeCell ref="BQQ7:BQS7"/>
    <mergeCell ref="BQX7:BRA7"/>
    <mergeCell ref="BOI7:BOK7"/>
    <mergeCell ref="BOP7:BOS7"/>
    <mergeCell ref="BOU7:BOW7"/>
    <mergeCell ref="BPB7:BPE7"/>
    <mergeCell ref="BPG7:BPI7"/>
    <mergeCell ref="BPN7:BPQ7"/>
    <mergeCell ref="BMY7:BNA7"/>
    <mergeCell ref="BNF7:BNI7"/>
    <mergeCell ref="BNK7:BNM7"/>
    <mergeCell ref="BNR7:BNU7"/>
    <mergeCell ref="BNW7:BNY7"/>
    <mergeCell ref="BOD7:BOG7"/>
    <mergeCell ref="BLO7:BLQ7"/>
    <mergeCell ref="BLV7:BLY7"/>
    <mergeCell ref="BMA7:BMC7"/>
    <mergeCell ref="BMH7:BMK7"/>
    <mergeCell ref="BMM7:BMO7"/>
    <mergeCell ref="BMT7:BMW7"/>
    <mergeCell ref="BKE7:BKG7"/>
    <mergeCell ref="BKL7:BKO7"/>
    <mergeCell ref="BKQ7:BKS7"/>
    <mergeCell ref="BKX7:BLA7"/>
    <mergeCell ref="BLC7:BLE7"/>
    <mergeCell ref="BLJ7:BLM7"/>
    <mergeCell ref="BIU7:BIW7"/>
    <mergeCell ref="BJB7:BJE7"/>
    <mergeCell ref="BJG7:BJI7"/>
    <mergeCell ref="BJN7:BJQ7"/>
    <mergeCell ref="BJS7:BJU7"/>
    <mergeCell ref="BJZ7:BKC7"/>
    <mergeCell ref="BHK7:BHM7"/>
    <mergeCell ref="BHR7:BHU7"/>
    <mergeCell ref="BHW7:BHY7"/>
    <mergeCell ref="BID7:BIG7"/>
    <mergeCell ref="BII7:BIK7"/>
    <mergeCell ref="BIP7:BIS7"/>
    <mergeCell ref="BGA7:BGC7"/>
    <mergeCell ref="BGH7:BGK7"/>
    <mergeCell ref="BGM7:BGO7"/>
    <mergeCell ref="BGT7:BGW7"/>
    <mergeCell ref="BGY7:BHA7"/>
    <mergeCell ref="BHF7:BHI7"/>
    <mergeCell ref="BEQ7:BES7"/>
    <mergeCell ref="BEX7:BFA7"/>
    <mergeCell ref="BFC7:BFE7"/>
    <mergeCell ref="BFJ7:BFM7"/>
    <mergeCell ref="BFO7:BFQ7"/>
    <mergeCell ref="BFV7:BFY7"/>
    <mergeCell ref="BDG7:BDI7"/>
    <mergeCell ref="BDN7:BDQ7"/>
    <mergeCell ref="BDS7:BDU7"/>
    <mergeCell ref="BDZ7:BEC7"/>
    <mergeCell ref="BEE7:BEG7"/>
    <mergeCell ref="BEL7:BEO7"/>
    <mergeCell ref="BCI7:BCK7"/>
    <mergeCell ref="BCL7:BCM7"/>
    <mergeCell ref="BCP7:BCS7"/>
    <mergeCell ref="BCU7:BCW7"/>
    <mergeCell ref="BCX7:BCY7"/>
    <mergeCell ref="BDB7:BDE7"/>
    <mergeCell ref="BBK7:BBM7"/>
    <mergeCell ref="BBN7:BBO7"/>
    <mergeCell ref="BBR7:BBU7"/>
    <mergeCell ref="BBW7:BBY7"/>
    <mergeCell ref="BBZ7:BCA7"/>
    <mergeCell ref="BCD7:BCG7"/>
    <mergeCell ref="BAM7:BAO7"/>
    <mergeCell ref="BAP7:BAQ7"/>
    <mergeCell ref="BAT7:BAW7"/>
    <mergeCell ref="BAY7:BBA7"/>
    <mergeCell ref="BBB7:BBC7"/>
    <mergeCell ref="BBF7:BBI7"/>
    <mergeCell ref="AZO7:AZQ7"/>
    <mergeCell ref="AZR7:AZS7"/>
    <mergeCell ref="AZV7:AZY7"/>
    <mergeCell ref="BAA7:BAC7"/>
    <mergeCell ref="BAD7:BAE7"/>
    <mergeCell ref="BAH7:BAK7"/>
    <mergeCell ref="AYQ7:AYS7"/>
    <mergeCell ref="AYT7:AYU7"/>
    <mergeCell ref="AYX7:AZA7"/>
    <mergeCell ref="AZC7:AZE7"/>
    <mergeCell ref="AZF7:AZG7"/>
    <mergeCell ref="AZJ7:AZM7"/>
    <mergeCell ref="AXS7:AXU7"/>
    <mergeCell ref="AXV7:AXW7"/>
    <mergeCell ref="AXZ7:AYC7"/>
    <mergeCell ref="AYE7:AYG7"/>
    <mergeCell ref="AYH7:AYI7"/>
    <mergeCell ref="AYL7:AYO7"/>
    <mergeCell ref="AWU7:AWW7"/>
    <mergeCell ref="AWX7:AWY7"/>
    <mergeCell ref="AXB7:AXE7"/>
    <mergeCell ref="AXG7:AXI7"/>
    <mergeCell ref="AXJ7:AXK7"/>
    <mergeCell ref="AXN7:AXQ7"/>
    <mergeCell ref="AVW7:AVY7"/>
    <mergeCell ref="AVZ7:AWA7"/>
    <mergeCell ref="AWD7:AWG7"/>
    <mergeCell ref="AWI7:AWK7"/>
    <mergeCell ref="AWL7:AWM7"/>
    <mergeCell ref="AWP7:AWS7"/>
    <mergeCell ref="AUY7:AVA7"/>
    <mergeCell ref="AVB7:AVC7"/>
    <mergeCell ref="AVF7:AVI7"/>
    <mergeCell ref="AVK7:AVM7"/>
    <mergeCell ref="AVN7:AVO7"/>
    <mergeCell ref="AVR7:AVU7"/>
    <mergeCell ref="AUA7:AUC7"/>
    <mergeCell ref="AUD7:AUE7"/>
    <mergeCell ref="AUH7:AUK7"/>
    <mergeCell ref="AUM7:AUO7"/>
    <mergeCell ref="AUP7:AUQ7"/>
    <mergeCell ref="AUT7:AUW7"/>
    <mergeCell ref="ATC7:ATE7"/>
    <mergeCell ref="ATF7:ATG7"/>
    <mergeCell ref="ATJ7:ATM7"/>
    <mergeCell ref="ATO7:ATQ7"/>
    <mergeCell ref="ATR7:ATS7"/>
    <mergeCell ref="ATV7:ATY7"/>
    <mergeCell ref="ASE7:ASG7"/>
    <mergeCell ref="ASH7:ASI7"/>
    <mergeCell ref="ASL7:ASO7"/>
    <mergeCell ref="ASQ7:ASS7"/>
    <mergeCell ref="AST7:ASU7"/>
    <mergeCell ref="ASX7:ATA7"/>
    <mergeCell ref="ARG7:ARI7"/>
    <mergeCell ref="ARJ7:ARK7"/>
    <mergeCell ref="ARN7:ARQ7"/>
    <mergeCell ref="ARS7:ARU7"/>
    <mergeCell ref="ARV7:ARW7"/>
    <mergeCell ref="ARZ7:ASC7"/>
    <mergeCell ref="AQI7:AQK7"/>
    <mergeCell ref="AQL7:AQM7"/>
    <mergeCell ref="AQP7:AQS7"/>
    <mergeCell ref="AQU7:AQW7"/>
    <mergeCell ref="AQX7:AQY7"/>
    <mergeCell ref="ARB7:ARE7"/>
    <mergeCell ref="APK7:APM7"/>
    <mergeCell ref="APN7:APO7"/>
    <mergeCell ref="APR7:APU7"/>
    <mergeCell ref="APW7:APY7"/>
    <mergeCell ref="APZ7:AQA7"/>
    <mergeCell ref="AQD7:AQG7"/>
    <mergeCell ref="AOM7:AOO7"/>
    <mergeCell ref="AOP7:AOQ7"/>
    <mergeCell ref="AOT7:AOW7"/>
    <mergeCell ref="AOY7:APA7"/>
    <mergeCell ref="APB7:APC7"/>
    <mergeCell ref="APF7:API7"/>
    <mergeCell ref="ANO7:ANQ7"/>
    <mergeCell ref="ANR7:ANS7"/>
    <mergeCell ref="ANV7:ANY7"/>
    <mergeCell ref="AOA7:AOC7"/>
    <mergeCell ref="AOD7:AOE7"/>
    <mergeCell ref="AOH7:AOK7"/>
    <mergeCell ref="AMQ7:AMS7"/>
    <mergeCell ref="AMT7:AMU7"/>
    <mergeCell ref="AMX7:ANA7"/>
    <mergeCell ref="ANC7:ANE7"/>
    <mergeCell ref="ANF7:ANG7"/>
    <mergeCell ref="ANJ7:ANM7"/>
    <mergeCell ref="ALS7:ALU7"/>
    <mergeCell ref="ALV7:ALW7"/>
    <mergeCell ref="ALZ7:AMC7"/>
    <mergeCell ref="AME7:AMG7"/>
    <mergeCell ref="AMH7:AMI7"/>
    <mergeCell ref="AML7:AMO7"/>
    <mergeCell ref="AKU7:AKW7"/>
    <mergeCell ref="AKX7:AKY7"/>
    <mergeCell ref="ALB7:ALE7"/>
    <mergeCell ref="ALG7:ALI7"/>
    <mergeCell ref="ALJ7:ALK7"/>
    <mergeCell ref="ALN7:ALQ7"/>
    <mergeCell ref="AJW7:AJY7"/>
    <mergeCell ref="AJZ7:AKA7"/>
    <mergeCell ref="AKD7:AKG7"/>
    <mergeCell ref="AKI7:AKK7"/>
    <mergeCell ref="AKL7:AKM7"/>
    <mergeCell ref="AKP7:AKS7"/>
    <mergeCell ref="AIY7:AJA7"/>
    <mergeCell ref="AJB7:AJC7"/>
    <mergeCell ref="AJF7:AJI7"/>
    <mergeCell ref="AJK7:AJM7"/>
    <mergeCell ref="AJN7:AJO7"/>
    <mergeCell ref="AJR7:AJU7"/>
    <mergeCell ref="AIA7:AIC7"/>
    <mergeCell ref="AID7:AIE7"/>
    <mergeCell ref="AIH7:AIK7"/>
    <mergeCell ref="AIM7:AIO7"/>
    <mergeCell ref="AIP7:AIQ7"/>
    <mergeCell ref="AIT7:AIW7"/>
    <mergeCell ref="AHC7:AHE7"/>
    <mergeCell ref="AHF7:AHG7"/>
    <mergeCell ref="AHJ7:AHM7"/>
    <mergeCell ref="AHO7:AHQ7"/>
    <mergeCell ref="AHR7:AHS7"/>
    <mergeCell ref="AHV7:AHY7"/>
    <mergeCell ref="AGE7:AGG7"/>
    <mergeCell ref="AGH7:AGI7"/>
    <mergeCell ref="AGL7:AGO7"/>
    <mergeCell ref="AGQ7:AGS7"/>
    <mergeCell ref="AGT7:AGU7"/>
    <mergeCell ref="AGX7:AHA7"/>
    <mergeCell ref="AFE7:AFG7"/>
    <mergeCell ref="AFH7:AFI7"/>
    <mergeCell ref="AFM7:AFP7"/>
    <mergeCell ref="AFR7:AFT7"/>
    <mergeCell ref="AFU7:AFV7"/>
    <mergeCell ref="AFZ7:AGC7"/>
    <mergeCell ref="AEE7:AEG7"/>
    <mergeCell ref="AEH7:AEI7"/>
    <mergeCell ref="AEM7:AEP7"/>
    <mergeCell ref="AER7:AET7"/>
    <mergeCell ref="AEU7:AEV7"/>
    <mergeCell ref="AEZ7:AFC7"/>
    <mergeCell ref="ADE7:ADG7"/>
    <mergeCell ref="ADH7:ADI7"/>
    <mergeCell ref="ADM7:ADP7"/>
    <mergeCell ref="ADR7:ADT7"/>
    <mergeCell ref="ADU7:ADV7"/>
    <mergeCell ref="ADZ7:AEC7"/>
    <mergeCell ref="ACE7:ACG7"/>
    <mergeCell ref="ACH7:ACI7"/>
    <mergeCell ref="ACM7:ACP7"/>
    <mergeCell ref="ACR7:ACT7"/>
    <mergeCell ref="ACU7:ACV7"/>
    <mergeCell ref="ACZ7:ADC7"/>
    <mergeCell ref="ABE7:ABG7"/>
    <mergeCell ref="ABH7:ABI7"/>
    <mergeCell ref="ABM7:ABP7"/>
    <mergeCell ref="ABR7:ABT7"/>
    <mergeCell ref="ABU7:ABV7"/>
    <mergeCell ref="ABZ7:ACC7"/>
    <mergeCell ref="AAE7:AAG7"/>
    <mergeCell ref="AAH7:AAI7"/>
    <mergeCell ref="AAM7:AAP7"/>
    <mergeCell ref="AAR7:AAT7"/>
    <mergeCell ref="AAU7:AAV7"/>
    <mergeCell ref="AAZ7:ABC7"/>
    <mergeCell ref="ZB7:ZD7"/>
    <mergeCell ref="ZE7:ZG7"/>
    <mergeCell ref="ZK7:ZO7"/>
    <mergeCell ref="ZP7:ZR7"/>
    <mergeCell ref="ZS7:ZU7"/>
    <mergeCell ref="ZZ7:AAC7"/>
    <mergeCell ref="XZ7:YB7"/>
    <mergeCell ref="YC7:YE7"/>
    <mergeCell ref="YI7:YM7"/>
    <mergeCell ref="YN7:YP7"/>
    <mergeCell ref="YQ7:YS7"/>
    <mergeCell ref="YW7:ZA7"/>
    <mergeCell ref="WX7:WZ7"/>
    <mergeCell ref="XA7:XC7"/>
    <mergeCell ref="XG7:XK7"/>
    <mergeCell ref="XL7:XN7"/>
    <mergeCell ref="XO7:XQ7"/>
    <mergeCell ref="XU7:XY7"/>
    <mergeCell ref="VV7:VX7"/>
    <mergeCell ref="VY7:WA7"/>
    <mergeCell ref="WE7:WI7"/>
    <mergeCell ref="WJ7:WL7"/>
    <mergeCell ref="WM7:WO7"/>
    <mergeCell ref="WS7:WW7"/>
    <mergeCell ref="UT7:UV7"/>
    <mergeCell ref="UW7:UY7"/>
    <mergeCell ref="VC7:VG7"/>
    <mergeCell ref="VH7:VJ7"/>
    <mergeCell ref="VK7:VM7"/>
    <mergeCell ref="VQ7:VU7"/>
    <mergeCell ref="TR7:TT7"/>
    <mergeCell ref="TU7:TW7"/>
    <mergeCell ref="UA7:UE7"/>
    <mergeCell ref="UF7:UH7"/>
    <mergeCell ref="UI7:UK7"/>
    <mergeCell ref="UO7:US7"/>
    <mergeCell ref="SP7:SR7"/>
    <mergeCell ref="SS7:SU7"/>
    <mergeCell ref="SY7:TC7"/>
    <mergeCell ref="TD7:TF7"/>
    <mergeCell ref="TG7:TI7"/>
    <mergeCell ref="TM7:TQ7"/>
    <mergeCell ref="RN7:RP7"/>
    <mergeCell ref="RQ7:RS7"/>
    <mergeCell ref="RW7:SA7"/>
    <mergeCell ref="SB7:SD7"/>
    <mergeCell ref="SE7:SG7"/>
    <mergeCell ref="SK7:SO7"/>
    <mergeCell ref="QL7:QN7"/>
    <mergeCell ref="QO7:QQ7"/>
    <mergeCell ref="QU7:QY7"/>
    <mergeCell ref="QZ7:RB7"/>
    <mergeCell ref="RC7:RE7"/>
    <mergeCell ref="RI7:RM7"/>
    <mergeCell ref="PJ7:PL7"/>
    <mergeCell ref="PM7:PO7"/>
    <mergeCell ref="PS7:PW7"/>
    <mergeCell ref="PX7:PZ7"/>
    <mergeCell ref="QA7:QC7"/>
    <mergeCell ref="QG7:QK7"/>
    <mergeCell ref="OH7:OJ7"/>
    <mergeCell ref="OK7:OM7"/>
    <mergeCell ref="OQ7:OU7"/>
    <mergeCell ref="OV7:OX7"/>
    <mergeCell ref="OY7:PA7"/>
    <mergeCell ref="PE7:PI7"/>
    <mergeCell ref="NF7:NH7"/>
    <mergeCell ref="NI7:NK7"/>
    <mergeCell ref="NO7:NS7"/>
    <mergeCell ref="NT7:NV7"/>
    <mergeCell ref="NW7:NY7"/>
    <mergeCell ref="OC7:OG7"/>
    <mergeCell ref="MD7:MF7"/>
    <mergeCell ref="MG7:MI7"/>
    <mergeCell ref="MM7:MQ7"/>
    <mergeCell ref="MR7:MT7"/>
    <mergeCell ref="MU7:MW7"/>
    <mergeCell ref="NA7:NE7"/>
    <mergeCell ref="LB7:LD7"/>
    <mergeCell ref="LE7:LG7"/>
    <mergeCell ref="LK7:LO7"/>
    <mergeCell ref="LP7:LR7"/>
    <mergeCell ref="LS7:LU7"/>
    <mergeCell ref="LY7:MC7"/>
    <mergeCell ref="JZ7:KB7"/>
    <mergeCell ref="KC7:KE7"/>
    <mergeCell ref="KI7:KM7"/>
    <mergeCell ref="KN7:KP7"/>
    <mergeCell ref="KQ7:KS7"/>
    <mergeCell ref="KW7:LA7"/>
    <mergeCell ref="IX7:IZ7"/>
    <mergeCell ref="JA7:JC7"/>
    <mergeCell ref="JG7:JK7"/>
    <mergeCell ref="JL7:JN7"/>
    <mergeCell ref="JO7:JQ7"/>
    <mergeCell ref="JU7:JY7"/>
    <mergeCell ref="HV7:HX7"/>
    <mergeCell ref="HY7:IA7"/>
    <mergeCell ref="IE7:II7"/>
    <mergeCell ref="IJ7:IL7"/>
    <mergeCell ref="IM7:IO7"/>
    <mergeCell ref="IS7:IW7"/>
    <mergeCell ref="GT7:GV7"/>
    <mergeCell ref="GW7:GY7"/>
    <mergeCell ref="HC7:HG7"/>
    <mergeCell ref="HH7:HJ7"/>
    <mergeCell ref="HK7:HM7"/>
    <mergeCell ref="HQ7:HU7"/>
    <mergeCell ref="FR7:FT7"/>
    <mergeCell ref="FU7:FW7"/>
    <mergeCell ref="GA7:GE7"/>
    <mergeCell ref="GF7:GH7"/>
    <mergeCell ref="GI7:GK7"/>
    <mergeCell ref="GO7:GS7"/>
    <mergeCell ref="EP7:ER7"/>
    <mergeCell ref="ES7:EU7"/>
    <mergeCell ref="EY7:FC7"/>
    <mergeCell ref="FD7:FF7"/>
    <mergeCell ref="FG7:FI7"/>
    <mergeCell ref="FM7:FQ7"/>
    <mergeCell ref="DN7:DP7"/>
    <mergeCell ref="DQ7:DS7"/>
    <mergeCell ref="DW7:EA7"/>
    <mergeCell ref="EB7:ED7"/>
    <mergeCell ref="EE7:EG7"/>
    <mergeCell ref="EK7:EO7"/>
    <mergeCell ref="CL7:CN7"/>
    <mergeCell ref="CO7:CQ7"/>
    <mergeCell ref="CU7:CY7"/>
    <mergeCell ref="CZ7:DB7"/>
    <mergeCell ref="DC7:DE7"/>
    <mergeCell ref="DI7:DM7"/>
    <mergeCell ref="BJ7:BL7"/>
    <mergeCell ref="BM7:BO7"/>
    <mergeCell ref="BS7:BW7"/>
    <mergeCell ref="BX7:BZ7"/>
    <mergeCell ref="CA7:CC7"/>
    <mergeCell ref="CG7:CK7"/>
    <mergeCell ref="AH7:AJ7"/>
    <mergeCell ref="AK7:AM7"/>
    <mergeCell ref="AQ7:AU7"/>
    <mergeCell ref="AV7:AX7"/>
    <mergeCell ref="AY7:BA7"/>
    <mergeCell ref="BE7:BI7"/>
    <mergeCell ref="CVY6:CVZ6"/>
    <mergeCell ref="CWA6:CWC6"/>
    <mergeCell ref="CWD6:CWE6"/>
    <mergeCell ref="A7:E7"/>
    <mergeCell ref="F7:H7"/>
    <mergeCell ref="I7:K7"/>
    <mergeCell ref="O7:S7"/>
    <mergeCell ref="T7:V7"/>
    <mergeCell ref="W7:Y7"/>
    <mergeCell ref="AC7:AG7"/>
    <mergeCell ref="CVF6:CVG6"/>
    <mergeCell ref="CVJ6:CVL6"/>
    <mergeCell ref="CVM6:CVN6"/>
    <mergeCell ref="CVO6:CVQ6"/>
    <mergeCell ref="CVR6:CVS6"/>
    <mergeCell ref="CVV6:CVX6"/>
    <mergeCell ref="CUO6:CUP6"/>
    <mergeCell ref="CUQ6:CUS6"/>
    <mergeCell ref="CUT6:CUU6"/>
    <mergeCell ref="CUX6:CUZ6"/>
    <mergeCell ref="CVA6:CVB6"/>
    <mergeCell ref="CVC6:CVE6"/>
    <mergeCell ref="CTV6:CTW6"/>
    <mergeCell ref="CTZ6:CUB6"/>
    <mergeCell ref="CUC6:CUD6"/>
    <mergeCell ref="CUE6:CUG6"/>
    <mergeCell ref="CUH6:CUI6"/>
    <mergeCell ref="CUL6:CUN6"/>
    <mergeCell ref="CTE6:CTF6"/>
    <mergeCell ref="CTG6:CTI6"/>
    <mergeCell ref="CTJ6:CTK6"/>
    <mergeCell ref="CTN6:CTP6"/>
    <mergeCell ref="CTQ6:CTR6"/>
    <mergeCell ref="CTS6:CTU6"/>
    <mergeCell ref="CSL6:CSM6"/>
    <mergeCell ref="CSP6:CSR6"/>
    <mergeCell ref="CSS6:CST6"/>
    <mergeCell ref="CSU6:CSW6"/>
    <mergeCell ref="CSX6:CSY6"/>
    <mergeCell ref="CTB6:CTD6"/>
    <mergeCell ref="CRU6:CRV6"/>
    <mergeCell ref="CRW6:CRY6"/>
    <mergeCell ref="CRZ6:CSA6"/>
    <mergeCell ref="CSD6:CSF6"/>
    <mergeCell ref="CSG6:CSH6"/>
    <mergeCell ref="CSI6:CSK6"/>
    <mergeCell ref="CRB6:CRC6"/>
    <mergeCell ref="CRF6:CRH6"/>
    <mergeCell ref="CRI6:CRJ6"/>
    <mergeCell ref="CRK6:CRM6"/>
    <mergeCell ref="CRN6:CRO6"/>
    <mergeCell ref="CRR6:CRT6"/>
    <mergeCell ref="CQK6:CQL6"/>
    <mergeCell ref="CQM6:CQO6"/>
    <mergeCell ref="CQP6:CQQ6"/>
    <mergeCell ref="CQT6:CQV6"/>
    <mergeCell ref="CQW6:CQX6"/>
    <mergeCell ref="CQY6:CRA6"/>
    <mergeCell ref="CPR6:CPS6"/>
    <mergeCell ref="CPV6:CPX6"/>
    <mergeCell ref="CPY6:CPZ6"/>
    <mergeCell ref="CQA6:CQC6"/>
    <mergeCell ref="CQD6:CQE6"/>
    <mergeCell ref="CQH6:CQJ6"/>
    <mergeCell ref="CPA6:CPB6"/>
    <mergeCell ref="CPC6:CPE6"/>
    <mergeCell ref="CPF6:CPG6"/>
    <mergeCell ref="CPJ6:CPL6"/>
    <mergeCell ref="CPM6:CPN6"/>
    <mergeCell ref="CPO6:CPQ6"/>
    <mergeCell ref="COH6:COI6"/>
    <mergeCell ref="COL6:CON6"/>
    <mergeCell ref="COO6:COP6"/>
    <mergeCell ref="COQ6:COS6"/>
    <mergeCell ref="COT6:COU6"/>
    <mergeCell ref="COX6:COZ6"/>
    <mergeCell ref="CNQ6:CNR6"/>
    <mergeCell ref="CNS6:CNU6"/>
    <mergeCell ref="CNV6:CNW6"/>
    <mergeCell ref="CNZ6:COB6"/>
    <mergeCell ref="COC6:COD6"/>
    <mergeCell ref="COE6:COG6"/>
    <mergeCell ref="CMX6:CMY6"/>
    <mergeCell ref="CNB6:CND6"/>
    <mergeCell ref="CNE6:CNF6"/>
    <mergeCell ref="CNG6:CNI6"/>
    <mergeCell ref="CNJ6:CNK6"/>
    <mergeCell ref="CNN6:CNP6"/>
    <mergeCell ref="CMG6:CMH6"/>
    <mergeCell ref="CMI6:CMK6"/>
    <mergeCell ref="CML6:CMM6"/>
    <mergeCell ref="CMP6:CMR6"/>
    <mergeCell ref="CMS6:CMT6"/>
    <mergeCell ref="CMU6:CMW6"/>
    <mergeCell ref="CLN6:CLO6"/>
    <mergeCell ref="CLR6:CLT6"/>
    <mergeCell ref="CLU6:CLV6"/>
    <mergeCell ref="CLW6:CLY6"/>
    <mergeCell ref="CLZ6:CMA6"/>
    <mergeCell ref="CMD6:CMF6"/>
    <mergeCell ref="CKW6:CKX6"/>
    <mergeCell ref="CKY6:CLA6"/>
    <mergeCell ref="CLB6:CLC6"/>
    <mergeCell ref="CLF6:CLH6"/>
    <mergeCell ref="CLI6:CLJ6"/>
    <mergeCell ref="CLK6:CLM6"/>
    <mergeCell ref="CKD6:CKE6"/>
    <mergeCell ref="CKH6:CKJ6"/>
    <mergeCell ref="CKK6:CKL6"/>
    <mergeCell ref="CKM6:CKO6"/>
    <mergeCell ref="CKP6:CKQ6"/>
    <mergeCell ref="CKT6:CKV6"/>
    <mergeCell ref="CJM6:CJN6"/>
    <mergeCell ref="CJO6:CJQ6"/>
    <mergeCell ref="CJR6:CJS6"/>
    <mergeCell ref="CJV6:CJX6"/>
    <mergeCell ref="CJY6:CJZ6"/>
    <mergeCell ref="CKA6:CKC6"/>
    <mergeCell ref="CIT6:CIU6"/>
    <mergeCell ref="CIX6:CIZ6"/>
    <mergeCell ref="CJA6:CJB6"/>
    <mergeCell ref="CJC6:CJE6"/>
    <mergeCell ref="CJF6:CJG6"/>
    <mergeCell ref="CJJ6:CJL6"/>
    <mergeCell ref="CIC6:CID6"/>
    <mergeCell ref="CIE6:CIG6"/>
    <mergeCell ref="CIH6:CII6"/>
    <mergeCell ref="CIL6:CIN6"/>
    <mergeCell ref="CIO6:CIP6"/>
    <mergeCell ref="CIQ6:CIS6"/>
    <mergeCell ref="CHJ6:CHK6"/>
    <mergeCell ref="CHN6:CHP6"/>
    <mergeCell ref="CHQ6:CHR6"/>
    <mergeCell ref="CHS6:CHU6"/>
    <mergeCell ref="CHV6:CHW6"/>
    <mergeCell ref="CHZ6:CIB6"/>
    <mergeCell ref="CGS6:CGT6"/>
    <mergeCell ref="CGU6:CGW6"/>
    <mergeCell ref="CGX6:CGY6"/>
    <mergeCell ref="CHB6:CHD6"/>
    <mergeCell ref="CHE6:CHF6"/>
    <mergeCell ref="CHG6:CHI6"/>
    <mergeCell ref="CFZ6:CGA6"/>
    <mergeCell ref="CGD6:CGF6"/>
    <mergeCell ref="CGG6:CGH6"/>
    <mergeCell ref="CGI6:CGK6"/>
    <mergeCell ref="CGL6:CGM6"/>
    <mergeCell ref="CGP6:CGR6"/>
    <mergeCell ref="CFI6:CFJ6"/>
    <mergeCell ref="CFK6:CFM6"/>
    <mergeCell ref="CFN6:CFO6"/>
    <mergeCell ref="CFR6:CFT6"/>
    <mergeCell ref="CFU6:CFV6"/>
    <mergeCell ref="CFW6:CFY6"/>
    <mergeCell ref="CEP6:CEQ6"/>
    <mergeCell ref="CET6:CEV6"/>
    <mergeCell ref="CEW6:CEX6"/>
    <mergeCell ref="CEY6:CFA6"/>
    <mergeCell ref="CFB6:CFC6"/>
    <mergeCell ref="CFF6:CFH6"/>
    <mergeCell ref="CDY6:CDZ6"/>
    <mergeCell ref="CEA6:CEC6"/>
    <mergeCell ref="CED6:CEE6"/>
    <mergeCell ref="CEH6:CEJ6"/>
    <mergeCell ref="CEK6:CEL6"/>
    <mergeCell ref="CEM6:CEO6"/>
    <mergeCell ref="CDF6:CDG6"/>
    <mergeCell ref="CDJ6:CDL6"/>
    <mergeCell ref="CDM6:CDN6"/>
    <mergeCell ref="CDO6:CDQ6"/>
    <mergeCell ref="CDR6:CDS6"/>
    <mergeCell ref="CDV6:CDX6"/>
    <mergeCell ref="CCO6:CCP6"/>
    <mergeCell ref="CCQ6:CCS6"/>
    <mergeCell ref="CCT6:CCU6"/>
    <mergeCell ref="CCX6:CCZ6"/>
    <mergeCell ref="CDA6:CDB6"/>
    <mergeCell ref="CDC6:CDE6"/>
    <mergeCell ref="CBV6:CBW6"/>
    <mergeCell ref="CBZ6:CCB6"/>
    <mergeCell ref="CCC6:CCD6"/>
    <mergeCell ref="CCE6:CCG6"/>
    <mergeCell ref="CCH6:CCI6"/>
    <mergeCell ref="CCL6:CCN6"/>
    <mergeCell ref="CBE6:CBF6"/>
    <mergeCell ref="CBG6:CBI6"/>
    <mergeCell ref="CBJ6:CBK6"/>
    <mergeCell ref="CBN6:CBP6"/>
    <mergeCell ref="CBQ6:CBR6"/>
    <mergeCell ref="CBS6:CBU6"/>
    <mergeCell ref="CAL6:CAM6"/>
    <mergeCell ref="CAP6:CAR6"/>
    <mergeCell ref="CAS6:CAT6"/>
    <mergeCell ref="CAU6:CAW6"/>
    <mergeCell ref="CAX6:CAY6"/>
    <mergeCell ref="CBB6:CBD6"/>
    <mergeCell ref="BZU6:BZV6"/>
    <mergeCell ref="BZW6:BZY6"/>
    <mergeCell ref="BZZ6:CAA6"/>
    <mergeCell ref="CAD6:CAF6"/>
    <mergeCell ref="CAG6:CAH6"/>
    <mergeCell ref="CAI6:CAK6"/>
    <mergeCell ref="BZB6:BZC6"/>
    <mergeCell ref="BZF6:BZH6"/>
    <mergeCell ref="BZI6:BZJ6"/>
    <mergeCell ref="BZK6:BZM6"/>
    <mergeCell ref="BZN6:BZO6"/>
    <mergeCell ref="BZR6:BZT6"/>
    <mergeCell ref="BYK6:BYL6"/>
    <mergeCell ref="BYM6:BYO6"/>
    <mergeCell ref="BYP6:BYQ6"/>
    <mergeCell ref="BYT6:BYV6"/>
    <mergeCell ref="BYW6:BYX6"/>
    <mergeCell ref="BYY6:BZA6"/>
    <mergeCell ref="BXR6:BXS6"/>
    <mergeCell ref="BXV6:BXX6"/>
    <mergeCell ref="BXY6:BXZ6"/>
    <mergeCell ref="BYA6:BYC6"/>
    <mergeCell ref="BYD6:BYE6"/>
    <mergeCell ref="BYH6:BYJ6"/>
    <mergeCell ref="BXA6:BXB6"/>
    <mergeCell ref="BXC6:BXE6"/>
    <mergeCell ref="BXF6:BXG6"/>
    <mergeCell ref="BXJ6:BXL6"/>
    <mergeCell ref="BXM6:BXN6"/>
    <mergeCell ref="BXO6:BXQ6"/>
    <mergeCell ref="BWH6:BWI6"/>
    <mergeCell ref="BWL6:BWN6"/>
    <mergeCell ref="BWO6:BWP6"/>
    <mergeCell ref="BWQ6:BWS6"/>
    <mergeCell ref="BWT6:BWU6"/>
    <mergeCell ref="BWX6:BWZ6"/>
    <mergeCell ref="BVQ6:BVR6"/>
    <mergeCell ref="BVS6:BVU6"/>
    <mergeCell ref="BVV6:BVW6"/>
    <mergeCell ref="BVZ6:BWB6"/>
    <mergeCell ref="BWC6:BWD6"/>
    <mergeCell ref="BWE6:BWG6"/>
    <mergeCell ref="BUX6:BUY6"/>
    <mergeCell ref="BVB6:BVD6"/>
    <mergeCell ref="BVE6:BVF6"/>
    <mergeCell ref="BVG6:BVI6"/>
    <mergeCell ref="BVJ6:BVK6"/>
    <mergeCell ref="BVN6:BVP6"/>
    <mergeCell ref="BUG6:BUH6"/>
    <mergeCell ref="BUI6:BUK6"/>
    <mergeCell ref="BUL6:BUM6"/>
    <mergeCell ref="BUP6:BUR6"/>
    <mergeCell ref="BUS6:BUT6"/>
    <mergeCell ref="BUU6:BUW6"/>
    <mergeCell ref="BTN6:BTO6"/>
    <mergeCell ref="BTR6:BTT6"/>
    <mergeCell ref="BTU6:BTV6"/>
    <mergeCell ref="BTW6:BTY6"/>
    <mergeCell ref="BTZ6:BUA6"/>
    <mergeCell ref="BUD6:BUF6"/>
    <mergeCell ref="BSW6:BSX6"/>
    <mergeCell ref="BSY6:BTA6"/>
    <mergeCell ref="BTB6:BTC6"/>
    <mergeCell ref="BTF6:BTH6"/>
    <mergeCell ref="BTI6:BTJ6"/>
    <mergeCell ref="BTK6:BTM6"/>
    <mergeCell ref="BSD6:BSE6"/>
    <mergeCell ref="BSH6:BSJ6"/>
    <mergeCell ref="BSK6:BSL6"/>
    <mergeCell ref="BSM6:BSO6"/>
    <mergeCell ref="BSP6:BSQ6"/>
    <mergeCell ref="BST6:BSV6"/>
    <mergeCell ref="BRM6:BRN6"/>
    <mergeCell ref="BRO6:BRQ6"/>
    <mergeCell ref="BRR6:BRS6"/>
    <mergeCell ref="BRV6:BRX6"/>
    <mergeCell ref="BRY6:BRZ6"/>
    <mergeCell ref="BSA6:BSC6"/>
    <mergeCell ref="BQT6:BQU6"/>
    <mergeCell ref="BQX6:BQZ6"/>
    <mergeCell ref="BRA6:BRB6"/>
    <mergeCell ref="BRC6:BRE6"/>
    <mergeCell ref="BRF6:BRG6"/>
    <mergeCell ref="BRJ6:BRL6"/>
    <mergeCell ref="BQC6:BQD6"/>
    <mergeCell ref="BQE6:BQG6"/>
    <mergeCell ref="BQH6:BQI6"/>
    <mergeCell ref="BQL6:BQN6"/>
    <mergeCell ref="BQO6:BQP6"/>
    <mergeCell ref="BQQ6:BQS6"/>
    <mergeCell ref="BPJ6:BPK6"/>
    <mergeCell ref="BPN6:BPP6"/>
    <mergeCell ref="BPQ6:BPR6"/>
    <mergeCell ref="BPS6:BPU6"/>
    <mergeCell ref="BPV6:BPW6"/>
    <mergeCell ref="BPZ6:BQB6"/>
    <mergeCell ref="BOS6:BOT6"/>
    <mergeCell ref="BOU6:BOW6"/>
    <mergeCell ref="BOX6:BOY6"/>
    <mergeCell ref="BPB6:BPD6"/>
    <mergeCell ref="BPE6:BPF6"/>
    <mergeCell ref="BPG6:BPI6"/>
    <mergeCell ref="BNZ6:BOA6"/>
    <mergeCell ref="BOD6:BOF6"/>
    <mergeCell ref="BOG6:BOH6"/>
    <mergeCell ref="BOI6:BOK6"/>
    <mergeCell ref="BOL6:BOM6"/>
    <mergeCell ref="BOP6:BOR6"/>
    <mergeCell ref="BNI6:BNJ6"/>
    <mergeCell ref="BNK6:BNM6"/>
    <mergeCell ref="BNN6:BNO6"/>
    <mergeCell ref="BNR6:BNT6"/>
    <mergeCell ref="BNU6:BNV6"/>
    <mergeCell ref="BNW6:BNY6"/>
    <mergeCell ref="BMP6:BMQ6"/>
    <mergeCell ref="BMT6:BMV6"/>
    <mergeCell ref="BMW6:BMX6"/>
    <mergeCell ref="BMY6:BNA6"/>
    <mergeCell ref="BNB6:BNC6"/>
    <mergeCell ref="BNF6:BNH6"/>
    <mergeCell ref="BLY6:BLZ6"/>
    <mergeCell ref="BMA6:BMC6"/>
    <mergeCell ref="BMD6:BME6"/>
    <mergeCell ref="BMH6:BMJ6"/>
    <mergeCell ref="BMK6:BML6"/>
    <mergeCell ref="BMM6:BMO6"/>
    <mergeCell ref="BLF6:BLG6"/>
    <mergeCell ref="BLJ6:BLL6"/>
    <mergeCell ref="BLM6:BLN6"/>
    <mergeCell ref="BLO6:BLQ6"/>
    <mergeCell ref="BLR6:BLS6"/>
    <mergeCell ref="BLV6:BLX6"/>
    <mergeCell ref="BKO6:BKP6"/>
    <mergeCell ref="BKQ6:BKS6"/>
    <mergeCell ref="BKT6:BKU6"/>
    <mergeCell ref="BKX6:BKZ6"/>
    <mergeCell ref="BLA6:BLB6"/>
    <mergeCell ref="BLC6:BLE6"/>
    <mergeCell ref="BJV6:BJW6"/>
    <mergeCell ref="BJZ6:BKB6"/>
    <mergeCell ref="BKC6:BKD6"/>
    <mergeCell ref="BKE6:BKG6"/>
    <mergeCell ref="BKH6:BKI6"/>
    <mergeCell ref="BKL6:BKN6"/>
    <mergeCell ref="BJE6:BJF6"/>
    <mergeCell ref="BJG6:BJI6"/>
    <mergeCell ref="BJJ6:BJK6"/>
    <mergeCell ref="BJN6:BJP6"/>
    <mergeCell ref="BJQ6:BJR6"/>
    <mergeCell ref="BJS6:BJU6"/>
    <mergeCell ref="BIL6:BIM6"/>
    <mergeCell ref="BIP6:BIR6"/>
    <mergeCell ref="BIS6:BIT6"/>
    <mergeCell ref="BIU6:BIW6"/>
    <mergeCell ref="BIX6:BIY6"/>
    <mergeCell ref="BJB6:BJD6"/>
    <mergeCell ref="BHU6:BHV6"/>
    <mergeCell ref="BHW6:BHY6"/>
    <mergeCell ref="BHZ6:BIA6"/>
    <mergeCell ref="BID6:BIF6"/>
    <mergeCell ref="BIG6:BIH6"/>
    <mergeCell ref="BII6:BIK6"/>
    <mergeCell ref="BHB6:BHC6"/>
    <mergeCell ref="BHF6:BHH6"/>
    <mergeCell ref="BHI6:BHJ6"/>
    <mergeCell ref="BHK6:BHM6"/>
    <mergeCell ref="BHN6:BHO6"/>
    <mergeCell ref="BHR6:BHT6"/>
    <mergeCell ref="BGK6:BGL6"/>
    <mergeCell ref="BGM6:BGO6"/>
    <mergeCell ref="BGP6:BGQ6"/>
    <mergeCell ref="BGT6:BGV6"/>
    <mergeCell ref="BGW6:BGX6"/>
    <mergeCell ref="BGY6:BHA6"/>
    <mergeCell ref="BFR6:BFS6"/>
    <mergeCell ref="BFV6:BFX6"/>
    <mergeCell ref="BFY6:BFZ6"/>
    <mergeCell ref="BGA6:BGC6"/>
    <mergeCell ref="BGD6:BGE6"/>
    <mergeCell ref="BGH6:BGJ6"/>
    <mergeCell ref="BFA6:BFB6"/>
    <mergeCell ref="BFC6:BFE6"/>
    <mergeCell ref="BFF6:BFG6"/>
    <mergeCell ref="BFJ6:BFL6"/>
    <mergeCell ref="BFM6:BFN6"/>
    <mergeCell ref="BFO6:BFQ6"/>
    <mergeCell ref="BEH6:BEI6"/>
    <mergeCell ref="BEL6:BEN6"/>
    <mergeCell ref="BEO6:BEP6"/>
    <mergeCell ref="BEQ6:BES6"/>
    <mergeCell ref="BET6:BEU6"/>
    <mergeCell ref="BEX6:BEZ6"/>
    <mergeCell ref="BDQ6:BDR6"/>
    <mergeCell ref="BDS6:BDU6"/>
    <mergeCell ref="BDV6:BDW6"/>
    <mergeCell ref="BDZ6:BEB6"/>
    <mergeCell ref="BEC6:BED6"/>
    <mergeCell ref="BEE6:BEG6"/>
    <mergeCell ref="BCX6:BCY6"/>
    <mergeCell ref="BDB6:BDD6"/>
    <mergeCell ref="BDE6:BDF6"/>
    <mergeCell ref="BDG6:BDI6"/>
    <mergeCell ref="BDJ6:BDK6"/>
    <mergeCell ref="BDN6:BDP6"/>
    <mergeCell ref="BCG6:BCH6"/>
    <mergeCell ref="BCI6:BCK6"/>
    <mergeCell ref="BCL6:BCM6"/>
    <mergeCell ref="BCP6:BCR6"/>
    <mergeCell ref="BCS6:BCT6"/>
    <mergeCell ref="BCU6:BCW6"/>
    <mergeCell ref="BBN6:BBO6"/>
    <mergeCell ref="BBR6:BBT6"/>
    <mergeCell ref="BBU6:BBV6"/>
    <mergeCell ref="BBW6:BBY6"/>
    <mergeCell ref="BBZ6:BCA6"/>
    <mergeCell ref="BCD6:BCF6"/>
    <mergeCell ref="BAW6:BAX6"/>
    <mergeCell ref="BAY6:BBA6"/>
    <mergeCell ref="BBB6:BBC6"/>
    <mergeCell ref="BBF6:BBH6"/>
    <mergeCell ref="BBI6:BBJ6"/>
    <mergeCell ref="BBK6:BBM6"/>
    <mergeCell ref="BAD6:BAE6"/>
    <mergeCell ref="BAH6:BAJ6"/>
    <mergeCell ref="BAK6:BAL6"/>
    <mergeCell ref="BAM6:BAO6"/>
    <mergeCell ref="BAP6:BAQ6"/>
    <mergeCell ref="BAT6:BAV6"/>
    <mergeCell ref="AZM6:AZN6"/>
    <mergeCell ref="AZO6:AZQ6"/>
    <mergeCell ref="AZR6:AZS6"/>
    <mergeCell ref="AZV6:AZX6"/>
    <mergeCell ref="AZY6:AZZ6"/>
    <mergeCell ref="BAA6:BAC6"/>
    <mergeCell ref="AYT6:AYU6"/>
    <mergeCell ref="AYX6:AYZ6"/>
    <mergeCell ref="AZA6:AZB6"/>
    <mergeCell ref="AZC6:AZE6"/>
    <mergeCell ref="AZF6:AZG6"/>
    <mergeCell ref="AZJ6:AZL6"/>
    <mergeCell ref="AYC6:AYD6"/>
    <mergeCell ref="AYE6:AYG6"/>
    <mergeCell ref="AYH6:AYI6"/>
    <mergeCell ref="AYL6:AYN6"/>
    <mergeCell ref="AYO6:AYP6"/>
    <mergeCell ref="AYQ6:AYS6"/>
    <mergeCell ref="AXJ6:AXK6"/>
    <mergeCell ref="AXN6:AXP6"/>
    <mergeCell ref="AXQ6:AXR6"/>
    <mergeCell ref="AXS6:AXU6"/>
    <mergeCell ref="AXV6:AXW6"/>
    <mergeCell ref="AXZ6:AYB6"/>
    <mergeCell ref="AWS6:AWT6"/>
    <mergeCell ref="AWU6:AWW6"/>
    <mergeCell ref="AWX6:AWY6"/>
    <mergeCell ref="AXB6:AXD6"/>
    <mergeCell ref="AXE6:AXF6"/>
    <mergeCell ref="AXG6:AXI6"/>
    <mergeCell ref="AVZ6:AWA6"/>
    <mergeCell ref="AWD6:AWF6"/>
    <mergeCell ref="AWG6:AWH6"/>
    <mergeCell ref="AWI6:AWK6"/>
    <mergeCell ref="AWL6:AWM6"/>
    <mergeCell ref="AWP6:AWR6"/>
    <mergeCell ref="AVI6:AVJ6"/>
    <mergeCell ref="AVK6:AVM6"/>
    <mergeCell ref="AVN6:AVO6"/>
    <mergeCell ref="AVR6:AVT6"/>
    <mergeCell ref="AVU6:AVV6"/>
    <mergeCell ref="AVW6:AVY6"/>
    <mergeCell ref="AUP6:AUQ6"/>
    <mergeCell ref="AUT6:AUV6"/>
    <mergeCell ref="AUW6:AUX6"/>
    <mergeCell ref="AUY6:AVA6"/>
    <mergeCell ref="AVB6:AVC6"/>
    <mergeCell ref="AVF6:AVH6"/>
    <mergeCell ref="ATY6:ATZ6"/>
    <mergeCell ref="AUA6:AUC6"/>
    <mergeCell ref="AUD6:AUE6"/>
    <mergeCell ref="AUH6:AUJ6"/>
    <mergeCell ref="AUK6:AUL6"/>
    <mergeCell ref="AUM6:AUO6"/>
    <mergeCell ref="ATF6:ATG6"/>
    <mergeCell ref="ATJ6:ATL6"/>
    <mergeCell ref="ATM6:ATN6"/>
    <mergeCell ref="ATO6:ATQ6"/>
    <mergeCell ref="ATR6:ATS6"/>
    <mergeCell ref="ATV6:ATX6"/>
    <mergeCell ref="ASO6:ASP6"/>
    <mergeCell ref="ASQ6:ASS6"/>
    <mergeCell ref="AST6:ASU6"/>
    <mergeCell ref="ASX6:ASZ6"/>
    <mergeCell ref="ATA6:ATB6"/>
    <mergeCell ref="ATC6:ATE6"/>
    <mergeCell ref="ARV6:ARW6"/>
    <mergeCell ref="ARZ6:ASB6"/>
    <mergeCell ref="ASC6:ASD6"/>
    <mergeCell ref="ASE6:ASG6"/>
    <mergeCell ref="ASH6:ASI6"/>
    <mergeCell ref="ASL6:ASN6"/>
    <mergeCell ref="ARE6:ARF6"/>
    <mergeCell ref="ARG6:ARI6"/>
    <mergeCell ref="ARJ6:ARK6"/>
    <mergeCell ref="ARN6:ARP6"/>
    <mergeCell ref="ARQ6:ARR6"/>
    <mergeCell ref="ARS6:ARU6"/>
    <mergeCell ref="AQL6:AQM6"/>
    <mergeCell ref="AQP6:AQR6"/>
    <mergeCell ref="AQS6:AQT6"/>
    <mergeCell ref="AQU6:AQW6"/>
    <mergeCell ref="AQX6:AQY6"/>
    <mergeCell ref="ARB6:ARD6"/>
    <mergeCell ref="APU6:APV6"/>
    <mergeCell ref="APW6:APY6"/>
    <mergeCell ref="APZ6:AQA6"/>
    <mergeCell ref="AQD6:AQF6"/>
    <mergeCell ref="AQG6:AQH6"/>
    <mergeCell ref="AQI6:AQK6"/>
    <mergeCell ref="APB6:APC6"/>
    <mergeCell ref="APF6:APH6"/>
    <mergeCell ref="API6:APJ6"/>
    <mergeCell ref="APK6:APM6"/>
    <mergeCell ref="APN6:APO6"/>
    <mergeCell ref="APR6:APT6"/>
    <mergeCell ref="AOK6:AOL6"/>
    <mergeCell ref="AOM6:AOO6"/>
    <mergeCell ref="AOP6:AOQ6"/>
    <mergeCell ref="AOT6:AOV6"/>
    <mergeCell ref="AOW6:AOX6"/>
    <mergeCell ref="AOY6:APA6"/>
    <mergeCell ref="ANR6:ANS6"/>
    <mergeCell ref="ANV6:ANX6"/>
    <mergeCell ref="ANY6:ANZ6"/>
    <mergeCell ref="AOA6:AOC6"/>
    <mergeCell ref="AOD6:AOE6"/>
    <mergeCell ref="AOH6:AOJ6"/>
    <mergeCell ref="ANA6:ANB6"/>
    <mergeCell ref="ANC6:ANE6"/>
    <mergeCell ref="ANF6:ANG6"/>
    <mergeCell ref="ANJ6:ANL6"/>
    <mergeCell ref="ANM6:ANN6"/>
    <mergeCell ref="ANO6:ANQ6"/>
    <mergeCell ref="AMH6:AMI6"/>
    <mergeCell ref="AML6:AMN6"/>
    <mergeCell ref="AMO6:AMP6"/>
    <mergeCell ref="AMQ6:AMS6"/>
    <mergeCell ref="AMT6:AMU6"/>
    <mergeCell ref="AMX6:AMZ6"/>
    <mergeCell ref="ALQ6:ALR6"/>
    <mergeCell ref="ALS6:ALU6"/>
    <mergeCell ref="ALV6:ALW6"/>
    <mergeCell ref="ALZ6:AMB6"/>
    <mergeCell ref="AMC6:AMD6"/>
    <mergeCell ref="AME6:AMG6"/>
    <mergeCell ref="AKX6:AKY6"/>
    <mergeCell ref="ALB6:ALD6"/>
    <mergeCell ref="ALE6:ALF6"/>
    <mergeCell ref="ALG6:ALI6"/>
    <mergeCell ref="ALJ6:ALK6"/>
    <mergeCell ref="ALN6:ALP6"/>
    <mergeCell ref="AKG6:AKH6"/>
    <mergeCell ref="AKI6:AKK6"/>
    <mergeCell ref="AKL6:AKM6"/>
    <mergeCell ref="AKP6:AKR6"/>
    <mergeCell ref="AKS6:AKT6"/>
    <mergeCell ref="AKU6:AKW6"/>
    <mergeCell ref="AJN6:AJO6"/>
    <mergeCell ref="AJR6:AJT6"/>
    <mergeCell ref="AJU6:AJV6"/>
    <mergeCell ref="AJW6:AJY6"/>
    <mergeCell ref="AJZ6:AKA6"/>
    <mergeCell ref="AKD6:AKF6"/>
    <mergeCell ref="AIW6:AIX6"/>
    <mergeCell ref="AIY6:AJA6"/>
    <mergeCell ref="AJB6:AJC6"/>
    <mergeCell ref="AJF6:AJH6"/>
    <mergeCell ref="AJI6:AJJ6"/>
    <mergeCell ref="AJK6:AJM6"/>
    <mergeCell ref="AID6:AIE6"/>
    <mergeCell ref="AIH6:AIJ6"/>
    <mergeCell ref="AIK6:AIL6"/>
    <mergeCell ref="AIM6:AIO6"/>
    <mergeCell ref="AIP6:AIQ6"/>
    <mergeCell ref="AIT6:AIV6"/>
    <mergeCell ref="AHM6:AHN6"/>
    <mergeCell ref="AHO6:AHQ6"/>
    <mergeCell ref="AHR6:AHS6"/>
    <mergeCell ref="AHV6:AHX6"/>
    <mergeCell ref="AHY6:AHZ6"/>
    <mergeCell ref="AIA6:AIC6"/>
    <mergeCell ref="AGT6:AGU6"/>
    <mergeCell ref="AGX6:AGZ6"/>
    <mergeCell ref="AHA6:AHB6"/>
    <mergeCell ref="AHC6:AHE6"/>
    <mergeCell ref="AHF6:AHG6"/>
    <mergeCell ref="AHJ6:AHL6"/>
    <mergeCell ref="AGC6:AGD6"/>
    <mergeCell ref="AGE6:AGG6"/>
    <mergeCell ref="AGH6:AGI6"/>
    <mergeCell ref="AGL6:AGN6"/>
    <mergeCell ref="AGO6:AGP6"/>
    <mergeCell ref="AGQ6:AGS6"/>
    <mergeCell ref="AFH6:AFI6"/>
    <mergeCell ref="AFM6:AFO6"/>
    <mergeCell ref="AFP6:AFQ6"/>
    <mergeCell ref="AFR6:AFT6"/>
    <mergeCell ref="AFU6:AFV6"/>
    <mergeCell ref="AFZ6:AGB6"/>
    <mergeCell ref="AEP6:AEQ6"/>
    <mergeCell ref="AER6:AET6"/>
    <mergeCell ref="AEU6:AEV6"/>
    <mergeCell ref="AEZ6:AFB6"/>
    <mergeCell ref="AFC6:AFD6"/>
    <mergeCell ref="AFE6:AFG6"/>
    <mergeCell ref="ADU6:ADV6"/>
    <mergeCell ref="ADZ6:AEB6"/>
    <mergeCell ref="AEC6:AED6"/>
    <mergeCell ref="AEE6:AEG6"/>
    <mergeCell ref="AEH6:AEI6"/>
    <mergeCell ref="AEM6:AEO6"/>
    <mergeCell ref="ADC6:ADD6"/>
    <mergeCell ref="ADE6:ADG6"/>
    <mergeCell ref="ADH6:ADI6"/>
    <mergeCell ref="ADM6:ADO6"/>
    <mergeCell ref="ADP6:ADQ6"/>
    <mergeCell ref="ADR6:ADT6"/>
    <mergeCell ref="ACH6:ACI6"/>
    <mergeCell ref="ACM6:ACO6"/>
    <mergeCell ref="ACP6:ACQ6"/>
    <mergeCell ref="ACR6:ACT6"/>
    <mergeCell ref="ACU6:ACV6"/>
    <mergeCell ref="ACZ6:ADB6"/>
    <mergeCell ref="ABP6:ABQ6"/>
    <mergeCell ref="ABR6:ABT6"/>
    <mergeCell ref="ABU6:ABV6"/>
    <mergeCell ref="ABZ6:ACB6"/>
    <mergeCell ref="ACC6:ACD6"/>
    <mergeCell ref="ACE6:ACG6"/>
    <mergeCell ref="AAU6:AAV6"/>
    <mergeCell ref="AAZ6:ABB6"/>
    <mergeCell ref="ABC6:ABD6"/>
    <mergeCell ref="ABE6:ABG6"/>
    <mergeCell ref="ABH6:ABI6"/>
    <mergeCell ref="ABM6:ABO6"/>
    <mergeCell ref="AAC6:AAD6"/>
    <mergeCell ref="AAE6:AAG6"/>
    <mergeCell ref="AAH6:AAI6"/>
    <mergeCell ref="AAM6:AAO6"/>
    <mergeCell ref="AAP6:AAQ6"/>
    <mergeCell ref="AAR6:AAT6"/>
    <mergeCell ref="ZA6:ZC6"/>
    <mergeCell ref="ZG6:ZH6"/>
    <mergeCell ref="ZK6:ZN6"/>
    <mergeCell ref="ZO6:ZQ6"/>
    <mergeCell ref="ZU6:ZV6"/>
    <mergeCell ref="ZZ6:AAB6"/>
    <mergeCell ref="XY6:YA6"/>
    <mergeCell ref="YE6:YF6"/>
    <mergeCell ref="YI6:YL6"/>
    <mergeCell ref="YM6:YO6"/>
    <mergeCell ref="YS6:YT6"/>
    <mergeCell ref="YW6:YZ6"/>
    <mergeCell ref="WW6:WY6"/>
    <mergeCell ref="XC6:XD6"/>
    <mergeCell ref="XG6:XJ6"/>
    <mergeCell ref="XK6:XM6"/>
    <mergeCell ref="XQ6:XR6"/>
    <mergeCell ref="XU6:XX6"/>
    <mergeCell ref="VU6:VW6"/>
    <mergeCell ref="WA6:WB6"/>
    <mergeCell ref="WE6:WH6"/>
    <mergeCell ref="WI6:WK6"/>
    <mergeCell ref="WO6:WP6"/>
    <mergeCell ref="WS6:WV6"/>
    <mergeCell ref="US6:UU6"/>
    <mergeCell ref="UY6:UZ6"/>
    <mergeCell ref="VC6:VF6"/>
    <mergeCell ref="VG6:VI6"/>
    <mergeCell ref="VM6:VN6"/>
    <mergeCell ref="VQ6:VT6"/>
    <mergeCell ref="TQ6:TS6"/>
    <mergeCell ref="TW6:TX6"/>
    <mergeCell ref="UA6:UD6"/>
    <mergeCell ref="UE6:UG6"/>
    <mergeCell ref="UK6:UL6"/>
    <mergeCell ref="UO6:UR6"/>
    <mergeCell ref="SO6:SQ6"/>
    <mergeCell ref="SU6:SV6"/>
    <mergeCell ref="SY6:TB6"/>
    <mergeCell ref="TC6:TE6"/>
    <mergeCell ref="TI6:TJ6"/>
    <mergeCell ref="TM6:TP6"/>
    <mergeCell ref="RM6:RO6"/>
    <mergeCell ref="RS6:RT6"/>
    <mergeCell ref="RW6:RZ6"/>
    <mergeCell ref="SA6:SC6"/>
    <mergeCell ref="SG6:SH6"/>
    <mergeCell ref="SK6:SN6"/>
    <mergeCell ref="QK6:QM6"/>
    <mergeCell ref="QQ6:QR6"/>
    <mergeCell ref="QU6:QX6"/>
    <mergeCell ref="QY6:RA6"/>
    <mergeCell ref="RE6:RF6"/>
    <mergeCell ref="RI6:RL6"/>
    <mergeCell ref="PI6:PK6"/>
    <mergeCell ref="PO6:PP6"/>
    <mergeCell ref="PS6:PV6"/>
    <mergeCell ref="PW6:PY6"/>
    <mergeCell ref="QC6:QD6"/>
    <mergeCell ref="QG6:QJ6"/>
    <mergeCell ref="OG6:OI6"/>
    <mergeCell ref="OM6:ON6"/>
    <mergeCell ref="OQ6:OT6"/>
    <mergeCell ref="OU6:OW6"/>
    <mergeCell ref="PA6:PB6"/>
    <mergeCell ref="PE6:PH6"/>
    <mergeCell ref="NE6:NG6"/>
    <mergeCell ref="NK6:NL6"/>
    <mergeCell ref="NO6:NR6"/>
    <mergeCell ref="NS6:NU6"/>
    <mergeCell ref="NY6:NZ6"/>
    <mergeCell ref="OC6:OF6"/>
    <mergeCell ref="MC6:ME6"/>
    <mergeCell ref="MI6:MJ6"/>
    <mergeCell ref="MM6:MP6"/>
    <mergeCell ref="MQ6:MS6"/>
    <mergeCell ref="MW6:MX6"/>
    <mergeCell ref="NA6:ND6"/>
    <mergeCell ref="LA6:LC6"/>
    <mergeCell ref="LG6:LH6"/>
    <mergeCell ref="LK6:LN6"/>
    <mergeCell ref="LO6:LQ6"/>
    <mergeCell ref="LU6:LV6"/>
    <mergeCell ref="LY6:MB6"/>
    <mergeCell ref="JY6:KA6"/>
    <mergeCell ref="KE6:KF6"/>
    <mergeCell ref="KI6:KL6"/>
    <mergeCell ref="KM6:KO6"/>
    <mergeCell ref="KS6:KT6"/>
    <mergeCell ref="KW6:KZ6"/>
    <mergeCell ref="IW6:IY6"/>
    <mergeCell ref="JC6:JD6"/>
    <mergeCell ref="JG6:JJ6"/>
    <mergeCell ref="JK6:JM6"/>
    <mergeCell ref="JQ6:JR6"/>
    <mergeCell ref="JU6:JX6"/>
    <mergeCell ref="HU6:HW6"/>
    <mergeCell ref="IA6:IB6"/>
    <mergeCell ref="IE6:IH6"/>
    <mergeCell ref="II6:IK6"/>
    <mergeCell ref="IO6:IP6"/>
    <mergeCell ref="IS6:IV6"/>
    <mergeCell ref="GS6:GU6"/>
    <mergeCell ref="GY6:GZ6"/>
    <mergeCell ref="HC6:HF6"/>
    <mergeCell ref="HG6:HI6"/>
    <mergeCell ref="HM6:HN6"/>
    <mergeCell ref="HQ6:HT6"/>
    <mergeCell ref="FQ6:FS6"/>
    <mergeCell ref="FW6:FX6"/>
    <mergeCell ref="GA6:GD6"/>
    <mergeCell ref="GE6:GG6"/>
    <mergeCell ref="GK6:GL6"/>
    <mergeCell ref="GO6:GR6"/>
    <mergeCell ref="EO6:EQ6"/>
    <mergeCell ref="EU6:EV6"/>
    <mergeCell ref="EY6:FB6"/>
    <mergeCell ref="FC6:FE6"/>
    <mergeCell ref="FI6:FJ6"/>
    <mergeCell ref="FM6:FP6"/>
    <mergeCell ref="DM6:DO6"/>
    <mergeCell ref="DS6:DT6"/>
    <mergeCell ref="DW6:DZ6"/>
    <mergeCell ref="EA6:EC6"/>
    <mergeCell ref="EG6:EH6"/>
    <mergeCell ref="EK6:EN6"/>
    <mergeCell ref="CK6:CM6"/>
    <mergeCell ref="CQ6:CR6"/>
    <mergeCell ref="CU6:CX6"/>
    <mergeCell ref="CY6:DA6"/>
    <mergeCell ref="DE6:DF6"/>
    <mergeCell ref="DI6:DL6"/>
    <mergeCell ref="BI6:BK6"/>
    <mergeCell ref="BO6:BP6"/>
    <mergeCell ref="BS6:BV6"/>
    <mergeCell ref="BW6:BY6"/>
    <mergeCell ref="CC6:CD6"/>
    <mergeCell ref="CG6:CJ6"/>
    <mergeCell ref="AG6:AI6"/>
    <mergeCell ref="AM6:AN6"/>
    <mergeCell ref="AQ6:AT6"/>
    <mergeCell ref="AU6:AW6"/>
    <mergeCell ref="BA6:BB6"/>
    <mergeCell ref="BE6:BH6"/>
    <mergeCell ref="CVX5:CVZ5"/>
    <mergeCell ref="CWA5:CWC5"/>
    <mergeCell ref="CWD5:CWE5"/>
    <mergeCell ref="A6:D6"/>
    <mergeCell ref="E6:G6"/>
    <mergeCell ref="K6:L6"/>
    <mergeCell ref="O6:R6"/>
    <mergeCell ref="S6:U6"/>
    <mergeCell ref="Y6:Z6"/>
    <mergeCell ref="AC6:AF6"/>
    <mergeCell ref="CVF5:CVG5"/>
    <mergeCell ref="CVJ5:CVK5"/>
    <mergeCell ref="CVL5:CVN5"/>
    <mergeCell ref="CVO5:CVQ5"/>
    <mergeCell ref="CVR5:CVS5"/>
    <mergeCell ref="CVV5:CVW5"/>
    <mergeCell ref="CUN5:CUP5"/>
    <mergeCell ref="CUQ5:CUS5"/>
    <mergeCell ref="CUT5:CUU5"/>
    <mergeCell ref="CUX5:CUY5"/>
    <mergeCell ref="CUZ5:CVB5"/>
    <mergeCell ref="CVC5:CVE5"/>
    <mergeCell ref="CTV5:CTW5"/>
    <mergeCell ref="CTZ5:CUA5"/>
    <mergeCell ref="CUB5:CUD5"/>
    <mergeCell ref="CUE5:CUG5"/>
    <mergeCell ref="CUH5:CUI5"/>
    <mergeCell ref="CUL5:CUM5"/>
    <mergeCell ref="CTD5:CTF5"/>
    <mergeCell ref="CTG5:CTI5"/>
    <mergeCell ref="CTJ5:CTK5"/>
    <mergeCell ref="CTN5:CTO5"/>
    <mergeCell ref="CTP5:CTR5"/>
    <mergeCell ref="CTS5:CTU5"/>
    <mergeCell ref="CSL5:CSM5"/>
    <mergeCell ref="CSP5:CSQ5"/>
    <mergeCell ref="CSR5:CST5"/>
    <mergeCell ref="CSU5:CSW5"/>
    <mergeCell ref="CSX5:CSY5"/>
    <mergeCell ref="CTB5:CTC5"/>
    <mergeCell ref="CRT5:CRV5"/>
    <mergeCell ref="CRW5:CRY5"/>
    <mergeCell ref="CRZ5:CSA5"/>
    <mergeCell ref="CSD5:CSE5"/>
    <mergeCell ref="CSF5:CSH5"/>
    <mergeCell ref="CSI5:CSK5"/>
    <mergeCell ref="CRB5:CRC5"/>
    <mergeCell ref="CRF5:CRG5"/>
    <mergeCell ref="CRH5:CRJ5"/>
    <mergeCell ref="CRK5:CRM5"/>
    <mergeCell ref="CRN5:CRO5"/>
    <mergeCell ref="CRR5:CRS5"/>
    <mergeCell ref="CQJ5:CQL5"/>
    <mergeCell ref="CQM5:CQO5"/>
    <mergeCell ref="CQP5:CQQ5"/>
    <mergeCell ref="CQT5:CQU5"/>
    <mergeCell ref="CQV5:CQX5"/>
    <mergeCell ref="CQY5:CRA5"/>
    <mergeCell ref="CPR5:CPS5"/>
    <mergeCell ref="CPV5:CPW5"/>
    <mergeCell ref="CPX5:CPZ5"/>
    <mergeCell ref="CQA5:CQC5"/>
    <mergeCell ref="CQD5:CQE5"/>
    <mergeCell ref="CQH5:CQI5"/>
    <mergeCell ref="COZ5:CPB5"/>
    <mergeCell ref="CPC5:CPE5"/>
    <mergeCell ref="CPF5:CPG5"/>
    <mergeCell ref="CPJ5:CPK5"/>
    <mergeCell ref="CPL5:CPN5"/>
    <mergeCell ref="CPO5:CPQ5"/>
    <mergeCell ref="COH5:COI5"/>
    <mergeCell ref="COL5:COM5"/>
    <mergeCell ref="CON5:COP5"/>
    <mergeCell ref="COQ5:COS5"/>
    <mergeCell ref="COT5:COU5"/>
    <mergeCell ref="COX5:COY5"/>
    <mergeCell ref="CNP5:CNR5"/>
    <mergeCell ref="CNS5:CNU5"/>
    <mergeCell ref="CNV5:CNW5"/>
    <mergeCell ref="CNZ5:COA5"/>
    <mergeCell ref="COB5:COD5"/>
    <mergeCell ref="COE5:COG5"/>
    <mergeCell ref="CMX5:CMY5"/>
    <mergeCell ref="CNB5:CNC5"/>
    <mergeCell ref="CND5:CNF5"/>
    <mergeCell ref="CNG5:CNI5"/>
    <mergeCell ref="CNJ5:CNK5"/>
    <mergeCell ref="CNN5:CNO5"/>
    <mergeCell ref="CMF5:CMH5"/>
    <mergeCell ref="CMI5:CMK5"/>
    <mergeCell ref="CML5:CMM5"/>
    <mergeCell ref="CMP5:CMQ5"/>
    <mergeCell ref="CMR5:CMT5"/>
    <mergeCell ref="CMU5:CMW5"/>
    <mergeCell ref="CLN5:CLO5"/>
    <mergeCell ref="CLR5:CLS5"/>
    <mergeCell ref="CLT5:CLV5"/>
    <mergeCell ref="CLW5:CLY5"/>
    <mergeCell ref="CLZ5:CMA5"/>
    <mergeCell ref="CMD5:CME5"/>
    <mergeCell ref="CKV5:CKX5"/>
    <mergeCell ref="CKY5:CLA5"/>
    <mergeCell ref="CLB5:CLC5"/>
    <mergeCell ref="CLF5:CLG5"/>
    <mergeCell ref="CLH5:CLJ5"/>
    <mergeCell ref="CLK5:CLM5"/>
    <mergeCell ref="CKD5:CKE5"/>
    <mergeCell ref="CKH5:CKI5"/>
    <mergeCell ref="CKJ5:CKL5"/>
    <mergeCell ref="CKM5:CKO5"/>
    <mergeCell ref="CKP5:CKQ5"/>
    <mergeCell ref="CKT5:CKU5"/>
    <mergeCell ref="CJL5:CJN5"/>
    <mergeCell ref="CJO5:CJQ5"/>
    <mergeCell ref="CJR5:CJS5"/>
    <mergeCell ref="CJV5:CJW5"/>
    <mergeCell ref="CJX5:CJZ5"/>
    <mergeCell ref="CKA5:CKC5"/>
    <mergeCell ref="CIT5:CIU5"/>
    <mergeCell ref="CIX5:CIY5"/>
    <mergeCell ref="CIZ5:CJB5"/>
    <mergeCell ref="CJC5:CJE5"/>
    <mergeCell ref="CJF5:CJG5"/>
    <mergeCell ref="CJJ5:CJK5"/>
    <mergeCell ref="CIB5:CID5"/>
    <mergeCell ref="CIE5:CIG5"/>
    <mergeCell ref="CIH5:CII5"/>
    <mergeCell ref="CIL5:CIM5"/>
    <mergeCell ref="CIN5:CIP5"/>
    <mergeCell ref="CIQ5:CIS5"/>
    <mergeCell ref="CHJ5:CHK5"/>
    <mergeCell ref="CHN5:CHO5"/>
    <mergeCell ref="CHP5:CHR5"/>
    <mergeCell ref="CHS5:CHU5"/>
    <mergeCell ref="CHV5:CHW5"/>
    <mergeCell ref="CHZ5:CIA5"/>
    <mergeCell ref="CGR5:CGT5"/>
    <mergeCell ref="CGU5:CGW5"/>
    <mergeCell ref="CGX5:CGY5"/>
    <mergeCell ref="CHB5:CHC5"/>
    <mergeCell ref="CHD5:CHF5"/>
    <mergeCell ref="CHG5:CHI5"/>
    <mergeCell ref="CFZ5:CGA5"/>
    <mergeCell ref="CGD5:CGE5"/>
    <mergeCell ref="CGF5:CGH5"/>
    <mergeCell ref="CGI5:CGK5"/>
    <mergeCell ref="CGL5:CGM5"/>
    <mergeCell ref="CGP5:CGQ5"/>
    <mergeCell ref="CFH5:CFJ5"/>
    <mergeCell ref="CFK5:CFM5"/>
    <mergeCell ref="CFN5:CFO5"/>
    <mergeCell ref="CFR5:CFS5"/>
    <mergeCell ref="CFT5:CFV5"/>
    <mergeCell ref="CFW5:CFY5"/>
    <mergeCell ref="CEP5:CEQ5"/>
    <mergeCell ref="CET5:CEU5"/>
    <mergeCell ref="CEV5:CEX5"/>
    <mergeCell ref="CEY5:CFA5"/>
    <mergeCell ref="CFB5:CFC5"/>
    <mergeCell ref="CFF5:CFG5"/>
    <mergeCell ref="CDX5:CDZ5"/>
    <mergeCell ref="CEA5:CEC5"/>
    <mergeCell ref="CED5:CEE5"/>
    <mergeCell ref="CEH5:CEI5"/>
    <mergeCell ref="CEJ5:CEL5"/>
    <mergeCell ref="CEM5:CEO5"/>
    <mergeCell ref="CDF5:CDG5"/>
    <mergeCell ref="CDJ5:CDK5"/>
    <mergeCell ref="CDL5:CDN5"/>
    <mergeCell ref="CDO5:CDQ5"/>
    <mergeCell ref="CDR5:CDS5"/>
    <mergeCell ref="CDV5:CDW5"/>
    <mergeCell ref="CCN5:CCP5"/>
    <mergeCell ref="CCQ5:CCS5"/>
    <mergeCell ref="CCT5:CCU5"/>
    <mergeCell ref="CCX5:CCY5"/>
    <mergeCell ref="CCZ5:CDB5"/>
    <mergeCell ref="CDC5:CDE5"/>
    <mergeCell ref="CBV5:CBW5"/>
    <mergeCell ref="CBZ5:CCA5"/>
    <mergeCell ref="CCB5:CCD5"/>
    <mergeCell ref="CCE5:CCG5"/>
    <mergeCell ref="CCH5:CCI5"/>
    <mergeCell ref="CCL5:CCM5"/>
    <mergeCell ref="CBD5:CBF5"/>
    <mergeCell ref="CBG5:CBI5"/>
    <mergeCell ref="CBJ5:CBK5"/>
    <mergeCell ref="CBN5:CBO5"/>
    <mergeCell ref="CBP5:CBR5"/>
    <mergeCell ref="CBS5:CBU5"/>
    <mergeCell ref="CAL5:CAM5"/>
    <mergeCell ref="CAP5:CAQ5"/>
    <mergeCell ref="CAR5:CAT5"/>
    <mergeCell ref="CAU5:CAW5"/>
    <mergeCell ref="CAX5:CAY5"/>
    <mergeCell ref="CBB5:CBC5"/>
    <mergeCell ref="BZT5:BZV5"/>
    <mergeCell ref="BZW5:BZY5"/>
    <mergeCell ref="BZZ5:CAA5"/>
    <mergeCell ref="CAD5:CAE5"/>
    <mergeCell ref="CAF5:CAH5"/>
    <mergeCell ref="CAI5:CAK5"/>
    <mergeCell ref="BZB5:BZC5"/>
    <mergeCell ref="BZF5:BZG5"/>
    <mergeCell ref="BZH5:BZJ5"/>
    <mergeCell ref="BZK5:BZM5"/>
    <mergeCell ref="BZN5:BZO5"/>
    <mergeCell ref="BZR5:BZS5"/>
    <mergeCell ref="BYJ5:BYL5"/>
    <mergeCell ref="BYM5:BYO5"/>
    <mergeCell ref="BYP5:BYQ5"/>
    <mergeCell ref="BYT5:BYU5"/>
    <mergeCell ref="BYV5:BYX5"/>
    <mergeCell ref="BYY5:BZA5"/>
    <mergeCell ref="BXR5:BXS5"/>
    <mergeCell ref="BXV5:BXW5"/>
    <mergeCell ref="BXX5:BXZ5"/>
    <mergeCell ref="BYA5:BYC5"/>
    <mergeCell ref="BYD5:BYE5"/>
    <mergeCell ref="BYH5:BYI5"/>
    <mergeCell ref="BWZ5:BXB5"/>
    <mergeCell ref="BXC5:BXE5"/>
    <mergeCell ref="BXF5:BXG5"/>
    <mergeCell ref="BXJ5:BXK5"/>
    <mergeCell ref="BXL5:BXN5"/>
    <mergeCell ref="BXO5:BXQ5"/>
    <mergeCell ref="BWH5:BWI5"/>
    <mergeCell ref="BWL5:BWM5"/>
    <mergeCell ref="BWN5:BWP5"/>
    <mergeCell ref="BWQ5:BWS5"/>
    <mergeCell ref="BWT5:BWU5"/>
    <mergeCell ref="BWX5:BWY5"/>
    <mergeCell ref="BVP5:BVR5"/>
    <mergeCell ref="BVS5:BVU5"/>
    <mergeCell ref="BVV5:BVW5"/>
    <mergeCell ref="BVZ5:BWA5"/>
    <mergeCell ref="BWB5:BWD5"/>
    <mergeCell ref="BWE5:BWG5"/>
    <mergeCell ref="BUX5:BUY5"/>
    <mergeCell ref="BVB5:BVC5"/>
    <mergeCell ref="BVD5:BVF5"/>
    <mergeCell ref="BVG5:BVI5"/>
    <mergeCell ref="BVJ5:BVK5"/>
    <mergeCell ref="BVN5:BVO5"/>
    <mergeCell ref="BUF5:BUH5"/>
    <mergeCell ref="BUI5:BUK5"/>
    <mergeCell ref="BUL5:BUM5"/>
    <mergeCell ref="BUP5:BUQ5"/>
    <mergeCell ref="BUR5:BUT5"/>
    <mergeCell ref="BUU5:BUW5"/>
    <mergeCell ref="BTN5:BTO5"/>
    <mergeCell ref="BTR5:BTS5"/>
    <mergeCell ref="BTT5:BTV5"/>
    <mergeCell ref="BTW5:BTY5"/>
    <mergeCell ref="BTZ5:BUA5"/>
    <mergeCell ref="BUD5:BUE5"/>
    <mergeCell ref="BSV5:BSX5"/>
    <mergeCell ref="BSY5:BTA5"/>
    <mergeCell ref="BTB5:BTC5"/>
    <mergeCell ref="BTF5:BTG5"/>
    <mergeCell ref="BTH5:BTJ5"/>
    <mergeCell ref="BTK5:BTM5"/>
    <mergeCell ref="BSD5:BSE5"/>
    <mergeCell ref="BSH5:BSI5"/>
    <mergeCell ref="BSJ5:BSL5"/>
    <mergeCell ref="BSM5:BSO5"/>
    <mergeCell ref="BSP5:BSQ5"/>
    <mergeCell ref="BST5:BSU5"/>
    <mergeCell ref="BRL5:BRN5"/>
    <mergeCell ref="BRO5:BRQ5"/>
    <mergeCell ref="BRR5:BRS5"/>
    <mergeCell ref="BRV5:BRW5"/>
    <mergeCell ref="BRX5:BRZ5"/>
    <mergeCell ref="BSA5:BSC5"/>
    <mergeCell ref="BQT5:BQU5"/>
    <mergeCell ref="BQX5:BQY5"/>
    <mergeCell ref="BQZ5:BRB5"/>
    <mergeCell ref="BRC5:BRE5"/>
    <mergeCell ref="BRF5:BRG5"/>
    <mergeCell ref="BRJ5:BRK5"/>
    <mergeCell ref="BQB5:BQD5"/>
    <mergeCell ref="BQE5:BQG5"/>
    <mergeCell ref="BQH5:BQI5"/>
    <mergeCell ref="BQL5:BQM5"/>
    <mergeCell ref="BQN5:BQP5"/>
    <mergeCell ref="BQQ5:BQS5"/>
    <mergeCell ref="BPJ5:BPK5"/>
    <mergeCell ref="BPN5:BPO5"/>
    <mergeCell ref="BPP5:BPR5"/>
    <mergeCell ref="BPS5:BPU5"/>
    <mergeCell ref="BPV5:BPW5"/>
    <mergeCell ref="BPZ5:BQA5"/>
    <mergeCell ref="BOR5:BOT5"/>
    <mergeCell ref="BOU5:BOW5"/>
    <mergeCell ref="BOX5:BOY5"/>
    <mergeCell ref="BPB5:BPC5"/>
    <mergeCell ref="BPD5:BPF5"/>
    <mergeCell ref="BPG5:BPI5"/>
    <mergeCell ref="BNZ5:BOA5"/>
    <mergeCell ref="BOD5:BOE5"/>
    <mergeCell ref="BOF5:BOH5"/>
    <mergeCell ref="BOI5:BOK5"/>
    <mergeCell ref="BOL5:BOM5"/>
    <mergeCell ref="BOP5:BOQ5"/>
    <mergeCell ref="BNH5:BNJ5"/>
    <mergeCell ref="BNK5:BNM5"/>
    <mergeCell ref="BNN5:BNO5"/>
    <mergeCell ref="BNR5:BNS5"/>
    <mergeCell ref="BNT5:BNV5"/>
    <mergeCell ref="BNW5:BNY5"/>
    <mergeCell ref="BMP5:BMQ5"/>
    <mergeCell ref="BMT5:BMU5"/>
    <mergeCell ref="BMV5:BMX5"/>
    <mergeCell ref="BMY5:BNA5"/>
    <mergeCell ref="BNB5:BNC5"/>
    <mergeCell ref="BNF5:BNG5"/>
    <mergeCell ref="BLX5:BLZ5"/>
    <mergeCell ref="BMA5:BMC5"/>
    <mergeCell ref="BMD5:BME5"/>
    <mergeCell ref="BMH5:BMI5"/>
    <mergeCell ref="BMJ5:BML5"/>
    <mergeCell ref="BMM5:BMO5"/>
    <mergeCell ref="BLF5:BLG5"/>
    <mergeCell ref="BLJ5:BLK5"/>
    <mergeCell ref="BLL5:BLN5"/>
    <mergeCell ref="BLO5:BLQ5"/>
    <mergeCell ref="BLR5:BLS5"/>
    <mergeCell ref="BLV5:BLW5"/>
    <mergeCell ref="BKN5:BKP5"/>
    <mergeCell ref="BKQ5:BKS5"/>
    <mergeCell ref="BKT5:BKU5"/>
    <mergeCell ref="BKX5:BKY5"/>
    <mergeCell ref="BKZ5:BLB5"/>
    <mergeCell ref="BLC5:BLE5"/>
    <mergeCell ref="BJV5:BJW5"/>
    <mergeCell ref="BJZ5:BKA5"/>
    <mergeCell ref="BKB5:BKD5"/>
    <mergeCell ref="BKE5:BKG5"/>
    <mergeCell ref="BKH5:BKI5"/>
    <mergeCell ref="BKL5:BKM5"/>
    <mergeCell ref="BJD5:BJF5"/>
    <mergeCell ref="BJG5:BJI5"/>
    <mergeCell ref="BJJ5:BJK5"/>
    <mergeCell ref="BJN5:BJO5"/>
    <mergeCell ref="BJP5:BJR5"/>
    <mergeCell ref="BJS5:BJU5"/>
    <mergeCell ref="BIL5:BIM5"/>
    <mergeCell ref="BIP5:BIQ5"/>
    <mergeCell ref="BIR5:BIT5"/>
    <mergeCell ref="BIU5:BIW5"/>
    <mergeCell ref="BIX5:BIY5"/>
    <mergeCell ref="BJB5:BJC5"/>
    <mergeCell ref="BHT5:BHV5"/>
    <mergeCell ref="BHW5:BHY5"/>
    <mergeCell ref="BHZ5:BIA5"/>
    <mergeCell ref="BID5:BIE5"/>
    <mergeCell ref="BIF5:BIH5"/>
    <mergeCell ref="BII5:BIK5"/>
    <mergeCell ref="BHB5:BHC5"/>
    <mergeCell ref="BHF5:BHG5"/>
    <mergeCell ref="BHH5:BHJ5"/>
    <mergeCell ref="BHK5:BHM5"/>
    <mergeCell ref="BHN5:BHO5"/>
    <mergeCell ref="BHR5:BHS5"/>
    <mergeCell ref="BGJ5:BGL5"/>
    <mergeCell ref="BGM5:BGO5"/>
    <mergeCell ref="BGP5:BGQ5"/>
    <mergeCell ref="BGT5:BGU5"/>
    <mergeCell ref="BGV5:BGX5"/>
    <mergeCell ref="BGY5:BHA5"/>
    <mergeCell ref="BFR5:BFS5"/>
    <mergeCell ref="BFV5:BFW5"/>
    <mergeCell ref="BFX5:BFZ5"/>
    <mergeCell ref="BGA5:BGC5"/>
    <mergeCell ref="BGD5:BGE5"/>
    <mergeCell ref="BGH5:BGI5"/>
    <mergeCell ref="BEZ5:BFB5"/>
    <mergeCell ref="BFC5:BFE5"/>
    <mergeCell ref="BFF5:BFG5"/>
    <mergeCell ref="BFJ5:BFK5"/>
    <mergeCell ref="BFL5:BFN5"/>
    <mergeCell ref="BFO5:BFQ5"/>
    <mergeCell ref="BEH5:BEI5"/>
    <mergeCell ref="BEL5:BEM5"/>
    <mergeCell ref="BEN5:BEP5"/>
    <mergeCell ref="BEQ5:BES5"/>
    <mergeCell ref="BET5:BEU5"/>
    <mergeCell ref="BEX5:BEY5"/>
    <mergeCell ref="BDP5:BDR5"/>
    <mergeCell ref="BDS5:BDU5"/>
    <mergeCell ref="BDV5:BDW5"/>
    <mergeCell ref="BDZ5:BEA5"/>
    <mergeCell ref="BEB5:BED5"/>
    <mergeCell ref="BEE5:BEG5"/>
    <mergeCell ref="BCX5:BCY5"/>
    <mergeCell ref="BDB5:BDC5"/>
    <mergeCell ref="BDD5:BDF5"/>
    <mergeCell ref="BDG5:BDI5"/>
    <mergeCell ref="BDJ5:BDK5"/>
    <mergeCell ref="BDN5:BDO5"/>
    <mergeCell ref="BCF5:BCH5"/>
    <mergeCell ref="BCI5:BCK5"/>
    <mergeCell ref="BCL5:BCM5"/>
    <mergeCell ref="BCP5:BCQ5"/>
    <mergeCell ref="BCR5:BCT5"/>
    <mergeCell ref="BCU5:BCW5"/>
    <mergeCell ref="BBN5:BBO5"/>
    <mergeCell ref="BBR5:BBS5"/>
    <mergeCell ref="BBT5:BBV5"/>
    <mergeCell ref="BBW5:BBY5"/>
    <mergeCell ref="BBZ5:BCA5"/>
    <mergeCell ref="BCD5:BCE5"/>
    <mergeCell ref="BAV5:BAX5"/>
    <mergeCell ref="BAY5:BBA5"/>
    <mergeCell ref="BBB5:BBC5"/>
    <mergeCell ref="BBF5:BBG5"/>
    <mergeCell ref="BBH5:BBJ5"/>
    <mergeCell ref="BBK5:BBM5"/>
    <mergeCell ref="BAD5:BAE5"/>
    <mergeCell ref="BAH5:BAI5"/>
    <mergeCell ref="BAJ5:BAL5"/>
    <mergeCell ref="BAM5:BAO5"/>
    <mergeCell ref="BAP5:BAQ5"/>
    <mergeCell ref="BAT5:BAU5"/>
    <mergeCell ref="AZL5:AZN5"/>
    <mergeCell ref="AZO5:AZQ5"/>
    <mergeCell ref="AZR5:AZS5"/>
    <mergeCell ref="AZV5:AZW5"/>
    <mergeCell ref="AZX5:AZZ5"/>
    <mergeCell ref="BAA5:BAC5"/>
    <mergeCell ref="AYT5:AYU5"/>
    <mergeCell ref="AYX5:AYY5"/>
    <mergeCell ref="AYZ5:AZB5"/>
    <mergeCell ref="AZC5:AZE5"/>
    <mergeCell ref="AZF5:AZG5"/>
    <mergeCell ref="AZJ5:AZK5"/>
    <mergeCell ref="AYB5:AYD5"/>
    <mergeCell ref="AYE5:AYG5"/>
    <mergeCell ref="AYH5:AYI5"/>
    <mergeCell ref="AYL5:AYM5"/>
    <mergeCell ref="AYN5:AYP5"/>
    <mergeCell ref="AYQ5:AYS5"/>
    <mergeCell ref="AXJ5:AXK5"/>
    <mergeCell ref="AXN5:AXO5"/>
    <mergeCell ref="AXP5:AXR5"/>
    <mergeCell ref="AXS5:AXU5"/>
    <mergeCell ref="AXV5:AXW5"/>
    <mergeCell ref="AXZ5:AYA5"/>
    <mergeCell ref="AWR5:AWT5"/>
    <mergeCell ref="AWU5:AWW5"/>
    <mergeCell ref="AWX5:AWY5"/>
    <mergeCell ref="AXB5:AXC5"/>
    <mergeCell ref="AXD5:AXF5"/>
    <mergeCell ref="AXG5:AXI5"/>
    <mergeCell ref="AVZ5:AWA5"/>
    <mergeCell ref="AWD5:AWE5"/>
    <mergeCell ref="AWF5:AWH5"/>
    <mergeCell ref="AWI5:AWK5"/>
    <mergeCell ref="AWL5:AWM5"/>
    <mergeCell ref="AWP5:AWQ5"/>
    <mergeCell ref="AVH5:AVJ5"/>
    <mergeCell ref="AVK5:AVM5"/>
    <mergeCell ref="AVN5:AVO5"/>
    <mergeCell ref="AVR5:AVS5"/>
    <mergeCell ref="AVT5:AVV5"/>
    <mergeCell ref="AVW5:AVY5"/>
    <mergeCell ref="AUP5:AUQ5"/>
    <mergeCell ref="AUT5:AUU5"/>
    <mergeCell ref="AUV5:AUX5"/>
    <mergeCell ref="AUY5:AVA5"/>
    <mergeCell ref="AVB5:AVC5"/>
    <mergeCell ref="AVF5:AVG5"/>
    <mergeCell ref="ATX5:ATZ5"/>
    <mergeCell ref="AUA5:AUC5"/>
    <mergeCell ref="AUD5:AUE5"/>
    <mergeCell ref="AUH5:AUI5"/>
    <mergeCell ref="AUJ5:AUL5"/>
    <mergeCell ref="AUM5:AUO5"/>
    <mergeCell ref="ATF5:ATG5"/>
    <mergeCell ref="ATJ5:ATK5"/>
    <mergeCell ref="ATL5:ATN5"/>
    <mergeCell ref="ATO5:ATQ5"/>
    <mergeCell ref="ATR5:ATS5"/>
    <mergeCell ref="ATV5:ATW5"/>
    <mergeCell ref="ASN5:ASP5"/>
    <mergeCell ref="ASQ5:ASS5"/>
    <mergeCell ref="AST5:ASU5"/>
    <mergeCell ref="ASX5:ASY5"/>
    <mergeCell ref="ASZ5:ATB5"/>
    <mergeCell ref="ATC5:ATE5"/>
    <mergeCell ref="ARV5:ARW5"/>
    <mergeCell ref="ARZ5:ASA5"/>
    <mergeCell ref="ASB5:ASD5"/>
    <mergeCell ref="ASE5:ASG5"/>
    <mergeCell ref="ASH5:ASI5"/>
    <mergeCell ref="ASL5:ASM5"/>
    <mergeCell ref="ARD5:ARF5"/>
    <mergeCell ref="ARG5:ARI5"/>
    <mergeCell ref="ARJ5:ARK5"/>
    <mergeCell ref="ARN5:ARO5"/>
    <mergeCell ref="ARP5:ARR5"/>
    <mergeCell ref="ARS5:ARU5"/>
    <mergeCell ref="AQL5:AQM5"/>
    <mergeCell ref="AQP5:AQQ5"/>
    <mergeCell ref="AQR5:AQT5"/>
    <mergeCell ref="AQU5:AQW5"/>
    <mergeCell ref="AQX5:AQY5"/>
    <mergeCell ref="ARB5:ARC5"/>
    <mergeCell ref="APT5:APV5"/>
    <mergeCell ref="APW5:APY5"/>
    <mergeCell ref="APZ5:AQA5"/>
    <mergeCell ref="AQD5:AQE5"/>
    <mergeCell ref="AQF5:AQH5"/>
    <mergeCell ref="AQI5:AQK5"/>
    <mergeCell ref="APB5:APC5"/>
    <mergeCell ref="APF5:APG5"/>
    <mergeCell ref="APH5:APJ5"/>
    <mergeCell ref="APK5:APM5"/>
    <mergeCell ref="APN5:APO5"/>
    <mergeCell ref="APR5:APS5"/>
    <mergeCell ref="AOJ5:AOL5"/>
    <mergeCell ref="AOM5:AOO5"/>
    <mergeCell ref="AOP5:AOQ5"/>
    <mergeCell ref="AOT5:AOU5"/>
    <mergeCell ref="AOV5:AOX5"/>
    <mergeCell ref="AOY5:APA5"/>
    <mergeCell ref="ANR5:ANS5"/>
    <mergeCell ref="ANV5:ANW5"/>
    <mergeCell ref="ANX5:ANZ5"/>
    <mergeCell ref="AOA5:AOC5"/>
    <mergeCell ref="AOD5:AOE5"/>
    <mergeCell ref="AOH5:AOI5"/>
    <mergeCell ref="AMZ5:ANB5"/>
    <mergeCell ref="ANC5:ANE5"/>
    <mergeCell ref="ANF5:ANG5"/>
    <mergeCell ref="ANJ5:ANK5"/>
    <mergeCell ref="ANL5:ANN5"/>
    <mergeCell ref="ANO5:ANQ5"/>
    <mergeCell ref="AMH5:AMI5"/>
    <mergeCell ref="AML5:AMM5"/>
    <mergeCell ref="AMN5:AMP5"/>
    <mergeCell ref="AMQ5:AMS5"/>
    <mergeCell ref="AMT5:AMU5"/>
    <mergeCell ref="AMX5:AMY5"/>
    <mergeCell ref="ALP5:ALR5"/>
    <mergeCell ref="ALS5:ALU5"/>
    <mergeCell ref="ALV5:ALW5"/>
    <mergeCell ref="ALZ5:AMA5"/>
    <mergeCell ref="AMB5:AMD5"/>
    <mergeCell ref="AME5:AMG5"/>
    <mergeCell ref="AKX5:AKY5"/>
    <mergeCell ref="ALB5:ALC5"/>
    <mergeCell ref="ALD5:ALF5"/>
    <mergeCell ref="ALG5:ALI5"/>
    <mergeCell ref="ALJ5:ALK5"/>
    <mergeCell ref="ALN5:ALO5"/>
    <mergeCell ref="AKF5:AKH5"/>
    <mergeCell ref="AKI5:AKK5"/>
    <mergeCell ref="AKL5:AKM5"/>
    <mergeCell ref="AKP5:AKQ5"/>
    <mergeCell ref="AKR5:AKT5"/>
    <mergeCell ref="AKU5:AKW5"/>
    <mergeCell ref="AJN5:AJO5"/>
    <mergeCell ref="AJR5:AJS5"/>
    <mergeCell ref="AJT5:AJV5"/>
    <mergeCell ref="AJW5:AJY5"/>
    <mergeCell ref="AJZ5:AKA5"/>
    <mergeCell ref="AKD5:AKE5"/>
    <mergeCell ref="AIV5:AIX5"/>
    <mergeCell ref="AIY5:AJA5"/>
    <mergeCell ref="AJB5:AJC5"/>
    <mergeCell ref="AJF5:AJG5"/>
    <mergeCell ref="AJH5:AJJ5"/>
    <mergeCell ref="AJK5:AJM5"/>
    <mergeCell ref="AID5:AIE5"/>
    <mergeCell ref="AIH5:AII5"/>
    <mergeCell ref="AIJ5:AIL5"/>
    <mergeCell ref="AIM5:AIO5"/>
    <mergeCell ref="AIP5:AIQ5"/>
    <mergeCell ref="AIT5:AIU5"/>
    <mergeCell ref="AHL5:AHN5"/>
    <mergeCell ref="AHO5:AHQ5"/>
    <mergeCell ref="AHR5:AHS5"/>
    <mergeCell ref="AHV5:AHW5"/>
    <mergeCell ref="AHX5:AHZ5"/>
    <mergeCell ref="AIA5:AIC5"/>
    <mergeCell ref="AGT5:AGU5"/>
    <mergeCell ref="AGX5:AGY5"/>
    <mergeCell ref="AGZ5:AHB5"/>
    <mergeCell ref="AHC5:AHE5"/>
    <mergeCell ref="AHF5:AHG5"/>
    <mergeCell ref="AHJ5:AHK5"/>
    <mergeCell ref="AGB5:AGD5"/>
    <mergeCell ref="AGE5:AGG5"/>
    <mergeCell ref="AGH5:AGI5"/>
    <mergeCell ref="AGL5:AGM5"/>
    <mergeCell ref="AGN5:AGP5"/>
    <mergeCell ref="AGQ5:AGS5"/>
    <mergeCell ref="AFH5:AFI5"/>
    <mergeCell ref="AFM5:AFN5"/>
    <mergeCell ref="AFO5:AFQ5"/>
    <mergeCell ref="AFR5:AFT5"/>
    <mergeCell ref="AFU5:AFV5"/>
    <mergeCell ref="AFZ5:AGA5"/>
    <mergeCell ref="AEO5:AEQ5"/>
    <mergeCell ref="AER5:AET5"/>
    <mergeCell ref="AEU5:AEV5"/>
    <mergeCell ref="AEZ5:AFA5"/>
    <mergeCell ref="AFB5:AFD5"/>
    <mergeCell ref="AFE5:AFG5"/>
    <mergeCell ref="ADU5:ADV5"/>
    <mergeCell ref="ADZ5:AEA5"/>
    <mergeCell ref="AEB5:AED5"/>
    <mergeCell ref="AEE5:AEG5"/>
    <mergeCell ref="AEH5:AEI5"/>
    <mergeCell ref="AEM5:AEN5"/>
    <mergeCell ref="ADB5:ADD5"/>
    <mergeCell ref="ADE5:ADG5"/>
    <mergeCell ref="ADH5:ADI5"/>
    <mergeCell ref="ADM5:ADN5"/>
    <mergeCell ref="ADO5:ADQ5"/>
    <mergeCell ref="ADR5:ADT5"/>
    <mergeCell ref="ACH5:ACI5"/>
    <mergeCell ref="ACM5:ACN5"/>
    <mergeCell ref="ACO5:ACQ5"/>
    <mergeCell ref="ACR5:ACT5"/>
    <mergeCell ref="ACU5:ACV5"/>
    <mergeCell ref="ACZ5:ADA5"/>
    <mergeCell ref="ABO5:ABQ5"/>
    <mergeCell ref="ABR5:ABT5"/>
    <mergeCell ref="ABU5:ABV5"/>
    <mergeCell ref="ABZ5:ACA5"/>
    <mergeCell ref="ACB5:ACD5"/>
    <mergeCell ref="ACE5:ACG5"/>
    <mergeCell ref="AAU5:AAV5"/>
    <mergeCell ref="AAZ5:ABA5"/>
    <mergeCell ref="ABB5:ABD5"/>
    <mergeCell ref="ABE5:ABG5"/>
    <mergeCell ref="ABH5:ABI5"/>
    <mergeCell ref="ABM5:ABN5"/>
    <mergeCell ref="AAB5:AAD5"/>
    <mergeCell ref="AAE5:AAG5"/>
    <mergeCell ref="AAH5:AAI5"/>
    <mergeCell ref="AAM5:AAN5"/>
    <mergeCell ref="AAO5:AAQ5"/>
    <mergeCell ref="AAR5:AAT5"/>
    <mergeCell ref="ZG5:ZH5"/>
    <mergeCell ref="ZK5:ZM5"/>
    <mergeCell ref="ZN5:ZQ5"/>
    <mergeCell ref="ZR5:ZT5"/>
    <mergeCell ref="ZU5:ZV5"/>
    <mergeCell ref="ZZ5:AAA5"/>
    <mergeCell ref="YL5:YO5"/>
    <mergeCell ref="YP5:YR5"/>
    <mergeCell ref="YS5:YT5"/>
    <mergeCell ref="YW5:YY5"/>
    <mergeCell ref="YZ5:ZC5"/>
    <mergeCell ref="ZD5:ZF5"/>
    <mergeCell ref="XQ5:XR5"/>
    <mergeCell ref="XU5:XW5"/>
    <mergeCell ref="XX5:YA5"/>
    <mergeCell ref="YB5:YD5"/>
    <mergeCell ref="YE5:YF5"/>
    <mergeCell ref="YI5:YK5"/>
    <mergeCell ref="WV5:WY5"/>
    <mergeCell ref="WZ5:XB5"/>
    <mergeCell ref="XC5:XD5"/>
    <mergeCell ref="XG5:XI5"/>
    <mergeCell ref="XJ5:XM5"/>
    <mergeCell ref="XN5:XP5"/>
    <mergeCell ref="WA5:WB5"/>
    <mergeCell ref="WE5:WG5"/>
    <mergeCell ref="WH5:WK5"/>
    <mergeCell ref="WL5:WN5"/>
    <mergeCell ref="WO5:WP5"/>
    <mergeCell ref="WS5:WU5"/>
    <mergeCell ref="VF5:VI5"/>
    <mergeCell ref="VJ5:VL5"/>
    <mergeCell ref="VM5:VN5"/>
    <mergeCell ref="VQ5:VS5"/>
    <mergeCell ref="VT5:VW5"/>
    <mergeCell ref="VX5:VZ5"/>
    <mergeCell ref="UK5:UL5"/>
    <mergeCell ref="UO5:UQ5"/>
    <mergeCell ref="UR5:UU5"/>
    <mergeCell ref="UV5:UX5"/>
    <mergeCell ref="UY5:UZ5"/>
    <mergeCell ref="VC5:VE5"/>
    <mergeCell ref="TP5:TS5"/>
    <mergeCell ref="TT5:TV5"/>
    <mergeCell ref="TW5:TX5"/>
    <mergeCell ref="UA5:UC5"/>
    <mergeCell ref="UD5:UG5"/>
    <mergeCell ref="UH5:UJ5"/>
    <mergeCell ref="SU5:SV5"/>
    <mergeCell ref="SY5:TA5"/>
    <mergeCell ref="TB5:TE5"/>
    <mergeCell ref="TF5:TH5"/>
    <mergeCell ref="TI5:TJ5"/>
    <mergeCell ref="TM5:TO5"/>
    <mergeCell ref="RZ5:SC5"/>
    <mergeCell ref="SD5:SF5"/>
    <mergeCell ref="SG5:SH5"/>
    <mergeCell ref="SK5:SM5"/>
    <mergeCell ref="SN5:SQ5"/>
    <mergeCell ref="SR5:ST5"/>
    <mergeCell ref="RE5:RF5"/>
    <mergeCell ref="RI5:RK5"/>
    <mergeCell ref="RL5:RO5"/>
    <mergeCell ref="RP5:RR5"/>
    <mergeCell ref="RS5:RT5"/>
    <mergeCell ref="RW5:RY5"/>
    <mergeCell ref="QJ5:QM5"/>
    <mergeCell ref="QN5:QP5"/>
    <mergeCell ref="QQ5:QR5"/>
    <mergeCell ref="QU5:QW5"/>
    <mergeCell ref="QX5:RA5"/>
    <mergeCell ref="RB5:RD5"/>
    <mergeCell ref="PO5:PP5"/>
    <mergeCell ref="PS5:PU5"/>
    <mergeCell ref="PV5:PY5"/>
    <mergeCell ref="PZ5:QB5"/>
    <mergeCell ref="QC5:QD5"/>
    <mergeCell ref="QG5:QI5"/>
    <mergeCell ref="OT5:OW5"/>
    <mergeCell ref="OX5:OZ5"/>
    <mergeCell ref="PA5:PB5"/>
    <mergeCell ref="PE5:PG5"/>
    <mergeCell ref="PH5:PK5"/>
    <mergeCell ref="PL5:PN5"/>
    <mergeCell ref="NY5:NZ5"/>
    <mergeCell ref="OC5:OE5"/>
    <mergeCell ref="OF5:OI5"/>
    <mergeCell ref="OJ5:OL5"/>
    <mergeCell ref="OM5:ON5"/>
    <mergeCell ref="OQ5:OS5"/>
    <mergeCell ref="ND5:NG5"/>
    <mergeCell ref="NH5:NJ5"/>
    <mergeCell ref="NK5:NL5"/>
    <mergeCell ref="NO5:NQ5"/>
    <mergeCell ref="NR5:NU5"/>
    <mergeCell ref="NV5:NX5"/>
    <mergeCell ref="MI5:MJ5"/>
    <mergeCell ref="MM5:MO5"/>
    <mergeCell ref="MP5:MS5"/>
    <mergeCell ref="MT5:MV5"/>
    <mergeCell ref="MW5:MX5"/>
    <mergeCell ref="NA5:NC5"/>
    <mergeCell ref="LN5:LQ5"/>
    <mergeCell ref="LR5:LT5"/>
    <mergeCell ref="LU5:LV5"/>
    <mergeCell ref="LY5:MA5"/>
    <mergeCell ref="MB5:ME5"/>
    <mergeCell ref="MF5:MH5"/>
    <mergeCell ref="KS5:KT5"/>
    <mergeCell ref="KW5:KY5"/>
    <mergeCell ref="KZ5:LC5"/>
    <mergeCell ref="LD5:LF5"/>
    <mergeCell ref="LG5:LH5"/>
    <mergeCell ref="LK5:LM5"/>
    <mergeCell ref="JX5:KA5"/>
    <mergeCell ref="KB5:KD5"/>
    <mergeCell ref="KE5:KF5"/>
    <mergeCell ref="KI5:KK5"/>
    <mergeCell ref="KL5:KO5"/>
    <mergeCell ref="KP5:KR5"/>
    <mergeCell ref="JC5:JD5"/>
    <mergeCell ref="JG5:JI5"/>
    <mergeCell ref="JJ5:JM5"/>
    <mergeCell ref="JN5:JP5"/>
    <mergeCell ref="JQ5:JR5"/>
    <mergeCell ref="JU5:JW5"/>
    <mergeCell ref="IH5:IK5"/>
    <mergeCell ref="IL5:IN5"/>
    <mergeCell ref="IO5:IP5"/>
    <mergeCell ref="IS5:IU5"/>
    <mergeCell ref="IV5:IY5"/>
    <mergeCell ref="IZ5:JB5"/>
    <mergeCell ref="HM5:HN5"/>
    <mergeCell ref="HQ5:HS5"/>
    <mergeCell ref="HT5:HW5"/>
    <mergeCell ref="HX5:HZ5"/>
    <mergeCell ref="IA5:IB5"/>
    <mergeCell ref="IE5:IG5"/>
    <mergeCell ref="GR5:GU5"/>
    <mergeCell ref="GV5:GX5"/>
    <mergeCell ref="GY5:GZ5"/>
    <mergeCell ref="HC5:HE5"/>
    <mergeCell ref="HF5:HI5"/>
    <mergeCell ref="HJ5:HL5"/>
    <mergeCell ref="FW5:FX5"/>
    <mergeCell ref="GA5:GC5"/>
    <mergeCell ref="GD5:GG5"/>
    <mergeCell ref="GH5:GJ5"/>
    <mergeCell ref="GK5:GL5"/>
    <mergeCell ref="GO5:GQ5"/>
    <mergeCell ref="FB5:FE5"/>
    <mergeCell ref="FF5:FH5"/>
    <mergeCell ref="FI5:FJ5"/>
    <mergeCell ref="FM5:FO5"/>
    <mergeCell ref="FP5:FS5"/>
    <mergeCell ref="FT5:FV5"/>
    <mergeCell ref="EG5:EH5"/>
    <mergeCell ref="EK5:EM5"/>
    <mergeCell ref="EN5:EQ5"/>
    <mergeCell ref="ER5:ET5"/>
    <mergeCell ref="EU5:EV5"/>
    <mergeCell ref="EY5:FA5"/>
    <mergeCell ref="DL5:DO5"/>
    <mergeCell ref="DP5:DR5"/>
    <mergeCell ref="DS5:DT5"/>
    <mergeCell ref="DW5:DY5"/>
    <mergeCell ref="DZ5:EC5"/>
    <mergeCell ref="ED5:EF5"/>
    <mergeCell ref="CQ5:CR5"/>
    <mergeCell ref="CU5:CW5"/>
    <mergeCell ref="CX5:DA5"/>
    <mergeCell ref="DB5:DD5"/>
    <mergeCell ref="DE5:DF5"/>
    <mergeCell ref="DI5:DK5"/>
    <mergeCell ref="BV5:BY5"/>
    <mergeCell ref="BZ5:CB5"/>
    <mergeCell ref="CC5:CD5"/>
    <mergeCell ref="CG5:CI5"/>
    <mergeCell ref="CJ5:CM5"/>
    <mergeCell ref="CN5:CP5"/>
    <mergeCell ref="BA5:BB5"/>
    <mergeCell ref="BE5:BG5"/>
    <mergeCell ref="BH5:BK5"/>
    <mergeCell ref="BL5:BN5"/>
    <mergeCell ref="BO5:BP5"/>
    <mergeCell ref="BS5:BU5"/>
    <mergeCell ref="AF5:AI5"/>
    <mergeCell ref="AJ5:AL5"/>
    <mergeCell ref="AM5:AN5"/>
    <mergeCell ref="AQ5:AS5"/>
    <mergeCell ref="AT5:AW5"/>
    <mergeCell ref="AX5:AZ5"/>
    <mergeCell ref="ZZ4:AAJ4"/>
    <mergeCell ref="A5:C5"/>
    <mergeCell ref="D5:G5"/>
    <mergeCell ref="H5:J5"/>
    <mergeCell ref="K5:L5"/>
    <mergeCell ref="O5:Q5"/>
    <mergeCell ref="R5:U5"/>
    <mergeCell ref="V5:X5"/>
    <mergeCell ref="Y5:Z5"/>
    <mergeCell ref="AC5:AE5"/>
    <mergeCell ref="WT4:XD4"/>
    <mergeCell ref="XH4:XR4"/>
    <mergeCell ref="XV4:YF4"/>
    <mergeCell ref="YJ4:YT4"/>
    <mergeCell ref="YX4:ZH4"/>
    <mergeCell ref="ZL4:ZV4"/>
    <mergeCell ref="TN4:TX4"/>
    <mergeCell ref="UB4:UL4"/>
    <mergeCell ref="UP4:UZ4"/>
    <mergeCell ref="VD4:VN4"/>
    <mergeCell ref="VR4:WB4"/>
    <mergeCell ref="WF4:WP4"/>
    <mergeCell ref="QH4:QR4"/>
    <mergeCell ref="QV4:RF4"/>
    <mergeCell ref="RJ4:RT4"/>
    <mergeCell ref="RX4:SH4"/>
    <mergeCell ref="SL4:SV4"/>
    <mergeCell ref="SZ4:TJ4"/>
    <mergeCell ref="NB4:NL4"/>
    <mergeCell ref="NP4:NZ4"/>
    <mergeCell ref="OD4:ON4"/>
    <mergeCell ref="OR4:PB4"/>
    <mergeCell ref="PF4:PP4"/>
    <mergeCell ref="PT4:QD4"/>
    <mergeCell ref="JV4:KF4"/>
    <mergeCell ref="KJ4:KT4"/>
    <mergeCell ref="KX4:LH4"/>
    <mergeCell ref="LL4:LV4"/>
    <mergeCell ref="LZ4:MJ4"/>
    <mergeCell ref="MN4:MX4"/>
    <mergeCell ref="GP4:GZ4"/>
    <mergeCell ref="HD4:HN4"/>
    <mergeCell ref="HR4:IB4"/>
    <mergeCell ref="IF4:IP4"/>
    <mergeCell ref="IT4:JD4"/>
    <mergeCell ref="JH4:JR4"/>
    <mergeCell ref="DJ4:DT4"/>
    <mergeCell ref="DX4:EH4"/>
    <mergeCell ref="EL4:EV4"/>
    <mergeCell ref="EZ4:FJ4"/>
    <mergeCell ref="FN4:FX4"/>
    <mergeCell ref="GB4:GL4"/>
    <mergeCell ref="CVY3:CWA3"/>
    <mergeCell ref="CWB3:CWD3"/>
    <mergeCell ref="B4:L4"/>
    <mergeCell ref="P4:Z4"/>
    <mergeCell ref="AD4:AN4"/>
    <mergeCell ref="AR4:BB4"/>
    <mergeCell ref="BF4:BP4"/>
    <mergeCell ref="BT4:CD4"/>
    <mergeCell ref="CH4:CR4"/>
    <mergeCell ref="CV4:DF4"/>
    <mergeCell ref="CUO3:CUQ3"/>
    <mergeCell ref="CUR3:CUT3"/>
    <mergeCell ref="CVA3:CVC3"/>
    <mergeCell ref="CVD3:CVF3"/>
    <mergeCell ref="CVM3:CVO3"/>
    <mergeCell ref="CVP3:CVR3"/>
    <mergeCell ref="CTE3:CTG3"/>
    <mergeCell ref="CTH3:CTJ3"/>
    <mergeCell ref="CTQ3:CTS3"/>
    <mergeCell ref="CTT3:CTV3"/>
    <mergeCell ref="CUC3:CUE3"/>
    <mergeCell ref="CUF3:CUH3"/>
    <mergeCell ref="CRU3:CRW3"/>
    <mergeCell ref="CRX3:CRZ3"/>
    <mergeCell ref="CSG3:CSI3"/>
    <mergeCell ref="CSJ3:CSL3"/>
    <mergeCell ref="CSS3:CSU3"/>
    <mergeCell ref="CSV3:CSX3"/>
    <mergeCell ref="CQK3:CQM3"/>
    <mergeCell ref="CQN3:CQP3"/>
    <mergeCell ref="CQW3:CQY3"/>
    <mergeCell ref="CQZ3:CRB3"/>
    <mergeCell ref="CRI3:CRK3"/>
    <mergeCell ref="CRL3:CRN3"/>
    <mergeCell ref="CPA3:CPC3"/>
    <mergeCell ref="CPD3:CPF3"/>
    <mergeCell ref="CPM3:CPO3"/>
    <mergeCell ref="CPP3:CPR3"/>
    <mergeCell ref="CPY3:CQA3"/>
    <mergeCell ref="CQB3:CQD3"/>
    <mergeCell ref="CNQ3:CNS3"/>
    <mergeCell ref="CNT3:CNV3"/>
    <mergeCell ref="COC3:COE3"/>
    <mergeCell ref="COF3:COH3"/>
    <mergeCell ref="COO3:COQ3"/>
    <mergeCell ref="COR3:COT3"/>
    <mergeCell ref="CMG3:CMI3"/>
    <mergeCell ref="CMJ3:CML3"/>
    <mergeCell ref="CMS3:CMU3"/>
    <mergeCell ref="CMV3:CMX3"/>
    <mergeCell ref="CNE3:CNG3"/>
    <mergeCell ref="CNH3:CNJ3"/>
    <mergeCell ref="CKW3:CKY3"/>
    <mergeCell ref="CKZ3:CLB3"/>
    <mergeCell ref="CLI3:CLK3"/>
    <mergeCell ref="CLL3:CLN3"/>
    <mergeCell ref="CLU3:CLW3"/>
    <mergeCell ref="CLX3:CLZ3"/>
    <mergeCell ref="CJM3:CJO3"/>
    <mergeCell ref="CJP3:CJR3"/>
    <mergeCell ref="CJY3:CKA3"/>
    <mergeCell ref="CKB3:CKD3"/>
    <mergeCell ref="CKK3:CKM3"/>
    <mergeCell ref="CKN3:CKP3"/>
    <mergeCell ref="CIC3:CIE3"/>
    <mergeCell ref="CIF3:CIH3"/>
    <mergeCell ref="CIO3:CIQ3"/>
    <mergeCell ref="CIR3:CIT3"/>
    <mergeCell ref="CJA3:CJC3"/>
    <mergeCell ref="CJD3:CJF3"/>
    <mergeCell ref="CGS3:CGU3"/>
    <mergeCell ref="CGV3:CGX3"/>
    <mergeCell ref="CHE3:CHG3"/>
    <mergeCell ref="CHH3:CHJ3"/>
    <mergeCell ref="CHQ3:CHS3"/>
    <mergeCell ref="CHT3:CHV3"/>
    <mergeCell ref="CFI3:CFK3"/>
    <mergeCell ref="CFL3:CFN3"/>
    <mergeCell ref="CFU3:CFW3"/>
    <mergeCell ref="CFX3:CFZ3"/>
    <mergeCell ref="CGG3:CGI3"/>
    <mergeCell ref="CGJ3:CGL3"/>
    <mergeCell ref="CDY3:CEA3"/>
    <mergeCell ref="CEB3:CED3"/>
    <mergeCell ref="CEK3:CEM3"/>
    <mergeCell ref="CEN3:CEP3"/>
    <mergeCell ref="CEW3:CEY3"/>
    <mergeCell ref="CEZ3:CFB3"/>
    <mergeCell ref="CCO3:CCQ3"/>
    <mergeCell ref="CCR3:CCT3"/>
    <mergeCell ref="CDA3:CDC3"/>
    <mergeCell ref="CDD3:CDF3"/>
    <mergeCell ref="CDM3:CDO3"/>
    <mergeCell ref="CDP3:CDR3"/>
    <mergeCell ref="CBE3:CBG3"/>
    <mergeCell ref="CBH3:CBJ3"/>
    <mergeCell ref="CBQ3:CBS3"/>
    <mergeCell ref="CBT3:CBV3"/>
    <mergeCell ref="CCC3:CCE3"/>
    <mergeCell ref="CCF3:CCH3"/>
    <mergeCell ref="BZU3:BZW3"/>
    <mergeCell ref="BZX3:BZZ3"/>
    <mergeCell ref="CAG3:CAI3"/>
    <mergeCell ref="CAJ3:CAL3"/>
    <mergeCell ref="CAS3:CAU3"/>
    <mergeCell ref="CAV3:CAX3"/>
    <mergeCell ref="BYK3:BYM3"/>
    <mergeCell ref="BYN3:BYP3"/>
    <mergeCell ref="BYW3:BYY3"/>
    <mergeCell ref="BYZ3:BZB3"/>
    <mergeCell ref="BZI3:BZK3"/>
    <mergeCell ref="BZL3:BZN3"/>
    <mergeCell ref="BXA3:BXC3"/>
    <mergeCell ref="BXD3:BXF3"/>
    <mergeCell ref="BXM3:BXO3"/>
    <mergeCell ref="BXP3:BXR3"/>
    <mergeCell ref="BXY3:BYA3"/>
    <mergeCell ref="BYB3:BYD3"/>
    <mergeCell ref="BVQ3:BVS3"/>
    <mergeCell ref="BVT3:BVV3"/>
    <mergeCell ref="BWC3:BWE3"/>
    <mergeCell ref="BWF3:BWH3"/>
    <mergeCell ref="BWO3:BWQ3"/>
    <mergeCell ref="BWR3:BWT3"/>
    <mergeCell ref="BUG3:BUI3"/>
    <mergeCell ref="BUJ3:BUL3"/>
    <mergeCell ref="BUS3:BUU3"/>
    <mergeCell ref="BUV3:BUX3"/>
    <mergeCell ref="BVE3:BVG3"/>
    <mergeCell ref="BVH3:BVJ3"/>
    <mergeCell ref="BSW3:BSY3"/>
    <mergeCell ref="BSZ3:BTB3"/>
    <mergeCell ref="BTI3:BTK3"/>
    <mergeCell ref="BTL3:BTN3"/>
    <mergeCell ref="BTU3:BTW3"/>
    <mergeCell ref="BTX3:BTZ3"/>
    <mergeCell ref="BRM3:BRO3"/>
    <mergeCell ref="BRP3:BRR3"/>
    <mergeCell ref="BRY3:BSA3"/>
    <mergeCell ref="BSB3:BSD3"/>
    <mergeCell ref="BSK3:BSM3"/>
    <mergeCell ref="BSN3:BSP3"/>
    <mergeCell ref="BQC3:BQE3"/>
    <mergeCell ref="BQF3:BQH3"/>
    <mergeCell ref="BQO3:BQQ3"/>
    <mergeCell ref="BQR3:BQT3"/>
    <mergeCell ref="BRA3:BRC3"/>
    <mergeCell ref="BRD3:BRF3"/>
    <mergeCell ref="BOS3:BOU3"/>
    <mergeCell ref="BOV3:BOX3"/>
    <mergeCell ref="BPE3:BPG3"/>
    <mergeCell ref="BPH3:BPJ3"/>
    <mergeCell ref="BPQ3:BPS3"/>
    <mergeCell ref="BPT3:BPV3"/>
    <mergeCell ref="BNI3:BNK3"/>
    <mergeCell ref="BNL3:BNN3"/>
    <mergeCell ref="BNU3:BNW3"/>
    <mergeCell ref="BNX3:BNZ3"/>
    <mergeCell ref="BOG3:BOI3"/>
    <mergeCell ref="BOJ3:BOL3"/>
    <mergeCell ref="BLY3:BMA3"/>
    <mergeCell ref="BMB3:BMD3"/>
    <mergeCell ref="BMK3:BMM3"/>
    <mergeCell ref="BMN3:BMP3"/>
    <mergeCell ref="BMW3:BMY3"/>
    <mergeCell ref="BMZ3:BNB3"/>
    <mergeCell ref="BKO3:BKQ3"/>
    <mergeCell ref="BKR3:BKT3"/>
    <mergeCell ref="BLA3:BLC3"/>
    <mergeCell ref="BLD3:BLF3"/>
    <mergeCell ref="BLM3:BLO3"/>
    <mergeCell ref="BLP3:BLR3"/>
    <mergeCell ref="BJE3:BJG3"/>
    <mergeCell ref="BJH3:BJJ3"/>
    <mergeCell ref="BJQ3:BJS3"/>
    <mergeCell ref="BJT3:BJV3"/>
    <mergeCell ref="BKC3:BKE3"/>
    <mergeCell ref="BKF3:BKH3"/>
    <mergeCell ref="BHU3:BHW3"/>
    <mergeCell ref="BHX3:BHZ3"/>
    <mergeCell ref="BIG3:BII3"/>
    <mergeCell ref="BIJ3:BIL3"/>
    <mergeCell ref="BIS3:BIU3"/>
    <mergeCell ref="BIV3:BIX3"/>
    <mergeCell ref="BGK3:BGM3"/>
    <mergeCell ref="BGN3:BGP3"/>
    <mergeCell ref="BGW3:BGY3"/>
    <mergeCell ref="BGZ3:BHB3"/>
    <mergeCell ref="BHI3:BHK3"/>
    <mergeCell ref="BHL3:BHN3"/>
    <mergeCell ref="BFA3:BFC3"/>
    <mergeCell ref="BFD3:BFF3"/>
    <mergeCell ref="BFM3:BFO3"/>
    <mergeCell ref="BFP3:BFR3"/>
    <mergeCell ref="BFY3:BGA3"/>
    <mergeCell ref="BGB3:BGD3"/>
    <mergeCell ref="BDQ3:BDS3"/>
    <mergeCell ref="BDT3:BDV3"/>
    <mergeCell ref="BEC3:BEE3"/>
    <mergeCell ref="BEF3:BEH3"/>
    <mergeCell ref="BEO3:BEQ3"/>
    <mergeCell ref="BER3:BET3"/>
    <mergeCell ref="BCG3:BCI3"/>
    <mergeCell ref="BCJ3:BCL3"/>
    <mergeCell ref="BCS3:BCU3"/>
    <mergeCell ref="BCV3:BCX3"/>
    <mergeCell ref="BDE3:BDG3"/>
    <mergeCell ref="BDH3:BDJ3"/>
    <mergeCell ref="BAW3:BAY3"/>
    <mergeCell ref="BAZ3:BBB3"/>
    <mergeCell ref="BBI3:BBK3"/>
    <mergeCell ref="BBL3:BBN3"/>
    <mergeCell ref="BBU3:BBW3"/>
    <mergeCell ref="BBX3:BBZ3"/>
    <mergeCell ref="AZM3:AZO3"/>
    <mergeCell ref="AZP3:AZR3"/>
    <mergeCell ref="AZY3:BAA3"/>
    <mergeCell ref="BAB3:BAD3"/>
    <mergeCell ref="BAK3:BAM3"/>
    <mergeCell ref="BAN3:BAP3"/>
    <mergeCell ref="AYC3:AYE3"/>
    <mergeCell ref="AYF3:AYH3"/>
    <mergeCell ref="AYO3:AYQ3"/>
    <mergeCell ref="AYR3:AYT3"/>
    <mergeCell ref="AZA3:AZC3"/>
    <mergeCell ref="AZD3:AZF3"/>
    <mergeCell ref="AWS3:AWU3"/>
    <mergeCell ref="AWV3:AWX3"/>
    <mergeCell ref="AXE3:AXG3"/>
    <mergeCell ref="AXH3:AXJ3"/>
    <mergeCell ref="AXQ3:AXS3"/>
    <mergeCell ref="AXT3:AXV3"/>
    <mergeCell ref="AVI3:AVK3"/>
    <mergeCell ref="AVL3:AVN3"/>
    <mergeCell ref="AVU3:AVW3"/>
    <mergeCell ref="AVX3:AVZ3"/>
    <mergeCell ref="AWG3:AWI3"/>
    <mergeCell ref="AWJ3:AWL3"/>
    <mergeCell ref="ATY3:AUA3"/>
    <mergeCell ref="AUB3:AUD3"/>
    <mergeCell ref="AUK3:AUM3"/>
    <mergeCell ref="AUN3:AUP3"/>
    <mergeCell ref="AUW3:AUY3"/>
    <mergeCell ref="AUZ3:AVB3"/>
    <mergeCell ref="ASO3:ASQ3"/>
    <mergeCell ref="ASR3:AST3"/>
    <mergeCell ref="ATA3:ATC3"/>
    <mergeCell ref="ATD3:ATF3"/>
    <mergeCell ref="ATM3:ATO3"/>
    <mergeCell ref="ATP3:ATR3"/>
    <mergeCell ref="ARE3:ARG3"/>
    <mergeCell ref="ARH3:ARJ3"/>
    <mergeCell ref="ARQ3:ARS3"/>
    <mergeCell ref="ART3:ARV3"/>
    <mergeCell ref="ASC3:ASE3"/>
    <mergeCell ref="ASF3:ASH3"/>
    <mergeCell ref="APU3:APW3"/>
    <mergeCell ref="APX3:APZ3"/>
    <mergeCell ref="AQG3:AQI3"/>
    <mergeCell ref="AQJ3:AQL3"/>
    <mergeCell ref="AQS3:AQU3"/>
    <mergeCell ref="AQV3:AQX3"/>
    <mergeCell ref="AOK3:AOM3"/>
    <mergeCell ref="AON3:AOP3"/>
    <mergeCell ref="AOW3:AOY3"/>
    <mergeCell ref="AOZ3:APB3"/>
    <mergeCell ref="API3:APK3"/>
    <mergeCell ref="APL3:APN3"/>
    <mergeCell ref="ANA3:ANC3"/>
    <mergeCell ref="AND3:ANF3"/>
    <mergeCell ref="ANM3:ANO3"/>
    <mergeCell ref="ANP3:ANR3"/>
    <mergeCell ref="ANY3:AOA3"/>
    <mergeCell ref="AOB3:AOD3"/>
    <mergeCell ref="ALQ3:ALS3"/>
    <mergeCell ref="ALT3:ALV3"/>
    <mergeCell ref="AMC3:AME3"/>
    <mergeCell ref="AMF3:AMH3"/>
    <mergeCell ref="AMO3:AMQ3"/>
    <mergeCell ref="AMR3:AMT3"/>
    <mergeCell ref="AKG3:AKI3"/>
    <mergeCell ref="AKJ3:AKL3"/>
    <mergeCell ref="AKS3:AKU3"/>
    <mergeCell ref="AKV3:AKX3"/>
    <mergeCell ref="ALE3:ALG3"/>
    <mergeCell ref="ALH3:ALJ3"/>
    <mergeCell ref="AIW3:AIY3"/>
    <mergeCell ref="AIZ3:AJB3"/>
    <mergeCell ref="AJI3:AJK3"/>
    <mergeCell ref="AJL3:AJN3"/>
    <mergeCell ref="AJU3:AJW3"/>
    <mergeCell ref="AJX3:AJZ3"/>
    <mergeCell ref="AHM3:AHO3"/>
    <mergeCell ref="AHP3:AHR3"/>
    <mergeCell ref="AHY3:AIA3"/>
    <mergeCell ref="AIB3:AID3"/>
    <mergeCell ref="AIK3:AIM3"/>
    <mergeCell ref="AIN3:AIP3"/>
    <mergeCell ref="AGC3:AGE3"/>
    <mergeCell ref="AGF3:AGH3"/>
    <mergeCell ref="AGO3:AGQ3"/>
    <mergeCell ref="AGR3:AGT3"/>
    <mergeCell ref="AHA3:AHC3"/>
    <mergeCell ref="AHD3:AHF3"/>
    <mergeCell ref="AEP3:AER3"/>
    <mergeCell ref="AES3:AEU3"/>
    <mergeCell ref="AFC3:AFE3"/>
    <mergeCell ref="AFF3:AFH3"/>
    <mergeCell ref="AFP3:AFR3"/>
    <mergeCell ref="AFS3:AFU3"/>
    <mergeCell ref="ADC3:ADE3"/>
    <mergeCell ref="ADF3:ADH3"/>
    <mergeCell ref="ADP3:ADR3"/>
    <mergeCell ref="ADS3:ADU3"/>
    <mergeCell ref="AEC3:AEE3"/>
    <mergeCell ref="AEF3:AEH3"/>
    <mergeCell ref="ABP3:ABR3"/>
    <mergeCell ref="ABS3:ABU3"/>
    <mergeCell ref="ACC3:ACE3"/>
    <mergeCell ref="ACF3:ACH3"/>
    <mergeCell ref="ACP3:ACR3"/>
    <mergeCell ref="ACS3:ACU3"/>
    <mergeCell ref="AAC3:AAE3"/>
    <mergeCell ref="AAF3:AAH3"/>
    <mergeCell ref="AAP3:AAR3"/>
    <mergeCell ref="AAS3:AAU3"/>
    <mergeCell ref="ABC3:ABE3"/>
    <mergeCell ref="ABF3:ABH3"/>
    <mergeCell ref="WV3:WZ3"/>
    <mergeCell ref="XA3:XD3"/>
    <mergeCell ref="XJ3:XN3"/>
    <mergeCell ref="XO3:XR3"/>
    <mergeCell ref="XX3:YB3"/>
    <mergeCell ref="YC3:YF3"/>
    <mergeCell ref="TP3:TT3"/>
    <mergeCell ref="TU3:TX3"/>
    <mergeCell ref="UD3:UH3"/>
    <mergeCell ref="UI3:UL3"/>
    <mergeCell ref="UR3:UV3"/>
    <mergeCell ref="UW3:UZ3"/>
    <mergeCell ref="QJ3:QN3"/>
    <mergeCell ref="QO3:QR3"/>
    <mergeCell ref="QX3:RB3"/>
    <mergeCell ref="RC3:RF3"/>
    <mergeCell ref="RL3:RP3"/>
    <mergeCell ref="RQ3:RT3"/>
    <mergeCell ref="ND3:NH3"/>
    <mergeCell ref="NI3:NL3"/>
    <mergeCell ref="NR3:NV3"/>
    <mergeCell ref="NW3:NZ3"/>
    <mergeCell ref="OF3:OJ3"/>
    <mergeCell ref="OK3:ON3"/>
    <mergeCell ref="JX3:KB3"/>
    <mergeCell ref="KC3:KF3"/>
    <mergeCell ref="KL3:KP3"/>
    <mergeCell ref="KQ3:KT3"/>
    <mergeCell ref="KZ3:LD3"/>
    <mergeCell ref="LE3:LH3"/>
    <mergeCell ref="GR3:GV3"/>
    <mergeCell ref="GW3:GZ3"/>
    <mergeCell ref="HF3:HJ3"/>
    <mergeCell ref="HK3:HN3"/>
    <mergeCell ref="HT3:HX3"/>
    <mergeCell ref="HY3:IB3"/>
    <mergeCell ref="DL3:DP3"/>
    <mergeCell ref="DQ3:DT3"/>
    <mergeCell ref="DZ3:ED3"/>
    <mergeCell ref="EE3:EH3"/>
    <mergeCell ref="EN3:ER3"/>
    <mergeCell ref="ES3:EV3"/>
    <mergeCell ref="CVM1:CVR2"/>
    <mergeCell ref="CVY1:CWD2"/>
    <mergeCell ref="D3:H3"/>
    <mergeCell ref="I3:L3"/>
    <mergeCell ref="R3:V3"/>
    <mergeCell ref="W3:Z3"/>
    <mergeCell ref="AF3:AJ3"/>
    <mergeCell ref="AK3:AN3"/>
    <mergeCell ref="AT3:AX3"/>
    <mergeCell ref="AY3:BB3"/>
    <mergeCell ref="CSS1:CSX2"/>
    <mergeCell ref="CTE1:CTJ2"/>
    <mergeCell ref="CTQ1:CTV2"/>
    <mergeCell ref="CUC1:CUH2"/>
    <mergeCell ref="CUO1:CUT2"/>
    <mergeCell ref="CVA1:CVF2"/>
    <mergeCell ref="CPY1:CQD2"/>
    <mergeCell ref="CQK1:CQP2"/>
    <mergeCell ref="CQW1:CRB2"/>
    <mergeCell ref="CRI1:CRN2"/>
    <mergeCell ref="CRU1:CRZ2"/>
    <mergeCell ref="CSG1:CSL2"/>
    <mergeCell ref="CNE1:CNJ2"/>
    <mergeCell ref="CNQ1:CNV2"/>
    <mergeCell ref="COC1:COH2"/>
    <mergeCell ref="COO1:COT2"/>
    <mergeCell ref="CPA1:CPF2"/>
    <mergeCell ref="CPM1:CPR2"/>
    <mergeCell ref="CKK1:CKP2"/>
    <mergeCell ref="CKW1:CLB2"/>
    <mergeCell ref="CLI1:CLN2"/>
    <mergeCell ref="CLU1:CLZ2"/>
    <mergeCell ref="CMG1:CML2"/>
    <mergeCell ref="CMS1:CMX2"/>
    <mergeCell ref="CHQ1:CHV2"/>
    <mergeCell ref="CIC1:CIH2"/>
    <mergeCell ref="CIO1:CIT2"/>
    <mergeCell ref="CJA1:CJF2"/>
    <mergeCell ref="CJM1:CJR2"/>
    <mergeCell ref="CJY1:CKD2"/>
    <mergeCell ref="CEW1:CFB2"/>
    <mergeCell ref="CFI1:CFN2"/>
    <mergeCell ref="CFU1:CFZ2"/>
    <mergeCell ref="CGG1:CGL2"/>
    <mergeCell ref="CGS1:CGX2"/>
    <mergeCell ref="CHE1:CHJ2"/>
    <mergeCell ref="CCC1:CCH2"/>
    <mergeCell ref="CCO1:CCT2"/>
    <mergeCell ref="CDA1:CDF2"/>
    <mergeCell ref="CDM1:CDR2"/>
    <mergeCell ref="CDY1:CED2"/>
    <mergeCell ref="CEK1:CEP2"/>
    <mergeCell ref="BZI1:BZN2"/>
    <mergeCell ref="BZU1:BZZ2"/>
    <mergeCell ref="CAG1:CAL2"/>
    <mergeCell ref="CAS1:CAX2"/>
    <mergeCell ref="CBE1:CBJ2"/>
    <mergeCell ref="CBQ1:CBV2"/>
    <mergeCell ref="BWO1:BWT2"/>
    <mergeCell ref="BXA1:BXF2"/>
    <mergeCell ref="BXM1:BXR2"/>
    <mergeCell ref="BXY1:BYD2"/>
    <mergeCell ref="BYK1:BYP2"/>
    <mergeCell ref="BYW1:BZB2"/>
    <mergeCell ref="BTU1:BTZ2"/>
    <mergeCell ref="BUG1:BUL2"/>
    <mergeCell ref="BUS1:BUX2"/>
    <mergeCell ref="BVE1:BVJ2"/>
    <mergeCell ref="BVQ1:BVV2"/>
    <mergeCell ref="BWC1:BWH2"/>
    <mergeCell ref="BRA1:BRF2"/>
    <mergeCell ref="BRM1:BRR2"/>
    <mergeCell ref="BRY1:BSD2"/>
    <mergeCell ref="BSK1:BSP2"/>
    <mergeCell ref="BSW1:BTB2"/>
    <mergeCell ref="BTI1:BTN2"/>
    <mergeCell ref="BOG1:BOL2"/>
    <mergeCell ref="BOS1:BOX2"/>
    <mergeCell ref="BPE1:BPJ2"/>
    <mergeCell ref="BPQ1:BPV2"/>
    <mergeCell ref="BQC1:BQH2"/>
    <mergeCell ref="BQO1:BQT2"/>
    <mergeCell ref="BLM1:BLR2"/>
    <mergeCell ref="BLY1:BMD2"/>
    <mergeCell ref="BMK1:BMP2"/>
    <mergeCell ref="BMW1:BNB2"/>
    <mergeCell ref="BNI1:BNN2"/>
    <mergeCell ref="BNU1:BNZ2"/>
    <mergeCell ref="BIS1:BIX2"/>
    <mergeCell ref="BJE1:BJJ2"/>
    <mergeCell ref="BJQ1:BJV2"/>
    <mergeCell ref="BKC1:BKH2"/>
    <mergeCell ref="BKO1:BKT2"/>
    <mergeCell ref="BLA1:BLF2"/>
    <mergeCell ref="BFY1:BGD2"/>
    <mergeCell ref="BGK1:BGP2"/>
    <mergeCell ref="BGW1:BHB2"/>
    <mergeCell ref="BHI1:BHN2"/>
    <mergeCell ref="BHU1:BHZ2"/>
    <mergeCell ref="BIG1:BIL2"/>
    <mergeCell ref="BDE1:BDJ2"/>
    <mergeCell ref="BDQ1:BDV2"/>
    <mergeCell ref="BEC1:BEH2"/>
    <mergeCell ref="BEO1:BET2"/>
    <mergeCell ref="BFA1:BFF2"/>
    <mergeCell ref="BFM1:BFR2"/>
    <mergeCell ref="BAK1:BAP2"/>
    <mergeCell ref="BAW1:BBB2"/>
    <mergeCell ref="BBI1:BBN2"/>
    <mergeCell ref="BBU1:BBZ2"/>
    <mergeCell ref="BCG1:BCL2"/>
    <mergeCell ref="BCS1:BCX2"/>
    <mergeCell ref="AXQ1:AXV2"/>
    <mergeCell ref="AYC1:AYH2"/>
    <mergeCell ref="AYO1:AYT2"/>
    <mergeCell ref="AZA1:AZF2"/>
    <mergeCell ref="AZM1:AZR2"/>
    <mergeCell ref="AZY1:BAD2"/>
    <mergeCell ref="AUW1:AVB2"/>
    <mergeCell ref="AVI1:AVN2"/>
    <mergeCell ref="AVU1:AVZ2"/>
    <mergeCell ref="AWG1:AWL2"/>
    <mergeCell ref="AWS1:AWX2"/>
    <mergeCell ref="AXE1:AXJ2"/>
    <mergeCell ref="ASC1:ASH2"/>
    <mergeCell ref="ASO1:AST2"/>
    <mergeCell ref="ATA1:ATF2"/>
    <mergeCell ref="ATM1:ATR2"/>
    <mergeCell ref="ATY1:AUD2"/>
    <mergeCell ref="AUK1:AUP2"/>
    <mergeCell ref="API1:APN2"/>
    <mergeCell ref="APU1:APZ2"/>
    <mergeCell ref="AQG1:AQL2"/>
    <mergeCell ref="AQS1:AQX2"/>
    <mergeCell ref="ARE1:ARJ2"/>
    <mergeCell ref="ARQ1:ARV2"/>
    <mergeCell ref="AMO1:AMT2"/>
    <mergeCell ref="ANA1:ANF2"/>
    <mergeCell ref="ANM1:ANR2"/>
    <mergeCell ref="ANY1:AOD2"/>
    <mergeCell ref="AOK1:AOP2"/>
    <mergeCell ref="AOW1:APB2"/>
    <mergeCell ref="AJU1:AJZ2"/>
    <mergeCell ref="AKG1:AKL2"/>
    <mergeCell ref="AKS1:AKX2"/>
    <mergeCell ref="ALE1:ALJ2"/>
    <mergeCell ref="ALQ1:ALV2"/>
    <mergeCell ref="AMC1:AMH2"/>
    <mergeCell ref="AHA1:AHF2"/>
    <mergeCell ref="AHM1:AHR2"/>
    <mergeCell ref="AHY1:AID2"/>
    <mergeCell ref="AIK1:AIP2"/>
    <mergeCell ref="AIW1:AJB2"/>
    <mergeCell ref="AJI1:AJN2"/>
    <mergeCell ref="AEC1:AEH2"/>
    <mergeCell ref="AEP1:AEU2"/>
    <mergeCell ref="AFC1:AFH2"/>
    <mergeCell ref="AFP1:AFU2"/>
    <mergeCell ref="AGC1:AGH2"/>
    <mergeCell ref="AGO1:AGT2"/>
    <mergeCell ref="ABC1:ABH2"/>
    <mergeCell ref="ABP1:ABU2"/>
    <mergeCell ref="ACC1:ACH2"/>
    <mergeCell ref="ACP1:ACU2"/>
    <mergeCell ref="ADC1:ADH2"/>
    <mergeCell ref="ADP1:ADU2"/>
    <mergeCell ref="YW1:YY3"/>
    <mergeCell ref="YZ1:ZG2"/>
    <mergeCell ref="ZK1:ZM3"/>
    <mergeCell ref="ZN1:ZU2"/>
    <mergeCell ref="AAC1:AAH2"/>
    <mergeCell ref="AAP1:AAU2"/>
    <mergeCell ref="YZ3:ZD3"/>
    <mergeCell ref="ZE3:ZH3"/>
    <mergeCell ref="ZN3:ZR3"/>
    <mergeCell ref="ZS3:ZV3"/>
    <mergeCell ref="XG1:XI3"/>
    <mergeCell ref="XJ1:XQ2"/>
    <mergeCell ref="XU1:XW3"/>
    <mergeCell ref="XX1:YE2"/>
    <mergeCell ref="YI1:YK3"/>
    <mergeCell ref="YL1:YS2"/>
    <mergeCell ref="YL3:YP3"/>
    <mergeCell ref="YQ3:YT3"/>
    <mergeCell ref="VQ1:VS3"/>
    <mergeCell ref="VT1:WA2"/>
    <mergeCell ref="WE1:WG3"/>
    <mergeCell ref="WH1:WO2"/>
    <mergeCell ref="WS1:WU3"/>
    <mergeCell ref="WV1:XC2"/>
    <mergeCell ref="VT3:VX3"/>
    <mergeCell ref="VY3:WB3"/>
    <mergeCell ref="WH3:WL3"/>
    <mergeCell ref="WM3:WP3"/>
    <mergeCell ref="UA1:UC3"/>
    <mergeCell ref="UD1:UK2"/>
    <mergeCell ref="UO1:UQ3"/>
    <mergeCell ref="UR1:UY2"/>
    <mergeCell ref="VC1:VE3"/>
    <mergeCell ref="VF1:VM2"/>
    <mergeCell ref="VF3:VJ3"/>
    <mergeCell ref="VK3:VN3"/>
    <mergeCell ref="SK1:SM3"/>
    <mergeCell ref="SN1:SU2"/>
    <mergeCell ref="SY1:TA3"/>
    <mergeCell ref="TB1:TI2"/>
    <mergeCell ref="TM1:TO3"/>
    <mergeCell ref="TP1:TW2"/>
    <mergeCell ref="SN3:SR3"/>
    <mergeCell ref="SS3:SV3"/>
    <mergeCell ref="TB3:TF3"/>
    <mergeCell ref="TG3:TJ3"/>
    <mergeCell ref="QU1:QW3"/>
    <mergeCell ref="QX1:RE2"/>
    <mergeCell ref="RI1:RK3"/>
    <mergeCell ref="RL1:RS2"/>
    <mergeCell ref="RW1:RY3"/>
    <mergeCell ref="RZ1:SG2"/>
    <mergeCell ref="RZ3:SD3"/>
    <mergeCell ref="SE3:SH3"/>
    <mergeCell ref="PE1:PG3"/>
    <mergeCell ref="PH1:PO2"/>
    <mergeCell ref="PS1:PU3"/>
    <mergeCell ref="PV1:QC2"/>
    <mergeCell ref="QG1:QI3"/>
    <mergeCell ref="QJ1:QQ2"/>
    <mergeCell ref="PH3:PL3"/>
    <mergeCell ref="PM3:PP3"/>
    <mergeCell ref="PV3:PZ3"/>
    <mergeCell ref="QA3:QD3"/>
    <mergeCell ref="NO1:NQ3"/>
    <mergeCell ref="NR1:NY2"/>
    <mergeCell ref="OC1:OE3"/>
    <mergeCell ref="OF1:OM2"/>
    <mergeCell ref="OQ1:OS3"/>
    <mergeCell ref="OT1:PA2"/>
    <mergeCell ref="OT3:OX3"/>
    <mergeCell ref="OY3:PB3"/>
    <mergeCell ref="LY1:MA3"/>
    <mergeCell ref="MB1:MI2"/>
    <mergeCell ref="MM1:MO3"/>
    <mergeCell ref="MP1:MW2"/>
    <mergeCell ref="NA1:NC3"/>
    <mergeCell ref="ND1:NK2"/>
    <mergeCell ref="MB3:MF3"/>
    <mergeCell ref="MG3:MJ3"/>
    <mergeCell ref="MP3:MT3"/>
    <mergeCell ref="MU3:MX3"/>
    <mergeCell ref="KI1:KK3"/>
    <mergeCell ref="KL1:KS2"/>
    <mergeCell ref="KW1:KY3"/>
    <mergeCell ref="KZ1:LG2"/>
    <mergeCell ref="LK1:LM3"/>
    <mergeCell ref="LN1:LU2"/>
    <mergeCell ref="LN3:LR3"/>
    <mergeCell ref="LS3:LV3"/>
    <mergeCell ref="IS1:IU3"/>
    <mergeCell ref="IV1:JC2"/>
    <mergeCell ref="JG1:JI3"/>
    <mergeCell ref="JJ1:JQ2"/>
    <mergeCell ref="JU1:JW3"/>
    <mergeCell ref="JX1:KE2"/>
    <mergeCell ref="IV3:IZ3"/>
    <mergeCell ref="JA3:JD3"/>
    <mergeCell ref="JJ3:JN3"/>
    <mergeCell ref="JO3:JR3"/>
    <mergeCell ref="HC1:HE3"/>
    <mergeCell ref="HF1:HM2"/>
    <mergeCell ref="HQ1:HS3"/>
    <mergeCell ref="HT1:IA2"/>
    <mergeCell ref="IE1:IG3"/>
    <mergeCell ref="IH1:IO2"/>
    <mergeCell ref="IH3:IL3"/>
    <mergeCell ref="IM3:IP3"/>
    <mergeCell ref="FM1:FO3"/>
    <mergeCell ref="FP1:FW2"/>
    <mergeCell ref="GA1:GC3"/>
    <mergeCell ref="GD1:GK2"/>
    <mergeCell ref="GO1:GQ3"/>
    <mergeCell ref="GR1:GY2"/>
    <mergeCell ref="FP3:FT3"/>
    <mergeCell ref="FU3:FX3"/>
    <mergeCell ref="GD3:GH3"/>
    <mergeCell ref="GI3:GL3"/>
    <mergeCell ref="DW1:DY3"/>
    <mergeCell ref="DZ1:EG2"/>
    <mergeCell ref="EK1:EM3"/>
    <mergeCell ref="EN1:EU2"/>
    <mergeCell ref="EY1:FA3"/>
    <mergeCell ref="FB1:FI2"/>
    <mergeCell ref="FB3:FF3"/>
    <mergeCell ref="FG3:FJ3"/>
    <mergeCell ref="CG1:CI3"/>
    <mergeCell ref="CJ1:CQ2"/>
    <mergeCell ref="CU1:CW3"/>
    <mergeCell ref="CX1:DE2"/>
    <mergeCell ref="DI1:DK3"/>
    <mergeCell ref="DL1:DS2"/>
    <mergeCell ref="CJ3:CN3"/>
    <mergeCell ref="CO3:CR3"/>
    <mergeCell ref="CX3:DB3"/>
    <mergeCell ref="DC3:DF3"/>
    <mergeCell ref="AQ1:AS3"/>
    <mergeCell ref="AT1:BA2"/>
    <mergeCell ref="BE1:BG3"/>
    <mergeCell ref="BH1:BO2"/>
    <mergeCell ref="BS1:BU3"/>
    <mergeCell ref="BV1:CC2"/>
    <mergeCell ref="BH3:BL3"/>
    <mergeCell ref="BM3:BP3"/>
    <mergeCell ref="BV3:BZ3"/>
    <mergeCell ref="CA3:CD3"/>
    <mergeCell ref="A1:C3"/>
    <mergeCell ref="D1:K2"/>
    <mergeCell ref="O1:Q3"/>
    <mergeCell ref="R1:Y2"/>
    <mergeCell ref="AC1:AE3"/>
    <mergeCell ref="AF1:AM2"/>
  </mergeCells>
  <pageMargins left="0.25" right="0.25" top="0.75" bottom="0.75" header="0.3" footer="0.3"/>
  <pageSetup scale="99" orientation="portrait" r:id="rId1"/>
  <headerFooter>
    <oddFooter>&amp;L&amp;"Abadi,Negrita"&amp;8Aprobó: GLORIA OREJUELA (Gerente General)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702</xdr:col>
                    <xdr:colOff>447675</xdr:colOff>
                    <xdr:row>46</xdr:row>
                    <xdr:rowOff>142875</xdr:rowOff>
                  </from>
                  <to>
                    <xdr:col>703</xdr:col>
                    <xdr:colOff>561975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703</xdr:col>
                    <xdr:colOff>542925</xdr:colOff>
                    <xdr:row>46</xdr:row>
                    <xdr:rowOff>142875</xdr:rowOff>
                  </from>
                  <to>
                    <xdr:col>705</xdr:col>
                    <xdr:colOff>95250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715</xdr:col>
                    <xdr:colOff>447675</xdr:colOff>
                    <xdr:row>46</xdr:row>
                    <xdr:rowOff>142875</xdr:rowOff>
                  </from>
                  <to>
                    <xdr:col>716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716</xdr:col>
                    <xdr:colOff>542925</xdr:colOff>
                    <xdr:row>46</xdr:row>
                    <xdr:rowOff>142875</xdr:rowOff>
                  </from>
                  <to>
                    <xdr:col>718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728</xdr:col>
                    <xdr:colOff>447675</xdr:colOff>
                    <xdr:row>46</xdr:row>
                    <xdr:rowOff>142875</xdr:rowOff>
                  </from>
                  <to>
                    <xdr:col>729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729</xdr:col>
                    <xdr:colOff>542925</xdr:colOff>
                    <xdr:row>46</xdr:row>
                    <xdr:rowOff>142875</xdr:rowOff>
                  </from>
                  <to>
                    <xdr:col>731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741</xdr:col>
                    <xdr:colOff>447675</xdr:colOff>
                    <xdr:row>46</xdr:row>
                    <xdr:rowOff>142875</xdr:rowOff>
                  </from>
                  <to>
                    <xdr:col>742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742</xdr:col>
                    <xdr:colOff>542925</xdr:colOff>
                    <xdr:row>46</xdr:row>
                    <xdr:rowOff>142875</xdr:rowOff>
                  </from>
                  <to>
                    <xdr:col>744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754</xdr:col>
                    <xdr:colOff>447675</xdr:colOff>
                    <xdr:row>46</xdr:row>
                    <xdr:rowOff>142875</xdr:rowOff>
                  </from>
                  <to>
                    <xdr:col>755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755</xdr:col>
                    <xdr:colOff>542925</xdr:colOff>
                    <xdr:row>46</xdr:row>
                    <xdr:rowOff>142875</xdr:rowOff>
                  </from>
                  <to>
                    <xdr:col>757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767</xdr:col>
                    <xdr:colOff>447675</xdr:colOff>
                    <xdr:row>46</xdr:row>
                    <xdr:rowOff>142875</xdr:rowOff>
                  </from>
                  <to>
                    <xdr:col>768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768</xdr:col>
                    <xdr:colOff>542925</xdr:colOff>
                    <xdr:row>46</xdr:row>
                    <xdr:rowOff>142875</xdr:rowOff>
                  </from>
                  <to>
                    <xdr:col>770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780</xdr:col>
                    <xdr:colOff>447675</xdr:colOff>
                    <xdr:row>46</xdr:row>
                    <xdr:rowOff>142875</xdr:rowOff>
                  </from>
                  <to>
                    <xdr:col>781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781</xdr:col>
                    <xdr:colOff>542925</xdr:colOff>
                    <xdr:row>46</xdr:row>
                    <xdr:rowOff>142875</xdr:rowOff>
                  </from>
                  <to>
                    <xdr:col>783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793</xdr:col>
                    <xdr:colOff>447675</xdr:colOff>
                    <xdr:row>46</xdr:row>
                    <xdr:rowOff>142875</xdr:rowOff>
                  </from>
                  <to>
                    <xdr:col>794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794</xdr:col>
                    <xdr:colOff>542925</xdr:colOff>
                    <xdr:row>46</xdr:row>
                    <xdr:rowOff>142875</xdr:rowOff>
                  </from>
                  <to>
                    <xdr:col>796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806</xdr:col>
                    <xdr:colOff>447675</xdr:colOff>
                    <xdr:row>46</xdr:row>
                    <xdr:rowOff>142875</xdr:rowOff>
                  </from>
                  <to>
                    <xdr:col>807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807</xdr:col>
                    <xdr:colOff>542925</xdr:colOff>
                    <xdr:row>46</xdr:row>
                    <xdr:rowOff>142875</xdr:rowOff>
                  </from>
                  <to>
                    <xdr:col>809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819</xdr:col>
                    <xdr:colOff>447675</xdr:colOff>
                    <xdr:row>46</xdr:row>
                    <xdr:rowOff>142875</xdr:rowOff>
                  </from>
                  <to>
                    <xdr:col>820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820</xdr:col>
                    <xdr:colOff>542925</xdr:colOff>
                    <xdr:row>46</xdr:row>
                    <xdr:rowOff>142875</xdr:rowOff>
                  </from>
                  <to>
                    <xdr:col>822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832</xdr:col>
                    <xdr:colOff>447675</xdr:colOff>
                    <xdr:row>46</xdr:row>
                    <xdr:rowOff>142875</xdr:rowOff>
                  </from>
                  <to>
                    <xdr:col>833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833</xdr:col>
                    <xdr:colOff>542925</xdr:colOff>
                    <xdr:row>46</xdr:row>
                    <xdr:rowOff>142875</xdr:rowOff>
                  </from>
                  <to>
                    <xdr:col>835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845</xdr:col>
                    <xdr:colOff>447675</xdr:colOff>
                    <xdr:row>46</xdr:row>
                    <xdr:rowOff>142875</xdr:rowOff>
                  </from>
                  <to>
                    <xdr:col>846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846</xdr:col>
                    <xdr:colOff>542925</xdr:colOff>
                    <xdr:row>46</xdr:row>
                    <xdr:rowOff>142875</xdr:rowOff>
                  </from>
                  <to>
                    <xdr:col>848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858</xdr:col>
                    <xdr:colOff>447675</xdr:colOff>
                    <xdr:row>46</xdr:row>
                    <xdr:rowOff>142875</xdr:rowOff>
                  </from>
                  <to>
                    <xdr:col>859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859</xdr:col>
                    <xdr:colOff>542925</xdr:colOff>
                    <xdr:row>46</xdr:row>
                    <xdr:rowOff>142875</xdr:rowOff>
                  </from>
                  <to>
                    <xdr:col>861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870</xdr:col>
                    <xdr:colOff>447675</xdr:colOff>
                    <xdr:row>46</xdr:row>
                    <xdr:rowOff>142875</xdr:rowOff>
                  </from>
                  <to>
                    <xdr:col>871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871</xdr:col>
                    <xdr:colOff>542925</xdr:colOff>
                    <xdr:row>46</xdr:row>
                    <xdr:rowOff>142875</xdr:rowOff>
                  </from>
                  <to>
                    <xdr:col>873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882</xdr:col>
                    <xdr:colOff>447675</xdr:colOff>
                    <xdr:row>46</xdr:row>
                    <xdr:rowOff>142875</xdr:rowOff>
                  </from>
                  <to>
                    <xdr:col>883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883</xdr:col>
                    <xdr:colOff>542925</xdr:colOff>
                    <xdr:row>46</xdr:row>
                    <xdr:rowOff>142875</xdr:rowOff>
                  </from>
                  <to>
                    <xdr:col>885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894</xdr:col>
                    <xdr:colOff>447675</xdr:colOff>
                    <xdr:row>46</xdr:row>
                    <xdr:rowOff>142875</xdr:rowOff>
                  </from>
                  <to>
                    <xdr:col>895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895</xdr:col>
                    <xdr:colOff>542925</xdr:colOff>
                    <xdr:row>46</xdr:row>
                    <xdr:rowOff>142875</xdr:rowOff>
                  </from>
                  <to>
                    <xdr:col>897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906</xdr:col>
                    <xdr:colOff>447675</xdr:colOff>
                    <xdr:row>46</xdr:row>
                    <xdr:rowOff>142875</xdr:rowOff>
                  </from>
                  <to>
                    <xdr:col>907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907</xdr:col>
                    <xdr:colOff>542925</xdr:colOff>
                    <xdr:row>46</xdr:row>
                    <xdr:rowOff>142875</xdr:rowOff>
                  </from>
                  <to>
                    <xdr:col>909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918</xdr:col>
                    <xdr:colOff>447675</xdr:colOff>
                    <xdr:row>46</xdr:row>
                    <xdr:rowOff>142875</xdr:rowOff>
                  </from>
                  <to>
                    <xdr:col>919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919</xdr:col>
                    <xdr:colOff>542925</xdr:colOff>
                    <xdr:row>46</xdr:row>
                    <xdr:rowOff>142875</xdr:rowOff>
                  </from>
                  <to>
                    <xdr:col>921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930</xdr:col>
                    <xdr:colOff>447675</xdr:colOff>
                    <xdr:row>46</xdr:row>
                    <xdr:rowOff>142875</xdr:rowOff>
                  </from>
                  <to>
                    <xdr:col>931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931</xdr:col>
                    <xdr:colOff>542925</xdr:colOff>
                    <xdr:row>46</xdr:row>
                    <xdr:rowOff>142875</xdr:rowOff>
                  </from>
                  <to>
                    <xdr:col>933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942</xdr:col>
                    <xdr:colOff>447675</xdr:colOff>
                    <xdr:row>46</xdr:row>
                    <xdr:rowOff>142875</xdr:rowOff>
                  </from>
                  <to>
                    <xdr:col>943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943</xdr:col>
                    <xdr:colOff>542925</xdr:colOff>
                    <xdr:row>46</xdr:row>
                    <xdr:rowOff>142875</xdr:rowOff>
                  </from>
                  <to>
                    <xdr:col>945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954</xdr:col>
                    <xdr:colOff>447675</xdr:colOff>
                    <xdr:row>46</xdr:row>
                    <xdr:rowOff>142875</xdr:rowOff>
                  </from>
                  <to>
                    <xdr:col>955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955</xdr:col>
                    <xdr:colOff>542925</xdr:colOff>
                    <xdr:row>46</xdr:row>
                    <xdr:rowOff>142875</xdr:rowOff>
                  </from>
                  <to>
                    <xdr:col>957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966</xdr:col>
                    <xdr:colOff>447675</xdr:colOff>
                    <xdr:row>46</xdr:row>
                    <xdr:rowOff>142875</xdr:rowOff>
                  </from>
                  <to>
                    <xdr:col>967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967</xdr:col>
                    <xdr:colOff>542925</xdr:colOff>
                    <xdr:row>46</xdr:row>
                    <xdr:rowOff>142875</xdr:rowOff>
                  </from>
                  <to>
                    <xdr:col>969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978</xdr:col>
                    <xdr:colOff>447675</xdr:colOff>
                    <xdr:row>46</xdr:row>
                    <xdr:rowOff>142875</xdr:rowOff>
                  </from>
                  <to>
                    <xdr:col>979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979</xdr:col>
                    <xdr:colOff>542925</xdr:colOff>
                    <xdr:row>46</xdr:row>
                    <xdr:rowOff>142875</xdr:rowOff>
                  </from>
                  <to>
                    <xdr:col>981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990</xdr:col>
                    <xdr:colOff>447675</xdr:colOff>
                    <xdr:row>46</xdr:row>
                    <xdr:rowOff>142875</xdr:rowOff>
                  </from>
                  <to>
                    <xdr:col>991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991</xdr:col>
                    <xdr:colOff>542925</xdr:colOff>
                    <xdr:row>46</xdr:row>
                    <xdr:rowOff>142875</xdr:rowOff>
                  </from>
                  <to>
                    <xdr:col>993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1002</xdr:col>
                    <xdr:colOff>447675</xdr:colOff>
                    <xdr:row>46</xdr:row>
                    <xdr:rowOff>142875</xdr:rowOff>
                  </from>
                  <to>
                    <xdr:col>1003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1003</xdr:col>
                    <xdr:colOff>542925</xdr:colOff>
                    <xdr:row>46</xdr:row>
                    <xdr:rowOff>142875</xdr:rowOff>
                  </from>
                  <to>
                    <xdr:col>1005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1014</xdr:col>
                    <xdr:colOff>447675</xdr:colOff>
                    <xdr:row>46</xdr:row>
                    <xdr:rowOff>142875</xdr:rowOff>
                  </from>
                  <to>
                    <xdr:col>1015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1015</xdr:col>
                    <xdr:colOff>542925</xdr:colOff>
                    <xdr:row>46</xdr:row>
                    <xdr:rowOff>142875</xdr:rowOff>
                  </from>
                  <to>
                    <xdr:col>1017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1026</xdr:col>
                    <xdr:colOff>447675</xdr:colOff>
                    <xdr:row>46</xdr:row>
                    <xdr:rowOff>142875</xdr:rowOff>
                  </from>
                  <to>
                    <xdr:col>1027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1027</xdr:col>
                    <xdr:colOff>542925</xdr:colOff>
                    <xdr:row>46</xdr:row>
                    <xdr:rowOff>142875</xdr:rowOff>
                  </from>
                  <to>
                    <xdr:col>1029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1038</xdr:col>
                    <xdr:colOff>447675</xdr:colOff>
                    <xdr:row>46</xdr:row>
                    <xdr:rowOff>142875</xdr:rowOff>
                  </from>
                  <to>
                    <xdr:col>1039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1039</xdr:col>
                    <xdr:colOff>542925</xdr:colOff>
                    <xdr:row>46</xdr:row>
                    <xdr:rowOff>142875</xdr:rowOff>
                  </from>
                  <to>
                    <xdr:col>1041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1050</xdr:col>
                    <xdr:colOff>447675</xdr:colOff>
                    <xdr:row>46</xdr:row>
                    <xdr:rowOff>142875</xdr:rowOff>
                  </from>
                  <to>
                    <xdr:col>1051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1051</xdr:col>
                    <xdr:colOff>542925</xdr:colOff>
                    <xdr:row>46</xdr:row>
                    <xdr:rowOff>142875</xdr:rowOff>
                  </from>
                  <to>
                    <xdr:col>1053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1062</xdr:col>
                    <xdr:colOff>447675</xdr:colOff>
                    <xdr:row>46</xdr:row>
                    <xdr:rowOff>142875</xdr:rowOff>
                  </from>
                  <to>
                    <xdr:col>1063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1063</xdr:col>
                    <xdr:colOff>542925</xdr:colOff>
                    <xdr:row>46</xdr:row>
                    <xdr:rowOff>142875</xdr:rowOff>
                  </from>
                  <to>
                    <xdr:col>1065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1074</xdr:col>
                    <xdr:colOff>447675</xdr:colOff>
                    <xdr:row>46</xdr:row>
                    <xdr:rowOff>142875</xdr:rowOff>
                  </from>
                  <to>
                    <xdr:col>1075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1075</xdr:col>
                    <xdr:colOff>542925</xdr:colOff>
                    <xdr:row>46</xdr:row>
                    <xdr:rowOff>142875</xdr:rowOff>
                  </from>
                  <to>
                    <xdr:col>1077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1086</xdr:col>
                    <xdr:colOff>447675</xdr:colOff>
                    <xdr:row>46</xdr:row>
                    <xdr:rowOff>142875</xdr:rowOff>
                  </from>
                  <to>
                    <xdr:col>1087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1087</xdr:col>
                    <xdr:colOff>542925</xdr:colOff>
                    <xdr:row>46</xdr:row>
                    <xdr:rowOff>142875</xdr:rowOff>
                  </from>
                  <to>
                    <xdr:col>1089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1098</xdr:col>
                    <xdr:colOff>447675</xdr:colOff>
                    <xdr:row>46</xdr:row>
                    <xdr:rowOff>142875</xdr:rowOff>
                  </from>
                  <to>
                    <xdr:col>1099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1099</xdr:col>
                    <xdr:colOff>542925</xdr:colOff>
                    <xdr:row>46</xdr:row>
                    <xdr:rowOff>142875</xdr:rowOff>
                  </from>
                  <to>
                    <xdr:col>1101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1110</xdr:col>
                    <xdr:colOff>447675</xdr:colOff>
                    <xdr:row>46</xdr:row>
                    <xdr:rowOff>142875</xdr:rowOff>
                  </from>
                  <to>
                    <xdr:col>1111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1111</xdr:col>
                    <xdr:colOff>542925</xdr:colOff>
                    <xdr:row>46</xdr:row>
                    <xdr:rowOff>142875</xdr:rowOff>
                  </from>
                  <to>
                    <xdr:col>1113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1122</xdr:col>
                    <xdr:colOff>447675</xdr:colOff>
                    <xdr:row>46</xdr:row>
                    <xdr:rowOff>142875</xdr:rowOff>
                  </from>
                  <to>
                    <xdr:col>1123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1123</xdr:col>
                    <xdr:colOff>542925</xdr:colOff>
                    <xdr:row>46</xdr:row>
                    <xdr:rowOff>142875</xdr:rowOff>
                  </from>
                  <to>
                    <xdr:col>1125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1134</xdr:col>
                    <xdr:colOff>447675</xdr:colOff>
                    <xdr:row>46</xdr:row>
                    <xdr:rowOff>142875</xdr:rowOff>
                  </from>
                  <to>
                    <xdr:col>1135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1135</xdr:col>
                    <xdr:colOff>542925</xdr:colOff>
                    <xdr:row>46</xdr:row>
                    <xdr:rowOff>142875</xdr:rowOff>
                  </from>
                  <to>
                    <xdr:col>1137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1146</xdr:col>
                    <xdr:colOff>447675</xdr:colOff>
                    <xdr:row>46</xdr:row>
                    <xdr:rowOff>142875</xdr:rowOff>
                  </from>
                  <to>
                    <xdr:col>1147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7" name="Check Box 74">
              <controlPr defaultSize="0" autoFill="0" autoLine="0" autoPict="0">
                <anchor moveWithCells="1">
                  <from>
                    <xdr:col>1147</xdr:col>
                    <xdr:colOff>542925</xdr:colOff>
                    <xdr:row>46</xdr:row>
                    <xdr:rowOff>142875</xdr:rowOff>
                  </from>
                  <to>
                    <xdr:col>1149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8" name="Check Box 75">
              <controlPr defaultSize="0" autoFill="0" autoLine="0" autoPict="0">
                <anchor moveWithCells="1">
                  <from>
                    <xdr:col>1158</xdr:col>
                    <xdr:colOff>447675</xdr:colOff>
                    <xdr:row>46</xdr:row>
                    <xdr:rowOff>142875</xdr:rowOff>
                  </from>
                  <to>
                    <xdr:col>1159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9" name="Check Box 76">
              <controlPr defaultSize="0" autoFill="0" autoLine="0" autoPict="0">
                <anchor moveWithCells="1">
                  <from>
                    <xdr:col>1159</xdr:col>
                    <xdr:colOff>542925</xdr:colOff>
                    <xdr:row>46</xdr:row>
                    <xdr:rowOff>142875</xdr:rowOff>
                  </from>
                  <to>
                    <xdr:col>1161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80" name="Check Box 77">
              <controlPr defaultSize="0" autoFill="0" autoLine="0" autoPict="0">
                <anchor moveWithCells="1">
                  <from>
                    <xdr:col>1170</xdr:col>
                    <xdr:colOff>447675</xdr:colOff>
                    <xdr:row>46</xdr:row>
                    <xdr:rowOff>142875</xdr:rowOff>
                  </from>
                  <to>
                    <xdr:col>1171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1171</xdr:col>
                    <xdr:colOff>542925</xdr:colOff>
                    <xdr:row>46</xdr:row>
                    <xdr:rowOff>142875</xdr:rowOff>
                  </from>
                  <to>
                    <xdr:col>1173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1182</xdr:col>
                    <xdr:colOff>447675</xdr:colOff>
                    <xdr:row>46</xdr:row>
                    <xdr:rowOff>142875</xdr:rowOff>
                  </from>
                  <to>
                    <xdr:col>1183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1183</xdr:col>
                    <xdr:colOff>542925</xdr:colOff>
                    <xdr:row>46</xdr:row>
                    <xdr:rowOff>142875</xdr:rowOff>
                  </from>
                  <to>
                    <xdr:col>1185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1194</xdr:col>
                    <xdr:colOff>447675</xdr:colOff>
                    <xdr:row>46</xdr:row>
                    <xdr:rowOff>142875</xdr:rowOff>
                  </from>
                  <to>
                    <xdr:col>1195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1195</xdr:col>
                    <xdr:colOff>542925</xdr:colOff>
                    <xdr:row>46</xdr:row>
                    <xdr:rowOff>142875</xdr:rowOff>
                  </from>
                  <to>
                    <xdr:col>1197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1206</xdr:col>
                    <xdr:colOff>447675</xdr:colOff>
                    <xdr:row>46</xdr:row>
                    <xdr:rowOff>142875</xdr:rowOff>
                  </from>
                  <to>
                    <xdr:col>1207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1207</xdr:col>
                    <xdr:colOff>542925</xdr:colOff>
                    <xdr:row>46</xdr:row>
                    <xdr:rowOff>142875</xdr:rowOff>
                  </from>
                  <to>
                    <xdr:col>1209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1218</xdr:col>
                    <xdr:colOff>447675</xdr:colOff>
                    <xdr:row>46</xdr:row>
                    <xdr:rowOff>142875</xdr:rowOff>
                  </from>
                  <to>
                    <xdr:col>1219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1219</xdr:col>
                    <xdr:colOff>542925</xdr:colOff>
                    <xdr:row>46</xdr:row>
                    <xdr:rowOff>142875</xdr:rowOff>
                  </from>
                  <to>
                    <xdr:col>1221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1230</xdr:col>
                    <xdr:colOff>447675</xdr:colOff>
                    <xdr:row>46</xdr:row>
                    <xdr:rowOff>142875</xdr:rowOff>
                  </from>
                  <to>
                    <xdr:col>1231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1231</xdr:col>
                    <xdr:colOff>542925</xdr:colOff>
                    <xdr:row>46</xdr:row>
                    <xdr:rowOff>142875</xdr:rowOff>
                  </from>
                  <to>
                    <xdr:col>1233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1242</xdr:col>
                    <xdr:colOff>447675</xdr:colOff>
                    <xdr:row>46</xdr:row>
                    <xdr:rowOff>142875</xdr:rowOff>
                  </from>
                  <to>
                    <xdr:col>1243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3" name="Check Box 90">
              <controlPr defaultSize="0" autoFill="0" autoLine="0" autoPict="0">
                <anchor moveWithCells="1">
                  <from>
                    <xdr:col>1243</xdr:col>
                    <xdr:colOff>542925</xdr:colOff>
                    <xdr:row>46</xdr:row>
                    <xdr:rowOff>142875</xdr:rowOff>
                  </from>
                  <to>
                    <xdr:col>1245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4" name="Check Box 91">
              <controlPr defaultSize="0" autoFill="0" autoLine="0" autoPict="0">
                <anchor moveWithCells="1">
                  <from>
                    <xdr:col>1254</xdr:col>
                    <xdr:colOff>447675</xdr:colOff>
                    <xdr:row>46</xdr:row>
                    <xdr:rowOff>142875</xdr:rowOff>
                  </from>
                  <to>
                    <xdr:col>1255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5" name="Check Box 92">
              <controlPr defaultSize="0" autoFill="0" autoLine="0" autoPict="0">
                <anchor moveWithCells="1">
                  <from>
                    <xdr:col>1255</xdr:col>
                    <xdr:colOff>542925</xdr:colOff>
                    <xdr:row>46</xdr:row>
                    <xdr:rowOff>142875</xdr:rowOff>
                  </from>
                  <to>
                    <xdr:col>1257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6" name="Check Box 93">
              <controlPr defaultSize="0" autoFill="0" autoLine="0" autoPict="0">
                <anchor moveWithCells="1">
                  <from>
                    <xdr:col>1266</xdr:col>
                    <xdr:colOff>447675</xdr:colOff>
                    <xdr:row>46</xdr:row>
                    <xdr:rowOff>142875</xdr:rowOff>
                  </from>
                  <to>
                    <xdr:col>1267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7" name="Check Box 94">
              <controlPr defaultSize="0" autoFill="0" autoLine="0" autoPict="0">
                <anchor moveWithCells="1">
                  <from>
                    <xdr:col>1267</xdr:col>
                    <xdr:colOff>542925</xdr:colOff>
                    <xdr:row>46</xdr:row>
                    <xdr:rowOff>142875</xdr:rowOff>
                  </from>
                  <to>
                    <xdr:col>1269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8" name="Check Box 95">
              <controlPr defaultSize="0" autoFill="0" autoLine="0" autoPict="0">
                <anchor moveWithCells="1">
                  <from>
                    <xdr:col>1278</xdr:col>
                    <xdr:colOff>447675</xdr:colOff>
                    <xdr:row>46</xdr:row>
                    <xdr:rowOff>142875</xdr:rowOff>
                  </from>
                  <to>
                    <xdr:col>1279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9" name="Check Box 96">
              <controlPr defaultSize="0" autoFill="0" autoLine="0" autoPict="0">
                <anchor moveWithCells="1">
                  <from>
                    <xdr:col>1279</xdr:col>
                    <xdr:colOff>542925</xdr:colOff>
                    <xdr:row>46</xdr:row>
                    <xdr:rowOff>142875</xdr:rowOff>
                  </from>
                  <to>
                    <xdr:col>1281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00" name="Check Box 97">
              <controlPr defaultSize="0" autoFill="0" autoLine="0" autoPict="0">
                <anchor moveWithCells="1">
                  <from>
                    <xdr:col>1290</xdr:col>
                    <xdr:colOff>447675</xdr:colOff>
                    <xdr:row>46</xdr:row>
                    <xdr:rowOff>142875</xdr:rowOff>
                  </from>
                  <to>
                    <xdr:col>1291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1" name="Check Box 98">
              <controlPr defaultSize="0" autoFill="0" autoLine="0" autoPict="0">
                <anchor moveWithCells="1">
                  <from>
                    <xdr:col>1291</xdr:col>
                    <xdr:colOff>542925</xdr:colOff>
                    <xdr:row>46</xdr:row>
                    <xdr:rowOff>142875</xdr:rowOff>
                  </from>
                  <to>
                    <xdr:col>1293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2" name="Check Box 99">
              <controlPr defaultSize="0" autoFill="0" autoLine="0" autoPict="0">
                <anchor moveWithCells="1">
                  <from>
                    <xdr:col>1302</xdr:col>
                    <xdr:colOff>447675</xdr:colOff>
                    <xdr:row>46</xdr:row>
                    <xdr:rowOff>142875</xdr:rowOff>
                  </from>
                  <to>
                    <xdr:col>1303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3" name="Check Box 100">
              <controlPr defaultSize="0" autoFill="0" autoLine="0" autoPict="0">
                <anchor moveWithCells="1">
                  <from>
                    <xdr:col>1303</xdr:col>
                    <xdr:colOff>542925</xdr:colOff>
                    <xdr:row>46</xdr:row>
                    <xdr:rowOff>142875</xdr:rowOff>
                  </from>
                  <to>
                    <xdr:col>1305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4" name="Check Box 101">
              <controlPr defaultSize="0" autoFill="0" autoLine="0" autoPict="0">
                <anchor moveWithCells="1">
                  <from>
                    <xdr:col>1314</xdr:col>
                    <xdr:colOff>447675</xdr:colOff>
                    <xdr:row>46</xdr:row>
                    <xdr:rowOff>142875</xdr:rowOff>
                  </from>
                  <to>
                    <xdr:col>1315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5" name="Check Box 102">
              <controlPr defaultSize="0" autoFill="0" autoLine="0" autoPict="0">
                <anchor moveWithCells="1">
                  <from>
                    <xdr:col>1315</xdr:col>
                    <xdr:colOff>542925</xdr:colOff>
                    <xdr:row>46</xdr:row>
                    <xdr:rowOff>142875</xdr:rowOff>
                  </from>
                  <to>
                    <xdr:col>1317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6" name="Check Box 103">
              <controlPr defaultSize="0" autoFill="0" autoLine="0" autoPict="0">
                <anchor moveWithCells="1">
                  <from>
                    <xdr:col>1326</xdr:col>
                    <xdr:colOff>447675</xdr:colOff>
                    <xdr:row>46</xdr:row>
                    <xdr:rowOff>142875</xdr:rowOff>
                  </from>
                  <to>
                    <xdr:col>1327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7" name="Check Box 104">
              <controlPr defaultSize="0" autoFill="0" autoLine="0" autoPict="0">
                <anchor moveWithCells="1">
                  <from>
                    <xdr:col>1327</xdr:col>
                    <xdr:colOff>542925</xdr:colOff>
                    <xdr:row>46</xdr:row>
                    <xdr:rowOff>142875</xdr:rowOff>
                  </from>
                  <to>
                    <xdr:col>1329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8" name="Check Box 105">
              <controlPr defaultSize="0" autoFill="0" autoLine="0" autoPict="0">
                <anchor moveWithCells="1">
                  <from>
                    <xdr:col>1338</xdr:col>
                    <xdr:colOff>447675</xdr:colOff>
                    <xdr:row>46</xdr:row>
                    <xdr:rowOff>142875</xdr:rowOff>
                  </from>
                  <to>
                    <xdr:col>1339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9" name="Check Box 106">
              <controlPr defaultSize="0" autoFill="0" autoLine="0" autoPict="0">
                <anchor moveWithCells="1">
                  <from>
                    <xdr:col>1339</xdr:col>
                    <xdr:colOff>542925</xdr:colOff>
                    <xdr:row>46</xdr:row>
                    <xdr:rowOff>142875</xdr:rowOff>
                  </from>
                  <to>
                    <xdr:col>1341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10" name="Check Box 107">
              <controlPr defaultSize="0" autoFill="0" autoLine="0" autoPict="0">
                <anchor moveWithCells="1">
                  <from>
                    <xdr:col>1350</xdr:col>
                    <xdr:colOff>447675</xdr:colOff>
                    <xdr:row>46</xdr:row>
                    <xdr:rowOff>142875</xdr:rowOff>
                  </from>
                  <to>
                    <xdr:col>1351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1" name="Check Box 108">
              <controlPr defaultSize="0" autoFill="0" autoLine="0" autoPict="0">
                <anchor moveWithCells="1">
                  <from>
                    <xdr:col>1351</xdr:col>
                    <xdr:colOff>542925</xdr:colOff>
                    <xdr:row>46</xdr:row>
                    <xdr:rowOff>142875</xdr:rowOff>
                  </from>
                  <to>
                    <xdr:col>1353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2" name="Check Box 109">
              <controlPr defaultSize="0" autoFill="0" autoLine="0" autoPict="0">
                <anchor moveWithCells="1">
                  <from>
                    <xdr:col>1362</xdr:col>
                    <xdr:colOff>447675</xdr:colOff>
                    <xdr:row>46</xdr:row>
                    <xdr:rowOff>142875</xdr:rowOff>
                  </from>
                  <to>
                    <xdr:col>1363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3" name="Check Box 110">
              <controlPr defaultSize="0" autoFill="0" autoLine="0" autoPict="0">
                <anchor moveWithCells="1">
                  <from>
                    <xdr:col>1363</xdr:col>
                    <xdr:colOff>542925</xdr:colOff>
                    <xdr:row>46</xdr:row>
                    <xdr:rowOff>142875</xdr:rowOff>
                  </from>
                  <to>
                    <xdr:col>1365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4" name="Check Box 111">
              <controlPr defaultSize="0" autoFill="0" autoLine="0" autoPict="0">
                <anchor moveWithCells="1">
                  <from>
                    <xdr:col>1374</xdr:col>
                    <xdr:colOff>447675</xdr:colOff>
                    <xdr:row>46</xdr:row>
                    <xdr:rowOff>142875</xdr:rowOff>
                  </from>
                  <to>
                    <xdr:col>1375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5" name="Check Box 112">
              <controlPr defaultSize="0" autoFill="0" autoLine="0" autoPict="0">
                <anchor moveWithCells="1">
                  <from>
                    <xdr:col>1375</xdr:col>
                    <xdr:colOff>542925</xdr:colOff>
                    <xdr:row>46</xdr:row>
                    <xdr:rowOff>142875</xdr:rowOff>
                  </from>
                  <to>
                    <xdr:col>1377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6" name="Check Box 113">
              <controlPr defaultSize="0" autoFill="0" autoLine="0" autoPict="0">
                <anchor moveWithCells="1">
                  <from>
                    <xdr:col>1386</xdr:col>
                    <xdr:colOff>447675</xdr:colOff>
                    <xdr:row>46</xdr:row>
                    <xdr:rowOff>142875</xdr:rowOff>
                  </from>
                  <to>
                    <xdr:col>1387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7" name="Check Box 114">
              <controlPr defaultSize="0" autoFill="0" autoLine="0" autoPict="0">
                <anchor moveWithCells="1">
                  <from>
                    <xdr:col>1387</xdr:col>
                    <xdr:colOff>542925</xdr:colOff>
                    <xdr:row>46</xdr:row>
                    <xdr:rowOff>142875</xdr:rowOff>
                  </from>
                  <to>
                    <xdr:col>1389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8" name="Check Box 115">
              <controlPr defaultSize="0" autoFill="0" autoLine="0" autoPict="0">
                <anchor moveWithCells="1">
                  <from>
                    <xdr:col>1398</xdr:col>
                    <xdr:colOff>447675</xdr:colOff>
                    <xdr:row>46</xdr:row>
                    <xdr:rowOff>142875</xdr:rowOff>
                  </from>
                  <to>
                    <xdr:col>1399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9" name="Check Box 116">
              <controlPr defaultSize="0" autoFill="0" autoLine="0" autoPict="0">
                <anchor moveWithCells="1">
                  <from>
                    <xdr:col>1399</xdr:col>
                    <xdr:colOff>542925</xdr:colOff>
                    <xdr:row>46</xdr:row>
                    <xdr:rowOff>142875</xdr:rowOff>
                  </from>
                  <to>
                    <xdr:col>1401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0" name="Check Box 117">
              <controlPr defaultSize="0" autoFill="0" autoLine="0" autoPict="0">
                <anchor moveWithCells="1">
                  <from>
                    <xdr:col>1410</xdr:col>
                    <xdr:colOff>447675</xdr:colOff>
                    <xdr:row>46</xdr:row>
                    <xdr:rowOff>142875</xdr:rowOff>
                  </from>
                  <to>
                    <xdr:col>1411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1" name="Check Box 118">
              <controlPr defaultSize="0" autoFill="0" autoLine="0" autoPict="0">
                <anchor moveWithCells="1">
                  <from>
                    <xdr:col>1411</xdr:col>
                    <xdr:colOff>542925</xdr:colOff>
                    <xdr:row>46</xdr:row>
                    <xdr:rowOff>142875</xdr:rowOff>
                  </from>
                  <to>
                    <xdr:col>1413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2" name="Check Box 119">
              <controlPr defaultSize="0" autoFill="0" autoLine="0" autoPict="0">
                <anchor moveWithCells="1">
                  <from>
                    <xdr:col>1422</xdr:col>
                    <xdr:colOff>447675</xdr:colOff>
                    <xdr:row>46</xdr:row>
                    <xdr:rowOff>142875</xdr:rowOff>
                  </from>
                  <to>
                    <xdr:col>1423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3" name="Check Box 120">
              <controlPr defaultSize="0" autoFill="0" autoLine="0" autoPict="0">
                <anchor moveWithCells="1">
                  <from>
                    <xdr:col>1423</xdr:col>
                    <xdr:colOff>542925</xdr:colOff>
                    <xdr:row>46</xdr:row>
                    <xdr:rowOff>142875</xdr:rowOff>
                  </from>
                  <to>
                    <xdr:col>1425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4" name="Check Box 121">
              <controlPr defaultSize="0" autoFill="0" autoLine="0" autoPict="0">
                <anchor moveWithCells="1">
                  <from>
                    <xdr:col>1434</xdr:col>
                    <xdr:colOff>447675</xdr:colOff>
                    <xdr:row>46</xdr:row>
                    <xdr:rowOff>142875</xdr:rowOff>
                  </from>
                  <to>
                    <xdr:col>1435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5" name="Check Box 122">
              <controlPr defaultSize="0" autoFill="0" autoLine="0" autoPict="0">
                <anchor moveWithCells="1">
                  <from>
                    <xdr:col>1435</xdr:col>
                    <xdr:colOff>542925</xdr:colOff>
                    <xdr:row>46</xdr:row>
                    <xdr:rowOff>142875</xdr:rowOff>
                  </from>
                  <to>
                    <xdr:col>1437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6" name="Check Box 123">
              <controlPr defaultSize="0" autoFill="0" autoLine="0" autoPict="0">
                <anchor moveWithCells="1">
                  <from>
                    <xdr:col>1446</xdr:col>
                    <xdr:colOff>447675</xdr:colOff>
                    <xdr:row>46</xdr:row>
                    <xdr:rowOff>142875</xdr:rowOff>
                  </from>
                  <to>
                    <xdr:col>1447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7" name="Check Box 124">
              <controlPr defaultSize="0" autoFill="0" autoLine="0" autoPict="0">
                <anchor moveWithCells="1">
                  <from>
                    <xdr:col>1447</xdr:col>
                    <xdr:colOff>542925</xdr:colOff>
                    <xdr:row>46</xdr:row>
                    <xdr:rowOff>142875</xdr:rowOff>
                  </from>
                  <to>
                    <xdr:col>1449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8" name="Check Box 125">
              <controlPr defaultSize="0" autoFill="0" autoLine="0" autoPict="0">
                <anchor moveWithCells="1">
                  <from>
                    <xdr:col>1458</xdr:col>
                    <xdr:colOff>447675</xdr:colOff>
                    <xdr:row>46</xdr:row>
                    <xdr:rowOff>142875</xdr:rowOff>
                  </from>
                  <to>
                    <xdr:col>1459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9" name="Check Box 126">
              <controlPr defaultSize="0" autoFill="0" autoLine="0" autoPict="0">
                <anchor moveWithCells="1">
                  <from>
                    <xdr:col>1459</xdr:col>
                    <xdr:colOff>542925</xdr:colOff>
                    <xdr:row>46</xdr:row>
                    <xdr:rowOff>142875</xdr:rowOff>
                  </from>
                  <to>
                    <xdr:col>1461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30" name="Check Box 127">
              <controlPr defaultSize="0" autoFill="0" autoLine="0" autoPict="0">
                <anchor moveWithCells="1">
                  <from>
                    <xdr:col>1470</xdr:col>
                    <xdr:colOff>447675</xdr:colOff>
                    <xdr:row>46</xdr:row>
                    <xdr:rowOff>142875</xdr:rowOff>
                  </from>
                  <to>
                    <xdr:col>1471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1" name="Check Box 128">
              <controlPr defaultSize="0" autoFill="0" autoLine="0" autoPict="0">
                <anchor moveWithCells="1">
                  <from>
                    <xdr:col>1471</xdr:col>
                    <xdr:colOff>542925</xdr:colOff>
                    <xdr:row>46</xdr:row>
                    <xdr:rowOff>142875</xdr:rowOff>
                  </from>
                  <to>
                    <xdr:col>1473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2" name="Check Box 129">
              <controlPr defaultSize="0" autoFill="0" autoLine="0" autoPict="0">
                <anchor moveWithCells="1">
                  <from>
                    <xdr:col>1482</xdr:col>
                    <xdr:colOff>447675</xdr:colOff>
                    <xdr:row>46</xdr:row>
                    <xdr:rowOff>142875</xdr:rowOff>
                  </from>
                  <to>
                    <xdr:col>1483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3" name="Check Box 130">
              <controlPr defaultSize="0" autoFill="0" autoLine="0" autoPict="0">
                <anchor moveWithCells="1">
                  <from>
                    <xdr:col>1483</xdr:col>
                    <xdr:colOff>542925</xdr:colOff>
                    <xdr:row>46</xdr:row>
                    <xdr:rowOff>142875</xdr:rowOff>
                  </from>
                  <to>
                    <xdr:col>1485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4" name="Check Box 131">
              <controlPr defaultSize="0" autoFill="0" autoLine="0" autoPict="0">
                <anchor moveWithCells="1">
                  <from>
                    <xdr:col>1494</xdr:col>
                    <xdr:colOff>447675</xdr:colOff>
                    <xdr:row>46</xdr:row>
                    <xdr:rowOff>142875</xdr:rowOff>
                  </from>
                  <to>
                    <xdr:col>1495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5" name="Check Box 132">
              <controlPr defaultSize="0" autoFill="0" autoLine="0" autoPict="0">
                <anchor moveWithCells="1">
                  <from>
                    <xdr:col>1495</xdr:col>
                    <xdr:colOff>542925</xdr:colOff>
                    <xdr:row>46</xdr:row>
                    <xdr:rowOff>142875</xdr:rowOff>
                  </from>
                  <to>
                    <xdr:col>1497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6" name="Check Box 133">
              <controlPr defaultSize="0" autoFill="0" autoLine="0" autoPict="0">
                <anchor moveWithCells="1">
                  <from>
                    <xdr:col>1506</xdr:col>
                    <xdr:colOff>447675</xdr:colOff>
                    <xdr:row>46</xdr:row>
                    <xdr:rowOff>142875</xdr:rowOff>
                  </from>
                  <to>
                    <xdr:col>1507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7" name="Check Box 134">
              <controlPr defaultSize="0" autoFill="0" autoLine="0" autoPict="0">
                <anchor moveWithCells="1">
                  <from>
                    <xdr:col>1507</xdr:col>
                    <xdr:colOff>542925</xdr:colOff>
                    <xdr:row>46</xdr:row>
                    <xdr:rowOff>142875</xdr:rowOff>
                  </from>
                  <to>
                    <xdr:col>1509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8" name="Check Box 135">
              <controlPr defaultSize="0" autoFill="0" autoLine="0" autoPict="0">
                <anchor moveWithCells="1">
                  <from>
                    <xdr:col>1518</xdr:col>
                    <xdr:colOff>447675</xdr:colOff>
                    <xdr:row>46</xdr:row>
                    <xdr:rowOff>142875</xdr:rowOff>
                  </from>
                  <to>
                    <xdr:col>1519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9" name="Check Box 136">
              <controlPr defaultSize="0" autoFill="0" autoLine="0" autoPict="0">
                <anchor moveWithCells="1">
                  <from>
                    <xdr:col>1519</xdr:col>
                    <xdr:colOff>542925</xdr:colOff>
                    <xdr:row>46</xdr:row>
                    <xdr:rowOff>142875</xdr:rowOff>
                  </from>
                  <to>
                    <xdr:col>1521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40" name="Check Box 137">
              <controlPr defaultSize="0" autoFill="0" autoLine="0" autoPict="0">
                <anchor moveWithCells="1">
                  <from>
                    <xdr:col>1530</xdr:col>
                    <xdr:colOff>447675</xdr:colOff>
                    <xdr:row>46</xdr:row>
                    <xdr:rowOff>142875</xdr:rowOff>
                  </from>
                  <to>
                    <xdr:col>1531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1" name="Check Box 138">
              <controlPr defaultSize="0" autoFill="0" autoLine="0" autoPict="0">
                <anchor moveWithCells="1">
                  <from>
                    <xdr:col>1531</xdr:col>
                    <xdr:colOff>542925</xdr:colOff>
                    <xdr:row>46</xdr:row>
                    <xdr:rowOff>142875</xdr:rowOff>
                  </from>
                  <to>
                    <xdr:col>1533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2" name="Check Box 139">
              <controlPr defaultSize="0" autoFill="0" autoLine="0" autoPict="0">
                <anchor moveWithCells="1">
                  <from>
                    <xdr:col>1542</xdr:col>
                    <xdr:colOff>447675</xdr:colOff>
                    <xdr:row>46</xdr:row>
                    <xdr:rowOff>142875</xdr:rowOff>
                  </from>
                  <to>
                    <xdr:col>1543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3" name="Check Box 140">
              <controlPr defaultSize="0" autoFill="0" autoLine="0" autoPict="0">
                <anchor moveWithCells="1">
                  <from>
                    <xdr:col>1543</xdr:col>
                    <xdr:colOff>542925</xdr:colOff>
                    <xdr:row>46</xdr:row>
                    <xdr:rowOff>142875</xdr:rowOff>
                  </from>
                  <to>
                    <xdr:col>1545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4" name="Check Box 141">
              <controlPr defaultSize="0" autoFill="0" autoLine="0" autoPict="0">
                <anchor moveWithCells="1">
                  <from>
                    <xdr:col>1554</xdr:col>
                    <xdr:colOff>447675</xdr:colOff>
                    <xdr:row>46</xdr:row>
                    <xdr:rowOff>142875</xdr:rowOff>
                  </from>
                  <to>
                    <xdr:col>1555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5" name="Check Box 142">
              <controlPr defaultSize="0" autoFill="0" autoLine="0" autoPict="0">
                <anchor moveWithCells="1">
                  <from>
                    <xdr:col>1555</xdr:col>
                    <xdr:colOff>542925</xdr:colOff>
                    <xdr:row>46</xdr:row>
                    <xdr:rowOff>142875</xdr:rowOff>
                  </from>
                  <to>
                    <xdr:col>1557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6" name="Check Box 143">
              <controlPr defaultSize="0" autoFill="0" autoLine="0" autoPict="0">
                <anchor moveWithCells="1">
                  <from>
                    <xdr:col>1566</xdr:col>
                    <xdr:colOff>447675</xdr:colOff>
                    <xdr:row>46</xdr:row>
                    <xdr:rowOff>142875</xdr:rowOff>
                  </from>
                  <to>
                    <xdr:col>1567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7" name="Check Box 144">
              <controlPr defaultSize="0" autoFill="0" autoLine="0" autoPict="0">
                <anchor moveWithCells="1">
                  <from>
                    <xdr:col>1567</xdr:col>
                    <xdr:colOff>542925</xdr:colOff>
                    <xdr:row>46</xdr:row>
                    <xdr:rowOff>142875</xdr:rowOff>
                  </from>
                  <to>
                    <xdr:col>1569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8" name="Check Box 145">
              <controlPr defaultSize="0" autoFill="0" autoLine="0" autoPict="0">
                <anchor moveWithCells="1">
                  <from>
                    <xdr:col>1578</xdr:col>
                    <xdr:colOff>447675</xdr:colOff>
                    <xdr:row>46</xdr:row>
                    <xdr:rowOff>142875</xdr:rowOff>
                  </from>
                  <to>
                    <xdr:col>1579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9" name="Check Box 146">
              <controlPr defaultSize="0" autoFill="0" autoLine="0" autoPict="0">
                <anchor moveWithCells="1">
                  <from>
                    <xdr:col>1579</xdr:col>
                    <xdr:colOff>542925</xdr:colOff>
                    <xdr:row>46</xdr:row>
                    <xdr:rowOff>142875</xdr:rowOff>
                  </from>
                  <to>
                    <xdr:col>1581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50" name="Check Box 147">
              <controlPr defaultSize="0" autoFill="0" autoLine="0" autoPict="0">
                <anchor moveWithCells="1">
                  <from>
                    <xdr:col>1590</xdr:col>
                    <xdr:colOff>447675</xdr:colOff>
                    <xdr:row>46</xdr:row>
                    <xdr:rowOff>142875</xdr:rowOff>
                  </from>
                  <to>
                    <xdr:col>1591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1" name="Check Box 148">
              <controlPr defaultSize="0" autoFill="0" autoLine="0" autoPict="0">
                <anchor moveWithCells="1">
                  <from>
                    <xdr:col>1591</xdr:col>
                    <xdr:colOff>542925</xdr:colOff>
                    <xdr:row>46</xdr:row>
                    <xdr:rowOff>142875</xdr:rowOff>
                  </from>
                  <to>
                    <xdr:col>1593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2" name="Check Box 149">
              <controlPr defaultSize="0" autoFill="0" autoLine="0" autoPict="0">
                <anchor moveWithCells="1">
                  <from>
                    <xdr:col>1602</xdr:col>
                    <xdr:colOff>447675</xdr:colOff>
                    <xdr:row>46</xdr:row>
                    <xdr:rowOff>142875</xdr:rowOff>
                  </from>
                  <to>
                    <xdr:col>1603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3" name="Check Box 150">
              <controlPr defaultSize="0" autoFill="0" autoLine="0" autoPict="0">
                <anchor moveWithCells="1">
                  <from>
                    <xdr:col>1603</xdr:col>
                    <xdr:colOff>542925</xdr:colOff>
                    <xdr:row>46</xdr:row>
                    <xdr:rowOff>142875</xdr:rowOff>
                  </from>
                  <to>
                    <xdr:col>1605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4" name="Check Box 151">
              <controlPr defaultSize="0" autoFill="0" autoLine="0" autoPict="0">
                <anchor moveWithCells="1">
                  <from>
                    <xdr:col>1614</xdr:col>
                    <xdr:colOff>447675</xdr:colOff>
                    <xdr:row>46</xdr:row>
                    <xdr:rowOff>142875</xdr:rowOff>
                  </from>
                  <to>
                    <xdr:col>1615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5" name="Check Box 152">
              <controlPr defaultSize="0" autoFill="0" autoLine="0" autoPict="0">
                <anchor moveWithCells="1">
                  <from>
                    <xdr:col>1615</xdr:col>
                    <xdr:colOff>542925</xdr:colOff>
                    <xdr:row>46</xdr:row>
                    <xdr:rowOff>142875</xdr:rowOff>
                  </from>
                  <to>
                    <xdr:col>1617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6" name="Check Box 153">
              <controlPr defaultSize="0" autoFill="0" autoLine="0" autoPict="0">
                <anchor moveWithCells="1">
                  <from>
                    <xdr:col>1626</xdr:col>
                    <xdr:colOff>447675</xdr:colOff>
                    <xdr:row>46</xdr:row>
                    <xdr:rowOff>142875</xdr:rowOff>
                  </from>
                  <to>
                    <xdr:col>1627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7" name="Check Box 154">
              <controlPr defaultSize="0" autoFill="0" autoLine="0" autoPict="0">
                <anchor moveWithCells="1">
                  <from>
                    <xdr:col>1627</xdr:col>
                    <xdr:colOff>542925</xdr:colOff>
                    <xdr:row>46</xdr:row>
                    <xdr:rowOff>142875</xdr:rowOff>
                  </from>
                  <to>
                    <xdr:col>1629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8" name="Check Box 155">
              <controlPr defaultSize="0" autoFill="0" autoLine="0" autoPict="0">
                <anchor moveWithCells="1">
                  <from>
                    <xdr:col>1638</xdr:col>
                    <xdr:colOff>447675</xdr:colOff>
                    <xdr:row>46</xdr:row>
                    <xdr:rowOff>142875</xdr:rowOff>
                  </from>
                  <to>
                    <xdr:col>1639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9" name="Check Box 156">
              <controlPr defaultSize="0" autoFill="0" autoLine="0" autoPict="0">
                <anchor moveWithCells="1">
                  <from>
                    <xdr:col>1639</xdr:col>
                    <xdr:colOff>542925</xdr:colOff>
                    <xdr:row>46</xdr:row>
                    <xdr:rowOff>142875</xdr:rowOff>
                  </from>
                  <to>
                    <xdr:col>1641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60" name="Check Box 157">
              <controlPr defaultSize="0" autoFill="0" autoLine="0" autoPict="0">
                <anchor moveWithCells="1">
                  <from>
                    <xdr:col>1650</xdr:col>
                    <xdr:colOff>447675</xdr:colOff>
                    <xdr:row>46</xdr:row>
                    <xdr:rowOff>142875</xdr:rowOff>
                  </from>
                  <to>
                    <xdr:col>1651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1" name="Check Box 158">
              <controlPr defaultSize="0" autoFill="0" autoLine="0" autoPict="0">
                <anchor moveWithCells="1">
                  <from>
                    <xdr:col>1651</xdr:col>
                    <xdr:colOff>542925</xdr:colOff>
                    <xdr:row>46</xdr:row>
                    <xdr:rowOff>142875</xdr:rowOff>
                  </from>
                  <to>
                    <xdr:col>1653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2" name="Check Box 159">
              <controlPr defaultSize="0" autoFill="0" autoLine="0" autoPict="0">
                <anchor moveWithCells="1">
                  <from>
                    <xdr:col>1662</xdr:col>
                    <xdr:colOff>447675</xdr:colOff>
                    <xdr:row>46</xdr:row>
                    <xdr:rowOff>142875</xdr:rowOff>
                  </from>
                  <to>
                    <xdr:col>1663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3" name="Check Box 160">
              <controlPr defaultSize="0" autoFill="0" autoLine="0" autoPict="0">
                <anchor moveWithCells="1">
                  <from>
                    <xdr:col>1663</xdr:col>
                    <xdr:colOff>542925</xdr:colOff>
                    <xdr:row>46</xdr:row>
                    <xdr:rowOff>142875</xdr:rowOff>
                  </from>
                  <to>
                    <xdr:col>1665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4" name="Check Box 161">
              <controlPr defaultSize="0" autoFill="0" autoLine="0" autoPict="0">
                <anchor moveWithCells="1">
                  <from>
                    <xdr:col>1674</xdr:col>
                    <xdr:colOff>447675</xdr:colOff>
                    <xdr:row>46</xdr:row>
                    <xdr:rowOff>142875</xdr:rowOff>
                  </from>
                  <to>
                    <xdr:col>1675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5" name="Check Box 162">
              <controlPr defaultSize="0" autoFill="0" autoLine="0" autoPict="0">
                <anchor moveWithCells="1">
                  <from>
                    <xdr:col>1675</xdr:col>
                    <xdr:colOff>542925</xdr:colOff>
                    <xdr:row>46</xdr:row>
                    <xdr:rowOff>142875</xdr:rowOff>
                  </from>
                  <to>
                    <xdr:col>1677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6" name="Check Box 163">
              <controlPr defaultSize="0" autoFill="0" autoLine="0" autoPict="0">
                <anchor moveWithCells="1">
                  <from>
                    <xdr:col>1686</xdr:col>
                    <xdr:colOff>447675</xdr:colOff>
                    <xdr:row>46</xdr:row>
                    <xdr:rowOff>142875</xdr:rowOff>
                  </from>
                  <to>
                    <xdr:col>1687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7" name="Check Box 164">
              <controlPr defaultSize="0" autoFill="0" autoLine="0" autoPict="0">
                <anchor moveWithCells="1">
                  <from>
                    <xdr:col>1687</xdr:col>
                    <xdr:colOff>542925</xdr:colOff>
                    <xdr:row>46</xdr:row>
                    <xdr:rowOff>142875</xdr:rowOff>
                  </from>
                  <to>
                    <xdr:col>1689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8" name="Check Box 165">
              <controlPr defaultSize="0" autoFill="0" autoLine="0" autoPict="0">
                <anchor moveWithCells="1">
                  <from>
                    <xdr:col>1698</xdr:col>
                    <xdr:colOff>447675</xdr:colOff>
                    <xdr:row>46</xdr:row>
                    <xdr:rowOff>142875</xdr:rowOff>
                  </from>
                  <to>
                    <xdr:col>1699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9" name="Check Box 166">
              <controlPr defaultSize="0" autoFill="0" autoLine="0" autoPict="0">
                <anchor moveWithCells="1">
                  <from>
                    <xdr:col>1699</xdr:col>
                    <xdr:colOff>542925</xdr:colOff>
                    <xdr:row>46</xdr:row>
                    <xdr:rowOff>142875</xdr:rowOff>
                  </from>
                  <to>
                    <xdr:col>1701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70" name="Check Box 167">
              <controlPr defaultSize="0" autoFill="0" autoLine="0" autoPict="0">
                <anchor moveWithCells="1">
                  <from>
                    <xdr:col>1710</xdr:col>
                    <xdr:colOff>447675</xdr:colOff>
                    <xdr:row>46</xdr:row>
                    <xdr:rowOff>142875</xdr:rowOff>
                  </from>
                  <to>
                    <xdr:col>1711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1" name="Check Box 168">
              <controlPr defaultSize="0" autoFill="0" autoLine="0" autoPict="0">
                <anchor moveWithCells="1">
                  <from>
                    <xdr:col>1711</xdr:col>
                    <xdr:colOff>542925</xdr:colOff>
                    <xdr:row>46</xdr:row>
                    <xdr:rowOff>142875</xdr:rowOff>
                  </from>
                  <to>
                    <xdr:col>1713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2" name="Check Box 169">
              <controlPr defaultSize="0" autoFill="0" autoLine="0" autoPict="0">
                <anchor moveWithCells="1">
                  <from>
                    <xdr:col>1722</xdr:col>
                    <xdr:colOff>447675</xdr:colOff>
                    <xdr:row>46</xdr:row>
                    <xdr:rowOff>142875</xdr:rowOff>
                  </from>
                  <to>
                    <xdr:col>1723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3" name="Check Box 170">
              <controlPr defaultSize="0" autoFill="0" autoLine="0" autoPict="0">
                <anchor moveWithCells="1">
                  <from>
                    <xdr:col>1723</xdr:col>
                    <xdr:colOff>542925</xdr:colOff>
                    <xdr:row>46</xdr:row>
                    <xdr:rowOff>142875</xdr:rowOff>
                  </from>
                  <to>
                    <xdr:col>1725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4" name="Check Box 171">
              <controlPr defaultSize="0" autoFill="0" autoLine="0" autoPict="0">
                <anchor moveWithCells="1">
                  <from>
                    <xdr:col>1734</xdr:col>
                    <xdr:colOff>447675</xdr:colOff>
                    <xdr:row>46</xdr:row>
                    <xdr:rowOff>142875</xdr:rowOff>
                  </from>
                  <to>
                    <xdr:col>1735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5" name="Check Box 172">
              <controlPr defaultSize="0" autoFill="0" autoLine="0" autoPict="0">
                <anchor moveWithCells="1">
                  <from>
                    <xdr:col>1735</xdr:col>
                    <xdr:colOff>542925</xdr:colOff>
                    <xdr:row>46</xdr:row>
                    <xdr:rowOff>142875</xdr:rowOff>
                  </from>
                  <to>
                    <xdr:col>1737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6" name="Check Box 173">
              <controlPr defaultSize="0" autoFill="0" autoLine="0" autoPict="0">
                <anchor moveWithCells="1">
                  <from>
                    <xdr:col>1746</xdr:col>
                    <xdr:colOff>447675</xdr:colOff>
                    <xdr:row>46</xdr:row>
                    <xdr:rowOff>142875</xdr:rowOff>
                  </from>
                  <to>
                    <xdr:col>1747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7" name="Check Box 174">
              <controlPr defaultSize="0" autoFill="0" autoLine="0" autoPict="0">
                <anchor moveWithCells="1">
                  <from>
                    <xdr:col>1747</xdr:col>
                    <xdr:colOff>542925</xdr:colOff>
                    <xdr:row>46</xdr:row>
                    <xdr:rowOff>142875</xdr:rowOff>
                  </from>
                  <to>
                    <xdr:col>1749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8" name="Check Box 175">
              <controlPr defaultSize="0" autoFill="0" autoLine="0" autoPict="0">
                <anchor moveWithCells="1">
                  <from>
                    <xdr:col>1758</xdr:col>
                    <xdr:colOff>447675</xdr:colOff>
                    <xdr:row>46</xdr:row>
                    <xdr:rowOff>142875</xdr:rowOff>
                  </from>
                  <to>
                    <xdr:col>1759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9" name="Check Box 176">
              <controlPr defaultSize="0" autoFill="0" autoLine="0" autoPict="0">
                <anchor moveWithCells="1">
                  <from>
                    <xdr:col>1759</xdr:col>
                    <xdr:colOff>542925</xdr:colOff>
                    <xdr:row>46</xdr:row>
                    <xdr:rowOff>142875</xdr:rowOff>
                  </from>
                  <to>
                    <xdr:col>1761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80" name="Check Box 177">
              <controlPr defaultSize="0" autoFill="0" autoLine="0" autoPict="0">
                <anchor moveWithCells="1">
                  <from>
                    <xdr:col>1770</xdr:col>
                    <xdr:colOff>447675</xdr:colOff>
                    <xdr:row>46</xdr:row>
                    <xdr:rowOff>142875</xdr:rowOff>
                  </from>
                  <to>
                    <xdr:col>1771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1" name="Check Box 178">
              <controlPr defaultSize="0" autoFill="0" autoLine="0" autoPict="0">
                <anchor moveWithCells="1">
                  <from>
                    <xdr:col>1771</xdr:col>
                    <xdr:colOff>542925</xdr:colOff>
                    <xdr:row>46</xdr:row>
                    <xdr:rowOff>142875</xdr:rowOff>
                  </from>
                  <to>
                    <xdr:col>1773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2" name="Check Box 179">
              <controlPr defaultSize="0" autoFill="0" autoLine="0" autoPict="0">
                <anchor moveWithCells="1">
                  <from>
                    <xdr:col>1782</xdr:col>
                    <xdr:colOff>447675</xdr:colOff>
                    <xdr:row>46</xdr:row>
                    <xdr:rowOff>142875</xdr:rowOff>
                  </from>
                  <to>
                    <xdr:col>1783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3" name="Check Box 180">
              <controlPr defaultSize="0" autoFill="0" autoLine="0" autoPict="0">
                <anchor moveWithCells="1">
                  <from>
                    <xdr:col>1783</xdr:col>
                    <xdr:colOff>542925</xdr:colOff>
                    <xdr:row>46</xdr:row>
                    <xdr:rowOff>142875</xdr:rowOff>
                  </from>
                  <to>
                    <xdr:col>1785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4" name="Check Box 181">
              <controlPr defaultSize="0" autoFill="0" autoLine="0" autoPict="0">
                <anchor moveWithCells="1">
                  <from>
                    <xdr:col>1794</xdr:col>
                    <xdr:colOff>447675</xdr:colOff>
                    <xdr:row>46</xdr:row>
                    <xdr:rowOff>142875</xdr:rowOff>
                  </from>
                  <to>
                    <xdr:col>1795</xdr:col>
                    <xdr:colOff>285750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5" name="Check Box 182">
              <controlPr defaultSize="0" autoFill="0" autoLine="0" autoPict="0">
                <anchor moveWithCells="1">
                  <from>
                    <xdr:col>1795</xdr:col>
                    <xdr:colOff>542925</xdr:colOff>
                    <xdr:row>46</xdr:row>
                    <xdr:rowOff>142875</xdr:rowOff>
                  </from>
                  <to>
                    <xdr:col>1797</xdr:col>
                    <xdr:colOff>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6" name="Check Box 183">
              <controlPr defaultSize="0" autoFill="0" autoLine="0" autoPict="0">
                <anchor moveWithCells="1">
                  <from>
                    <xdr:col>1806</xdr:col>
                    <xdr:colOff>447675</xdr:colOff>
                    <xdr:row>46</xdr:row>
                    <xdr:rowOff>142875</xdr:rowOff>
                  </from>
                  <to>
                    <xdr:col>1807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7" name="Check Box 184">
              <controlPr defaultSize="0" autoFill="0" autoLine="0" autoPict="0">
                <anchor moveWithCells="1">
                  <from>
                    <xdr:col>1807</xdr:col>
                    <xdr:colOff>542925</xdr:colOff>
                    <xdr:row>46</xdr:row>
                    <xdr:rowOff>142875</xdr:rowOff>
                  </from>
                  <to>
                    <xdr:col>1808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8" name="Check Box 185">
              <controlPr defaultSize="0" autoFill="0" autoLine="0" autoPict="0">
                <anchor moveWithCells="1">
                  <from>
                    <xdr:col>1818</xdr:col>
                    <xdr:colOff>447675</xdr:colOff>
                    <xdr:row>46</xdr:row>
                    <xdr:rowOff>142875</xdr:rowOff>
                  </from>
                  <to>
                    <xdr:col>1819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9" name="Check Box 186">
              <controlPr defaultSize="0" autoFill="0" autoLine="0" autoPict="0">
                <anchor moveWithCells="1">
                  <from>
                    <xdr:col>1819</xdr:col>
                    <xdr:colOff>542925</xdr:colOff>
                    <xdr:row>46</xdr:row>
                    <xdr:rowOff>142875</xdr:rowOff>
                  </from>
                  <to>
                    <xdr:col>1820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90" name="Check Box 187">
              <controlPr defaultSize="0" autoFill="0" autoLine="0" autoPict="0">
                <anchor moveWithCells="1">
                  <from>
                    <xdr:col>1830</xdr:col>
                    <xdr:colOff>447675</xdr:colOff>
                    <xdr:row>46</xdr:row>
                    <xdr:rowOff>142875</xdr:rowOff>
                  </from>
                  <to>
                    <xdr:col>1831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1" name="Check Box 188">
              <controlPr defaultSize="0" autoFill="0" autoLine="0" autoPict="0">
                <anchor moveWithCells="1">
                  <from>
                    <xdr:col>1831</xdr:col>
                    <xdr:colOff>542925</xdr:colOff>
                    <xdr:row>46</xdr:row>
                    <xdr:rowOff>142875</xdr:rowOff>
                  </from>
                  <to>
                    <xdr:col>1832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2" name="Check Box 189">
              <controlPr defaultSize="0" autoFill="0" autoLine="0" autoPict="0">
                <anchor moveWithCells="1">
                  <from>
                    <xdr:col>1842</xdr:col>
                    <xdr:colOff>447675</xdr:colOff>
                    <xdr:row>46</xdr:row>
                    <xdr:rowOff>142875</xdr:rowOff>
                  </from>
                  <to>
                    <xdr:col>1843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3" name="Check Box 190">
              <controlPr defaultSize="0" autoFill="0" autoLine="0" autoPict="0">
                <anchor moveWithCells="1">
                  <from>
                    <xdr:col>1843</xdr:col>
                    <xdr:colOff>542925</xdr:colOff>
                    <xdr:row>46</xdr:row>
                    <xdr:rowOff>142875</xdr:rowOff>
                  </from>
                  <to>
                    <xdr:col>1844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4" name="Check Box 191">
              <controlPr defaultSize="0" autoFill="0" autoLine="0" autoPict="0">
                <anchor moveWithCells="1">
                  <from>
                    <xdr:col>1854</xdr:col>
                    <xdr:colOff>447675</xdr:colOff>
                    <xdr:row>46</xdr:row>
                    <xdr:rowOff>142875</xdr:rowOff>
                  </from>
                  <to>
                    <xdr:col>1855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5" name="Check Box 192">
              <controlPr defaultSize="0" autoFill="0" autoLine="0" autoPict="0">
                <anchor moveWithCells="1">
                  <from>
                    <xdr:col>1855</xdr:col>
                    <xdr:colOff>542925</xdr:colOff>
                    <xdr:row>46</xdr:row>
                    <xdr:rowOff>142875</xdr:rowOff>
                  </from>
                  <to>
                    <xdr:col>1856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6" name="Check Box 193">
              <controlPr defaultSize="0" autoFill="0" autoLine="0" autoPict="0">
                <anchor moveWithCells="1">
                  <from>
                    <xdr:col>1866</xdr:col>
                    <xdr:colOff>447675</xdr:colOff>
                    <xdr:row>46</xdr:row>
                    <xdr:rowOff>142875</xdr:rowOff>
                  </from>
                  <to>
                    <xdr:col>1867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7" name="Check Box 194">
              <controlPr defaultSize="0" autoFill="0" autoLine="0" autoPict="0">
                <anchor moveWithCells="1">
                  <from>
                    <xdr:col>1867</xdr:col>
                    <xdr:colOff>542925</xdr:colOff>
                    <xdr:row>46</xdr:row>
                    <xdr:rowOff>142875</xdr:rowOff>
                  </from>
                  <to>
                    <xdr:col>1868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8" name="Check Box 195">
              <controlPr defaultSize="0" autoFill="0" autoLine="0" autoPict="0">
                <anchor moveWithCells="1">
                  <from>
                    <xdr:col>1878</xdr:col>
                    <xdr:colOff>447675</xdr:colOff>
                    <xdr:row>46</xdr:row>
                    <xdr:rowOff>142875</xdr:rowOff>
                  </from>
                  <to>
                    <xdr:col>1879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9" name="Check Box 196">
              <controlPr defaultSize="0" autoFill="0" autoLine="0" autoPict="0">
                <anchor moveWithCells="1">
                  <from>
                    <xdr:col>1879</xdr:col>
                    <xdr:colOff>542925</xdr:colOff>
                    <xdr:row>46</xdr:row>
                    <xdr:rowOff>142875</xdr:rowOff>
                  </from>
                  <to>
                    <xdr:col>1880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200" name="Check Box 197">
              <controlPr defaultSize="0" autoFill="0" autoLine="0" autoPict="0">
                <anchor moveWithCells="1">
                  <from>
                    <xdr:col>1890</xdr:col>
                    <xdr:colOff>447675</xdr:colOff>
                    <xdr:row>46</xdr:row>
                    <xdr:rowOff>142875</xdr:rowOff>
                  </from>
                  <to>
                    <xdr:col>1891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1" name="Check Box 198">
              <controlPr defaultSize="0" autoFill="0" autoLine="0" autoPict="0">
                <anchor moveWithCells="1">
                  <from>
                    <xdr:col>1891</xdr:col>
                    <xdr:colOff>542925</xdr:colOff>
                    <xdr:row>46</xdr:row>
                    <xdr:rowOff>142875</xdr:rowOff>
                  </from>
                  <to>
                    <xdr:col>1892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2" name="Check Box 199">
              <controlPr defaultSize="0" autoFill="0" autoLine="0" autoPict="0">
                <anchor moveWithCells="1">
                  <from>
                    <xdr:col>1902</xdr:col>
                    <xdr:colOff>447675</xdr:colOff>
                    <xdr:row>46</xdr:row>
                    <xdr:rowOff>142875</xdr:rowOff>
                  </from>
                  <to>
                    <xdr:col>1903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3" name="Check Box 200">
              <controlPr defaultSize="0" autoFill="0" autoLine="0" autoPict="0">
                <anchor moveWithCells="1">
                  <from>
                    <xdr:col>1903</xdr:col>
                    <xdr:colOff>542925</xdr:colOff>
                    <xdr:row>46</xdr:row>
                    <xdr:rowOff>142875</xdr:rowOff>
                  </from>
                  <to>
                    <xdr:col>1904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4" name="Check Box 201">
              <controlPr defaultSize="0" autoFill="0" autoLine="0" autoPict="0">
                <anchor moveWithCells="1">
                  <from>
                    <xdr:col>1914</xdr:col>
                    <xdr:colOff>447675</xdr:colOff>
                    <xdr:row>46</xdr:row>
                    <xdr:rowOff>142875</xdr:rowOff>
                  </from>
                  <to>
                    <xdr:col>1915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5" name="Check Box 202">
              <controlPr defaultSize="0" autoFill="0" autoLine="0" autoPict="0">
                <anchor moveWithCells="1">
                  <from>
                    <xdr:col>1915</xdr:col>
                    <xdr:colOff>542925</xdr:colOff>
                    <xdr:row>46</xdr:row>
                    <xdr:rowOff>142875</xdr:rowOff>
                  </from>
                  <to>
                    <xdr:col>1916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6" name="Check Box 203">
              <controlPr defaultSize="0" autoFill="0" autoLine="0" autoPict="0">
                <anchor moveWithCells="1">
                  <from>
                    <xdr:col>1926</xdr:col>
                    <xdr:colOff>447675</xdr:colOff>
                    <xdr:row>46</xdr:row>
                    <xdr:rowOff>142875</xdr:rowOff>
                  </from>
                  <to>
                    <xdr:col>1927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7" name="Check Box 204">
              <controlPr defaultSize="0" autoFill="0" autoLine="0" autoPict="0">
                <anchor moveWithCells="1">
                  <from>
                    <xdr:col>1927</xdr:col>
                    <xdr:colOff>542925</xdr:colOff>
                    <xdr:row>46</xdr:row>
                    <xdr:rowOff>142875</xdr:rowOff>
                  </from>
                  <to>
                    <xdr:col>1928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8" name="Check Box 205">
              <controlPr defaultSize="0" autoFill="0" autoLine="0" autoPict="0">
                <anchor moveWithCells="1">
                  <from>
                    <xdr:col>1938</xdr:col>
                    <xdr:colOff>447675</xdr:colOff>
                    <xdr:row>46</xdr:row>
                    <xdr:rowOff>142875</xdr:rowOff>
                  </from>
                  <to>
                    <xdr:col>1939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9" name="Check Box 206">
              <controlPr defaultSize="0" autoFill="0" autoLine="0" autoPict="0">
                <anchor moveWithCells="1">
                  <from>
                    <xdr:col>1939</xdr:col>
                    <xdr:colOff>542925</xdr:colOff>
                    <xdr:row>46</xdr:row>
                    <xdr:rowOff>142875</xdr:rowOff>
                  </from>
                  <to>
                    <xdr:col>1940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10" name="Check Box 207">
              <controlPr defaultSize="0" autoFill="0" autoLine="0" autoPict="0">
                <anchor moveWithCells="1">
                  <from>
                    <xdr:col>1950</xdr:col>
                    <xdr:colOff>447675</xdr:colOff>
                    <xdr:row>46</xdr:row>
                    <xdr:rowOff>142875</xdr:rowOff>
                  </from>
                  <to>
                    <xdr:col>1951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1" name="Check Box 208">
              <controlPr defaultSize="0" autoFill="0" autoLine="0" autoPict="0">
                <anchor moveWithCells="1">
                  <from>
                    <xdr:col>1951</xdr:col>
                    <xdr:colOff>542925</xdr:colOff>
                    <xdr:row>46</xdr:row>
                    <xdr:rowOff>142875</xdr:rowOff>
                  </from>
                  <to>
                    <xdr:col>1952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2" name="Check Box 209">
              <controlPr defaultSize="0" autoFill="0" autoLine="0" autoPict="0">
                <anchor moveWithCells="1">
                  <from>
                    <xdr:col>1962</xdr:col>
                    <xdr:colOff>447675</xdr:colOff>
                    <xdr:row>46</xdr:row>
                    <xdr:rowOff>142875</xdr:rowOff>
                  </from>
                  <to>
                    <xdr:col>1963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3" name="Check Box 210">
              <controlPr defaultSize="0" autoFill="0" autoLine="0" autoPict="0">
                <anchor moveWithCells="1">
                  <from>
                    <xdr:col>1963</xdr:col>
                    <xdr:colOff>542925</xdr:colOff>
                    <xdr:row>46</xdr:row>
                    <xdr:rowOff>142875</xdr:rowOff>
                  </from>
                  <to>
                    <xdr:col>1964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4" name="Check Box 211">
              <controlPr defaultSize="0" autoFill="0" autoLine="0" autoPict="0">
                <anchor moveWithCells="1">
                  <from>
                    <xdr:col>1974</xdr:col>
                    <xdr:colOff>447675</xdr:colOff>
                    <xdr:row>46</xdr:row>
                    <xdr:rowOff>142875</xdr:rowOff>
                  </from>
                  <to>
                    <xdr:col>1975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5" name="Check Box 212">
              <controlPr defaultSize="0" autoFill="0" autoLine="0" autoPict="0">
                <anchor moveWithCells="1">
                  <from>
                    <xdr:col>1975</xdr:col>
                    <xdr:colOff>542925</xdr:colOff>
                    <xdr:row>46</xdr:row>
                    <xdr:rowOff>142875</xdr:rowOff>
                  </from>
                  <to>
                    <xdr:col>1976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6" name="Check Box 213">
              <controlPr defaultSize="0" autoFill="0" autoLine="0" autoPict="0">
                <anchor moveWithCells="1">
                  <from>
                    <xdr:col>1986</xdr:col>
                    <xdr:colOff>447675</xdr:colOff>
                    <xdr:row>46</xdr:row>
                    <xdr:rowOff>142875</xdr:rowOff>
                  </from>
                  <to>
                    <xdr:col>1987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7" name="Check Box 214">
              <controlPr defaultSize="0" autoFill="0" autoLine="0" autoPict="0">
                <anchor moveWithCells="1">
                  <from>
                    <xdr:col>1987</xdr:col>
                    <xdr:colOff>542925</xdr:colOff>
                    <xdr:row>46</xdr:row>
                    <xdr:rowOff>142875</xdr:rowOff>
                  </from>
                  <to>
                    <xdr:col>1988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8" name="Check Box 215">
              <controlPr defaultSize="0" autoFill="0" autoLine="0" autoPict="0">
                <anchor moveWithCells="1">
                  <from>
                    <xdr:col>1998</xdr:col>
                    <xdr:colOff>447675</xdr:colOff>
                    <xdr:row>46</xdr:row>
                    <xdr:rowOff>142875</xdr:rowOff>
                  </from>
                  <to>
                    <xdr:col>1999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9" name="Check Box 216">
              <controlPr defaultSize="0" autoFill="0" autoLine="0" autoPict="0">
                <anchor moveWithCells="1">
                  <from>
                    <xdr:col>1999</xdr:col>
                    <xdr:colOff>542925</xdr:colOff>
                    <xdr:row>46</xdr:row>
                    <xdr:rowOff>142875</xdr:rowOff>
                  </from>
                  <to>
                    <xdr:col>2000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20" name="Check Box 217">
              <controlPr defaultSize="0" autoFill="0" autoLine="0" autoPict="0">
                <anchor moveWithCells="1">
                  <from>
                    <xdr:col>2010</xdr:col>
                    <xdr:colOff>447675</xdr:colOff>
                    <xdr:row>46</xdr:row>
                    <xdr:rowOff>142875</xdr:rowOff>
                  </from>
                  <to>
                    <xdr:col>2011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1" name="Check Box 218">
              <controlPr defaultSize="0" autoFill="0" autoLine="0" autoPict="0">
                <anchor moveWithCells="1">
                  <from>
                    <xdr:col>2011</xdr:col>
                    <xdr:colOff>542925</xdr:colOff>
                    <xdr:row>46</xdr:row>
                    <xdr:rowOff>142875</xdr:rowOff>
                  </from>
                  <to>
                    <xdr:col>2012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2" name="Check Box 219">
              <controlPr defaultSize="0" autoFill="0" autoLine="0" autoPict="0">
                <anchor moveWithCells="1">
                  <from>
                    <xdr:col>2022</xdr:col>
                    <xdr:colOff>447675</xdr:colOff>
                    <xdr:row>46</xdr:row>
                    <xdr:rowOff>142875</xdr:rowOff>
                  </from>
                  <to>
                    <xdr:col>2023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3" name="Check Box 220">
              <controlPr defaultSize="0" autoFill="0" autoLine="0" autoPict="0">
                <anchor moveWithCells="1">
                  <from>
                    <xdr:col>2023</xdr:col>
                    <xdr:colOff>542925</xdr:colOff>
                    <xdr:row>46</xdr:row>
                    <xdr:rowOff>142875</xdr:rowOff>
                  </from>
                  <to>
                    <xdr:col>2024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4" name="Check Box 221">
              <controlPr defaultSize="0" autoFill="0" autoLine="0" autoPict="0">
                <anchor moveWithCells="1">
                  <from>
                    <xdr:col>2034</xdr:col>
                    <xdr:colOff>447675</xdr:colOff>
                    <xdr:row>46</xdr:row>
                    <xdr:rowOff>142875</xdr:rowOff>
                  </from>
                  <to>
                    <xdr:col>2035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5" name="Check Box 222">
              <controlPr defaultSize="0" autoFill="0" autoLine="0" autoPict="0">
                <anchor moveWithCells="1">
                  <from>
                    <xdr:col>2035</xdr:col>
                    <xdr:colOff>542925</xdr:colOff>
                    <xdr:row>46</xdr:row>
                    <xdr:rowOff>142875</xdr:rowOff>
                  </from>
                  <to>
                    <xdr:col>2036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6" name="Check Box 223">
              <controlPr defaultSize="0" autoFill="0" autoLine="0" autoPict="0">
                <anchor moveWithCells="1">
                  <from>
                    <xdr:col>2046</xdr:col>
                    <xdr:colOff>447675</xdr:colOff>
                    <xdr:row>46</xdr:row>
                    <xdr:rowOff>142875</xdr:rowOff>
                  </from>
                  <to>
                    <xdr:col>2047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7" name="Check Box 224">
              <controlPr defaultSize="0" autoFill="0" autoLine="0" autoPict="0">
                <anchor moveWithCells="1">
                  <from>
                    <xdr:col>2047</xdr:col>
                    <xdr:colOff>542925</xdr:colOff>
                    <xdr:row>46</xdr:row>
                    <xdr:rowOff>142875</xdr:rowOff>
                  </from>
                  <to>
                    <xdr:col>2048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8" name="Check Box 225">
              <controlPr defaultSize="0" autoFill="0" autoLine="0" autoPict="0">
                <anchor moveWithCells="1">
                  <from>
                    <xdr:col>2058</xdr:col>
                    <xdr:colOff>447675</xdr:colOff>
                    <xdr:row>46</xdr:row>
                    <xdr:rowOff>142875</xdr:rowOff>
                  </from>
                  <to>
                    <xdr:col>2059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9" name="Check Box 226">
              <controlPr defaultSize="0" autoFill="0" autoLine="0" autoPict="0">
                <anchor moveWithCells="1">
                  <from>
                    <xdr:col>2059</xdr:col>
                    <xdr:colOff>542925</xdr:colOff>
                    <xdr:row>46</xdr:row>
                    <xdr:rowOff>142875</xdr:rowOff>
                  </from>
                  <to>
                    <xdr:col>2061</xdr:col>
                    <xdr:colOff>9525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30" name="Check Box 227">
              <controlPr defaultSize="0" autoFill="0" autoLine="0" autoPict="0">
                <anchor moveWithCells="1">
                  <from>
                    <xdr:col>2070</xdr:col>
                    <xdr:colOff>447675</xdr:colOff>
                    <xdr:row>46</xdr:row>
                    <xdr:rowOff>142875</xdr:rowOff>
                  </from>
                  <to>
                    <xdr:col>2071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1" name="Check Box 228">
              <controlPr defaultSize="0" autoFill="0" autoLine="0" autoPict="0">
                <anchor moveWithCells="1">
                  <from>
                    <xdr:col>2071</xdr:col>
                    <xdr:colOff>542925</xdr:colOff>
                    <xdr:row>46</xdr:row>
                    <xdr:rowOff>142875</xdr:rowOff>
                  </from>
                  <to>
                    <xdr:col>2072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2" name="Check Box 229">
              <controlPr defaultSize="0" autoFill="0" autoLine="0" autoPict="0">
                <anchor moveWithCells="1">
                  <from>
                    <xdr:col>2082</xdr:col>
                    <xdr:colOff>447675</xdr:colOff>
                    <xdr:row>46</xdr:row>
                    <xdr:rowOff>142875</xdr:rowOff>
                  </from>
                  <to>
                    <xdr:col>2083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3" name="Check Box 230">
              <controlPr defaultSize="0" autoFill="0" autoLine="0" autoPict="0">
                <anchor moveWithCells="1">
                  <from>
                    <xdr:col>2083</xdr:col>
                    <xdr:colOff>542925</xdr:colOff>
                    <xdr:row>46</xdr:row>
                    <xdr:rowOff>142875</xdr:rowOff>
                  </from>
                  <to>
                    <xdr:col>2084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4" name="Check Box 231">
              <controlPr defaultSize="0" autoFill="0" autoLine="0" autoPict="0">
                <anchor moveWithCells="1">
                  <from>
                    <xdr:col>2094</xdr:col>
                    <xdr:colOff>447675</xdr:colOff>
                    <xdr:row>46</xdr:row>
                    <xdr:rowOff>142875</xdr:rowOff>
                  </from>
                  <to>
                    <xdr:col>2095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5" name="Check Box 232">
              <controlPr defaultSize="0" autoFill="0" autoLine="0" autoPict="0">
                <anchor moveWithCells="1">
                  <from>
                    <xdr:col>2095</xdr:col>
                    <xdr:colOff>542925</xdr:colOff>
                    <xdr:row>46</xdr:row>
                    <xdr:rowOff>142875</xdr:rowOff>
                  </from>
                  <to>
                    <xdr:col>2096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6" name="Check Box 233">
              <controlPr defaultSize="0" autoFill="0" autoLine="0" autoPict="0">
                <anchor moveWithCells="1">
                  <from>
                    <xdr:col>2106</xdr:col>
                    <xdr:colOff>447675</xdr:colOff>
                    <xdr:row>46</xdr:row>
                    <xdr:rowOff>142875</xdr:rowOff>
                  </from>
                  <to>
                    <xdr:col>2107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7" name="Check Box 234">
              <controlPr defaultSize="0" autoFill="0" autoLine="0" autoPict="0">
                <anchor moveWithCells="1">
                  <from>
                    <xdr:col>2107</xdr:col>
                    <xdr:colOff>542925</xdr:colOff>
                    <xdr:row>46</xdr:row>
                    <xdr:rowOff>142875</xdr:rowOff>
                  </from>
                  <to>
                    <xdr:col>2108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8" name="Check Box 235">
              <controlPr defaultSize="0" autoFill="0" autoLine="0" autoPict="0">
                <anchor moveWithCells="1">
                  <from>
                    <xdr:col>2118</xdr:col>
                    <xdr:colOff>447675</xdr:colOff>
                    <xdr:row>46</xdr:row>
                    <xdr:rowOff>142875</xdr:rowOff>
                  </from>
                  <to>
                    <xdr:col>2119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9" name="Check Box 236">
              <controlPr defaultSize="0" autoFill="0" autoLine="0" autoPict="0">
                <anchor moveWithCells="1">
                  <from>
                    <xdr:col>2119</xdr:col>
                    <xdr:colOff>542925</xdr:colOff>
                    <xdr:row>46</xdr:row>
                    <xdr:rowOff>142875</xdr:rowOff>
                  </from>
                  <to>
                    <xdr:col>2120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40" name="Check Box 237">
              <controlPr defaultSize="0" autoFill="0" autoLine="0" autoPict="0">
                <anchor moveWithCells="1">
                  <from>
                    <xdr:col>2130</xdr:col>
                    <xdr:colOff>447675</xdr:colOff>
                    <xdr:row>46</xdr:row>
                    <xdr:rowOff>142875</xdr:rowOff>
                  </from>
                  <to>
                    <xdr:col>2131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1" name="Check Box 238">
              <controlPr defaultSize="0" autoFill="0" autoLine="0" autoPict="0">
                <anchor moveWithCells="1">
                  <from>
                    <xdr:col>2131</xdr:col>
                    <xdr:colOff>542925</xdr:colOff>
                    <xdr:row>46</xdr:row>
                    <xdr:rowOff>142875</xdr:rowOff>
                  </from>
                  <to>
                    <xdr:col>2132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2" name="Check Box 239">
              <controlPr defaultSize="0" autoFill="0" autoLine="0" autoPict="0">
                <anchor moveWithCells="1">
                  <from>
                    <xdr:col>2142</xdr:col>
                    <xdr:colOff>447675</xdr:colOff>
                    <xdr:row>46</xdr:row>
                    <xdr:rowOff>142875</xdr:rowOff>
                  </from>
                  <to>
                    <xdr:col>2143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3" name="Check Box 240">
              <controlPr defaultSize="0" autoFill="0" autoLine="0" autoPict="0">
                <anchor moveWithCells="1">
                  <from>
                    <xdr:col>2143</xdr:col>
                    <xdr:colOff>542925</xdr:colOff>
                    <xdr:row>46</xdr:row>
                    <xdr:rowOff>142875</xdr:rowOff>
                  </from>
                  <to>
                    <xdr:col>2144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4" name="Check Box 241">
              <controlPr defaultSize="0" autoFill="0" autoLine="0" autoPict="0">
                <anchor moveWithCells="1">
                  <from>
                    <xdr:col>2154</xdr:col>
                    <xdr:colOff>447675</xdr:colOff>
                    <xdr:row>46</xdr:row>
                    <xdr:rowOff>142875</xdr:rowOff>
                  </from>
                  <to>
                    <xdr:col>2155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5" name="Check Box 242">
              <controlPr defaultSize="0" autoFill="0" autoLine="0" autoPict="0">
                <anchor moveWithCells="1">
                  <from>
                    <xdr:col>2155</xdr:col>
                    <xdr:colOff>542925</xdr:colOff>
                    <xdr:row>46</xdr:row>
                    <xdr:rowOff>142875</xdr:rowOff>
                  </from>
                  <to>
                    <xdr:col>2156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6" name="Check Box 243">
              <controlPr defaultSize="0" autoFill="0" autoLine="0" autoPict="0">
                <anchor moveWithCells="1">
                  <from>
                    <xdr:col>2166</xdr:col>
                    <xdr:colOff>447675</xdr:colOff>
                    <xdr:row>46</xdr:row>
                    <xdr:rowOff>142875</xdr:rowOff>
                  </from>
                  <to>
                    <xdr:col>2167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7" name="Check Box 244">
              <controlPr defaultSize="0" autoFill="0" autoLine="0" autoPict="0">
                <anchor moveWithCells="1">
                  <from>
                    <xdr:col>2167</xdr:col>
                    <xdr:colOff>542925</xdr:colOff>
                    <xdr:row>46</xdr:row>
                    <xdr:rowOff>142875</xdr:rowOff>
                  </from>
                  <to>
                    <xdr:col>2168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8" name="Check Box 245">
              <controlPr defaultSize="0" autoFill="0" autoLine="0" autoPict="0">
                <anchor moveWithCells="1">
                  <from>
                    <xdr:col>2178</xdr:col>
                    <xdr:colOff>447675</xdr:colOff>
                    <xdr:row>46</xdr:row>
                    <xdr:rowOff>142875</xdr:rowOff>
                  </from>
                  <to>
                    <xdr:col>2179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9" name="Check Box 246">
              <controlPr defaultSize="0" autoFill="0" autoLine="0" autoPict="0">
                <anchor moveWithCells="1">
                  <from>
                    <xdr:col>2179</xdr:col>
                    <xdr:colOff>542925</xdr:colOff>
                    <xdr:row>46</xdr:row>
                    <xdr:rowOff>142875</xdr:rowOff>
                  </from>
                  <to>
                    <xdr:col>2180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50" name="Check Box 247">
              <controlPr defaultSize="0" autoFill="0" autoLine="0" autoPict="0">
                <anchor moveWithCells="1">
                  <from>
                    <xdr:col>2190</xdr:col>
                    <xdr:colOff>447675</xdr:colOff>
                    <xdr:row>46</xdr:row>
                    <xdr:rowOff>142875</xdr:rowOff>
                  </from>
                  <to>
                    <xdr:col>2191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1" name="Check Box 248">
              <controlPr defaultSize="0" autoFill="0" autoLine="0" autoPict="0">
                <anchor moveWithCells="1">
                  <from>
                    <xdr:col>2191</xdr:col>
                    <xdr:colOff>542925</xdr:colOff>
                    <xdr:row>46</xdr:row>
                    <xdr:rowOff>142875</xdr:rowOff>
                  </from>
                  <to>
                    <xdr:col>2192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2" name="Check Box 249">
              <controlPr defaultSize="0" autoFill="0" autoLine="0" autoPict="0">
                <anchor moveWithCells="1">
                  <from>
                    <xdr:col>2202</xdr:col>
                    <xdr:colOff>447675</xdr:colOff>
                    <xdr:row>46</xdr:row>
                    <xdr:rowOff>142875</xdr:rowOff>
                  </from>
                  <to>
                    <xdr:col>2203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3" name="Check Box 250">
              <controlPr defaultSize="0" autoFill="0" autoLine="0" autoPict="0">
                <anchor moveWithCells="1">
                  <from>
                    <xdr:col>2203</xdr:col>
                    <xdr:colOff>542925</xdr:colOff>
                    <xdr:row>46</xdr:row>
                    <xdr:rowOff>142875</xdr:rowOff>
                  </from>
                  <to>
                    <xdr:col>2204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4" name="Check Box 251">
              <controlPr defaultSize="0" autoFill="0" autoLine="0" autoPict="0">
                <anchor moveWithCells="1">
                  <from>
                    <xdr:col>2214</xdr:col>
                    <xdr:colOff>447675</xdr:colOff>
                    <xdr:row>46</xdr:row>
                    <xdr:rowOff>142875</xdr:rowOff>
                  </from>
                  <to>
                    <xdr:col>2215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5" name="Check Box 252">
              <controlPr defaultSize="0" autoFill="0" autoLine="0" autoPict="0">
                <anchor moveWithCells="1">
                  <from>
                    <xdr:col>2215</xdr:col>
                    <xdr:colOff>542925</xdr:colOff>
                    <xdr:row>46</xdr:row>
                    <xdr:rowOff>142875</xdr:rowOff>
                  </from>
                  <to>
                    <xdr:col>2216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6" name="Check Box 253">
              <controlPr defaultSize="0" autoFill="0" autoLine="0" autoPict="0">
                <anchor moveWithCells="1">
                  <from>
                    <xdr:col>2226</xdr:col>
                    <xdr:colOff>447675</xdr:colOff>
                    <xdr:row>46</xdr:row>
                    <xdr:rowOff>142875</xdr:rowOff>
                  </from>
                  <to>
                    <xdr:col>2227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7" name="Check Box 254">
              <controlPr defaultSize="0" autoFill="0" autoLine="0" autoPict="0">
                <anchor moveWithCells="1">
                  <from>
                    <xdr:col>2227</xdr:col>
                    <xdr:colOff>542925</xdr:colOff>
                    <xdr:row>46</xdr:row>
                    <xdr:rowOff>142875</xdr:rowOff>
                  </from>
                  <to>
                    <xdr:col>2228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8" name="Check Box 255">
              <controlPr defaultSize="0" autoFill="0" autoLine="0" autoPict="0">
                <anchor moveWithCells="1">
                  <from>
                    <xdr:col>2238</xdr:col>
                    <xdr:colOff>447675</xdr:colOff>
                    <xdr:row>46</xdr:row>
                    <xdr:rowOff>142875</xdr:rowOff>
                  </from>
                  <to>
                    <xdr:col>2239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9" name="Check Box 256">
              <controlPr defaultSize="0" autoFill="0" autoLine="0" autoPict="0">
                <anchor moveWithCells="1">
                  <from>
                    <xdr:col>2239</xdr:col>
                    <xdr:colOff>542925</xdr:colOff>
                    <xdr:row>46</xdr:row>
                    <xdr:rowOff>142875</xdr:rowOff>
                  </from>
                  <to>
                    <xdr:col>2240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60" name="Check Box 257">
              <controlPr defaultSize="0" autoFill="0" autoLine="0" autoPict="0">
                <anchor moveWithCells="1">
                  <from>
                    <xdr:col>2250</xdr:col>
                    <xdr:colOff>447675</xdr:colOff>
                    <xdr:row>46</xdr:row>
                    <xdr:rowOff>142875</xdr:rowOff>
                  </from>
                  <to>
                    <xdr:col>2251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1" name="Check Box 258">
              <controlPr defaultSize="0" autoFill="0" autoLine="0" autoPict="0">
                <anchor moveWithCells="1">
                  <from>
                    <xdr:col>2251</xdr:col>
                    <xdr:colOff>542925</xdr:colOff>
                    <xdr:row>46</xdr:row>
                    <xdr:rowOff>142875</xdr:rowOff>
                  </from>
                  <to>
                    <xdr:col>2252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2" name="Check Box 259">
              <controlPr defaultSize="0" autoFill="0" autoLine="0" autoPict="0">
                <anchor moveWithCells="1">
                  <from>
                    <xdr:col>2262</xdr:col>
                    <xdr:colOff>447675</xdr:colOff>
                    <xdr:row>46</xdr:row>
                    <xdr:rowOff>142875</xdr:rowOff>
                  </from>
                  <to>
                    <xdr:col>2263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3" name="Check Box 260">
              <controlPr defaultSize="0" autoFill="0" autoLine="0" autoPict="0">
                <anchor moveWithCells="1">
                  <from>
                    <xdr:col>2263</xdr:col>
                    <xdr:colOff>542925</xdr:colOff>
                    <xdr:row>46</xdr:row>
                    <xdr:rowOff>142875</xdr:rowOff>
                  </from>
                  <to>
                    <xdr:col>2264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4" name="Check Box 261">
              <controlPr defaultSize="0" autoFill="0" autoLine="0" autoPict="0">
                <anchor moveWithCells="1">
                  <from>
                    <xdr:col>2274</xdr:col>
                    <xdr:colOff>447675</xdr:colOff>
                    <xdr:row>46</xdr:row>
                    <xdr:rowOff>142875</xdr:rowOff>
                  </from>
                  <to>
                    <xdr:col>2275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5" name="Check Box 262">
              <controlPr defaultSize="0" autoFill="0" autoLine="0" autoPict="0">
                <anchor moveWithCells="1">
                  <from>
                    <xdr:col>2275</xdr:col>
                    <xdr:colOff>542925</xdr:colOff>
                    <xdr:row>46</xdr:row>
                    <xdr:rowOff>142875</xdr:rowOff>
                  </from>
                  <to>
                    <xdr:col>2276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6" name="Check Box 263">
              <controlPr defaultSize="0" autoFill="0" autoLine="0" autoPict="0">
                <anchor moveWithCells="1">
                  <from>
                    <xdr:col>2286</xdr:col>
                    <xdr:colOff>447675</xdr:colOff>
                    <xdr:row>46</xdr:row>
                    <xdr:rowOff>142875</xdr:rowOff>
                  </from>
                  <to>
                    <xdr:col>2287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7" name="Check Box 264">
              <controlPr defaultSize="0" autoFill="0" autoLine="0" autoPict="0">
                <anchor moveWithCells="1">
                  <from>
                    <xdr:col>2287</xdr:col>
                    <xdr:colOff>542925</xdr:colOff>
                    <xdr:row>46</xdr:row>
                    <xdr:rowOff>142875</xdr:rowOff>
                  </from>
                  <to>
                    <xdr:col>2288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8" name="Check Box 265">
              <controlPr defaultSize="0" autoFill="0" autoLine="0" autoPict="0">
                <anchor moveWithCells="1">
                  <from>
                    <xdr:col>2298</xdr:col>
                    <xdr:colOff>447675</xdr:colOff>
                    <xdr:row>46</xdr:row>
                    <xdr:rowOff>142875</xdr:rowOff>
                  </from>
                  <to>
                    <xdr:col>2299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9" name="Check Box 266">
              <controlPr defaultSize="0" autoFill="0" autoLine="0" autoPict="0">
                <anchor moveWithCells="1">
                  <from>
                    <xdr:col>2299</xdr:col>
                    <xdr:colOff>542925</xdr:colOff>
                    <xdr:row>46</xdr:row>
                    <xdr:rowOff>142875</xdr:rowOff>
                  </from>
                  <to>
                    <xdr:col>2300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70" name="Check Box 267">
              <controlPr defaultSize="0" autoFill="0" autoLine="0" autoPict="0">
                <anchor moveWithCells="1">
                  <from>
                    <xdr:col>2310</xdr:col>
                    <xdr:colOff>447675</xdr:colOff>
                    <xdr:row>46</xdr:row>
                    <xdr:rowOff>142875</xdr:rowOff>
                  </from>
                  <to>
                    <xdr:col>2311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1" name="Check Box 268">
              <controlPr defaultSize="0" autoFill="0" autoLine="0" autoPict="0">
                <anchor moveWithCells="1">
                  <from>
                    <xdr:col>2311</xdr:col>
                    <xdr:colOff>542925</xdr:colOff>
                    <xdr:row>46</xdr:row>
                    <xdr:rowOff>142875</xdr:rowOff>
                  </from>
                  <to>
                    <xdr:col>2312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2" name="Check Box 269">
              <controlPr defaultSize="0" autoFill="0" autoLine="0" autoPict="0">
                <anchor moveWithCells="1">
                  <from>
                    <xdr:col>2322</xdr:col>
                    <xdr:colOff>447675</xdr:colOff>
                    <xdr:row>46</xdr:row>
                    <xdr:rowOff>142875</xdr:rowOff>
                  </from>
                  <to>
                    <xdr:col>2323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3" name="Check Box 270">
              <controlPr defaultSize="0" autoFill="0" autoLine="0" autoPict="0">
                <anchor moveWithCells="1">
                  <from>
                    <xdr:col>2323</xdr:col>
                    <xdr:colOff>542925</xdr:colOff>
                    <xdr:row>46</xdr:row>
                    <xdr:rowOff>142875</xdr:rowOff>
                  </from>
                  <to>
                    <xdr:col>2324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4" name="Check Box 271">
              <controlPr defaultSize="0" autoFill="0" autoLine="0" autoPict="0">
                <anchor moveWithCells="1">
                  <from>
                    <xdr:col>2334</xdr:col>
                    <xdr:colOff>447675</xdr:colOff>
                    <xdr:row>46</xdr:row>
                    <xdr:rowOff>142875</xdr:rowOff>
                  </from>
                  <to>
                    <xdr:col>2335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5" name="Check Box 272">
              <controlPr defaultSize="0" autoFill="0" autoLine="0" autoPict="0">
                <anchor moveWithCells="1">
                  <from>
                    <xdr:col>2335</xdr:col>
                    <xdr:colOff>542925</xdr:colOff>
                    <xdr:row>46</xdr:row>
                    <xdr:rowOff>142875</xdr:rowOff>
                  </from>
                  <to>
                    <xdr:col>2336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6" name="Check Box 273">
              <controlPr defaultSize="0" autoFill="0" autoLine="0" autoPict="0">
                <anchor moveWithCells="1">
                  <from>
                    <xdr:col>2346</xdr:col>
                    <xdr:colOff>447675</xdr:colOff>
                    <xdr:row>46</xdr:row>
                    <xdr:rowOff>142875</xdr:rowOff>
                  </from>
                  <to>
                    <xdr:col>2347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7" name="Check Box 274">
              <controlPr defaultSize="0" autoFill="0" autoLine="0" autoPict="0">
                <anchor moveWithCells="1">
                  <from>
                    <xdr:col>2347</xdr:col>
                    <xdr:colOff>542925</xdr:colOff>
                    <xdr:row>46</xdr:row>
                    <xdr:rowOff>142875</xdr:rowOff>
                  </from>
                  <to>
                    <xdr:col>2348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8" name="Check Box 275">
              <controlPr defaultSize="0" autoFill="0" autoLine="0" autoPict="0">
                <anchor moveWithCells="1">
                  <from>
                    <xdr:col>2358</xdr:col>
                    <xdr:colOff>447675</xdr:colOff>
                    <xdr:row>46</xdr:row>
                    <xdr:rowOff>142875</xdr:rowOff>
                  </from>
                  <to>
                    <xdr:col>2359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9" name="Check Box 276">
              <controlPr defaultSize="0" autoFill="0" autoLine="0" autoPict="0">
                <anchor moveWithCells="1">
                  <from>
                    <xdr:col>2359</xdr:col>
                    <xdr:colOff>542925</xdr:colOff>
                    <xdr:row>46</xdr:row>
                    <xdr:rowOff>142875</xdr:rowOff>
                  </from>
                  <to>
                    <xdr:col>2360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80" name="Check Box 277">
              <controlPr defaultSize="0" autoFill="0" autoLine="0" autoPict="0">
                <anchor moveWithCells="1">
                  <from>
                    <xdr:col>2370</xdr:col>
                    <xdr:colOff>447675</xdr:colOff>
                    <xdr:row>46</xdr:row>
                    <xdr:rowOff>142875</xdr:rowOff>
                  </from>
                  <to>
                    <xdr:col>2371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1" name="Check Box 278">
              <controlPr defaultSize="0" autoFill="0" autoLine="0" autoPict="0">
                <anchor moveWithCells="1">
                  <from>
                    <xdr:col>2371</xdr:col>
                    <xdr:colOff>542925</xdr:colOff>
                    <xdr:row>46</xdr:row>
                    <xdr:rowOff>142875</xdr:rowOff>
                  </from>
                  <to>
                    <xdr:col>2372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2" name="Check Box 279">
              <controlPr defaultSize="0" autoFill="0" autoLine="0" autoPict="0">
                <anchor moveWithCells="1">
                  <from>
                    <xdr:col>2382</xdr:col>
                    <xdr:colOff>447675</xdr:colOff>
                    <xdr:row>46</xdr:row>
                    <xdr:rowOff>142875</xdr:rowOff>
                  </from>
                  <to>
                    <xdr:col>2383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3" name="Check Box 280">
              <controlPr defaultSize="0" autoFill="0" autoLine="0" autoPict="0">
                <anchor moveWithCells="1">
                  <from>
                    <xdr:col>2383</xdr:col>
                    <xdr:colOff>542925</xdr:colOff>
                    <xdr:row>46</xdr:row>
                    <xdr:rowOff>142875</xdr:rowOff>
                  </from>
                  <to>
                    <xdr:col>2384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4" name="Check Box 281">
              <controlPr defaultSize="0" autoFill="0" autoLine="0" autoPict="0">
                <anchor moveWithCells="1">
                  <from>
                    <xdr:col>2394</xdr:col>
                    <xdr:colOff>447675</xdr:colOff>
                    <xdr:row>46</xdr:row>
                    <xdr:rowOff>142875</xdr:rowOff>
                  </from>
                  <to>
                    <xdr:col>2395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5" name="Check Box 282">
              <controlPr defaultSize="0" autoFill="0" autoLine="0" autoPict="0">
                <anchor moveWithCells="1">
                  <from>
                    <xdr:col>2395</xdr:col>
                    <xdr:colOff>542925</xdr:colOff>
                    <xdr:row>46</xdr:row>
                    <xdr:rowOff>142875</xdr:rowOff>
                  </from>
                  <to>
                    <xdr:col>2396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6" name="Check Box 283">
              <controlPr defaultSize="0" autoFill="0" autoLine="0" autoPict="0">
                <anchor moveWithCells="1">
                  <from>
                    <xdr:col>2406</xdr:col>
                    <xdr:colOff>447675</xdr:colOff>
                    <xdr:row>46</xdr:row>
                    <xdr:rowOff>142875</xdr:rowOff>
                  </from>
                  <to>
                    <xdr:col>2407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7" name="Check Box 284">
              <controlPr defaultSize="0" autoFill="0" autoLine="0" autoPict="0">
                <anchor moveWithCells="1">
                  <from>
                    <xdr:col>2407</xdr:col>
                    <xdr:colOff>542925</xdr:colOff>
                    <xdr:row>46</xdr:row>
                    <xdr:rowOff>142875</xdr:rowOff>
                  </from>
                  <to>
                    <xdr:col>2408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8" name="Check Box 285">
              <controlPr defaultSize="0" autoFill="0" autoLine="0" autoPict="0">
                <anchor moveWithCells="1">
                  <from>
                    <xdr:col>2418</xdr:col>
                    <xdr:colOff>447675</xdr:colOff>
                    <xdr:row>46</xdr:row>
                    <xdr:rowOff>142875</xdr:rowOff>
                  </from>
                  <to>
                    <xdr:col>2419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9" name="Check Box 286">
              <controlPr defaultSize="0" autoFill="0" autoLine="0" autoPict="0">
                <anchor moveWithCells="1">
                  <from>
                    <xdr:col>2419</xdr:col>
                    <xdr:colOff>542925</xdr:colOff>
                    <xdr:row>46</xdr:row>
                    <xdr:rowOff>142875</xdr:rowOff>
                  </from>
                  <to>
                    <xdr:col>2420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90" name="Check Box 287">
              <controlPr defaultSize="0" autoFill="0" autoLine="0" autoPict="0">
                <anchor moveWithCells="1">
                  <from>
                    <xdr:col>2430</xdr:col>
                    <xdr:colOff>447675</xdr:colOff>
                    <xdr:row>46</xdr:row>
                    <xdr:rowOff>142875</xdr:rowOff>
                  </from>
                  <to>
                    <xdr:col>2431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1" name="Check Box 288">
              <controlPr defaultSize="0" autoFill="0" autoLine="0" autoPict="0">
                <anchor moveWithCells="1">
                  <from>
                    <xdr:col>2431</xdr:col>
                    <xdr:colOff>542925</xdr:colOff>
                    <xdr:row>46</xdr:row>
                    <xdr:rowOff>142875</xdr:rowOff>
                  </from>
                  <to>
                    <xdr:col>2432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2" name="Check Box 289">
              <controlPr defaultSize="0" autoFill="0" autoLine="0" autoPict="0">
                <anchor moveWithCells="1">
                  <from>
                    <xdr:col>2442</xdr:col>
                    <xdr:colOff>447675</xdr:colOff>
                    <xdr:row>46</xdr:row>
                    <xdr:rowOff>142875</xdr:rowOff>
                  </from>
                  <to>
                    <xdr:col>2443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3" name="Check Box 290">
              <controlPr defaultSize="0" autoFill="0" autoLine="0" autoPict="0">
                <anchor moveWithCells="1">
                  <from>
                    <xdr:col>2443</xdr:col>
                    <xdr:colOff>542925</xdr:colOff>
                    <xdr:row>46</xdr:row>
                    <xdr:rowOff>142875</xdr:rowOff>
                  </from>
                  <to>
                    <xdr:col>2444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4" name="Check Box 291">
              <controlPr defaultSize="0" autoFill="0" autoLine="0" autoPict="0">
                <anchor moveWithCells="1">
                  <from>
                    <xdr:col>2454</xdr:col>
                    <xdr:colOff>447675</xdr:colOff>
                    <xdr:row>46</xdr:row>
                    <xdr:rowOff>142875</xdr:rowOff>
                  </from>
                  <to>
                    <xdr:col>2455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5" name="Check Box 292">
              <controlPr defaultSize="0" autoFill="0" autoLine="0" autoPict="0">
                <anchor moveWithCells="1">
                  <from>
                    <xdr:col>2455</xdr:col>
                    <xdr:colOff>542925</xdr:colOff>
                    <xdr:row>46</xdr:row>
                    <xdr:rowOff>142875</xdr:rowOff>
                  </from>
                  <to>
                    <xdr:col>2456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6" name="Check Box 293">
              <controlPr defaultSize="0" autoFill="0" autoLine="0" autoPict="0">
                <anchor moveWithCells="1">
                  <from>
                    <xdr:col>2466</xdr:col>
                    <xdr:colOff>447675</xdr:colOff>
                    <xdr:row>46</xdr:row>
                    <xdr:rowOff>142875</xdr:rowOff>
                  </from>
                  <to>
                    <xdr:col>2467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7" name="Check Box 294">
              <controlPr defaultSize="0" autoFill="0" autoLine="0" autoPict="0">
                <anchor moveWithCells="1">
                  <from>
                    <xdr:col>2467</xdr:col>
                    <xdr:colOff>542925</xdr:colOff>
                    <xdr:row>46</xdr:row>
                    <xdr:rowOff>142875</xdr:rowOff>
                  </from>
                  <to>
                    <xdr:col>2468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8" name="Check Box 295">
              <controlPr defaultSize="0" autoFill="0" autoLine="0" autoPict="0">
                <anchor moveWithCells="1">
                  <from>
                    <xdr:col>2478</xdr:col>
                    <xdr:colOff>447675</xdr:colOff>
                    <xdr:row>46</xdr:row>
                    <xdr:rowOff>142875</xdr:rowOff>
                  </from>
                  <to>
                    <xdr:col>2479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9" name="Check Box 296">
              <controlPr defaultSize="0" autoFill="0" autoLine="0" autoPict="0">
                <anchor moveWithCells="1">
                  <from>
                    <xdr:col>2479</xdr:col>
                    <xdr:colOff>542925</xdr:colOff>
                    <xdr:row>46</xdr:row>
                    <xdr:rowOff>142875</xdr:rowOff>
                  </from>
                  <to>
                    <xdr:col>2480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300" name="Check Box 297">
              <controlPr defaultSize="0" autoFill="0" autoLine="0" autoPict="0">
                <anchor moveWithCells="1">
                  <from>
                    <xdr:col>2490</xdr:col>
                    <xdr:colOff>447675</xdr:colOff>
                    <xdr:row>46</xdr:row>
                    <xdr:rowOff>142875</xdr:rowOff>
                  </from>
                  <to>
                    <xdr:col>2491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1" name="Check Box 298">
              <controlPr defaultSize="0" autoFill="0" autoLine="0" autoPict="0">
                <anchor moveWithCells="1">
                  <from>
                    <xdr:col>2491</xdr:col>
                    <xdr:colOff>542925</xdr:colOff>
                    <xdr:row>46</xdr:row>
                    <xdr:rowOff>142875</xdr:rowOff>
                  </from>
                  <to>
                    <xdr:col>2492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2" name="Check Box 299">
              <controlPr defaultSize="0" autoFill="0" autoLine="0" autoPict="0">
                <anchor moveWithCells="1">
                  <from>
                    <xdr:col>2502</xdr:col>
                    <xdr:colOff>447675</xdr:colOff>
                    <xdr:row>46</xdr:row>
                    <xdr:rowOff>142875</xdr:rowOff>
                  </from>
                  <to>
                    <xdr:col>2503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3" name="Check Box 300">
              <controlPr defaultSize="0" autoFill="0" autoLine="0" autoPict="0">
                <anchor moveWithCells="1">
                  <from>
                    <xdr:col>2503</xdr:col>
                    <xdr:colOff>542925</xdr:colOff>
                    <xdr:row>46</xdr:row>
                    <xdr:rowOff>142875</xdr:rowOff>
                  </from>
                  <to>
                    <xdr:col>2504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4" name="Check Box 301">
              <controlPr defaultSize="0" autoFill="0" autoLine="0" autoPict="0">
                <anchor moveWithCells="1">
                  <from>
                    <xdr:col>2514</xdr:col>
                    <xdr:colOff>447675</xdr:colOff>
                    <xdr:row>46</xdr:row>
                    <xdr:rowOff>142875</xdr:rowOff>
                  </from>
                  <to>
                    <xdr:col>2515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5" name="Check Box 302">
              <controlPr defaultSize="0" autoFill="0" autoLine="0" autoPict="0">
                <anchor moveWithCells="1">
                  <from>
                    <xdr:col>2515</xdr:col>
                    <xdr:colOff>542925</xdr:colOff>
                    <xdr:row>46</xdr:row>
                    <xdr:rowOff>142875</xdr:rowOff>
                  </from>
                  <to>
                    <xdr:col>2516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6" name="Check Box 303">
              <controlPr defaultSize="0" autoFill="0" autoLine="0" autoPict="0">
                <anchor moveWithCells="1">
                  <from>
                    <xdr:col>2526</xdr:col>
                    <xdr:colOff>447675</xdr:colOff>
                    <xdr:row>46</xdr:row>
                    <xdr:rowOff>142875</xdr:rowOff>
                  </from>
                  <to>
                    <xdr:col>2527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7" name="Check Box 304">
              <controlPr defaultSize="0" autoFill="0" autoLine="0" autoPict="0">
                <anchor moveWithCells="1">
                  <from>
                    <xdr:col>2527</xdr:col>
                    <xdr:colOff>542925</xdr:colOff>
                    <xdr:row>46</xdr:row>
                    <xdr:rowOff>142875</xdr:rowOff>
                  </from>
                  <to>
                    <xdr:col>2528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8" name="Check Box 305">
              <controlPr defaultSize="0" autoFill="0" autoLine="0" autoPict="0">
                <anchor moveWithCells="1">
                  <from>
                    <xdr:col>2538</xdr:col>
                    <xdr:colOff>447675</xdr:colOff>
                    <xdr:row>46</xdr:row>
                    <xdr:rowOff>142875</xdr:rowOff>
                  </from>
                  <to>
                    <xdr:col>2539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9" name="Check Box 306">
              <controlPr defaultSize="0" autoFill="0" autoLine="0" autoPict="0">
                <anchor moveWithCells="1">
                  <from>
                    <xdr:col>2539</xdr:col>
                    <xdr:colOff>542925</xdr:colOff>
                    <xdr:row>46</xdr:row>
                    <xdr:rowOff>142875</xdr:rowOff>
                  </from>
                  <to>
                    <xdr:col>2540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10" name="Check Box 307">
              <controlPr defaultSize="0" autoFill="0" autoLine="0" autoPict="0">
                <anchor moveWithCells="1">
                  <from>
                    <xdr:col>2550</xdr:col>
                    <xdr:colOff>447675</xdr:colOff>
                    <xdr:row>46</xdr:row>
                    <xdr:rowOff>142875</xdr:rowOff>
                  </from>
                  <to>
                    <xdr:col>2551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11" name="Check Box 308">
              <controlPr defaultSize="0" autoFill="0" autoLine="0" autoPict="0">
                <anchor moveWithCells="1">
                  <from>
                    <xdr:col>2551</xdr:col>
                    <xdr:colOff>542925</xdr:colOff>
                    <xdr:row>46</xdr:row>
                    <xdr:rowOff>142875</xdr:rowOff>
                  </from>
                  <to>
                    <xdr:col>2552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2" name="Check Box 309">
              <controlPr defaultSize="0" autoFill="0" autoLine="0" autoPict="0">
                <anchor moveWithCells="1">
                  <from>
                    <xdr:col>2562</xdr:col>
                    <xdr:colOff>447675</xdr:colOff>
                    <xdr:row>46</xdr:row>
                    <xdr:rowOff>142875</xdr:rowOff>
                  </from>
                  <to>
                    <xdr:col>2563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3" name="Check Box 310">
              <controlPr defaultSize="0" autoFill="0" autoLine="0" autoPict="0">
                <anchor moveWithCells="1">
                  <from>
                    <xdr:col>2563</xdr:col>
                    <xdr:colOff>542925</xdr:colOff>
                    <xdr:row>46</xdr:row>
                    <xdr:rowOff>142875</xdr:rowOff>
                  </from>
                  <to>
                    <xdr:col>2564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4" name="Check Box 311">
              <controlPr defaultSize="0" autoFill="0" autoLine="0" autoPict="0">
                <anchor moveWithCells="1">
                  <from>
                    <xdr:col>2574</xdr:col>
                    <xdr:colOff>447675</xdr:colOff>
                    <xdr:row>46</xdr:row>
                    <xdr:rowOff>142875</xdr:rowOff>
                  </from>
                  <to>
                    <xdr:col>2575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5" name="Check Box 312">
              <controlPr defaultSize="0" autoFill="0" autoLine="0" autoPict="0">
                <anchor moveWithCells="1">
                  <from>
                    <xdr:col>2575</xdr:col>
                    <xdr:colOff>542925</xdr:colOff>
                    <xdr:row>46</xdr:row>
                    <xdr:rowOff>142875</xdr:rowOff>
                  </from>
                  <to>
                    <xdr:col>2576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6" name="Check Box 313">
              <controlPr defaultSize="0" autoFill="0" autoLine="0" autoPict="0">
                <anchor moveWithCells="1">
                  <from>
                    <xdr:col>2586</xdr:col>
                    <xdr:colOff>447675</xdr:colOff>
                    <xdr:row>46</xdr:row>
                    <xdr:rowOff>142875</xdr:rowOff>
                  </from>
                  <to>
                    <xdr:col>2587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7" name="Check Box 314">
              <controlPr defaultSize="0" autoFill="0" autoLine="0" autoPict="0">
                <anchor moveWithCells="1">
                  <from>
                    <xdr:col>2587</xdr:col>
                    <xdr:colOff>542925</xdr:colOff>
                    <xdr:row>46</xdr:row>
                    <xdr:rowOff>142875</xdr:rowOff>
                  </from>
                  <to>
                    <xdr:col>2588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18" name="Check Box 315">
              <controlPr defaultSize="0" autoFill="0" autoLine="0" autoPict="0">
                <anchor moveWithCells="1">
                  <from>
                    <xdr:col>2598</xdr:col>
                    <xdr:colOff>447675</xdr:colOff>
                    <xdr:row>46</xdr:row>
                    <xdr:rowOff>142875</xdr:rowOff>
                  </from>
                  <to>
                    <xdr:col>2599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19" name="Check Box 316">
              <controlPr defaultSize="0" autoFill="0" autoLine="0" autoPict="0">
                <anchor moveWithCells="1">
                  <from>
                    <xdr:col>2599</xdr:col>
                    <xdr:colOff>542925</xdr:colOff>
                    <xdr:row>46</xdr:row>
                    <xdr:rowOff>142875</xdr:rowOff>
                  </from>
                  <to>
                    <xdr:col>2600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20" name="Check Box 317">
              <controlPr defaultSize="0" autoFill="0" autoLine="0" autoPict="0">
                <anchor moveWithCells="1">
                  <from>
                    <xdr:col>2610</xdr:col>
                    <xdr:colOff>447675</xdr:colOff>
                    <xdr:row>46</xdr:row>
                    <xdr:rowOff>142875</xdr:rowOff>
                  </from>
                  <to>
                    <xdr:col>2611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21" name="Check Box 318">
              <controlPr defaultSize="0" autoFill="0" autoLine="0" autoPict="0">
                <anchor moveWithCells="1">
                  <from>
                    <xdr:col>2611</xdr:col>
                    <xdr:colOff>542925</xdr:colOff>
                    <xdr:row>46</xdr:row>
                    <xdr:rowOff>142875</xdr:rowOff>
                  </from>
                  <to>
                    <xdr:col>2612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22" name="Check Box 319">
              <controlPr defaultSize="0" autoFill="0" autoLine="0" autoPict="0">
                <anchor moveWithCells="1">
                  <from>
                    <xdr:col>2622</xdr:col>
                    <xdr:colOff>447675</xdr:colOff>
                    <xdr:row>46</xdr:row>
                    <xdr:rowOff>142875</xdr:rowOff>
                  </from>
                  <to>
                    <xdr:col>2623</xdr:col>
                    <xdr:colOff>276225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23" name="Check Box 320">
              <controlPr defaultSize="0" autoFill="0" autoLine="0" autoPict="0">
                <anchor moveWithCells="1">
                  <from>
                    <xdr:col>2623</xdr:col>
                    <xdr:colOff>542925</xdr:colOff>
                    <xdr:row>46</xdr:row>
                    <xdr:rowOff>142875</xdr:rowOff>
                  </from>
                  <to>
                    <xdr:col>2624</xdr:col>
                    <xdr:colOff>381000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24" name="Check Box 321">
              <controlPr defaultSize="0" autoFill="0" autoLine="0" autoPict="0">
                <anchor moveWithCells="1">
                  <from>
                    <xdr:col>2622</xdr:col>
                    <xdr:colOff>447675</xdr:colOff>
                    <xdr:row>47</xdr:row>
                    <xdr:rowOff>142875</xdr:rowOff>
                  </from>
                  <to>
                    <xdr:col>2623</xdr:col>
                    <xdr:colOff>276225</xdr:colOff>
                    <xdr:row>48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25" name="Check Box 322">
              <controlPr defaultSize="0" autoFill="0" autoLine="0" autoPict="0">
                <anchor moveWithCells="1">
                  <from>
                    <xdr:col>2623</xdr:col>
                    <xdr:colOff>542925</xdr:colOff>
                    <xdr:row>47</xdr:row>
                    <xdr:rowOff>142875</xdr:rowOff>
                  </from>
                  <to>
                    <xdr:col>2624</xdr:col>
                    <xdr:colOff>381000</xdr:colOff>
                    <xdr:row>48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NUCLEO CAMASI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2025-04-03T19:29:28Z</dcterms:created>
  <dcterms:modified xsi:type="dcterms:W3CDTF">2025-04-03T19:29:57Z</dcterms:modified>
</cp:coreProperties>
</file>