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10.xml" ContentType="application/vnd.ms-excel.controlproperties+xml"/>
  <Override PartName="/xl/tables/table12.xml" ContentType="application/vnd.openxmlformats-officedocument.spreadsheetml.tab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trlProps/ctrlProp11.xml" ContentType="application/vnd.ms-excel.controlproperties+xml"/>
  <Override PartName="/xl/tables/table13.xml" ContentType="application/vnd.openxmlformats-officedocument.spreadsheetml.table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201_calferquim\203_areas\203.7_orden_produccion\2025\"/>
    </mc:Choice>
  </mc:AlternateContent>
  <xr:revisionPtr revIDLastSave="0" documentId="13_ncr:1_{9D30CFB5-D6FA-4A38-9F98-86B896A65FFC}" xr6:coauthVersionLast="47" xr6:coauthVersionMax="47" xr10:uidLastSave="{00000000-0000-0000-0000-000000000000}"/>
  <bookViews>
    <workbookView xWindow="-120" yWindow="-120" windowWidth="29040" windowHeight="16440" tabRatio="849" firstSheet="8" activeTab="10" xr2:uid="{00000000-000D-0000-FFFF-FFFF00000000}"/>
  </bookViews>
  <sheets>
    <sheet name="Lista de Materias Primas" sheetId="1" r:id="rId1"/>
    <sheet name="Registro" sheetId="156" r:id="rId2"/>
    <sheet name="mfe_25-13-12" sheetId="203" r:id="rId3"/>
    <sheet name="mfe 18-18-18 em" sheetId="204" r:id="rId4"/>
    <sheet name="mfe 29-15-5 em" sheetId="205" r:id="rId5"/>
    <sheet name="mfe 20-4-18" sheetId="206" r:id="rId6"/>
    <sheet name="mfe 18-9-29" sheetId="207" r:id="rId7"/>
    <sheet name="zueloca_v2" sheetId="209" r:id="rId8"/>
    <sheet name="zueloca_v1" sheetId="208" r:id="rId9"/>
    <sheet name="Verificación de Formulación (2)" sheetId="210" r:id="rId10"/>
    <sheet name="Verificación de Formulación" sheetId="2" r:id="rId11"/>
    <sheet name="memoria_calculo" sheetId="106" r:id="rId12"/>
    <sheet name="OP001_563140425" sheetId="134" r:id="rId13"/>
    <sheet name="OP002_510140425" sheetId="135" state="hidden" r:id="rId14"/>
    <sheet name="OP003_489140425" sheetId="136" state="hidden" r:id="rId15"/>
    <sheet name="OP004_602140425" sheetId="137" state="hidden" r:id="rId16"/>
    <sheet name="OP005_603140425" sheetId="138" state="hidden" r:id="rId17"/>
    <sheet name="OP006_841140425" sheetId="139" r:id="rId18"/>
    <sheet name="OP007_65150425" sheetId="140" state="hidden" r:id="rId19"/>
    <sheet name="OP008_679160425" sheetId="141" state="hidden" r:id="rId20"/>
    <sheet name="OP009_679160425" sheetId="142" state="hidden" r:id="rId21"/>
    <sheet name="OP010_679210425" sheetId="150" state="hidden" r:id="rId22"/>
    <sheet name="OP011_62210425" sheetId="149" state="hidden" r:id="rId23"/>
    <sheet name="OP012_602210425" sheetId="154" state="hidden" r:id="rId24"/>
    <sheet name="OP013_603210425" sheetId="157" state="hidden" r:id="rId25"/>
    <sheet name="OP014_679220425" sheetId="158" state="hidden" r:id="rId26"/>
    <sheet name="OP015_65220425" sheetId="159" state="hidden" r:id="rId27"/>
    <sheet name="OP016_82220425" sheetId="160" r:id="rId28"/>
    <sheet name="OP017_679230425" sheetId="161" state="hidden" r:id="rId29"/>
    <sheet name="OP018_62230425" sheetId="162" state="hidden" r:id="rId30"/>
    <sheet name="OP019_62230425" sheetId="163" state="hidden" r:id="rId31"/>
    <sheet name="OP020_592230425" sheetId="164" state="hidden" r:id="rId32"/>
    <sheet name="OP021_587230425" sheetId="165" state="hidden" r:id="rId33"/>
    <sheet name="OP022_588240425" sheetId="166" state="hidden" r:id="rId34"/>
    <sheet name="OP023_518240425" sheetId="167" r:id="rId35"/>
    <sheet name="OP024_516240425" sheetId="168" state="hidden" r:id="rId36"/>
    <sheet name="OP027_65240425" sheetId="169" r:id="rId37"/>
    <sheet name="OP028_208240425" sheetId="170" state="hidden" r:id="rId38"/>
    <sheet name="OP029_803250425" sheetId="172" r:id="rId39"/>
    <sheet name="OP025_635240425" sheetId="173" state="hidden" r:id="rId40"/>
    <sheet name="OP026_311240425" sheetId="174" state="hidden" r:id="rId41"/>
    <sheet name="OP030_803260425" sheetId="176" state="hidden" r:id="rId42"/>
    <sheet name="OP036_803280425" sheetId="187" state="hidden" r:id="rId43"/>
    <sheet name="OP031_431260425" sheetId="177" state="hidden" r:id="rId44"/>
    <sheet name="OP032_646260425" sheetId="178" state="hidden" r:id="rId45"/>
    <sheet name="OP033_545260425" sheetId="179" state="hidden" r:id="rId46"/>
    <sheet name="OP034_840260425" sheetId="180" state="hidden" r:id="rId47"/>
    <sheet name="OP061_65080525" sheetId="181" r:id="rId48"/>
    <sheet name="OP037_311280425" sheetId="184" state="hidden" r:id="rId49"/>
    <sheet name="OP039_311290425" sheetId="185" state="hidden" r:id="rId50"/>
    <sheet name="OP043_65300425" sheetId="189" r:id="rId51"/>
    <sheet name="OP042_311300425" sheetId="192" state="hidden" r:id="rId52"/>
    <sheet name="OP040_803290425" sheetId="190" r:id="rId53"/>
    <sheet name="OP041_803290425" sheetId="191" r:id="rId54"/>
    <sheet name="OP044_62300425" sheetId="193" r:id="rId55"/>
    <sheet name="OP045_62020525" sheetId="194" r:id="rId56"/>
    <sheet name="OP046_65020525" sheetId="195" r:id="rId57"/>
    <sheet name="OP047_65030525" sheetId="196" r:id="rId58"/>
    <sheet name="OP048_563030525" sheetId="197" r:id="rId59"/>
    <sheet name="OP049_82030525" sheetId="198" r:id="rId60"/>
    <sheet name="OP035_65270425" sheetId="199" r:id="rId61"/>
    <sheet name="OP051_62050525" sheetId="200" r:id="rId62"/>
    <sheet name="OP050_563050525" sheetId="201" r:id="rId63"/>
    <sheet name="OP052_604060525" sheetId="202" r:id="rId64"/>
  </sheets>
  <definedNames>
    <definedName name="_xlnm.Print_Area" localSheetId="3">'mfe 18-18-18 em'!$C$3:$AA$30</definedName>
    <definedName name="_xlnm.Print_Area" localSheetId="6">'mfe 18-9-29'!$C$3:$AA$30</definedName>
    <definedName name="_xlnm.Print_Area" localSheetId="5">'mfe 20-4-18'!$C$3:$AA$30</definedName>
    <definedName name="_xlnm.Print_Area" localSheetId="4">'mfe 29-15-5 em'!$C$3:$AA$30</definedName>
    <definedName name="_xlnm.Print_Area" localSheetId="2">'mfe_25-13-12'!$C$3:$AA$30</definedName>
    <definedName name="_xlnm.Print_Area" localSheetId="12">OP001_563140425!$C$3:$AA$30</definedName>
    <definedName name="_xlnm.Print_Area" localSheetId="13">OP002_510140425!$C$3:$AA$30</definedName>
    <definedName name="_xlnm.Print_Area" localSheetId="14">OP003_489140425!$C$3:$AA$30</definedName>
    <definedName name="_xlnm.Print_Area" localSheetId="15">OP004_602140425!$C$3:$AA$30</definedName>
    <definedName name="_xlnm.Print_Area" localSheetId="16">OP005_603140425!$C$3:$AA$30</definedName>
    <definedName name="_xlnm.Print_Area" localSheetId="17">OP006_841140425!$C$3:$AA$30</definedName>
    <definedName name="_xlnm.Print_Area" localSheetId="18">OP007_65150425!$C$3:$AA$30</definedName>
    <definedName name="_xlnm.Print_Area" localSheetId="19">OP008_679160425!$C$3:$AA$30</definedName>
    <definedName name="_xlnm.Print_Area" localSheetId="20">OP009_679160425!$C$3:$AA$30</definedName>
    <definedName name="_xlnm.Print_Area" localSheetId="21">OP010_679210425!$C$3:$AA$30</definedName>
    <definedName name="_xlnm.Print_Area" localSheetId="22">OP011_62210425!$C$3:$AA$30</definedName>
    <definedName name="_xlnm.Print_Area" localSheetId="23">OP012_602210425!$C$3:$AA$30</definedName>
    <definedName name="_xlnm.Print_Area" localSheetId="24">OP013_603210425!$C$3:$AA$30</definedName>
    <definedName name="_xlnm.Print_Area" localSheetId="25">OP014_679220425!$C$3:$AA$30</definedName>
    <definedName name="_xlnm.Print_Area" localSheetId="26">OP015_65220425!$C$3:$AA$30</definedName>
    <definedName name="_xlnm.Print_Area" localSheetId="27">OP016_82220425!$C$3:$AA$30</definedName>
    <definedName name="_xlnm.Print_Area" localSheetId="28">OP017_679230425!$C$3:$AA$30</definedName>
    <definedName name="_xlnm.Print_Area" localSheetId="29">OP018_62230425!$C$3:$AA$30</definedName>
    <definedName name="_xlnm.Print_Area" localSheetId="30">OP019_62230425!$C$3:$AA$30</definedName>
    <definedName name="_xlnm.Print_Area" localSheetId="31">OP020_592230425!$C$3:$AA$30</definedName>
    <definedName name="_xlnm.Print_Area" localSheetId="32">OP021_587230425!$C$3:$AA$30</definedName>
    <definedName name="_xlnm.Print_Area" localSheetId="33">OP022_588240425!$C$3:$AA$30</definedName>
    <definedName name="_xlnm.Print_Area" localSheetId="34">OP023_518240425!$C$3:$AA$30</definedName>
    <definedName name="_xlnm.Print_Area" localSheetId="35">OP024_516240425!$C$3:$AA$30</definedName>
    <definedName name="_xlnm.Print_Area" localSheetId="39">OP025_635240425!$C$3:$AA$30</definedName>
    <definedName name="_xlnm.Print_Area" localSheetId="40">OP026_311240425!$C$3:$AA$30</definedName>
    <definedName name="_xlnm.Print_Area" localSheetId="36">OP027_65240425!$C$3:$AA$30</definedName>
    <definedName name="_xlnm.Print_Area" localSheetId="37">OP028_208240425!$C$3:$AA$30</definedName>
    <definedName name="_xlnm.Print_Area" localSheetId="38">OP029_803250425!$C$3:$AA$30</definedName>
    <definedName name="_xlnm.Print_Area" localSheetId="41">OP030_803260425!$C$3:$AA$30</definedName>
    <definedName name="_xlnm.Print_Area" localSheetId="43">OP031_431260425!$C$3:$AA$30</definedName>
    <definedName name="_xlnm.Print_Area" localSheetId="44">OP032_646260425!$C$3:$AA$30</definedName>
    <definedName name="_xlnm.Print_Area" localSheetId="45">OP033_545260425!$C$3:$AA$30</definedName>
    <definedName name="_xlnm.Print_Area" localSheetId="46">OP034_840260425!$C$3:$AA$30</definedName>
    <definedName name="_xlnm.Print_Area" localSheetId="60">OP035_65270425!$C$3:$AA$30</definedName>
    <definedName name="_xlnm.Print_Area" localSheetId="42">OP036_803280425!$C$3:$AA$30</definedName>
    <definedName name="_xlnm.Print_Area" localSheetId="48">OP037_311280425!$C$3:$AA$30</definedName>
    <definedName name="_xlnm.Print_Area" localSheetId="49">OP039_311290425!$C$3:$AA$30</definedName>
    <definedName name="_xlnm.Print_Area" localSheetId="52">OP040_803290425!$C$3:$AA$30</definedName>
    <definedName name="_xlnm.Print_Area" localSheetId="53">OP041_803290425!$C$3:$AA$30</definedName>
    <definedName name="_xlnm.Print_Area" localSheetId="51">OP042_311300425!$C$3:$AA$30</definedName>
    <definedName name="_xlnm.Print_Area" localSheetId="50">OP043_65300425!$C$3:$AA$30</definedName>
    <definedName name="_xlnm.Print_Area" localSheetId="54">OP044_62300425!$C$3:$AA$30</definedName>
    <definedName name="_xlnm.Print_Area" localSheetId="55">OP045_62020525!$C$3:$AA$30</definedName>
    <definedName name="_xlnm.Print_Area" localSheetId="56">OP046_65020525!$C$3:$AA$30</definedName>
    <definedName name="_xlnm.Print_Area" localSheetId="57">OP047_65030525!$C$3:$AA$30</definedName>
    <definedName name="_xlnm.Print_Area" localSheetId="58">OP048_563030525!$C$3:$AA$30</definedName>
    <definedName name="_xlnm.Print_Area" localSheetId="59">OP049_82030525!$C$3:$AA$30</definedName>
    <definedName name="_xlnm.Print_Area" localSheetId="62">OP050_563050525!$C$3:$AA$30</definedName>
    <definedName name="_xlnm.Print_Area" localSheetId="61">OP051_62050525!$C$3:$AA$30</definedName>
    <definedName name="_xlnm.Print_Area" localSheetId="63">OP052_604060525!$C$3:$AA$30</definedName>
    <definedName name="_xlnm.Print_Area" localSheetId="47">OP061_65080525!$C$3:$AA$30</definedName>
    <definedName name="_xlnm.Print_Area" localSheetId="10">'Verificación de Formulación'!$C$3:$AA$31</definedName>
    <definedName name="_xlnm.Print_Area" localSheetId="9">'Verificación de Formulación (2)'!$C$3:$AA$31</definedName>
    <definedName name="_xlnm.Print_Area" localSheetId="8">zueloca_v1!$C$3:$AA$30</definedName>
    <definedName name="_xlnm.Print_Area" localSheetId="7">zueloca_v2!$C$3:$AA$30</definedName>
    <definedName name="CID">'Lista de Materias Primas'!$D:$D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2" l="1"/>
  <c r="Y20" i="210" a="1"/>
  <c r="Y20" i="210" s="1"/>
  <c r="AA24" i="210"/>
  <c r="AA24" i="210" a="1"/>
  <c r="Z24" i="210"/>
  <c r="Z24" i="210" a="1"/>
  <c r="Y24" i="210" a="1"/>
  <c r="Y24" i="210" s="1"/>
  <c r="X24" i="210" a="1"/>
  <c r="X24" i="210" s="1"/>
  <c r="W24" i="210"/>
  <c r="W24" i="210" a="1"/>
  <c r="V24" i="210"/>
  <c r="V24" i="210" a="1"/>
  <c r="U24" i="210"/>
  <c r="U24" i="210" a="1"/>
  <c r="T24" i="210" a="1"/>
  <c r="T24" i="210" s="1"/>
  <c r="S24" i="210"/>
  <c r="S24" i="210" a="1"/>
  <c r="R24" i="210"/>
  <c r="R24" i="210" a="1"/>
  <c r="Q24" i="210"/>
  <c r="Q24" i="210" a="1"/>
  <c r="P24" i="210" a="1"/>
  <c r="P24" i="210" s="1"/>
  <c r="O24" i="210"/>
  <c r="O24" i="210" a="1"/>
  <c r="N24" i="210"/>
  <c r="N24" i="210" a="1"/>
  <c r="M24" i="210"/>
  <c r="M24" i="210" a="1"/>
  <c r="L24" i="210" a="1"/>
  <c r="L24" i="210" s="1"/>
  <c r="K24" i="210"/>
  <c r="K24" i="210" a="1"/>
  <c r="J24" i="210"/>
  <c r="J24" i="210" a="1"/>
  <c r="I24" i="210"/>
  <c r="I24" i="210" a="1"/>
  <c r="H24" i="210" a="1"/>
  <c r="H24" i="210" s="1"/>
  <c r="G24" i="210"/>
  <c r="AA23" i="210"/>
  <c r="AA23" i="210" a="1"/>
  <c r="Z23" i="210" a="1"/>
  <c r="Z23" i="210" s="1"/>
  <c r="Y23" i="210" a="1"/>
  <c r="Y23" i="210" s="1"/>
  <c r="X23" i="210" a="1"/>
  <c r="X23" i="210" s="1"/>
  <c r="W23" i="210"/>
  <c r="W23" i="210" a="1"/>
  <c r="V23" i="210" a="1"/>
  <c r="V23" i="210" s="1"/>
  <c r="U23" i="210" a="1"/>
  <c r="U23" i="210" s="1"/>
  <c r="T23" i="210" a="1"/>
  <c r="T23" i="210" s="1"/>
  <c r="S23" i="210"/>
  <c r="S23" i="210" a="1"/>
  <c r="R23" i="210" a="1"/>
  <c r="R23" i="210" s="1"/>
  <c r="Q23" i="210" a="1"/>
  <c r="Q23" i="210" s="1"/>
  <c r="P23" i="210" a="1"/>
  <c r="P23" i="210" s="1"/>
  <c r="O23" i="210"/>
  <c r="O23" i="210" a="1"/>
  <c r="N23" i="210" a="1"/>
  <c r="N23" i="210" s="1"/>
  <c r="M23" i="210" a="1"/>
  <c r="M23" i="210" s="1"/>
  <c r="L23" i="210" a="1"/>
  <c r="L23" i="210" s="1"/>
  <c r="K23" i="210"/>
  <c r="K23" i="210" a="1"/>
  <c r="J23" i="210" a="1"/>
  <c r="J23" i="210" s="1"/>
  <c r="I23" i="210" a="1"/>
  <c r="I23" i="210" s="1"/>
  <c r="H23" i="210" a="1"/>
  <c r="H23" i="210" s="1"/>
  <c r="G23" i="210"/>
  <c r="AA22" i="210" a="1"/>
  <c r="AA22" i="210" s="1"/>
  <c r="Z22" i="210" a="1"/>
  <c r="Z22" i="210" s="1"/>
  <c r="Y22" i="210" a="1"/>
  <c r="Y22" i="210" s="1"/>
  <c r="X22" i="210" a="1"/>
  <c r="X22" i="210" s="1"/>
  <c r="W22" i="210" a="1"/>
  <c r="W22" i="210" s="1"/>
  <c r="V22" i="210" a="1"/>
  <c r="V22" i="210" s="1"/>
  <c r="U22" i="210" a="1"/>
  <c r="U22" i="210" s="1"/>
  <c r="T22" i="210" a="1"/>
  <c r="T22" i="210" s="1"/>
  <c r="S22" i="210" a="1"/>
  <c r="S22" i="210" s="1"/>
  <c r="R22" i="210" a="1"/>
  <c r="R22" i="210" s="1"/>
  <c r="Q22" i="210" a="1"/>
  <c r="Q22" i="210" s="1"/>
  <c r="P22" i="210" a="1"/>
  <c r="P22" i="210" s="1"/>
  <c r="O22" i="210" a="1"/>
  <c r="O22" i="210" s="1"/>
  <c r="N22" i="210" a="1"/>
  <c r="N22" i="210" s="1"/>
  <c r="M22" i="210" a="1"/>
  <c r="M22" i="210" s="1"/>
  <c r="L22" i="210" a="1"/>
  <c r="L22" i="210" s="1"/>
  <c r="K22" i="210" a="1"/>
  <c r="K22" i="210" s="1"/>
  <c r="J22" i="210" a="1"/>
  <c r="J22" i="210" s="1"/>
  <c r="I22" i="210" a="1"/>
  <c r="I22" i="210" s="1"/>
  <c r="H22" i="210" a="1"/>
  <c r="H22" i="210" s="1"/>
  <c r="G22" i="210"/>
  <c r="AA21" i="210" a="1"/>
  <c r="AA21" i="210" s="1"/>
  <c r="Z21" i="210" a="1"/>
  <c r="Z21" i="210" s="1"/>
  <c r="Y21" i="210" a="1"/>
  <c r="Y21" i="210" s="1"/>
  <c r="X21" i="210" a="1"/>
  <c r="X21" i="210" s="1"/>
  <c r="W21" i="210" a="1"/>
  <c r="W21" i="210" s="1"/>
  <c r="V21" i="210" a="1"/>
  <c r="V21" i="210" s="1"/>
  <c r="U21" i="210" a="1"/>
  <c r="U21" i="210" s="1"/>
  <c r="T21" i="210" a="1"/>
  <c r="T21" i="210" s="1"/>
  <c r="S21" i="210" a="1"/>
  <c r="S21" i="210" s="1"/>
  <c r="R21" i="210" a="1"/>
  <c r="R21" i="210" s="1"/>
  <c r="Q21" i="210" a="1"/>
  <c r="Q21" i="210" s="1"/>
  <c r="P21" i="210" a="1"/>
  <c r="P21" i="210" s="1"/>
  <c r="O21" i="210" a="1"/>
  <c r="O21" i="210" s="1"/>
  <c r="N21" i="210" a="1"/>
  <c r="N21" i="210" s="1"/>
  <c r="M21" i="210" a="1"/>
  <c r="M21" i="210" s="1"/>
  <c r="L21" i="210" a="1"/>
  <c r="L21" i="210" s="1"/>
  <c r="K21" i="210" a="1"/>
  <c r="K21" i="210" s="1"/>
  <c r="J21" i="210" a="1"/>
  <c r="J21" i="210" s="1"/>
  <c r="I21" i="210" a="1"/>
  <c r="I21" i="210" s="1"/>
  <c r="H21" i="210" a="1"/>
  <c r="H21" i="210" s="1"/>
  <c r="G21" i="210"/>
  <c r="AA20" i="210" a="1"/>
  <c r="AA20" i="210" s="1"/>
  <c r="Z20" i="210" a="1"/>
  <c r="Z20" i="210" s="1"/>
  <c r="X20" i="210" a="1"/>
  <c r="X20" i="210" s="1"/>
  <c r="W20" i="210" a="1"/>
  <c r="W20" i="210" s="1"/>
  <c r="V20" i="210" a="1"/>
  <c r="V20" i="210" s="1"/>
  <c r="U20" i="210" a="1"/>
  <c r="U20" i="210" s="1"/>
  <c r="T20" i="210" a="1"/>
  <c r="T20" i="210" s="1"/>
  <c r="S20" i="210" a="1"/>
  <c r="S20" i="210" s="1"/>
  <c r="R20" i="210" a="1"/>
  <c r="R20" i="210" s="1"/>
  <c r="Q20" i="210" a="1"/>
  <c r="Q20" i="210" s="1"/>
  <c r="P20" i="210" a="1"/>
  <c r="P20" i="210" s="1"/>
  <c r="O20" i="210" a="1"/>
  <c r="O20" i="210" s="1"/>
  <c r="N20" i="210" a="1"/>
  <c r="N20" i="210" s="1"/>
  <c r="M20" i="210" a="1"/>
  <c r="M20" i="210" s="1"/>
  <c r="L20" i="210"/>
  <c r="L20" i="210" a="1"/>
  <c r="K20" i="210" a="1"/>
  <c r="K20" i="210" s="1"/>
  <c r="J20" i="210" a="1"/>
  <c r="J20" i="210" s="1"/>
  <c r="I20" i="210" a="1"/>
  <c r="I20" i="210" s="1"/>
  <c r="H20" i="210" a="1"/>
  <c r="H20" i="210" s="1"/>
  <c r="G20" i="210"/>
  <c r="AA19" i="210" a="1"/>
  <c r="AA19" i="210" s="1"/>
  <c r="Z19" i="210" a="1"/>
  <c r="Z19" i="210" s="1"/>
  <c r="Y19" i="210" a="1"/>
  <c r="Y19" i="210" s="1"/>
  <c r="X19" i="210" a="1"/>
  <c r="X19" i="210" s="1"/>
  <c r="W19" i="210" a="1"/>
  <c r="W19" i="210" s="1"/>
  <c r="V19" i="210" a="1"/>
  <c r="V19" i="210" s="1"/>
  <c r="U19" i="210" a="1"/>
  <c r="U19" i="210" s="1"/>
  <c r="T19" i="210" a="1"/>
  <c r="T19" i="210" s="1"/>
  <c r="S19" i="210" a="1"/>
  <c r="S19" i="210" s="1"/>
  <c r="R19" i="210" a="1"/>
  <c r="R19" i="210" s="1"/>
  <c r="Q19" i="210" a="1"/>
  <c r="Q19" i="210" s="1"/>
  <c r="P19" i="210" a="1"/>
  <c r="P19" i="210" s="1"/>
  <c r="O19" i="210" a="1"/>
  <c r="O19" i="210" s="1"/>
  <c r="N19" i="210" a="1"/>
  <c r="N19" i="210" s="1"/>
  <c r="M19" i="210" a="1"/>
  <c r="M19" i="210" s="1"/>
  <c r="I19" i="210" a="1"/>
  <c r="I19" i="210" s="1"/>
  <c r="G19" i="210"/>
  <c r="AA18" i="210" a="1"/>
  <c r="AA18" i="210" s="1"/>
  <c r="Z18" i="210" a="1"/>
  <c r="Z18" i="210" s="1"/>
  <c r="Y18" i="210" a="1"/>
  <c r="Y18" i="210" s="1"/>
  <c r="X18" i="210" a="1"/>
  <c r="X18" i="210" s="1"/>
  <c r="W18" i="210" a="1"/>
  <c r="W18" i="210" s="1"/>
  <c r="V18" i="210" a="1"/>
  <c r="V18" i="210" s="1"/>
  <c r="U18" i="210" a="1"/>
  <c r="U18" i="210" s="1"/>
  <c r="T18" i="210" a="1"/>
  <c r="T18" i="210" s="1"/>
  <c r="S18" i="210" a="1"/>
  <c r="S18" i="210" s="1"/>
  <c r="R18" i="210" a="1"/>
  <c r="R18" i="210" s="1"/>
  <c r="Q18" i="210" a="1"/>
  <c r="Q18" i="210" s="1"/>
  <c r="P18" i="210" a="1"/>
  <c r="P18" i="210" s="1"/>
  <c r="O18" i="210" a="1"/>
  <c r="O18" i="210" s="1"/>
  <c r="N18" i="210" a="1"/>
  <c r="N18" i="210" s="1"/>
  <c r="M18" i="210" a="1"/>
  <c r="M18" i="210" s="1"/>
  <c r="L18" i="210" a="1"/>
  <c r="L18" i="210" s="1"/>
  <c r="K18" i="210" a="1"/>
  <c r="K18" i="210" s="1"/>
  <c r="J18" i="210"/>
  <c r="J18" i="210" a="1"/>
  <c r="I18" i="210" a="1"/>
  <c r="I18" i="210" s="1"/>
  <c r="H18" i="210" a="1"/>
  <c r="H18" i="210" s="1"/>
  <c r="G18" i="210"/>
  <c r="AA17" i="210" a="1"/>
  <c r="AA17" i="210" s="1"/>
  <c r="Z17" i="210" a="1"/>
  <c r="Z17" i="210" s="1"/>
  <c r="Y17" i="210" a="1"/>
  <c r="Y17" i="210" s="1"/>
  <c r="X17" i="210" a="1"/>
  <c r="X17" i="210" s="1"/>
  <c r="W17" i="210" a="1"/>
  <c r="W17" i="210" s="1"/>
  <c r="V17" i="210" a="1"/>
  <c r="V17" i="210" s="1"/>
  <c r="U17" i="210" a="1"/>
  <c r="U17" i="210" s="1"/>
  <c r="T17" i="210" a="1"/>
  <c r="T17" i="210" s="1"/>
  <c r="S17" i="210" a="1"/>
  <c r="S17" i="210" s="1"/>
  <c r="R17" i="210" a="1"/>
  <c r="R17" i="210" s="1"/>
  <c r="Q17" i="210" a="1"/>
  <c r="Q17" i="210" s="1"/>
  <c r="P17" i="210" a="1"/>
  <c r="P17" i="210" s="1"/>
  <c r="O17" i="210" a="1"/>
  <c r="O17" i="210" s="1"/>
  <c r="N17" i="210" a="1"/>
  <c r="N17" i="210" s="1"/>
  <c r="M17" i="210" a="1"/>
  <c r="M17" i="210" s="1"/>
  <c r="L17" i="210" a="1"/>
  <c r="L17" i="210" s="1"/>
  <c r="K17" i="210" a="1"/>
  <c r="K17" i="210" s="1"/>
  <c r="J17" i="210" a="1"/>
  <c r="J17" i="210" s="1"/>
  <c r="I17" i="210" a="1"/>
  <c r="I17" i="210" s="1"/>
  <c r="H17" i="210" a="1"/>
  <c r="H17" i="210" s="1"/>
  <c r="G17" i="210"/>
  <c r="AA16" i="210" a="1"/>
  <c r="AA16" i="210" s="1"/>
  <c r="Z16" i="210" a="1"/>
  <c r="Z16" i="210" s="1"/>
  <c r="Y16" i="210" a="1"/>
  <c r="Y16" i="210" s="1"/>
  <c r="X16" i="210" a="1"/>
  <c r="X16" i="210" s="1"/>
  <c r="W16" i="210" a="1"/>
  <c r="W16" i="210" s="1"/>
  <c r="V16" i="210" a="1"/>
  <c r="V16" i="210" s="1"/>
  <c r="U16" i="210" a="1"/>
  <c r="U16" i="210" s="1"/>
  <c r="T16" i="210" a="1"/>
  <c r="T16" i="210" s="1"/>
  <c r="S16" i="210" a="1"/>
  <c r="S16" i="210" s="1"/>
  <c r="R16" i="210" a="1"/>
  <c r="R16" i="210" s="1"/>
  <c r="Q16" i="210" a="1"/>
  <c r="Q16" i="210" s="1"/>
  <c r="P16" i="210" a="1"/>
  <c r="P16" i="210" s="1"/>
  <c r="O16" i="210" a="1"/>
  <c r="O16" i="210" s="1"/>
  <c r="N16" i="210" a="1"/>
  <c r="N16" i="210" s="1"/>
  <c r="M16" i="210" a="1"/>
  <c r="M16" i="210" s="1"/>
  <c r="L16" i="210" a="1"/>
  <c r="L16" i="210" s="1"/>
  <c r="K16" i="210" a="1"/>
  <c r="K16" i="210" s="1"/>
  <c r="J16" i="210" a="1"/>
  <c r="J16" i="210" s="1"/>
  <c r="I16" i="210" a="1"/>
  <c r="I16" i="210" s="1"/>
  <c r="H16" i="210" a="1"/>
  <c r="H16" i="210" s="1"/>
  <c r="G16" i="210"/>
  <c r="AA11" i="210"/>
  <c r="Z11" i="210"/>
  <c r="X11" i="210"/>
  <c r="W11" i="210"/>
  <c r="V11" i="210"/>
  <c r="U11" i="210"/>
  <c r="T11" i="210"/>
  <c r="M11" i="210"/>
  <c r="L11" i="210"/>
  <c r="K11" i="210"/>
  <c r="J11" i="210"/>
  <c r="H11" i="210"/>
  <c r="G11" i="210"/>
  <c r="D10" i="210"/>
  <c r="AA9" i="210"/>
  <c r="Z9" i="210"/>
  <c r="X9" i="210"/>
  <c r="W9" i="210"/>
  <c r="V9" i="210"/>
  <c r="U9" i="210"/>
  <c r="T9" i="210"/>
  <c r="M9" i="210"/>
  <c r="L9" i="210"/>
  <c r="K9" i="210"/>
  <c r="J9" i="210"/>
  <c r="H9" i="210"/>
  <c r="G9" i="210"/>
  <c r="E7" i="210"/>
  <c r="D7" i="210"/>
  <c r="C7" i="210"/>
  <c r="B7" i="210"/>
  <c r="A7" i="210"/>
  <c r="F6" i="210"/>
  <c r="J6" i="210" l="1"/>
  <c r="K6" i="210"/>
  <c r="M6" i="210"/>
  <c r="AA6" i="210"/>
  <c r="H6" i="210"/>
  <c r="T6" i="210"/>
  <c r="O6" i="210"/>
  <c r="N6" i="210"/>
  <c r="Y6" i="210"/>
  <c r="U6" i="210"/>
  <c r="W6" i="210"/>
  <c r="I6" i="210"/>
  <c r="P6" i="210"/>
  <c r="Z6" i="210"/>
  <c r="Q6" i="210"/>
  <c r="V6" i="210"/>
  <c r="X6" i="210"/>
  <c r="S6" i="210"/>
  <c r="L6" i="210"/>
  <c r="R6" i="210"/>
  <c r="AA23" i="209" a="1"/>
  <c r="AA23" i="209" s="1"/>
  <c r="Z23" i="209" a="1"/>
  <c r="Z23" i="209" s="1"/>
  <c r="Y23" i="209" a="1"/>
  <c r="Y23" i="209" s="1"/>
  <c r="X23" i="209" a="1"/>
  <c r="X23" i="209" s="1"/>
  <c r="W23" i="209" a="1"/>
  <c r="W23" i="209" s="1"/>
  <c r="V23" i="209" a="1"/>
  <c r="V23" i="209" s="1"/>
  <c r="U23" i="209" a="1"/>
  <c r="U23" i="209" s="1"/>
  <c r="T23" i="209" a="1"/>
  <c r="T23" i="209" s="1"/>
  <c r="S23" i="209" a="1"/>
  <c r="S23" i="209" s="1"/>
  <c r="R23" i="209" a="1"/>
  <c r="R23" i="209" s="1"/>
  <c r="Q23" i="209" a="1"/>
  <c r="Q23" i="209" s="1"/>
  <c r="P23" i="209" a="1"/>
  <c r="P23" i="209" s="1"/>
  <c r="O23" i="209" a="1"/>
  <c r="O23" i="209" s="1"/>
  <c r="N23" i="209" a="1"/>
  <c r="N23" i="209" s="1"/>
  <c r="M23" i="209" a="1"/>
  <c r="M23" i="209" s="1"/>
  <c r="L23" i="209" a="1"/>
  <c r="L23" i="209" s="1"/>
  <c r="K23" i="209" a="1"/>
  <c r="K23" i="209" s="1"/>
  <c r="J23" i="209" a="1"/>
  <c r="J23" i="209" s="1"/>
  <c r="I23" i="209" a="1"/>
  <c r="I23" i="209" s="1"/>
  <c r="H23" i="209" a="1"/>
  <c r="H23" i="209" s="1"/>
  <c r="G23" i="209"/>
  <c r="AA22" i="209"/>
  <c r="AA22" i="209" a="1"/>
  <c r="Z22" i="209"/>
  <c r="Z22" i="209" a="1"/>
  <c r="Y22" i="209"/>
  <c r="Y22" i="209" a="1"/>
  <c r="X22" i="209"/>
  <c r="X22" i="209" a="1"/>
  <c r="W22" i="209"/>
  <c r="W22" i="209" a="1"/>
  <c r="V22" i="209"/>
  <c r="V22" i="209" a="1"/>
  <c r="U22" i="209"/>
  <c r="U22" i="209" a="1"/>
  <c r="T22" i="209"/>
  <c r="T22" i="209" a="1"/>
  <c r="S22" i="209"/>
  <c r="S22" i="209" a="1"/>
  <c r="R22" i="209"/>
  <c r="R22" i="209" a="1"/>
  <c r="Q22" i="209"/>
  <c r="Q22" i="209" a="1"/>
  <c r="P22" i="209"/>
  <c r="P22" i="209" a="1"/>
  <c r="O22" i="209"/>
  <c r="O22" i="209" a="1"/>
  <c r="N22" i="209"/>
  <c r="N22" i="209" a="1"/>
  <c r="M22" i="209"/>
  <c r="M22" i="209" a="1"/>
  <c r="L22" i="209"/>
  <c r="L22" i="209" a="1"/>
  <c r="K22" i="209" a="1"/>
  <c r="K22" i="209" s="1"/>
  <c r="J22" i="209" a="1"/>
  <c r="J22" i="209" s="1"/>
  <c r="I22" i="209"/>
  <c r="I22" i="209" a="1"/>
  <c r="H22" i="209"/>
  <c r="H22" i="209" a="1"/>
  <c r="G22" i="209"/>
  <c r="AA21" i="209" a="1"/>
  <c r="AA21" i="209" s="1"/>
  <c r="Z21" i="209" a="1"/>
  <c r="Z21" i="209" s="1"/>
  <c r="Y21" i="209" a="1"/>
  <c r="Y21" i="209" s="1"/>
  <c r="X21" i="209" a="1"/>
  <c r="X21" i="209" s="1"/>
  <c r="W21" i="209" a="1"/>
  <c r="W21" i="209" s="1"/>
  <c r="V21" i="209" a="1"/>
  <c r="V21" i="209" s="1"/>
  <c r="U21" i="209" a="1"/>
  <c r="U21" i="209" s="1"/>
  <c r="T21" i="209" a="1"/>
  <c r="T21" i="209" s="1"/>
  <c r="S21" i="209" a="1"/>
  <c r="S21" i="209" s="1"/>
  <c r="R21" i="209" a="1"/>
  <c r="R21" i="209" s="1"/>
  <c r="Q21" i="209" a="1"/>
  <c r="Q21" i="209" s="1"/>
  <c r="P21" i="209" a="1"/>
  <c r="P21" i="209" s="1"/>
  <c r="O21" i="209" a="1"/>
  <c r="O21" i="209" s="1"/>
  <c r="N21" i="209" a="1"/>
  <c r="N21" i="209" s="1"/>
  <c r="M21" i="209" a="1"/>
  <c r="M21" i="209" s="1"/>
  <c r="L21" i="209" a="1"/>
  <c r="L21" i="209" s="1"/>
  <c r="K21" i="209" a="1"/>
  <c r="K21" i="209" s="1"/>
  <c r="J21" i="209" a="1"/>
  <c r="J21" i="209" s="1"/>
  <c r="I21" i="209" a="1"/>
  <c r="I21" i="209" s="1"/>
  <c r="H21" i="209" a="1"/>
  <c r="H21" i="209" s="1"/>
  <c r="G21" i="209"/>
  <c r="AA20" i="209"/>
  <c r="AA20" i="209" a="1"/>
  <c r="Z20" i="209"/>
  <c r="Z20" i="209" a="1"/>
  <c r="Y20" i="209"/>
  <c r="Y20" i="209" a="1"/>
  <c r="X20" i="209"/>
  <c r="X20" i="209" a="1"/>
  <c r="W20" i="209"/>
  <c r="W20" i="209" a="1"/>
  <c r="V20" i="209"/>
  <c r="V20" i="209" a="1"/>
  <c r="U20" i="209"/>
  <c r="U20" i="209" a="1"/>
  <c r="T20" i="209"/>
  <c r="T20" i="209" a="1"/>
  <c r="S20" i="209"/>
  <c r="S20" i="209" a="1"/>
  <c r="R20" i="209"/>
  <c r="R20" i="209" a="1"/>
  <c r="Q20" i="209"/>
  <c r="Q20" i="209" a="1"/>
  <c r="P20" i="209"/>
  <c r="P20" i="209" a="1"/>
  <c r="O20" i="209"/>
  <c r="O20" i="209" a="1"/>
  <c r="N20" i="209"/>
  <c r="N20" i="209" a="1"/>
  <c r="M20" i="209"/>
  <c r="M20" i="209" a="1"/>
  <c r="L20" i="209"/>
  <c r="L20" i="209" a="1"/>
  <c r="K20" i="209"/>
  <c r="K20" i="209" a="1"/>
  <c r="J20" i="209"/>
  <c r="J20" i="209" a="1"/>
  <c r="I20" i="209"/>
  <c r="I20" i="209" a="1"/>
  <c r="H20" i="209"/>
  <c r="H20" i="209" a="1"/>
  <c r="G20" i="209"/>
  <c r="AA19" i="209" a="1"/>
  <c r="AA19" i="209" s="1"/>
  <c r="Z19" i="209" a="1"/>
  <c r="Z19" i="209" s="1"/>
  <c r="Y19" i="209" a="1"/>
  <c r="Y19" i="209" s="1"/>
  <c r="X19" i="209" a="1"/>
  <c r="X19" i="209" s="1"/>
  <c r="W19" i="209" a="1"/>
  <c r="W19" i="209" s="1"/>
  <c r="V19" i="209" a="1"/>
  <c r="V19" i="209" s="1"/>
  <c r="U19" i="209" a="1"/>
  <c r="U19" i="209" s="1"/>
  <c r="T19" i="209" a="1"/>
  <c r="T19" i="209" s="1"/>
  <c r="S19" i="209" a="1"/>
  <c r="S19" i="209" s="1"/>
  <c r="R19" i="209" a="1"/>
  <c r="R19" i="209" s="1"/>
  <c r="Q19" i="209" a="1"/>
  <c r="Q19" i="209" s="1"/>
  <c r="P19" i="209" a="1"/>
  <c r="P19" i="209" s="1"/>
  <c r="O19" i="209" a="1"/>
  <c r="O19" i="209" s="1"/>
  <c r="N19" i="209" a="1"/>
  <c r="N19" i="209" s="1"/>
  <c r="M19" i="209" a="1"/>
  <c r="M19" i="209" s="1"/>
  <c r="L19" i="209" a="1"/>
  <c r="L19" i="209" s="1"/>
  <c r="K19" i="209" a="1"/>
  <c r="K19" i="209" s="1"/>
  <c r="J19" i="209" a="1"/>
  <c r="J19" i="209" s="1"/>
  <c r="I19" i="209" a="1"/>
  <c r="I19" i="209" s="1"/>
  <c r="H19" i="209" a="1"/>
  <c r="H19" i="209" s="1"/>
  <c r="G19" i="209"/>
  <c r="AA18" i="209"/>
  <c r="AA18" i="209" a="1"/>
  <c r="Z18" i="209"/>
  <c r="Z18" i="209" a="1"/>
  <c r="Y18" i="209"/>
  <c r="Y18" i="209" a="1"/>
  <c r="X18" i="209"/>
  <c r="X18" i="209" a="1"/>
  <c r="W18" i="209"/>
  <c r="W18" i="209" a="1"/>
  <c r="V18" i="209"/>
  <c r="V18" i="209" a="1"/>
  <c r="U18" i="209" a="1"/>
  <c r="U18" i="209" s="1"/>
  <c r="T18" i="209"/>
  <c r="T18" i="209" a="1"/>
  <c r="S18" i="209"/>
  <c r="S18" i="209" a="1"/>
  <c r="R18" i="209"/>
  <c r="R18" i="209" a="1"/>
  <c r="Q18" i="209" a="1"/>
  <c r="Q18" i="209" s="1"/>
  <c r="P18" i="209" a="1"/>
  <c r="P18" i="209" s="1"/>
  <c r="O18" i="209"/>
  <c r="O18" i="209" a="1"/>
  <c r="N18" i="209"/>
  <c r="N18" i="209" a="1"/>
  <c r="M18" i="209" a="1"/>
  <c r="M18" i="209" s="1"/>
  <c r="I18" i="209" a="1"/>
  <c r="I18" i="209" s="1"/>
  <c r="G18" i="209"/>
  <c r="AA17" i="209" a="1"/>
  <c r="AA17" i="209" s="1"/>
  <c r="Z17" i="209"/>
  <c r="Z17" i="209" a="1"/>
  <c r="Y17" i="209"/>
  <c r="Y17" i="209" a="1"/>
  <c r="X17" i="209" a="1"/>
  <c r="X17" i="209" s="1"/>
  <c r="W17" i="209" a="1"/>
  <c r="W17" i="209" s="1"/>
  <c r="V17" i="209"/>
  <c r="V17" i="209" a="1"/>
  <c r="U17" i="209"/>
  <c r="U17" i="209" a="1"/>
  <c r="T17" i="209" a="1"/>
  <c r="T17" i="209" s="1"/>
  <c r="S17" i="209" a="1"/>
  <c r="S17" i="209" s="1"/>
  <c r="R17" i="209"/>
  <c r="R17" i="209" a="1"/>
  <c r="Q17" i="209"/>
  <c r="Q17" i="209" a="1"/>
  <c r="P17" i="209" a="1"/>
  <c r="P17" i="209" s="1"/>
  <c r="O17" i="209" a="1"/>
  <c r="O17" i="209" s="1"/>
  <c r="N17" i="209"/>
  <c r="N17" i="209" a="1"/>
  <c r="M17" i="209" a="1"/>
  <c r="M17" i="209" s="1"/>
  <c r="L17" i="209" a="1"/>
  <c r="L17" i="209" s="1"/>
  <c r="K17" i="209" a="1"/>
  <c r="K17" i="209" s="1"/>
  <c r="J17" i="209" a="1"/>
  <c r="J17" i="209" s="1"/>
  <c r="I17" i="209" a="1"/>
  <c r="I17" i="209" s="1"/>
  <c r="H17" i="209" a="1"/>
  <c r="H17" i="209" s="1"/>
  <c r="G17" i="209"/>
  <c r="AA16" i="209"/>
  <c r="AA16" i="209" a="1"/>
  <c r="Z16" i="209" a="1"/>
  <c r="Z16" i="209" s="1"/>
  <c r="Y16" i="209" a="1"/>
  <c r="Y16" i="209" s="1"/>
  <c r="X16" i="209"/>
  <c r="X16" i="209" a="1"/>
  <c r="W16" i="209"/>
  <c r="W16" i="209" a="1"/>
  <c r="V16" i="209" a="1"/>
  <c r="V16" i="209" s="1"/>
  <c r="U16" i="209" a="1"/>
  <c r="U16" i="209" s="1"/>
  <c r="T16" i="209"/>
  <c r="T16" i="209" a="1"/>
  <c r="S16" i="209"/>
  <c r="S16" i="209" a="1"/>
  <c r="R16" i="209" a="1"/>
  <c r="R16" i="209" s="1"/>
  <c r="Q16" i="209" a="1"/>
  <c r="Q16" i="209" s="1"/>
  <c r="P16" i="209"/>
  <c r="P16" i="209" a="1"/>
  <c r="O16" i="209"/>
  <c r="O16" i="209" a="1"/>
  <c r="N16" i="209" a="1"/>
  <c r="N16" i="209" s="1"/>
  <c r="M16" i="209" a="1"/>
  <c r="M16" i="209" s="1"/>
  <c r="L16" i="209"/>
  <c r="L16" i="209" a="1"/>
  <c r="K16" i="209"/>
  <c r="K16" i="209" a="1"/>
  <c r="J16" i="209" a="1"/>
  <c r="J16" i="209" s="1"/>
  <c r="I16" i="209" a="1"/>
  <c r="I16" i="209" s="1"/>
  <c r="H16" i="209"/>
  <c r="H16" i="209" a="1"/>
  <c r="G16" i="209"/>
  <c r="AA15" i="209"/>
  <c r="AA15" i="209" a="1"/>
  <c r="Z15" i="209"/>
  <c r="Z15" i="209" a="1"/>
  <c r="Y15" i="209" a="1"/>
  <c r="Y15" i="209" s="1"/>
  <c r="X15" i="209" a="1"/>
  <c r="X15" i="209" s="1"/>
  <c r="W15" i="209"/>
  <c r="W15" i="209" a="1"/>
  <c r="V15" i="209"/>
  <c r="V15" i="209" a="1"/>
  <c r="U15" i="209" a="1"/>
  <c r="U15" i="209" s="1"/>
  <c r="T15" i="209" a="1"/>
  <c r="T15" i="209" s="1"/>
  <c r="S15" i="209"/>
  <c r="S15" i="209" a="1"/>
  <c r="R15" i="209"/>
  <c r="R15" i="209" a="1"/>
  <c r="Q15" i="209" a="1"/>
  <c r="Q15" i="209" s="1"/>
  <c r="P15" i="209" a="1"/>
  <c r="P15" i="209" s="1"/>
  <c r="O15" i="209"/>
  <c r="O15" i="209" a="1"/>
  <c r="N15" i="209"/>
  <c r="N15" i="209" a="1"/>
  <c r="M15" i="209" a="1"/>
  <c r="M15" i="209" s="1"/>
  <c r="L15" i="209" a="1"/>
  <c r="L15" i="209" s="1"/>
  <c r="K15" i="209"/>
  <c r="K15" i="209" a="1"/>
  <c r="J15" i="209"/>
  <c r="J15" i="209" a="1"/>
  <c r="I15" i="209" a="1"/>
  <c r="I15" i="209" s="1"/>
  <c r="H15" i="209" a="1"/>
  <c r="H15" i="209" s="1"/>
  <c r="G15" i="209"/>
  <c r="D9" i="209"/>
  <c r="E7" i="209"/>
  <c r="D7" i="209"/>
  <c r="C7" i="209"/>
  <c r="B7" i="209"/>
  <c r="A7" i="209"/>
  <c r="F6" i="209"/>
  <c r="AA23" i="208" a="1"/>
  <c r="AA23" i="208" s="1"/>
  <c r="Z23" i="208" a="1"/>
  <c r="Z23" i="208" s="1"/>
  <c r="Y23" i="208" a="1"/>
  <c r="Y23" i="208" s="1"/>
  <c r="X23" i="208" a="1"/>
  <c r="X23" i="208" s="1"/>
  <c r="W23" i="208" a="1"/>
  <c r="W23" i="208" s="1"/>
  <c r="V23" i="208" a="1"/>
  <c r="V23" i="208" s="1"/>
  <c r="U23" i="208" a="1"/>
  <c r="U23" i="208" s="1"/>
  <c r="T23" i="208" a="1"/>
  <c r="T23" i="208" s="1"/>
  <c r="S23" i="208" a="1"/>
  <c r="S23" i="208" s="1"/>
  <c r="R23" i="208" a="1"/>
  <c r="R23" i="208" s="1"/>
  <c r="Q23" i="208" a="1"/>
  <c r="Q23" i="208" s="1"/>
  <c r="P23" i="208" a="1"/>
  <c r="P23" i="208" s="1"/>
  <c r="O23" i="208" a="1"/>
  <c r="O23" i="208" s="1"/>
  <c r="N23" i="208" a="1"/>
  <c r="N23" i="208" s="1"/>
  <c r="M23" i="208" a="1"/>
  <c r="M23" i="208" s="1"/>
  <c r="L23" i="208" a="1"/>
  <c r="L23" i="208" s="1"/>
  <c r="K23" i="208" a="1"/>
  <c r="K23" i="208" s="1"/>
  <c r="J23" i="208" a="1"/>
  <c r="J23" i="208" s="1"/>
  <c r="I23" i="208" a="1"/>
  <c r="I23" i="208" s="1"/>
  <c r="H23" i="208" a="1"/>
  <c r="H23" i="208" s="1"/>
  <c r="G23" i="208"/>
  <c r="AA22" i="208"/>
  <c r="AA22" i="208" a="1"/>
  <c r="Z22" i="208" a="1"/>
  <c r="Z22" i="208" s="1"/>
  <c r="Y22" i="208" a="1"/>
  <c r="Y22" i="208" s="1"/>
  <c r="X22" i="208"/>
  <c r="X22" i="208" a="1"/>
  <c r="W22" i="208"/>
  <c r="W22" i="208" a="1"/>
  <c r="V22" i="208" a="1"/>
  <c r="V22" i="208" s="1"/>
  <c r="U22" i="208" a="1"/>
  <c r="U22" i="208" s="1"/>
  <c r="T22" i="208"/>
  <c r="T22" i="208" a="1"/>
  <c r="S22" i="208"/>
  <c r="S22" i="208" a="1"/>
  <c r="R22" i="208" a="1"/>
  <c r="R22" i="208" s="1"/>
  <c r="Q22" i="208" a="1"/>
  <c r="Q22" i="208" s="1"/>
  <c r="P22" i="208"/>
  <c r="P22" i="208" a="1"/>
  <c r="O22" i="208"/>
  <c r="O22" i="208" a="1"/>
  <c r="N22" i="208" a="1"/>
  <c r="N22" i="208" s="1"/>
  <c r="M22" i="208" a="1"/>
  <c r="M22" i="208" s="1"/>
  <c r="L22" i="208"/>
  <c r="L22" i="208" a="1"/>
  <c r="K22" i="208"/>
  <c r="K22" i="208" a="1"/>
  <c r="J22" i="208" a="1"/>
  <c r="J22" i="208" s="1"/>
  <c r="I22" i="208" a="1"/>
  <c r="I22" i="208" s="1"/>
  <c r="H22" i="208"/>
  <c r="H22" i="208" a="1"/>
  <c r="G22" i="208"/>
  <c r="AA21" i="208" a="1"/>
  <c r="AA21" i="208" s="1"/>
  <c r="Z21" i="208" a="1"/>
  <c r="Z21" i="208" s="1"/>
  <c r="Y21" i="208" a="1"/>
  <c r="Y21" i="208" s="1"/>
  <c r="X21" i="208" a="1"/>
  <c r="X21" i="208" s="1"/>
  <c r="W21" i="208" a="1"/>
  <c r="W21" i="208" s="1"/>
  <c r="V21" i="208" a="1"/>
  <c r="V21" i="208" s="1"/>
  <c r="U21" i="208" a="1"/>
  <c r="U21" i="208" s="1"/>
  <c r="T21" i="208" a="1"/>
  <c r="T21" i="208" s="1"/>
  <c r="S21" i="208"/>
  <c r="S21" i="208" a="1"/>
  <c r="R21" i="208" a="1"/>
  <c r="R21" i="208" s="1"/>
  <c r="Q21" i="208" a="1"/>
  <c r="Q21" i="208" s="1"/>
  <c r="P21" i="208" a="1"/>
  <c r="P21" i="208" s="1"/>
  <c r="O21" i="208"/>
  <c r="O21" i="208" a="1"/>
  <c r="N21" i="208" a="1"/>
  <c r="N21" i="208" s="1"/>
  <c r="M21" i="208" a="1"/>
  <c r="M21" i="208" s="1"/>
  <c r="L21" i="208" a="1"/>
  <c r="L21" i="208" s="1"/>
  <c r="K21" i="208"/>
  <c r="K21" i="208" a="1"/>
  <c r="J21" i="208" a="1"/>
  <c r="J21" i="208" s="1"/>
  <c r="I21" i="208" a="1"/>
  <c r="I21" i="208" s="1"/>
  <c r="H21" i="208" a="1"/>
  <c r="H21" i="208" s="1"/>
  <c r="G21" i="208"/>
  <c r="AA20" i="208"/>
  <c r="AA20" i="208" a="1"/>
  <c r="Z20" i="208" a="1"/>
  <c r="Z20" i="208" s="1"/>
  <c r="Y20" i="208"/>
  <c r="Y20" i="208" a="1"/>
  <c r="X20" i="208" a="1"/>
  <c r="X20" i="208" s="1"/>
  <c r="W20" i="208"/>
  <c r="W20" i="208" a="1"/>
  <c r="V20" i="208" a="1"/>
  <c r="V20" i="208" s="1"/>
  <c r="U20" i="208"/>
  <c r="U20" i="208" a="1"/>
  <c r="T20" i="208" a="1"/>
  <c r="T20" i="208" s="1"/>
  <c r="S20" i="208"/>
  <c r="S20" i="208" a="1"/>
  <c r="R20" i="208" a="1"/>
  <c r="R20" i="208" s="1"/>
  <c r="Q20" i="208"/>
  <c r="Q20" i="208" a="1"/>
  <c r="P20" i="208" a="1"/>
  <c r="P20" i="208" s="1"/>
  <c r="O20" i="208"/>
  <c r="O20" i="208" a="1"/>
  <c r="N20" i="208" a="1"/>
  <c r="N20" i="208" s="1"/>
  <c r="M20" i="208"/>
  <c r="M20" i="208" a="1"/>
  <c r="L20" i="208" a="1"/>
  <c r="L20" i="208" s="1"/>
  <c r="K20" i="208"/>
  <c r="K20" i="208" a="1"/>
  <c r="J20" i="208" a="1"/>
  <c r="J20" i="208" s="1"/>
  <c r="I20" i="208"/>
  <c r="I20" i="208" a="1"/>
  <c r="H20" i="208" a="1"/>
  <c r="H20" i="208" s="1"/>
  <c r="G20" i="208"/>
  <c r="AA19" i="208" a="1"/>
  <c r="AA19" i="208" s="1"/>
  <c r="Z19" i="208" a="1"/>
  <c r="Z19" i="208" s="1"/>
  <c r="Y19" i="208" a="1"/>
  <c r="Y19" i="208" s="1"/>
  <c r="X19" i="208"/>
  <c r="X19" i="208" a="1"/>
  <c r="W19" i="208" a="1"/>
  <c r="W19" i="208" s="1"/>
  <c r="V19" i="208" a="1"/>
  <c r="V19" i="208" s="1"/>
  <c r="U19" i="208" a="1"/>
  <c r="U19" i="208" s="1"/>
  <c r="T19" i="208"/>
  <c r="T19" i="208" a="1"/>
  <c r="S19" i="208" a="1"/>
  <c r="S19" i="208" s="1"/>
  <c r="R19" i="208" a="1"/>
  <c r="R19" i="208" s="1"/>
  <c r="Q19" i="208" a="1"/>
  <c r="Q19" i="208" s="1"/>
  <c r="P19" i="208"/>
  <c r="P19" i="208" a="1"/>
  <c r="O19" i="208" a="1"/>
  <c r="O19" i="208" s="1"/>
  <c r="N19" i="208" a="1"/>
  <c r="N19" i="208" s="1"/>
  <c r="M19" i="208" a="1"/>
  <c r="M19" i="208" s="1"/>
  <c r="L19" i="208"/>
  <c r="L19" i="208" a="1"/>
  <c r="K19" i="208" a="1"/>
  <c r="K19" i="208" s="1"/>
  <c r="J19" i="208" a="1"/>
  <c r="J19" i="208" s="1"/>
  <c r="I19" i="208" a="1"/>
  <c r="I19" i="208" s="1"/>
  <c r="H19" i="208"/>
  <c r="H19" i="208" a="1"/>
  <c r="G19" i="208"/>
  <c r="AA18" i="208" a="1"/>
  <c r="AA18" i="208" s="1"/>
  <c r="Z18" i="208"/>
  <c r="Z18" i="208" a="1"/>
  <c r="Y18" i="208" a="1"/>
  <c r="Y18" i="208" s="1"/>
  <c r="X18" i="208"/>
  <c r="X18" i="208" a="1"/>
  <c r="W18" i="208" a="1"/>
  <c r="W18" i="208" s="1"/>
  <c r="V18" i="208"/>
  <c r="V18" i="208" a="1"/>
  <c r="U18" i="208" a="1"/>
  <c r="U18" i="208" s="1"/>
  <c r="T18" i="208" a="1"/>
  <c r="T18" i="208" s="1"/>
  <c r="S18" i="208" a="1"/>
  <c r="S18" i="208" s="1"/>
  <c r="R18" i="208"/>
  <c r="R18" i="208" a="1"/>
  <c r="Q18" i="208" a="1"/>
  <c r="Q18" i="208" s="1"/>
  <c r="P18" i="208" a="1"/>
  <c r="P18" i="208" s="1"/>
  <c r="O18" i="208" a="1"/>
  <c r="O18" i="208" s="1"/>
  <c r="N18" i="208"/>
  <c r="N18" i="208" a="1"/>
  <c r="M18" i="208" a="1"/>
  <c r="M18" i="208" s="1"/>
  <c r="I18" i="208" a="1"/>
  <c r="I18" i="208" s="1"/>
  <c r="G18" i="208"/>
  <c r="AA17" i="208" a="1"/>
  <c r="AA17" i="208" s="1"/>
  <c r="Z17" i="208"/>
  <c r="Z17" i="208" a="1"/>
  <c r="Y17" i="208"/>
  <c r="Y17" i="208" a="1"/>
  <c r="X17" i="208" a="1"/>
  <c r="X17" i="208" s="1"/>
  <c r="W17" i="208" a="1"/>
  <c r="W17" i="208" s="1"/>
  <c r="V17" i="208"/>
  <c r="V17" i="208" a="1"/>
  <c r="U17" i="208"/>
  <c r="U17" i="208" a="1"/>
  <c r="T17" i="208" a="1"/>
  <c r="T17" i="208" s="1"/>
  <c r="S17" i="208" a="1"/>
  <c r="S17" i="208" s="1"/>
  <c r="R17" i="208"/>
  <c r="R17" i="208" a="1"/>
  <c r="Q17" i="208"/>
  <c r="Q17" i="208" a="1"/>
  <c r="P17" i="208" a="1"/>
  <c r="P17" i="208" s="1"/>
  <c r="O17" i="208" a="1"/>
  <c r="O17" i="208" s="1"/>
  <c r="N17" i="208"/>
  <c r="N17" i="208" a="1"/>
  <c r="M17" i="208"/>
  <c r="M17" i="208" a="1"/>
  <c r="L17" i="208" a="1"/>
  <c r="L17" i="208" s="1"/>
  <c r="K17" i="208" a="1"/>
  <c r="K17" i="208" s="1"/>
  <c r="J17" i="208" a="1"/>
  <c r="J17" i="208" s="1"/>
  <c r="I17" i="208"/>
  <c r="I17" i="208" a="1"/>
  <c r="H17" i="208" a="1"/>
  <c r="H17" i="208" s="1"/>
  <c r="G17" i="208"/>
  <c r="AA16" i="208"/>
  <c r="AA16" i="208" a="1"/>
  <c r="Z16" i="208" a="1"/>
  <c r="Z16" i="208" s="1"/>
  <c r="Y16" i="208" a="1"/>
  <c r="Y16" i="208" s="1"/>
  <c r="X16" i="208" a="1"/>
  <c r="X16" i="208" s="1"/>
  <c r="W16" i="208"/>
  <c r="W16" i="208" a="1"/>
  <c r="V16" i="208" a="1"/>
  <c r="V16" i="208" s="1"/>
  <c r="U16" i="208" a="1"/>
  <c r="U16" i="208" s="1"/>
  <c r="T16" i="208" a="1"/>
  <c r="T16" i="208" s="1"/>
  <c r="S16" i="208"/>
  <c r="S16" i="208" a="1"/>
  <c r="R16" i="208" a="1"/>
  <c r="R16" i="208" s="1"/>
  <c r="R6" i="208" s="1"/>
  <c r="Q16" i="208" a="1"/>
  <c r="Q16" i="208" s="1"/>
  <c r="P16" i="208" a="1"/>
  <c r="P16" i="208" s="1"/>
  <c r="O16" i="208"/>
  <c r="O16" i="208" a="1"/>
  <c r="N16" i="208" a="1"/>
  <c r="N16" i="208" s="1"/>
  <c r="M16" i="208" a="1"/>
  <c r="M16" i="208" s="1"/>
  <c r="L16" i="208" a="1"/>
  <c r="L16" i="208" s="1"/>
  <c r="K16" i="208"/>
  <c r="K16" i="208" a="1"/>
  <c r="J16" i="208" a="1"/>
  <c r="J16" i="208" s="1"/>
  <c r="J6" i="208" s="1"/>
  <c r="I16" i="208" a="1"/>
  <c r="I16" i="208" s="1"/>
  <c r="H16" i="208" a="1"/>
  <c r="H16" i="208" s="1"/>
  <c r="G16" i="208"/>
  <c r="AA15" i="208"/>
  <c r="AA15" i="208" a="1"/>
  <c r="Z15" i="208"/>
  <c r="Z15" i="208" a="1"/>
  <c r="Y15" i="208"/>
  <c r="Y15" i="208" a="1"/>
  <c r="X15" i="208" a="1"/>
  <c r="X15" i="208" s="1"/>
  <c r="W15" i="208"/>
  <c r="W15" i="208" a="1"/>
  <c r="V15" i="208"/>
  <c r="V15" i="208" a="1"/>
  <c r="U15" i="208"/>
  <c r="U15" i="208" a="1"/>
  <c r="T15" i="208" a="1"/>
  <c r="T15" i="208" s="1"/>
  <c r="S15" i="208"/>
  <c r="S15" i="208" a="1"/>
  <c r="R15" i="208"/>
  <c r="R15" i="208" a="1"/>
  <c r="Q15" i="208" a="1"/>
  <c r="Q15" i="208" s="1"/>
  <c r="Q6" i="208" s="1"/>
  <c r="P15" i="208" a="1"/>
  <c r="P15" i="208" s="1"/>
  <c r="O15" i="208"/>
  <c r="O15" i="208" a="1"/>
  <c r="N15" i="208"/>
  <c r="N15" i="208" a="1"/>
  <c r="M15" i="208" a="1"/>
  <c r="M15" i="208" s="1"/>
  <c r="L15" i="208" a="1"/>
  <c r="L15" i="208" s="1"/>
  <c r="K15" i="208"/>
  <c r="K15" i="208" a="1"/>
  <c r="J15" i="208"/>
  <c r="J15" i="208" a="1"/>
  <c r="I15" i="208" a="1"/>
  <c r="I15" i="208" s="1"/>
  <c r="I6" i="208" s="1"/>
  <c r="H15" i="208" a="1"/>
  <c r="H15" i="208" s="1"/>
  <c r="G15" i="208"/>
  <c r="D9" i="208"/>
  <c r="E7" i="208"/>
  <c r="D7" i="208"/>
  <c r="C7" i="208"/>
  <c r="B7" i="208"/>
  <c r="A7" i="208"/>
  <c r="F6" i="208"/>
  <c r="G6" i="210" l="1"/>
  <c r="Q6" i="209"/>
  <c r="L6" i="209"/>
  <c r="W6" i="209"/>
  <c r="R6" i="209"/>
  <c r="M6" i="209"/>
  <c r="I6" i="209"/>
  <c r="Y6" i="209"/>
  <c r="T6" i="209"/>
  <c r="J6" i="209"/>
  <c r="Z6" i="209"/>
  <c r="U6" i="209"/>
  <c r="P6" i="209"/>
  <c r="H6" i="209"/>
  <c r="X6" i="209"/>
  <c r="K6" i="209"/>
  <c r="S6" i="209"/>
  <c r="AA6" i="209"/>
  <c r="N6" i="209"/>
  <c r="V6" i="209"/>
  <c r="O6" i="209"/>
  <c r="P6" i="208"/>
  <c r="V6" i="208"/>
  <c r="M6" i="208"/>
  <c r="Z6" i="208"/>
  <c r="Y6" i="208"/>
  <c r="G6" i="208"/>
  <c r="N6" i="208"/>
  <c r="X6" i="208"/>
  <c r="L6" i="208"/>
  <c r="H6" i="208"/>
  <c r="T6" i="208"/>
  <c r="S6" i="208"/>
  <c r="AA6" i="208"/>
  <c r="U6" i="208"/>
  <c r="K6" i="208"/>
  <c r="O6" i="208"/>
  <c r="W6" i="208"/>
  <c r="V9" i="106"/>
  <c r="AA23" i="207" a="1"/>
  <c r="AA23" i="207" s="1"/>
  <c r="Z23" i="207" a="1"/>
  <c r="Z23" i="207" s="1"/>
  <c r="Y23" i="207" a="1"/>
  <c r="Y23" i="207" s="1"/>
  <c r="X23" i="207" a="1"/>
  <c r="X23" i="207" s="1"/>
  <c r="W23" i="207" a="1"/>
  <c r="W23" i="207" s="1"/>
  <c r="V23" i="207" a="1"/>
  <c r="V23" i="207" s="1"/>
  <c r="U23" i="207" a="1"/>
  <c r="U23" i="207" s="1"/>
  <c r="T23" i="207" a="1"/>
  <c r="T23" i="207" s="1"/>
  <c r="S23" i="207" a="1"/>
  <c r="S23" i="207" s="1"/>
  <c r="R23" i="207" a="1"/>
  <c r="R23" i="207" s="1"/>
  <c r="Q23" i="207" a="1"/>
  <c r="Q23" i="207" s="1"/>
  <c r="P23" i="207" a="1"/>
  <c r="P23" i="207" s="1"/>
  <c r="O23" i="207" a="1"/>
  <c r="O23" i="207" s="1"/>
  <c r="N23" i="207" a="1"/>
  <c r="N23" i="207" s="1"/>
  <c r="M23" i="207" a="1"/>
  <c r="M23" i="207" s="1"/>
  <c r="L23" i="207" a="1"/>
  <c r="L23" i="207" s="1"/>
  <c r="K23" i="207" a="1"/>
  <c r="K23" i="207" s="1"/>
  <c r="J23" i="207" a="1"/>
  <c r="J23" i="207" s="1"/>
  <c r="I23" i="207" a="1"/>
  <c r="I23" i="207" s="1"/>
  <c r="H23" i="207" a="1"/>
  <c r="H23" i="207" s="1"/>
  <c r="G23" i="207"/>
  <c r="AA22" i="207"/>
  <c r="AA22" i="207" a="1"/>
  <c r="Z22" i="207" a="1"/>
  <c r="Z22" i="207" s="1"/>
  <c r="Y22" i="207"/>
  <c r="Y22" i="207" a="1"/>
  <c r="X22" i="207"/>
  <c r="X22" i="207" a="1"/>
  <c r="W22" i="207"/>
  <c r="W22" i="207" a="1"/>
  <c r="V22" i="207" a="1"/>
  <c r="V22" i="207" s="1"/>
  <c r="U22" i="207"/>
  <c r="U22" i="207" a="1"/>
  <c r="T22" i="207"/>
  <c r="T22" i="207" a="1"/>
  <c r="S22" i="207"/>
  <c r="S22" i="207" a="1"/>
  <c r="R22" i="207" a="1"/>
  <c r="R22" i="207" s="1"/>
  <c r="Q22" i="207"/>
  <c r="Q22" i="207" a="1"/>
  <c r="P22" i="207"/>
  <c r="P22" i="207" a="1"/>
  <c r="O22" i="207"/>
  <c r="O22" i="207" a="1"/>
  <c r="N22" i="207" a="1"/>
  <c r="N22" i="207" s="1"/>
  <c r="M22" i="207"/>
  <c r="M22" i="207" a="1"/>
  <c r="L22" i="207"/>
  <c r="L22" i="207" a="1"/>
  <c r="K22" i="207"/>
  <c r="K22" i="207" a="1"/>
  <c r="J22" i="207" a="1"/>
  <c r="J22" i="207" s="1"/>
  <c r="I22" i="207"/>
  <c r="I22" i="207" a="1"/>
  <c r="H22" i="207"/>
  <c r="H22" i="207" a="1"/>
  <c r="G22" i="207"/>
  <c r="AA21" i="207" a="1"/>
  <c r="AA21" i="207" s="1"/>
  <c r="Z21" i="207" a="1"/>
  <c r="Z21" i="207" s="1"/>
  <c r="Y21" i="207" a="1"/>
  <c r="Y21" i="207" s="1"/>
  <c r="X21" i="207"/>
  <c r="X21" i="207" a="1"/>
  <c r="W21" i="207" a="1"/>
  <c r="W21" i="207" s="1"/>
  <c r="V21" i="207" a="1"/>
  <c r="V21" i="207" s="1"/>
  <c r="U21" i="207" a="1"/>
  <c r="U21" i="207" s="1"/>
  <c r="T21" i="207" a="1"/>
  <c r="T21" i="207" s="1"/>
  <c r="S21" i="207" a="1"/>
  <c r="S21" i="207" s="1"/>
  <c r="R21" i="207" a="1"/>
  <c r="R21" i="207" s="1"/>
  <c r="Q21" i="207" a="1"/>
  <c r="Q21" i="207" s="1"/>
  <c r="P21" i="207" a="1"/>
  <c r="P21" i="207" s="1"/>
  <c r="O21" i="207" a="1"/>
  <c r="O21" i="207" s="1"/>
  <c r="N21" i="207" a="1"/>
  <c r="N21" i="207" s="1"/>
  <c r="M21" i="207" a="1"/>
  <c r="M21" i="207" s="1"/>
  <c r="L21" i="207" a="1"/>
  <c r="L21" i="207" s="1"/>
  <c r="K21" i="207" a="1"/>
  <c r="K21" i="207" s="1"/>
  <c r="J21" i="207" a="1"/>
  <c r="J21" i="207" s="1"/>
  <c r="I21" i="207" a="1"/>
  <c r="I21" i="207" s="1"/>
  <c r="H21" i="207" a="1"/>
  <c r="H21" i="207" s="1"/>
  <c r="G21" i="207"/>
  <c r="AA20" i="207" a="1"/>
  <c r="AA20" i="207" s="1"/>
  <c r="Z20" i="207"/>
  <c r="Z20" i="207" a="1"/>
  <c r="Y20" i="207"/>
  <c r="Y20" i="207" a="1"/>
  <c r="X20" i="207"/>
  <c r="X20" i="207" a="1"/>
  <c r="W20" i="207" a="1"/>
  <c r="W20" i="207" s="1"/>
  <c r="V20" i="207"/>
  <c r="V20" i="207" a="1"/>
  <c r="U20" i="207"/>
  <c r="U20" i="207" a="1"/>
  <c r="T20" i="207"/>
  <c r="T20" i="207" a="1"/>
  <c r="S20" i="207" a="1"/>
  <c r="S20" i="207" s="1"/>
  <c r="R20" i="207"/>
  <c r="R20" i="207" a="1"/>
  <c r="Q20" i="207"/>
  <c r="Q20" i="207" a="1"/>
  <c r="P20" i="207"/>
  <c r="P20" i="207" a="1"/>
  <c r="O20" i="207" a="1"/>
  <c r="O20" i="207" s="1"/>
  <c r="N20" i="207"/>
  <c r="N20" i="207" a="1"/>
  <c r="M20" i="207"/>
  <c r="M20" i="207" a="1"/>
  <c r="L20" i="207"/>
  <c r="L20" i="207" a="1"/>
  <c r="K20" i="207" a="1"/>
  <c r="K20" i="207" s="1"/>
  <c r="J20" i="207"/>
  <c r="J20" i="207" a="1"/>
  <c r="I20" i="207"/>
  <c r="I20" i="207" a="1"/>
  <c r="H20" i="207"/>
  <c r="H20" i="207" a="1"/>
  <c r="G20" i="207"/>
  <c r="AA19" i="207" a="1"/>
  <c r="AA19" i="207" s="1"/>
  <c r="Z19" i="207" a="1"/>
  <c r="Z19" i="207" s="1"/>
  <c r="Y19" i="207" a="1"/>
  <c r="Y19" i="207" s="1"/>
  <c r="X19" i="207" a="1"/>
  <c r="X19" i="207" s="1"/>
  <c r="W19" i="207" a="1"/>
  <c r="W19" i="207" s="1"/>
  <c r="V19" i="207" a="1"/>
  <c r="V19" i="207" s="1"/>
  <c r="U19" i="207" a="1"/>
  <c r="U19" i="207" s="1"/>
  <c r="T19" i="207" a="1"/>
  <c r="T19" i="207" s="1"/>
  <c r="S19" i="207" a="1"/>
  <c r="S19" i="207" s="1"/>
  <c r="R19" i="207" a="1"/>
  <c r="R19" i="207" s="1"/>
  <c r="Q19" i="207" a="1"/>
  <c r="Q19" i="207" s="1"/>
  <c r="P19" i="207" a="1"/>
  <c r="P19" i="207" s="1"/>
  <c r="O19" i="207" a="1"/>
  <c r="O19" i="207" s="1"/>
  <c r="N19" i="207" a="1"/>
  <c r="N19" i="207" s="1"/>
  <c r="M19" i="207" a="1"/>
  <c r="M19" i="207" s="1"/>
  <c r="L19" i="207" a="1"/>
  <c r="L19" i="207" s="1"/>
  <c r="K19" i="207" a="1"/>
  <c r="K19" i="207" s="1"/>
  <c r="J19" i="207" a="1"/>
  <c r="J19" i="207" s="1"/>
  <c r="I19" i="207" a="1"/>
  <c r="I19" i="207" s="1"/>
  <c r="H19" i="207" a="1"/>
  <c r="H19" i="207" s="1"/>
  <c r="G19" i="207"/>
  <c r="AA18" i="207"/>
  <c r="AA18" i="207" a="1"/>
  <c r="Z18" i="207"/>
  <c r="Z18" i="207" a="1"/>
  <c r="Y18" i="207"/>
  <c r="Y18" i="207" a="1"/>
  <c r="X18" i="207"/>
  <c r="X18" i="207" a="1"/>
  <c r="W18" i="207"/>
  <c r="W18" i="207" a="1"/>
  <c r="V18" i="207"/>
  <c r="V18" i="207" a="1"/>
  <c r="U18" i="207"/>
  <c r="U18" i="207" a="1"/>
  <c r="T18" i="207"/>
  <c r="T18" i="207" a="1"/>
  <c r="S18" i="207"/>
  <c r="S18" i="207" a="1"/>
  <c r="R18" i="207"/>
  <c r="R18" i="207" a="1"/>
  <c r="Q18" i="207"/>
  <c r="Q18" i="207" a="1"/>
  <c r="P18" i="207" a="1"/>
  <c r="P18" i="207" s="1"/>
  <c r="O18" i="207" a="1"/>
  <c r="O18" i="207" s="1"/>
  <c r="N18" i="207"/>
  <c r="N18" i="207" a="1"/>
  <c r="M18" i="207" a="1"/>
  <c r="M18" i="207" s="1"/>
  <c r="I18" i="207" a="1"/>
  <c r="I18" i="207" s="1"/>
  <c r="G18" i="207"/>
  <c r="AA17" i="207" a="1"/>
  <c r="AA17" i="207" s="1"/>
  <c r="Z17" i="207" a="1"/>
  <c r="Z17" i="207" s="1"/>
  <c r="Y17" i="207" a="1"/>
  <c r="Y17" i="207" s="1"/>
  <c r="X17" i="207" a="1"/>
  <c r="X17" i="207" s="1"/>
  <c r="W17" i="207" a="1"/>
  <c r="W17" i="207" s="1"/>
  <c r="V17" i="207" a="1"/>
  <c r="V17" i="207" s="1"/>
  <c r="U17" i="207" a="1"/>
  <c r="U17" i="207" s="1"/>
  <c r="T17" i="207" a="1"/>
  <c r="T17" i="207" s="1"/>
  <c r="S17" i="207" a="1"/>
  <c r="S17" i="207" s="1"/>
  <c r="R17" i="207" a="1"/>
  <c r="R17" i="207" s="1"/>
  <c r="Q17" i="207" a="1"/>
  <c r="Q17" i="207" s="1"/>
  <c r="P17" i="207" a="1"/>
  <c r="P17" i="207" s="1"/>
  <c r="O17" i="207" a="1"/>
  <c r="O17" i="207" s="1"/>
  <c r="N17" i="207" a="1"/>
  <c r="N17" i="207" s="1"/>
  <c r="M17" i="207" a="1"/>
  <c r="M17" i="207" s="1"/>
  <c r="L17" i="207" a="1"/>
  <c r="L17" i="207" s="1"/>
  <c r="K17" i="207" a="1"/>
  <c r="K17" i="207" s="1"/>
  <c r="J17" i="207" a="1"/>
  <c r="J17" i="207" s="1"/>
  <c r="I17" i="207" a="1"/>
  <c r="I17" i="207" s="1"/>
  <c r="H17" i="207" a="1"/>
  <c r="H17" i="207" s="1"/>
  <c r="G17" i="207"/>
  <c r="AA16" i="207"/>
  <c r="AA16" i="207" a="1"/>
  <c r="Z16" i="207"/>
  <c r="Z16" i="207" a="1"/>
  <c r="Y16" i="207"/>
  <c r="Y16" i="207" a="1"/>
  <c r="X16" i="207"/>
  <c r="X16" i="207" a="1"/>
  <c r="W16" i="207"/>
  <c r="W16" i="207" a="1"/>
  <c r="V16" i="207"/>
  <c r="V16" i="207" a="1"/>
  <c r="U16" i="207"/>
  <c r="U16" i="207" a="1"/>
  <c r="T16" i="207"/>
  <c r="T16" i="207" a="1"/>
  <c r="S16" i="207"/>
  <c r="S16" i="207" a="1"/>
  <c r="R16" i="207"/>
  <c r="R16" i="207" a="1"/>
  <c r="Q16" i="207"/>
  <c r="Q16" i="207" a="1"/>
  <c r="P16" i="207"/>
  <c r="P16" i="207" a="1"/>
  <c r="O16" i="207"/>
  <c r="O16" i="207" a="1"/>
  <c r="N16" i="207"/>
  <c r="N16" i="207" a="1"/>
  <c r="M16" i="207"/>
  <c r="M16" i="207" a="1"/>
  <c r="L16" i="207"/>
  <c r="L16" i="207" a="1"/>
  <c r="K16" i="207"/>
  <c r="K16" i="207" a="1"/>
  <c r="J16" i="207"/>
  <c r="J16" i="207" a="1"/>
  <c r="I16" i="207"/>
  <c r="I16" i="207" a="1"/>
  <c r="H16" i="207"/>
  <c r="H16" i="207" a="1"/>
  <c r="G16" i="207"/>
  <c r="AA15" i="207" a="1"/>
  <c r="AA15" i="207" s="1"/>
  <c r="Z15" i="207" a="1"/>
  <c r="Z15" i="207" s="1"/>
  <c r="Y15" i="207" a="1"/>
  <c r="Y15" i="207" s="1"/>
  <c r="Y6" i="207" s="1"/>
  <c r="X15" i="207" a="1"/>
  <c r="X15" i="207" s="1"/>
  <c r="X6" i="207" s="1"/>
  <c r="W15" i="207" a="1"/>
  <c r="W15" i="207" s="1"/>
  <c r="V15" i="207" a="1"/>
  <c r="V15" i="207" s="1"/>
  <c r="V6" i="207" s="1"/>
  <c r="U15" i="207" a="1"/>
  <c r="U15" i="207" s="1"/>
  <c r="U6" i="207" s="1"/>
  <c r="T15" i="207" a="1"/>
  <c r="T15" i="207" s="1"/>
  <c r="S15" i="207" a="1"/>
  <c r="S15" i="207" s="1"/>
  <c r="R15" i="207" a="1"/>
  <c r="R15" i="207" s="1"/>
  <c r="Q15" i="207" a="1"/>
  <c r="Q15" i="207" s="1"/>
  <c r="Q6" i="207" s="1"/>
  <c r="P15" i="207" a="1"/>
  <c r="P15" i="207" s="1"/>
  <c r="P6" i="207" s="1"/>
  <c r="O15" i="207" a="1"/>
  <c r="O15" i="207" s="1"/>
  <c r="N15" i="207" a="1"/>
  <c r="N15" i="207" s="1"/>
  <c r="N6" i="207" s="1"/>
  <c r="M15" i="207" a="1"/>
  <c r="M15" i="207" s="1"/>
  <c r="M6" i="207" s="1"/>
  <c r="L15" i="207" a="1"/>
  <c r="L15" i="207" s="1"/>
  <c r="K15" i="207" a="1"/>
  <c r="K15" i="207" s="1"/>
  <c r="J15" i="207" a="1"/>
  <c r="J15" i="207" s="1"/>
  <c r="I15" i="207" a="1"/>
  <c r="I15" i="207" s="1"/>
  <c r="I6" i="207" s="1"/>
  <c r="H15" i="207" a="1"/>
  <c r="H15" i="207" s="1"/>
  <c r="H6" i="207" s="1"/>
  <c r="G15" i="207"/>
  <c r="G9" i="207"/>
  <c r="D9" i="207"/>
  <c r="E7" i="207"/>
  <c r="D7" i="207"/>
  <c r="C7" i="207"/>
  <c r="B7" i="207"/>
  <c r="A7" i="207"/>
  <c r="F6" i="207"/>
  <c r="AA23" i="206" a="1"/>
  <c r="AA23" i="206" s="1"/>
  <c r="Z23" i="206" a="1"/>
  <c r="Z23" i="206" s="1"/>
  <c r="Y23" i="206" a="1"/>
  <c r="Y23" i="206" s="1"/>
  <c r="X23" i="206" a="1"/>
  <c r="X23" i="206" s="1"/>
  <c r="W23" i="206" a="1"/>
  <c r="W23" i="206" s="1"/>
  <c r="V23" i="206" a="1"/>
  <c r="V23" i="206" s="1"/>
  <c r="U23" i="206" a="1"/>
  <c r="U23" i="206" s="1"/>
  <c r="T23" i="206" a="1"/>
  <c r="T23" i="206" s="1"/>
  <c r="S23" i="206" a="1"/>
  <c r="S23" i="206" s="1"/>
  <c r="R23" i="206" a="1"/>
  <c r="R23" i="206" s="1"/>
  <c r="Q23" i="206" a="1"/>
  <c r="Q23" i="206" s="1"/>
  <c r="P23" i="206" a="1"/>
  <c r="P23" i="206" s="1"/>
  <c r="O23" i="206" a="1"/>
  <c r="O23" i="206" s="1"/>
  <c r="N23" i="206" a="1"/>
  <c r="N23" i="206" s="1"/>
  <c r="M23" i="206" a="1"/>
  <c r="M23" i="206" s="1"/>
  <c r="L23" i="206" a="1"/>
  <c r="L23" i="206" s="1"/>
  <c r="K23" i="206" a="1"/>
  <c r="K23" i="206" s="1"/>
  <c r="J23" i="206" a="1"/>
  <c r="J23" i="206" s="1"/>
  <c r="I23" i="206" a="1"/>
  <c r="I23" i="206" s="1"/>
  <c r="H23" i="206" a="1"/>
  <c r="H23" i="206" s="1"/>
  <c r="G23" i="206"/>
  <c r="AA22" i="206"/>
  <c r="AA22" i="206" a="1"/>
  <c r="Z22" i="206"/>
  <c r="Z22" i="206" a="1"/>
  <c r="Y22" i="206"/>
  <c r="Y22" i="206" a="1"/>
  <c r="X22" i="206"/>
  <c r="X22" i="206" a="1"/>
  <c r="W22" i="206"/>
  <c r="W22" i="206" a="1"/>
  <c r="V22" i="206" a="1"/>
  <c r="V22" i="206" s="1"/>
  <c r="U22" i="206"/>
  <c r="U22" i="206" a="1"/>
  <c r="T22" i="206"/>
  <c r="T22" i="206" a="1"/>
  <c r="S22" i="206"/>
  <c r="S22" i="206" a="1"/>
  <c r="R22" i="206" a="1"/>
  <c r="R22" i="206" s="1"/>
  <c r="Q22" i="206"/>
  <c r="Q22" i="206" a="1"/>
  <c r="P22" i="206"/>
  <c r="P22" i="206" a="1"/>
  <c r="O22" i="206" a="1"/>
  <c r="O22" i="206" s="1"/>
  <c r="N22" i="206" a="1"/>
  <c r="N22" i="206" s="1"/>
  <c r="M22" i="206"/>
  <c r="M22" i="206" a="1"/>
  <c r="L22" i="206"/>
  <c r="L22" i="206" a="1"/>
  <c r="K22" i="206" a="1"/>
  <c r="K22" i="206" s="1"/>
  <c r="J22" i="206" a="1"/>
  <c r="J22" i="206" s="1"/>
  <c r="I22" i="206"/>
  <c r="I22" i="206" a="1"/>
  <c r="H22" i="206"/>
  <c r="H22" i="206" a="1"/>
  <c r="G22" i="206"/>
  <c r="AA21" i="206" a="1"/>
  <c r="AA21" i="206" s="1"/>
  <c r="Z21" i="206" a="1"/>
  <c r="Z21" i="206" s="1"/>
  <c r="Y21" i="206" a="1"/>
  <c r="Y21" i="206" s="1"/>
  <c r="X21" i="206" a="1"/>
  <c r="X21" i="206" s="1"/>
  <c r="W21" i="206" a="1"/>
  <c r="W21" i="206" s="1"/>
  <c r="V21" i="206" a="1"/>
  <c r="V21" i="206" s="1"/>
  <c r="U21" i="206" a="1"/>
  <c r="U21" i="206" s="1"/>
  <c r="T21" i="206" a="1"/>
  <c r="T21" i="206" s="1"/>
  <c r="S21" i="206" a="1"/>
  <c r="S21" i="206" s="1"/>
  <c r="R21" i="206" a="1"/>
  <c r="R21" i="206" s="1"/>
  <c r="Q21" i="206" a="1"/>
  <c r="Q21" i="206" s="1"/>
  <c r="P21" i="206" a="1"/>
  <c r="P21" i="206" s="1"/>
  <c r="O21" i="206" a="1"/>
  <c r="O21" i="206" s="1"/>
  <c r="N21" i="206" a="1"/>
  <c r="N21" i="206" s="1"/>
  <c r="M21" i="206" a="1"/>
  <c r="M21" i="206" s="1"/>
  <c r="L21" i="206" a="1"/>
  <c r="L21" i="206" s="1"/>
  <c r="K21" i="206" a="1"/>
  <c r="K21" i="206" s="1"/>
  <c r="J21" i="206" a="1"/>
  <c r="J21" i="206" s="1"/>
  <c r="I21" i="206" a="1"/>
  <c r="I21" i="206" s="1"/>
  <c r="H21" i="206" a="1"/>
  <c r="H21" i="206" s="1"/>
  <c r="G21" i="206"/>
  <c r="AA20" i="206"/>
  <c r="AA20" i="206" a="1"/>
  <c r="Z20" i="206"/>
  <c r="Z20" i="206" a="1"/>
  <c r="Y20" i="206"/>
  <c r="Y20" i="206" a="1"/>
  <c r="X20" i="206"/>
  <c r="X20" i="206" a="1"/>
  <c r="W20" i="206"/>
  <c r="W20" i="206" a="1"/>
  <c r="V20" i="206"/>
  <c r="V20" i="206" a="1"/>
  <c r="U20" i="206"/>
  <c r="U20" i="206" a="1"/>
  <c r="T20" i="206"/>
  <c r="T20" i="206" a="1"/>
  <c r="S20" i="206"/>
  <c r="S20" i="206" a="1"/>
  <c r="R20" i="206"/>
  <c r="R20" i="206" a="1"/>
  <c r="Q20" i="206"/>
  <c r="Q20" i="206" a="1"/>
  <c r="P20" i="206"/>
  <c r="P20" i="206" a="1"/>
  <c r="O20" i="206"/>
  <c r="O20" i="206" a="1"/>
  <c r="N20" i="206"/>
  <c r="N20" i="206" a="1"/>
  <c r="M20" i="206"/>
  <c r="M20" i="206" a="1"/>
  <c r="L20" i="206"/>
  <c r="L20" i="206" a="1"/>
  <c r="K20" i="206" a="1"/>
  <c r="K20" i="206" s="1"/>
  <c r="J20" i="206"/>
  <c r="J20" i="206" a="1"/>
  <c r="I20" i="206"/>
  <c r="I20" i="206" a="1"/>
  <c r="H20" i="206"/>
  <c r="H20" i="206" a="1"/>
  <c r="G20" i="206"/>
  <c r="AA19" i="206" a="1"/>
  <c r="AA19" i="206" s="1"/>
  <c r="Z19" i="206" a="1"/>
  <c r="Z19" i="206" s="1"/>
  <c r="Y19" i="206" a="1"/>
  <c r="Y19" i="206" s="1"/>
  <c r="X19" i="206" a="1"/>
  <c r="X19" i="206" s="1"/>
  <c r="W19" i="206" a="1"/>
  <c r="W19" i="206" s="1"/>
  <c r="V19" i="206" a="1"/>
  <c r="V19" i="206" s="1"/>
  <c r="U19" i="206" a="1"/>
  <c r="U19" i="206" s="1"/>
  <c r="T19" i="206" a="1"/>
  <c r="T19" i="206" s="1"/>
  <c r="S19" i="206" a="1"/>
  <c r="S19" i="206" s="1"/>
  <c r="R19" i="206" a="1"/>
  <c r="R19" i="206" s="1"/>
  <c r="Q19" i="206" a="1"/>
  <c r="Q19" i="206" s="1"/>
  <c r="P19" i="206" a="1"/>
  <c r="P19" i="206" s="1"/>
  <c r="O19" i="206" a="1"/>
  <c r="O19" i="206" s="1"/>
  <c r="N19" i="206" a="1"/>
  <c r="N19" i="206" s="1"/>
  <c r="M19" i="206" a="1"/>
  <c r="M19" i="206" s="1"/>
  <c r="L19" i="206" a="1"/>
  <c r="L19" i="206" s="1"/>
  <c r="K19" i="206" a="1"/>
  <c r="K19" i="206" s="1"/>
  <c r="J19" i="206" a="1"/>
  <c r="J19" i="206" s="1"/>
  <c r="I19" i="206" a="1"/>
  <c r="I19" i="206" s="1"/>
  <c r="H19" i="206" a="1"/>
  <c r="H19" i="206" s="1"/>
  <c r="G19" i="206"/>
  <c r="AA18" i="206"/>
  <c r="AA18" i="206" a="1"/>
  <c r="Z18" i="206"/>
  <c r="Z18" i="206" a="1"/>
  <c r="Y18" i="206"/>
  <c r="Y18" i="206" a="1"/>
  <c r="X18" i="206"/>
  <c r="X18" i="206" a="1"/>
  <c r="W18" i="206"/>
  <c r="W18" i="206" a="1"/>
  <c r="V18" i="206"/>
  <c r="V18" i="206" a="1"/>
  <c r="U18" i="206"/>
  <c r="U18" i="206" a="1"/>
  <c r="T18" i="206"/>
  <c r="T18" i="206" a="1"/>
  <c r="S18" i="206"/>
  <c r="S18" i="206" a="1"/>
  <c r="R18" i="206"/>
  <c r="R18" i="206" a="1"/>
  <c r="Q18" i="206"/>
  <c r="Q18" i="206" a="1"/>
  <c r="P18" i="206"/>
  <c r="P18" i="206" a="1"/>
  <c r="O18" i="206"/>
  <c r="O18" i="206" a="1"/>
  <c r="N18" i="206"/>
  <c r="N18" i="206" a="1"/>
  <c r="M18" i="206"/>
  <c r="M18" i="206" a="1"/>
  <c r="I18" i="206" a="1"/>
  <c r="I18" i="206" s="1"/>
  <c r="G18" i="206"/>
  <c r="AA17" i="206" a="1"/>
  <c r="AA17" i="206" s="1"/>
  <c r="Z17" i="206" a="1"/>
  <c r="Z17" i="206" s="1"/>
  <c r="Y17" i="206" a="1"/>
  <c r="Y17" i="206" s="1"/>
  <c r="X17" i="206" a="1"/>
  <c r="X17" i="206" s="1"/>
  <c r="W17" i="206" a="1"/>
  <c r="W17" i="206" s="1"/>
  <c r="V17" i="206" a="1"/>
  <c r="V17" i="206" s="1"/>
  <c r="U17" i="206" a="1"/>
  <c r="U17" i="206" s="1"/>
  <c r="T17" i="206" a="1"/>
  <c r="T17" i="206" s="1"/>
  <c r="S17" i="206" a="1"/>
  <c r="S17" i="206" s="1"/>
  <c r="R17" i="206" a="1"/>
  <c r="R17" i="206" s="1"/>
  <c r="Q17" i="206" a="1"/>
  <c r="Q17" i="206" s="1"/>
  <c r="P17" i="206" a="1"/>
  <c r="P17" i="206" s="1"/>
  <c r="O17" i="206" a="1"/>
  <c r="O17" i="206" s="1"/>
  <c r="N17" i="206" a="1"/>
  <c r="N17" i="206" s="1"/>
  <c r="M17" i="206" a="1"/>
  <c r="M17" i="206" s="1"/>
  <c r="L17" i="206" a="1"/>
  <c r="L17" i="206" s="1"/>
  <c r="K17" i="206" a="1"/>
  <c r="K17" i="206" s="1"/>
  <c r="J17" i="206" a="1"/>
  <c r="J17" i="206" s="1"/>
  <c r="I17" i="206" a="1"/>
  <c r="I17" i="206" s="1"/>
  <c r="H17" i="206" a="1"/>
  <c r="H17" i="206" s="1"/>
  <c r="G17" i="206"/>
  <c r="AA16" i="206"/>
  <c r="AA16" i="206" a="1"/>
  <c r="Z16" i="206"/>
  <c r="Z16" i="206" a="1"/>
  <c r="Y16" i="206"/>
  <c r="Y16" i="206" a="1"/>
  <c r="X16" i="206"/>
  <c r="X16" i="206" a="1"/>
  <c r="W16" i="206"/>
  <c r="W16" i="206" a="1"/>
  <c r="V16" i="206"/>
  <c r="V16" i="206" a="1"/>
  <c r="U16" i="206"/>
  <c r="U16" i="206" a="1"/>
  <c r="T16" i="206"/>
  <c r="T16" i="206" a="1"/>
  <c r="S16" i="206"/>
  <c r="S16" i="206" a="1"/>
  <c r="R16" i="206"/>
  <c r="R16" i="206" a="1"/>
  <c r="Q16" i="206" a="1"/>
  <c r="Q16" i="206" s="1"/>
  <c r="P16" i="206"/>
  <c r="P16" i="206" a="1"/>
  <c r="O16" i="206"/>
  <c r="O16" i="206" a="1"/>
  <c r="N16" i="206"/>
  <c r="N16" i="206" a="1"/>
  <c r="M16" i="206" a="1"/>
  <c r="M16" i="206" s="1"/>
  <c r="L16" i="206"/>
  <c r="L16" i="206" a="1"/>
  <c r="K16" i="206"/>
  <c r="K16" i="206" a="1"/>
  <c r="J16" i="206"/>
  <c r="J16" i="206" a="1"/>
  <c r="I16" i="206" a="1"/>
  <c r="I16" i="206" s="1"/>
  <c r="H16" i="206"/>
  <c r="H16" i="206" a="1"/>
  <c r="G16" i="206"/>
  <c r="AA15" i="206" a="1"/>
  <c r="AA15" i="206" s="1"/>
  <c r="Z15" i="206" a="1"/>
  <c r="Z15" i="206" s="1"/>
  <c r="Z6" i="206" s="1"/>
  <c r="Y15" i="206" a="1"/>
  <c r="Y15" i="206" s="1"/>
  <c r="X15" i="206" a="1"/>
  <c r="X15" i="206" s="1"/>
  <c r="W15" i="206" a="1"/>
  <c r="W15" i="206" s="1"/>
  <c r="V15" i="206" a="1"/>
  <c r="V15" i="206" s="1"/>
  <c r="V6" i="206" s="1"/>
  <c r="U15" i="206" a="1"/>
  <c r="U15" i="206" s="1"/>
  <c r="T15" i="206" a="1"/>
  <c r="T15" i="206" s="1"/>
  <c r="S15" i="206" a="1"/>
  <c r="S15" i="206" s="1"/>
  <c r="R15" i="206" a="1"/>
  <c r="R15" i="206" s="1"/>
  <c r="R6" i="206" s="1"/>
  <c r="Q15" i="206" a="1"/>
  <c r="Q15" i="206" s="1"/>
  <c r="P15" i="206" a="1"/>
  <c r="P15" i="206" s="1"/>
  <c r="O15" i="206" a="1"/>
  <c r="O15" i="206" s="1"/>
  <c r="N15" i="206" a="1"/>
  <c r="N15" i="206" s="1"/>
  <c r="N6" i="206" s="1"/>
  <c r="M15" i="206" a="1"/>
  <c r="M15" i="206" s="1"/>
  <c r="L15" i="206" a="1"/>
  <c r="L15" i="206" s="1"/>
  <c r="K15" i="206" a="1"/>
  <c r="K15" i="206" s="1"/>
  <c r="J15" i="206" a="1"/>
  <c r="J15" i="206" s="1"/>
  <c r="J6" i="206" s="1"/>
  <c r="I15" i="206" a="1"/>
  <c r="I15" i="206" s="1"/>
  <c r="H15" i="206" a="1"/>
  <c r="H15" i="206" s="1"/>
  <c r="G15" i="206"/>
  <c r="G9" i="206"/>
  <c r="D9" i="206"/>
  <c r="E7" i="206"/>
  <c r="D7" i="206"/>
  <c r="C7" i="206"/>
  <c r="B7" i="206"/>
  <c r="A7" i="206"/>
  <c r="F6" i="206"/>
  <c r="AA23" i="205" a="1"/>
  <c r="AA23" i="205" s="1"/>
  <c r="Z23" i="205" a="1"/>
  <c r="Z23" i="205" s="1"/>
  <c r="Y23" i="205" a="1"/>
  <c r="Y23" i="205" s="1"/>
  <c r="X23" i="205" a="1"/>
  <c r="X23" i="205" s="1"/>
  <c r="W23" i="205" a="1"/>
  <c r="W23" i="205" s="1"/>
  <c r="V23" i="205" a="1"/>
  <c r="V23" i="205" s="1"/>
  <c r="U23" i="205" a="1"/>
  <c r="U23" i="205" s="1"/>
  <c r="T23" i="205" a="1"/>
  <c r="T23" i="205" s="1"/>
  <c r="S23" i="205" a="1"/>
  <c r="S23" i="205" s="1"/>
  <c r="R23" i="205" a="1"/>
  <c r="R23" i="205" s="1"/>
  <c r="Q23" i="205" a="1"/>
  <c r="Q23" i="205" s="1"/>
  <c r="P23" i="205" a="1"/>
  <c r="P23" i="205" s="1"/>
  <c r="O23" i="205" a="1"/>
  <c r="O23" i="205" s="1"/>
  <c r="N23" i="205" a="1"/>
  <c r="N23" i="205" s="1"/>
  <c r="M23" i="205" a="1"/>
  <c r="M23" i="205" s="1"/>
  <c r="L23" i="205" a="1"/>
  <c r="L23" i="205" s="1"/>
  <c r="K23" i="205" a="1"/>
  <c r="K23" i="205" s="1"/>
  <c r="J23" i="205" a="1"/>
  <c r="J23" i="205" s="1"/>
  <c r="I23" i="205" a="1"/>
  <c r="I23" i="205" s="1"/>
  <c r="H23" i="205" a="1"/>
  <c r="H23" i="205" s="1"/>
  <c r="G23" i="205"/>
  <c r="AA22" i="205" a="1"/>
  <c r="AA22" i="205" s="1"/>
  <c r="Z22" i="205" a="1"/>
  <c r="Z22" i="205" s="1"/>
  <c r="Y22" i="205" a="1"/>
  <c r="Y22" i="205" s="1"/>
  <c r="X22" i="205"/>
  <c r="X22" i="205" a="1"/>
  <c r="W22" i="205" a="1"/>
  <c r="W22" i="205" s="1"/>
  <c r="V22" i="205" a="1"/>
  <c r="V22" i="205" s="1"/>
  <c r="U22" i="205" a="1"/>
  <c r="U22" i="205" s="1"/>
  <c r="T22" i="205"/>
  <c r="T22" i="205" a="1"/>
  <c r="S22" i="205" a="1"/>
  <c r="S22" i="205" s="1"/>
  <c r="R22" i="205" a="1"/>
  <c r="R22" i="205" s="1"/>
  <c r="Q22" i="205" a="1"/>
  <c r="Q22" i="205" s="1"/>
  <c r="P22" i="205"/>
  <c r="P22" i="205" a="1"/>
  <c r="O22" i="205" a="1"/>
  <c r="O22" i="205" s="1"/>
  <c r="N22" i="205" a="1"/>
  <c r="N22" i="205" s="1"/>
  <c r="M22" i="205" a="1"/>
  <c r="M22" i="205" s="1"/>
  <c r="L22" i="205"/>
  <c r="L22" i="205" a="1"/>
  <c r="K22" i="205" a="1"/>
  <c r="K22" i="205" s="1"/>
  <c r="J22" i="205" a="1"/>
  <c r="J22" i="205" s="1"/>
  <c r="I22" i="205" a="1"/>
  <c r="I22" i="205" s="1"/>
  <c r="H22" i="205"/>
  <c r="H22" i="205" a="1"/>
  <c r="G22" i="205"/>
  <c r="AA21" i="205"/>
  <c r="AA21" i="205" a="1"/>
  <c r="Z21" i="205"/>
  <c r="Z21" i="205" a="1"/>
  <c r="Y21" i="205" a="1"/>
  <c r="Y21" i="205" s="1"/>
  <c r="X21" i="205"/>
  <c r="X21" i="205" a="1"/>
  <c r="W21" i="205"/>
  <c r="W21" i="205" a="1"/>
  <c r="V21" i="205"/>
  <c r="V21" i="205" a="1"/>
  <c r="U21" i="205" a="1"/>
  <c r="U21" i="205" s="1"/>
  <c r="T21" i="205"/>
  <c r="T21" i="205" a="1"/>
  <c r="S21" i="205"/>
  <c r="S21" i="205" a="1"/>
  <c r="R21" i="205"/>
  <c r="R21" i="205" a="1"/>
  <c r="Q21" i="205" a="1"/>
  <c r="Q21" i="205" s="1"/>
  <c r="P21" i="205"/>
  <c r="P21" i="205" a="1"/>
  <c r="O21" i="205"/>
  <c r="O21" i="205" a="1"/>
  <c r="N21" i="205"/>
  <c r="N21" i="205" a="1"/>
  <c r="M21" i="205" a="1"/>
  <c r="M21" i="205" s="1"/>
  <c r="L21" i="205"/>
  <c r="L21" i="205" a="1"/>
  <c r="K21" i="205" a="1"/>
  <c r="K21" i="205" s="1"/>
  <c r="J21" i="205" a="1"/>
  <c r="J21" i="205" s="1"/>
  <c r="I21" i="205" a="1"/>
  <c r="I21" i="205" s="1"/>
  <c r="H21" i="205" a="1"/>
  <c r="H21" i="205" s="1"/>
  <c r="G21" i="205"/>
  <c r="AA20" i="205" a="1"/>
  <c r="AA20" i="205" s="1"/>
  <c r="Z20" i="205" a="1"/>
  <c r="Z20" i="205" s="1"/>
  <c r="Y20" i="205"/>
  <c r="Y20" i="205" a="1"/>
  <c r="X20" i="205" a="1"/>
  <c r="X20" i="205" s="1"/>
  <c r="W20" i="205" a="1"/>
  <c r="W20" i="205" s="1"/>
  <c r="V20" i="205" a="1"/>
  <c r="V20" i="205" s="1"/>
  <c r="U20" i="205"/>
  <c r="U20" i="205" a="1"/>
  <c r="T20" i="205" a="1"/>
  <c r="T20" i="205" s="1"/>
  <c r="S20" i="205" a="1"/>
  <c r="S20" i="205" s="1"/>
  <c r="R20" i="205" a="1"/>
  <c r="R20" i="205" s="1"/>
  <c r="Q20" i="205"/>
  <c r="Q20" i="205" a="1"/>
  <c r="P20" i="205" a="1"/>
  <c r="P20" i="205" s="1"/>
  <c r="O20" i="205" a="1"/>
  <c r="O20" i="205" s="1"/>
  <c r="N20" i="205" a="1"/>
  <c r="N20" i="205" s="1"/>
  <c r="M20" i="205"/>
  <c r="M20" i="205" a="1"/>
  <c r="L20" i="205" a="1"/>
  <c r="L20" i="205" s="1"/>
  <c r="K20" i="205" a="1"/>
  <c r="K20" i="205" s="1"/>
  <c r="J20" i="205" a="1"/>
  <c r="J20" i="205" s="1"/>
  <c r="I20" i="205"/>
  <c r="I20" i="205" a="1"/>
  <c r="H20" i="205" a="1"/>
  <c r="H20" i="205" s="1"/>
  <c r="G20" i="205"/>
  <c r="AA19" i="205"/>
  <c r="AA19" i="205" a="1"/>
  <c r="Z19" i="205" a="1"/>
  <c r="Z19" i="205" s="1"/>
  <c r="Y19" i="205"/>
  <c r="Y19" i="205" a="1"/>
  <c r="X19" i="205"/>
  <c r="X19" i="205" a="1"/>
  <c r="W19" i="205"/>
  <c r="W19" i="205" a="1"/>
  <c r="V19" i="205" a="1"/>
  <c r="V19" i="205" s="1"/>
  <c r="U19" i="205" a="1"/>
  <c r="U19" i="205" s="1"/>
  <c r="T19" i="205" a="1"/>
  <c r="T19" i="205" s="1"/>
  <c r="S19" i="205" a="1"/>
  <c r="S19" i="205" s="1"/>
  <c r="R19" i="205" a="1"/>
  <c r="R19" i="205" s="1"/>
  <c r="Q19" i="205" a="1"/>
  <c r="Q19" i="205" s="1"/>
  <c r="P19" i="205" a="1"/>
  <c r="P19" i="205" s="1"/>
  <c r="O19" i="205" a="1"/>
  <c r="O19" i="205" s="1"/>
  <c r="N19" i="205" a="1"/>
  <c r="N19" i="205" s="1"/>
  <c r="M19" i="205" a="1"/>
  <c r="M19" i="205" s="1"/>
  <c r="L19" i="205" a="1"/>
  <c r="L19" i="205" s="1"/>
  <c r="K19" i="205" a="1"/>
  <c r="K19" i="205" s="1"/>
  <c r="J19" i="205" a="1"/>
  <c r="J19" i="205" s="1"/>
  <c r="I19" i="205" a="1"/>
  <c r="I19" i="205" s="1"/>
  <c r="H19" i="205" a="1"/>
  <c r="H19" i="205" s="1"/>
  <c r="G19" i="205"/>
  <c r="AA18" i="205"/>
  <c r="AA18" i="205" a="1"/>
  <c r="Z18" i="205"/>
  <c r="Z18" i="205" a="1"/>
  <c r="Y18" i="205"/>
  <c r="Y18" i="205" a="1"/>
  <c r="X18" i="205"/>
  <c r="X18" i="205" a="1"/>
  <c r="W18" i="205" a="1"/>
  <c r="W18" i="205" s="1"/>
  <c r="V18" i="205"/>
  <c r="V18" i="205" a="1"/>
  <c r="U18" i="205"/>
  <c r="U18" i="205" a="1"/>
  <c r="T18" i="205" a="1"/>
  <c r="T18" i="205" s="1"/>
  <c r="S18" i="205" a="1"/>
  <c r="S18" i="205" s="1"/>
  <c r="R18" i="205"/>
  <c r="R18" i="205" a="1"/>
  <c r="Q18" i="205" a="1"/>
  <c r="Q18" i="205" s="1"/>
  <c r="P18" i="205" a="1"/>
  <c r="P18" i="205" s="1"/>
  <c r="O18" i="205" a="1"/>
  <c r="O18" i="205" s="1"/>
  <c r="N18" i="205"/>
  <c r="N18" i="205" a="1"/>
  <c r="M18" i="205" a="1"/>
  <c r="M18" i="205" s="1"/>
  <c r="I18" i="205" a="1"/>
  <c r="I18" i="205" s="1"/>
  <c r="G18" i="205"/>
  <c r="AA17" i="205" a="1"/>
  <c r="AA17" i="205" s="1"/>
  <c r="AA6" i="205" s="1"/>
  <c r="Z17" i="205"/>
  <c r="Z17" i="205" a="1"/>
  <c r="Y17" i="205"/>
  <c r="Y17" i="205" a="1"/>
  <c r="X17" i="205"/>
  <c r="X17" i="205" a="1"/>
  <c r="W17" i="205" a="1"/>
  <c r="W17" i="205" s="1"/>
  <c r="V17" i="205"/>
  <c r="V17" i="205" a="1"/>
  <c r="U17" i="205"/>
  <c r="U17" i="205" a="1"/>
  <c r="T17" i="205"/>
  <c r="T17" i="205" a="1"/>
  <c r="S17" i="205" a="1"/>
  <c r="S17" i="205" s="1"/>
  <c r="R17" i="205" a="1"/>
  <c r="R17" i="205" s="1"/>
  <c r="Q17" i="205" a="1"/>
  <c r="Q17" i="205" s="1"/>
  <c r="P17" i="205" a="1"/>
  <c r="P17" i="205" s="1"/>
  <c r="O17" i="205" a="1"/>
  <c r="O17" i="205" s="1"/>
  <c r="N17" i="205" a="1"/>
  <c r="N17" i="205" s="1"/>
  <c r="M17" i="205" a="1"/>
  <c r="M17" i="205" s="1"/>
  <c r="L17" i="205" a="1"/>
  <c r="L17" i="205" s="1"/>
  <c r="K17" i="205" a="1"/>
  <c r="K17" i="205" s="1"/>
  <c r="J17" i="205" a="1"/>
  <c r="J17" i="205" s="1"/>
  <c r="I17" i="205" a="1"/>
  <c r="I17" i="205" s="1"/>
  <c r="H17" i="205" a="1"/>
  <c r="H17" i="205" s="1"/>
  <c r="G17" i="205"/>
  <c r="AA16" i="205"/>
  <c r="AA16" i="205" a="1"/>
  <c r="Z16" i="205"/>
  <c r="Z16" i="205" a="1"/>
  <c r="Y16" i="205" a="1"/>
  <c r="Y16" i="205" s="1"/>
  <c r="X16" i="205"/>
  <c r="X16" i="205" a="1"/>
  <c r="W16" i="205"/>
  <c r="W16" i="205" a="1"/>
  <c r="V16" i="205" a="1"/>
  <c r="V16" i="205" s="1"/>
  <c r="U16" i="205" a="1"/>
  <c r="U16" i="205" s="1"/>
  <c r="T16" i="205" a="1"/>
  <c r="T16" i="205" s="1"/>
  <c r="S16" i="205"/>
  <c r="S16" i="205" a="1"/>
  <c r="R16" i="205" a="1"/>
  <c r="R16" i="205" s="1"/>
  <c r="Q16" i="205" a="1"/>
  <c r="Q16" i="205" s="1"/>
  <c r="P16" i="205" a="1"/>
  <c r="P16" i="205" s="1"/>
  <c r="O16" i="205"/>
  <c r="O16" i="205" a="1"/>
  <c r="N16" i="205" a="1"/>
  <c r="N16" i="205" s="1"/>
  <c r="M16" i="205" a="1"/>
  <c r="M16" i="205" s="1"/>
  <c r="L16" i="205" a="1"/>
  <c r="L16" i="205" s="1"/>
  <c r="K16" i="205"/>
  <c r="K16" i="205" a="1"/>
  <c r="J16" i="205" a="1"/>
  <c r="J16" i="205" s="1"/>
  <c r="I16" i="205" a="1"/>
  <c r="I16" i="205" s="1"/>
  <c r="H16" i="205" a="1"/>
  <c r="H16" i="205" s="1"/>
  <c r="G16" i="205"/>
  <c r="AA15" i="205"/>
  <c r="AA15" i="205" a="1"/>
  <c r="Z15" i="205"/>
  <c r="Z15" i="205" a="1"/>
  <c r="Y15" i="205"/>
  <c r="Y15" i="205" a="1"/>
  <c r="X15" i="205" a="1"/>
  <c r="X15" i="205" s="1"/>
  <c r="X6" i="205" s="1"/>
  <c r="W15" i="205"/>
  <c r="W15" i="205" a="1"/>
  <c r="V15" i="205"/>
  <c r="V15" i="205" a="1"/>
  <c r="U15" i="205"/>
  <c r="U15" i="205" a="1"/>
  <c r="T15" i="205" a="1"/>
  <c r="T15" i="205" s="1"/>
  <c r="S15" i="205"/>
  <c r="S15" i="205" a="1"/>
  <c r="R15" i="205"/>
  <c r="R15" i="205" a="1"/>
  <c r="Q15" i="205"/>
  <c r="Q15" i="205" a="1"/>
  <c r="P15" i="205" a="1"/>
  <c r="P15" i="205" s="1"/>
  <c r="P6" i="205" s="1"/>
  <c r="O15" i="205" a="1"/>
  <c r="O15" i="205" s="1"/>
  <c r="N15" i="205" a="1"/>
  <c r="N15" i="205" s="1"/>
  <c r="M15" i="205"/>
  <c r="M15" i="205" a="1"/>
  <c r="L15" i="205" a="1"/>
  <c r="L15" i="205" s="1"/>
  <c r="K15" i="205" a="1"/>
  <c r="K15" i="205" s="1"/>
  <c r="J15" i="205" a="1"/>
  <c r="J15" i="205" s="1"/>
  <c r="I15" i="205" a="1"/>
  <c r="I15" i="205" s="1"/>
  <c r="I6" i="205" s="1"/>
  <c r="H15" i="205" a="1"/>
  <c r="H15" i="205" s="1"/>
  <c r="G15" i="205"/>
  <c r="G9" i="205"/>
  <c r="D9" i="205"/>
  <c r="E7" i="205"/>
  <c r="D7" i="205"/>
  <c r="C7" i="205"/>
  <c r="B7" i="205"/>
  <c r="A7" i="205"/>
  <c r="F6" i="205"/>
  <c r="AA23" i="204" a="1"/>
  <c r="AA23" i="204" s="1"/>
  <c r="Z23" i="204" a="1"/>
  <c r="Z23" i="204" s="1"/>
  <c r="Y23" i="204" a="1"/>
  <c r="Y23" i="204" s="1"/>
  <c r="X23" i="204" a="1"/>
  <c r="X23" i="204" s="1"/>
  <c r="W23" i="204" a="1"/>
  <c r="W23" i="204" s="1"/>
  <c r="V23" i="204" a="1"/>
  <c r="V23" i="204" s="1"/>
  <c r="U23" i="204" a="1"/>
  <c r="U23" i="204" s="1"/>
  <c r="T23" i="204" a="1"/>
  <c r="T23" i="204" s="1"/>
  <c r="S23" i="204" a="1"/>
  <c r="S23" i="204" s="1"/>
  <c r="R23" i="204" a="1"/>
  <c r="R23" i="204" s="1"/>
  <c r="Q23" i="204" a="1"/>
  <c r="Q23" i="204" s="1"/>
  <c r="P23" i="204" a="1"/>
  <c r="P23" i="204" s="1"/>
  <c r="O23" i="204" a="1"/>
  <c r="O23" i="204" s="1"/>
  <c r="N23" i="204" a="1"/>
  <c r="N23" i="204" s="1"/>
  <c r="M23" i="204" a="1"/>
  <c r="M23" i="204" s="1"/>
  <c r="L23" i="204" a="1"/>
  <c r="L23" i="204" s="1"/>
  <c r="K23" i="204" a="1"/>
  <c r="K23" i="204" s="1"/>
  <c r="J23" i="204" a="1"/>
  <c r="J23" i="204" s="1"/>
  <c r="I23" i="204" a="1"/>
  <c r="I23" i="204" s="1"/>
  <c r="H23" i="204" a="1"/>
  <c r="H23" i="204" s="1"/>
  <c r="G23" i="204"/>
  <c r="AA22" i="204" a="1"/>
  <c r="AA22" i="204" s="1"/>
  <c r="Z22" i="204" a="1"/>
  <c r="Z22" i="204" s="1"/>
  <c r="Y22" i="204" a="1"/>
  <c r="Y22" i="204" s="1"/>
  <c r="X22" i="204" a="1"/>
  <c r="X22" i="204" s="1"/>
  <c r="W22" i="204" a="1"/>
  <c r="W22" i="204" s="1"/>
  <c r="V22" i="204" a="1"/>
  <c r="V22" i="204" s="1"/>
  <c r="U22" i="204" a="1"/>
  <c r="U22" i="204" s="1"/>
  <c r="T22" i="204" a="1"/>
  <c r="T22" i="204" s="1"/>
  <c r="S22" i="204" a="1"/>
  <c r="S22" i="204" s="1"/>
  <c r="R22" i="204" a="1"/>
  <c r="R22" i="204" s="1"/>
  <c r="Q22" i="204" a="1"/>
  <c r="Q22" i="204" s="1"/>
  <c r="P22" i="204" a="1"/>
  <c r="P22" i="204" s="1"/>
  <c r="O22" i="204" a="1"/>
  <c r="O22" i="204" s="1"/>
  <c r="N22" i="204" a="1"/>
  <c r="N22" i="204" s="1"/>
  <c r="M22" i="204" a="1"/>
  <c r="M22" i="204" s="1"/>
  <c r="L22" i="204" a="1"/>
  <c r="L22" i="204" s="1"/>
  <c r="K22" i="204" a="1"/>
  <c r="K22" i="204" s="1"/>
  <c r="J22" i="204" a="1"/>
  <c r="J22" i="204" s="1"/>
  <c r="I22" i="204" a="1"/>
  <c r="I22" i="204" s="1"/>
  <c r="H22" i="204" a="1"/>
  <c r="H22" i="204" s="1"/>
  <c r="G22" i="204"/>
  <c r="AA21" i="204"/>
  <c r="AA21" i="204" a="1"/>
  <c r="Z21" i="204"/>
  <c r="Z21" i="204" a="1"/>
  <c r="Y21" i="204"/>
  <c r="Y21" i="204" a="1"/>
  <c r="X21" i="204"/>
  <c r="X21" i="204" a="1"/>
  <c r="W21" i="204"/>
  <c r="W21" i="204" a="1"/>
  <c r="V21" i="204"/>
  <c r="V21" i="204" a="1"/>
  <c r="U21" i="204"/>
  <c r="U21" i="204" a="1"/>
  <c r="T21" i="204"/>
  <c r="T21" i="204" a="1"/>
  <c r="S21" i="204"/>
  <c r="S21" i="204" a="1"/>
  <c r="R21" i="204"/>
  <c r="R21" i="204" a="1"/>
  <c r="Q21" i="204"/>
  <c r="Q21" i="204" a="1"/>
  <c r="P21" i="204"/>
  <c r="P21" i="204" a="1"/>
  <c r="O21" i="204"/>
  <c r="O21" i="204" a="1"/>
  <c r="N21" i="204"/>
  <c r="N21" i="204" a="1"/>
  <c r="M21" i="204"/>
  <c r="M21" i="204" a="1"/>
  <c r="L21" i="204"/>
  <c r="L21" i="204" a="1"/>
  <c r="K21" i="204"/>
  <c r="K21" i="204" a="1"/>
  <c r="J21" i="204"/>
  <c r="J21" i="204" a="1"/>
  <c r="I21" i="204"/>
  <c r="I21" i="204" a="1"/>
  <c r="H21" i="204"/>
  <c r="H21" i="204" a="1"/>
  <c r="G21" i="204"/>
  <c r="AA20" i="204" a="1"/>
  <c r="AA20" i="204" s="1"/>
  <c r="Z20" i="204" a="1"/>
  <c r="Z20" i="204" s="1"/>
  <c r="Y20" i="204" a="1"/>
  <c r="Y20" i="204" s="1"/>
  <c r="X20" i="204" a="1"/>
  <c r="X20" i="204" s="1"/>
  <c r="X6" i="204" s="1"/>
  <c r="W20" i="204" a="1"/>
  <c r="W20" i="204" s="1"/>
  <c r="V20" i="204" a="1"/>
  <c r="V20" i="204" s="1"/>
  <c r="U20" i="204" a="1"/>
  <c r="U20" i="204" s="1"/>
  <c r="T20" i="204" a="1"/>
  <c r="T20" i="204" s="1"/>
  <c r="S20" i="204" a="1"/>
  <c r="S20" i="204" s="1"/>
  <c r="R20" i="204" a="1"/>
  <c r="R20" i="204" s="1"/>
  <c r="Q20" i="204" a="1"/>
  <c r="Q20" i="204" s="1"/>
  <c r="P20" i="204" a="1"/>
  <c r="P20" i="204" s="1"/>
  <c r="O20" i="204" a="1"/>
  <c r="O20" i="204" s="1"/>
  <c r="N20" i="204" a="1"/>
  <c r="N20" i="204" s="1"/>
  <c r="M20" i="204" a="1"/>
  <c r="M20" i="204" s="1"/>
  <c r="L20" i="204" a="1"/>
  <c r="L20" i="204" s="1"/>
  <c r="K20" i="204" a="1"/>
  <c r="K20" i="204" s="1"/>
  <c r="J20" i="204" a="1"/>
  <c r="J20" i="204" s="1"/>
  <c r="I20" i="204" a="1"/>
  <c r="I20" i="204" s="1"/>
  <c r="H20" i="204" a="1"/>
  <c r="H20" i="204" s="1"/>
  <c r="G20" i="204"/>
  <c r="AA19" i="204"/>
  <c r="AA19" i="204" a="1"/>
  <c r="Z19" i="204" a="1"/>
  <c r="Z19" i="204" s="1"/>
  <c r="Z6" i="204" s="1"/>
  <c r="Y19" i="204"/>
  <c r="Y19" i="204" a="1"/>
  <c r="X19" i="204"/>
  <c r="X19" i="204" a="1"/>
  <c r="W19" i="204"/>
  <c r="W19" i="204" a="1"/>
  <c r="V19" i="204" a="1"/>
  <c r="V19" i="204" s="1"/>
  <c r="U19" i="204"/>
  <c r="U19" i="204" a="1"/>
  <c r="T19" i="204" a="1"/>
  <c r="T19" i="204" s="1"/>
  <c r="S19" i="204" a="1"/>
  <c r="S19" i="204" s="1"/>
  <c r="R19" i="204" a="1"/>
  <c r="R19" i="204" s="1"/>
  <c r="Q19" i="204" a="1"/>
  <c r="Q19" i="204" s="1"/>
  <c r="P19" i="204" a="1"/>
  <c r="P19" i="204" s="1"/>
  <c r="O19" i="204" a="1"/>
  <c r="O19" i="204" s="1"/>
  <c r="N19" i="204" a="1"/>
  <c r="N19" i="204" s="1"/>
  <c r="M19" i="204" a="1"/>
  <c r="M19" i="204" s="1"/>
  <c r="L19" i="204" a="1"/>
  <c r="L19" i="204" s="1"/>
  <c r="K19" i="204" a="1"/>
  <c r="K19" i="204" s="1"/>
  <c r="J19" i="204" a="1"/>
  <c r="J19" i="204" s="1"/>
  <c r="I19" i="204" a="1"/>
  <c r="I19" i="204" s="1"/>
  <c r="H19" i="204" a="1"/>
  <c r="H19" i="204" s="1"/>
  <c r="G19" i="204"/>
  <c r="AA18" i="204"/>
  <c r="AA18" i="204" a="1"/>
  <c r="Z18" i="204"/>
  <c r="Z18" i="204" a="1"/>
  <c r="Y18" i="204"/>
  <c r="Y18" i="204" a="1"/>
  <c r="X18" i="204"/>
  <c r="X18" i="204" a="1"/>
  <c r="W18" i="204"/>
  <c r="W18" i="204" a="1"/>
  <c r="V18" i="204"/>
  <c r="V18" i="204" a="1"/>
  <c r="U18" i="204"/>
  <c r="U18" i="204" a="1"/>
  <c r="T18" i="204"/>
  <c r="T18" i="204" a="1"/>
  <c r="S18" i="204" a="1"/>
  <c r="S18" i="204" s="1"/>
  <c r="R18" i="204"/>
  <c r="R18" i="204" a="1"/>
  <c r="Q18" i="204" a="1"/>
  <c r="Q18" i="204" s="1"/>
  <c r="P18" i="204" a="1"/>
  <c r="P18" i="204" s="1"/>
  <c r="O18" i="204" a="1"/>
  <c r="O18" i="204" s="1"/>
  <c r="N18" i="204"/>
  <c r="N18" i="204" a="1"/>
  <c r="M18" i="204" a="1"/>
  <c r="M18" i="204" s="1"/>
  <c r="I18" i="204" a="1"/>
  <c r="I18" i="204" s="1"/>
  <c r="G18" i="204"/>
  <c r="AA17" i="204" a="1"/>
  <c r="AA17" i="204" s="1"/>
  <c r="AA6" i="204" s="1"/>
  <c r="Z17" i="204"/>
  <c r="Z17" i="204" a="1"/>
  <c r="Y17" i="204" a="1"/>
  <c r="Y17" i="204" s="1"/>
  <c r="X17" i="204"/>
  <c r="X17" i="204" a="1"/>
  <c r="W17" i="204" a="1"/>
  <c r="W17" i="204" s="1"/>
  <c r="V17" i="204" a="1"/>
  <c r="V17" i="204" s="1"/>
  <c r="U17" i="204" a="1"/>
  <c r="U17" i="204" s="1"/>
  <c r="U6" i="204" s="1"/>
  <c r="T17" i="204" a="1"/>
  <c r="T17" i="204" s="1"/>
  <c r="S17" i="204" a="1"/>
  <c r="S17" i="204" s="1"/>
  <c r="S6" i="204" s="1"/>
  <c r="R17" i="204" a="1"/>
  <c r="R17" i="204" s="1"/>
  <c r="Q17" i="204" a="1"/>
  <c r="Q17" i="204" s="1"/>
  <c r="P17" i="204" a="1"/>
  <c r="P17" i="204" s="1"/>
  <c r="O17" i="204" a="1"/>
  <c r="O17" i="204" s="1"/>
  <c r="N17" i="204" a="1"/>
  <c r="N17" i="204" s="1"/>
  <c r="M17" i="204" a="1"/>
  <c r="M17" i="204" s="1"/>
  <c r="L17" i="204" a="1"/>
  <c r="L17" i="204" s="1"/>
  <c r="K17" i="204" a="1"/>
  <c r="K17" i="204" s="1"/>
  <c r="J17" i="204" a="1"/>
  <c r="J17" i="204" s="1"/>
  <c r="I17" i="204" a="1"/>
  <c r="I17" i="204" s="1"/>
  <c r="H17" i="204" a="1"/>
  <c r="H17" i="204" s="1"/>
  <c r="G17" i="204"/>
  <c r="AA16" i="204"/>
  <c r="AA16" i="204" a="1"/>
  <c r="Z16" i="204"/>
  <c r="Z16" i="204" a="1"/>
  <c r="Y16" i="204"/>
  <c r="Y16" i="204" a="1"/>
  <c r="X16" i="204"/>
  <c r="X16" i="204" a="1"/>
  <c r="W16" i="204"/>
  <c r="W16" i="204" a="1"/>
  <c r="V16" i="204" a="1"/>
  <c r="V16" i="204" s="1"/>
  <c r="V6" i="204" s="1"/>
  <c r="U16" i="204"/>
  <c r="U16" i="204" a="1"/>
  <c r="T16" i="204" a="1"/>
  <c r="T16" i="204" s="1"/>
  <c r="S16" i="204"/>
  <c r="S16" i="204" a="1"/>
  <c r="R16" i="204" a="1"/>
  <c r="R16" i="204" s="1"/>
  <c r="Q16" i="204" a="1"/>
  <c r="Q16" i="204" s="1"/>
  <c r="P16" i="204" a="1"/>
  <c r="P16" i="204" s="1"/>
  <c r="O16" i="204" a="1"/>
  <c r="O16" i="204" s="1"/>
  <c r="N16" i="204" a="1"/>
  <c r="N16" i="204" s="1"/>
  <c r="M16" i="204" a="1"/>
  <c r="M16" i="204" s="1"/>
  <c r="L16" i="204" a="1"/>
  <c r="L16" i="204" s="1"/>
  <c r="K16" i="204" a="1"/>
  <c r="K16" i="204" s="1"/>
  <c r="J16" i="204" a="1"/>
  <c r="J16" i="204" s="1"/>
  <c r="I16" i="204" a="1"/>
  <c r="I16" i="204" s="1"/>
  <c r="H16" i="204" a="1"/>
  <c r="H16" i="204" s="1"/>
  <c r="G16" i="204"/>
  <c r="AA15" i="204"/>
  <c r="AA15" i="204" a="1"/>
  <c r="Z15" i="204"/>
  <c r="Z15" i="204" a="1"/>
  <c r="Y15" i="204"/>
  <c r="Y15" i="204" a="1"/>
  <c r="X15" i="204"/>
  <c r="X15" i="204" a="1"/>
  <c r="W15" i="204"/>
  <c r="W15" i="204" a="1"/>
  <c r="V15" i="204"/>
  <c r="V15" i="204" a="1"/>
  <c r="U15" i="204"/>
  <c r="U15" i="204" a="1"/>
  <c r="T15" i="204" a="1"/>
  <c r="T15" i="204" s="1"/>
  <c r="S15" i="204"/>
  <c r="S15" i="204" a="1"/>
  <c r="R15" i="204" a="1"/>
  <c r="R15" i="204" s="1"/>
  <c r="Q15" i="204"/>
  <c r="Q15" i="204" a="1"/>
  <c r="P15" i="204" a="1"/>
  <c r="P15" i="204" s="1"/>
  <c r="O15" i="204" a="1"/>
  <c r="O15" i="204" s="1"/>
  <c r="N15" i="204" a="1"/>
  <c r="N15" i="204" s="1"/>
  <c r="N6" i="204" s="1"/>
  <c r="M15" i="204" a="1"/>
  <c r="M15" i="204" s="1"/>
  <c r="M6" i="204" s="1"/>
  <c r="L15" i="204" a="1"/>
  <c r="L15" i="204" s="1"/>
  <c r="K15" i="204" a="1"/>
  <c r="K15" i="204" s="1"/>
  <c r="J15" i="204" a="1"/>
  <c r="J15" i="204" s="1"/>
  <c r="J6" i="204" s="1"/>
  <c r="I15" i="204" a="1"/>
  <c r="I15" i="204" s="1"/>
  <c r="H15" i="204" a="1"/>
  <c r="H15" i="204" s="1"/>
  <c r="G15" i="204"/>
  <c r="G9" i="204"/>
  <c r="D9" i="204"/>
  <c r="E7" i="204"/>
  <c r="D7" i="204"/>
  <c r="C7" i="204"/>
  <c r="B7" i="204"/>
  <c r="A7" i="204"/>
  <c r="F6" i="204"/>
  <c r="E16" i="106"/>
  <c r="AA23" i="203" a="1"/>
  <c r="AA23" i="203" s="1"/>
  <c r="Z23" i="203"/>
  <c r="Z23" i="203" a="1"/>
  <c r="Y23" i="203" a="1"/>
  <c r="Y23" i="203" s="1"/>
  <c r="X23" i="203" a="1"/>
  <c r="X23" i="203" s="1"/>
  <c r="W23" i="203" a="1"/>
  <c r="W23" i="203" s="1"/>
  <c r="V23" i="203"/>
  <c r="V23" i="203" a="1"/>
  <c r="U23" i="203" a="1"/>
  <c r="U23" i="203" s="1"/>
  <c r="T23" i="203" a="1"/>
  <c r="T23" i="203" s="1"/>
  <c r="S23" i="203" a="1"/>
  <c r="S23" i="203" s="1"/>
  <c r="R23" i="203"/>
  <c r="R23" i="203" a="1"/>
  <c r="Q23" i="203" a="1"/>
  <c r="Q23" i="203" s="1"/>
  <c r="P23" i="203" a="1"/>
  <c r="P23" i="203" s="1"/>
  <c r="O23" i="203" a="1"/>
  <c r="O23" i="203" s="1"/>
  <c r="N23" i="203"/>
  <c r="N23" i="203" a="1"/>
  <c r="M23" i="203" a="1"/>
  <c r="M23" i="203" s="1"/>
  <c r="L23" i="203" a="1"/>
  <c r="L23" i="203" s="1"/>
  <c r="K23" i="203" a="1"/>
  <c r="K23" i="203" s="1"/>
  <c r="J23" i="203"/>
  <c r="J23" i="203" a="1"/>
  <c r="I23" i="203" a="1"/>
  <c r="I23" i="203" s="1"/>
  <c r="H23" i="203" a="1"/>
  <c r="H23" i="203" s="1"/>
  <c r="G23" i="203"/>
  <c r="AA22" i="203" a="1"/>
  <c r="AA22" i="203" s="1"/>
  <c r="Z22" i="203" a="1"/>
  <c r="Z22" i="203" s="1"/>
  <c r="Y22" i="203" a="1"/>
  <c r="Y22" i="203" s="1"/>
  <c r="X22" i="203"/>
  <c r="X22" i="203" a="1"/>
  <c r="W22" i="203" a="1"/>
  <c r="W22" i="203" s="1"/>
  <c r="V22" i="203" a="1"/>
  <c r="V22" i="203" s="1"/>
  <c r="U22" i="203" a="1"/>
  <c r="U22" i="203" s="1"/>
  <c r="T22" i="203"/>
  <c r="T22" i="203" a="1"/>
  <c r="S22" i="203" a="1"/>
  <c r="S22" i="203" s="1"/>
  <c r="R22" i="203" a="1"/>
  <c r="R22" i="203" s="1"/>
  <c r="Q22" i="203" a="1"/>
  <c r="Q22" i="203" s="1"/>
  <c r="P22" i="203"/>
  <c r="P22" i="203" a="1"/>
  <c r="O22" i="203" a="1"/>
  <c r="O22" i="203" s="1"/>
  <c r="N22" i="203" a="1"/>
  <c r="N22" i="203" s="1"/>
  <c r="M22" i="203" a="1"/>
  <c r="M22" i="203" s="1"/>
  <c r="L22" i="203"/>
  <c r="L22" i="203" a="1"/>
  <c r="K22" i="203" a="1"/>
  <c r="K22" i="203" s="1"/>
  <c r="J22" i="203" a="1"/>
  <c r="J22" i="203" s="1"/>
  <c r="I22" i="203" a="1"/>
  <c r="I22" i="203" s="1"/>
  <c r="H22" i="203"/>
  <c r="H22" i="203" a="1"/>
  <c r="G22" i="203"/>
  <c r="AA21" i="203"/>
  <c r="AA21" i="203" a="1"/>
  <c r="Z21" i="203"/>
  <c r="Z21" i="203" a="1"/>
  <c r="Y21" i="203" a="1"/>
  <c r="Y21" i="203" s="1"/>
  <c r="X21" i="203"/>
  <c r="X21" i="203" a="1"/>
  <c r="W21" i="203"/>
  <c r="W21" i="203" a="1"/>
  <c r="V21" i="203"/>
  <c r="V21" i="203" a="1"/>
  <c r="U21" i="203" a="1"/>
  <c r="U21" i="203" s="1"/>
  <c r="T21" i="203"/>
  <c r="T21" i="203" a="1"/>
  <c r="S21" i="203"/>
  <c r="S21" i="203" a="1"/>
  <c r="R21" i="203"/>
  <c r="R21" i="203" a="1"/>
  <c r="Q21" i="203" a="1"/>
  <c r="Q21" i="203" s="1"/>
  <c r="P21" i="203" a="1"/>
  <c r="P21" i="203" s="1"/>
  <c r="O21" i="203"/>
  <c r="O21" i="203" a="1"/>
  <c r="N21" i="203"/>
  <c r="N21" i="203" a="1"/>
  <c r="M21" i="203" a="1"/>
  <c r="M21" i="203" s="1"/>
  <c r="L21" i="203" a="1"/>
  <c r="L21" i="203" s="1"/>
  <c r="K21" i="203"/>
  <c r="K21" i="203" a="1"/>
  <c r="J21" i="203" a="1"/>
  <c r="J21" i="203" s="1"/>
  <c r="I21" i="203" a="1"/>
  <c r="I21" i="203" s="1"/>
  <c r="H21" i="203" a="1"/>
  <c r="H21" i="203" s="1"/>
  <c r="G21" i="203"/>
  <c r="AA20" i="203" a="1"/>
  <c r="AA20" i="203" s="1"/>
  <c r="Z20" i="203" a="1"/>
  <c r="Z20" i="203" s="1"/>
  <c r="Y20" i="203"/>
  <c r="Y20" i="203" a="1"/>
  <c r="X20" i="203" a="1"/>
  <c r="X20" i="203" s="1"/>
  <c r="W20" i="203" a="1"/>
  <c r="W20" i="203" s="1"/>
  <c r="V20" i="203" a="1"/>
  <c r="V20" i="203" s="1"/>
  <c r="U20" i="203"/>
  <c r="U20" i="203" a="1"/>
  <c r="T20" i="203" a="1"/>
  <c r="T20" i="203" s="1"/>
  <c r="S20" i="203" a="1"/>
  <c r="S20" i="203" s="1"/>
  <c r="R20" i="203" a="1"/>
  <c r="R20" i="203" s="1"/>
  <c r="Q20" i="203"/>
  <c r="Q20" i="203" a="1"/>
  <c r="P20" i="203" a="1"/>
  <c r="P20" i="203" s="1"/>
  <c r="O20" i="203" a="1"/>
  <c r="O20" i="203" s="1"/>
  <c r="N20" i="203" a="1"/>
  <c r="N20" i="203" s="1"/>
  <c r="M20" i="203"/>
  <c r="M20" i="203" a="1"/>
  <c r="L20" i="203" a="1"/>
  <c r="L20" i="203" s="1"/>
  <c r="K20" i="203" a="1"/>
  <c r="K20" i="203" s="1"/>
  <c r="J20" i="203" a="1"/>
  <c r="J20" i="203" s="1"/>
  <c r="I20" i="203"/>
  <c r="I20" i="203" a="1"/>
  <c r="H20" i="203" a="1"/>
  <c r="H20" i="203" s="1"/>
  <c r="G20" i="203"/>
  <c r="AA19" i="203"/>
  <c r="AA19" i="203" a="1"/>
  <c r="Z19" i="203" a="1"/>
  <c r="Z19" i="203" s="1"/>
  <c r="Y19" i="203" a="1"/>
  <c r="Y19" i="203" s="1"/>
  <c r="X19" i="203"/>
  <c r="X19" i="203" a="1"/>
  <c r="W19" i="203" a="1"/>
  <c r="W19" i="203" s="1"/>
  <c r="V19" i="203" a="1"/>
  <c r="V19" i="203" s="1"/>
  <c r="U19" i="203" a="1"/>
  <c r="U19" i="203" s="1"/>
  <c r="T19" i="203"/>
  <c r="T19" i="203" a="1"/>
  <c r="S19" i="203" a="1"/>
  <c r="S19" i="203" s="1"/>
  <c r="R19" i="203" a="1"/>
  <c r="R19" i="203" s="1"/>
  <c r="Q19" i="203" a="1"/>
  <c r="Q19" i="203" s="1"/>
  <c r="P19" i="203"/>
  <c r="P19" i="203" a="1"/>
  <c r="O19" i="203" a="1"/>
  <c r="O19" i="203" s="1"/>
  <c r="N19" i="203" a="1"/>
  <c r="N19" i="203" s="1"/>
  <c r="M19" i="203" a="1"/>
  <c r="M19" i="203" s="1"/>
  <c r="L19" i="203"/>
  <c r="L19" i="203" a="1"/>
  <c r="K19" i="203" a="1"/>
  <c r="K19" i="203" s="1"/>
  <c r="J19" i="203" a="1"/>
  <c r="J19" i="203" s="1"/>
  <c r="I19" i="203" a="1"/>
  <c r="I19" i="203" s="1"/>
  <c r="H19" i="203"/>
  <c r="H19" i="203" a="1"/>
  <c r="G19" i="203"/>
  <c r="AA18" i="203"/>
  <c r="AA18" i="203" a="1"/>
  <c r="Z18" i="203"/>
  <c r="Z18" i="203" a="1"/>
  <c r="Y18" i="203" a="1"/>
  <c r="Y18" i="203" s="1"/>
  <c r="X18" i="203" a="1"/>
  <c r="X18" i="203" s="1"/>
  <c r="W18" i="203" a="1"/>
  <c r="W18" i="203" s="1"/>
  <c r="V18" i="203"/>
  <c r="V18" i="203" a="1"/>
  <c r="U18" i="203" a="1"/>
  <c r="U18" i="203" s="1"/>
  <c r="T18" i="203" a="1"/>
  <c r="T18" i="203" s="1"/>
  <c r="S18" i="203" a="1"/>
  <c r="S18" i="203" s="1"/>
  <c r="R18" i="203"/>
  <c r="R18" i="203" a="1"/>
  <c r="Q18" i="203" a="1"/>
  <c r="Q18" i="203" s="1"/>
  <c r="P18" i="203" a="1"/>
  <c r="P18" i="203" s="1"/>
  <c r="O18" i="203" a="1"/>
  <c r="O18" i="203" s="1"/>
  <c r="N18" i="203"/>
  <c r="N18" i="203" a="1"/>
  <c r="M18" i="203" a="1"/>
  <c r="M18" i="203" s="1"/>
  <c r="I18" i="203" a="1"/>
  <c r="I18" i="203" s="1"/>
  <c r="G18" i="203"/>
  <c r="AA17" i="203" a="1"/>
  <c r="AA17" i="203" s="1"/>
  <c r="Z17" i="203" a="1"/>
  <c r="Z17" i="203" s="1"/>
  <c r="Y17" i="203"/>
  <c r="Y17" i="203" a="1"/>
  <c r="X17" i="203"/>
  <c r="X17" i="203" a="1"/>
  <c r="W17" i="203" a="1"/>
  <c r="W17" i="203" s="1"/>
  <c r="V17" i="203" a="1"/>
  <c r="V17" i="203" s="1"/>
  <c r="U17" i="203"/>
  <c r="U17" i="203" a="1"/>
  <c r="T17" i="203"/>
  <c r="T17" i="203" a="1"/>
  <c r="S17" i="203" a="1"/>
  <c r="S17" i="203" s="1"/>
  <c r="R17" i="203" a="1"/>
  <c r="R17" i="203" s="1"/>
  <c r="Q17" i="203"/>
  <c r="Q17" i="203" a="1"/>
  <c r="P17" i="203" a="1"/>
  <c r="P17" i="203" s="1"/>
  <c r="O17" i="203" a="1"/>
  <c r="O17" i="203" s="1"/>
  <c r="N17" i="203" a="1"/>
  <c r="N17" i="203" s="1"/>
  <c r="M17" i="203"/>
  <c r="M17" i="203" a="1"/>
  <c r="L17" i="203" a="1"/>
  <c r="L17" i="203" s="1"/>
  <c r="K17" i="203" a="1"/>
  <c r="K17" i="203" s="1"/>
  <c r="J17" i="203" a="1"/>
  <c r="J17" i="203" s="1"/>
  <c r="I17" i="203"/>
  <c r="I17" i="203" a="1"/>
  <c r="H17" i="203" a="1"/>
  <c r="H17" i="203" s="1"/>
  <c r="G17" i="203"/>
  <c r="AA16" i="203"/>
  <c r="AA16" i="203" a="1"/>
  <c r="Z16" i="203" a="1"/>
  <c r="Z16" i="203" s="1"/>
  <c r="Y16" i="203" a="1"/>
  <c r="Y16" i="203" s="1"/>
  <c r="X16" i="203"/>
  <c r="X16" i="203" a="1"/>
  <c r="W16" i="203"/>
  <c r="W16" i="203" a="1"/>
  <c r="V16" i="203" a="1"/>
  <c r="V16" i="203" s="1"/>
  <c r="U16" i="203" a="1"/>
  <c r="U16" i="203" s="1"/>
  <c r="T16" i="203" a="1"/>
  <c r="T16" i="203" s="1"/>
  <c r="S16" i="203"/>
  <c r="S16" i="203" a="1"/>
  <c r="R16" i="203" a="1"/>
  <c r="R16" i="203" s="1"/>
  <c r="R6" i="203" s="1"/>
  <c r="Q16" i="203" a="1"/>
  <c r="Q16" i="203" s="1"/>
  <c r="P16" i="203" a="1"/>
  <c r="P16" i="203" s="1"/>
  <c r="O16" i="203"/>
  <c r="O16" i="203" a="1"/>
  <c r="N16" i="203" a="1"/>
  <c r="N16" i="203" s="1"/>
  <c r="M16" i="203" a="1"/>
  <c r="M16" i="203" s="1"/>
  <c r="L16" i="203" a="1"/>
  <c r="L16" i="203" s="1"/>
  <c r="K16" i="203"/>
  <c r="K16" i="203" a="1"/>
  <c r="J16" i="203" a="1"/>
  <c r="J16" i="203" s="1"/>
  <c r="I16" i="203" a="1"/>
  <c r="I16" i="203" s="1"/>
  <c r="H16" i="203" a="1"/>
  <c r="H16" i="203" s="1"/>
  <c r="G16" i="203"/>
  <c r="AA15" i="203"/>
  <c r="AA15" i="203" a="1"/>
  <c r="Z15" i="203"/>
  <c r="Z15" i="203" a="1"/>
  <c r="Y15" i="203"/>
  <c r="Y15" i="203" a="1"/>
  <c r="X15" i="203" a="1"/>
  <c r="X15" i="203" s="1"/>
  <c r="W15" i="203"/>
  <c r="W15" i="203" a="1"/>
  <c r="V15" i="203"/>
  <c r="V15" i="203" a="1"/>
  <c r="U15" i="203"/>
  <c r="U15" i="203" a="1"/>
  <c r="T15" i="203" a="1"/>
  <c r="T15" i="203" s="1"/>
  <c r="T6" i="203" s="1"/>
  <c r="S15" i="203" a="1"/>
  <c r="S15" i="203" s="1"/>
  <c r="R15" i="203"/>
  <c r="R15" i="203" a="1"/>
  <c r="Q15" i="203"/>
  <c r="Q15" i="203" a="1"/>
  <c r="P15" i="203" a="1"/>
  <c r="P15" i="203" s="1"/>
  <c r="O15" i="203" a="1"/>
  <c r="O15" i="203" s="1"/>
  <c r="N15" i="203"/>
  <c r="N15" i="203" a="1"/>
  <c r="M15" i="203" a="1"/>
  <c r="M15" i="203" s="1"/>
  <c r="L15" i="203" a="1"/>
  <c r="L15" i="203" s="1"/>
  <c r="K15" i="203" a="1"/>
  <c r="K15" i="203" s="1"/>
  <c r="J15" i="203"/>
  <c r="J15" i="203" a="1"/>
  <c r="I15" i="203" a="1"/>
  <c r="I15" i="203" s="1"/>
  <c r="H15" i="203" a="1"/>
  <c r="H15" i="203" s="1"/>
  <c r="G15" i="203"/>
  <c r="D9" i="203"/>
  <c r="E7" i="203"/>
  <c r="D7" i="203"/>
  <c r="C7" i="203"/>
  <c r="B7" i="203"/>
  <c r="A7" i="203"/>
  <c r="F6" i="203"/>
  <c r="R6" i="181"/>
  <c r="Q6" i="181"/>
  <c r="P6" i="181"/>
  <c r="AA23" i="192" a="1"/>
  <c r="AA23" i="192" s="1"/>
  <c r="Z23" i="192" a="1"/>
  <c r="Z23" i="192" s="1"/>
  <c r="Y23" i="192" a="1"/>
  <c r="Y23" i="192" s="1"/>
  <c r="X23" i="192" a="1"/>
  <c r="X23" i="192" s="1"/>
  <c r="W23" i="192" a="1"/>
  <c r="W23" i="192" s="1"/>
  <c r="V23" i="192" a="1"/>
  <c r="V23" i="192" s="1"/>
  <c r="U23" i="192" a="1"/>
  <c r="U23" i="192" s="1"/>
  <c r="T23" i="192" a="1"/>
  <c r="T23" i="192" s="1"/>
  <c r="S23" i="192" a="1"/>
  <c r="S23" i="192" s="1"/>
  <c r="R23" i="192" a="1"/>
  <c r="R23" i="192" s="1"/>
  <c r="Q23" i="192" a="1"/>
  <c r="Q23" i="192" s="1"/>
  <c r="P23" i="192" a="1"/>
  <c r="P23" i="192" s="1"/>
  <c r="O23" i="192" a="1"/>
  <c r="O23" i="192" s="1"/>
  <c r="N23" i="192" a="1"/>
  <c r="N23" i="192" s="1"/>
  <c r="M23" i="192" a="1"/>
  <c r="M23" i="192" s="1"/>
  <c r="L23" i="192" a="1"/>
  <c r="L23" i="192" s="1"/>
  <c r="K23" i="192" a="1"/>
  <c r="K23" i="192" s="1"/>
  <c r="J23" i="192" a="1"/>
  <c r="J23" i="192" s="1"/>
  <c r="I23" i="192" a="1"/>
  <c r="I23" i="192" s="1"/>
  <c r="H23" i="192" a="1"/>
  <c r="H23" i="192" s="1"/>
  <c r="G23" i="192"/>
  <c r="AA22" i="192"/>
  <c r="AA22" i="192" a="1"/>
  <c r="Z22" i="192" a="1"/>
  <c r="Z22" i="192" s="1"/>
  <c r="Y22" i="192" a="1"/>
  <c r="Y22" i="192" s="1"/>
  <c r="X22" i="192"/>
  <c r="X22" i="192" a="1"/>
  <c r="W22" i="192"/>
  <c r="W22" i="192" a="1"/>
  <c r="V22" i="192" a="1"/>
  <c r="V22" i="192" s="1"/>
  <c r="U22" i="192" a="1"/>
  <c r="U22" i="192" s="1"/>
  <c r="T22" i="192"/>
  <c r="T22" i="192" a="1"/>
  <c r="S22" i="192"/>
  <c r="S22" i="192" a="1"/>
  <c r="R22" i="192" a="1"/>
  <c r="R22" i="192" s="1"/>
  <c r="Q22" i="192" a="1"/>
  <c r="Q22" i="192" s="1"/>
  <c r="P22" i="192"/>
  <c r="P22" i="192" a="1"/>
  <c r="O22" i="192"/>
  <c r="O22" i="192" a="1"/>
  <c r="N22" i="192" a="1"/>
  <c r="N22" i="192" s="1"/>
  <c r="M22" i="192" a="1"/>
  <c r="M22" i="192" s="1"/>
  <c r="L22" i="192"/>
  <c r="L22" i="192" a="1"/>
  <c r="K22" i="192"/>
  <c r="K22" i="192" a="1"/>
  <c r="J22" i="192" a="1"/>
  <c r="J22" i="192" s="1"/>
  <c r="I22" i="192" a="1"/>
  <c r="I22" i="192" s="1"/>
  <c r="H22" i="192"/>
  <c r="H22" i="192" a="1"/>
  <c r="G22" i="192"/>
  <c r="AA21" i="192" a="1"/>
  <c r="AA21" i="192" s="1"/>
  <c r="Z21" i="192" a="1"/>
  <c r="Z21" i="192" s="1"/>
  <c r="Y21" i="192"/>
  <c r="Y21" i="192" a="1"/>
  <c r="X21" i="192" a="1"/>
  <c r="X21" i="192" s="1"/>
  <c r="W21" i="192" a="1"/>
  <c r="W21" i="192" s="1"/>
  <c r="V21" i="192" a="1"/>
  <c r="V21" i="192" s="1"/>
  <c r="U21" i="192"/>
  <c r="U21" i="192" a="1"/>
  <c r="T21" i="192" a="1"/>
  <c r="T21" i="192" s="1"/>
  <c r="S21" i="192" a="1"/>
  <c r="S21" i="192" s="1"/>
  <c r="R21" i="192" a="1"/>
  <c r="R21" i="192" s="1"/>
  <c r="Q21" i="192"/>
  <c r="Q21" i="192" a="1"/>
  <c r="P21" i="192" a="1"/>
  <c r="P21" i="192" s="1"/>
  <c r="O21" i="192" a="1"/>
  <c r="O21" i="192" s="1"/>
  <c r="N21" i="192" a="1"/>
  <c r="N21" i="192" s="1"/>
  <c r="M21" i="192"/>
  <c r="M21" i="192" a="1"/>
  <c r="L21" i="192" a="1"/>
  <c r="L21" i="192" s="1"/>
  <c r="K21" i="192" a="1"/>
  <c r="K21" i="192" s="1"/>
  <c r="J21" i="192" a="1"/>
  <c r="J21" i="192" s="1"/>
  <c r="I21" i="192"/>
  <c r="I21" i="192" a="1"/>
  <c r="H21" i="192" a="1"/>
  <c r="H21" i="192" s="1"/>
  <c r="G21" i="192"/>
  <c r="AA20" i="192" a="1"/>
  <c r="AA20" i="192" s="1"/>
  <c r="Z20" i="192" a="1"/>
  <c r="Z20" i="192" s="1"/>
  <c r="Y20" i="192" a="1"/>
  <c r="Y20" i="192" s="1"/>
  <c r="X20" i="192" a="1"/>
  <c r="X20" i="192" s="1"/>
  <c r="W20" i="192" a="1"/>
  <c r="W20" i="192" s="1"/>
  <c r="V20" i="192" a="1"/>
  <c r="V20" i="192" s="1"/>
  <c r="U20" i="192" a="1"/>
  <c r="U20" i="192" s="1"/>
  <c r="T20" i="192" a="1"/>
  <c r="T20" i="192" s="1"/>
  <c r="S20" i="192" a="1"/>
  <c r="S20" i="192" s="1"/>
  <c r="R20" i="192" a="1"/>
  <c r="R20" i="192" s="1"/>
  <c r="Q20" i="192" a="1"/>
  <c r="Q20" i="192" s="1"/>
  <c r="P20" i="192" a="1"/>
  <c r="P20" i="192" s="1"/>
  <c r="O20" i="192" a="1"/>
  <c r="O20" i="192" s="1"/>
  <c r="N20" i="192" a="1"/>
  <c r="N20" i="192" s="1"/>
  <c r="M20" i="192" a="1"/>
  <c r="M20" i="192" s="1"/>
  <c r="L20" i="192" a="1"/>
  <c r="L20" i="192" s="1"/>
  <c r="K20" i="192" a="1"/>
  <c r="K20" i="192" s="1"/>
  <c r="J20" i="192" a="1"/>
  <c r="J20" i="192" s="1"/>
  <c r="I20" i="192" a="1"/>
  <c r="I20" i="192" s="1"/>
  <c r="H20" i="192" a="1"/>
  <c r="H20" i="192" s="1"/>
  <c r="G20" i="192"/>
  <c r="AA19" i="192" a="1"/>
  <c r="AA19" i="192" s="1"/>
  <c r="Z19" i="192" a="1"/>
  <c r="Z19" i="192" s="1"/>
  <c r="Y19" i="192" a="1"/>
  <c r="Y19" i="192" s="1"/>
  <c r="X19" i="192" a="1"/>
  <c r="X19" i="192" s="1"/>
  <c r="W19" i="192" a="1"/>
  <c r="W19" i="192" s="1"/>
  <c r="V19" i="192" a="1"/>
  <c r="V19" i="192" s="1"/>
  <c r="U19" i="192" a="1"/>
  <c r="U19" i="192" s="1"/>
  <c r="T19" i="192" a="1"/>
  <c r="T19" i="192" s="1"/>
  <c r="S19" i="192" a="1"/>
  <c r="S19" i="192" s="1"/>
  <c r="R19" i="192" a="1"/>
  <c r="R19" i="192" s="1"/>
  <c r="Q19" i="192" a="1"/>
  <c r="Q19" i="192" s="1"/>
  <c r="P19" i="192" a="1"/>
  <c r="P19" i="192" s="1"/>
  <c r="O19" i="192" a="1"/>
  <c r="O19" i="192" s="1"/>
  <c r="N19" i="192"/>
  <c r="N19" i="192" a="1"/>
  <c r="M19" i="192" a="1"/>
  <c r="M19" i="192" s="1"/>
  <c r="L19" i="192" a="1"/>
  <c r="L19" i="192" s="1"/>
  <c r="K19" i="192" a="1"/>
  <c r="K19" i="192" s="1"/>
  <c r="J19" i="192" a="1"/>
  <c r="J19" i="192" s="1"/>
  <c r="I19" i="192" a="1"/>
  <c r="I19" i="192" s="1"/>
  <c r="H19" i="192" a="1"/>
  <c r="H19" i="192" s="1"/>
  <c r="G19" i="192"/>
  <c r="AA18" i="192" a="1"/>
  <c r="AA18" i="192" s="1"/>
  <c r="Z18" i="192" a="1"/>
  <c r="Z18" i="192" s="1"/>
  <c r="Y18" i="192" a="1"/>
  <c r="Y18" i="192" s="1"/>
  <c r="X18" i="192" a="1"/>
  <c r="X18" i="192" s="1"/>
  <c r="W18" i="192" a="1"/>
  <c r="W18" i="192" s="1"/>
  <c r="V18" i="192" a="1"/>
  <c r="V18" i="192" s="1"/>
  <c r="U18" i="192" a="1"/>
  <c r="U18" i="192" s="1"/>
  <c r="T18" i="192" a="1"/>
  <c r="T18" i="192" s="1"/>
  <c r="S18" i="192" a="1"/>
  <c r="S18" i="192" s="1"/>
  <c r="R18" i="192" a="1"/>
  <c r="R18" i="192" s="1"/>
  <c r="Q18" i="192" a="1"/>
  <c r="Q18" i="192" s="1"/>
  <c r="P18" i="192" a="1"/>
  <c r="P18" i="192" s="1"/>
  <c r="O18" i="192" a="1"/>
  <c r="O18" i="192" s="1"/>
  <c r="N18" i="192" a="1"/>
  <c r="N18" i="192" s="1"/>
  <c r="M18" i="192" a="1"/>
  <c r="M18" i="192" s="1"/>
  <c r="I18" i="192" a="1"/>
  <c r="I18" i="192" s="1"/>
  <c r="G18" i="192"/>
  <c r="AA17" i="192" a="1"/>
  <c r="AA17" i="192" s="1"/>
  <c r="Z17" i="192" a="1"/>
  <c r="Z17" i="192" s="1"/>
  <c r="Y17" i="192" a="1"/>
  <c r="Y17" i="192" s="1"/>
  <c r="X17" i="192" a="1"/>
  <c r="X17" i="192" s="1"/>
  <c r="W17" i="192" a="1"/>
  <c r="W17" i="192" s="1"/>
  <c r="V17" i="192" a="1"/>
  <c r="V17" i="192" s="1"/>
  <c r="U17" i="192" a="1"/>
  <c r="U17" i="192" s="1"/>
  <c r="T17" i="192" a="1"/>
  <c r="T17" i="192" s="1"/>
  <c r="S17" i="192" a="1"/>
  <c r="S17" i="192" s="1"/>
  <c r="R17" i="192" a="1"/>
  <c r="R17" i="192" s="1"/>
  <c r="Q17" i="192" a="1"/>
  <c r="Q17" i="192" s="1"/>
  <c r="P17" i="192" a="1"/>
  <c r="P17" i="192" s="1"/>
  <c r="O17" i="192" a="1"/>
  <c r="O17" i="192" s="1"/>
  <c r="N17" i="192" a="1"/>
  <c r="N17" i="192" s="1"/>
  <c r="M17" i="192" a="1"/>
  <c r="M17" i="192" s="1"/>
  <c r="L17" i="192" a="1"/>
  <c r="L17" i="192" s="1"/>
  <c r="K17" i="192" a="1"/>
  <c r="K17" i="192" s="1"/>
  <c r="J17" i="192" a="1"/>
  <c r="J17" i="192" s="1"/>
  <c r="I17" i="192" a="1"/>
  <c r="I17" i="192" s="1"/>
  <c r="H17" i="192" a="1"/>
  <c r="H17" i="192" s="1"/>
  <c r="G17" i="192"/>
  <c r="AA16" i="192" a="1"/>
  <c r="AA16" i="192" s="1"/>
  <c r="Z16" i="192" a="1"/>
  <c r="Z16" i="192" s="1"/>
  <c r="Y16" i="192" a="1"/>
  <c r="Y16" i="192" s="1"/>
  <c r="X16" i="192" a="1"/>
  <c r="X16" i="192" s="1"/>
  <c r="W16" i="192"/>
  <c r="W16" i="192" a="1"/>
  <c r="V16" i="192"/>
  <c r="V16" i="192" a="1"/>
  <c r="U16" i="192" a="1"/>
  <c r="U16" i="192" s="1"/>
  <c r="T16" i="192" a="1"/>
  <c r="T16" i="192" s="1"/>
  <c r="S16" i="192"/>
  <c r="S16" i="192" a="1"/>
  <c r="R16" i="192"/>
  <c r="R16" i="192" a="1"/>
  <c r="Q16" i="192" a="1"/>
  <c r="Q16" i="192" s="1"/>
  <c r="P16" i="192" a="1"/>
  <c r="P16" i="192" s="1"/>
  <c r="O16" i="192"/>
  <c r="O16" i="192" a="1"/>
  <c r="N16" i="192"/>
  <c r="N16" i="192" a="1"/>
  <c r="M16" i="192" a="1"/>
  <c r="M16" i="192" s="1"/>
  <c r="L16" i="192" a="1"/>
  <c r="L16" i="192" s="1"/>
  <c r="K16" i="192"/>
  <c r="K16" i="192" a="1"/>
  <c r="J16" i="192"/>
  <c r="J16" i="192" a="1"/>
  <c r="I16" i="192" a="1"/>
  <c r="I16" i="192" s="1"/>
  <c r="H16" i="192" a="1"/>
  <c r="H16" i="192" s="1"/>
  <c r="G16" i="192"/>
  <c r="AA15" i="192" a="1"/>
  <c r="AA15" i="192" s="1"/>
  <c r="Z15" i="192" a="1"/>
  <c r="Z15" i="192" s="1"/>
  <c r="Y15" i="192" a="1"/>
  <c r="Y15" i="192" s="1"/>
  <c r="X15" i="192" a="1"/>
  <c r="X15" i="192" s="1"/>
  <c r="W15" i="192"/>
  <c r="W15" i="192" a="1"/>
  <c r="V15" i="192" a="1"/>
  <c r="V15" i="192" s="1"/>
  <c r="U15" i="192" a="1"/>
  <c r="U15" i="192" s="1"/>
  <c r="T15" i="192" a="1"/>
  <c r="T15" i="192" s="1"/>
  <c r="S15" i="192" a="1"/>
  <c r="S15" i="192" s="1"/>
  <c r="R15" i="192" a="1"/>
  <c r="R15" i="192" s="1"/>
  <c r="Q15" i="192" a="1"/>
  <c r="Q15" i="192" s="1"/>
  <c r="P15" i="192" a="1"/>
  <c r="P15" i="192" s="1"/>
  <c r="O15" i="192" a="1"/>
  <c r="O15" i="192" s="1"/>
  <c r="N15" i="192" a="1"/>
  <c r="N15" i="192" s="1"/>
  <c r="M15" i="192" a="1"/>
  <c r="M15" i="192" s="1"/>
  <c r="L15" i="192" a="1"/>
  <c r="L15" i="192" s="1"/>
  <c r="K15" i="192" a="1"/>
  <c r="K15" i="192" s="1"/>
  <c r="J15" i="192" a="1"/>
  <c r="J15" i="192" s="1"/>
  <c r="I15" i="192" a="1"/>
  <c r="I15" i="192" s="1"/>
  <c r="H15" i="192" a="1"/>
  <c r="H15" i="192" s="1"/>
  <c r="G15" i="192"/>
  <c r="D9" i="192"/>
  <c r="E7" i="192"/>
  <c r="D7" i="192"/>
  <c r="C7" i="192"/>
  <c r="B7" i="192"/>
  <c r="A7" i="192"/>
  <c r="F6" i="192"/>
  <c r="AA23" i="187" a="1"/>
  <c r="AA23" i="187" s="1"/>
  <c r="Z23" i="187" a="1"/>
  <c r="Z23" i="187" s="1"/>
  <c r="Y23" i="187"/>
  <c r="Y23" i="187" a="1"/>
  <c r="X23" i="187" a="1"/>
  <c r="X23" i="187" s="1"/>
  <c r="W23" i="187" a="1"/>
  <c r="W23" i="187" s="1"/>
  <c r="V23" i="187" a="1"/>
  <c r="V23" i="187" s="1"/>
  <c r="U23" i="187"/>
  <c r="U23" i="187" a="1"/>
  <c r="T23" i="187" a="1"/>
  <c r="T23" i="187" s="1"/>
  <c r="S23" i="187" a="1"/>
  <c r="S23" i="187" s="1"/>
  <c r="R23" i="187" a="1"/>
  <c r="R23" i="187" s="1"/>
  <c r="Q23" i="187"/>
  <c r="Q23" i="187" a="1"/>
  <c r="P23" i="187" a="1"/>
  <c r="P23" i="187" s="1"/>
  <c r="O23" i="187" a="1"/>
  <c r="O23" i="187" s="1"/>
  <c r="N23" i="187" a="1"/>
  <c r="N23" i="187" s="1"/>
  <c r="M23" i="187"/>
  <c r="M23" i="187" a="1"/>
  <c r="L23" i="187" a="1"/>
  <c r="L23" i="187" s="1"/>
  <c r="K23" i="187" a="1"/>
  <c r="K23" i="187" s="1"/>
  <c r="J23" i="187" a="1"/>
  <c r="J23" i="187" s="1"/>
  <c r="I23" i="187"/>
  <c r="I23" i="187" a="1"/>
  <c r="H23" i="187" a="1"/>
  <c r="H23" i="187" s="1"/>
  <c r="G23" i="187"/>
  <c r="AA22" i="187"/>
  <c r="AA22" i="187" a="1"/>
  <c r="Z22" i="187"/>
  <c r="Z22" i="187" a="1"/>
  <c r="Y22" i="187"/>
  <c r="Y22" i="187" a="1"/>
  <c r="X22" i="187"/>
  <c r="X22" i="187" a="1"/>
  <c r="W22" i="187" a="1"/>
  <c r="W22" i="187" s="1"/>
  <c r="V22" i="187"/>
  <c r="V22" i="187" a="1"/>
  <c r="U22" i="187"/>
  <c r="U22" i="187" a="1"/>
  <c r="T22" i="187"/>
  <c r="T22" i="187" a="1"/>
  <c r="S22" i="187" a="1"/>
  <c r="S22" i="187" s="1"/>
  <c r="R22" i="187"/>
  <c r="R22" i="187" a="1"/>
  <c r="Q22" i="187"/>
  <c r="Q22" i="187" a="1"/>
  <c r="P22" i="187"/>
  <c r="P22" i="187" a="1"/>
  <c r="O22" i="187" a="1"/>
  <c r="O22" i="187" s="1"/>
  <c r="N22" i="187"/>
  <c r="N22" i="187" a="1"/>
  <c r="M22" i="187"/>
  <c r="M22" i="187" a="1"/>
  <c r="L22" i="187"/>
  <c r="L22" i="187" a="1"/>
  <c r="K22" i="187" a="1"/>
  <c r="K22" i="187" s="1"/>
  <c r="J22" i="187" a="1"/>
  <c r="J22" i="187" s="1"/>
  <c r="I22" i="187"/>
  <c r="I22" i="187" a="1"/>
  <c r="H22" i="187"/>
  <c r="H22" i="187" a="1"/>
  <c r="G22" i="187"/>
  <c r="AA21" i="187"/>
  <c r="AA21" i="187" a="1"/>
  <c r="Z21" i="187"/>
  <c r="Z21" i="187" a="1"/>
  <c r="Y21" i="187" a="1"/>
  <c r="Y21" i="187" s="1"/>
  <c r="X21" i="187" a="1"/>
  <c r="X21" i="187" s="1"/>
  <c r="W21" i="187"/>
  <c r="W21" i="187" a="1"/>
  <c r="V21" i="187"/>
  <c r="V21" i="187" a="1"/>
  <c r="U21" i="187" a="1"/>
  <c r="U21" i="187" s="1"/>
  <c r="T21" i="187" a="1"/>
  <c r="T21" i="187" s="1"/>
  <c r="S21" i="187"/>
  <c r="S21" i="187" a="1"/>
  <c r="R21" i="187"/>
  <c r="R21" i="187" a="1"/>
  <c r="Q21" i="187" a="1"/>
  <c r="Q21" i="187" s="1"/>
  <c r="P21" i="187" a="1"/>
  <c r="P21" i="187" s="1"/>
  <c r="O21" i="187" a="1"/>
  <c r="O21" i="187" s="1"/>
  <c r="N21" i="187"/>
  <c r="N21" i="187" a="1"/>
  <c r="M21" i="187" a="1"/>
  <c r="M21" i="187" s="1"/>
  <c r="L21" i="187" a="1"/>
  <c r="L21" i="187" s="1"/>
  <c r="K21" i="187" a="1"/>
  <c r="K21" i="187" s="1"/>
  <c r="J21" i="187"/>
  <c r="J21" i="187" a="1"/>
  <c r="I21" i="187" a="1"/>
  <c r="I21" i="187" s="1"/>
  <c r="H21" i="187" a="1"/>
  <c r="H21" i="187" s="1"/>
  <c r="G21" i="187"/>
  <c r="AA20" i="187"/>
  <c r="AA20" i="187" a="1"/>
  <c r="Z20" i="187"/>
  <c r="Z20" i="187" a="1"/>
  <c r="Y20" i="187"/>
  <c r="Y20" i="187" a="1"/>
  <c r="X20" i="187"/>
  <c r="X20" i="187" a="1"/>
  <c r="W20" i="187"/>
  <c r="W20" i="187" a="1"/>
  <c r="V20" i="187"/>
  <c r="V20" i="187" a="1"/>
  <c r="U20" i="187"/>
  <c r="U20" i="187" a="1"/>
  <c r="T20" i="187" a="1"/>
  <c r="T20" i="187" s="1"/>
  <c r="S20" i="187"/>
  <c r="S20" i="187" a="1"/>
  <c r="R20" i="187" a="1"/>
  <c r="R20" i="187" s="1"/>
  <c r="Q20" i="187"/>
  <c r="Q20" i="187" a="1"/>
  <c r="P20" i="187" a="1"/>
  <c r="P20" i="187" s="1"/>
  <c r="O20" i="187"/>
  <c r="O20" i="187" a="1"/>
  <c r="N20" i="187" a="1"/>
  <c r="N20" i="187" s="1"/>
  <c r="M20" i="187"/>
  <c r="M20" i="187" a="1"/>
  <c r="L20" i="187" a="1"/>
  <c r="L20" i="187" s="1"/>
  <c r="K20" i="187" a="1"/>
  <c r="K20" i="187" s="1"/>
  <c r="J20" i="187" a="1"/>
  <c r="J20" i="187" s="1"/>
  <c r="I20" i="187"/>
  <c r="I20" i="187" a="1"/>
  <c r="H20" i="187" a="1"/>
  <c r="H20" i="187" s="1"/>
  <c r="G20" i="187"/>
  <c r="AA19" i="187"/>
  <c r="AA19" i="187" a="1"/>
  <c r="Z19" i="187" a="1"/>
  <c r="Z19" i="187" s="1"/>
  <c r="Y19" i="187" a="1"/>
  <c r="Y19" i="187" s="1"/>
  <c r="X19" i="187"/>
  <c r="X19" i="187" a="1"/>
  <c r="W19" i="187"/>
  <c r="W19" i="187" a="1"/>
  <c r="V19" i="187" a="1"/>
  <c r="V19" i="187" s="1"/>
  <c r="U19" i="187" a="1"/>
  <c r="U19" i="187" s="1"/>
  <c r="T19" i="187"/>
  <c r="T19" i="187" a="1"/>
  <c r="S19" i="187"/>
  <c r="S19" i="187" a="1"/>
  <c r="R19" i="187" a="1"/>
  <c r="R19" i="187" s="1"/>
  <c r="Q19" i="187" a="1"/>
  <c r="Q19" i="187" s="1"/>
  <c r="P19" i="187"/>
  <c r="P19" i="187" a="1"/>
  <c r="O19" i="187"/>
  <c r="O19" i="187" a="1"/>
  <c r="N19" i="187" a="1"/>
  <c r="N19" i="187" s="1"/>
  <c r="M19" i="187" a="1"/>
  <c r="M19" i="187" s="1"/>
  <c r="L19" i="187"/>
  <c r="L19" i="187" a="1"/>
  <c r="K19" i="187"/>
  <c r="K19" i="187" a="1"/>
  <c r="J19" i="187" a="1"/>
  <c r="J19" i="187" s="1"/>
  <c r="I19" i="187" a="1"/>
  <c r="I19" i="187" s="1"/>
  <c r="H19" i="187"/>
  <c r="H19" i="187" a="1"/>
  <c r="G19" i="187"/>
  <c r="AA18" i="187" a="1"/>
  <c r="AA18" i="187" s="1"/>
  <c r="Z18" i="187"/>
  <c r="Z18" i="187" a="1"/>
  <c r="Y18" i="187" a="1"/>
  <c r="Y18" i="187" s="1"/>
  <c r="X18" i="187" a="1"/>
  <c r="X18" i="187" s="1"/>
  <c r="W18" i="187" a="1"/>
  <c r="W18" i="187" s="1"/>
  <c r="V18" i="187"/>
  <c r="V18" i="187" a="1"/>
  <c r="U18" i="187" a="1"/>
  <c r="U18" i="187" s="1"/>
  <c r="T18" i="187" a="1"/>
  <c r="T18" i="187" s="1"/>
  <c r="S18" i="187" a="1"/>
  <c r="S18" i="187" s="1"/>
  <c r="R18" i="187"/>
  <c r="R18" i="187" a="1"/>
  <c r="Q18" i="187" a="1"/>
  <c r="Q18" i="187" s="1"/>
  <c r="P18" i="187" a="1"/>
  <c r="P18" i="187" s="1"/>
  <c r="O18" i="187" a="1"/>
  <c r="O18" i="187" s="1"/>
  <c r="N18" i="187"/>
  <c r="N18" i="187" a="1"/>
  <c r="M18" i="187" a="1"/>
  <c r="M18" i="187" s="1"/>
  <c r="I18" i="187" a="1"/>
  <c r="I18" i="187" s="1"/>
  <c r="G18" i="187"/>
  <c r="AA17" i="187" a="1"/>
  <c r="AA17" i="187" s="1"/>
  <c r="Z17" i="187"/>
  <c r="Z17" i="187" a="1"/>
  <c r="Y17" i="187"/>
  <c r="Y17" i="187" a="1"/>
  <c r="X17" i="187"/>
  <c r="X17" i="187" a="1"/>
  <c r="W17" i="187" a="1"/>
  <c r="W17" i="187" s="1"/>
  <c r="W6" i="187" s="1"/>
  <c r="V17" i="187"/>
  <c r="V17" i="187" a="1"/>
  <c r="U17" i="187"/>
  <c r="U17" i="187" a="1"/>
  <c r="T17" i="187"/>
  <c r="T17" i="187" a="1"/>
  <c r="S17" i="187" a="1"/>
  <c r="S17" i="187" s="1"/>
  <c r="R17" i="187"/>
  <c r="R17" i="187" a="1"/>
  <c r="Q17" i="187"/>
  <c r="Q17" i="187" a="1"/>
  <c r="P17" i="187"/>
  <c r="P17" i="187" a="1"/>
  <c r="O17" i="187" a="1"/>
  <c r="O17" i="187" s="1"/>
  <c r="N17" i="187"/>
  <c r="N17" i="187" a="1"/>
  <c r="M17" i="187"/>
  <c r="M17" i="187" a="1"/>
  <c r="L17" i="187"/>
  <c r="L17" i="187" a="1"/>
  <c r="K17" i="187" a="1"/>
  <c r="K17" i="187" s="1"/>
  <c r="J17" i="187"/>
  <c r="J17" i="187" a="1"/>
  <c r="I17" i="187"/>
  <c r="I17" i="187" a="1"/>
  <c r="H17" i="187"/>
  <c r="H17" i="187" a="1"/>
  <c r="G17" i="187"/>
  <c r="AA16" i="187"/>
  <c r="AA16" i="187" a="1"/>
  <c r="Z16" i="187" a="1"/>
  <c r="Z16" i="187" s="1"/>
  <c r="Z6" i="187" s="1"/>
  <c r="Y16" i="187" a="1"/>
  <c r="Y16" i="187" s="1"/>
  <c r="Y6" i="187" s="1"/>
  <c r="X16" i="187" a="1"/>
  <c r="X16" i="187" s="1"/>
  <c r="W16" i="187"/>
  <c r="W16" i="187" a="1"/>
  <c r="V16" i="187" a="1"/>
  <c r="V16" i="187" s="1"/>
  <c r="U16" i="187" a="1"/>
  <c r="U16" i="187" s="1"/>
  <c r="T16" i="187" a="1"/>
  <c r="T16" i="187" s="1"/>
  <c r="S16" i="187"/>
  <c r="S16" i="187" a="1"/>
  <c r="R16" i="187" a="1"/>
  <c r="R16" i="187" s="1"/>
  <c r="Q16" i="187" a="1"/>
  <c r="Q16" i="187" s="1"/>
  <c r="P16" i="187" a="1"/>
  <c r="P16" i="187" s="1"/>
  <c r="O16" i="187"/>
  <c r="O16" i="187" a="1"/>
  <c r="N16" i="187" a="1"/>
  <c r="N16" i="187" s="1"/>
  <c r="N6" i="187" s="1"/>
  <c r="M16" i="187" a="1"/>
  <c r="M16" i="187" s="1"/>
  <c r="M6" i="187" s="1"/>
  <c r="L16" i="187" a="1"/>
  <c r="L16" i="187" s="1"/>
  <c r="K16" i="187"/>
  <c r="K16" i="187" a="1"/>
  <c r="J16" i="187" a="1"/>
  <c r="J16" i="187" s="1"/>
  <c r="I16" i="187" a="1"/>
  <c r="I16" i="187" s="1"/>
  <c r="H16" i="187" a="1"/>
  <c r="H16" i="187" s="1"/>
  <c r="G16" i="187"/>
  <c r="AA15" i="187"/>
  <c r="AA15" i="187" a="1"/>
  <c r="Z15" i="187"/>
  <c r="Z15" i="187" a="1"/>
  <c r="Y15" i="187"/>
  <c r="Y15" i="187" a="1"/>
  <c r="X15" i="187" a="1"/>
  <c r="X15" i="187" s="1"/>
  <c r="W15" i="187"/>
  <c r="W15" i="187" a="1"/>
  <c r="V15" i="187"/>
  <c r="V15" i="187" a="1"/>
  <c r="U15" i="187"/>
  <c r="U15" i="187" a="1"/>
  <c r="T15" i="187" a="1"/>
  <c r="T15" i="187" s="1"/>
  <c r="S15" i="187"/>
  <c r="S15" i="187" a="1"/>
  <c r="R15" i="187"/>
  <c r="R15" i="187" a="1"/>
  <c r="Q15" i="187"/>
  <c r="Q15" i="187" a="1"/>
  <c r="P15" i="187" a="1"/>
  <c r="P15" i="187" s="1"/>
  <c r="O15" i="187"/>
  <c r="O15" i="187" a="1"/>
  <c r="N15" i="187"/>
  <c r="N15" i="187" a="1"/>
  <c r="M15" i="187"/>
  <c r="M15" i="187" a="1"/>
  <c r="L15" i="187" a="1"/>
  <c r="L15" i="187" s="1"/>
  <c r="K15" i="187"/>
  <c r="K15" i="187" a="1"/>
  <c r="J15" i="187" a="1"/>
  <c r="J15" i="187" s="1"/>
  <c r="I15" i="187"/>
  <c r="I15" i="187" a="1"/>
  <c r="H15" i="187" a="1"/>
  <c r="H15" i="187" s="1"/>
  <c r="H6" i="187" s="1"/>
  <c r="G15" i="187"/>
  <c r="D9" i="187"/>
  <c r="E7" i="187"/>
  <c r="D7" i="187"/>
  <c r="C7" i="187"/>
  <c r="B7" i="187"/>
  <c r="A7" i="187"/>
  <c r="F6" i="187"/>
  <c r="D67" i="1"/>
  <c r="D10" i="1"/>
  <c r="E10" i="1"/>
  <c r="D64" i="1"/>
  <c r="E64" i="1"/>
  <c r="D8" i="1"/>
  <c r="E8" i="1"/>
  <c r="D22" i="1"/>
  <c r="E22" i="1"/>
  <c r="D59" i="1"/>
  <c r="E59" i="1"/>
  <c r="G16" i="2"/>
  <c r="G17" i="2"/>
  <c r="G18" i="2"/>
  <c r="G19" i="2"/>
  <c r="G20" i="2"/>
  <c r="E5" i="1"/>
  <c r="D5" i="1"/>
  <c r="D36" i="1"/>
  <c r="E36" i="1"/>
  <c r="D24" i="1"/>
  <c r="E24" i="1"/>
  <c r="D55" i="1"/>
  <c r="E55" i="1"/>
  <c r="D52" i="1"/>
  <c r="E52" i="1"/>
  <c r="D53" i="1"/>
  <c r="E53" i="1"/>
  <c r="C6" i="106"/>
  <c r="B6" i="106"/>
  <c r="A6" i="106"/>
  <c r="D6" i="106"/>
  <c r="G22" i="2"/>
  <c r="G23" i="2"/>
  <c r="G24" i="2"/>
  <c r="G21" i="2"/>
  <c r="C35" i="106"/>
  <c r="C36" i="106"/>
  <c r="C37" i="106"/>
  <c r="C38" i="106"/>
  <c r="C39" i="106"/>
  <c r="C40" i="106"/>
  <c r="C41" i="106"/>
  <c r="C42" i="106"/>
  <c r="C43" i="106"/>
  <c r="Y12" i="106"/>
  <c r="V12" i="106"/>
  <c r="U12" i="106"/>
  <c r="U9" i="106" s="1"/>
  <c r="T12" i="106"/>
  <c r="S12" i="106"/>
  <c r="S9" i="106" s="1"/>
  <c r="R12" i="106"/>
  <c r="Y10" i="106"/>
  <c r="X10" i="106"/>
  <c r="X12" i="106" s="1"/>
  <c r="X9" i="106" s="1"/>
  <c r="V10" i="106"/>
  <c r="U10" i="106"/>
  <c r="T10" i="106"/>
  <c r="S10" i="106"/>
  <c r="R10" i="106"/>
  <c r="Q10" i="106"/>
  <c r="Q12" i="106" s="1"/>
  <c r="Q9" i="106" s="1"/>
  <c r="P10" i="106"/>
  <c r="O10" i="106"/>
  <c r="N10" i="106"/>
  <c r="N11" i="106" s="1"/>
  <c r="N12" i="106" s="1"/>
  <c r="Y16" i="106"/>
  <c r="Y19" i="106" s="1"/>
  <c r="X16" i="106"/>
  <c r="W16" i="106"/>
  <c r="V16" i="106"/>
  <c r="V18" i="106" s="1"/>
  <c r="U16" i="106"/>
  <c r="U19" i="106" s="1"/>
  <c r="T16" i="106"/>
  <c r="T18" i="106" s="1"/>
  <c r="S16" i="106"/>
  <c r="S18" i="106" s="1"/>
  <c r="R16" i="106"/>
  <c r="R18" i="106" s="1"/>
  <c r="Q16" i="106"/>
  <c r="P16" i="106"/>
  <c r="O16" i="106"/>
  <c r="N16" i="106"/>
  <c r="D25" i="1"/>
  <c r="E25" i="1"/>
  <c r="D31" i="1"/>
  <c r="E31" i="1"/>
  <c r="M9" i="106"/>
  <c r="M10" i="106"/>
  <c r="L9" i="106"/>
  <c r="L10" i="106"/>
  <c r="G9" i="106"/>
  <c r="G10" i="106"/>
  <c r="R9" i="106" l="1"/>
  <c r="N9" i="106"/>
  <c r="T9" i="106"/>
  <c r="Y9" i="106"/>
  <c r="G6" i="209"/>
  <c r="O6" i="207"/>
  <c r="W6" i="207"/>
  <c r="J6" i="207"/>
  <c r="R6" i="207"/>
  <c r="Z6" i="207"/>
  <c r="K6" i="207"/>
  <c r="S6" i="207"/>
  <c r="AA6" i="207"/>
  <c r="G6" i="207"/>
  <c r="L6" i="207"/>
  <c r="T6" i="207"/>
  <c r="I6" i="206"/>
  <c r="Q6" i="206"/>
  <c r="Y6" i="206"/>
  <c r="K6" i="206"/>
  <c r="S6" i="206"/>
  <c r="AA6" i="206"/>
  <c r="L6" i="206"/>
  <c r="T6" i="206"/>
  <c r="M6" i="206"/>
  <c r="U6" i="206"/>
  <c r="O6" i="206"/>
  <c r="W6" i="206"/>
  <c r="H6" i="206"/>
  <c r="P6" i="206"/>
  <c r="X6" i="206"/>
  <c r="J6" i="205"/>
  <c r="K6" i="205"/>
  <c r="L6" i="205"/>
  <c r="Z6" i="205"/>
  <c r="S6" i="205"/>
  <c r="N6" i="205"/>
  <c r="G6" i="205" s="1"/>
  <c r="H6" i="205"/>
  <c r="O6" i="205"/>
  <c r="T6" i="205"/>
  <c r="M6" i="205"/>
  <c r="U6" i="205"/>
  <c r="V6" i="205"/>
  <c r="W6" i="205"/>
  <c r="Q6" i="205"/>
  <c r="Y6" i="205"/>
  <c r="R6" i="205"/>
  <c r="T6" i="204"/>
  <c r="O6" i="204"/>
  <c r="Q6" i="204"/>
  <c r="H6" i="204"/>
  <c r="P6" i="204"/>
  <c r="I6" i="204"/>
  <c r="G6" i="204" s="1"/>
  <c r="W6" i="204"/>
  <c r="K6" i="204"/>
  <c r="R6" i="204"/>
  <c r="L6" i="204"/>
  <c r="Y6" i="204"/>
  <c r="K6" i="203"/>
  <c r="L6" i="203"/>
  <c r="M6" i="203"/>
  <c r="Y6" i="203"/>
  <c r="Z6" i="203"/>
  <c r="V6" i="203"/>
  <c r="S6" i="203"/>
  <c r="X6" i="203"/>
  <c r="H6" i="203"/>
  <c r="I6" i="203"/>
  <c r="O6" i="203"/>
  <c r="J6" i="203"/>
  <c r="P6" i="203"/>
  <c r="AA6" i="203"/>
  <c r="U6" i="203"/>
  <c r="N6" i="203"/>
  <c r="W6" i="203"/>
  <c r="Q6" i="203"/>
  <c r="Y18" i="106"/>
  <c r="W6" i="192"/>
  <c r="AA6" i="192"/>
  <c r="P6" i="192"/>
  <c r="Q6" i="192"/>
  <c r="H6" i="192"/>
  <c r="J6" i="192"/>
  <c r="R6" i="192"/>
  <c r="X6" i="192"/>
  <c r="K6" i="192"/>
  <c r="Y6" i="192"/>
  <c r="S6" i="192"/>
  <c r="Z6" i="192"/>
  <c r="I6" i="192"/>
  <c r="T6" i="192"/>
  <c r="M6" i="192"/>
  <c r="U6" i="192"/>
  <c r="L6" i="192"/>
  <c r="N6" i="192"/>
  <c r="V6" i="192"/>
  <c r="O6" i="192"/>
  <c r="O6" i="187"/>
  <c r="J6" i="187"/>
  <c r="X6" i="187"/>
  <c r="U6" i="187"/>
  <c r="V6" i="187"/>
  <c r="P6" i="187"/>
  <c r="I6" i="187"/>
  <c r="Q6" i="187"/>
  <c r="T6" i="187"/>
  <c r="R6" i="187"/>
  <c r="K6" i="187"/>
  <c r="S6" i="187"/>
  <c r="AA6" i="187"/>
  <c r="L6" i="187"/>
  <c r="U18" i="106"/>
  <c r="U20" i="106" s="1"/>
  <c r="W7" i="210" s="1"/>
  <c r="E15" i="106"/>
  <c r="E17" i="106"/>
  <c r="T19" i="106"/>
  <c r="T20" i="106" s="1"/>
  <c r="V7" i="210" s="1"/>
  <c r="S19" i="106"/>
  <c r="S20" i="106" s="1"/>
  <c r="U7" i="210" s="1"/>
  <c r="R19" i="106"/>
  <c r="R20" i="106" s="1"/>
  <c r="T7" i="210" s="1"/>
  <c r="V19" i="106"/>
  <c r="V20" i="106" s="1"/>
  <c r="X7" i="210" s="1"/>
  <c r="G12" i="106"/>
  <c r="M12" i="106"/>
  <c r="L12" i="106"/>
  <c r="C7" i="2"/>
  <c r="D7" i="2"/>
  <c r="E7" i="2"/>
  <c r="B7" i="2"/>
  <c r="A7" i="2"/>
  <c r="G8" i="207" l="1"/>
  <c r="G8" i="209"/>
  <c r="G8" i="208"/>
  <c r="G10" i="207"/>
  <c r="G10" i="208"/>
  <c r="G10" i="209"/>
  <c r="X7" i="207"/>
  <c r="X7" i="209"/>
  <c r="X7" i="208"/>
  <c r="U7" i="207"/>
  <c r="U7" i="208"/>
  <c r="U7" i="209"/>
  <c r="V7" i="207"/>
  <c r="V7" i="208"/>
  <c r="V7" i="209"/>
  <c r="T7" i="207"/>
  <c r="T7" i="209"/>
  <c r="T7" i="208"/>
  <c r="W7" i="207"/>
  <c r="W7" i="209"/>
  <c r="W7" i="208"/>
  <c r="W7" i="205"/>
  <c r="W7" i="206"/>
  <c r="T7" i="205"/>
  <c r="T7" i="206"/>
  <c r="U7" i="205"/>
  <c r="U7" i="206"/>
  <c r="V7" i="205"/>
  <c r="V7" i="206"/>
  <c r="X7" i="205"/>
  <c r="X7" i="206"/>
  <c r="G10" i="205"/>
  <c r="G10" i="206"/>
  <c r="G8" i="205"/>
  <c r="G8" i="206"/>
  <c r="G6" i="206"/>
  <c r="G8" i="203"/>
  <c r="G8" i="204"/>
  <c r="G10" i="203"/>
  <c r="G10" i="204"/>
  <c r="T7" i="203"/>
  <c r="T7" i="204"/>
  <c r="X7" i="203"/>
  <c r="X7" i="204"/>
  <c r="U7" i="203"/>
  <c r="U7" i="204"/>
  <c r="V7" i="203"/>
  <c r="V7" i="204"/>
  <c r="W7" i="203"/>
  <c r="W7" i="204"/>
  <c r="G6" i="203"/>
  <c r="G10" i="192"/>
  <c r="G10" i="187"/>
  <c r="G9" i="2"/>
  <c r="G8" i="187"/>
  <c r="G8" i="192"/>
  <c r="V7" i="187"/>
  <c r="V7" i="192"/>
  <c r="U7" i="187"/>
  <c r="U7" i="192"/>
  <c r="X7" i="187"/>
  <c r="X7" i="192"/>
  <c r="W7" i="187"/>
  <c r="W7" i="192"/>
  <c r="T7" i="187"/>
  <c r="T7" i="192"/>
  <c r="G6" i="192"/>
  <c r="G6" i="187"/>
  <c r="G11" i="2"/>
  <c r="W17" i="106"/>
  <c r="Y11" i="210" s="1"/>
  <c r="W15" i="106"/>
  <c r="Y9" i="210" s="1"/>
  <c r="Y15" i="106"/>
  <c r="Y17" i="106"/>
  <c r="H17" i="106"/>
  <c r="I17" i="106"/>
  <c r="J17" i="106"/>
  <c r="Q17" i="106"/>
  <c r="S11" i="210" s="1"/>
  <c r="R17" i="106"/>
  <c r="S17" i="106"/>
  <c r="T17" i="106"/>
  <c r="U17" i="106"/>
  <c r="V17" i="106"/>
  <c r="X17" i="106"/>
  <c r="H15" i="106"/>
  <c r="I15" i="106"/>
  <c r="J15" i="106"/>
  <c r="Q15" i="106"/>
  <c r="S9" i="210" s="1"/>
  <c r="R15" i="106"/>
  <c r="S15" i="106"/>
  <c r="T15" i="106"/>
  <c r="U15" i="106"/>
  <c r="V15" i="106"/>
  <c r="X15" i="106"/>
  <c r="G16" i="106"/>
  <c r="H16" i="106"/>
  <c r="H19" i="106" s="1"/>
  <c r="I16" i="106"/>
  <c r="I19" i="106" s="1"/>
  <c r="J16" i="106"/>
  <c r="J19" i="106" s="1"/>
  <c r="K16" i="106"/>
  <c r="K15" i="106" s="1"/>
  <c r="L16" i="106"/>
  <c r="M16" i="106"/>
  <c r="F16" i="106"/>
  <c r="F17" i="106" s="1"/>
  <c r="B16" i="106"/>
  <c r="D10" i="2"/>
  <c r="C16" i="106" s="1"/>
  <c r="D75" i="1"/>
  <c r="E75" i="1"/>
  <c r="E15" i="1"/>
  <c r="D15" i="1"/>
  <c r="G23" i="106"/>
  <c r="H23" i="106"/>
  <c r="I23" i="106"/>
  <c r="J23" i="106"/>
  <c r="K23" i="106"/>
  <c r="L23" i="106"/>
  <c r="M23" i="106"/>
  <c r="N23" i="106"/>
  <c r="O23" i="106"/>
  <c r="P23" i="106"/>
  <c r="Q23" i="106"/>
  <c r="R23" i="106"/>
  <c r="S23" i="106"/>
  <c r="T23" i="106"/>
  <c r="U23" i="106"/>
  <c r="V23" i="106"/>
  <c r="W23" i="106"/>
  <c r="X23" i="106"/>
  <c r="C23" i="106"/>
  <c r="D23" i="106"/>
  <c r="F23" i="106"/>
  <c r="B23" i="106"/>
  <c r="A23" i="106"/>
  <c r="A36" i="106"/>
  <c r="A25" i="106" s="1"/>
  <c r="B36" i="106"/>
  <c r="B25" i="106" s="1"/>
  <c r="C25" i="106"/>
  <c r="A37" i="106"/>
  <c r="A26" i="106" s="1"/>
  <c r="B37" i="106"/>
  <c r="B26" i="106" s="1"/>
  <c r="C26" i="106"/>
  <c r="A38" i="106"/>
  <c r="A27" i="106" s="1"/>
  <c r="B38" i="106"/>
  <c r="B27" i="106" s="1"/>
  <c r="C27" i="106"/>
  <c r="F38" i="106"/>
  <c r="F27" i="106" s="1"/>
  <c r="H38" i="106"/>
  <c r="H27" i="106" s="1"/>
  <c r="I38" i="106"/>
  <c r="I27" i="106" s="1"/>
  <c r="J38" i="106"/>
  <c r="J27" i="106" s="1"/>
  <c r="A39" i="106"/>
  <c r="A28" i="106" s="1"/>
  <c r="B39" i="106"/>
  <c r="B28" i="106" s="1"/>
  <c r="C28" i="106"/>
  <c r="A40" i="106"/>
  <c r="A29" i="106" s="1"/>
  <c r="B40" i="106"/>
  <c r="B29" i="106" s="1"/>
  <c r="C29" i="106"/>
  <c r="A41" i="106"/>
  <c r="A30" i="106" s="1"/>
  <c r="B41" i="106"/>
  <c r="B30" i="106" s="1"/>
  <c r="C30" i="106"/>
  <c r="A42" i="106"/>
  <c r="A31" i="106" s="1"/>
  <c r="B42" i="106"/>
  <c r="B31" i="106" s="1"/>
  <c r="C31" i="106"/>
  <c r="A43" i="106"/>
  <c r="A32" i="106" s="1"/>
  <c r="B43" i="106"/>
  <c r="B32" i="106" s="1"/>
  <c r="C32" i="106"/>
  <c r="B35" i="106"/>
  <c r="B24" i="106" s="1"/>
  <c r="C24" i="106"/>
  <c r="A35" i="106"/>
  <c r="A24" i="106" s="1"/>
  <c r="D36" i="106"/>
  <c r="D25" i="106" s="1"/>
  <c r="D37" i="106"/>
  <c r="D26" i="106" s="1"/>
  <c r="D38" i="106"/>
  <c r="D39" i="106"/>
  <c r="D28" i="106" s="1"/>
  <c r="D40" i="106"/>
  <c r="D29" i="106" s="1"/>
  <c r="D41" i="106"/>
  <c r="D30" i="106" s="1"/>
  <c r="D42" i="106"/>
  <c r="D31" i="106" s="1"/>
  <c r="D43" i="106"/>
  <c r="D32" i="106" s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6" i="1"/>
  <c r="D66" i="1"/>
  <c r="E65" i="1"/>
  <c r="D65" i="1"/>
  <c r="E63" i="1"/>
  <c r="D63" i="1"/>
  <c r="E76" i="1"/>
  <c r="D76" i="1"/>
  <c r="E62" i="1"/>
  <c r="D62" i="1"/>
  <c r="E61" i="1"/>
  <c r="D61" i="1"/>
  <c r="E60" i="1"/>
  <c r="D60" i="1"/>
  <c r="E58" i="1"/>
  <c r="D58" i="1"/>
  <c r="E57" i="1"/>
  <c r="D57" i="1"/>
  <c r="E56" i="1"/>
  <c r="D56" i="1"/>
  <c r="E54" i="1"/>
  <c r="D54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5" i="1"/>
  <c r="D35" i="1"/>
  <c r="E34" i="1"/>
  <c r="D34" i="1"/>
  <c r="E33" i="1"/>
  <c r="D33" i="1"/>
  <c r="E38" i="1"/>
  <c r="D38" i="1"/>
  <c r="E32" i="1"/>
  <c r="D32" i="1"/>
  <c r="E37" i="1"/>
  <c r="D37" i="1"/>
  <c r="E30" i="1"/>
  <c r="D30" i="1"/>
  <c r="E29" i="1"/>
  <c r="D29" i="1"/>
  <c r="E28" i="1"/>
  <c r="D28" i="1"/>
  <c r="E27" i="1"/>
  <c r="D27" i="1"/>
  <c r="E26" i="1"/>
  <c r="D26" i="1"/>
  <c r="E23" i="1"/>
  <c r="D23" i="1"/>
  <c r="E21" i="1"/>
  <c r="D21" i="1"/>
  <c r="E20" i="1"/>
  <c r="D20" i="1"/>
  <c r="E19" i="1"/>
  <c r="D19" i="1"/>
  <c r="E18" i="1"/>
  <c r="D18" i="1"/>
  <c r="E17" i="1"/>
  <c r="D17" i="1"/>
  <c r="E16" i="1"/>
  <c r="D16" i="1"/>
  <c r="E14" i="1"/>
  <c r="D14" i="1"/>
  <c r="E13" i="1"/>
  <c r="D13" i="1"/>
  <c r="E12" i="1"/>
  <c r="D12" i="1"/>
  <c r="E11" i="1"/>
  <c r="D11" i="1"/>
  <c r="E9" i="1"/>
  <c r="D9" i="1"/>
  <c r="E7" i="1"/>
  <c r="D7" i="1"/>
  <c r="E6" i="1"/>
  <c r="D6" i="1"/>
  <c r="E4" i="1"/>
  <c r="D4" i="1"/>
  <c r="E3" i="1"/>
  <c r="D3" i="1"/>
  <c r="E2" i="1"/>
  <c r="D2" i="1"/>
  <c r="Z24" i="2" s="1" a="1"/>
  <c r="Z24" i="2" s="1"/>
  <c r="X43" i="106" s="1"/>
  <c r="X32" i="106" s="1"/>
  <c r="S8" i="209" l="1"/>
  <c r="S8" i="208"/>
  <c r="U10" i="209"/>
  <c r="U10" i="208"/>
  <c r="Y8" i="209"/>
  <c r="Y8" i="208"/>
  <c r="Y10" i="208"/>
  <c r="Y10" i="209"/>
  <c r="H10" i="208"/>
  <c r="H10" i="209"/>
  <c r="H10" i="207"/>
  <c r="Z8" i="207"/>
  <c r="Z8" i="209"/>
  <c r="Z8" i="208"/>
  <c r="K8" i="208"/>
  <c r="K8" i="209"/>
  <c r="K8" i="207"/>
  <c r="K8" i="203"/>
  <c r="K8" i="206"/>
  <c r="K8" i="204"/>
  <c r="K8" i="205"/>
  <c r="S10" i="208"/>
  <c r="S10" i="209"/>
  <c r="T8" i="209"/>
  <c r="T8" i="208"/>
  <c r="L8" i="208"/>
  <c r="L8" i="209"/>
  <c r="L8" i="206"/>
  <c r="L8" i="204"/>
  <c r="L8" i="205"/>
  <c r="L8" i="207"/>
  <c r="L8" i="203"/>
  <c r="J8" i="209"/>
  <c r="J8" i="208"/>
  <c r="J8" i="207"/>
  <c r="J8" i="203"/>
  <c r="J8" i="206"/>
  <c r="J8" i="204"/>
  <c r="J8" i="205"/>
  <c r="V10" i="209"/>
  <c r="V10" i="208"/>
  <c r="X8" i="209"/>
  <c r="X8" i="208"/>
  <c r="W8" i="208"/>
  <c r="W8" i="209"/>
  <c r="Z10" i="207"/>
  <c r="Z10" i="208"/>
  <c r="Z10" i="209"/>
  <c r="K10" i="209"/>
  <c r="K10" i="208"/>
  <c r="K10" i="207"/>
  <c r="K10" i="206"/>
  <c r="K10" i="203"/>
  <c r="K10" i="204"/>
  <c r="K10" i="205"/>
  <c r="AA8" i="209"/>
  <c r="AA8" i="208"/>
  <c r="T10" i="209"/>
  <c r="T10" i="208"/>
  <c r="L10" i="209"/>
  <c r="L10" i="208"/>
  <c r="L10" i="207"/>
  <c r="L10" i="203"/>
  <c r="L10" i="206"/>
  <c r="L10" i="204"/>
  <c r="L10" i="205"/>
  <c r="M8" i="208"/>
  <c r="M8" i="209"/>
  <c r="M8" i="206"/>
  <c r="M8" i="204"/>
  <c r="M8" i="205"/>
  <c r="M8" i="207"/>
  <c r="M8" i="203"/>
  <c r="V8" i="208"/>
  <c r="V8" i="209"/>
  <c r="X10" i="209"/>
  <c r="X10" i="208"/>
  <c r="J10" i="209"/>
  <c r="J10" i="208"/>
  <c r="J10" i="205"/>
  <c r="J10" i="207"/>
  <c r="J10" i="203"/>
  <c r="J10" i="206"/>
  <c r="J10" i="204"/>
  <c r="U8" i="209"/>
  <c r="U8" i="208"/>
  <c r="W10" i="209"/>
  <c r="W10" i="208"/>
  <c r="AA10" i="208"/>
  <c r="AA10" i="209"/>
  <c r="X8" i="206"/>
  <c r="X8" i="204"/>
  <c r="X8" i="205"/>
  <c r="X8" i="207"/>
  <c r="X8" i="203"/>
  <c r="U10" i="207"/>
  <c r="U10" i="206"/>
  <c r="U10" i="204"/>
  <c r="U10" i="203"/>
  <c r="U10" i="205"/>
  <c r="T10" i="205"/>
  <c r="T10" i="207"/>
  <c r="T10" i="206"/>
  <c r="T10" i="204"/>
  <c r="T10" i="203"/>
  <c r="W8" i="205"/>
  <c r="W8" i="206"/>
  <c r="W8" i="204"/>
  <c r="W8" i="207"/>
  <c r="W8" i="203"/>
  <c r="X10" i="203"/>
  <c r="X10" i="205"/>
  <c r="X10" i="207"/>
  <c r="X10" i="206"/>
  <c r="X10" i="204"/>
  <c r="U8" i="205"/>
  <c r="U8" i="206"/>
  <c r="U8" i="204"/>
  <c r="U8" i="207"/>
  <c r="U8" i="203"/>
  <c r="W10" i="203"/>
  <c r="W10" i="205"/>
  <c r="W10" i="207"/>
  <c r="W10" i="206"/>
  <c r="W10" i="204"/>
  <c r="AA10" i="205"/>
  <c r="AA10" i="207"/>
  <c r="AA10" i="206"/>
  <c r="AA10" i="204"/>
  <c r="AA10" i="203"/>
  <c r="V8" i="205"/>
  <c r="V8" i="206"/>
  <c r="V8" i="204"/>
  <c r="V8" i="207"/>
  <c r="V8" i="203"/>
  <c r="T8" i="205"/>
  <c r="T8" i="206"/>
  <c r="T8" i="204"/>
  <c r="T8" i="207"/>
  <c r="T8" i="203"/>
  <c r="V10" i="203"/>
  <c r="V10" i="205"/>
  <c r="V10" i="207"/>
  <c r="V10" i="206"/>
  <c r="V10" i="204"/>
  <c r="AA8" i="206"/>
  <c r="AA8" i="204"/>
  <c r="AA8" i="207"/>
  <c r="AA8" i="203"/>
  <c r="AA8" i="205"/>
  <c r="Y8" i="206"/>
  <c r="Y8" i="207"/>
  <c r="Y10" i="206"/>
  <c r="Y10" i="207"/>
  <c r="S10" i="206"/>
  <c r="S10" i="207"/>
  <c r="S8" i="206"/>
  <c r="S8" i="207"/>
  <c r="Z8" i="205"/>
  <c r="Z8" i="206"/>
  <c r="Z10" i="205"/>
  <c r="Z10" i="206"/>
  <c r="H10" i="205"/>
  <c r="H10" i="206"/>
  <c r="Y10" i="204"/>
  <c r="Y10" i="205"/>
  <c r="Y8" i="204"/>
  <c r="Y8" i="205"/>
  <c r="S10" i="203"/>
  <c r="S10" i="205"/>
  <c r="S10" i="204"/>
  <c r="S8" i="203"/>
  <c r="S8" i="204"/>
  <c r="S8" i="205"/>
  <c r="H10" i="203"/>
  <c r="H10" i="204"/>
  <c r="Z8" i="203"/>
  <c r="Z8" i="204"/>
  <c r="Z10" i="203"/>
  <c r="Z10" i="204"/>
  <c r="Y8" i="192"/>
  <c r="Y8" i="203"/>
  <c r="Y10" i="192"/>
  <c r="Y10" i="203"/>
  <c r="F15" i="106"/>
  <c r="Z8" i="187"/>
  <c r="Z8" i="192"/>
  <c r="L10" i="187"/>
  <c r="L10" i="192"/>
  <c r="AA8" i="187"/>
  <c r="AA8" i="192"/>
  <c r="K8" i="187"/>
  <c r="K8" i="192"/>
  <c r="J8" i="192"/>
  <c r="J8" i="187"/>
  <c r="K10" i="187"/>
  <c r="K10" i="192"/>
  <c r="M8" i="187"/>
  <c r="M8" i="192"/>
  <c r="Z10" i="187"/>
  <c r="Z10" i="192"/>
  <c r="J10" i="187"/>
  <c r="J10" i="192"/>
  <c r="AA10" i="187"/>
  <c r="AA10" i="192"/>
  <c r="H10" i="192"/>
  <c r="H10" i="187"/>
  <c r="L8" i="187"/>
  <c r="L8" i="192"/>
  <c r="S8" i="187"/>
  <c r="S8" i="192"/>
  <c r="U10" i="187"/>
  <c r="U10" i="192"/>
  <c r="W10" i="187"/>
  <c r="W10" i="192"/>
  <c r="T8" i="187"/>
  <c r="T8" i="192"/>
  <c r="V10" i="187"/>
  <c r="V10" i="192"/>
  <c r="T10" i="187"/>
  <c r="T10" i="192"/>
  <c r="U8" i="187"/>
  <c r="U8" i="192"/>
  <c r="S10" i="187"/>
  <c r="S10" i="192"/>
  <c r="X10" i="187"/>
  <c r="X10" i="192"/>
  <c r="X8" i="187"/>
  <c r="X8" i="192"/>
  <c r="W8" i="187"/>
  <c r="W8" i="192"/>
  <c r="V8" i="187"/>
  <c r="V8" i="192"/>
  <c r="Y9" i="2"/>
  <c r="Y8" i="187"/>
  <c r="Y11" i="2"/>
  <c r="Y10" i="187"/>
  <c r="N23" i="2" a="1"/>
  <c r="N23" i="2" s="1"/>
  <c r="L42" i="106" s="1"/>
  <c r="L31" i="106" s="1"/>
  <c r="O23" i="2" a="1"/>
  <c r="O23" i="2" s="1"/>
  <c r="M42" i="106" s="1"/>
  <c r="M31" i="106" s="1"/>
  <c r="W23" i="2" a="1"/>
  <c r="W23" i="2" s="1"/>
  <c r="U42" i="106" s="1"/>
  <c r="U31" i="106" s="1"/>
  <c r="K24" i="2" a="1"/>
  <c r="K24" i="2" s="1"/>
  <c r="I43" i="106" s="1"/>
  <c r="I32" i="106" s="1"/>
  <c r="S24" i="2" a="1"/>
  <c r="S24" i="2" s="1"/>
  <c r="Q43" i="106" s="1"/>
  <c r="Q32" i="106" s="1"/>
  <c r="AA24" i="2" a="1"/>
  <c r="AA24" i="2" s="1"/>
  <c r="Y43" i="106" s="1"/>
  <c r="Y32" i="106" s="1"/>
  <c r="H23" i="2" a="1"/>
  <c r="H23" i="2" s="1"/>
  <c r="F42" i="106" s="1"/>
  <c r="F31" i="106" s="1"/>
  <c r="P23" i="2" a="1"/>
  <c r="P23" i="2" s="1"/>
  <c r="N42" i="106" s="1"/>
  <c r="N31" i="106" s="1"/>
  <c r="X23" i="2" a="1"/>
  <c r="X23" i="2" s="1"/>
  <c r="V42" i="106" s="1"/>
  <c r="V31" i="106" s="1"/>
  <c r="L24" i="2" a="1"/>
  <c r="L24" i="2" s="1"/>
  <c r="J43" i="106" s="1"/>
  <c r="J32" i="106" s="1"/>
  <c r="T24" i="2" a="1"/>
  <c r="T24" i="2" s="1"/>
  <c r="R43" i="106" s="1"/>
  <c r="R32" i="106" s="1"/>
  <c r="I23" i="2" a="1"/>
  <c r="I23" i="2" s="1"/>
  <c r="G42" i="106" s="1"/>
  <c r="G31" i="106" s="1"/>
  <c r="Q23" i="2" a="1"/>
  <c r="Q23" i="2" s="1"/>
  <c r="O42" i="106" s="1"/>
  <c r="Y23" i="2" a="1"/>
  <c r="Y23" i="2" s="1"/>
  <c r="W42" i="106" s="1"/>
  <c r="W31" i="106" s="1"/>
  <c r="M24" i="2" a="1"/>
  <c r="M24" i="2" s="1"/>
  <c r="K43" i="106" s="1"/>
  <c r="K32" i="106" s="1"/>
  <c r="U24" i="2" a="1"/>
  <c r="U24" i="2" s="1"/>
  <c r="S43" i="106" s="1"/>
  <c r="S32" i="106" s="1"/>
  <c r="J23" i="2" a="1"/>
  <c r="J23" i="2" s="1"/>
  <c r="H42" i="106" s="1"/>
  <c r="H31" i="106" s="1"/>
  <c r="R23" i="2" a="1"/>
  <c r="R23" i="2" s="1"/>
  <c r="P42" i="106" s="1"/>
  <c r="P31" i="106" s="1"/>
  <c r="Z23" i="2" a="1"/>
  <c r="Z23" i="2" s="1"/>
  <c r="X42" i="106" s="1"/>
  <c r="X31" i="106" s="1"/>
  <c r="N24" i="2" a="1"/>
  <c r="N24" i="2" s="1"/>
  <c r="L43" i="106" s="1"/>
  <c r="L32" i="106" s="1"/>
  <c r="V24" i="2" a="1"/>
  <c r="V24" i="2" s="1"/>
  <c r="T43" i="106" s="1"/>
  <c r="T32" i="106" s="1"/>
  <c r="K23" i="2" a="1"/>
  <c r="K23" i="2" s="1"/>
  <c r="I42" i="106" s="1"/>
  <c r="I31" i="106" s="1"/>
  <c r="S23" i="2" a="1"/>
  <c r="S23" i="2" s="1"/>
  <c r="Q42" i="106" s="1"/>
  <c r="Q31" i="106" s="1"/>
  <c r="AA23" i="2" a="1"/>
  <c r="AA23" i="2" s="1"/>
  <c r="Y42" i="106" s="1"/>
  <c r="Y31" i="106" s="1"/>
  <c r="O24" i="2" a="1"/>
  <c r="O24" i="2" s="1"/>
  <c r="M43" i="106" s="1"/>
  <c r="M32" i="106" s="1"/>
  <c r="W24" i="2" a="1"/>
  <c r="W24" i="2" s="1"/>
  <c r="U43" i="106" s="1"/>
  <c r="U32" i="106" s="1"/>
  <c r="L23" i="2" a="1"/>
  <c r="L23" i="2" s="1"/>
  <c r="J42" i="106" s="1"/>
  <c r="J31" i="106" s="1"/>
  <c r="T23" i="2" a="1"/>
  <c r="T23" i="2" s="1"/>
  <c r="R42" i="106" s="1"/>
  <c r="R31" i="106" s="1"/>
  <c r="H24" i="2" a="1"/>
  <c r="H24" i="2" s="1"/>
  <c r="F43" i="106" s="1"/>
  <c r="F32" i="106" s="1"/>
  <c r="P24" i="2" a="1"/>
  <c r="P24" i="2" s="1"/>
  <c r="N43" i="106" s="1"/>
  <c r="N32" i="106" s="1"/>
  <c r="X24" i="2" a="1"/>
  <c r="X24" i="2" s="1"/>
  <c r="V43" i="106" s="1"/>
  <c r="V32" i="106" s="1"/>
  <c r="M23" i="2" a="1"/>
  <c r="M23" i="2" s="1"/>
  <c r="K42" i="106" s="1"/>
  <c r="K31" i="106" s="1"/>
  <c r="U23" i="2" a="1"/>
  <c r="U23" i="2" s="1"/>
  <c r="S42" i="106" s="1"/>
  <c r="S31" i="106" s="1"/>
  <c r="I24" i="2" a="1"/>
  <c r="I24" i="2" s="1"/>
  <c r="G43" i="106" s="1"/>
  <c r="G32" i="106" s="1"/>
  <c r="Q24" i="2" a="1"/>
  <c r="Q24" i="2" s="1"/>
  <c r="O43" i="106" s="1"/>
  <c r="O32" i="106" s="1"/>
  <c r="Y24" i="2" a="1"/>
  <c r="Y24" i="2" s="1"/>
  <c r="W43" i="106" s="1"/>
  <c r="W32" i="106" s="1"/>
  <c r="V23" i="2" a="1"/>
  <c r="V23" i="2" s="1"/>
  <c r="T42" i="106" s="1"/>
  <c r="T31" i="106" s="1"/>
  <c r="J24" i="2" a="1"/>
  <c r="J24" i="2" s="1"/>
  <c r="H43" i="106" s="1"/>
  <c r="H32" i="106" s="1"/>
  <c r="R24" i="2" a="1"/>
  <c r="R24" i="2" s="1"/>
  <c r="P43" i="106" s="1"/>
  <c r="P32" i="106" s="1"/>
  <c r="L21" i="2" a="1"/>
  <c r="L21" i="2" s="1"/>
  <c r="J40" i="106" s="1"/>
  <c r="J29" i="106" s="1"/>
  <c r="M21" i="2" a="1"/>
  <c r="M21" i="2" s="1"/>
  <c r="K40" i="106" s="1"/>
  <c r="K29" i="106" s="1"/>
  <c r="N21" i="2" a="1"/>
  <c r="N21" i="2" s="1"/>
  <c r="L40" i="106" s="1"/>
  <c r="L29" i="106" s="1"/>
  <c r="V21" i="2" a="1"/>
  <c r="V21" i="2" s="1"/>
  <c r="T40" i="106" s="1"/>
  <c r="T29" i="106" s="1"/>
  <c r="O21" i="2" a="1"/>
  <c r="O21" i="2" s="1"/>
  <c r="M40" i="106" s="1"/>
  <c r="M29" i="106" s="1"/>
  <c r="H21" i="2" a="1"/>
  <c r="H21" i="2" s="1"/>
  <c r="F40" i="106" s="1"/>
  <c r="F29" i="106" s="1"/>
  <c r="P21" i="2" a="1"/>
  <c r="P21" i="2" s="1"/>
  <c r="N40" i="106" s="1"/>
  <c r="N29" i="106" s="1"/>
  <c r="I21" i="2" a="1"/>
  <c r="I21" i="2" s="1"/>
  <c r="G40" i="106" s="1"/>
  <c r="G29" i="106" s="1"/>
  <c r="Q21" i="2" a="1"/>
  <c r="Q21" i="2" s="1"/>
  <c r="O40" i="106" s="1"/>
  <c r="O29" i="106" s="1"/>
  <c r="Y21" i="2" a="1"/>
  <c r="Y21" i="2" s="1"/>
  <c r="W40" i="106" s="1"/>
  <c r="W29" i="106" s="1"/>
  <c r="U21" i="2" a="1"/>
  <c r="U21" i="2" s="1"/>
  <c r="S40" i="106" s="1"/>
  <c r="S29" i="106" s="1"/>
  <c r="W21" i="2" a="1"/>
  <c r="W21" i="2" s="1"/>
  <c r="U40" i="106" s="1"/>
  <c r="U29" i="106" s="1"/>
  <c r="X21" i="2" a="1"/>
  <c r="X21" i="2" s="1"/>
  <c r="V40" i="106" s="1"/>
  <c r="V29" i="106" s="1"/>
  <c r="J21" i="2" a="1"/>
  <c r="J21" i="2" s="1"/>
  <c r="H40" i="106" s="1"/>
  <c r="H29" i="106" s="1"/>
  <c r="R21" i="2" a="1"/>
  <c r="R21" i="2" s="1"/>
  <c r="P40" i="106" s="1"/>
  <c r="P29" i="106" s="1"/>
  <c r="Z21" i="2" a="1"/>
  <c r="Z21" i="2" s="1"/>
  <c r="X40" i="106" s="1"/>
  <c r="X29" i="106" s="1"/>
  <c r="K21" i="2" a="1"/>
  <c r="K21" i="2" s="1"/>
  <c r="I40" i="106" s="1"/>
  <c r="I29" i="106" s="1"/>
  <c r="S21" i="2" a="1"/>
  <c r="S21" i="2" s="1"/>
  <c r="Q40" i="106" s="1"/>
  <c r="Q29" i="106" s="1"/>
  <c r="AA21" i="2" a="1"/>
  <c r="AA21" i="2" s="1"/>
  <c r="Y40" i="106" s="1"/>
  <c r="Y29" i="106" s="1"/>
  <c r="T21" i="2" a="1"/>
  <c r="T21" i="2" s="1"/>
  <c r="R40" i="106" s="1"/>
  <c r="R29" i="106" s="1"/>
  <c r="O31" i="106"/>
  <c r="K17" i="106"/>
  <c r="J18" i="106"/>
  <c r="I18" i="106"/>
  <c r="H18" i="106"/>
  <c r="D35" i="106"/>
  <c r="D24" i="106" s="1"/>
  <c r="K18" i="106"/>
  <c r="M15" i="106"/>
  <c r="O9" i="210" s="1"/>
  <c r="L15" i="106"/>
  <c r="N9" i="210" s="1"/>
  <c r="AA22" i="2" a="1"/>
  <c r="AA22" i="2" s="1"/>
  <c r="Y41" i="106" s="1"/>
  <c r="Y30" i="106" s="1"/>
  <c r="N22" i="2" a="1"/>
  <c r="N22" i="2" s="1"/>
  <c r="L41" i="106" s="1"/>
  <c r="L30" i="106" s="1"/>
  <c r="V22" i="2" a="1"/>
  <c r="V22" i="2" s="1"/>
  <c r="T41" i="106" s="1"/>
  <c r="T30" i="106" s="1"/>
  <c r="L22" i="2" a="1"/>
  <c r="L22" i="2" s="1"/>
  <c r="J41" i="106" s="1"/>
  <c r="J30" i="106" s="1"/>
  <c r="T22" i="2" a="1"/>
  <c r="T22" i="2" s="1"/>
  <c r="R41" i="106" s="1"/>
  <c r="R30" i="106" s="1"/>
  <c r="M22" i="2" a="1"/>
  <c r="M22" i="2" s="1"/>
  <c r="K41" i="106" s="1"/>
  <c r="K30" i="106" s="1"/>
  <c r="U22" i="2" a="1"/>
  <c r="U22" i="2" s="1"/>
  <c r="S41" i="106" s="1"/>
  <c r="S30" i="106" s="1"/>
  <c r="O22" i="2" a="1"/>
  <c r="O22" i="2" s="1"/>
  <c r="M41" i="106" s="1"/>
  <c r="M30" i="106" s="1"/>
  <c r="W22" i="2" a="1"/>
  <c r="W22" i="2" s="1"/>
  <c r="U41" i="106" s="1"/>
  <c r="U30" i="106" s="1"/>
  <c r="H22" i="2" a="1"/>
  <c r="H22" i="2" s="1"/>
  <c r="F41" i="106" s="1"/>
  <c r="F30" i="106" s="1"/>
  <c r="P22" i="2" a="1"/>
  <c r="P22" i="2" s="1"/>
  <c r="N41" i="106" s="1"/>
  <c r="N30" i="106" s="1"/>
  <c r="X22" i="2" a="1"/>
  <c r="X22" i="2" s="1"/>
  <c r="V41" i="106" s="1"/>
  <c r="V30" i="106" s="1"/>
  <c r="I22" i="2" a="1"/>
  <c r="I22" i="2" s="1"/>
  <c r="G41" i="106" s="1"/>
  <c r="G30" i="106" s="1"/>
  <c r="Q22" i="2" a="1"/>
  <c r="Q22" i="2" s="1"/>
  <c r="O41" i="106" s="1"/>
  <c r="O30" i="106" s="1"/>
  <c r="Y22" i="2" a="1"/>
  <c r="Y22" i="2" s="1"/>
  <c r="W41" i="106" s="1"/>
  <c r="W30" i="106" s="1"/>
  <c r="J22" i="2" a="1"/>
  <c r="J22" i="2" s="1"/>
  <c r="H41" i="106" s="1"/>
  <c r="H30" i="106" s="1"/>
  <c r="R22" i="2" a="1"/>
  <c r="R22" i="2" s="1"/>
  <c r="P41" i="106" s="1"/>
  <c r="P30" i="106" s="1"/>
  <c r="Z22" i="2" a="1"/>
  <c r="Z22" i="2" s="1"/>
  <c r="X41" i="106" s="1"/>
  <c r="X30" i="106" s="1"/>
  <c r="K22" i="2" a="1"/>
  <c r="K22" i="2" s="1"/>
  <c r="I41" i="106" s="1"/>
  <c r="I30" i="106" s="1"/>
  <c r="S22" i="2" a="1"/>
  <c r="S22" i="2" s="1"/>
  <c r="Q41" i="106" s="1"/>
  <c r="Q30" i="106" s="1"/>
  <c r="M17" i="106"/>
  <c r="O11" i="210" s="1"/>
  <c r="L17" i="106"/>
  <c r="N11" i="210" s="1"/>
  <c r="G17" i="106"/>
  <c r="I11" i="210" s="1"/>
  <c r="G15" i="106"/>
  <c r="I9" i="210" s="1"/>
  <c r="O16" i="2" a="1"/>
  <c r="O16" i="2" s="1"/>
  <c r="M35" i="106" s="1"/>
  <c r="M24" i="106" s="1"/>
  <c r="S17" i="2" a="1"/>
  <c r="S17" i="2" s="1"/>
  <c r="Q36" i="106" s="1"/>
  <c r="Q25" i="106" s="1"/>
  <c r="W16" i="2" a="1"/>
  <c r="W16" i="2" s="1"/>
  <c r="U35" i="106" s="1"/>
  <c r="U24" i="106" s="1"/>
  <c r="K17" i="2" a="1"/>
  <c r="K17" i="2" s="1"/>
  <c r="I36" i="106" s="1"/>
  <c r="I25" i="106" s="1"/>
  <c r="Y20" i="2" a="1"/>
  <c r="Y20" i="2" s="1"/>
  <c r="W39" i="106" s="1"/>
  <c r="W28" i="106" s="1"/>
  <c r="Q20" i="2" a="1"/>
  <c r="Q20" i="2" s="1"/>
  <c r="O39" i="106" s="1"/>
  <c r="O28" i="106" s="1"/>
  <c r="I20" i="2" a="1"/>
  <c r="I20" i="2" s="1"/>
  <c r="G39" i="106" s="1"/>
  <c r="G28" i="106" s="1"/>
  <c r="U19" i="2" a="1"/>
  <c r="U19" i="2" s="1"/>
  <c r="S38" i="106" s="1"/>
  <c r="S27" i="106" s="1"/>
  <c r="M19" i="2" a="1"/>
  <c r="M19" i="2" s="1"/>
  <c r="K38" i="106" s="1"/>
  <c r="K27" i="106" s="1"/>
  <c r="U18" i="2" a="1"/>
  <c r="U18" i="2" s="1"/>
  <c r="S37" i="106" s="1"/>
  <c r="S26" i="106" s="1"/>
  <c r="M18" i="2" a="1"/>
  <c r="M18" i="2" s="1"/>
  <c r="K37" i="106" s="1"/>
  <c r="K26" i="106" s="1"/>
  <c r="Y17" i="2" a="1"/>
  <c r="Y17" i="2" s="1"/>
  <c r="W36" i="106" s="1"/>
  <c r="W25" i="106" s="1"/>
  <c r="Q17" i="2" a="1"/>
  <c r="Q17" i="2" s="1"/>
  <c r="O36" i="106" s="1"/>
  <c r="O25" i="106" s="1"/>
  <c r="I17" i="2" a="1"/>
  <c r="I17" i="2" s="1"/>
  <c r="G36" i="106" s="1"/>
  <c r="G25" i="106" s="1"/>
  <c r="U16" i="2" a="1"/>
  <c r="U16" i="2" s="1"/>
  <c r="S35" i="106" s="1"/>
  <c r="S24" i="106" s="1"/>
  <c r="M16" i="2" a="1"/>
  <c r="M16" i="2" s="1"/>
  <c r="K35" i="106" s="1"/>
  <c r="S20" i="2" a="1"/>
  <c r="S20" i="2" s="1"/>
  <c r="Q39" i="106" s="1"/>
  <c r="Q28" i="106" s="1"/>
  <c r="O19" i="2" a="1"/>
  <c r="O19" i="2" s="1"/>
  <c r="M38" i="106" s="1"/>
  <c r="M27" i="106" s="1"/>
  <c r="AA17" i="2" a="1"/>
  <c r="AA17" i="2" s="1"/>
  <c r="Y36" i="106" s="1"/>
  <c r="Y25" i="106" s="1"/>
  <c r="K20" i="2" a="1"/>
  <c r="K20" i="2" s="1"/>
  <c r="I39" i="106" s="1"/>
  <c r="I28" i="106" s="1"/>
  <c r="W18" i="2" a="1"/>
  <c r="W18" i="2" s="1"/>
  <c r="U37" i="106" s="1"/>
  <c r="U26" i="106" s="1"/>
  <c r="AA20" i="2" a="1"/>
  <c r="AA20" i="2" s="1"/>
  <c r="Y39" i="106" s="1"/>
  <c r="Y28" i="106" s="1"/>
  <c r="W19" i="2" a="1"/>
  <c r="W19" i="2" s="1"/>
  <c r="U38" i="106" s="1"/>
  <c r="U27" i="106" s="1"/>
  <c r="O18" i="2" a="1"/>
  <c r="O18" i="2" s="1"/>
  <c r="M37" i="106" s="1"/>
  <c r="M26" i="106" s="1"/>
  <c r="H16" i="2" a="1"/>
  <c r="H16" i="2" s="1"/>
  <c r="F35" i="106" s="1"/>
  <c r="F24" i="106" s="1"/>
  <c r="X16" i="2" a="1"/>
  <c r="X16" i="2" s="1"/>
  <c r="V35" i="106" s="1"/>
  <c r="V24" i="106" s="1"/>
  <c r="T17" i="2" a="1"/>
  <c r="T17" i="2" s="1"/>
  <c r="R36" i="106" s="1"/>
  <c r="R25" i="106" s="1"/>
  <c r="X18" i="2" a="1"/>
  <c r="X18" i="2" s="1"/>
  <c r="V37" i="106" s="1"/>
  <c r="V26" i="106" s="1"/>
  <c r="X19" i="2" a="1"/>
  <c r="X19" i="2" s="1"/>
  <c r="V38" i="106" s="1"/>
  <c r="V27" i="106" s="1"/>
  <c r="P16" i="2" a="1"/>
  <c r="P16" i="2" s="1"/>
  <c r="N35" i="106" s="1"/>
  <c r="L17" i="2" a="1"/>
  <c r="L17" i="2" s="1"/>
  <c r="J36" i="106" s="1"/>
  <c r="J25" i="106" s="1"/>
  <c r="H18" i="2" a="1"/>
  <c r="H18" i="2" s="1"/>
  <c r="F37" i="106" s="1"/>
  <c r="F26" i="106" s="1"/>
  <c r="P18" i="2" a="1"/>
  <c r="P18" i="2" s="1"/>
  <c r="N37" i="106" s="1"/>
  <c r="N26" i="106" s="1"/>
  <c r="P19" i="2" a="1"/>
  <c r="P19" i="2" s="1"/>
  <c r="N38" i="106" s="1"/>
  <c r="N27" i="106" s="1"/>
  <c r="L20" i="2" a="1"/>
  <c r="L20" i="2" s="1"/>
  <c r="J39" i="106" s="1"/>
  <c r="J28" i="106" s="1"/>
  <c r="T20" i="2" a="1"/>
  <c r="T20" i="2" s="1"/>
  <c r="R39" i="106" s="1"/>
  <c r="R28" i="106" s="1"/>
  <c r="I16" i="2" a="1"/>
  <c r="I16" i="2" s="1"/>
  <c r="G35" i="106" s="1"/>
  <c r="Q16" i="2" a="1"/>
  <c r="Q16" i="2" s="1"/>
  <c r="O35" i="106" s="1"/>
  <c r="Y16" i="2" a="1"/>
  <c r="Y16" i="2" s="1"/>
  <c r="W35" i="106" s="1"/>
  <c r="M17" i="2" a="1"/>
  <c r="M17" i="2" s="1"/>
  <c r="K36" i="106" s="1"/>
  <c r="K25" i="106" s="1"/>
  <c r="U17" i="2" a="1"/>
  <c r="U17" i="2" s="1"/>
  <c r="S36" i="106" s="1"/>
  <c r="S25" i="106" s="1"/>
  <c r="I18" i="2" a="1"/>
  <c r="I18" i="2" s="1"/>
  <c r="G37" i="106" s="1"/>
  <c r="G26" i="106" s="1"/>
  <c r="Q18" i="2" a="1"/>
  <c r="Q18" i="2" s="1"/>
  <c r="O37" i="106" s="1"/>
  <c r="O26" i="106" s="1"/>
  <c r="Y18" i="2" a="1"/>
  <c r="Y18" i="2" s="1"/>
  <c r="W37" i="106" s="1"/>
  <c r="W26" i="106" s="1"/>
  <c r="Q19" i="2" a="1"/>
  <c r="Q19" i="2" s="1"/>
  <c r="O38" i="106" s="1"/>
  <c r="O27" i="106" s="1"/>
  <c r="Y19" i="2" a="1"/>
  <c r="Y19" i="2" s="1"/>
  <c r="W38" i="106" s="1"/>
  <c r="W27" i="106" s="1"/>
  <c r="M20" i="2" a="1"/>
  <c r="M20" i="2" s="1"/>
  <c r="K39" i="106" s="1"/>
  <c r="K28" i="106" s="1"/>
  <c r="U20" i="2" a="1"/>
  <c r="U20" i="2" s="1"/>
  <c r="S39" i="106" s="1"/>
  <c r="S28" i="106" s="1"/>
  <c r="J16" i="2" a="1"/>
  <c r="J16" i="2" s="1"/>
  <c r="H35" i="106" s="1"/>
  <c r="H24" i="106" s="1"/>
  <c r="R16" i="2" a="1"/>
  <c r="R16" i="2" s="1"/>
  <c r="P35" i="106" s="1"/>
  <c r="Z16" i="2" a="1"/>
  <c r="Z16" i="2" s="1"/>
  <c r="X35" i="106" s="1"/>
  <c r="X24" i="106" s="1"/>
  <c r="N17" i="2" a="1"/>
  <c r="N17" i="2" s="1"/>
  <c r="L36" i="106" s="1"/>
  <c r="L25" i="106" s="1"/>
  <c r="V17" i="2" a="1"/>
  <c r="V17" i="2" s="1"/>
  <c r="T36" i="106" s="1"/>
  <c r="T25" i="106" s="1"/>
  <c r="J18" i="2" a="1"/>
  <c r="J18" i="2" s="1"/>
  <c r="H37" i="106" s="1"/>
  <c r="H26" i="106" s="1"/>
  <c r="R18" i="2" a="1"/>
  <c r="R18" i="2" s="1"/>
  <c r="P37" i="106" s="1"/>
  <c r="P26" i="106" s="1"/>
  <c r="Z18" i="2" a="1"/>
  <c r="Z18" i="2" s="1"/>
  <c r="X37" i="106" s="1"/>
  <c r="X26" i="106" s="1"/>
  <c r="R19" i="2" a="1"/>
  <c r="R19" i="2" s="1"/>
  <c r="P38" i="106" s="1"/>
  <c r="P27" i="106" s="1"/>
  <c r="Z19" i="2" a="1"/>
  <c r="Z19" i="2" s="1"/>
  <c r="X38" i="106" s="1"/>
  <c r="X27" i="106" s="1"/>
  <c r="N20" i="2" a="1"/>
  <c r="N20" i="2" s="1"/>
  <c r="L39" i="106" s="1"/>
  <c r="L28" i="106" s="1"/>
  <c r="V20" i="2" a="1"/>
  <c r="V20" i="2" s="1"/>
  <c r="T39" i="106" s="1"/>
  <c r="T28" i="106" s="1"/>
  <c r="K16" i="2" a="1"/>
  <c r="K16" i="2" s="1"/>
  <c r="I35" i="106" s="1"/>
  <c r="I24" i="106" s="1"/>
  <c r="S16" i="2" a="1"/>
  <c r="S16" i="2" s="1"/>
  <c r="Q35" i="106" s="1"/>
  <c r="Q24" i="106" s="1"/>
  <c r="AA16" i="2" a="1"/>
  <c r="AA16" i="2" s="1"/>
  <c r="Y35" i="106" s="1"/>
  <c r="Y24" i="106" s="1"/>
  <c r="O17" i="2" a="1"/>
  <c r="O17" i="2" s="1"/>
  <c r="M36" i="106" s="1"/>
  <c r="M25" i="106" s="1"/>
  <c r="W17" i="2" a="1"/>
  <c r="W17" i="2" s="1"/>
  <c r="U36" i="106" s="1"/>
  <c r="U25" i="106" s="1"/>
  <c r="K18" i="2" a="1"/>
  <c r="K18" i="2" s="1"/>
  <c r="I37" i="106" s="1"/>
  <c r="I26" i="106" s="1"/>
  <c r="S18" i="2" a="1"/>
  <c r="S18" i="2" s="1"/>
  <c r="Q37" i="106" s="1"/>
  <c r="Q26" i="106" s="1"/>
  <c r="AA18" i="2" a="1"/>
  <c r="AA18" i="2" s="1"/>
  <c r="Y37" i="106" s="1"/>
  <c r="Y26" i="106" s="1"/>
  <c r="S19" i="2" a="1"/>
  <c r="S19" i="2" s="1"/>
  <c r="Q38" i="106" s="1"/>
  <c r="Q27" i="106" s="1"/>
  <c r="AA19" i="2" a="1"/>
  <c r="AA19" i="2" s="1"/>
  <c r="Y38" i="106" s="1"/>
  <c r="Y27" i="106" s="1"/>
  <c r="O20" i="2" a="1"/>
  <c r="O20" i="2" s="1"/>
  <c r="M39" i="106" s="1"/>
  <c r="M28" i="106" s="1"/>
  <c r="W20" i="2" a="1"/>
  <c r="W20" i="2" s="1"/>
  <c r="U39" i="106" s="1"/>
  <c r="U28" i="106" s="1"/>
  <c r="L16" i="2" a="1"/>
  <c r="L16" i="2" s="1"/>
  <c r="J35" i="106" s="1"/>
  <c r="J24" i="106" s="1"/>
  <c r="T16" i="2" a="1"/>
  <c r="T16" i="2" s="1"/>
  <c r="R35" i="106" s="1"/>
  <c r="R24" i="106" s="1"/>
  <c r="H17" i="2" a="1"/>
  <c r="H17" i="2" s="1"/>
  <c r="F36" i="106" s="1"/>
  <c r="F25" i="106" s="1"/>
  <c r="P17" i="2" a="1"/>
  <c r="P17" i="2" s="1"/>
  <c r="N36" i="106" s="1"/>
  <c r="N25" i="106" s="1"/>
  <c r="X17" i="2" a="1"/>
  <c r="X17" i="2" s="1"/>
  <c r="V36" i="106" s="1"/>
  <c r="V25" i="106" s="1"/>
  <c r="L18" i="2" a="1"/>
  <c r="L18" i="2" s="1"/>
  <c r="J37" i="106" s="1"/>
  <c r="J26" i="106" s="1"/>
  <c r="T18" i="2" a="1"/>
  <c r="T18" i="2" s="1"/>
  <c r="R37" i="106" s="1"/>
  <c r="R26" i="106" s="1"/>
  <c r="I19" i="2" a="1"/>
  <c r="I19" i="2" s="1"/>
  <c r="G38" i="106" s="1"/>
  <c r="G27" i="106" s="1"/>
  <c r="T19" i="2" a="1"/>
  <c r="T19" i="2" s="1"/>
  <c r="R38" i="106" s="1"/>
  <c r="R27" i="106" s="1"/>
  <c r="H20" i="2" a="1"/>
  <c r="H20" i="2" s="1"/>
  <c r="F39" i="106" s="1"/>
  <c r="F28" i="106" s="1"/>
  <c r="P20" i="2" a="1"/>
  <c r="P20" i="2" s="1"/>
  <c r="N39" i="106" s="1"/>
  <c r="N28" i="106" s="1"/>
  <c r="X20" i="2" a="1"/>
  <c r="X20" i="2" s="1"/>
  <c r="V39" i="106" s="1"/>
  <c r="V28" i="106" s="1"/>
  <c r="N16" i="2" a="1"/>
  <c r="N16" i="2" s="1"/>
  <c r="L35" i="106" s="1"/>
  <c r="L24" i="106" s="1"/>
  <c r="V16" i="2" a="1"/>
  <c r="V16" i="2" s="1"/>
  <c r="T35" i="106" s="1"/>
  <c r="T24" i="106" s="1"/>
  <c r="J17" i="2" a="1"/>
  <c r="J17" i="2" s="1"/>
  <c r="H36" i="106" s="1"/>
  <c r="H25" i="106" s="1"/>
  <c r="R17" i="2" a="1"/>
  <c r="R17" i="2" s="1"/>
  <c r="P36" i="106" s="1"/>
  <c r="P25" i="106" s="1"/>
  <c r="Z17" i="2" a="1"/>
  <c r="Z17" i="2" s="1"/>
  <c r="X36" i="106" s="1"/>
  <c r="X25" i="106" s="1"/>
  <c r="N18" i="2" a="1"/>
  <c r="N18" i="2" s="1"/>
  <c r="L37" i="106" s="1"/>
  <c r="L26" i="106" s="1"/>
  <c r="V18" i="2" a="1"/>
  <c r="V18" i="2" s="1"/>
  <c r="T37" i="106" s="1"/>
  <c r="T26" i="106" s="1"/>
  <c r="N19" i="2" a="1"/>
  <c r="N19" i="2" s="1"/>
  <c r="L38" i="106" s="1"/>
  <c r="L27" i="106" s="1"/>
  <c r="V19" i="2" a="1"/>
  <c r="V19" i="2" s="1"/>
  <c r="T38" i="106" s="1"/>
  <c r="T27" i="106" s="1"/>
  <c r="J20" i="2" a="1"/>
  <c r="J20" i="2" s="1"/>
  <c r="H39" i="106" s="1"/>
  <c r="H28" i="106" s="1"/>
  <c r="R20" i="2" a="1"/>
  <c r="R20" i="2" s="1"/>
  <c r="P39" i="106" s="1"/>
  <c r="P28" i="106" s="1"/>
  <c r="Z20" i="2" a="1"/>
  <c r="Z20" i="2" s="1"/>
  <c r="X39" i="106" s="1"/>
  <c r="X28" i="106" s="1"/>
  <c r="D27" i="106"/>
  <c r="I10" i="207" l="1"/>
  <c r="I10" i="208"/>
  <c r="I10" i="209"/>
  <c r="N10" i="207"/>
  <c r="N10" i="209"/>
  <c r="N10" i="208"/>
  <c r="O8" i="207"/>
  <c r="O8" i="209"/>
  <c r="O8" i="208"/>
  <c r="O10" i="207"/>
  <c r="O10" i="208"/>
  <c r="O10" i="209"/>
  <c r="M10" i="209"/>
  <c r="M10" i="208"/>
  <c r="M10" i="205"/>
  <c r="M10" i="203"/>
  <c r="M10" i="206"/>
  <c r="M10" i="204"/>
  <c r="M10" i="207"/>
  <c r="I8" i="207"/>
  <c r="I8" i="209"/>
  <c r="I8" i="208"/>
  <c r="N8" i="207"/>
  <c r="N8" i="209"/>
  <c r="N8" i="208"/>
  <c r="H8" i="209"/>
  <c r="H8" i="208"/>
  <c r="H8" i="207"/>
  <c r="O10" i="205"/>
  <c r="O10" i="206"/>
  <c r="O8" i="205"/>
  <c r="O8" i="206"/>
  <c r="N8" i="205"/>
  <c r="N8" i="206"/>
  <c r="N10" i="205"/>
  <c r="N10" i="206"/>
  <c r="I10" i="205"/>
  <c r="I10" i="206"/>
  <c r="I8" i="205"/>
  <c r="I8" i="206"/>
  <c r="H8" i="205"/>
  <c r="H8" i="206"/>
  <c r="H8" i="192"/>
  <c r="H8" i="203"/>
  <c r="H8" i="204"/>
  <c r="O8" i="203"/>
  <c r="O8" i="204"/>
  <c r="O10" i="203"/>
  <c r="O10" i="204"/>
  <c r="N8" i="203"/>
  <c r="N8" i="204"/>
  <c r="N10" i="203"/>
  <c r="N10" i="204"/>
  <c r="I10" i="203"/>
  <c r="I10" i="204"/>
  <c r="I8" i="203"/>
  <c r="I8" i="204"/>
  <c r="H8" i="187"/>
  <c r="K19" i="106"/>
  <c r="K20" i="106" s="1"/>
  <c r="M7" i="210" s="1"/>
  <c r="M10" i="187"/>
  <c r="M10" i="192"/>
  <c r="O10" i="187"/>
  <c r="O10" i="192"/>
  <c r="O8" i="192"/>
  <c r="O8" i="187"/>
  <c r="N10" i="192"/>
  <c r="N10" i="187"/>
  <c r="N8" i="192"/>
  <c r="N8" i="187"/>
  <c r="I10" i="192"/>
  <c r="I10" i="187"/>
  <c r="I8" i="192"/>
  <c r="I8" i="187"/>
  <c r="W24" i="106"/>
  <c r="N24" i="106"/>
  <c r="O24" i="106"/>
  <c r="P24" i="106"/>
  <c r="K24" i="106"/>
  <c r="G24" i="106"/>
  <c r="R6" i="2"/>
  <c r="H6" i="2"/>
  <c r="J20" i="106"/>
  <c r="L7" i="210" s="1"/>
  <c r="I20" i="106"/>
  <c r="K7" i="210" s="1"/>
  <c r="AA6" i="2"/>
  <c r="X6" i="2"/>
  <c r="L6" i="2"/>
  <c r="Y6" i="2"/>
  <c r="M6" i="2"/>
  <c r="S6" i="2"/>
  <c r="H20" i="106"/>
  <c r="J7" i="210" s="1"/>
  <c r="U6" i="2"/>
  <c r="O6" i="2"/>
  <c r="J6" i="2"/>
  <c r="Q6" i="2"/>
  <c r="W6" i="2"/>
  <c r="T6" i="2"/>
  <c r="Z6" i="2"/>
  <c r="N6" i="2"/>
  <c r="I6" i="2"/>
  <c r="K6" i="2"/>
  <c r="I6" i="106" s="1"/>
  <c r="V6" i="2"/>
  <c r="P6" i="2"/>
  <c r="AA9" i="2"/>
  <c r="J9" i="2"/>
  <c r="M9" i="2"/>
  <c r="L9" i="2"/>
  <c r="K11" i="2"/>
  <c r="K9" i="2"/>
  <c r="K7" i="207" l="1"/>
  <c r="K7" i="209"/>
  <c r="K7" i="208"/>
  <c r="M7" i="207"/>
  <c r="M7" i="208"/>
  <c r="M7" i="209"/>
  <c r="J7" i="207"/>
  <c r="J7" i="209"/>
  <c r="J7" i="208"/>
  <c r="L7" i="207"/>
  <c r="L7" i="208"/>
  <c r="L7" i="209"/>
  <c r="K7" i="205"/>
  <c r="K7" i="206"/>
  <c r="M7" i="205"/>
  <c r="M7" i="206"/>
  <c r="J7" i="205"/>
  <c r="J7" i="206"/>
  <c r="L7" i="205"/>
  <c r="L7" i="206"/>
  <c r="K7" i="203"/>
  <c r="K7" i="204"/>
  <c r="M7" i="203"/>
  <c r="M7" i="204"/>
  <c r="J7" i="203"/>
  <c r="J7" i="204"/>
  <c r="L7" i="203"/>
  <c r="L7" i="204"/>
  <c r="J7" i="187"/>
  <c r="J7" i="192"/>
  <c r="K7" i="187"/>
  <c r="K7" i="192"/>
  <c r="M7" i="187"/>
  <c r="M7" i="192"/>
  <c r="L7" i="187"/>
  <c r="L7" i="192"/>
  <c r="G6" i="2"/>
  <c r="E6" i="106" s="1"/>
  <c r="V11" i="2"/>
  <c r="W6" i="106"/>
  <c r="N6" i="106"/>
  <c r="O6" i="106"/>
  <c r="U9" i="2"/>
  <c r="S11" i="2"/>
  <c r="Y11" i="106"/>
  <c r="Y6" i="106"/>
  <c r="O11" i="2"/>
  <c r="M6" i="106"/>
  <c r="X11" i="2"/>
  <c r="AA11" i="2"/>
  <c r="K6" i="106"/>
  <c r="J11" i="2"/>
  <c r="U11" i="2"/>
  <c r="S11" i="106"/>
  <c r="T11" i="106"/>
  <c r="S6" i="106"/>
  <c r="F6" i="106"/>
  <c r="L6" i="106"/>
  <c r="N9" i="2"/>
  <c r="H9" i="2"/>
  <c r="H11" i="2"/>
  <c r="P6" i="106"/>
  <c r="V9" i="2"/>
  <c r="N11" i="2"/>
  <c r="X9" i="2"/>
  <c r="Z11" i="2"/>
  <c r="H6" i="106"/>
  <c r="T6" i="106"/>
  <c r="Z9" i="2"/>
  <c r="I11" i="2"/>
  <c r="S9" i="2"/>
  <c r="Q6" i="106"/>
  <c r="W9" i="2"/>
  <c r="I9" i="2"/>
  <c r="T11" i="2"/>
  <c r="X11" i="106"/>
  <c r="G6" i="106"/>
  <c r="X6" i="106"/>
  <c r="W11" i="2"/>
  <c r="T9" i="2"/>
  <c r="Q11" i="106"/>
  <c r="U11" i="106"/>
  <c r="U6" i="106"/>
  <c r="R6" i="106"/>
  <c r="M11" i="2"/>
  <c r="J6" i="106"/>
  <c r="L11" i="2"/>
  <c r="R11" i="106"/>
  <c r="V6" i="106"/>
  <c r="V11" i="106"/>
  <c r="K7" i="2"/>
  <c r="F19" i="106" l="1"/>
  <c r="F18" i="106"/>
  <c r="Q19" i="106"/>
  <c r="Q18" i="106"/>
  <c r="X18" i="106"/>
  <c r="X19" i="106"/>
  <c r="M19" i="106"/>
  <c r="M18" i="106"/>
  <c r="L18" i="106"/>
  <c r="L19" i="106"/>
  <c r="E18" i="106"/>
  <c r="E19" i="106"/>
  <c r="G18" i="106"/>
  <c r="G19" i="106"/>
  <c r="N17" i="106"/>
  <c r="P11" i="210" s="1"/>
  <c r="N15" i="106"/>
  <c r="P9" i="210" s="1"/>
  <c r="Y20" i="106"/>
  <c r="AA7" i="210" s="1"/>
  <c r="P11" i="106"/>
  <c r="P12" i="106" s="1"/>
  <c r="P9" i="106" s="1"/>
  <c r="P17" i="106" s="1"/>
  <c r="R11" i="210" s="1"/>
  <c r="W19" i="106"/>
  <c r="W18" i="106"/>
  <c r="W20" i="106" s="1"/>
  <c r="Y7" i="210" s="1"/>
  <c r="O9" i="2"/>
  <c r="O11" i="106"/>
  <c r="O12" i="106" s="1"/>
  <c r="O9" i="106" s="1"/>
  <c r="J7" i="2"/>
  <c r="M7" i="2"/>
  <c r="L7" i="2"/>
  <c r="Y7" i="207" l="1"/>
  <c r="Y7" i="209"/>
  <c r="Y7" i="208"/>
  <c r="P8" i="209"/>
  <c r="P8" i="208"/>
  <c r="P10" i="208"/>
  <c r="P10" i="209"/>
  <c r="AA7" i="207"/>
  <c r="AA7" i="209"/>
  <c r="AA7" i="208"/>
  <c r="R10" i="207"/>
  <c r="R10" i="208"/>
  <c r="R10" i="209"/>
  <c r="P15" i="106"/>
  <c r="R9" i="210" s="1"/>
  <c r="P8" i="206"/>
  <c r="P8" i="207"/>
  <c r="P10" i="206"/>
  <c r="P10" i="207"/>
  <c r="AA7" i="205"/>
  <c r="AA7" i="206"/>
  <c r="Y7" i="205"/>
  <c r="Y7" i="206"/>
  <c r="R10" i="206"/>
  <c r="R10" i="205"/>
  <c r="P8" i="204"/>
  <c r="P8" i="205"/>
  <c r="P10" i="204"/>
  <c r="P10" i="205"/>
  <c r="Y7" i="203"/>
  <c r="Y7" i="204"/>
  <c r="R10" i="195"/>
  <c r="R10" i="203"/>
  <c r="R10" i="204"/>
  <c r="AA7" i="203"/>
  <c r="AA7" i="204"/>
  <c r="P8" i="192"/>
  <c r="P8" i="203"/>
  <c r="P10" i="192"/>
  <c r="P10" i="203"/>
  <c r="F20" i="106"/>
  <c r="H7" i="210" s="1"/>
  <c r="X20" i="106"/>
  <c r="Z7" i="210" s="1"/>
  <c r="Q20" i="106"/>
  <c r="S7" i="210" s="1"/>
  <c r="R10" i="192"/>
  <c r="Y7" i="187"/>
  <c r="Y7" i="192"/>
  <c r="AA7" i="187"/>
  <c r="AA7" i="192"/>
  <c r="P19" i="106"/>
  <c r="R10" i="187"/>
  <c r="N19" i="106"/>
  <c r="P10" i="187"/>
  <c r="N18" i="106"/>
  <c r="P8" i="187"/>
  <c r="L20" i="106"/>
  <c r="N7" i="210" s="1"/>
  <c r="G20" i="106"/>
  <c r="I7" i="210" s="1"/>
  <c r="E20" i="106"/>
  <c r="G7" i="210" s="1"/>
  <c r="M20" i="106"/>
  <c r="O7" i="210" s="1"/>
  <c r="P11" i="2"/>
  <c r="R11" i="2"/>
  <c r="O17" i="106"/>
  <c r="Q11" i="210" s="1"/>
  <c r="O15" i="106"/>
  <c r="Q9" i="210" s="1"/>
  <c r="V7" i="2"/>
  <c r="U7" i="2"/>
  <c r="AA7" i="2"/>
  <c r="T7" i="2"/>
  <c r="Y7" i="2"/>
  <c r="W7" i="2"/>
  <c r="P9" i="2"/>
  <c r="X7" i="2"/>
  <c r="N7" i="209" l="1"/>
  <c r="N7" i="208"/>
  <c r="R8" i="207"/>
  <c r="R8" i="209"/>
  <c r="R8" i="208"/>
  <c r="Q8" i="207"/>
  <c r="Q8" i="209"/>
  <c r="Q8" i="208"/>
  <c r="Q10" i="207"/>
  <c r="Q10" i="208"/>
  <c r="Q10" i="209"/>
  <c r="S7" i="207"/>
  <c r="S7" i="209"/>
  <c r="S7" i="208"/>
  <c r="I7" i="209"/>
  <c r="I7" i="208"/>
  <c r="O7" i="209"/>
  <c r="O7" i="208"/>
  <c r="Z7" i="209"/>
  <c r="Z7" i="208"/>
  <c r="G7" i="209"/>
  <c r="G7" i="208"/>
  <c r="H7" i="207"/>
  <c r="H7" i="209"/>
  <c r="H7" i="208"/>
  <c r="P18" i="106"/>
  <c r="P20" i="106" s="1"/>
  <c r="R7" i="210" s="1"/>
  <c r="R8" i="187"/>
  <c r="R8" i="192"/>
  <c r="R8" i="203"/>
  <c r="R8" i="195"/>
  <c r="R9" i="2"/>
  <c r="R8" i="206"/>
  <c r="R8" i="204"/>
  <c r="R8" i="205"/>
  <c r="O7" i="206"/>
  <c r="O7" i="207"/>
  <c r="Z7" i="206"/>
  <c r="Z7" i="207"/>
  <c r="G7" i="206"/>
  <c r="G7" i="207"/>
  <c r="I7" i="206"/>
  <c r="I7" i="207"/>
  <c r="N7" i="206"/>
  <c r="N7" i="207"/>
  <c r="S7" i="205"/>
  <c r="S7" i="206"/>
  <c r="Q8" i="205"/>
  <c r="Q8" i="206"/>
  <c r="Q10" i="205"/>
  <c r="Q10" i="206"/>
  <c r="H7" i="205"/>
  <c r="H7" i="206"/>
  <c r="Z7" i="204"/>
  <c r="Z7" i="205"/>
  <c r="N7" i="204"/>
  <c r="N7" i="205"/>
  <c r="O7" i="204"/>
  <c r="O7" i="205"/>
  <c r="G7" i="204"/>
  <c r="G7" i="205"/>
  <c r="I7" i="204"/>
  <c r="I7" i="205"/>
  <c r="Q8" i="192"/>
  <c r="Q8" i="203"/>
  <c r="Q8" i="204"/>
  <c r="Q10" i="192"/>
  <c r="Q10" i="204"/>
  <c r="Q10" i="203"/>
  <c r="H7" i="203"/>
  <c r="H7" i="204"/>
  <c r="S7" i="2"/>
  <c r="S7" i="204"/>
  <c r="H7" i="192"/>
  <c r="H7" i="2"/>
  <c r="H7" i="187"/>
  <c r="G7" i="192"/>
  <c r="G7" i="203"/>
  <c r="I7" i="192"/>
  <c r="I7" i="203"/>
  <c r="S7" i="192"/>
  <c r="S7" i="203"/>
  <c r="S7" i="187"/>
  <c r="N7" i="192"/>
  <c r="N7" i="203"/>
  <c r="Z7" i="203"/>
  <c r="Z7" i="187"/>
  <c r="Z7" i="2"/>
  <c r="Z7" i="192"/>
  <c r="O7" i="192"/>
  <c r="O7" i="203"/>
  <c r="N20" i="106"/>
  <c r="P7" i="210" s="1"/>
  <c r="O18" i="106"/>
  <c r="Q8" i="187"/>
  <c r="O19" i="106"/>
  <c r="Q10" i="187"/>
  <c r="G7" i="2"/>
  <c r="G7" i="187"/>
  <c r="O7" i="2"/>
  <c r="O7" i="187"/>
  <c r="I7" i="2"/>
  <c r="I7" i="187"/>
  <c r="N7" i="2"/>
  <c r="N7" i="187"/>
  <c r="Q11" i="2"/>
  <c r="Q9" i="2"/>
  <c r="P7" i="209" l="1"/>
  <c r="P7" i="208"/>
  <c r="R7" i="209"/>
  <c r="R7" i="208"/>
  <c r="R7" i="206"/>
  <c r="R7" i="207"/>
  <c r="P7" i="206"/>
  <c r="P7" i="207"/>
  <c r="R7" i="204"/>
  <c r="R7" i="205"/>
  <c r="P7" i="204"/>
  <c r="P7" i="205"/>
  <c r="P7" i="181"/>
  <c r="P7" i="203"/>
  <c r="R7" i="181"/>
  <c r="R7" i="203"/>
  <c r="P7" i="2"/>
  <c r="P7" i="192"/>
  <c r="R7" i="187"/>
  <c r="R7" i="192"/>
  <c r="P7" i="187"/>
  <c r="R7" i="2"/>
  <c r="O20" i="106"/>
  <c r="Q7" i="210" s="1"/>
  <c r="Q7" i="209" l="1"/>
  <c r="Q7" i="208"/>
  <c r="Q7" i="206"/>
  <c r="Q7" i="207"/>
  <c r="Q7" i="204"/>
  <c r="Q7" i="205"/>
  <c r="Q7" i="181"/>
  <c r="Q7" i="203"/>
  <c r="Q7" i="2"/>
  <c r="Q7" i="192"/>
  <c r="Q7" i="18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<sst xmlns="http://schemas.openxmlformats.org/spreadsheetml/2006/main" count="5423" uniqueCount="285">
  <si>
    <t>MATERIA PRIMA</t>
  </si>
  <si>
    <t>PROVEEDOR</t>
  </si>
  <si>
    <t>TIPO</t>
  </si>
  <si>
    <t>C</t>
  </si>
  <si>
    <t>N</t>
  </si>
  <si>
    <t>N-NH4</t>
  </si>
  <si>
    <t>N-NO3</t>
  </si>
  <si>
    <t>N-org</t>
  </si>
  <si>
    <t>N-ur</t>
  </si>
  <si>
    <t>P</t>
  </si>
  <si>
    <t>K</t>
  </si>
  <si>
    <t>CaO</t>
  </si>
  <si>
    <t>MgO</t>
  </si>
  <si>
    <t>S</t>
  </si>
  <si>
    <t>B</t>
  </si>
  <si>
    <t>Co</t>
  </si>
  <si>
    <t>Cu</t>
  </si>
  <si>
    <t>Fe</t>
  </si>
  <si>
    <t>Mn</t>
  </si>
  <si>
    <t>Mo</t>
  </si>
  <si>
    <t>SiO2</t>
  </si>
  <si>
    <t>Zn</t>
  </si>
  <si>
    <t>Na</t>
  </si>
  <si>
    <t>PRODUCTO</t>
  </si>
  <si>
    <t>ANIBAL ARANGO</t>
  </si>
  <si>
    <t>SULFATO CALCIO</t>
  </si>
  <si>
    <t>KIESERITA</t>
  </si>
  <si>
    <t>MANUCHAR</t>
  </si>
  <si>
    <t>CAL DOLOMITA</t>
  </si>
  <si>
    <t>BM</t>
  </si>
  <si>
    <t>SILICATO MAGNESIO</t>
  </si>
  <si>
    <t>JULIAN SALDARRIAGA</t>
  </si>
  <si>
    <t>CARBONATO CALCIO</t>
  </si>
  <si>
    <t>AGROCALES</t>
  </si>
  <si>
    <t>NUCLEO 4</t>
  </si>
  <si>
    <t>CANTIDAD</t>
  </si>
  <si>
    <t>G</t>
  </si>
  <si>
    <t>Q</t>
  </si>
  <si>
    <t>ID</t>
  </si>
  <si>
    <t>KIESERITA_MANUCHAR_P</t>
  </si>
  <si>
    <t>SILICATO MAGNESIO_JULIAN SALDARRIAGA_P</t>
  </si>
  <si>
    <t>LOTE</t>
  </si>
  <si>
    <t>TOTAL</t>
  </si>
  <si>
    <t>BENTONITA GRIS</t>
  </si>
  <si>
    <t>DIDIER HOYOS</t>
  </si>
  <si>
    <t>UREA</t>
  </si>
  <si>
    <t>PRECISAGRO</t>
  </si>
  <si>
    <t>SAM</t>
  </si>
  <si>
    <t>NUTRICION PLANTAS</t>
  </si>
  <si>
    <t>KCL</t>
  </si>
  <si>
    <t>SQM</t>
  </si>
  <si>
    <t>DAP</t>
  </si>
  <si>
    <t>SILIMAGRAN</t>
  </si>
  <si>
    <t>CALFERQUIM</t>
  </si>
  <si>
    <t>RAIFOS20</t>
  </si>
  <si>
    <t>ROCA FOSFÓRICA</t>
  </si>
  <si>
    <t>FOSFATOS HUILA</t>
  </si>
  <si>
    <t>ULEXITA</t>
  </si>
  <si>
    <t>ATEQUIMICO</t>
  </si>
  <si>
    <t>BENTONITA ROJA</t>
  </si>
  <si>
    <t>MINERALES</t>
  </si>
  <si>
    <t>PRACO</t>
  </si>
  <si>
    <t>DISAN</t>
  </si>
  <si>
    <t>EVOAGRO</t>
  </si>
  <si>
    <t>MAP</t>
  </si>
  <si>
    <t>HELVECIA</t>
  </si>
  <si>
    <t>HYM</t>
  </si>
  <si>
    <t>SILICATO HIERRO</t>
  </si>
  <si>
    <t>FERTIMENORES</t>
  </si>
  <si>
    <t>PANTEKALI</t>
  </si>
  <si>
    <t>MF-17-6-18-2</t>
  </si>
  <si>
    <t>BORO G</t>
  </si>
  <si>
    <t>v</t>
  </si>
  <si>
    <t>MKP</t>
  </si>
  <si>
    <t>SULFATO POTASIO</t>
  </si>
  <si>
    <t>SULFATO CALCIO P</t>
  </si>
  <si>
    <t>HENRY CORONADO</t>
  </si>
  <si>
    <t>OXIDO MAGNESIO</t>
  </si>
  <si>
    <t>ATEQUIMICOS</t>
  </si>
  <si>
    <t>KCL STD</t>
  </si>
  <si>
    <t>CARBONITRO</t>
  </si>
  <si>
    <t>L</t>
  </si>
  <si>
    <t>CALFERZINC P</t>
  </si>
  <si>
    <t>SULFATO ZINC</t>
  </si>
  <si>
    <t>FERTICAUCA</t>
  </si>
  <si>
    <t>BENTONITA GRIS_FERTICAUCA_P</t>
  </si>
  <si>
    <t>CIAMSA</t>
  </si>
  <si>
    <t>g</t>
  </si>
  <si>
    <t>NUCLEO HIERRO</t>
  </si>
  <si>
    <t>CAMPOFERT</t>
  </si>
  <si>
    <t>MF-23-3-20-4Ca-3Si</t>
  </si>
  <si>
    <t>MICRON CS</t>
  </si>
  <si>
    <t>MICRON C</t>
  </si>
  <si>
    <t>NITROFERT</t>
  </si>
  <si>
    <t>MF 23-3-20</t>
  </si>
  <si>
    <t>OP</t>
  </si>
  <si>
    <t>CODIGO</t>
  </si>
  <si>
    <r>
      <t>TOLERANCIAS*</t>
    </r>
    <r>
      <rPr>
        <vertAlign val="superscript"/>
        <sz val="11"/>
        <color theme="1"/>
        <rFont val="Noto Sans"/>
        <family val="2"/>
      </rPr>
      <t>2</t>
    </r>
  </si>
  <si>
    <r>
      <rPr>
        <b/>
        <u/>
        <sz val="11"/>
        <color rgb="FF000000"/>
        <rFont val="Segoe UI"/>
        <family val="2"/>
      </rPr>
      <t>NPK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¿El contenido está fuera de rango [4%-32%]?*</t>
    </r>
    <r>
      <rPr>
        <vertAlign val="superscript"/>
        <sz val="11"/>
        <color rgb="FF000000"/>
        <rFont val="Segoe UI"/>
        <family val="2"/>
      </rPr>
      <t>3</t>
    </r>
  </si>
  <si>
    <r>
      <rPr>
        <b/>
        <u/>
        <sz val="11"/>
        <color rgb="FF000000"/>
        <rFont val="Segoe UI"/>
        <family val="2"/>
      </rPr>
      <t>Secundarios y menores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¿La tolerancia supera el 50% o 1.5pp?*</t>
    </r>
    <r>
      <rPr>
        <vertAlign val="superscript"/>
        <sz val="11"/>
        <color rgb="FF000000"/>
        <rFont val="Segoe UI"/>
        <family val="2"/>
      </rPr>
      <t>4</t>
    </r>
  </si>
  <si>
    <t>Tolerancia permitida</t>
  </si>
  <si>
    <t>Tolerancia Mínima NTC</t>
  </si>
  <si>
    <t>Tolerancia Máxima NTC</t>
  </si>
  <si>
    <t>SC</t>
  </si>
  <si>
    <t>SS</t>
  </si>
  <si>
    <r>
      <t xml:space="preserve">VERIFICACION FORMULACIONES OP
</t>
    </r>
    <r>
      <rPr>
        <b/>
        <sz val="8"/>
        <color theme="1"/>
        <rFont val="Calibri"/>
        <family val="2"/>
        <scheme val="minor"/>
      </rPr>
      <t>SISTEMA DE GESTIÓN INTEGRAL</t>
    </r>
  </si>
  <si>
    <t>CÓDIGO: RC-SI##</t>
  </si>
  <si>
    <t>VERSIÓN: 0</t>
  </si>
  <si>
    <t>TOLERANCIA MÍNIMA</t>
  </si>
  <si>
    <t>TOLERANCIA MÁXIMA</t>
  </si>
  <si>
    <t>CRITERIO MINIMO</t>
  </si>
  <si>
    <t>CRITERIO MAXIMO</t>
  </si>
  <si>
    <t>REGLA DECISIÓN</t>
  </si>
  <si>
    <t>Regla de Decisión</t>
  </si>
  <si>
    <t>OP001</t>
  </si>
  <si>
    <t>NUCLEO CAMASI YARA L0</t>
  </si>
  <si>
    <t>JAMAROL</t>
  </si>
  <si>
    <t>VINAZA</t>
  </si>
  <si>
    <t>MASTERCAMPO</t>
  </si>
  <si>
    <t>CARBONATO CALCIO_JAMAROL_P</t>
  </si>
  <si>
    <t>VINAZA_MASTERCAMPO_L</t>
  </si>
  <si>
    <t>FECHA</t>
  </si>
  <si>
    <t>14-04-2025</t>
  </si>
  <si>
    <t>RESULTADO</t>
  </si>
  <si>
    <t>C/ST</t>
  </si>
  <si>
    <t>VERIFICACION FORMULACIONES OP
SISTEMA DE GESTIÓN INTEGRAL</t>
  </si>
  <si>
    <t>ST</t>
  </si>
  <si>
    <t>OP002</t>
  </si>
  <si>
    <t>MF 8-17-34-1S</t>
  </si>
  <si>
    <t>UREA_PRECISAGRO_G</t>
  </si>
  <si>
    <t>SAM_NUTRICION PLANTAS_G</t>
  </si>
  <si>
    <t>SILIMAGRAN_CALFERQUIM_G</t>
  </si>
  <si>
    <t>MAP_PRECISAGRO_G</t>
  </si>
  <si>
    <t>KCL_SQM_G</t>
  </si>
  <si>
    <t>CARBONITRO_CALFERQUIM_L</t>
  </si>
  <si>
    <t>ZUELO CA</t>
  </si>
  <si>
    <t>MAGNE 3</t>
  </si>
  <si>
    <t>K2K</t>
  </si>
  <si>
    <t>ZUELO CA_CALFERQUIM_G</t>
  </si>
  <si>
    <t>NC</t>
  </si>
  <si>
    <t>OP003</t>
  </si>
  <si>
    <t>MFE 13-36-10+EM L3</t>
  </si>
  <si>
    <t>DAP_EVOAGRO_G</t>
  </si>
  <si>
    <t>OP004</t>
  </si>
  <si>
    <t>MFE 15-21-1+EM</t>
  </si>
  <si>
    <t>RAIFOS20_CALFERQUIM_G</t>
  </si>
  <si>
    <t>OP005</t>
  </si>
  <si>
    <t>MFE 6-6-33+EM</t>
  </si>
  <si>
    <t>OP006</t>
  </si>
  <si>
    <t>MF 17-6-18-2-1</t>
  </si>
  <si>
    <t>NUCLEO 4_CALFERQUIM_G</t>
  </si>
  <si>
    <t>OP007</t>
  </si>
  <si>
    <t>15-04-2025</t>
  </si>
  <si>
    <t>NUCLEO 4 L3</t>
  </si>
  <si>
    <t>SULFATO CALCIO_ANIBAL ARANGO_P</t>
  </si>
  <si>
    <t>CAL DOLOMITA_BM_P</t>
  </si>
  <si>
    <t>MAYOR*</t>
  </si>
  <si>
    <t>FORMULA FT</t>
  </si>
  <si>
    <t>Calculo Tolerancia</t>
  </si>
  <si>
    <t>NPK</t>
  </si>
  <si>
    <t>OP008</t>
  </si>
  <si>
    <t>16-04-2025</t>
  </si>
  <si>
    <t>NUCLEO FOSFORO10 REF</t>
  </si>
  <si>
    <t>ROCA FOSFÓRICA-28</t>
  </si>
  <si>
    <t>ROCA FOSFORICA-26</t>
  </si>
  <si>
    <t>ROCA FOSFORICA-24</t>
  </si>
  <si>
    <t>ROCA FOSFORICA-30</t>
  </si>
  <si>
    <t>ROCA FOSFORICA-24_PRACO_P</t>
  </si>
  <si>
    <t>HIDROXIDO CALCIO</t>
  </si>
  <si>
    <t>HIDROXIDO CALCIO_JAMAROL_P</t>
  </si>
  <si>
    <t>OP009</t>
  </si>
  <si>
    <t>NUCLEO FOSFORO10</t>
  </si>
  <si>
    <t>21-04-2025</t>
  </si>
  <si>
    <t>OP010</t>
  </si>
  <si>
    <t>OP011</t>
  </si>
  <si>
    <t>NUCLEO CAMASI GRIS L0</t>
  </si>
  <si>
    <t>COMERCIALIZADORA HA</t>
  </si>
  <si>
    <t>BENTONITA GRIS_COMERCIALIZADORA HA_P</t>
  </si>
  <si>
    <t>OP012</t>
  </si>
  <si>
    <t>OP013</t>
  </si>
  <si>
    <t>OP014</t>
  </si>
  <si>
    <t>22-04-2025</t>
  </si>
  <si>
    <t>NUCLEO FOSFORO 10</t>
  </si>
  <si>
    <t>OP015</t>
  </si>
  <si>
    <t>OP016</t>
  </si>
  <si>
    <t>MF 25-4-24</t>
  </si>
  <si>
    <t>MAP_EVOAGRO_G</t>
  </si>
  <si>
    <t>23-04-2025</t>
  </si>
  <si>
    <t>OP017</t>
  </si>
  <si>
    <t>OP018</t>
  </si>
  <si>
    <t>NUCLEO CAMASI GRIS</t>
  </si>
  <si>
    <t>OP019</t>
  </si>
  <si>
    <t>OP020</t>
  </si>
  <si>
    <t>MFE 28-5-0+EM</t>
  </si>
  <si>
    <t>OP021</t>
  </si>
  <si>
    <t>MFE 12-25-9</t>
  </si>
  <si>
    <t>BORO G_CALFERQUIM_G</t>
  </si>
  <si>
    <t>CALFERZINC P_CALFERQUIM_G</t>
  </si>
  <si>
    <t>OP022</t>
  </si>
  <si>
    <t>MFE 10-11-29</t>
  </si>
  <si>
    <t>OP023</t>
  </si>
  <si>
    <t>24-04-2025</t>
  </si>
  <si>
    <t>MFE 25-17-1+EM</t>
  </si>
  <si>
    <t>MAP STD</t>
  </si>
  <si>
    <t>SAM_CALFERQUIM_G</t>
  </si>
  <si>
    <t>DAP_NITROFERT_G</t>
  </si>
  <si>
    <t>OP024</t>
  </si>
  <si>
    <t>MFE 14-4-24+EM</t>
  </si>
  <si>
    <t>OP027</t>
  </si>
  <si>
    <t>OP028</t>
  </si>
  <si>
    <t>NUCLEO MAGNESIO</t>
  </si>
  <si>
    <t>BENTONITA ROJA_COMERCIALIZADORA HA_P</t>
  </si>
  <si>
    <t>OP029</t>
  </si>
  <si>
    <t>25-04-2025</t>
  </si>
  <si>
    <t>NUCLEO MAGNESIO-L0</t>
  </si>
  <si>
    <t>OP025</t>
  </si>
  <si>
    <t>FE 15-9-20+EM</t>
  </si>
  <si>
    <t>FERTIMENORES_CALFERQUIM_P</t>
  </si>
  <si>
    <t>OP026</t>
  </si>
  <si>
    <t>FERTICORRECTIVO REF</t>
  </si>
  <si>
    <t>AGROINSUMOS</t>
  </si>
  <si>
    <t>SULFATO CALCIO_AGROINSUMOS_P</t>
  </si>
  <si>
    <t>CAL APAGADA</t>
  </si>
  <si>
    <t>CAL APAGADA_JAMAROL_P</t>
  </si>
  <si>
    <t>ROCA FOSFORICA-26_PRACO_P</t>
  </si>
  <si>
    <t>AGRICULTURA Y SERVICIOS</t>
  </si>
  <si>
    <t>OK</t>
  </si>
  <si>
    <t>SULFATO POTASIO_AGRICULTURA Y SERVICIOS_G</t>
  </si>
  <si>
    <t>OP030</t>
  </si>
  <si>
    <t>26-04-2025</t>
  </si>
  <si>
    <t>NUCLEO MAGNESIO - S</t>
  </si>
  <si>
    <t>OP031</t>
  </si>
  <si>
    <t>MFE 26-6-2+EM</t>
  </si>
  <si>
    <t>OP032</t>
  </si>
  <si>
    <t>MFE 11-25-9+EM</t>
  </si>
  <si>
    <t>OP033</t>
  </si>
  <si>
    <t>MFE 7-14-29+EM</t>
  </si>
  <si>
    <t>OP034</t>
  </si>
  <si>
    <t>MFE 30-0-20+EM</t>
  </si>
  <si>
    <t>OP061</t>
  </si>
  <si>
    <t>NUCLEO 4 L4</t>
  </si>
  <si>
    <t>OP036</t>
  </si>
  <si>
    <t>28-04-2025</t>
  </si>
  <si>
    <t>NUCLEO MAGNESIO S</t>
  </si>
  <si>
    <t>FERTICORRECTIVO</t>
  </si>
  <si>
    <t>OP037</t>
  </si>
  <si>
    <t>OP039</t>
  </si>
  <si>
    <t>29-04-2025</t>
  </si>
  <si>
    <t>30-04-2025</t>
  </si>
  <si>
    <t>OP042</t>
  </si>
  <si>
    <t>OP043</t>
  </si>
  <si>
    <t>OP040</t>
  </si>
  <si>
    <t>OP041</t>
  </si>
  <si>
    <t>OP044</t>
  </si>
  <si>
    <t>BENTONITA ROJA_HYM_P</t>
  </si>
  <si>
    <t>OP045</t>
  </si>
  <si>
    <t>OP046</t>
  </si>
  <si>
    <t>OP047</t>
  </si>
  <si>
    <t>OP048</t>
  </si>
  <si>
    <t>NUCLEO CAMASI YARA</t>
  </si>
  <si>
    <t>OP049</t>
  </si>
  <si>
    <t>UREA_EVOAGRO_G</t>
  </si>
  <si>
    <t>OP035</t>
  </si>
  <si>
    <t>27-04-2025</t>
  </si>
  <si>
    <t>OP050</t>
  </si>
  <si>
    <t>OP051</t>
  </si>
  <si>
    <t>OP052</t>
  </si>
  <si>
    <t>NUCLEO SILICIO MAGNESIO</t>
  </si>
  <si>
    <t>MICRON C_CALFERQUIM_G</t>
  </si>
  <si>
    <t>MICRON CS_CALFERQUIM_G</t>
  </si>
  <si>
    <t>DAP_NUTRICION PLANTAS_G</t>
  </si>
  <si>
    <t>MFE 25-13-12 + EM</t>
  </si>
  <si>
    <t>SULFATO CALCIO P_CALFERQUIM_G</t>
  </si>
  <si>
    <t>18-18-18 + EM</t>
  </si>
  <si>
    <t>29-15-5 + EM</t>
  </si>
  <si>
    <t>K2K_CALFERQUIM_G</t>
  </si>
  <si>
    <t>18-9-29</t>
  </si>
  <si>
    <t>ULEXITA_ATEQUIMICO_P</t>
  </si>
  <si>
    <t>BENTONITA GRIS_DIDIER HOYOS_P</t>
  </si>
  <si>
    <t>KCL STD_DISAN_P</t>
  </si>
  <si>
    <t>ZUELOCa</t>
  </si>
  <si>
    <t>.</t>
  </si>
  <si>
    <t>BENTONITA GRIS_HENRY CORONADO_P</t>
  </si>
  <si>
    <t>OP111</t>
  </si>
  <si>
    <t>21-05-2025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</si>
</sst>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9847407452621"/>
      <name val="Noto Sans"/>
      <family val="2"/>
    </font>
    <font>
      <b/>
      <sz val="11"/>
      <color theme="1" tint="4.9989318521683403E-2"/>
      <name val="Noto Sans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Noto Sans"/>
      <family val="2"/>
    </font>
    <font>
      <sz val="11"/>
      <color rgb="FF000000"/>
      <name val="Segoe UI"/>
      <family val="2"/>
    </font>
    <font>
      <b/>
      <u/>
      <sz val="11"/>
      <color rgb="FF000000"/>
      <name val="Segoe UI"/>
      <family val="2"/>
    </font>
    <font>
      <b/>
      <sz val="11"/>
      <color rgb="FF000000"/>
      <name val="Segoe UI"/>
      <family val="2"/>
    </font>
    <font>
      <vertAlign val="superscript"/>
      <sz val="11"/>
      <color rgb="FF000000"/>
      <name val="Segoe UI"/>
      <family val="2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0" tint="-0.14999847407452621"/>
      <name val="Noto Sans"/>
      <family val="2"/>
    </font>
    <font>
      <sz val="11"/>
      <color rgb="FF000000"/>
      <name val="Calibri"/>
      <family val="2"/>
    </font>
    <font>
      <b/>
      <sz val="11"/>
      <color theme="0"/>
      <name val="Noto Sans"/>
      <family val="2"/>
    </font>
    <font>
      <b/>
      <sz val="14"/>
      <color theme="1" tint="4.9989318521683403E-2"/>
      <name val="Noto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DDB6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9">
    <xf numFmtId="0" fontId="0" fillId="0" borderId="0" xfId="0"/>
    <xf numFmtId="0" fontId="0" fillId="3" borderId="0" xfId="0" applyFont="1" applyFill="1"/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9" fontId="0" fillId="0" borderId="0" xfId="1" applyFont="1"/>
    <xf numFmtId="0" fontId="3" fillId="2" borderId="1" xfId="0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/>
    <xf numFmtId="9" fontId="4" fillId="2" borderId="1" xfId="1" applyFont="1" applyFill="1" applyBorder="1"/>
    <xf numFmtId="9" fontId="4" fillId="2" borderId="5" xfId="1" applyFont="1" applyFill="1" applyBorder="1"/>
    <xf numFmtId="0" fontId="3" fillId="4" borderId="1" xfId="0" applyFont="1" applyFill="1" applyBorder="1" applyAlignment="1">
      <alignment horizontal="center" vertical="center"/>
    </xf>
    <xf numFmtId="9" fontId="0" fillId="3" borderId="0" xfId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9" fontId="0" fillId="3" borderId="0" xfId="0" applyNumberFormat="1" applyFont="1" applyFill="1" applyAlignment="1">
      <alignment horizontal="center"/>
    </xf>
    <xf numFmtId="0" fontId="0" fillId="3" borderId="0" xfId="0" applyNumberFormat="1" applyFont="1" applyFill="1"/>
    <xf numFmtId="164" fontId="0" fillId="0" borderId="0" xfId="1" applyNumberFormat="1" applyFont="1"/>
    <xf numFmtId="10" fontId="0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0" fontId="12" fillId="5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1" fillId="0" borderId="1" xfId="0" applyFont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0" xfId="0" applyFill="1" applyBorder="1"/>
    <xf numFmtId="164" fontId="0" fillId="3" borderId="0" xfId="1" applyNumberFormat="1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7" borderId="0" xfId="0" applyFill="1" applyBorder="1"/>
    <xf numFmtId="0" fontId="0" fillId="7" borderId="19" xfId="0" applyFill="1" applyBorder="1"/>
    <xf numFmtId="0" fontId="0" fillId="7" borderId="2" xfId="0" applyFill="1" applyBorder="1"/>
    <xf numFmtId="0" fontId="0" fillId="7" borderId="3" xfId="0" applyFill="1" applyBorder="1"/>
    <xf numFmtId="164" fontId="0" fillId="7" borderId="3" xfId="1" applyNumberFormat="1" applyFont="1" applyFill="1" applyBorder="1"/>
    <xf numFmtId="164" fontId="0" fillId="7" borderId="4" xfId="1" applyNumberFormat="1" applyFont="1" applyFill="1" applyBorder="1"/>
    <xf numFmtId="10" fontId="0" fillId="3" borderId="16" xfId="1" applyNumberFormat="1" applyFont="1" applyFill="1" applyBorder="1"/>
    <xf numFmtId="10" fontId="0" fillId="3" borderId="17" xfId="1" applyNumberFormat="1" applyFont="1" applyFill="1" applyBorder="1"/>
    <xf numFmtId="10" fontId="0" fillId="3" borderId="0" xfId="1" applyNumberFormat="1" applyFont="1" applyFill="1" applyBorder="1"/>
    <xf numFmtId="10" fontId="0" fillId="3" borderId="19" xfId="1" applyNumberFormat="1" applyFont="1" applyFill="1" applyBorder="1"/>
    <xf numFmtId="10" fontId="0" fillId="3" borderId="3" xfId="1" applyNumberFormat="1" applyFont="1" applyFill="1" applyBorder="1"/>
    <xf numFmtId="10" fontId="0" fillId="3" borderId="4" xfId="1" applyNumberFormat="1" applyFont="1" applyFill="1" applyBorder="1"/>
    <xf numFmtId="9" fontId="0" fillId="7" borderId="0" xfId="1" applyNumberFormat="1" applyFont="1" applyFill="1" applyBorder="1"/>
    <xf numFmtId="9" fontId="0" fillId="7" borderId="19" xfId="1" applyNumberFormat="1" applyFont="1" applyFill="1" applyBorder="1"/>
    <xf numFmtId="9" fontId="0" fillId="7" borderId="3" xfId="1" applyNumberFormat="1" applyFont="1" applyFill="1" applyBorder="1"/>
    <xf numFmtId="9" fontId="0" fillId="7" borderId="4" xfId="1" applyNumberFormat="1" applyFont="1" applyFill="1" applyBorder="1"/>
    <xf numFmtId="0" fontId="12" fillId="0" borderId="21" xfId="0" applyFont="1" applyBorder="1" applyAlignment="1">
      <alignment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0" fillId="0" borderId="0" xfId="0" applyBorder="1" applyAlignment="1"/>
    <xf numFmtId="49" fontId="3" fillId="2" borderId="6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49" fontId="3" fillId="2" borderId="0" xfId="0" applyNumberFormat="1" applyFont="1" applyFill="1" applyBorder="1" applyAlignment="1">
      <alignment horizontal="left" vertical="center"/>
    </xf>
    <xf numFmtId="0" fontId="0" fillId="2" borderId="7" xfId="0" applyFill="1" applyBorder="1" applyAlignment="1"/>
    <xf numFmtId="0" fontId="0" fillId="2" borderId="12" xfId="0" applyFill="1" applyBorder="1" applyAlignment="1"/>
    <xf numFmtId="0" fontId="0" fillId="2" borderId="9" xfId="0" applyFill="1" applyBorder="1" applyAlignment="1"/>
    <xf numFmtId="0" fontId="0" fillId="2" borderId="13" xfId="0" applyFill="1" applyBorder="1" applyAlignment="1"/>
    <xf numFmtId="0" fontId="0" fillId="2" borderId="10" xfId="0" applyFill="1" applyBorder="1" applyAlignment="1"/>
    <xf numFmtId="0" fontId="0" fillId="2" borderId="14" xfId="0" applyFill="1" applyBorder="1" applyAlignment="1"/>
    <xf numFmtId="0" fontId="3" fillId="2" borderId="6" xfId="0" applyNumberFormat="1" applyFont="1" applyFill="1" applyBorder="1" applyAlignment="1">
      <alignment horizontal="center" vertical="center" wrapText="1"/>
    </xf>
    <xf numFmtId="165" fontId="3" fillId="2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10" fontId="0" fillId="3" borderId="0" xfId="1" applyNumberFormat="1" applyFont="1" applyFill="1" applyBorder="1" applyProtection="1"/>
    <xf numFmtId="10" fontId="0" fillId="3" borderId="3" xfId="1" applyNumberFormat="1" applyFont="1" applyFill="1" applyBorder="1" applyProtection="1"/>
    <xf numFmtId="10" fontId="0" fillId="0" borderId="0" xfId="0" applyNumberFormat="1"/>
    <xf numFmtId="164" fontId="3" fillId="2" borderId="1" xfId="0" applyNumberFormat="1" applyFont="1" applyFill="1" applyBorder="1" applyAlignment="1">
      <alignment horizontal="center" vertical="center"/>
    </xf>
    <xf numFmtId="10" fontId="0" fillId="3" borderId="16" xfId="0" applyNumberFormat="1" applyFill="1" applyBorder="1"/>
    <xf numFmtId="10" fontId="0" fillId="3" borderId="0" xfId="0" applyNumberFormat="1" applyFill="1" applyBorder="1"/>
    <xf numFmtId="0" fontId="4" fillId="2" borderId="6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3" fillId="3" borderId="2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3" fillId="2" borderId="6" xfId="0" applyNumberFormat="1" applyFont="1" applyFill="1" applyBorder="1" applyAlignment="1">
      <alignment horizontal="center" vertical="center"/>
    </xf>
    <xf numFmtId="10" fontId="3" fillId="2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164" fontId="3" fillId="8" borderId="1" xfId="1" applyNumberFormat="1" applyFont="1" applyFill="1" applyBorder="1" applyAlignment="1">
      <alignment horizontal="center" vertical="center"/>
    </xf>
    <xf numFmtId="10" fontId="3" fillId="2" borderId="21" xfId="1" applyNumberFormat="1" applyFont="1" applyFill="1" applyBorder="1" applyAlignment="1">
      <alignment horizontal="center" vertical="center"/>
    </xf>
    <xf numFmtId="164" fontId="16" fillId="2" borderId="25" xfId="1" applyNumberFormat="1" applyFont="1" applyFill="1" applyBorder="1" applyAlignment="1">
      <alignment horizontal="center" vertical="center"/>
    </xf>
    <xf numFmtId="10" fontId="16" fillId="2" borderId="25" xfId="1" applyNumberFormat="1" applyFont="1" applyFill="1" applyBorder="1" applyAlignment="1">
      <alignment horizontal="center" vertical="center"/>
    </xf>
    <xf numFmtId="164" fontId="16" fillId="2" borderId="26" xfId="1" applyNumberFormat="1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left" vertical="center"/>
    </xf>
    <xf numFmtId="49" fontId="16" fillId="2" borderId="23" xfId="0" applyNumberFormat="1" applyFont="1" applyFill="1" applyBorder="1" applyAlignment="1">
      <alignment horizontal="left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164" fontId="16" fillId="2" borderId="25" xfId="0" applyNumberFormat="1" applyFont="1" applyFill="1" applyBorder="1" applyAlignment="1">
      <alignment horizontal="center" vertical="center"/>
    </xf>
    <xf numFmtId="164" fontId="3" fillId="2" borderId="21" xfId="1" applyNumberFormat="1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164" fontId="3" fillId="2" borderId="28" xfId="1" applyNumberFormat="1" applyFont="1" applyFill="1" applyBorder="1" applyAlignment="1">
      <alignment horizontal="center" vertical="center"/>
    </xf>
    <xf numFmtId="164" fontId="3" fillId="2" borderId="29" xfId="1" applyNumberFormat="1" applyFont="1" applyFill="1" applyBorder="1" applyAlignment="1">
      <alignment horizontal="center" vertical="center"/>
    </xf>
    <xf numFmtId="164" fontId="3" fillId="2" borderId="31" xfId="1" applyNumberFormat="1" applyFont="1" applyFill="1" applyBorder="1" applyAlignment="1">
      <alignment horizontal="center" vertical="center"/>
    </xf>
    <xf numFmtId="164" fontId="3" fillId="2" borderId="32" xfId="1" applyNumberFormat="1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164" fontId="15" fillId="2" borderId="0" xfId="1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3" fillId="2" borderId="15" xfId="0" applyFont="1" applyFill="1" applyBorder="1" applyAlignment="1">
      <alignment horizontal="left" vertical="center"/>
    </xf>
    <xf numFmtId="0" fontId="3" fillId="2" borderId="16" xfId="0" applyFont="1" applyFill="1" applyBorder="1" applyAlignment="1">
      <alignment horizontal="left" vertical="center"/>
    </xf>
    <xf numFmtId="0" fontId="3" fillId="2" borderId="27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30" xfId="0" applyFont="1" applyFill="1" applyBorder="1" applyAlignment="1">
      <alignment horizontal="left" vertical="center"/>
    </xf>
  </cellXfs>
  <cellStyles count="2">
    <cellStyle name="Normal" xfId="0" builtinId="0"/>
    <cellStyle name="Porcentaje" xfId="1" builtinId="5"/>
  </cellStyles>
  <dxfs count="2248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family val="2"/>
      </font>
      <fill>
        <patternFill patternType="solid">
          <fgColor indexed="64"/>
          <bgColor theme="0" tint="-0.1499984740745262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Noto Sans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ADDB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2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D224CF2F-BB7F-48E0-B81E-82F805678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3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909BD00-F33B-4DF5-86C0-97D60AC78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4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DA157095-465D-4F3F-A1A8-4084D32CD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6BD73EF-99B0-478A-A6EE-B17C82242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B5263F03-6D96-46C0-B948-B9F3CF5A4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07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E7A522C8-CA25-46F0-856E-4B2EB3134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08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A7E95F1-387C-45F3-BECC-E5C3D66B2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142875</xdr:rowOff>
        </xdr:from>
        <xdr:to>
          <xdr:col>3</xdr:col>
          <xdr:colOff>1619250</xdr:colOff>
          <xdr:row>31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09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966AFE5F-745E-4325-8A8C-E5BA86195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142875</xdr:rowOff>
        </xdr:from>
        <xdr:to>
          <xdr:col>3</xdr:col>
          <xdr:colOff>1619250</xdr:colOff>
          <xdr:row>31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EE03C8FE-572A-447A-8923-F93933197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413E6969-3A60-4454-AA98-ACF98C99D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4018242C-E906-442E-91F7-1A0D6A76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28932A9-789B-4955-8249-E8F1FADB6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4C5DF3D1-9F8F-4F7E-A597-FB1FA4E19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15081068-0ECE-408A-8AEE-5E88BC10D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BDA3F3F4-8E01-4B1F-A93B-79A43EE74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1A83275-E444-44E5-8C73-A5D4761DD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D804D9B7-7461-44D1-B95C-E2DE5C75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3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E29674F7-A2B9-4FCA-8D97-ADE97835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55F8F06-32E0-4A7B-AF42-E12911F95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D8102191-5D3B-4FC4-827B-7DC79C621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FF6F8E3-1F10-42D0-AA5F-F3F839FDB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5E09FA10-57CC-4B8E-AE8E-C66D2DE1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E805C5E7-73EF-4A77-B48A-5753102CB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6A18A51-CB65-4464-B8B0-76CF548B5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2677AF83-6877-4206-875B-DA29D9093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37C2F14E-8D8A-409D-9F4A-1B02659CF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D4154D67-DDF7-40AC-90D3-7D452F099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523C323F-94C3-4882-A43F-40054B44B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6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C0FC697A-1C8D-41B0-8792-92A4CD78F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6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2" name="Imagen 1">
          <a:extLst>
            <a:ext uri="{FF2B5EF4-FFF2-40B4-BE49-F238E27FC236}">
              <a16:creationId xmlns:a16="http://schemas.microsoft.com/office/drawing/2014/main" id="{718130D2-FC1C-43FC-B8B1-FB1B58C1E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81ADF9-4743-471E-B334-D3158955286E}" name="Tabla1" displayName="Tabla1" ref="A1:Y76" totalsRowShown="0" headerRowDxfId="2246" dataDxfId="2244" headerRowBorderDxfId="2245" tableBorderDxfId="2243">
  <autoFilter ref="A1:Y76" xr:uid="{2F81ADF9-4743-471E-B334-D3158955286E}"/>
  <sortState xmlns:xlrd2="http://schemas.microsoft.com/office/spreadsheetml/2017/richdata2" ref="A2:Y76">
    <sortCondition ref="A1:A76"/>
  </sortState>
  <tableColumns count="25">
    <tableColumn id="1" xr3:uid="{26D65CDD-7CA8-4417-BE7B-E8C03F759566}" name="MATERIA PRIMA" dataDxfId="2242"/>
    <tableColumn id="2" xr3:uid="{D75BD544-2DBF-45DC-9A87-B933F8629F37}" name="PROVEEDOR" dataDxfId="2241"/>
    <tableColumn id="3" xr3:uid="{33C026E5-F365-4B57-A2A6-53E0BCCBAC6D}" name="TIPO" dataDxfId="2240"/>
    <tableColumn id="24" xr3:uid="{E1EAAE81-9451-48E0-90AC-7BB522A0372C}" name="ID" dataDxfId="2239">
      <calculatedColumnFormula>IF(Tabla1[[#This Row],[MATERIA PRIMA]]="","",_xlfn.CONCAT(Tabla1[[#This Row],[MATERIA PRIMA]],"_",Tabla1[[#This Row],[PROVEEDOR]],"_",Tabla1[[#This Row],[TIPO]]))</calculatedColumnFormula>
    </tableColumn>
    <tableColumn id="25" xr3:uid="{281B60F2-7948-4175-A50E-EAD2E1B960D8}" name="v" dataDxfId="2238">
      <calculatedColumnFormula>IF(Tabla1[[#This Row],[MATERIA PRIMA]]="","",IF(SUM(Tabla1[[#This Row],[C]:[Na]])&gt;0,"OK","P"))</calculatedColumnFormula>
    </tableColumn>
    <tableColumn id="4" xr3:uid="{453A1AF5-86AF-46FE-86E1-D2F05EB094DA}" name="C" dataDxfId="2237"/>
    <tableColumn id="5" xr3:uid="{C1512F1A-5CAD-447C-81FF-0867B4CC9191}" name="N" dataDxfId="2236"/>
    <tableColumn id="6" xr3:uid="{748755DB-F705-46BA-AE4B-E09DEA95C8A7}" name="N-NH4" dataDxfId="2235"/>
    <tableColumn id="7" xr3:uid="{913ADD17-C5D1-4EC7-9CC7-8E59CAB4DB7A}" name="N-NO3" dataDxfId="2234"/>
    <tableColumn id="8" xr3:uid="{25B15F1E-1E73-423A-B040-2C1A042A35B0}" name="N-org" dataDxfId="2233"/>
    <tableColumn id="9" xr3:uid="{A56A8999-AC61-4C5D-931A-2CABFEB00BD9}" name="N-ur" dataDxfId="2232"/>
    <tableColumn id="10" xr3:uid="{59EB5DF1-70FB-4F45-81E2-2F2A74B2F9BD}" name="P" dataDxfId="2231"/>
    <tableColumn id="11" xr3:uid="{F9018515-BA46-4380-8C3C-7E70575F4841}" name="K" dataDxfId="2230"/>
    <tableColumn id="12" xr3:uid="{11B21F12-17CA-4748-92AD-04753CED317C}" name="CaO" dataDxfId="2229"/>
    <tableColumn id="13" xr3:uid="{3DCF00BA-AF0F-431C-A8F3-3A5ACE642870}" name="MgO" dataDxfId="2228"/>
    <tableColumn id="14" xr3:uid="{FEC9D69C-4272-4F48-B996-84E349B784B5}" name="S" dataDxfId="2227"/>
    <tableColumn id="15" xr3:uid="{AF12D31C-B354-4E35-B375-CCBC12C91681}" name="B" dataDxfId="2226"/>
    <tableColumn id="16" xr3:uid="{B5AB63F9-E057-46BF-B4C3-A4B7D50E6C67}" name="Co" dataDxfId="2225"/>
    <tableColumn id="17" xr3:uid="{C22D44D6-4D2F-443E-95EA-E4C35AF9D0F5}" name="Cu" dataDxfId="2224"/>
    <tableColumn id="18" xr3:uid="{E1CD8312-1197-4907-ACC3-C9DF81553659}" name="Fe" dataDxfId="2223"/>
    <tableColumn id="19" xr3:uid="{791AE78D-A39D-4D95-9D12-D9229FC0B570}" name="Mn" dataDxfId="2222"/>
    <tableColumn id="20" xr3:uid="{9CEEDB48-410B-41E4-B1E7-6F458C131DD8}" name="Mo" dataDxfId="2221"/>
    <tableColumn id="21" xr3:uid="{86628677-4DD4-4BFE-AC69-44A674838B0C}" name="SiO2" dataDxfId="2220"/>
    <tableColumn id="22" xr3:uid="{0913A4E6-0878-4B97-AC78-147E7771FCE6}" name="Zn" dataDxfId="2219"/>
    <tableColumn id="23" xr3:uid="{2D6F6651-2C93-4802-9223-78CBE4771430}" name="Na" dataDxfId="22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1A93F1-52B6-490E-AAAD-028825BD31B8}" name="Tabla27" displayName="Tabla27" ref="D14:AA23" totalsRowShown="0" headerRowDxfId="2179" dataDxfId="2177" headerRowBorderDxfId="2178" tableBorderDxfId="2176" totalsRowBorderDxfId="2175" dataCellStyle="Porcentaje">
  <autoFilter ref="D14:AA23" xr:uid="{62A12C63-74E9-484A-BEC8-31A82248B89B}"/>
  <tableColumns count="24">
    <tableColumn id="4" xr3:uid="{8B55CCA1-3E0F-4520-A500-53F572EC2791}" name="CODIGO" dataDxfId="2174"/>
    <tableColumn id="29" xr3:uid="{03A7147D-D0C6-4CFE-A8A9-446D6D23E9D3}" name="MATERIA PRIMA" dataDxfId="2173"/>
    <tableColumn id="5" xr3:uid="{5FBA665E-A162-416E-8A00-1C591AD770DB}" name="CANTIDAD" dataDxfId="2172">
      <calculatedColumnFormula>Tabla27[[#This Row],[MATERIA PRIMA]]</calculatedColumnFormula>
    </tableColumn>
    <tableColumn id="1" xr3:uid="{C0B75795-E9BC-492D-80C3-7A34040AFCD6}" name="Q" dataDxfId="2171">
      <calculatedColumnFormula>Tabla27[[#This Row],[CANTIDAD]]/10</calculatedColumnFormula>
    </tableColumn>
    <tableColumn id="9" xr3:uid="{27E1DC18-E16B-4479-91A3-85E0AFE277BF}" name="C" dataDxfId="2170" dataCellStyle="Porcentaje"/>
    <tableColumn id="10" xr3:uid="{A690DDAA-8993-4FB4-8EAD-120641D3E095}" name="N" dataDxfId="2169" dataCellStyle="Porcentaje">
      <calculatedColumnFormula array="1">IF($E15="",0%,_xlfn.XLOOKUP($E15,Tabla1[[#All],[ID]],Tabla1[[#All],[N]]))</calculatedColumnFormula>
    </tableColumn>
    <tableColumn id="11" xr3:uid="{11DAE4DE-E2C1-4821-AEB5-B2FBF71BCF9E}" name="N-NH4" dataDxfId="2168" dataCellStyle="Porcentaje"/>
    <tableColumn id="12" xr3:uid="{815B6F18-2DCD-4BB5-8509-3CDA1D04E7DC}" name="N-NO3" dataDxfId="2167" dataCellStyle="Porcentaje"/>
    <tableColumn id="13" xr3:uid="{A1BF6103-B98D-4F40-AE21-984F95102DC9}" name="N-org" dataDxfId="2166" dataCellStyle="Porcentaje"/>
    <tableColumn id="14" xr3:uid="{94BB196C-6A11-4E6D-84F5-12C1D19CF749}" name="N-ur" dataDxfId="2165" dataCellStyle="Porcentaje">
      <calculatedColumnFormula array="1">IF($E15="",0%,(_xlfn.XLOOKUP($E15,Tabla1[[#All],[ID]],Tabla1[[#All],[N-ur]])))</calculatedColumnFormula>
    </tableColumn>
    <tableColumn id="15" xr3:uid="{962D1ACD-2AA9-4789-AD6B-F5542373D40C}" name="P" dataDxfId="2164" dataCellStyle="Porcentaje">
      <calculatedColumnFormula array="1">IF($E15="",0%,(_xlfn.XLOOKUP($E15,Tabla1[[#All],[ID]],Tabla1[[#All],[P]])))</calculatedColumnFormula>
    </tableColumn>
    <tableColumn id="16" xr3:uid="{957A072F-2E59-4322-BF8B-B8E52B197B2F}" name="K" dataDxfId="2163" dataCellStyle="Porcentaje">
      <calculatedColumnFormula array="1">IF($E15="",0%,(_xlfn.XLOOKUP($E15,Tabla1[[#All],[ID]],Tabla1[[#All],[K]])))</calculatedColumnFormula>
    </tableColumn>
    <tableColumn id="17" xr3:uid="{3EC37342-C372-4D1B-85C8-779E0BC55341}" name="CaO" dataDxfId="2162" dataCellStyle="Porcentaje">
      <calculatedColumnFormula array="1">IF($E15="",0%,(_xlfn.XLOOKUP($E15,Tabla1[[#All],[ID]],Tabla1[[#All],[CaO]])))</calculatedColumnFormula>
    </tableColumn>
    <tableColumn id="18" xr3:uid="{AB8D409D-286A-4DD5-9CE0-045F927C4C5C}" name="MgO" dataDxfId="2161" dataCellStyle="Porcentaje">
      <calculatedColumnFormula array="1">IF($E15="",0%,(_xlfn.XLOOKUP($E15,Tabla1[[#All],[ID]],Tabla1[[#All],[MgO]])))</calculatedColumnFormula>
    </tableColumn>
    <tableColumn id="19" xr3:uid="{2E81D8D7-E03F-4050-8D5A-C74A7A5002EE}" name="S" dataDxfId="2160" dataCellStyle="Porcentaje">
      <calculatedColumnFormula array="1">IF($E15="",0%,(_xlfn.XLOOKUP($E15,Tabla1[[#All],[ID]],Tabla1[[#All],[S]])))</calculatedColumnFormula>
    </tableColumn>
    <tableColumn id="20" xr3:uid="{F85A891C-59F3-428D-9EC8-ED714C1B6D0B}" name="B" dataDxfId="2159" dataCellStyle="Porcentaje">
      <calculatedColumnFormula array="1">IF($E15="",0%,(_xlfn.XLOOKUP($E15,Tabla1[[#All],[ID]],Tabla1[[#All],[B]])))</calculatedColumnFormula>
    </tableColumn>
    <tableColumn id="21" xr3:uid="{2FD9562F-8C4D-4789-AC12-FAD0B230502C}" name="Co" dataDxfId="2158" dataCellStyle="Porcentaje">
      <calculatedColumnFormula array="1">IF($E15="",0%,(_xlfn.XLOOKUP($E15,Tabla1[[#All],[ID]],Tabla1[[#All],[Co]])))</calculatedColumnFormula>
    </tableColumn>
    <tableColumn id="22" xr3:uid="{F94E662C-003C-4270-8AA0-FEC435A6E2ED}" name="Cu" dataDxfId="2157" dataCellStyle="Porcentaje">
      <calculatedColumnFormula array="1">IF($E15="",0%,(_xlfn.XLOOKUP($E15,Tabla1[[#All],[ID]],Tabla1[[#All],[Cu]])))</calculatedColumnFormula>
    </tableColumn>
    <tableColumn id="23" xr3:uid="{8FE35059-28D0-4291-BC4B-B9A961682A2C}" name="Fe" dataDxfId="2156" dataCellStyle="Porcentaje">
      <calculatedColumnFormula array="1">IF($E15="",0%,(_xlfn.XLOOKUP($E15,Tabla1[[#All],[ID]],Tabla1[[#All],[Fe]])))</calculatedColumnFormula>
    </tableColumn>
    <tableColumn id="24" xr3:uid="{8C3CE683-8D59-4E3C-BD28-FA41FA752691}" name="Mn" dataDxfId="2155" dataCellStyle="Porcentaje">
      <calculatedColumnFormula array="1">IF($E15="",0%,(_xlfn.XLOOKUP($E15,Tabla1[[#All],[ID]],Tabla1[[#All],[Mn]])))</calculatedColumnFormula>
    </tableColumn>
    <tableColumn id="25" xr3:uid="{0DF2ACE8-D6B5-442B-8E0E-59AA92FA793A}" name="Mo" dataDxfId="2154" dataCellStyle="Porcentaje">
      <calculatedColumnFormula array="1">IF($E15="",0%,(_xlfn.XLOOKUP($E15,Tabla1[[#All],[ID]],Tabla1[[#All],[Mo]])))</calculatedColumnFormula>
    </tableColumn>
    <tableColumn id="26" xr3:uid="{A9505899-F01E-4A9B-96D0-B951D219B454}" name="SiO2" dataDxfId="2153" dataCellStyle="Porcentaje">
      <calculatedColumnFormula array="1">IF($E15="",0%,(_xlfn.XLOOKUP($E15,Tabla1[[#All],[ID]],Tabla1[[#All],[SiO2]])))</calculatedColumnFormula>
    </tableColumn>
    <tableColumn id="27" xr3:uid="{1138E21E-7B52-44AB-967F-FB06167CAF53}" name="Zn" dataDxfId="2152" dataCellStyle="Porcentaje">
      <calculatedColumnFormula array="1">IF($E15="",0%,(_xlfn.XLOOKUP($E15,Tabla1[[#All],[ID]],Tabla1[[#All],[Zn]])))</calculatedColumnFormula>
    </tableColumn>
    <tableColumn id="28" xr3:uid="{98FD75D7-0BF5-4A49-8E14-87396F37FAD0}" name="Na" dataDxfId="2151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A75661-436B-4930-8EE1-8696B4A2677E}" name="Tabla28" displayName="Tabla28" ref="D14:AA23" totalsRowShown="0" headerRowDxfId="2119" dataDxfId="2117" headerRowBorderDxfId="2118" tableBorderDxfId="2116" totalsRowBorderDxfId="2115" dataCellStyle="Porcentaje">
  <autoFilter ref="D14:AA23" xr:uid="{62A12C63-74E9-484A-BEC8-31A82248B89B}"/>
  <tableColumns count="24">
    <tableColumn id="4" xr3:uid="{6A879404-80D1-429D-A0A7-072AAAEF6157}" name="CODIGO" dataDxfId="2114"/>
    <tableColumn id="29" xr3:uid="{FA65B72F-8F69-485C-90BC-335D33948AD4}" name="MATERIA PRIMA" dataDxfId="2113"/>
    <tableColumn id="5" xr3:uid="{2FE368FE-E835-4ADB-B32E-5B179C82EF0D}" name="CANTIDAD" dataDxfId="2112">
      <calculatedColumnFormula>Tabla28[[#This Row],[MATERIA PRIMA]]</calculatedColumnFormula>
    </tableColumn>
    <tableColumn id="1" xr3:uid="{76B470F6-2932-4FB5-ACBC-EA5EC4315CEC}" name="Q" dataDxfId="2111">
      <calculatedColumnFormula>Tabla28[[#This Row],[CANTIDAD]]/10</calculatedColumnFormula>
    </tableColumn>
    <tableColumn id="9" xr3:uid="{FF09B43A-A7D6-431A-85C4-812392AA8AA6}" name="C" dataDxfId="2110" dataCellStyle="Porcentaje"/>
    <tableColumn id="10" xr3:uid="{637E5051-C4FC-4A3C-9E6E-66B30EE5F7C9}" name="N" dataDxfId="2109" dataCellStyle="Porcentaje">
      <calculatedColumnFormula array="1">IF($E15="",0%,_xlfn.XLOOKUP($E15,Tabla1[[#All],[ID]],Tabla1[[#All],[N]]))</calculatedColumnFormula>
    </tableColumn>
    <tableColumn id="11" xr3:uid="{B63B7287-4D05-4EA2-A726-1044FF6FDBB3}" name="N-NH4" dataDxfId="2108" dataCellStyle="Porcentaje"/>
    <tableColumn id="12" xr3:uid="{ED641666-2A74-4D29-A752-CC7E2DF751DF}" name="N-NO3" dataDxfId="2107" dataCellStyle="Porcentaje"/>
    <tableColumn id="13" xr3:uid="{4F7EC835-B1D0-4836-80FC-EFEC932C7B0F}" name="N-org" dataDxfId="2106" dataCellStyle="Porcentaje"/>
    <tableColumn id="14" xr3:uid="{0CD8994B-3AE4-46A8-A9D3-1DF978D9D413}" name="N-ur" dataDxfId="2105" dataCellStyle="Porcentaje">
      <calculatedColumnFormula array="1">IF($E15="",0%,(_xlfn.XLOOKUP($E15,Tabla1[[#All],[ID]],Tabla1[[#All],[N-ur]])))</calculatedColumnFormula>
    </tableColumn>
    <tableColumn id="15" xr3:uid="{D834ADA9-FBC2-4522-BC52-73F1EC5A2C14}" name="P" dataDxfId="2104" dataCellStyle="Porcentaje">
      <calculatedColumnFormula array="1">IF($E15="",0%,(_xlfn.XLOOKUP($E15,Tabla1[[#All],[ID]],Tabla1[[#All],[P]])))</calculatedColumnFormula>
    </tableColumn>
    <tableColumn id="16" xr3:uid="{22C2D19A-B601-4278-B7AD-069FB4AB16A0}" name="K" dataDxfId="2103" dataCellStyle="Porcentaje">
      <calculatedColumnFormula array="1">IF($E15="",0%,(_xlfn.XLOOKUP($E15,Tabla1[[#All],[ID]],Tabla1[[#All],[K]])))</calculatedColumnFormula>
    </tableColumn>
    <tableColumn id="17" xr3:uid="{DA007892-45A3-419B-9F79-5F93561A6ED1}" name="CaO" dataDxfId="2102" dataCellStyle="Porcentaje">
      <calculatedColumnFormula array="1">IF($E15="",0%,(_xlfn.XLOOKUP($E15,Tabla1[[#All],[ID]],Tabla1[[#All],[CaO]])))</calculatedColumnFormula>
    </tableColumn>
    <tableColumn id="18" xr3:uid="{D300C3FA-9D40-47E9-B45F-6C63B8513F15}" name="MgO" dataDxfId="2101" dataCellStyle="Porcentaje">
      <calculatedColumnFormula array="1">IF($E15="",0%,(_xlfn.XLOOKUP($E15,Tabla1[[#All],[ID]],Tabla1[[#All],[MgO]])))</calculatedColumnFormula>
    </tableColumn>
    <tableColumn id="19" xr3:uid="{7D029612-51C3-46E7-8B1F-D0AD927B82E9}" name="S" dataDxfId="2100" dataCellStyle="Porcentaje">
      <calculatedColumnFormula array="1">IF($E15="",0%,(_xlfn.XLOOKUP($E15,Tabla1[[#All],[ID]],Tabla1[[#All],[S]])))</calculatedColumnFormula>
    </tableColumn>
    <tableColumn id="20" xr3:uid="{9233CD58-5D46-44E2-AC3F-DFED74FC738A}" name="B" dataDxfId="2099" dataCellStyle="Porcentaje">
      <calculatedColumnFormula array="1">IF($E15="",0%,(_xlfn.XLOOKUP($E15,Tabla1[[#All],[ID]],Tabla1[[#All],[B]])))</calculatedColumnFormula>
    </tableColumn>
    <tableColumn id="21" xr3:uid="{231E3B38-369F-4591-A9C0-B620AD55BCE8}" name="Co" dataDxfId="2098" dataCellStyle="Porcentaje">
      <calculatedColumnFormula array="1">IF($E15="",0%,(_xlfn.XLOOKUP($E15,Tabla1[[#All],[ID]],Tabla1[[#All],[Co]])))</calculatedColumnFormula>
    </tableColumn>
    <tableColumn id="22" xr3:uid="{593E91DE-9B96-4155-AC2E-1C4C1A867972}" name="Cu" dataDxfId="2097" dataCellStyle="Porcentaje">
      <calculatedColumnFormula array="1">IF($E15="",0%,(_xlfn.XLOOKUP($E15,Tabla1[[#All],[ID]],Tabla1[[#All],[Cu]])))</calculatedColumnFormula>
    </tableColumn>
    <tableColumn id="23" xr3:uid="{ACA0DAF6-CFF0-436A-88D9-9DE575CAFB06}" name="Fe" dataDxfId="2096" dataCellStyle="Porcentaje">
      <calculatedColumnFormula array="1">IF($E15="",0%,(_xlfn.XLOOKUP($E15,Tabla1[[#All],[ID]],Tabla1[[#All],[Fe]])))</calculatedColumnFormula>
    </tableColumn>
    <tableColumn id="24" xr3:uid="{4F535DC5-62BA-4AA4-BC62-159776E2A1D0}" name="Mn" dataDxfId="2095" dataCellStyle="Porcentaje">
      <calculatedColumnFormula array="1">IF($E15="",0%,(_xlfn.XLOOKUP($E15,Tabla1[[#All],[ID]],Tabla1[[#All],[Mn]])))</calculatedColumnFormula>
    </tableColumn>
    <tableColumn id="25" xr3:uid="{3B100013-9A2F-4298-AD56-182544014132}" name="Mo" dataDxfId="2094" dataCellStyle="Porcentaje">
      <calculatedColumnFormula array="1">IF($E15="",0%,(_xlfn.XLOOKUP($E15,Tabla1[[#All],[ID]],Tabla1[[#All],[Mo]])))</calculatedColumnFormula>
    </tableColumn>
    <tableColumn id="26" xr3:uid="{3220C5DE-29B3-4098-AE83-4A31BDBD6C93}" name="SiO2" dataDxfId="2093" dataCellStyle="Porcentaje">
      <calculatedColumnFormula array="1">IF($E15="",0%,(_xlfn.XLOOKUP($E15,Tabla1[[#All],[ID]],Tabla1[[#All],[SiO2]])))</calculatedColumnFormula>
    </tableColumn>
    <tableColumn id="27" xr3:uid="{9CD1EA52-DE62-4B4E-A0B0-A30B46DC4854}" name="Zn" dataDxfId="2092" dataCellStyle="Porcentaje">
      <calculatedColumnFormula array="1">IF($E15="",0%,(_xlfn.XLOOKUP($E15,Tabla1[[#All],[ID]],Tabla1[[#All],[Zn]])))</calculatedColumnFormula>
    </tableColumn>
    <tableColumn id="28" xr3:uid="{55E6C0B3-773D-4FB8-818D-C0378877121D}" name="Na" dataDxfId="2091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91982F-C3C6-4123-BE0C-E92639FE8C64}" name="Tabla29" displayName="Tabla29" ref="D14:AA23" totalsRowShown="0" headerRowDxfId="2059" dataDxfId="2057" headerRowBorderDxfId="2058" tableBorderDxfId="2056" totalsRowBorderDxfId="2055" dataCellStyle="Porcentaje">
  <autoFilter ref="D14:AA23" xr:uid="{62A12C63-74E9-484A-BEC8-31A82248B89B}"/>
  <tableColumns count="24">
    <tableColumn id="4" xr3:uid="{D68428CB-3A8E-40F3-A8A4-C628A178691A}" name="CODIGO" dataDxfId="2054"/>
    <tableColumn id="29" xr3:uid="{E60553D5-5F4B-4193-90C1-0A96E371F2FB}" name="MATERIA PRIMA" dataDxfId="2053"/>
    <tableColumn id="5" xr3:uid="{2B515B80-1D2A-4FA5-9AFC-593F47953311}" name="CANTIDAD" dataDxfId="2052">
      <calculatedColumnFormula>Tabla29[[#This Row],[MATERIA PRIMA]]</calculatedColumnFormula>
    </tableColumn>
    <tableColumn id="1" xr3:uid="{F81CB2FA-CB88-4357-9D49-D922D61E3517}" name="Q" dataDxfId="2051">
      <calculatedColumnFormula>Tabla29[[#This Row],[CANTIDAD]]/10</calculatedColumnFormula>
    </tableColumn>
    <tableColumn id="9" xr3:uid="{1229F5B9-61D9-40A9-84DD-3277B9EE0B8F}" name="C" dataDxfId="2050" dataCellStyle="Porcentaje"/>
    <tableColumn id="10" xr3:uid="{91ABAEED-39EB-48E1-9AB9-91FDA552DA19}" name="N" dataDxfId="2049" dataCellStyle="Porcentaje">
      <calculatedColumnFormula array="1">IF($E15="",0%,_xlfn.XLOOKUP($E15,Tabla1[[#All],[ID]],Tabla1[[#All],[N]]))</calculatedColumnFormula>
    </tableColumn>
    <tableColumn id="11" xr3:uid="{268170D2-943C-4098-9344-3E28B9E333BC}" name="N-NH4" dataDxfId="2048" dataCellStyle="Porcentaje"/>
    <tableColumn id="12" xr3:uid="{9372D547-54EE-4019-8AF8-B514315C750E}" name="N-NO3" dataDxfId="2047" dataCellStyle="Porcentaje"/>
    <tableColumn id="13" xr3:uid="{8862B799-66E6-4248-BDD8-E455C3CEAE81}" name="N-org" dataDxfId="2046" dataCellStyle="Porcentaje"/>
    <tableColumn id="14" xr3:uid="{96B0CFE5-3EF9-49A8-B555-167CD74467E9}" name="N-ur" dataDxfId="2045" dataCellStyle="Porcentaje">
      <calculatedColumnFormula array="1">IF($E15="",0%,(_xlfn.XLOOKUP($E15,Tabla1[[#All],[ID]],Tabla1[[#All],[N-ur]])))</calculatedColumnFormula>
    </tableColumn>
    <tableColumn id="15" xr3:uid="{D41E68D0-579B-4055-987D-D6F91026F267}" name="P" dataDxfId="2044" dataCellStyle="Porcentaje">
      <calculatedColumnFormula array="1">IF($E15="",0%,(_xlfn.XLOOKUP($E15,Tabla1[[#All],[ID]],Tabla1[[#All],[P]])))</calculatedColumnFormula>
    </tableColumn>
    <tableColumn id="16" xr3:uid="{CC1E1ED6-060B-442D-8593-BC8AB409AFE0}" name="K" dataDxfId="2043" dataCellStyle="Porcentaje">
      <calculatedColumnFormula array="1">IF($E15="",0%,(_xlfn.XLOOKUP($E15,Tabla1[[#All],[ID]],Tabla1[[#All],[K]])))</calculatedColumnFormula>
    </tableColumn>
    <tableColumn id="17" xr3:uid="{EA434276-D1CD-4AA5-B8AA-C4FEE0679F04}" name="CaO" dataDxfId="2042" dataCellStyle="Porcentaje">
      <calculatedColumnFormula array="1">IF($E15="",0%,(_xlfn.XLOOKUP($E15,Tabla1[[#All],[ID]],Tabla1[[#All],[CaO]])))</calculatedColumnFormula>
    </tableColumn>
    <tableColumn id="18" xr3:uid="{37C118F6-A1EE-4470-B2AA-6B5AD24ECF0D}" name="MgO" dataDxfId="2041" dataCellStyle="Porcentaje">
      <calculatedColumnFormula array="1">IF($E15="",0%,(_xlfn.XLOOKUP($E15,Tabla1[[#All],[ID]],Tabla1[[#All],[MgO]])))</calculatedColumnFormula>
    </tableColumn>
    <tableColumn id="19" xr3:uid="{0EB1B0F1-4D05-4CC8-8EE4-A33FC9134230}" name="S" dataDxfId="2040" dataCellStyle="Porcentaje">
      <calculatedColumnFormula array="1">IF($E15="",0%,(_xlfn.XLOOKUP($E15,Tabla1[[#All],[ID]],Tabla1[[#All],[S]])))</calculatedColumnFormula>
    </tableColumn>
    <tableColumn id="20" xr3:uid="{2DB22CBC-1010-4619-9BAE-FBB88ABEE125}" name="B" dataDxfId="2039" dataCellStyle="Porcentaje">
      <calculatedColumnFormula array="1">IF($E15="",0%,(_xlfn.XLOOKUP($E15,Tabla1[[#All],[ID]],Tabla1[[#All],[B]])))</calculatedColumnFormula>
    </tableColumn>
    <tableColumn id="21" xr3:uid="{C101EF70-3CAD-4E79-ACD1-7923C757C7F9}" name="Co" dataDxfId="2038" dataCellStyle="Porcentaje">
      <calculatedColumnFormula array="1">IF($E15="",0%,(_xlfn.XLOOKUP($E15,Tabla1[[#All],[ID]],Tabla1[[#All],[Co]])))</calculatedColumnFormula>
    </tableColumn>
    <tableColumn id="22" xr3:uid="{749018F7-7D3E-467A-B0B6-66B9BEE4084A}" name="Cu" dataDxfId="2037" dataCellStyle="Porcentaje">
      <calculatedColumnFormula array="1">IF($E15="",0%,(_xlfn.XLOOKUP($E15,Tabla1[[#All],[ID]],Tabla1[[#All],[Cu]])))</calculatedColumnFormula>
    </tableColumn>
    <tableColumn id="23" xr3:uid="{ADD628F6-F737-417C-91F5-D8E6E634F086}" name="Fe" dataDxfId="2036" dataCellStyle="Porcentaje">
      <calculatedColumnFormula array="1">IF($E15="",0%,(_xlfn.XLOOKUP($E15,Tabla1[[#All],[ID]],Tabla1[[#All],[Fe]])))</calculatedColumnFormula>
    </tableColumn>
    <tableColumn id="24" xr3:uid="{30544C18-A318-40A0-B9BF-C4E22A6862CF}" name="Mn" dataDxfId="2035" dataCellStyle="Porcentaje">
      <calculatedColumnFormula array="1">IF($E15="",0%,(_xlfn.XLOOKUP($E15,Tabla1[[#All],[ID]],Tabla1[[#All],[Mn]])))</calculatedColumnFormula>
    </tableColumn>
    <tableColumn id="25" xr3:uid="{878FF5B3-18F5-4E98-A315-C3B21922953E}" name="Mo" dataDxfId="2034" dataCellStyle="Porcentaje">
      <calculatedColumnFormula array="1">IF($E15="",0%,(_xlfn.XLOOKUP($E15,Tabla1[[#All],[ID]],Tabla1[[#All],[Mo]])))</calculatedColumnFormula>
    </tableColumn>
    <tableColumn id="26" xr3:uid="{9A8DEBE9-D30F-40CE-B1DB-B34004CFDBF2}" name="SiO2" dataDxfId="2033" dataCellStyle="Porcentaje">
      <calculatedColumnFormula array="1">IF($E15="",0%,(_xlfn.XLOOKUP($E15,Tabla1[[#All],[ID]],Tabla1[[#All],[SiO2]])))</calculatedColumnFormula>
    </tableColumn>
    <tableColumn id="27" xr3:uid="{E0675EB8-CABA-429C-955A-5D2EC50C5535}" name="Zn" dataDxfId="2032" dataCellStyle="Porcentaje">
      <calculatedColumnFormula array="1">IF($E15="",0%,(_xlfn.XLOOKUP($E15,Tabla1[[#All],[ID]],Tabla1[[#All],[Zn]])))</calculatedColumnFormula>
    </tableColumn>
    <tableColumn id="28" xr3:uid="{E72FE6C2-F441-4BF7-B04D-9473CC12161D}" name="Na" dataDxfId="2031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864C799-EC03-4240-ADAD-3D6E3A0F3C5A}" name="Tabla210" displayName="Tabla210" ref="D14:AA23" totalsRowShown="0" headerRowDxfId="1999" dataDxfId="1997" headerRowBorderDxfId="1998" tableBorderDxfId="1996" totalsRowBorderDxfId="1995" dataCellStyle="Porcentaje">
  <autoFilter ref="D14:AA23" xr:uid="{62A12C63-74E9-484A-BEC8-31A82248B89B}"/>
  <tableColumns count="24">
    <tableColumn id="4" xr3:uid="{D6FD50E2-C9BE-4FE0-AE21-758231097B34}" name="CODIGO" dataDxfId="1994"/>
    <tableColumn id="29" xr3:uid="{BFAE66F5-28C9-4672-A7FB-62D584862AF2}" name="MATERIA PRIMA" dataDxfId="1993"/>
    <tableColumn id="5" xr3:uid="{A292EC5E-F049-49B4-AEE4-BAAEB4FA25C3}" name="CANTIDAD" dataDxfId="1992">
      <calculatedColumnFormula>Tabla210[[#This Row],[MATERIA PRIMA]]</calculatedColumnFormula>
    </tableColumn>
    <tableColumn id="1" xr3:uid="{DF5954BF-4F8B-4DB3-B6A0-397B6DDE3210}" name="Q" dataDxfId="1991">
      <calculatedColumnFormula>Tabla210[[#This Row],[CANTIDAD]]/10</calculatedColumnFormula>
    </tableColumn>
    <tableColumn id="9" xr3:uid="{CC6C0FB3-DC88-46DA-83CC-44F4CE87CF48}" name="C" dataDxfId="1990" dataCellStyle="Porcentaje"/>
    <tableColumn id="10" xr3:uid="{724483C0-0A3E-4679-A2AA-04014956A896}" name="N" dataDxfId="1989" dataCellStyle="Porcentaje">
      <calculatedColumnFormula array="1">IF($E15="",0%,_xlfn.XLOOKUP($E15,Tabla1[[#All],[ID]],Tabla1[[#All],[N]]))</calculatedColumnFormula>
    </tableColumn>
    <tableColumn id="11" xr3:uid="{9FBF7C96-60C0-44D8-80E0-3A0F585819DC}" name="N-NH4" dataDxfId="1988" dataCellStyle="Porcentaje"/>
    <tableColumn id="12" xr3:uid="{E879A33E-A903-43E2-985C-F881B858E482}" name="N-NO3" dataDxfId="1987" dataCellStyle="Porcentaje"/>
    <tableColumn id="13" xr3:uid="{30E54C55-2549-41F7-BE4B-C5E5507A8BF8}" name="N-org" dataDxfId="1986" dataCellStyle="Porcentaje"/>
    <tableColumn id="14" xr3:uid="{4938DD10-32D7-40AA-8D3D-13DB8FED926B}" name="N-ur" dataDxfId="1985" dataCellStyle="Porcentaje">
      <calculatedColumnFormula array="1">IF($E15="",0%,(_xlfn.XLOOKUP($E15,Tabla1[[#All],[ID]],Tabla1[[#All],[N-ur]])))</calculatedColumnFormula>
    </tableColumn>
    <tableColumn id="15" xr3:uid="{60595D93-DCA3-45D9-9A98-9A70CE69EC88}" name="P" dataDxfId="1984" dataCellStyle="Porcentaje">
      <calculatedColumnFormula array="1">IF($E15="",0%,(_xlfn.XLOOKUP($E15,Tabla1[[#All],[ID]],Tabla1[[#All],[P]])))</calculatedColumnFormula>
    </tableColumn>
    <tableColumn id="16" xr3:uid="{A6653BB4-404B-4EFE-AFAA-35616A2C5917}" name="K" dataDxfId="1983" dataCellStyle="Porcentaje">
      <calculatedColumnFormula array="1">IF($E15="",0%,(_xlfn.XLOOKUP($E15,Tabla1[[#All],[ID]],Tabla1[[#All],[K]])))</calculatedColumnFormula>
    </tableColumn>
    <tableColumn id="17" xr3:uid="{C6134A4E-50D8-4A5E-ADA6-88541FC71D2A}" name="CaO" dataDxfId="1982" dataCellStyle="Porcentaje">
      <calculatedColumnFormula array="1">IF($E15="",0%,(_xlfn.XLOOKUP($E15,Tabla1[[#All],[ID]],Tabla1[[#All],[CaO]])))</calculatedColumnFormula>
    </tableColumn>
    <tableColumn id="18" xr3:uid="{FEAA1CE9-A824-462F-B150-4780F537C0AC}" name="MgO" dataDxfId="1981" dataCellStyle="Porcentaje">
      <calculatedColumnFormula array="1">IF($E15="",0%,(_xlfn.XLOOKUP($E15,Tabla1[[#All],[ID]],Tabla1[[#All],[MgO]])))</calculatedColumnFormula>
    </tableColumn>
    <tableColumn id="19" xr3:uid="{04B2BBE3-B369-447C-AF3E-2193BE08BDBC}" name="S" dataDxfId="1980" dataCellStyle="Porcentaje">
      <calculatedColumnFormula array="1">IF($E15="",0%,(_xlfn.XLOOKUP($E15,Tabla1[[#All],[ID]],Tabla1[[#All],[S]])))</calculatedColumnFormula>
    </tableColumn>
    <tableColumn id="20" xr3:uid="{48965C24-ABD3-4B5B-915A-44B1A0880059}" name="B" dataDxfId="1979" dataCellStyle="Porcentaje">
      <calculatedColumnFormula array="1">IF($E15="",0%,(_xlfn.XLOOKUP($E15,Tabla1[[#All],[ID]],Tabla1[[#All],[B]])))</calculatedColumnFormula>
    </tableColumn>
    <tableColumn id="21" xr3:uid="{E931EB8D-6598-422D-8C2C-E310E66A48AD}" name="Co" dataDxfId="1978" dataCellStyle="Porcentaje">
      <calculatedColumnFormula array="1">IF($E15="",0%,(_xlfn.XLOOKUP($E15,Tabla1[[#All],[ID]],Tabla1[[#All],[Co]])))</calculatedColumnFormula>
    </tableColumn>
    <tableColumn id="22" xr3:uid="{95097A94-CB3F-4533-A606-8128A561D2BE}" name="Cu" dataDxfId="1977" dataCellStyle="Porcentaje">
      <calculatedColumnFormula array="1">IF($E15="",0%,(_xlfn.XLOOKUP($E15,Tabla1[[#All],[ID]],Tabla1[[#All],[Cu]])))</calculatedColumnFormula>
    </tableColumn>
    <tableColumn id="23" xr3:uid="{9EA3F422-0951-43A0-B8DE-855EF31D4B7A}" name="Fe" dataDxfId="1976" dataCellStyle="Porcentaje">
      <calculatedColumnFormula array="1">IF($E15="",0%,(_xlfn.XLOOKUP($E15,Tabla1[[#All],[ID]],Tabla1[[#All],[Fe]])))</calculatedColumnFormula>
    </tableColumn>
    <tableColumn id="24" xr3:uid="{DA14B1B1-158E-4E56-813C-57EB76216951}" name="Mn" dataDxfId="1975" dataCellStyle="Porcentaje">
      <calculatedColumnFormula array="1">IF($E15="",0%,(_xlfn.XLOOKUP($E15,Tabla1[[#All],[ID]],Tabla1[[#All],[Mn]])))</calculatedColumnFormula>
    </tableColumn>
    <tableColumn id="25" xr3:uid="{53232588-FF51-4F09-8DA6-2DD5F8135458}" name="Mo" dataDxfId="1974" dataCellStyle="Porcentaje">
      <calculatedColumnFormula array="1">IF($E15="",0%,(_xlfn.XLOOKUP($E15,Tabla1[[#All],[ID]],Tabla1[[#All],[Mo]])))</calculatedColumnFormula>
    </tableColumn>
    <tableColumn id="26" xr3:uid="{2409E48D-26A2-46F1-9229-0D881AC584D3}" name="SiO2" dataDxfId="1973" dataCellStyle="Porcentaje">
      <calculatedColumnFormula array="1">IF($E15="",0%,(_xlfn.XLOOKUP($E15,Tabla1[[#All],[ID]],Tabla1[[#All],[SiO2]])))</calculatedColumnFormula>
    </tableColumn>
    <tableColumn id="27" xr3:uid="{843F6176-F37B-4469-86FF-AE9940348A96}" name="Zn" dataDxfId="1972" dataCellStyle="Porcentaje">
      <calculatedColumnFormula array="1">IF($E15="",0%,(_xlfn.XLOOKUP($E15,Tabla1[[#All],[ID]],Tabla1[[#All],[Zn]])))</calculatedColumnFormula>
    </tableColumn>
    <tableColumn id="28" xr3:uid="{DF088DE9-8E22-4668-8F6D-6C370532FC54}" name="Na" dataDxfId="1971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338EBD6-6773-4100-A5C1-9D489DF93B09}" name="Tabla211" displayName="Tabla211" ref="D14:AA23" totalsRowShown="0" headerRowDxfId="1939" dataDxfId="1937" headerRowBorderDxfId="1938" tableBorderDxfId="1936" totalsRowBorderDxfId="1935" dataCellStyle="Porcentaje">
  <autoFilter ref="D14:AA23" xr:uid="{62A12C63-74E9-484A-BEC8-31A82248B89B}"/>
  <tableColumns count="24">
    <tableColumn id="4" xr3:uid="{999C289C-085F-42F9-B4AC-BC1FBD855B09}" name="CODIGO" dataDxfId="1934"/>
    <tableColumn id="29" xr3:uid="{8619CDBE-CDBF-4148-A806-6F3F5726EBEC}" name="MATERIA PRIMA" dataDxfId="1933"/>
    <tableColumn id="5" xr3:uid="{6BDC2AC4-CA06-4E1B-A1C2-B7F34B145A42}" name="CANTIDAD" dataDxfId="1932">
      <calculatedColumnFormula>Tabla211[[#This Row],[MATERIA PRIMA]]</calculatedColumnFormula>
    </tableColumn>
    <tableColumn id="1" xr3:uid="{A3F06807-EA38-4C2A-A578-2DDDF33D2B4A}" name="Q" dataDxfId="1931">
      <calculatedColumnFormula>Tabla211[[#This Row],[CANTIDAD]]/10</calculatedColumnFormula>
    </tableColumn>
    <tableColumn id="9" xr3:uid="{15F23717-FD05-4D73-AF40-668D969C15C9}" name="C" dataDxfId="1930" dataCellStyle="Porcentaje"/>
    <tableColumn id="10" xr3:uid="{58529EBE-271D-4E11-A41B-F0C40F151F83}" name="N" dataDxfId="1929" dataCellStyle="Porcentaje">
      <calculatedColumnFormula array="1">IF($E15="",0%,_xlfn.XLOOKUP($E15,Tabla1[[#All],[ID]],Tabla1[[#All],[N]]))</calculatedColumnFormula>
    </tableColumn>
    <tableColumn id="11" xr3:uid="{0BA5FB7D-6967-4D7C-88B7-E0C3B95A82BA}" name="N-NH4" dataDxfId="1928" dataCellStyle="Porcentaje"/>
    <tableColumn id="12" xr3:uid="{BD0AF314-425F-482C-9186-28DBEF0EB42A}" name="N-NO3" dataDxfId="1927" dataCellStyle="Porcentaje"/>
    <tableColumn id="13" xr3:uid="{379FCFDB-DD5F-4785-93D4-7B54250E68D2}" name="N-org" dataDxfId="1926" dataCellStyle="Porcentaje"/>
    <tableColumn id="14" xr3:uid="{35444793-ACBB-48FF-9EB4-F70EC01A9DCB}" name="N-ur" dataDxfId="1925" dataCellStyle="Porcentaje">
      <calculatedColumnFormula array="1">IF($E15="",0%,(_xlfn.XLOOKUP($E15,Tabla1[[#All],[ID]],Tabla1[[#All],[N-ur]])))</calculatedColumnFormula>
    </tableColumn>
    <tableColumn id="15" xr3:uid="{54314D24-E8F9-40E2-B3CE-D08A05B5CCE7}" name="P" dataDxfId="1924" dataCellStyle="Porcentaje">
      <calculatedColumnFormula array="1">IF($E15="",0%,(_xlfn.XLOOKUP($E15,Tabla1[[#All],[ID]],Tabla1[[#All],[P]])))</calculatedColumnFormula>
    </tableColumn>
    <tableColumn id="16" xr3:uid="{67A0178E-A515-408C-A575-115D3E1AD88D}" name="K" dataDxfId="1923" dataCellStyle="Porcentaje">
      <calculatedColumnFormula array="1">IF($E15="",0%,(_xlfn.XLOOKUP($E15,Tabla1[[#All],[ID]],Tabla1[[#All],[K]])))</calculatedColumnFormula>
    </tableColumn>
    <tableColumn id="17" xr3:uid="{1C3FD01F-66A2-4031-97C2-0D084BE0EED0}" name="CaO" dataDxfId="1922" dataCellStyle="Porcentaje">
      <calculatedColumnFormula array="1">IF($E15="",0%,(_xlfn.XLOOKUP($E15,Tabla1[[#All],[ID]],Tabla1[[#All],[CaO]])))</calculatedColumnFormula>
    </tableColumn>
    <tableColumn id="18" xr3:uid="{16D48AE3-15D1-40DB-8E9E-2AD93839A433}" name="MgO" dataDxfId="1921" dataCellStyle="Porcentaje">
      <calculatedColumnFormula array="1">IF($E15="",0%,(_xlfn.XLOOKUP($E15,Tabla1[[#All],[ID]],Tabla1[[#All],[MgO]])))</calculatedColumnFormula>
    </tableColumn>
    <tableColumn id="19" xr3:uid="{B707DC13-8249-4293-8A41-97C8D1E6FCB4}" name="S" dataDxfId="1920" dataCellStyle="Porcentaje">
      <calculatedColumnFormula array="1">IF($E15="",0%,(_xlfn.XLOOKUP($E15,Tabla1[[#All],[ID]],Tabla1[[#All],[S]])))</calculatedColumnFormula>
    </tableColumn>
    <tableColumn id="20" xr3:uid="{D4522B8F-0456-4BA3-95C3-2F22EE136725}" name="B" dataDxfId="1919" dataCellStyle="Porcentaje">
      <calculatedColumnFormula array="1">IF($E15="",0%,(_xlfn.XLOOKUP($E15,Tabla1[[#All],[ID]],Tabla1[[#All],[B]])))</calculatedColumnFormula>
    </tableColumn>
    <tableColumn id="21" xr3:uid="{E4ABBDC8-18D8-48EA-BA18-DC665F3AD63F}" name="Co" dataDxfId="1918" dataCellStyle="Porcentaje">
      <calculatedColumnFormula array="1">IF($E15="",0%,(_xlfn.XLOOKUP($E15,Tabla1[[#All],[ID]],Tabla1[[#All],[Co]])))</calculatedColumnFormula>
    </tableColumn>
    <tableColumn id="22" xr3:uid="{E2362384-D24E-4B4A-96F3-E3B7AC756586}" name="Cu" dataDxfId="1917" dataCellStyle="Porcentaje">
      <calculatedColumnFormula array="1">IF($E15="",0%,(_xlfn.XLOOKUP($E15,Tabla1[[#All],[ID]],Tabla1[[#All],[Cu]])))</calculatedColumnFormula>
    </tableColumn>
    <tableColumn id="23" xr3:uid="{CCB25A4B-4C17-47D3-AF54-F2A59232D54D}" name="Fe" dataDxfId="1916" dataCellStyle="Porcentaje">
      <calculatedColumnFormula array="1">IF($E15="",0%,(_xlfn.XLOOKUP($E15,Tabla1[[#All],[ID]],Tabla1[[#All],[Fe]])))</calculatedColumnFormula>
    </tableColumn>
    <tableColumn id="24" xr3:uid="{0C3B9899-8367-4C6D-9A99-57DC8D86757E}" name="Mn" dataDxfId="1915" dataCellStyle="Porcentaje">
      <calculatedColumnFormula array="1">IF($E15="",0%,(_xlfn.XLOOKUP($E15,Tabla1[[#All],[ID]],Tabla1[[#All],[Mn]])))</calculatedColumnFormula>
    </tableColumn>
    <tableColumn id="25" xr3:uid="{A0DB3039-D8BD-4CAD-9F75-A4616E10A4CE}" name="Mo" dataDxfId="1914" dataCellStyle="Porcentaje">
      <calculatedColumnFormula array="1">IF($E15="",0%,(_xlfn.XLOOKUP($E15,Tabla1[[#All],[ID]],Tabla1[[#All],[Mo]])))</calculatedColumnFormula>
    </tableColumn>
    <tableColumn id="26" xr3:uid="{E76508D0-E835-4B91-A27B-1DFCE7E1BBA5}" name="SiO2" dataDxfId="1913" dataCellStyle="Porcentaje">
      <calculatedColumnFormula array="1">IF($E15="",0%,(_xlfn.XLOOKUP($E15,Tabla1[[#All],[ID]],Tabla1[[#All],[SiO2]])))</calculatedColumnFormula>
    </tableColumn>
    <tableColumn id="27" xr3:uid="{1BD31BD5-7461-4663-A3A6-63216ED4BF8F}" name="Zn" dataDxfId="1912" dataCellStyle="Porcentaje">
      <calculatedColumnFormula array="1">IF($E15="",0%,(_xlfn.XLOOKUP($E15,Tabla1[[#All],[ID]],Tabla1[[#All],[Zn]])))</calculatedColumnFormula>
    </tableColumn>
    <tableColumn id="28" xr3:uid="{4350A4A5-F12B-477C-BBCE-484112504642}" name="Na" dataDxfId="1911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9EDE52A-FF4C-4CB9-868A-2BAE43A23505}" name="Tabla21213" displayName="Tabla21213" ref="D14:AA23" totalsRowShown="0" headerRowDxfId="1879" dataDxfId="1877" headerRowBorderDxfId="1878" tableBorderDxfId="1876" totalsRowBorderDxfId="1875" dataCellStyle="Porcentaje">
  <autoFilter ref="D14:AA23" xr:uid="{62A12C63-74E9-484A-BEC8-31A82248B89B}"/>
  <tableColumns count="24">
    <tableColumn id="4" xr3:uid="{FE498EC6-986A-4E8E-9C46-B44DA89F2BCF}" name="CODIGO" dataDxfId="1874"/>
    <tableColumn id="29" xr3:uid="{524D51C4-0C8D-4EB1-82D0-DF0E904819A0}" name="MATERIA PRIMA" dataDxfId="1873"/>
    <tableColumn id="5" xr3:uid="{106FED05-84F9-46E2-B389-43F7500DDD1B}" name="CANTIDAD" dataDxfId="1872">
      <calculatedColumnFormula>Tabla21213[[#This Row],[MATERIA PRIMA]]</calculatedColumnFormula>
    </tableColumn>
    <tableColumn id="1" xr3:uid="{DE6D8515-B0E3-4AE3-A894-56A1AAC9F304}" name="Q" dataDxfId="1871">
      <calculatedColumnFormula>Tabla21213[[#This Row],[CANTIDAD]]/10</calculatedColumnFormula>
    </tableColumn>
    <tableColumn id="9" xr3:uid="{71D59D7B-3359-4585-812A-94BCFADE8B18}" name="C" dataDxfId="1870" dataCellStyle="Porcentaje"/>
    <tableColumn id="10" xr3:uid="{DA2BDE18-5B9C-428B-ADD9-5461677BD7AB}" name="N" dataDxfId="1869" dataCellStyle="Porcentaje">
      <calculatedColumnFormula array="1">IF($E15="",0%,_xlfn.XLOOKUP($E15,Tabla1[[#All],[ID]],Tabla1[[#All],[N]]))</calculatedColumnFormula>
    </tableColumn>
    <tableColumn id="11" xr3:uid="{A2456422-FEB3-4B47-8223-4D9548FE7C94}" name="N-NH4" dataDxfId="1868" dataCellStyle="Porcentaje"/>
    <tableColumn id="12" xr3:uid="{73DB4F02-1780-482C-966A-0AF42184B774}" name="N-NO3" dataDxfId="1867" dataCellStyle="Porcentaje"/>
    <tableColumn id="13" xr3:uid="{92CBE301-D080-447F-A74A-2CEAF57D286B}" name="N-org" dataDxfId="1866" dataCellStyle="Porcentaje"/>
    <tableColumn id="14" xr3:uid="{9ABE130C-E93C-4EFA-939A-1B49C887DCE0}" name="N-ur" dataDxfId="1865" dataCellStyle="Porcentaje">
      <calculatedColumnFormula array="1">IF($E15="",0%,(_xlfn.XLOOKUP($E15,Tabla1[[#All],[ID]],Tabla1[[#All],[N-ur]])))</calculatedColumnFormula>
    </tableColumn>
    <tableColumn id="15" xr3:uid="{71CAA2D5-0C5E-41EC-AB9A-0CB8FAFBD2DA}" name="P" dataDxfId="1864" dataCellStyle="Porcentaje">
      <calculatedColumnFormula array="1">IF($E15="",0%,(_xlfn.XLOOKUP($E15,Tabla1[[#All],[ID]],Tabla1[[#All],[P]])))</calculatedColumnFormula>
    </tableColumn>
    <tableColumn id="16" xr3:uid="{DC6DC713-5DF6-4064-83C9-A7739B509F29}" name="K" dataDxfId="1863" dataCellStyle="Porcentaje">
      <calculatedColumnFormula array="1">IF($E15="",0%,(_xlfn.XLOOKUP($E15,Tabla1[[#All],[ID]],Tabla1[[#All],[K]])))</calculatedColumnFormula>
    </tableColumn>
    <tableColumn id="17" xr3:uid="{42D95D67-959B-482A-8150-E4472EB276AA}" name="CaO" dataDxfId="1862" dataCellStyle="Porcentaje">
      <calculatedColumnFormula array="1">IF($E15="",0%,(_xlfn.XLOOKUP($E15,Tabla1[[#All],[ID]],Tabla1[[#All],[CaO]])))</calculatedColumnFormula>
    </tableColumn>
    <tableColumn id="18" xr3:uid="{00A54BE9-337D-42FA-B428-3343B5483BE9}" name="MgO" dataDxfId="1861" dataCellStyle="Porcentaje">
      <calculatedColumnFormula array="1">IF($E15="",0%,(_xlfn.XLOOKUP($E15,Tabla1[[#All],[ID]],Tabla1[[#All],[MgO]])))</calculatedColumnFormula>
    </tableColumn>
    <tableColumn id="19" xr3:uid="{B08345BE-7B38-4E36-AE09-88749B8EC08C}" name="S" dataDxfId="1860" dataCellStyle="Porcentaje">
      <calculatedColumnFormula array="1">IF($E15="",0%,(_xlfn.XLOOKUP($E15,Tabla1[[#All],[ID]],Tabla1[[#All],[S]])))</calculatedColumnFormula>
    </tableColumn>
    <tableColumn id="20" xr3:uid="{27E2BB23-FB82-4FB2-83FF-69ACC8DF4B17}" name="B" dataDxfId="1859" dataCellStyle="Porcentaje">
      <calculatedColumnFormula array="1">IF($E15="",0%,(_xlfn.XLOOKUP($E15,Tabla1[[#All],[ID]],Tabla1[[#All],[B]])))</calculatedColumnFormula>
    </tableColumn>
    <tableColumn id="21" xr3:uid="{34214BE4-313E-4EF4-BA1C-8E2C5079695E}" name="Co" dataDxfId="1858" dataCellStyle="Porcentaje">
      <calculatedColumnFormula array="1">IF($E15="",0%,(_xlfn.XLOOKUP($E15,Tabla1[[#All],[ID]],Tabla1[[#All],[Co]])))</calculatedColumnFormula>
    </tableColumn>
    <tableColumn id="22" xr3:uid="{2187A709-E8CF-4D4B-8B2F-4E19B6A258EE}" name="Cu" dataDxfId="1857" dataCellStyle="Porcentaje">
      <calculatedColumnFormula array="1">IF($E15="",0%,(_xlfn.XLOOKUP($E15,Tabla1[[#All],[ID]],Tabla1[[#All],[Cu]])))</calculatedColumnFormula>
    </tableColumn>
    <tableColumn id="23" xr3:uid="{0A0ABC4C-8011-479C-81ED-B38C4B8A26BE}" name="Fe" dataDxfId="1856" dataCellStyle="Porcentaje">
      <calculatedColumnFormula array="1">IF($E15="",0%,(_xlfn.XLOOKUP($E15,Tabla1[[#All],[ID]],Tabla1[[#All],[Fe]])))</calculatedColumnFormula>
    </tableColumn>
    <tableColumn id="24" xr3:uid="{627BD8DD-D61A-41DF-AC4E-79B526FD4876}" name="Mn" dataDxfId="1855" dataCellStyle="Porcentaje">
      <calculatedColumnFormula array="1">IF($E15="",0%,(_xlfn.XLOOKUP($E15,Tabla1[[#All],[ID]],Tabla1[[#All],[Mn]])))</calculatedColumnFormula>
    </tableColumn>
    <tableColumn id="25" xr3:uid="{10F51230-B4D2-4AC1-A4FC-A67BF6A83FBA}" name="Mo" dataDxfId="1854" dataCellStyle="Porcentaje">
      <calculatedColumnFormula array="1">IF($E15="",0%,(_xlfn.XLOOKUP($E15,Tabla1[[#All],[ID]],Tabla1[[#All],[Mo]])))</calculatedColumnFormula>
    </tableColumn>
    <tableColumn id="26" xr3:uid="{5BBFC1A3-4E3C-40CF-84F7-20C4706ACD3D}" name="SiO2" dataDxfId="1853" dataCellStyle="Porcentaje">
      <calculatedColumnFormula array="1">IF($E15="",0%,(_xlfn.XLOOKUP($E15,Tabla1[[#All],[ID]],Tabla1[[#All],[SiO2]])))</calculatedColumnFormula>
    </tableColumn>
    <tableColumn id="27" xr3:uid="{E3A48751-1A3F-4334-A39E-136B1C880758}" name="Zn" dataDxfId="1852" dataCellStyle="Porcentaje">
      <calculatedColumnFormula array="1">IF($E15="",0%,(_xlfn.XLOOKUP($E15,Tabla1[[#All],[ID]],Tabla1[[#All],[Zn]])))</calculatedColumnFormula>
    </tableColumn>
    <tableColumn id="28" xr3:uid="{EE6AD17E-07DF-40D2-832B-CBED6D42C344}" name="Na" dataDxfId="1851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B21054-C7B0-41AC-8DDE-82FD6F16EB16}" name="Tabla212" displayName="Tabla212" ref="D14:AA23" totalsRowShown="0" headerRowDxfId="1819" dataDxfId="1817" headerRowBorderDxfId="1818" tableBorderDxfId="1816" totalsRowBorderDxfId="1815" dataCellStyle="Porcentaje">
  <autoFilter ref="D14:AA23" xr:uid="{62A12C63-74E9-484A-BEC8-31A82248B89B}"/>
  <tableColumns count="24">
    <tableColumn id="4" xr3:uid="{9C2AB8A2-A603-463E-8043-6668C27FAE33}" name="CODIGO" dataDxfId="1814"/>
    <tableColumn id="29" xr3:uid="{025BBB39-0BFC-41AA-9EEC-AB81041E3045}" name="MATERIA PRIMA" dataDxfId="1813"/>
    <tableColumn id="5" xr3:uid="{FDCE3A87-F1F5-4024-8318-A52942333FFB}" name="CANTIDAD" dataDxfId="1812">
      <calculatedColumnFormula>Tabla212[[#This Row],[MATERIA PRIMA]]</calculatedColumnFormula>
    </tableColumn>
    <tableColumn id="1" xr3:uid="{C74FFB30-5047-4252-A24A-F4A7A7EEF681}" name="Q" dataDxfId="1811">
      <calculatedColumnFormula>Tabla212[[#This Row],[CANTIDAD]]/10</calculatedColumnFormula>
    </tableColumn>
    <tableColumn id="9" xr3:uid="{5817A81E-391B-4E14-A434-F66403730321}" name="C" dataDxfId="1810" dataCellStyle="Porcentaje"/>
    <tableColumn id="10" xr3:uid="{745D3751-9CDA-482A-940F-ADC3B171A646}" name="N" dataDxfId="1809" dataCellStyle="Porcentaje">
      <calculatedColumnFormula array="1">IF($E15="",0%,_xlfn.XLOOKUP($E15,Tabla1[[#All],[ID]],Tabla1[[#All],[N]]))</calculatedColumnFormula>
    </tableColumn>
    <tableColumn id="11" xr3:uid="{E489DC26-F537-4597-A7C4-20B87610CB41}" name="N-NH4" dataDxfId="1808" dataCellStyle="Porcentaje"/>
    <tableColumn id="12" xr3:uid="{A0C65A83-E32B-4BF2-8E9B-D81E80108139}" name="N-NO3" dataDxfId="1807" dataCellStyle="Porcentaje"/>
    <tableColumn id="13" xr3:uid="{ECD83A62-62E0-4A83-BF09-821BDE62934B}" name="N-org" dataDxfId="1806" dataCellStyle="Porcentaje"/>
    <tableColumn id="14" xr3:uid="{BB369BAB-BD2C-4121-A685-41BF510F7F1B}" name="N-ur" dataDxfId="1805" dataCellStyle="Porcentaje">
      <calculatedColumnFormula array="1">IF($E15="",0%,(_xlfn.XLOOKUP($E15,Tabla1[[#All],[ID]],Tabla1[[#All],[N-ur]])))</calculatedColumnFormula>
    </tableColumn>
    <tableColumn id="15" xr3:uid="{330442CB-07CC-414F-96C1-BC924471AD17}" name="P" dataDxfId="1804" dataCellStyle="Porcentaje">
      <calculatedColumnFormula array="1">IF($E15="",0%,(_xlfn.XLOOKUP($E15,Tabla1[[#All],[ID]],Tabla1[[#All],[P]])))</calculatedColumnFormula>
    </tableColumn>
    <tableColumn id="16" xr3:uid="{2C472454-9DEF-4AE9-9FA8-612CE4FD4719}" name="K" dataDxfId="1803" dataCellStyle="Porcentaje">
      <calculatedColumnFormula array="1">IF($E15="",0%,(_xlfn.XLOOKUP($E15,Tabla1[[#All],[ID]],Tabla1[[#All],[K]])))</calculatedColumnFormula>
    </tableColumn>
    <tableColumn id="17" xr3:uid="{B321512E-E0AF-414B-B0EE-10EB5EE9E845}" name="CaO" dataDxfId="1802" dataCellStyle="Porcentaje">
      <calculatedColumnFormula array="1">IF($E15="",0%,(_xlfn.XLOOKUP($E15,Tabla1[[#All],[ID]],Tabla1[[#All],[CaO]])))</calculatedColumnFormula>
    </tableColumn>
    <tableColumn id="18" xr3:uid="{EADDDDDE-6632-4C2A-83A1-549EA1ACBF47}" name="MgO" dataDxfId="1801" dataCellStyle="Porcentaje">
      <calculatedColumnFormula array="1">IF($E15="",0%,(_xlfn.XLOOKUP($E15,Tabla1[[#All],[ID]],Tabla1[[#All],[MgO]])))</calculatedColumnFormula>
    </tableColumn>
    <tableColumn id="19" xr3:uid="{4AF01973-4DF0-44D3-A7D2-57475893C32D}" name="S" dataDxfId="1800" dataCellStyle="Porcentaje">
      <calculatedColumnFormula array="1">IF($E15="",0%,(_xlfn.XLOOKUP($E15,Tabla1[[#All],[ID]],Tabla1[[#All],[S]])))</calculatedColumnFormula>
    </tableColumn>
    <tableColumn id="20" xr3:uid="{58BF8552-3297-49E2-8E9F-398374CA7278}" name="B" dataDxfId="1799" dataCellStyle="Porcentaje">
      <calculatedColumnFormula array="1">IF($E15="",0%,(_xlfn.XLOOKUP($E15,Tabla1[[#All],[ID]],Tabla1[[#All],[B]])))</calculatedColumnFormula>
    </tableColumn>
    <tableColumn id="21" xr3:uid="{101751FE-56A2-4DA5-8F8F-218584F2F746}" name="Co" dataDxfId="1798" dataCellStyle="Porcentaje">
      <calculatedColumnFormula array="1">IF($E15="",0%,(_xlfn.XLOOKUP($E15,Tabla1[[#All],[ID]],Tabla1[[#All],[Co]])))</calculatedColumnFormula>
    </tableColumn>
    <tableColumn id="22" xr3:uid="{84FF01D5-F6DF-4524-903D-65DE21F3DEB3}" name="Cu" dataDxfId="1797" dataCellStyle="Porcentaje">
      <calculatedColumnFormula array="1">IF($E15="",0%,(_xlfn.XLOOKUP($E15,Tabla1[[#All],[ID]],Tabla1[[#All],[Cu]])))</calculatedColumnFormula>
    </tableColumn>
    <tableColumn id="23" xr3:uid="{B62EE692-6428-42F0-8413-34FC910B45F9}" name="Fe" dataDxfId="1796" dataCellStyle="Porcentaje">
      <calculatedColumnFormula array="1">IF($E15="",0%,(_xlfn.XLOOKUP($E15,Tabla1[[#All],[ID]],Tabla1[[#All],[Fe]])))</calculatedColumnFormula>
    </tableColumn>
    <tableColumn id="24" xr3:uid="{164814B9-8D52-47A0-888E-F47D171ED22F}" name="Mn" dataDxfId="1795" dataCellStyle="Porcentaje">
      <calculatedColumnFormula array="1">IF($E15="",0%,(_xlfn.XLOOKUP($E15,Tabla1[[#All],[ID]],Tabla1[[#All],[Mn]])))</calculatedColumnFormula>
    </tableColumn>
    <tableColumn id="25" xr3:uid="{065FDD61-90B9-4AED-8EF7-143A5B8F1F78}" name="Mo" dataDxfId="1794" dataCellStyle="Porcentaje">
      <calculatedColumnFormula array="1">IF($E15="",0%,(_xlfn.XLOOKUP($E15,Tabla1[[#All],[ID]],Tabla1[[#All],[Mo]])))</calculatedColumnFormula>
    </tableColumn>
    <tableColumn id="26" xr3:uid="{1C4E9422-9591-4753-8600-6506E55613EA}" name="SiO2" dataDxfId="1793" dataCellStyle="Porcentaje">
      <calculatedColumnFormula array="1">IF($E15="",0%,(_xlfn.XLOOKUP($E15,Tabla1[[#All],[ID]],Tabla1[[#All],[SiO2]])))</calculatedColumnFormula>
    </tableColumn>
    <tableColumn id="27" xr3:uid="{1060E90B-A598-4FD6-94B9-B6977C885093}" name="Zn" dataDxfId="1792" dataCellStyle="Porcentaje">
      <calculatedColumnFormula array="1">IF($E15="",0%,(_xlfn.XLOOKUP($E15,Tabla1[[#All],[ID]],Tabla1[[#All],[Zn]])))</calculatedColumnFormula>
    </tableColumn>
    <tableColumn id="28" xr3:uid="{E5F5D5F0-CEE3-4ACB-B39E-B58BB6C7B92C}" name="Na" dataDxfId="1791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C39C6D8-3740-4FBB-95F5-F5379A734342}" name="Tabla214" displayName="Tabla214" ref="D15:AA24" totalsRowShown="0" headerRowDxfId="1759" dataDxfId="1757" headerRowBorderDxfId="1758" tableBorderDxfId="1756" totalsRowBorderDxfId="1755" dataCellStyle="Porcentaje">
  <autoFilter ref="D15:AA24" xr:uid="{62A12C63-74E9-484A-BEC8-31A82248B89B}"/>
  <tableColumns count="24">
    <tableColumn id="4" xr3:uid="{151F61FB-7089-42FE-A259-18D66B5D75C6}" name="CODIGO" dataDxfId="1754"/>
    <tableColumn id="29" xr3:uid="{5800592A-CD37-4E63-B0AD-EAA0DD47733E}" name="MATERIA PRIMA" dataDxfId="1753"/>
    <tableColumn id="5" xr3:uid="{099BB9C8-EA5F-4ABB-84CA-B1245EE1A734}" name="CANTIDAD" dataDxfId="1752">
      <calculatedColumnFormula>Tabla214[[#This Row],[MATERIA PRIMA]]</calculatedColumnFormula>
    </tableColumn>
    <tableColumn id="1" xr3:uid="{FD87AAB2-B695-4E99-8D77-21C8EA80D1EC}" name="Q" dataDxfId="1751">
      <calculatedColumnFormula>Tabla214[[#This Row],[CANTIDAD]]/10</calculatedColumnFormula>
    </tableColumn>
    <tableColumn id="9" xr3:uid="{8B64C4DC-D703-4A05-86CD-20DD9358FAAA}" name="C" dataDxfId="1750" dataCellStyle="Porcentaje"/>
    <tableColumn id="10" xr3:uid="{FA9E210C-7A67-4423-8604-81C2AF75B722}" name="N" dataDxfId="1749" dataCellStyle="Porcentaje">
      <calculatedColumnFormula array="1">IF($E16="",0%,_xlfn.XLOOKUP($E16,Tabla1[[#All],[ID]],Tabla1[[#All],[N]]))</calculatedColumnFormula>
    </tableColumn>
    <tableColumn id="11" xr3:uid="{E0CC1DBF-0188-41D5-96D2-3ABAA272D32D}" name="N-NH4" dataDxfId="1748" dataCellStyle="Porcentaje"/>
    <tableColumn id="12" xr3:uid="{A359E6BD-E00D-4594-B495-E5689135517D}" name="N-NO3" dataDxfId="1747" dataCellStyle="Porcentaje"/>
    <tableColumn id="13" xr3:uid="{B0368F19-8A69-4A3F-B399-27FCE02A28E0}" name="N-org" dataDxfId="1746" dataCellStyle="Porcentaje"/>
    <tableColumn id="14" xr3:uid="{5844F917-D239-4ACD-9D3C-93BC02BD9C63}" name="N-ur" dataDxfId="1745" dataCellStyle="Porcentaje">
      <calculatedColumnFormula array="1">IF($E16="",0%,(_xlfn.XLOOKUP($E16,Tabla1[[#All],[ID]],Tabla1[[#All],[N-ur]])))</calculatedColumnFormula>
    </tableColumn>
    <tableColumn id="15" xr3:uid="{BD2DC867-B19D-432A-9745-26DFBE42A5AC}" name="P" dataDxfId="1744" dataCellStyle="Porcentaje">
      <calculatedColumnFormula array="1">IF($E16="",0%,(_xlfn.XLOOKUP($E16,Tabla1[[#All],[ID]],Tabla1[[#All],[P]])))</calculatedColumnFormula>
    </tableColumn>
    <tableColumn id="16" xr3:uid="{8ABED1B8-64C3-449C-80DA-A6679A850584}" name="K" dataDxfId="1743" dataCellStyle="Porcentaje">
      <calculatedColumnFormula array="1">IF($E16="",0%,(_xlfn.XLOOKUP($E16,Tabla1[[#All],[ID]],Tabla1[[#All],[K]])))</calculatedColumnFormula>
    </tableColumn>
    <tableColumn id="17" xr3:uid="{B163F12D-CB52-48DA-9AA8-CC53141CC317}" name="CaO" dataDxfId="1742" dataCellStyle="Porcentaje">
      <calculatedColumnFormula array="1">IF($E16="",0%,(_xlfn.XLOOKUP($E16,Tabla1[[#All],[ID]],Tabla1[[#All],[CaO]])))</calculatedColumnFormula>
    </tableColumn>
    <tableColumn id="18" xr3:uid="{ACF19507-0F95-40EA-A49E-BF32987B0AC8}" name="MgO" dataDxfId="1741" dataCellStyle="Porcentaje">
      <calculatedColumnFormula array="1">IF($E16="",0%,(_xlfn.XLOOKUP($E16,Tabla1[[#All],[ID]],Tabla1[[#All],[MgO]])))</calculatedColumnFormula>
    </tableColumn>
    <tableColumn id="19" xr3:uid="{C3317829-400F-40E6-A259-8A1B0213C295}" name="S" dataDxfId="1740" dataCellStyle="Porcentaje">
      <calculatedColumnFormula array="1">IF($E16="",0%,(_xlfn.XLOOKUP($E16,Tabla1[[#All],[ID]],Tabla1[[#All],[S]])))</calculatedColumnFormula>
    </tableColumn>
    <tableColumn id="20" xr3:uid="{E6478232-BCE9-4E01-904C-54106793A392}" name="B" dataDxfId="1739" dataCellStyle="Porcentaje">
      <calculatedColumnFormula array="1">IF($E16="",0%,(_xlfn.XLOOKUP($E16,Tabla1[[#All],[ID]],Tabla1[[#All],[B]])))</calculatedColumnFormula>
    </tableColumn>
    <tableColumn id="21" xr3:uid="{26D7003C-287E-4B90-B042-7CB7847ED98C}" name="Co" dataDxfId="1738" dataCellStyle="Porcentaje">
      <calculatedColumnFormula array="1">IF($E16="",0%,(_xlfn.XLOOKUP($E16,Tabla1[[#All],[ID]],Tabla1[[#All],[Co]])))</calculatedColumnFormula>
    </tableColumn>
    <tableColumn id="22" xr3:uid="{989059B1-4B64-428E-9D75-2246EEC0DD58}" name="Cu" dataDxfId="1737" dataCellStyle="Porcentaje">
      <calculatedColumnFormula array="1">IF($E16="",0%,(_xlfn.XLOOKUP($E16,Tabla1[[#All],[ID]],Tabla1[[#All],[Cu]])))</calculatedColumnFormula>
    </tableColumn>
    <tableColumn id="23" xr3:uid="{68188E0F-45A1-4120-B6DA-B0A6F383B9EA}" name="Fe" dataDxfId="1736" dataCellStyle="Porcentaje">
      <calculatedColumnFormula array="1">IF($E16="",0%,(_xlfn.XLOOKUP($E16,Tabla1[[#All],[ID]],Tabla1[[#All],[Fe]])))</calculatedColumnFormula>
    </tableColumn>
    <tableColumn id="24" xr3:uid="{026F7764-59CD-4524-881E-5608E09AFAC1}" name="Mn" dataDxfId="1735" dataCellStyle="Porcentaje">
      <calculatedColumnFormula array="1">IF($E16="",0%,(_xlfn.XLOOKUP($E16,Tabla1[[#All],[ID]],Tabla1[[#All],[Mn]])))</calculatedColumnFormula>
    </tableColumn>
    <tableColumn id="25" xr3:uid="{E12E6E78-02C0-44CD-8AB6-19E9F4CA3B2E}" name="Mo" dataDxfId="1734" dataCellStyle="Porcentaje">
      <calculatedColumnFormula array="1">IF($E16="",0%,(_xlfn.XLOOKUP($E16,Tabla1[[#All],[ID]],Tabla1[[#All],[Mo]])))</calculatedColumnFormula>
    </tableColumn>
    <tableColumn id="26" xr3:uid="{9BC912B0-C49C-4F7B-A922-59C899DC467F}" name="SiO2" dataDxfId="1733" dataCellStyle="Porcentaje">
      <calculatedColumnFormula array="1">IF($E16="",0%,(_xlfn.XLOOKUP($E16,Tabla1[[#All],[ID]],Tabla1[[#All],[SiO2]])))</calculatedColumnFormula>
    </tableColumn>
    <tableColumn id="27" xr3:uid="{46938D7C-EDC9-4933-9B78-D9F1931B6A2A}" name="Zn" dataDxfId="1732" dataCellStyle="Porcentaje">
      <calculatedColumnFormula array="1">IF($E16="",0%,(_xlfn.XLOOKUP($E16,Tabla1[[#All],[ID]],Tabla1[[#All],[Zn]])))</calculatedColumnFormula>
    </tableColumn>
    <tableColumn id="28" xr3:uid="{C61E14FA-C52A-4E21-BD87-8297EB821892}" name="Na" dataDxfId="1731" dataCellStyle="Porcentaje">
      <calculatedColumnFormula array="1">IF($E16="",0%,(_xlfn.XLOOKUP($E16,Tabla1[[#All],[ID]],Tabla1[[#All],[Na]])))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12C63-74E9-484A-BEC8-31A82248B89B}" name="Tabla2" displayName="Tabla2" ref="D15:AA24" totalsRowShown="0" headerRowDxfId="1699" dataDxfId="1697" headerRowBorderDxfId="1698" tableBorderDxfId="1696" totalsRowBorderDxfId="1695" dataCellStyle="Porcentaje">
  <autoFilter ref="D15:AA24" xr:uid="{62A12C63-74E9-484A-BEC8-31A82248B89B}"/>
  <tableColumns count="24">
    <tableColumn id="4" xr3:uid="{B7602231-6E65-4538-9F7C-5D157CE62330}" name="CODIGO" dataDxfId="1694"/>
    <tableColumn id="29" xr3:uid="{E6A2DA17-11A0-4158-8395-7190900EBBC0}" name="MATERIA PRIMA" dataDxfId="1693"/>
    <tableColumn id="5" xr3:uid="{540449A6-1464-42B9-A27D-AAEC0EF88235}" name="CANTIDAD" dataDxfId="1692">
      <calculatedColumnFormula>Tabla2[[#This Row],[MATERIA PRIMA]]</calculatedColumnFormula>
    </tableColumn>
    <tableColumn id="1" xr3:uid="{6C977F60-C772-438A-933A-C7C2EE89B02C}" name="Q" dataDxfId="1691">
      <calculatedColumnFormula>Tabla2[[#This Row],[CANTIDAD]]/10</calculatedColumnFormula>
    </tableColumn>
    <tableColumn id="9" xr3:uid="{0713BF43-B61F-4CE4-BD3C-272CFEC80F22}" name="C" dataDxfId="1690" dataCellStyle="Porcentaje"/>
    <tableColumn id="10" xr3:uid="{022D4959-9B4D-4A15-A690-B3527E26F24F}" name="N" dataDxfId="1689" dataCellStyle="Porcentaje"/>
    <tableColumn id="11" xr3:uid="{8CA38D26-E6DE-4A52-84CD-3EF70BC7D163}" name="N-NH4" dataDxfId="1688" dataCellStyle="Porcentaje"/>
    <tableColumn id="12" xr3:uid="{F51E6F4E-0FE4-4F8C-A380-128971E65679}" name="N-NO3" dataDxfId="1687" dataCellStyle="Porcentaje"/>
    <tableColumn id="13" xr3:uid="{48E43279-2C2A-4DB0-9D54-29C93BC6F0BB}" name="N-org" dataDxfId="1686" dataCellStyle="Porcentaje"/>
    <tableColumn id="14" xr3:uid="{D107125F-10BB-4406-A840-0AA9C446B60E}" name="N-ur" dataDxfId="1685" dataCellStyle="Porcentaje"/>
    <tableColumn id="15" xr3:uid="{66340E0A-D209-4024-8ECC-CEFD73880F1F}" name="P" dataDxfId="1684" dataCellStyle="Porcentaje"/>
    <tableColumn id="16" xr3:uid="{3BDCAC8B-1652-413A-9515-F5EF736CC2B4}" name="K" dataDxfId="1683" dataCellStyle="Porcentaje"/>
    <tableColumn id="17" xr3:uid="{F9177BBE-6025-482E-AA84-56C79179E1A7}" name="CaO" dataDxfId="1682" dataCellStyle="Porcentaje"/>
    <tableColumn id="18" xr3:uid="{BFDA338F-9C1A-42DD-A4ED-2D4A40619A57}" name="MgO" dataDxfId="1681" dataCellStyle="Porcentaje"/>
    <tableColumn id="19" xr3:uid="{87F47866-B82D-439D-8963-39E140B6C9D1}" name="S" dataDxfId="1680" dataCellStyle="Porcentaje"/>
    <tableColumn id="20" xr3:uid="{A70B0358-1580-4485-8CCA-79107C27C9B8}" name="B" dataDxfId="1679" dataCellStyle="Porcentaje"/>
    <tableColumn id="21" xr3:uid="{E720F384-33FA-454E-B7CF-DBBF068817BD}" name="Co" dataDxfId="1678" dataCellStyle="Porcentaje"/>
    <tableColumn id="22" xr3:uid="{FDB523D5-0DFC-4EB4-884A-2C25CA1BF4CC}" name="Cu" dataDxfId="1677" dataCellStyle="Porcentaje"/>
    <tableColumn id="23" xr3:uid="{A93D6A76-240C-41F4-82D2-A0A36056CF2B}" name="Fe" dataDxfId="1676" dataCellStyle="Porcentaje"/>
    <tableColumn id="24" xr3:uid="{D02B7709-A32F-4E7D-B93C-EF678E972482}" name="Mn" dataDxfId="1675" dataCellStyle="Porcentaje"/>
    <tableColumn id="25" xr3:uid="{7AA161CC-9571-4C90-AA67-CA5384121248}" name="Mo" dataDxfId="1674" dataCellStyle="Porcentaje"/>
    <tableColumn id="26" xr3:uid="{57A62632-149A-49E0-9BA1-D01932B680A0}" name="SiO2" dataDxfId="1673" dataCellStyle="Porcentaje"/>
    <tableColumn id="27" xr3:uid="{E1038EC9-845A-461E-92B3-998C520E764D}" name="Zn" dataDxfId="1672" dataCellStyle="Porcentaje"/>
    <tableColumn id="28" xr3:uid="{FA3B2F4F-5D8B-44E7-9C55-BA3609268084}" name="Na" dataDxfId="1671" dataCellStyle="Porcentaj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701D0F-3C72-40ED-B918-61E9DEF0164F}" name="Tabla24" displayName="Tabla24" ref="B34:Y43" totalsRowShown="0">
  <autoFilter ref="B34:Y43" xr:uid="{99701D0F-3C72-40ED-B918-61E9DEF0164F}"/>
  <tableColumns count="24">
    <tableColumn id="4" xr3:uid="{D2EEF439-686E-40EB-9AAC-418554F60B76}" name="MATERIA PRIMA">
      <calculatedColumnFormula>IF(OR('Verificación de Formulación'!E16="",'Verificación de Formulación'!E16=0),"",'Verificación de Formulación'!E16)</calculatedColumnFormula>
    </tableColumn>
    <tableColumn id="29" xr3:uid="{EDC6014A-DDB1-4726-A4D9-58BFB45EF422}" name="CANTIDAD" dataDxfId="1670">
      <calculatedColumnFormula>IF(OR('Verificación de Formulación'!F16="",'Verificación de Formulación'!F16=0),"",'Verificación de Formulación'!F16)</calculatedColumnFormula>
    </tableColumn>
    <tableColumn id="5" xr3:uid="{ED58A8AC-1FB8-4374-95BF-2AE9BFC90D07}" name="Q" dataDxfId="1669">
      <calculatedColumnFormula>IF(OR('Verificación de Formulación'!G16="",'Verificación de Formulación'!G16=0),"",'Verificación de Formulación'!G16)</calculatedColumnFormula>
    </tableColumn>
    <tableColumn id="1" xr3:uid="{868FB4DE-DDC7-430F-9F86-30745902B4B8}" name="NPK" dataDxfId="1668"/>
    <tableColumn id="9" xr3:uid="{4C59EAF4-5E91-4DF2-BDD6-76951563C8CB}" name="C" dataDxfId="1667" dataCellStyle="Porcentaje">
      <calculatedColumnFormula>IF(OR('Verificación de Formulación'!H16="",'Verificación de Formulación'!H16=0),"",'Verificación de Formulación'!H16)</calculatedColumnFormula>
    </tableColumn>
    <tableColumn id="10" xr3:uid="{839A788F-5F29-41BB-9E22-21694476312D}" name="N" dataDxfId="1666" dataCellStyle="Porcentaje">
      <calculatedColumnFormula>IF(OR('Verificación de Formulación'!I16="",'Verificación de Formulación'!I16=0),"",'Verificación de Formulación'!I16)</calculatedColumnFormula>
    </tableColumn>
    <tableColumn id="11" xr3:uid="{49A9323E-4768-405C-A3B5-DFA8A29F3275}" name="N-NH4" dataDxfId="1665" dataCellStyle="Porcentaje">
      <calculatedColumnFormula>IF(OR('Verificación de Formulación'!J16="",'Verificación de Formulación'!J16=0),"",'Verificación de Formulación'!J16)</calculatedColumnFormula>
    </tableColumn>
    <tableColumn id="12" xr3:uid="{0FB1311E-1FD2-4E7A-892C-ADCCD40130C3}" name="N-NO3" dataDxfId="1664" dataCellStyle="Porcentaje">
      <calculatedColumnFormula>IF(OR('Verificación de Formulación'!K16="",'Verificación de Formulación'!K16=0),"",'Verificación de Formulación'!K16)</calculatedColumnFormula>
    </tableColumn>
    <tableColumn id="13" xr3:uid="{C5D9270B-268F-49BC-89C0-3C98E25CC589}" name="N-org" dataDxfId="1663" dataCellStyle="Porcentaje">
      <calculatedColumnFormula>IF(OR('Verificación de Formulación'!L16="",'Verificación de Formulación'!L16=0),"",'Verificación de Formulación'!L16)</calculatedColumnFormula>
    </tableColumn>
    <tableColumn id="14" xr3:uid="{4605C7B8-001B-4314-94FB-61D3369859FE}" name="N-ur" dataDxfId="1662" dataCellStyle="Porcentaje">
      <calculatedColumnFormula>IF(OR('Verificación de Formulación'!M16="",'Verificación de Formulación'!M16=0),"",'Verificación de Formulación'!M16)</calculatedColumnFormula>
    </tableColumn>
    <tableColumn id="15" xr3:uid="{CAF871ED-87CE-4F9C-9380-8CA548DE7478}" name="P" dataDxfId="1661" dataCellStyle="Porcentaje">
      <calculatedColumnFormula>IF(OR('Verificación de Formulación'!N16="",'Verificación de Formulación'!N16=0),"",'Verificación de Formulación'!N16)</calculatedColumnFormula>
    </tableColumn>
    <tableColumn id="16" xr3:uid="{EF0C7D9F-E677-41D9-AF7F-0368AC613531}" name="K" dataDxfId="1660" dataCellStyle="Porcentaje">
      <calculatedColumnFormula>IF(OR('Verificación de Formulación'!O16="",'Verificación de Formulación'!O16=0),"",'Verificación de Formulación'!O16)</calculatedColumnFormula>
    </tableColumn>
    <tableColumn id="17" xr3:uid="{C6B031E2-219E-4055-AE0D-C606F8B825E1}" name="CaO" dataDxfId="1659" dataCellStyle="Porcentaje">
      <calculatedColumnFormula>IF(OR('Verificación de Formulación'!P16="",'Verificación de Formulación'!P16=0),"",'Verificación de Formulación'!P16)</calculatedColumnFormula>
    </tableColumn>
    <tableColumn id="18" xr3:uid="{17FE04B1-5615-4B68-8806-0AE9CBF5272C}" name="MgO" dataDxfId="1658" dataCellStyle="Porcentaje">
      <calculatedColumnFormula>IF(OR('Verificación de Formulación'!Q16="",'Verificación de Formulación'!Q16=0),"",'Verificación de Formulación'!Q16)</calculatedColumnFormula>
    </tableColumn>
    <tableColumn id="19" xr3:uid="{D165C8C3-E917-4B58-B808-BFAB09429F0F}" name="S" dataDxfId="1657" dataCellStyle="Porcentaje">
      <calculatedColumnFormula>IF(OR('Verificación de Formulación'!R16="",'Verificación de Formulación'!R16=0),"",'Verificación de Formulación'!R16)</calculatedColumnFormula>
    </tableColumn>
    <tableColumn id="20" xr3:uid="{D63FE077-118D-44E9-814C-EA8E0FDC6390}" name="B" dataDxfId="1656" dataCellStyle="Porcentaje">
      <calculatedColumnFormula>IF(OR('Verificación de Formulación'!S16="",'Verificación de Formulación'!S16=0),"",'Verificación de Formulación'!S16)</calculatedColumnFormula>
    </tableColumn>
    <tableColumn id="21" xr3:uid="{F0AC49B3-D200-46F7-9866-90FFB035C1C0}" name="Co" dataDxfId="1655" dataCellStyle="Porcentaje">
      <calculatedColumnFormula>IF(OR('Verificación de Formulación'!T16="",'Verificación de Formulación'!T16=0),"",'Verificación de Formulación'!T16)</calculatedColumnFormula>
    </tableColumn>
    <tableColumn id="22" xr3:uid="{609A9AB9-B288-4D3D-ADA5-CBB72173EC09}" name="Cu" dataDxfId="1654" dataCellStyle="Porcentaje">
      <calculatedColumnFormula>IF(OR('Verificación de Formulación'!U16="",'Verificación de Formulación'!U16=0),"",'Verificación de Formulación'!U16)</calculatedColumnFormula>
    </tableColumn>
    <tableColumn id="23" xr3:uid="{C18D3986-CFAE-4AA3-B9C0-7D058391F63B}" name="Fe" dataDxfId="1653" dataCellStyle="Porcentaje">
      <calculatedColumnFormula>IF(OR('Verificación de Formulación'!V16="",'Verificación de Formulación'!V16=0),"",'Verificación de Formulación'!V16)</calculatedColumnFormula>
    </tableColumn>
    <tableColumn id="24" xr3:uid="{BACFB262-B5A4-421A-AF0A-5B4EA891CF0B}" name="Mn" dataDxfId="1652" dataCellStyle="Porcentaje">
      <calculatedColumnFormula>IF(OR('Verificación de Formulación'!W16="",'Verificación de Formulación'!W16=0),"",'Verificación de Formulación'!W16)</calculatedColumnFormula>
    </tableColumn>
    <tableColumn id="25" xr3:uid="{4D16BF49-B6FD-41ED-8482-655D4CD03161}" name="Mo" dataDxfId="1651" dataCellStyle="Porcentaje">
      <calculatedColumnFormula>IF(OR('Verificación de Formulación'!X16="",'Verificación de Formulación'!X16=0),"",'Verificación de Formulación'!X16)</calculatedColumnFormula>
    </tableColumn>
    <tableColumn id="26" xr3:uid="{DD6FFE31-36A1-4225-81FF-AF917F9DB2E8}" name="SiO2" dataDxfId="1650" dataCellStyle="Porcentaje">
      <calculatedColumnFormula>IF(OR('Verificación de Formulación'!Y16="",'Verificación de Formulación'!Y16=0),"",'Verificación de Formulación'!Y16)</calculatedColumnFormula>
    </tableColumn>
    <tableColumn id="27" xr3:uid="{0C9E7490-88F0-4C0D-BC80-D50B2082423D}" name="Zn" dataDxfId="1649" dataCellStyle="Porcentaje">
      <calculatedColumnFormula>IF(OR('Verificación de Formulación'!Z16="",'Verificación de Formulación'!Z16=0),"",'Verificación de Formulación'!Z16)</calculatedColumnFormula>
    </tableColumn>
    <tableColumn id="28" xr3:uid="{E8C986DD-B89B-4757-9EBD-F78F1FAE83CE}" name="Na" dataDxfId="1648" dataCellStyle="Porcentaje">
      <calculatedColumnFormula>IF(OR('Verificación de Formulación'!AA16="",'Verificación de Formulación'!AA16=0),"",'Verificación de Formulación'!AA16)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615AD9-0FFC-453A-BEEA-573918579275}" name="Tabla25" displayName="Tabla25" ref="D14:AA23" totalsRowShown="0" headerRowDxfId="720" dataDxfId="718" headerRowBorderDxfId="719" tableBorderDxfId="717" totalsRowBorderDxfId="716" dataCellStyle="Porcentaje">
  <autoFilter ref="D14:AA23" xr:uid="{62A12C63-74E9-484A-BEC8-31A82248B89B}"/>
  <tableColumns count="24">
    <tableColumn id="4" xr3:uid="{440A6B6E-EF0F-4BC1-A2A6-C40FD3D17198}" name="CODIGO" dataDxfId="715"/>
    <tableColumn id="29" xr3:uid="{3987B02E-8D61-40B5-9F7B-C35163C370D3}" name="MATERIA PRIMA" dataDxfId="714"/>
    <tableColumn id="5" xr3:uid="{646C1631-5C67-4062-95FC-E2C3B0693EEE}" name="CANTIDAD" dataDxfId="713">
      <calculatedColumnFormula>Tabla25[[#This Row],[MATERIA PRIMA]]</calculatedColumnFormula>
    </tableColumn>
    <tableColumn id="1" xr3:uid="{B0A8492F-2A94-4A48-9218-ACB19E98296B}" name="Q" dataDxfId="712">
      <calculatedColumnFormula>Tabla25[[#This Row],[CANTIDAD]]/10</calculatedColumnFormula>
    </tableColumn>
    <tableColumn id="9" xr3:uid="{E888FA36-6985-442C-8474-4FD62700C663}" name="C" dataDxfId="711" dataCellStyle="Porcentaje"/>
    <tableColumn id="10" xr3:uid="{4796E435-D1B2-4FA2-8B0F-64B79B2D8ED4}" name="N" dataDxfId="710" dataCellStyle="Porcentaje">
      <calculatedColumnFormula array="1">IF($E15="",0%,_xlfn.XLOOKUP($E15,Tabla1[[#All],[ID]],Tabla1[[#All],[N]]))</calculatedColumnFormula>
    </tableColumn>
    <tableColumn id="11" xr3:uid="{A29CAD72-D850-4291-9A7A-A3BF2AB9EEC0}" name="N-NH4" dataDxfId="709" dataCellStyle="Porcentaje"/>
    <tableColumn id="12" xr3:uid="{1157C7FF-17FB-41CE-B3F9-E877DF20985B}" name="N-NO3" dataDxfId="708" dataCellStyle="Porcentaje"/>
    <tableColumn id="13" xr3:uid="{FEB18758-8024-4CA7-88C0-34E06810A22E}" name="N-org" dataDxfId="707" dataCellStyle="Porcentaje"/>
    <tableColumn id="14" xr3:uid="{F5875128-E2EA-44D4-A3F7-3A4FFB90D279}" name="N-ur" dataDxfId="706" dataCellStyle="Porcentaje">
      <calculatedColumnFormula array="1">IF($E15="",0%,(_xlfn.XLOOKUP($E15,Tabla1[[#All],[ID]],Tabla1[[#All],[N-ur]])))</calculatedColumnFormula>
    </tableColumn>
    <tableColumn id="15" xr3:uid="{FFA41A45-0F47-43D1-9D5B-39811EB35425}" name="P" dataDxfId="705" dataCellStyle="Porcentaje">
      <calculatedColumnFormula array="1">IF($E15="",0%,(_xlfn.XLOOKUP($E15,Tabla1[[#All],[ID]],Tabla1[[#All],[P]])))</calculatedColumnFormula>
    </tableColumn>
    <tableColumn id="16" xr3:uid="{06F7D76D-3182-4A36-AFEA-A23831C08E99}" name="K" dataDxfId="704" dataCellStyle="Porcentaje">
      <calculatedColumnFormula array="1">IF($E15="",0%,(_xlfn.XLOOKUP($E15,Tabla1[[#All],[ID]],Tabla1[[#All],[K]])))</calculatedColumnFormula>
    </tableColumn>
    <tableColumn id="17" xr3:uid="{4855250F-F7C9-4ECE-A329-BE830EF9B065}" name="CaO" dataDxfId="703" dataCellStyle="Porcentaje">
      <calculatedColumnFormula array="1">IF($E15="",0%,(_xlfn.XLOOKUP($E15,Tabla1[[#All],[ID]],Tabla1[[#All],[CaO]])))</calculatedColumnFormula>
    </tableColumn>
    <tableColumn id="18" xr3:uid="{F959D529-9ABD-4EDC-B74F-32F9F002C178}" name="MgO" dataDxfId="702" dataCellStyle="Porcentaje">
      <calculatedColumnFormula array="1">IF($E15="",0%,(_xlfn.XLOOKUP($E15,Tabla1[[#All],[ID]],Tabla1[[#All],[MgO]])))</calculatedColumnFormula>
    </tableColumn>
    <tableColumn id="19" xr3:uid="{978C886E-33E1-475F-8171-A6F359B76016}" name="S" dataDxfId="701" dataCellStyle="Porcentaje">
      <calculatedColumnFormula array="1">IF($E15="",0%,(_xlfn.XLOOKUP($E15,Tabla1[[#All],[ID]],Tabla1[[#All],[S]])))</calculatedColumnFormula>
    </tableColumn>
    <tableColumn id="20" xr3:uid="{DDB9F4B3-E609-4FB7-86FE-21FA7EC497E3}" name="B" dataDxfId="700" dataCellStyle="Porcentaje">
      <calculatedColumnFormula array="1">IF($E15="",0%,(_xlfn.XLOOKUP($E15,Tabla1[[#All],[ID]],Tabla1[[#All],[B]])))</calculatedColumnFormula>
    </tableColumn>
    <tableColumn id="21" xr3:uid="{2F883B7F-4BB6-48C5-B675-984CEA9FFAE2}" name="Co" dataDxfId="699" dataCellStyle="Porcentaje">
      <calculatedColumnFormula array="1">IF($E15="",0%,(_xlfn.XLOOKUP($E15,Tabla1[[#All],[ID]],Tabla1[[#All],[Co]])))</calculatedColumnFormula>
    </tableColumn>
    <tableColumn id="22" xr3:uid="{E573D112-31C6-4EE5-AEC9-8A19716BEDA1}" name="Cu" dataDxfId="698" dataCellStyle="Porcentaje">
      <calculatedColumnFormula array="1">IF($E15="",0%,(_xlfn.XLOOKUP($E15,Tabla1[[#All],[ID]],Tabla1[[#All],[Cu]])))</calculatedColumnFormula>
    </tableColumn>
    <tableColumn id="23" xr3:uid="{7C2F9C21-881F-4010-BBDE-D4B669959F8A}" name="Fe" dataDxfId="697" dataCellStyle="Porcentaje">
      <calculatedColumnFormula array="1">IF($E15="",0%,(_xlfn.XLOOKUP($E15,Tabla1[[#All],[ID]],Tabla1[[#All],[Fe]])))</calculatedColumnFormula>
    </tableColumn>
    <tableColumn id="24" xr3:uid="{5FA4F7A6-64F1-4106-A6A0-8353E023132B}" name="Mn" dataDxfId="696" dataCellStyle="Porcentaje">
      <calculatedColumnFormula array="1">IF($E15="",0%,(_xlfn.XLOOKUP($E15,Tabla1[[#All],[ID]],Tabla1[[#All],[Mn]])))</calculatedColumnFormula>
    </tableColumn>
    <tableColumn id="25" xr3:uid="{D435FA08-54EA-4CFB-8E94-57684F1B0F9F}" name="Mo" dataDxfId="695" dataCellStyle="Porcentaje">
      <calculatedColumnFormula array="1">IF($E15="",0%,(_xlfn.XLOOKUP($E15,Tabla1[[#All],[ID]],Tabla1[[#All],[Mo]])))</calculatedColumnFormula>
    </tableColumn>
    <tableColumn id="26" xr3:uid="{5BC23227-8A5F-443B-8C9B-82A7FCB53B20}" name="SiO2" dataDxfId="694" dataCellStyle="Porcentaje">
      <calculatedColumnFormula array="1">IF($E15="",0%,(_xlfn.XLOOKUP($E15,Tabla1[[#All],[ID]],Tabla1[[#All],[SiO2]])))</calculatedColumnFormula>
    </tableColumn>
    <tableColumn id="27" xr3:uid="{F4006425-EB2D-4394-8327-A6C24F1675E6}" name="Zn" dataDxfId="693" dataCellStyle="Porcentaje">
      <calculatedColumnFormula array="1">IF($E15="",0%,(_xlfn.XLOOKUP($E15,Tabla1[[#All],[ID]],Tabla1[[#All],[Zn]])))</calculatedColumnFormula>
    </tableColumn>
    <tableColumn id="28" xr3:uid="{1345643A-6DBE-46F8-B13A-E46219766E3A}" name="Na" dataDxfId="692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7C0395-9A27-4D20-B110-E7F4C2ACA5CB}" name="Tabla26" displayName="Tabla26" ref="D14:AA23" totalsRowShown="0" headerRowDxfId="404" dataDxfId="402" headerRowBorderDxfId="403" tableBorderDxfId="401" totalsRowBorderDxfId="400" dataCellStyle="Porcentaje">
  <autoFilter ref="D14:AA23" xr:uid="{62A12C63-74E9-484A-BEC8-31A82248B89B}"/>
  <tableColumns count="24">
    <tableColumn id="4" xr3:uid="{2E30E45D-4777-4B3C-952C-C4DF787799E4}" name="CODIGO" dataDxfId="399"/>
    <tableColumn id="29" xr3:uid="{2E9B9656-1C9D-4663-BF3D-A936D1310ABF}" name="MATERIA PRIMA" dataDxfId="398"/>
    <tableColumn id="5" xr3:uid="{01438E0E-155F-462E-AD97-B0E6729BCCB6}" name="CANTIDAD" dataDxfId="397">
      <calculatedColumnFormula>Tabla26[[#This Row],[MATERIA PRIMA]]</calculatedColumnFormula>
    </tableColumn>
    <tableColumn id="1" xr3:uid="{BBF79B68-6512-4636-8A07-D5CD8A50134D}" name="Q" dataDxfId="396">
      <calculatedColumnFormula>Tabla26[[#This Row],[CANTIDAD]]/10</calculatedColumnFormula>
    </tableColumn>
    <tableColumn id="9" xr3:uid="{8DC09EFF-D9BB-44A9-8EAE-E630D4A7073D}" name="C" dataDxfId="395" dataCellStyle="Porcentaje"/>
    <tableColumn id="10" xr3:uid="{40B65076-ABC6-4DDD-8BB0-1B9B3E22B59A}" name="N" dataDxfId="394" dataCellStyle="Porcentaje">
      <calculatedColumnFormula array="1">IF($E15="",0%,_xlfn.XLOOKUP($E15,Tabla1[[#All],[ID]],Tabla1[[#All],[N]]))</calculatedColumnFormula>
    </tableColumn>
    <tableColumn id="11" xr3:uid="{F251D3BA-3E29-472E-9D8D-1343DAA8F7A7}" name="N-NH4" dataDxfId="393" dataCellStyle="Porcentaje"/>
    <tableColumn id="12" xr3:uid="{4FD78777-F2E8-42B5-B2F0-572C093ECBCD}" name="N-NO3" dataDxfId="392" dataCellStyle="Porcentaje"/>
    <tableColumn id="13" xr3:uid="{F75A04A8-5126-4063-91D5-625167BB1E2F}" name="N-org" dataDxfId="391" dataCellStyle="Porcentaje"/>
    <tableColumn id="14" xr3:uid="{23F0DD17-F5E8-4B42-BB7C-C9AD7314DB5D}" name="N-ur" dataDxfId="390" dataCellStyle="Porcentaje">
      <calculatedColumnFormula array="1">IF($E15="",0%,(_xlfn.XLOOKUP($E15,Tabla1[[#All],[ID]],Tabla1[[#All],[N-ur]])))</calculatedColumnFormula>
    </tableColumn>
    <tableColumn id="15" xr3:uid="{1CB14122-187B-4871-A132-7997EA73F970}" name="P" dataDxfId="389" dataCellStyle="Porcentaje">
      <calculatedColumnFormula array="1">IF($E15="",0%,(_xlfn.XLOOKUP($E15,Tabla1[[#All],[ID]],Tabla1[[#All],[P]])))</calculatedColumnFormula>
    </tableColumn>
    <tableColumn id="16" xr3:uid="{F6BC720A-D660-46CE-82CA-40CA5BACD369}" name="K" dataDxfId="388" dataCellStyle="Porcentaje">
      <calculatedColumnFormula array="1">IF($E15="",0%,(_xlfn.XLOOKUP($E15,Tabla1[[#All],[ID]],Tabla1[[#All],[K]])))</calculatedColumnFormula>
    </tableColumn>
    <tableColumn id="17" xr3:uid="{20225010-6DFF-4ED0-AFF3-4205A36B8B6A}" name="CaO" dataDxfId="387" dataCellStyle="Porcentaje">
      <calculatedColumnFormula array="1">IF($E15="",0%,(_xlfn.XLOOKUP($E15,Tabla1[[#All],[ID]],Tabla1[[#All],[CaO]])))</calculatedColumnFormula>
    </tableColumn>
    <tableColumn id="18" xr3:uid="{C1641CBD-63BF-4D2F-91CB-62C44EA1D296}" name="MgO" dataDxfId="386" dataCellStyle="Porcentaje">
      <calculatedColumnFormula array="1">IF($E15="",0%,(_xlfn.XLOOKUP($E15,Tabla1[[#All],[ID]],Tabla1[[#All],[MgO]])))</calculatedColumnFormula>
    </tableColumn>
    <tableColumn id="19" xr3:uid="{060CE2BB-6ACC-4A48-9361-08EF1D56BD71}" name="S" dataDxfId="385" dataCellStyle="Porcentaje">
      <calculatedColumnFormula array="1">IF($E15="",0%,(_xlfn.XLOOKUP($E15,Tabla1[[#All],[ID]],Tabla1[[#All],[S]])))</calculatedColumnFormula>
    </tableColumn>
    <tableColumn id="20" xr3:uid="{4F304D93-6F02-41BA-8465-9CB656E41069}" name="B" dataDxfId="384" dataCellStyle="Porcentaje">
      <calculatedColumnFormula array="1">IF($E15="",0%,(_xlfn.XLOOKUP($E15,Tabla1[[#All],[ID]],Tabla1[[#All],[B]])))</calculatedColumnFormula>
    </tableColumn>
    <tableColumn id="21" xr3:uid="{4C56E158-C41D-4BF8-9A1F-C436F45F4148}" name="Co" dataDxfId="383" dataCellStyle="Porcentaje">
      <calculatedColumnFormula array="1">IF($E15="",0%,(_xlfn.XLOOKUP($E15,Tabla1[[#All],[ID]],Tabla1[[#All],[Co]])))</calculatedColumnFormula>
    </tableColumn>
    <tableColumn id="22" xr3:uid="{27B25879-6D51-4A70-9A95-5ACD2636228B}" name="Cu" dataDxfId="382" dataCellStyle="Porcentaje">
      <calculatedColumnFormula array="1">IF($E15="",0%,(_xlfn.XLOOKUP($E15,Tabla1[[#All],[ID]],Tabla1[[#All],[Cu]])))</calculatedColumnFormula>
    </tableColumn>
    <tableColumn id="23" xr3:uid="{7F410895-F495-4523-87E1-C94A09F121F4}" name="Fe" dataDxfId="381" dataCellStyle="Porcentaje">
      <calculatedColumnFormula array="1">IF($E15="",0%,(_xlfn.XLOOKUP($E15,Tabla1[[#All],[ID]],Tabla1[[#All],[Fe]])))</calculatedColumnFormula>
    </tableColumn>
    <tableColumn id="24" xr3:uid="{3B250A5E-6150-444E-BCC9-E722A28557C6}" name="Mn" dataDxfId="380" dataCellStyle="Porcentaje">
      <calculatedColumnFormula array="1">IF($E15="",0%,(_xlfn.XLOOKUP($E15,Tabla1[[#All],[ID]],Tabla1[[#All],[Mn]])))</calculatedColumnFormula>
    </tableColumn>
    <tableColumn id="25" xr3:uid="{BED1ED40-3E66-4D4F-9B51-552A2EEF2B9F}" name="Mo" dataDxfId="379" dataCellStyle="Porcentaje">
      <calculatedColumnFormula array="1">IF($E15="",0%,(_xlfn.XLOOKUP($E15,Tabla1[[#All],[ID]],Tabla1[[#All],[Mo]])))</calculatedColumnFormula>
    </tableColumn>
    <tableColumn id="26" xr3:uid="{4D0130BA-73E7-4820-A178-2CCD2AD56552}" name="SiO2" dataDxfId="378" dataCellStyle="Porcentaje">
      <calculatedColumnFormula array="1">IF($E15="",0%,(_xlfn.XLOOKUP($E15,Tabla1[[#All],[ID]],Tabla1[[#All],[SiO2]])))</calculatedColumnFormula>
    </tableColumn>
    <tableColumn id="27" xr3:uid="{350D8CE1-8435-4CB0-B6D4-BCF2AF95D69B}" name="Zn" dataDxfId="377" dataCellStyle="Porcentaje">
      <calculatedColumnFormula array="1">IF($E15="",0%,(_xlfn.XLOOKUP($E15,Tabla1[[#All],[ID]],Tabla1[[#All],[Zn]])))</calculatedColumnFormula>
    </tableColumn>
    <tableColumn id="28" xr3:uid="{F884DB27-A8FC-4A4A-810C-AB01AC4C2886}" name="Na" dataDxfId="376" dataCellStyle="Porcentaje">
      <calculatedColumnFormula array="1">IF($E15="",0%,(_xlfn.XLOOKUP($E15,Tabla1[[#All],[ID]],Tabla1[[#All],[Na]])))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0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1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76"/>
  <sheetViews>
    <sheetView zoomScale="130" zoomScaleNormal="130" workbookViewId="0">
      <selection sqref="A1:A1048576"/>
    </sheetView>
  </sheetViews>
  <sheetFormatPr baseColWidth="10" defaultColWidth="9.140625" defaultRowHeight="15" x14ac:dyDescent="0.25"/>
  <cols>
    <col min="1" max="1" width="20.28515625" customWidth="1"/>
    <col min="2" max="2" width="20.140625" bestFit="1" customWidth="1"/>
    <col min="3" max="3" width="8.7109375" bestFit="1" customWidth="1"/>
    <col min="4" max="4" width="42" bestFit="1" customWidth="1"/>
    <col min="5" max="5" width="4.85546875" bestFit="1" customWidth="1"/>
    <col min="6" max="6" width="7.28515625" bestFit="1" customWidth="1"/>
    <col min="7" max="7" width="7.5703125" bestFit="1" customWidth="1"/>
    <col min="8" max="8" width="12.85546875" bestFit="1" customWidth="1"/>
    <col min="9" max="9" width="13" bestFit="1" customWidth="1"/>
    <col min="10" max="10" width="11.85546875" bestFit="1" customWidth="1"/>
    <col min="11" max="11" width="10.7109375" bestFit="1" customWidth="1"/>
    <col min="12" max="12" width="7.140625" bestFit="1" customWidth="1"/>
    <col min="13" max="13" width="7.28515625" bestFit="1" customWidth="1"/>
    <col min="14" max="14" width="10.28515625" bestFit="1" customWidth="1"/>
    <col min="15" max="15" width="10.85546875" bestFit="1" customWidth="1"/>
    <col min="16" max="16" width="7.5703125" bestFit="1" customWidth="1"/>
    <col min="17" max="17" width="7.28515625" bestFit="1" customWidth="1"/>
    <col min="18" max="18" width="8.5703125" bestFit="1" customWidth="1"/>
    <col min="19" max="19" width="8.7109375" bestFit="1" customWidth="1"/>
    <col min="20" max="20" width="8.28515625" bestFit="1" customWidth="1"/>
    <col min="21" max="21" width="9.28515625" bestFit="1" customWidth="1"/>
    <col min="23" max="23" width="10.7109375" bestFit="1" customWidth="1"/>
    <col min="24" max="24" width="8.5703125" bestFit="1" customWidth="1"/>
    <col min="25" max="25" width="8.85546875" bestFit="1" customWidth="1"/>
  </cols>
  <sheetData>
    <row r="1" spans="1:25" ht="20.25" thickBot="1" x14ac:dyDescent="0.3">
      <c r="A1" s="2" t="s">
        <v>0</v>
      </c>
      <c r="B1" s="2" t="s">
        <v>1</v>
      </c>
      <c r="C1" s="2" t="s">
        <v>2</v>
      </c>
      <c r="D1" s="2" t="s">
        <v>38</v>
      </c>
      <c r="E1" s="2" t="s">
        <v>72</v>
      </c>
      <c r="F1" s="3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5" t="s">
        <v>22</v>
      </c>
    </row>
    <row r="2" spans="1:25" x14ac:dyDescent="0.25">
      <c r="A2" s="1" t="s">
        <v>43</v>
      </c>
      <c r="B2" s="1" t="s">
        <v>44</v>
      </c>
      <c r="C2" s="1" t="s">
        <v>9</v>
      </c>
      <c r="D2" s="1" t="str">
        <f>IF(Tabla1[[#This Row],[MATERIA PRIMA]]="","",_xlfn.CONCAT(Tabla1[[#This Row],[MATERIA PRIMA]],"_",Tabla1[[#This Row],[PROVEEDOR]],"_",Tabla1[[#This Row],[TIPO]]))</f>
        <v>BENTONITA GRIS_DIDIER HOYOS_P</v>
      </c>
      <c r="E2" s="1" t="str">
        <f>IF(Tabla1[[#This Row],[MATERIA PRIMA]]="","",IF(SUM(Tabla1[[#This Row],[C]:[Na]])&gt;0,"OK","P"))</f>
        <v>OK</v>
      </c>
      <c r="F2" s="13"/>
      <c r="G2" s="13"/>
      <c r="H2" s="13"/>
      <c r="I2" s="13"/>
      <c r="J2" s="13"/>
      <c r="K2" s="13"/>
      <c r="L2" s="13"/>
      <c r="M2" s="13">
        <v>2.4E-2</v>
      </c>
      <c r="N2" s="13">
        <v>6.2E-2</v>
      </c>
      <c r="O2" s="13">
        <v>0.04</v>
      </c>
      <c r="P2" s="13"/>
      <c r="Q2" s="13"/>
      <c r="R2" s="13"/>
      <c r="S2" s="13"/>
      <c r="T2" s="13"/>
      <c r="U2" s="13"/>
      <c r="V2" s="13"/>
      <c r="W2" s="13">
        <v>0.56899999999999995</v>
      </c>
      <c r="X2" s="13"/>
      <c r="Y2" s="13"/>
    </row>
    <row r="3" spans="1:25" x14ac:dyDescent="0.25">
      <c r="A3" s="1" t="s">
        <v>43</v>
      </c>
      <c r="B3" s="1" t="s">
        <v>76</v>
      </c>
      <c r="C3" s="1" t="s">
        <v>9</v>
      </c>
      <c r="D3" s="1" t="str">
        <f>IF(Tabla1[[#This Row],[MATERIA PRIMA]]="","",_xlfn.CONCAT(Tabla1[[#This Row],[MATERIA PRIMA]],"_",Tabla1[[#This Row],[PROVEEDOR]],"_",Tabla1[[#This Row],[TIPO]]))</f>
        <v>BENTONITA GRIS_HENRY CORONADO_P</v>
      </c>
      <c r="E3" s="1" t="str">
        <f>IF(Tabla1[[#This Row],[MATERIA PRIMA]]="","",IF(SUM(Tabla1[[#This Row],[C]:[Na]])&gt;0,"OK","P"))</f>
        <v>OK</v>
      </c>
      <c r="F3" s="13"/>
      <c r="G3" s="13"/>
      <c r="H3" s="13"/>
      <c r="I3" s="13"/>
      <c r="J3" s="13"/>
      <c r="K3" s="13"/>
      <c r="L3" s="13"/>
      <c r="M3" s="13"/>
      <c r="N3" s="13">
        <v>6.2E-2</v>
      </c>
      <c r="O3" s="13">
        <v>0.04</v>
      </c>
      <c r="P3" s="13"/>
      <c r="Q3" s="13"/>
      <c r="R3" s="13"/>
      <c r="S3" s="13"/>
      <c r="T3" s="13"/>
      <c r="U3" s="13"/>
      <c r="V3" s="13"/>
      <c r="W3" s="13">
        <v>0.56899999999999995</v>
      </c>
      <c r="X3" s="13"/>
      <c r="Y3" s="13"/>
    </row>
    <row r="4" spans="1:25" x14ac:dyDescent="0.25">
      <c r="A4" s="1" t="s">
        <v>43</v>
      </c>
      <c r="B4" s="1" t="s">
        <v>84</v>
      </c>
      <c r="C4" s="1" t="s">
        <v>9</v>
      </c>
      <c r="D4" s="1" t="str">
        <f>IF(Tabla1[[#This Row],[MATERIA PRIMA]]="","",_xlfn.CONCAT(Tabla1[[#This Row],[MATERIA PRIMA]],"_",Tabla1[[#This Row],[PROVEEDOR]],"_",Tabla1[[#This Row],[TIPO]]))</f>
        <v>BENTONITA GRIS_FERTICAUCA_P</v>
      </c>
      <c r="E4" s="1" t="str">
        <f>IF(Tabla1[[#This Row],[MATERIA PRIMA]]="","",IF(SUM(Tabla1[[#This Row],[C]:[Na]])&gt;0,"OK","P"))</f>
        <v>OK</v>
      </c>
      <c r="F4" s="14"/>
      <c r="G4" s="14"/>
      <c r="H4" s="14"/>
      <c r="I4" s="14"/>
      <c r="J4" s="14"/>
      <c r="K4" s="14"/>
      <c r="L4" s="14"/>
      <c r="M4" s="13">
        <v>2.4E-2</v>
      </c>
      <c r="N4" s="13">
        <v>6.2E-2</v>
      </c>
      <c r="O4" s="13">
        <v>0.04</v>
      </c>
      <c r="P4" s="13"/>
      <c r="Q4" s="13"/>
      <c r="R4" s="13"/>
      <c r="S4" s="13"/>
      <c r="T4" s="13"/>
      <c r="U4" s="13"/>
      <c r="V4" s="13"/>
      <c r="W4" s="13">
        <v>0.56899999999999995</v>
      </c>
      <c r="X4" s="14"/>
      <c r="Y4" s="14"/>
    </row>
    <row r="5" spans="1:25" x14ac:dyDescent="0.25">
      <c r="A5" s="1" t="s">
        <v>43</v>
      </c>
      <c r="B5" s="1" t="s">
        <v>176</v>
      </c>
      <c r="C5" s="1" t="s">
        <v>9</v>
      </c>
      <c r="D5" s="17" t="str">
        <f>IF(Tabla1[[#This Row],[MATERIA PRIMA]]="","",_xlfn.CONCAT(Tabla1[[#This Row],[MATERIA PRIMA]],"_",Tabla1[[#This Row],[PROVEEDOR]],"_",Tabla1[[#This Row],[TIPO]]))</f>
        <v>BENTONITA GRIS_COMERCIALIZADORA HA_P</v>
      </c>
      <c r="E5" s="17" t="str">
        <f>IF(Tabla1[[#This Row],[MATERIA PRIMA]]="","",IF(SUM(Tabla1[[#This Row],[C]:[Na]])&gt;0,"OK","P"))</f>
        <v>OK</v>
      </c>
      <c r="F5" s="14"/>
      <c r="G5" s="14"/>
      <c r="H5" s="14"/>
      <c r="I5" s="14"/>
      <c r="J5" s="14"/>
      <c r="K5" s="14"/>
      <c r="L5" s="14"/>
      <c r="M5" s="13">
        <v>2.4E-2</v>
      </c>
      <c r="N5" s="13">
        <v>6.2E-2</v>
      </c>
      <c r="O5" s="13">
        <v>0.04</v>
      </c>
      <c r="P5" s="13"/>
      <c r="Q5" s="13"/>
      <c r="R5" s="13"/>
      <c r="S5" s="13"/>
      <c r="T5" s="13"/>
      <c r="U5" s="13"/>
      <c r="V5" s="13"/>
      <c r="W5" s="13">
        <v>0.56899999999999995</v>
      </c>
      <c r="X5" s="14"/>
      <c r="Y5" s="14"/>
    </row>
    <row r="6" spans="1:25" x14ac:dyDescent="0.25">
      <c r="A6" s="1" t="s">
        <v>59</v>
      </c>
      <c r="B6" s="1" t="s">
        <v>60</v>
      </c>
      <c r="C6" s="1" t="s">
        <v>9</v>
      </c>
      <c r="D6" s="1" t="str">
        <f>IF(Tabla1[[#This Row],[MATERIA PRIMA]]="","",_xlfn.CONCAT(Tabla1[[#This Row],[MATERIA PRIMA]],"_",Tabla1[[#This Row],[PROVEEDOR]],"_",Tabla1[[#This Row],[TIPO]]))</f>
        <v>BENTONITA ROJA_MINERALES_P</v>
      </c>
      <c r="E6" s="1" t="str">
        <f>IF(Tabla1[[#This Row],[MATERIA PRIMA]]="","",IF(SUM(Tabla1[[#This Row],[C]:[Na]])&gt;0,"OK","P"))</f>
        <v>OK</v>
      </c>
      <c r="F6" s="13"/>
      <c r="G6" s="13"/>
      <c r="H6" s="13"/>
      <c r="I6" s="13"/>
      <c r="J6" s="13"/>
      <c r="K6" s="13"/>
      <c r="L6" s="13"/>
      <c r="M6" s="13"/>
      <c r="N6" s="13"/>
      <c r="O6" s="13">
        <v>6.0000000000000001E-3</v>
      </c>
      <c r="P6" s="13"/>
      <c r="Q6" s="13"/>
      <c r="R6" s="13"/>
      <c r="S6" s="13"/>
      <c r="T6" s="13"/>
      <c r="U6" s="13"/>
      <c r="V6" s="13"/>
      <c r="W6" s="13">
        <v>0.47</v>
      </c>
      <c r="X6" s="13"/>
      <c r="Y6" s="13"/>
    </row>
    <row r="7" spans="1:25" x14ac:dyDescent="0.25">
      <c r="A7" s="1" t="s">
        <v>59</v>
      </c>
      <c r="B7" s="1" t="s">
        <v>66</v>
      </c>
      <c r="C7" s="1" t="s">
        <v>9</v>
      </c>
      <c r="D7" s="1" t="str">
        <f>IF(Tabla1[[#This Row],[MATERIA PRIMA]]="","",_xlfn.CONCAT(Tabla1[[#This Row],[MATERIA PRIMA]],"_",Tabla1[[#This Row],[PROVEEDOR]],"_",Tabla1[[#This Row],[TIPO]]))</f>
        <v>BENTONITA ROJA_HYM_P</v>
      </c>
      <c r="E7" s="1" t="str">
        <f>IF(Tabla1[[#This Row],[MATERIA PRIMA]]="","",IF(SUM(Tabla1[[#This Row],[C]:[Na]])&gt;0,"OK","P"))</f>
        <v>OK</v>
      </c>
      <c r="F7" s="13"/>
      <c r="G7" s="13"/>
      <c r="H7" s="13"/>
      <c r="I7" s="13"/>
      <c r="J7" s="13"/>
      <c r="K7" s="13"/>
      <c r="L7" s="13"/>
      <c r="M7" s="13"/>
      <c r="N7" s="13"/>
      <c r="O7" s="13">
        <v>6.0000000000000001E-3</v>
      </c>
      <c r="P7" s="13"/>
      <c r="Q7" s="13"/>
      <c r="R7" s="13"/>
      <c r="S7" s="13"/>
      <c r="T7" s="13"/>
      <c r="U7" s="13"/>
      <c r="V7" s="13"/>
      <c r="W7" s="13">
        <v>0.47</v>
      </c>
      <c r="X7" s="13"/>
      <c r="Y7" s="13"/>
    </row>
    <row r="8" spans="1:25" x14ac:dyDescent="0.25">
      <c r="A8" s="1" t="s">
        <v>59</v>
      </c>
      <c r="B8" s="1" t="s">
        <v>176</v>
      </c>
      <c r="C8" s="1" t="s">
        <v>9</v>
      </c>
      <c r="D8" s="17" t="str">
        <f>IF(Tabla1[[#This Row],[MATERIA PRIMA]]="","",_xlfn.CONCAT(Tabla1[[#This Row],[MATERIA PRIMA]],"_",Tabla1[[#This Row],[PROVEEDOR]],"_",Tabla1[[#This Row],[TIPO]]))</f>
        <v>BENTONITA ROJA_COMERCIALIZADORA HA_P</v>
      </c>
      <c r="E8" s="17" t="str">
        <f>IF(Tabla1[[#This Row],[MATERIA PRIMA]]="","",IF(SUM(Tabla1[[#This Row],[C]:[Na]])&gt;0,"OK","P"))</f>
        <v>OK</v>
      </c>
      <c r="F8" s="13"/>
      <c r="G8" s="13"/>
      <c r="H8" s="13"/>
      <c r="I8" s="13"/>
      <c r="J8" s="13"/>
      <c r="K8" s="13"/>
      <c r="L8" s="13"/>
      <c r="M8" s="13"/>
      <c r="N8" s="13"/>
      <c r="O8" s="13">
        <v>6.0000000000000001E-3</v>
      </c>
      <c r="P8" s="13"/>
      <c r="Q8" s="13"/>
      <c r="R8" s="13"/>
      <c r="S8" s="13"/>
      <c r="T8" s="13"/>
      <c r="U8" s="13"/>
      <c r="V8" s="13"/>
      <c r="W8" s="13">
        <v>0.47</v>
      </c>
      <c r="X8" s="13"/>
      <c r="Y8" s="13"/>
    </row>
    <row r="9" spans="1:25" x14ac:dyDescent="0.25">
      <c r="A9" s="1" t="s">
        <v>71</v>
      </c>
      <c r="B9" s="1" t="s">
        <v>53</v>
      </c>
      <c r="C9" s="1" t="s">
        <v>36</v>
      </c>
      <c r="D9" s="1" t="str">
        <f>IF(Tabla1[[#This Row],[MATERIA PRIMA]]="","",_xlfn.CONCAT(Tabla1[[#This Row],[MATERIA PRIMA]],"_",Tabla1[[#This Row],[PROVEEDOR]],"_",Tabla1[[#This Row],[TIPO]]))</f>
        <v>BORO G_CALFERQUIM_G</v>
      </c>
      <c r="E9" s="1" t="str">
        <f>IF(Tabla1[[#This Row],[MATERIA PRIMA]]="","",IF(SUM(Tabla1[[#This Row],[C]:[Na]])&gt;0,"OK","P"))</f>
        <v>OK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>
        <v>0.1</v>
      </c>
      <c r="R9" s="13"/>
      <c r="S9" s="13"/>
      <c r="T9" s="13"/>
      <c r="U9" s="13"/>
      <c r="V9" s="13"/>
      <c r="W9" s="13"/>
      <c r="X9" s="13"/>
      <c r="Y9" s="13"/>
    </row>
    <row r="10" spans="1:25" x14ac:dyDescent="0.25">
      <c r="A10" s="1" t="s">
        <v>222</v>
      </c>
      <c r="B10" s="1" t="s">
        <v>116</v>
      </c>
      <c r="C10" s="1" t="s">
        <v>9</v>
      </c>
      <c r="D10" s="17" t="str">
        <f>IF(Tabla1[[#This Row],[MATERIA PRIMA]]="","",_xlfn.CONCAT(Tabla1[[#This Row],[MATERIA PRIMA]],"_",Tabla1[[#This Row],[PROVEEDOR]],"_",Tabla1[[#This Row],[TIPO]]))</f>
        <v>CAL APAGADA_JAMAROL_P</v>
      </c>
      <c r="E10" s="17" t="str">
        <f>IF(Tabla1[[#This Row],[MATERIA PRIMA]]="","",IF(SUM(Tabla1[[#This Row],[C]:[Na]])&gt;0,"OK","P"))</f>
        <v>OK</v>
      </c>
      <c r="F10" s="14"/>
      <c r="G10" s="14"/>
      <c r="H10" s="14"/>
      <c r="I10" s="14"/>
      <c r="J10" s="14"/>
      <c r="K10" s="14"/>
      <c r="L10" s="14"/>
      <c r="M10" s="14"/>
      <c r="N10" s="16">
        <v>0.55000000000000004</v>
      </c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spans="1:25" x14ac:dyDescent="0.25">
      <c r="A11" s="1" t="s">
        <v>28</v>
      </c>
      <c r="B11" s="1" t="s">
        <v>29</v>
      </c>
      <c r="C11" s="1" t="s">
        <v>9</v>
      </c>
      <c r="D11" s="1" t="str">
        <f>IF(Tabla1[[#This Row],[MATERIA PRIMA]]="","",_xlfn.CONCAT(Tabla1[[#This Row],[MATERIA PRIMA]],"_",Tabla1[[#This Row],[PROVEEDOR]],"_",Tabla1[[#This Row],[TIPO]]))</f>
        <v>CAL DOLOMITA_BM_P</v>
      </c>
      <c r="E11" s="1" t="str">
        <f>IF(Tabla1[[#This Row],[MATERIA PRIMA]]="","",IF(SUM(Tabla1[[#This Row],[C]:[Na]])&gt;0,"OK","P"))</f>
        <v>OK</v>
      </c>
      <c r="F11" s="13"/>
      <c r="G11" s="13"/>
      <c r="H11" s="13"/>
      <c r="I11" s="13"/>
      <c r="J11" s="13"/>
      <c r="K11" s="13"/>
      <c r="L11" s="13"/>
      <c r="M11" s="13"/>
      <c r="N11" s="13">
        <v>0.34</v>
      </c>
      <c r="O11" s="13">
        <v>0.14000000000000001</v>
      </c>
      <c r="P11" s="13"/>
      <c r="Q11" s="13"/>
      <c r="R11" s="13"/>
      <c r="S11" s="13"/>
      <c r="T11" s="13"/>
      <c r="U11" s="13"/>
      <c r="V11" s="13"/>
      <c r="W11" s="13"/>
      <c r="X11" s="13"/>
      <c r="Y11" s="13"/>
    </row>
    <row r="12" spans="1:25" x14ac:dyDescent="0.25">
      <c r="A12" s="1" t="s">
        <v>82</v>
      </c>
      <c r="B12" s="1" t="s">
        <v>53</v>
      </c>
      <c r="C12" s="1" t="s">
        <v>36</v>
      </c>
      <c r="D12" s="1" t="str">
        <f>IF(Tabla1[[#This Row],[MATERIA PRIMA]]="","",_xlfn.CONCAT(Tabla1[[#This Row],[MATERIA PRIMA]],"_",Tabla1[[#This Row],[PROVEEDOR]],"_",Tabla1[[#This Row],[TIPO]]))</f>
        <v>CALFERZINC P_CALFERQUIM_G</v>
      </c>
      <c r="E12" s="1" t="str">
        <f>IF(Tabla1[[#This Row],[MATERIA PRIMA]]="","",IF(SUM(Tabla1[[#This Row],[C]:[Na]])&gt;0,"OK","P"))</f>
        <v>OK</v>
      </c>
      <c r="F12" s="14"/>
      <c r="G12" s="14"/>
      <c r="H12" s="14"/>
      <c r="I12" s="14"/>
      <c r="J12" s="14"/>
      <c r="K12" s="14"/>
      <c r="L12" s="14"/>
      <c r="M12" s="16">
        <v>0.03</v>
      </c>
      <c r="N12" s="14"/>
      <c r="O12" s="14"/>
      <c r="P12" s="16">
        <v>7.0000000000000007E-2</v>
      </c>
      <c r="Q12" s="14"/>
      <c r="R12" s="14"/>
      <c r="S12" s="14"/>
      <c r="T12" s="14"/>
      <c r="U12" s="14"/>
      <c r="V12" s="14"/>
      <c r="W12" s="14"/>
      <c r="X12" s="16">
        <v>0.21</v>
      </c>
      <c r="Y12" s="14"/>
    </row>
    <row r="13" spans="1:25" x14ac:dyDescent="0.25">
      <c r="A13" s="1" t="s">
        <v>32</v>
      </c>
      <c r="B13" s="1" t="s">
        <v>33</v>
      </c>
      <c r="C13" s="1" t="s">
        <v>9</v>
      </c>
      <c r="D13" s="1" t="str">
        <f>IF(Tabla1[[#This Row],[MATERIA PRIMA]]="","",_xlfn.CONCAT(Tabla1[[#This Row],[MATERIA PRIMA]],"_",Tabla1[[#This Row],[PROVEEDOR]],"_",Tabla1[[#This Row],[TIPO]]))</f>
        <v>CARBONATO CALCIO_AGROCALES_P</v>
      </c>
      <c r="E13" s="1" t="str">
        <f>IF(Tabla1[[#This Row],[MATERIA PRIMA]]="","",IF(SUM(Tabla1[[#This Row],[C]:[Na]])&gt;0,"OK","P"))</f>
        <v>OK</v>
      </c>
      <c r="F13" s="13"/>
      <c r="G13" s="13"/>
      <c r="H13" s="13"/>
      <c r="I13" s="13"/>
      <c r="J13" s="13"/>
      <c r="K13" s="13"/>
      <c r="L13" s="13"/>
      <c r="M13" s="13"/>
      <c r="N13" s="13">
        <v>0.44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</row>
    <row r="14" spans="1:25" x14ac:dyDescent="0.25">
      <c r="A14" s="1" t="s">
        <v>32</v>
      </c>
      <c r="B14" s="1" t="s">
        <v>65</v>
      </c>
      <c r="C14" s="1" t="s">
        <v>9</v>
      </c>
      <c r="D14" s="1" t="str">
        <f>IF(Tabla1[[#This Row],[MATERIA PRIMA]]="","",_xlfn.CONCAT(Tabla1[[#This Row],[MATERIA PRIMA]],"_",Tabla1[[#This Row],[PROVEEDOR]],"_",Tabla1[[#This Row],[TIPO]]))</f>
        <v>CARBONATO CALCIO_HELVECIA_P</v>
      </c>
      <c r="E14" s="1" t="str">
        <f>IF(Tabla1[[#This Row],[MATERIA PRIMA]]="","",IF(SUM(Tabla1[[#This Row],[C]:[Na]])&gt;0,"OK","P"))</f>
        <v>OK</v>
      </c>
      <c r="F14" s="13"/>
      <c r="G14" s="13"/>
      <c r="H14" s="13"/>
      <c r="I14" s="13"/>
      <c r="J14" s="13"/>
      <c r="K14" s="13"/>
      <c r="L14" s="13"/>
      <c r="M14" s="13"/>
      <c r="N14" s="13">
        <v>0.44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5" x14ac:dyDescent="0.25">
      <c r="A15" s="1" t="s">
        <v>32</v>
      </c>
      <c r="B15" s="1" t="s">
        <v>116</v>
      </c>
      <c r="C15" s="1" t="s">
        <v>9</v>
      </c>
      <c r="D15" s="17" t="str">
        <f>IF(Tabla1[[#This Row],[MATERIA PRIMA]]="","",_xlfn.CONCAT(Tabla1[[#This Row],[MATERIA PRIMA]],"_",Tabla1[[#This Row],[PROVEEDOR]],"_",Tabla1[[#This Row],[TIPO]]))</f>
        <v>CARBONATO CALCIO_JAMAROL_P</v>
      </c>
      <c r="E15" s="17" t="str">
        <f>IF(Tabla1[[#This Row],[MATERIA PRIMA]]="","",IF(SUM(Tabla1[[#This Row],[C]:[Na]])&gt;0,"OK","P"))</f>
        <v>OK</v>
      </c>
      <c r="F15" s="13"/>
      <c r="G15" s="13"/>
      <c r="H15" s="13"/>
      <c r="I15" s="13"/>
      <c r="J15" s="13"/>
      <c r="K15" s="13"/>
      <c r="L15" s="13"/>
      <c r="M15" s="13"/>
      <c r="N15" s="13">
        <v>0.44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5" x14ac:dyDescent="0.25">
      <c r="A16" s="1" t="s">
        <v>80</v>
      </c>
      <c r="B16" s="1" t="s">
        <v>53</v>
      </c>
      <c r="C16" s="1" t="s">
        <v>81</v>
      </c>
      <c r="D16" s="1" t="str">
        <f>IF(Tabla1[[#This Row],[MATERIA PRIMA]]="","",_xlfn.CONCAT(Tabla1[[#This Row],[MATERIA PRIMA]],"_",Tabla1[[#This Row],[PROVEEDOR]],"_",Tabla1[[#This Row],[TIPO]]))</f>
        <v>CARBONITRO_CALFERQUIM_L</v>
      </c>
      <c r="E16" s="1" t="str">
        <f>IF(Tabla1[[#This Row],[MATERIA PRIMA]]="","",IF(SUM(Tabla1[[#This Row],[C]:[Na]])&gt;0,"OK","P"))</f>
        <v>P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25">
      <c r="A17" s="1" t="s">
        <v>51</v>
      </c>
      <c r="B17" s="1" t="s">
        <v>48</v>
      </c>
      <c r="C17" s="1" t="s">
        <v>36</v>
      </c>
      <c r="D17" s="1" t="str">
        <f>IF(Tabla1[[#This Row],[MATERIA PRIMA]]="","",_xlfn.CONCAT(Tabla1[[#This Row],[MATERIA PRIMA]],"_",Tabla1[[#This Row],[PROVEEDOR]],"_",Tabla1[[#This Row],[TIPO]]))</f>
        <v>DAP_NUTRICION PLANTAS_G</v>
      </c>
      <c r="E17" s="1" t="str">
        <f>IF(Tabla1[[#This Row],[MATERIA PRIMA]]="","",IF(SUM(Tabla1[[#This Row],[C]:[Na]])&gt;0,"OK","P"))</f>
        <v>OK</v>
      </c>
      <c r="F17" s="13"/>
      <c r="G17" s="13">
        <v>0.18</v>
      </c>
      <c r="H17" s="13">
        <v>0.18</v>
      </c>
      <c r="I17" s="13"/>
      <c r="J17" s="13"/>
      <c r="K17" s="13"/>
      <c r="L17" s="13">
        <v>0.46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25">
      <c r="A18" s="1" t="s">
        <v>51</v>
      </c>
      <c r="B18" s="1" t="s">
        <v>53</v>
      </c>
      <c r="C18" s="1" t="s">
        <v>36</v>
      </c>
      <c r="D18" s="1" t="str">
        <f>IF(Tabla1[[#This Row],[MATERIA PRIMA]]="","",_xlfn.CONCAT(Tabla1[[#This Row],[MATERIA PRIMA]],"_",Tabla1[[#This Row],[PROVEEDOR]],"_",Tabla1[[#This Row],[TIPO]]))</f>
        <v>DAP_CALFERQUIM_G</v>
      </c>
      <c r="E18" s="1" t="str">
        <f>IF(Tabla1[[#This Row],[MATERIA PRIMA]]="","",IF(SUM(Tabla1[[#This Row],[C]:[Na]])&gt;0,"OK","P"))</f>
        <v>OK</v>
      </c>
      <c r="F18" s="13"/>
      <c r="G18" s="13">
        <v>0.18</v>
      </c>
      <c r="H18" s="13">
        <v>0.18</v>
      </c>
      <c r="I18" s="13"/>
      <c r="J18" s="13"/>
      <c r="K18" s="13"/>
      <c r="L18" s="13">
        <v>0.46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25">
      <c r="A19" s="1" t="s">
        <v>51</v>
      </c>
      <c r="B19" s="1" t="s">
        <v>62</v>
      </c>
      <c r="C19" s="1" t="s">
        <v>36</v>
      </c>
      <c r="D19" s="1" t="str">
        <f>IF(Tabla1[[#This Row],[MATERIA PRIMA]]="","",_xlfn.CONCAT(Tabla1[[#This Row],[MATERIA PRIMA]],"_",Tabla1[[#This Row],[PROVEEDOR]],"_",Tabla1[[#This Row],[TIPO]]))</f>
        <v>DAP_DISAN_G</v>
      </c>
      <c r="E19" s="1" t="str">
        <f>IF(Tabla1[[#This Row],[MATERIA PRIMA]]="","",IF(SUM(Tabla1[[#This Row],[C]:[Na]])&gt;0,"OK","P"))</f>
        <v>OK</v>
      </c>
      <c r="F19" s="13"/>
      <c r="G19" s="13">
        <v>0.18</v>
      </c>
      <c r="H19" s="13">
        <v>0.18</v>
      </c>
      <c r="I19" s="13"/>
      <c r="J19" s="13"/>
      <c r="K19" s="13"/>
      <c r="L19" s="13">
        <v>0.46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25">
      <c r="A20" s="1" t="s">
        <v>51</v>
      </c>
      <c r="B20" s="1" t="s">
        <v>86</v>
      </c>
      <c r="C20" s="1" t="s">
        <v>36</v>
      </c>
      <c r="D20" s="1" t="str">
        <f>IF(Tabla1[[#This Row],[MATERIA PRIMA]]="","",_xlfn.CONCAT(Tabla1[[#This Row],[MATERIA PRIMA]],"_",Tabla1[[#This Row],[PROVEEDOR]],"_",Tabla1[[#This Row],[TIPO]]))</f>
        <v>DAP_CIAMSA_G</v>
      </c>
      <c r="E20" s="1" t="str">
        <f>IF(Tabla1[[#This Row],[MATERIA PRIMA]]="","",IF(SUM(Tabla1[[#This Row],[C]:[Na]])&gt;0,"OK","P"))</f>
        <v>OK</v>
      </c>
      <c r="F20" s="14"/>
      <c r="G20" s="13">
        <v>0.18</v>
      </c>
      <c r="H20" s="13">
        <v>0.18</v>
      </c>
      <c r="I20" s="13"/>
      <c r="J20" s="13"/>
      <c r="K20" s="13"/>
      <c r="L20" s="13">
        <v>0.46</v>
      </c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</row>
    <row r="21" spans="1:25" x14ac:dyDescent="0.25">
      <c r="A21" s="1" t="s">
        <v>51</v>
      </c>
      <c r="B21" s="1" t="s">
        <v>63</v>
      </c>
      <c r="C21" s="1" t="s">
        <v>36</v>
      </c>
      <c r="D21" s="17" t="str">
        <f>IF(Tabla1[[#This Row],[MATERIA PRIMA]]="","",_xlfn.CONCAT(Tabla1[[#This Row],[MATERIA PRIMA]],"_",Tabla1[[#This Row],[PROVEEDOR]],"_",Tabla1[[#This Row],[TIPO]]))</f>
        <v>DAP_EVOAGRO_G</v>
      </c>
      <c r="E21" s="17" t="str">
        <f>IF(Tabla1[[#This Row],[MATERIA PRIMA]]="","",IF(SUM(Tabla1[[#This Row],[C]:[Na]])&gt;0,"OK","P"))</f>
        <v>OK</v>
      </c>
      <c r="F21" s="14"/>
      <c r="G21" s="16">
        <v>0.18</v>
      </c>
      <c r="H21" s="14"/>
      <c r="I21" s="14"/>
      <c r="J21" s="14"/>
      <c r="K21" s="14"/>
      <c r="L21" s="16">
        <v>0.46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5">
      <c r="A22" s="1" t="s">
        <v>51</v>
      </c>
      <c r="B22" s="1" t="s">
        <v>93</v>
      </c>
      <c r="C22" s="1" t="s">
        <v>36</v>
      </c>
      <c r="D22" s="17" t="str">
        <f>IF(Tabla1[[#This Row],[MATERIA PRIMA]]="","",_xlfn.CONCAT(Tabla1[[#This Row],[MATERIA PRIMA]],"_",Tabla1[[#This Row],[PROVEEDOR]],"_",Tabla1[[#This Row],[TIPO]]))</f>
        <v>DAP_NITROFERT_G</v>
      </c>
      <c r="E22" s="17" t="str">
        <f>IF(Tabla1[[#This Row],[MATERIA PRIMA]]="","",IF(SUM(Tabla1[[#This Row],[C]:[Na]])&gt;0,"OK","P"))</f>
        <v>OK</v>
      </c>
      <c r="F22" s="13"/>
      <c r="G22" s="13">
        <v>0.18</v>
      </c>
      <c r="H22" s="13">
        <v>0.18</v>
      </c>
      <c r="I22" s="13"/>
      <c r="J22" s="13"/>
      <c r="K22" s="13"/>
      <c r="L22" s="13">
        <v>0.46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25">
      <c r="A23" s="1" t="s">
        <v>68</v>
      </c>
      <c r="B23" s="1" t="s">
        <v>53</v>
      </c>
      <c r="C23" s="1" t="s">
        <v>9</v>
      </c>
      <c r="D23" s="1" t="str">
        <f>IF(Tabla1[[#This Row],[MATERIA PRIMA]]="","",_xlfn.CONCAT(Tabla1[[#This Row],[MATERIA PRIMA]],"_",Tabla1[[#This Row],[PROVEEDOR]],"_",Tabla1[[#This Row],[TIPO]]))</f>
        <v>FERTIMENORES_CALFERQUIM_P</v>
      </c>
      <c r="E23" s="1" t="str">
        <f>IF(Tabla1[[#This Row],[MATERIA PRIMA]]="","",IF(SUM(Tabla1[[#This Row],[C]:[Na]])&gt;0,"OK","P"))</f>
        <v>OK</v>
      </c>
      <c r="F23" s="13"/>
      <c r="G23" s="13"/>
      <c r="H23" s="13"/>
      <c r="I23" s="13"/>
      <c r="J23" s="13"/>
      <c r="K23" s="13"/>
      <c r="L23" s="13">
        <v>0.05</v>
      </c>
      <c r="M23" s="13"/>
      <c r="N23" s="13">
        <v>0.13</v>
      </c>
      <c r="O23" s="13">
        <v>0.06</v>
      </c>
      <c r="P23" s="13">
        <v>0.05</v>
      </c>
      <c r="Q23" s="13">
        <v>0.01</v>
      </c>
      <c r="R23" s="13">
        <v>5.0000000000000001E-3</v>
      </c>
      <c r="S23" s="13"/>
      <c r="T23" s="13"/>
      <c r="U23" s="13"/>
      <c r="V23" s="13"/>
      <c r="W23" s="13"/>
      <c r="X23" s="15">
        <v>2.5000000000000001E-2</v>
      </c>
      <c r="Y23" s="13"/>
    </row>
    <row r="24" spans="1:25" x14ac:dyDescent="0.25">
      <c r="A24" s="1" t="s">
        <v>168</v>
      </c>
      <c r="B24" s="1" t="s">
        <v>116</v>
      </c>
      <c r="C24" s="1" t="s">
        <v>9</v>
      </c>
      <c r="D24" s="17" t="str">
        <f>IF(Tabla1[[#This Row],[MATERIA PRIMA]]="","",_xlfn.CONCAT(Tabla1[[#This Row],[MATERIA PRIMA]],"_",Tabla1[[#This Row],[PROVEEDOR]],"_",Tabla1[[#This Row],[TIPO]]))</f>
        <v>HIDROXIDO CALCIO_JAMAROL_P</v>
      </c>
      <c r="E24" s="17" t="str">
        <f>IF(Tabla1[[#This Row],[MATERIA PRIMA]]="","",IF(SUM(Tabla1[[#This Row],[C]:[Na]])&gt;0,"OK","P"))</f>
        <v>OK</v>
      </c>
      <c r="F24" s="14"/>
      <c r="G24" s="14"/>
      <c r="H24" s="14"/>
      <c r="I24" s="14"/>
      <c r="J24" s="14"/>
      <c r="K24" s="14"/>
      <c r="L24" s="14"/>
      <c r="M24" s="14"/>
      <c r="N24" s="16">
        <v>0.55000000000000004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</row>
    <row r="25" spans="1:25" x14ac:dyDescent="0.25">
      <c r="A25" s="1" t="s">
        <v>137</v>
      </c>
      <c r="B25" s="1" t="s">
        <v>53</v>
      </c>
      <c r="C25" s="1" t="s">
        <v>36</v>
      </c>
      <c r="D25" s="17" t="str">
        <f>IF(Tabla1[[#This Row],[MATERIA PRIMA]]="","",_xlfn.CONCAT(Tabla1[[#This Row],[MATERIA PRIMA]],"_",Tabla1[[#This Row],[PROVEEDOR]],"_",Tabla1[[#This Row],[TIPO]]))</f>
        <v>K2K_CALFERQUIM_G</v>
      </c>
      <c r="E25" s="17" t="str">
        <f>IF(Tabla1[[#This Row],[MATERIA PRIMA]]="","",IF(SUM(Tabla1[[#This Row],[C]:[Na]])&gt;0,"OK","P"))</f>
        <v>OK</v>
      </c>
      <c r="F25" s="16">
        <v>0.05</v>
      </c>
      <c r="G25" s="14"/>
      <c r="H25" s="14"/>
      <c r="I25" s="14"/>
      <c r="J25" s="14"/>
      <c r="K25" s="14"/>
      <c r="L25" s="14"/>
      <c r="M25" s="19">
        <v>0.28699999999999998</v>
      </c>
      <c r="N25" s="19">
        <v>2.8000000000000001E-2</v>
      </c>
      <c r="O25" s="14"/>
      <c r="P25" s="19">
        <v>3.4000000000000002E-2</v>
      </c>
      <c r="Q25" s="14"/>
      <c r="R25" s="14"/>
      <c r="S25" s="14"/>
      <c r="T25" s="14"/>
      <c r="U25" s="14"/>
      <c r="V25" s="14"/>
      <c r="W25" s="16">
        <v>0.01</v>
      </c>
      <c r="X25" s="14"/>
      <c r="Y25" s="19">
        <v>3.0000000000000001E-3</v>
      </c>
    </row>
    <row r="26" spans="1:25" x14ac:dyDescent="0.25">
      <c r="A26" s="1" t="s">
        <v>49</v>
      </c>
      <c r="B26" s="1" t="s">
        <v>50</v>
      </c>
      <c r="C26" s="1" t="s">
        <v>36</v>
      </c>
      <c r="D26" s="1" t="str">
        <f>IF(Tabla1[[#This Row],[MATERIA PRIMA]]="","",_xlfn.CONCAT(Tabla1[[#This Row],[MATERIA PRIMA]],"_",Tabla1[[#This Row],[PROVEEDOR]],"_",Tabla1[[#This Row],[TIPO]]))</f>
        <v>KCL_SQM_G</v>
      </c>
      <c r="E26" s="1" t="str">
        <f>IF(Tabla1[[#This Row],[MATERIA PRIMA]]="","",IF(SUM(Tabla1[[#This Row],[C]:[Na]])&gt;0,"OK","P"))</f>
        <v>OK</v>
      </c>
      <c r="F26" s="13"/>
      <c r="G26" s="13"/>
      <c r="H26" s="13"/>
      <c r="I26" s="13"/>
      <c r="J26" s="13"/>
      <c r="K26" s="13"/>
      <c r="L26" s="13"/>
      <c r="M26" s="13">
        <v>0.6</v>
      </c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25">
      <c r="A27" s="1" t="s">
        <v>49</v>
      </c>
      <c r="B27" s="1" t="s">
        <v>48</v>
      </c>
      <c r="C27" s="1" t="s">
        <v>36</v>
      </c>
      <c r="D27" s="1" t="str">
        <f>IF(Tabla1[[#This Row],[MATERIA PRIMA]]="","",_xlfn.CONCAT(Tabla1[[#This Row],[MATERIA PRIMA]],"_",Tabla1[[#This Row],[PROVEEDOR]],"_",Tabla1[[#This Row],[TIPO]]))</f>
        <v>KCL_NUTRICION PLANTAS_G</v>
      </c>
      <c r="E27" s="1" t="str">
        <f>IF(Tabla1[[#This Row],[MATERIA PRIMA]]="","",IF(SUM(Tabla1[[#This Row],[C]:[Na]])&gt;0,"OK","P"))</f>
        <v>OK</v>
      </c>
      <c r="F27" s="13"/>
      <c r="G27" s="13"/>
      <c r="H27" s="13"/>
      <c r="I27" s="13"/>
      <c r="J27" s="13"/>
      <c r="K27" s="13"/>
      <c r="L27" s="13"/>
      <c r="M27" s="13">
        <v>0.6</v>
      </c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25">
      <c r="A28" s="1" t="s">
        <v>49</v>
      </c>
      <c r="B28" s="1" t="s">
        <v>63</v>
      </c>
      <c r="C28" s="1" t="s">
        <v>36</v>
      </c>
      <c r="D28" s="1" t="str">
        <f>IF(Tabla1[[#This Row],[MATERIA PRIMA]]="","",_xlfn.CONCAT(Tabla1[[#This Row],[MATERIA PRIMA]],"_",Tabla1[[#This Row],[PROVEEDOR]],"_",Tabla1[[#This Row],[TIPO]]))</f>
        <v>KCL_EVOAGRO_G</v>
      </c>
      <c r="E28" s="1" t="str">
        <f>IF(Tabla1[[#This Row],[MATERIA PRIMA]]="","",IF(SUM(Tabla1[[#This Row],[C]:[Na]])&gt;0,"OK","P"))</f>
        <v>OK</v>
      </c>
      <c r="F28" s="14"/>
      <c r="G28" s="14"/>
      <c r="H28" s="14"/>
      <c r="I28" s="14"/>
      <c r="J28" s="14"/>
      <c r="K28" s="14"/>
      <c r="L28" s="14"/>
      <c r="M28" s="16">
        <v>0.6</v>
      </c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</row>
    <row r="29" spans="1:25" x14ac:dyDescent="0.25">
      <c r="A29" s="1" t="s">
        <v>79</v>
      </c>
      <c r="B29" s="1" t="s">
        <v>62</v>
      </c>
      <c r="C29" s="1" t="s">
        <v>9</v>
      </c>
      <c r="D29" s="1" t="str">
        <f>IF(Tabla1[[#This Row],[MATERIA PRIMA]]="","",_xlfn.CONCAT(Tabla1[[#This Row],[MATERIA PRIMA]],"_",Tabla1[[#This Row],[PROVEEDOR]],"_",Tabla1[[#This Row],[TIPO]]))</f>
        <v>KCL STD_DISAN_P</v>
      </c>
      <c r="E29" s="1" t="str">
        <f>IF(Tabla1[[#This Row],[MATERIA PRIMA]]="","",IF(SUM(Tabla1[[#This Row],[C]:[Na]])&gt;0,"OK","P"))</f>
        <v>OK</v>
      </c>
      <c r="F29" s="13"/>
      <c r="G29" s="13"/>
      <c r="H29" s="13"/>
      <c r="I29" s="13"/>
      <c r="J29" s="13"/>
      <c r="K29" s="13"/>
      <c r="L29" s="13"/>
      <c r="M29" s="13">
        <v>0.6</v>
      </c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25">
      <c r="A30" s="1" t="s">
        <v>26</v>
      </c>
      <c r="B30" s="1" t="s">
        <v>27</v>
      </c>
      <c r="C30" s="1" t="s">
        <v>9</v>
      </c>
      <c r="D30" s="1" t="str">
        <f>IF(Tabla1[[#This Row],[MATERIA PRIMA]]="","",_xlfn.CONCAT(Tabla1[[#This Row],[MATERIA PRIMA]],"_",Tabla1[[#This Row],[PROVEEDOR]],"_",Tabla1[[#This Row],[TIPO]]))</f>
        <v>KIESERITA_MANUCHAR_P</v>
      </c>
      <c r="E30" s="1" t="str">
        <f>IF(Tabla1[[#This Row],[MATERIA PRIMA]]="","",IF(SUM(Tabla1[[#This Row],[C]:[Na]])&gt;0,"OK","P"))</f>
        <v>OK</v>
      </c>
      <c r="F30" s="13"/>
      <c r="G30" s="13"/>
      <c r="H30" s="13"/>
      <c r="I30" s="13"/>
      <c r="J30" s="13"/>
      <c r="K30" s="13"/>
      <c r="L30" s="13"/>
      <c r="M30" s="13"/>
      <c r="N30" s="13"/>
      <c r="O30" s="13">
        <v>0.25</v>
      </c>
      <c r="P30" s="13">
        <v>0.2</v>
      </c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25">
      <c r="A31" s="1" t="s">
        <v>136</v>
      </c>
      <c r="B31" s="1" t="s">
        <v>53</v>
      </c>
      <c r="C31" s="1" t="s">
        <v>36</v>
      </c>
      <c r="D31" s="17" t="str">
        <f>IF(Tabla1[[#This Row],[MATERIA PRIMA]]="","",_xlfn.CONCAT(Tabla1[[#This Row],[MATERIA PRIMA]],"_",Tabla1[[#This Row],[PROVEEDOR]],"_",Tabla1[[#This Row],[TIPO]]))</f>
        <v>MAGNE 3_CALFERQUIM_G</v>
      </c>
      <c r="E31" s="17" t="str">
        <f>IF(Tabla1[[#This Row],[MATERIA PRIMA]]="","",IF(SUM(Tabla1[[#This Row],[C]:[Na]])&gt;0,"OK","P"))</f>
        <v>OK</v>
      </c>
      <c r="F31" s="14"/>
      <c r="G31" s="14"/>
      <c r="H31" s="14"/>
      <c r="I31" s="14"/>
      <c r="J31" s="14"/>
      <c r="K31" s="14"/>
      <c r="L31" s="16"/>
      <c r="M31" s="16">
        <v>0.03</v>
      </c>
      <c r="N31" s="19">
        <v>4.4999999999999998E-2</v>
      </c>
      <c r="O31" s="16">
        <v>0.27</v>
      </c>
      <c r="P31" s="19">
        <v>5.5E-2</v>
      </c>
      <c r="Q31" s="14"/>
      <c r="R31" s="14"/>
      <c r="S31" s="14"/>
      <c r="T31" s="14"/>
      <c r="U31" s="14"/>
      <c r="V31" s="14"/>
      <c r="W31" s="16">
        <v>0.13</v>
      </c>
      <c r="X31" s="14"/>
      <c r="Y31" s="14"/>
    </row>
    <row r="32" spans="1:25" x14ac:dyDescent="0.25">
      <c r="A32" s="1" t="s">
        <v>64</v>
      </c>
      <c r="B32" s="1" t="s">
        <v>48</v>
      </c>
      <c r="C32" s="1" t="s">
        <v>36</v>
      </c>
      <c r="D32" s="1" t="str">
        <f>IF(Tabla1[[#This Row],[MATERIA PRIMA]]="","",_xlfn.CONCAT(Tabla1[[#This Row],[MATERIA PRIMA]],"_",Tabla1[[#This Row],[PROVEEDOR]],"_",Tabla1[[#This Row],[TIPO]]))</f>
        <v>MAP_NUTRICION PLANTAS_G</v>
      </c>
      <c r="E32" s="1" t="str">
        <f>IF(Tabla1[[#This Row],[MATERIA PRIMA]]="","",IF(SUM(Tabla1[[#This Row],[C]:[Na]])&gt;0,"OK","P"))</f>
        <v>OK</v>
      </c>
      <c r="F32" s="13"/>
      <c r="G32" s="13">
        <v>0.11</v>
      </c>
      <c r="H32" s="13">
        <v>0.11</v>
      </c>
      <c r="I32" s="13"/>
      <c r="J32" s="13"/>
      <c r="K32" s="13"/>
      <c r="L32" s="13">
        <v>0.52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25">
      <c r="A33" s="1" t="s">
        <v>64</v>
      </c>
      <c r="B33" s="1" t="s">
        <v>86</v>
      </c>
      <c r="C33" s="1" t="s">
        <v>36</v>
      </c>
      <c r="D33" s="17" t="str">
        <f>IF(Tabla1[[#This Row],[MATERIA PRIMA]]="","",_xlfn.CONCAT(Tabla1[[#This Row],[MATERIA PRIMA]],"_",Tabla1[[#This Row],[PROVEEDOR]],"_",Tabla1[[#This Row],[TIPO]]))</f>
        <v>MAP_CIAMSA_G</v>
      </c>
      <c r="E33" s="17" t="str">
        <f>IF(Tabla1[[#This Row],[MATERIA PRIMA]]="","",IF(SUM(Tabla1[[#This Row],[C]:[Na]])&gt;0,"OK","P"))</f>
        <v>OK</v>
      </c>
      <c r="F33" s="14"/>
      <c r="G33" s="16">
        <v>0.11</v>
      </c>
      <c r="H33" s="16">
        <v>0.11</v>
      </c>
      <c r="I33" s="14"/>
      <c r="J33" s="14"/>
      <c r="K33" s="14"/>
      <c r="L33" s="16">
        <v>0.52</v>
      </c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spans="1:25" x14ac:dyDescent="0.25">
      <c r="A34" s="1" t="s">
        <v>64</v>
      </c>
      <c r="B34" s="1" t="s">
        <v>46</v>
      </c>
      <c r="C34" s="1" t="s">
        <v>36</v>
      </c>
      <c r="D34" s="1" t="str">
        <f>IF(Tabla1[[#This Row],[MATERIA PRIMA]]="","",_xlfn.CONCAT(Tabla1[[#This Row],[MATERIA PRIMA]],"_",Tabla1[[#This Row],[PROVEEDOR]],"_",Tabla1[[#This Row],[TIPO]]))</f>
        <v>MAP_PRECISAGRO_G</v>
      </c>
      <c r="E34" s="1" t="str">
        <f>IF(Tabla1[[#This Row],[MATERIA PRIMA]]="","",IF(SUM(Tabla1[[#This Row],[C]:[Na]])&gt;0,"OK","P"))</f>
        <v>OK</v>
      </c>
      <c r="F34" s="14"/>
      <c r="G34" s="16">
        <v>0.1</v>
      </c>
      <c r="H34" s="16">
        <v>0.1</v>
      </c>
      <c r="I34" s="14"/>
      <c r="J34" s="14"/>
      <c r="K34" s="14"/>
      <c r="L34" s="16">
        <v>0.5</v>
      </c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1:25" x14ac:dyDescent="0.25">
      <c r="A35" s="1" t="s">
        <v>64</v>
      </c>
      <c r="B35" s="1" t="s">
        <v>93</v>
      </c>
      <c r="C35" s="1" t="s">
        <v>36</v>
      </c>
      <c r="D35" s="17" t="str">
        <f>IF(Tabla1[[#This Row],[MATERIA PRIMA]]="","",_xlfn.CONCAT(Tabla1[[#This Row],[MATERIA PRIMA]],"_",Tabla1[[#This Row],[PROVEEDOR]],"_",Tabla1[[#This Row],[TIPO]]))</f>
        <v>MAP_NITROFERT_G</v>
      </c>
      <c r="E35" s="17" t="str">
        <f>IF(Tabla1[[#This Row],[MATERIA PRIMA]]="","",IF(SUM(Tabla1[[#This Row],[C]:[Na]])&gt;0,"OK","P"))</f>
        <v>OK</v>
      </c>
      <c r="F35" s="14"/>
      <c r="G35" s="16">
        <v>0.11</v>
      </c>
      <c r="H35" s="16">
        <v>0.11</v>
      </c>
      <c r="I35" s="14"/>
      <c r="J35" s="14"/>
      <c r="K35" s="14"/>
      <c r="L35" s="16">
        <v>0.52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spans="1:25" x14ac:dyDescent="0.25">
      <c r="A36" s="1" t="s">
        <v>64</v>
      </c>
      <c r="B36" s="1" t="s">
        <v>63</v>
      </c>
      <c r="C36" s="1" t="s">
        <v>36</v>
      </c>
      <c r="D36" s="17" t="str">
        <f>IF(Tabla1[[#This Row],[MATERIA PRIMA]]="","",_xlfn.CONCAT(Tabla1[[#This Row],[MATERIA PRIMA]],"_",Tabla1[[#This Row],[PROVEEDOR]],"_",Tabla1[[#This Row],[TIPO]]))</f>
        <v>MAP_EVOAGRO_G</v>
      </c>
      <c r="E36" s="17" t="str">
        <f>IF(Tabla1[[#This Row],[MATERIA PRIMA]]="","",IF(SUM(Tabla1[[#This Row],[C]:[Na]])&gt;0,"OK","P"))</f>
        <v>OK</v>
      </c>
      <c r="F36" s="14"/>
      <c r="G36" s="13">
        <v>0.11</v>
      </c>
      <c r="H36" s="13">
        <v>0.11</v>
      </c>
      <c r="I36" s="13"/>
      <c r="J36" s="13"/>
      <c r="K36" s="13"/>
      <c r="L36" s="13">
        <v>0.52</v>
      </c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spans="1:25" x14ac:dyDescent="0.25">
      <c r="A37" s="1" t="s">
        <v>203</v>
      </c>
      <c r="B37" s="1" t="s">
        <v>46</v>
      </c>
      <c r="C37" s="1" t="s">
        <v>9</v>
      </c>
      <c r="D37" s="1" t="str">
        <f>IF(Tabla1[[#This Row],[MATERIA PRIMA]]="","",_xlfn.CONCAT(Tabla1[[#This Row],[MATERIA PRIMA]],"_",Tabla1[[#This Row],[PROVEEDOR]],"_",Tabla1[[#This Row],[TIPO]]))</f>
        <v>MAP STD_PRECISAGRO_P</v>
      </c>
      <c r="E37" s="1" t="str">
        <f>IF(Tabla1[[#This Row],[MATERIA PRIMA]]="","",IF(SUM(Tabla1[[#This Row],[C]:[Na]])&gt;0,"OK","P"))</f>
        <v>OK</v>
      </c>
      <c r="F37" s="13"/>
      <c r="G37" s="13">
        <v>0.12</v>
      </c>
      <c r="H37" s="13">
        <v>0.12</v>
      </c>
      <c r="I37" s="13"/>
      <c r="J37" s="13"/>
      <c r="K37" s="13"/>
      <c r="L37" s="13">
        <v>0.52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25">
      <c r="A38" s="1" t="s">
        <v>203</v>
      </c>
      <c r="B38" s="1" t="s">
        <v>50</v>
      </c>
      <c r="C38" s="1" t="s">
        <v>9</v>
      </c>
      <c r="D38" s="1" t="str">
        <f>IF(Tabla1[[#This Row],[MATERIA PRIMA]]="","",_xlfn.CONCAT(Tabla1[[#This Row],[MATERIA PRIMA]],"_",Tabla1[[#This Row],[PROVEEDOR]],"_",Tabla1[[#This Row],[TIPO]]))</f>
        <v>MAP STD_SQM_P</v>
      </c>
      <c r="E38" s="1" t="str">
        <f>IF(Tabla1[[#This Row],[MATERIA PRIMA]]="","",IF(SUM(Tabla1[[#This Row],[C]:[Na]])&gt;0,"OK","P"))</f>
        <v>OK</v>
      </c>
      <c r="F38" s="13"/>
      <c r="G38" s="13">
        <v>0.12</v>
      </c>
      <c r="H38" s="13">
        <v>0.12</v>
      </c>
      <c r="I38" s="13"/>
      <c r="J38" s="13"/>
      <c r="K38" s="13"/>
      <c r="L38" s="13">
        <v>0.61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1:25" x14ac:dyDescent="0.25">
      <c r="A39" s="1" t="s">
        <v>94</v>
      </c>
      <c r="B39" s="1" t="s">
        <v>53</v>
      </c>
      <c r="C39" s="1" t="s">
        <v>36</v>
      </c>
      <c r="D39" s="17" t="str">
        <f>IF(Tabla1[[#This Row],[MATERIA PRIMA]]="","",_xlfn.CONCAT(Tabla1[[#This Row],[MATERIA PRIMA]],"_",Tabla1[[#This Row],[PROVEEDOR]],"_",Tabla1[[#This Row],[TIPO]]))</f>
        <v>MF 23-3-20_CALFERQUIM_G</v>
      </c>
      <c r="E39" s="17" t="str">
        <f>IF(Tabla1[[#This Row],[MATERIA PRIMA]]="","",IF(SUM(Tabla1[[#This Row],[C]:[Na]])&gt;0,"OK","P"))</f>
        <v>OK</v>
      </c>
      <c r="F39" s="14"/>
      <c r="G39" s="19">
        <v>0.23</v>
      </c>
      <c r="H39" s="14"/>
      <c r="I39" s="14"/>
      <c r="J39" s="14"/>
      <c r="K39" s="14"/>
      <c r="L39" s="19">
        <v>0.03</v>
      </c>
      <c r="M39" s="19">
        <v>0.2</v>
      </c>
      <c r="N39" s="19">
        <v>3.3000000000000002E-2</v>
      </c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spans="1:25" x14ac:dyDescent="0.25">
      <c r="A40" s="1" t="s">
        <v>70</v>
      </c>
      <c r="B40" s="1" t="s">
        <v>53</v>
      </c>
      <c r="C40" s="1" t="s">
        <v>36</v>
      </c>
      <c r="D40" s="1" t="str">
        <f>IF(Tabla1[[#This Row],[MATERIA PRIMA]]="","",_xlfn.CONCAT(Tabla1[[#This Row],[MATERIA PRIMA]],"_",Tabla1[[#This Row],[PROVEEDOR]],"_",Tabla1[[#This Row],[TIPO]]))</f>
        <v>MF-17-6-18-2_CALFERQUIM_G</v>
      </c>
      <c r="E40" s="1" t="str">
        <f>IF(Tabla1[[#This Row],[MATERIA PRIMA]]="","",IF(SUM(Tabla1[[#This Row],[C]:[Na]])&gt;0,"OK","P"))</f>
        <v>OK</v>
      </c>
      <c r="F40" s="13"/>
      <c r="G40" s="13">
        <v>0.17</v>
      </c>
      <c r="H40" s="13"/>
      <c r="I40" s="13"/>
      <c r="J40" s="13"/>
      <c r="K40" s="13"/>
      <c r="L40" s="13">
        <v>0.06</v>
      </c>
      <c r="M40" s="13">
        <v>0.18</v>
      </c>
      <c r="N40" s="13"/>
      <c r="O40" s="13"/>
      <c r="P40" s="13">
        <v>0.02</v>
      </c>
      <c r="Q40" s="13"/>
      <c r="R40" s="13"/>
      <c r="S40" s="13"/>
      <c r="T40" s="13"/>
      <c r="U40" s="13"/>
      <c r="V40" s="13"/>
      <c r="W40" s="13"/>
      <c r="X40" s="13"/>
      <c r="Y40" s="13"/>
    </row>
    <row r="41" spans="1:25" x14ac:dyDescent="0.25">
      <c r="A41" s="1" t="s">
        <v>90</v>
      </c>
      <c r="B41" s="1" t="s">
        <v>53</v>
      </c>
      <c r="C41" s="1" t="s">
        <v>36</v>
      </c>
      <c r="D41" s="17" t="str">
        <f>IF(Tabla1[[#This Row],[MATERIA PRIMA]]="","",_xlfn.CONCAT(Tabla1[[#This Row],[MATERIA PRIMA]],"_",Tabla1[[#This Row],[PROVEEDOR]],"_",Tabla1[[#This Row],[TIPO]]))</f>
        <v>MF-23-3-20-4Ca-3Si_CALFERQUIM_G</v>
      </c>
      <c r="E41" s="17" t="str">
        <f>IF(Tabla1[[#This Row],[MATERIA PRIMA]]="","",IF(SUM(Tabla1[[#This Row],[C]:[Na]])&gt;0,"OK","P"))</f>
        <v>OK</v>
      </c>
      <c r="F41" s="14"/>
      <c r="G41" s="16">
        <v>0.23</v>
      </c>
      <c r="H41" s="14"/>
      <c r="I41" s="14"/>
      <c r="J41" s="14"/>
      <c r="K41" s="14"/>
      <c r="L41" s="16">
        <v>0.03</v>
      </c>
      <c r="M41" s="16">
        <v>0.2</v>
      </c>
      <c r="N41" s="16">
        <v>0.04</v>
      </c>
      <c r="O41" s="14"/>
      <c r="P41" s="14"/>
      <c r="Q41" s="14"/>
      <c r="R41" s="14"/>
      <c r="S41" s="14"/>
      <c r="T41" s="14"/>
      <c r="U41" s="14"/>
      <c r="V41" s="14"/>
      <c r="W41" s="16">
        <v>0.03</v>
      </c>
      <c r="X41" s="14"/>
      <c r="Y41" s="14"/>
    </row>
    <row r="42" spans="1:25" x14ac:dyDescent="0.25">
      <c r="A42" s="1" t="s">
        <v>92</v>
      </c>
      <c r="B42" s="1" t="s">
        <v>53</v>
      </c>
      <c r="C42" s="1" t="s">
        <v>36</v>
      </c>
      <c r="D42" s="17" t="str">
        <f>IF(Tabla1[[#This Row],[MATERIA PRIMA]]="","",_xlfn.CONCAT(Tabla1[[#This Row],[MATERIA PRIMA]],"_",Tabla1[[#This Row],[PROVEEDOR]],"_",Tabla1[[#This Row],[TIPO]]))</f>
        <v>MICRON C_CALFERQUIM_G</v>
      </c>
      <c r="E42" s="17" t="str">
        <f>IF(Tabla1[[#This Row],[MATERIA PRIMA]]="","",IF(SUM(Tabla1[[#This Row],[C]:[Na]])&gt;0,"OK","P"))</f>
        <v>OK</v>
      </c>
      <c r="F42" s="14"/>
      <c r="G42" s="16">
        <v>0.46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x14ac:dyDescent="0.25">
      <c r="A43" s="1" t="s">
        <v>91</v>
      </c>
      <c r="B43" s="1" t="s">
        <v>53</v>
      </c>
      <c r="C43" s="1" t="s">
        <v>36</v>
      </c>
      <c r="D43" s="17" t="str">
        <f>IF(Tabla1[[#This Row],[MATERIA PRIMA]]="","",_xlfn.CONCAT(Tabla1[[#This Row],[MATERIA PRIMA]],"_",Tabla1[[#This Row],[PROVEEDOR]],"_",Tabla1[[#This Row],[TIPO]]))</f>
        <v>MICRON CS_CALFERQUIM_G</v>
      </c>
      <c r="E43" s="17" t="str">
        <f>IF(Tabla1[[#This Row],[MATERIA PRIMA]]="","",IF(SUM(Tabla1[[#This Row],[C]:[Na]])&gt;0,"OK","P"))</f>
        <v>OK</v>
      </c>
      <c r="F43" s="14"/>
      <c r="G43" s="16">
        <v>0.4</v>
      </c>
      <c r="H43" s="14"/>
      <c r="I43" s="14"/>
      <c r="J43" s="14"/>
      <c r="K43" s="16">
        <v>0.4</v>
      </c>
      <c r="L43" s="14"/>
      <c r="M43" s="14"/>
      <c r="N43" s="14"/>
      <c r="O43" s="14"/>
      <c r="P43" s="16">
        <v>0.06</v>
      </c>
      <c r="Q43" s="14"/>
      <c r="R43" s="14"/>
      <c r="S43" s="14"/>
      <c r="T43" s="14"/>
      <c r="U43" s="14"/>
      <c r="V43" s="14"/>
      <c r="W43" s="14"/>
      <c r="X43" s="14"/>
      <c r="Y43" s="14"/>
    </row>
    <row r="44" spans="1:25" x14ac:dyDescent="0.25">
      <c r="A44" s="1" t="s">
        <v>73</v>
      </c>
      <c r="B44" s="1" t="s">
        <v>46</v>
      </c>
      <c r="C44" s="1" t="s">
        <v>3</v>
      </c>
      <c r="D44" s="1" t="str">
        <f>IF(Tabla1[[#This Row],[MATERIA PRIMA]]="","",_xlfn.CONCAT(Tabla1[[#This Row],[MATERIA PRIMA]],"_",Tabla1[[#This Row],[PROVEEDOR]],"_",Tabla1[[#This Row],[TIPO]]))</f>
        <v>MKP_PRECISAGRO_C</v>
      </c>
      <c r="E44" s="1" t="str">
        <f>IF(Tabla1[[#This Row],[MATERIA PRIMA]]="","",IF(SUM(Tabla1[[#This Row],[C]:[Na]])&gt;0,"OK","P"))</f>
        <v>OK</v>
      </c>
      <c r="F44" s="13"/>
      <c r="G44" s="13"/>
      <c r="H44" s="13"/>
      <c r="I44" s="13"/>
      <c r="J44" s="13"/>
      <c r="K44" s="13"/>
      <c r="L44" s="13">
        <v>0.52</v>
      </c>
      <c r="M44" s="13">
        <v>0.34</v>
      </c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</row>
    <row r="45" spans="1:25" x14ac:dyDescent="0.25">
      <c r="A45" s="1" t="s">
        <v>34</v>
      </c>
      <c r="B45" s="1" t="s">
        <v>53</v>
      </c>
      <c r="C45" s="1" t="s">
        <v>36</v>
      </c>
      <c r="D45" s="1" t="str">
        <f>IF(Tabla1[[#This Row],[MATERIA PRIMA]]="","",_xlfn.CONCAT(Tabla1[[#This Row],[MATERIA PRIMA]],"_",Tabla1[[#This Row],[PROVEEDOR]],"_",Tabla1[[#This Row],[TIPO]]))</f>
        <v>NUCLEO 4_CALFERQUIM_G</v>
      </c>
      <c r="E45" s="1" t="str">
        <f>IF(Tabla1[[#This Row],[MATERIA PRIMA]]="","",IF(SUM(Tabla1[[#This Row],[C]:[Na]])&gt;0,"OK","P"))</f>
        <v>OK</v>
      </c>
      <c r="F45" s="13"/>
      <c r="G45" s="13"/>
      <c r="H45" s="13"/>
      <c r="I45" s="13"/>
      <c r="J45" s="13"/>
      <c r="K45" s="13"/>
      <c r="L45" s="13"/>
      <c r="M45" s="13"/>
      <c r="N45" s="13">
        <v>0.18</v>
      </c>
      <c r="O45" s="13">
        <v>0.18</v>
      </c>
      <c r="P45" s="13">
        <v>0.04</v>
      </c>
      <c r="Q45" s="13"/>
      <c r="R45" s="13"/>
      <c r="S45" s="13"/>
      <c r="T45" s="13"/>
      <c r="U45" s="13"/>
      <c r="V45" s="13"/>
      <c r="W45" s="13">
        <v>0.14000000000000001</v>
      </c>
      <c r="X45" s="13"/>
      <c r="Y45" s="13"/>
    </row>
    <row r="46" spans="1:25" x14ac:dyDescent="0.25">
      <c r="A46" s="1" t="s">
        <v>88</v>
      </c>
      <c r="B46" s="1" t="s">
        <v>89</v>
      </c>
      <c r="C46" s="1" t="s">
        <v>36</v>
      </c>
      <c r="D46" s="1" t="str">
        <f>IF(Tabla1[[#This Row],[MATERIA PRIMA]]="","",_xlfn.CONCAT(Tabla1[[#This Row],[MATERIA PRIMA]],"_",Tabla1[[#This Row],[PROVEEDOR]],"_",Tabla1[[#This Row],[TIPO]]))</f>
        <v>NUCLEO HIERRO_CAMPOFERT_G</v>
      </c>
      <c r="E46" s="1" t="str">
        <f>IF(Tabla1[[#This Row],[MATERIA PRIMA]]="","",IF(SUM(Tabla1[[#This Row],[C]:[Na]])&gt;0,"OK","P"))</f>
        <v>P</v>
      </c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</row>
    <row r="47" spans="1:25" x14ac:dyDescent="0.25">
      <c r="A47" s="1" t="s">
        <v>77</v>
      </c>
      <c r="B47" s="1" t="s">
        <v>78</v>
      </c>
      <c r="C47" s="1" t="s">
        <v>9</v>
      </c>
      <c r="D47" s="1" t="str">
        <f>IF(Tabla1[[#This Row],[MATERIA PRIMA]]="","",_xlfn.CONCAT(Tabla1[[#This Row],[MATERIA PRIMA]],"_",Tabla1[[#This Row],[PROVEEDOR]],"_",Tabla1[[#This Row],[TIPO]]))</f>
        <v>OXIDO MAGNESIO_ATEQUIMICOS_P</v>
      </c>
      <c r="E47" s="1" t="str">
        <f>IF(Tabla1[[#This Row],[MATERIA PRIMA]]="","",IF(SUM(Tabla1[[#This Row],[C]:[Na]])&gt;0,"OK","P"))</f>
        <v>OK</v>
      </c>
      <c r="F47" s="13"/>
      <c r="G47" s="13"/>
      <c r="H47" s="13"/>
      <c r="I47" s="13"/>
      <c r="J47" s="13"/>
      <c r="K47" s="13"/>
      <c r="L47" s="13"/>
      <c r="M47" s="13"/>
      <c r="N47" s="13">
        <v>0.03</v>
      </c>
      <c r="O47" s="13">
        <v>0.9</v>
      </c>
      <c r="P47" s="13"/>
      <c r="Q47" s="13"/>
      <c r="R47" s="13"/>
      <c r="S47" s="13"/>
      <c r="T47" s="13"/>
      <c r="U47" s="13"/>
      <c r="V47" s="13"/>
      <c r="W47" s="13">
        <v>0.05</v>
      </c>
      <c r="X47" s="13"/>
      <c r="Y47" s="13"/>
    </row>
    <row r="48" spans="1:25" x14ac:dyDescent="0.25">
      <c r="A48" s="1" t="s">
        <v>69</v>
      </c>
      <c r="B48" s="1" t="s">
        <v>46</v>
      </c>
      <c r="C48" s="1"/>
      <c r="D48" s="1" t="str">
        <f>IF(Tabla1[[#This Row],[MATERIA PRIMA]]="","",_xlfn.CONCAT(Tabla1[[#This Row],[MATERIA PRIMA]],"_",Tabla1[[#This Row],[PROVEEDOR]],"_",Tabla1[[#This Row],[TIPO]]))</f>
        <v>PANTEKALI_PRECISAGRO_</v>
      </c>
      <c r="E48" s="1" t="str">
        <f>IF(Tabla1[[#This Row],[MATERIA PRIMA]]="","",IF(SUM(Tabla1[[#This Row],[C]:[Na]])&gt;0,"OK","P"))</f>
        <v>OK</v>
      </c>
      <c r="F48" s="13"/>
      <c r="G48" s="13"/>
      <c r="H48" s="13"/>
      <c r="I48" s="13"/>
      <c r="J48" s="13"/>
      <c r="K48" s="13"/>
      <c r="L48" s="13"/>
      <c r="M48" s="13">
        <v>0.3</v>
      </c>
      <c r="N48" s="13"/>
      <c r="O48" s="13">
        <v>0.1</v>
      </c>
      <c r="P48" s="13">
        <v>0.17</v>
      </c>
      <c r="Q48" s="13"/>
      <c r="R48" s="13"/>
      <c r="S48" s="13"/>
      <c r="T48" s="13"/>
      <c r="U48" s="13"/>
      <c r="V48" s="13"/>
      <c r="W48" s="13"/>
      <c r="X48" s="13"/>
      <c r="Y48" s="13"/>
    </row>
    <row r="49" spans="1:25" x14ac:dyDescent="0.25">
      <c r="A49" s="1" t="s">
        <v>69</v>
      </c>
      <c r="B49" s="1" t="s">
        <v>62</v>
      </c>
      <c r="C49" s="1"/>
      <c r="D49" s="17" t="str">
        <f>IF(Tabla1[[#This Row],[MATERIA PRIMA]]="","",_xlfn.CONCAT(Tabla1[[#This Row],[MATERIA PRIMA]],"_",Tabla1[[#This Row],[PROVEEDOR]],"_",Tabla1[[#This Row],[TIPO]]))</f>
        <v>PANTEKALI_DISAN_</v>
      </c>
      <c r="E49" s="17" t="str">
        <f>IF(Tabla1[[#This Row],[MATERIA PRIMA]]="","",IF(SUM(Tabla1[[#This Row],[C]:[Na]])&gt;0,"OK","P"))</f>
        <v>OK</v>
      </c>
      <c r="F49" s="13"/>
      <c r="G49" s="13"/>
      <c r="H49" s="13"/>
      <c r="I49" s="13"/>
      <c r="J49" s="13"/>
      <c r="K49" s="13"/>
      <c r="L49" s="13"/>
      <c r="M49" s="13">
        <v>0.3</v>
      </c>
      <c r="N49" s="13"/>
      <c r="O49" s="13">
        <v>0.1</v>
      </c>
      <c r="P49" s="13">
        <v>0.17</v>
      </c>
      <c r="Q49" s="13"/>
      <c r="R49" s="13"/>
      <c r="S49" s="13"/>
      <c r="T49" s="13"/>
      <c r="U49" s="13"/>
      <c r="V49" s="13"/>
      <c r="W49" s="13"/>
      <c r="X49" s="13"/>
      <c r="Y49" s="13"/>
    </row>
    <row r="50" spans="1:25" x14ac:dyDescent="0.25">
      <c r="A50" s="1" t="s">
        <v>54</v>
      </c>
      <c r="B50" s="1" t="s">
        <v>53</v>
      </c>
      <c r="C50" s="1" t="s">
        <v>36</v>
      </c>
      <c r="D50" s="1" t="str">
        <f>IF(Tabla1[[#This Row],[MATERIA PRIMA]]="","",_xlfn.CONCAT(Tabla1[[#This Row],[MATERIA PRIMA]],"_",Tabla1[[#This Row],[PROVEEDOR]],"_",Tabla1[[#This Row],[TIPO]]))</f>
        <v>RAIFOS20_CALFERQUIM_G</v>
      </c>
      <c r="E50" s="1" t="str">
        <f>IF(Tabla1[[#This Row],[MATERIA PRIMA]]="","",IF(SUM(Tabla1[[#This Row],[C]:[Na]])&gt;0,"OK","P"))</f>
        <v>OK</v>
      </c>
      <c r="F50" s="13">
        <v>0.05</v>
      </c>
      <c r="G50" s="13"/>
      <c r="H50" s="13"/>
      <c r="I50" s="13"/>
      <c r="J50" s="13"/>
      <c r="K50" s="13"/>
      <c r="L50" s="13">
        <v>0.2</v>
      </c>
      <c r="M50" s="13"/>
      <c r="N50" s="13">
        <v>0.23</v>
      </c>
      <c r="O50" s="15">
        <v>1.4999999999999999E-2</v>
      </c>
      <c r="P50" s="15">
        <v>0.01</v>
      </c>
      <c r="Q50" s="13"/>
      <c r="R50" s="13"/>
      <c r="S50" s="13"/>
      <c r="T50" s="13"/>
      <c r="U50" s="13"/>
      <c r="V50" s="13"/>
      <c r="W50" s="13">
        <v>0.21</v>
      </c>
      <c r="X50" s="13"/>
      <c r="Y50" s="13"/>
    </row>
    <row r="51" spans="1:25" x14ac:dyDescent="0.25">
      <c r="A51" s="1" t="s">
        <v>55</v>
      </c>
      <c r="B51" s="1" t="s">
        <v>56</v>
      </c>
      <c r="C51" s="1" t="s">
        <v>9</v>
      </c>
      <c r="D51" s="1" t="str">
        <f>IF(Tabla1[[#This Row],[MATERIA PRIMA]]="","",_xlfn.CONCAT(Tabla1[[#This Row],[MATERIA PRIMA]],"_",Tabla1[[#This Row],[PROVEEDOR]],"_",Tabla1[[#This Row],[TIPO]]))</f>
        <v>ROCA FOSFÓRICA_FOSFATOS HUILA_P</v>
      </c>
      <c r="E51" s="1" t="str">
        <f>IF(Tabla1[[#This Row],[MATERIA PRIMA]]="","",IF(SUM(Tabla1[[#This Row],[C]:[Na]])&gt;0,"OK","P"))</f>
        <v>OK</v>
      </c>
      <c r="F51" s="13"/>
      <c r="G51" s="13"/>
      <c r="H51" s="13"/>
      <c r="I51" s="13"/>
      <c r="J51" s="13"/>
      <c r="K51" s="13"/>
      <c r="L51" s="13">
        <v>0.28000000000000003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</row>
    <row r="52" spans="1:25" x14ac:dyDescent="0.25">
      <c r="A52" s="1" t="s">
        <v>165</v>
      </c>
      <c r="B52" s="1" t="s">
        <v>61</v>
      </c>
      <c r="C52" s="1" t="s">
        <v>9</v>
      </c>
      <c r="D52" s="17" t="str">
        <f>IF(Tabla1[[#This Row],[MATERIA PRIMA]]="","",_xlfn.CONCAT(Tabla1[[#This Row],[MATERIA PRIMA]],"_",Tabla1[[#This Row],[PROVEEDOR]],"_",Tabla1[[#This Row],[TIPO]]))</f>
        <v>ROCA FOSFORICA-24_PRACO_P</v>
      </c>
      <c r="E52" s="17" t="str">
        <f>IF(Tabla1[[#This Row],[MATERIA PRIMA]]="","",IF(SUM(Tabla1[[#This Row],[C]:[Na]])&gt;0,"OK","P"))</f>
        <v>OK</v>
      </c>
      <c r="F52" s="14"/>
      <c r="G52" s="14"/>
      <c r="H52" s="14"/>
      <c r="I52" s="14"/>
      <c r="J52" s="14"/>
      <c r="K52" s="14"/>
      <c r="L52" s="16">
        <v>0.24</v>
      </c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x14ac:dyDescent="0.25">
      <c r="A53" s="1" t="s">
        <v>164</v>
      </c>
      <c r="B53" s="1" t="s">
        <v>61</v>
      </c>
      <c r="C53" s="1" t="s">
        <v>9</v>
      </c>
      <c r="D53" s="17" t="str">
        <f>IF(Tabla1[[#This Row],[MATERIA PRIMA]]="","",_xlfn.CONCAT(Tabla1[[#This Row],[MATERIA PRIMA]],"_",Tabla1[[#This Row],[PROVEEDOR]],"_",Tabla1[[#This Row],[TIPO]]))</f>
        <v>ROCA FOSFORICA-26_PRACO_P</v>
      </c>
      <c r="E53" s="17" t="str">
        <f>IF(Tabla1[[#This Row],[MATERIA PRIMA]]="","",IF(SUM(Tabla1[[#This Row],[C]:[Na]])&gt;0,"OK","P"))</f>
        <v>OK</v>
      </c>
      <c r="F53" s="14"/>
      <c r="G53" s="14"/>
      <c r="H53" s="14"/>
      <c r="I53" s="14"/>
      <c r="J53" s="14"/>
      <c r="K53" s="14"/>
      <c r="L53" s="16">
        <v>0.26</v>
      </c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x14ac:dyDescent="0.25">
      <c r="A54" s="1" t="s">
        <v>163</v>
      </c>
      <c r="B54" s="1" t="s">
        <v>61</v>
      </c>
      <c r="C54" s="1" t="s">
        <v>9</v>
      </c>
      <c r="D54" s="1" t="str">
        <f>IF(Tabla1[[#This Row],[MATERIA PRIMA]]="","",_xlfn.CONCAT(Tabla1[[#This Row],[MATERIA PRIMA]],"_",Tabla1[[#This Row],[PROVEEDOR]],"_",Tabla1[[#This Row],[TIPO]]))</f>
        <v>ROCA FOSFÓRICA-28_PRACO_P</v>
      </c>
      <c r="E54" s="1" t="str">
        <f>IF(Tabla1[[#This Row],[MATERIA PRIMA]]="","",IF(SUM(Tabla1[[#This Row],[C]:[Na]])&gt;0,"OK","P"))</f>
        <v>OK</v>
      </c>
      <c r="F54" s="13"/>
      <c r="G54" s="13"/>
      <c r="H54" s="13"/>
      <c r="I54" s="13"/>
      <c r="J54" s="13"/>
      <c r="K54" s="13"/>
      <c r="L54" s="13">
        <v>0.28000000000000003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</row>
    <row r="55" spans="1:25" x14ac:dyDescent="0.25">
      <c r="A55" s="1" t="s">
        <v>166</v>
      </c>
      <c r="B55" s="1"/>
      <c r="C55" s="1" t="s">
        <v>9</v>
      </c>
      <c r="D55" s="17" t="str">
        <f>IF(Tabla1[[#This Row],[MATERIA PRIMA]]="","",_xlfn.CONCAT(Tabla1[[#This Row],[MATERIA PRIMA]],"_",Tabla1[[#This Row],[PROVEEDOR]],"_",Tabla1[[#This Row],[TIPO]]))</f>
        <v>ROCA FOSFORICA-30__P</v>
      </c>
      <c r="E55" s="17" t="str">
        <f>IF(Tabla1[[#This Row],[MATERIA PRIMA]]="","",IF(SUM(Tabla1[[#This Row],[C]:[Na]])&gt;0,"OK","P"))</f>
        <v>OK</v>
      </c>
      <c r="F55" s="14"/>
      <c r="G55" s="14"/>
      <c r="H55" s="14"/>
      <c r="I55" s="14"/>
      <c r="J55" s="14"/>
      <c r="K55" s="14"/>
      <c r="L55" s="16">
        <v>0.3</v>
      </c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spans="1:25" x14ac:dyDescent="0.25">
      <c r="A56" s="1" t="s">
        <v>47</v>
      </c>
      <c r="B56" s="1" t="s">
        <v>48</v>
      </c>
      <c r="C56" s="1" t="s">
        <v>36</v>
      </c>
      <c r="D56" s="1" t="str">
        <f>IF(Tabla1[[#This Row],[MATERIA PRIMA]]="","",_xlfn.CONCAT(Tabla1[[#This Row],[MATERIA PRIMA]],"_",Tabla1[[#This Row],[PROVEEDOR]],"_",Tabla1[[#This Row],[TIPO]]))</f>
        <v>SAM_NUTRICION PLANTAS_G</v>
      </c>
      <c r="E56" s="1" t="str">
        <f>IF(Tabla1[[#This Row],[MATERIA PRIMA]]="","",IF(SUM(Tabla1[[#This Row],[C]:[Na]])&gt;0,"OK","P"))</f>
        <v>OK</v>
      </c>
      <c r="F56" s="13"/>
      <c r="G56" s="13">
        <v>0.21</v>
      </c>
      <c r="H56" s="13">
        <v>0.21</v>
      </c>
      <c r="I56" s="13"/>
      <c r="J56" s="13"/>
      <c r="K56" s="13"/>
      <c r="L56" s="13"/>
      <c r="M56" s="13"/>
      <c r="N56" s="13"/>
      <c r="O56" s="13"/>
      <c r="P56" s="13">
        <v>0.24</v>
      </c>
      <c r="Q56" s="13"/>
      <c r="R56" s="13"/>
      <c r="S56" s="13"/>
      <c r="T56" s="13"/>
      <c r="U56" s="13"/>
      <c r="V56" s="13"/>
      <c r="W56" s="13"/>
      <c r="X56" s="13"/>
      <c r="Y56" s="13"/>
    </row>
    <row r="57" spans="1:25" x14ac:dyDescent="0.25">
      <c r="A57" s="1" t="s">
        <v>47</v>
      </c>
      <c r="B57" s="1" t="s">
        <v>46</v>
      </c>
      <c r="C57" s="1" t="s">
        <v>36</v>
      </c>
      <c r="D57" s="1" t="str">
        <f>IF(Tabla1[[#This Row],[MATERIA PRIMA]]="","",_xlfn.CONCAT(Tabla1[[#This Row],[MATERIA PRIMA]],"_",Tabla1[[#This Row],[PROVEEDOR]],"_",Tabla1[[#This Row],[TIPO]]))</f>
        <v>SAM_PRECISAGRO_G</v>
      </c>
      <c r="E57" s="1" t="str">
        <f>IF(Tabla1[[#This Row],[MATERIA PRIMA]]="","",IF(SUM(Tabla1[[#This Row],[C]:[Na]])&gt;0,"OK","P"))</f>
        <v>OK</v>
      </c>
      <c r="F57" s="13"/>
      <c r="G57" s="13">
        <v>0.21</v>
      </c>
      <c r="H57" s="13">
        <v>0.21</v>
      </c>
      <c r="I57" s="13"/>
      <c r="J57" s="13"/>
      <c r="K57" s="13"/>
      <c r="L57" s="13"/>
      <c r="M57" s="13"/>
      <c r="N57" s="13"/>
      <c r="O57" s="13"/>
      <c r="P57" s="13">
        <v>0.24</v>
      </c>
      <c r="Q57" s="13"/>
      <c r="R57" s="13"/>
      <c r="S57" s="13"/>
      <c r="T57" s="13"/>
      <c r="U57" s="13"/>
      <c r="V57" s="13"/>
      <c r="W57" s="13"/>
      <c r="X57" s="13"/>
      <c r="Y57" s="13"/>
    </row>
    <row r="58" spans="1:25" x14ac:dyDescent="0.25">
      <c r="A58" s="1" t="s">
        <v>47</v>
      </c>
      <c r="B58" s="1" t="s">
        <v>63</v>
      </c>
      <c r="C58" s="1" t="s">
        <v>87</v>
      </c>
      <c r="D58" s="1" t="str">
        <f>IF(Tabla1[[#This Row],[MATERIA PRIMA]]="","",_xlfn.CONCAT(Tabla1[[#This Row],[MATERIA PRIMA]],"_",Tabla1[[#This Row],[PROVEEDOR]],"_",Tabla1[[#This Row],[TIPO]]))</f>
        <v>SAM_EVOAGRO_g</v>
      </c>
      <c r="E58" s="1" t="str">
        <f>IF(Tabla1[[#This Row],[MATERIA PRIMA]]="","",IF(SUM(Tabla1[[#This Row],[C]:[Na]])&gt;0,"OK","P"))</f>
        <v>OK</v>
      </c>
      <c r="F58" s="14"/>
      <c r="G58" s="13">
        <v>0.21</v>
      </c>
      <c r="H58" s="13">
        <v>0.21</v>
      </c>
      <c r="I58" s="13"/>
      <c r="J58" s="13"/>
      <c r="K58" s="13"/>
      <c r="L58" s="13"/>
      <c r="M58" s="13"/>
      <c r="N58" s="13"/>
      <c r="O58" s="13"/>
      <c r="P58" s="13">
        <v>0.24</v>
      </c>
      <c r="Q58" s="14"/>
      <c r="R58" s="14"/>
      <c r="S58" s="14"/>
      <c r="T58" s="14"/>
      <c r="U58" s="14"/>
      <c r="V58" s="14"/>
      <c r="W58" s="14"/>
      <c r="X58" s="14"/>
      <c r="Y58" s="14"/>
    </row>
    <row r="59" spans="1:25" x14ac:dyDescent="0.25">
      <c r="A59" s="1" t="s">
        <v>47</v>
      </c>
      <c r="B59" s="1" t="s">
        <v>53</v>
      </c>
      <c r="C59" s="1" t="s">
        <v>36</v>
      </c>
      <c r="D59" s="17" t="str">
        <f>IF(Tabla1[[#This Row],[MATERIA PRIMA]]="","",_xlfn.CONCAT(Tabla1[[#This Row],[MATERIA PRIMA]],"_",Tabla1[[#This Row],[PROVEEDOR]],"_",Tabla1[[#This Row],[TIPO]]))</f>
        <v>SAM_CALFERQUIM_G</v>
      </c>
      <c r="E59" s="17" t="str">
        <f>IF(Tabla1[[#This Row],[MATERIA PRIMA]]="","",IF(SUM(Tabla1[[#This Row],[C]:[Na]])&gt;0,"OK","P"))</f>
        <v>OK</v>
      </c>
      <c r="F59" s="13"/>
      <c r="G59" s="13">
        <v>0.21</v>
      </c>
      <c r="H59" s="13">
        <v>0.21</v>
      </c>
      <c r="I59" s="13"/>
      <c r="J59" s="13"/>
      <c r="K59" s="13"/>
      <c r="L59" s="13"/>
      <c r="M59" s="13"/>
      <c r="N59" s="13"/>
      <c r="O59" s="13"/>
      <c r="P59" s="13">
        <v>0.24</v>
      </c>
      <c r="Q59" s="13"/>
      <c r="R59" s="13"/>
      <c r="S59" s="13"/>
      <c r="T59" s="13"/>
      <c r="U59" s="13"/>
      <c r="V59" s="13"/>
      <c r="W59" s="13"/>
      <c r="X59" s="13"/>
      <c r="Y59" s="13"/>
    </row>
    <row r="60" spans="1:25" x14ac:dyDescent="0.25">
      <c r="A60" s="1" t="s">
        <v>67</v>
      </c>
      <c r="B60" s="1" t="s">
        <v>66</v>
      </c>
      <c r="C60" s="1" t="s">
        <v>9</v>
      </c>
      <c r="D60" s="1" t="str">
        <f>IF(Tabla1[[#This Row],[MATERIA PRIMA]]="","",_xlfn.CONCAT(Tabla1[[#This Row],[MATERIA PRIMA]],"_",Tabla1[[#This Row],[PROVEEDOR]],"_",Tabla1[[#This Row],[TIPO]]))</f>
        <v>SILICATO HIERRO_HYM_P</v>
      </c>
      <c r="E60" s="1" t="str">
        <f>IF(Tabla1[[#This Row],[MATERIA PRIMA]]="","",IF(SUM(Tabla1[[#This Row],[C]:[Na]])&gt;0,"OK","P"))</f>
        <v>P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</row>
    <row r="61" spans="1:25" x14ac:dyDescent="0.25">
      <c r="A61" s="1" t="s">
        <v>30</v>
      </c>
      <c r="B61" s="1" t="s">
        <v>31</v>
      </c>
      <c r="C61" s="1" t="s">
        <v>9</v>
      </c>
      <c r="D61" s="1" t="str">
        <f>IF(Tabla1[[#This Row],[MATERIA PRIMA]]="","",_xlfn.CONCAT(Tabla1[[#This Row],[MATERIA PRIMA]],"_",Tabla1[[#This Row],[PROVEEDOR]],"_",Tabla1[[#This Row],[TIPO]]))</f>
        <v>SILICATO MAGNESIO_JULIAN SALDARRIAGA_P</v>
      </c>
      <c r="E61" s="1" t="str">
        <f>IF(Tabla1[[#This Row],[MATERIA PRIMA]]="","",IF(SUM(Tabla1[[#This Row],[C]:[Na]])&gt;0,"OK","P"))</f>
        <v>OK</v>
      </c>
      <c r="F61" s="13"/>
      <c r="G61" s="13"/>
      <c r="H61" s="13"/>
      <c r="I61" s="13"/>
      <c r="J61" s="13"/>
      <c r="K61" s="13"/>
      <c r="L61" s="13"/>
      <c r="M61" s="13"/>
      <c r="N61" s="13"/>
      <c r="O61" s="13">
        <v>0.36</v>
      </c>
      <c r="P61" s="13"/>
      <c r="Q61" s="13"/>
      <c r="R61" s="13"/>
      <c r="S61" s="13"/>
      <c r="T61" s="13"/>
      <c r="U61" s="13"/>
      <c r="V61" s="13"/>
      <c r="W61" s="13">
        <v>0.39600000000000002</v>
      </c>
      <c r="X61" s="13"/>
      <c r="Y61" s="13"/>
    </row>
    <row r="62" spans="1:25" x14ac:dyDescent="0.25">
      <c r="A62" s="1" t="s">
        <v>52</v>
      </c>
      <c r="B62" s="1" t="s">
        <v>53</v>
      </c>
      <c r="C62" s="1" t="s">
        <v>36</v>
      </c>
      <c r="D62" s="1" t="str">
        <f>IF(Tabla1[[#This Row],[MATERIA PRIMA]]="","",_xlfn.CONCAT(Tabla1[[#This Row],[MATERIA PRIMA]],"_",Tabla1[[#This Row],[PROVEEDOR]],"_",Tabla1[[#This Row],[TIPO]]))</f>
        <v>SILIMAGRAN_CALFERQUIM_G</v>
      </c>
      <c r="E62" s="1" t="str">
        <f>IF(Tabla1[[#This Row],[MATERIA PRIMA]]="","",IF(SUM(Tabla1[[#This Row],[C]:[Na]])&gt;0,"OK","P"))</f>
        <v>OK</v>
      </c>
      <c r="F62" s="13"/>
      <c r="G62" s="13"/>
      <c r="H62" s="13"/>
      <c r="I62" s="13"/>
      <c r="J62" s="13"/>
      <c r="K62" s="13"/>
      <c r="L62" s="13">
        <v>0.05</v>
      </c>
      <c r="M62" s="13"/>
      <c r="N62" s="13"/>
      <c r="O62" s="13">
        <v>0.3</v>
      </c>
      <c r="P62" s="13"/>
      <c r="Q62" s="13"/>
      <c r="R62" s="13"/>
      <c r="S62" s="13"/>
      <c r="T62" s="13"/>
      <c r="U62" s="13"/>
      <c r="V62" s="13"/>
      <c r="W62" s="13">
        <v>0.3</v>
      </c>
      <c r="X62" s="13"/>
      <c r="Y62" s="13"/>
    </row>
    <row r="63" spans="1:25" x14ac:dyDescent="0.25">
      <c r="A63" s="1" t="s">
        <v>25</v>
      </c>
      <c r="B63" s="1" t="s">
        <v>24</v>
      </c>
      <c r="C63" s="1" t="s">
        <v>9</v>
      </c>
      <c r="D63" s="1" t="str">
        <f>IF(Tabla1[[#This Row],[MATERIA PRIMA]]="","",_xlfn.CONCAT(Tabla1[[#This Row],[MATERIA PRIMA]],"_",Tabla1[[#This Row],[PROVEEDOR]],"_",Tabla1[[#This Row],[TIPO]]))</f>
        <v>SULFATO CALCIO_ANIBAL ARANGO_P</v>
      </c>
      <c r="E63" s="1" t="str">
        <f>IF(Tabla1[[#This Row],[MATERIA PRIMA]]="","",IF(SUM(Tabla1[[#This Row],[C]:[Na]])&gt;0,"OK","P"))</f>
        <v>OK</v>
      </c>
      <c r="F63" s="13"/>
      <c r="G63" s="13"/>
      <c r="H63" s="13"/>
      <c r="I63" s="13"/>
      <c r="J63" s="13"/>
      <c r="K63" s="13"/>
      <c r="L63" s="13"/>
      <c r="M63" s="13"/>
      <c r="N63" s="13">
        <v>0.26</v>
      </c>
      <c r="O63" s="13"/>
      <c r="P63" s="13">
        <v>0.13</v>
      </c>
      <c r="Q63" s="13"/>
      <c r="R63" s="13"/>
      <c r="S63" s="13"/>
      <c r="T63" s="13"/>
      <c r="U63" s="13"/>
      <c r="V63" s="13"/>
      <c r="W63" s="13"/>
      <c r="X63" s="13"/>
      <c r="Y63" s="13"/>
    </row>
    <row r="64" spans="1:25" x14ac:dyDescent="0.25">
      <c r="A64" s="1" t="s">
        <v>25</v>
      </c>
      <c r="B64" s="1" t="s">
        <v>220</v>
      </c>
      <c r="C64" s="1" t="s">
        <v>9</v>
      </c>
      <c r="D64" s="17" t="str">
        <f>IF(Tabla1[[#This Row],[MATERIA PRIMA]]="","",_xlfn.CONCAT(Tabla1[[#This Row],[MATERIA PRIMA]],"_",Tabla1[[#This Row],[PROVEEDOR]],"_",Tabla1[[#This Row],[TIPO]]))</f>
        <v>SULFATO CALCIO_AGROINSUMOS_P</v>
      </c>
      <c r="E64" s="17" t="str">
        <f>IF(Tabla1[[#This Row],[MATERIA PRIMA]]="","",IF(SUM(Tabla1[[#This Row],[C]:[Na]])&gt;0,"OK","P"))</f>
        <v>OK</v>
      </c>
      <c r="F64" s="13"/>
      <c r="G64" s="13"/>
      <c r="H64" s="13"/>
      <c r="I64" s="13"/>
      <c r="J64" s="13"/>
      <c r="K64" s="13"/>
      <c r="L64" s="13"/>
      <c r="M64" s="13"/>
      <c r="N64" s="13">
        <v>0.26</v>
      </c>
      <c r="O64" s="13"/>
      <c r="P64" s="13">
        <v>0.13</v>
      </c>
      <c r="Q64" s="13"/>
      <c r="R64" s="13"/>
      <c r="S64" s="13"/>
      <c r="T64" s="13"/>
      <c r="U64" s="13"/>
      <c r="V64" s="13"/>
      <c r="W64" s="13"/>
      <c r="X64" s="13"/>
      <c r="Y64" s="13"/>
    </row>
    <row r="65" spans="1:25" x14ac:dyDescent="0.25">
      <c r="A65" s="1" t="s">
        <v>75</v>
      </c>
      <c r="B65" s="1" t="s">
        <v>53</v>
      </c>
      <c r="C65" s="1" t="s">
        <v>36</v>
      </c>
      <c r="D65" s="17" t="str">
        <f>IF(Tabla1[[#This Row],[MATERIA PRIMA]]="","",_xlfn.CONCAT(Tabla1[[#This Row],[MATERIA PRIMA]],"_",Tabla1[[#This Row],[PROVEEDOR]],"_",Tabla1[[#This Row],[TIPO]]))</f>
        <v>SULFATO CALCIO P_CALFERQUIM_G</v>
      </c>
      <c r="E65" s="17" t="str">
        <f>IF(Tabla1[[#This Row],[MATERIA PRIMA]]="","",IF(SUM(Tabla1[[#This Row],[C]:[Na]])&gt;0,"OK","P"))</f>
        <v>OK</v>
      </c>
      <c r="F65" s="14"/>
      <c r="G65" s="14"/>
      <c r="H65" s="14"/>
      <c r="I65" s="14"/>
      <c r="J65" s="14"/>
      <c r="K65" s="14"/>
      <c r="L65" s="14"/>
      <c r="M65" s="14"/>
      <c r="N65" s="19">
        <v>0.26400000000000001</v>
      </c>
      <c r="O65" s="19">
        <v>1.4999999999999999E-2</v>
      </c>
      <c r="P65" s="19">
        <v>0.108</v>
      </c>
      <c r="Q65" s="14"/>
      <c r="R65" s="14"/>
      <c r="S65" s="14"/>
      <c r="T65" s="14"/>
      <c r="U65" s="14"/>
      <c r="V65" s="14"/>
      <c r="W65" s="19">
        <v>2.8000000000000001E-2</v>
      </c>
      <c r="X65" s="14"/>
      <c r="Y65" s="14"/>
    </row>
    <row r="66" spans="1:25" x14ac:dyDescent="0.25">
      <c r="A66" s="1" t="s">
        <v>74</v>
      </c>
      <c r="B66" s="1" t="s">
        <v>46</v>
      </c>
      <c r="C66" s="1" t="s">
        <v>3</v>
      </c>
      <c r="D66" s="1" t="str">
        <f>IF(Tabla1[[#This Row],[MATERIA PRIMA]]="","",_xlfn.CONCAT(Tabla1[[#This Row],[MATERIA PRIMA]],"_",Tabla1[[#This Row],[PROVEEDOR]],"_",Tabla1[[#This Row],[TIPO]]))</f>
        <v>SULFATO POTASIO_PRECISAGRO_C</v>
      </c>
      <c r="E66" s="1" t="str">
        <f>IF(Tabla1[[#This Row],[MATERIA PRIMA]]="","",IF(SUM(Tabla1[[#This Row],[C]:[Na]])&gt;0,"OK","P"))</f>
        <v>OK</v>
      </c>
      <c r="F66" s="13"/>
      <c r="G66" s="13"/>
      <c r="H66" s="13"/>
      <c r="I66" s="13"/>
      <c r="J66" s="13"/>
      <c r="K66" s="13"/>
      <c r="L66" s="13"/>
      <c r="M66" s="13">
        <v>0.52</v>
      </c>
      <c r="N66" s="13"/>
      <c r="O66" s="13"/>
      <c r="P66" s="13">
        <v>0.18</v>
      </c>
      <c r="Q66" s="13"/>
      <c r="R66" s="13"/>
      <c r="S66" s="13"/>
      <c r="T66" s="13"/>
      <c r="U66" s="13"/>
      <c r="V66" s="13"/>
      <c r="W66" s="13"/>
      <c r="X66" s="13"/>
      <c r="Y66" s="13"/>
    </row>
    <row r="67" spans="1:25" x14ac:dyDescent="0.25">
      <c r="A67" s="1" t="s">
        <v>74</v>
      </c>
      <c r="B67" s="1" t="s">
        <v>225</v>
      </c>
      <c r="C67" s="1" t="s">
        <v>36</v>
      </c>
      <c r="D67" s="17" t="str">
        <f>IF(Tabla1[[#This Row],[MATERIA PRIMA]]="","",_xlfn.CONCAT(Tabla1[[#This Row],[MATERIA PRIMA]],"_",Tabla1[[#This Row],[PROVEEDOR]],"_",Tabla1[[#This Row],[TIPO]]))</f>
        <v>SULFATO POTASIO_AGRICULTURA Y SERVICIOS_G</v>
      </c>
      <c r="E67" s="17" t="s">
        <v>226</v>
      </c>
      <c r="F67" s="13"/>
      <c r="G67" s="13"/>
      <c r="H67" s="13"/>
      <c r="I67" s="13"/>
      <c r="J67" s="13"/>
      <c r="K67" s="13"/>
      <c r="L67" s="13"/>
      <c r="M67" s="13">
        <v>0.52</v>
      </c>
      <c r="N67" s="13"/>
      <c r="O67" s="13"/>
      <c r="P67" s="13">
        <v>0.18</v>
      </c>
      <c r="Q67" s="13"/>
      <c r="R67" s="13"/>
      <c r="S67" s="13"/>
      <c r="T67" s="13"/>
      <c r="U67" s="13"/>
      <c r="V67" s="13"/>
      <c r="W67" s="13"/>
      <c r="X67" s="13"/>
      <c r="Y67" s="13"/>
    </row>
    <row r="68" spans="1:25" x14ac:dyDescent="0.25">
      <c r="A68" s="1" t="s">
        <v>83</v>
      </c>
      <c r="B68" s="1" t="s">
        <v>78</v>
      </c>
      <c r="C68" s="1" t="s">
        <v>9</v>
      </c>
      <c r="D68" s="1" t="str">
        <f>IF(Tabla1[[#This Row],[MATERIA PRIMA]]="","",_xlfn.CONCAT(Tabla1[[#This Row],[MATERIA PRIMA]],"_",Tabla1[[#This Row],[PROVEEDOR]],"_",Tabla1[[#This Row],[TIPO]]))</f>
        <v>SULFATO ZINC_ATEQUIMICOS_P</v>
      </c>
      <c r="E68" s="1" t="str">
        <f>IF(Tabla1[[#This Row],[MATERIA PRIMA]]="","",IF(SUM(Tabla1[[#This Row],[C]:[Na]])&gt;0,"OK","P"))</f>
        <v>OK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6">
        <v>0.35</v>
      </c>
      <c r="Y68" s="14"/>
    </row>
    <row r="69" spans="1:25" x14ac:dyDescent="0.25">
      <c r="A69" s="1" t="s">
        <v>57</v>
      </c>
      <c r="B69" s="1" t="s">
        <v>58</v>
      </c>
      <c r="C69" s="1" t="s">
        <v>9</v>
      </c>
      <c r="D69" s="1" t="str">
        <f>IF(Tabla1[[#This Row],[MATERIA PRIMA]]="","",_xlfn.CONCAT(Tabla1[[#This Row],[MATERIA PRIMA]],"_",Tabla1[[#This Row],[PROVEEDOR]],"_",Tabla1[[#This Row],[TIPO]]))</f>
        <v>ULEXITA_ATEQUIMICO_P</v>
      </c>
      <c r="E69" s="1" t="str">
        <f>IF(Tabla1[[#This Row],[MATERIA PRIMA]]="","",IF(SUM(Tabla1[[#This Row],[C]:[Na]])&gt;0,"OK","P"))</f>
        <v>OK</v>
      </c>
      <c r="F69" s="13"/>
      <c r="G69" s="13"/>
      <c r="H69" s="13"/>
      <c r="I69" s="13"/>
      <c r="J69" s="13"/>
      <c r="K69" s="13"/>
      <c r="L69" s="13"/>
      <c r="M69" s="13"/>
      <c r="N69" s="13">
        <v>0.13</v>
      </c>
      <c r="O69" s="13"/>
      <c r="P69" s="13"/>
      <c r="Q69" s="13">
        <v>0.14000000000000001</v>
      </c>
      <c r="R69" s="13"/>
      <c r="S69" s="13"/>
      <c r="T69" s="13"/>
      <c r="U69" s="13"/>
      <c r="V69" s="13"/>
      <c r="W69" s="13"/>
      <c r="X69" s="13"/>
      <c r="Y69" s="13"/>
    </row>
    <row r="70" spans="1:25" x14ac:dyDescent="0.25">
      <c r="A70" s="1" t="s">
        <v>57</v>
      </c>
      <c r="B70" s="1" t="s">
        <v>27</v>
      </c>
      <c r="C70" s="1" t="s">
        <v>3</v>
      </c>
      <c r="D70" s="1" t="str">
        <f>IF(Tabla1[[#This Row],[MATERIA PRIMA]]="","",_xlfn.CONCAT(Tabla1[[#This Row],[MATERIA PRIMA]],"_",Tabla1[[#This Row],[PROVEEDOR]],"_",Tabla1[[#This Row],[TIPO]]))</f>
        <v>ULEXITA_MANUCHAR_C</v>
      </c>
      <c r="E70" s="1" t="str">
        <f>IF(Tabla1[[#This Row],[MATERIA PRIMA]]="","",IF(SUM(Tabla1[[#This Row],[C]:[Na]])&gt;0,"OK","P"))</f>
        <v>OK</v>
      </c>
      <c r="F70" s="13"/>
      <c r="G70" s="13"/>
      <c r="H70" s="13"/>
      <c r="I70" s="13"/>
      <c r="J70" s="13"/>
      <c r="K70" s="13"/>
      <c r="L70" s="13"/>
      <c r="M70" s="13"/>
      <c r="N70" s="13">
        <v>0.18</v>
      </c>
      <c r="O70" s="13"/>
      <c r="P70" s="13"/>
      <c r="Q70" s="13">
        <v>0.12</v>
      </c>
      <c r="R70" s="13"/>
      <c r="S70" s="13"/>
      <c r="T70" s="13"/>
      <c r="U70" s="13"/>
      <c r="V70" s="13"/>
      <c r="W70" s="13"/>
      <c r="X70" s="13"/>
      <c r="Y70" s="13"/>
    </row>
    <row r="71" spans="1:25" x14ac:dyDescent="0.25">
      <c r="A71" s="1" t="s">
        <v>45</v>
      </c>
      <c r="B71" s="1" t="s">
        <v>46</v>
      </c>
      <c r="C71" s="1" t="s">
        <v>36</v>
      </c>
      <c r="D71" s="1" t="str">
        <f>IF(Tabla1[[#This Row],[MATERIA PRIMA]]="","",_xlfn.CONCAT(Tabla1[[#This Row],[MATERIA PRIMA]],"_",Tabla1[[#This Row],[PROVEEDOR]],"_",Tabla1[[#This Row],[TIPO]]))</f>
        <v>UREA_PRECISAGRO_G</v>
      </c>
      <c r="E71" s="1" t="str">
        <f>IF(Tabla1[[#This Row],[MATERIA PRIMA]]="","",IF(SUM(Tabla1[[#This Row],[C]:[Na]])&gt;0,"OK","P"))</f>
        <v>OK</v>
      </c>
      <c r="F71" s="13"/>
      <c r="G71" s="13">
        <v>0.46</v>
      </c>
      <c r="H71" s="13"/>
      <c r="I71" s="13"/>
      <c r="J71" s="13"/>
      <c r="K71" s="13">
        <v>0.46</v>
      </c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</row>
    <row r="72" spans="1:25" x14ac:dyDescent="0.25">
      <c r="A72" s="1" t="s">
        <v>45</v>
      </c>
      <c r="B72" s="1" t="s">
        <v>63</v>
      </c>
      <c r="C72" s="1" t="s">
        <v>36</v>
      </c>
      <c r="D72" s="1" t="str">
        <f>IF(Tabla1[[#This Row],[MATERIA PRIMA]]="","",_xlfn.CONCAT(Tabla1[[#This Row],[MATERIA PRIMA]],"_",Tabla1[[#This Row],[PROVEEDOR]],"_",Tabla1[[#This Row],[TIPO]]))</f>
        <v>UREA_EVOAGRO_G</v>
      </c>
      <c r="E72" s="1" t="str">
        <f>IF(Tabla1[[#This Row],[MATERIA PRIMA]]="","",IF(SUM(Tabla1[[#This Row],[C]:[Na]])&gt;0,"OK","P"))</f>
        <v>OK</v>
      </c>
      <c r="F72" s="13"/>
      <c r="G72" s="13">
        <v>0.46</v>
      </c>
      <c r="H72" s="13"/>
      <c r="I72" s="13"/>
      <c r="J72" s="13"/>
      <c r="K72" s="13">
        <v>0.46</v>
      </c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</row>
    <row r="73" spans="1:25" x14ac:dyDescent="0.25">
      <c r="A73" s="1" t="s">
        <v>45</v>
      </c>
      <c r="B73" s="1" t="s">
        <v>48</v>
      </c>
      <c r="C73" s="1" t="s">
        <v>36</v>
      </c>
      <c r="D73" s="1" t="str">
        <f>IF(Tabla1[[#This Row],[MATERIA PRIMA]]="","",_xlfn.CONCAT(Tabla1[[#This Row],[MATERIA PRIMA]],"_",Tabla1[[#This Row],[PROVEEDOR]],"_",Tabla1[[#This Row],[TIPO]]))</f>
        <v>UREA_NUTRICION PLANTAS_G</v>
      </c>
      <c r="E73" s="1" t="str">
        <f>IF(Tabla1[[#This Row],[MATERIA PRIMA]]="","",IF(SUM(Tabla1[[#This Row],[C]:[Na]])&gt;0,"OK","P"))</f>
        <v>OK</v>
      </c>
      <c r="F73" s="13"/>
      <c r="G73" s="13">
        <v>0.46</v>
      </c>
      <c r="H73" s="13"/>
      <c r="I73" s="13"/>
      <c r="J73" s="13"/>
      <c r="K73" s="13">
        <v>0.46</v>
      </c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</row>
    <row r="74" spans="1:25" x14ac:dyDescent="0.25">
      <c r="A74" s="1" t="s">
        <v>45</v>
      </c>
      <c r="B74" s="1" t="s">
        <v>63</v>
      </c>
      <c r="C74" s="1" t="s">
        <v>36</v>
      </c>
      <c r="D74" s="17" t="str">
        <f>IF(Tabla1[[#This Row],[MATERIA PRIMA]]="","",_xlfn.CONCAT(Tabla1[[#This Row],[MATERIA PRIMA]],"_",Tabla1[[#This Row],[PROVEEDOR]],"_",Tabla1[[#This Row],[TIPO]]))</f>
        <v>UREA_EVOAGRO_G</v>
      </c>
      <c r="E74" s="17" t="str">
        <f>IF(Tabla1[[#This Row],[MATERIA PRIMA]]="","",IF(SUM(Tabla1[[#This Row],[C]:[Na]])&gt;0,"OK","P"))</f>
        <v>OK</v>
      </c>
      <c r="F74" s="14"/>
      <c r="G74" s="16">
        <v>0.46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x14ac:dyDescent="0.25">
      <c r="A75" s="1" t="s">
        <v>117</v>
      </c>
      <c r="B75" s="1" t="s">
        <v>118</v>
      </c>
      <c r="C75" s="1" t="s">
        <v>81</v>
      </c>
      <c r="D75" s="17" t="str">
        <f>IF(Tabla1[[#This Row],[MATERIA PRIMA]]="","",_xlfn.CONCAT(Tabla1[[#This Row],[MATERIA PRIMA]],"_",Tabla1[[#This Row],[PROVEEDOR]],"_",Tabla1[[#This Row],[TIPO]]))</f>
        <v>VINAZA_MASTERCAMPO_L</v>
      </c>
      <c r="E75" s="17" t="str">
        <f>IF(Tabla1[[#This Row],[MATERIA PRIMA]]="","",IF(SUM(Tabla1[[#This Row],[C]:[Na]])&gt;0,"OK","P"))</f>
        <v>OK</v>
      </c>
      <c r="F75" s="16">
        <v>1E-3</v>
      </c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x14ac:dyDescent="0.25">
      <c r="A76" s="1" t="s">
        <v>135</v>
      </c>
      <c r="B76" s="1" t="s">
        <v>53</v>
      </c>
      <c r="C76" s="1" t="s">
        <v>36</v>
      </c>
      <c r="D76" s="1" t="str">
        <f>IF(Tabla1[[#This Row],[MATERIA PRIMA]]="","",_xlfn.CONCAT(Tabla1[[#This Row],[MATERIA PRIMA]],"_",Tabla1[[#This Row],[PROVEEDOR]],"_",Tabla1[[#This Row],[TIPO]]))</f>
        <v>ZUELO CA_CALFERQUIM_G</v>
      </c>
      <c r="E76" s="1" t="str">
        <f>IF(Tabla1[[#This Row],[MATERIA PRIMA]]="","",IF(SUM(Tabla1[[#This Row],[C]:[Na]])&gt;0,"OK","P"))</f>
        <v>OK</v>
      </c>
      <c r="F76" s="13"/>
      <c r="G76" s="13"/>
      <c r="H76" s="13"/>
      <c r="I76" s="13"/>
      <c r="J76" s="13"/>
      <c r="K76" s="13"/>
      <c r="L76" s="13"/>
      <c r="M76" s="13">
        <v>0.03</v>
      </c>
      <c r="N76" s="13">
        <v>0.27</v>
      </c>
      <c r="O76" s="13">
        <v>0.115</v>
      </c>
      <c r="P76" s="13">
        <v>3.5000000000000003E-2</v>
      </c>
      <c r="Q76" s="13"/>
      <c r="R76" s="13"/>
      <c r="S76" s="13"/>
      <c r="T76" s="13"/>
      <c r="U76" s="13"/>
      <c r="V76" s="13"/>
      <c r="W76" s="13">
        <v>3.5000000000000003E-2</v>
      </c>
      <c r="X76" s="13"/>
      <c r="Y76" s="13"/>
    </row>
  </sheetData>
  <conditionalFormatting sqref="F1:Y1">
    <cfRule type="containsBlanks" dxfId="2247" priority="3">
      <formula>LEN(TRIM(F1))=0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E2C85-7422-4070-9A5E-57421C630A57}">
  <sheetPr codeName="Hoja26"/>
  <dimension ref="A1:AA53"/>
  <sheetViews>
    <sheetView workbookViewId="0">
      <selection activeCell="D17" sqref="D17"/>
    </sheetView>
  </sheetViews>
  <sheetFormatPr baseColWidth="10" defaultRowHeight="15" x14ac:dyDescent="0.25"/>
  <cols>
    <col min="1" max="1" width="6.5703125" bestFit="1" customWidth="1"/>
    <col min="2" max="2" width="10.42578125" bestFit="1" customWidth="1"/>
    <col min="3" max="3" width="10.140625" bestFit="1" customWidth="1"/>
    <col min="4" max="4" width="23.28515625" bestFit="1" customWidth="1"/>
    <col min="6" max="6" width="16.7109375" bestFit="1" customWidth="1"/>
  </cols>
  <sheetData>
    <row r="1" spans="1:27" ht="19.5" x14ac:dyDescent="0.25">
      <c r="A1" s="12" t="s">
        <v>95</v>
      </c>
      <c r="B1" s="12" t="s">
        <v>121</v>
      </c>
      <c r="C1" s="12" t="s">
        <v>96</v>
      </c>
      <c r="D1" s="12" t="s">
        <v>23</v>
      </c>
      <c r="E1" s="12" t="s">
        <v>35</v>
      </c>
      <c r="F1" s="12" t="s">
        <v>123</v>
      </c>
      <c r="G1" s="12" t="s">
        <v>159</v>
      </c>
      <c r="H1" s="12" t="s">
        <v>3</v>
      </c>
      <c r="I1" s="12" t="s">
        <v>4</v>
      </c>
      <c r="J1" s="12" t="s">
        <v>5</v>
      </c>
      <c r="K1" s="12" t="s">
        <v>6</v>
      </c>
      <c r="L1" s="12" t="s">
        <v>7</v>
      </c>
      <c r="M1" s="12" t="s">
        <v>8</v>
      </c>
      <c r="N1" s="12" t="s">
        <v>9</v>
      </c>
      <c r="O1" s="12" t="s">
        <v>10</v>
      </c>
      <c r="P1" s="12" t="s">
        <v>11</v>
      </c>
      <c r="Q1" s="12" t="s">
        <v>12</v>
      </c>
      <c r="R1" s="12" t="s">
        <v>13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18</v>
      </c>
      <c r="X1" s="12" t="s">
        <v>19</v>
      </c>
      <c r="Y1" s="12" t="s">
        <v>20</v>
      </c>
      <c r="Z1" s="12" t="s">
        <v>21</v>
      </c>
      <c r="AA1" s="12" t="s">
        <v>22</v>
      </c>
    </row>
    <row r="2" spans="1:27" x14ac:dyDescent="0.25">
      <c r="A2" t="s">
        <v>114</v>
      </c>
      <c r="B2" t="s">
        <v>122</v>
      </c>
      <c r="C2">
        <v>563</v>
      </c>
      <c r="D2" t="s">
        <v>115</v>
      </c>
      <c r="E2">
        <v>10500</v>
      </c>
      <c r="F2" t="s">
        <v>113</v>
      </c>
      <c r="P2" t="s">
        <v>3</v>
      </c>
      <c r="Q2" t="s">
        <v>3</v>
      </c>
      <c r="R2" t="s">
        <v>3</v>
      </c>
      <c r="Y2" t="s">
        <v>124</v>
      </c>
    </row>
    <row r="3" spans="1:27" x14ac:dyDescent="0.25">
      <c r="A3" t="s">
        <v>127</v>
      </c>
      <c r="B3" t="s">
        <v>122</v>
      </c>
      <c r="C3">
        <v>510</v>
      </c>
      <c r="D3" t="s">
        <v>128</v>
      </c>
      <c r="E3">
        <v>4000</v>
      </c>
      <c r="F3" t="s">
        <v>113</v>
      </c>
      <c r="P3" t="s">
        <v>139</v>
      </c>
      <c r="Q3" t="s">
        <v>3</v>
      </c>
      <c r="R3" t="s">
        <v>3</v>
      </c>
      <c r="Y3" t="s">
        <v>124</v>
      </c>
    </row>
    <row r="4" spans="1:27" x14ac:dyDescent="0.25">
      <c r="A4" t="s">
        <v>140</v>
      </c>
      <c r="B4" t="s">
        <v>122</v>
      </c>
      <c r="C4">
        <v>489</v>
      </c>
      <c r="D4" t="s">
        <v>141</v>
      </c>
      <c r="E4">
        <v>7000</v>
      </c>
      <c r="F4" t="s">
        <v>113</v>
      </c>
      <c r="G4" t="s">
        <v>3</v>
      </c>
      <c r="I4" t="s">
        <v>3</v>
      </c>
      <c r="N4" t="s">
        <v>3</v>
      </c>
      <c r="O4" t="s">
        <v>3</v>
      </c>
    </row>
    <row r="5" spans="1:27" x14ac:dyDescent="0.25">
      <c r="A5" t="s">
        <v>143</v>
      </c>
      <c r="B5" t="s">
        <v>122</v>
      </c>
      <c r="C5">
        <v>602</v>
      </c>
      <c r="D5" t="s">
        <v>144</v>
      </c>
      <c r="E5">
        <v>1000</v>
      </c>
      <c r="F5" t="s">
        <v>113</v>
      </c>
      <c r="G5" t="s">
        <v>3</v>
      </c>
      <c r="I5" t="s">
        <v>3</v>
      </c>
      <c r="N5" t="s">
        <v>3</v>
      </c>
      <c r="O5" t="s">
        <v>3</v>
      </c>
    </row>
    <row r="6" spans="1:27" x14ac:dyDescent="0.25">
      <c r="A6" t="s">
        <v>146</v>
      </c>
      <c r="B6" t="s">
        <v>122</v>
      </c>
      <c r="C6">
        <v>603</v>
      </c>
      <c r="D6" t="s">
        <v>147</v>
      </c>
      <c r="E6">
        <v>2000</v>
      </c>
      <c r="F6" t="s">
        <v>113</v>
      </c>
      <c r="G6" t="s">
        <v>3</v>
      </c>
      <c r="I6" t="s">
        <v>3</v>
      </c>
      <c r="N6" t="s">
        <v>3</v>
      </c>
      <c r="O6" t="s">
        <v>3</v>
      </c>
    </row>
    <row r="7" spans="1:27" x14ac:dyDescent="0.25">
      <c r="A7" t="s">
        <v>148</v>
      </c>
      <c r="B7" t="s">
        <v>122</v>
      </c>
      <c r="C7">
        <v>841</v>
      </c>
      <c r="D7" t="s">
        <v>149</v>
      </c>
      <c r="E7">
        <v>22000</v>
      </c>
      <c r="F7" t="s">
        <v>113</v>
      </c>
      <c r="G7" t="s">
        <v>3</v>
      </c>
      <c r="I7" t="s">
        <v>3</v>
      </c>
      <c r="N7" t="s">
        <v>139</v>
      </c>
      <c r="O7" t="s">
        <v>3</v>
      </c>
      <c r="P7" t="s">
        <v>156</v>
      </c>
      <c r="R7" t="s">
        <v>3</v>
      </c>
    </row>
    <row r="8" spans="1:27" x14ac:dyDescent="0.25">
      <c r="A8" t="s">
        <v>151</v>
      </c>
      <c r="B8" t="s">
        <v>152</v>
      </c>
      <c r="C8">
        <v>65</v>
      </c>
      <c r="D8" t="s">
        <v>153</v>
      </c>
      <c r="E8">
        <v>10500</v>
      </c>
      <c r="F8" t="s">
        <v>113</v>
      </c>
      <c r="P8" t="s">
        <v>156</v>
      </c>
      <c r="Q8" t="s">
        <v>3</v>
      </c>
      <c r="R8" t="s">
        <v>156</v>
      </c>
      <c r="Y8" t="s">
        <v>124</v>
      </c>
    </row>
    <row r="9" spans="1:27" x14ac:dyDescent="0.25">
      <c r="A9" t="s">
        <v>160</v>
      </c>
      <c r="B9" t="s">
        <v>161</v>
      </c>
      <c r="C9">
        <v>679</v>
      </c>
      <c r="D9" t="s">
        <v>162</v>
      </c>
      <c r="E9">
        <v>10500</v>
      </c>
      <c r="F9" t="s">
        <v>113</v>
      </c>
      <c r="G9" t="s">
        <v>3</v>
      </c>
      <c r="N9" t="s">
        <v>3</v>
      </c>
      <c r="P9" t="s">
        <v>3</v>
      </c>
      <c r="R9" t="s">
        <v>3</v>
      </c>
    </row>
    <row r="10" spans="1:27" x14ac:dyDescent="0.25">
      <c r="A10" t="s">
        <v>170</v>
      </c>
      <c r="B10" t="s">
        <v>161</v>
      </c>
      <c r="C10">
        <v>679</v>
      </c>
      <c r="D10" t="s">
        <v>171</v>
      </c>
      <c r="E10">
        <v>10500</v>
      </c>
      <c r="F10" t="s">
        <v>113</v>
      </c>
      <c r="G10" t="s">
        <v>3</v>
      </c>
      <c r="N10" t="s">
        <v>3</v>
      </c>
      <c r="P10" t="s">
        <v>3</v>
      </c>
      <c r="R10" t="s">
        <v>3</v>
      </c>
    </row>
    <row r="11" spans="1:27" x14ac:dyDescent="0.25">
      <c r="A11" t="s">
        <v>173</v>
      </c>
      <c r="B11" t="s">
        <v>172</v>
      </c>
      <c r="C11">
        <v>679</v>
      </c>
      <c r="D11" t="s">
        <v>171</v>
      </c>
      <c r="E11">
        <v>10500</v>
      </c>
      <c r="F11" t="s">
        <v>113</v>
      </c>
      <c r="G11" t="s">
        <v>3</v>
      </c>
      <c r="N11" t="s">
        <v>3</v>
      </c>
      <c r="P11" t="s">
        <v>3</v>
      </c>
      <c r="R11" t="s">
        <v>3</v>
      </c>
    </row>
    <row r="12" spans="1:27" x14ac:dyDescent="0.25">
      <c r="A12" t="s">
        <v>174</v>
      </c>
      <c r="B12" t="s">
        <v>172</v>
      </c>
      <c r="C12">
        <v>62</v>
      </c>
      <c r="D12" t="s">
        <v>175</v>
      </c>
      <c r="E12">
        <v>10500</v>
      </c>
      <c r="F12" t="s">
        <v>113</v>
      </c>
      <c r="P12" t="s">
        <v>156</v>
      </c>
      <c r="Q12" t="s">
        <v>156</v>
      </c>
      <c r="R12" t="s">
        <v>3</v>
      </c>
      <c r="Y12" t="s">
        <v>124</v>
      </c>
    </row>
    <row r="13" spans="1:27" x14ac:dyDescent="0.25">
      <c r="A13" t="s">
        <v>178</v>
      </c>
      <c r="B13" t="s">
        <v>172</v>
      </c>
      <c r="C13">
        <v>602</v>
      </c>
      <c r="D13" t="s">
        <v>144</v>
      </c>
      <c r="E13">
        <v>1000</v>
      </c>
      <c r="F13" t="s">
        <v>113</v>
      </c>
      <c r="G13" t="s">
        <v>3</v>
      </c>
      <c r="I13" t="s">
        <v>3</v>
      </c>
      <c r="N13" t="s">
        <v>3</v>
      </c>
      <c r="O13" t="s">
        <v>3</v>
      </c>
    </row>
    <row r="14" spans="1:27" x14ac:dyDescent="0.25">
      <c r="A14" t="s">
        <v>179</v>
      </c>
      <c r="B14" t="s">
        <v>172</v>
      </c>
      <c r="C14">
        <v>603</v>
      </c>
      <c r="D14" t="s">
        <v>147</v>
      </c>
      <c r="E14">
        <v>2000</v>
      </c>
      <c r="F14" t="s">
        <v>113</v>
      </c>
      <c r="G14" t="s">
        <v>3</v>
      </c>
      <c r="I14" t="s">
        <v>3</v>
      </c>
      <c r="N14" t="s">
        <v>3</v>
      </c>
      <c r="O14" t="s">
        <v>3</v>
      </c>
    </row>
    <row r="15" spans="1:27" x14ac:dyDescent="0.25">
      <c r="A15" t="s">
        <v>180</v>
      </c>
      <c r="B15" t="s">
        <v>181</v>
      </c>
      <c r="C15">
        <v>679</v>
      </c>
      <c r="D15" t="s">
        <v>182</v>
      </c>
      <c r="E15">
        <v>35000</v>
      </c>
      <c r="F15" t="s">
        <v>113</v>
      </c>
      <c r="G15" t="s">
        <v>3</v>
      </c>
      <c r="N15" t="s">
        <v>3</v>
      </c>
      <c r="P15" t="s">
        <v>3</v>
      </c>
      <c r="R15" t="s">
        <v>3</v>
      </c>
    </row>
    <row r="16" spans="1:27" x14ac:dyDescent="0.25">
      <c r="A16" t="s">
        <v>183</v>
      </c>
      <c r="B16" t="s">
        <v>181</v>
      </c>
      <c r="C16">
        <v>65</v>
      </c>
      <c r="D16" t="s">
        <v>153</v>
      </c>
      <c r="E16">
        <v>70000</v>
      </c>
      <c r="F16" t="s">
        <v>113</v>
      </c>
      <c r="P16" t="s">
        <v>156</v>
      </c>
      <c r="Q16" t="s">
        <v>3</v>
      </c>
      <c r="R16" t="s">
        <v>156</v>
      </c>
      <c r="Y16" t="s">
        <v>124</v>
      </c>
    </row>
    <row r="17" spans="1:25" x14ac:dyDescent="0.25">
      <c r="A17" t="s">
        <v>184</v>
      </c>
      <c r="B17" t="s">
        <v>181</v>
      </c>
      <c r="C17">
        <v>82</v>
      </c>
      <c r="D17" t="s">
        <v>185</v>
      </c>
      <c r="E17">
        <v>36000</v>
      </c>
      <c r="F17" t="s">
        <v>113</v>
      </c>
      <c r="G17" t="s">
        <v>139</v>
      </c>
      <c r="I17" t="s">
        <v>139</v>
      </c>
      <c r="N17" t="s">
        <v>3</v>
      </c>
      <c r="O17" t="s">
        <v>139</v>
      </c>
    </row>
    <row r="18" spans="1:25" x14ac:dyDescent="0.25">
      <c r="A18" t="s">
        <v>188</v>
      </c>
      <c r="B18" t="s">
        <v>187</v>
      </c>
      <c r="C18">
        <v>679</v>
      </c>
      <c r="D18" t="s">
        <v>171</v>
      </c>
      <c r="E18">
        <v>70000</v>
      </c>
      <c r="F18" t="s">
        <v>113</v>
      </c>
      <c r="G18" t="s">
        <v>3</v>
      </c>
      <c r="N18" t="s">
        <v>3</v>
      </c>
      <c r="P18" t="s">
        <v>3</v>
      </c>
      <c r="R18" t="s">
        <v>3</v>
      </c>
    </row>
    <row r="19" spans="1:25" x14ac:dyDescent="0.25">
      <c r="A19" t="s">
        <v>189</v>
      </c>
      <c r="B19" t="s">
        <v>187</v>
      </c>
      <c r="C19">
        <v>62</v>
      </c>
      <c r="D19" t="s">
        <v>190</v>
      </c>
      <c r="E19">
        <v>35000</v>
      </c>
      <c r="F19" t="s">
        <v>113</v>
      </c>
      <c r="P19" t="s">
        <v>156</v>
      </c>
      <c r="Q19" t="s">
        <v>156</v>
      </c>
      <c r="R19" t="s">
        <v>3</v>
      </c>
      <c r="Y19" t="s">
        <v>124</v>
      </c>
    </row>
    <row r="20" spans="1:25" x14ac:dyDescent="0.25">
      <c r="A20" t="s">
        <v>191</v>
      </c>
      <c r="B20" t="s">
        <v>187</v>
      </c>
      <c r="C20">
        <v>62</v>
      </c>
      <c r="D20" t="s">
        <v>185</v>
      </c>
      <c r="E20">
        <v>27000</v>
      </c>
      <c r="F20" t="s">
        <v>113</v>
      </c>
      <c r="G20" t="s">
        <v>139</v>
      </c>
      <c r="I20" t="s">
        <v>139</v>
      </c>
      <c r="N20" t="s">
        <v>3</v>
      </c>
      <c r="O20" t="s">
        <v>139</v>
      </c>
    </row>
    <row r="21" spans="1:25" x14ac:dyDescent="0.25">
      <c r="A21" t="s">
        <v>192</v>
      </c>
      <c r="B21" t="s">
        <v>187</v>
      </c>
      <c r="C21">
        <v>592</v>
      </c>
      <c r="D21" t="s">
        <v>193</v>
      </c>
      <c r="E21">
        <v>27000</v>
      </c>
      <c r="F21" t="s">
        <v>113</v>
      </c>
      <c r="G21" t="s">
        <v>3</v>
      </c>
      <c r="I21" t="s">
        <v>3</v>
      </c>
      <c r="N21" t="s">
        <v>3</v>
      </c>
    </row>
    <row r="22" spans="1:25" x14ac:dyDescent="0.25">
      <c r="A22" t="s">
        <v>194</v>
      </c>
      <c r="B22" t="s">
        <v>187</v>
      </c>
      <c r="C22">
        <v>587</v>
      </c>
      <c r="D22" t="s">
        <v>195</v>
      </c>
      <c r="E22">
        <v>1000</v>
      </c>
      <c r="F22" t="s">
        <v>113</v>
      </c>
      <c r="G22" t="s">
        <v>3</v>
      </c>
      <c r="I22" t="s">
        <v>3</v>
      </c>
      <c r="N22" t="s">
        <v>3</v>
      </c>
      <c r="O22" t="s">
        <v>3</v>
      </c>
    </row>
    <row r="23" spans="1:25" x14ac:dyDescent="0.25">
      <c r="A23" t="s">
        <v>198</v>
      </c>
      <c r="B23" t="s">
        <v>187</v>
      </c>
      <c r="C23">
        <v>588</v>
      </c>
      <c r="D23" t="s">
        <v>199</v>
      </c>
      <c r="E23">
        <v>1000</v>
      </c>
      <c r="F23" t="s">
        <v>113</v>
      </c>
      <c r="G23" t="s">
        <v>3</v>
      </c>
      <c r="I23" t="s">
        <v>3</v>
      </c>
      <c r="N23" t="s">
        <v>139</v>
      </c>
      <c r="O23" t="s">
        <v>3</v>
      </c>
    </row>
    <row r="24" spans="1:25" x14ac:dyDescent="0.25">
      <c r="A24" t="s">
        <v>200</v>
      </c>
      <c r="B24" t="s">
        <v>201</v>
      </c>
      <c r="C24">
        <v>518</v>
      </c>
      <c r="D24" t="s">
        <v>202</v>
      </c>
      <c r="E24">
        <v>5000</v>
      </c>
      <c r="F24" t="s">
        <v>113</v>
      </c>
      <c r="G24" t="s">
        <v>3</v>
      </c>
      <c r="I24" t="s">
        <v>3</v>
      </c>
      <c r="N24" t="s">
        <v>3</v>
      </c>
      <c r="O24" t="s">
        <v>3</v>
      </c>
    </row>
    <row r="25" spans="1:25" x14ac:dyDescent="0.25">
      <c r="A25" t="s">
        <v>206</v>
      </c>
      <c r="B25" t="s">
        <v>201</v>
      </c>
      <c r="C25">
        <v>516</v>
      </c>
      <c r="D25" t="s">
        <v>207</v>
      </c>
      <c r="E25">
        <v>5000</v>
      </c>
      <c r="F25" t="s">
        <v>113</v>
      </c>
      <c r="G25" t="s">
        <v>3</v>
      </c>
      <c r="I25" t="s">
        <v>3</v>
      </c>
      <c r="N25" t="s">
        <v>3</v>
      </c>
      <c r="O25" t="s">
        <v>3</v>
      </c>
    </row>
    <row r="26" spans="1:25" x14ac:dyDescent="0.25">
      <c r="A26" t="s">
        <v>208</v>
      </c>
      <c r="B26" t="s">
        <v>201</v>
      </c>
      <c r="C26">
        <v>65</v>
      </c>
      <c r="D26" t="s">
        <v>34</v>
      </c>
      <c r="E26">
        <v>70000</v>
      </c>
      <c r="F26" t="s">
        <v>113</v>
      </c>
      <c r="P26" t="s">
        <v>156</v>
      </c>
      <c r="Q26" t="s">
        <v>3</v>
      </c>
      <c r="R26" t="s">
        <v>3</v>
      </c>
      <c r="Y26" t="s">
        <v>124</v>
      </c>
    </row>
    <row r="27" spans="1:25" x14ac:dyDescent="0.25">
      <c r="A27" t="s">
        <v>209</v>
      </c>
      <c r="B27" t="s">
        <v>201</v>
      </c>
      <c r="C27">
        <v>208</v>
      </c>
      <c r="D27" t="s">
        <v>210</v>
      </c>
      <c r="E27">
        <v>35000</v>
      </c>
      <c r="F27" t="s">
        <v>113</v>
      </c>
      <c r="P27" t="s">
        <v>3</v>
      </c>
      <c r="Q27" t="s">
        <v>3</v>
      </c>
      <c r="R27" t="s">
        <v>3</v>
      </c>
      <c r="Y27" t="s">
        <v>124</v>
      </c>
    </row>
    <row r="28" spans="1:25" x14ac:dyDescent="0.25">
      <c r="A28" t="s">
        <v>212</v>
      </c>
      <c r="B28" t="s">
        <v>213</v>
      </c>
      <c r="C28">
        <v>803</v>
      </c>
      <c r="D28" t="s">
        <v>214</v>
      </c>
      <c r="E28">
        <v>35000</v>
      </c>
      <c r="F28" t="s">
        <v>113</v>
      </c>
      <c r="P28" t="s">
        <v>3</v>
      </c>
      <c r="Q28" t="s">
        <v>3</v>
      </c>
      <c r="R28" t="s">
        <v>3</v>
      </c>
      <c r="Y28" t="s">
        <v>124</v>
      </c>
    </row>
    <row r="29" spans="1:25" x14ac:dyDescent="0.25">
      <c r="A29" t="s">
        <v>215</v>
      </c>
      <c r="B29" t="s">
        <v>201</v>
      </c>
      <c r="C29">
        <v>635</v>
      </c>
      <c r="D29" t="s">
        <v>216</v>
      </c>
      <c r="E29">
        <v>2000</v>
      </c>
      <c r="F29" t="s">
        <v>113</v>
      </c>
      <c r="G29" t="s">
        <v>3</v>
      </c>
      <c r="I29" t="s">
        <v>3</v>
      </c>
      <c r="N29" t="s">
        <v>3</v>
      </c>
      <c r="O29" t="s">
        <v>3</v>
      </c>
    </row>
    <row r="30" spans="1:25" x14ac:dyDescent="0.25">
      <c r="A30" t="s">
        <v>218</v>
      </c>
      <c r="B30" t="s">
        <v>201</v>
      </c>
      <c r="C30">
        <v>311</v>
      </c>
      <c r="D30" t="s">
        <v>219</v>
      </c>
      <c r="E30">
        <v>24000</v>
      </c>
      <c r="F30" t="s">
        <v>113</v>
      </c>
      <c r="G30" t="s">
        <v>156</v>
      </c>
      <c r="N30" t="s">
        <v>3</v>
      </c>
      <c r="P30" t="s">
        <v>3</v>
      </c>
      <c r="Q30" t="s">
        <v>3</v>
      </c>
      <c r="R30" t="s">
        <v>3</v>
      </c>
      <c r="Y30" t="s">
        <v>124</v>
      </c>
    </row>
    <row r="31" spans="1:25" x14ac:dyDescent="0.25">
      <c r="A31" t="s">
        <v>228</v>
      </c>
      <c r="B31" t="s">
        <v>229</v>
      </c>
      <c r="C31">
        <v>803</v>
      </c>
      <c r="D31" t="s">
        <v>230</v>
      </c>
      <c r="E31">
        <v>35000</v>
      </c>
      <c r="F31" t="s">
        <v>113</v>
      </c>
      <c r="P31" t="s">
        <v>3</v>
      </c>
      <c r="Q31" t="s">
        <v>3</v>
      </c>
      <c r="R31" t="s">
        <v>3</v>
      </c>
      <c r="Y31" t="s">
        <v>124</v>
      </c>
    </row>
    <row r="32" spans="1:25" x14ac:dyDescent="0.25">
      <c r="A32" t="s">
        <v>231</v>
      </c>
      <c r="B32" t="s">
        <v>229</v>
      </c>
      <c r="C32">
        <v>431</v>
      </c>
      <c r="D32" t="s">
        <v>232</v>
      </c>
      <c r="E32">
        <v>1250</v>
      </c>
      <c r="F32" t="s">
        <v>113</v>
      </c>
      <c r="G32" t="s">
        <v>3</v>
      </c>
      <c r="I32" t="s">
        <v>3</v>
      </c>
      <c r="N32" t="s">
        <v>3</v>
      </c>
      <c r="O32" t="s">
        <v>3</v>
      </c>
      <c r="Y32" t="s">
        <v>124</v>
      </c>
    </row>
    <row r="33" spans="1:25" x14ac:dyDescent="0.25">
      <c r="A33" t="s">
        <v>233</v>
      </c>
      <c r="B33" t="s">
        <v>229</v>
      </c>
      <c r="C33">
        <v>646</v>
      </c>
      <c r="D33" t="s">
        <v>234</v>
      </c>
      <c r="E33">
        <v>2500</v>
      </c>
      <c r="F33" t="s">
        <v>113</v>
      </c>
      <c r="G33" t="s">
        <v>3</v>
      </c>
      <c r="I33" t="s">
        <v>3</v>
      </c>
      <c r="N33" t="s">
        <v>3</v>
      </c>
      <c r="O33" t="s">
        <v>3</v>
      </c>
      <c r="Y33" t="s">
        <v>124</v>
      </c>
    </row>
    <row r="34" spans="1:25" x14ac:dyDescent="0.25">
      <c r="A34" t="s">
        <v>235</v>
      </c>
      <c r="B34" t="s">
        <v>229</v>
      </c>
      <c r="C34">
        <v>545</v>
      </c>
      <c r="D34" t="s">
        <v>236</v>
      </c>
      <c r="E34">
        <v>2250</v>
      </c>
      <c r="F34" t="s">
        <v>113</v>
      </c>
      <c r="G34" t="s">
        <v>3</v>
      </c>
      <c r="I34" t="s">
        <v>3</v>
      </c>
      <c r="N34" t="s">
        <v>3</v>
      </c>
      <c r="O34" t="s">
        <v>3</v>
      </c>
      <c r="Y34" t="s">
        <v>124</v>
      </c>
    </row>
    <row r="35" spans="1:25" x14ac:dyDescent="0.25">
      <c r="A35" t="s">
        <v>237</v>
      </c>
      <c r="B35" t="s">
        <v>229</v>
      </c>
      <c r="C35">
        <v>840</v>
      </c>
      <c r="D35" t="s">
        <v>238</v>
      </c>
      <c r="E35">
        <v>10500</v>
      </c>
      <c r="F35" t="s">
        <v>113</v>
      </c>
      <c r="G35" t="s">
        <v>3</v>
      </c>
      <c r="I35" t="s">
        <v>3</v>
      </c>
      <c r="O35" t="s">
        <v>3</v>
      </c>
      <c r="Y35" t="s">
        <v>124</v>
      </c>
    </row>
    <row r="36" spans="1:25" x14ac:dyDescent="0.25">
      <c r="A36" t="s">
        <v>239</v>
      </c>
      <c r="B36" s="90">
        <v>45874</v>
      </c>
      <c r="C36">
        <v>65</v>
      </c>
      <c r="D36" t="s">
        <v>240</v>
      </c>
      <c r="E36">
        <v>35000</v>
      </c>
      <c r="F36" t="s">
        <v>113</v>
      </c>
      <c r="P36" t="s">
        <v>156</v>
      </c>
      <c r="Q36" t="s">
        <v>156</v>
      </c>
      <c r="R36" t="s">
        <v>3</v>
      </c>
      <c r="Y36" t="s">
        <v>124</v>
      </c>
    </row>
    <row r="37" spans="1:25" x14ac:dyDescent="0.25">
      <c r="A37" t="s">
        <v>241</v>
      </c>
      <c r="B37" t="s">
        <v>242</v>
      </c>
      <c r="C37">
        <v>803</v>
      </c>
      <c r="D37" t="s">
        <v>243</v>
      </c>
      <c r="E37">
        <v>140000</v>
      </c>
      <c r="F37" t="s">
        <v>113</v>
      </c>
      <c r="P37" t="s">
        <v>3</v>
      </c>
      <c r="Q37" t="s">
        <v>3</v>
      </c>
      <c r="R37" t="s">
        <v>3</v>
      </c>
      <c r="Y37" t="s">
        <v>124</v>
      </c>
    </row>
    <row r="38" spans="1:25" x14ac:dyDescent="0.25">
      <c r="A38" t="s">
        <v>245</v>
      </c>
      <c r="B38" t="s">
        <v>242</v>
      </c>
      <c r="C38">
        <v>311</v>
      </c>
      <c r="D38" t="s">
        <v>219</v>
      </c>
      <c r="E38">
        <v>36000</v>
      </c>
      <c r="F38" t="s">
        <v>113</v>
      </c>
      <c r="G38" t="s">
        <v>156</v>
      </c>
      <c r="N38" t="s">
        <v>3</v>
      </c>
      <c r="P38" t="s">
        <v>3</v>
      </c>
      <c r="Q38" t="s">
        <v>3</v>
      </c>
      <c r="R38" t="s">
        <v>3</v>
      </c>
      <c r="Y38" t="s">
        <v>124</v>
      </c>
    </row>
    <row r="39" spans="1:25" x14ac:dyDescent="0.25">
      <c r="A39" t="s">
        <v>246</v>
      </c>
      <c r="B39" t="s">
        <v>247</v>
      </c>
      <c r="C39">
        <v>311</v>
      </c>
      <c r="D39" t="s">
        <v>219</v>
      </c>
      <c r="E39">
        <v>36000</v>
      </c>
      <c r="F39" t="s">
        <v>113</v>
      </c>
      <c r="G39" t="s">
        <v>156</v>
      </c>
      <c r="N39" t="s">
        <v>3</v>
      </c>
      <c r="P39" t="s">
        <v>3</v>
      </c>
      <c r="Q39" t="s">
        <v>3</v>
      </c>
      <c r="R39" t="s">
        <v>3</v>
      </c>
      <c r="Y39" t="s">
        <v>124</v>
      </c>
    </row>
    <row r="40" spans="1:25" x14ac:dyDescent="0.25">
      <c r="A40" t="s">
        <v>249</v>
      </c>
      <c r="B40" t="s">
        <v>248</v>
      </c>
      <c r="C40">
        <v>311</v>
      </c>
      <c r="D40" t="s">
        <v>244</v>
      </c>
      <c r="E40">
        <v>36000</v>
      </c>
      <c r="F40" t="s">
        <v>113</v>
      </c>
      <c r="G40" t="s">
        <v>156</v>
      </c>
      <c r="N40" t="s">
        <v>3</v>
      </c>
      <c r="P40" t="s">
        <v>3</v>
      </c>
      <c r="Q40" t="s">
        <v>3</v>
      </c>
      <c r="R40" t="s">
        <v>3</v>
      </c>
      <c r="Y40" t="s">
        <v>124</v>
      </c>
    </row>
    <row r="41" spans="1:25" x14ac:dyDescent="0.25">
      <c r="A41" t="s">
        <v>250</v>
      </c>
      <c r="B41" t="s">
        <v>248</v>
      </c>
      <c r="C41">
        <v>65</v>
      </c>
      <c r="D41" t="s">
        <v>153</v>
      </c>
      <c r="E41">
        <v>14000</v>
      </c>
      <c r="F41" t="s">
        <v>113</v>
      </c>
      <c r="P41" t="s">
        <v>156</v>
      </c>
      <c r="Q41" t="s">
        <v>3</v>
      </c>
      <c r="R41" t="s">
        <v>3</v>
      </c>
      <c r="Y41" t="s">
        <v>124</v>
      </c>
    </row>
    <row r="42" spans="1:25" x14ac:dyDescent="0.25">
      <c r="A42" t="s">
        <v>251</v>
      </c>
      <c r="B42" t="s">
        <v>247</v>
      </c>
      <c r="C42">
        <v>803</v>
      </c>
      <c r="D42" t="s">
        <v>230</v>
      </c>
      <c r="E42">
        <v>14000</v>
      </c>
      <c r="F42" t="s">
        <v>113</v>
      </c>
      <c r="P42" t="s">
        <v>3</v>
      </c>
      <c r="Q42" t="s">
        <v>3</v>
      </c>
      <c r="R42" t="s">
        <v>3</v>
      </c>
      <c r="Y42" t="s">
        <v>124</v>
      </c>
    </row>
    <row r="43" spans="1:25" x14ac:dyDescent="0.25">
      <c r="A43" t="s">
        <v>252</v>
      </c>
      <c r="B43" t="s">
        <v>247</v>
      </c>
      <c r="C43">
        <v>803</v>
      </c>
      <c r="D43" t="s">
        <v>230</v>
      </c>
      <c r="E43">
        <v>50000</v>
      </c>
      <c r="F43" t="s">
        <v>113</v>
      </c>
      <c r="P43" t="s">
        <v>3</v>
      </c>
      <c r="Q43" t="s">
        <v>3</v>
      </c>
      <c r="R43" t="s">
        <v>3</v>
      </c>
      <c r="Y43" t="s">
        <v>124</v>
      </c>
    </row>
    <row r="44" spans="1:25" x14ac:dyDescent="0.25">
      <c r="A44" t="s">
        <v>253</v>
      </c>
      <c r="B44" t="s">
        <v>248</v>
      </c>
      <c r="C44">
        <v>62</v>
      </c>
      <c r="D44" t="s">
        <v>190</v>
      </c>
      <c r="E44">
        <v>35000</v>
      </c>
      <c r="F44" t="s">
        <v>113</v>
      </c>
      <c r="P44" t="s">
        <v>139</v>
      </c>
      <c r="Q44" t="s">
        <v>156</v>
      </c>
      <c r="R44" t="s">
        <v>156</v>
      </c>
      <c r="Y44" t="s">
        <v>124</v>
      </c>
    </row>
    <row r="45" spans="1:25" x14ac:dyDescent="0.25">
      <c r="A45" t="s">
        <v>255</v>
      </c>
      <c r="B45" s="90">
        <v>45693</v>
      </c>
      <c r="C45">
        <v>62</v>
      </c>
      <c r="D45" t="s">
        <v>190</v>
      </c>
      <c r="E45">
        <v>35000</v>
      </c>
      <c r="F45" t="s">
        <v>113</v>
      </c>
      <c r="P45" t="s">
        <v>139</v>
      </c>
      <c r="Q45" t="s">
        <v>139</v>
      </c>
      <c r="R45" t="s">
        <v>139</v>
      </c>
      <c r="Y45" t="s">
        <v>124</v>
      </c>
    </row>
    <row r="46" spans="1:25" x14ac:dyDescent="0.25">
      <c r="A46" t="s">
        <v>256</v>
      </c>
      <c r="B46" s="90">
        <v>45693</v>
      </c>
      <c r="C46">
        <v>65</v>
      </c>
      <c r="D46" t="s">
        <v>153</v>
      </c>
      <c r="E46">
        <v>35000</v>
      </c>
      <c r="F46" t="s">
        <v>113</v>
      </c>
      <c r="P46" t="s">
        <v>156</v>
      </c>
      <c r="Q46" t="s">
        <v>3</v>
      </c>
      <c r="R46" t="s">
        <v>3</v>
      </c>
      <c r="Y46" t="s">
        <v>124</v>
      </c>
    </row>
    <row r="47" spans="1:25" x14ac:dyDescent="0.25">
      <c r="A47" t="s">
        <v>257</v>
      </c>
      <c r="B47" s="90">
        <v>45721</v>
      </c>
      <c r="C47">
        <v>65</v>
      </c>
      <c r="D47" t="s">
        <v>153</v>
      </c>
      <c r="E47">
        <v>35000</v>
      </c>
      <c r="F47" t="s">
        <v>113</v>
      </c>
      <c r="P47" t="s">
        <v>156</v>
      </c>
      <c r="Q47" t="s">
        <v>3</v>
      </c>
      <c r="R47" t="s">
        <v>3</v>
      </c>
      <c r="Y47" t="s">
        <v>124</v>
      </c>
    </row>
    <row r="48" spans="1:25" x14ac:dyDescent="0.25">
      <c r="A48" t="s">
        <v>258</v>
      </c>
      <c r="B48" s="90">
        <v>45721</v>
      </c>
      <c r="C48">
        <v>563</v>
      </c>
      <c r="D48" t="s">
        <v>259</v>
      </c>
      <c r="E48">
        <v>35000</v>
      </c>
      <c r="F48" t="s">
        <v>113</v>
      </c>
      <c r="P48" t="s">
        <v>3</v>
      </c>
      <c r="Q48" t="s">
        <v>3</v>
      </c>
      <c r="R48" t="s">
        <v>3</v>
      </c>
      <c r="Y48" t="s">
        <v>124</v>
      </c>
    </row>
    <row r="49" spans="1:25" x14ac:dyDescent="0.25">
      <c r="A49" t="s">
        <v>260</v>
      </c>
      <c r="B49" s="90">
        <v>45721</v>
      </c>
      <c r="C49">
        <v>82</v>
      </c>
      <c r="D49" t="s">
        <v>185</v>
      </c>
      <c r="E49">
        <v>36000</v>
      </c>
      <c r="F49" t="s">
        <v>113</v>
      </c>
      <c r="G49" t="s">
        <v>3</v>
      </c>
      <c r="I49" t="s">
        <v>3</v>
      </c>
      <c r="N49" t="s">
        <v>3</v>
      </c>
      <c r="O49" t="s">
        <v>3</v>
      </c>
      <c r="Y49" t="s">
        <v>124</v>
      </c>
    </row>
    <row r="50" spans="1:25" x14ac:dyDescent="0.25">
      <c r="A50" t="s">
        <v>262</v>
      </c>
      <c r="B50" t="s">
        <v>263</v>
      </c>
      <c r="C50">
        <v>65</v>
      </c>
      <c r="D50" t="s">
        <v>153</v>
      </c>
      <c r="E50">
        <v>70000</v>
      </c>
      <c r="F50" t="s">
        <v>113</v>
      </c>
      <c r="P50" t="s">
        <v>156</v>
      </c>
      <c r="Q50" t="s">
        <v>3</v>
      </c>
      <c r="R50" t="s">
        <v>3</v>
      </c>
      <c r="Y50" t="s">
        <v>124</v>
      </c>
    </row>
    <row r="51" spans="1:25" x14ac:dyDescent="0.25">
      <c r="A51" t="s">
        <v>265</v>
      </c>
      <c r="B51" s="90">
        <v>45782</v>
      </c>
      <c r="C51">
        <v>62</v>
      </c>
      <c r="D51" t="s">
        <v>190</v>
      </c>
      <c r="E51">
        <v>35000</v>
      </c>
      <c r="F51" t="s">
        <v>113</v>
      </c>
      <c r="P51" t="s">
        <v>3</v>
      </c>
      <c r="Q51" t="s">
        <v>3</v>
      </c>
      <c r="R51" t="s">
        <v>3</v>
      </c>
      <c r="Y51" t="s">
        <v>124</v>
      </c>
    </row>
    <row r="52" spans="1:25" x14ac:dyDescent="0.25">
      <c r="A52" t="s">
        <v>264</v>
      </c>
      <c r="B52" s="90">
        <v>45782</v>
      </c>
      <c r="C52">
        <v>563</v>
      </c>
      <c r="D52" t="s">
        <v>115</v>
      </c>
      <c r="E52">
        <v>35000</v>
      </c>
      <c r="F52" t="s">
        <v>113</v>
      </c>
      <c r="P52" t="s">
        <v>3</v>
      </c>
      <c r="Q52" t="s">
        <v>3</v>
      </c>
      <c r="R52" t="s">
        <v>3</v>
      </c>
      <c r="Y52" t="s">
        <v>124</v>
      </c>
    </row>
    <row r="53" spans="1:25" x14ac:dyDescent="0.25">
      <c r="A53" t="s">
        <v>266</v>
      </c>
      <c r="B53" s="90">
        <v>45813</v>
      </c>
      <c r="C53">
        <v>604</v>
      </c>
      <c r="D53" t="s">
        <v>267</v>
      </c>
      <c r="E53">
        <v>35000</v>
      </c>
      <c r="F53" t="s">
        <v>113</v>
      </c>
      <c r="Q53" t="s">
        <v>3</v>
      </c>
      <c r="R53" t="s">
        <v>3</v>
      </c>
      <c r="Y53" t="s">
        <v>124</v>
      </c>
    </row>
  </sheetData>
  <sheetProtection algorithmName="SHA-512" hashValue="MgG5Qhas+ETvPBMPxgRB5gNurY42iuHXe9ljNBD2AJlqrfYbPwn/R7Mmd1I5+8wPuD+NO++TecZ12H9FcmmX3A==" saltValue="MotckiG20y0FE+DHE+Y1JQ==" spinCount="100000" sheet="1" objects="1" scenarios="1"/>
  <conditionalFormatting sqref="D1:E1">
    <cfRule type="containsBlanks" dxfId="2217" priority="7">
      <formula>LEN(TRIM(D1))=0</formula>
    </cfRule>
  </conditionalFormatting>
  <conditionalFormatting sqref="C1">
    <cfRule type="containsBlanks" dxfId="2216" priority="6">
      <formula>LEN(TRIM(C1))=0</formula>
    </cfRule>
  </conditionalFormatting>
  <conditionalFormatting sqref="A1">
    <cfRule type="containsBlanks" dxfId="2215" priority="5">
      <formula>LEN(TRIM(A1))=0</formula>
    </cfRule>
  </conditionalFormatting>
  <conditionalFormatting sqref="B1">
    <cfRule type="containsBlanks" dxfId="2214" priority="4">
      <formula>LEN(TRIM(B1))=0</formula>
    </cfRule>
  </conditionalFormatting>
  <conditionalFormatting sqref="F1">
    <cfRule type="containsBlanks" dxfId="2213" priority="3">
      <formula>LEN(TRIM(F1))=0</formula>
    </cfRule>
  </conditionalFormatting>
  <conditionalFormatting sqref="H1:AA1">
    <cfRule type="containsBlanks" dxfId="2212" priority="2">
      <formula>LEN(TRIM(H1))=0</formula>
    </cfRule>
  </conditionalFormatting>
  <conditionalFormatting sqref="G1">
    <cfRule type="containsBlanks" dxfId="2211" priority="1">
      <formula>LEN(TRIM(G1))=0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C218C-DF15-47F3-A398-36164BBD974B}">
  <sheetPr codeName="Hoja57">
    <tabColor rgb="FFC00000"/>
  </sheetPr>
  <dimension ref="A1:AA32"/>
  <sheetViews>
    <sheetView zoomScaleNormal="100" workbookViewId="0">
      <pane xSplit="4" topLeftCell="O1" activePane="topRight" state="frozen"/>
      <selection activeCell="C8" sqref="C8"/>
      <selection pane="topRight" activeCell="P9" sqref="P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bestFit="1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271</v>
      </c>
      <c r="E6" s="69"/>
      <c r="F6" s="7" t="str">
        <f>C6&amp;RIGHT("0"&amp;MID(B6,1,2),2)&amp;RIGHT("0"&amp;MID(B6,4,2),2)&amp;RIGHT(MID(B6,7,4),2)</f>
        <v>00</v>
      </c>
      <c r="G6" s="77">
        <f>IF(I6+N6+O6&lt;5%,"",I6+N6+O6)</f>
        <v>0.49</v>
      </c>
      <c r="H6" s="8">
        <f t="shared" ref="H6:AA6" si="0">ROUND(($G15*H15+$G16*H16+$G17*H17+$G18*H18+$G19*H19+$G20*H20+$G21*H21+$G22*H22+$G23*H23)/100,3)</f>
        <v>1E-3</v>
      </c>
      <c r="I6" s="8">
        <f t="shared" si="0"/>
        <v>0.245</v>
      </c>
      <c r="J6" s="8">
        <f t="shared" si="0"/>
        <v>4.8000000000000001E-2</v>
      </c>
      <c r="K6" s="8">
        <f t="shared" si="0"/>
        <v>0</v>
      </c>
      <c r="L6" s="8">
        <f t="shared" si="0"/>
        <v>0</v>
      </c>
      <c r="M6" s="8">
        <f t="shared" si="0"/>
        <v>4.4999999999999998E-2</v>
      </c>
      <c r="N6" s="8">
        <f t="shared" si="0"/>
        <v>0.127</v>
      </c>
      <c r="O6" s="8">
        <f t="shared" si="0"/>
        <v>0.11799999999999999</v>
      </c>
      <c r="P6" s="8">
        <f t="shared" si="0"/>
        <v>2.1000000000000001E-2</v>
      </c>
      <c r="Q6" s="8">
        <f t="shared" si="0"/>
        <v>7.0000000000000001E-3</v>
      </c>
      <c r="R6" s="8">
        <f t="shared" si="0"/>
        <v>0.01</v>
      </c>
      <c r="S6" s="8">
        <f t="shared" si="0"/>
        <v>1E-3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6.0000000000000001E-3</v>
      </c>
      <c r="Z6" s="8">
        <f t="shared" si="0"/>
        <v>1E-3</v>
      </c>
      <c r="AA6" s="8">
        <f t="shared" si="0"/>
        <v>0</v>
      </c>
    </row>
    <row r="7" spans="1:27" ht="19.5" x14ac:dyDescent="0.25">
      <c r="A7" s="55">
        <f>A6</f>
        <v>0</v>
      </c>
      <c r="B7" s="55">
        <f>B6</f>
        <v>0</v>
      </c>
      <c r="C7" s="55">
        <f t="shared" ref="C7:E7" si="1">C6</f>
        <v>0</v>
      </c>
      <c r="D7" s="55" t="str">
        <f t="shared" si="1"/>
        <v>MFE 25-13-12 + EM</v>
      </c>
      <c r="E7" s="55">
        <f t="shared" si="1"/>
        <v>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MFE 25-13-12 + EM</v>
      </c>
      <c r="E9" s="60"/>
      <c r="F9" s="61"/>
      <c r="G9" s="77"/>
      <c r="H9" s="98">
        <v>4.0000000000000002E-4</v>
      </c>
      <c r="I9" s="8">
        <v>0.25</v>
      </c>
      <c r="J9" s="8">
        <v>0</v>
      </c>
      <c r="K9" s="8"/>
      <c r="L9" s="8"/>
      <c r="M9" s="8"/>
      <c r="N9" s="8">
        <v>0.13</v>
      </c>
      <c r="O9" s="8">
        <v>0.12</v>
      </c>
      <c r="P9" s="8">
        <v>0.02</v>
      </c>
      <c r="Q9" s="8">
        <v>0.01</v>
      </c>
      <c r="R9" s="8">
        <v>0.01</v>
      </c>
      <c r="S9" s="8">
        <v>1E-3</v>
      </c>
      <c r="T9" s="8"/>
      <c r="U9" s="8"/>
      <c r="V9" s="8"/>
      <c r="W9" s="8"/>
      <c r="X9" s="8"/>
      <c r="Y9" s="8">
        <v>0.02</v>
      </c>
      <c r="Z9" s="8">
        <v>1E-3</v>
      </c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/>
      <c r="E15" s="9" t="s">
        <v>268</v>
      </c>
      <c r="F15" s="9">
        <v>330</v>
      </c>
      <c r="G15" s="9">
        <f>Tabla27[[#This Row],[CANTIDAD]]/10</f>
        <v>33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0.46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/>
      <c r="E16" s="9" t="s">
        <v>269</v>
      </c>
      <c r="F16" s="9">
        <v>113</v>
      </c>
      <c r="G16" s="9">
        <f>Tabla27[[#This Row],[CANTIDAD]]/10</f>
        <v>11.3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0.4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0.4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0.06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270</v>
      </c>
      <c r="F17" s="9">
        <v>268</v>
      </c>
      <c r="G17" s="9">
        <f>Tabla27[[#This Row],[CANTIDAD]]/10</f>
        <v>26.8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0.18</v>
      </c>
      <c r="J17" s="10" cm="1">
        <f t="array" ref="J17">IF($E17="",0%,(_xlfn.XLOOKUP($E17,Tabla1[[#All],[ID]],Tabla1[[#All],[N-NH4]])))</f>
        <v>0.18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0.46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0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133</v>
      </c>
      <c r="F18" s="9">
        <v>193</v>
      </c>
      <c r="G18" s="9">
        <f>Tabla27[[#This Row],[CANTIDAD]]/10</f>
        <v>19.3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0.6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 t="s">
        <v>197</v>
      </c>
      <c r="F19" s="9">
        <v>5</v>
      </c>
      <c r="G19" s="9">
        <f>Tabla27[[#This Row],[CANTIDAD]]/10</f>
        <v>0.5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0.03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7.0000000000000007E-2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0.21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 t="s">
        <v>196</v>
      </c>
      <c r="F20" s="9">
        <v>9</v>
      </c>
      <c r="G20" s="9">
        <f>Tabla27[[#This Row],[CANTIDAD]]/10</f>
        <v>0.9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0.1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 t="s">
        <v>145</v>
      </c>
      <c r="F21" s="9">
        <v>20</v>
      </c>
      <c r="G21" s="9">
        <f>Tabla27[[#This Row],[CANTIDAD]]/10</f>
        <v>2</v>
      </c>
      <c r="H21" s="10" cm="1">
        <f t="array" ref="H21">IF($E21="",0%,_xlfn.XLOOKUP($E21,Tabla1[[#All],[ID]],Tabla1[[#All],[C]]))</f>
        <v>0.05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0.2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0.23</v>
      </c>
      <c r="Q21" s="10" cm="1">
        <f t="array" ref="Q21">IF($E21="",0%,(_xlfn.XLOOKUP($E21,Tabla1[[#All],[ID]],Tabla1[[#All],[MgO]])))</f>
        <v>1.4999999999999999E-2</v>
      </c>
      <c r="R21" s="10" cm="1">
        <f t="array" ref="R21">IF($E21="",0%,(_xlfn.XLOOKUP($E21,Tabla1[[#All],[ID]],Tabla1[[#All],[S]])))</f>
        <v>0.01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0.21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 t="s">
        <v>138</v>
      </c>
      <c r="F22" s="9">
        <v>62</v>
      </c>
      <c r="G22" s="9">
        <f>Tabla27[[#This Row],[CANTIDAD]]/10</f>
        <v>6.2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0.03</v>
      </c>
      <c r="P22" s="10" cm="1">
        <f t="array" ref="P22">IF($E22="",0%,(_xlfn.XLOOKUP($E22,Tabla1[[#All],[ID]],Tabla1[[#All],[CaO]])))</f>
        <v>0.27</v>
      </c>
      <c r="Q22" s="10" cm="1">
        <f t="array" ref="Q22">IF($E22="",0%,(_xlfn.XLOOKUP($E22,Tabla1[[#All],[ID]],Tabla1[[#All],[MgO]])))</f>
        <v>0.115</v>
      </c>
      <c r="R22" s="10" cm="1">
        <f t="array" ref="R22">IF($E22="",0%,(_xlfn.XLOOKUP($E22,Tabla1[[#All],[ID]],Tabla1[[#All],[S]])))</f>
        <v>3.5000000000000003E-2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3.5000000000000003E-2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Tabla27[[#This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6"/>
    </row>
    <row r="25" spans="3:27" x14ac:dyDescent="0.25">
      <c r="C25" s="73"/>
      <c r="D25" s="132"/>
      <c r="E25" s="132"/>
      <c r="F25" s="132"/>
      <c r="G25" s="96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2210" priority="31">
      <formula>LEN(TRIM(C6))=0</formula>
    </cfRule>
  </conditionalFormatting>
  <conditionalFormatting sqref="H15:AA23 H6:AA6">
    <cfRule type="cellIs" dxfId="2209" priority="30" operator="equal">
      <formula>0</formula>
    </cfRule>
  </conditionalFormatting>
  <conditionalFormatting sqref="G15:G23">
    <cfRule type="cellIs" dxfId="2208" priority="28" operator="equal">
      <formula>0</formula>
    </cfRule>
    <cfRule type="containsBlanks" dxfId="2207" priority="29">
      <formula>LEN(TRIM(G15))=0</formula>
    </cfRule>
  </conditionalFormatting>
  <conditionalFormatting sqref="H5:AA5">
    <cfRule type="containsBlanks" dxfId="2206" priority="27">
      <formula>LEN(TRIM(H5))=0</formula>
    </cfRule>
  </conditionalFormatting>
  <conditionalFormatting sqref="G5">
    <cfRule type="containsBlanks" dxfId="2205" priority="26">
      <formula>LEN(TRIM(G5))=0</formula>
    </cfRule>
  </conditionalFormatting>
  <conditionalFormatting sqref="F6:G6">
    <cfRule type="containsBlanks" dxfId="2204" priority="25">
      <formula>LEN(TRIM(F6))=0</formula>
    </cfRule>
  </conditionalFormatting>
  <conditionalFormatting sqref="H14:AA14">
    <cfRule type="containsBlanks" dxfId="2203" priority="24">
      <formula>LEN(TRIM(H14))=0</formula>
    </cfRule>
  </conditionalFormatting>
  <conditionalFormatting sqref="D5">
    <cfRule type="containsBlanks" dxfId="2202" priority="23">
      <formula>LEN(TRIM(D5))=0</formula>
    </cfRule>
  </conditionalFormatting>
  <conditionalFormatting sqref="C5">
    <cfRule type="containsBlanks" dxfId="2201" priority="22">
      <formula>LEN(TRIM(C5))=0</formula>
    </cfRule>
  </conditionalFormatting>
  <conditionalFormatting sqref="D14">
    <cfRule type="containsBlanks" dxfId="2200" priority="21">
      <formula>LEN(TRIM(D14))=0</formula>
    </cfRule>
  </conditionalFormatting>
  <conditionalFormatting sqref="G8:AA8 G10:AA10">
    <cfRule type="containsBlanks" dxfId="2199" priority="20">
      <formula>LEN(TRIM(G8))=0</formula>
    </cfRule>
  </conditionalFormatting>
  <conditionalFormatting sqref="G8:AA8 G10:AA10">
    <cfRule type="cellIs" dxfId="2198" priority="19" operator="equal">
      <formula>0</formula>
    </cfRule>
  </conditionalFormatting>
  <conditionalFormatting sqref="G7:AA7">
    <cfRule type="containsBlanks" dxfId="2197" priority="18">
      <formula>LEN(TRIM(G7))=0</formula>
    </cfRule>
  </conditionalFormatting>
  <conditionalFormatting sqref="G7:AA7">
    <cfRule type="cellIs" dxfId="2196" priority="17" operator="equal">
      <formula>0</formula>
    </cfRule>
  </conditionalFormatting>
  <conditionalFormatting sqref="A5">
    <cfRule type="containsBlanks" dxfId="2195" priority="15">
      <formula>LEN(TRIM(A5))=0</formula>
    </cfRule>
  </conditionalFormatting>
  <conditionalFormatting sqref="F7">
    <cfRule type="containsBlanks" dxfId="2194" priority="16">
      <formula>LEN(TRIM(F7))=0</formula>
    </cfRule>
  </conditionalFormatting>
  <conditionalFormatting sqref="B5">
    <cfRule type="containsBlanks" dxfId="2193" priority="14">
      <formula>LEN(TRIM(B5))=0</formula>
    </cfRule>
  </conditionalFormatting>
  <conditionalFormatting sqref="A7:E7">
    <cfRule type="containsBlanks" dxfId="2192" priority="13">
      <formula>LEN(TRIM(A7))=0</formula>
    </cfRule>
  </conditionalFormatting>
  <conditionalFormatting sqref="E5">
    <cfRule type="containsBlanks" dxfId="2191" priority="12">
      <formula>LEN(TRIM(E5))=0</formula>
    </cfRule>
  </conditionalFormatting>
  <conditionalFormatting sqref="F5">
    <cfRule type="containsBlanks" dxfId="2190" priority="11">
      <formula>LEN(TRIM(F5))=0</formula>
    </cfRule>
  </conditionalFormatting>
  <conditionalFormatting sqref="A6">
    <cfRule type="containsBlanks" dxfId="2189" priority="10">
      <formula>LEN(TRIM(A6))=0</formula>
    </cfRule>
  </conditionalFormatting>
  <conditionalFormatting sqref="B6">
    <cfRule type="containsBlanks" dxfId="2188" priority="9">
      <formula>LEN(TRIM(B6))=0</formula>
    </cfRule>
  </conditionalFormatting>
  <conditionalFormatting sqref="E6">
    <cfRule type="containsBlanks" dxfId="2187" priority="8">
      <formula>LEN(TRIM(E6))=0</formula>
    </cfRule>
  </conditionalFormatting>
  <conditionalFormatting sqref="C6">
    <cfRule type="containsBlanks" dxfId="2186" priority="7">
      <formula>LEN(TRIM(C6))=0</formula>
    </cfRule>
  </conditionalFormatting>
  <conditionalFormatting sqref="D6">
    <cfRule type="containsBlanks" dxfId="2185" priority="6">
      <formula>LEN(TRIM(D6))=0</formula>
    </cfRule>
  </conditionalFormatting>
  <conditionalFormatting sqref="G9">
    <cfRule type="containsBlanks" dxfId="2184" priority="5">
      <formula>LEN(TRIM(G9))=0</formula>
    </cfRule>
  </conditionalFormatting>
  <conditionalFormatting sqref="H9:O9 Z9:AA9">
    <cfRule type="containsBlanks" dxfId="2183" priority="4">
      <formula>LEN(TRIM(H9))=0</formula>
    </cfRule>
  </conditionalFormatting>
  <conditionalFormatting sqref="H9:O9 Z9:AA9">
    <cfRule type="cellIs" dxfId="2182" priority="3" operator="equal">
      <formula>0</formula>
    </cfRule>
  </conditionalFormatting>
  <conditionalFormatting sqref="P9:Y9">
    <cfRule type="containsBlanks" dxfId="2181" priority="2">
      <formula>LEN(TRIM(P9))=0</formula>
    </cfRule>
  </conditionalFormatting>
  <conditionalFormatting sqref="P9:Y9">
    <cfRule type="cellIs" dxfId="2180" priority="1" operator="equal">
      <formula>0</formula>
    </cfRule>
  </conditionalFormatting>
  <dataValidations count="1">
    <dataValidation type="list" allowBlank="1" showInputMessage="1" showErrorMessage="1" sqref="E26:E27 E15:E23" xr:uid="{86F8CB39-3C2E-4849-8857-1660F242ACB6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2044-6167-48F6-95E7-87F3D5757045}">
  <sheetPr codeName="Hoja58">
    <tabColor rgb="FFC00000"/>
  </sheetPr>
  <dimension ref="A1:AA32"/>
  <sheetViews>
    <sheetView zoomScaleNormal="100" workbookViewId="0">
      <pane xSplit="4" topLeftCell="T1" activePane="topRight" state="frozen"/>
      <selection activeCell="C8" sqref="C8"/>
      <selection pane="topRight" activeCell="Z9" sqref="Z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bestFit="1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710937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273</v>
      </c>
      <c r="E6" s="69"/>
      <c r="F6" s="7" t="str">
        <f>C6&amp;RIGHT("0"&amp;MID(B6,1,2),2)&amp;RIGHT("0"&amp;MID(B6,4,2),2)&amp;RIGHT(MID(B6,7,4),2)</f>
        <v>00</v>
      </c>
      <c r="G6" s="77">
        <f>IF(I6+N6+O6&lt;5%,"",I6+N6+O6)</f>
        <v>0.53200000000000003</v>
      </c>
      <c r="H6" s="8">
        <f t="shared" ref="H6:AA6" si="0">ROUND(($G15*H15+$G16*H16+$G17*H17+$G18*H18+$G19*H19+$G20*H20+$G21*H21+$G22*H22+$G23*H23)/100,3)</f>
        <v>0</v>
      </c>
      <c r="I6" s="8">
        <f t="shared" si="0"/>
        <v>0.17599999999999999</v>
      </c>
      <c r="J6" s="8">
        <f t="shared" si="0"/>
        <v>6.8000000000000005E-2</v>
      </c>
      <c r="K6" s="8">
        <f t="shared" si="0"/>
        <v>0</v>
      </c>
      <c r="L6" s="8">
        <f t="shared" si="0"/>
        <v>0</v>
      </c>
      <c r="M6" s="8">
        <f t="shared" si="0"/>
        <v>1.6E-2</v>
      </c>
      <c r="N6" s="8">
        <f t="shared" si="0"/>
        <v>0.17599999999999999</v>
      </c>
      <c r="O6" s="8">
        <f t="shared" si="0"/>
        <v>0.18</v>
      </c>
      <c r="P6" s="8">
        <f t="shared" si="0"/>
        <v>8.9999999999999993E-3</v>
      </c>
      <c r="Q6" s="8">
        <f t="shared" si="0"/>
        <v>7.0000000000000001E-3</v>
      </c>
      <c r="R6" s="8">
        <f t="shared" si="0"/>
        <v>7.0000000000000001E-3</v>
      </c>
      <c r="S6" s="8">
        <f t="shared" si="0"/>
        <v>2E-3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7.0000000000000001E-3</v>
      </c>
      <c r="Z6" s="98">
        <f t="shared" si="0"/>
        <v>2E-3</v>
      </c>
      <c r="AA6" s="8">
        <f t="shared" si="0"/>
        <v>0</v>
      </c>
    </row>
    <row r="7" spans="1:27" ht="19.5" x14ac:dyDescent="0.25">
      <c r="A7" s="55">
        <f>A6</f>
        <v>0</v>
      </c>
      <c r="B7" s="55">
        <f>B6</f>
        <v>0</v>
      </c>
      <c r="C7" s="55">
        <f t="shared" ref="C7:E7" si="1">C6</f>
        <v>0</v>
      </c>
      <c r="D7" s="55" t="str">
        <f t="shared" si="1"/>
        <v>18-18-18 + EM</v>
      </c>
      <c r="E7" s="55">
        <f t="shared" si="1"/>
        <v>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18-18-18 + EM</v>
      </c>
      <c r="E9" s="60"/>
      <c r="F9" s="61"/>
      <c r="G9" s="77">
        <f>I9+N9+O9</f>
        <v>0.54</v>
      </c>
      <c r="H9" s="98"/>
      <c r="I9" s="8">
        <v>0.18</v>
      </c>
      <c r="J9" s="8">
        <v>0</v>
      </c>
      <c r="K9" s="8"/>
      <c r="L9" s="8"/>
      <c r="M9" s="8"/>
      <c r="N9" s="8">
        <v>0.18</v>
      </c>
      <c r="O9" s="8">
        <v>0.18</v>
      </c>
      <c r="P9" s="8">
        <v>0.01</v>
      </c>
      <c r="Q9" s="8">
        <v>0.01</v>
      </c>
      <c r="R9" s="8">
        <v>0.01</v>
      </c>
      <c r="S9" s="98">
        <v>1.2999999999999999E-3</v>
      </c>
      <c r="T9" s="8"/>
      <c r="U9" s="8"/>
      <c r="V9" s="8"/>
      <c r="W9" s="8"/>
      <c r="X9" s="8"/>
      <c r="Y9" s="8">
        <v>0.01</v>
      </c>
      <c r="Z9" s="98">
        <v>1.6000000000000001E-3</v>
      </c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/>
      <c r="E15" s="9" t="s">
        <v>268</v>
      </c>
      <c r="F15" s="9">
        <v>200</v>
      </c>
      <c r="G15" s="9">
        <f>Tabla28[[#This Row],[CANTIDAD]]/10</f>
        <v>20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0.46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/>
      <c r="E16" s="9" t="s">
        <v>269</v>
      </c>
      <c r="F16" s="9">
        <v>40</v>
      </c>
      <c r="G16" s="9">
        <f>Tabla28[[#This Row],[CANTIDAD]]/10</f>
        <v>4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0.4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0.4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0.06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270</v>
      </c>
      <c r="F17" s="9">
        <v>380</v>
      </c>
      <c r="G17" s="9">
        <f>Tabla28[[#This Row],[CANTIDAD]]/10</f>
        <v>38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0.18</v>
      </c>
      <c r="J17" s="10" cm="1">
        <f t="array" ref="J17">IF($E17="",0%,(_xlfn.XLOOKUP($E17,Tabla1[[#All],[ID]],Tabla1[[#All],[N-NH4]])))</f>
        <v>0.18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0.46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0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133</v>
      </c>
      <c r="F18" s="9">
        <v>300</v>
      </c>
      <c r="G18" s="9">
        <f>Tabla28[[#This Row],[CANTIDAD]]/10</f>
        <v>30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0.6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 t="s">
        <v>197</v>
      </c>
      <c r="F19" s="9">
        <v>10</v>
      </c>
      <c r="G19" s="9">
        <f>Tabla28[[#This Row],[CANTIDAD]]/10</f>
        <v>1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0.03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7.0000000000000007E-2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0.21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 t="s">
        <v>196</v>
      </c>
      <c r="F20" s="9">
        <v>15</v>
      </c>
      <c r="G20" s="9">
        <f>Tabla28[[#This Row],[CANTIDAD]]/10</f>
        <v>1.5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0.1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 t="s">
        <v>131</v>
      </c>
      <c r="F21" s="9">
        <v>20</v>
      </c>
      <c r="G21" s="9">
        <f>Tabla28[[#This Row],[CANTIDAD]]/10</f>
        <v>2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0.05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0.3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0.3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 t="s">
        <v>272</v>
      </c>
      <c r="F22" s="9">
        <v>35</v>
      </c>
      <c r="G22" s="9">
        <f>Tabla28[[#This Row],[CANTIDAD]]/10</f>
        <v>3.5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0.26400000000000001</v>
      </c>
      <c r="Q22" s="10" cm="1">
        <f t="array" ref="Q22">IF($E22="",0%,(_xlfn.XLOOKUP($E22,Tabla1[[#All],[ID]],Tabla1[[#All],[MgO]])))</f>
        <v>1.4999999999999999E-2</v>
      </c>
      <c r="R22" s="10" cm="1">
        <f t="array" ref="R22">IF($E22="",0%,(_xlfn.XLOOKUP($E22,Tabla1[[#All],[ID]],Tabla1[[#All],[S]])))</f>
        <v>0.108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2.8000000000000001E-2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Tabla28[[#This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6"/>
    </row>
    <row r="25" spans="3:27" x14ac:dyDescent="0.25">
      <c r="C25" s="73"/>
      <c r="D25" s="132"/>
      <c r="E25" s="132"/>
      <c r="F25" s="132"/>
      <c r="G25" s="96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2150" priority="31">
      <formula>LEN(TRIM(C6))=0</formula>
    </cfRule>
  </conditionalFormatting>
  <conditionalFormatting sqref="H15:AA23 H6:AA6">
    <cfRule type="cellIs" dxfId="2149" priority="30" operator="equal">
      <formula>0</formula>
    </cfRule>
  </conditionalFormatting>
  <conditionalFormatting sqref="G15:G23">
    <cfRule type="cellIs" dxfId="2148" priority="28" operator="equal">
      <formula>0</formula>
    </cfRule>
    <cfRule type="containsBlanks" dxfId="2147" priority="29">
      <formula>LEN(TRIM(G15))=0</formula>
    </cfRule>
  </conditionalFormatting>
  <conditionalFormatting sqref="H5:AA5">
    <cfRule type="containsBlanks" dxfId="2146" priority="27">
      <formula>LEN(TRIM(H5))=0</formula>
    </cfRule>
  </conditionalFormatting>
  <conditionalFormatting sqref="G5">
    <cfRule type="containsBlanks" dxfId="2145" priority="26">
      <formula>LEN(TRIM(G5))=0</formula>
    </cfRule>
  </conditionalFormatting>
  <conditionalFormatting sqref="F6:G6">
    <cfRule type="containsBlanks" dxfId="2144" priority="25">
      <formula>LEN(TRIM(F6))=0</formula>
    </cfRule>
  </conditionalFormatting>
  <conditionalFormatting sqref="H14:AA14">
    <cfRule type="containsBlanks" dxfId="2143" priority="24">
      <formula>LEN(TRIM(H14))=0</formula>
    </cfRule>
  </conditionalFormatting>
  <conditionalFormatting sqref="D5">
    <cfRule type="containsBlanks" dxfId="2142" priority="23">
      <formula>LEN(TRIM(D5))=0</formula>
    </cfRule>
  </conditionalFormatting>
  <conditionalFormatting sqref="C5">
    <cfRule type="containsBlanks" dxfId="2141" priority="22">
      <formula>LEN(TRIM(C5))=0</formula>
    </cfRule>
  </conditionalFormatting>
  <conditionalFormatting sqref="D14">
    <cfRule type="containsBlanks" dxfId="2140" priority="21">
      <formula>LEN(TRIM(D14))=0</formula>
    </cfRule>
  </conditionalFormatting>
  <conditionalFormatting sqref="G8:AA8 G10:AA10">
    <cfRule type="containsBlanks" dxfId="2139" priority="20">
      <formula>LEN(TRIM(G8))=0</formula>
    </cfRule>
  </conditionalFormatting>
  <conditionalFormatting sqref="G8:AA8 G10:AA10">
    <cfRule type="cellIs" dxfId="2138" priority="19" operator="equal">
      <formula>0</formula>
    </cfRule>
  </conditionalFormatting>
  <conditionalFormatting sqref="G7:AA7">
    <cfRule type="containsBlanks" dxfId="2137" priority="18">
      <formula>LEN(TRIM(G7))=0</formula>
    </cfRule>
  </conditionalFormatting>
  <conditionalFormatting sqref="G7:AA7">
    <cfRule type="cellIs" dxfId="2136" priority="17" operator="equal">
      <formula>0</formula>
    </cfRule>
  </conditionalFormatting>
  <conditionalFormatting sqref="A5">
    <cfRule type="containsBlanks" dxfId="2135" priority="15">
      <formula>LEN(TRIM(A5))=0</formula>
    </cfRule>
  </conditionalFormatting>
  <conditionalFormatting sqref="F7">
    <cfRule type="containsBlanks" dxfId="2134" priority="16">
      <formula>LEN(TRIM(F7))=0</formula>
    </cfRule>
  </conditionalFormatting>
  <conditionalFormatting sqref="B5">
    <cfRule type="containsBlanks" dxfId="2133" priority="14">
      <formula>LEN(TRIM(B5))=0</formula>
    </cfRule>
  </conditionalFormatting>
  <conditionalFormatting sqref="A7:E7">
    <cfRule type="containsBlanks" dxfId="2132" priority="13">
      <formula>LEN(TRIM(A7))=0</formula>
    </cfRule>
  </conditionalFormatting>
  <conditionalFormatting sqref="E5">
    <cfRule type="containsBlanks" dxfId="2131" priority="12">
      <formula>LEN(TRIM(E5))=0</formula>
    </cfRule>
  </conditionalFormatting>
  <conditionalFormatting sqref="F5">
    <cfRule type="containsBlanks" dxfId="2130" priority="11">
      <formula>LEN(TRIM(F5))=0</formula>
    </cfRule>
  </conditionalFormatting>
  <conditionalFormatting sqref="A6">
    <cfRule type="containsBlanks" dxfId="2129" priority="10">
      <formula>LEN(TRIM(A6))=0</formula>
    </cfRule>
  </conditionalFormatting>
  <conditionalFormatting sqref="B6">
    <cfRule type="containsBlanks" dxfId="2128" priority="9">
      <formula>LEN(TRIM(B6))=0</formula>
    </cfRule>
  </conditionalFormatting>
  <conditionalFormatting sqref="E6">
    <cfRule type="containsBlanks" dxfId="2127" priority="8">
      <formula>LEN(TRIM(E6))=0</formula>
    </cfRule>
  </conditionalFormatting>
  <conditionalFormatting sqref="C6">
    <cfRule type="containsBlanks" dxfId="2126" priority="7">
      <formula>LEN(TRIM(C6))=0</formula>
    </cfRule>
  </conditionalFormatting>
  <conditionalFormatting sqref="D6">
    <cfRule type="containsBlanks" dxfId="2125" priority="6">
      <formula>LEN(TRIM(D6))=0</formula>
    </cfRule>
  </conditionalFormatting>
  <conditionalFormatting sqref="G9">
    <cfRule type="containsBlanks" dxfId="2124" priority="5">
      <formula>LEN(TRIM(G9))=0</formula>
    </cfRule>
  </conditionalFormatting>
  <conditionalFormatting sqref="H9:O9 Z9:AA9">
    <cfRule type="containsBlanks" dxfId="2123" priority="4">
      <formula>LEN(TRIM(H9))=0</formula>
    </cfRule>
  </conditionalFormatting>
  <conditionalFormatting sqref="H9:O9 Z9:AA9">
    <cfRule type="cellIs" dxfId="2122" priority="3" operator="equal">
      <formula>0</formula>
    </cfRule>
  </conditionalFormatting>
  <conditionalFormatting sqref="P9:Y9">
    <cfRule type="containsBlanks" dxfId="2121" priority="2">
      <formula>LEN(TRIM(P9))=0</formula>
    </cfRule>
  </conditionalFormatting>
  <conditionalFormatting sqref="P9:Y9">
    <cfRule type="cellIs" dxfId="2120" priority="1" operator="equal">
      <formula>0</formula>
    </cfRule>
  </conditionalFormatting>
  <dataValidations count="1">
    <dataValidation type="list" allowBlank="1" showInputMessage="1" showErrorMessage="1" sqref="E26:E27 E15:E23" xr:uid="{5038A53D-34CC-4F9A-B77B-5F0895601C1B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E4CA-8AA2-4A85-A483-48CA503A2970}">
  <sheetPr codeName="Hoja59">
    <tabColor rgb="FFC00000"/>
  </sheetPr>
  <dimension ref="A1:AA32"/>
  <sheetViews>
    <sheetView zoomScaleNormal="100" workbookViewId="0">
      <pane xSplit="4" topLeftCell="F1" activePane="topRight" state="frozen"/>
      <selection activeCell="C8" sqref="C8"/>
      <selection pane="topRight" activeCell="H9" sqref="H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bestFit="1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710937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274</v>
      </c>
      <c r="E6" s="69"/>
      <c r="F6" s="7" t="str">
        <f>C6&amp;RIGHT("0"&amp;MID(B6,1,2),2)&amp;RIGHT("0"&amp;MID(B6,4,2),2)&amp;RIGHT(MID(B6,7,4),2)</f>
        <v>00</v>
      </c>
      <c r="G6" s="77">
        <f>IF(I6+N6+O6&lt;5%,"",I6+N6+O6)</f>
        <v>0.47899999999999993</v>
      </c>
      <c r="H6" s="8">
        <f t="shared" ref="H6:AA6" si="0">ROUND(($G15*H15+$G16*H16+$G17*H17+$G18*H18+$G19*H19+$G20*H20+$G21*H21+$G22*H22+$G23*H23)/100,3)</f>
        <v>2E-3</v>
      </c>
      <c r="I6" s="8">
        <f t="shared" si="0"/>
        <v>0.28799999999999998</v>
      </c>
      <c r="J6" s="8">
        <f t="shared" si="0"/>
        <v>5.2999999999999999E-2</v>
      </c>
      <c r="K6" s="8">
        <f t="shared" si="0"/>
        <v>0</v>
      </c>
      <c r="L6" s="8">
        <f t="shared" si="0"/>
        <v>0</v>
      </c>
      <c r="M6" s="8">
        <f t="shared" si="0"/>
        <v>6.2E-2</v>
      </c>
      <c r="N6" s="8">
        <f t="shared" si="0"/>
        <v>0.14599999999999999</v>
      </c>
      <c r="O6" s="8">
        <f t="shared" si="0"/>
        <v>4.4999999999999998E-2</v>
      </c>
      <c r="P6" s="8">
        <f t="shared" si="0"/>
        <v>0.01</v>
      </c>
      <c r="Q6" s="8">
        <f t="shared" si="0"/>
        <v>1.0999999999999999E-2</v>
      </c>
      <c r="R6" s="8">
        <f t="shared" si="0"/>
        <v>0.01</v>
      </c>
      <c r="S6" s="8">
        <f t="shared" si="0"/>
        <v>1E-3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0.02</v>
      </c>
      <c r="Z6" s="98">
        <f t="shared" si="0"/>
        <v>2E-3</v>
      </c>
      <c r="AA6" s="8">
        <f t="shared" si="0"/>
        <v>0</v>
      </c>
    </row>
    <row r="7" spans="1:27" ht="19.5" x14ac:dyDescent="0.25">
      <c r="A7" s="55">
        <f>A6</f>
        <v>0</v>
      </c>
      <c r="B7" s="55">
        <f>B6</f>
        <v>0</v>
      </c>
      <c r="C7" s="55">
        <f t="shared" ref="C7:E7" si="1">C6</f>
        <v>0</v>
      </c>
      <c r="D7" s="55" t="str">
        <f t="shared" si="1"/>
        <v>29-15-5 + EM</v>
      </c>
      <c r="E7" s="55">
        <f t="shared" si="1"/>
        <v>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29-15-5 + EM</v>
      </c>
      <c r="E9" s="60"/>
      <c r="F9" s="61"/>
      <c r="G9" s="77">
        <f>I9+N9+O9</f>
        <v>0.48999999999999994</v>
      </c>
      <c r="H9" s="98">
        <v>2.3E-3</v>
      </c>
      <c r="I9" s="8">
        <v>0.28999999999999998</v>
      </c>
      <c r="J9" s="8">
        <v>0</v>
      </c>
      <c r="K9" s="8"/>
      <c r="L9" s="8"/>
      <c r="M9" s="8"/>
      <c r="N9" s="8">
        <v>0.15</v>
      </c>
      <c r="O9" s="8">
        <v>0.05</v>
      </c>
      <c r="P9" s="8">
        <v>0.01</v>
      </c>
      <c r="Q9" s="8">
        <v>0.01</v>
      </c>
      <c r="R9" s="8">
        <v>0.01</v>
      </c>
      <c r="S9" s="98">
        <v>1.2999999999999999E-3</v>
      </c>
      <c r="T9" s="8"/>
      <c r="U9" s="8"/>
      <c r="V9" s="8"/>
      <c r="W9" s="8"/>
      <c r="X9" s="8"/>
      <c r="Y9" s="8">
        <v>0.02</v>
      </c>
      <c r="Z9" s="98">
        <v>2.2000000000000001E-3</v>
      </c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/>
      <c r="E15" s="9" t="s">
        <v>268</v>
      </c>
      <c r="F15" s="9">
        <v>375</v>
      </c>
      <c r="G15" s="9">
        <f>Tabla29[[#This Row],[CANTIDAD]]/10</f>
        <v>37.5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0.46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/>
      <c r="E16" s="9" t="s">
        <v>269</v>
      </c>
      <c r="F16" s="9">
        <v>155</v>
      </c>
      <c r="G16" s="9">
        <f>Tabla29[[#This Row],[CANTIDAD]]/10</f>
        <v>15.5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0.4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0.4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0.06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270</v>
      </c>
      <c r="F17" s="9">
        <v>295</v>
      </c>
      <c r="G17" s="9">
        <f>Tabla29[[#This Row],[CANTIDAD]]/10</f>
        <v>29.5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0.18</v>
      </c>
      <c r="J17" s="10" cm="1">
        <f t="array" ref="J17">IF($E17="",0%,(_xlfn.XLOOKUP($E17,Tabla1[[#All],[ID]],Tabla1[[#All],[N-NH4]])))</f>
        <v>0.18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0.46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0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133</v>
      </c>
      <c r="F18" s="9">
        <v>75</v>
      </c>
      <c r="G18" s="9">
        <f>Tabla29[[#This Row],[CANTIDAD]]/10</f>
        <v>7.5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0.6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 t="s">
        <v>197</v>
      </c>
      <c r="F19" s="9">
        <v>10</v>
      </c>
      <c r="G19" s="9">
        <f>Tabla29[[#This Row],[CANTIDAD]]/10</f>
        <v>1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0.03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7.0000000000000007E-2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0.21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 t="s">
        <v>196</v>
      </c>
      <c r="F20" s="9">
        <v>10</v>
      </c>
      <c r="G20" s="9">
        <f>Tabla29[[#This Row],[CANTIDAD]]/10</f>
        <v>1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0.1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 t="s">
        <v>131</v>
      </c>
      <c r="F21" s="9">
        <v>35</v>
      </c>
      <c r="G21" s="9">
        <f>Tabla29[[#This Row],[CANTIDAD]]/10</f>
        <v>3.5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0.05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0.3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0.3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 t="s">
        <v>145</v>
      </c>
      <c r="F22" s="9">
        <v>45</v>
      </c>
      <c r="G22" s="9">
        <f>Tabla29[[#This Row],[CANTIDAD]]/10</f>
        <v>4.5</v>
      </c>
      <c r="H22" s="10" cm="1">
        <f t="array" ref="H22">IF($E22="",0%,_xlfn.XLOOKUP($E22,Tabla1[[#All],[ID]],Tabla1[[#All],[C]]))</f>
        <v>0.05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0.2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0.23</v>
      </c>
      <c r="Q22" s="10" cm="1">
        <f t="array" ref="Q22">IF($E22="",0%,(_xlfn.XLOOKUP($E22,Tabla1[[#All],[ID]],Tabla1[[#All],[MgO]])))</f>
        <v>1.4999999999999999E-2</v>
      </c>
      <c r="R22" s="10" cm="1">
        <f t="array" ref="R22">IF($E22="",0%,(_xlfn.XLOOKUP($E22,Tabla1[[#All],[ID]],Tabla1[[#All],[S]])))</f>
        <v>0.01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0.21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Tabla29[[#This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6"/>
    </row>
    <row r="25" spans="3:27" x14ac:dyDescent="0.25">
      <c r="C25" s="73"/>
      <c r="D25" s="132"/>
      <c r="E25" s="132"/>
      <c r="F25" s="132"/>
      <c r="G25" s="96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2090" priority="31">
      <formula>LEN(TRIM(C6))=0</formula>
    </cfRule>
  </conditionalFormatting>
  <conditionalFormatting sqref="H15:AA23 H6:AA6">
    <cfRule type="cellIs" dxfId="2089" priority="30" operator="equal">
      <formula>0</formula>
    </cfRule>
  </conditionalFormatting>
  <conditionalFormatting sqref="G15:G23">
    <cfRule type="cellIs" dxfId="2088" priority="28" operator="equal">
      <formula>0</formula>
    </cfRule>
    <cfRule type="containsBlanks" dxfId="2087" priority="29">
      <formula>LEN(TRIM(G15))=0</formula>
    </cfRule>
  </conditionalFormatting>
  <conditionalFormatting sqref="H5:AA5">
    <cfRule type="containsBlanks" dxfId="2086" priority="27">
      <formula>LEN(TRIM(H5))=0</formula>
    </cfRule>
  </conditionalFormatting>
  <conditionalFormatting sqref="G5">
    <cfRule type="containsBlanks" dxfId="2085" priority="26">
      <formula>LEN(TRIM(G5))=0</formula>
    </cfRule>
  </conditionalFormatting>
  <conditionalFormatting sqref="F6:G6">
    <cfRule type="containsBlanks" dxfId="2084" priority="25">
      <formula>LEN(TRIM(F6))=0</formula>
    </cfRule>
  </conditionalFormatting>
  <conditionalFormatting sqref="H14:AA14">
    <cfRule type="containsBlanks" dxfId="2083" priority="24">
      <formula>LEN(TRIM(H14))=0</formula>
    </cfRule>
  </conditionalFormatting>
  <conditionalFormatting sqref="D5">
    <cfRule type="containsBlanks" dxfId="2082" priority="23">
      <formula>LEN(TRIM(D5))=0</formula>
    </cfRule>
  </conditionalFormatting>
  <conditionalFormatting sqref="C5">
    <cfRule type="containsBlanks" dxfId="2081" priority="22">
      <formula>LEN(TRIM(C5))=0</formula>
    </cfRule>
  </conditionalFormatting>
  <conditionalFormatting sqref="D14">
    <cfRule type="containsBlanks" dxfId="2080" priority="21">
      <formula>LEN(TRIM(D14))=0</formula>
    </cfRule>
  </conditionalFormatting>
  <conditionalFormatting sqref="G8:AA8 G10:AA10">
    <cfRule type="containsBlanks" dxfId="2079" priority="20">
      <formula>LEN(TRIM(G8))=0</formula>
    </cfRule>
  </conditionalFormatting>
  <conditionalFormatting sqref="G8:AA8 G10:AA10">
    <cfRule type="cellIs" dxfId="2078" priority="19" operator="equal">
      <formula>0</formula>
    </cfRule>
  </conditionalFormatting>
  <conditionalFormatting sqref="G7:AA7">
    <cfRule type="containsBlanks" dxfId="2077" priority="18">
      <formula>LEN(TRIM(G7))=0</formula>
    </cfRule>
  </conditionalFormatting>
  <conditionalFormatting sqref="G7:AA7">
    <cfRule type="cellIs" dxfId="2076" priority="17" operator="equal">
      <formula>0</formula>
    </cfRule>
  </conditionalFormatting>
  <conditionalFormatting sqref="A5">
    <cfRule type="containsBlanks" dxfId="2075" priority="15">
      <formula>LEN(TRIM(A5))=0</formula>
    </cfRule>
  </conditionalFormatting>
  <conditionalFormatting sqref="F7">
    <cfRule type="containsBlanks" dxfId="2074" priority="16">
      <formula>LEN(TRIM(F7))=0</formula>
    </cfRule>
  </conditionalFormatting>
  <conditionalFormatting sqref="B5">
    <cfRule type="containsBlanks" dxfId="2073" priority="14">
      <formula>LEN(TRIM(B5))=0</formula>
    </cfRule>
  </conditionalFormatting>
  <conditionalFormatting sqref="A7:E7">
    <cfRule type="containsBlanks" dxfId="2072" priority="13">
      <formula>LEN(TRIM(A7))=0</formula>
    </cfRule>
  </conditionalFormatting>
  <conditionalFormatting sqref="E5">
    <cfRule type="containsBlanks" dxfId="2071" priority="12">
      <formula>LEN(TRIM(E5))=0</formula>
    </cfRule>
  </conditionalFormatting>
  <conditionalFormatting sqref="F5">
    <cfRule type="containsBlanks" dxfId="2070" priority="11">
      <formula>LEN(TRIM(F5))=0</formula>
    </cfRule>
  </conditionalFormatting>
  <conditionalFormatting sqref="A6">
    <cfRule type="containsBlanks" dxfId="2069" priority="10">
      <formula>LEN(TRIM(A6))=0</formula>
    </cfRule>
  </conditionalFormatting>
  <conditionalFormatting sqref="B6">
    <cfRule type="containsBlanks" dxfId="2068" priority="9">
      <formula>LEN(TRIM(B6))=0</formula>
    </cfRule>
  </conditionalFormatting>
  <conditionalFormatting sqref="E6">
    <cfRule type="containsBlanks" dxfId="2067" priority="8">
      <formula>LEN(TRIM(E6))=0</formula>
    </cfRule>
  </conditionalFormatting>
  <conditionalFormatting sqref="C6">
    <cfRule type="containsBlanks" dxfId="2066" priority="7">
      <formula>LEN(TRIM(C6))=0</formula>
    </cfRule>
  </conditionalFormatting>
  <conditionalFormatting sqref="D6">
    <cfRule type="containsBlanks" dxfId="2065" priority="6">
      <formula>LEN(TRIM(D6))=0</formula>
    </cfRule>
  </conditionalFormatting>
  <conditionalFormatting sqref="G9">
    <cfRule type="containsBlanks" dxfId="2064" priority="5">
      <formula>LEN(TRIM(G9))=0</formula>
    </cfRule>
  </conditionalFormatting>
  <conditionalFormatting sqref="H9:O9 Z9:AA9">
    <cfRule type="containsBlanks" dxfId="2063" priority="4">
      <formula>LEN(TRIM(H9))=0</formula>
    </cfRule>
  </conditionalFormatting>
  <conditionalFormatting sqref="H9:O9 Z9:AA9">
    <cfRule type="cellIs" dxfId="2062" priority="3" operator="equal">
      <formula>0</formula>
    </cfRule>
  </conditionalFormatting>
  <conditionalFormatting sqref="P9:Y9">
    <cfRule type="containsBlanks" dxfId="2061" priority="2">
      <formula>LEN(TRIM(P9))=0</formula>
    </cfRule>
  </conditionalFormatting>
  <conditionalFormatting sqref="P9:Y9">
    <cfRule type="cellIs" dxfId="2060" priority="1" operator="equal">
      <formula>0</formula>
    </cfRule>
  </conditionalFormatting>
  <dataValidations count="1">
    <dataValidation type="list" allowBlank="1" showInputMessage="1" showErrorMessage="1" sqref="E26:E27 E15:E23" xr:uid="{9F632038-D4FC-4D78-85EF-3CBA385FCFAF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80EA2-A40E-4E60-9292-A403545AA111}">
  <sheetPr codeName="Hoja60">
    <tabColor rgb="FFC00000"/>
  </sheetPr>
  <dimension ref="A1:AA32"/>
  <sheetViews>
    <sheetView zoomScaleNormal="100" workbookViewId="0">
      <pane xSplit="4" topLeftCell="U1" activePane="topRight" state="frozen"/>
      <selection activeCell="C8" sqref="C8"/>
      <selection pane="topRight" activeCell="AA9" sqref="AA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bestFit="1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274</v>
      </c>
      <c r="E6" s="69"/>
      <c r="F6" s="7" t="str">
        <f>C6&amp;RIGHT("0"&amp;MID(B6,1,2),2)&amp;RIGHT("0"&amp;MID(B6,4,2),2)&amp;RIGHT(MID(B6,7,4),2)</f>
        <v>00</v>
      </c>
      <c r="G6" s="77">
        <f>IF(I6+N6+O6&lt;5%,"",I6+N6+O6)</f>
        <v>0.41400000000000003</v>
      </c>
      <c r="H6" s="8">
        <f t="shared" ref="H6:AA6" si="0">ROUND(($G15*H15+$G16*H16+$G17*H17+$G18*H18+$G19*H19+$G20*H20+$G21*H21+$G22*H22+$G23*H23)/100,3)</f>
        <v>7.0000000000000001E-3</v>
      </c>
      <c r="I6" s="8">
        <f t="shared" si="0"/>
        <v>0.19500000000000001</v>
      </c>
      <c r="J6" s="8">
        <f t="shared" si="0"/>
        <v>8.0000000000000002E-3</v>
      </c>
      <c r="K6" s="8">
        <f t="shared" si="0"/>
        <v>0</v>
      </c>
      <c r="L6" s="8">
        <f t="shared" si="0"/>
        <v>0</v>
      </c>
      <c r="M6" s="8">
        <f t="shared" si="0"/>
        <v>7.0000000000000007E-2</v>
      </c>
      <c r="N6" s="8">
        <f t="shared" si="0"/>
        <v>4.2000000000000003E-2</v>
      </c>
      <c r="O6" s="8">
        <f t="shared" si="0"/>
        <v>0.17699999999999999</v>
      </c>
      <c r="P6" s="8">
        <f t="shared" si="0"/>
        <v>0.02</v>
      </c>
      <c r="Q6" s="8">
        <f t="shared" si="0"/>
        <v>3.1E-2</v>
      </c>
      <c r="R6" s="8">
        <f t="shared" si="0"/>
        <v>1.2999999999999999E-2</v>
      </c>
      <c r="S6" s="8">
        <f t="shared" si="0"/>
        <v>2E-3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4.7E-2</v>
      </c>
      <c r="Z6" s="98">
        <f t="shared" si="0"/>
        <v>1E-3</v>
      </c>
      <c r="AA6" s="8">
        <f t="shared" si="0"/>
        <v>0</v>
      </c>
    </row>
    <row r="7" spans="1:27" ht="19.5" x14ac:dyDescent="0.25">
      <c r="A7" s="55">
        <f>A6</f>
        <v>0</v>
      </c>
      <c r="B7" s="55">
        <f>B6</f>
        <v>0</v>
      </c>
      <c r="C7" s="55">
        <f t="shared" ref="C7:E7" si="1">C6</f>
        <v>0</v>
      </c>
      <c r="D7" s="55" t="str">
        <f t="shared" si="1"/>
        <v>29-15-5 + EM</v>
      </c>
      <c r="E7" s="55">
        <f t="shared" si="1"/>
        <v>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29-15-5 + EM</v>
      </c>
      <c r="E9" s="60"/>
      <c r="F9" s="61"/>
      <c r="G9" s="77">
        <f>I9+N9+O9</f>
        <v>0.42000000000000004</v>
      </c>
      <c r="H9" s="98">
        <v>6.0000000000000001E-3</v>
      </c>
      <c r="I9" s="8">
        <v>0.2</v>
      </c>
      <c r="J9" s="8">
        <v>0</v>
      </c>
      <c r="K9" s="8"/>
      <c r="L9" s="8"/>
      <c r="M9" s="8"/>
      <c r="N9" s="8">
        <v>0.04</v>
      </c>
      <c r="O9" s="8">
        <v>0.18</v>
      </c>
      <c r="P9" s="8">
        <v>0.02</v>
      </c>
      <c r="Q9" s="8">
        <v>0.03</v>
      </c>
      <c r="R9" s="8">
        <v>0.01</v>
      </c>
      <c r="S9" s="8">
        <v>2E-3</v>
      </c>
      <c r="T9" s="8"/>
      <c r="U9" s="8"/>
      <c r="V9" s="8"/>
      <c r="W9" s="8"/>
      <c r="X9" s="8"/>
      <c r="Y9" s="8">
        <v>0.05</v>
      </c>
      <c r="Z9" s="98">
        <v>1.1000000000000001E-3</v>
      </c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/>
      <c r="E15" s="9" t="s">
        <v>268</v>
      </c>
      <c r="F15" s="9">
        <v>255</v>
      </c>
      <c r="G15" s="9">
        <f>Tabla210[[#This Row],[CANTIDAD]]/10</f>
        <v>25.5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0.46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/>
      <c r="E16" s="9" t="s">
        <v>269</v>
      </c>
      <c r="F16" s="9">
        <v>175</v>
      </c>
      <c r="G16" s="9">
        <f>Tabla210[[#This Row],[CANTIDAD]]/10</f>
        <v>17.5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0.4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0.4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0.06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270</v>
      </c>
      <c r="F17" s="9">
        <v>45</v>
      </c>
      <c r="G17" s="9">
        <f>Tabla210[[#This Row],[CANTIDAD]]/10</f>
        <v>4.5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0.18</v>
      </c>
      <c r="J17" s="10" cm="1">
        <f t="array" ref="J17">IF($E17="",0%,(_xlfn.XLOOKUP($E17,Tabla1[[#All],[ID]],Tabla1[[#All],[N-NH4]])))</f>
        <v>0.18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0.46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0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133</v>
      </c>
      <c r="F18" s="9">
        <v>270</v>
      </c>
      <c r="G18" s="9">
        <f>Tabla210[[#This Row],[CANTIDAD]]/10</f>
        <v>27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0.6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 t="s">
        <v>197</v>
      </c>
      <c r="F19" s="9">
        <v>5</v>
      </c>
      <c r="G19" s="9">
        <f>Tabla210[[#This Row],[CANTIDAD]]/10</f>
        <v>0.5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0.03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7.0000000000000007E-2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0.21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 t="s">
        <v>196</v>
      </c>
      <c r="F20" s="9">
        <v>20</v>
      </c>
      <c r="G20" s="9">
        <f>Tabla210[[#This Row],[CANTIDAD]]/10</f>
        <v>2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0.1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 t="s">
        <v>131</v>
      </c>
      <c r="F21" s="9">
        <v>100</v>
      </c>
      <c r="G21" s="9">
        <f>Tabla210[[#This Row],[CANTIDAD]]/10</f>
        <v>10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0.05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0.3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0.3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 t="s">
        <v>145</v>
      </c>
      <c r="F22" s="9">
        <v>80</v>
      </c>
      <c r="G22" s="9">
        <f>Tabla210[[#This Row],[CANTIDAD]]/10</f>
        <v>8</v>
      </c>
      <c r="H22" s="10" cm="1">
        <f t="array" ref="H22">IF($E22="",0%,_xlfn.XLOOKUP($E22,Tabla1[[#All],[ID]],Tabla1[[#All],[C]]))</f>
        <v>0.05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0.2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0.23</v>
      </c>
      <c r="Q22" s="10" cm="1">
        <f t="array" ref="Q22">IF($E22="",0%,(_xlfn.XLOOKUP($E22,Tabla1[[#All],[ID]],Tabla1[[#All],[MgO]])))</f>
        <v>1.4999999999999999E-2</v>
      </c>
      <c r="R22" s="10" cm="1">
        <f t="array" ref="R22">IF($E22="",0%,(_xlfn.XLOOKUP($E22,Tabla1[[#All],[ID]],Tabla1[[#All],[S]])))</f>
        <v>0.01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0.21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 t="s">
        <v>275</v>
      </c>
      <c r="F23" s="80">
        <v>50</v>
      </c>
      <c r="G23" s="9">
        <f>Tabla210[[#This Row],[CANTIDAD]]/10</f>
        <v>5</v>
      </c>
      <c r="H23" s="10" cm="1">
        <f t="array" ref="H23">IF($E23="",0%,_xlfn.XLOOKUP($E23,Tabla1[[#All],[ID]],Tabla1[[#All],[C]]))</f>
        <v>0.05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0.28699999999999998</v>
      </c>
      <c r="P23" s="10" cm="1">
        <f t="array" ref="P23">IF($E23="",0%,(_xlfn.XLOOKUP($E23,Tabla1[[#All],[ID]],Tabla1[[#All],[CaO]])))</f>
        <v>2.8000000000000001E-2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3.4000000000000002E-2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0.01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3.0000000000000001E-3</v>
      </c>
    </row>
    <row r="24" spans="3:27" x14ac:dyDescent="0.25">
      <c r="C24" s="73"/>
      <c r="D24" s="131"/>
      <c r="E24" s="131"/>
      <c r="F24" s="131"/>
      <c r="G24" s="96"/>
    </row>
    <row r="25" spans="3:27" x14ac:dyDescent="0.25">
      <c r="C25" s="73"/>
      <c r="D25" s="132"/>
      <c r="E25" s="132"/>
      <c r="F25" s="132"/>
      <c r="G25" s="96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2030" priority="31">
      <formula>LEN(TRIM(C6))=0</formula>
    </cfRule>
  </conditionalFormatting>
  <conditionalFormatting sqref="H15:AA23 H6:AA6">
    <cfRule type="cellIs" dxfId="2029" priority="30" operator="equal">
      <formula>0</formula>
    </cfRule>
  </conditionalFormatting>
  <conditionalFormatting sqref="G15:G23">
    <cfRule type="cellIs" dxfId="2028" priority="28" operator="equal">
      <formula>0</formula>
    </cfRule>
    <cfRule type="containsBlanks" dxfId="2027" priority="29">
      <formula>LEN(TRIM(G15))=0</formula>
    </cfRule>
  </conditionalFormatting>
  <conditionalFormatting sqref="H5:AA5">
    <cfRule type="containsBlanks" dxfId="2026" priority="27">
      <formula>LEN(TRIM(H5))=0</formula>
    </cfRule>
  </conditionalFormatting>
  <conditionalFormatting sqref="G5">
    <cfRule type="containsBlanks" dxfId="2025" priority="26">
      <formula>LEN(TRIM(G5))=0</formula>
    </cfRule>
  </conditionalFormatting>
  <conditionalFormatting sqref="F6:G6">
    <cfRule type="containsBlanks" dxfId="2024" priority="25">
      <formula>LEN(TRIM(F6))=0</formula>
    </cfRule>
  </conditionalFormatting>
  <conditionalFormatting sqref="H14:AA14">
    <cfRule type="containsBlanks" dxfId="2023" priority="24">
      <formula>LEN(TRIM(H14))=0</formula>
    </cfRule>
  </conditionalFormatting>
  <conditionalFormatting sqref="D5">
    <cfRule type="containsBlanks" dxfId="2022" priority="23">
      <formula>LEN(TRIM(D5))=0</formula>
    </cfRule>
  </conditionalFormatting>
  <conditionalFormatting sqref="C5">
    <cfRule type="containsBlanks" dxfId="2021" priority="22">
      <formula>LEN(TRIM(C5))=0</formula>
    </cfRule>
  </conditionalFormatting>
  <conditionalFormatting sqref="D14">
    <cfRule type="containsBlanks" dxfId="2020" priority="21">
      <formula>LEN(TRIM(D14))=0</formula>
    </cfRule>
  </conditionalFormatting>
  <conditionalFormatting sqref="G8:AA8 G10:AA10">
    <cfRule type="containsBlanks" dxfId="2019" priority="20">
      <formula>LEN(TRIM(G8))=0</formula>
    </cfRule>
  </conditionalFormatting>
  <conditionalFormatting sqref="G8:AA8 G10:AA10">
    <cfRule type="cellIs" dxfId="2018" priority="19" operator="equal">
      <formula>0</formula>
    </cfRule>
  </conditionalFormatting>
  <conditionalFormatting sqref="G7:AA7">
    <cfRule type="containsBlanks" dxfId="2017" priority="18">
      <formula>LEN(TRIM(G7))=0</formula>
    </cfRule>
  </conditionalFormatting>
  <conditionalFormatting sqref="G7:AA7">
    <cfRule type="cellIs" dxfId="2016" priority="17" operator="equal">
      <formula>0</formula>
    </cfRule>
  </conditionalFormatting>
  <conditionalFormatting sqref="A5">
    <cfRule type="containsBlanks" dxfId="2015" priority="15">
      <formula>LEN(TRIM(A5))=0</formula>
    </cfRule>
  </conditionalFormatting>
  <conditionalFormatting sqref="F7">
    <cfRule type="containsBlanks" dxfId="2014" priority="16">
      <formula>LEN(TRIM(F7))=0</formula>
    </cfRule>
  </conditionalFormatting>
  <conditionalFormatting sqref="B5">
    <cfRule type="containsBlanks" dxfId="2013" priority="14">
      <formula>LEN(TRIM(B5))=0</formula>
    </cfRule>
  </conditionalFormatting>
  <conditionalFormatting sqref="A7:E7">
    <cfRule type="containsBlanks" dxfId="2012" priority="13">
      <formula>LEN(TRIM(A7))=0</formula>
    </cfRule>
  </conditionalFormatting>
  <conditionalFormatting sqref="E5">
    <cfRule type="containsBlanks" dxfId="2011" priority="12">
      <formula>LEN(TRIM(E5))=0</formula>
    </cfRule>
  </conditionalFormatting>
  <conditionalFormatting sqref="F5">
    <cfRule type="containsBlanks" dxfId="2010" priority="11">
      <formula>LEN(TRIM(F5))=0</formula>
    </cfRule>
  </conditionalFormatting>
  <conditionalFormatting sqref="A6">
    <cfRule type="containsBlanks" dxfId="2009" priority="10">
      <formula>LEN(TRIM(A6))=0</formula>
    </cfRule>
  </conditionalFormatting>
  <conditionalFormatting sqref="B6">
    <cfRule type="containsBlanks" dxfId="2008" priority="9">
      <formula>LEN(TRIM(B6))=0</formula>
    </cfRule>
  </conditionalFormatting>
  <conditionalFormatting sqref="E6">
    <cfRule type="containsBlanks" dxfId="2007" priority="8">
      <formula>LEN(TRIM(E6))=0</formula>
    </cfRule>
  </conditionalFormatting>
  <conditionalFormatting sqref="C6">
    <cfRule type="containsBlanks" dxfId="2006" priority="7">
      <formula>LEN(TRIM(C6))=0</formula>
    </cfRule>
  </conditionalFormatting>
  <conditionalFormatting sqref="D6">
    <cfRule type="containsBlanks" dxfId="2005" priority="6">
      <formula>LEN(TRIM(D6))=0</formula>
    </cfRule>
  </conditionalFormatting>
  <conditionalFormatting sqref="G9">
    <cfRule type="containsBlanks" dxfId="2004" priority="5">
      <formula>LEN(TRIM(G9))=0</formula>
    </cfRule>
  </conditionalFormatting>
  <conditionalFormatting sqref="H9:O9 Z9:AA9">
    <cfRule type="containsBlanks" dxfId="2003" priority="4">
      <formula>LEN(TRIM(H9))=0</formula>
    </cfRule>
  </conditionalFormatting>
  <conditionalFormatting sqref="H9:O9 Z9:AA9">
    <cfRule type="cellIs" dxfId="2002" priority="3" operator="equal">
      <formula>0</formula>
    </cfRule>
  </conditionalFormatting>
  <conditionalFormatting sqref="P9:Y9">
    <cfRule type="containsBlanks" dxfId="2001" priority="2">
      <formula>LEN(TRIM(P9))=0</formula>
    </cfRule>
  </conditionalFormatting>
  <conditionalFormatting sqref="P9:Y9">
    <cfRule type="cellIs" dxfId="2000" priority="1" operator="equal">
      <formula>0</formula>
    </cfRule>
  </conditionalFormatting>
  <dataValidations count="1">
    <dataValidation type="list" allowBlank="1" showInputMessage="1" showErrorMessage="1" sqref="E26:E27 E15:E23" xr:uid="{8782DCC6-9178-4FDF-8E1F-D1E0A86A3840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120F-3D2B-4E38-A784-4A8A3CC5AFC7}">
  <sheetPr codeName="Hoja61">
    <tabColor rgb="FFC00000"/>
  </sheetPr>
  <dimension ref="A1:AA32"/>
  <sheetViews>
    <sheetView zoomScaleNormal="100" workbookViewId="0">
      <pane xSplit="4" topLeftCell="Q1" activePane="topRight" state="frozen"/>
      <selection activeCell="C8" sqref="C8"/>
      <selection pane="topRight" activeCell="W9" sqref="W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bestFit="1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710937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276</v>
      </c>
      <c r="E6" s="69"/>
      <c r="F6" s="7" t="str">
        <f>C6&amp;RIGHT("0"&amp;MID(B6,1,2),2)&amp;RIGHT("0"&amp;MID(B6,4,2),2)&amp;RIGHT(MID(B6,7,4),2)</f>
        <v>00</v>
      </c>
      <c r="G6" s="77">
        <f>IF(I6+N6+O6&lt;5%,"",I6+N6+O6)</f>
        <v>0.55899999999999994</v>
      </c>
      <c r="H6" s="8">
        <f t="shared" ref="H6:AA6" si="0">ROUND(($G15*H15+$G16*H16+$G17*H17+$G18*H18+$G19*H19+$G20*H20+$G21*H21+$G22*H22+$G23*H23)/100,3)</f>
        <v>0</v>
      </c>
      <c r="I6" s="8">
        <f t="shared" si="0"/>
        <v>0.17599999999999999</v>
      </c>
      <c r="J6" s="8">
        <f t="shared" si="0"/>
        <v>3.6999999999999998E-2</v>
      </c>
      <c r="K6" s="8">
        <f t="shared" si="0"/>
        <v>0</v>
      </c>
      <c r="L6" s="8">
        <f t="shared" si="0"/>
        <v>0</v>
      </c>
      <c r="M6" s="8">
        <f t="shared" si="0"/>
        <v>0</v>
      </c>
      <c r="N6" s="8">
        <f t="shared" si="0"/>
        <v>9.4E-2</v>
      </c>
      <c r="O6" s="8">
        <f t="shared" si="0"/>
        <v>0.28899999999999998</v>
      </c>
      <c r="P6" s="8">
        <f t="shared" si="0"/>
        <v>0</v>
      </c>
      <c r="Q6" s="8">
        <f t="shared" si="0"/>
        <v>0</v>
      </c>
      <c r="R6" s="8">
        <f t="shared" si="0"/>
        <v>0</v>
      </c>
      <c r="S6" s="8">
        <f t="shared" si="0"/>
        <v>1E-3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0</v>
      </c>
      <c r="Z6" s="98">
        <f t="shared" si="0"/>
        <v>1E-3</v>
      </c>
      <c r="AA6" s="8">
        <f t="shared" si="0"/>
        <v>0</v>
      </c>
    </row>
    <row r="7" spans="1:27" ht="19.5" x14ac:dyDescent="0.25">
      <c r="A7" s="55">
        <f>A6</f>
        <v>0</v>
      </c>
      <c r="B7" s="55">
        <f>B6</f>
        <v>0</v>
      </c>
      <c r="C7" s="55">
        <f t="shared" ref="C7:E7" si="1">C6</f>
        <v>0</v>
      </c>
      <c r="D7" s="55" t="str">
        <f t="shared" si="1"/>
        <v>18-9-29</v>
      </c>
      <c r="E7" s="55">
        <f t="shared" si="1"/>
        <v>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18-9-29</v>
      </c>
      <c r="E9" s="60"/>
      <c r="F9" s="61"/>
      <c r="G9" s="77">
        <f>I9+N9+O9</f>
        <v>0.56000000000000005</v>
      </c>
      <c r="H9" s="98"/>
      <c r="I9" s="8">
        <v>0.18</v>
      </c>
      <c r="J9" s="8">
        <v>0</v>
      </c>
      <c r="K9" s="8"/>
      <c r="L9" s="8"/>
      <c r="M9" s="8"/>
      <c r="N9" s="8">
        <v>0.09</v>
      </c>
      <c r="O9" s="8">
        <v>0.28999999999999998</v>
      </c>
      <c r="P9" s="8"/>
      <c r="Q9" s="8"/>
      <c r="R9" s="8"/>
      <c r="S9" s="98">
        <v>8.9999999999999998E-4</v>
      </c>
      <c r="T9" s="8"/>
      <c r="U9" s="8"/>
      <c r="V9" s="8"/>
      <c r="W9" s="8"/>
      <c r="X9" s="8"/>
      <c r="Y9" s="8"/>
      <c r="Z9" s="98">
        <v>6.9999999999999999E-4</v>
      </c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/>
      <c r="E15" s="9" t="s">
        <v>268</v>
      </c>
      <c r="F15" s="9">
        <v>302</v>
      </c>
      <c r="G15" s="9">
        <f>Tabla211[[#This Row],[CANTIDAD]]/10</f>
        <v>30.2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0.46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/>
      <c r="E16" s="9" t="s">
        <v>270</v>
      </c>
      <c r="F16" s="9">
        <v>205</v>
      </c>
      <c r="G16" s="9">
        <f>Tabla211[[#This Row],[CANTIDAD]]/10</f>
        <v>20.5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0.18</v>
      </c>
      <c r="J16" s="10" cm="1">
        <f t="array" ref="J16">IF($E16="",0%,(_xlfn.XLOOKUP($E16,Tabla1[[#All],[ID]],Tabla1[[#All],[N-NH4]])))</f>
        <v>0.18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</v>
      </c>
      <c r="N16" s="10" cm="1">
        <f t="array" ref="N16">IF($E16="",0%,(_xlfn.XLOOKUP($E16,Tabla1[[#All],[ID]],Tabla1[[#All],[P]])))</f>
        <v>0.46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133</v>
      </c>
      <c r="F17" s="9">
        <v>481</v>
      </c>
      <c r="G17" s="9">
        <f>Tabla211[[#This Row],[CANTIDAD]]/10</f>
        <v>48.1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</v>
      </c>
      <c r="O17" s="10" cm="1">
        <f t="array" ref="O17">IF($E17="",0%,(_xlfn.XLOOKUP($E17,Tabla1[[#All],[ID]],Tabla1[[#All],[K]])))</f>
        <v>0.6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0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197</v>
      </c>
      <c r="F18" s="9">
        <v>3</v>
      </c>
      <c r="G18" s="9">
        <f>Tabla211[[#This Row],[CANTIDAD]]/10</f>
        <v>0.3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0.03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</v>
      </c>
      <c r="R18" s="10" cm="1">
        <f t="array" ref="R18">IF($E18="",0%,(_xlfn.XLOOKUP($E18,Tabla1[[#All],[ID]],Tabla1[[#All],[S]])))</f>
        <v>7.0000000000000007E-2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</v>
      </c>
      <c r="Z18" s="10" cm="1">
        <f t="array" ref="Z18">IF($E18="",0%,(_xlfn.XLOOKUP($E18,Tabla1[[#All],[ID]],Tabla1[[#All],[Zn]])))</f>
        <v>0.21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 t="s">
        <v>196</v>
      </c>
      <c r="F19" s="9">
        <v>9</v>
      </c>
      <c r="G19" s="9">
        <f>Tabla211[[#This Row],[CANTIDAD]]/10</f>
        <v>0.9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0.1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/>
      <c r="F20" s="9"/>
      <c r="G20" s="9">
        <f>Tabla211[[#This Row],[CANTIDAD]]/10</f>
        <v>0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/>
      <c r="F21" s="9"/>
      <c r="G21" s="9">
        <f>Tabla211[[#This Row],[CANTIDAD]]/10</f>
        <v>0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Tabla211[[#This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Tabla211[[#This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6"/>
    </row>
    <row r="25" spans="3:27" x14ac:dyDescent="0.25">
      <c r="C25" s="73"/>
      <c r="D25" s="132"/>
      <c r="E25" s="132"/>
      <c r="F25" s="132"/>
      <c r="G25" s="96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1970" priority="31">
      <formula>LEN(TRIM(C6))=0</formula>
    </cfRule>
  </conditionalFormatting>
  <conditionalFormatting sqref="H15:AA23 H6:AA6">
    <cfRule type="cellIs" dxfId="1969" priority="30" operator="equal">
      <formula>0</formula>
    </cfRule>
  </conditionalFormatting>
  <conditionalFormatting sqref="G15:G23">
    <cfRule type="cellIs" dxfId="1968" priority="28" operator="equal">
      <formula>0</formula>
    </cfRule>
    <cfRule type="containsBlanks" dxfId="1967" priority="29">
      <formula>LEN(TRIM(G15))=0</formula>
    </cfRule>
  </conditionalFormatting>
  <conditionalFormatting sqref="H5:AA5">
    <cfRule type="containsBlanks" dxfId="1966" priority="27">
      <formula>LEN(TRIM(H5))=0</formula>
    </cfRule>
  </conditionalFormatting>
  <conditionalFormatting sqref="G5">
    <cfRule type="containsBlanks" dxfId="1965" priority="26">
      <formula>LEN(TRIM(G5))=0</formula>
    </cfRule>
  </conditionalFormatting>
  <conditionalFormatting sqref="F6:G6">
    <cfRule type="containsBlanks" dxfId="1964" priority="25">
      <formula>LEN(TRIM(F6))=0</formula>
    </cfRule>
  </conditionalFormatting>
  <conditionalFormatting sqref="H14:AA14">
    <cfRule type="containsBlanks" dxfId="1963" priority="24">
      <formula>LEN(TRIM(H14))=0</formula>
    </cfRule>
  </conditionalFormatting>
  <conditionalFormatting sqref="D5">
    <cfRule type="containsBlanks" dxfId="1962" priority="23">
      <formula>LEN(TRIM(D5))=0</formula>
    </cfRule>
  </conditionalFormatting>
  <conditionalFormatting sqref="C5">
    <cfRule type="containsBlanks" dxfId="1961" priority="22">
      <formula>LEN(TRIM(C5))=0</formula>
    </cfRule>
  </conditionalFormatting>
  <conditionalFormatting sqref="D14">
    <cfRule type="containsBlanks" dxfId="1960" priority="21">
      <formula>LEN(TRIM(D14))=0</formula>
    </cfRule>
  </conditionalFormatting>
  <conditionalFormatting sqref="G8:AA8 G10:AA10">
    <cfRule type="containsBlanks" dxfId="1959" priority="20">
      <formula>LEN(TRIM(G8))=0</formula>
    </cfRule>
  </conditionalFormatting>
  <conditionalFormatting sqref="G8:AA8 G10:AA10">
    <cfRule type="cellIs" dxfId="1958" priority="19" operator="equal">
      <formula>0</formula>
    </cfRule>
  </conditionalFormatting>
  <conditionalFormatting sqref="G7:AA7">
    <cfRule type="containsBlanks" dxfId="1957" priority="18">
      <formula>LEN(TRIM(G7))=0</formula>
    </cfRule>
  </conditionalFormatting>
  <conditionalFormatting sqref="G7:AA7">
    <cfRule type="cellIs" dxfId="1956" priority="17" operator="equal">
      <formula>0</formula>
    </cfRule>
  </conditionalFormatting>
  <conditionalFormatting sqref="A5">
    <cfRule type="containsBlanks" dxfId="1955" priority="15">
      <formula>LEN(TRIM(A5))=0</formula>
    </cfRule>
  </conditionalFormatting>
  <conditionalFormatting sqref="F7">
    <cfRule type="containsBlanks" dxfId="1954" priority="16">
      <formula>LEN(TRIM(F7))=0</formula>
    </cfRule>
  </conditionalFormatting>
  <conditionalFormatting sqref="B5">
    <cfRule type="containsBlanks" dxfId="1953" priority="14">
      <formula>LEN(TRIM(B5))=0</formula>
    </cfRule>
  </conditionalFormatting>
  <conditionalFormatting sqref="A7:E7">
    <cfRule type="containsBlanks" dxfId="1952" priority="13">
      <formula>LEN(TRIM(A7))=0</formula>
    </cfRule>
  </conditionalFormatting>
  <conditionalFormatting sqref="E5">
    <cfRule type="containsBlanks" dxfId="1951" priority="12">
      <formula>LEN(TRIM(E5))=0</formula>
    </cfRule>
  </conditionalFormatting>
  <conditionalFormatting sqref="F5">
    <cfRule type="containsBlanks" dxfId="1950" priority="11">
      <formula>LEN(TRIM(F5))=0</formula>
    </cfRule>
  </conditionalFormatting>
  <conditionalFormatting sqref="A6">
    <cfRule type="containsBlanks" dxfId="1949" priority="10">
      <formula>LEN(TRIM(A6))=0</formula>
    </cfRule>
  </conditionalFormatting>
  <conditionalFormatting sqref="B6">
    <cfRule type="containsBlanks" dxfId="1948" priority="9">
      <formula>LEN(TRIM(B6))=0</formula>
    </cfRule>
  </conditionalFormatting>
  <conditionalFormatting sqref="E6">
    <cfRule type="containsBlanks" dxfId="1947" priority="8">
      <formula>LEN(TRIM(E6))=0</formula>
    </cfRule>
  </conditionalFormatting>
  <conditionalFormatting sqref="C6">
    <cfRule type="containsBlanks" dxfId="1946" priority="7">
      <formula>LEN(TRIM(C6))=0</formula>
    </cfRule>
  </conditionalFormatting>
  <conditionalFormatting sqref="D6">
    <cfRule type="containsBlanks" dxfId="1945" priority="6">
      <formula>LEN(TRIM(D6))=0</formula>
    </cfRule>
  </conditionalFormatting>
  <conditionalFormatting sqref="G9">
    <cfRule type="containsBlanks" dxfId="1944" priority="5">
      <formula>LEN(TRIM(G9))=0</formula>
    </cfRule>
  </conditionalFormatting>
  <conditionalFormatting sqref="H9:O9 Z9:AA9">
    <cfRule type="containsBlanks" dxfId="1943" priority="4">
      <formula>LEN(TRIM(H9))=0</formula>
    </cfRule>
  </conditionalFormatting>
  <conditionalFormatting sqref="H9:O9 Z9:AA9">
    <cfRule type="cellIs" dxfId="1942" priority="3" operator="equal">
      <formula>0</formula>
    </cfRule>
  </conditionalFormatting>
  <conditionalFormatting sqref="P9:Y9">
    <cfRule type="containsBlanks" dxfId="1941" priority="2">
      <formula>LEN(TRIM(P9))=0</formula>
    </cfRule>
  </conditionalFormatting>
  <conditionalFormatting sqref="P9:Y9">
    <cfRule type="cellIs" dxfId="1940" priority="1" operator="equal">
      <formula>0</formula>
    </cfRule>
  </conditionalFormatting>
  <dataValidations count="1">
    <dataValidation type="list" allowBlank="1" showInputMessage="1" showErrorMessage="1" sqref="E26:E27 E15:E23" xr:uid="{53B07993-8120-48FB-BC58-D10586761832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B3FD-34F1-47D5-9972-CAAFC6CEA1A5}">
  <sheetPr codeName="Hoja63">
    <tabColor rgb="FFC00000"/>
  </sheetPr>
  <dimension ref="A1:AA37"/>
  <sheetViews>
    <sheetView zoomScaleNormal="100" workbookViewId="0">
      <pane xSplit="4" topLeftCell="E1" activePane="topRight" state="frozen"/>
      <selection activeCell="C8" sqref="C8"/>
      <selection pane="topRight" activeCell="F31" sqref="F31:F37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hidden="1" customWidth="1"/>
    <col min="9" max="9" width="7.5703125" hidden="1" customWidth="1"/>
    <col min="10" max="10" width="8.85546875" hidden="1" customWidth="1"/>
    <col min="11" max="11" width="9.7109375" hidden="1" customWidth="1"/>
    <col min="12" max="12" width="11.85546875" hidden="1" customWidth="1"/>
    <col min="13" max="13" width="10.7109375" hidden="1" customWidth="1"/>
    <col min="14" max="14" width="7.7109375" hidden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10" customWidth="1"/>
    <col min="20" max="20" width="8.5703125" hidden="1" customWidth="1"/>
    <col min="21" max="21" width="8.7109375" hidden="1" customWidth="1"/>
    <col min="22" max="22" width="8.28515625" hidden="1" customWidth="1"/>
    <col min="23" max="23" width="9.28515625" hidden="1" customWidth="1"/>
    <col min="24" max="24" width="0" hidden="1" customWidth="1"/>
    <col min="25" max="25" width="10.7109375" bestFit="1" customWidth="1"/>
    <col min="26" max="26" width="8.5703125" hidden="1" customWidth="1"/>
    <col min="27" max="27" width="8.85546875" hidden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280</v>
      </c>
      <c r="E6" s="69"/>
      <c r="F6" s="100" t="str">
        <f>C6&amp;RIGHT("0"&amp;MID(B6,1,2),2)&amp;RIGHT("0"&amp;MID(B6,4,2),2)&amp;RIGHT(MID(B6,7,4),2)</f>
        <v>00</v>
      </c>
      <c r="G6" s="77" t="str">
        <f>IF(I6+N6+O6&lt;5%,"",I6+N6+O6)</f>
        <v/>
      </c>
      <c r="H6" s="8">
        <f t="shared" ref="H6:AA6" si="0">ROUND(($G15*H15+$G16*H16+$G17*H17+$G18*H18+$G19*H19+$G20*H20+$G21*H21+$G22*H22+$G23*H23)/100,3)</f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8">
        <f t="shared" si="0"/>
        <v>0</v>
      </c>
      <c r="N6" s="8">
        <f t="shared" si="0"/>
        <v>0</v>
      </c>
      <c r="O6" s="8">
        <f t="shared" si="0"/>
        <v>2.5000000000000001E-2</v>
      </c>
      <c r="P6" s="101">
        <f t="shared" si="0"/>
        <v>0.25800000000000001</v>
      </c>
      <c r="Q6" s="8">
        <f t="shared" si="0"/>
        <v>0.106</v>
      </c>
      <c r="R6" s="8">
        <f t="shared" si="0"/>
        <v>4.2999999999999997E-2</v>
      </c>
      <c r="S6" s="8">
        <f t="shared" si="0"/>
        <v>3.0000000000000001E-3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4.3999999999999997E-2</v>
      </c>
      <c r="Z6" s="98">
        <f t="shared" si="0"/>
        <v>0</v>
      </c>
      <c r="AA6" s="8">
        <f t="shared" si="0"/>
        <v>0</v>
      </c>
    </row>
    <row r="7" spans="1:27" ht="19.5" x14ac:dyDescent="0.25">
      <c r="A7" s="55">
        <f>A6</f>
        <v>0</v>
      </c>
      <c r="B7" s="55">
        <f>B6</f>
        <v>0</v>
      </c>
      <c r="C7" s="55">
        <f t="shared" ref="C7:E7" si="1">C6</f>
        <v>0</v>
      </c>
      <c r="D7" s="55" t="str">
        <f t="shared" si="1"/>
        <v>ZUELOCa</v>
      </c>
      <c r="E7" s="55">
        <f t="shared" si="1"/>
        <v>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ZUELOCa</v>
      </c>
      <c r="E9" s="60"/>
      <c r="F9" s="61"/>
      <c r="G9" s="77"/>
      <c r="H9" s="98"/>
      <c r="I9" s="8"/>
      <c r="J9" s="8">
        <v>0</v>
      </c>
      <c r="K9" s="8"/>
      <c r="L9" s="8"/>
      <c r="M9" s="8"/>
      <c r="N9" s="8"/>
      <c r="O9" s="8">
        <v>0.03</v>
      </c>
      <c r="P9" s="8">
        <v>0.2722</v>
      </c>
      <c r="Q9" s="8">
        <v>0.1154</v>
      </c>
      <c r="R9" s="8">
        <v>3.61E-2</v>
      </c>
      <c r="S9" s="98">
        <v>1.9E-3</v>
      </c>
      <c r="T9" s="8"/>
      <c r="U9" s="8"/>
      <c r="V9" s="8"/>
      <c r="W9" s="8"/>
      <c r="X9" s="8"/>
      <c r="Y9" s="8">
        <v>3.4700000000000002E-2</v>
      </c>
      <c r="Z9" s="98"/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/>
      <c r="E15" s="9" t="s">
        <v>39</v>
      </c>
      <c r="F15" s="9">
        <v>50</v>
      </c>
      <c r="G15" s="9">
        <f>Tabla21213[[#This Row],[CANTIDAD]]/10</f>
        <v>5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0.25</v>
      </c>
      <c r="R15" s="10" cm="1">
        <f t="array" ref="R15">IF($E15="",0%,(_xlfn.XLOOKUP($E15,Tabla1[[#All],[ID]],Tabla1[[#All],[S]])))</f>
        <v>0.2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/>
      <c r="E16" s="9" t="s">
        <v>277</v>
      </c>
      <c r="F16" s="9">
        <v>20</v>
      </c>
      <c r="G16" s="9">
        <f>Tabla21213[[#This Row],[CANTIDAD]]/10</f>
        <v>2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0.13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</v>
      </c>
      <c r="S16" s="10" cm="1">
        <f t="array" ref="S16">IF($E16="",0%,(_xlfn.XLOOKUP($E16,Tabla1[[#All],[ID]],Tabla1[[#All],[B]])))</f>
        <v>0.14000000000000001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155</v>
      </c>
      <c r="F17" s="9">
        <v>550</v>
      </c>
      <c r="G17" s="9">
        <f>Tabla21213[[#This Row],[CANTIDAD]]/10</f>
        <v>55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0.34</v>
      </c>
      <c r="Q17" s="10" cm="1">
        <f t="array" ref="Q17">IF($E17="",0%,(_xlfn.XLOOKUP($E17,Tabla1[[#All],[ID]],Tabla1[[#All],[MgO]])))</f>
        <v>0.14000000000000001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40</v>
      </c>
      <c r="F18" s="9">
        <v>40</v>
      </c>
      <c r="G18" s="9">
        <f>Tabla21213[[#This Row],[CANTIDAD]]/10</f>
        <v>4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0.36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0.39600000000000002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 t="s">
        <v>278</v>
      </c>
      <c r="F19" s="9">
        <v>50</v>
      </c>
      <c r="G19" s="9">
        <f>Tabla21213[[#This Row],[CANTIDAD]]/10</f>
        <v>5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2.4E-2</v>
      </c>
      <c r="P19" s="10" cm="1">
        <f t="array" ref="P19">IF($E19="",0%,(_xlfn.XLOOKUP($E19,Tabla1[[#All],[ID]],Tabla1[[#All],[CaO]])))</f>
        <v>6.2E-2</v>
      </c>
      <c r="Q19" s="10" cm="1">
        <f t="array" ref="Q19">IF($E19="",0%,(_xlfn.XLOOKUP($E19,Tabla1[[#All],[ID]],Tabla1[[#All],[MgO]])))</f>
        <v>0.04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0.56899999999999995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 t="s">
        <v>279</v>
      </c>
      <c r="F20" s="9">
        <v>40</v>
      </c>
      <c r="G20" s="9">
        <f>Tabla21213[[#This Row],[CANTIDAD]]/10</f>
        <v>4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0.6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 t="s">
        <v>154</v>
      </c>
      <c r="F21" s="9">
        <v>250</v>
      </c>
      <c r="G21" s="9">
        <f>Tabla21213[[#This Row],[CANTIDAD]]/10</f>
        <v>25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0.26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0.13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Tabla21213[[#This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Tabla21213[[#This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9"/>
    </row>
    <row r="25" spans="3:27" x14ac:dyDescent="0.25">
      <c r="C25" s="73"/>
      <c r="D25" s="132"/>
      <c r="E25" s="132"/>
      <c r="F25" s="132"/>
      <c r="G25" s="99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  <c r="F31" s="9">
        <v>50</v>
      </c>
    </row>
    <row r="32" spans="3:27" x14ac:dyDescent="0.25">
      <c r="C32" s="20"/>
      <c r="F32" s="9">
        <v>20</v>
      </c>
    </row>
    <row r="33" spans="6:6" x14ac:dyDescent="0.25">
      <c r="F33" s="9">
        <v>540</v>
      </c>
    </row>
    <row r="34" spans="6:6" x14ac:dyDescent="0.25">
      <c r="F34" s="9">
        <v>40</v>
      </c>
    </row>
    <row r="35" spans="6:6" x14ac:dyDescent="0.25">
      <c r="F35" s="9">
        <v>50</v>
      </c>
    </row>
    <row r="36" spans="6:6" x14ac:dyDescent="0.25">
      <c r="F36" s="9">
        <v>40</v>
      </c>
    </row>
    <row r="37" spans="6:6" x14ac:dyDescent="0.25">
      <c r="F37" s="9">
        <v>260</v>
      </c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1910" priority="31">
      <formula>LEN(TRIM(C6))=0</formula>
    </cfRule>
  </conditionalFormatting>
  <conditionalFormatting sqref="H15:AA23 H6:AA6">
    <cfRule type="cellIs" dxfId="1909" priority="30" operator="equal">
      <formula>0</formula>
    </cfRule>
  </conditionalFormatting>
  <conditionalFormatting sqref="G15:G23">
    <cfRule type="cellIs" dxfId="1908" priority="28" operator="equal">
      <formula>0</formula>
    </cfRule>
    <cfRule type="containsBlanks" dxfId="1907" priority="29">
      <formula>LEN(TRIM(G15))=0</formula>
    </cfRule>
  </conditionalFormatting>
  <conditionalFormatting sqref="H5:AA5">
    <cfRule type="containsBlanks" dxfId="1906" priority="27">
      <formula>LEN(TRIM(H5))=0</formula>
    </cfRule>
  </conditionalFormatting>
  <conditionalFormatting sqref="G5">
    <cfRule type="containsBlanks" dxfId="1905" priority="26">
      <formula>LEN(TRIM(G5))=0</formula>
    </cfRule>
  </conditionalFormatting>
  <conditionalFormatting sqref="F6:G6">
    <cfRule type="containsBlanks" dxfId="1904" priority="25">
      <formula>LEN(TRIM(F6))=0</formula>
    </cfRule>
  </conditionalFormatting>
  <conditionalFormatting sqref="H14:AA14">
    <cfRule type="containsBlanks" dxfId="1903" priority="24">
      <formula>LEN(TRIM(H14))=0</formula>
    </cfRule>
  </conditionalFormatting>
  <conditionalFormatting sqref="D5">
    <cfRule type="containsBlanks" dxfId="1902" priority="23">
      <formula>LEN(TRIM(D5))=0</formula>
    </cfRule>
  </conditionalFormatting>
  <conditionalFormatting sqref="C5">
    <cfRule type="containsBlanks" dxfId="1901" priority="22">
      <formula>LEN(TRIM(C5))=0</formula>
    </cfRule>
  </conditionalFormatting>
  <conditionalFormatting sqref="D14">
    <cfRule type="containsBlanks" dxfId="1900" priority="21">
      <formula>LEN(TRIM(D14))=0</formula>
    </cfRule>
  </conditionalFormatting>
  <conditionalFormatting sqref="G8:AA8 G10:AA10">
    <cfRule type="containsBlanks" dxfId="1899" priority="20">
      <formula>LEN(TRIM(G8))=0</formula>
    </cfRule>
  </conditionalFormatting>
  <conditionalFormatting sqref="G8:AA8 G10:AA10">
    <cfRule type="cellIs" dxfId="1898" priority="19" operator="equal">
      <formula>0</formula>
    </cfRule>
  </conditionalFormatting>
  <conditionalFormatting sqref="G7:AA7">
    <cfRule type="containsBlanks" dxfId="1897" priority="18">
      <formula>LEN(TRIM(G7))=0</formula>
    </cfRule>
  </conditionalFormatting>
  <conditionalFormatting sqref="G7:AA7">
    <cfRule type="cellIs" dxfId="1896" priority="17" operator="equal">
      <formula>0</formula>
    </cfRule>
  </conditionalFormatting>
  <conditionalFormatting sqref="A5">
    <cfRule type="containsBlanks" dxfId="1895" priority="15">
      <formula>LEN(TRIM(A5))=0</formula>
    </cfRule>
  </conditionalFormatting>
  <conditionalFormatting sqref="F7">
    <cfRule type="containsBlanks" dxfId="1894" priority="16">
      <formula>LEN(TRIM(F7))=0</formula>
    </cfRule>
  </conditionalFormatting>
  <conditionalFormatting sqref="B5">
    <cfRule type="containsBlanks" dxfId="1893" priority="14">
      <formula>LEN(TRIM(B5))=0</formula>
    </cfRule>
  </conditionalFormatting>
  <conditionalFormatting sqref="A7:E7">
    <cfRule type="containsBlanks" dxfId="1892" priority="13">
      <formula>LEN(TRIM(A7))=0</formula>
    </cfRule>
  </conditionalFormatting>
  <conditionalFormatting sqref="E5">
    <cfRule type="containsBlanks" dxfId="1891" priority="12">
      <formula>LEN(TRIM(E5))=0</formula>
    </cfRule>
  </conditionalFormatting>
  <conditionalFormatting sqref="F5">
    <cfRule type="containsBlanks" dxfId="1890" priority="11">
      <formula>LEN(TRIM(F5))=0</formula>
    </cfRule>
  </conditionalFormatting>
  <conditionalFormatting sqref="A6">
    <cfRule type="containsBlanks" dxfId="1889" priority="10">
      <formula>LEN(TRIM(A6))=0</formula>
    </cfRule>
  </conditionalFormatting>
  <conditionalFormatting sqref="B6">
    <cfRule type="containsBlanks" dxfId="1888" priority="9">
      <formula>LEN(TRIM(B6))=0</formula>
    </cfRule>
  </conditionalFormatting>
  <conditionalFormatting sqref="E6">
    <cfRule type="containsBlanks" dxfId="1887" priority="8">
      <formula>LEN(TRIM(E6))=0</formula>
    </cfRule>
  </conditionalFormatting>
  <conditionalFormatting sqref="C6">
    <cfRule type="containsBlanks" dxfId="1886" priority="7">
      <formula>LEN(TRIM(C6))=0</formula>
    </cfRule>
  </conditionalFormatting>
  <conditionalFormatting sqref="D6">
    <cfRule type="containsBlanks" dxfId="1885" priority="6">
      <formula>LEN(TRIM(D6))=0</formula>
    </cfRule>
  </conditionalFormatting>
  <conditionalFormatting sqref="G9">
    <cfRule type="containsBlanks" dxfId="1884" priority="5">
      <formula>LEN(TRIM(G9))=0</formula>
    </cfRule>
  </conditionalFormatting>
  <conditionalFormatting sqref="H9:O9 Z9:AA9">
    <cfRule type="containsBlanks" dxfId="1883" priority="4">
      <formula>LEN(TRIM(H9))=0</formula>
    </cfRule>
  </conditionalFormatting>
  <conditionalFormatting sqref="H9:O9 Z9:AA9">
    <cfRule type="cellIs" dxfId="1882" priority="3" operator="equal">
      <formula>0</formula>
    </cfRule>
  </conditionalFormatting>
  <conditionalFormatting sqref="P9:Y9">
    <cfRule type="containsBlanks" dxfId="1881" priority="2">
      <formula>LEN(TRIM(P9))=0</formula>
    </cfRule>
  </conditionalFormatting>
  <conditionalFormatting sqref="P9:Y9">
    <cfRule type="cellIs" dxfId="1880" priority="1" operator="equal">
      <formula>0</formula>
    </cfRule>
  </conditionalFormatting>
  <dataValidations count="1">
    <dataValidation type="list" allowBlank="1" showInputMessage="1" showErrorMessage="1" sqref="E26:E27 E15:E23" xr:uid="{0973AE80-EB58-4400-8070-20815772974C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030DB-C512-48A4-86BA-DA116E1B0BF9}">
  <sheetPr codeName="Hoja62">
    <tabColor rgb="FFC00000"/>
  </sheetPr>
  <dimension ref="A1:AA32"/>
  <sheetViews>
    <sheetView zoomScale="130" zoomScaleNormal="130" workbookViewId="0">
      <pane xSplit="4" topLeftCell="E1" activePane="topRight" state="frozen"/>
      <selection activeCell="C8" sqref="C8"/>
      <selection pane="topRight" activeCell="F15" sqref="F15:F21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hidden="1" customWidth="1"/>
    <col min="9" max="9" width="7.5703125" hidden="1" customWidth="1"/>
    <col min="10" max="10" width="8.85546875" hidden="1" customWidth="1"/>
    <col min="11" max="11" width="9.7109375" hidden="1" customWidth="1"/>
    <col min="12" max="12" width="11.85546875" hidden="1" customWidth="1"/>
    <col min="13" max="13" width="10.7109375" hidden="1" customWidth="1"/>
    <col min="14" max="14" width="7.7109375" hidden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10" customWidth="1"/>
    <col min="20" max="20" width="8.5703125" hidden="1" customWidth="1"/>
    <col min="21" max="21" width="8.7109375" hidden="1" customWidth="1"/>
    <col min="22" max="22" width="8.28515625" hidden="1" customWidth="1"/>
    <col min="23" max="23" width="9.28515625" hidden="1" customWidth="1"/>
    <col min="24" max="24" width="0" hidden="1" customWidth="1"/>
    <col min="25" max="25" width="10.7109375" bestFit="1" customWidth="1"/>
    <col min="26" max="26" width="8.5703125" hidden="1" customWidth="1"/>
    <col min="27" max="27" width="8.85546875" hidden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280</v>
      </c>
      <c r="E6" s="69"/>
      <c r="F6" s="100" t="str">
        <f>C6&amp;RIGHT("0"&amp;MID(B6,1,2),2)&amp;RIGHT("0"&amp;MID(B6,4,2),2)&amp;RIGHT(MID(B6,7,4),2)</f>
        <v>00</v>
      </c>
      <c r="G6" s="77" t="str">
        <f>IF(I6+N6+O6&lt;5%,"",I6+N6+O6)</f>
        <v/>
      </c>
      <c r="H6" s="8">
        <f t="shared" ref="H6:AA6" si="0">ROUND(($G15*H15+$G16*H16+$G17*H17+$G18*H18+$G19*H19+$G20*H20+$G21*H21+$G22*H22+$G23*H23)/100,3)</f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8">
        <f t="shared" si="0"/>
        <v>0</v>
      </c>
      <c r="N6" s="8">
        <f t="shared" si="0"/>
        <v>0</v>
      </c>
      <c r="O6" s="8">
        <f t="shared" si="0"/>
        <v>3.1E-2</v>
      </c>
      <c r="P6" s="101">
        <f t="shared" si="0"/>
        <v>0.251</v>
      </c>
      <c r="Q6" s="8">
        <f t="shared" si="0"/>
        <v>0.107</v>
      </c>
      <c r="R6" s="8">
        <f t="shared" si="0"/>
        <v>4.2999999999999997E-2</v>
      </c>
      <c r="S6" s="8">
        <f t="shared" si="0"/>
        <v>3.0000000000000001E-3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4.8000000000000001E-2</v>
      </c>
      <c r="Z6" s="98">
        <f t="shared" si="0"/>
        <v>0</v>
      </c>
      <c r="AA6" s="8">
        <f t="shared" si="0"/>
        <v>0</v>
      </c>
    </row>
    <row r="7" spans="1:27" ht="19.5" x14ac:dyDescent="0.25">
      <c r="A7" s="55">
        <f>A6</f>
        <v>0</v>
      </c>
      <c r="B7" s="55">
        <f>B6</f>
        <v>0</v>
      </c>
      <c r="C7" s="55">
        <f t="shared" ref="C7:E7" si="1">C6</f>
        <v>0</v>
      </c>
      <c r="D7" s="55" t="str">
        <f t="shared" si="1"/>
        <v>ZUELOCa</v>
      </c>
      <c r="E7" s="55">
        <f t="shared" si="1"/>
        <v>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ZUELOCa</v>
      </c>
      <c r="E9" s="60"/>
      <c r="F9" s="61"/>
      <c r="G9" s="77"/>
      <c r="H9" s="98"/>
      <c r="I9" s="8"/>
      <c r="J9" s="8">
        <v>0</v>
      </c>
      <c r="K9" s="8"/>
      <c r="L9" s="8"/>
      <c r="M9" s="8"/>
      <c r="N9" s="8"/>
      <c r="O9" s="8">
        <v>0.03</v>
      </c>
      <c r="P9" s="8">
        <v>0.2722</v>
      </c>
      <c r="Q9" s="8">
        <v>0.1154</v>
      </c>
      <c r="R9" s="8">
        <v>3.61E-2</v>
      </c>
      <c r="S9" s="98">
        <v>1.9E-3</v>
      </c>
      <c r="T9" s="8"/>
      <c r="U9" s="8"/>
      <c r="V9" s="8"/>
      <c r="W9" s="8"/>
      <c r="X9" s="8"/>
      <c r="Y9" s="8">
        <v>3.4700000000000002E-2</v>
      </c>
      <c r="Z9" s="98"/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/>
      <c r="E15" s="9" t="s">
        <v>39</v>
      </c>
      <c r="F15" s="9">
        <v>50</v>
      </c>
      <c r="G15" s="9">
        <f>Tabla212[[#This Row],[CANTIDAD]]/10</f>
        <v>5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0.25</v>
      </c>
      <c r="R15" s="10" cm="1">
        <f t="array" ref="R15">IF($E15="",0%,(_xlfn.XLOOKUP($E15,Tabla1[[#All],[ID]],Tabla1[[#All],[S]])))</f>
        <v>0.2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/>
      <c r="E16" s="9" t="s">
        <v>277</v>
      </c>
      <c r="F16" s="9">
        <v>20</v>
      </c>
      <c r="G16" s="9">
        <f>Tabla212[[#This Row],[CANTIDAD]]/10</f>
        <v>2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0.13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</v>
      </c>
      <c r="S16" s="10" cm="1">
        <f t="array" ref="S16">IF($E16="",0%,(_xlfn.XLOOKUP($E16,Tabla1[[#All],[ID]],Tabla1[[#All],[B]])))</f>
        <v>0.14000000000000001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155</v>
      </c>
      <c r="F17" s="9">
        <v>530</v>
      </c>
      <c r="G17" s="9">
        <f>Tabla212[[#This Row],[CANTIDAD]]/10</f>
        <v>53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0.34</v>
      </c>
      <c r="Q17" s="10" cm="1">
        <f t="array" ref="Q17">IF($E17="",0%,(_xlfn.XLOOKUP($E17,Tabla1[[#All],[ID]],Tabla1[[#All],[MgO]])))</f>
        <v>0.14000000000000001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40</v>
      </c>
      <c r="F18" s="9">
        <v>50</v>
      </c>
      <c r="G18" s="9">
        <f>Tabla212[[#This Row],[CANTIDAD]]/10</f>
        <v>5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0.36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0.39600000000000002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 t="s">
        <v>278</v>
      </c>
      <c r="F19" s="9">
        <v>50</v>
      </c>
      <c r="G19" s="9">
        <f>Tabla212[[#This Row],[CANTIDAD]]/10</f>
        <v>5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2.4E-2</v>
      </c>
      <c r="P19" s="10" cm="1">
        <f t="array" ref="P19">IF($E19="",0%,(_xlfn.XLOOKUP($E19,Tabla1[[#All],[ID]],Tabla1[[#All],[CaO]])))</f>
        <v>6.2E-2</v>
      </c>
      <c r="Q19" s="10" cm="1">
        <f t="array" ref="Q19">IF($E19="",0%,(_xlfn.XLOOKUP($E19,Tabla1[[#All],[ID]],Tabla1[[#All],[MgO]])))</f>
        <v>0.04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0.56899999999999995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 t="s">
        <v>279</v>
      </c>
      <c r="F20" s="9">
        <v>50</v>
      </c>
      <c r="G20" s="9">
        <f>Tabla212[[#This Row],[CANTIDAD]]/10</f>
        <v>5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0.6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 t="s">
        <v>154</v>
      </c>
      <c r="F21" s="9">
        <v>250</v>
      </c>
      <c r="G21" s="9">
        <f>Tabla212[[#This Row],[CANTIDAD]]/10</f>
        <v>25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0.26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0.13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Tabla212[[#This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Tabla212[[#This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9"/>
    </row>
    <row r="25" spans="3:27" x14ac:dyDescent="0.25">
      <c r="C25" s="73"/>
      <c r="D25" s="132"/>
      <c r="E25" s="132"/>
      <c r="F25" s="132"/>
      <c r="G25" s="99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1850" priority="31">
      <formula>LEN(TRIM(C6))=0</formula>
    </cfRule>
  </conditionalFormatting>
  <conditionalFormatting sqref="H15:AA23 H6:AA6">
    <cfRule type="cellIs" dxfId="1849" priority="30" operator="equal">
      <formula>0</formula>
    </cfRule>
  </conditionalFormatting>
  <conditionalFormatting sqref="G15:G23">
    <cfRule type="cellIs" dxfId="1848" priority="28" operator="equal">
      <formula>0</formula>
    </cfRule>
    <cfRule type="containsBlanks" dxfId="1847" priority="29">
      <formula>LEN(TRIM(G15))=0</formula>
    </cfRule>
  </conditionalFormatting>
  <conditionalFormatting sqref="H5:AA5">
    <cfRule type="containsBlanks" dxfId="1846" priority="27">
      <formula>LEN(TRIM(H5))=0</formula>
    </cfRule>
  </conditionalFormatting>
  <conditionalFormatting sqref="G5">
    <cfRule type="containsBlanks" dxfId="1845" priority="26">
      <formula>LEN(TRIM(G5))=0</formula>
    </cfRule>
  </conditionalFormatting>
  <conditionalFormatting sqref="F6:G6">
    <cfRule type="containsBlanks" dxfId="1844" priority="25">
      <formula>LEN(TRIM(F6))=0</formula>
    </cfRule>
  </conditionalFormatting>
  <conditionalFormatting sqref="H14:AA14">
    <cfRule type="containsBlanks" dxfId="1843" priority="24">
      <formula>LEN(TRIM(H14))=0</formula>
    </cfRule>
  </conditionalFormatting>
  <conditionalFormatting sqref="D5">
    <cfRule type="containsBlanks" dxfId="1842" priority="23">
      <formula>LEN(TRIM(D5))=0</formula>
    </cfRule>
  </conditionalFormatting>
  <conditionalFormatting sqref="C5">
    <cfRule type="containsBlanks" dxfId="1841" priority="22">
      <formula>LEN(TRIM(C5))=0</formula>
    </cfRule>
  </conditionalFormatting>
  <conditionalFormatting sqref="D14">
    <cfRule type="containsBlanks" dxfId="1840" priority="21">
      <formula>LEN(TRIM(D14))=0</formula>
    </cfRule>
  </conditionalFormatting>
  <conditionalFormatting sqref="G8:AA8 G10:AA10">
    <cfRule type="containsBlanks" dxfId="1839" priority="20">
      <formula>LEN(TRIM(G8))=0</formula>
    </cfRule>
  </conditionalFormatting>
  <conditionalFormatting sqref="G8:AA8 G10:AA10">
    <cfRule type="cellIs" dxfId="1838" priority="19" operator="equal">
      <formula>0</formula>
    </cfRule>
  </conditionalFormatting>
  <conditionalFormatting sqref="G7:AA7">
    <cfRule type="containsBlanks" dxfId="1837" priority="18">
      <formula>LEN(TRIM(G7))=0</formula>
    </cfRule>
  </conditionalFormatting>
  <conditionalFormatting sqref="G7:AA7">
    <cfRule type="cellIs" dxfId="1836" priority="17" operator="equal">
      <formula>0</formula>
    </cfRule>
  </conditionalFormatting>
  <conditionalFormatting sqref="A5">
    <cfRule type="containsBlanks" dxfId="1835" priority="15">
      <formula>LEN(TRIM(A5))=0</formula>
    </cfRule>
  </conditionalFormatting>
  <conditionalFormatting sqref="F7">
    <cfRule type="containsBlanks" dxfId="1834" priority="16">
      <formula>LEN(TRIM(F7))=0</formula>
    </cfRule>
  </conditionalFormatting>
  <conditionalFormatting sqref="B5">
    <cfRule type="containsBlanks" dxfId="1833" priority="14">
      <formula>LEN(TRIM(B5))=0</formula>
    </cfRule>
  </conditionalFormatting>
  <conditionalFormatting sqref="A7:E7">
    <cfRule type="containsBlanks" dxfId="1832" priority="13">
      <formula>LEN(TRIM(A7))=0</formula>
    </cfRule>
  </conditionalFormatting>
  <conditionalFormatting sqref="E5">
    <cfRule type="containsBlanks" dxfId="1831" priority="12">
      <formula>LEN(TRIM(E5))=0</formula>
    </cfRule>
  </conditionalFormatting>
  <conditionalFormatting sqref="F5">
    <cfRule type="containsBlanks" dxfId="1830" priority="11">
      <formula>LEN(TRIM(F5))=0</formula>
    </cfRule>
  </conditionalFormatting>
  <conditionalFormatting sqref="A6">
    <cfRule type="containsBlanks" dxfId="1829" priority="10">
      <formula>LEN(TRIM(A6))=0</formula>
    </cfRule>
  </conditionalFormatting>
  <conditionalFormatting sqref="B6">
    <cfRule type="containsBlanks" dxfId="1828" priority="9">
      <formula>LEN(TRIM(B6))=0</formula>
    </cfRule>
  </conditionalFormatting>
  <conditionalFormatting sqref="E6">
    <cfRule type="containsBlanks" dxfId="1827" priority="8">
      <formula>LEN(TRIM(E6))=0</formula>
    </cfRule>
  </conditionalFormatting>
  <conditionalFormatting sqref="C6">
    <cfRule type="containsBlanks" dxfId="1826" priority="7">
      <formula>LEN(TRIM(C6))=0</formula>
    </cfRule>
  </conditionalFormatting>
  <conditionalFormatting sqref="D6">
    <cfRule type="containsBlanks" dxfId="1825" priority="6">
      <formula>LEN(TRIM(D6))=0</formula>
    </cfRule>
  </conditionalFormatting>
  <conditionalFormatting sqref="G9">
    <cfRule type="containsBlanks" dxfId="1824" priority="5">
      <formula>LEN(TRIM(G9))=0</formula>
    </cfRule>
  </conditionalFormatting>
  <conditionalFormatting sqref="H9:O9 Z9:AA9">
    <cfRule type="containsBlanks" dxfId="1823" priority="4">
      <formula>LEN(TRIM(H9))=0</formula>
    </cfRule>
  </conditionalFormatting>
  <conditionalFormatting sqref="H9:O9 Z9:AA9">
    <cfRule type="cellIs" dxfId="1822" priority="3" operator="equal">
      <formula>0</formula>
    </cfRule>
  </conditionalFormatting>
  <conditionalFormatting sqref="P9:Y9">
    <cfRule type="containsBlanks" dxfId="1821" priority="2">
      <formula>LEN(TRIM(P9))=0</formula>
    </cfRule>
  </conditionalFormatting>
  <conditionalFormatting sqref="P9:Y9">
    <cfRule type="cellIs" dxfId="1820" priority="1" operator="equal">
      <formula>0</formula>
    </cfRule>
  </conditionalFormatting>
  <dataValidations count="1">
    <dataValidation type="list" allowBlank="1" showInputMessage="1" showErrorMessage="1" sqref="E26:E27 E15:E23" xr:uid="{4F089573-D009-4F88-8D30-7385A6481A23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981D-852A-45FC-8D9A-8509B4914A28}">
  <sheetPr codeName="Hoja64">
    <tabColor rgb="FFC00000"/>
  </sheetPr>
  <dimension ref="A1:AA33"/>
  <sheetViews>
    <sheetView zoomScale="115" zoomScaleNormal="115" workbookViewId="0">
      <pane xSplit="4" topLeftCell="E1" activePane="topRight" state="frozen"/>
      <selection activeCell="C8" sqref="C8"/>
      <selection pane="topRight" activeCell="F19" sqref="F1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8.570312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10.28515625" hidden="1" customWidth="1"/>
    <col min="9" max="9" width="7.5703125" hidden="1" customWidth="1"/>
    <col min="10" max="10" width="8.85546875" hidden="1" customWidth="1"/>
    <col min="11" max="11" width="9.7109375" hidden="1" customWidth="1"/>
    <col min="12" max="12" width="11.85546875" hidden="1" customWidth="1"/>
    <col min="13" max="13" width="10.7109375" hidden="1" customWidth="1"/>
    <col min="14" max="14" width="7.7109375" hidden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10" customWidth="1"/>
    <col min="20" max="20" width="8.5703125" hidden="1" customWidth="1"/>
    <col min="21" max="21" width="8.7109375" hidden="1" customWidth="1"/>
    <col min="22" max="22" width="8.28515625" hidden="1" customWidth="1"/>
    <col min="23" max="23" width="9.28515625" hidden="1" customWidth="1"/>
    <col min="24" max="24" width="0" hidden="1" customWidth="1"/>
    <col min="25" max="25" width="10.7109375" bestFit="1" customWidth="1"/>
    <col min="26" max="26" width="8.5703125" hidden="1" customWidth="1"/>
    <col min="27" max="27" width="8.85546875" hidden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19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/>
      <c r="B6" s="70"/>
      <c r="C6" s="54"/>
      <c r="D6" s="58" t="s">
        <v>280</v>
      </c>
      <c r="E6" s="120"/>
      <c r="F6" s="100" t="str">
        <f>C6&amp;RIGHT("0"&amp;MID(B6,1,2),2)&amp;RIGHT("0"&amp;MID(B6,4,2),2)&amp;RIGHT(MID(B6,7,4),2)</f>
        <v>00</v>
      </c>
      <c r="G6" s="77" t="str">
        <f>IF(I6+N6+O6&lt;5%,"",I6+N6+O6)</f>
        <v/>
      </c>
      <c r="H6" s="8">
        <f t="shared" ref="H6:AA6" si="0">ROUND(($G16*H16+$G17*H17+$G18*H18+$G19*H19+$G20*H20+$G21*H21+$G22*H22+$G23*H23+$G24*H24)/100,3)</f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8">
        <f t="shared" si="0"/>
        <v>0</v>
      </c>
      <c r="N6" s="8">
        <f t="shared" si="0"/>
        <v>0</v>
      </c>
      <c r="O6" s="8">
        <f t="shared" si="0"/>
        <v>0</v>
      </c>
      <c r="P6" s="8">
        <f t="shared" si="0"/>
        <v>6.0000000000000001E-3</v>
      </c>
      <c r="Q6" s="8">
        <f t="shared" si="0"/>
        <v>0.32300000000000001</v>
      </c>
      <c r="R6" s="8">
        <f t="shared" si="0"/>
        <v>0.01</v>
      </c>
      <c r="S6" s="8">
        <f t="shared" si="0"/>
        <v>0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0.39400000000000002</v>
      </c>
      <c r="Z6" s="98">
        <f t="shared" si="0"/>
        <v>0</v>
      </c>
      <c r="AA6" s="8">
        <f t="shared" si="0"/>
        <v>0</v>
      </c>
    </row>
    <row r="7" spans="1:27" ht="19.5" x14ac:dyDescent="0.25">
      <c r="A7" s="112">
        <f>A6</f>
        <v>0</v>
      </c>
      <c r="B7" s="112">
        <f>B6</f>
        <v>0</v>
      </c>
      <c r="C7" s="112">
        <f t="shared" ref="C7:E7" si="1">C6</f>
        <v>0</v>
      </c>
      <c r="D7" s="112" t="str">
        <f t="shared" si="1"/>
        <v>ZUELOCa</v>
      </c>
      <c r="E7" s="112">
        <f t="shared" si="1"/>
        <v>0</v>
      </c>
      <c r="F7" s="7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20.25" thickBot="1" x14ac:dyDescent="0.3">
      <c r="A8" s="117" t="s">
        <v>281</v>
      </c>
      <c r="B8" s="117" t="s">
        <v>281</v>
      </c>
      <c r="C8" s="117" t="s">
        <v>281</v>
      </c>
      <c r="D8" s="117" t="s">
        <v>281</v>
      </c>
      <c r="E8" s="117" t="s">
        <v>281</v>
      </c>
      <c r="F8" s="117" t="s">
        <v>281</v>
      </c>
      <c r="G8" s="118" t="s">
        <v>281</v>
      </c>
      <c r="H8" s="118"/>
      <c r="I8" s="118"/>
      <c r="J8" s="118"/>
      <c r="K8" s="118"/>
      <c r="L8" s="118"/>
      <c r="M8" s="118"/>
      <c r="N8" s="118"/>
      <c r="O8" s="118" t="s">
        <v>281</v>
      </c>
      <c r="P8" s="118" t="s">
        <v>281</v>
      </c>
      <c r="Q8" s="118" t="s">
        <v>281</v>
      </c>
      <c r="R8" s="118" t="s">
        <v>281</v>
      </c>
      <c r="S8" s="118" t="s">
        <v>281</v>
      </c>
      <c r="T8" s="118"/>
      <c r="U8" s="118"/>
      <c r="V8" s="118"/>
      <c r="W8" s="118"/>
      <c r="X8" s="118"/>
      <c r="Y8" s="118" t="s">
        <v>281</v>
      </c>
      <c r="Z8" s="111"/>
      <c r="AA8" s="8"/>
    </row>
    <row r="9" spans="1:27" ht="20.25" thickBot="1" x14ac:dyDescent="0.3">
      <c r="C9" s="133" t="s">
        <v>108</v>
      </c>
      <c r="D9" s="134"/>
      <c r="E9" s="134"/>
      <c r="F9" s="135"/>
      <c r="G9" s="113" t="str">
        <f>memoria_calculo!E15</f>
        <v/>
      </c>
      <c r="H9" s="113" t="str">
        <f>memoria_calculo!F15</f>
        <v/>
      </c>
      <c r="I9" s="113">
        <f>memoria_calculo!G15</f>
        <v>0.236267</v>
      </c>
      <c r="J9" s="113" t="str">
        <f>memoria_calculo!H15</f>
        <v/>
      </c>
      <c r="K9" s="113" t="str">
        <f>memoria_calculo!I15</f>
        <v/>
      </c>
      <c r="L9" s="113" t="str">
        <f>memoria_calculo!J15</f>
        <v/>
      </c>
      <c r="M9" s="113" t="str">
        <f>memoria_calculo!K15</f>
        <v/>
      </c>
      <c r="N9" s="113">
        <f>memoria_calculo!L15</f>
        <v>3.1895E-2</v>
      </c>
      <c r="O9" s="113">
        <f>memoria_calculo!M15</f>
        <v>0.221635</v>
      </c>
      <c r="P9" s="113" t="str">
        <f>memoria_calculo!N15</f>
        <v/>
      </c>
      <c r="Q9" s="113" t="str">
        <f>memoria_calculo!O15</f>
        <v/>
      </c>
      <c r="R9" s="113" t="str">
        <f>memoria_calculo!P15</f>
        <v/>
      </c>
      <c r="S9" s="113" t="str">
        <f>memoria_calculo!Q15</f>
        <v/>
      </c>
      <c r="T9" s="113" t="str">
        <f>memoria_calculo!R15</f>
        <v/>
      </c>
      <c r="U9" s="113" t="str">
        <f>memoria_calculo!S15</f>
        <v/>
      </c>
      <c r="V9" s="113" t="str">
        <f>memoria_calculo!T15</f>
        <v/>
      </c>
      <c r="W9" s="113" t="str">
        <f>memoria_calculo!U15</f>
        <v/>
      </c>
      <c r="X9" s="113" t="str">
        <f>memoria_calculo!V15</f>
        <v/>
      </c>
      <c r="Y9" s="114" t="str">
        <f>memoria_calculo!W15</f>
        <v/>
      </c>
      <c r="Z9" s="111" t="str">
        <f>memoria_calculo!X15</f>
        <v/>
      </c>
      <c r="AA9" s="8" t="str">
        <f>memoria_calculo!Y15</f>
        <v/>
      </c>
    </row>
    <row r="10" spans="1:27" ht="24.75" thickBot="1" x14ac:dyDescent="0.3">
      <c r="C10" s="106" t="s">
        <v>157</v>
      </c>
      <c r="D10" s="107" t="str">
        <f>D6</f>
        <v>ZUELOCa</v>
      </c>
      <c r="E10" s="108"/>
      <c r="F10" s="109"/>
      <c r="G10" s="110"/>
      <c r="H10" s="104"/>
      <c r="I10" s="103"/>
      <c r="J10" s="103">
        <v>0</v>
      </c>
      <c r="K10" s="103"/>
      <c r="L10" s="103"/>
      <c r="M10" s="103"/>
      <c r="N10" s="103"/>
      <c r="O10" s="103"/>
      <c r="P10" s="103"/>
      <c r="Q10" s="103">
        <v>0.28000000000000003</v>
      </c>
      <c r="R10" s="103">
        <v>0.01</v>
      </c>
      <c r="S10" s="104"/>
      <c r="T10" s="103"/>
      <c r="U10" s="103"/>
      <c r="V10" s="103"/>
      <c r="W10" s="103"/>
      <c r="X10" s="103"/>
      <c r="Y10" s="105">
        <v>0.3</v>
      </c>
      <c r="Z10" s="102"/>
      <c r="AA10" s="8"/>
    </row>
    <row r="11" spans="1:27" ht="20.25" thickBot="1" x14ac:dyDescent="0.3">
      <c r="C11" s="136" t="s">
        <v>109</v>
      </c>
      <c r="D11" s="137"/>
      <c r="E11" s="137"/>
      <c r="F11" s="138"/>
      <c r="G11" s="115" t="str">
        <f>memoria_calculo!E17</f>
        <v/>
      </c>
      <c r="H11" s="115" t="str">
        <f>memoria_calculo!F17</f>
        <v/>
      </c>
      <c r="I11" s="115">
        <f>memoria_calculo!G17</f>
        <v>0.263733</v>
      </c>
      <c r="J11" s="115" t="str">
        <f>memoria_calculo!H17</f>
        <v/>
      </c>
      <c r="K11" s="115" t="str">
        <f>memoria_calculo!I17</f>
        <v/>
      </c>
      <c r="L11" s="115" t="str">
        <f>memoria_calculo!J17</f>
        <v/>
      </c>
      <c r="M11" s="115" t="str">
        <f>memoria_calculo!K17</f>
        <v/>
      </c>
      <c r="N11" s="115">
        <f>memoria_calculo!L17</f>
        <v>4.8105000000000002E-2</v>
      </c>
      <c r="O11" s="115">
        <f>memoria_calculo!M17</f>
        <v>0.25836500000000001</v>
      </c>
      <c r="P11" s="115" t="str">
        <f>memoria_calculo!N17</f>
        <v/>
      </c>
      <c r="Q11" s="115" t="str">
        <f>memoria_calculo!O17</f>
        <v/>
      </c>
      <c r="R11" s="115" t="str">
        <f>memoria_calculo!P17</f>
        <v/>
      </c>
      <c r="S11" s="115" t="str">
        <f>memoria_calculo!Q17</f>
        <v/>
      </c>
      <c r="T11" s="115" t="str">
        <f>memoria_calculo!R17</f>
        <v/>
      </c>
      <c r="U11" s="115" t="str">
        <f>memoria_calculo!S17</f>
        <v/>
      </c>
      <c r="V11" s="115" t="str">
        <f>memoria_calculo!T17</f>
        <v/>
      </c>
      <c r="W11" s="115" t="str">
        <f>memoria_calculo!U17</f>
        <v/>
      </c>
      <c r="X11" s="115" t="str">
        <f>memoria_calculo!V17</f>
        <v/>
      </c>
      <c r="Y11" s="116" t="str">
        <f>memoria_calculo!W17</f>
        <v/>
      </c>
      <c r="Z11" s="111" t="str">
        <f>memoria_calculo!X17</f>
        <v/>
      </c>
      <c r="AA11" s="8" t="str">
        <f>memoria_calculo!Y17</f>
        <v/>
      </c>
    </row>
    <row r="15" spans="1:27" ht="19.5" x14ac:dyDescent="0.25">
      <c r="D15" s="12" t="s">
        <v>96</v>
      </c>
      <c r="E15" s="12" t="s">
        <v>0</v>
      </c>
      <c r="F15" s="12" t="s">
        <v>35</v>
      </c>
      <c r="G15" s="12" t="s">
        <v>37</v>
      </c>
      <c r="H15" s="12" t="s">
        <v>3</v>
      </c>
      <c r="I15" s="12" t="s">
        <v>4</v>
      </c>
      <c r="J15" s="12" t="s">
        <v>5</v>
      </c>
      <c r="K15" s="12" t="s">
        <v>6</v>
      </c>
      <c r="L15" s="12" t="s">
        <v>7</v>
      </c>
      <c r="M15" s="12" t="s">
        <v>8</v>
      </c>
      <c r="N15" s="12" t="s">
        <v>9</v>
      </c>
      <c r="O15" s="12" t="s">
        <v>10</v>
      </c>
      <c r="P15" s="12" t="s">
        <v>11</v>
      </c>
      <c r="Q15" s="12" t="s">
        <v>12</v>
      </c>
      <c r="R15" s="12" t="s">
        <v>13</v>
      </c>
      <c r="S15" s="12" t="s">
        <v>14</v>
      </c>
      <c r="T15" s="12" t="s">
        <v>15</v>
      </c>
      <c r="U15" s="12" t="s">
        <v>16</v>
      </c>
      <c r="V15" s="12" t="s">
        <v>17</v>
      </c>
      <c r="W15" s="12" t="s">
        <v>18</v>
      </c>
      <c r="X15" s="12" t="s">
        <v>19</v>
      </c>
      <c r="Y15" s="12" t="s">
        <v>20</v>
      </c>
      <c r="Z15" s="12" t="s">
        <v>21</v>
      </c>
      <c r="AA15" s="12" t="s">
        <v>22</v>
      </c>
    </row>
    <row r="16" spans="1:27" x14ac:dyDescent="0.25">
      <c r="D16" s="9"/>
      <c r="E16" s="9" t="s">
        <v>39</v>
      </c>
      <c r="F16" s="9">
        <v>50</v>
      </c>
      <c r="G16" s="9">
        <f>Tabla214[[#This Row],[CANTIDAD]]/10</f>
        <v>5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0.25</v>
      </c>
      <c r="R16" s="10" cm="1">
        <f t="array" ref="R16">IF($E16="",0%,(_xlfn.XLOOKUP($E16,Tabla1[[#All],[ID]],Tabla1[[#All],[S]])))</f>
        <v>0.2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/>
      <c r="E17" s="9" t="s">
        <v>40</v>
      </c>
      <c r="F17" s="9">
        <v>850</v>
      </c>
      <c r="G17" s="9">
        <f>Tabla214[[#This Row],[CANTIDAD]]/10</f>
        <v>85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0.36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0.39600000000000002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/>
      <c r="E18" s="9" t="s">
        <v>282</v>
      </c>
      <c r="F18" s="9">
        <v>100</v>
      </c>
      <c r="G18" s="9">
        <f>Tabla214[[#This Row],[CANTIDAD]]/10</f>
        <v>10</v>
      </c>
      <c r="H18" s="10" cm="1">
        <f t="array" ref="H18">IF($E18="",0%,_xlfn.XLOOKUP($E18,Tabla1[[#All],[ID]],Tabla1[[#All],[C]]))</f>
        <v>0</v>
      </c>
      <c r="I18" s="10" cm="1">
        <f t="array" ref="I18">IF($E18="",0%,_xlfn.XLOOKUP($E18,Tabla1[[#All],[ID]],Tabla1[[#All],[N]]))</f>
        <v>0</v>
      </c>
      <c r="J18" s="10" cm="1">
        <f t="array" ref="J18">IF($E18="",0%,(_xlfn.XLOOKUP($E18,Tabla1[[#All],[ID]],Tabla1[[#All],[N-NH4]])))</f>
        <v>0</v>
      </c>
      <c r="K18" s="10" cm="1">
        <f t="array" ref="K18">IF($E18="",0%,(_xlfn.XLOOKUP($E18,Tabla1[[#All],[ID]],Tabla1[[#All],[N-NO3]])))</f>
        <v>0</v>
      </c>
      <c r="L18" s="10" cm="1">
        <f t="array" ref="L18">IF($E18="",0%,(_xlfn.XLOOKUP($E18,Tabla1[[#All],[ID]],Tabla1[[#All],[N-org]])))</f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</v>
      </c>
      <c r="P18" s="10" cm="1">
        <f t="array" ref="P18">IF($E18="",0%,(_xlfn.XLOOKUP($E18,Tabla1[[#All],[ID]],Tabla1[[#All],[CaO]])))</f>
        <v>6.2E-2</v>
      </c>
      <c r="Q18" s="10" cm="1">
        <f t="array" ref="Q18">IF($E18="",0%,(_xlfn.XLOOKUP($E18,Tabla1[[#All],[ID]],Tabla1[[#All],[MgO]])))</f>
        <v>0.04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0.56899999999999995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/>
      <c r="F19" s="9"/>
      <c r="G19" s="9">
        <f>Tabla214[[#This Row],[CANTIDAD]]/10</f>
        <v>0</v>
      </c>
      <c r="H19" s="10">
        <v>0</v>
      </c>
      <c r="I19" s="10" cm="1">
        <f t="array" ref="I19">IF($E19="",0%,_xlfn.XLOOKUP($E19,Tabla1[[#All],[ID]],Tabla1[[#All],[N]]))</f>
        <v>0</v>
      </c>
      <c r="J19" s="10">
        <v>0</v>
      </c>
      <c r="K19" s="10">
        <v>0</v>
      </c>
      <c r="L19" s="10"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/>
      <c r="F20" s="9"/>
      <c r="G20" s="9">
        <f>Tabla214[[#This Row],[CANTIDAD]]/10</f>
        <v>0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/>
      <c r="F21" s="9"/>
      <c r="G21" s="9">
        <f>Tabla214[[#This Row],[CANTIDAD]]/10</f>
        <v>0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Tabla214[[#This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9"/>
      <c r="G23" s="9">
        <f>Tabla214[[#This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D24" s="9"/>
      <c r="E24" s="9"/>
      <c r="F24" s="80"/>
      <c r="G24" s="9">
        <f>Tabla214[[#This Row],[CANTIDAD]]/10</f>
        <v>0</v>
      </c>
      <c r="H24" s="10" cm="1">
        <f t="array" ref="H24">IF($E24="",0%,_xlfn.XLOOKUP($E24,Tabla1[[#All],[ID]],Tabla1[[#All],[C]]))</f>
        <v>0</v>
      </c>
      <c r="I24" s="10" cm="1">
        <f t="array" ref="I24">IF($E24="",0%,_xlfn.XLOOKUP($E24,Tabla1[[#All],[ID]],Tabla1[[#All],[N]]))</f>
        <v>0</v>
      </c>
      <c r="J24" s="10" cm="1">
        <f t="array" ref="J24">IF($E24="",0%,(_xlfn.XLOOKUP($E24,Tabla1[[#All],[ID]],Tabla1[[#All],[N-NH4]])))</f>
        <v>0</v>
      </c>
      <c r="K24" s="10" cm="1">
        <f t="array" ref="K24">IF($E24="",0%,(_xlfn.XLOOKUP($E24,Tabla1[[#All],[ID]],Tabla1[[#All],[N-NO3]])))</f>
        <v>0</v>
      </c>
      <c r="L24" s="10" cm="1">
        <f t="array" ref="L24">IF($E24="",0%,(_xlfn.XLOOKUP($E24,Tabla1[[#All],[ID]],Tabla1[[#All],[N-org]])))</f>
        <v>0</v>
      </c>
      <c r="M24" s="10" cm="1">
        <f t="array" ref="M24">IF($E24="",0%,(_xlfn.XLOOKUP($E24,Tabla1[[#All],[ID]],Tabla1[[#All],[N-ur]])))</f>
        <v>0</v>
      </c>
      <c r="N24" s="10" cm="1">
        <f t="array" ref="N24">IF($E24="",0%,(_xlfn.XLOOKUP($E24,Tabla1[[#All],[ID]],Tabla1[[#All],[P]])))</f>
        <v>0</v>
      </c>
      <c r="O24" s="10" cm="1">
        <f t="array" ref="O24">IF($E24="",0%,(_xlfn.XLOOKUP($E24,Tabla1[[#All],[ID]],Tabla1[[#All],[K]])))</f>
        <v>0</v>
      </c>
      <c r="P24" s="10" cm="1">
        <f t="array" ref="P24">IF($E24="",0%,(_xlfn.XLOOKUP($E24,Tabla1[[#All],[ID]],Tabla1[[#All],[CaO]])))</f>
        <v>0</v>
      </c>
      <c r="Q24" s="10" cm="1">
        <f t="array" ref="Q24">IF($E24="",0%,(_xlfn.XLOOKUP($E24,Tabla1[[#All],[ID]],Tabla1[[#All],[MgO]])))</f>
        <v>0</v>
      </c>
      <c r="R24" s="10" cm="1">
        <f t="array" ref="R24">IF($E24="",0%,(_xlfn.XLOOKUP($E24,Tabla1[[#All],[ID]],Tabla1[[#All],[S]])))</f>
        <v>0</v>
      </c>
      <c r="S24" s="10" cm="1">
        <f t="array" ref="S24">IF($E24="",0%,(_xlfn.XLOOKUP($E24,Tabla1[[#All],[ID]],Tabla1[[#All],[B]])))</f>
        <v>0</v>
      </c>
      <c r="T24" s="10" cm="1">
        <f t="array" ref="T24">IF($E24="",0%,(_xlfn.XLOOKUP($E24,Tabla1[[#All],[ID]],Tabla1[[#All],[Co]])))</f>
        <v>0</v>
      </c>
      <c r="U24" s="10" cm="1">
        <f t="array" ref="U24">IF($E24="",0%,(_xlfn.XLOOKUP($E24,Tabla1[[#All],[ID]],Tabla1[[#All],[Cu]])))</f>
        <v>0</v>
      </c>
      <c r="V24" s="10" cm="1">
        <f t="array" ref="V24">IF($E24="",0%,(_xlfn.XLOOKUP($E24,Tabla1[[#All],[ID]],Tabla1[[#All],[Fe]])))</f>
        <v>0</v>
      </c>
      <c r="W24" s="10" cm="1">
        <f t="array" ref="W24">IF($E24="",0%,(_xlfn.XLOOKUP($E24,Tabla1[[#All],[ID]],Tabla1[[#All],[Mn]])))</f>
        <v>0</v>
      </c>
      <c r="X24" s="10" cm="1">
        <f t="array" ref="X24">IF($E24="",0%,(_xlfn.XLOOKUP($E24,Tabla1[[#All],[ID]],Tabla1[[#All],[Mo]])))</f>
        <v>0</v>
      </c>
      <c r="Y24" s="10" cm="1">
        <f t="array" ref="Y24">IF($E24="",0%,(_xlfn.XLOOKUP($E24,Tabla1[[#All],[ID]],Tabla1[[#All],[SiO2]])))</f>
        <v>0</v>
      </c>
      <c r="Z24" s="10" cm="1">
        <f t="array" ref="Z24">IF($E24="",0%,(_xlfn.XLOOKUP($E24,Tabla1[[#All],[ID]],Tabla1[[#All],[Zn]])))</f>
        <v>0</v>
      </c>
      <c r="AA24" s="11" cm="1">
        <f t="array" ref="AA24">IF($E24="",0%,(_xlfn.XLOOKUP($E24,Tabla1[[#All],[ID]],Tabla1[[#All],[Na]])))</f>
        <v>0</v>
      </c>
    </row>
    <row r="25" spans="3:27" x14ac:dyDescent="0.25">
      <c r="C25" s="73"/>
      <c r="D25" s="131"/>
      <c r="E25" s="131"/>
      <c r="F25" s="131"/>
      <c r="G25" s="99"/>
    </row>
    <row r="26" spans="3:27" x14ac:dyDescent="0.25">
      <c r="C26" s="73"/>
      <c r="D26" s="132"/>
      <c r="E26" s="132"/>
      <c r="F26" s="132"/>
      <c r="G26" s="99"/>
    </row>
    <row r="27" spans="3:27" x14ac:dyDescent="0.25">
      <c r="D27" s="9"/>
      <c r="E27" s="9"/>
      <c r="F27" s="9"/>
    </row>
    <row r="28" spans="3:27" x14ac:dyDescent="0.25">
      <c r="D28" s="9"/>
      <c r="E28" s="9"/>
      <c r="F28" s="9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31" spans="3:27" x14ac:dyDescent="0.25">
      <c r="C31" s="20"/>
    </row>
    <row r="32" spans="3:27" x14ac:dyDescent="0.25">
      <c r="C32" s="20"/>
    </row>
    <row r="33" spans="3:3" x14ac:dyDescent="0.25">
      <c r="C33" s="20"/>
    </row>
  </sheetData>
  <mergeCells count="4">
    <mergeCell ref="D1:E2"/>
    <mergeCell ref="C9:F9"/>
    <mergeCell ref="C11:F11"/>
    <mergeCell ref="D25:F26"/>
  </mergeCells>
  <conditionalFormatting sqref="C9:C11 H6:AA6 E15:G15">
    <cfRule type="containsBlanks" dxfId="1790" priority="31">
      <formula>LEN(TRIM(C6))=0</formula>
    </cfRule>
  </conditionalFormatting>
  <conditionalFormatting sqref="H16:AA24 H6:AA6">
    <cfRule type="cellIs" dxfId="1789" priority="30" operator="equal">
      <formula>0</formula>
    </cfRule>
  </conditionalFormatting>
  <conditionalFormatting sqref="G16:G24">
    <cfRule type="cellIs" dxfId="1788" priority="28" operator="equal">
      <formula>0</formula>
    </cfRule>
    <cfRule type="containsBlanks" dxfId="1787" priority="29">
      <formula>LEN(TRIM(G16))=0</formula>
    </cfRule>
  </conditionalFormatting>
  <conditionalFormatting sqref="H5:AA5">
    <cfRule type="containsBlanks" dxfId="1786" priority="27">
      <formula>LEN(TRIM(H5))=0</formula>
    </cfRule>
  </conditionalFormatting>
  <conditionalFormatting sqref="G5">
    <cfRule type="containsBlanks" dxfId="1785" priority="26">
      <formula>LEN(TRIM(G5))=0</formula>
    </cfRule>
  </conditionalFormatting>
  <conditionalFormatting sqref="F6:G6">
    <cfRule type="containsBlanks" dxfId="1784" priority="25">
      <formula>LEN(TRIM(F6))=0</formula>
    </cfRule>
  </conditionalFormatting>
  <conditionalFormatting sqref="H15:AA15">
    <cfRule type="containsBlanks" dxfId="1783" priority="24">
      <formula>LEN(TRIM(H15))=0</formula>
    </cfRule>
  </conditionalFormatting>
  <conditionalFormatting sqref="D5">
    <cfRule type="containsBlanks" dxfId="1782" priority="23">
      <formula>LEN(TRIM(D5))=0</formula>
    </cfRule>
  </conditionalFormatting>
  <conditionalFormatting sqref="C5">
    <cfRule type="containsBlanks" dxfId="1781" priority="22">
      <formula>LEN(TRIM(C5))=0</formula>
    </cfRule>
  </conditionalFormatting>
  <conditionalFormatting sqref="D15">
    <cfRule type="containsBlanks" dxfId="1780" priority="21">
      <formula>LEN(TRIM(D15))=0</formula>
    </cfRule>
  </conditionalFormatting>
  <conditionalFormatting sqref="G9:AA9 G11:AA11">
    <cfRule type="containsBlanks" dxfId="1779" priority="20">
      <formula>LEN(TRIM(G9))=0</formula>
    </cfRule>
  </conditionalFormatting>
  <conditionalFormatting sqref="G9:AA9 G11:AA11">
    <cfRule type="cellIs" dxfId="1778" priority="19" operator="equal">
      <formula>0</formula>
    </cfRule>
  </conditionalFormatting>
  <conditionalFormatting sqref="G7:AA8">
    <cfRule type="containsBlanks" dxfId="1777" priority="18">
      <formula>LEN(TRIM(G7))=0</formula>
    </cfRule>
  </conditionalFormatting>
  <conditionalFormatting sqref="G7:AA8">
    <cfRule type="cellIs" dxfId="1776" priority="17" operator="equal">
      <formula>0</formula>
    </cfRule>
  </conditionalFormatting>
  <conditionalFormatting sqref="A5">
    <cfRule type="containsBlanks" dxfId="1775" priority="15">
      <formula>LEN(TRIM(A5))=0</formula>
    </cfRule>
  </conditionalFormatting>
  <conditionalFormatting sqref="F7:F8">
    <cfRule type="containsBlanks" dxfId="1774" priority="16">
      <formula>LEN(TRIM(F7))=0</formula>
    </cfRule>
  </conditionalFormatting>
  <conditionalFormatting sqref="B5">
    <cfRule type="containsBlanks" dxfId="1773" priority="14">
      <formula>LEN(TRIM(B5))=0</formula>
    </cfRule>
  </conditionalFormatting>
  <conditionalFormatting sqref="A7:E8">
    <cfRule type="containsBlanks" dxfId="1772" priority="13">
      <formula>LEN(TRIM(A7))=0</formula>
    </cfRule>
  </conditionalFormatting>
  <conditionalFormatting sqref="E5">
    <cfRule type="containsBlanks" dxfId="1771" priority="12">
      <formula>LEN(TRIM(E5))=0</formula>
    </cfRule>
  </conditionalFormatting>
  <conditionalFormatting sqref="F5">
    <cfRule type="containsBlanks" dxfId="1770" priority="11">
      <formula>LEN(TRIM(F5))=0</formula>
    </cfRule>
  </conditionalFormatting>
  <conditionalFormatting sqref="A6">
    <cfRule type="containsBlanks" dxfId="1769" priority="10">
      <formula>LEN(TRIM(A6))=0</formula>
    </cfRule>
  </conditionalFormatting>
  <conditionalFormatting sqref="B6">
    <cfRule type="containsBlanks" dxfId="1768" priority="9">
      <formula>LEN(TRIM(B6))=0</formula>
    </cfRule>
  </conditionalFormatting>
  <conditionalFormatting sqref="E6">
    <cfRule type="containsBlanks" dxfId="1767" priority="8">
      <formula>LEN(TRIM(E6))=0</formula>
    </cfRule>
  </conditionalFormatting>
  <conditionalFormatting sqref="C6">
    <cfRule type="containsBlanks" dxfId="1766" priority="7">
      <formula>LEN(TRIM(C6))=0</formula>
    </cfRule>
  </conditionalFormatting>
  <conditionalFormatting sqref="D6">
    <cfRule type="containsBlanks" dxfId="1765" priority="6">
      <formula>LEN(TRIM(D6))=0</formula>
    </cfRule>
  </conditionalFormatting>
  <conditionalFormatting sqref="G10">
    <cfRule type="containsBlanks" dxfId="1764" priority="5">
      <formula>LEN(TRIM(G10))=0</formula>
    </cfRule>
  </conditionalFormatting>
  <conditionalFormatting sqref="H10:O10 Z10:AA10">
    <cfRule type="containsBlanks" dxfId="1763" priority="4">
      <formula>LEN(TRIM(H10))=0</formula>
    </cfRule>
  </conditionalFormatting>
  <conditionalFormatting sqref="H10:O10 Z10:AA10">
    <cfRule type="cellIs" dxfId="1762" priority="3" operator="equal">
      <formula>0</formula>
    </cfRule>
  </conditionalFormatting>
  <conditionalFormatting sqref="P10:Y10">
    <cfRule type="containsBlanks" dxfId="1761" priority="2">
      <formula>LEN(TRIM(P10))=0</formula>
    </cfRule>
  </conditionalFormatting>
  <conditionalFormatting sqref="P10:Y10">
    <cfRule type="cellIs" dxfId="1760" priority="1" operator="equal">
      <formula>0</formula>
    </cfRule>
  </conditionalFormatting>
  <dataValidations count="1">
    <dataValidation type="list" allowBlank="1" showInputMessage="1" showErrorMessage="1" sqref="E27:E28 E16:E24" xr:uid="{AD6DA430-C0DA-4CF6-8E4D-3FFBFB07E36B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29</xdr:row>
                    <xdr:rowOff>142875</xdr:rowOff>
                  </from>
                  <to>
                    <xdr:col>3</xdr:col>
                    <xdr:colOff>1619250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C00000"/>
  </sheetPr>
  <dimension ref="A1:AA33"/>
  <sheetViews>
    <sheetView tabSelected="1" zoomScale="115" zoomScaleNormal="115" workbookViewId="0">
      <pane xSplit="4" topLeftCell="E1" activePane="topRight" state="frozen"/>
      <selection activeCell="C8" sqref="C8"/>
      <selection pane="topRight" activeCell="I17" sqref="I17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8.570312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9" width="10.28515625" customWidth="1"/>
    <col min="10" max="10" width="8.85546875" customWidth="1"/>
    <col min="11" max="11" width="9.7109375" customWidth="1"/>
    <col min="12" max="12" width="11.85546875" customWidth="1"/>
    <col min="13" max="13" width="10.7109375" customWidth="1"/>
    <col min="14" max="14" width="10.140625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10" customWidth="1"/>
    <col min="20" max="20" width="8.5703125" customWidth="1"/>
    <col min="21" max="21" width="8.7109375" customWidth="1"/>
    <col min="22" max="22" width="8.28515625" customWidth="1"/>
    <col min="23" max="23" width="9.28515625" customWidth="1"/>
    <col min="24" max="24" width="9.140625" customWidth="1"/>
    <col min="25" max="25" width="10.7109375" bestFit="1" customWidth="1"/>
    <col min="26" max="26" width="8.5703125" customWidth="1"/>
    <col min="27" max="27" width="8.85546875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19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283</v>
      </c>
      <c r="B6" s="70" t="s">
        <v>284</v>
      </c>
      <c r="C6" s="54">
        <v>82</v>
      </c>
      <c r="D6" s="58" t="s">
        <v>185</v>
      </c>
      <c r="E6" s="120">
        <v>20000</v>
      </c>
      <c r="F6" s="100" t="str">
        <f>C6&amp;RIGHT("0"&amp;MID(B6,1,2),2)&amp;RIGHT("0"&amp;MID(B6,4,2),2)&amp;RIGHT(MID(B6,7,4),2)</f>
        <v>82210525</v>
      </c>
      <c r="G6" s="77">
        <f>IF(I6+N6+O6&lt;5%,"",I6+N6+O6)</f>
        <v>0.47899999999999998</v>
      </c>
      <c r="H6" s="8">
        <f t="shared" ref="H6:AA6" si="0">ROUND(($G16*H16+$G17*H17+$G18*H18+$G19*H19+$G20*H20+$G21*H21+$G22*H22+$G23*H23+$G24*H24)/100,3)</f>
        <v>0</v>
      </c>
      <c r="I6" s="8">
        <f t="shared" si="0"/>
        <v>0.22600000000000001</v>
      </c>
      <c r="J6" s="8">
        <f t="shared" si="0"/>
        <v>1.4E-2</v>
      </c>
      <c r="K6" s="8">
        <f t="shared" si="0"/>
        <v>0</v>
      </c>
      <c r="L6" s="8">
        <f t="shared" si="0"/>
        <v>0</v>
      </c>
      <c r="M6" s="8">
        <f t="shared" si="0"/>
        <v>0.21199999999999999</v>
      </c>
      <c r="N6" s="8">
        <f t="shared" si="0"/>
        <v>3.6999999999999998E-2</v>
      </c>
      <c r="O6" s="8">
        <f t="shared" si="0"/>
        <v>0.216</v>
      </c>
      <c r="P6" s="8">
        <f t="shared" si="0"/>
        <v>1.7999999999999999E-2</v>
      </c>
      <c r="Q6" s="8">
        <f t="shared" si="0"/>
        <v>1.7999999999999999E-2</v>
      </c>
      <c r="R6" s="8">
        <f t="shared" si="0"/>
        <v>4.0000000000000001E-3</v>
      </c>
      <c r="S6" s="8">
        <f t="shared" si="0"/>
        <v>0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1.4E-2</v>
      </c>
      <c r="Z6" s="98">
        <f t="shared" si="0"/>
        <v>0</v>
      </c>
      <c r="AA6" s="8">
        <f t="shared" si="0"/>
        <v>0</v>
      </c>
    </row>
    <row r="7" spans="1:27" ht="19.5" x14ac:dyDescent="0.25">
      <c r="A7" s="112" t="str">
        <f>A6</f>
        <v>OP111</v>
      </c>
      <c r="B7" s="112" t="str">
        <f>B6</f>
        <v>21-05-2025</v>
      </c>
      <c r="C7" s="112">
        <f t="shared" ref="C7:E7" si="1">C6</f>
        <v>82</v>
      </c>
      <c r="D7" s="112" t="str">
        <f t="shared" si="1"/>
        <v>MF 25-4-24</v>
      </c>
      <c r="E7" s="112">
        <f t="shared" si="1"/>
        <v>20000</v>
      </c>
      <c r="F7" s="7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20.25" thickBot="1" x14ac:dyDescent="0.3">
      <c r="A8" s="117" t="s">
        <v>281</v>
      </c>
      <c r="B8" s="117" t="s">
        <v>281</v>
      </c>
      <c r="C8" s="117" t="s">
        <v>281</v>
      </c>
      <c r="D8" s="117" t="s">
        <v>281</v>
      </c>
      <c r="E8" s="117" t="s">
        <v>281</v>
      </c>
      <c r="F8" s="117" t="s">
        <v>281</v>
      </c>
      <c r="G8" s="118" t="s">
        <v>281</v>
      </c>
      <c r="H8" s="118"/>
      <c r="I8" s="118"/>
      <c r="J8" s="118"/>
      <c r="K8" s="118"/>
      <c r="L8" s="118"/>
      <c r="M8" s="118"/>
      <c r="N8" s="118"/>
      <c r="O8" s="118" t="s">
        <v>281</v>
      </c>
      <c r="P8" s="118" t="s">
        <v>281</v>
      </c>
      <c r="Q8" s="118" t="s">
        <v>281</v>
      </c>
      <c r="R8" s="118" t="s">
        <v>281</v>
      </c>
      <c r="S8" s="118" t="s">
        <v>281</v>
      </c>
      <c r="T8" s="118"/>
      <c r="U8" s="118"/>
      <c r="V8" s="118"/>
      <c r="W8" s="118"/>
      <c r="X8" s="118"/>
      <c r="Y8" s="118" t="s">
        <v>281</v>
      </c>
      <c r="Z8" s="111"/>
      <c r="AA8" s="8"/>
    </row>
    <row r="9" spans="1:27" ht="20.25" thickBot="1" x14ac:dyDescent="0.3">
      <c r="C9" s="133" t="s">
        <v>108</v>
      </c>
      <c r="D9" s="134"/>
      <c r="E9" s="134"/>
      <c r="F9" s="135"/>
      <c r="G9" s="113" t="str">
        <f>memoria_calculo!E15</f>
        <v/>
      </c>
      <c r="H9" s="113" t="str">
        <f>memoria_calculo!F15</f>
        <v/>
      </c>
      <c r="I9" s="113">
        <f>memoria_calculo!G15</f>
        <v>0.236267</v>
      </c>
      <c r="J9" s="113" t="str">
        <f>memoria_calculo!H15</f>
        <v/>
      </c>
      <c r="K9" s="113" t="str">
        <f>memoria_calculo!I15</f>
        <v/>
      </c>
      <c r="L9" s="113" t="str">
        <f>memoria_calculo!J15</f>
        <v/>
      </c>
      <c r="M9" s="113" t="str">
        <f>memoria_calculo!K15</f>
        <v/>
      </c>
      <c r="N9" s="113">
        <f>memoria_calculo!L15</f>
        <v>3.1895E-2</v>
      </c>
      <c r="O9" s="113">
        <f>memoria_calculo!M15</f>
        <v>0.221635</v>
      </c>
      <c r="P9" s="113" t="str">
        <f>memoria_calculo!N15</f>
        <v/>
      </c>
      <c r="Q9" s="113" t="str">
        <f>memoria_calculo!O15</f>
        <v/>
      </c>
      <c r="R9" s="113" t="str">
        <f>memoria_calculo!P15</f>
        <v/>
      </c>
      <c r="S9" s="113" t="str">
        <f>memoria_calculo!Q15</f>
        <v/>
      </c>
      <c r="T9" s="113" t="str">
        <f>memoria_calculo!R15</f>
        <v/>
      </c>
      <c r="U9" s="113" t="str">
        <f>memoria_calculo!S15</f>
        <v/>
      </c>
      <c r="V9" s="113" t="str">
        <f>memoria_calculo!T15</f>
        <v/>
      </c>
      <c r="W9" s="113" t="str">
        <f>memoria_calculo!U15</f>
        <v/>
      </c>
      <c r="X9" s="113" t="str">
        <f>memoria_calculo!V15</f>
        <v/>
      </c>
      <c r="Y9" s="114" t="str">
        <f>memoria_calculo!W15</f>
        <v/>
      </c>
      <c r="Z9" s="111" t="str">
        <f>memoria_calculo!X15</f>
        <v/>
      </c>
      <c r="AA9" s="8" t="str">
        <f>memoria_calculo!Y15</f>
        <v/>
      </c>
    </row>
    <row r="10" spans="1:27" ht="24.75" thickBot="1" x14ac:dyDescent="0.3">
      <c r="C10" s="106" t="s">
        <v>157</v>
      </c>
      <c r="D10" s="107" t="str">
        <f>D6</f>
        <v>MF 25-4-24</v>
      </c>
      <c r="E10" s="108"/>
      <c r="F10" s="109"/>
      <c r="G10" s="110"/>
      <c r="H10" s="104"/>
      <c r="I10" s="103">
        <v>0.25</v>
      </c>
      <c r="J10" s="103">
        <v>0</v>
      </c>
      <c r="K10" s="103"/>
      <c r="L10" s="103"/>
      <c r="M10" s="103"/>
      <c r="N10" s="103">
        <v>0.04</v>
      </c>
      <c r="O10" s="103">
        <v>0.24</v>
      </c>
      <c r="P10" s="103"/>
      <c r="Q10" s="103"/>
      <c r="R10" s="103"/>
      <c r="S10" s="104"/>
      <c r="T10" s="103"/>
      <c r="U10" s="103"/>
      <c r="V10" s="103"/>
      <c r="W10" s="103"/>
      <c r="X10" s="103"/>
      <c r="Y10" s="105"/>
      <c r="Z10" s="102"/>
      <c r="AA10" s="8"/>
    </row>
    <row r="11" spans="1:27" ht="20.25" thickBot="1" x14ac:dyDescent="0.3">
      <c r="C11" s="136" t="s">
        <v>109</v>
      </c>
      <c r="D11" s="137"/>
      <c r="E11" s="137"/>
      <c r="F11" s="138"/>
      <c r="G11" s="115" t="str">
        <f>memoria_calculo!E17</f>
        <v/>
      </c>
      <c r="H11" s="115" t="str">
        <f>memoria_calculo!F17</f>
        <v/>
      </c>
      <c r="I11" s="115">
        <f>memoria_calculo!G17</f>
        <v>0.263733</v>
      </c>
      <c r="J11" s="115" t="str">
        <f>memoria_calculo!H17</f>
        <v/>
      </c>
      <c r="K11" s="115" t="str">
        <f>memoria_calculo!I17</f>
        <v/>
      </c>
      <c r="L11" s="115" t="str">
        <f>memoria_calculo!J17</f>
        <v/>
      </c>
      <c r="M11" s="115" t="str">
        <f>memoria_calculo!K17</f>
        <v/>
      </c>
      <c r="N11" s="115">
        <f>memoria_calculo!L17</f>
        <v>4.8105000000000002E-2</v>
      </c>
      <c r="O11" s="115">
        <f>memoria_calculo!M17</f>
        <v>0.25836500000000001</v>
      </c>
      <c r="P11" s="115" t="str">
        <f>memoria_calculo!N17</f>
        <v/>
      </c>
      <c r="Q11" s="115" t="str">
        <f>memoria_calculo!O17</f>
        <v/>
      </c>
      <c r="R11" s="115" t="str">
        <f>memoria_calculo!P17</f>
        <v/>
      </c>
      <c r="S11" s="115" t="str">
        <f>memoria_calculo!Q17</f>
        <v/>
      </c>
      <c r="T11" s="115" t="str">
        <f>memoria_calculo!R17</f>
        <v/>
      </c>
      <c r="U11" s="115" t="str">
        <f>memoria_calculo!S17</f>
        <v/>
      </c>
      <c r="V11" s="115" t="str">
        <f>memoria_calculo!T17</f>
        <v/>
      </c>
      <c r="W11" s="115" t="str">
        <f>memoria_calculo!U17</f>
        <v/>
      </c>
      <c r="X11" s="115" t="str">
        <f>memoria_calculo!V17</f>
        <v/>
      </c>
      <c r="Y11" s="116" t="str">
        <f>memoria_calculo!W17</f>
        <v/>
      </c>
      <c r="Z11" s="111" t="str">
        <f>memoria_calculo!X17</f>
        <v/>
      </c>
      <c r="AA11" s="8" t="str">
        <f>memoria_calculo!Y17</f>
        <v/>
      </c>
    </row>
    <row r="15" spans="1:27" ht="19.5" x14ac:dyDescent="0.25">
      <c r="D15" s="12" t="s">
        <v>96</v>
      </c>
      <c r="E15" s="12" t="s">
        <v>0</v>
      </c>
      <c r="F15" s="12" t="s">
        <v>35</v>
      </c>
      <c r="G15" s="12" t="s">
        <v>37</v>
      </c>
      <c r="H15" s="12" t="s">
        <v>3</v>
      </c>
      <c r="I15" s="12" t="s">
        <v>4</v>
      </c>
      <c r="J15" s="12" t="s">
        <v>5</v>
      </c>
      <c r="K15" s="12" t="s">
        <v>6</v>
      </c>
      <c r="L15" s="12" t="s">
        <v>7</v>
      </c>
      <c r="M15" s="12" t="s">
        <v>8</v>
      </c>
      <c r="N15" s="12" t="s">
        <v>9</v>
      </c>
      <c r="O15" s="12" t="s">
        <v>10</v>
      </c>
      <c r="P15" s="12" t="s">
        <v>11</v>
      </c>
      <c r="Q15" s="12" t="s">
        <v>12</v>
      </c>
      <c r="R15" s="12" t="s">
        <v>13</v>
      </c>
      <c r="S15" s="12" t="s">
        <v>14</v>
      </c>
      <c r="T15" s="12" t="s">
        <v>15</v>
      </c>
      <c r="U15" s="12" t="s">
        <v>16</v>
      </c>
      <c r="V15" s="12" t="s">
        <v>17</v>
      </c>
      <c r="W15" s="12" t="s">
        <v>18</v>
      </c>
      <c r="X15" s="12" t="s">
        <v>19</v>
      </c>
      <c r="Y15" s="12" t="s">
        <v>20</v>
      </c>
      <c r="Z15" s="12" t="s">
        <v>21</v>
      </c>
      <c r="AA15" s="12" t="s">
        <v>22</v>
      </c>
    </row>
    <row r="16" spans="1:27" x14ac:dyDescent="0.25">
      <c r="D16" s="9">
        <v>12</v>
      </c>
      <c r="E16" s="9" t="s">
        <v>129</v>
      </c>
      <c r="F16" s="9">
        <v>460</v>
      </c>
      <c r="G16" s="9">
        <f>Tabla2[[#This Row],[CANTIDAD]]/10</f>
        <v>46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0.46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0.46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>
        <v>65</v>
      </c>
      <c r="E17" s="9" t="s">
        <v>150</v>
      </c>
      <c r="F17" s="9">
        <v>100</v>
      </c>
      <c r="G17" s="9">
        <f>Tabla2[[#This Row],[CANTIDAD]]/10</f>
        <v>10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0.18</v>
      </c>
      <c r="Q17" s="10" cm="1">
        <f t="array" ref="Q17">IF($E17="",0%,(_xlfn.XLOOKUP($E17,Tabla1[[#All],[ID]],Tabla1[[#All],[MgO]])))</f>
        <v>0.18</v>
      </c>
      <c r="R17" s="10" cm="1">
        <f t="array" ref="R17">IF($E17="",0%,(_xlfn.XLOOKUP($E17,Tabla1[[#All],[ID]],Tabla1[[#All],[S]])))</f>
        <v>0.04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0.14000000000000001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>
        <v>97</v>
      </c>
      <c r="E18" s="9" t="s">
        <v>270</v>
      </c>
      <c r="F18" s="9">
        <v>80</v>
      </c>
      <c r="G18" s="9">
        <f>Tabla2[[#This Row],[CANTIDAD]]/10</f>
        <v>8</v>
      </c>
      <c r="H18" s="10" cm="1">
        <f t="array" ref="H18">IF($E18="",0%,_xlfn.XLOOKUP($E18,Tabla1[[#All],[ID]],Tabla1[[#All],[C]]))</f>
        <v>0</v>
      </c>
      <c r="I18" s="10" cm="1">
        <f t="array" ref="I18">IF($E18="",0%,_xlfn.XLOOKUP($E18,Tabla1[[#All],[ID]],Tabla1[[#All],[N]]))</f>
        <v>0.18</v>
      </c>
      <c r="J18" s="10" cm="1">
        <f t="array" ref="J18">IF($E18="",0%,(_xlfn.XLOOKUP($E18,Tabla1[[#All],[ID]],Tabla1[[#All],[N-NH4]])))</f>
        <v>0.18</v>
      </c>
      <c r="K18" s="10" cm="1">
        <f t="array" ref="K18">IF($E18="",0%,(_xlfn.XLOOKUP($E18,Tabla1[[#All],[ID]],Tabla1[[#All],[N-NO3]])))</f>
        <v>0</v>
      </c>
      <c r="L18" s="10" cm="1">
        <f t="array" ref="L18">IF($E18="",0%,(_xlfn.XLOOKUP($E18,Tabla1[[#All],[ID]],Tabla1[[#All],[N-org]])))</f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0.46</v>
      </c>
      <c r="O18" s="10" cm="1">
        <f t="array" ref="O18">IF($E18="",0%,(_xlfn.XLOOKUP($E18,Tabla1[[#All],[ID]],Tabla1[[#All],[K]])))</f>
        <v>0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>
        <v>144</v>
      </c>
      <c r="E19" s="9" t="s">
        <v>133</v>
      </c>
      <c r="F19" s="9">
        <v>360</v>
      </c>
      <c r="G19" s="9">
        <f>Tabla2[[#This Row],[CANTIDAD]]/10</f>
        <v>36</v>
      </c>
      <c r="H19" s="10">
        <v>0</v>
      </c>
      <c r="I19" s="10" cm="1">
        <f t="array" ref="I19">IF($E19="",0%,_xlfn.XLOOKUP($E19,Tabla1[[#All],[ID]],Tabla1[[#All],[N]]))</f>
        <v>0</v>
      </c>
      <c r="J19" s="10">
        <v>0</v>
      </c>
      <c r="K19" s="10">
        <v>0</v>
      </c>
      <c r="L19" s="10"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0.6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/>
      <c r="F20" s="9"/>
      <c r="G20" s="9">
        <f>Tabla2[[#This Row],[CANTIDAD]]/10</f>
        <v>0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/>
      <c r="F21" s="9"/>
      <c r="G21" s="9">
        <f>Tabla2[[#This Row],[CANTIDAD]]/10</f>
        <v>0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9"/>
      <c r="G23" s="9">
        <f>Tabla2[[#This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D24" s="9"/>
      <c r="E24" s="9"/>
      <c r="F24" s="80"/>
      <c r="G24" s="9">
        <f>Tabla2[[#This Row],[CANTIDAD]]/10</f>
        <v>0</v>
      </c>
      <c r="H24" s="10" cm="1">
        <f t="array" ref="H24">IF($E24="",0%,_xlfn.XLOOKUP($E24,Tabla1[[#All],[ID]],Tabla1[[#All],[C]]))</f>
        <v>0</v>
      </c>
      <c r="I24" s="10" cm="1">
        <f t="array" ref="I24">IF($E24="",0%,_xlfn.XLOOKUP($E24,Tabla1[[#All],[ID]],Tabla1[[#All],[N]]))</f>
        <v>0</v>
      </c>
      <c r="J24" s="10" cm="1">
        <f t="array" ref="J24">IF($E24="",0%,(_xlfn.XLOOKUP($E24,Tabla1[[#All],[ID]],Tabla1[[#All],[N-NH4]])))</f>
        <v>0</v>
      </c>
      <c r="K24" s="10" cm="1">
        <f t="array" ref="K24">IF($E24="",0%,(_xlfn.XLOOKUP($E24,Tabla1[[#All],[ID]],Tabla1[[#All],[N-NO3]])))</f>
        <v>0</v>
      </c>
      <c r="L24" s="10" cm="1">
        <f t="array" ref="L24">IF($E24="",0%,(_xlfn.XLOOKUP($E24,Tabla1[[#All],[ID]],Tabla1[[#All],[N-org]])))</f>
        <v>0</v>
      </c>
      <c r="M24" s="10" cm="1">
        <f t="array" ref="M24">IF($E24="",0%,(_xlfn.XLOOKUP($E24,Tabla1[[#All],[ID]],Tabla1[[#All],[N-ur]])))</f>
        <v>0</v>
      </c>
      <c r="N24" s="10" cm="1">
        <f t="array" ref="N24">IF($E24="",0%,(_xlfn.XLOOKUP($E24,Tabla1[[#All],[ID]],Tabla1[[#All],[P]])))</f>
        <v>0</v>
      </c>
      <c r="O24" s="10" cm="1">
        <f t="array" ref="O24">IF($E24="",0%,(_xlfn.XLOOKUP($E24,Tabla1[[#All],[ID]],Tabla1[[#All],[K]])))</f>
        <v>0</v>
      </c>
      <c r="P24" s="10" cm="1">
        <f t="array" ref="P24">IF($E24="",0%,(_xlfn.XLOOKUP($E24,Tabla1[[#All],[ID]],Tabla1[[#All],[CaO]])))</f>
        <v>0</v>
      </c>
      <c r="Q24" s="10" cm="1">
        <f t="array" ref="Q24">IF($E24="",0%,(_xlfn.XLOOKUP($E24,Tabla1[[#All],[ID]],Tabla1[[#All],[MgO]])))</f>
        <v>0</v>
      </c>
      <c r="R24" s="10" cm="1">
        <f t="array" ref="R24">IF($E24="",0%,(_xlfn.XLOOKUP($E24,Tabla1[[#All],[ID]],Tabla1[[#All],[S]])))</f>
        <v>0</v>
      </c>
      <c r="S24" s="10" cm="1">
        <f t="array" ref="S24">IF($E24="",0%,(_xlfn.XLOOKUP($E24,Tabla1[[#All],[ID]],Tabla1[[#All],[B]])))</f>
        <v>0</v>
      </c>
      <c r="T24" s="10" cm="1">
        <f t="array" ref="T24">IF($E24="",0%,(_xlfn.XLOOKUP($E24,Tabla1[[#All],[ID]],Tabla1[[#All],[Co]])))</f>
        <v>0</v>
      </c>
      <c r="U24" s="10" cm="1">
        <f t="array" ref="U24">IF($E24="",0%,(_xlfn.XLOOKUP($E24,Tabla1[[#All],[ID]],Tabla1[[#All],[Cu]])))</f>
        <v>0</v>
      </c>
      <c r="V24" s="10" cm="1">
        <f t="array" ref="V24">IF($E24="",0%,(_xlfn.XLOOKUP($E24,Tabla1[[#All],[ID]],Tabla1[[#All],[Fe]])))</f>
        <v>0</v>
      </c>
      <c r="W24" s="10" cm="1">
        <f t="array" ref="W24">IF($E24="",0%,(_xlfn.XLOOKUP($E24,Tabla1[[#All],[ID]],Tabla1[[#All],[Mn]])))</f>
        <v>0</v>
      </c>
      <c r="X24" s="10" cm="1">
        <f t="array" ref="X24">IF($E24="",0%,(_xlfn.XLOOKUP($E24,Tabla1[[#All],[ID]],Tabla1[[#All],[Mo]])))</f>
        <v>0</v>
      </c>
      <c r="Y24" s="10" cm="1">
        <f t="array" ref="Y24">IF($E24="",0%,(_xlfn.XLOOKUP($E24,Tabla1[[#All],[ID]],Tabla1[[#All],[SiO2]])))</f>
        <v>0</v>
      </c>
      <c r="Z24" s="10" cm="1">
        <f t="array" ref="Z24">IF($E24="",0%,(_xlfn.XLOOKUP($E24,Tabla1[[#All],[ID]],Tabla1[[#All],[Zn]])))</f>
        <v>0</v>
      </c>
      <c r="AA24" s="11" cm="1">
        <f t="array" ref="AA24">IF($E24="",0%,(_xlfn.XLOOKUP($E24,Tabla1[[#All],[ID]],Tabla1[[#All],[Na]])))</f>
        <v>0</v>
      </c>
    </row>
    <row r="25" spans="3:27" x14ac:dyDescent="0.25">
      <c r="C25" s="73"/>
      <c r="D25" s="131"/>
      <c r="E25" s="131"/>
      <c r="F25" s="131"/>
      <c r="G25" s="71"/>
    </row>
    <row r="26" spans="3:27" x14ac:dyDescent="0.25">
      <c r="C26" s="73"/>
      <c r="D26" s="132"/>
      <c r="E26" s="132"/>
      <c r="F26" s="132"/>
      <c r="G26" s="71"/>
    </row>
    <row r="27" spans="3:27" x14ac:dyDescent="0.25">
      <c r="D27" s="9"/>
      <c r="E27" s="9"/>
      <c r="F27" s="9"/>
    </row>
    <row r="28" spans="3:27" x14ac:dyDescent="0.25">
      <c r="D28" s="9"/>
      <c r="E28" s="9"/>
      <c r="F28" s="9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31" spans="3:27" x14ac:dyDescent="0.25">
      <c r="C31" s="20"/>
    </row>
    <row r="32" spans="3:27" x14ac:dyDescent="0.25">
      <c r="C32" s="20"/>
    </row>
    <row r="33" spans="3:3" x14ac:dyDescent="0.25">
      <c r="C33" s="20"/>
    </row>
  </sheetData>
  <mergeCells count="4">
    <mergeCell ref="D25:F26"/>
    <mergeCell ref="D1:E2"/>
    <mergeCell ref="C9:F9"/>
    <mergeCell ref="C11:F11"/>
  </mergeCells>
  <conditionalFormatting sqref="C9:C11 H6:AA6 E15:G15">
    <cfRule type="containsBlanks" dxfId="1730" priority="429">
      <formula>LEN(TRIM(C6))=0</formula>
    </cfRule>
  </conditionalFormatting>
  <conditionalFormatting sqref="H16:AA24 H6:AA6">
    <cfRule type="cellIs" dxfId="1729" priority="427" operator="equal">
      <formula>0</formula>
    </cfRule>
  </conditionalFormatting>
  <conditionalFormatting sqref="G16:G24">
    <cfRule type="cellIs" dxfId="1728" priority="425" operator="equal">
      <formula>0</formula>
    </cfRule>
    <cfRule type="containsBlanks" dxfId="1727" priority="426">
      <formula>LEN(TRIM(G16))=0</formula>
    </cfRule>
  </conditionalFormatting>
  <conditionalFormatting sqref="H5:AA5">
    <cfRule type="containsBlanks" dxfId="1726" priority="424">
      <formula>LEN(TRIM(H5))=0</formula>
    </cfRule>
  </conditionalFormatting>
  <conditionalFormatting sqref="G5">
    <cfRule type="containsBlanks" dxfId="1725" priority="423">
      <formula>LEN(TRIM(G5))=0</formula>
    </cfRule>
  </conditionalFormatting>
  <conditionalFormatting sqref="F6:G6">
    <cfRule type="containsBlanks" dxfId="1724" priority="422">
      <formula>LEN(TRIM(F6))=0</formula>
    </cfRule>
  </conditionalFormatting>
  <conditionalFormatting sqref="H15:AA15">
    <cfRule type="containsBlanks" dxfId="1723" priority="421">
      <formula>LEN(TRIM(H15))=0</formula>
    </cfRule>
  </conditionalFormatting>
  <conditionalFormatting sqref="D5">
    <cfRule type="containsBlanks" dxfId="1722" priority="376">
      <formula>LEN(TRIM(D5))=0</formula>
    </cfRule>
  </conditionalFormatting>
  <conditionalFormatting sqref="C5">
    <cfRule type="containsBlanks" dxfId="1721" priority="125">
      <formula>LEN(TRIM(C5))=0</formula>
    </cfRule>
  </conditionalFormatting>
  <conditionalFormatting sqref="D15">
    <cfRule type="containsBlanks" dxfId="1720" priority="122">
      <formula>LEN(TRIM(D15))=0</formula>
    </cfRule>
  </conditionalFormatting>
  <conditionalFormatting sqref="G9:AA9 G11:AA11">
    <cfRule type="containsBlanks" dxfId="1719" priority="69">
      <formula>LEN(TRIM(G9))=0</formula>
    </cfRule>
  </conditionalFormatting>
  <conditionalFormatting sqref="G9:AA9 G11:AA11">
    <cfRule type="cellIs" dxfId="1718" priority="68" operator="equal">
      <formula>0</formula>
    </cfRule>
  </conditionalFormatting>
  <conditionalFormatting sqref="G7:AA8">
    <cfRule type="containsBlanks" dxfId="1717" priority="65">
      <formula>LEN(TRIM(G7))=0</formula>
    </cfRule>
  </conditionalFormatting>
  <conditionalFormatting sqref="G7:AA8">
    <cfRule type="cellIs" dxfId="1716" priority="64" operator="equal">
      <formula>0</formula>
    </cfRule>
  </conditionalFormatting>
  <conditionalFormatting sqref="A5">
    <cfRule type="containsBlanks" dxfId="1715" priority="57">
      <formula>LEN(TRIM(A5))=0</formula>
    </cfRule>
  </conditionalFormatting>
  <conditionalFormatting sqref="F7:F8">
    <cfRule type="containsBlanks" dxfId="1714" priority="60">
      <formula>LEN(TRIM(F7))=0</formula>
    </cfRule>
  </conditionalFormatting>
  <conditionalFormatting sqref="B5">
    <cfRule type="containsBlanks" dxfId="1713" priority="53">
      <formula>LEN(TRIM(B5))=0</formula>
    </cfRule>
  </conditionalFormatting>
  <conditionalFormatting sqref="A7:E8">
    <cfRule type="containsBlanks" dxfId="1712" priority="50">
      <formula>LEN(TRIM(A7))=0</formula>
    </cfRule>
  </conditionalFormatting>
  <conditionalFormatting sqref="E5">
    <cfRule type="containsBlanks" dxfId="1711" priority="36">
      <formula>LEN(TRIM(E5))=0</formula>
    </cfRule>
  </conditionalFormatting>
  <conditionalFormatting sqref="F5">
    <cfRule type="containsBlanks" dxfId="1710" priority="35">
      <formula>LEN(TRIM(F5))=0</formula>
    </cfRule>
  </conditionalFormatting>
  <conditionalFormatting sqref="A6">
    <cfRule type="containsBlanks" dxfId="1709" priority="26">
      <formula>LEN(TRIM(A6))=0</formula>
    </cfRule>
  </conditionalFormatting>
  <conditionalFormatting sqref="B6">
    <cfRule type="containsBlanks" dxfId="1708" priority="25">
      <formula>LEN(TRIM(B6))=0</formula>
    </cfRule>
  </conditionalFormatting>
  <conditionalFormatting sqref="E6">
    <cfRule type="containsBlanks" dxfId="1707" priority="11">
      <formula>LEN(TRIM(E6))=0</formula>
    </cfRule>
  </conditionalFormatting>
  <conditionalFormatting sqref="C6">
    <cfRule type="containsBlanks" dxfId="1706" priority="10">
      <formula>LEN(TRIM(C6))=0</formula>
    </cfRule>
  </conditionalFormatting>
  <conditionalFormatting sqref="D6">
    <cfRule type="containsBlanks" dxfId="1705" priority="8">
      <formula>LEN(TRIM(D6))=0</formula>
    </cfRule>
  </conditionalFormatting>
  <conditionalFormatting sqref="G10">
    <cfRule type="containsBlanks" dxfId="1704" priority="5">
      <formula>LEN(TRIM(G10))=0</formula>
    </cfRule>
  </conditionalFormatting>
  <conditionalFormatting sqref="H10:O10 Z10:AA10">
    <cfRule type="containsBlanks" dxfId="1703" priority="4">
      <formula>LEN(TRIM(H10))=0</formula>
    </cfRule>
  </conditionalFormatting>
  <conditionalFormatting sqref="H10:O10 Z10:AA10">
    <cfRule type="cellIs" dxfId="1702" priority="3" operator="equal">
      <formula>0</formula>
    </cfRule>
  </conditionalFormatting>
  <conditionalFormatting sqref="P10:Y10">
    <cfRule type="containsBlanks" dxfId="1701" priority="2">
      <formula>LEN(TRIM(P10))=0</formula>
    </cfRule>
  </conditionalFormatting>
  <conditionalFormatting sqref="P10:Y10">
    <cfRule type="cellIs" dxfId="1700" priority="1" operator="equal">
      <formula>0</formula>
    </cfRule>
  </conditionalFormatting>
  <dataValidations count="1">
    <dataValidation type="list" allowBlank="1" showInputMessage="1" showErrorMessage="1" sqref="E27:E28 E16:E24" xr:uid="{FCC0F3C7-45DC-4C23-B7A0-E2CFD4411432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29</xdr:row>
                    <xdr:rowOff>142875</xdr:rowOff>
                  </from>
                  <to>
                    <xdr:col>3</xdr:col>
                    <xdr:colOff>1619250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B026C-132A-4232-A96D-F6E526212E0D}">
  <sheetPr codeName="Hoja3">
    <tabColor theme="1" tint="4.9989318521683403E-2"/>
  </sheetPr>
  <dimension ref="A3:Y43"/>
  <sheetViews>
    <sheetView topLeftCell="C1" workbookViewId="0">
      <selection activeCell="M34" sqref="M34"/>
    </sheetView>
  </sheetViews>
  <sheetFormatPr baseColWidth="10" defaultRowHeight="15" x14ac:dyDescent="0.25"/>
  <cols>
    <col min="2" max="2" width="63.140625" bestFit="1" customWidth="1"/>
    <col min="6" max="6" width="11.85546875" bestFit="1" customWidth="1"/>
  </cols>
  <sheetData>
    <row r="3" spans="1:25" ht="15.75" thickBot="1" x14ac:dyDescent="0.3"/>
    <row r="4" spans="1:25" x14ac:dyDescent="0.25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4"/>
    </row>
    <row r="5" spans="1:25" x14ac:dyDescent="0.25">
      <c r="A5" s="35" t="s">
        <v>95</v>
      </c>
      <c r="B5" s="36" t="s">
        <v>121</v>
      </c>
      <c r="C5" s="36" t="s">
        <v>96</v>
      </c>
      <c r="D5" s="36" t="s">
        <v>41</v>
      </c>
      <c r="E5" s="36" t="s">
        <v>159</v>
      </c>
      <c r="F5" s="36" t="s">
        <v>3</v>
      </c>
      <c r="G5" s="36" t="s">
        <v>4</v>
      </c>
      <c r="H5" s="36" t="s">
        <v>5</v>
      </c>
      <c r="I5" s="36" t="s">
        <v>6</v>
      </c>
      <c r="J5" s="36" t="s">
        <v>7</v>
      </c>
      <c r="K5" s="36" t="s">
        <v>8</v>
      </c>
      <c r="L5" s="36" t="s">
        <v>9</v>
      </c>
      <c r="M5" s="36" t="s">
        <v>10</v>
      </c>
      <c r="N5" s="36" t="s">
        <v>11</v>
      </c>
      <c r="O5" s="36" t="s">
        <v>12</v>
      </c>
      <c r="P5" s="36" t="s">
        <v>13</v>
      </c>
      <c r="Q5" s="36" t="s">
        <v>14</v>
      </c>
      <c r="R5" s="36" t="s">
        <v>15</v>
      </c>
      <c r="S5" s="36" t="s">
        <v>16</v>
      </c>
      <c r="T5" s="36" t="s">
        <v>17</v>
      </c>
      <c r="U5" s="36" t="s">
        <v>18</v>
      </c>
      <c r="V5" s="36" t="s">
        <v>19</v>
      </c>
      <c r="W5" s="36" t="s">
        <v>20</v>
      </c>
      <c r="X5" s="36" t="s">
        <v>21</v>
      </c>
      <c r="Y5" s="37" t="s">
        <v>22</v>
      </c>
    </row>
    <row r="6" spans="1:25" ht="15.75" thickBot="1" x14ac:dyDescent="0.3">
      <c r="A6" s="38" t="str">
        <f>IF('Verificación de Formulación'!A6="","",'Verificación de Formulación'!A6)</f>
        <v>OP111</v>
      </c>
      <c r="B6" s="39" t="str">
        <f>IF('Verificación de Formulación'!B6="","",'Verificación de Formulación'!B6)</f>
        <v>21-05-2025</v>
      </c>
      <c r="C6" s="39">
        <f>IF('Verificación de Formulación'!C6="","",'Verificación de Formulación'!C6)</f>
        <v>82</v>
      </c>
      <c r="D6" s="39" t="str">
        <f>IF('Verificación de Formulación'!F6="","",'Verificación de Formulación'!F6)</f>
        <v>82210525</v>
      </c>
      <c r="E6" s="40">
        <f>IF('Verificación de Formulación'!G6=0,"",'Verificación de Formulación'!G6)</f>
        <v>0.47899999999999998</v>
      </c>
      <c r="F6" s="40" t="str">
        <f>IF('Verificación de Formulación'!H6=0,"",'Verificación de Formulación'!H6)</f>
        <v/>
      </c>
      <c r="G6" s="40">
        <f>IF('Verificación de Formulación'!I6=0,"",'Verificación de Formulación'!I6)</f>
        <v>0.22600000000000001</v>
      </c>
      <c r="H6" s="40">
        <f>IF('Verificación de Formulación'!J6=0,"",'Verificación de Formulación'!J6)</f>
        <v>1.4E-2</v>
      </c>
      <c r="I6" s="40" t="str">
        <f>IF('Verificación de Formulación'!K6=0,"",'Verificación de Formulación'!K6)</f>
        <v/>
      </c>
      <c r="J6" s="40" t="str">
        <f>IF('Verificación de Formulación'!L6=0,"",'Verificación de Formulación'!L6)</f>
        <v/>
      </c>
      <c r="K6" s="40">
        <f>IF('Verificación de Formulación'!M6=0,"",'Verificación de Formulación'!M6)</f>
        <v>0.21199999999999999</v>
      </c>
      <c r="L6" s="40">
        <f>IF('Verificación de Formulación'!N6=0,"",'Verificación de Formulación'!N6)</f>
        <v>3.6999999999999998E-2</v>
      </c>
      <c r="M6" s="40">
        <f>IF('Verificación de Formulación'!O6=0,"",'Verificación de Formulación'!O6)</f>
        <v>0.216</v>
      </c>
      <c r="N6" s="40">
        <f>IF('Verificación de Formulación'!P6=0,"",'Verificación de Formulación'!P6)</f>
        <v>1.7999999999999999E-2</v>
      </c>
      <c r="O6" s="40">
        <f>IF('Verificación de Formulación'!Q6=0,"",'Verificación de Formulación'!Q6)</f>
        <v>1.7999999999999999E-2</v>
      </c>
      <c r="P6" s="40">
        <f>IF('Verificación de Formulación'!R6=0,"",'Verificación de Formulación'!R6)</f>
        <v>4.0000000000000001E-3</v>
      </c>
      <c r="Q6" s="40" t="str">
        <f>IF('Verificación de Formulación'!S6=0,"",'Verificación de Formulación'!S6)</f>
        <v/>
      </c>
      <c r="R6" s="40" t="str">
        <f>IF('Verificación de Formulación'!T6=0,"",'Verificación de Formulación'!T6)</f>
        <v/>
      </c>
      <c r="S6" s="40" t="str">
        <f>IF('Verificación de Formulación'!U6=0,"",'Verificación de Formulación'!U6)</f>
        <v/>
      </c>
      <c r="T6" s="40" t="str">
        <f>IF('Verificación de Formulación'!V6=0,"",'Verificación de Formulación'!V6)</f>
        <v/>
      </c>
      <c r="U6" s="40" t="str">
        <f>IF('Verificación de Formulación'!W6=0,"",'Verificación de Formulación'!W6)</f>
        <v/>
      </c>
      <c r="V6" s="40" t="str">
        <f>IF('Verificación de Formulación'!X6=0,"",'Verificación de Formulación'!X6)</f>
        <v/>
      </c>
      <c r="W6" s="40">
        <f>IF('Verificación de Formulación'!Y6=0,"",'Verificación de Formulación'!Y6)</f>
        <v>1.4E-2</v>
      </c>
      <c r="X6" s="40" t="str">
        <f>IF('Verificación de Formulación'!Z6=0,"",'Verificación de Formulación'!Z6)</f>
        <v/>
      </c>
      <c r="Y6" s="41" t="str">
        <f>IF('Verificación de Formulación'!AA6=0,"",'Verificación de Formulación'!AA6)</f>
        <v/>
      </c>
    </row>
    <row r="7" spans="1:25" ht="15.75" thickBot="1" x14ac:dyDescent="0.3"/>
    <row r="8" spans="1:25" ht="20.25" x14ac:dyDescent="0.45">
      <c r="A8" s="24"/>
      <c r="B8" s="25" t="s">
        <v>97</v>
      </c>
      <c r="C8" s="25"/>
      <c r="D8" s="25"/>
      <c r="E8" s="25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3"/>
    </row>
    <row r="9" spans="1:25" x14ac:dyDescent="0.25">
      <c r="A9" s="27"/>
      <c r="B9" s="28" t="s">
        <v>158</v>
      </c>
      <c r="C9" s="28"/>
      <c r="D9" s="28"/>
      <c r="E9" s="28"/>
      <c r="F9" s="44"/>
      <c r="G9" s="44">
        <f>IF('Verificación de Formulación'!I10=0,"",((-0.0005*100*100*'Verificación de Formulación'!I$10*'Verificación de Formulación'!I$10+0.0413*100*'Verificación de Formulación'!I$10+0.6533)/100))</f>
        <v>1.3733000000000002E-2</v>
      </c>
      <c r="H9" s="44"/>
      <c r="I9" s="44"/>
      <c r="J9" s="44"/>
      <c r="K9" s="44"/>
      <c r="L9" s="44">
        <f>IF('Verificación de Formulación'!N10=0,"",((-0.0005*100*100*'Verificación de Formulación'!N$10*'Verificación de Formulación'!N$10+0.0413*100*'Verificación de Formulación'!N$10+0.6533)/100))</f>
        <v>8.1049999999999994E-3</v>
      </c>
      <c r="M9" s="44">
        <f>IF('Verificación de Formulación'!O10=0,"",((-0.0007*10000*'Verificación de Formulación'!O$10*'Verificación de Formulación'!O$10+0.0769*100*'Verificación de Formulación'!O$10+0.3941)/100))</f>
        <v>1.8364999999999999E-2</v>
      </c>
      <c r="N9" s="44" t="str">
        <f>IF(N10&gt;N12,N12,N10)</f>
        <v/>
      </c>
      <c r="O9" s="44" t="str">
        <f t="shared" ref="O9:Y9" si="0">IF(O10&gt;O12,O12,O10)</f>
        <v/>
      </c>
      <c r="P9" s="44" t="str">
        <f t="shared" si="0"/>
        <v/>
      </c>
      <c r="Q9" s="44" t="str">
        <f t="shared" si="0"/>
        <v/>
      </c>
      <c r="R9" s="44" t="str">
        <f t="shared" si="0"/>
        <v/>
      </c>
      <c r="S9" s="44" t="str">
        <f t="shared" si="0"/>
        <v/>
      </c>
      <c r="T9" s="44" t="str">
        <f t="shared" si="0"/>
        <v/>
      </c>
      <c r="U9" s="44" t="str">
        <f t="shared" si="0"/>
        <v/>
      </c>
      <c r="V9" s="44" t="str">
        <f t="shared" si="0"/>
        <v/>
      </c>
      <c r="W9" s="44"/>
      <c r="X9" s="44" t="str">
        <f t="shared" si="0"/>
        <v/>
      </c>
      <c r="Y9" s="44" t="str">
        <f t="shared" si="0"/>
        <v/>
      </c>
    </row>
    <row r="10" spans="1:25" ht="17.25" x14ac:dyDescent="0.3">
      <c r="A10" s="27"/>
      <c r="B10" s="28" t="s">
        <v>98</v>
      </c>
      <c r="C10" s="28"/>
      <c r="D10" s="28"/>
      <c r="E10" s="28"/>
      <c r="F10" s="44"/>
      <c r="G10" s="44" t="str">
        <f>IF('Verificación de Formulación'!I10=0,"",IF(OR('Verificación de Formulación'!I10&lt;4.001%,'Verificación de Formulación'!I10&gt;32.001%),"SI","NO"))</f>
        <v>NO</v>
      </c>
      <c r="H10" s="44"/>
      <c r="I10" s="44"/>
      <c r="J10" s="44"/>
      <c r="K10" s="44"/>
      <c r="L10" s="44" t="str">
        <f>IF('Verificación de Formulación'!N10=0,"",IF(OR('Verificación de Formulación'!N10&lt;4.001%,'Verificación de Formulación'!N10&gt;32.001%),"SI","NO"))</f>
        <v>SI</v>
      </c>
      <c r="M10" s="44" t="str">
        <f>IF('Verificación de Formulación'!O10=0,"",IF(OR('Verificación de Formulación'!O10&lt;4.001%,'Verificación de Formulación'!O10&gt;32.001%),"SI","NO"))</f>
        <v>NO</v>
      </c>
      <c r="N10" s="44" t="str">
        <f>IF('Verificación de Formulación'!P10=0,"",((0.42+0.105*100*'Verificación de Formulación'!P$10)/100))</f>
        <v/>
      </c>
      <c r="O10" s="44" t="str">
        <f>IF('Verificación de Formulación'!Q10=0,"",((0.5+0.125*100*'Verificación de Formulación'!Q$10)/100))</f>
        <v/>
      </c>
      <c r="P10" s="44" t="str">
        <f>IF('Verificación de Formulación'!R10=0,"",((0.3+0.075*100*'Verificación de Formulación'!R$10)/100))</f>
        <v/>
      </c>
      <c r="Q10" s="44" t="str">
        <f>IF('Verificación de Formulación'!S10=0,"",((0.005+0.25*100*'Verificación de Formulación'!S$10)/100))</f>
        <v/>
      </c>
      <c r="R10" s="44" t="str">
        <f>IF('Verificación de Formulación'!T10=0,"",((0.000125+0.375*100*'Verificación de Formulación'!T$10)/100))</f>
        <v/>
      </c>
      <c r="S10" s="44" t="str">
        <f>IF('Verificación de Formulación'!U10=0,"",((0.015+0.3*100*'Verificación de Formulación'!U$10)/100))</f>
        <v/>
      </c>
      <c r="T10" s="44" t="str">
        <f>IF('Verificación de Formulación'!V10=0,"",((0.015+0.3*100*'Verificación de Formulación'!V$10)/100))</f>
        <v/>
      </c>
      <c r="U10" s="44" t="str">
        <f>IF('Verificación de Formulación'!W10=0,"",((0.015+0.3*100*'Verificación de Formulación'!W$10)/100))</f>
        <v/>
      </c>
      <c r="V10" s="44" t="str">
        <f>IF('Verificación de Formulación'!X10=0,"",((0.000125+0.375*100*'Verificación de Formulación'!X$10)/100))</f>
        <v/>
      </c>
      <c r="W10" s="44"/>
      <c r="X10" s="44" t="str">
        <f>IF('Verificación de Formulación'!Z10=0,"",((0.015+0.3*100*'Verificación de Formulación'!Z$10)/100))</f>
        <v/>
      </c>
      <c r="Y10" s="45" t="str">
        <f>IF('Verificación de Formulación'!AA10=0,"",((0.015+0.3*100*'Verificación de Formulación'!AA$10)/100))</f>
        <v/>
      </c>
    </row>
    <row r="11" spans="1:25" ht="17.25" x14ac:dyDescent="0.3">
      <c r="A11" s="27"/>
      <c r="B11" s="28" t="s">
        <v>99</v>
      </c>
      <c r="C11" s="28"/>
      <c r="D11" s="28"/>
      <c r="E11" s="28"/>
      <c r="F11" s="44"/>
      <c r="G11" s="44"/>
      <c r="H11" s="44"/>
      <c r="I11" s="44"/>
      <c r="J11" s="44"/>
      <c r="K11" s="44"/>
      <c r="L11" s="44"/>
      <c r="M11" s="44"/>
      <c r="N11" s="44" t="str">
        <f>IF('Verificación de Formulación'!P10=0,"",IF(OR(N10&gt;'Verificación de Formulación'!P10/2,N10&gt;1.501%),"SI","NO"))</f>
        <v/>
      </c>
      <c r="O11" s="44" t="str">
        <f>IF('Verificación de Formulación'!Q6=0,"",IF(OR(O10&gt;'Verificación de Formulación'!Q6/2,O10&gt;1.501%),"SI","NO"))</f>
        <v>SI</v>
      </c>
      <c r="P11" s="44" t="str">
        <f>IF('Verificación de Formulación'!R6=0,"",IF(OR(P10&gt;'Verificación de Formulación'!R6/2,P10&gt;1.501%),"SI","NO"))</f>
        <v>SI</v>
      </c>
      <c r="Q11" s="44" t="str">
        <f>IF('Verificación de Formulación'!S6=0,"",IF(OR(Q10&gt;'Verificación de Formulación'!S6/2,Q10&gt;1.501%),"SI","NO"))</f>
        <v/>
      </c>
      <c r="R11" s="44" t="str">
        <f>IF('Verificación de Formulación'!T6=0,"",IF(OR(R10&gt;'Verificación de Formulación'!T6/2,R10&gt;1.501%),"SI","NO"))</f>
        <v/>
      </c>
      <c r="S11" s="44" t="str">
        <f>IF('Verificación de Formulación'!U6=0,"",IF(OR(S10&gt;'Verificación de Formulación'!U6/2,S10&gt;1.501%),"SI","NO"))</f>
        <v/>
      </c>
      <c r="T11" s="44" t="str">
        <f>IF('Verificación de Formulación'!V6=0,"",IF(OR(T10&gt;'Verificación de Formulación'!V6/2,T10&gt;1.501%),"SI","NO"))</f>
        <v/>
      </c>
      <c r="U11" s="44" t="str">
        <f>IF('Verificación de Formulación'!W6=0,"",IF(OR(U10&gt;'Verificación de Formulación'!W6/2,U10&gt;1.501%),"SI","NO"))</f>
        <v/>
      </c>
      <c r="V11" s="44" t="str">
        <f>IF('Verificación de Formulación'!X6=0,"",IF(OR(V10&gt;'Verificación de Formulación'!X6/2,V10&gt;1.501%),"SI","NO"))</f>
        <v/>
      </c>
      <c r="W11" s="44"/>
      <c r="X11" s="44" t="str">
        <f>IF('Verificación de Formulación'!Z6=0,"",IF(OR(X10&gt;'Verificación de Formulación'!Z6/2,X10&gt;1.501%),"SI","NO"))</f>
        <v/>
      </c>
      <c r="Y11" s="45" t="str">
        <f>IF('Verificación de Formulación'!AA6=0,"",IF(OR(Y10&gt;'Verificación de Formulación'!AA6/2,Y10&gt;1.501%),"SI","NO"))</f>
        <v/>
      </c>
    </row>
    <row r="12" spans="1:25" x14ac:dyDescent="0.25">
      <c r="A12" s="27"/>
      <c r="B12" s="28" t="s">
        <v>100</v>
      </c>
      <c r="C12" s="28"/>
      <c r="D12" s="28"/>
      <c r="E12" s="28"/>
      <c r="F12" s="44"/>
      <c r="G12" s="44">
        <f>IF('Verificación de Formulación'!I10=0,"",IF(G10="NO",G9,IF('Verificación de Formulación'!I10&lt;4%,0.81%,1.46%)))</f>
        <v>1.3733000000000002E-2</v>
      </c>
      <c r="H12" s="44"/>
      <c r="I12" s="44"/>
      <c r="J12" s="44"/>
      <c r="K12" s="44"/>
      <c r="L12" s="44">
        <f>IF('Verificación de Formulación'!N10=0,"",IF(L10="NO",L9,IF('Verificación de Formulación'!N10&lt;4%,0.81%,1.46%)))</f>
        <v>1.46E-2</v>
      </c>
      <c r="M12" s="44">
        <f>IF('Verificación de Formulación'!O10=0,"",IF(M10="NO",M9,IF('Verificación de Formulación'!O10&lt;4%,0.69%,2.14%)))</f>
        <v>1.8364999999999999E-2</v>
      </c>
      <c r="N12" s="44" t="str">
        <f>IF('Verificación de Formulación'!P10=0,"",IF(N11="NO",N10,1.5%))</f>
        <v/>
      </c>
      <c r="O12" s="44" t="str">
        <f>IF('Verificación de Formulación'!Q10=0,"",IF(O11="NO",O10,1.5%))</f>
        <v/>
      </c>
      <c r="P12" s="44" t="str">
        <f>IF('Verificación de Formulación'!R10=0,"",IF(P11="NO",P10,1.5%))</f>
        <v/>
      </c>
      <c r="Q12" s="44" t="str">
        <f>IF('Verificación de Formulación'!S10=0,"",IF(Q10="NO",Q9,1.5%))</f>
        <v/>
      </c>
      <c r="R12" s="44" t="str">
        <f>IF('Verificación de Formulación'!T10=0,"",IF(R10="NO",R9,1.5%))</f>
        <v/>
      </c>
      <c r="S12" s="44" t="str">
        <f>IF('Verificación de Formulación'!U10=0,"",IF(S10="NO",S9,1.5%))</f>
        <v/>
      </c>
      <c r="T12" s="44" t="str">
        <f>IF('Verificación de Formulación'!V10=0,"",IF(T10="NO",T9,1.5%))</f>
        <v/>
      </c>
      <c r="U12" s="44" t="str">
        <f>IF('Verificación de Formulación'!W10=0,"",IF(U10="NO",U9,1.5%))</f>
        <v/>
      </c>
      <c r="V12" s="44" t="str">
        <f>IF('Verificación de Formulación'!X10=0,"",IF(V10="NO",V9,1.5%))</f>
        <v/>
      </c>
      <c r="W12" s="44"/>
      <c r="X12" s="44" t="str">
        <f>IF('Verificación de Formulación'!Z10=0,"",IF(X10="NO",X9,1.5%))</f>
        <v/>
      </c>
      <c r="Y12" s="45" t="str">
        <f>IF('Verificación de Formulación'!AA10=0,"",IF(Y10="NO",Y9,1.5%))</f>
        <v/>
      </c>
    </row>
    <row r="13" spans="1:25" ht="15.75" thickBot="1" x14ac:dyDescent="0.3">
      <c r="A13" s="30"/>
      <c r="B13" s="31"/>
      <c r="C13" s="31"/>
      <c r="D13" s="31"/>
      <c r="E13" s="31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7"/>
    </row>
    <row r="14" spans="1:25" ht="15.75" thickBot="1" x14ac:dyDescent="0.3">
      <c r="N14" s="18"/>
      <c r="O14" s="18"/>
      <c r="P14" s="18"/>
    </row>
    <row r="15" spans="1:25" x14ac:dyDescent="0.25">
      <c r="A15" s="24"/>
      <c r="B15" s="25" t="s">
        <v>101</v>
      </c>
      <c r="C15" s="25"/>
      <c r="D15" s="25"/>
      <c r="E15" s="78" t="str">
        <f>IF(E16=0,"",E16-5%)</f>
        <v/>
      </c>
      <c r="F15" s="42" t="str">
        <f>IF('Verificación de Formulación'!H10=0,"",F16-F9)</f>
        <v/>
      </c>
      <c r="G15" s="42">
        <f>IF('Verificación de Formulación'!I10=0,"",G16-G9)</f>
        <v>0.236267</v>
      </c>
      <c r="H15" s="42" t="str">
        <f>IF('Verificación de Formulación'!J10=0,"",H16-H9)</f>
        <v/>
      </c>
      <c r="I15" s="42" t="str">
        <f>IF('Verificación de Formulación'!K10=0,"",I16-I9)</f>
        <v/>
      </c>
      <c r="J15" s="42" t="str">
        <f>IF('Verificación de Formulación'!L10=0,"",J16-J9)</f>
        <v/>
      </c>
      <c r="K15" s="42" t="str">
        <f>IF('Verificación de Formulación'!M10=0,"",K16-K9)</f>
        <v/>
      </c>
      <c r="L15" s="42">
        <f>IF('Verificación de Formulación'!N10=0,"",L16-L9)</f>
        <v>3.1895E-2</v>
      </c>
      <c r="M15" s="42">
        <f>IF('Verificación de Formulación'!O10=0,"",M16-M9)</f>
        <v>0.221635</v>
      </c>
      <c r="N15" s="42" t="str">
        <f>IF('Verificación de Formulación'!P10=0,"",N16-N9)</f>
        <v/>
      </c>
      <c r="O15" s="42" t="str">
        <f>IF('Verificación de Formulación'!Q10=0,"",O16-O9)</f>
        <v/>
      </c>
      <c r="P15" s="42" t="str">
        <f>IF('Verificación de Formulación'!R10=0,"",P16-P9)</f>
        <v/>
      </c>
      <c r="Q15" s="42" t="str">
        <f>IF('Verificación de Formulación'!S10=0,"",Q16-Q9)</f>
        <v/>
      </c>
      <c r="R15" s="42" t="str">
        <f>IF('Verificación de Formulación'!T10=0,"",R16-R9)</f>
        <v/>
      </c>
      <c r="S15" s="42" t="str">
        <f>IF('Verificación de Formulación'!U10=0,"",S16-S9)</f>
        <v/>
      </c>
      <c r="T15" s="42" t="str">
        <f>IF('Verificación de Formulación'!V10=0,"",T16-T9)</f>
        <v/>
      </c>
      <c r="U15" s="42" t="str">
        <f>IF('Verificación de Formulación'!W10=0,"",U16-U9)</f>
        <v/>
      </c>
      <c r="V15" s="42" t="str">
        <f>IF('Verificación de Formulación'!X10=0,"",V16-V9)</f>
        <v/>
      </c>
      <c r="W15" s="42" t="str">
        <f>IF('Verificación de Formulación'!Y10="","","ST")</f>
        <v/>
      </c>
      <c r="X15" s="42" t="str">
        <f>IF('Verificación de Formulación'!Z10=0,"",X16-X9)</f>
        <v/>
      </c>
      <c r="Y15" s="42" t="str">
        <f>IF('Verificación de Formulación'!AA10=0,"",Y16-Y9)</f>
        <v/>
      </c>
    </row>
    <row r="16" spans="1:25" x14ac:dyDescent="0.25">
      <c r="A16" s="27"/>
      <c r="B16" s="28" t="str">
        <f>IF('Verificación de Formulación'!C10="","",'Verificación de Formulación'!C10)</f>
        <v>FORMULA FT</v>
      </c>
      <c r="C16" s="28" t="str">
        <f>IF('Verificación de Formulación'!D10="","",'Verificación de Formulación'!D10)</f>
        <v>MF 25-4-24</v>
      </c>
      <c r="D16" s="28"/>
      <c r="E16" s="29">
        <f>IF('Verificación de Formulación'!G10="",0%,'Verificación de Formulación'!G10)</f>
        <v>0</v>
      </c>
      <c r="F16" s="29">
        <f>IF('Verificación de Formulación'!H10="",0%,'Verificación de Formulación'!H10)</f>
        <v>0</v>
      </c>
      <c r="G16" s="29">
        <f>IF('Verificación de Formulación'!I10="",0%,'Verificación de Formulación'!I10)</f>
        <v>0.25</v>
      </c>
      <c r="H16" s="29">
        <f>IF('Verificación de Formulación'!J10="",0%,'Verificación de Formulación'!J10)</f>
        <v>0</v>
      </c>
      <c r="I16" s="29">
        <f>IF('Verificación de Formulación'!K10="",0%,'Verificación de Formulación'!K10)</f>
        <v>0</v>
      </c>
      <c r="J16" s="29">
        <f>IF('Verificación de Formulación'!L10="",0%,'Verificación de Formulación'!L10)</f>
        <v>0</v>
      </c>
      <c r="K16" s="29">
        <f>IF('Verificación de Formulación'!M10="",0%,'Verificación de Formulación'!M10)</f>
        <v>0</v>
      </c>
      <c r="L16" s="29">
        <f>IF('Verificación de Formulación'!N10="",0%,'Verificación de Formulación'!N10)</f>
        <v>0.04</v>
      </c>
      <c r="M16" s="29">
        <f>IF('Verificación de Formulación'!O10="",0%,'Verificación de Formulación'!O10)</f>
        <v>0.24</v>
      </c>
      <c r="N16" s="29">
        <f>IF('Verificación de Formulación'!P10="",0%,'Verificación de Formulación'!P10)</f>
        <v>0</v>
      </c>
      <c r="O16" s="29">
        <f>IF('Verificación de Formulación'!Q10="",0%,'Verificación de Formulación'!Q10)</f>
        <v>0</v>
      </c>
      <c r="P16" s="29">
        <f>IF('Verificación de Formulación'!R10="",0%,'Verificación de Formulación'!R10)</f>
        <v>0</v>
      </c>
      <c r="Q16" s="29">
        <f>IF('Verificación de Formulación'!S10="",0%,'Verificación de Formulación'!S10)</f>
        <v>0</v>
      </c>
      <c r="R16" s="29">
        <f>IF('Verificación de Formulación'!T10="",0%,'Verificación de Formulación'!T10)</f>
        <v>0</v>
      </c>
      <c r="S16" s="29">
        <f>IF('Verificación de Formulación'!U10="",0%,'Verificación de Formulación'!U10)</f>
        <v>0</v>
      </c>
      <c r="T16" s="29">
        <f>IF('Verificación de Formulación'!V10="",0%,'Verificación de Formulación'!V10)</f>
        <v>0</v>
      </c>
      <c r="U16" s="29">
        <f>IF('Verificación de Formulación'!W10="",0%,'Verificación de Formulación'!W10)</f>
        <v>0</v>
      </c>
      <c r="V16" s="29">
        <f>IF('Verificación de Formulación'!X10="",0%,'Verificación de Formulación'!X10)</f>
        <v>0</v>
      </c>
      <c r="W16" s="29">
        <f>IF('Verificación de Formulación'!Y10="",0%,'Verificación de Formulación'!Y10)</f>
        <v>0</v>
      </c>
      <c r="X16" s="29">
        <f>IF('Verificación de Formulación'!Z10="",0%,'Verificación de Formulación'!Z10)</f>
        <v>0</v>
      </c>
      <c r="Y16" s="29">
        <f>IF('Verificación de Formulación'!AA10="",0%,'Verificación de Formulación'!AA10)</f>
        <v>0</v>
      </c>
    </row>
    <row r="17" spans="1:25" x14ac:dyDescent="0.25">
      <c r="A17" s="27"/>
      <c r="B17" s="28" t="s">
        <v>102</v>
      </c>
      <c r="C17" s="28"/>
      <c r="D17" s="28"/>
      <c r="E17" s="79" t="str">
        <f>IF(E16=0,"",E16+5%)</f>
        <v/>
      </c>
      <c r="F17" s="44" t="str">
        <f>IF('Verificación de Formulación'!H10=0,"",F16+F9)</f>
        <v/>
      </c>
      <c r="G17" s="44">
        <f>IF('Verificación de Formulación'!I10=0,"",G16+G9)</f>
        <v>0.263733</v>
      </c>
      <c r="H17" s="44" t="str">
        <f>IF('Verificación de Formulación'!J10=0,"",H16+H9)</f>
        <v/>
      </c>
      <c r="I17" s="44" t="str">
        <f>IF('Verificación de Formulación'!K10=0,"",I16+I9)</f>
        <v/>
      </c>
      <c r="J17" s="44" t="str">
        <f>IF('Verificación de Formulación'!L10=0,"",J16+J9)</f>
        <v/>
      </c>
      <c r="K17" s="44" t="str">
        <f>IF('Verificación de Formulación'!M10=0,"",K16+K9)</f>
        <v/>
      </c>
      <c r="L17" s="44">
        <f>IF('Verificación de Formulación'!N10=0,"",L16+L9)</f>
        <v>4.8105000000000002E-2</v>
      </c>
      <c r="M17" s="44">
        <f>IF('Verificación de Formulación'!O10=0,"",M16+M9)</f>
        <v>0.25836500000000001</v>
      </c>
      <c r="N17" s="44" t="str">
        <f>IF('Verificación de Formulación'!P10=0,"",N16+N9)</f>
        <v/>
      </c>
      <c r="O17" s="44" t="str">
        <f>IF('Verificación de Formulación'!Q10=0,"",O16+O9)</f>
        <v/>
      </c>
      <c r="P17" s="44" t="str">
        <f>IF('Verificación de Formulación'!R10=0,"",P16+P9)</f>
        <v/>
      </c>
      <c r="Q17" s="44" t="str">
        <f>IF('Verificación de Formulación'!S10=0,"",Q16+Q9)</f>
        <v/>
      </c>
      <c r="R17" s="44" t="str">
        <f>IF('Verificación de Formulación'!T10=0,"",R16+R9)</f>
        <v/>
      </c>
      <c r="S17" s="44" t="str">
        <f>IF('Verificación de Formulación'!U10=0,"",S16+S9)</f>
        <v/>
      </c>
      <c r="T17" s="44" t="str">
        <f>IF('Verificación de Formulación'!V10=0,"",T16+T9)</f>
        <v/>
      </c>
      <c r="U17" s="44" t="str">
        <f>IF('Verificación de Formulación'!W10=0,"",U16+U9)</f>
        <v/>
      </c>
      <c r="V17" s="44" t="str">
        <f>IF('Verificación de Formulación'!X10=0,"",V16+V9)</f>
        <v/>
      </c>
      <c r="W17" s="44" t="str">
        <f>IF('Verificación de Formulación'!Y10="","","ST")</f>
        <v/>
      </c>
      <c r="X17" s="44" t="str">
        <f>IF('Verificación de Formulación'!Z10=0,"",X16+X9)</f>
        <v/>
      </c>
      <c r="Y17" s="44" t="str">
        <f>IF('Verificación de Formulación'!AA10=0,"",Y16+Y9)</f>
        <v/>
      </c>
    </row>
    <row r="18" spans="1:25" x14ac:dyDescent="0.25">
      <c r="A18" s="27"/>
      <c r="B18" s="28" t="s">
        <v>110</v>
      </c>
      <c r="C18" s="28"/>
      <c r="D18" s="28"/>
      <c r="E18" s="74" t="str">
        <f>IF(E$16=0%,"",IF(E$6&gt;=ROUNDUP(E$15,3),"OK","menor"))</f>
        <v/>
      </c>
      <c r="F18" s="74" t="str">
        <f>IF(F$16=0%,"",IF(F$6&lt;ROUNDUP(F$15,3),"MENOR","OK"))</f>
        <v/>
      </c>
      <c r="G18" s="74" t="str">
        <f>IF(G$16=0%,"",IF(G$6&gt;=ROUNDUP(G$15,3),"OK","menor"))</f>
        <v>menor</v>
      </c>
      <c r="H18" s="74" t="str">
        <f>IF(H$16=0%,"",IF(H$6&lt;ROUNDUP(H$15,3),"MENOR","OK"))</f>
        <v/>
      </c>
      <c r="I18" s="74" t="str">
        <f>IF(I$16=0%,"",IF(I$6&lt;ROUNDUP(I$15,3),"MENOR","OK"))</f>
        <v/>
      </c>
      <c r="J18" s="74" t="str">
        <f>IF(J$16=0%,"",IF(J$6&lt;ROUNDUP(J$15,3),"MENOR","OK"))</f>
        <v/>
      </c>
      <c r="K18" s="74" t="str">
        <f>IF(K$16=0%,"",IF(K$6&lt;ROUNDUP(K$15,3),"MENOR","OK"))</f>
        <v/>
      </c>
      <c r="L18" s="74" t="str">
        <f>IF(L$16=0%,"",IF(L$6&lt;ROUNDUP(L$15,3),"MENOR","OK"))</f>
        <v>OK</v>
      </c>
      <c r="M18" s="74" t="str">
        <f>IF(M$16=0%,"",IF(M$6&lt;ROUND(M$15,3),"MENOR","OK"))</f>
        <v>MENOR</v>
      </c>
      <c r="N18" s="74" t="str">
        <f>IF(N$16=0%,"",IF(N$6&lt;ROUND(N$15,3),"MENOR","OK"))</f>
        <v/>
      </c>
      <c r="O18" s="74" t="str">
        <f t="shared" ref="O18:Y18" si="1">IF(O$16=0%,"",IF(O$6&lt;ROUND(O$15,3),"MENOR","OK"))</f>
        <v/>
      </c>
      <c r="P18" s="74" t="str">
        <f t="shared" si="1"/>
        <v/>
      </c>
      <c r="Q18" s="74" t="str">
        <f t="shared" si="1"/>
        <v/>
      </c>
      <c r="R18" s="74" t="str">
        <f t="shared" si="1"/>
        <v/>
      </c>
      <c r="S18" s="74" t="str">
        <f t="shared" si="1"/>
        <v/>
      </c>
      <c r="T18" s="74" t="str">
        <f t="shared" si="1"/>
        <v/>
      </c>
      <c r="U18" s="74" t="str">
        <f t="shared" si="1"/>
        <v/>
      </c>
      <c r="V18" s="74" t="str">
        <f t="shared" si="1"/>
        <v/>
      </c>
      <c r="W18" s="44" t="str">
        <f>IF(W$16="","","ST")</f>
        <v>ST</v>
      </c>
      <c r="X18" s="74" t="str">
        <f t="shared" si="1"/>
        <v/>
      </c>
      <c r="Y18" s="74" t="str">
        <f t="shared" si="1"/>
        <v/>
      </c>
    </row>
    <row r="19" spans="1:25" x14ac:dyDescent="0.25">
      <c r="A19" s="27"/>
      <c r="B19" s="28" t="s">
        <v>111</v>
      </c>
      <c r="C19" s="28"/>
      <c r="D19" s="28"/>
      <c r="E19" s="74" t="str">
        <f>IF(E$16=0%,"",IF(E$6&gt;ROUND(E$17,3),"MAYOR","OK"))</f>
        <v/>
      </c>
      <c r="F19" s="74" t="str">
        <f t="shared" ref="F19:V19" si="2">IF(F$16=0%,"",IF(F$6&gt;ROUND(F$17,3),"MAYOR","OK"))</f>
        <v/>
      </c>
      <c r="G19" s="74" t="str">
        <f t="shared" si="2"/>
        <v>OK</v>
      </c>
      <c r="H19" s="74" t="str">
        <f t="shared" si="2"/>
        <v/>
      </c>
      <c r="I19" s="74" t="str">
        <f t="shared" si="2"/>
        <v/>
      </c>
      <c r="J19" s="74" t="str">
        <f t="shared" si="2"/>
        <v/>
      </c>
      <c r="K19" s="74" t="str">
        <f t="shared" si="2"/>
        <v/>
      </c>
      <c r="L19" s="74" t="str">
        <f t="shared" si="2"/>
        <v>OK</v>
      </c>
      <c r="M19" s="74" t="str">
        <f t="shared" si="2"/>
        <v>OK</v>
      </c>
      <c r="N19" s="74" t="str">
        <f t="shared" si="2"/>
        <v/>
      </c>
      <c r="O19" s="74" t="str">
        <f t="shared" si="2"/>
        <v/>
      </c>
      <c r="P19" s="74" t="str">
        <f t="shared" si="2"/>
        <v/>
      </c>
      <c r="Q19" s="74" t="str">
        <f t="shared" si="2"/>
        <v/>
      </c>
      <c r="R19" s="74" t="str">
        <f t="shared" si="2"/>
        <v/>
      </c>
      <c r="S19" s="74" t="str">
        <f t="shared" si="2"/>
        <v/>
      </c>
      <c r="T19" s="74" t="str">
        <f t="shared" si="2"/>
        <v/>
      </c>
      <c r="U19" s="74" t="str">
        <f t="shared" si="2"/>
        <v/>
      </c>
      <c r="V19" s="74" t="str">
        <f t="shared" si="2"/>
        <v/>
      </c>
      <c r="W19" s="44" t="str">
        <f>IF(W$16="","","ST")</f>
        <v>ST</v>
      </c>
      <c r="X19" s="74" t="str">
        <f>IF(X$16=0%,"",IF(X$6&gt;ROUND(X$17,3),"MAYOR","OK"))</f>
        <v/>
      </c>
      <c r="Y19" s="74" t="str">
        <f>IF(Y$16=0%,"",IF(Y$6&gt;ROUND(Y$17,3),"MAYOR","OK"))</f>
        <v/>
      </c>
    </row>
    <row r="20" spans="1:25" ht="15.75" thickBot="1" x14ac:dyDescent="0.3">
      <c r="A20" s="30"/>
      <c r="B20" s="31" t="s">
        <v>112</v>
      </c>
      <c r="C20" s="31"/>
      <c r="D20" s="31"/>
      <c r="E20" s="75" t="str">
        <f t="shared" ref="E20:O20" si="3">IF(OR(E$18="",E$19=""),"",IF(AND(E18="OK",E19="OK"),"C",IF(E19="MAYOR","MAYOR*","NC")))</f>
        <v/>
      </c>
      <c r="F20" s="75" t="str">
        <f t="shared" si="3"/>
        <v/>
      </c>
      <c r="G20" s="75" t="str">
        <f t="shared" si="3"/>
        <v>NC</v>
      </c>
      <c r="H20" s="75" t="str">
        <f t="shared" si="3"/>
        <v/>
      </c>
      <c r="I20" s="75" t="str">
        <f t="shared" si="3"/>
        <v/>
      </c>
      <c r="J20" s="75" t="str">
        <f t="shared" si="3"/>
        <v/>
      </c>
      <c r="K20" s="75" t="str">
        <f t="shared" si="3"/>
        <v/>
      </c>
      <c r="L20" s="75" t="str">
        <f t="shared" si="3"/>
        <v>C</v>
      </c>
      <c r="M20" s="75" t="str">
        <f t="shared" si="3"/>
        <v>NC</v>
      </c>
      <c r="N20" s="75" t="str">
        <f t="shared" si="3"/>
        <v/>
      </c>
      <c r="O20" s="75" t="str">
        <f t="shared" si="3"/>
        <v/>
      </c>
      <c r="P20" s="46" t="str">
        <f>IF(OR(P$18="",P$19=""),"",IF(AND(P18="OK",P19="OK"),"C",IF(P19="MAYOR","MAYOR*","NC")))</f>
        <v/>
      </c>
      <c r="Q20" s="75" t="str">
        <f t="shared" ref="Q20:V20" si="4">IF(OR(Q$18="",Q$19=""),"",IF(AND(Q18="OK",Q19="OK"),"C",IF(Q19="MAYOR","MAYOR*","NC")))</f>
        <v/>
      </c>
      <c r="R20" s="75" t="str">
        <f t="shared" si="4"/>
        <v/>
      </c>
      <c r="S20" s="75" t="str">
        <f t="shared" si="4"/>
        <v/>
      </c>
      <c r="T20" s="75" t="str">
        <f t="shared" si="4"/>
        <v/>
      </c>
      <c r="U20" s="75" t="str">
        <f t="shared" si="4"/>
        <v/>
      </c>
      <c r="V20" s="75" t="str">
        <f t="shared" si="4"/>
        <v/>
      </c>
      <c r="W20" s="46" t="str">
        <f>IF(W16=0,"",IF(OR(W18="ST",W19="ST"),"C/ST",""))</f>
        <v/>
      </c>
      <c r="X20" s="75" t="str">
        <f t="shared" ref="X20" si="5">IF(OR(X$18="",X$19=""),"",IF(AND(X18="OK",X19="OK"),"C",IF(X19="MAYOR","MAYOR*","NC")))</f>
        <v/>
      </c>
      <c r="Y20" s="75" t="str">
        <f t="shared" ref="Y20" si="6">IF(OR(Y$18="",Y$19=""),"",IF(AND(Y18="OK",Y19="OK"),"C",IF(Y19="MAYOR","MAYOR*","NC")))</f>
        <v/>
      </c>
    </row>
    <row r="21" spans="1:25" x14ac:dyDescent="0.25">
      <c r="L21" s="76"/>
    </row>
    <row r="22" spans="1:25" ht="15.75" thickBot="1" x14ac:dyDescent="0.3"/>
    <row r="23" spans="1:25" x14ac:dyDescent="0.25">
      <c r="A23" s="24" t="str">
        <f>A34</f>
        <v>CODIGO</v>
      </c>
      <c r="B23" s="25" t="str">
        <f>B34</f>
        <v>MATERIA PRIMA</v>
      </c>
      <c r="C23" s="25" t="str">
        <f t="shared" ref="C23:X23" si="7">C34</f>
        <v>CANTIDAD</v>
      </c>
      <c r="D23" s="25" t="str">
        <f t="shared" si="7"/>
        <v>Q</v>
      </c>
      <c r="E23" s="25" t="s">
        <v>159</v>
      </c>
      <c r="F23" s="25" t="str">
        <f t="shared" si="7"/>
        <v>C</v>
      </c>
      <c r="G23" s="25" t="str">
        <f t="shared" si="7"/>
        <v>N</v>
      </c>
      <c r="H23" s="25" t="str">
        <f t="shared" si="7"/>
        <v>N-NH4</v>
      </c>
      <c r="I23" s="25" t="str">
        <f t="shared" si="7"/>
        <v>N-NO3</v>
      </c>
      <c r="J23" s="25" t="str">
        <f t="shared" si="7"/>
        <v>N-org</v>
      </c>
      <c r="K23" s="25" t="str">
        <f t="shared" si="7"/>
        <v>N-ur</v>
      </c>
      <c r="L23" s="25" t="str">
        <f t="shared" si="7"/>
        <v>P</v>
      </c>
      <c r="M23" s="25" t="str">
        <f t="shared" si="7"/>
        <v>K</v>
      </c>
      <c r="N23" s="25" t="str">
        <f t="shared" si="7"/>
        <v>CaO</v>
      </c>
      <c r="O23" s="25" t="str">
        <f t="shared" si="7"/>
        <v>MgO</v>
      </c>
      <c r="P23" s="25" t="str">
        <f t="shared" si="7"/>
        <v>S</v>
      </c>
      <c r="Q23" s="25" t="str">
        <f t="shared" si="7"/>
        <v>B</v>
      </c>
      <c r="R23" s="25" t="str">
        <f t="shared" si="7"/>
        <v>Co</v>
      </c>
      <c r="S23" s="25" t="str">
        <f t="shared" si="7"/>
        <v>Cu</v>
      </c>
      <c r="T23" s="25" t="str">
        <f t="shared" si="7"/>
        <v>Fe</v>
      </c>
      <c r="U23" s="25" t="str">
        <f t="shared" si="7"/>
        <v>Mn</v>
      </c>
      <c r="V23" s="25" t="str">
        <f t="shared" si="7"/>
        <v>Mo</v>
      </c>
      <c r="W23" s="25" t="str">
        <f t="shared" si="7"/>
        <v>SiO2</v>
      </c>
      <c r="X23" s="25" t="str">
        <f t="shared" si="7"/>
        <v>Zn</v>
      </c>
      <c r="Y23" s="26"/>
    </row>
    <row r="24" spans="1:25" x14ac:dyDescent="0.25">
      <c r="A24" s="27">
        <f>A35</f>
        <v>12</v>
      </c>
      <c r="B24" s="28" t="str">
        <f>B35</f>
        <v>UREA_PRECISAGRO_G</v>
      </c>
      <c r="C24" s="28">
        <f t="shared" ref="C24:D24" si="8">C35</f>
        <v>460</v>
      </c>
      <c r="D24" s="28">
        <f t="shared" si="8"/>
        <v>46</v>
      </c>
      <c r="E24" s="28"/>
      <c r="F24" s="44" t="str">
        <f>IF(F35="","",F35*$D35/100)</f>
        <v/>
      </c>
      <c r="G24" s="44">
        <f t="shared" ref="G24:Y31" si="9">IF(G35="","",G35*$D35/100)</f>
        <v>0.21160000000000001</v>
      </c>
      <c r="H24" s="44" t="str">
        <f t="shared" si="9"/>
        <v/>
      </c>
      <c r="I24" s="44" t="str">
        <f t="shared" si="9"/>
        <v/>
      </c>
      <c r="J24" s="44" t="str">
        <f t="shared" si="9"/>
        <v/>
      </c>
      <c r="K24" s="44">
        <f t="shared" si="9"/>
        <v>0.21160000000000001</v>
      </c>
      <c r="L24" s="44" t="str">
        <f t="shared" si="9"/>
        <v/>
      </c>
      <c r="M24" s="44" t="str">
        <f t="shared" si="9"/>
        <v/>
      </c>
      <c r="N24" s="44" t="str">
        <f t="shared" si="9"/>
        <v/>
      </c>
      <c r="O24" s="44" t="str">
        <f t="shared" si="9"/>
        <v/>
      </c>
      <c r="P24" s="44" t="str">
        <f t="shared" si="9"/>
        <v/>
      </c>
      <c r="Q24" s="44" t="str">
        <f t="shared" si="9"/>
        <v/>
      </c>
      <c r="R24" s="44" t="str">
        <f t="shared" si="9"/>
        <v/>
      </c>
      <c r="S24" s="44" t="str">
        <f t="shared" si="9"/>
        <v/>
      </c>
      <c r="T24" s="44" t="str">
        <f t="shared" si="9"/>
        <v/>
      </c>
      <c r="U24" s="44" t="str">
        <f t="shared" si="9"/>
        <v/>
      </c>
      <c r="V24" s="44" t="str">
        <f t="shared" si="9"/>
        <v/>
      </c>
      <c r="W24" s="44" t="str">
        <f t="shared" si="9"/>
        <v/>
      </c>
      <c r="X24" s="44" t="str">
        <f t="shared" si="9"/>
        <v/>
      </c>
      <c r="Y24" s="45" t="str">
        <f t="shared" si="9"/>
        <v/>
      </c>
    </row>
    <row r="25" spans="1:25" x14ac:dyDescent="0.25">
      <c r="A25" s="27">
        <f t="shared" ref="A25:A31" si="10">A36</f>
        <v>65</v>
      </c>
      <c r="B25" s="28" t="str">
        <f t="shared" ref="B25:D25" si="11">B36</f>
        <v>NUCLEO 4_CALFERQUIM_G</v>
      </c>
      <c r="C25" s="28">
        <f t="shared" si="11"/>
        <v>100</v>
      </c>
      <c r="D25" s="28">
        <f t="shared" si="11"/>
        <v>10</v>
      </c>
      <c r="E25" s="28"/>
      <c r="F25" s="44" t="str">
        <f t="shared" ref="F25:U31" si="12">IF(F36="","",F36*$D36/100)</f>
        <v/>
      </c>
      <c r="G25" s="44" t="str">
        <f t="shared" si="12"/>
        <v/>
      </c>
      <c r="H25" s="44" t="str">
        <f t="shared" si="12"/>
        <v/>
      </c>
      <c r="I25" s="44" t="str">
        <f t="shared" si="12"/>
        <v/>
      </c>
      <c r="J25" s="44" t="str">
        <f t="shared" si="12"/>
        <v/>
      </c>
      <c r="K25" s="44" t="str">
        <f t="shared" si="12"/>
        <v/>
      </c>
      <c r="L25" s="44" t="str">
        <f t="shared" si="12"/>
        <v/>
      </c>
      <c r="M25" s="44" t="str">
        <f t="shared" si="12"/>
        <v/>
      </c>
      <c r="N25" s="44">
        <f t="shared" si="12"/>
        <v>1.7999999999999999E-2</v>
      </c>
      <c r="O25" s="44">
        <f t="shared" si="12"/>
        <v>1.7999999999999999E-2</v>
      </c>
      <c r="P25" s="44">
        <f t="shared" si="12"/>
        <v>4.0000000000000001E-3</v>
      </c>
      <c r="Q25" s="44" t="str">
        <f t="shared" si="12"/>
        <v/>
      </c>
      <c r="R25" s="44" t="str">
        <f t="shared" si="12"/>
        <v/>
      </c>
      <c r="S25" s="44" t="str">
        <f t="shared" si="12"/>
        <v/>
      </c>
      <c r="T25" s="44" t="str">
        <f t="shared" si="12"/>
        <v/>
      </c>
      <c r="U25" s="44" t="str">
        <f t="shared" si="12"/>
        <v/>
      </c>
      <c r="V25" s="44" t="str">
        <f t="shared" si="9"/>
        <v/>
      </c>
      <c r="W25" s="44">
        <f t="shared" si="9"/>
        <v>1.4000000000000002E-2</v>
      </c>
      <c r="X25" s="44" t="str">
        <f t="shared" si="9"/>
        <v/>
      </c>
      <c r="Y25" s="45" t="str">
        <f t="shared" si="9"/>
        <v/>
      </c>
    </row>
    <row r="26" spans="1:25" x14ac:dyDescent="0.25">
      <c r="A26" s="27">
        <f t="shared" si="10"/>
        <v>97</v>
      </c>
      <c r="B26" s="28" t="str">
        <f t="shared" ref="B26:D26" si="13">B37</f>
        <v>DAP_NUTRICION PLANTAS_G</v>
      </c>
      <c r="C26" s="28">
        <f t="shared" si="13"/>
        <v>80</v>
      </c>
      <c r="D26" s="28">
        <f t="shared" si="13"/>
        <v>8</v>
      </c>
      <c r="E26" s="28"/>
      <c r="F26" s="44" t="str">
        <f t="shared" si="12"/>
        <v/>
      </c>
      <c r="G26" s="44">
        <f t="shared" si="9"/>
        <v>1.44E-2</v>
      </c>
      <c r="H26" s="44">
        <f t="shared" si="9"/>
        <v>1.44E-2</v>
      </c>
      <c r="I26" s="44" t="str">
        <f t="shared" si="9"/>
        <v/>
      </c>
      <c r="J26" s="44" t="str">
        <f t="shared" si="9"/>
        <v/>
      </c>
      <c r="K26" s="44" t="str">
        <f t="shared" si="9"/>
        <v/>
      </c>
      <c r="L26" s="44">
        <f t="shared" si="9"/>
        <v>3.6799999999999999E-2</v>
      </c>
      <c r="M26" s="44" t="str">
        <f t="shared" si="9"/>
        <v/>
      </c>
      <c r="N26" s="44" t="str">
        <f t="shared" si="9"/>
        <v/>
      </c>
      <c r="O26" s="44" t="str">
        <f t="shared" si="9"/>
        <v/>
      </c>
      <c r="P26" s="44" t="str">
        <f t="shared" si="9"/>
        <v/>
      </c>
      <c r="Q26" s="44" t="str">
        <f t="shared" si="9"/>
        <v/>
      </c>
      <c r="R26" s="44" t="str">
        <f t="shared" si="9"/>
        <v/>
      </c>
      <c r="S26" s="44" t="str">
        <f t="shared" si="9"/>
        <v/>
      </c>
      <c r="T26" s="44" t="str">
        <f t="shared" si="9"/>
        <v/>
      </c>
      <c r="U26" s="44" t="str">
        <f t="shared" si="9"/>
        <v/>
      </c>
      <c r="V26" s="44" t="str">
        <f t="shared" si="9"/>
        <v/>
      </c>
      <c r="W26" s="44" t="str">
        <f t="shared" si="9"/>
        <v/>
      </c>
      <c r="X26" s="44" t="str">
        <f t="shared" si="9"/>
        <v/>
      </c>
      <c r="Y26" s="45" t="str">
        <f t="shared" si="9"/>
        <v/>
      </c>
    </row>
    <row r="27" spans="1:25" x14ac:dyDescent="0.25">
      <c r="A27" s="27">
        <f t="shared" si="10"/>
        <v>144</v>
      </c>
      <c r="B27" s="28" t="str">
        <f t="shared" ref="B27:D27" si="14">B38</f>
        <v>KCL_SQM_G</v>
      </c>
      <c r="C27" s="28">
        <f t="shared" si="14"/>
        <v>360</v>
      </c>
      <c r="D27" s="28">
        <f t="shared" si="14"/>
        <v>36</v>
      </c>
      <c r="E27" s="28"/>
      <c r="F27" s="44" t="str">
        <f t="shared" si="12"/>
        <v/>
      </c>
      <c r="G27" s="44" t="str">
        <f t="shared" si="9"/>
        <v/>
      </c>
      <c r="H27" s="44" t="str">
        <f t="shared" si="9"/>
        <v/>
      </c>
      <c r="I27" s="44" t="str">
        <f t="shared" si="9"/>
        <v/>
      </c>
      <c r="J27" s="44" t="str">
        <f t="shared" si="9"/>
        <v/>
      </c>
      <c r="K27" s="44" t="str">
        <f t="shared" si="9"/>
        <v/>
      </c>
      <c r="L27" s="44" t="str">
        <f t="shared" si="9"/>
        <v/>
      </c>
      <c r="M27" s="44">
        <f t="shared" si="9"/>
        <v>0.21599999999999997</v>
      </c>
      <c r="N27" s="44" t="str">
        <f t="shared" si="9"/>
        <v/>
      </c>
      <c r="O27" s="44" t="str">
        <f t="shared" si="9"/>
        <v/>
      </c>
      <c r="P27" s="44" t="str">
        <f t="shared" si="9"/>
        <v/>
      </c>
      <c r="Q27" s="44" t="str">
        <f t="shared" si="9"/>
        <v/>
      </c>
      <c r="R27" s="44" t="str">
        <f t="shared" si="9"/>
        <v/>
      </c>
      <c r="S27" s="44" t="str">
        <f t="shared" si="9"/>
        <v/>
      </c>
      <c r="T27" s="44" t="str">
        <f t="shared" si="9"/>
        <v/>
      </c>
      <c r="U27" s="44" t="str">
        <f t="shared" si="9"/>
        <v/>
      </c>
      <c r="V27" s="44" t="str">
        <f t="shared" si="9"/>
        <v/>
      </c>
      <c r="W27" s="44" t="str">
        <f t="shared" si="9"/>
        <v/>
      </c>
      <c r="X27" s="44" t="str">
        <f t="shared" si="9"/>
        <v/>
      </c>
      <c r="Y27" s="45" t="str">
        <f t="shared" si="9"/>
        <v/>
      </c>
    </row>
    <row r="28" spans="1:25" x14ac:dyDescent="0.25">
      <c r="A28" s="27" t="str">
        <f t="shared" si="10"/>
        <v/>
      </c>
      <c r="B28" s="28" t="str">
        <f t="shared" ref="B28:D28" si="15">B39</f>
        <v/>
      </c>
      <c r="C28" s="28" t="str">
        <f t="shared" si="15"/>
        <v/>
      </c>
      <c r="D28" s="28" t="str">
        <f t="shared" si="15"/>
        <v/>
      </c>
      <c r="E28" s="28"/>
      <c r="F28" s="44" t="str">
        <f t="shared" si="12"/>
        <v/>
      </c>
      <c r="G28" s="44" t="str">
        <f t="shared" si="9"/>
        <v/>
      </c>
      <c r="H28" s="44" t="str">
        <f t="shared" si="9"/>
        <v/>
      </c>
      <c r="I28" s="44" t="str">
        <f t="shared" si="9"/>
        <v/>
      </c>
      <c r="J28" s="44" t="str">
        <f t="shared" si="9"/>
        <v/>
      </c>
      <c r="K28" s="44" t="str">
        <f t="shared" si="9"/>
        <v/>
      </c>
      <c r="L28" s="44" t="str">
        <f t="shared" si="9"/>
        <v/>
      </c>
      <c r="M28" s="44" t="str">
        <f t="shared" si="9"/>
        <v/>
      </c>
      <c r="N28" s="44" t="str">
        <f t="shared" si="9"/>
        <v/>
      </c>
      <c r="O28" s="44" t="str">
        <f t="shared" si="9"/>
        <v/>
      </c>
      <c r="P28" s="44" t="str">
        <f t="shared" si="9"/>
        <v/>
      </c>
      <c r="Q28" s="44" t="str">
        <f t="shared" si="9"/>
        <v/>
      </c>
      <c r="R28" s="44" t="str">
        <f t="shared" si="9"/>
        <v/>
      </c>
      <c r="S28" s="44" t="str">
        <f t="shared" si="9"/>
        <v/>
      </c>
      <c r="T28" s="44" t="str">
        <f t="shared" si="9"/>
        <v/>
      </c>
      <c r="U28" s="44" t="str">
        <f t="shared" si="9"/>
        <v/>
      </c>
      <c r="V28" s="44" t="str">
        <f t="shared" si="9"/>
        <v/>
      </c>
      <c r="W28" s="44" t="str">
        <f t="shared" si="9"/>
        <v/>
      </c>
      <c r="X28" s="44" t="str">
        <f t="shared" si="9"/>
        <v/>
      </c>
      <c r="Y28" s="45" t="str">
        <f t="shared" si="9"/>
        <v/>
      </c>
    </row>
    <row r="29" spans="1:25" x14ac:dyDescent="0.25">
      <c r="A29" s="27" t="str">
        <f t="shared" si="10"/>
        <v/>
      </c>
      <c r="B29" s="28" t="str">
        <f t="shared" ref="B29:D29" si="16">B40</f>
        <v/>
      </c>
      <c r="C29" s="28" t="str">
        <f t="shared" si="16"/>
        <v/>
      </c>
      <c r="D29" s="28" t="str">
        <f t="shared" si="16"/>
        <v/>
      </c>
      <c r="E29" s="28"/>
      <c r="F29" s="44" t="str">
        <f t="shared" si="12"/>
        <v/>
      </c>
      <c r="G29" s="44" t="str">
        <f t="shared" si="9"/>
        <v/>
      </c>
      <c r="H29" s="44" t="str">
        <f t="shared" si="9"/>
        <v/>
      </c>
      <c r="I29" s="44" t="str">
        <f t="shared" si="9"/>
        <v/>
      </c>
      <c r="J29" s="44" t="str">
        <f t="shared" si="9"/>
        <v/>
      </c>
      <c r="K29" s="44" t="str">
        <f t="shared" si="9"/>
        <v/>
      </c>
      <c r="L29" s="44" t="str">
        <f t="shared" si="9"/>
        <v/>
      </c>
      <c r="M29" s="44" t="str">
        <f t="shared" si="9"/>
        <v/>
      </c>
      <c r="N29" s="44" t="str">
        <f t="shared" si="9"/>
        <v/>
      </c>
      <c r="O29" s="44" t="str">
        <f t="shared" si="9"/>
        <v/>
      </c>
      <c r="P29" s="44" t="str">
        <f t="shared" si="9"/>
        <v/>
      </c>
      <c r="Q29" s="44" t="str">
        <f t="shared" si="9"/>
        <v/>
      </c>
      <c r="R29" s="44" t="str">
        <f t="shared" si="9"/>
        <v/>
      </c>
      <c r="S29" s="44" t="str">
        <f t="shared" si="9"/>
        <v/>
      </c>
      <c r="T29" s="44" t="str">
        <f t="shared" si="9"/>
        <v/>
      </c>
      <c r="U29" s="44" t="str">
        <f t="shared" si="9"/>
        <v/>
      </c>
      <c r="V29" s="44" t="str">
        <f t="shared" si="9"/>
        <v/>
      </c>
      <c r="W29" s="44" t="str">
        <f t="shared" si="9"/>
        <v/>
      </c>
      <c r="X29" s="44" t="str">
        <f t="shared" si="9"/>
        <v/>
      </c>
      <c r="Y29" s="45" t="str">
        <f t="shared" si="9"/>
        <v/>
      </c>
    </row>
    <row r="30" spans="1:25" x14ac:dyDescent="0.25">
      <c r="A30" s="27" t="str">
        <f t="shared" si="10"/>
        <v/>
      </c>
      <c r="B30" s="28" t="str">
        <f t="shared" ref="B30:D30" si="17">B41</f>
        <v/>
      </c>
      <c r="C30" s="28" t="str">
        <f t="shared" si="17"/>
        <v/>
      </c>
      <c r="D30" s="28" t="str">
        <f t="shared" si="17"/>
        <v/>
      </c>
      <c r="E30" s="28"/>
      <c r="F30" s="44" t="str">
        <f t="shared" si="12"/>
        <v/>
      </c>
      <c r="G30" s="44" t="str">
        <f t="shared" si="9"/>
        <v/>
      </c>
      <c r="H30" s="44" t="str">
        <f t="shared" si="9"/>
        <v/>
      </c>
      <c r="I30" s="44" t="str">
        <f t="shared" si="9"/>
        <v/>
      </c>
      <c r="J30" s="44" t="str">
        <f t="shared" si="9"/>
        <v/>
      </c>
      <c r="K30" s="44" t="str">
        <f t="shared" si="9"/>
        <v/>
      </c>
      <c r="L30" s="44" t="str">
        <f t="shared" si="9"/>
        <v/>
      </c>
      <c r="M30" s="44" t="str">
        <f t="shared" si="9"/>
        <v/>
      </c>
      <c r="N30" s="44" t="str">
        <f t="shared" si="9"/>
        <v/>
      </c>
      <c r="O30" s="44" t="str">
        <f t="shared" si="9"/>
        <v/>
      </c>
      <c r="P30" s="44" t="str">
        <f t="shared" si="9"/>
        <v/>
      </c>
      <c r="Q30" s="44" t="str">
        <f t="shared" si="9"/>
        <v/>
      </c>
      <c r="R30" s="44" t="str">
        <f t="shared" si="9"/>
        <v/>
      </c>
      <c r="S30" s="44" t="str">
        <f t="shared" si="9"/>
        <v/>
      </c>
      <c r="T30" s="44" t="str">
        <f t="shared" si="9"/>
        <v/>
      </c>
      <c r="U30" s="44" t="str">
        <f t="shared" si="9"/>
        <v/>
      </c>
      <c r="V30" s="44" t="str">
        <f t="shared" si="9"/>
        <v/>
      </c>
      <c r="W30" s="44" t="str">
        <f t="shared" si="9"/>
        <v/>
      </c>
      <c r="X30" s="44" t="str">
        <f t="shared" si="9"/>
        <v/>
      </c>
      <c r="Y30" s="45" t="str">
        <f t="shared" si="9"/>
        <v/>
      </c>
    </row>
    <row r="31" spans="1:25" x14ac:dyDescent="0.25">
      <c r="A31" s="27" t="str">
        <f t="shared" si="10"/>
        <v/>
      </c>
      <c r="B31" s="28" t="str">
        <f t="shared" ref="B31:D31" si="18">B42</f>
        <v/>
      </c>
      <c r="C31" s="28" t="str">
        <f t="shared" si="18"/>
        <v/>
      </c>
      <c r="D31" s="28" t="str">
        <f t="shared" si="18"/>
        <v/>
      </c>
      <c r="E31" s="28"/>
      <c r="F31" s="44" t="str">
        <f t="shared" si="12"/>
        <v/>
      </c>
      <c r="G31" s="44" t="str">
        <f t="shared" si="9"/>
        <v/>
      </c>
      <c r="H31" s="44" t="str">
        <f t="shared" si="9"/>
        <v/>
      </c>
      <c r="I31" s="44" t="str">
        <f t="shared" si="9"/>
        <v/>
      </c>
      <c r="J31" s="44" t="str">
        <f t="shared" si="9"/>
        <v/>
      </c>
      <c r="K31" s="44" t="str">
        <f t="shared" si="9"/>
        <v/>
      </c>
      <c r="L31" s="44" t="str">
        <f t="shared" si="9"/>
        <v/>
      </c>
      <c r="M31" s="44" t="str">
        <f t="shared" si="9"/>
        <v/>
      </c>
      <c r="N31" s="44" t="str">
        <f t="shared" si="9"/>
        <v/>
      </c>
      <c r="O31" s="44" t="str">
        <f t="shared" si="9"/>
        <v/>
      </c>
      <c r="P31" s="44" t="str">
        <f t="shared" si="9"/>
        <v/>
      </c>
      <c r="Q31" s="44" t="str">
        <f t="shared" si="9"/>
        <v/>
      </c>
      <c r="R31" s="44" t="str">
        <f t="shared" si="9"/>
        <v/>
      </c>
      <c r="S31" s="44" t="str">
        <f t="shared" si="9"/>
        <v/>
      </c>
      <c r="T31" s="44" t="str">
        <f t="shared" si="9"/>
        <v/>
      </c>
      <c r="U31" s="44" t="str">
        <f t="shared" si="9"/>
        <v/>
      </c>
      <c r="V31" s="44" t="str">
        <f t="shared" si="9"/>
        <v/>
      </c>
      <c r="W31" s="44" t="str">
        <f t="shared" si="9"/>
        <v/>
      </c>
      <c r="X31" s="44" t="str">
        <f t="shared" si="9"/>
        <v/>
      </c>
      <c r="Y31" s="45" t="str">
        <f t="shared" si="9"/>
        <v/>
      </c>
    </row>
    <row r="32" spans="1:25" ht="15.75" thickBot="1" x14ac:dyDescent="0.3">
      <c r="A32" s="30" t="str">
        <f>A43</f>
        <v/>
      </c>
      <c r="B32" s="31" t="str">
        <f>B43</f>
        <v/>
      </c>
      <c r="C32" s="31" t="str">
        <f t="shared" ref="C32:D32" si="19">C43</f>
        <v/>
      </c>
      <c r="D32" s="31" t="str">
        <f t="shared" si="19"/>
        <v/>
      </c>
      <c r="E32" s="31"/>
      <c r="F32" s="46" t="str">
        <f>IF(F43="","",F43*$D43/100)</f>
        <v/>
      </c>
      <c r="G32" s="46" t="str">
        <f t="shared" ref="G32:Y32" si="20">IF(G43="","",G43*$D43/100)</f>
        <v/>
      </c>
      <c r="H32" s="46" t="str">
        <f t="shared" si="20"/>
        <v/>
      </c>
      <c r="I32" s="46" t="str">
        <f t="shared" si="20"/>
        <v/>
      </c>
      <c r="J32" s="46" t="str">
        <f t="shared" si="20"/>
        <v/>
      </c>
      <c r="K32" s="46" t="str">
        <f t="shared" si="20"/>
        <v/>
      </c>
      <c r="L32" s="46" t="str">
        <f t="shared" si="20"/>
        <v/>
      </c>
      <c r="M32" s="46" t="str">
        <f t="shared" si="20"/>
        <v/>
      </c>
      <c r="N32" s="46" t="str">
        <f t="shared" si="20"/>
        <v/>
      </c>
      <c r="O32" s="46" t="str">
        <f t="shared" si="20"/>
        <v/>
      </c>
      <c r="P32" s="46" t="str">
        <f t="shared" si="20"/>
        <v/>
      </c>
      <c r="Q32" s="46" t="str">
        <f t="shared" si="20"/>
        <v/>
      </c>
      <c r="R32" s="46" t="str">
        <f t="shared" si="20"/>
        <v/>
      </c>
      <c r="S32" s="46" t="str">
        <f t="shared" si="20"/>
        <v/>
      </c>
      <c r="T32" s="46" t="str">
        <f t="shared" si="20"/>
        <v/>
      </c>
      <c r="U32" s="46" t="str">
        <f t="shared" si="20"/>
        <v/>
      </c>
      <c r="V32" s="46" t="str">
        <f t="shared" si="20"/>
        <v/>
      </c>
      <c r="W32" s="46" t="str">
        <f t="shared" si="20"/>
        <v/>
      </c>
      <c r="X32" s="46" t="str">
        <f t="shared" si="20"/>
        <v/>
      </c>
      <c r="Y32" s="47" t="str">
        <f t="shared" si="20"/>
        <v/>
      </c>
    </row>
    <row r="33" spans="1:25" ht="15.75" thickBot="1" x14ac:dyDescent="0.3"/>
    <row r="34" spans="1:25" x14ac:dyDescent="0.25">
      <c r="A34" s="32" t="s">
        <v>96</v>
      </c>
      <c r="B34" s="33" t="s">
        <v>0</v>
      </c>
      <c r="C34" s="33" t="s">
        <v>35</v>
      </c>
      <c r="D34" s="33" t="s">
        <v>37</v>
      </c>
      <c r="E34" s="33" t="s">
        <v>159</v>
      </c>
      <c r="F34" s="33" t="s">
        <v>3</v>
      </c>
      <c r="G34" s="33" t="s">
        <v>4</v>
      </c>
      <c r="H34" s="33" t="s">
        <v>5</v>
      </c>
      <c r="I34" s="33" t="s">
        <v>6</v>
      </c>
      <c r="J34" s="33" t="s">
        <v>7</v>
      </c>
      <c r="K34" s="33" t="s">
        <v>8</v>
      </c>
      <c r="L34" s="33" t="s">
        <v>9</v>
      </c>
      <c r="M34" s="33" t="s">
        <v>10</v>
      </c>
      <c r="N34" s="33" t="s">
        <v>11</v>
      </c>
      <c r="O34" s="33" t="s">
        <v>12</v>
      </c>
      <c r="P34" s="33" t="s">
        <v>13</v>
      </c>
      <c r="Q34" s="33" t="s">
        <v>14</v>
      </c>
      <c r="R34" s="33" t="s">
        <v>15</v>
      </c>
      <c r="S34" s="33" t="s">
        <v>16</v>
      </c>
      <c r="T34" s="33" t="s">
        <v>17</v>
      </c>
      <c r="U34" s="33" t="s">
        <v>18</v>
      </c>
      <c r="V34" s="33" t="s">
        <v>19</v>
      </c>
      <c r="W34" s="33" t="s">
        <v>20</v>
      </c>
      <c r="X34" s="33" t="s">
        <v>21</v>
      </c>
      <c r="Y34" s="34" t="s">
        <v>22</v>
      </c>
    </row>
    <row r="35" spans="1:25" x14ac:dyDescent="0.25">
      <c r="A35" s="35">
        <f>IF(OR('Verificación de Formulación'!D16="",'Verificación de Formulación'!D16=0),"",'Verificación de Formulación'!D16)</f>
        <v>12</v>
      </c>
      <c r="B35" s="36" t="str">
        <f>IF(OR('Verificación de Formulación'!E16="",'Verificación de Formulación'!E16=0),"",'Verificación de Formulación'!E16)</f>
        <v>UREA_PRECISAGRO_G</v>
      </c>
      <c r="C35" s="36">
        <f>IF(OR('Verificación de Formulación'!F16="",'Verificación de Formulación'!F16=0),"",'Verificación de Formulación'!F16)</f>
        <v>460</v>
      </c>
      <c r="D35" s="36">
        <f>IF(OR('Verificación de Formulación'!G16="",'Verificación de Formulación'!G16=0),"",'Verificación de Formulación'!G16)</f>
        <v>46</v>
      </c>
      <c r="E35" s="36"/>
      <c r="F35" s="48" t="str">
        <f>IF(OR('Verificación de Formulación'!H16="",'Verificación de Formulación'!H16=0),"",'Verificación de Formulación'!H16)</f>
        <v/>
      </c>
      <c r="G35" s="48">
        <f>IF(OR('Verificación de Formulación'!I16="",'Verificación de Formulación'!I16=0),"",'Verificación de Formulación'!I16)</f>
        <v>0.46</v>
      </c>
      <c r="H35" s="48" t="str">
        <f>IF(OR('Verificación de Formulación'!J16="",'Verificación de Formulación'!J16=0),"",'Verificación de Formulación'!J16)</f>
        <v/>
      </c>
      <c r="I35" s="48" t="str">
        <f>IF(OR('Verificación de Formulación'!K16="",'Verificación de Formulación'!K16=0),"",'Verificación de Formulación'!K16)</f>
        <v/>
      </c>
      <c r="J35" s="48" t="str">
        <f>IF(OR('Verificación de Formulación'!L16="",'Verificación de Formulación'!L16=0),"",'Verificación de Formulación'!L16)</f>
        <v/>
      </c>
      <c r="K35" s="48">
        <f>IF(OR('Verificación de Formulación'!M16="",'Verificación de Formulación'!M16=0),"",'Verificación de Formulación'!M16)</f>
        <v>0.46</v>
      </c>
      <c r="L35" s="48" t="str">
        <f>IF(OR('Verificación de Formulación'!N16="",'Verificación de Formulación'!N16=0),"",'Verificación de Formulación'!N16)</f>
        <v/>
      </c>
      <c r="M35" s="48" t="str">
        <f>IF(OR('Verificación de Formulación'!O16="",'Verificación de Formulación'!O16=0),"",'Verificación de Formulación'!O16)</f>
        <v/>
      </c>
      <c r="N35" s="48" t="str">
        <f>IF(OR('Verificación de Formulación'!P16="",'Verificación de Formulación'!P16=0),"",'Verificación de Formulación'!P16)</f>
        <v/>
      </c>
      <c r="O35" s="48" t="str">
        <f>IF(OR('Verificación de Formulación'!Q16="",'Verificación de Formulación'!Q16=0),"",'Verificación de Formulación'!Q16)</f>
        <v/>
      </c>
      <c r="P35" s="48" t="str">
        <f>IF(OR('Verificación de Formulación'!R16="",'Verificación de Formulación'!R16=0),"",'Verificación de Formulación'!R16)</f>
        <v/>
      </c>
      <c r="Q35" s="48" t="str">
        <f>IF(OR('Verificación de Formulación'!S16="",'Verificación de Formulación'!S16=0),"",'Verificación de Formulación'!S16)</f>
        <v/>
      </c>
      <c r="R35" s="48" t="str">
        <f>IF(OR('Verificación de Formulación'!T16="",'Verificación de Formulación'!T16=0),"",'Verificación de Formulación'!T16)</f>
        <v/>
      </c>
      <c r="S35" s="48" t="str">
        <f>IF(OR('Verificación de Formulación'!U16="",'Verificación de Formulación'!U16=0),"",'Verificación de Formulación'!U16)</f>
        <v/>
      </c>
      <c r="T35" s="48" t="str">
        <f>IF(OR('Verificación de Formulación'!V16="",'Verificación de Formulación'!V16=0),"",'Verificación de Formulación'!V16)</f>
        <v/>
      </c>
      <c r="U35" s="48" t="str">
        <f>IF(OR('Verificación de Formulación'!W16="",'Verificación de Formulación'!W16=0),"",'Verificación de Formulación'!W16)</f>
        <v/>
      </c>
      <c r="V35" s="48" t="str">
        <f>IF(OR('Verificación de Formulación'!X16="",'Verificación de Formulación'!X16=0),"",'Verificación de Formulación'!X16)</f>
        <v/>
      </c>
      <c r="W35" s="48" t="str">
        <f>IF(OR('Verificación de Formulación'!Y16="",'Verificación de Formulación'!Y16=0),"",'Verificación de Formulación'!Y16)</f>
        <v/>
      </c>
      <c r="X35" s="48" t="str">
        <f>IF(OR('Verificación de Formulación'!Z16="",'Verificación de Formulación'!Z16=0),"",'Verificación de Formulación'!Z16)</f>
        <v/>
      </c>
      <c r="Y35" s="49" t="str">
        <f>IF(OR('Verificación de Formulación'!AA16="",'Verificación de Formulación'!AA16=0),"",'Verificación de Formulación'!AA16)</f>
        <v/>
      </c>
    </row>
    <row r="36" spans="1:25" x14ac:dyDescent="0.25">
      <c r="A36" s="35">
        <f>IF(OR('Verificación de Formulación'!D17="",'Verificación de Formulación'!D17=0),"",'Verificación de Formulación'!D17)</f>
        <v>65</v>
      </c>
      <c r="B36" s="36" t="str">
        <f>IF(OR('Verificación de Formulación'!E17="",'Verificación de Formulación'!E17=0),"",'Verificación de Formulación'!E17)</f>
        <v>NUCLEO 4_CALFERQUIM_G</v>
      </c>
      <c r="C36" s="36">
        <f>IF(OR('Verificación de Formulación'!F17="",'Verificación de Formulación'!F17=0),"",'Verificación de Formulación'!F17)</f>
        <v>100</v>
      </c>
      <c r="D36" s="36">
        <f>IF(OR('Verificación de Formulación'!G17="",'Verificación de Formulación'!G17=0),"",'Verificación de Formulación'!G17)</f>
        <v>10</v>
      </c>
      <c r="E36" s="36"/>
      <c r="F36" s="48" t="str">
        <f>IF(OR('Verificación de Formulación'!H17="",'Verificación de Formulación'!H17=0),"",'Verificación de Formulación'!H17)</f>
        <v/>
      </c>
      <c r="G36" s="48" t="str">
        <f>IF(OR('Verificación de Formulación'!I17="",'Verificación de Formulación'!I17=0),"",'Verificación de Formulación'!I17)</f>
        <v/>
      </c>
      <c r="H36" s="48" t="str">
        <f>IF(OR('Verificación de Formulación'!J17="",'Verificación de Formulación'!J17=0),"",'Verificación de Formulación'!J17)</f>
        <v/>
      </c>
      <c r="I36" s="48" t="str">
        <f>IF(OR('Verificación de Formulación'!K17="",'Verificación de Formulación'!K17=0),"",'Verificación de Formulación'!K17)</f>
        <v/>
      </c>
      <c r="J36" s="48" t="str">
        <f>IF(OR('Verificación de Formulación'!L17="",'Verificación de Formulación'!L17=0),"",'Verificación de Formulación'!L17)</f>
        <v/>
      </c>
      <c r="K36" s="48" t="str">
        <f>IF(OR('Verificación de Formulación'!M17="",'Verificación de Formulación'!M17=0),"",'Verificación de Formulación'!M17)</f>
        <v/>
      </c>
      <c r="L36" s="48" t="str">
        <f>IF(OR('Verificación de Formulación'!N17="",'Verificación de Formulación'!N17=0),"",'Verificación de Formulación'!N17)</f>
        <v/>
      </c>
      <c r="M36" s="48" t="str">
        <f>IF(OR('Verificación de Formulación'!O17="",'Verificación de Formulación'!O17=0),"",'Verificación de Formulación'!O17)</f>
        <v/>
      </c>
      <c r="N36" s="48">
        <f>IF(OR('Verificación de Formulación'!P17="",'Verificación de Formulación'!P17=0),"",'Verificación de Formulación'!P17)</f>
        <v>0.18</v>
      </c>
      <c r="O36" s="48">
        <f>IF(OR('Verificación de Formulación'!Q17="",'Verificación de Formulación'!Q17=0),"",'Verificación de Formulación'!Q17)</f>
        <v>0.18</v>
      </c>
      <c r="P36" s="48">
        <f>IF(OR('Verificación de Formulación'!R17="",'Verificación de Formulación'!R17=0),"",'Verificación de Formulación'!R17)</f>
        <v>0.04</v>
      </c>
      <c r="Q36" s="48" t="str">
        <f>IF(OR('Verificación de Formulación'!S17="",'Verificación de Formulación'!S17=0),"",'Verificación de Formulación'!S17)</f>
        <v/>
      </c>
      <c r="R36" s="48" t="str">
        <f>IF(OR('Verificación de Formulación'!T17="",'Verificación de Formulación'!T17=0),"",'Verificación de Formulación'!T17)</f>
        <v/>
      </c>
      <c r="S36" s="48" t="str">
        <f>IF(OR('Verificación de Formulación'!U17="",'Verificación de Formulación'!U17=0),"",'Verificación de Formulación'!U17)</f>
        <v/>
      </c>
      <c r="T36" s="48" t="str">
        <f>IF(OR('Verificación de Formulación'!V17="",'Verificación de Formulación'!V17=0),"",'Verificación de Formulación'!V17)</f>
        <v/>
      </c>
      <c r="U36" s="48" t="str">
        <f>IF(OR('Verificación de Formulación'!W17="",'Verificación de Formulación'!W17=0),"",'Verificación de Formulación'!W17)</f>
        <v/>
      </c>
      <c r="V36" s="48" t="str">
        <f>IF(OR('Verificación de Formulación'!X17="",'Verificación de Formulación'!X17=0),"",'Verificación de Formulación'!X17)</f>
        <v/>
      </c>
      <c r="W36" s="48">
        <f>IF(OR('Verificación de Formulación'!Y17="",'Verificación de Formulación'!Y17=0),"",'Verificación de Formulación'!Y17)</f>
        <v>0.14000000000000001</v>
      </c>
      <c r="X36" s="48" t="str">
        <f>IF(OR('Verificación de Formulación'!Z17="",'Verificación de Formulación'!Z17=0),"",'Verificación de Formulación'!Z17)</f>
        <v/>
      </c>
      <c r="Y36" s="49" t="str">
        <f>IF(OR('Verificación de Formulación'!AA17="",'Verificación de Formulación'!AA17=0),"",'Verificación de Formulación'!AA17)</f>
        <v/>
      </c>
    </row>
    <row r="37" spans="1:25" x14ac:dyDescent="0.25">
      <c r="A37" s="35">
        <f>IF(OR('Verificación de Formulación'!D18="",'Verificación de Formulación'!D18=0),"",'Verificación de Formulación'!D18)</f>
        <v>97</v>
      </c>
      <c r="B37" s="36" t="str">
        <f>IF(OR('Verificación de Formulación'!E18="",'Verificación de Formulación'!E18=0),"",'Verificación de Formulación'!E18)</f>
        <v>DAP_NUTRICION PLANTAS_G</v>
      </c>
      <c r="C37" s="36">
        <f>IF(OR('Verificación de Formulación'!F18="",'Verificación de Formulación'!F18=0),"",'Verificación de Formulación'!F18)</f>
        <v>80</v>
      </c>
      <c r="D37" s="36">
        <f>IF(OR('Verificación de Formulación'!G18="",'Verificación de Formulación'!G18=0),"",'Verificación de Formulación'!G18)</f>
        <v>8</v>
      </c>
      <c r="E37" s="36"/>
      <c r="F37" s="48" t="str">
        <f>IF(OR('Verificación de Formulación'!H18="",'Verificación de Formulación'!H18=0),"",'Verificación de Formulación'!H18)</f>
        <v/>
      </c>
      <c r="G37" s="48">
        <f>IF(OR('Verificación de Formulación'!I18="",'Verificación de Formulación'!I18=0),"",'Verificación de Formulación'!I18)</f>
        <v>0.18</v>
      </c>
      <c r="H37" s="48">
        <f>IF(OR('Verificación de Formulación'!J18="",'Verificación de Formulación'!J18=0),"",'Verificación de Formulación'!J18)</f>
        <v>0.18</v>
      </c>
      <c r="I37" s="48" t="str">
        <f>IF(OR('Verificación de Formulación'!K18="",'Verificación de Formulación'!K18=0),"",'Verificación de Formulación'!K18)</f>
        <v/>
      </c>
      <c r="J37" s="48" t="str">
        <f>IF(OR('Verificación de Formulación'!L18="",'Verificación de Formulación'!L18=0),"",'Verificación de Formulación'!L18)</f>
        <v/>
      </c>
      <c r="K37" s="48" t="str">
        <f>IF(OR('Verificación de Formulación'!M18="",'Verificación de Formulación'!M18=0),"",'Verificación de Formulación'!M18)</f>
        <v/>
      </c>
      <c r="L37" s="48">
        <f>IF(OR('Verificación de Formulación'!N18="",'Verificación de Formulación'!N18=0),"",'Verificación de Formulación'!N18)</f>
        <v>0.46</v>
      </c>
      <c r="M37" s="48" t="str">
        <f>IF(OR('Verificación de Formulación'!O18="",'Verificación de Formulación'!O18=0),"",'Verificación de Formulación'!O18)</f>
        <v/>
      </c>
      <c r="N37" s="48" t="str">
        <f>IF(OR('Verificación de Formulación'!P18="",'Verificación de Formulación'!P18=0),"",'Verificación de Formulación'!P18)</f>
        <v/>
      </c>
      <c r="O37" s="48" t="str">
        <f>IF(OR('Verificación de Formulación'!Q18="",'Verificación de Formulación'!Q18=0),"",'Verificación de Formulación'!Q18)</f>
        <v/>
      </c>
      <c r="P37" s="48" t="str">
        <f>IF(OR('Verificación de Formulación'!R18="",'Verificación de Formulación'!R18=0),"",'Verificación de Formulación'!R18)</f>
        <v/>
      </c>
      <c r="Q37" s="48" t="str">
        <f>IF(OR('Verificación de Formulación'!S18="",'Verificación de Formulación'!S18=0),"",'Verificación de Formulación'!S18)</f>
        <v/>
      </c>
      <c r="R37" s="48" t="str">
        <f>IF(OR('Verificación de Formulación'!T18="",'Verificación de Formulación'!T18=0),"",'Verificación de Formulación'!T18)</f>
        <v/>
      </c>
      <c r="S37" s="48" t="str">
        <f>IF(OR('Verificación de Formulación'!U18="",'Verificación de Formulación'!U18=0),"",'Verificación de Formulación'!U18)</f>
        <v/>
      </c>
      <c r="T37" s="48" t="str">
        <f>IF(OR('Verificación de Formulación'!V18="",'Verificación de Formulación'!V18=0),"",'Verificación de Formulación'!V18)</f>
        <v/>
      </c>
      <c r="U37" s="48" t="str">
        <f>IF(OR('Verificación de Formulación'!W18="",'Verificación de Formulación'!W18=0),"",'Verificación de Formulación'!W18)</f>
        <v/>
      </c>
      <c r="V37" s="48" t="str">
        <f>IF(OR('Verificación de Formulación'!X18="",'Verificación de Formulación'!X18=0),"",'Verificación de Formulación'!X18)</f>
        <v/>
      </c>
      <c r="W37" s="48" t="str">
        <f>IF(OR('Verificación de Formulación'!Y18="",'Verificación de Formulación'!Y18=0),"",'Verificación de Formulación'!Y18)</f>
        <v/>
      </c>
      <c r="X37" s="48" t="str">
        <f>IF(OR('Verificación de Formulación'!Z18="",'Verificación de Formulación'!Z18=0),"",'Verificación de Formulación'!Z18)</f>
        <v/>
      </c>
      <c r="Y37" s="49" t="str">
        <f>IF(OR('Verificación de Formulación'!AA18="",'Verificación de Formulación'!AA18=0),"",'Verificación de Formulación'!AA18)</f>
        <v/>
      </c>
    </row>
    <row r="38" spans="1:25" x14ac:dyDescent="0.25">
      <c r="A38" s="35">
        <f>IF(OR('Verificación de Formulación'!D19="",'Verificación de Formulación'!D19=0),"",'Verificación de Formulación'!D19)</f>
        <v>144</v>
      </c>
      <c r="B38" s="36" t="str">
        <f>IF(OR('Verificación de Formulación'!E19="",'Verificación de Formulación'!E19=0),"",'Verificación de Formulación'!E19)</f>
        <v>KCL_SQM_G</v>
      </c>
      <c r="C38" s="36">
        <f>IF(OR('Verificación de Formulación'!F19="",'Verificación de Formulación'!F19=0),"",'Verificación de Formulación'!F19)</f>
        <v>360</v>
      </c>
      <c r="D38" s="36">
        <f>IF(OR('Verificación de Formulación'!G19="",'Verificación de Formulación'!G19=0),"",'Verificación de Formulación'!G19)</f>
        <v>36</v>
      </c>
      <c r="E38" s="36"/>
      <c r="F38" s="48" t="str">
        <f>IF(OR('Verificación de Formulación'!H19="",'Verificación de Formulación'!H19=0),"",'Verificación de Formulación'!H19)</f>
        <v/>
      </c>
      <c r="G38" s="48" t="str">
        <f>IF(OR('Verificación de Formulación'!I19="",'Verificación de Formulación'!I19=0),"",'Verificación de Formulación'!I19)</f>
        <v/>
      </c>
      <c r="H38" s="48" t="str">
        <f>IF(OR('Verificación de Formulación'!J19="",'Verificación de Formulación'!J19=0),"",'Verificación de Formulación'!J19)</f>
        <v/>
      </c>
      <c r="I38" s="48" t="str">
        <f>IF(OR('Verificación de Formulación'!K19="",'Verificación de Formulación'!K19=0),"",'Verificación de Formulación'!K19)</f>
        <v/>
      </c>
      <c r="J38" s="48" t="str">
        <f>IF(OR('Verificación de Formulación'!L19="",'Verificación de Formulación'!L19=0),"",'Verificación de Formulación'!L19)</f>
        <v/>
      </c>
      <c r="K38" s="48" t="str">
        <f>IF(OR('Verificación de Formulación'!M19="",'Verificación de Formulación'!M19=0),"",'Verificación de Formulación'!M19)</f>
        <v/>
      </c>
      <c r="L38" s="48" t="str">
        <f>IF(OR('Verificación de Formulación'!N19="",'Verificación de Formulación'!N19=0),"",'Verificación de Formulación'!N19)</f>
        <v/>
      </c>
      <c r="M38" s="48">
        <f>IF(OR('Verificación de Formulación'!O19="",'Verificación de Formulación'!O19=0),"",'Verificación de Formulación'!O19)</f>
        <v>0.6</v>
      </c>
      <c r="N38" s="48" t="str">
        <f>IF(OR('Verificación de Formulación'!P19="",'Verificación de Formulación'!P19=0),"",'Verificación de Formulación'!P19)</f>
        <v/>
      </c>
      <c r="O38" s="48" t="str">
        <f>IF(OR('Verificación de Formulación'!Q19="",'Verificación de Formulación'!Q19=0),"",'Verificación de Formulación'!Q19)</f>
        <v/>
      </c>
      <c r="P38" s="48" t="str">
        <f>IF(OR('Verificación de Formulación'!R19="",'Verificación de Formulación'!R19=0),"",'Verificación de Formulación'!R19)</f>
        <v/>
      </c>
      <c r="Q38" s="48" t="str">
        <f>IF(OR('Verificación de Formulación'!S19="",'Verificación de Formulación'!S19=0),"",'Verificación de Formulación'!S19)</f>
        <v/>
      </c>
      <c r="R38" s="48" t="str">
        <f>IF(OR('Verificación de Formulación'!T19="",'Verificación de Formulación'!T19=0),"",'Verificación de Formulación'!T19)</f>
        <v/>
      </c>
      <c r="S38" s="48" t="str">
        <f>IF(OR('Verificación de Formulación'!U19="",'Verificación de Formulación'!U19=0),"",'Verificación de Formulación'!U19)</f>
        <v/>
      </c>
      <c r="T38" s="48" t="str">
        <f>IF(OR('Verificación de Formulación'!V19="",'Verificación de Formulación'!V19=0),"",'Verificación de Formulación'!V19)</f>
        <v/>
      </c>
      <c r="U38" s="48" t="str">
        <f>IF(OR('Verificación de Formulación'!W19="",'Verificación de Formulación'!W19=0),"",'Verificación de Formulación'!W19)</f>
        <v/>
      </c>
      <c r="V38" s="48" t="str">
        <f>IF(OR('Verificación de Formulación'!X19="",'Verificación de Formulación'!X19=0),"",'Verificación de Formulación'!X19)</f>
        <v/>
      </c>
      <c r="W38" s="48" t="str">
        <f>IF(OR('Verificación de Formulación'!Y19="",'Verificación de Formulación'!Y19=0),"",'Verificación de Formulación'!Y19)</f>
        <v/>
      </c>
      <c r="X38" s="48" t="str">
        <f>IF(OR('Verificación de Formulación'!Z19="",'Verificación de Formulación'!Z19=0),"",'Verificación de Formulación'!Z19)</f>
        <v/>
      </c>
      <c r="Y38" s="49" t="str">
        <f>IF(OR('Verificación de Formulación'!AA19="",'Verificación de Formulación'!AA19=0),"",'Verificación de Formulación'!AA19)</f>
        <v/>
      </c>
    </row>
    <row r="39" spans="1:25" x14ac:dyDescent="0.25">
      <c r="A39" s="35" t="str">
        <f>IF(OR('Verificación de Formulación'!D20="",'Verificación de Formulación'!D20=0),"",'Verificación de Formulación'!D20)</f>
        <v/>
      </c>
      <c r="B39" s="36" t="str">
        <f>IF(OR('Verificación de Formulación'!E20="",'Verificación de Formulación'!E20=0),"",'Verificación de Formulación'!E20)</f>
        <v/>
      </c>
      <c r="C39" s="36" t="str">
        <f>IF(OR('Verificación de Formulación'!F20="",'Verificación de Formulación'!F20=0),"",'Verificación de Formulación'!F20)</f>
        <v/>
      </c>
      <c r="D39" s="36" t="str">
        <f>IF(OR('Verificación de Formulación'!G20="",'Verificación de Formulación'!G20=0),"",'Verificación de Formulación'!G20)</f>
        <v/>
      </c>
      <c r="E39" s="36"/>
      <c r="F39" s="48" t="str">
        <f>IF(OR('Verificación de Formulación'!H20="",'Verificación de Formulación'!H20=0),"",'Verificación de Formulación'!H20)</f>
        <v/>
      </c>
      <c r="G39" s="48" t="str">
        <f>IF(OR('Verificación de Formulación'!I20="",'Verificación de Formulación'!I20=0),"",'Verificación de Formulación'!I20)</f>
        <v/>
      </c>
      <c r="H39" s="48" t="str">
        <f>IF(OR('Verificación de Formulación'!J20="",'Verificación de Formulación'!J20=0),"",'Verificación de Formulación'!J20)</f>
        <v/>
      </c>
      <c r="I39" s="48" t="str">
        <f>IF(OR('Verificación de Formulación'!K20="",'Verificación de Formulación'!K20=0),"",'Verificación de Formulación'!K20)</f>
        <v/>
      </c>
      <c r="J39" s="48" t="str">
        <f>IF(OR('Verificación de Formulación'!L20="",'Verificación de Formulación'!L20=0),"",'Verificación de Formulación'!L20)</f>
        <v/>
      </c>
      <c r="K39" s="48" t="str">
        <f>IF(OR('Verificación de Formulación'!M20="",'Verificación de Formulación'!M20=0),"",'Verificación de Formulación'!M20)</f>
        <v/>
      </c>
      <c r="L39" s="48" t="str">
        <f>IF(OR('Verificación de Formulación'!N20="",'Verificación de Formulación'!N20=0),"",'Verificación de Formulación'!N20)</f>
        <v/>
      </c>
      <c r="M39" s="48" t="str">
        <f>IF(OR('Verificación de Formulación'!O20="",'Verificación de Formulación'!O20=0),"",'Verificación de Formulación'!O20)</f>
        <v/>
      </c>
      <c r="N39" s="48" t="str">
        <f>IF(OR('Verificación de Formulación'!P20="",'Verificación de Formulación'!P20=0),"",'Verificación de Formulación'!P20)</f>
        <v/>
      </c>
      <c r="O39" s="48" t="str">
        <f>IF(OR('Verificación de Formulación'!Q20="",'Verificación de Formulación'!Q20=0),"",'Verificación de Formulación'!Q20)</f>
        <v/>
      </c>
      <c r="P39" s="48" t="str">
        <f>IF(OR('Verificación de Formulación'!R20="",'Verificación de Formulación'!R20=0),"",'Verificación de Formulación'!R20)</f>
        <v/>
      </c>
      <c r="Q39" s="48" t="str">
        <f>IF(OR('Verificación de Formulación'!S20="",'Verificación de Formulación'!S20=0),"",'Verificación de Formulación'!S20)</f>
        <v/>
      </c>
      <c r="R39" s="48" t="str">
        <f>IF(OR('Verificación de Formulación'!T20="",'Verificación de Formulación'!T20=0),"",'Verificación de Formulación'!T20)</f>
        <v/>
      </c>
      <c r="S39" s="48" t="str">
        <f>IF(OR('Verificación de Formulación'!U20="",'Verificación de Formulación'!U20=0),"",'Verificación de Formulación'!U20)</f>
        <v/>
      </c>
      <c r="T39" s="48" t="str">
        <f>IF(OR('Verificación de Formulación'!V20="",'Verificación de Formulación'!V20=0),"",'Verificación de Formulación'!V20)</f>
        <v/>
      </c>
      <c r="U39" s="48" t="str">
        <f>IF(OR('Verificación de Formulación'!W20="",'Verificación de Formulación'!W20=0),"",'Verificación de Formulación'!W20)</f>
        <v/>
      </c>
      <c r="V39" s="48" t="str">
        <f>IF(OR('Verificación de Formulación'!X20="",'Verificación de Formulación'!X20=0),"",'Verificación de Formulación'!X20)</f>
        <v/>
      </c>
      <c r="W39" s="48" t="str">
        <f>IF(OR('Verificación de Formulación'!Y20="",'Verificación de Formulación'!Y20=0),"",'Verificación de Formulación'!Y20)</f>
        <v/>
      </c>
      <c r="X39" s="48" t="str">
        <f>IF(OR('Verificación de Formulación'!Z20="",'Verificación de Formulación'!Z20=0),"",'Verificación de Formulación'!Z20)</f>
        <v/>
      </c>
      <c r="Y39" s="49" t="str">
        <f>IF(OR('Verificación de Formulación'!AA20="",'Verificación de Formulación'!AA20=0),"",'Verificación de Formulación'!AA20)</f>
        <v/>
      </c>
    </row>
    <row r="40" spans="1:25" x14ac:dyDescent="0.25">
      <c r="A40" s="35" t="str">
        <f>IF(OR('Verificación de Formulación'!D21="",'Verificación de Formulación'!D21=0),"",'Verificación de Formulación'!D21)</f>
        <v/>
      </c>
      <c r="B40" s="36" t="str">
        <f>IF(OR('Verificación de Formulación'!E21="",'Verificación de Formulación'!E21=0),"",'Verificación de Formulación'!E21)</f>
        <v/>
      </c>
      <c r="C40" s="36" t="str">
        <f>IF(OR('Verificación de Formulación'!F21="",'Verificación de Formulación'!F21=0),"",'Verificación de Formulación'!F21)</f>
        <v/>
      </c>
      <c r="D40" s="36" t="str">
        <f>IF(OR('Verificación de Formulación'!G21="",'Verificación de Formulación'!G21=0),"",'Verificación de Formulación'!G21)</f>
        <v/>
      </c>
      <c r="E40" s="36"/>
      <c r="F40" s="48" t="str">
        <f>IF(OR('Verificación de Formulación'!H21="",'Verificación de Formulación'!H21=0),"",'Verificación de Formulación'!H21)</f>
        <v/>
      </c>
      <c r="G40" s="48" t="str">
        <f>IF(OR('Verificación de Formulación'!I21="",'Verificación de Formulación'!I21=0),"",'Verificación de Formulación'!I21)</f>
        <v/>
      </c>
      <c r="H40" s="48" t="str">
        <f>IF(OR('Verificación de Formulación'!J21="",'Verificación de Formulación'!J21=0),"",'Verificación de Formulación'!J21)</f>
        <v/>
      </c>
      <c r="I40" s="48" t="str">
        <f>IF(OR('Verificación de Formulación'!K21="",'Verificación de Formulación'!K21=0),"",'Verificación de Formulación'!K21)</f>
        <v/>
      </c>
      <c r="J40" s="48" t="str">
        <f>IF(OR('Verificación de Formulación'!L21="",'Verificación de Formulación'!L21=0),"",'Verificación de Formulación'!L21)</f>
        <v/>
      </c>
      <c r="K40" s="48" t="str">
        <f>IF(OR('Verificación de Formulación'!M21="",'Verificación de Formulación'!M21=0),"",'Verificación de Formulación'!M21)</f>
        <v/>
      </c>
      <c r="L40" s="48" t="str">
        <f>IF(OR('Verificación de Formulación'!N21="",'Verificación de Formulación'!N21=0),"",'Verificación de Formulación'!N21)</f>
        <v/>
      </c>
      <c r="M40" s="48" t="str">
        <f>IF(OR('Verificación de Formulación'!O21="",'Verificación de Formulación'!O21=0),"",'Verificación de Formulación'!O21)</f>
        <v/>
      </c>
      <c r="N40" s="48" t="str">
        <f>IF(OR('Verificación de Formulación'!P21="",'Verificación de Formulación'!P21=0),"",'Verificación de Formulación'!P21)</f>
        <v/>
      </c>
      <c r="O40" s="48" t="str">
        <f>IF(OR('Verificación de Formulación'!Q21="",'Verificación de Formulación'!Q21=0),"",'Verificación de Formulación'!Q21)</f>
        <v/>
      </c>
      <c r="P40" s="48" t="str">
        <f>IF(OR('Verificación de Formulación'!R21="",'Verificación de Formulación'!R21=0),"",'Verificación de Formulación'!R21)</f>
        <v/>
      </c>
      <c r="Q40" s="48" t="str">
        <f>IF(OR('Verificación de Formulación'!S21="",'Verificación de Formulación'!S21=0),"",'Verificación de Formulación'!S21)</f>
        <v/>
      </c>
      <c r="R40" s="48" t="str">
        <f>IF(OR('Verificación de Formulación'!T21="",'Verificación de Formulación'!T21=0),"",'Verificación de Formulación'!T21)</f>
        <v/>
      </c>
      <c r="S40" s="48" t="str">
        <f>IF(OR('Verificación de Formulación'!U21="",'Verificación de Formulación'!U21=0),"",'Verificación de Formulación'!U21)</f>
        <v/>
      </c>
      <c r="T40" s="48" t="str">
        <f>IF(OR('Verificación de Formulación'!V21="",'Verificación de Formulación'!V21=0),"",'Verificación de Formulación'!V21)</f>
        <v/>
      </c>
      <c r="U40" s="48" t="str">
        <f>IF(OR('Verificación de Formulación'!W21="",'Verificación de Formulación'!W21=0),"",'Verificación de Formulación'!W21)</f>
        <v/>
      </c>
      <c r="V40" s="48" t="str">
        <f>IF(OR('Verificación de Formulación'!X21="",'Verificación de Formulación'!X21=0),"",'Verificación de Formulación'!X21)</f>
        <v/>
      </c>
      <c r="W40" s="48" t="str">
        <f>IF(OR('Verificación de Formulación'!Y21="",'Verificación de Formulación'!Y21=0),"",'Verificación de Formulación'!Y21)</f>
        <v/>
      </c>
      <c r="X40" s="48" t="str">
        <f>IF(OR('Verificación de Formulación'!Z21="",'Verificación de Formulación'!Z21=0),"",'Verificación de Formulación'!Z21)</f>
        <v/>
      </c>
      <c r="Y40" s="49" t="str">
        <f>IF(OR('Verificación de Formulación'!AA21="",'Verificación de Formulación'!AA21=0),"",'Verificación de Formulación'!AA21)</f>
        <v/>
      </c>
    </row>
    <row r="41" spans="1:25" x14ac:dyDescent="0.25">
      <c r="A41" s="35" t="str">
        <f>IF(OR('Verificación de Formulación'!D22="",'Verificación de Formulación'!D22=0),"",'Verificación de Formulación'!D22)</f>
        <v/>
      </c>
      <c r="B41" s="36" t="str">
        <f>IF(OR('Verificación de Formulación'!E22="",'Verificación de Formulación'!E22=0),"",'Verificación de Formulación'!E22)</f>
        <v/>
      </c>
      <c r="C41" s="36" t="str">
        <f>IF(OR('Verificación de Formulación'!F22="",'Verificación de Formulación'!F22=0),"",'Verificación de Formulación'!F22)</f>
        <v/>
      </c>
      <c r="D41" s="36" t="str">
        <f>IF(OR('Verificación de Formulación'!G22="",'Verificación de Formulación'!G22=0),"",'Verificación de Formulación'!G22)</f>
        <v/>
      </c>
      <c r="E41" s="36"/>
      <c r="F41" s="48" t="str">
        <f>IF(OR('Verificación de Formulación'!H22="",'Verificación de Formulación'!H22=0),"",'Verificación de Formulación'!H22)</f>
        <v/>
      </c>
      <c r="G41" s="48" t="str">
        <f>IF(OR('Verificación de Formulación'!I22="",'Verificación de Formulación'!I22=0),"",'Verificación de Formulación'!I22)</f>
        <v/>
      </c>
      <c r="H41" s="48" t="str">
        <f>IF(OR('Verificación de Formulación'!J22="",'Verificación de Formulación'!J22=0),"",'Verificación de Formulación'!J22)</f>
        <v/>
      </c>
      <c r="I41" s="48" t="str">
        <f>IF(OR('Verificación de Formulación'!K22="",'Verificación de Formulación'!K22=0),"",'Verificación de Formulación'!K22)</f>
        <v/>
      </c>
      <c r="J41" s="48" t="str">
        <f>IF(OR('Verificación de Formulación'!L22="",'Verificación de Formulación'!L22=0),"",'Verificación de Formulación'!L22)</f>
        <v/>
      </c>
      <c r="K41" s="48" t="str">
        <f>IF(OR('Verificación de Formulación'!M22="",'Verificación de Formulación'!M22=0),"",'Verificación de Formulación'!M22)</f>
        <v/>
      </c>
      <c r="L41" s="48" t="str">
        <f>IF(OR('Verificación de Formulación'!N22="",'Verificación de Formulación'!N22=0),"",'Verificación de Formulación'!N22)</f>
        <v/>
      </c>
      <c r="M41" s="48" t="str">
        <f>IF(OR('Verificación de Formulación'!O22="",'Verificación de Formulación'!O22=0),"",'Verificación de Formulación'!O22)</f>
        <v/>
      </c>
      <c r="N41" s="48" t="str">
        <f>IF(OR('Verificación de Formulación'!P22="",'Verificación de Formulación'!P22=0),"",'Verificación de Formulación'!P22)</f>
        <v/>
      </c>
      <c r="O41" s="48" t="str">
        <f>IF(OR('Verificación de Formulación'!Q22="",'Verificación de Formulación'!Q22=0),"",'Verificación de Formulación'!Q22)</f>
        <v/>
      </c>
      <c r="P41" s="48" t="str">
        <f>IF(OR('Verificación de Formulación'!R22="",'Verificación de Formulación'!R22=0),"",'Verificación de Formulación'!R22)</f>
        <v/>
      </c>
      <c r="Q41" s="48" t="str">
        <f>IF(OR('Verificación de Formulación'!S22="",'Verificación de Formulación'!S22=0),"",'Verificación de Formulación'!S22)</f>
        <v/>
      </c>
      <c r="R41" s="48" t="str">
        <f>IF(OR('Verificación de Formulación'!T22="",'Verificación de Formulación'!T22=0),"",'Verificación de Formulación'!T22)</f>
        <v/>
      </c>
      <c r="S41" s="48" t="str">
        <f>IF(OR('Verificación de Formulación'!U22="",'Verificación de Formulación'!U22=0),"",'Verificación de Formulación'!U22)</f>
        <v/>
      </c>
      <c r="T41" s="48" t="str">
        <f>IF(OR('Verificación de Formulación'!V22="",'Verificación de Formulación'!V22=0),"",'Verificación de Formulación'!V22)</f>
        <v/>
      </c>
      <c r="U41" s="48" t="str">
        <f>IF(OR('Verificación de Formulación'!W22="",'Verificación de Formulación'!W22=0),"",'Verificación de Formulación'!W22)</f>
        <v/>
      </c>
      <c r="V41" s="48" t="str">
        <f>IF(OR('Verificación de Formulación'!X22="",'Verificación de Formulación'!X22=0),"",'Verificación de Formulación'!X22)</f>
        <v/>
      </c>
      <c r="W41" s="48" t="str">
        <f>IF(OR('Verificación de Formulación'!Y22="",'Verificación de Formulación'!Y22=0),"",'Verificación de Formulación'!Y22)</f>
        <v/>
      </c>
      <c r="X41" s="48" t="str">
        <f>IF(OR('Verificación de Formulación'!Z22="",'Verificación de Formulación'!Z22=0),"",'Verificación de Formulación'!Z22)</f>
        <v/>
      </c>
      <c r="Y41" s="49" t="str">
        <f>IF(OR('Verificación de Formulación'!AA22="",'Verificación de Formulación'!AA22=0),"",'Verificación de Formulación'!AA22)</f>
        <v/>
      </c>
    </row>
    <row r="42" spans="1:25" x14ac:dyDescent="0.25">
      <c r="A42" s="35" t="str">
        <f>IF(OR('Verificación de Formulación'!D23="",'Verificación de Formulación'!D23=0),"",'Verificación de Formulación'!D23)</f>
        <v/>
      </c>
      <c r="B42" s="36" t="str">
        <f>IF(OR('Verificación de Formulación'!E23="",'Verificación de Formulación'!E23=0),"",'Verificación de Formulación'!E23)</f>
        <v/>
      </c>
      <c r="C42" s="36" t="str">
        <f>IF(OR('Verificación de Formulación'!F23="",'Verificación de Formulación'!F23=0),"",'Verificación de Formulación'!F23)</f>
        <v/>
      </c>
      <c r="D42" s="36" t="str">
        <f>IF(OR('Verificación de Formulación'!G23="",'Verificación de Formulación'!G23=0),"",'Verificación de Formulación'!G23)</f>
        <v/>
      </c>
      <c r="E42" s="36"/>
      <c r="F42" s="48" t="str">
        <f>IF(OR('Verificación de Formulación'!H23="",'Verificación de Formulación'!H23=0),"",'Verificación de Formulación'!H23)</f>
        <v/>
      </c>
      <c r="G42" s="48" t="str">
        <f>IF(OR('Verificación de Formulación'!I23="",'Verificación de Formulación'!I23=0),"",'Verificación de Formulación'!I23)</f>
        <v/>
      </c>
      <c r="H42" s="48" t="str">
        <f>IF(OR('Verificación de Formulación'!J23="",'Verificación de Formulación'!J23=0),"",'Verificación de Formulación'!J23)</f>
        <v/>
      </c>
      <c r="I42" s="48" t="str">
        <f>IF(OR('Verificación de Formulación'!K23="",'Verificación de Formulación'!K23=0),"",'Verificación de Formulación'!K23)</f>
        <v/>
      </c>
      <c r="J42" s="48" t="str">
        <f>IF(OR('Verificación de Formulación'!L23="",'Verificación de Formulación'!L23=0),"",'Verificación de Formulación'!L23)</f>
        <v/>
      </c>
      <c r="K42" s="48" t="str">
        <f>IF(OR('Verificación de Formulación'!M23="",'Verificación de Formulación'!M23=0),"",'Verificación de Formulación'!M23)</f>
        <v/>
      </c>
      <c r="L42" s="48" t="str">
        <f>IF(OR('Verificación de Formulación'!N23="",'Verificación de Formulación'!N23=0),"",'Verificación de Formulación'!N23)</f>
        <v/>
      </c>
      <c r="M42" s="48" t="str">
        <f>IF(OR('Verificación de Formulación'!O23="",'Verificación de Formulación'!O23=0),"",'Verificación de Formulación'!O23)</f>
        <v/>
      </c>
      <c r="N42" s="48" t="str">
        <f>IF(OR('Verificación de Formulación'!P23="",'Verificación de Formulación'!P23=0),"",'Verificación de Formulación'!P23)</f>
        <v/>
      </c>
      <c r="O42" s="48" t="str">
        <f>IF(OR('Verificación de Formulación'!Q23="",'Verificación de Formulación'!Q23=0),"",'Verificación de Formulación'!Q23)</f>
        <v/>
      </c>
      <c r="P42" s="48" t="str">
        <f>IF(OR('Verificación de Formulación'!R23="",'Verificación de Formulación'!R23=0),"",'Verificación de Formulación'!R23)</f>
        <v/>
      </c>
      <c r="Q42" s="48" t="str">
        <f>IF(OR('Verificación de Formulación'!S23="",'Verificación de Formulación'!S23=0),"",'Verificación de Formulación'!S23)</f>
        <v/>
      </c>
      <c r="R42" s="48" t="str">
        <f>IF(OR('Verificación de Formulación'!T23="",'Verificación de Formulación'!T23=0),"",'Verificación de Formulación'!T23)</f>
        <v/>
      </c>
      <c r="S42" s="48" t="str">
        <f>IF(OR('Verificación de Formulación'!U23="",'Verificación de Formulación'!U23=0),"",'Verificación de Formulación'!U23)</f>
        <v/>
      </c>
      <c r="T42" s="48" t="str">
        <f>IF(OR('Verificación de Formulación'!V23="",'Verificación de Formulación'!V23=0),"",'Verificación de Formulación'!V23)</f>
        <v/>
      </c>
      <c r="U42" s="48" t="str">
        <f>IF(OR('Verificación de Formulación'!W23="",'Verificación de Formulación'!W23=0),"",'Verificación de Formulación'!W23)</f>
        <v/>
      </c>
      <c r="V42" s="48" t="str">
        <f>IF(OR('Verificación de Formulación'!X23="",'Verificación de Formulación'!X23=0),"",'Verificación de Formulación'!X23)</f>
        <v/>
      </c>
      <c r="W42" s="48" t="str">
        <f>IF(OR('Verificación de Formulación'!Y23="",'Verificación de Formulación'!Y23=0),"",'Verificación de Formulación'!Y23)</f>
        <v/>
      </c>
      <c r="X42" s="48" t="str">
        <f>IF(OR('Verificación de Formulación'!Z23="",'Verificación de Formulación'!Z23=0),"",'Verificación de Formulación'!Z23)</f>
        <v/>
      </c>
      <c r="Y42" s="49" t="str">
        <f>IF(OR('Verificación de Formulación'!AA23="",'Verificación de Formulación'!AA23=0),"",'Verificación de Formulación'!AA23)</f>
        <v/>
      </c>
    </row>
    <row r="43" spans="1:25" ht="15.75" thickBot="1" x14ac:dyDescent="0.3">
      <c r="A43" s="38" t="str">
        <f>IF(OR('Verificación de Formulación'!D24="",'Verificación de Formulación'!D24=0),"",'Verificación de Formulación'!D24)</f>
        <v/>
      </c>
      <c r="B43" s="39" t="str">
        <f>IF(OR('Verificación de Formulación'!E24="",'Verificación de Formulación'!E24=0),"",'Verificación de Formulación'!E24)</f>
        <v/>
      </c>
      <c r="C43" s="39" t="str">
        <f>IF(OR('Verificación de Formulación'!F24="",'Verificación de Formulación'!F24=0),"",'Verificación de Formulación'!F24)</f>
        <v/>
      </c>
      <c r="D43" s="39" t="str">
        <f>IF(OR('Verificación de Formulación'!G24="",'Verificación de Formulación'!G24=0),"",'Verificación de Formulación'!G24)</f>
        <v/>
      </c>
      <c r="E43" s="39"/>
      <c r="F43" s="50" t="str">
        <f>IF(OR('Verificación de Formulación'!H24="",'Verificación de Formulación'!H24=0),"",'Verificación de Formulación'!H24)</f>
        <v/>
      </c>
      <c r="G43" s="50" t="str">
        <f>IF(OR('Verificación de Formulación'!I24="",'Verificación de Formulación'!I24=0),"",'Verificación de Formulación'!I24)</f>
        <v/>
      </c>
      <c r="H43" s="50" t="str">
        <f>IF(OR('Verificación de Formulación'!J24="",'Verificación de Formulación'!J24=0),"",'Verificación de Formulación'!J24)</f>
        <v/>
      </c>
      <c r="I43" s="50" t="str">
        <f>IF(OR('Verificación de Formulación'!K24="",'Verificación de Formulación'!K24=0),"",'Verificación de Formulación'!K24)</f>
        <v/>
      </c>
      <c r="J43" s="50" t="str">
        <f>IF(OR('Verificación de Formulación'!L24="",'Verificación de Formulación'!L24=0),"",'Verificación de Formulación'!L24)</f>
        <v/>
      </c>
      <c r="K43" s="50" t="str">
        <f>IF(OR('Verificación de Formulación'!M24="",'Verificación de Formulación'!M24=0),"",'Verificación de Formulación'!M24)</f>
        <v/>
      </c>
      <c r="L43" s="50" t="str">
        <f>IF(OR('Verificación de Formulación'!N24="",'Verificación de Formulación'!N24=0),"",'Verificación de Formulación'!N24)</f>
        <v/>
      </c>
      <c r="M43" s="50" t="str">
        <f>IF(OR('Verificación de Formulación'!O24="",'Verificación de Formulación'!O24=0),"",'Verificación de Formulación'!O24)</f>
        <v/>
      </c>
      <c r="N43" s="50" t="str">
        <f>IF(OR('Verificación de Formulación'!P24="",'Verificación de Formulación'!P24=0),"",'Verificación de Formulación'!P24)</f>
        <v/>
      </c>
      <c r="O43" s="50" t="str">
        <f>IF(OR('Verificación de Formulación'!Q24="",'Verificación de Formulación'!Q24=0),"",'Verificación de Formulación'!Q24)</f>
        <v/>
      </c>
      <c r="P43" s="50" t="str">
        <f>IF(OR('Verificación de Formulación'!R24="",'Verificación de Formulación'!R24=0),"",'Verificación de Formulación'!R24)</f>
        <v/>
      </c>
      <c r="Q43" s="50" t="str">
        <f>IF(OR('Verificación de Formulación'!S24="",'Verificación de Formulación'!S24=0),"",'Verificación de Formulación'!S24)</f>
        <v/>
      </c>
      <c r="R43" s="50" t="str">
        <f>IF(OR('Verificación de Formulación'!T24="",'Verificación de Formulación'!T24=0),"",'Verificación de Formulación'!T24)</f>
        <v/>
      </c>
      <c r="S43" s="50" t="str">
        <f>IF(OR('Verificación de Formulación'!U24="",'Verificación de Formulación'!U24=0),"",'Verificación de Formulación'!U24)</f>
        <v/>
      </c>
      <c r="T43" s="50" t="str">
        <f>IF(OR('Verificación de Formulación'!V24="",'Verificación de Formulación'!V24=0),"",'Verificación de Formulación'!V24)</f>
        <v/>
      </c>
      <c r="U43" s="50" t="str">
        <f>IF(OR('Verificación de Formulación'!W24="",'Verificación de Formulación'!W24=0),"",'Verificación de Formulación'!W24)</f>
        <v/>
      </c>
      <c r="V43" s="50" t="str">
        <f>IF(OR('Verificación de Formulación'!X24="",'Verificación de Formulación'!X24=0),"",'Verificación de Formulación'!X24)</f>
        <v/>
      </c>
      <c r="W43" s="50" t="str">
        <f>IF(OR('Verificación de Formulación'!Y24="",'Verificación de Formulación'!Y24=0),"",'Verificación de Formulación'!Y24)</f>
        <v/>
      </c>
      <c r="X43" s="50" t="str">
        <f>IF(OR('Verificación de Formulación'!Z24="",'Verificación de Formulación'!Z24=0),"",'Verificación de Formulación'!Z24)</f>
        <v/>
      </c>
      <c r="Y43" s="51" t="str">
        <f>IF(OR('Verificación de Formulación'!AA24="",'Verificación de Formulación'!AA24=0),"",'Verificación de Formulación'!AA24)</f>
        <v/>
      </c>
    </row>
  </sheetData>
  <protectedRanges>
    <protectedRange algorithmName="SHA-512" hashValue="ep8VFliYGonDSPqV0wHljx0zzaU8xRLExgHFAoUshj1V0ZUvWuoHilO9KDOrS0F/iTXxKpPBtoV4c72wVmqnkQ==" saltValue="q8zEyBRq74YiC2dbnNRMXg==" spinCount="100000" sqref="C4:Y5 D16:Y16 D6:Y6 C17:Y43 C7:Y15" name="Rango1"/>
  </protectedRange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BA67-A173-4AEB-821C-43FE0C2682E8}">
  <sheetPr codeName="Hoja12">
    <tabColor rgb="FF92D050"/>
  </sheetPr>
  <dimension ref="A1:AA32"/>
  <sheetViews>
    <sheetView zoomScaleNormal="100" workbookViewId="0">
      <pane xSplit="4" topLeftCell="G1" activePane="topRight" state="frozen"/>
      <selection activeCell="N9" sqref="N9"/>
      <selection pane="topRight" activeCell="P9" sqref="P9:Y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114</v>
      </c>
      <c r="B6" s="70" t="s">
        <v>122</v>
      </c>
      <c r="C6" s="54">
        <v>563</v>
      </c>
      <c r="D6" s="58" t="s">
        <v>115</v>
      </c>
      <c r="E6" s="69">
        <v>10500</v>
      </c>
      <c r="F6" s="7">
        <v>563140425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6.0000000000000001E-3</v>
      </c>
      <c r="P6" s="8">
        <v>0.28000000000000003</v>
      </c>
      <c r="Q6" s="8">
        <v>5.8999999999999997E-2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0.182</v>
      </c>
      <c r="Z6" s="8">
        <v>0</v>
      </c>
      <c r="AA6" s="8">
        <v>0</v>
      </c>
    </row>
    <row r="7" spans="1:27" ht="19.5" x14ac:dyDescent="0.25">
      <c r="A7" s="55" t="s">
        <v>114</v>
      </c>
      <c r="B7" s="55" t="s">
        <v>122</v>
      </c>
      <c r="C7" s="55">
        <v>563</v>
      </c>
      <c r="D7" s="55" t="s">
        <v>115</v>
      </c>
      <c r="E7" s="55">
        <v>10500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0.24640000000000001</v>
      </c>
      <c r="Q8" s="8">
        <v>4.7500000000000001E-2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115</v>
      </c>
      <c r="E9" s="60"/>
      <c r="F9" s="61"/>
      <c r="G9" s="77"/>
      <c r="H9" s="8"/>
      <c r="I9" s="8"/>
      <c r="J9" s="8"/>
      <c r="K9" s="8"/>
      <c r="L9" s="8"/>
      <c r="M9" s="8"/>
      <c r="N9" s="8"/>
      <c r="O9" s="8"/>
      <c r="P9" s="8">
        <v>0.28000000000000003</v>
      </c>
      <c r="Q9" s="8">
        <v>0.06</v>
      </c>
      <c r="R9" s="8">
        <v>0.01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0.31360000000000005</v>
      </c>
      <c r="Q10" s="8">
        <v>7.2499999999999995E-2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600</v>
      </c>
      <c r="G16" s="9">
        <v>60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85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Yvzb7PKPt1C3G4EgHMlgBUgY8FABRPIjtNemztKXGtpTb29ZRvthnaBxdRyT0wiCAYGxxQHP9ttGz5gZO+wg8g==" saltValue="oDU2DQ6V7CoxBCOWdCZaE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647" priority="29">
      <formula>LEN(TRIM(C6))=0</formula>
    </cfRule>
  </conditionalFormatting>
  <conditionalFormatting sqref="H15:AA23 H6:AA6">
    <cfRule type="cellIs" dxfId="1646" priority="28" operator="equal">
      <formula>0</formula>
    </cfRule>
  </conditionalFormatting>
  <conditionalFormatting sqref="G15:G23">
    <cfRule type="cellIs" dxfId="1645" priority="26" operator="equal">
      <formula>0</formula>
    </cfRule>
    <cfRule type="containsBlanks" dxfId="1644" priority="27">
      <formula>LEN(TRIM(G15))=0</formula>
    </cfRule>
  </conditionalFormatting>
  <conditionalFormatting sqref="H5:AA5">
    <cfRule type="containsBlanks" dxfId="1643" priority="25">
      <formula>LEN(TRIM(H5))=0</formula>
    </cfRule>
  </conditionalFormatting>
  <conditionalFormatting sqref="G5">
    <cfRule type="containsBlanks" dxfId="1642" priority="24">
      <formula>LEN(TRIM(G5))=0</formula>
    </cfRule>
  </conditionalFormatting>
  <conditionalFormatting sqref="F6:G6">
    <cfRule type="containsBlanks" dxfId="1641" priority="23">
      <formula>LEN(TRIM(F6))=0</formula>
    </cfRule>
  </conditionalFormatting>
  <conditionalFormatting sqref="H14:AA14">
    <cfRule type="containsBlanks" dxfId="1640" priority="22">
      <formula>LEN(TRIM(H14))=0</formula>
    </cfRule>
  </conditionalFormatting>
  <conditionalFormatting sqref="D5">
    <cfRule type="containsBlanks" dxfId="1639" priority="21">
      <formula>LEN(TRIM(D5))=0</formula>
    </cfRule>
  </conditionalFormatting>
  <conditionalFormatting sqref="C5">
    <cfRule type="containsBlanks" dxfId="1638" priority="20">
      <formula>LEN(TRIM(C5))=0</formula>
    </cfRule>
  </conditionalFormatting>
  <conditionalFormatting sqref="D14">
    <cfRule type="containsBlanks" dxfId="1637" priority="19">
      <formula>LEN(TRIM(D14))=0</formula>
    </cfRule>
  </conditionalFormatting>
  <conditionalFormatting sqref="G8:AA8 G10:AA10">
    <cfRule type="containsBlanks" dxfId="1636" priority="18">
      <formula>LEN(TRIM(G8))=0</formula>
    </cfRule>
  </conditionalFormatting>
  <conditionalFormatting sqref="G8:AA8 G10:AA10">
    <cfRule type="cellIs" dxfId="1635" priority="17" operator="equal">
      <formula>0</formula>
    </cfRule>
  </conditionalFormatting>
  <conditionalFormatting sqref="G7:AA7">
    <cfRule type="containsBlanks" dxfId="1634" priority="16">
      <formula>LEN(TRIM(G7))=0</formula>
    </cfRule>
  </conditionalFormatting>
  <conditionalFormatting sqref="G7:AA7">
    <cfRule type="cellIs" dxfId="1633" priority="15" operator="equal">
      <formula>0</formula>
    </cfRule>
  </conditionalFormatting>
  <conditionalFormatting sqref="A5">
    <cfRule type="containsBlanks" dxfId="1632" priority="13">
      <formula>LEN(TRIM(A5))=0</formula>
    </cfRule>
  </conditionalFormatting>
  <conditionalFormatting sqref="F7">
    <cfRule type="containsBlanks" dxfId="1631" priority="14">
      <formula>LEN(TRIM(F7))=0</formula>
    </cfRule>
  </conditionalFormatting>
  <conditionalFormatting sqref="B5">
    <cfRule type="containsBlanks" dxfId="1630" priority="12">
      <formula>LEN(TRIM(B5))=0</formula>
    </cfRule>
  </conditionalFormatting>
  <conditionalFormatting sqref="A7:E7">
    <cfRule type="containsBlanks" dxfId="1629" priority="11">
      <formula>LEN(TRIM(A7))=0</formula>
    </cfRule>
  </conditionalFormatting>
  <conditionalFormatting sqref="G9">
    <cfRule type="containsBlanks" dxfId="1628" priority="10">
      <formula>LEN(TRIM(G9))=0</formula>
    </cfRule>
  </conditionalFormatting>
  <conditionalFormatting sqref="H9:AA9">
    <cfRule type="containsBlanks" dxfId="1627" priority="9">
      <formula>LEN(TRIM(H9))=0</formula>
    </cfRule>
  </conditionalFormatting>
  <conditionalFormatting sqref="H9:AA9">
    <cfRule type="cellIs" dxfId="1626" priority="8" operator="equal">
      <formula>0</formula>
    </cfRule>
  </conditionalFormatting>
  <conditionalFormatting sqref="E5">
    <cfRule type="containsBlanks" dxfId="1625" priority="7">
      <formula>LEN(TRIM(E5))=0</formula>
    </cfRule>
  </conditionalFormatting>
  <conditionalFormatting sqref="F5">
    <cfRule type="containsBlanks" dxfId="1624" priority="6">
      <formula>LEN(TRIM(F5))=0</formula>
    </cfRule>
  </conditionalFormatting>
  <conditionalFormatting sqref="E6">
    <cfRule type="containsBlanks" dxfId="1623" priority="5">
      <formula>LEN(TRIM(E6))=0</formula>
    </cfRule>
  </conditionalFormatting>
  <conditionalFormatting sqref="D6">
    <cfRule type="containsBlanks" dxfId="1622" priority="4">
      <formula>LEN(TRIM(D6))=0</formula>
    </cfRule>
  </conditionalFormatting>
  <conditionalFormatting sqref="C6">
    <cfRule type="containsBlanks" dxfId="1621" priority="3">
      <formula>LEN(TRIM(C6))=0</formula>
    </cfRule>
  </conditionalFormatting>
  <conditionalFormatting sqref="A6">
    <cfRule type="containsBlanks" dxfId="1620" priority="2">
      <formula>LEN(TRIM(A6))=0</formula>
    </cfRule>
  </conditionalFormatting>
  <conditionalFormatting sqref="B6">
    <cfRule type="containsBlanks" dxfId="1619" priority="1">
      <formula>LEN(TRIM(B6))=0</formula>
    </cfRule>
  </conditionalFormatting>
  <dataValidations count="1">
    <dataValidation type="list" allowBlank="1" showInputMessage="1" showErrorMessage="1" sqref="E15:E23 E26:E27" xr:uid="{290410AB-D209-4CD8-A24A-E72DF7CDB45B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0C662-C682-4B34-BC78-2E27FA32AFC8}">
  <sheetPr codeName="Hoja6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127</v>
      </c>
      <c r="B6" s="70" t="s">
        <v>122</v>
      </c>
      <c r="C6" s="54">
        <v>510</v>
      </c>
      <c r="D6" s="58" t="s">
        <v>128</v>
      </c>
      <c r="E6" s="69">
        <v>4000</v>
      </c>
      <c r="F6" s="7">
        <v>510140425</v>
      </c>
      <c r="G6" s="77">
        <v>0.57299999999999995</v>
      </c>
      <c r="H6" s="8">
        <v>0</v>
      </c>
      <c r="I6" s="8">
        <v>7.1999999999999995E-2</v>
      </c>
      <c r="J6" s="8">
        <v>4.0000000000000001E-3</v>
      </c>
      <c r="K6" s="8">
        <v>0</v>
      </c>
      <c r="L6" s="8">
        <v>0</v>
      </c>
      <c r="M6" s="8">
        <v>3.5000000000000003E-2</v>
      </c>
      <c r="N6" s="8">
        <v>0.16500000000000001</v>
      </c>
      <c r="O6" s="8">
        <v>0.33600000000000002</v>
      </c>
      <c r="P6" s="8">
        <v>3.0000000000000001E-3</v>
      </c>
      <c r="Q6" s="8">
        <v>3.0000000000000001E-3</v>
      </c>
      <c r="R6" s="8">
        <v>5.0000000000000001E-3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2E-3</v>
      </c>
      <c r="Z6" s="8">
        <v>0</v>
      </c>
      <c r="AA6" s="8">
        <v>0</v>
      </c>
    </row>
    <row r="7" spans="1:27" ht="19.5" x14ac:dyDescent="0.25">
      <c r="A7" s="55" t="s">
        <v>127</v>
      </c>
      <c r="B7" s="55" t="s">
        <v>122</v>
      </c>
      <c r="C7" s="55">
        <v>510</v>
      </c>
      <c r="D7" s="55" t="s">
        <v>128</v>
      </c>
      <c r="E7" s="55">
        <v>4000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139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0.24640000000000001</v>
      </c>
      <c r="Q8" s="8">
        <v>4.7500000000000001E-2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128</v>
      </c>
      <c r="E9" s="60"/>
      <c r="F9" s="61"/>
      <c r="G9" s="77"/>
      <c r="H9" s="8"/>
      <c r="I9" s="8"/>
      <c r="J9" s="8"/>
      <c r="K9" s="8"/>
      <c r="L9" s="8"/>
      <c r="M9" s="8"/>
      <c r="N9" s="8"/>
      <c r="O9" s="8"/>
      <c r="P9" s="8">
        <v>0.28000000000000003</v>
      </c>
      <c r="Q9" s="8">
        <v>0.06</v>
      </c>
      <c r="R9" s="8">
        <v>0.01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0.31360000000000005</v>
      </c>
      <c r="Q10" s="8">
        <v>7.2499999999999995E-2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76.25</v>
      </c>
      <c r="G15" s="9">
        <v>7.625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18.75</v>
      </c>
      <c r="G16" s="9">
        <v>1.875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5</v>
      </c>
      <c r="G17" s="9">
        <v>0.5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72</v>
      </c>
      <c r="E18" s="9" t="s">
        <v>132</v>
      </c>
      <c r="F18" s="9">
        <v>330</v>
      </c>
      <c r="G18" s="9">
        <v>33</v>
      </c>
      <c r="H18" s="10">
        <v>0</v>
      </c>
      <c r="I18" s="10">
        <v>0.1</v>
      </c>
      <c r="J18" s="10">
        <v>0</v>
      </c>
      <c r="K18" s="10">
        <v>0</v>
      </c>
      <c r="L18" s="10">
        <v>0</v>
      </c>
      <c r="M18" s="10">
        <v>0</v>
      </c>
      <c r="N18" s="10">
        <v>0.5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560</v>
      </c>
      <c r="G19" s="9">
        <v>56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160</v>
      </c>
      <c r="E20" s="9" t="s">
        <v>138</v>
      </c>
      <c r="F20" s="9">
        <v>10</v>
      </c>
      <c r="G20" s="9">
        <v>1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0.03</v>
      </c>
      <c r="P20" s="10">
        <v>0.27</v>
      </c>
      <c r="Q20" s="10">
        <v>0.115</v>
      </c>
      <c r="R20" s="10">
        <v>3.5000000000000003E-2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3.5000000000000003E-2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450</v>
      </c>
      <c r="E26" s="9" t="s">
        <v>134</v>
      </c>
      <c r="F26" s="9">
        <v>0.255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/HNvgU5qCcHudA2f4rcRCqsGt6uxIqgQimRYOjegh7VJFHPPrWgOyd/MZDH7fiATYWsOYvY9fryk+um5l/5vtg==" saltValue="eAKNqo6b9vkG/kF34ezJd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618" priority="29">
      <formula>LEN(TRIM(C6))=0</formula>
    </cfRule>
  </conditionalFormatting>
  <conditionalFormatting sqref="H15:AA23 H6:AA6">
    <cfRule type="cellIs" dxfId="1617" priority="28" operator="equal">
      <formula>0</formula>
    </cfRule>
  </conditionalFormatting>
  <conditionalFormatting sqref="G15:G23">
    <cfRule type="cellIs" dxfId="1616" priority="26" operator="equal">
      <formula>0</formula>
    </cfRule>
    <cfRule type="containsBlanks" dxfId="1615" priority="27">
      <formula>LEN(TRIM(G15))=0</formula>
    </cfRule>
  </conditionalFormatting>
  <conditionalFormatting sqref="H5:AA5">
    <cfRule type="containsBlanks" dxfId="1614" priority="25">
      <formula>LEN(TRIM(H5))=0</formula>
    </cfRule>
  </conditionalFormatting>
  <conditionalFormatting sqref="G5">
    <cfRule type="containsBlanks" dxfId="1613" priority="24">
      <formula>LEN(TRIM(G5))=0</formula>
    </cfRule>
  </conditionalFormatting>
  <conditionalFormatting sqref="F6:G6">
    <cfRule type="containsBlanks" dxfId="1612" priority="23">
      <formula>LEN(TRIM(F6))=0</formula>
    </cfRule>
  </conditionalFormatting>
  <conditionalFormatting sqref="H14:AA14">
    <cfRule type="containsBlanks" dxfId="1611" priority="22">
      <formula>LEN(TRIM(H14))=0</formula>
    </cfRule>
  </conditionalFormatting>
  <conditionalFormatting sqref="D5">
    <cfRule type="containsBlanks" dxfId="1610" priority="21">
      <formula>LEN(TRIM(D5))=0</formula>
    </cfRule>
  </conditionalFormatting>
  <conditionalFormatting sqref="C5">
    <cfRule type="containsBlanks" dxfId="1609" priority="20">
      <formula>LEN(TRIM(C5))=0</formula>
    </cfRule>
  </conditionalFormatting>
  <conditionalFormatting sqref="D14">
    <cfRule type="containsBlanks" dxfId="1608" priority="19">
      <formula>LEN(TRIM(D14))=0</formula>
    </cfRule>
  </conditionalFormatting>
  <conditionalFormatting sqref="G8:AA8 G10:AA10">
    <cfRule type="containsBlanks" dxfId="1607" priority="18">
      <formula>LEN(TRIM(G8))=0</formula>
    </cfRule>
  </conditionalFormatting>
  <conditionalFormatting sqref="G8:AA8 G10:AA10">
    <cfRule type="cellIs" dxfId="1606" priority="17" operator="equal">
      <formula>0</formula>
    </cfRule>
  </conditionalFormatting>
  <conditionalFormatting sqref="G7:AA7">
    <cfRule type="containsBlanks" dxfId="1605" priority="16">
      <formula>LEN(TRIM(G7))=0</formula>
    </cfRule>
  </conditionalFormatting>
  <conditionalFormatting sqref="G7:AA7">
    <cfRule type="cellIs" dxfId="1604" priority="15" operator="equal">
      <formula>0</formula>
    </cfRule>
  </conditionalFormatting>
  <conditionalFormatting sqref="A5">
    <cfRule type="containsBlanks" dxfId="1603" priority="13">
      <formula>LEN(TRIM(A5))=0</formula>
    </cfRule>
  </conditionalFormatting>
  <conditionalFormatting sqref="F7">
    <cfRule type="containsBlanks" dxfId="1602" priority="14">
      <formula>LEN(TRIM(F7))=0</formula>
    </cfRule>
  </conditionalFormatting>
  <conditionalFormatting sqref="B5">
    <cfRule type="containsBlanks" dxfId="1601" priority="12">
      <formula>LEN(TRIM(B5))=0</formula>
    </cfRule>
  </conditionalFormatting>
  <conditionalFormatting sqref="A7:E7">
    <cfRule type="containsBlanks" dxfId="1600" priority="11">
      <formula>LEN(TRIM(A7))=0</formula>
    </cfRule>
  </conditionalFormatting>
  <conditionalFormatting sqref="G9">
    <cfRule type="containsBlanks" dxfId="1599" priority="10">
      <formula>LEN(TRIM(G9))=0</formula>
    </cfRule>
  </conditionalFormatting>
  <conditionalFormatting sqref="H9:AA9">
    <cfRule type="containsBlanks" dxfId="1598" priority="9">
      <formula>LEN(TRIM(H9))=0</formula>
    </cfRule>
  </conditionalFormatting>
  <conditionalFormatting sqref="H9:AA9">
    <cfRule type="cellIs" dxfId="1597" priority="8" operator="equal">
      <formula>0</formula>
    </cfRule>
  </conditionalFormatting>
  <conditionalFormatting sqref="E5">
    <cfRule type="containsBlanks" dxfId="1596" priority="7">
      <formula>LEN(TRIM(E5))=0</formula>
    </cfRule>
  </conditionalFormatting>
  <conditionalFormatting sqref="F5">
    <cfRule type="containsBlanks" dxfId="1595" priority="6">
      <formula>LEN(TRIM(F5))=0</formula>
    </cfRule>
  </conditionalFormatting>
  <conditionalFormatting sqref="E6">
    <cfRule type="containsBlanks" dxfId="1594" priority="5">
      <formula>LEN(TRIM(E6))=0</formula>
    </cfRule>
  </conditionalFormatting>
  <conditionalFormatting sqref="D6">
    <cfRule type="containsBlanks" dxfId="1593" priority="4">
      <formula>LEN(TRIM(D6))=0</formula>
    </cfRule>
  </conditionalFormatting>
  <conditionalFormatting sqref="C6">
    <cfRule type="containsBlanks" dxfId="1592" priority="3">
      <formula>LEN(TRIM(C6))=0</formula>
    </cfRule>
  </conditionalFormatting>
  <conditionalFormatting sqref="A6">
    <cfRule type="containsBlanks" dxfId="1591" priority="2">
      <formula>LEN(TRIM(A6))=0</formula>
    </cfRule>
  </conditionalFormatting>
  <conditionalFormatting sqref="B6">
    <cfRule type="containsBlanks" dxfId="1590" priority="1">
      <formula>LEN(TRIM(B6))=0</formula>
    </cfRule>
  </conditionalFormatting>
  <dataValidations count="1">
    <dataValidation type="list" allowBlank="1" showInputMessage="1" showErrorMessage="1" sqref="E15:E23 E26:E27" xr:uid="{54F5839E-0A50-49ED-BF29-7628BBDF6E1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9C2E-2794-4E01-83E7-16B8C9A35DDE}">
  <sheetPr codeName="Hoja13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140</v>
      </c>
      <c r="B6" s="70" t="s">
        <v>122</v>
      </c>
      <c r="C6" s="54">
        <v>489</v>
      </c>
      <c r="D6" s="58" t="s">
        <v>141</v>
      </c>
      <c r="E6" s="69">
        <v>7000</v>
      </c>
      <c r="F6" s="7">
        <v>489140425</v>
      </c>
      <c r="G6" s="77">
        <v>0.56899999999999995</v>
      </c>
      <c r="H6" s="8">
        <v>0</v>
      </c>
      <c r="I6" s="8">
        <v>0.12</v>
      </c>
      <c r="J6" s="8">
        <v>5.0000000000000001E-3</v>
      </c>
      <c r="K6" s="8">
        <v>0</v>
      </c>
      <c r="L6" s="8">
        <v>0</v>
      </c>
      <c r="M6" s="8">
        <v>4.3999999999999997E-2</v>
      </c>
      <c r="N6" s="8">
        <v>0.35</v>
      </c>
      <c r="O6" s="8">
        <v>9.9000000000000005E-2</v>
      </c>
      <c r="P6" s="8">
        <v>0</v>
      </c>
      <c r="Q6" s="8">
        <v>5.0000000000000001E-3</v>
      </c>
      <c r="R6" s="8">
        <v>6.0000000000000001E-3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5.0000000000000001E-3</v>
      </c>
      <c r="Z6" s="8">
        <v>0</v>
      </c>
      <c r="AA6" s="8">
        <v>0</v>
      </c>
    </row>
    <row r="7" spans="1:27" ht="19.5" x14ac:dyDescent="0.25">
      <c r="A7" s="55" t="s">
        <v>140</v>
      </c>
      <c r="B7" s="55" t="s">
        <v>122</v>
      </c>
      <c r="C7" s="55">
        <v>489</v>
      </c>
      <c r="D7" s="55" t="s">
        <v>141</v>
      </c>
      <c r="E7" s="55">
        <v>7000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0.53999999999999992</v>
      </c>
      <c r="H8" s="8"/>
      <c r="I8" s="8">
        <v>0.11894300000000001</v>
      </c>
      <c r="J8" s="8"/>
      <c r="K8" s="8"/>
      <c r="L8" s="8"/>
      <c r="M8" s="8"/>
      <c r="N8" s="8">
        <v>0.34507899999999997</v>
      </c>
      <c r="O8" s="8">
        <v>8.9069000000000009E-2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141</v>
      </c>
      <c r="E9" s="60"/>
      <c r="F9" s="61"/>
      <c r="G9" s="77">
        <v>0.59</v>
      </c>
      <c r="H9" s="8"/>
      <c r="I9" s="8">
        <v>0.13</v>
      </c>
      <c r="J9" s="8"/>
      <c r="K9" s="8"/>
      <c r="L9" s="8"/>
      <c r="M9" s="8"/>
      <c r="N9" s="8">
        <v>0.36</v>
      </c>
      <c r="O9" s="8">
        <v>0.1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0.64</v>
      </c>
      <c r="H10" s="8"/>
      <c r="I10" s="8">
        <v>0.14105700000000002</v>
      </c>
      <c r="J10" s="8"/>
      <c r="K10" s="8"/>
      <c r="L10" s="8"/>
      <c r="M10" s="8"/>
      <c r="N10" s="8">
        <v>0.374921</v>
      </c>
      <c r="O10" s="8">
        <v>0.110931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95</v>
      </c>
      <c r="G15" s="9">
        <v>9.5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25</v>
      </c>
      <c r="G16" s="9">
        <v>2.5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15</v>
      </c>
      <c r="G17" s="9">
        <v>1.5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72</v>
      </c>
      <c r="E18" s="9" t="s">
        <v>132</v>
      </c>
      <c r="F18" s="9">
        <v>690</v>
      </c>
      <c r="G18" s="9">
        <v>69</v>
      </c>
      <c r="H18" s="10">
        <v>0</v>
      </c>
      <c r="I18" s="10">
        <v>0.1</v>
      </c>
      <c r="J18" s="10">
        <v>0</v>
      </c>
      <c r="K18" s="10">
        <v>0</v>
      </c>
      <c r="L18" s="10">
        <v>0</v>
      </c>
      <c r="M18" s="10">
        <v>0</v>
      </c>
      <c r="N18" s="10">
        <v>0.5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97</v>
      </c>
      <c r="E19" s="9" t="s">
        <v>142</v>
      </c>
      <c r="F19" s="9">
        <v>10</v>
      </c>
      <c r="G19" s="9">
        <v>1</v>
      </c>
      <c r="H19" s="10">
        <v>0</v>
      </c>
      <c r="I19" s="10">
        <v>0.18</v>
      </c>
      <c r="J19" s="10">
        <v>0</v>
      </c>
      <c r="K19" s="10">
        <v>0</v>
      </c>
      <c r="L19" s="10">
        <v>0</v>
      </c>
      <c r="M19" s="10">
        <v>0</v>
      </c>
      <c r="N19" s="10">
        <v>0.46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144</v>
      </c>
      <c r="E20" s="9" t="s">
        <v>133</v>
      </c>
      <c r="F20" s="9">
        <v>165</v>
      </c>
      <c r="G20" s="9">
        <v>16.5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0.6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450</v>
      </c>
      <c r="E26" s="9" t="s">
        <v>134</v>
      </c>
      <c r="F26" s="9">
        <v>0.36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DR5YUsJBIzqMISC7mKhkCfAP8X6D/+kGKu8iHhtjAk1qwWPtwReiicplEjx1/WBNDm4rEjwnN4A2y37lqijdUQ==" saltValue="ahzUOaT/QS+1XgZOhCjAX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589" priority="29">
      <formula>LEN(TRIM(C6))=0</formula>
    </cfRule>
  </conditionalFormatting>
  <conditionalFormatting sqref="H15:AA23 H6:AA6">
    <cfRule type="cellIs" dxfId="1588" priority="28" operator="equal">
      <formula>0</formula>
    </cfRule>
  </conditionalFormatting>
  <conditionalFormatting sqref="G15:G23">
    <cfRule type="cellIs" dxfId="1587" priority="26" operator="equal">
      <formula>0</formula>
    </cfRule>
    <cfRule type="containsBlanks" dxfId="1586" priority="27">
      <formula>LEN(TRIM(G15))=0</formula>
    </cfRule>
  </conditionalFormatting>
  <conditionalFormatting sqref="H5:AA5">
    <cfRule type="containsBlanks" dxfId="1585" priority="25">
      <formula>LEN(TRIM(H5))=0</formula>
    </cfRule>
  </conditionalFormatting>
  <conditionalFormatting sqref="G5">
    <cfRule type="containsBlanks" dxfId="1584" priority="24">
      <formula>LEN(TRIM(G5))=0</formula>
    </cfRule>
  </conditionalFormatting>
  <conditionalFormatting sqref="F6:G6">
    <cfRule type="containsBlanks" dxfId="1583" priority="23">
      <formula>LEN(TRIM(F6))=0</formula>
    </cfRule>
  </conditionalFormatting>
  <conditionalFormatting sqref="H14:AA14">
    <cfRule type="containsBlanks" dxfId="1582" priority="22">
      <formula>LEN(TRIM(H14))=0</formula>
    </cfRule>
  </conditionalFormatting>
  <conditionalFormatting sqref="D5">
    <cfRule type="containsBlanks" dxfId="1581" priority="21">
      <formula>LEN(TRIM(D5))=0</formula>
    </cfRule>
  </conditionalFormatting>
  <conditionalFormatting sqref="C5">
    <cfRule type="containsBlanks" dxfId="1580" priority="20">
      <formula>LEN(TRIM(C5))=0</formula>
    </cfRule>
  </conditionalFormatting>
  <conditionalFormatting sqref="D14">
    <cfRule type="containsBlanks" dxfId="1579" priority="19">
      <formula>LEN(TRIM(D14))=0</formula>
    </cfRule>
  </conditionalFormatting>
  <conditionalFormatting sqref="G8:AA8 G10:AA10">
    <cfRule type="containsBlanks" dxfId="1578" priority="18">
      <formula>LEN(TRIM(G8))=0</formula>
    </cfRule>
  </conditionalFormatting>
  <conditionalFormatting sqref="G8:AA8 G10:AA10">
    <cfRule type="cellIs" dxfId="1577" priority="17" operator="equal">
      <formula>0</formula>
    </cfRule>
  </conditionalFormatting>
  <conditionalFormatting sqref="G7:AA7">
    <cfRule type="containsBlanks" dxfId="1576" priority="16">
      <formula>LEN(TRIM(G7))=0</formula>
    </cfRule>
  </conditionalFormatting>
  <conditionalFormatting sqref="G7:AA7">
    <cfRule type="cellIs" dxfId="1575" priority="15" operator="equal">
      <formula>0</formula>
    </cfRule>
  </conditionalFormatting>
  <conditionalFormatting sqref="A5">
    <cfRule type="containsBlanks" dxfId="1574" priority="13">
      <formula>LEN(TRIM(A5))=0</formula>
    </cfRule>
  </conditionalFormatting>
  <conditionalFormatting sqref="F7">
    <cfRule type="containsBlanks" dxfId="1573" priority="14">
      <formula>LEN(TRIM(F7))=0</formula>
    </cfRule>
  </conditionalFormatting>
  <conditionalFormatting sqref="B5">
    <cfRule type="containsBlanks" dxfId="1572" priority="12">
      <formula>LEN(TRIM(B5))=0</formula>
    </cfRule>
  </conditionalFormatting>
  <conditionalFormatting sqref="A7:E7">
    <cfRule type="containsBlanks" dxfId="1571" priority="11">
      <formula>LEN(TRIM(A7))=0</formula>
    </cfRule>
  </conditionalFormatting>
  <conditionalFormatting sqref="G9">
    <cfRule type="containsBlanks" dxfId="1570" priority="10">
      <formula>LEN(TRIM(G9))=0</formula>
    </cfRule>
  </conditionalFormatting>
  <conditionalFormatting sqref="H9:AA9">
    <cfRule type="containsBlanks" dxfId="1569" priority="9">
      <formula>LEN(TRIM(H9))=0</formula>
    </cfRule>
  </conditionalFormatting>
  <conditionalFormatting sqref="H9:AA9">
    <cfRule type="cellIs" dxfId="1568" priority="8" operator="equal">
      <formula>0</formula>
    </cfRule>
  </conditionalFormatting>
  <conditionalFormatting sqref="E5">
    <cfRule type="containsBlanks" dxfId="1567" priority="7">
      <formula>LEN(TRIM(E5))=0</formula>
    </cfRule>
  </conditionalFormatting>
  <conditionalFormatting sqref="F5">
    <cfRule type="containsBlanks" dxfId="1566" priority="6">
      <formula>LEN(TRIM(F5))=0</formula>
    </cfRule>
  </conditionalFormatting>
  <conditionalFormatting sqref="E6">
    <cfRule type="containsBlanks" dxfId="1565" priority="5">
      <formula>LEN(TRIM(E6))=0</formula>
    </cfRule>
  </conditionalFormatting>
  <conditionalFormatting sqref="D6">
    <cfRule type="containsBlanks" dxfId="1564" priority="4">
      <formula>LEN(TRIM(D6))=0</formula>
    </cfRule>
  </conditionalFormatting>
  <conditionalFormatting sqref="C6">
    <cfRule type="containsBlanks" dxfId="1563" priority="3">
      <formula>LEN(TRIM(C6))=0</formula>
    </cfRule>
  </conditionalFormatting>
  <conditionalFormatting sqref="A6">
    <cfRule type="containsBlanks" dxfId="1562" priority="2">
      <formula>LEN(TRIM(A6))=0</formula>
    </cfRule>
  </conditionalFormatting>
  <conditionalFormatting sqref="B6">
    <cfRule type="containsBlanks" dxfId="1561" priority="1">
      <formula>LEN(TRIM(B6))=0</formula>
    </cfRule>
  </conditionalFormatting>
  <dataValidations count="1">
    <dataValidation type="list" allowBlank="1" showInputMessage="1" showErrorMessage="1" sqref="E15:E23 E26:E27" xr:uid="{E4C9120A-FFB9-4834-980A-E9B03A29CC20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7E9B-B643-46A5-AC3E-545C7897FFD9}">
  <sheetPr codeName="Hoja5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143</v>
      </c>
      <c r="B6" s="70" t="s">
        <v>122</v>
      </c>
      <c r="C6" s="54">
        <v>602</v>
      </c>
      <c r="D6" s="58" t="s">
        <v>144</v>
      </c>
      <c r="E6" s="69">
        <v>1000</v>
      </c>
      <c r="F6" s="7">
        <v>602140425</v>
      </c>
      <c r="G6" s="77">
        <v>0.375</v>
      </c>
      <c r="H6" s="8">
        <v>0.01</v>
      </c>
      <c r="I6" s="8">
        <v>0.152</v>
      </c>
      <c r="J6" s="8">
        <v>1.4E-2</v>
      </c>
      <c r="K6" s="8">
        <v>0</v>
      </c>
      <c r="L6" s="8">
        <v>0</v>
      </c>
      <c r="M6" s="8">
        <v>7.4999999999999997E-2</v>
      </c>
      <c r="N6" s="8">
        <v>0.21099999999999999</v>
      </c>
      <c r="O6" s="8">
        <v>1.2E-2</v>
      </c>
      <c r="P6" s="8">
        <v>4.5999999999999999E-2</v>
      </c>
      <c r="Q6" s="8">
        <v>6.3E-2</v>
      </c>
      <c r="R6" s="8">
        <v>1.7999999999999999E-2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0.10199999999999999</v>
      </c>
      <c r="Z6" s="8">
        <v>0</v>
      </c>
      <c r="AA6" s="8">
        <v>0</v>
      </c>
    </row>
    <row r="7" spans="1:27" ht="19.5" x14ac:dyDescent="0.25">
      <c r="A7" s="55" t="s">
        <v>143</v>
      </c>
      <c r="B7" s="55" t="s">
        <v>122</v>
      </c>
      <c r="C7" s="55">
        <v>602</v>
      </c>
      <c r="D7" s="55" t="s">
        <v>144</v>
      </c>
      <c r="E7" s="55">
        <v>1000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0.32</v>
      </c>
      <c r="H8" s="8"/>
      <c r="I8" s="8">
        <v>0.13839699999999999</v>
      </c>
      <c r="J8" s="8"/>
      <c r="K8" s="8"/>
      <c r="L8" s="8"/>
      <c r="M8" s="8"/>
      <c r="N8" s="8">
        <v>0.19699899999999998</v>
      </c>
      <c r="O8" s="8">
        <v>5.2970000000000005E-3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144</v>
      </c>
      <c r="E9" s="60"/>
      <c r="F9" s="61"/>
      <c r="G9" s="77">
        <v>0.37</v>
      </c>
      <c r="H9" s="8"/>
      <c r="I9" s="8">
        <v>0.15</v>
      </c>
      <c r="J9" s="8"/>
      <c r="K9" s="8"/>
      <c r="L9" s="8"/>
      <c r="M9" s="8"/>
      <c r="N9" s="8">
        <v>0.21</v>
      </c>
      <c r="O9" s="8">
        <v>0.01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0.42</v>
      </c>
      <c r="H10" s="8"/>
      <c r="I10" s="8">
        <v>0.161603</v>
      </c>
      <c r="J10" s="8"/>
      <c r="K10" s="8"/>
      <c r="L10" s="8"/>
      <c r="M10" s="8"/>
      <c r="N10" s="8">
        <v>0.223001</v>
      </c>
      <c r="O10" s="8">
        <v>1.4703000000000001E-2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162.5</v>
      </c>
      <c r="G15" s="9">
        <v>16.25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67.5</v>
      </c>
      <c r="G16" s="9">
        <v>6.75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v>20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350</v>
      </c>
      <c r="G18" s="9">
        <v>35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20</v>
      </c>
      <c r="G19" s="9">
        <v>2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155</v>
      </c>
      <c r="E20" s="9" t="s">
        <v>145</v>
      </c>
      <c r="F20" s="9">
        <v>200</v>
      </c>
      <c r="G20" s="9">
        <v>20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450</v>
      </c>
      <c r="E26" s="9" t="s">
        <v>134</v>
      </c>
      <c r="F26" s="9">
        <v>0.45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tz0QHyBvwBnOvFSYIyfDBM8mrr7NsVCboK0iTE5JajDBQSIRxboTZne84RUt8dsxGuWRIhsTCOMhu4+CDnY43A==" saltValue="UP5xeEogqcULKxZTOO+Fc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560" priority="29">
      <formula>LEN(TRIM(C6))=0</formula>
    </cfRule>
  </conditionalFormatting>
  <conditionalFormatting sqref="H15:AA23 H6:AA6">
    <cfRule type="cellIs" dxfId="1559" priority="28" operator="equal">
      <formula>0</formula>
    </cfRule>
  </conditionalFormatting>
  <conditionalFormatting sqref="G15:G23">
    <cfRule type="cellIs" dxfId="1558" priority="26" operator="equal">
      <formula>0</formula>
    </cfRule>
    <cfRule type="containsBlanks" dxfId="1557" priority="27">
      <formula>LEN(TRIM(G15))=0</formula>
    </cfRule>
  </conditionalFormatting>
  <conditionalFormatting sqref="H5:AA5">
    <cfRule type="containsBlanks" dxfId="1556" priority="25">
      <formula>LEN(TRIM(H5))=0</formula>
    </cfRule>
  </conditionalFormatting>
  <conditionalFormatting sqref="G5">
    <cfRule type="containsBlanks" dxfId="1555" priority="24">
      <formula>LEN(TRIM(G5))=0</formula>
    </cfRule>
  </conditionalFormatting>
  <conditionalFormatting sqref="F6:G6">
    <cfRule type="containsBlanks" dxfId="1554" priority="23">
      <formula>LEN(TRIM(F6))=0</formula>
    </cfRule>
  </conditionalFormatting>
  <conditionalFormatting sqref="H14:AA14">
    <cfRule type="containsBlanks" dxfId="1553" priority="22">
      <formula>LEN(TRIM(H14))=0</formula>
    </cfRule>
  </conditionalFormatting>
  <conditionalFormatting sqref="D5">
    <cfRule type="containsBlanks" dxfId="1552" priority="21">
      <formula>LEN(TRIM(D5))=0</formula>
    </cfRule>
  </conditionalFormatting>
  <conditionalFormatting sqref="C5">
    <cfRule type="containsBlanks" dxfId="1551" priority="20">
      <formula>LEN(TRIM(C5))=0</formula>
    </cfRule>
  </conditionalFormatting>
  <conditionalFormatting sqref="D14">
    <cfRule type="containsBlanks" dxfId="1550" priority="19">
      <formula>LEN(TRIM(D14))=0</formula>
    </cfRule>
  </conditionalFormatting>
  <conditionalFormatting sqref="G8:AA8 G10:AA10">
    <cfRule type="containsBlanks" dxfId="1549" priority="18">
      <formula>LEN(TRIM(G8))=0</formula>
    </cfRule>
  </conditionalFormatting>
  <conditionalFormatting sqref="G8:AA8 G10:AA10">
    <cfRule type="cellIs" dxfId="1548" priority="17" operator="equal">
      <formula>0</formula>
    </cfRule>
  </conditionalFormatting>
  <conditionalFormatting sqref="G7:AA7">
    <cfRule type="containsBlanks" dxfId="1547" priority="16">
      <formula>LEN(TRIM(G7))=0</formula>
    </cfRule>
  </conditionalFormatting>
  <conditionalFormatting sqref="G7:AA7">
    <cfRule type="cellIs" dxfId="1546" priority="15" operator="equal">
      <formula>0</formula>
    </cfRule>
  </conditionalFormatting>
  <conditionalFormatting sqref="A5">
    <cfRule type="containsBlanks" dxfId="1545" priority="13">
      <formula>LEN(TRIM(A5))=0</formula>
    </cfRule>
  </conditionalFormatting>
  <conditionalFormatting sqref="F7">
    <cfRule type="containsBlanks" dxfId="1544" priority="14">
      <formula>LEN(TRIM(F7))=0</formula>
    </cfRule>
  </conditionalFormatting>
  <conditionalFormatting sqref="B5">
    <cfRule type="containsBlanks" dxfId="1543" priority="12">
      <formula>LEN(TRIM(B5))=0</formula>
    </cfRule>
  </conditionalFormatting>
  <conditionalFormatting sqref="A7:E7">
    <cfRule type="containsBlanks" dxfId="1542" priority="11">
      <formula>LEN(TRIM(A7))=0</formula>
    </cfRule>
  </conditionalFormatting>
  <conditionalFormatting sqref="G9">
    <cfRule type="containsBlanks" dxfId="1541" priority="10">
      <formula>LEN(TRIM(G9))=0</formula>
    </cfRule>
  </conditionalFormatting>
  <conditionalFormatting sqref="H9:AA9">
    <cfRule type="containsBlanks" dxfId="1540" priority="9">
      <formula>LEN(TRIM(H9))=0</formula>
    </cfRule>
  </conditionalFormatting>
  <conditionalFormatting sqref="H9:AA9">
    <cfRule type="cellIs" dxfId="1539" priority="8" operator="equal">
      <formula>0</formula>
    </cfRule>
  </conditionalFormatting>
  <conditionalFormatting sqref="E5">
    <cfRule type="containsBlanks" dxfId="1538" priority="7">
      <formula>LEN(TRIM(E5))=0</formula>
    </cfRule>
  </conditionalFormatting>
  <conditionalFormatting sqref="F5">
    <cfRule type="containsBlanks" dxfId="1537" priority="6">
      <formula>LEN(TRIM(F5))=0</formula>
    </cfRule>
  </conditionalFormatting>
  <conditionalFormatting sqref="E6">
    <cfRule type="containsBlanks" dxfId="1536" priority="5">
      <formula>LEN(TRIM(E6))=0</formula>
    </cfRule>
  </conditionalFormatting>
  <conditionalFormatting sqref="D6">
    <cfRule type="containsBlanks" dxfId="1535" priority="4">
      <formula>LEN(TRIM(D6))=0</formula>
    </cfRule>
  </conditionalFormatting>
  <conditionalFormatting sqref="C6">
    <cfRule type="containsBlanks" dxfId="1534" priority="3">
      <formula>LEN(TRIM(C6))=0</formula>
    </cfRule>
  </conditionalFormatting>
  <conditionalFormatting sqref="A6">
    <cfRule type="containsBlanks" dxfId="1533" priority="2">
      <formula>LEN(TRIM(A6))=0</formula>
    </cfRule>
  </conditionalFormatting>
  <conditionalFormatting sqref="B6">
    <cfRule type="containsBlanks" dxfId="1532" priority="1">
      <formula>LEN(TRIM(B6))=0</formula>
    </cfRule>
  </conditionalFormatting>
  <dataValidations count="1">
    <dataValidation type="list" allowBlank="1" showInputMessage="1" showErrorMessage="1" sqref="E15:E23 E26:E27" xr:uid="{ACCBACAB-62B3-4B4F-BEBC-E80B35C8E4C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32E3-AA9E-44CE-824E-9A2F789439D3}">
  <sheetPr codeName="Hoja7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146</v>
      </c>
      <c r="B6" s="70" t="s">
        <v>122</v>
      </c>
      <c r="C6" s="54">
        <v>603</v>
      </c>
      <c r="D6" s="58" t="s">
        <v>147</v>
      </c>
      <c r="E6" s="69">
        <v>2000</v>
      </c>
      <c r="F6" s="7">
        <v>603140425</v>
      </c>
      <c r="G6" s="77">
        <v>0.44500000000000001</v>
      </c>
      <c r="H6" s="8">
        <v>0</v>
      </c>
      <c r="I6" s="8">
        <v>5.8999999999999997E-2</v>
      </c>
      <c r="J6" s="8">
        <v>2.4E-2</v>
      </c>
      <c r="K6" s="8">
        <v>0</v>
      </c>
      <c r="L6" s="8">
        <v>0</v>
      </c>
      <c r="M6" s="8">
        <v>1.7000000000000001E-2</v>
      </c>
      <c r="N6" s="8">
        <v>5.6000000000000001E-2</v>
      </c>
      <c r="O6" s="8">
        <v>0.33</v>
      </c>
      <c r="P6" s="8">
        <v>0</v>
      </c>
      <c r="Q6" s="8">
        <v>0.06</v>
      </c>
      <c r="R6" s="8">
        <v>2.7E-2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0.06</v>
      </c>
      <c r="Z6" s="8">
        <v>0</v>
      </c>
      <c r="AA6" s="8">
        <v>0</v>
      </c>
    </row>
    <row r="7" spans="1:27" ht="19.5" x14ac:dyDescent="0.25">
      <c r="A7" s="55" t="s">
        <v>146</v>
      </c>
      <c r="B7" s="55" t="s">
        <v>122</v>
      </c>
      <c r="C7" s="55">
        <v>603</v>
      </c>
      <c r="D7" s="55" t="s">
        <v>147</v>
      </c>
      <c r="E7" s="55">
        <v>2000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</v>
      </c>
      <c r="H8" s="8"/>
      <c r="I8" s="8">
        <v>5.1168999999999999E-2</v>
      </c>
      <c r="J8" s="8"/>
      <c r="K8" s="8"/>
      <c r="L8" s="8"/>
      <c r="M8" s="8"/>
      <c r="N8" s="8">
        <v>5.1168999999999999E-2</v>
      </c>
      <c r="O8" s="8">
        <v>0.308305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147</v>
      </c>
      <c r="E9" s="60"/>
      <c r="F9" s="61"/>
      <c r="G9" s="77">
        <v>0.45</v>
      </c>
      <c r="H9" s="8"/>
      <c r="I9" s="8">
        <v>0.06</v>
      </c>
      <c r="J9" s="8"/>
      <c r="K9" s="8"/>
      <c r="L9" s="8"/>
      <c r="M9" s="8"/>
      <c r="N9" s="8">
        <v>0.06</v>
      </c>
      <c r="O9" s="8">
        <v>0.33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</v>
      </c>
      <c r="H10" s="8"/>
      <c r="I10" s="8">
        <v>6.8831000000000003E-2</v>
      </c>
      <c r="J10" s="8"/>
      <c r="K10" s="8"/>
      <c r="L10" s="8"/>
      <c r="M10" s="8"/>
      <c r="N10" s="8">
        <v>6.8831000000000003E-2</v>
      </c>
      <c r="O10" s="8">
        <v>0.35169500000000004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37.5</v>
      </c>
      <c r="G15" s="9">
        <v>3.75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112.5</v>
      </c>
      <c r="G16" s="9">
        <v>11.25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v>20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100</v>
      </c>
      <c r="G18" s="9">
        <v>10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550</v>
      </c>
      <c r="G19" s="9">
        <v>55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450</v>
      </c>
      <c r="E26" s="9" t="s">
        <v>134</v>
      </c>
      <c r="F26" s="9">
        <v>0.11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TeV4bOCMLeSDbln39FqHPEUUgVjOCK7/PErlkGQVadAjQ+eCWSz/bM3XiecAupb5tBFWKpdNUiYSHQsWqqyoWA==" saltValue="pztdizYJwltnl2cHctx0p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531" priority="29">
      <formula>LEN(TRIM(C6))=0</formula>
    </cfRule>
  </conditionalFormatting>
  <conditionalFormatting sqref="H15:AA23 H6:AA6">
    <cfRule type="cellIs" dxfId="1530" priority="28" operator="equal">
      <formula>0</formula>
    </cfRule>
  </conditionalFormatting>
  <conditionalFormatting sqref="G15:G23">
    <cfRule type="cellIs" dxfId="1529" priority="26" operator="equal">
      <formula>0</formula>
    </cfRule>
    <cfRule type="containsBlanks" dxfId="1528" priority="27">
      <formula>LEN(TRIM(G15))=0</formula>
    </cfRule>
  </conditionalFormatting>
  <conditionalFormatting sqref="H5:AA5">
    <cfRule type="containsBlanks" dxfId="1527" priority="25">
      <formula>LEN(TRIM(H5))=0</formula>
    </cfRule>
  </conditionalFormatting>
  <conditionalFormatting sqref="G5">
    <cfRule type="containsBlanks" dxfId="1526" priority="24">
      <formula>LEN(TRIM(G5))=0</formula>
    </cfRule>
  </conditionalFormatting>
  <conditionalFormatting sqref="F6:G6">
    <cfRule type="containsBlanks" dxfId="1525" priority="23">
      <formula>LEN(TRIM(F6))=0</formula>
    </cfRule>
  </conditionalFormatting>
  <conditionalFormatting sqref="H14:AA14">
    <cfRule type="containsBlanks" dxfId="1524" priority="22">
      <formula>LEN(TRIM(H14))=0</formula>
    </cfRule>
  </conditionalFormatting>
  <conditionalFormatting sqref="D5">
    <cfRule type="containsBlanks" dxfId="1523" priority="21">
      <formula>LEN(TRIM(D5))=0</formula>
    </cfRule>
  </conditionalFormatting>
  <conditionalFormatting sqref="C5">
    <cfRule type="containsBlanks" dxfId="1522" priority="20">
      <formula>LEN(TRIM(C5))=0</formula>
    </cfRule>
  </conditionalFormatting>
  <conditionalFormatting sqref="D14">
    <cfRule type="containsBlanks" dxfId="1521" priority="19">
      <formula>LEN(TRIM(D14))=0</formula>
    </cfRule>
  </conditionalFormatting>
  <conditionalFormatting sqref="G8:AA8 G10:AA10">
    <cfRule type="containsBlanks" dxfId="1520" priority="18">
      <formula>LEN(TRIM(G8))=0</formula>
    </cfRule>
  </conditionalFormatting>
  <conditionalFormatting sqref="G8:AA8 G10:AA10">
    <cfRule type="cellIs" dxfId="1519" priority="17" operator="equal">
      <formula>0</formula>
    </cfRule>
  </conditionalFormatting>
  <conditionalFormatting sqref="G7:AA7">
    <cfRule type="containsBlanks" dxfId="1518" priority="16">
      <formula>LEN(TRIM(G7))=0</formula>
    </cfRule>
  </conditionalFormatting>
  <conditionalFormatting sqref="G7:AA7">
    <cfRule type="cellIs" dxfId="1517" priority="15" operator="equal">
      <formula>0</formula>
    </cfRule>
  </conditionalFormatting>
  <conditionalFormatting sqref="A5">
    <cfRule type="containsBlanks" dxfId="1516" priority="13">
      <formula>LEN(TRIM(A5))=0</formula>
    </cfRule>
  </conditionalFormatting>
  <conditionalFormatting sqref="F7">
    <cfRule type="containsBlanks" dxfId="1515" priority="14">
      <formula>LEN(TRIM(F7))=0</formula>
    </cfRule>
  </conditionalFormatting>
  <conditionalFormatting sqref="B5">
    <cfRule type="containsBlanks" dxfId="1514" priority="12">
      <formula>LEN(TRIM(B5))=0</formula>
    </cfRule>
  </conditionalFormatting>
  <conditionalFormatting sqref="A7:E7">
    <cfRule type="containsBlanks" dxfId="1513" priority="11">
      <formula>LEN(TRIM(A7))=0</formula>
    </cfRule>
  </conditionalFormatting>
  <conditionalFormatting sqref="G9">
    <cfRule type="containsBlanks" dxfId="1512" priority="10">
      <formula>LEN(TRIM(G9))=0</formula>
    </cfRule>
  </conditionalFormatting>
  <conditionalFormatting sqref="H9:AA9">
    <cfRule type="containsBlanks" dxfId="1511" priority="9">
      <formula>LEN(TRIM(H9))=0</formula>
    </cfRule>
  </conditionalFormatting>
  <conditionalFormatting sqref="H9:AA9">
    <cfRule type="cellIs" dxfId="1510" priority="8" operator="equal">
      <formula>0</formula>
    </cfRule>
  </conditionalFormatting>
  <conditionalFormatting sqref="E5">
    <cfRule type="containsBlanks" dxfId="1509" priority="7">
      <formula>LEN(TRIM(E5))=0</formula>
    </cfRule>
  </conditionalFormatting>
  <conditionalFormatting sqref="F5">
    <cfRule type="containsBlanks" dxfId="1508" priority="6">
      <formula>LEN(TRIM(F5))=0</formula>
    </cfRule>
  </conditionalFormatting>
  <conditionalFormatting sqref="E6">
    <cfRule type="containsBlanks" dxfId="1507" priority="5">
      <formula>LEN(TRIM(E6))=0</formula>
    </cfRule>
  </conditionalFormatting>
  <conditionalFormatting sqref="D6">
    <cfRule type="containsBlanks" dxfId="1506" priority="4">
      <formula>LEN(TRIM(D6))=0</formula>
    </cfRule>
  </conditionalFormatting>
  <conditionalFormatting sqref="C6">
    <cfRule type="containsBlanks" dxfId="1505" priority="3">
      <formula>LEN(TRIM(C6))=0</formula>
    </cfRule>
  </conditionalFormatting>
  <conditionalFormatting sqref="A6">
    <cfRule type="containsBlanks" dxfId="1504" priority="2">
      <formula>LEN(TRIM(A6))=0</formula>
    </cfRule>
  </conditionalFormatting>
  <conditionalFormatting sqref="B6">
    <cfRule type="containsBlanks" dxfId="1503" priority="1">
      <formula>LEN(TRIM(B6))=0</formula>
    </cfRule>
  </conditionalFormatting>
  <dataValidations count="1">
    <dataValidation type="list" allowBlank="1" showInputMessage="1" showErrorMessage="1" sqref="E15:E23 E26:E27" xr:uid="{75E50BD4-359A-4B56-8576-DD93EF46AD9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C230-FFBC-4273-8A99-FC8F1BA5485A}">
  <sheetPr codeName="Hoja8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E15" sqref="E15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148</v>
      </c>
      <c r="B6" s="70" t="s">
        <v>122</v>
      </c>
      <c r="C6" s="54">
        <v>841</v>
      </c>
      <c r="D6" s="58" t="s">
        <v>149</v>
      </c>
      <c r="E6" s="69">
        <v>22000</v>
      </c>
      <c r="F6" s="7">
        <v>841140425</v>
      </c>
      <c r="G6" s="77">
        <v>0.377</v>
      </c>
      <c r="H6" s="8">
        <v>0</v>
      </c>
      <c r="I6" s="8">
        <v>0.158</v>
      </c>
      <c r="J6" s="8">
        <v>0</v>
      </c>
      <c r="K6" s="8">
        <v>0</v>
      </c>
      <c r="L6" s="8">
        <v>0</v>
      </c>
      <c r="M6" s="8">
        <v>0.13800000000000001</v>
      </c>
      <c r="N6" s="8">
        <v>5.0999999999999997E-2</v>
      </c>
      <c r="O6" s="8">
        <v>0.16800000000000001</v>
      </c>
      <c r="P6" s="8">
        <v>5.6000000000000001E-2</v>
      </c>
      <c r="Q6" s="8">
        <v>5.6000000000000001E-2</v>
      </c>
      <c r="R6" s="8">
        <v>1.2E-2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4.2999999999999997E-2</v>
      </c>
      <c r="Z6" s="8">
        <v>0</v>
      </c>
      <c r="AA6" s="8">
        <v>0</v>
      </c>
    </row>
    <row r="7" spans="1:27" ht="19.5" x14ac:dyDescent="0.25">
      <c r="A7" s="55" t="s">
        <v>148</v>
      </c>
      <c r="B7" s="55" t="s">
        <v>122</v>
      </c>
      <c r="C7" s="55">
        <v>841</v>
      </c>
      <c r="D7" s="55" t="s">
        <v>149</v>
      </c>
      <c r="E7" s="55">
        <v>22000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139</v>
      </c>
      <c r="O7" s="8" t="s">
        <v>3</v>
      </c>
      <c r="P7" s="8" t="s">
        <v>156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0.36000000000000004</v>
      </c>
      <c r="H8" s="8"/>
      <c r="I8" s="8">
        <v>0.157891</v>
      </c>
      <c r="J8" s="8"/>
      <c r="K8" s="8"/>
      <c r="L8" s="8"/>
      <c r="M8" s="8"/>
      <c r="N8" s="8">
        <v>5.1168999999999999E-2</v>
      </c>
      <c r="O8" s="8">
        <v>0.16448499999999999</v>
      </c>
      <c r="P8" s="8">
        <v>1.37E-2</v>
      </c>
      <c r="Q8" s="8"/>
      <c r="R8" s="8">
        <v>6.2500000000000003E-3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149</v>
      </c>
      <c r="E9" s="60"/>
      <c r="F9" s="61"/>
      <c r="G9" s="77">
        <v>0.41000000000000003</v>
      </c>
      <c r="H9" s="8"/>
      <c r="I9" s="8">
        <v>0.17</v>
      </c>
      <c r="J9" s="8"/>
      <c r="K9" s="8"/>
      <c r="L9" s="8"/>
      <c r="M9" s="8"/>
      <c r="N9" s="8">
        <v>0.06</v>
      </c>
      <c r="O9" s="8">
        <v>0.18</v>
      </c>
      <c r="P9" s="8">
        <v>0.02</v>
      </c>
      <c r="Q9" s="8"/>
      <c r="R9" s="8">
        <v>0.01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0.46</v>
      </c>
      <c r="H10" s="8"/>
      <c r="I10" s="8">
        <v>0.18210900000000002</v>
      </c>
      <c r="J10" s="8"/>
      <c r="K10" s="8"/>
      <c r="L10" s="8"/>
      <c r="M10" s="8"/>
      <c r="N10" s="8">
        <v>6.8831000000000003E-2</v>
      </c>
      <c r="O10" s="8">
        <v>0.19551499999999999</v>
      </c>
      <c r="P10" s="8">
        <v>2.63E-2</v>
      </c>
      <c r="Q10" s="8"/>
      <c r="R10" s="8">
        <v>1.375E-2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300</v>
      </c>
      <c r="G15" s="9">
        <v>30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65</v>
      </c>
      <c r="E16" s="9" t="s">
        <v>150</v>
      </c>
      <c r="F16" s="9">
        <v>310</v>
      </c>
      <c r="G16" s="9">
        <v>31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0.18</v>
      </c>
      <c r="Q16" s="10">
        <v>0.18</v>
      </c>
      <c r="R16" s="10">
        <v>0.04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0.14000000000000001</v>
      </c>
      <c r="Z16" s="10">
        <v>0</v>
      </c>
      <c r="AA16" s="11">
        <v>0</v>
      </c>
    </row>
    <row r="17" spans="3:27" x14ac:dyDescent="0.25">
      <c r="D17" s="9">
        <v>97</v>
      </c>
      <c r="E17" s="9" t="s">
        <v>142</v>
      </c>
      <c r="F17" s="9">
        <v>110</v>
      </c>
      <c r="G17" s="9">
        <v>11</v>
      </c>
      <c r="H17" s="10">
        <v>0</v>
      </c>
      <c r="I17" s="10">
        <v>0.18</v>
      </c>
      <c r="J17" s="10">
        <v>0</v>
      </c>
      <c r="K17" s="10">
        <v>0</v>
      </c>
      <c r="L17" s="10">
        <v>0</v>
      </c>
      <c r="M17" s="10">
        <v>0</v>
      </c>
      <c r="N17" s="10">
        <v>0.46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133</v>
      </c>
      <c r="F18" s="9">
        <v>280</v>
      </c>
      <c r="G18" s="9">
        <v>28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0.6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ICqgC+DfyQfczEci1FW7QSfchBX1WIJRmFiBpPsm+blLLTdowoyaIZgU9n+n+f2+f0Gr5vBrrEGZRCi/0kv+CQ==" saltValue="plSoNZblFeaPykjCNqTy1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502" priority="29">
      <formula>LEN(TRIM(C6))=0</formula>
    </cfRule>
  </conditionalFormatting>
  <conditionalFormatting sqref="H15:AA23 H6:AA6">
    <cfRule type="cellIs" dxfId="1501" priority="28" operator="equal">
      <formula>0</formula>
    </cfRule>
  </conditionalFormatting>
  <conditionalFormatting sqref="G15:G23">
    <cfRule type="cellIs" dxfId="1500" priority="26" operator="equal">
      <formula>0</formula>
    </cfRule>
    <cfRule type="containsBlanks" dxfId="1499" priority="27">
      <formula>LEN(TRIM(G15))=0</formula>
    </cfRule>
  </conditionalFormatting>
  <conditionalFormatting sqref="H5:AA5">
    <cfRule type="containsBlanks" dxfId="1498" priority="25">
      <formula>LEN(TRIM(H5))=0</formula>
    </cfRule>
  </conditionalFormatting>
  <conditionalFormatting sqref="G5">
    <cfRule type="containsBlanks" dxfId="1497" priority="24">
      <formula>LEN(TRIM(G5))=0</formula>
    </cfRule>
  </conditionalFormatting>
  <conditionalFormatting sqref="F6:G6">
    <cfRule type="containsBlanks" dxfId="1496" priority="23">
      <formula>LEN(TRIM(F6))=0</formula>
    </cfRule>
  </conditionalFormatting>
  <conditionalFormatting sqref="H14:AA14">
    <cfRule type="containsBlanks" dxfId="1495" priority="22">
      <formula>LEN(TRIM(H14))=0</formula>
    </cfRule>
  </conditionalFormatting>
  <conditionalFormatting sqref="D5">
    <cfRule type="containsBlanks" dxfId="1494" priority="21">
      <formula>LEN(TRIM(D5))=0</formula>
    </cfRule>
  </conditionalFormatting>
  <conditionalFormatting sqref="C5">
    <cfRule type="containsBlanks" dxfId="1493" priority="20">
      <formula>LEN(TRIM(C5))=0</formula>
    </cfRule>
  </conditionalFormatting>
  <conditionalFormatting sqref="D14">
    <cfRule type="containsBlanks" dxfId="1492" priority="19">
      <formula>LEN(TRIM(D14))=0</formula>
    </cfRule>
  </conditionalFormatting>
  <conditionalFormatting sqref="G8:AA8 G10:AA10">
    <cfRule type="containsBlanks" dxfId="1491" priority="18">
      <formula>LEN(TRIM(G8))=0</formula>
    </cfRule>
  </conditionalFormatting>
  <conditionalFormatting sqref="G8:AA8 G10:AA10">
    <cfRule type="cellIs" dxfId="1490" priority="17" operator="equal">
      <formula>0</formula>
    </cfRule>
  </conditionalFormatting>
  <conditionalFormatting sqref="G7:AA7">
    <cfRule type="containsBlanks" dxfId="1489" priority="16">
      <formula>LEN(TRIM(G7))=0</formula>
    </cfRule>
  </conditionalFormatting>
  <conditionalFormatting sqref="G7:AA7">
    <cfRule type="cellIs" dxfId="1488" priority="15" operator="equal">
      <formula>0</formula>
    </cfRule>
  </conditionalFormatting>
  <conditionalFormatting sqref="A5">
    <cfRule type="containsBlanks" dxfId="1487" priority="13">
      <formula>LEN(TRIM(A5))=0</formula>
    </cfRule>
  </conditionalFormatting>
  <conditionalFormatting sqref="F7">
    <cfRule type="containsBlanks" dxfId="1486" priority="14">
      <formula>LEN(TRIM(F7))=0</formula>
    </cfRule>
  </conditionalFormatting>
  <conditionalFormatting sqref="B5">
    <cfRule type="containsBlanks" dxfId="1485" priority="12">
      <formula>LEN(TRIM(B5))=0</formula>
    </cfRule>
  </conditionalFormatting>
  <conditionalFormatting sqref="A7:E7">
    <cfRule type="containsBlanks" dxfId="1484" priority="11">
      <formula>LEN(TRIM(A7))=0</formula>
    </cfRule>
  </conditionalFormatting>
  <conditionalFormatting sqref="G9">
    <cfRule type="containsBlanks" dxfId="1483" priority="10">
      <formula>LEN(TRIM(G9))=0</formula>
    </cfRule>
  </conditionalFormatting>
  <conditionalFormatting sqref="H9:AA9">
    <cfRule type="containsBlanks" dxfId="1482" priority="9">
      <formula>LEN(TRIM(H9))=0</formula>
    </cfRule>
  </conditionalFormatting>
  <conditionalFormatting sqref="H9:AA9">
    <cfRule type="cellIs" dxfId="1481" priority="8" operator="equal">
      <formula>0</formula>
    </cfRule>
  </conditionalFormatting>
  <conditionalFormatting sqref="E5">
    <cfRule type="containsBlanks" dxfId="1480" priority="7">
      <formula>LEN(TRIM(E5))=0</formula>
    </cfRule>
  </conditionalFormatting>
  <conditionalFormatting sqref="F5">
    <cfRule type="containsBlanks" dxfId="1479" priority="6">
      <formula>LEN(TRIM(F5))=0</formula>
    </cfRule>
  </conditionalFormatting>
  <conditionalFormatting sqref="E6">
    <cfRule type="containsBlanks" dxfId="1478" priority="5">
      <formula>LEN(TRIM(E6))=0</formula>
    </cfRule>
  </conditionalFormatting>
  <conditionalFormatting sqref="D6">
    <cfRule type="containsBlanks" dxfId="1477" priority="4">
      <formula>LEN(TRIM(D6))=0</formula>
    </cfRule>
  </conditionalFormatting>
  <conditionalFormatting sqref="C6">
    <cfRule type="containsBlanks" dxfId="1476" priority="3">
      <formula>LEN(TRIM(C6))=0</formula>
    </cfRule>
  </conditionalFormatting>
  <conditionalFormatting sqref="A6">
    <cfRule type="containsBlanks" dxfId="1475" priority="2">
      <formula>LEN(TRIM(A6))=0</formula>
    </cfRule>
  </conditionalFormatting>
  <conditionalFormatting sqref="B6">
    <cfRule type="containsBlanks" dxfId="1474" priority="1">
      <formula>LEN(TRIM(B6))=0</formula>
    </cfRule>
  </conditionalFormatting>
  <dataValidations count="1">
    <dataValidation type="list" allowBlank="1" showInputMessage="1" showErrorMessage="1" sqref="E26:E27 E15:E23" xr:uid="{E9C54DCB-EB94-4758-A5C9-894D3EC2A355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A5BF4-7983-48A7-81F0-05F89F640986}">
  <sheetPr codeName="Hoja10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151</v>
      </c>
      <c r="B6" s="70" t="s">
        <v>152</v>
      </c>
      <c r="C6" s="54">
        <v>65</v>
      </c>
      <c r="D6" s="58" t="s">
        <v>153</v>
      </c>
      <c r="E6" s="69">
        <v>10500</v>
      </c>
      <c r="F6" s="7">
        <v>65150425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151</v>
      </c>
      <c r="B7" s="55" t="s">
        <v>152</v>
      </c>
      <c r="C7" s="55">
        <v>65</v>
      </c>
      <c r="D7" s="55" t="s">
        <v>153</v>
      </c>
      <c r="E7" s="55">
        <v>10500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156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2.4750000000000001E-2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153</v>
      </c>
      <c r="E9" s="60"/>
      <c r="F9" s="61"/>
      <c r="G9" s="77"/>
      <c r="H9" s="8"/>
      <c r="I9" s="8">
        <v>0</v>
      </c>
      <c r="J9" s="8"/>
      <c r="K9" s="8"/>
      <c r="L9" s="8"/>
      <c r="M9" s="8"/>
      <c r="N9" s="8">
        <v>0</v>
      </c>
      <c r="O9" s="8">
        <v>0</v>
      </c>
      <c r="P9" s="8">
        <v>0.16</v>
      </c>
      <c r="Q9" s="8">
        <v>0.16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3.5249999999999997E-2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274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532wWjlsS/NfzY9ZxAJn0UplnizL1xLxgHTsRwbJrOKvrrR0pC1QzbQjapKMar45wDWHBe/NfpkfdH6kXRhZkg==" saltValue="9wZpbPNYrfNyAXJatDHyi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473" priority="29">
      <formula>LEN(TRIM(C6))=0</formula>
    </cfRule>
  </conditionalFormatting>
  <conditionalFormatting sqref="H15:AA23 H6:AA6">
    <cfRule type="cellIs" dxfId="1472" priority="28" operator="equal">
      <formula>0</formula>
    </cfRule>
  </conditionalFormatting>
  <conditionalFormatting sqref="G15:G23">
    <cfRule type="cellIs" dxfId="1471" priority="26" operator="equal">
      <formula>0</formula>
    </cfRule>
    <cfRule type="containsBlanks" dxfId="1470" priority="27">
      <formula>LEN(TRIM(G15))=0</formula>
    </cfRule>
  </conditionalFormatting>
  <conditionalFormatting sqref="H5:AA5">
    <cfRule type="containsBlanks" dxfId="1469" priority="25">
      <formula>LEN(TRIM(H5))=0</formula>
    </cfRule>
  </conditionalFormatting>
  <conditionalFormatting sqref="G5">
    <cfRule type="containsBlanks" dxfId="1468" priority="24">
      <formula>LEN(TRIM(G5))=0</formula>
    </cfRule>
  </conditionalFormatting>
  <conditionalFormatting sqref="F6:G6">
    <cfRule type="containsBlanks" dxfId="1467" priority="23">
      <formula>LEN(TRIM(F6))=0</formula>
    </cfRule>
  </conditionalFormatting>
  <conditionalFormatting sqref="H14:AA14">
    <cfRule type="containsBlanks" dxfId="1466" priority="22">
      <formula>LEN(TRIM(H14))=0</formula>
    </cfRule>
  </conditionalFormatting>
  <conditionalFormatting sqref="D5">
    <cfRule type="containsBlanks" dxfId="1465" priority="21">
      <formula>LEN(TRIM(D5))=0</formula>
    </cfRule>
  </conditionalFormatting>
  <conditionalFormatting sqref="C5">
    <cfRule type="containsBlanks" dxfId="1464" priority="20">
      <formula>LEN(TRIM(C5))=0</formula>
    </cfRule>
  </conditionalFormatting>
  <conditionalFormatting sqref="D14">
    <cfRule type="containsBlanks" dxfId="1463" priority="19">
      <formula>LEN(TRIM(D14))=0</formula>
    </cfRule>
  </conditionalFormatting>
  <conditionalFormatting sqref="G8:AA8 G10:AA10">
    <cfRule type="containsBlanks" dxfId="1462" priority="18">
      <formula>LEN(TRIM(G8))=0</formula>
    </cfRule>
  </conditionalFormatting>
  <conditionalFormatting sqref="G8:AA8 G10:AA10">
    <cfRule type="cellIs" dxfId="1461" priority="17" operator="equal">
      <formula>0</formula>
    </cfRule>
  </conditionalFormatting>
  <conditionalFormatting sqref="G7:AA7">
    <cfRule type="containsBlanks" dxfId="1460" priority="16">
      <formula>LEN(TRIM(G7))=0</formula>
    </cfRule>
  </conditionalFormatting>
  <conditionalFormatting sqref="G7:AA7">
    <cfRule type="cellIs" dxfId="1459" priority="15" operator="equal">
      <formula>0</formula>
    </cfRule>
  </conditionalFormatting>
  <conditionalFormatting sqref="A5">
    <cfRule type="containsBlanks" dxfId="1458" priority="13">
      <formula>LEN(TRIM(A5))=0</formula>
    </cfRule>
  </conditionalFormatting>
  <conditionalFormatting sqref="F7">
    <cfRule type="containsBlanks" dxfId="1457" priority="14">
      <formula>LEN(TRIM(F7))=0</formula>
    </cfRule>
  </conditionalFormatting>
  <conditionalFormatting sqref="B5">
    <cfRule type="containsBlanks" dxfId="1456" priority="12">
      <formula>LEN(TRIM(B5))=0</formula>
    </cfRule>
  </conditionalFormatting>
  <conditionalFormatting sqref="A7:E7">
    <cfRule type="containsBlanks" dxfId="1455" priority="11">
      <formula>LEN(TRIM(A7))=0</formula>
    </cfRule>
  </conditionalFormatting>
  <conditionalFormatting sqref="G9">
    <cfRule type="containsBlanks" dxfId="1454" priority="10">
      <formula>LEN(TRIM(G9))=0</formula>
    </cfRule>
  </conditionalFormatting>
  <conditionalFormatting sqref="H9:AA9">
    <cfRule type="containsBlanks" dxfId="1453" priority="9">
      <formula>LEN(TRIM(H9))=0</formula>
    </cfRule>
  </conditionalFormatting>
  <conditionalFormatting sqref="H9:AA9">
    <cfRule type="cellIs" dxfId="1452" priority="8" operator="equal">
      <formula>0</formula>
    </cfRule>
  </conditionalFormatting>
  <conditionalFormatting sqref="E5">
    <cfRule type="containsBlanks" dxfId="1451" priority="7">
      <formula>LEN(TRIM(E5))=0</formula>
    </cfRule>
  </conditionalFormatting>
  <conditionalFormatting sqref="F5">
    <cfRule type="containsBlanks" dxfId="1450" priority="6">
      <formula>LEN(TRIM(F5))=0</formula>
    </cfRule>
  </conditionalFormatting>
  <conditionalFormatting sqref="E6">
    <cfRule type="containsBlanks" dxfId="1449" priority="5">
      <formula>LEN(TRIM(E6))=0</formula>
    </cfRule>
  </conditionalFormatting>
  <conditionalFormatting sqref="D6">
    <cfRule type="containsBlanks" dxfId="1448" priority="4">
      <formula>LEN(TRIM(D6))=0</formula>
    </cfRule>
  </conditionalFormatting>
  <conditionalFormatting sqref="C6">
    <cfRule type="containsBlanks" dxfId="1447" priority="3">
      <formula>LEN(TRIM(C6))=0</formula>
    </cfRule>
  </conditionalFormatting>
  <conditionalFormatting sqref="A6">
    <cfRule type="containsBlanks" dxfId="1446" priority="2">
      <formula>LEN(TRIM(A6))=0</formula>
    </cfRule>
  </conditionalFormatting>
  <conditionalFormatting sqref="B6">
    <cfRule type="containsBlanks" dxfId="1445" priority="1">
      <formula>LEN(TRIM(B6))=0</formula>
    </cfRule>
  </conditionalFormatting>
  <dataValidations count="1">
    <dataValidation type="list" allowBlank="1" showInputMessage="1" showErrorMessage="1" sqref="E26:E27 E15:E23" xr:uid="{8F31E914-6D13-40AC-852D-BDC54013F06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475FC-09BD-4BF9-B62E-7021BD447091}">
  <sheetPr codeName="Hoja11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160</v>
      </c>
      <c r="B6" s="70" t="s">
        <v>161</v>
      </c>
      <c r="C6" s="54">
        <v>679</v>
      </c>
      <c r="D6" s="58" t="s">
        <v>162</v>
      </c>
      <c r="E6" s="69">
        <v>10500</v>
      </c>
      <c r="F6" s="7">
        <v>679160425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0.158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160</v>
      </c>
      <c r="B7" s="55" t="s">
        <v>161</v>
      </c>
      <c r="C7" s="55">
        <v>679</v>
      </c>
      <c r="D7" s="55" t="s">
        <v>162</v>
      </c>
      <c r="E7" s="55">
        <v>10500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162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50</v>
      </c>
      <c r="G17" s="9">
        <v>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463</v>
      </c>
      <c r="E20" s="9" t="s">
        <v>169</v>
      </c>
      <c r="F20" s="9">
        <v>100</v>
      </c>
      <c r="G20" s="9">
        <v>10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0.55000000000000004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yVGwL9xy9EJUGXrA28qQNOWdKj0V6kTarZrVW7lc4azaBjdZmpCI/eUocfR8nNnmfR/cWbGXHOynqT+Iogt/Uw==" saltValue="I4EQKYvf4Egq1bK+rZBWk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444" priority="29">
      <formula>LEN(TRIM(C6))=0</formula>
    </cfRule>
  </conditionalFormatting>
  <conditionalFormatting sqref="H15:AA23 H6:AA6">
    <cfRule type="cellIs" dxfId="1443" priority="28" operator="equal">
      <formula>0</formula>
    </cfRule>
  </conditionalFormatting>
  <conditionalFormatting sqref="G15:G23">
    <cfRule type="cellIs" dxfId="1442" priority="26" operator="equal">
      <formula>0</formula>
    </cfRule>
    <cfRule type="containsBlanks" dxfId="1441" priority="27">
      <formula>LEN(TRIM(G15))=0</formula>
    </cfRule>
  </conditionalFormatting>
  <conditionalFormatting sqref="H5:AA5">
    <cfRule type="containsBlanks" dxfId="1440" priority="25">
      <formula>LEN(TRIM(H5))=0</formula>
    </cfRule>
  </conditionalFormatting>
  <conditionalFormatting sqref="G5">
    <cfRule type="containsBlanks" dxfId="1439" priority="24">
      <formula>LEN(TRIM(G5))=0</formula>
    </cfRule>
  </conditionalFormatting>
  <conditionalFormatting sqref="F6:G6">
    <cfRule type="containsBlanks" dxfId="1438" priority="23">
      <formula>LEN(TRIM(F6))=0</formula>
    </cfRule>
  </conditionalFormatting>
  <conditionalFormatting sqref="H14:AA14">
    <cfRule type="containsBlanks" dxfId="1437" priority="22">
      <formula>LEN(TRIM(H14))=0</formula>
    </cfRule>
  </conditionalFormatting>
  <conditionalFormatting sqref="D5">
    <cfRule type="containsBlanks" dxfId="1436" priority="21">
      <formula>LEN(TRIM(D5))=0</formula>
    </cfRule>
  </conditionalFormatting>
  <conditionalFormatting sqref="C5">
    <cfRule type="containsBlanks" dxfId="1435" priority="20">
      <formula>LEN(TRIM(C5))=0</formula>
    </cfRule>
  </conditionalFormatting>
  <conditionalFormatting sqref="D14">
    <cfRule type="containsBlanks" dxfId="1434" priority="19">
      <formula>LEN(TRIM(D14))=0</formula>
    </cfRule>
  </conditionalFormatting>
  <conditionalFormatting sqref="G8:AA8 G10:AA10">
    <cfRule type="containsBlanks" dxfId="1433" priority="18">
      <formula>LEN(TRIM(G8))=0</formula>
    </cfRule>
  </conditionalFormatting>
  <conditionalFormatting sqref="G8:AA8 G10:AA10">
    <cfRule type="cellIs" dxfId="1432" priority="17" operator="equal">
      <formula>0</formula>
    </cfRule>
  </conditionalFormatting>
  <conditionalFormatting sqref="G7:AA7">
    <cfRule type="containsBlanks" dxfId="1431" priority="16">
      <formula>LEN(TRIM(G7))=0</formula>
    </cfRule>
  </conditionalFormatting>
  <conditionalFormatting sqref="G7:AA7">
    <cfRule type="cellIs" dxfId="1430" priority="15" operator="equal">
      <formula>0</formula>
    </cfRule>
  </conditionalFormatting>
  <conditionalFormatting sqref="A5">
    <cfRule type="containsBlanks" dxfId="1429" priority="13">
      <formula>LEN(TRIM(A5))=0</formula>
    </cfRule>
  </conditionalFormatting>
  <conditionalFormatting sqref="F7">
    <cfRule type="containsBlanks" dxfId="1428" priority="14">
      <formula>LEN(TRIM(F7))=0</formula>
    </cfRule>
  </conditionalFormatting>
  <conditionalFormatting sqref="B5">
    <cfRule type="containsBlanks" dxfId="1427" priority="12">
      <formula>LEN(TRIM(B5))=0</formula>
    </cfRule>
  </conditionalFormatting>
  <conditionalFormatting sqref="A7:E7">
    <cfRule type="containsBlanks" dxfId="1426" priority="11">
      <formula>LEN(TRIM(A7))=0</formula>
    </cfRule>
  </conditionalFormatting>
  <conditionalFormatting sqref="G9">
    <cfRule type="containsBlanks" dxfId="1425" priority="10">
      <formula>LEN(TRIM(G9))=0</formula>
    </cfRule>
  </conditionalFormatting>
  <conditionalFormatting sqref="H9:AA9">
    <cfRule type="containsBlanks" dxfId="1424" priority="9">
      <formula>LEN(TRIM(H9))=0</formula>
    </cfRule>
  </conditionalFormatting>
  <conditionalFormatting sqref="H9:AA9">
    <cfRule type="cellIs" dxfId="1423" priority="8" operator="equal">
      <formula>0</formula>
    </cfRule>
  </conditionalFormatting>
  <conditionalFormatting sqref="E5">
    <cfRule type="containsBlanks" dxfId="1422" priority="7">
      <formula>LEN(TRIM(E5))=0</formula>
    </cfRule>
  </conditionalFormatting>
  <conditionalFormatting sqref="F5">
    <cfRule type="containsBlanks" dxfId="1421" priority="6">
      <formula>LEN(TRIM(F5))=0</formula>
    </cfRule>
  </conditionalFormatting>
  <conditionalFormatting sqref="E6">
    <cfRule type="containsBlanks" dxfId="1420" priority="5">
      <formula>LEN(TRIM(E6))=0</formula>
    </cfRule>
  </conditionalFormatting>
  <conditionalFormatting sqref="D6">
    <cfRule type="containsBlanks" dxfId="1419" priority="4">
      <formula>LEN(TRIM(D6))=0</formula>
    </cfRule>
  </conditionalFormatting>
  <conditionalFormatting sqref="C6">
    <cfRule type="containsBlanks" dxfId="1418" priority="3">
      <formula>LEN(TRIM(C6))=0</formula>
    </cfRule>
  </conditionalFormatting>
  <conditionalFormatting sqref="A6">
    <cfRule type="containsBlanks" dxfId="1417" priority="2">
      <formula>LEN(TRIM(A6))=0</formula>
    </cfRule>
  </conditionalFormatting>
  <conditionalFormatting sqref="B6">
    <cfRule type="containsBlanks" dxfId="1416" priority="1">
      <formula>LEN(TRIM(B6))=0</formula>
    </cfRule>
  </conditionalFormatting>
  <dataValidations count="1">
    <dataValidation type="list" allowBlank="1" showInputMessage="1" showErrorMessage="1" sqref="E26:E27 E15:E23" xr:uid="{EE3E17ED-9B8F-4ECF-8677-030AE5E4F338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AD6E7-E79D-4DB0-BE2E-B6049BB83044}">
  <sheetPr codeName="Hoja14">
    <tabColor rgb="FF92D050"/>
  </sheetPr>
  <dimension ref="A1:AA32"/>
  <sheetViews>
    <sheetView zoomScaleNormal="100" workbookViewId="0">
      <pane xSplit="4" topLeftCell="G1" activePane="topRight" state="frozen"/>
      <selection activeCell="P9" sqref="P9"/>
      <selection pane="topRight" activeCell="P9" sqref="P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170</v>
      </c>
      <c r="B6" s="70" t="s">
        <v>161</v>
      </c>
      <c r="C6" s="54">
        <v>679</v>
      </c>
      <c r="D6" s="58" t="s">
        <v>171</v>
      </c>
      <c r="E6" s="69">
        <v>10500</v>
      </c>
      <c r="F6" s="7">
        <v>679160425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0.14699999999999999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170</v>
      </c>
      <c r="B7" s="55" t="s">
        <v>161</v>
      </c>
      <c r="C7" s="55">
        <v>679</v>
      </c>
      <c r="D7" s="55" t="s">
        <v>171</v>
      </c>
      <c r="E7" s="55">
        <v>10500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171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150</v>
      </c>
      <c r="G17" s="9">
        <v>15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1"/>
    </row>
    <row r="25" spans="3:27" x14ac:dyDescent="0.25">
      <c r="C25" s="73"/>
      <c r="D25" s="132"/>
      <c r="E25" s="132"/>
      <c r="F25" s="132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7cNX5bF+HuCIlMh8YEshHLrv1gGu51bA8RstSi55zQlb48/+8c/M6ZQ1PIfQ4c/Mby54HYYHmCmnRZTzsL9YSQ==" saltValue="2/5B5TvelDkOU1P8h4CiU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415" priority="29">
      <formula>LEN(TRIM(C6))=0</formula>
    </cfRule>
  </conditionalFormatting>
  <conditionalFormatting sqref="H15:AA23 H6:AA6">
    <cfRule type="cellIs" dxfId="1414" priority="28" operator="equal">
      <formula>0</formula>
    </cfRule>
  </conditionalFormatting>
  <conditionalFormatting sqref="G15:G23">
    <cfRule type="cellIs" dxfId="1413" priority="26" operator="equal">
      <formula>0</formula>
    </cfRule>
    <cfRule type="containsBlanks" dxfId="1412" priority="27">
      <formula>LEN(TRIM(G15))=0</formula>
    </cfRule>
  </conditionalFormatting>
  <conditionalFormatting sqref="H5:AA5">
    <cfRule type="containsBlanks" dxfId="1411" priority="25">
      <formula>LEN(TRIM(H5))=0</formula>
    </cfRule>
  </conditionalFormatting>
  <conditionalFormatting sqref="G5">
    <cfRule type="containsBlanks" dxfId="1410" priority="24">
      <formula>LEN(TRIM(G5))=0</formula>
    </cfRule>
  </conditionalFormatting>
  <conditionalFormatting sqref="F6:G6">
    <cfRule type="containsBlanks" dxfId="1409" priority="23">
      <formula>LEN(TRIM(F6))=0</formula>
    </cfRule>
  </conditionalFormatting>
  <conditionalFormatting sqref="H14:AA14">
    <cfRule type="containsBlanks" dxfId="1408" priority="22">
      <formula>LEN(TRIM(H14))=0</formula>
    </cfRule>
  </conditionalFormatting>
  <conditionalFormatting sqref="D5">
    <cfRule type="containsBlanks" dxfId="1407" priority="21">
      <formula>LEN(TRIM(D5))=0</formula>
    </cfRule>
  </conditionalFormatting>
  <conditionalFormatting sqref="C5">
    <cfRule type="containsBlanks" dxfId="1406" priority="20">
      <formula>LEN(TRIM(C5))=0</formula>
    </cfRule>
  </conditionalFormatting>
  <conditionalFormatting sqref="D14">
    <cfRule type="containsBlanks" dxfId="1405" priority="19">
      <formula>LEN(TRIM(D14))=0</formula>
    </cfRule>
  </conditionalFormatting>
  <conditionalFormatting sqref="G8:AA8 G10:AA10">
    <cfRule type="containsBlanks" dxfId="1404" priority="18">
      <formula>LEN(TRIM(G8))=0</formula>
    </cfRule>
  </conditionalFormatting>
  <conditionalFormatting sqref="G8:AA8 G10:AA10">
    <cfRule type="cellIs" dxfId="1403" priority="17" operator="equal">
      <formula>0</formula>
    </cfRule>
  </conditionalFormatting>
  <conditionalFormatting sqref="G7:AA7">
    <cfRule type="containsBlanks" dxfId="1402" priority="16">
      <formula>LEN(TRIM(G7))=0</formula>
    </cfRule>
  </conditionalFormatting>
  <conditionalFormatting sqref="G7:AA7">
    <cfRule type="cellIs" dxfId="1401" priority="15" operator="equal">
      <formula>0</formula>
    </cfRule>
  </conditionalFormatting>
  <conditionalFormatting sqref="A5">
    <cfRule type="containsBlanks" dxfId="1400" priority="13">
      <formula>LEN(TRIM(A5))=0</formula>
    </cfRule>
  </conditionalFormatting>
  <conditionalFormatting sqref="F7">
    <cfRule type="containsBlanks" dxfId="1399" priority="14">
      <formula>LEN(TRIM(F7))=0</formula>
    </cfRule>
  </conditionalFormatting>
  <conditionalFormatting sqref="B5">
    <cfRule type="containsBlanks" dxfId="1398" priority="12">
      <formula>LEN(TRIM(B5))=0</formula>
    </cfRule>
  </conditionalFormatting>
  <conditionalFormatting sqref="A7:E7">
    <cfRule type="containsBlanks" dxfId="1397" priority="11">
      <formula>LEN(TRIM(A7))=0</formula>
    </cfRule>
  </conditionalFormatting>
  <conditionalFormatting sqref="G9">
    <cfRule type="containsBlanks" dxfId="1396" priority="10">
      <formula>LEN(TRIM(G9))=0</formula>
    </cfRule>
  </conditionalFormatting>
  <conditionalFormatting sqref="H9:AA9">
    <cfRule type="containsBlanks" dxfId="1395" priority="9">
      <formula>LEN(TRIM(H9))=0</formula>
    </cfRule>
  </conditionalFormatting>
  <conditionalFormatting sqref="H9:AA9">
    <cfRule type="cellIs" dxfId="1394" priority="8" operator="equal">
      <formula>0</formula>
    </cfRule>
  </conditionalFormatting>
  <conditionalFormatting sqref="E5">
    <cfRule type="containsBlanks" dxfId="1393" priority="7">
      <formula>LEN(TRIM(E5))=0</formula>
    </cfRule>
  </conditionalFormatting>
  <conditionalFormatting sqref="F5">
    <cfRule type="containsBlanks" dxfId="1392" priority="6">
      <formula>LEN(TRIM(F5))=0</formula>
    </cfRule>
  </conditionalFormatting>
  <conditionalFormatting sqref="E6">
    <cfRule type="containsBlanks" dxfId="1391" priority="5">
      <formula>LEN(TRIM(E6))=0</formula>
    </cfRule>
  </conditionalFormatting>
  <conditionalFormatting sqref="D6">
    <cfRule type="containsBlanks" dxfId="1390" priority="4">
      <formula>LEN(TRIM(D6))=0</formula>
    </cfRule>
  </conditionalFormatting>
  <conditionalFormatting sqref="C6">
    <cfRule type="containsBlanks" dxfId="1389" priority="3">
      <formula>LEN(TRIM(C6))=0</formula>
    </cfRule>
  </conditionalFormatting>
  <conditionalFormatting sqref="A6">
    <cfRule type="containsBlanks" dxfId="1388" priority="2">
      <formula>LEN(TRIM(A6))=0</formula>
    </cfRule>
  </conditionalFormatting>
  <conditionalFormatting sqref="B6">
    <cfRule type="containsBlanks" dxfId="1387" priority="1">
      <formula>LEN(TRIM(B6))=0</formula>
    </cfRule>
  </conditionalFormatting>
  <dataValidations count="1">
    <dataValidation type="list" allowBlank="1" showInputMessage="1" showErrorMessage="1" sqref="E26:E27 E15:E23" xr:uid="{C9C77FF7-2FDB-4458-9695-D12E656F3AA6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5B665-5ACD-4E51-B1E1-2183E92B112C}">
  <sheetPr codeName="Hoja16">
    <tabColor rgb="FFADDB6F"/>
  </sheetPr>
  <dimension ref="A1:AA32"/>
  <sheetViews>
    <sheetView zoomScaleNormal="100" workbookViewId="0">
      <pane xSplit="4" topLeftCell="G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173</v>
      </c>
      <c r="B6" s="70" t="s">
        <v>172</v>
      </c>
      <c r="C6" s="54">
        <v>679</v>
      </c>
      <c r="D6" s="58" t="s">
        <v>171</v>
      </c>
      <c r="E6" s="69">
        <v>10500</v>
      </c>
      <c r="F6" s="7">
        <v>679210425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0.14699999999999999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173</v>
      </c>
      <c r="B7" s="55" t="s">
        <v>172</v>
      </c>
      <c r="C7" s="55">
        <v>679</v>
      </c>
      <c r="D7" s="55" t="s">
        <v>171</v>
      </c>
      <c r="E7" s="55">
        <v>10500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171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150</v>
      </c>
      <c r="G17" s="9">
        <v>15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2"/>
    </row>
    <row r="25" spans="3:27" x14ac:dyDescent="0.25">
      <c r="C25" s="73"/>
      <c r="D25" s="132"/>
      <c r="E25" s="132"/>
      <c r="F25" s="132"/>
      <c r="G25" s="7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Ioc83OsjqwH8QYwmNSf3KEHVSprx+vXZw5AGRLaUBOMvPa2oXe+7O5H3ue0OXPqFhF8vwu/hpFaiOrL3BPpRug==" saltValue="vOKQ+9PdyWeyVFptsdWpk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386" priority="29">
      <formula>LEN(TRIM(C6))=0</formula>
    </cfRule>
  </conditionalFormatting>
  <conditionalFormatting sqref="H15:AA23 H6:AA6">
    <cfRule type="cellIs" dxfId="1385" priority="28" operator="equal">
      <formula>0</formula>
    </cfRule>
  </conditionalFormatting>
  <conditionalFormatting sqref="G15:G23">
    <cfRule type="cellIs" dxfId="1384" priority="26" operator="equal">
      <formula>0</formula>
    </cfRule>
    <cfRule type="containsBlanks" dxfId="1383" priority="27">
      <formula>LEN(TRIM(G15))=0</formula>
    </cfRule>
  </conditionalFormatting>
  <conditionalFormatting sqref="H5:AA5">
    <cfRule type="containsBlanks" dxfId="1382" priority="25">
      <formula>LEN(TRIM(H5))=0</formula>
    </cfRule>
  </conditionalFormatting>
  <conditionalFormatting sqref="G5">
    <cfRule type="containsBlanks" dxfId="1381" priority="24">
      <formula>LEN(TRIM(G5))=0</formula>
    </cfRule>
  </conditionalFormatting>
  <conditionalFormatting sqref="F6:G6">
    <cfRule type="containsBlanks" dxfId="1380" priority="23">
      <formula>LEN(TRIM(F6))=0</formula>
    </cfRule>
  </conditionalFormatting>
  <conditionalFormatting sqref="H14:AA14">
    <cfRule type="containsBlanks" dxfId="1379" priority="22">
      <formula>LEN(TRIM(H14))=0</formula>
    </cfRule>
  </conditionalFormatting>
  <conditionalFormatting sqref="D5">
    <cfRule type="containsBlanks" dxfId="1378" priority="21">
      <formula>LEN(TRIM(D5))=0</formula>
    </cfRule>
  </conditionalFormatting>
  <conditionalFormatting sqref="C5">
    <cfRule type="containsBlanks" dxfId="1377" priority="20">
      <formula>LEN(TRIM(C5))=0</formula>
    </cfRule>
  </conditionalFormatting>
  <conditionalFormatting sqref="D14">
    <cfRule type="containsBlanks" dxfId="1376" priority="19">
      <formula>LEN(TRIM(D14))=0</formula>
    </cfRule>
  </conditionalFormatting>
  <conditionalFormatting sqref="G8:AA8 G10:AA10">
    <cfRule type="containsBlanks" dxfId="1375" priority="18">
      <formula>LEN(TRIM(G8))=0</formula>
    </cfRule>
  </conditionalFormatting>
  <conditionalFormatting sqref="G8:AA8 G10:AA10">
    <cfRule type="cellIs" dxfId="1374" priority="17" operator="equal">
      <formula>0</formula>
    </cfRule>
  </conditionalFormatting>
  <conditionalFormatting sqref="G7:AA7">
    <cfRule type="containsBlanks" dxfId="1373" priority="16">
      <formula>LEN(TRIM(G7))=0</formula>
    </cfRule>
  </conditionalFormatting>
  <conditionalFormatting sqref="G7:AA7">
    <cfRule type="cellIs" dxfId="1372" priority="15" operator="equal">
      <formula>0</formula>
    </cfRule>
  </conditionalFormatting>
  <conditionalFormatting sqref="A5">
    <cfRule type="containsBlanks" dxfId="1371" priority="13">
      <formula>LEN(TRIM(A5))=0</formula>
    </cfRule>
  </conditionalFormatting>
  <conditionalFormatting sqref="F7">
    <cfRule type="containsBlanks" dxfId="1370" priority="14">
      <formula>LEN(TRIM(F7))=0</formula>
    </cfRule>
  </conditionalFormatting>
  <conditionalFormatting sqref="B5">
    <cfRule type="containsBlanks" dxfId="1369" priority="12">
      <formula>LEN(TRIM(B5))=0</formula>
    </cfRule>
  </conditionalFormatting>
  <conditionalFormatting sqref="A7:E7">
    <cfRule type="containsBlanks" dxfId="1368" priority="11">
      <formula>LEN(TRIM(A7))=0</formula>
    </cfRule>
  </conditionalFormatting>
  <conditionalFormatting sqref="H9:AA9">
    <cfRule type="containsBlanks" dxfId="1367" priority="9">
      <formula>LEN(TRIM(H9))=0</formula>
    </cfRule>
  </conditionalFormatting>
  <conditionalFormatting sqref="G9">
    <cfRule type="containsBlanks" dxfId="1366" priority="10">
      <formula>LEN(TRIM(G9))=0</formula>
    </cfRule>
  </conditionalFormatting>
  <conditionalFormatting sqref="H9:AA9">
    <cfRule type="cellIs" dxfId="1365" priority="8" operator="equal">
      <formula>0</formula>
    </cfRule>
  </conditionalFormatting>
  <conditionalFormatting sqref="D6">
    <cfRule type="containsBlanks" dxfId="1364" priority="4">
      <formula>LEN(TRIM(D6))=0</formula>
    </cfRule>
  </conditionalFormatting>
  <conditionalFormatting sqref="C6">
    <cfRule type="containsBlanks" dxfId="1363" priority="3">
      <formula>LEN(TRIM(C6))=0</formula>
    </cfRule>
  </conditionalFormatting>
  <conditionalFormatting sqref="E5">
    <cfRule type="containsBlanks" dxfId="1362" priority="7">
      <formula>LEN(TRIM(E5))=0</formula>
    </cfRule>
  </conditionalFormatting>
  <conditionalFormatting sqref="F5">
    <cfRule type="containsBlanks" dxfId="1361" priority="6">
      <formula>LEN(TRIM(F5))=0</formula>
    </cfRule>
  </conditionalFormatting>
  <conditionalFormatting sqref="E6">
    <cfRule type="containsBlanks" dxfId="1360" priority="5">
      <formula>LEN(TRIM(E6))=0</formula>
    </cfRule>
  </conditionalFormatting>
  <conditionalFormatting sqref="A6">
    <cfRule type="containsBlanks" dxfId="1359" priority="2">
      <formula>LEN(TRIM(A6))=0</formula>
    </cfRule>
  </conditionalFormatting>
  <conditionalFormatting sqref="B6">
    <cfRule type="containsBlanks" dxfId="1358" priority="1">
      <formula>LEN(TRIM(B6))=0</formula>
    </cfRule>
  </conditionalFormatting>
  <dataValidations count="1">
    <dataValidation type="list" allowBlank="1" showInputMessage="1" showErrorMessage="1" sqref="E15:E23 E26:E27" xr:uid="{D4F4CF7B-2769-4D53-A2B8-3DE51A434BB6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B5370-0641-483F-AA81-3F863545159E}">
  <sheetPr codeName="Hoja9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174</v>
      </c>
      <c r="B6" s="70" t="s">
        <v>172</v>
      </c>
      <c r="C6" s="54">
        <v>62</v>
      </c>
      <c r="D6" s="58" t="s">
        <v>175</v>
      </c>
      <c r="E6" s="69">
        <v>10500</v>
      </c>
      <c r="F6" s="7">
        <v>62210425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1.4E-2</v>
      </c>
      <c r="P6" s="8">
        <v>0.191</v>
      </c>
      <c r="Q6" s="8">
        <v>3.6999999999999998E-2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0.34100000000000003</v>
      </c>
      <c r="Z6" s="8">
        <v>0</v>
      </c>
      <c r="AA6" s="8">
        <v>0</v>
      </c>
    </row>
    <row r="7" spans="1:27" ht="19.5" x14ac:dyDescent="0.25">
      <c r="A7" s="55" t="s">
        <v>174</v>
      </c>
      <c r="B7" s="55" t="s">
        <v>172</v>
      </c>
      <c r="C7" s="55">
        <v>62</v>
      </c>
      <c r="D7" s="55" t="s">
        <v>175</v>
      </c>
      <c r="E7" s="55">
        <v>10500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156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3.7499999999999999E-3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175</v>
      </c>
      <c r="E9" s="60"/>
      <c r="F9" s="61"/>
      <c r="G9" s="77"/>
      <c r="H9" s="8"/>
      <c r="I9" s="8"/>
      <c r="J9" s="8"/>
      <c r="K9" s="8"/>
      <c r="L9" s="8"/>
      <c r="M9" s="8"/>
      <c r="N9" s="8"/>
      <c r="O9" s="8"/>
      <c r="P9" s="8">
        <v>0.16</v>
      </c>
      <c r="Q9" s="8">
        <v>0.01</v>
      </c>
      <c r="R9" s="8">
        <v>0.01</v>
      </c>
      <c r="S9" s="8"/>
      <c r="T9" s="8"/>
      <c r="U9" s="8"/>
      <c r="V9" s="8"/>
      <c r="W9" s="8"/>
      <c r="X9" s="8"/>
      <c r="Y9" s="8">
        <v>0.3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1.6250000000000001E-2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350</v>
      </c>
      <c r="G16" s="9">
        <v>35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177</v>
      </c>
      <c r="F17" s="9">
        <v>600</v>
      </c>
      <c r="G17" s="9">
        <v>60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72"/>
    </row>
    <row r="25" spans="3:27" x14ac:dyDescent="0.25">
      <c r="C25" s="73"/>
      <c r="D25" s="132"/>
      <c r="E25" s="132"/>
      <c r="F25" s="132"/>
      <c r="G25" s="7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FVwRSRrK4gwYI+Mn9nY9gORxY4H/RklB4WGKaPXXpTRy9y8Crrvph29I/IyPSNQ7eLjPEsi1ztcu73scKLMDyQ==" saltValue="aF+TIvILSw7AVvEfhFPi7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357" priority="29">
      <formula>LEN(TRIM(C6))=0</formula>
    </cfRule>
  </conditionalFormatting>
  <conditionalFormatting sqref="H15:AA23 H6:AA6">
    <cfRule type="cellIs" dxfId="1356" priority="28" operator="equal">
      <formula>0</formula>
    </cfRule>
  </conditionalFormatting>
  <conditionalFormatting sqref="G15:G23">
    <cfRule type="cellIs" dxfId="1355" priority="26" operator="equal">
      <formula>0</formula>
    </cfRule>
    <cfRule type="containsBlanks" dxfId="1354" priority="27">
      <formula>LEN(TRIM(G15))=0</formula>
    </cfRule>
  </conditionalFormatting>
  <conditionalFormatting sqref="H5:AA5">
    <cfRule type="containsBlanks" dxfId="1353" priority="25">
      <formula>LEN(TRIM(H5))=0</formula>
    </cfRule>
  </conditionalFormatting>
  <conditionalFormatting sqref="G5">
    <cfRule type="containsBlanks" dxfId="1352" priority="24">
      <formula>LEN(TRIM(G5))=0</formula>
    </cfRule>
  </conditionalFormatting>
  <conditionalFormatting sqref="F6:G6">
    <cfRule type="containsBlanks" dxfId="1351" priority="23">
      <formula>LEN(TRIM(F6))=0</formula>
    </cfRule>
  </conditionalFormatting>
  <conditionalFormatting sqref="H14:AA14">
    <cfRule type="containsBlanks" dxfId="1350" priority="22">
      <formula>LEN(TRIM(H14))=0</formula>
    </cfRule>
  </conditionalFormatting>
  <conditionalFormatting sqref="D5">
    <cfRule type="containsBlanks" dxfId="1349" priority="21">
      <formula>LEN(TRIM(D5))=0</formula>
    </cfRule>
  </conditionalFormatting>
  <conditionalFormatting sqref="C5">
    <cfRule type="containsBlanks" dxfId="1348" priority="20">
      <formula>LEN(TRIM(C5))=0</formula>
    </cfRule>
  </conditionalFormatting>
  <conditionalFormatting sqref="D14">
    <cfRule type="containsBlanks" dxfId="1347" priority="19">
      <formula>LEN(TRIM(D14))=0</formula>
    </cfRule>
  </conditionalFormatting>
  <conditionalFormatting sqref="G8:AA8 G10:AA10">
    <cfRule type="containsBlanks" dxfId="1346" priority="18">
      <formula>LEN(TRIM(G8))=0</formula>
    </cfRule>
  </conditionalFormatting>
  <conditionalFormatting sqref="G8:AA8 G10:AA10">
    <cfRule type="cellIs" dxfId="1345" priority="17" operator="equal">
      <formula>0</formula>
    </cfRule>
  </conditionalFormatting>
  <conditionalFormatting sqref="G7:AA7">
    <cfRule type="containsBlanks" dxfId="1344" priority="16">
      <formula>LEN(TRIM(G7))=0</formula>
    </cfRule>
  </conditionalFormatting>
  <conditionalFormatting sqref="G7:AA7">
    <cfRule type="cellIs" dxfId="1343" priority="15" operator="equal">
      <formula>0</formula>
    </cfRule>
  </conditionalFormatting>
  <conditionalFormatting sqref="A5">
    <cfRule type="containsBlanks" dxfId="1342" priority="13">
      <formula>LEN(TRIM(A5))=0</formula>
    </cfRule>
  </conditionalFormatting>
  <conditionalFormatting sqref="F7">
    <cfRule type="containsBlanks" dxfId="1341" priority="14">
      <formula>LEN(TRIM(F7))=0</formula>
    </cfRule>
  </conditionalFormatting>
  <conditionalFormatting sqref="B5">
    <cfRule type="containsBlanks" dxfId="1340" priority="12">
      <formula>LEN(TRIM(B5))=0</formula>
    </cfRule>
  </conditionalFormatting>
  <conditionalFormatting sqref="A7:E7">
    <cfRule type="containsBlanks" dxfId="1339" priority="11">
      <formula>LEN(TRIM(A7))=0</formula>
    </cfRule>
  </conditionalFormatting>
  <conditionalFormatting sqref="H9:AA9">
    <cfRule type="containsBlanks" dxfId="1338" priority="9">
      <formula>LEN(TRIM(H9))=0</formula>
    </cfRule>
  </conditionalFormatting>
  <conditionalFormatting sqref="G9">
    <cfRule type="containsBlanks" dxfId="1337" priority="10">
      <formula>LEN(TRIM(G9))=0</formula>
    </cfRule>
  </conditionalFormatting>
  <conditionalFormatting sqref="H9:AA9">
    <cfRule type="cellIs" dxfId="1336" priority="8" operator="equal">
      <formula>0</formula>
    </cfRule>
  </conditionalFormatting>
  <conditionalFormatting sqref="D6">
    <cfRule type="containsBlanks" dxfId="1335" priority="4">
      <formula>LEN(TRIM(D6))=0</formula>
    </cfRule>
  </conditionalFormatting>
  <conditionalFormatting sqref="C6">
    <cfRule type="containsBlanks" dxfId="1334" priority="3">
      <formula>LEN(TRIM(C6))=0</formula>
    </cfRule>
  </conditionalFormatting>
  <conditionalFormatting sqref="E5">
    <cfRule type="containsBlanks" dxfId="1333" priority="7">
      <formula>LEN(TRIM(E5))=0</formula>
    </cfRule>
  </conditionalFormatting>
  <conditionalFormatting sqref="F5">
    <cfRule type="containsBlanks" dxfId="1332" priority="6">
      <formula>LEN(TRIM(F5))=0</formula>
    </cfRule>
  </conditionalFormatting>
  <conditionalFormatting sqref="E6">
    <cfRule type="containsBlanks" dxfId="1331" priority="5">
      <formula>LEN(TRIM(E6))=0</formula>
    </cfRule>
  </conditionalFormatting>
  <conditionalFormatting sqref="A6">
    <cfRule type="containsBlanks" dxfId="1330" priority="2">
      <formula>LEN(TRIM(A6))=0</formula>
    </cfRule>
  </conditionalFormatting>
  <conditionalFormatting sqref="B6">
    <cfRule type="containsBlanks" dxfId="1329" priority="1">
      <formula>LEN(TRIM(B6))=0</formula>
    </cfRule>
  </conditionalFormatting>
  <dataValidations count="1">
    <dataValidation type="list" allowBlank="1" showInputMessage="1" showErrorMessage="1" sqref="E15:E23 E26:E27" xr:uid="{FCF01CA5-EEA3-45C8-A106-5DEE7D7D6B01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1E7BE-AECC-4B5C-99DA-3C9555B316AB}">
  <sheetPr codeName="Hoja15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178</v>
      </c>
      <c r="B6" s="70" t="s">
        <v>172</v>
      </c>
      <c r="C6" s="54">
        <v>602</v>
      </c>
      <c r="D6" s="58" t="s">
        <v>144</v>
      </c>
      <c r="E6" s="69">
        <v>1000</v>
      </c>
      <c r="F6" s="7">
        <v>602210425</v>
      </c>
      <c r="G6" s="77">
        <v>0.375</v>
      </c>
      <c r="H6" s="8">
        <v>0.01</v>
      </c>
      <c r="I6" s="8">
        <v>0.152</v>
      </c>
      <c r="J6" s="8">
        <v>1.4E-2</v>
      </c>
      <c r="K6" s="8">
        <v>0</v>
      </c>
      <c r="L6" s="8">
        <v>0</v>
      </c>
      <c r="M6" s="8">
        <v>7.4999999999999997E-2</v>
      </c>
      <c r="N6" s="8">
        <v>0.21099999999999999</v>
      </c>
      <c r="O6" s="8">
        <v>1.2E-2</v>
      </c>
      <c r="P6" s="8">
        <v>4.5999999999999999E-2</v>
      </c>
      <c r="Q6" s="8">
        <v>6.3E-2</v>
      </c>
      <c r="R6" s="8">
        <v>1.7999999999999999E-2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0.10199999999999999</v>
      </c>
      <c r="Z6" s="8">
        <v>0</v>
      </c>
      <c r="AA6" s="8">
        <v>0</v>
      </c>
    </row>
    <row r="7" spans="1:27" ht="19.5" x14ac:dyDescent="0.25">
      <c r="A7" s="55" t="s">
        <v>178</v>
      </c>
      <c r="B7" s="55" t="s">
        <v>172</v>
      </c>
      <c r="C7" s="55">
        <v>602</v>
      </c>
      <c r="D7" s="55" t="s">
        <v>144</v>
      </c>
      <c r="E7" s="55">
        <v>1000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0.32</v>
      </c>
      <c r="H8" s="8"/>
      <c r="I8" s="8">
        <v>0.13839699999999999</v>
      </c>
      <c r="J8" s="8"/>
      <c r="K8" s="8"/>
      <c r="L8" s="8"/>
      <c r="M8" s="8"/>
      <c r="N8" s="8">
        <v>0.19699899999999998</v>
      </c>
      <c r="O8" s="8">
        <v>5.2970000000000005E-3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144</v>
      </c>
      <c r="E9" s="60"/>
      <c r="F9" s="61"/>
      <c r="G9" s="77">
        <v>0.37</v>
      </c>
      <c r="H9" s="8"/>
      <c r="I9" s="8">
        <v>0.15</v>
      </c>
      <c r="J9" s="8"/>
      <c r="K9" s="8"/>
      <c r="L9" s="8"/>
      <c r="M9" s="8"/>
      <c r="N9" s="8">
        <v>0.21</v>
      </c>
      <c r="O9" s="8">
        <v>0.01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0.42</v>
      </c>
      <c r="H10" s="8"/>
      <c r="I10" s="8">
        <v>0.161603</v>
      </c>
      <c r="J10" s="8"/>
      <c r="K10" s="8"/>
      <c r="L10" s="8"/>
      <c r="M10" s="8"/>
      <c r="N10" s="8">
        <v>0.223001</v>
      </c>
      <c r="O10" s="8">
        <v>1.4703000000000001E-2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162.5</v>
      </c>
      <c r="G15" s="9">
        <v>16.25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67.5</v>
      </c>
      <c r="G16" s="9">
        <v>6.75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v>20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350</v>
      </c>
      <c r="G18" s="9">
        <v>35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20</v>
      </c>
      <c r="G19" s="9">
        <v>2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160</v>
      </c>
      <c r="E20" s="9" t="s">
        <v>145</v>
      </c>
      <c r="F20" s="9">
        <v>200</v>
      </c>
      <c r="G20" s="9">
        <v>20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1"/>
    </row>
    <row r="25" spans="3:27" x14ac:dyDescent="0.25">
      <c r="C25" s="73"/>
      <c r="D25" s="132"/>
      <c r="E25" s="132"/>
      <c r="F25" s="132"/>
      <c r="G25" s="81"/>
    </row>
    <row r="26" spans="3:27" x14ac:dyDescent="0.25">
      <c r="D26" s="9">
        <v>450</v>
      </c>
      <c r="E26" s="9" t="s">
        <v>134</v>
      </c>
      <c r="F26" s="9">
        <v>0.45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SybFnOa5YKa0j7pMV74fgDdYhCxJqTjV1/5uPB6Grzz4mh0CZCmbYrEEKApffLos+iQw/FpvqzhTyZ1UQ6dC1w==" saltValue="eG+p6d1PhjXOpY1YaNh9u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328" priority="29">
      <formula>LEN(TRIM(C6))=0</formula>
    </cfRule>
  </conditionalFormatting>
  <conditionalFormatting sqref="H15:AA23 H6:AA6">
    <cfRule type="cellIs" dxfId="1327" priority="28" operator="equal">
      <formula>0</formula>
    </cfRule>
  </conditionalFormatting>
  <conditionalFormatting sqref="G15:G23">
    <cfRule type="cellIs" dxfId="1326" priority="26" operator="equal">
      <formula>0</formula>
    </cfRule>
    <cfRule type="containsBlanks" dxfId="1325" priority="27">
      <formula>LEN(TRIM(G15))=0</formula>
    </cfRule>
  </conditionalFormatting>
  <conditionalFormatting sqref="H5:AA5">
    <cfRule type="containsBlanks" dxfId="1324" priority="25">
      <formula>LEN(TRIM(H5))=0</formula>
    </cfRule>
  </conditionalFormatting>
  <conditionalFormatting sqref="G5">
    <cfRule type="containsBlanks" dxfId="1323" priority="24">
      <formula>LEN(TRIM(G5))=0</formula>
    </cfRule>
  </conditionalFormatting>
  <conditionalFormatting sqref="F6:G6">
    <cfRule type="containsBlanks" dxfId="1322" priority="23">
      <formula>LEN(TRIM(F6))=0</formula>
    </cfRule>
  </conditionalFormatting>
  <conditionalFormatting sqref="H14:AA14">
    <cfRule type="containsBlanks" dxfId="1321" priority="22">
      <formula>LEN(TRIM(H14))=0</formula>
    </cfRule>
  </conditionalFormatting>
  <conditionalFormatting sqref="D5">
    <cfRule type="containsBlanks" dxfId="1320" priority="21">
      <formula>LEN(TRIM(D5))=0</formula>
    </cfRule>
  </conditionalFormatting>
  <conditionalFormatting sqref="C5">
    <cfRule type="containsBlanks" dxfId="1319" priority="20">
      <formula>LEN(TRIM(C5))=0</formula>
    </cfRule>
  </conditionalFormatting>
  <conditionalFormatting sqref="D14">
    <cfRule type="containsBlanks" dxfId="1318" priority="19">
      <formula>LEN(TRIM(D14))=0</formula>
    </cfRule>
  </conditionalFormatting>
  <conditionalFormatting sqref="G8:AA8 G10:AA10">
    <cfRule type="containsBlanks" dxfId="1317" priority="18">
      <formula>LEN(TRIM(G8))=0</formula>
    </cfRule>
  </conditionalFormatting>
  <conditionalFormatting sqref="G8:AA8 G10:AA10">
    <cfRule type="cellIs" dxfId="1316" priority="17" operator="equal">
      <formula>0</formula>
    </cfRule>
  </conditionalFormatting>
  <conditionalFormatting sqref="G7:AA7">
    <cfRule type="containsBlanks" dxfId="1315" priority="16">
      <formula>LEN(TRIM(G7))=0</formula>
    </cfRule>
  </conditionalFormatting>
  <conditionalFormatting sqref="G7:AA7">
    <cfRule type="cellIs" dxfId="1314" priority="15" operator="equal">
      <formula>0</formula>
    </cfRule>
  </conditionalFormatting>
  <conditionalFormatting sqref="A5">
    <cfRule type="containsBlanks" dxfId="1313" priority="13">
      <formula>LEN(TRIM(A5))=0</formula>
    </cfRule>
  </conditionalFormatting>
  <conditionalFormatting sqref="F7">
    <cfRule type="containsBlanks" dxfId="1312" priority="14">
      <formula>LEN(TRIM(F7))=0</formula>
    </cfRule>
  </conditionalFormatting>
  <conditionalFormatting sqref="B5">
    <cfRule type="containsBlanks" dxfId="1311" priority="12">
      <formula>LEN(TRIM(B5))=0</formula>
    </cfRule>
  </conditionalFormatting>
  <conditionalFormatting sqref="A7:E7">
    <cfRule type="containsBlanks" dxfId="1310" priority="11">
      <formula>LEN(TRIM(A7))=0</formula>
    </cfRule>
  </conditionalFormatting>
  <conditionalFormatting sqref="H9:AA9">
    <cfRule type="containsBlanks" dxfId="1309" priority="9">
      <formula>LEN(TRIM(H9))=0</formula>
    </cfRule>
  </conditionalFormatting>
  <conditionalFormatting sqref="G9">
    <cfRule type="containsBlanks" dxfId="1308" priority="10">
      <formula>LEN(TRIM(G9))=0</formula>
    </cfRule>
  </conditionalFormatting>
  <conditionalFormatting sqref="H9:AA9">
    <cfRule type="cellIs" dxfId="1307" priority="8" operator="equal">
      <formula>0</formula>
    </cfRule>
  </conditionalFormatting>
  <conditionalFormatting sqref="E5">
    <cfRule type="containsBlanks" dxfId="1306" priority="7">
      <formula>LEN(TRIM(E5))=0</formula>
    </cfRule>
  </conditionalFormatting>
  <conditionalFormatting sqref="F5">
    <cfRule type="containsBlanks" dxfId="1305" priority="6">
      <formula>LEN(TRIM(F5))=0</formula>
    </cfRule>
  </conditionalFormatting>
  <conditionalFormatting sqref="D6">
    <cfRule type="containsBlanks" dxfId="1304" priority="4">
      <formula>LEN(TRIM(D6))=0</formula>
    </cfRule>
  </conditionalFormatting>
  <conditionalFormatting sqref="C6">
    <cfRule type="containsBlanks" dxfId="1303" priority="3">
      <formula>LEN(TRIM(C6))=0</formula>
    </cfRule>
  </conditionalFormatting>
  <conditionalFormatting sqref="E6">
    <cfRule type="containsBlanks" dxfId="1302" priority="5">
      <formula>LEN(TRIM(E6))=0</formula>
    </cfRule>
  </conditionalFormatting>
  <conditionalFormatting sqref="A6">
    <cfRule type="containsBlanks" dxfId="1301" priority="2">
      <formula>LEN(TRIM(A6))=0</formula>
    </cfRule>
  </conditionalFormatting>
  <conditionalFormatting sqref="B6">
    <cfRule type="containsBlanks" dxfId="1300" priority="1">
      <formula>LEN(TRIM(B6))=0</formula>
    </cfRule>
  </conditionalFormatting>
  <dataValidations count="1">
    <dataValidation type="list" allowBlank="1" showInputMessage="1" showErrorMessage="1" sqref="E26:E27 E15:E23" xr:uid="{DBD487F7-71BB-4BAA-B149-8359C2151E6A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B35A-CD92-4778-9A1B-4A821B00B0C7}">
  <sheetPr codeName="Hoja4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179</v>
      </c>
      <c r="B6" s="70" t="s">
        <v>172</v>
      </c>
      <c r="C6" s="54">
        <v>603</v>
      </c>
      <c r="D6" s="58" t="s">
        <v>147</v>
      </c>
      <c r="E6" s="69">
        <v>2000</v>
      </c>
      <c r="F6" s="7">
        <v>603210425</v>
      </c>
      <c r="G6" s="77">
        <v>0.44500000000000001</v>
      </c>
      <c r="H6" s="8">
        <v>0</v>
      </c>
      <c r="I6" s="8">
        <v>5.8999999999999997E-2</v>
      </c>
      <c r="J6" s="8">
        <v>2.4E-2</v>
      </c>
      <c r="K6" s="8">
        <v>0</v>
      </c>
      <c r="L6" s="8">
        <v>0</v>
      </c>
      <c r="M6" s="8">
        <v>1.7000000000000001E-2</v>
      </c>
      <c r="N6" s="8">
        <v>5.6000000000000001E-2</v>
      </c>
      <c r="O6" s="8">
        <v>0.33</v>
      </c>
      <c r="P6" s="8">
        <v>0</v>
      </c>
      <c r="Q6" s="8">
        <v>0.06</v>
      </c>
      <c r="R6" s="8">
        <v>2.7E-2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0.06</v>
      </c>
      <c r="Z6" s="8">
        <v>0</v>
      </c>
      <c r="AA6" s="8">
        <v>0</v>
      </c>
    </row>
    <row r="7" spans="1:27" ht="19.5" x14ac:dyDescent="0.25">
      <c r="A7" s="55" t="s">
        <v>179</v>
      </c>
      <c r="B7" s="55" t="s">
        <v>172</v>
      </c>
      <c r="C7" s="55">
        <v>603</v>
      </c>
      <c r="D7" s="55" t="s">
        <v>147</v>
      </c>
      <c r="E7" s="55">
        <v>2000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</v>
      </c>
      <c r="H8" s="8"/>
      <c r="I8" s="8">
        <v>5.1168999999999999E-2</v>
      </c>
      <c r="J8" s="8"/>
      <c r="K8" s="8"/>
      <c r="L8" s="8"/>
      <c r="M8" s="8"/>
      <c r="N8" s="8">
        <v>5.1168999999999999E-2</v>
      </c>
      <c r="O8" s="8">
        <v>0.308305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147</v>
      </c>
      <c r="E9" s="60"/>
      <c r="F9" s="61"/>
      <c r="G9" s="77">
        <v>0.45</v>
      </c>
      <c r="H9" s="8"/>
      <c r="I9" s="8">
        <v>0.06</v>
      </c>
      <c r="J9" s="8"/>
      <c r="K9" s="8"/>
      <c r="L9" s="8"/>
      <c r="M9" s="8"/>
      <c r="N9" s="8">
        <v>0.06</v>
      </c>
      <c r="O9" s="8">
        <v>0.33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</v>
      </c>
      <c r="H10" s="8"/>
      <c r="I10" s="8">
        <v>6.8831000000000003E-2</v>
      </c>
      <c r="J10" s="8"/>
      <c r="K10" s="8"/>
      <c r="L10" s="8"/>
      <c r="M10" s="8"/>
      <c r="N10" s="8">
        <v>6.8831000000000003E-2</v>
      </c>
      <c r="O10" s="8">
        <v>0.35169500000000004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37.5</v>
      </c>
      <c r="G15" s="9">
        <v>3.75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112.5</v>
      </c>
      <c r="G16" s="9">
        <v>11.25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v>20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100</v>
      </c>
      <c r="G18" s="9">
        <v>10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550</v>
      </c>
      <c r="G19" s="9">
        <v>55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450</v>
      </c>
      <c r="E26" s="9" t="s">
        <v>134</v>
      </c>
      <c r="F26" s="9">
        <v>0.25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+CqGbuPpe/ZFwBkq/Pb3hAyxO9ETg19Ck17UYxL57QBN3rC1k1iD2/M7f4Rqq4LbPj4Chn87VYk06GDwnPCkrw==" saltValue="Ju7EJqzOqyIXBptBAOUlh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299" priority="29">
      <formula>LEN(TRIM(C6))=0</formula>
    </cfRule>
  </conditionalFormatting>
  <conditionalFormatting sqref="H15:AA23 H6:AA6">
    <cfRule type="cellIs" dxfId="1298" priority="28" operator="equal">
      <formula>0</formula>
    </cfRule>
  </conditionalFormatting>
  <conditionalFormatting sqref="G15:G23">
    <cfRule type="cellIs" dxfId="1297" priority="26" operator="equal">
      <formula>0</formula>
    </cfRule>
    <cfRule type="containsBlanks" dxfId="1296" priority="27">
      <formula>LEN(TRIM(G15))=0</formula>
    </cfRule>
  </conditionalFormatting>
  <conditionalFormatting sqref="H5:AA5">
    <cfRule type="containsBlanks" dxfId="1295" priority="25">
      <formula>LEN(TRIM(H5))=0</formula>
    </cfRule>
  </conditionalFormatting>
  <conditionalFormatting sqref="G5">
    <cfRule type="containsBlanks" dxfId="1294" priority="24">
      <formula>LEN(TRIM(G5))=0</formula>
    </cfRule>
  </conditionalFormatting>
  <conditionalFormatting sqref="F6:G6">
    <cfRule type="containsBlanks" dxfId="1293" priority="23">
      <formula>LEN(TRIM(F6))=0</formula>
    </cfRule>
  </conditionalFormatting>
  <conditionalFormatting sqref="H14:AA14">
    <cfRule type="containsBlanks" dxfId="1292" priority="22">
      <formula>LEN(TRIM(H14))=0</formula>
    </cfRule>
  </conditionalFormatting>
  <conditionalFormatting sqref="D5">
    <cfRule type="containsBlanks" dxfId="1291" priority="21">
      <formula>LEN(TRIM(D5))=0</formula>
    </cfRule>
  </conditionalFormatting>
  <conditionalFormatting sqref="C5">
    <cfRule type="containsBlanks" dxfId="1290" priority="20">
      <formula>LEN(TRIM(C5))=0</formula>
    </cfRule>
  </conditionalFormatting>
  <conditionalFormatting sqref="D14">
    <cfRule type="containsBlanks" dxfId="1289" priority="19">
      <formula>LEN(TRIM(D14))=0</formula>
    </cfRule>
  </conditionalFormatting>
  <conditionalFormatting sqref="G8:AA8 G10:AA10">
    <cfRule type="containsBlanks" dxfId="1288" priority="18">
      <formula>LEN(TRIM(G8))=0</formula>
    </cfRule>
  </conditionalFormatting>
  <conditionalFormatting sqref="G8:AA8 G10:AA10">
    <cfRule type="cellIs" dxfId="1287" priority="17" operator="equal">
      <formula>0</formula>
    </cfRule>
  </conditionalFormatting>
  <conditionalFormatting sqref="G7:AA7">
    <cfRule type="containsBlanks" dxfId="1286" priority="16">
      <formula>LEN(TRIM(G7))=0</formula>
    </cfRule>
  </conditionalFormatting>
  <conditionalFormatting sqref="G7:AA7">
    <cfRule type="cellIs" dxfId="1285" priority="15" operator="equal">
      <formula>0</formula>
    </cfRule>
  </conditionalFormatting>
  <conditionalFormatting sqref="A5">
    <cfRule type="containsBlanks" dxfId="1284" priority="13">
      <formula>LEN(TRIM(A5))=0</formula>
    </cfRule>
  </conditionalFormatting>
  <conditionalFormatting sqref="F7">
    <cfRule type="containsBlanks" dxfId="1283" priority="14">
      <formula>LEN(TRIM(F7))=0</formula>
    </cfRule>
  </conditionalFormatting>
  <conditionalFormatting sqref="B5">
    <cfRule type="containsBlanks" dxfId="1282" priority="12">
      <formula>LEN(TRIM(B5))=0</formula>
    </cfRule>
  </conditionalFormatting>
  <conditionalFormatting sqref="A7:E7">
    <cfRule type="containsBlanks" dxfId="1281" priority="11">
      <formula>LEN(TRIM(A7))=0</formula>
    </cfRule>
  </conditionalFormatting>
  <conditionalFormatting sqref="H9:AA9">
    <cfRule type="containsBlanks" dxfId="1280" priority="9">
      <formula>LEN(TRIM(H9))=0</formula>
    </cfRule>
  </conditionalFormatting>
  <conditionalFormatting sqref="G9">
    <cfRule type="containsBlanks" dxfId="1279" priority="10">
      <formula>LEN(TRIM(G9))=0</formula>
    </cfRule>
  </conditionalFormatting>
  <conditionalFormatting sqref="H9:AA9">
    <cfRule type="cellIs" dxfId="1278" priority="8" operator="equal">
      <formula>0</formula>
    </cfRule>
  </conditionalFormatting>
  <conditionalFormatting sqref="E5">
    <cfRule type="containsBlanks" dxfId="1277" priority="7">
      <formula>LEN(TRIM(E5))=0</formula>
    </cfRule>
  </conditionalFormatting>
  <conditionalFormatting sqref="F5">
    <cfRule type="containsBlanks" dxfId="1276" priority="6">
      <formula>LEN(TRIM(F5))=0</formula>
    </cfRule>
  </conditionalFormatting>
  <conditionalFormatting sqref="D6">
    <cfRule type="containsBlanks" dxfId="1275" priority="4">
      <formula>LEN(TRIM(D6))=0</formula>
    </cfRule>
  </conditionalFormatting>
  <conditionalFormatting sqref="C6">
    <cfRule type="containsBlanks" dxfId="1274" priority="3">
      <formula>LEN(TRIM(C6))=0</formula>
    </cfRule>
  </conditionalFormatting>
  <conditionalFormatting sqref="E6">
    <cfRule type="containsBlanks" dxfId="1273" priority="5">
      <formula>LEN(TRIM(E6))=0</formula>
    </cfRule>
  </conditionalFormatting>
  <conditionalFormatting sqref="A6">
    <cfRule type="containsBlanks" dxfId="1272" priority="2">
      <formula>LEN(TRIM(A6))=0</formula>
    </cfRule>
  </conditionalFormatting>
  <conditionalFormatting sqref="B6">
    <cfRule type="containsBlanks" dxfId="1271" priority="1">
      <formula>LEN(TRIM(B6))=0</formula>
    </cfRule>
  </conditionalFormatting>
  <dataValidations count="1">
    <dataValidation type="list" allowBlank="1" showInputMessage="1" showErrorMessage="1" sqref="E26:E27 E15:E23" xr:uid="{822922BB-B4AB-455E-B4A5-404E0187ABEC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AC69-1F52-43DD-A6C9-4B712B10D3F8}">
  <sheetPr codeName="Hoja17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180</v>
      </c>
      <c r="B6" s="70" t="s">
        <v>181</v>
      </c>
      <c r="C6" s="54">
        <v>679</v>
      </c>
      <c r="D6" s="58" t="s">
        <v>182</v>
      </c>
      <c r="E6" s="69">
        <v>35000</v>
      </c>
      <c r="F6" s="7">
        <v>679220425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0.14699999999999999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180</v>
      </c>
      <c r="B7" s="55" t="s">
        <v>181</v>
      </c>
      <c r="C7" s="55">
        <v>679</v>
      </c>
      <c r="D7" s="55" t="s">
        <v>182</v>
      </c>
      <c r="E7" s="55">
        <v>35000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182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150</v>
      </c>
      <c r="G17" s="9">
        <v>15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EjYqeKxZNthHB+3kN6vFYWE5suU+sKNdgjzF4huwnj4J7WO6FstVadF2PixRMDO4mENkYPXMNyYQucLl9cpZMg==" saltValue="yaiSMRFKD4n7CSj+Yi9mx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270" priority="29">
      <formula>LEN(TRIM(C6))=0</formula>
    </cfRule>
  </conditionalFormatting>
  <conditionalFormatting sqref="H15:AA23 H6:AA6">
    <cfRule type="cellIs" dxfId="1269" priority="28" operator="equal">
      <formula>0</formula>
    </cfRule>
  </conditionalFormatting>
  <conditionalFormatting sqref="G15:G23">
    <cfRule type="cellIs" dxfId="1268" priority="26" operator="equal">
      <formula>0</formula>
    </cfRule>
    <cfRule type="containsBlanks" dxfId="1267" priority="27">
      <formula>LEN(TRIM(G15))=0</formula>
    </cfRule>
  </conditionalFormatting>
  <conditionalFormatting sqref="H5:AA5">
    <cfRule type="containsBlanks" dxfId="1266" priority="25">
      <formula>LEN(TRIM(H5))=0</formula>
    </cfRule>
  </conditionalFormatting>
  <conditionalFormatting sqref="G5">
    <cfRule type="containsBlanks" dxfId="1265" priority="24">
      <formula>LEN(TRIM(G5))=0</formula>
    </cfRule>
  </conditionalFormatting>
  <conditionalFormatting sqref="F6:G6">
    <cfRule type="containsBlanks" dxfId="1264" priority="23">
      <formula>LEN(TRIM(F6))=0</formula>
    </cfRule>
  </conditionalFormatting>
  <conditionalFormatting sqref="H14:AA14">
    <cfRule type="containsBlanks" dxfId="1263" priority="22">
      <formula>LEN(TRIM(H14))=0</formula>
    </cfRule>
  </conditionalFormatting>
  <conditionalFormatting sqref="D5">
    <cfRule type="containsBlanks" dxfId="1262" priority="21">
      <formula>LEN(TRIM(D5))=0</formula>
    </cfRule>
  </conditionalFormatting>
  <conditionalFormatting sqref="C5">
    <cfRule type="containsBlanks" dxfId="1261" priority="20">
      <formula>LEN(TRIM(C5))=0</formula>
    </cfRule>
  </conditionalFormatting>
  <conditionalFormatting sqref="D14">
    <cfRule type="containsBlanks" dxfId="1260" priority="19">
      <formula>LEN(TRIM(D14))=0</formula>
    </cfRule>
  </conditionalFormatting>
  <conditionalFormatting sqref="G8:AA8 G10:AA10">
    <cfRule type="containsBlanks" dxfId="1259" priority="18">
      <formula>LEN(TRIM(G8))=0</formula>
    </cfRule>
  </conditionalFormatting>
  <conditionalFormatting sqref="G8:AA8 G10:AA10">
    <cfRule type="cellIs" dxfId="1258" priority="17" operator="equal">
      <formula>0</formula>
    </cfRule>
  </conditionalFormatting>
  <conditionalFormatting sqref="G7:AA7">
    <cfRule type="containsBlanks" dxfId="1257" priority="16">
      <formula>LEN(TRIM(G7))=0</formula>
    </cfRule>
  </conditionalFormatting>
  <conditionalFormatting sqref="G7:AA7">
    <cfRule type="cellIs" dxfId="1256" priority="15" operator="equal">
      <formula>0</formula>
    </cfRule>
  </conditionalFormatting>
  <conditionalFormatting sqref="A5">
    <cfRule type="containsBlanks" dxfId="1255" priority="13">
      <formula>LEN(TRIM(A5))=0</formula>
    </cfRule>
  </conditionalFormatting>
  <conditionalFormatting sqref="F7">
    <cfRule type="containsBlanks" dxfId="1254" priority="14">
      <formula>LEN(TRIM(F7))=0</formula>
    </cfRule>
  </conditionalFormatting>
  <conditionalFormatting sqref="B5">
    <cfRule type="containsBlanks" dxfId="1253" priority="12">
      <formula>LEN(TRIM(B5))=0</formula>
    </cfRule>
  </conditionalFormatting>
  <conditionalFormatting sqref="A7:E7">
    <cfRule type="containsBlanks" dxfId="1252" priority="11">
      <formula>LEN(TRIM(A7))=0</formula>
    </cfRule>
  </conditionalFormatting>
  <conditionalFormatting sqref="H9:AA9">
    <cfRule type="containsBlanks" dxfId="1251" priority="9">
      <formula>LEN(TRIM(H9))=0</formula>
    </cfRule>
  </conditionalFormatting>
  <conditionalFormatting sqref="G9">
    <cfRule type="containsBlanks" dxfId="1250" priority="10">
      <formula>LEN(TRIM(G9))=0</formula>
    </cfRule>
  </conditionalFormatting>
  <conditionalFormatting sqref="H9:AA9">
    <cfRule type="cellIs" dxfId="1249" priority="8" operator="equal">
      <formula>0</formula>
    </cfRule>
  </conditionalFormatting>
  <conditionalFormatting sqref="E5">
    <cfRule type="containsBlanks" dxfId="1248" priority="7">
      <formula>LEN(TRIM(E5))=0</formula>
    </cfRule>
  </conditionalFormatting>
  <conditionalFormatting sqref="F5">
    <cfRule type="containsBlanks" dxfId="1247" priority="6">
      <formula>LEN(TRIM(F5))=0</formula>
    </cfRule>
  </conditionalFormatting>
  <conditionalFormatting sqref="D6">
    <cfRule type="containsBlanks" dxfId="1246" priority="4">
      <formula>LEN(TRIM(D6))=0</formula>
    </cfRule>
  </conditionalFormatting>
  <conditionalFormatting sqref="C6">
    <cfRule type="containsBlanks" dxfId="1245" priority="3">
      <formula>LEN(TRIM(C6))=0</formula>
    </cfRule>
  </conditionalFormatting>
  <conditionalFormatting sqref="E6">
    <cfRule type="containsBlanks" dxfId="1244" priority="5">
      <formula>LEN(TRIM(E6))=0</formula>
    </cfRule>
  </conditionalFormatting>
  <conditionalFormatting sqref="A6">
    <cfRule type="containsBlanks" dxfId="1243" priority="2">
      <formula>LEN(TRIM(A6))=0</formula>
    </cfRule>
  </conditionalFormatting>
  <conditionalFormatting sqref="B6">
    <cfRule type="containsBlanks" dxfId="1242" priority="1">
      <formula>LEN(TRIM(B6))=0</formula>
    </cfRule>
  </conditionalFormatting>
  <dataValidations count="1">
    <dataValidation type="list" allowBlank="1" showInputMessage="1" showErrorMessage="1" sqref="E26:E27 E15:E23" xr:uid="{CCC59FE1-5351-4567-BAC2-B3B1ECD99B4F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405BB-2DCD-436E-ABC7-D64B0B4245BE}">
  <sheetPr codeName="Hoja18">
    <tabColor rgb="FFADDB6F"/>
  </sheetPr>
  <dimension ref="A1:AA32"/>
  <sheetViews>
    <sheetView zoomScaleNormal="100" workbookViewId="0">
      <pane xSplit="4" topLeftCell="E1" activePane="topRight" state="frozen"/>
      <selection activeCell="D19" sqref="D19:E19"/>
      <selection pane="topRight" activeCell="D19" sqref="D19:E1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183</v>
      </c>
      <c r="B6" s="70" t="s">
        <v>181</v>
      </c>
      <c r="C6" s="54">
        <v>65</v>
      </c>
      <c r="D6" s="58" t="s">
        <v>153</v>
      </c>
      <c r="E6" s="69">
        <v>70000</v>
      </c>
      <c r="F6" s="7">
        <v>65220425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183</v>
      </c>
      <c r="B7" s="55" t="s">
        <v>181</v>
      </c>
      <c r="C7" s="55">
        <v>65</v>
      </c>
      <c r="D7" s="55" t="s">
        <v>153</v>
      </c>
      <c r="E7" s="55">
        <v>70000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156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2.4750000000000001E-2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153</v>
      </c>
      <c r="E9" s="60"/>
      <c r="F9" s="61"/>
      <c r="G9" s="77"/>
      <c r="H9" s="8"/>
      <c r="I9" s="8">
        <v>0</v>
      </c>
      <c r="J9" s="8"/>
      <c r="K9" s="8"/>
      <c r="L9" s="8"/>
      <c r="M9" s="8"/>
      <c r="N9" s="8">
        <v>0</v>
      </c>
      <c r="O9" s="8">
        <v>0</v>
      </c>
      <c r="P9" s="8">
        <v>0.16</v>
      </c>
      <c r="Q9" s="8">
        <v>0.16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3.5249999999999997E-2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274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oDG3yP62vWN2/ElX/jbkRhqNe2JK5ufIRDtrnHlfuEYb5XLk+ILTE8XjxzVquY3KYSXUaGMcnjxV5mfEt5oBYw==" saltValue="XfuqfNLwX9G6ays8i6kLb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241" priority="29">
      <formula>LEN(TRIM(C6))=0</formula>
    </cfRule>
  </conditionalFormatting>
  <conditionalFormatting sqref="H15:AA23 H6:AA6">
    <cfRule type="cellIs" dxfId="1240" priority="28" operator="equal">
      <formula>0</formula>
    </cfRule>
  </conditionalFormatting>
  <conditionalFormatting sqref="G15:G23">
    <cfRule type="cellIs" dxfId="1239" priority="26" operator="equal">
      <formula>0</formula>
    </cfRule>
    <cfRule type="containsBlanks" dxfId="1238" priority="27">
      <formula>LEN(TRIM(G15))=0</formula>
    </cfRule>
  </conditionalFormatting>
  <conditionalFormatting sqref="H5:AA5">
    <cfRule type="containsBlanks" dxfId="1237" priority="25">
      <formula>LEN(TRIM(H5))=0</formula>
    </cfRule>
  </conditionalFormatting>
  <conditionalFormatting sqref="G5">
    <cfRule type="containsBlanks" dxfId="1236" priority="24">
      <formula>LEN(TRIM(G5))=0</formula>
    </cfRule>
  </conditionalFormatting>
  <conditionalFormatting sqref="F6:G6">
    <cfRule type="containsBlanks" dxfId="1235" priority="23">
      <formula>LEN(TRIM(F6))=0</formula>
    </cfRule>
  </conditionalFormatting>
  <conditionalFormatting sqref="H14:AA14">
    <cfRule type="containsBlanks" dxfId="1234" priority="22">
      <formula>LEN(TRIM(H14))=0</formula>
    </cfRule>
  </conditionalFormatting>
  <conditionalFormatting sqref="D5">
    <cfRule type="containsBlanks" dxfId="1233" priority="21">
      <formula>LEN(TRIM(D5))=0</formula>
    </cfRule>
  </conditionalFormatting>
  <conditionalFormatting sqref="C5">
    <cfRule type="containsBlanks" dxfId="1232" priority="20">
      <formula>LEN(TRIM(C5))=0</formula>
    </cfRule>
  </conditionalFormatting>
  <conditionalFormatting sqref="D14">
    <cfRule type="containsBlanks" dxfId="1231" priority="19">
      <formula>LEN(TRIM(D14))=0</formula>
    </cfRule>
  </conditionalFormatting>
  <conditionalFormatting sqref="G8:AA8 G10:AA10">
    <cfRule type="containsBlanks" dxfId="1230" priority="18">
      <formula>LEN(TRIM(G8))=0</formula>
    </cfRule>
  </conditionalFormatting>
  <conditionalFormatting sqref="G8:AA8 G10:AA10">
    <cfRule type="cellIs" dxfId="1229" priority="17" operator="equal">
      <formula>0</formula>
    </cfRule>
  </conditionalFormatting>
  <conditionalFormatting sqref="G7:AA7">
    <cfRule type="containsBlanks" dxfId="1228" priority="16">
      <formula>LEN(TRIM(G7))=0</formula>
    </cfRule>
  </conditionalFormatting>
  <conditionalFormatting sqref="G7:AA7">
    <cfRule type="cellIs" dxfId="1227" priority="15" operator="equal">
      <formula>0</formula>
    </cfRule>
  </conditionalFormatting>
  <conditionalFormatting sqref="A5">
    <cfRule type="containsBlanks" dxfId="1226" priority="13">
      <formula>LEN(TRIM(A5))=0</formula>
    </cfRule>
  </conditionalFormatting>
  <conditionalFormatting sqref="F7">
    <cfRule type="containsBlanks" dxfId="1225" priority="14">
      <formula>LEN(TRIM(F7))=0</formula>
    </cfRule>
  </conditionalFormatting>
  <conditionalFormatting sqref="B5">
    <cfRule type="containsBlanks" dxfId="1224" priority="12">
      <formula>LEN(TRIM(B5))=0</formula>
    </cfRule>
  </conditionalFormatting>
  <conditionalFormatting sqref="A7:E7">
    <cfRule type="containsBlanks" dxfId="1223" priority="11">
      <formula>LEN(TRIM(A7))=0</formula>
    </cfRule>
  </conditionalFormatting>
  <conditionalFormatting sqref="H9:AA9">
    <cfRule type="containsBlanks" dxfId="1222" priority="9">
      <formula>LEN(TRIM(H9))=0</formula>
    </cfRule>
  </conditionalFormatting>
  <conditionalFormatting sqref="G9">
    <cfRule type="containsBlanks" dxfId="1221" priority="10">
      <formula>LEN(TRIM(G9))=0</formula>
    </cfRule>
  </conditionalFormatting>
  <conditionalFormatting sqref="H9:AA9">
    <cfRule type="cellIs" dxfId="1220" priority="8" operator="equal">
      <formula>0</formula>
    </cfRule>
  </conditionalFormatting>
  <conditionalFormatting sqref="E5">
    <cfRule type="containsBlanks" dxfId="1219" priority="7">
      <formula>LEN(TRIM(E5))=0</formula>
    </cfRule>
  </conditionalFormatting>
  <conditionalFormatting sqref="F5">
    <cfRule type="containsBlanks" dxfId="1218" priority="6">
      <formula>LEN(TRIM(F5))=0</formula>
    </cfRule>
  </conditionalFormatting>
  <conditionalFormatting sqref="C6">
    <cfRule type="containsBlanks" dxfId="1217" priority="4">
      <formula>LEN(TRIM(C6))=0</formula>
    </cfRule>
  </conditionalFormatting>
  <conditionalFormatting sqref="E6">
    <cfRule type="containsBlanks" dxfId="1216" priority="5">
      <formula>LEN(TRIM(E6))=0</formula>
    </cfRule>
  </conditionalFormatting>
  <conditionalFormatting sqref="A6">
    <cfRule type="containsBlanks" dxfId="1215" priority="3">
      <formula>LEN(TRIM(A6))=0</formula>
    </cfRule>
  </conditionalFormatting>
  <conditionalFormatting sqref="B6">
    <cfRule type="containsBlanks" dxfId="1214" priority="2">
      <formula>LEN(TRIM(B6))=0</formula>
    </cfRule>
  </conditionalFormatting>
  <conditionalFormatting sqref="D6">
    <cfRule type="containsBlanks" dxfId="1213" priority="1">
      <formula>LEN(TRIM(D6))=0</formula>
    </cfRule>
  </conditionalFormatting>
  <dataValidations count="1">
    <dataValidation type="list" allowBlank="1" showInputMessage="1" showErrorMessage="1" sqref="E26:E27 E15:E23" xr:uid="{7D9B81DA-A1F2-489A-A386-5FF5F81611A6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691E-1BBF-4F9B-895E-8F9F2E1C045C}">
  <sheetPr codeName="Hoja19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E17" sqref="E17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184</v>
      </c>
      <c r="B6" s="70" t="s">
        <v>181</v>
      </c>
      <c r="C6" s="54">
        <v>82</v>
      </c>
      <c r="D6" s="58" t="s">
        <v>185</v>
      </c>
      <c r="E6" s="69">
        <v>36000</v>
      </c>
      <c r="F6" s="7">
        <v>82220425</v>
      </c>
      <c r="G6" s="77">
        <v>0.47799999999999998</v>
      </c>
      <c r="H6" s="8">
        <v>0</v>
      </c>
      <c r="I6" s="8">
        <v>0.22</v>
      </c>
      <c r="J6" s="8">
        <v>8.9999999999999993E-3</v>
      </c>
      <c r="K6" s="8">
        <v>0</v>
      </c>
      <c r="L6" s="8">
        <v>0</v>
      </c>
      <c r="M6" s="8">
        <v>0.21199999999999999</v>
      </c>
      <c r="N6" s="8">
        <v>4.2000000000000003E-2</v>
      </c>
      <c r="O6" s="8">
        <v>0.216</v>
      </c>
      <c r="P6" s="8">
        <v>1.7999999999999999E-2</v>
      </c>
      <c r="Q6" s="8">
        <v>1.7999999999999999E-2</v>
      </c>
      <c r="R6" s="8">
        <v>4.0000000000000001E-3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1.4E-2</v>
      </c>
      <c r="Z6" s="8">
        <v>0</v>
      </c>
      <c r="AA6" s="8">
        <v>0</v>
      </c>
    </row>
    <row r="7" spans="1:27" ht="19.5" x14ac:dyDescent="0.25">
      <c r="A7" s="55" t="s">
        <v>184</v>
      </c>
      <c r="B7" s="55" t="s">
        <v>181</v>
      </c>
      <c r="C7" s="55">
        <v>82</v>
      </c>
      <c r="D7" s="55" t="s">
        <v>185</v>
      </c>
      <c r="E7" s="55">
        <v>36000</v>
      </c>
      <c r="F7" s="53" t="s">
        <v>113</v>
      </c>
      <c r="G7" s="8" t="s">
        <v>139</v>
      </c>
      <c r="H7" s="8"/>
      <c r="I7" s="8" t="s">
        <v>139</v>
      </c>
      <c r="J7" s="8"/>
      <c r="K7" s="8"/>
      <c r="L7" s="8"/>
      <c r="M7" s="8"/>
      <c r="N7" s="8" t="s">
        <v>3</v>
      </c>
      <c r="O7" s="8" t="s">
        <v>139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0.48000000000000004</v>
      </c>
      <c r="H8" s="8"/>
      <c r="I8" s="8">
        <v>0.236267</v>
      </c>
      <c r="J8" s="8"/>
      <c r="K8" s="8"/>
      <c r="L8" s="8"/>
      <c r="M8" s="8"/>
      <c r="N8" s="8">
        <v>3.1895E-2</v>
      </c>
      <c r="O8" s="8">
        <v>0.221635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185</v>
      </c>
      <c r="E9" s="60"/>
      <c r="F9" s="61"/>
      <c r="G9" s="77">
        <v>0.53</v>
      </c>
      <c r="H9" s="8"/>
      <c r="I9" s="8">
        <v>0.25</v>
      </c>
      <c r="J9" s="8"/>
      <c r="K9" s="8"/>
      <c r="L9" s="8"/>
      <c r="M9" s="8"/>
      <c r="N9" s="8">
        <v>0.04</v>
      </c>
      <c r="O9" s="8">
        <v>0.24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0.58000000000000007</v>
      </c>
      <c r="H10" s="8"/>
      <c r="I10" s="8">
        <v>0.263733</v>
      </c>
      <c r="J10" s="8"/>
      <c r="K10" s="8"/>
      <c r="L10" s="8"/>
      <c r="M10" s="8"/>
      <c r="N10" s="8">
        <v>4.8105000000000002E-2</v>
      </c>
      <c r="O10" s="8">
        <v>0.25836500000000001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460</v>
      </c>
      <c r="G15" s="9">
        <v>46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65</v>
      </c>
      <c r="E16" s="9" t="s">
        <v>150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0.18</v>
      </c>
      <c r="Q16" s="10">
        <v>0.18</v>
      </c>
      <c r="R16" s="10">
        <v>0.04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0.14000000000000001</v>
      </c>
      <c r="Z16" s="10">
        <v>0</v>
      </c>
      <c r="AA16" s="11">
        <v>0</v>
      </c>
    </row>
    <row r="17" spans="3:27" x14ac:dyDescent="0.25">
      <c r="D17" s="9">
        <v>97</v>
      </c>
      <c r="E17" s="9" t="s">
        <v>186</v>
      </c>
      <c r="F17" s="9">
        <v>80</v>
      </c>
      <c r="G17" s="9">
        <v>8</v>
      </c>
      <c r="H17" s="10">
        <v>0</v>
      </c>
      <c r="I17" s="10">
        <v>0.11</v>
      </c>
      <c r="J17" s="10">
        <v>0.11</v>
      </c>
      <c r="K17" s="10">
        <v>0</v>
      </c>
      <c r="L17" s="10">
        <v>0</v>
      </c>
      <c r="M17" s="10">
        <v>0</v>
      </c>
      <c r="N17" s="10">
        <v>0.52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133</v>
      </c>
      <c r="F18" s="9">
        <v>360</v>
      </c>
      <c r="G18" s="9">
        <v>36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0.6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HkegRh1qzumsIC8yNlHf21qlNmreZaHv5jPluni6uNfCoFypOgF72lKhMRQFclhPgCPqqLswvPOvgxQWaF1HuQ==" saltValue="efQEceJ3Khk7FuqSvrP3V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212" priority="29">
      <formula>LEN(TRIM(C6))=0</formula>
    </cfRule>
  </conditionalFormatting>
  <conditionalFormatting sqref="H15:AA23 H6:AA6">
    <cfRule type="cellIs" dxfId="1211" priority="28" operator="equal">
      <formula>0</formula>
    </cfRule>
  </conditionalFormatting>
  <conditionalFormatting sqref="G15:G23">
    <cfRule type="cellIs" dxfId="1210" priority="26" operator="equal">
      <formula>0</formula>
    </cfRule>
    <cfRule type="containsBlanks" dxfId="1209" priority="27">
      <formula>LEN(TRIM(G15))=0</formula>
    </cfRule>
  </conditionalFormatting>
  <conditionalFormatting sqref="H5:AA5">
    <cfRule type="containsBlanks" dxfId="1208" priority="25">
      <formula>LEN(TRIM(H5))=0</formula>
    </cfRule>
  </conditionalFormatting>
  <conditionalFormatting sqref="G5">
    <cfRule type="containsBlanks" dxfId="1207" priority="24">
      <formula>LEN(TRIM(G5))=0</formula>
    </cfRule>
  </conditionalFormatting>
  <conditionalFormatting sqref="F6:G6">
    <cfRule type="containsBlanks" dxfId="1206" priority="23">
      <formula>LEN(TRIM(F6))=0</formula>
    </cfRule>
  </conditionalFormatting>
  <conditionalFormatting sqref="H14:AA14">
    <cfRule type="containsBlanks" dxfId="1205" priority="22">
      <formula>LEN(TRIM(H14))=0</formula>
    </cfRule>
  </conditionalFormatting>
  <conditionalFormatting sqref="D5">
    <cfRule type="containsBlanks" dxfId="1204" priority="21">
      <formula>LEN(TRIM(D5))=0</formula>
    </cfRule>
  </conditionalFormatting>
  <conditionalFormatting sqref="C5">
    <cfRule type="containsBlanks" dxfId="1203" priority="20">
      <formula>LEN(TRIM(C5))=0</formula>
    </cfRule>
  </conditionalFormatting>
  <conditionalFormatting sqref="D14">
    <cfRule type="containsBlanks" dxfId="1202" priority="19">
      <formula>LEN(TRIM(D14))=0</formula>
    </cfRule>
  </conditionalFormatting>
  <conditionalFormatting sqref="G8:AA8 G10:AA10">
    <cfRule type="containsBlanks" dxfId="1201" priority="18">
      <formula>LEN(TRIM(G8))=0</formula>
    </cfRule>
  </conditionalFormatting>
  <conditionalFormatting sqref="G8:AA8 G10:AA10">
    <cfRule type="cellIs" dxfId="1200" priority="17" operator="equal">
      <formula>0</formula>
    </cfRule>
  </conditionalFormatting>
  <conditionalFormatting sqref="G7:AA7">
    <cfRule type="containsBlanks" dxfId="1199" priority="16">
      <formula>LEN(TRIM(G7))=0</formula>
    </cfRule>
  </conditionalFormatting>
  <conditionalFormatting sqref="G7:AA7">
    <cfRule type="cellIs" dxfId="1198" priority="15" operator="equal">
      <formula>0</formula>
    </cfRule>
  </conditionalFormatting>
  <conditionalFormatting sqref="A5">
    <cfRule type="containsBlanks" dxfId="1197" priority="13">
      <formula>LEN(TRIM(A5))=0</formula>
    </cfRule>
  </conditionalFormatting>
  <conditionalFormatting sqref="F7">
    <cfRule type="containsBlanks" dxfId="1196" priority="14">
      <formula>LEN(TRIM(F7))=0</formula>
    </cfRule>
  </conditionalFormatting>
  <conditionalFormatting sqref="B5">
    <cfRule type="containsBlanks" dxfId="1195" priority="12">
      <formula>LEN(TRIM(B5))=0</formula>
    </cfRule>
  </conditionalFormatting>
  <conditionalFormatting sqref="A7:E7">
    <cfRule type="containsBlanks" dxfId="1194" priority="11">
      <formula>LEN(TRIM(A7))=0</formula>
    </cfRule>
  </conditionalFormatting>
  <conditionalFormatting sqref="H9:AA9">
    <cfRule type="containsBlanks" dxfId="1193" priority="9">
      <formula>LEN(TRIM(H9))=0</formula>
    </cfRule>
  </conditionalFormatting>
  <conditionalFormatting sqref="G9">
    <cfRule type="containsBlanks" dxfId="1192" priority="10">
      <formula>LEN(TRIM(G9))=0</formula>
    </cfRule>
  </conditionalFormatting>
  <conditionalFormatting sqref="H9:AA9">
    <cfRule type="cellIs" dxfId="1191" priority="8" operator="equal">
      <formula>0</formula>
    </cfRule>
  </conditionalFormatting>
  <conditionalFormatting sqref="E5">
    <cfRule type="containsBlanks" dxfId="1190" priority="7">
      <formula>LEN(TRIM(E5))=0</formula>
    </cfRule>
  </conditionalFormatting>
  <conditionalFormatting sqref="F5">
    <cfRule type="containsBlanks" dxfId="1189" priority="6">
      <formula>LEN(TRIM(F5))=0</formula>
    </cfRule>
  </conditionalFormatting>
  <conditionalFormatting sqref="C6">
    <cfRule type="containsBlanks" dxfId="1188" priority="4">
      <formula>LEN(TRIM(C6))=0</formula>
    </cfRule>
  </conditionalFormatting>
  <conditionalFormatting sqref="E6">
    <cfRule type="containsBlanks" dxfId="1187" priority="5">
      <formula>LEN(TRIM(E6))=0</formula>
    </cfRule>
  </conditionalFormatting>
  <conditionalFormatting sqref="A6">
    <cfRule type="containsBlanks" dxfId="1186" priority="3">
      <formula>LEN(TRIM(A6))=0</formula>
    </cfRule>
  </conditionalFormatting>
  <conditionalFormatting sqref="B6">
    <cfRule type="containsBlanks" dxfId="1185" priority="2">
      <formula>LEN(TRIM(B6))=0</formula>
    </cfRule>
  </conditionalFormatting>
  <conditionalFormatting sqref="D6">
    <cfRule type="containsBlanks" dxfId="1184" priority="1">
      <formula>LEN(TRIM(D6))=0</formula>
    </cfRule>
  </conditionalFormatting>
  <dataValidations count="1">
    <dataValidation type="list" allowBlank="1" showInputMessage="1" showErrorMessage="1" sqref="E26:E27 E15:E23" xr:uid="{04B31B14-3AEE-4194-BFFB-0360CD3323C8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A110E-7A3B-4283-BC15-48A8FF6A32C7}">
  <sheetPr codeName="Hoja20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188</v>
      </c>
      <c r="B6" s="70" t="s">
        <v>187</v>
      </c>
      <c r="C6" s="54">
        <v>679</v>
      </c>
      <c r="D6" s="58" t="s">
        <v>171</v>
      </c>
      <c r="E6" s="69">
        <v>70000</v>
      </c>
      <c r="F6" s="7">
        <v>679230425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0.14699999999999999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188</v>
      </c>
      <c r="B7" s="55" t="s">
        <v>187</v>
      </c>
      <c r="C7" s="55">
        <v>679</v>
      </c>
      <c r="D7" s="55" t="s">
        <v>171</v>
      </c>
      <c r="E7" s="55">
        <v>70000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171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150</v>
      </c>
      <c r="G17" s="9">
        <v>15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yPrmNdDqOxgx01g1XAGyJAA0I+XkWZY/R/tppLwdFaVOyQIUUlXloTXWV16ElTpwDBFAxKlIqSj7Oth87zpfuA==" saltValue="OARA/17/74UFzAxlN8d/3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183" priority="29">
      <formula>LEN(TRIM(C6))=0</formula>
    </cfRule>
  </conditionalFormatting>
  <conditionalFormatting sqref="H15:AA23 H6:AA6">
    <cfRule type="cellIs" dxfId="1182" priority="28" operator="equal">
      <formula>0</formula>
    </cfRule>
  </conditionalFormatting>
  <conditionalFormatting sqref="G15:G23">
    <cfRule type="cellIs" dxfId="1181" priority="26" operator="equal">
      <formula>0</formula>
    </cfRule>
    <cfRule type="containsBlanks" dxfId="1180" priority="27">
      <formula>LEN(TRIM(G15))=0</formula>
    </cfRule>
  </conditionalFormatting>
  <conditionalFormatting sqref="H5:AA5">
    <cfRule type="containsBlanks" dxfId="1179" priority="25">
      <formula>LEN(TRIM(H5))=0</formula>
    </cfRule>
  </conditionalFormatting>
  <conditionalFormatting sqref="G5">
    <cfRule type="containsBlanks" dxfId="1178" priority="24">
      <formula>LEN(TRIM(G5))=0</formula>
    </cfRule>
  </conditionalFormatting>
  <conditionalFormatting sqref="F6:G6">
    <cfRule type="containsBlanks" dxfId="1177" priority="23">
      <formula>LEN(TRIM(F6))=0</formula>
    </cfRule>
  </conditionalFormatting>
  <conditionalFormatting sqref="H14:AA14">
    <cfRule type="containsBlanks" dxfId="1176" priority="22">
      <formula>LEN(TRIM(H14))=0</formula>
    </cfRule>
  </conditionalFormatting>
  <conditionalFormatting sqref="D5">
    <cfRule type="containsBlanks" dxfId="1175" priority="21">
      <formula>LEN(TRIM(D5))=0</formula>
    </cfRule>
  </conditionalFormatting>
  <conditionalFormatting sqref="C5">
    <cfRule type="containsBlanks" dxfId="1174" priority="20">
      <formula>LEN(TRIM(C5))=0</formula>
    </cfRule>
  </conditionalFormatting>
  <conditionalFormatting sqref="D14">
    <cfRule type="containsBlanks" dxfId="1173" priority="19">
      <formula>LEN(TRIM(D14))=0</formula>
    </cfRule>
  </conditionalFormatting>
  <conditionalFormatting sqref="G8:AA8 G10:AA10">
    <cfRule type="containsBlanks" dxfId="1172" priority="18">
      <formula>LEN(TRIM(G8))=0</formula>
    </cfRule>
  </conditionalFormatting>
  <conditionalFormatting sqref="G8:AA8 G10:AA10">
    <cfRule type="cellIs" dxfId="1171" priority="17" operator="equal">
      <formula>0</formula>
    </cfRule>
  </conditionalFormatting>
  <conditionalFormatting sqref="G7:AA7">
    <cfRule type="containsBlanks" dxfId="1170" priority="16">
      <formula>LEN(TRIM(G7))=0</formula>
    </cfRule>
  </conditionalFormatting>
  <conditionalFormatting sqref="G7:AA7">
    <cfRule type="cellIs" dxfId="1169" priority="15" operator="equal">
      <formula>0</formula>
    </cfRule>
  </conditionalFormatting>
  <conditionalFormatting sqref="A5">
    <cfRule type="containsBlanks" dxfId="1168" priority="13">
      <formula>LEN(TRIM(A5))=0</formula>
    </cfRule>
  </conditionalFormatting>
  <conditionalFormatting sqref="F7">
    <cfRule type="containsBlanks" dxfId="1167" priority="14">
      <formula>LEN(TRIM(F7))=0</formula>
    </cfRule>
  </conditionalFormatting>
  <conditionalFormatting sqref="B5">
    <cfRule type="containsBlanks" dxfId="1166" priority="12">
      <formula>LEN(TRIM(B5))=0</formula>
    </cfRule>
  </conditionalFormatting>
  <conditionalFormatting sqref="A7:E7">
    <cfRule type="containsBlanks" dxfId="1165" priority="11">
      <formula>LEN(TRIM(A7))=0</formula>
    </cfRule>
  </conditionalFormatting>
  <conditionalFormatting sqref="G9">
    <cfRule type="containsBlanks" dxfId="1164" priority="10">
      <formula>LEN(TRIM(G9))=0</formula>
    </cfRule>
  </conditionalFormatting>
  <conditionalFormatting sqref="E5">
    <cfRule type="containsBlanks" dxfId="1163" priority="9">
      <formula>LEN(TRIM(E5))=0</formula>
    </cfRule>
  </conditionalFormatting>
  <conditionalFormatting sqref="F5">
    <cfRule type="containsBlanks" dxfId="1162" priority="8">
      <formula>LEN(TRIM(F5))=0</formula>
    </cfRule>
  </conditionalFormatting>
  <conditionalFormatting sqref="C6">
    <cfRule type="containsBlanks" dxfId="1161" priority="6">
      <formula>LEN(TRIM(C6))=0</formula>
    </cfRule>
  </conditionalFormatting>
  <conditionalFormatting sqref="E6">
    <cfRule type="containsBlanks" dxfId="1160" priority="7">
      <formula>LEN(TRIM(E6))=0</formula>
    </cfRule>
  </conditionalFormatting>
  <conditionalFormatting sqref="A6">
    <cfRule type="containsBlanks" dxfId="1159" priority="5">
      <formula>LEN(TRIM(A6))=0</formula>
    </cfRule>
  </conditionalFormatting>
  <conditionalFormatting sqref="B6">
    <cfRule type="containsBlanks" dxfId="1158" priority="4">
      <formula>LEN(TRIM(B6))=0</formula>
    </cfRule>
  </conditionalFormatting>
  <conditionalFormatting sqref="D6">
    <cfRule type="containsBlanks" dxfId="1157" priority="3">
      <formula>LEN(TRIM(D6))=0</formula>
    </cfRule>
  </conditionalFormatting>
  <conditionalFormatting sqref="H9:AA9">
    <cfRule type="containsBlanks" dxfId="1156" priority="2">
      <formula>LEN(TRIM(H9))=0</formula>
    </cfRule>
  </conditionalFormatting>
  <conditionalFormatting sqref="H9:AA9">
    <cfRule type="cellIs" dxfId="1155" priority="1" operator="equal">
      <formula>0</formula>
    </cfRule>
  </conditionalFormatting>
  <dataValidations count="1">
    <dataValidation type="list" allowBlank="1" showInputMessage="1" showErrorMessage="1" sqref="E26:E27 E15:E23" xr:uid="{80745EF4-0936-4A68-B4F5-693B4AB8FAEC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16C1A-847A-4971-9800-F18AB675735C}">
  <sheetPr codeName="Hoja21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189</v>
      </c>
      <c r="B6" s="70" t="s">
        <v>187</v>
      </c>
      <c r="C6" s="54">
        <v>62</v>
      </c>
      <c r="D6" s="58" t="s">
        <v>190</v>
      </c>
      <c r="E6" s="69">
        <v>35000</v>
      </c>
      <c r="F6" s="7">
        <v>62230425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1.4E-2</v>
      </c>
      <c r="P6" s="8">
        <v>0.191</v>
      </c>
      <c r="Q6" s="8">
        <v>3.6999999999999998E-2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0.34100000000000003</v>
      </c>
      <c r="Z6" s="8">
        <v>0</v>
      </c>
      <c r="AA6" s="8">
        <v>0</v>
      </c>
    </row>
    <row r="7" spans="1:27" ht="19.5" x14ac:dyDescent="0.25">
      <c r="A7" s="55" t="s">
        <v>189</v>
      </c>
      <c r="B7" s="55" t="s">
        <v>187</v>
      </c>
      <c r="C7" s="55">
        <v>62</v>
      </c>
      <c r="D7" s="55" t="s">
        <v>190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156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3.7499999999999999E-3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190</v>
      </c>
      <c r="E9" s="60"/>
      <c r="F9" s="61"/>
      <c r="G9" s="77"/>
      <c r="H9" s="8"/>
      <c r="I9" s="8">
        <v>0</v>
      </c>
      <c r="J9" s="8"/>
      <c r="K9" s="8"/>
      <c r="L9" s="8"/>
      <c r="M9" s="8"/>
      <c r="N9" s="8"/>
      <c r="O9" s="8">
        <v>0</v>
      </c>
      <c r="P9" s="8">
        <v>0.16</v>
      </c>
      <c r="Q9" s="8">
        <v>0.01</v>
      </c>
      <c r="R9" s="8">
        <v>0.01</v>
      </c>
      <c r="S9" s="8"/>
      <c r="T9" s="8"/>
      <c r="U9" s="8"/>
      <c r="V9" s="8"/>
      <c r="W9" s="8"/>
      <c r="X9" s="8"/>
      <c r="Y9" s="8">
        <v>0.3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1.6250000000000001E-2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350</v>
      </c>
      <c r="G16" s="9">
        <v>35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177</v>
      </c>
      <c r="F17" s="9">
        <v>600</v>
      </c>
      <c r="G17" s="9">
        <v>60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rXm7Qnst6hDs9H0H9nyjLUopcwG1K6acDLLXg/Nu3HEayDOuni5y/K/nM0Ydjapxfgs1ffEr2it0cU8ZqpHmUQ==" saltValue="tZ+HArSwBKhTQ6qTdQMKm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154" priority="31">
      <formula>LEN(TRIM(C6))=0</formula>
    </cfRule>
  </conditionalFormatting>
  <conditionalFormatting sqref="H15:AA23 H6:AA6">
    <cfRule type="cellIs" dxfId="1153" priority="30" operator="equal">
      <formula>0</formula>
    </cfRule>
  </conditionalFormatting>
  <conditionalFormatting sqref="G15:G23">
    <cfRule type="cellIs" dxfId="1152" priority="28" operator="equal">
      <formula>0</formula>
    </cfRule>
    <cfRule type="containsBlanks" dxfId="1151" priority="29">
      <formula>LEN(TRIM(G15))=0</formula>
    </cfRule>
  </conditionalFormatting>
  <conditionalFormatting sqref="H5:AA5">
    <cfRule type="containsBlanks" dxfId="1150" priority="27">
      <formula>LEN(TRIM(H5))=0</formula>
    </cfRule>
  </conditionalFormatting>
  <conditionalFormatting sqref="G5">
    <cfRule type="containsBlanks" dxfId="1149" priority="26">
      <formula>LEN(TRIM(G5))=0</formula>
    </cfRule>
  </conditionalFormatting>
  <conditionalFormatting sqref="F6:G6">
    <cfRule type="containsBlanks" dxfId="1148" priority="25">
      <formula>LEN(TRIM(F6))=0</formula>
    </cfRule>
  </conditionalFormatting>
  <conditionalFormatting sqref="H14:AA14">
    <cfRule type="containsBlanks" dxfId="1147" priority="24">
      <formula>LEN(TRIM(H14))=0</formula>
    </cfRule>
  </conditionalFormatting>
  <conditionalFormatting sqref="D5">
    <cfRule type="containsBlanks" dxfId="1146" priority="23">
      <formula>LEN(TRIM(D5))=0</formula>
    </cfRule>
  </conditionalFormatting>
  <conditionalFormatting sqref="C5">
    <cfRule type="containsBlanks" dxfId="1145" priority="22">
      <formula>LEN(TRIM(C5))=0</formula>
    </cfRule>
  </conditionalFormatting>
  <conditionalFormatting sqref="D14">
    <cfRule type="containsBlanks" dxfId="1144" priority="21">
      <formula>LEN(TRIM(D14))=0</formula>
    </cfRule>
  </conditionalFormatting>
  <conditionalFormatting sqref="G8:AA8 G10:AA10">
    <cfRule type="containsBlanks" dxfId="1143" priority="20">
      <formula>LEN(TRIM(G8))=0</formula>
    </cfRule>
  </conditionalFormatting>
  <conditionalFormatting sqref="G8:AA8 G10:AA10">
    <cfRule type="cellIs" dxfId="1142" priority="19" operator="equal">
      <formula>0</formula>
    </cfRule>
  </conditionalFormatting>
  <conditionalFormatting sqref="G7:AA7">
    <cfRule type="containsBlanks" dxfId="1141" priority="18">
      <formula>LEN(TRIM(G7))=0</formula>
    </cfRule>
  </conditionalFormatting>
  <conditionalFormatting sqref="G7:AA7">
    <cfRule type="cellIs" dxfId="1140" priority="17" operator="equal">
      <formula>0</formula>
    </cfRule>
  </conditionalFormatting>
  <conditionalFormatting sqref="A5">
    <cfRule type="containsBlanks" dxfId="1139" priority="15">
      <formula>LEN(TRIM(A5))=0</formula>
    </cfRule>
  </conditionalFormatting>
  <conditionalFormatting sqref="F7">
    <cfRule type="containsBlanks" dxfId="1138" priority="16">
      <formula>LEN(TRIM(F7))=0</formula>
    </cfRule>
  </conditionalFormatting>
  <conditionalFormatting sqref="B5">
    <cfRule type="containsBlanks" dxfId="1137" priority="14">
      <formula>LEN(TRIM(B5))=0</formula>
    </cfRule>
  </conditionalFormatting>
  <conditionalFormatting sqref="A7:E7">
    <cfRule type="containsBlanks" dxfId="1136" priority="13">
      <formula>LEN(TRIM(A7))=0</formula>
    </cfRule>
  </conditionalFormatting>
  <conditionalFormatting sqref="G9">
    <cfRule type="containsBlanks" dxfId="1135" priority="12">
      <formula>LEN(TRIM(G9))=0</formula>
    </cfRule>
  </conditionalFormatting>
  <conditionalFormatting sqref="E5">
    <cfRule type="containsBlanks" dxfId="1134" priority="11">
      <formula>LEN(TRIM(E5))=0</formula>
    </cfRule>
  </conditionalFormatting>
  <conditionalFormatting sqref="F5">
    <cfRule type="containsBlanks" dxfId="1133" priority="10">
      <formula>LEN(TRIM(F5))=0</formula>
    </cfRule>
  </conditionalFormatting>
  <conditionalFormatting sqref="C6">
    <cfRule type="containsBlanks" dxfId="1132" priority="8">
      <formula>LEN(TRIM(C6))=0</formula>
    </cfRule>
  </conditionalFormatting>
  <conditionalFormatting sqref="E6">
    <cfRule type="containsBlanks" dxfId="1131" priority="9">
      <formula>LEN(TRIM(E6))=0</formula>
    </cfRule>
  </conditionalFormatting>
  <conditionalFormatting sqref="A6">
    <cfRule type="containsBlanks" dxfId="1130" priority="7">
      <formula>LEN(TRIM(A6))=0</formula>
    </cfRule>
  </conditionalFormatting>
  <conditionalFormatting sqref="B6">
    <cfRule type="containsBlanks" dxfId="1129" priority="6">
      <formula>LEN(TRIM(B6))=0</formula>
    </cfRule>
  </conditionalFormatting>
  <conditionalFormatting sqref="D6">
    <cfRule type="containsBlanks" dxfId="1128" priority="5">
      <formula>LEN(TRIM(D6))=0</formula>
    </cfRule>
  </conditionalFormatting>
  <conditionalFormatting sqref="H9:O9 Z9:AA9">
    <cfRule type="containsBlanks" dxfId="1127" priority="4">
      <formula>LEN(TRIM(H9))=0</formula>
    </cfRule>
  </conditionalFormatting>
  <conditionalFormatting sqref="H9:O9 Z9:AA9">
    <cfRule type="cellIs" dxfId="1126" priority="3" operator="equal">
      <formula>0</formula>
    </cfRule>
  </conditionalFormatting>
  <conditionalFormatting sqref="P9:Y9">
    <cfRule type="containsBlanks" dxfId="1125" priority="2">
      <formula>LEN(TRIM(P9))=0</formula>
    </cfRule>
  </conditionalFormatting>
  <conditionalFormatting sqref="P9:Y9">
    <cfRule type="cellIs" dxfId="1124" priority="1" operator="equal">
      <formula>0</formula>
    </cfRule>
  </conditionalFormatting>
  <dataValidations count="1">
    <dataValidation type="list" allowBlank="1" showInputMessage="1" showErrorMessage="1" sqref="E26:E27 E15:E23" xr:uid="{0EFCBD01-4DF7-419F-A346-C7EB25EF40FC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A2411-9F61-4107-80EB-CA90A68FE552}">
  <sheetPr codeName="Hoja22">
    <tabColor rgb="FFADDB6F"/>
  </sheetPr>
  <dimension ref="A1:AA32"/>
  <sheetViews>
    <sheetView zoomScaleNormal="100" workbookViewId="0">
      <pane xSplit="4" topLeftCell="E1" activePane="topRight" state="frozen"/>
      <selection activeCell="D19" sqref="D19:E19"/>
      <selection pane="topRight" activeCell="D19" sqref="D19:E1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191</v>
      </c>
      <c r="B6" s="70" t="s">
        <v>187</v>
      </c>
      <c r="C6" s="54">
        <v>62</v>
      </c>
      <c r="D6" s="58" t="s">
        <v>185</v>
      </c>
      <c r="E6" s="69">
        <v>27000</v>
      </c>
      <c r="F6" s="7">
        <v>62230425</v>
      </c>
      <c r="G6" s="77">
        <v>0.47799999999999998</v>
      </c>
      <c r="H6" s="8">
        <v>0</v>
      </c>
      <c r="I6" s="8">
        <v>0.22</v>
      </c>
      <c r="J6" s="8">
        <v>8.9999999999999993E-3</v>
      </c>
      <c r="K6" s="8">
        <v>0</v>
      </c>
      <c r="L6" s="8">
        <v>0</v>
      </c>
      <c r="M6" s="8">
        <v>0.21199999999999999</v>
      </c>
      <c r="N6" s="8">
        <v>4.2000000000000003E-2</v>
      </c>
      <c r="O6" s="8">
        <v>0.216</v>
      </c>
      <c r="P6" s="8">
        <v>1.7999999999999999E-2</v>
      </c>
      <c r="Q6" s="8">
        <v>1.7999999999999999E-2</v>
      </c>
      <c r="R6" s="8">
        <v>4.0000000000000001E-3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1.4E-2</v>
      </c>
      <c r="Z6" s="8">
        <v>0</v>
      </c>
      <c r="AA6" s="8">
        <v>0</v>
      </c>
    </row>
    <row r="7" spans="1:27" ht="19.5" x14ac:dyDescent="0.25">
      <c r="A7" s="55" t="s">
        <v>191</v>
      </c>
      <c r="B7" s="55" t="s">
        <v>187</v>
      </c>
      <c r="C7" s="55">
        <v>62</v>
      </c>
      <c r="D7" s="55" t="s">
        <v>185</v>
      </c>
      <c r="E7" s="55">
        <v>27000</v>
      </c>
      <c r="F7" s="53" t="s">
        <v>113</v>
      </c>
      <c r="G7" s="8" t="s">
        <v>139</v>
      </c>
      <c r="H7" s="8"/>
      <c r="I7" s="8" t="s">
        <v>139</v>
      </c>
      <c r="J7" s="8"/>
      <c r="K7" s="8"/>
      <c r="L7" s="8"/>
      <c r="M7" s="8"/>
      <c r="N7" s="8" t="s">
        <v>3</v>
      </c>
      <c r="O7" s="8" t="s">
        <v>139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0.48000000000000004</v>
      </c>
      <c r="H8" s="8"/>
      <c r="I8" s="8">
        <v>0.236267</v>
      </c>
      <c r="J8" s="8"/>
      <c r="K8" s="8"/>
      <c r="L8" s="8"/>
      <c r="M8" s="8"/>
      <c r="N8" s="8">
        <v>3.1895E-2</v>
      </c>
      <c r="O8" s="8">
        <v>0.221635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185</v>
      </c>
      <c r="E9" s="60"/>
      <c r="F9" s="61"/>
      <c r="G9" s="77">
        <v>0.53</v>
      </c>
      <c r="H9" s="8"/>
      <c r="I9" s="8">
        <v>0.25</v>
      </c>
      <c r="J9" s="8"/>
      <c r="K9" s="8"/>
      <c r="L9" s="8"/>
      <c r="M9" s="8"/>
      <c r="N9" s="8">
        <v>0.04</v>
      </c>
      <c r="O9" s="8">
        <v>0.24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0.58000000000000007</v>
      </c>
      <c r="H10" s="8"/>
      <c r="I10" s="8">
        <v>0.263733</v>
      </c>
      <c r="J10" s="8"/>
      <c r="K10" s="8"/>
      <c r="L10" s="8"/>
      <c r="M10" s="8"/>
      <c r="N10" s="8">
        <v>4.8105000000000002E-2</v>
      </c>
      <c r="O10" s="8">
        <v>0.25836500000000001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460</v>
      </c>
      <c r="G15" s="9">
        <v>46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65</v>
      </c>
      <c r="E16" s="9" t="s">
        <v>150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0.18</v>
      </c>
      <c r="Q16" s="10">
        <v>0.18</v>
      </c>
      <c r="R16" s="10">
        <v>0.04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0.14000000000000001</v>
      </c>
      <c r="Z16" s="10">
        <v>0</v>
      </c>
      <c r="AA16" s="11">
        <v>0</v>
      </c>
    </row>
    <row r="17" spans="3:27" x14ac:dyDescent="0.25">
      <c r="D17" s="9">
        <v>97</v>
      </c>
      <c r="E17" s="9" t="s">
        <v>186</v>
      </c>
      <c r="F17" s="9">
        <v>80</v>
      </c>
      <c r="G17" s="9">
        <v>8</v>
      </c>
      <c r="H17" s="10">
        <v>0</v>
      </c>
      <c r="I17" s="10">
        <v>0.11</v>
      </c>
      <c r="J17" s="10">
        <v>0.11</v>
      </c>
      <c r="K17" s="10">
        <v>0</v>
      </c>
      <c r="L17" s="10">
        <v>0</v>
      </c>
      <c r="M17" s="10">
        <v>0</v>
      </c>
      <c r="N17" s="10">
        <v>0.52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133</v>
      </c>
      <c r="F18" s="9">
        <v>360</v>
      </c>
      <c r="G18" s="9">
        <v>36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0.6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mSI7EpSA9bHp2+pqxqpR5bKSTPzdtQPFi3PaqBt4VFgc/Urxea+1GCeHQ1vMYWsAZQf2TgL+ewWhAtxVgS1JWA==" saltValue="fbirubEW5QcIW3Obu7Uuf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123" priority="31">
      <formula>LEN(TRIM(C6))=0</formula>
    </cfRule>
  </conditionalFormatting>
  <conditionalFormatting sqref="H15:AA23 H6:AA6">
    <cfRule type="cellIs" dxfId="1122" priority="30" operator="equal">
      <formula>0</formula>
    </cfRule>
  </conditionalFormatting>
  <conditionalFormatting sqref="G15:G23">
    <cfRule type="cellIs" dxfId="1121" priority="28" operator="equal">
      <formula>0</formula>
    </cfRule>
    <cfRule type="containsBlanks" dxfId="1120" priority="29">
      <formula>LEN(TRIM(G15))=0</formula>
    </cfRule>
  </conditionalFormatting>
  <conditionalFormatting sqref="H5:AA5">
    <cfRule type="containsBlanks" dxfId="1119" priority="27">
      <formula>LEN(TRIM(H5))=0</formula>
    </cfRule>
  </conditionalFormatting>
  <conditionalFormatting sqref="G5">
    <cfRule type="containsBlanks" dxfId="1118" priority="26">
      <formula>LEN(TRIM(G5))=0</formula>
    </cfRule>
  </conditionalFormatting>
  <conditionalFormatting sqref="F6:G6">
    <cfRule type="containsBlanks" dxfId="1117" priority="25">
      <formula>LEN(TRIM(F6))=0</formula>
    </cfRule>
  </conditionalFormatting>
  <conditionalFormatting sqref="H14:AA14">
    <cfRule type="containsBlanks" dxfId="1116" priority="24">
      <formula>LEN(TRIM(H14))=0</formula>
    </cfRule>
  </conditionalFormatting>
  <conditionalFormatting sqref="D5">
    <cfRule type="containsBlanks" dxfId="1115" priority="23">
      <formula>LEN(TRIM(D5))=0</formula>
    </cfRule>
  </conditionalFormatting>
  <conditionalFormatting sqref="C5">
    <cfRule type="containsBlanks" dxfId="1114" priority="22">
      <formula>LEN(TRIM(C5))=0</formula>
    </cfRule>
  </conditionalFormatting>
  <conditionalFormatting sqref="D14">
    <cfRule type="containsBlanks" dxfId="1113" priority="21">
      <formula>LEN(TRIM(D14))=0</formula>
    </cfRule>
  </conditionalFormatting>
  <conditionalFormatting sqref="G8:AA8 G10:AA10">
    <cfRule type="containsBlanks" dxfId="1112" priority="20">
      <formula>LEN(TRIM(G8))=0</formula>
    </cfRule>
  </conditionalFormatting>
  <conditionalFormatting sqref="G8:AA8 G10:AA10">
    <cfRule type="cellIs" dxfId="1111" priority="19" operator="equal">
      <formula>0</formula>
    </cfRule>
  </conditionalFormatting>
  <conditionalFormatting sqref="G7:AA7">
    <cfRule type="containsBlanks" dxfId="1110" priority="18">
      <formula>LEN(TRIM(G7))=0</formula>
    </cfRule>
  </conditionalFormatting>
  <conditionalFormatting sqref="G7:AA7">
    <cfRule type="cellIs" dxfId="1109" priority="17" operator="equal">
      <formula>0</formula>
    </cfRule>
  </conditionalFormatting>
  <conditionalFormatting sqref="A5">
    <cfRule type="containsBlanks" dxfId="1108" priority="15">
      <formula>LEN(TRIM(A5))=0</formula>
    </cfRule>
  </conditionalFormatting>
  <conditionalFormatting sqref="F7">
    <cfRule type="containsBlanks" dxfId="1107" priority="16">
      <formula>LEN(TRIM(F7))=0</formula>
    </cfRule>
  </conditionalFormatting>
  <conditionalFormatting sqref="B5">
    <cfRule type="containsBlanks" dxfId="1106" priority="14">
      <formula>LEN(TRIM(B5))=0</formula>
    </cfRule>
  </conditionalFormatting>
  <conditionalFormatting sqref="A7:E7">
    <cfRule type="containsBlanks" dxfId="1105" priority="13">
      <formula>LEN(TRIM(A7))=0</formula>
    </cfRule>
  </conditionalFormatting>
  <conditionalFormatting sqref="G9">
    <cfRule type="containsBlanks" dxfId="1104" priority="12">
      <formula>LEN(TRIM(G9))=0</formula>
    </cfRule>
  </conditionalFormatting>
  <conditionalFormatting sqref="E5">
    <cfRule type="containsBlanks" dxfId="1103" priority="11">
      <formula>LEN(TRIM(E5))=0</formula>
    </cfRule>
  </conditionalFormatting>
  <conditionalFormatting sqref="F5">
    <cfRule type="containsBlanks" dxfId="1102" priority="10">
      <formula>LEN(TRIM(F5))=0</formula>
    </cfRule>
  </conditionalFormatting>
  <conditionalFormatting sqref="C6">
    <cfRule type="containsBlanks" dxfId="1101" priority="8">
      <formula>LEN(TRIM(C6))=0</formula>
    </cfRule>
  </conditionalFormatting>
  <conditionalFormatting sqref="E6">
    <cfRule type="containsBlanks" dxfId="1100" priority="9">
      <formula>LEN(TRIM(E6))=0</formula>
    </cfRule>
  </conditionalFormatting>
  <conditionalFormatting sqref="A6">
    <cfRule type="containsBlanks" dxfId="1099" priority="7">
      <formula>LEN(TRIM(A6))=0</formula>
    </cfRule>
  </conditionalFormatting>
  <conditionalFormatting sqref="B6">
    <cfRule type="containsBlanks" dxfId="1098" priority="6">
      <formula>LEN(TRIM(B6))=0</formula>
    </cfRule>
  </conditionalFormatting>
  <conditionalFormatting sqref="D6">
    <cfRule type="containsBlanks" dxfId="1097" priority="5">
      <formula>LEN(TRIM(D6))=0</formula>
    </cfRule>
  </conditionalFormatting>
  <conditionalFormatting sqref="H9:O9 Z9:AA9">
    <cfRule type="containsBlanks" dxfId="1096" priority="4">
      <formula>LEN(TRIM(H9))=0</formula>
    </cfRule>
  </conditionalFormatting>
  <conditionalFormatting sqref="H9:O9 Z9:AA9">
    <cfRule type="cellIs" dxfId="1095" priority="3" operator="equal">
      <formula>0</formula>
    </cfRule>
  </conditionalFormatting>
  <conditionalFormatting sqref="P9:Y9">
    <cfRule type="containsBlanks" dxfId="1094" priority="2">
      <formula>LEN(TRIM(P9))=0</formula>
    </cfRule>
  </conditionalFormatting>
  <conditionalFormatting sqref="P9:Y9">
    <cfRule type="cellIs" dxfId="1093" priority="1" operator="equal">
      <formula>0</formula>
    </cfRule>
  </conditionalFormatting>
  <dataValidations count="1">
    <dataValidation type="list" allowBlank="1" showInputMessage="1" showErrorMessage="1" sqref="E26:E27 E15:E23" xr:uid="{CAA314FB-57AD-4467-9CFB-803E004E00F9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F3A2-C0FC-42C6-A5B2-0C08C3D14015}">
  <sheetPr codeName="Hoja23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192</v>
      </c>
      <c r="B6" s="70" t="s">
        <v>187</v>
      </c>
      <c r="C6" s="54">
        <v>592</v>
      </c>
      <c r="D6" s="58" t="s">
        <v>193</v>
      </c>
      <c r="E6" s="69">
        <v>27000</v>
      </c>
      <c r="F6" s="7">
        <v>592230425</v>
      </c>
      <c r="G6" s="77">
        <v>0.33100000000000002</v>
      </c>
      <c r="H6" s="8">
        <v>0</v>
      </c>
      <c r="I6" s="8">
        <v>0.27500000000000002</v>
      </c>
      <c r="J6" s="8">
        <v>3.2000000000000001E-2</v>
      </c>
      <c r="K6" s="8">
        <v>0</v>
      </c>
      <c r="L6" s="8">
        <v>0</v>
      </c>
      <c r="M6" s="8">
        <v>0.23499999999999999</v>
      </c>
      <c r="N6" s="8">
        <v>5.0999999999999997E-2</v>
      </c>
      <c r="O6" s="8">
        <v>5.0000000000000001E-3</v>
      </c>
      <c r="P6" s="8">
        <v>7.2999999999999995E-2</v>
      </c>
      <c r="Q6" s="8">
        <v>1.9E-2</v>
      </c>
      <c r="R6" s="8">
        <v>4.2999999999999997E-2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3.5000000000000003E-2</v>
      </c>
      <c r="Z6" s="8">
        <v>0</v>
      </c>
      <c r="AA6" s="8">
        <v>0</v>
      </c>
    </row>
    <row r="7" spans="1:27" ht="19.5" x14ac:dyDescent="0.25">
      <c r="A7" s="55" t="s">
        <v>192</v>
      </c>
      <c r="B7" s="55" t="s">
        <v>187</v>
      </c>
      <c r="C7" s="55">
        <v>592</v>
      </c>
      <c r="D7" s="55" t="s">
        <v>193</v>
      </c>
      <c r="E7" s="55">
        <v>27000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0.28000000000000003</v>
      </c>
      <c r="H8" s="8"/>
      <c r="I8" s="8">
        <v>0.26582300000000003</v>
      </c>
      <c r="J8" s="8"/>
      <c r="K8" s="8"/>
      <c r="L8" s="8"/>
      <c r="M8" s="8"/>
      <c r="N8" s="8">
        <v>4.1527000000000001E-2</v>
      </c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193</v>
      </c>
      <c r="E9" s="60"/>
      <c r="F9" s="61"/>
      <c r="G9" s="77">
        <v>0.33</v>
      </c>
      <c r="H9" s="8"/>
      <c r="I9" s="8">
        <v>0.28000000000000003</v>
      </c>
      <c r="J9" s="8"/>
      <c r="K9" s="8"/>
      <c r="L9" s="8"/>
      <c r="M9" s="8"/>
      <c r="N9" s="8">
        <v>0.05</v>
      </c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0.38</v>
      </c>
      <c r="H10" s="8"/>
      <c r="I10" s="8">
        <v>0.29417700000000002</v>
      </c>
      <c r="J10" s="8"/>
      <c r="K10" s="8"/>
      <c r="L10" s="8"/>
      <c r="M10" s="8"/>
      <c r="N10" s="8">
        <v>5.8473000000000004E-2</v>
      </c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510</v>
      </c>
      <c r="G15" s="9">
        <v>51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150</v>
      </c>
      <c r="G16" s="9">
        <v>15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97</v>
      </c>
      <c r="E17" s="9" t="s">
        <v>142</v>
      </c>
      <c r="F17" s="9">
        <v>50</v>
      </c>
      <c r="G17" s="9">
        <v>5</v>
      </c>
      <c r="H17" s="10">
        <v>0</v>
      </c>
      <c r="I17" s="10">
        <v>0.18</v>
      </c>
      <c r="J17" s="10">
        <v>0</v>
      </c>
      <c r="K17" s="10">
        <v>0</v>
      </c>
      <c r="L17" s="10">
        <v>0</v>
      </c>
      <c r="M17" s="10">
        <v>0</v>
      </c>
      <c r="N17" s="10">
        <v>0.46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155</v>
      </c>
      <c r="E18" s="9" t="s">
        <v>145</v>
      </c>
      <c r="F18" s="9">
        <v>140</v>
      </c>
      <c r="G18" s="9">
        <v>14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0.2</v>
      </c>
      <c r="O18" s="10">
        <v>0</v>
      </c>
      <c r="P18" s="10">
        <v>0.23</v>
      </c>
      <c r="Q18" s="10">
        <v>1.4999999999999999E-2</v>
      </c>
      <c r="R18" s="10">
        <v>0.01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0.21</v>
      </c>
      <c r="Z18" s="10">
        <v>0</v>
      </c>
      <c r="AA18" s="11">
        <v>0</v>
      </c>
    </row>
    <row r="19" spans="3:27" x14ac:dyDescent="0.25">
      <c r="D19" s="9">
        <v>160</v>
      </c>
      <c r="E19" s="9" t="s">
        <v>138</v>
      </c>
      <c r="F19" s="9">
        <v>150</v>
      </c>
      <c r="G19" s="9">
        <v>15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0.03</v>
      </c>
      <c r="P19" s="10">
        <v>0.27</v>
      </c>
      <c r="Q19" s="10">
        <v>0.115</v>
      </c>
      <c r="R19" s="10">
        <v>3.5000000000000003E-2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3.5000000000000003E-2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450</v>
      </c>
      <c r="E26" s="9" t="s">
        <v>134</v>
      </c>
      <c r="F26" s="9">
        <v>1.53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JVnpmpqN93bERyFDNd2kyep0owDG82bi9KJ0LUcKq8X3arnJ5sEkNGriQr1Juu6y4XwG3XvlsIrUYy1QQhja9Q==" saltValue="pJDh4Uc5pA6LNyKOohWbL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092" priority="31">
      <formula>LEN(TRIM(C6))=0</formula>
    </cfRule>
  </conditionalFormatting>
  <conditionalFormatting sqref="H15:AA23 H6:AA6">
    <cfRule type="cellIs" dxfId="1091" priority="30" operator="equal">
      <formula>0</formula>
    </cfRule>
  </conditionalFormatting>
  <conditionalFormatting sqref="G15:G23">
    <cfRule type="cellIs" dxfId="1090" priority="28" operator="equal">
      <formula>0</formula>
    </cfRule>
    <cfRule type="containsBlanks" dxfId="1089" priority="29">
      <formula>LEN(TRIM(G15))=0</formula>
    </cfRule>
  </conditionalFormatting>
  <conditionalFormatting sqref="H5:AA5">
    <cfRule type="containsBlanks" dxfId="1088" priority="27">
      <formula>LEN(TRIM(H5))=0</formula>
    </cfRule>
  </conditionalFormatting>
  <conditionalFormatting sqref="G5">
    <cfRule type="containsBlanks" dxfId="1087" priority="26">
      <formula>LEN(TRIM(G5))=0</formula>
    </cfRule>
  </conditionalFormatting>
  <conditionalFormatting sqref="F6:G6">
    <cfRule type="containsBlanks" dxfId="1086" priority="25">
      <formula>LEN(TRIM(F6))=0</formula>
    </cfRule>
  </conditionalFormatting>
  <conditionalFormatting sqref="H14:AA14">
    <cfRule type="containsBlanks" dxfId="1085" priority="24">
      <formula>LEN(TRIM(H14))=0</formula>
    </cfRule>
  </conditionalFormatting>
  <conditionalFormatting sqref="D5">
    <cfRule type="containsBlanks" dxfId="1084" priority="23">
      <formula>LEN(TRIM(D5))=0</formula>
    </cfRule>
  </conditionalFormatting>
  <conditionalFormatting sqref="C5">
    <cfRule type="containsBlanks" dxfId="1083" priority="22">
      <formula>LEN(TRIM(C5))=0</formula>
    </cfRule>
  </conditionalFormatting>
  <conditionalFormatting sqref="D14">
    <cfRule type="containsBlanks" dxfId="1082" priority="21">
      <formula>LEN(TRIM(D14))=0</formula>
    </cfRule>
  </conditionalFormatting>
  <conditionalFormatting sqref="G8:AA8 G10:AA10">
    <cfRule type="containsBlanks" dxfId="1081" priority="20">
      <formula>LEN(TRIM(G8))=0</formula>
    </cfRule>
  </conditionalFormatting>
  <conditionalFormatting sqref="G8:AA8 G10:AA10">
    <cfRule type="cellIs" dxfId="1080" priority="19" operator="equal">
      <formula>0</formula>
    </cfRule>
  </conditionalFormatting>
  <conditionalFormatting sqref="G7:AA7">
    <cfRule type="containsBlanks" dxfId="1079" priority="18">
      <formula>LEN(TRIM(G7))=0</formula>
    </cfRule>
  </conditionalFormatting>
  <conditionalFormatting sqref="G7:AA7">
    <cfRule type="cellIs" dxfId="1078" priority="17" operator="equal">
      <formula>0</formula>
    </cfRule>
  </conditionalFormatting>
  <conditionalFormatting sqref="A5">
    <cfRule type="containsBlanks" dxfId="1077" priority="15">
      <formula>LEN(TRIM(A5))=0</formula>
    </cfRule>
  </conditionalFormatting>
  <conditionalFormatting sqref="F7">
    <cfRule type="containsBlanks" dxfId="1076" priority="16">
      <formula>LEN(TRIM(F7))=0</formula>
    </cfRule>
  </conditionalFormatting>
  <conditionalFormatting sqref="B5">
    <cfRule type="containsBlanks" dxfId="1075" priority="14">
      <formula>LEN(TRIM(B5))=0</formula>
    </cfRule>
  </conditionalFormatting>
  <conditionalFormatting sqref="A7:E7">
    <cfRule type="containsBlanks" dxfId="1074" priority="13">
      <formula>LEN(TRIM(A7))=0</formula>
    </cfRule>
  </conditionalFormatting>
  <conditionalFormatting sqref="G9">
    <cfRule type="containsBlanks" dxfId="1073" priority="12">
      <formula>LEN(TRIM(G9))=0</formula>
    </cfRule>
  </conditionalFormatting>
  <conditionalFormatting sqref="E5">
    <cfRule type="containsBlanks" dxfId="1072" priority="11">
      <formula>LEN(TRIM(E5))=0</formula>
    </cfRule>
  </conditionalFormatting>
  <conditionalFormatting sqref="F5">
    <cfRule type="containsBlanks" dxfId="1071" priority="10">
      <formula>LEN(TRIM(F5))=0</formula>
    </cfRule>
  </conditionalFormatting>
  <conditionalFormatting sqref="C6">
    <cfRule type="containsBlanks" dxfId="1070" priority="8">
      <formula>LEN(TRIM(C6))=0</formula>
    </cfRule>
  </conditionalFormatting>
  <conditionalFormatting sqref="E6">
    <cfRule type="containsBlanks" dxfId="1069" priority="9">
      <formula>LEN(TRIM(E6))=0</formula>
    </cfRule>
  </conditionalFormatting>
  <conditionalFormatting sqref="A6">
    <cfRule type="containsBlanks" dxfId="1068" priority="7">
      <formula>LEN(TRIM(A6))=0</formula>
    </cfRule>
  </conditionalFormatting>
  <conditionalFormatting sqref="B6">
    <cfRule type="containsBlanks" dxfId="1067" priority="6">
      <formula>LEN(TRIM(B6))=0</formula>
    </cfRule>
  </conditionalFormatting>
  <conditionalFormatting sqref="D6">
    <cfRule type="containsBlanks" dxfId="1066" priority="5">
      <formula>LEN(TRIM(D6))=0</formula>
    </cfRule>
  </conditionalFormatting>
  <conditionalFormatting sqref="H9:O9 Z9:AA9">
    <cfRule type="containsBlanks" dxfId="1065" priority="4">
      <formula>LEN(TRIM(H9))=0</formula>
    </cfRule>
  </conditionalFormatting>
  <conditionalFormatting sqref="H9:O9 Z9:AA9">
    <cfRule type="cellIs" dxfId="1064" priority="3" operator="equal">
      <formula>0</formula>
    </cfRule>
  </conditionalFormatting>
  <conditionalFormatting sqref="P9:Y9">
    <cfRule type="containsBlanks" dxfId="1063" priority="2">
      <formula>LEN(TRIM(P9))=0</formula>
    </cfRule>
  </conditionalFormatting>
  <conditionalFormatting sqref="P9:Y9">
    <cfRule type="cellIs" dxfId="1062" priority="1" operator="equal">
      <formula>0</formula>
    </cfRule>
  </conditionalFormatting>
  <dataValidations count="1">
    <dataValidation type="list" allowBlank="1" showInputMessage="1" showErrorMessage="1" sqref="E26:E27 E15:E23" xr:uid="{622C40A5-1BF2-4D41-8708-B5063510827A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6F83-D790-423A-9346-D2ED84A012CE}">
  <sheetPr codeName="Hoja24">
    <tabColor rgb="FFADDB6F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194</v>
      </c>
      <c r="B6" s="70" t="s">
        <v>187</v>
      </c>
      <c r="C6" s="54">
        <v>587</v>
      </c>
      <c r="D6" s="58" t="s">
        <v>195</v>
      </c>
      <c r="E6" s="69">
        <v>1000</v>
      </c>
      <c r="F6" s="7">
        <v>587230425</v>
      </c>
      <c r="G6" s="77">
        <v>0.45899999999999996</v>
      </c>
      <c r="H6" s="8">
        <v>1E-3</v>
      </c>
      <c r="I6" s="8">
        <v>0.11799999999999999</v>
      </c>
      <c r="J6" s="8">
        <v>7.0000000000000001E-3</v>
      </c>
      <c r="K6" s="8">
        <v>0</v>
      </c>
      <c r="L6" s="8">
        <v>0</v>
      </c>
      <c r="M6" s="8">
        <v>1.7000000000000001E-2</v>
      </c>
      <c r="N6" s="8">
        <v>0.247</v>
      </c>
      <c r="O6" s="8">
        <v>9.4E-2</v>
      </c>
      <c r="P6" s="8">
        <v>3.5000000000000003E-2</v>
      </c>
      <c r="Q6" s="8">
        <v>0.05</v>
      </c>
      <c r="R6" s="8">
        <v>1.2999999999999999E-2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4.2000000000000003E-2</v>
      </c>
      <c r="Z6" s="8">
        <v>1E-3</v>
      </c>
      <c r="AA6" s="8">
        <v>0</v>
      </c>
    </row>
    <row r="7" spans="1:27" ht="19.5" x14ac:dyDescent="0.25">
      <c r="A7" s="55" t="s">
        <v>194</v>
      </c>
      <c r="B7" s="55" t="s">
        <v>187</v>
      </c>
      <c r="C7" s="55">
        <v>587</v>
      </c>
      <c r="D7" s="55" t="s">
        <v>195</v>
      </c>
      <c r="E7" s="55">
        <v>1000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0.41</v>
      </c>
      <c r="H8" s="8"/>
      <c r="I8" s="8">
        <v>0.10923099999999999</v>
      </c>
      <c r="J8" s="8"/>
      <c r="K8" s="8"/>
      <c r="L8" s="8"/>
      <c r="M8" s="8"/>
      <c r="N8" s="8">
        <v>0.236267</v>
      </c>
      <c r="O8" s="8">
        <v>7.9704999999999998E-2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195</v>
      </c>
      <c r="E9" s="60"/>
      <c r="F9" s="61"/>
      <c r="G9" s="77">
        <v>0.45999999999999996</v>
      </c>
      <c r="H9" s="8"/>
      <c r="I9" s="8">
        <v>0.12</v>
      </c>
      <c r="J9" s="8"/>
      <c r="K9" s="8"/>
      <c r="L9" s="8"/>
      <c r="M9" s="8"/>
      <c r="N9" s="8">
        <v>0.25</v>
      </c>
      <c r="O9" s="8">
        <v>0.09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0.51</v>
      </c>
      <c r="H10" s="8"/>
      <c r="I10" s="8">
        <v>0.130769</v>
      </c>
      <c r="J10" s="8"/>
      <c r="K10" s="8"/>
      <c r="L10" s="8"/>
      <c r="M10" s="8"/>
      <c r="N10" s="8">
        <v>0.263733</v>
      </c>
      <c r="O10" s="8">
        <v>0.100295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37.5</v>
      </c>
      <c r="G15" s="9">
        <v>3.75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32.5</v>
      </c>
      <c r="G16" s="9">
        <v>3.25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120</v>
      </c>
      <c r="G17" s="9">
        <v>12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520</v>
      </c>
      <c r="G18" s="9">
        <v>52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123</v>
      </c>
      <c r="E19" s="9" t="s">
        <v>196</v>
      </c>
      <c r="F19" s="9">
        <v>3</v>
      </c>
      <c r="G19" s="9">
        <v>0.3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0.1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144</v>
      </c>
      <c r="E20" s="9" t="s">
        <v>133</v>
      </c>
      <c r="F20" s="9">
        <v>150</v>
      </c>
      <c r="G20" s="9">
        <v>15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0.6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>
        <v>150</v>
      </c>
      <c r="E21" s="9" t="s">
        <v>197</v>
      </c>
      <c r="F21" s="9">
        <v>7</v>
      </c>
      <c r="G21" s="9">
        <v>0.7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0.03</v>
      </c>
      <c r="P21" s="10">
        <v>0</v>
      </c>
      <c r="Q21" s="10">
        <v>0</v>
      </c>
      <c r="R21" s="10">
        <v>7.0000000000000007E-2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0.21</v>
      </c>
      <c r="AA21" s="11">
        <v>0</v>
      </c>
    </row>
    <row r="22" spans="3:27" x14ac:dyDescent="0.25">
      <c r="D22" s="9">
        <v>155</v>
      </c>
      <c r="E22" s="9" t="s">
        <v>145</v>
      </c>
      <c r="F22" s="9">
        <v>10</v>
      </c>
      <c r="G22" s="9">
        <v>1</v>
      </c>
      <c r="H22" s="10">
        <v>0.05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0.2</v>
      </c>
      <c r="O22" s="10">
        <v>0</v>
      </c>
      <c r="P22" s="10">
        <v>0.23</v>
      </c>
      <c r="Q22" s="10">
        <v>1.4999999999999999E-2</v>
      </c>
      <c r="R22" s="10">
        <v>0.01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0.21</v>
      </c>
      <c r="Z22" s="10">
        <v>0</v>
      </c>
      <c r="AA22" s="11">
        <v>0</v>
      </c>
    </row>
    <row r="23" spans="3:27" x14ac:dyDescent="0.25">
      <c r="D23" s="9">
        <v>160</v>
      </c>
      <c r="E23" s="9" t="s">
        <v>138</v>
      </c>
      <c r="F23" s="80">
        <v>120</v>
      </c>
      <c r="G23" s="9">
        <v>12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0.03</v>
      </c>
      <c r="P23" s="10">
        <v>0.27</v>
      </c>
      <c r="Q23" s="10">
        <v>0.115</v>
      </c>
      <c r="R23" s="10">
        <v>3.5000000000000003E-2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3.5000000000000003E-2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450</v>
      </c>
      <c r="E26" s="9" t="s">
        <v>134</v>
      </c>
      <c r="F26" s="9">
        <v>0.11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Q0xDM/G6DaxpAKFVu12XOBclNHybn8PDGwkjJ7pQPKfyTzMWrOwfNgfr4K7xIrpzXmL4qAYWShIo5rKK5A6KHw==" saltValue="IueZsE5e2we7/UMUsI254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061" priority="31">
      <formula>LEN(TRIM(C6))=0</formula>
    </cfRule>
  </conditionalFormatting>
  <conditionalFormatting sqref="H15:AA23 H6:AA6">
    <cfRule type="cellIs" dxfId="1060" priority="30" operator="equal">
      <formula>0</formula>
    </cfRule>
  </conditionalFormatting>
  <conditionalFormatting sqref="G15:G23">
    <cfRule type="cellIs" dxfId="1059" priority="28" operator="equal">
      <formula>0</formula>
    </cfRule>
    <cfRule type="containsBlanks" dxfId="1058" priority="29">
      <formula>LEN(TRIM(G15))=0</formula>
    </cfRule>
  </conditionalFormatting>
  <conditionalFormatting sqref="H5:AA5">
    <cfRule type="containsBlanks" dxfId="1057" priority="27">
      <formula>LEN(TRIM(H5))=0</formula>
    </cfRule>
  </conditionalFormatting>
  <conditionalFormatting sqref="G5">
    <cfRule type="containsBlanks" dxfId="1056" priority="26">
      <formula>LEN(TRIM(G5))=0</formula>
    </cfRule>
  </conditionalFormatting>
  <conditionalFormatting sqref="F6:G6">
    <cfRule type="containsBlanks" dxfId="1055" priority="25">
      <formula>LEN(TRIM(F6))=0</formula>
    </cfRule>
  </conditionalFormatting>
  <conditionalFormatting sqref="H14:AA14">
    <cfRule type="containsBlanks" dxfId="1054" priority="24">
      <formula>LEN(TRIM(H14))=0</formula>
    </cfRule>
  </conditionalFormatting>
  <conditionalFormatting sqref="D5">
    <cfRule type="containsBlanks" dxfId="1053" priority="23">
      <formula>LEN(TRIM(D5))=0</formula>
    </cfRule>
  </conditionalFormatting>
  <conditionalFormatting sqref="C5">
    <cfRule type="containsBlanks" dxfId="1052" priority="22">
      <formula>LEN(TRIM(C5))=0</formula>
    </cfRule>
  </conditionalFormatting>
  <conditionalFormatting sqref="D14">
    <cfRule type="containsBlanks" dxfId="1051" priority="21">
      <formula>LEN(TRIM(D14))=0</formula>
    </cfRule>
  </conditionalFormatting>
  <conditionalFormatting sqref="G8:AA8 G10:AA10">
    <cfRule type="containsBlanks" dxfId="1050" priority="20">
      <formula>LEN(TRIM(G8))=0</formula>
    </cfRule>
  </conditionalFormatting>
  <conditionalFormatting sqref="G8:AA8 G10:AA10">
    <cfRule type="cellIs" dxfId="1049" priority="19" operator="equal">
      <formula>0</formula>
    </cfRule>
  </conditionalFormatting>
  <conditionalFormatting sqref="G7:AA7">
    <cfRule type="containsBlanks" dxfId="1048" priority="18">
      <formula>LEN(TRIM(G7))=0</formula>
    </cfRule>
  </conditionalFormatting>
  <conditionalFormatting sqref="G7:AA7">
    <cfRule type="cellIs" dxfId="1047" priority="17" operator="equal">
      <formula>0</formula>
    </cfRule>
  </conditionalFormatting>
  <conditionalFormatting sqref="A5">
    <cfRule type="containsBlanks" dxfId="1046" priority="15">
      <formula>LEN(TRIM(A5))=0</formula>
    </cfRule>
  </conditionalFormatting>
  <conditionalFormatting sqref="F7">
    <cfRule type="containsBlanks" dxfId="1045" priority="16">
      <formula>LEN(TRIM(F7))=0</formula>
    </cfRule>
  </conditionalFormatting>
  <conditionalFormatting sqref="B5">
    <cfRule type="containsBlanks" dxfId="1044" priority="14">
      <formula>LEN(TRIM(B5))=0</formula>
    </cfRule>
  </conditionalFormatting>
  <conditionalFormatting sqref="A7:E7">
    <cfRule type="containsBlanks" dxfId="1043" priority="13">
      <formula>LEN(TRIM(A7))=0</formula>
    </cfRule>
  </conditionalFormatting>
  <conditionalFormatting sqref="G9">
    <cfRule type="containsBlanks" dxfId="1042" priority="12">
      <formula>LEN(TRIM(G9))=0</formula>
    </cfRule>
  </conditionalFormatting>
  <conditionalFormatting sqref="E5">
    <cfRule type="containsBlanks" dxfId="1041" priority="11">
      <formula>LEN(TRIM(E5))=0</formula>
    </cfRule>
  </conditionalFormatting>
  <conditionalFormatting sqref="F5">
    <cfRule type="containsBlanks" dxfId="1040" priority="10">
      <formula>LEN(TRIM(F5))=0</formula>
    </cfRule>
  </conditionalFormatting>
  <conditionalFormatting sqref="C6">
    <cfRule type="containsBlanks" dxfId="1039" priority="8">
      <formula>LEN(TRIM(C6))=0</formula>
    </cfRule>
  </conditionalFormatting>
  <conditionalFormatting sqref="E6">
    <cfRule type="containsBlanks" dxfId="1038" priority="9">
      <formula>LEN(TRIM(E6))=0</formula>
    </cfRule>
  </conditionalFormatting>
  <conditionalFormatting sqref="A6">
    <cfRule type="containsBlanks" dxfId="1037" priority="7">
      <formula>LEN(TRIM(A6))=0</formula>
    </cfRule>
  </conditionalFormatting>
  <conditionalFormatting sqref="B6">
    <cfRule type="containsBlanks" dxfId="1036" priority="6">
      <formula>LEN(TRIM(B6))=0</formula>
    </cfRule>
  </conditionalFormatting>
  <conditionalFormatting sqref="D6">
    <cfRule type="containsBlanks" dxfId="1035" priority="5">
      <formula>LEN(TRIM(D6))=0</formula>
    </cfRule>
  </conditionalFormatting>
  <conditionalFormatting sqref="H9:O9 Z9:AA9">
    <cfRule type="containsBlanks" dxfId="1034" priority="4">
      <formula>LEN(TRIM(H9))=0</formula>
    </cfRule>
  </conditionalFormatting>
  <conditionalFormatting sqref="H9:O9 Z9:AA9">
    <cfRule type="cellIs" dxfId="1033" priority="3" operator="equal">
      <formula>0</formula>
    </cfRule>
  </conditionalFormatting>
  <conditionalFormatting sqref="P9:Y9">
    <cfRule type="containsBlanks" dxfId="1032" priority="2">
      <formula>LEN(TRIM(P9))=0</formula>
    </cfRule>
  </conditionalFormatting>
  <conditionalFormatting sqref="P9:Y9">
    <cfRule type="cellIs" dxfId="1031" priority="1" operator="equal">
      <formula>0</formula>
    </cfRule>
  </conditionalFormatting>
  <dataValidations count="1">
    <dataValidation type="list" allowBlank="1" showInputMessage="1" showErrorMessage="1" sqref="E26:E27 E15:E23" xr:uid="{CA0D5997-53FC-4DFB-9E67-2D39D533D311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66B8C-3A9A-450F-BCA7-64CA11D9DC73}">
  <sheetPr codeName="Hoja25">
    <tabColor rgb="FFADDB6F"/>
  </sheetPr>
  <dimension ref="A1:AA32"/>
  <sheetViews>
    <sheetView topLeftCell="A4" zoomScaleNormal="100" workbookViewId="0">
      <pane xSplit="4" topLeftCell="E1" activePane="topRight" state="frozen"/>
      <selection activeCell="N9" sqref="N9"/>
      <selection pane="topRight" activeCell="G28" sqref="G28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198</v>
      </c>
      <c r="B6" s="70" t="s">
        <v>187</v>
      </c>
      <c r="C6" s="54">
        <v>588</v>
      </c>
      <c r="D6" s="58" t="s">
        <v>199</v>
      </c>
      <c r="E6" s="69">
        <v>1000</v>
      </c>
      <c r="F6" s="7">
        <v>588230425</v>
      </c>
      <c r="G6" s="77">
        <v>0.47799999999999998</v>
      </c>
      <c r="H6" s="8">
        <v>0</v>
      </c>
      <c r="I6" s="8">
        <v>9.6000000000000002E-2</v>
      </c>
      <c r="J6" s="8">
        <v>3.0000000000000001E-3</v>
      </c>
      <c r="K6" s="8">
        <v>0</v>
      </c>
      <c r="L6" s="8">
        <v>0</v>
      </c>
      <c r="M6" s="8">
        <v>5.8000000000000003E-2</v>
      </c>
      <c r="N6" s="8">
        <v>9.2999999999999999E-2</v>
      </c>
      <c r="O6" s="8">
        <v>0.28899999999999998</v>
      </c>
      <c r="P6" s="8">
        <v>1.6E-2</v>
      </c>
      <c r="Q6" s="8">
        <v>2.8000000000000001E-2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2.3E-2</v>
      </c>
      <c r="Z6" s="8">
        <v>1.2999999999999999E-2</v>
      </c>
      <c r="AA6" s="8">
        <v>0</v>
      </c>
    </row>
    <row r="7" spans="1:27" ht="19.5" x14ac:dyDescent="0.25">
      <c r="A7" s="55" t="s">
        <v>198</v>
      </c>
      <c r="B7" s="55" t="s">
        <v>187</v>
      </c>
      <c r="C7" s="55">
        <v>588</v>
      </c>
      <c r="D7" s="55" t="s">
        <v>199</v>
      </c>
      <c r="E7" s="55">
        <v>1000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139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0.45</v>
      </c>
      <c r="H8" s="8"/>
      <c r="I8" s="8">
        <v>8.9837E-2</v>
      </c>
      <c r="J8" s="8"/>
      <c r="K8" s="8"/>
      <c r="L8" s="8"/>
      <c r="M8" s="8"/>
      <c r="N8" s="8">
        <v>9.9529000000000006E-2</v>
      </c>
      <c r="O8" s="8">
        <v>0.26964499999999997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199</v>
      </c>
      <c r="E9" s="60"/>
      <c r="F9" s="61"/>
      <c r="G9" s="77">
        <v>0.5</v>
      </c>
      <c r="H9" s="8"/>
      <c r="I9" s="8">
        <v>0.1</v>
      </c>
      <c r="J9" s="8">
        <v>0</v>
      </c>
      <c r="K9" s="8"/>
      <c r="L9" s="8"/>
      <c r="M9" s="8"/>
      <c r="N9" s="8">
        <v>0.11</v>
      </c>
      <c r="O9" s="8">
        <v>0.28999999999999998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0.55000000000000004</v>
      </c>
      <c r="H10" s="8"/>
      <c r="I10" s="8">
        <v>0.11016300000000001</v>
      </c>
      <c r="J10" s="8"/>
      <c r="K10" s="8"/>
      <c r="L10" s="8"/>
      <c r="M10" s="8"/>
      <c r="N10" s="8">
        <v>0.12047099999999999</v>
      </c>
      <c r="O10" s="8">
        <v>0.31035499999999999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125</v>
      </c>
      <c r="G15" s="9">
        <v>12.5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15</v>
      </c>
      <c r="G16" s="9">
        <v>1.5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70</v>
      </c>
      <c r="G17" s="9">
        <v>7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195</v>
      </c>
      <c r="G18" s="9">
        <v>19.5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475</v>
      </c>
      <c r="G19" s="9">
        <v>47.5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150</v>
      </c>
      <c r="E20" s="9" t="s">
        <v>197</v>
      </c>
      <c r="F20" s="9">
        <v>60</v>
      </c>
      <c r="G20" s="9">
        <v>6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0.03</v>
      </c>
      <c r="P20" s="10">
        <v>0</v>
      </c>
      <c r="Q20" s="10">
        <v>0</v>
      </c>
      <c r="R20" s="10">
        <v>7.0000000000000007E-2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0.21</v>
      </c>
      <c r="AA20" s="11">
        <v>0</v>
      </c>
    </row>
    <row r="21" spans="3:27" x14ac:dyDescent="0.25">
      <c r="D21" s="9">
        <v>160</v>
      </c>
      <c r="E21" s="9" t="s">
        <v>138</v>
      </c>
      <c r="F21" s="9">
        <v>60</v>
      </c>
      <c r="G21" s="9">
        <v>6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0.03</v>
      </c>
      <c r="P21" s="10">
        <v>0.27</v>
      </c>
      <c r="Q21" s="10">
        <v>0.115</v>
      </c>
      <c r="R21" s="10">
        <v>3.5000000000000003E-2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3.5000000000000003E-2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2"/>
    </row>
    <row r="25" spans="3:27" x14ac:dyDescent="0.25">
      <c r="C25" s="73"/>
      <c r="D25" s="132"/>
      <c r="E25" s="132"/>
      <c r="F25" s="132"/>
      <c r="G25" s="82"/>
    </row>
    <row r="26" spans="3:27" x14ac:dyDescent="0.25">
      <c r="D26" s="9">
        <v>450</v>
      </c>
      <c r="E26" s="9" t="s">
        <v>134</v>
      </c>
      <c r="F26" s="9">
        <v>0.38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HDQg5QiqsZaK+vDAxnqG1sjqBGeQzh7GBSjjCUWcThlcotRN+yzIKOEqPTDgXIRE4sQGUy353iUn53FNsEYDEg==" saltValue="6cd6VGTdApu8N+JNlX4yR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030" priority="31">
      <formula>LEN(TRIM(C6))=0</formula>
    </cfRule>
  </conditionalFormatting>
  <conditionalFormatting sqref="H15:AA23 H6:AA6">
    <cfRule type="cellIs" dxfId="1029" priority="30" operator="equal">
      <formula>0</formula>
    </cfRule>
  </conditionalFormatting>
  <conditionalFormatting sqref="G15:G23">
    <cfRule type="cellIs" dxfId="1028" priority="28" operator="equal">
      <formula>0</formula>
    </cfRule>
    <cfRule type="containsBlanks" dxfId="1027" priority="29">
      <formula>LEN(TRIM(G15))=0</formula>
    </cfRule>
  </conditionalFormatting>
  <conditionalFormatting sqref="H5:AA5">
    <cfRule type="containsBlanks" dxfId="1026" priority="27">
      <formula>LEN(TRIM(H5))=0</formula>
    </cfRule>
  </conditionalFormatting>
  <conditionalFormatting sqref="G5">
    <cfRule type="containsBlanks" dxfId="1025" priority="26">
      <formula>LEN(TRIM(G5))=0</formula>
    </cfRule>
  </conditionalFormatting>
  <conditionalFormatting sqref="F6:G6">
    <cfRule type="containsBlanks" dxfId="1024" priority="25">
      <formula>LEN(TRIM(F6))=0</formula>
    </cfRule>
  </conditionalFormatting>
  <conditionalFormatting sqref="H14:AA14">
    <cfRule type="containsBlanks" dxfId="1023" priority="24">
      <formula>LEN(TRIM(H14))=0</formula>
    </cfRule>
  </conditionalFormatting>
  <conditionalFormatting sqref="D5">
    <cfRule type="containsBlanks" dxfId="1022" priority="23">
      <formula>LEN(TRIM(D5))=0</formula>
    </cfRule>
  </conditionalFormatting>
  <conditionalFormatting sqref="C5">
    <cfRule type="containsBlanks" dxfId="1021" priority="22">
      <formula>LEN(TRIM(C5))=0</formula>
    </cfRule>
  </conditionalFormatting>
  <conditionalFormatting sqref="D14">
    <cfRule type="containsBlanks" dxfId="1020" priority="21">
      <formula>LEN(TRIM(D14))=0</formula>
    </cfRule>
  </conditionalFormatting>
  <conditionalFormatting sqref="G8:AA8 G10:AA10">
    <cfRule type="containsBlanks" dxfId="1019" priority="20">
      <formula>LEN(TRIM(G8))=0</formula>
    </cfRule>
  </conditionalFormatting>
  <conditionalFormatting sqref="G8:AA8 G10:AA10">
    <cfRule type="cellIs" dxfId="1018" priority="19" operator="equal">
      <formula>0</formula>
    </cfRule>
  </conditionalFormatting>
  <conditionalFormatting sqref="G7:AA7">
    <cfRule type="containsBlanks" dxfId="1017" priority="18">
      <formula>LEN(TRIM(G7))=0</formula>
    </cfRule>
  </conditionalFormatting>
  <conditionalFormatting sqref="G7:AA7">
    <cfRule type="cellIs" dxfId="1016" priority="17" operator="equal">
      <formula>0</formula>
    </cfRule>
  </conditionalFormatting>
  <conditionalFormatting sqref="A5">
    <cfRule type="containsBlanks" dxfId="1015" priority="15">
      <formula>LEN(TRIM(A5))=0</formula>
    </cfRule>
  </conditionalFormatting>
  <conditionalFormatting sqref="F7">
    <cfRule type="containsBlanks" dxfId="1014" priority="16">
      <formula>LEN(TRIM(F7))=0</formula>
    </cfRule>
  </conditionalFormatting>
  <conditionalFormatting sqref="B5">
    <cfRule type="containsBlanks" dxfId="1013" priority="14">
      <formula>LEN(TRIM(B5))=0</formula>
    </cfRule>
  </conditionalFormatting>
  <conditionalFormatting sqref="A7:E7">
    <cfRule type="containsBlanks" dxfId="1012" priority="13">
      <formula>LEN(TRIM(A7))=0</formula>
    </cfRule>
  </conditionalFormatting>
  <conditionalFormatting sqref="G9">
    <cfRule type="containsBlanks" dxfId="1011" priority="12">
      <formula>LEN(TRIM(G9))=0</formula>
    </cfRule>
  </conditionalFormatting>
  <conditionalFormatting sqref="E5">
    <cfRule type="containsBlanks" dxfId="1010" priority="11">
      <formula>LEN(TRIM(E5))=0</formula>
    </cfRule>
  </conditionalFormatting>
  <conditionalFormatting sqref="F5">
    <cfRule type="containsBlanks" dxfId="1009" priority="10">
      <formula>LEN(TRIM(F5))=0</formula>
    </cfRule>
  </conditionalFormatting>
  <conditionalFormatting sqref="C6">
    <cfRule type="containsBlanks" dxfId="1008" priority="8">
      <formula>LEN(TRIM(C6))=0</formula>
    </cfRule>
  </conditionalFormatting>
  <conditionalFormatting sqref="E6">
    <cfRule type="containsBlanks" dxfId="1007" priority="9">
      <formula>LEN(TRIM(E6))=0</formula>
    </cfRule>
  </conditionalFormatting>
  <conditionalFormatting sqref="A6">
    <cfRule type="containsBlanks" dxfId="1006" priority="7">
      <formula>LEN(TRIM(A6))=0</formula>
    </cfRule>
  </conditionalFormatting>
  <conditionalFormatting sqref="B6">
    <cfRule type="containsBlanks" dxfId="1005" priority="6">
      <formula>LEN(TRIM(B6))=0</formula>
    </cfRule>
  </conditionalFormatting>
  <conditionalFormatting sqref="D6">
    <cfRule type="containsBlanks" dxfId="1004" priority="5">
      <formula>LEN(TRIM(D6))=0</formula>
    </cfRule>
  </conditionalFormatting>
  <conditionalFormatting sqref="H9:O9 Z9:AA9">
    <cfRule type="containsBlanks" dxfId="1003" priority="4">
      <formula>LEN(TRIM(H9))=0</formula>
    </cfRule>
  </conditionalFormatting>
  <conditionalFormatting sqref="H9:O9 Z9:AA9">
    <cfRule type="cellIs" dxfId="1002" priority="3" operator="equal">
      <formula>0</formula>
    </cfRule>
  </conditionalFormatting>
  <conditionalFormatting sqref="P9:Y9">
    <cfRule type="containsBlanks" dxfId="1001" priority="2">
      <formula>LEN(TRIM(P9))=0</formula>
    </cfRule>
  </conditionalFormatting>
  <conditionalFormatting sqref="P9:Y9">
    <cfRule type="cellIs" dxfId="1000" priority="1" operator="equal">
      <formula>0</formula>
    </cfRule>
  </conditionalFormatting>
  <dataValidations count="1">
    <dataValidation type="list" allowBlank="1" showInputMessage="1" showErrorMessage="1" sqref="E26:E27 E15:E23" xr:uid="{D09FB604-043B-44A6-9ECB-805BFDBB13CF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4E4B4-9D3F-45CF-835C-87905534CBCC}">
  <sheetPr codeName="Hoja27">
    <tabColor rgb="FFADDB6F"/>
  </sheetPr>
  <dimension ref="A1:AA32"/>
  <sheetViews>
    <sheetView zoomScaleNormal="100" workbookViewId="0">
      <pane xSplit="4" topLeftCell="E1" activePane="topRight" state="frozen"/>
      <selection activeCell="C18" sqref="C18"/>
      <selection pane="topRight" activeCell="E16" sqref="E16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200</v>
      </c>
      <c r="B6" s="70" t="s">
        <v>201</v>
      </c>
      <c r="C6" s="54">
        <v>518</v>
      </c>
      <c r="D6" s="58" t="s">
        <v>202</v>
      </c>
      <c r="E6" s="69">
        <v>5000</v>
      </c>
      <c r="F6" s="7">
        <v>518240425</v>
      </c>
      <c r="G6" s="77">
        <v>0.42200000000000004</v>
      </c>
      <c r="H6" s="8">
        <v>3.0000000000000001E-3</v>
      </c>
      <c r="I6" s="8">
        <v>0.248</v>
      </c>
      <c r="J6" s="8">
        <v>0.105</v>
      </c>
      <c r="K6" s="8">
        <v>0</v>
      </c>
      <c r="L6" s="8">
        <v>0</v>
      </c>
      <c r="M6" s="8">
        <v>0.14299999999999999</v>
      </c>
      <c r="N6" s="8">
        <v>0.16600000000000001</v>
      </c>
      <c r="O6" s="8">
        <v>8.0000000000000002E-3</v>
      </c>
      <c r="P6" s="8">
        <v>3.3000000000000002E-2</v>
      </c>
      <c r="Q6" s="8">
        <v>0.01</v>
      </c>
      <c r="R6" s="8">
        <v>5.3999999999999999E-2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1.2999999999999999E-2</v>
      </c>
      <c r="Z6" s="8">
        <v>0</v>
      </c>
      <c r="AA6" s="8">
        <v>0</v>
      </c>
    </row>
    <row r="7" spans="1:27" ht="19.5" x14ac:dyDescent="0.25">
      <c r="A7" s="55" t="s">
        <v>200</v>
      </c>
      <c r="B7" s="55" t="s">
        <v>201</v>
      </c>
      <c r="C7" s="55">
        <v>518</v>
      </c>
      <c r="D7" s="55" t="s">
        <v>202</v>
      </c>
      <c r="E7" s="55">
        <v>5000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0.38000000000000006</v>
      </c>
      <c r="H8" s="8"/>
      <c r="I8" s="8">
        <v>0.236267</v>
      </c>
      <c r="J8" s="8"/>
      <c r="K8" s="8"/>
      <c r="L8" s="8"/>
      <c r="M8" s="8"/>
      <c r="N8" s="8">
        <v>0.157891</v>
      </c>
      <c r="O8" s="8">
        <v>5.2970000000000005E-3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202</v>
      </c>
      <c r="E9" s="60"/>
      <c r="F9" s="61"/>
      <c r="G9" s="77">
        <v>0.43000000000000005</v>
      </c>
      <c r="H9" s="8"/>
      <c r="I9" s="8">
        <v>0.25</v>
      </c>
      <c r="J9" s="8">
        <v>0</v>
      </c>
      <c r="K9" s="8"/>
      <c r="L9" s="8"/>
      <c r="M9" s="8"/>
      <c r="N9" s="8">
        <v>0.17</v>
      </c>
      <c r="O9" s="8">
        <v>0.01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0.48000000000000004</v>
      </c>
      <c r="H10" s="8"/>
      <c r="I10" s="8">
        <v>0.263733</v>
      </c>
      <c r="J10" s="8"/>
      <c r="K10" s="8"/>
      <c r="L10" s="8"/>
      <c r="M10" s="8"/>
      <c r="N10" s="8">
        <v>0.18210900000000002</v>
      </c>
      <c r="O10" s="8">
        <v>1.4703000000000001E-2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310</v>
      </c>
      <c r="G15" s="9">
        <v>31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204</v>
      </c>
      <c r="F16" s="9">
        <v>210</v>
      </c>
      <c r="G16" s="9">
        <v>21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97</v>
      </c>
      <c r="E17" s="9" t="s">
        <v>205</v>
      </c>
      <c r="F17" s="9">
        <v>340</v>
      </c>
      <c r="G17" s="9">
        <v>34</v>
      </c>
      <c r="H17" s="10">
        <v>0</v>
      </c>
      <c r="I17" s="10">
        <v>0.18</v>
      </c>
      <c r="J17" s="10">
        <v>0.18</v>
      </c>
      <c r="K17" s="10">
        <v>0</v>
      </c>
      <c r="L17" s="10">
        <v>0</v>
      </c>
      <c r="M17" s="10">
        <v>0</v>
      </c>
      <c r="N17" s="10">
        <v>0.46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133</v>
      </c>
      <c r="F18" s="9">
        <v>10</v>
      </c>
      <c r="G18" s="9">
        <v>1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0.6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145</v>
      </c>
      <c r="F19" s="9">
        <v>50</v>
      </c>
      <c r="G19" s="9">
        <v>5</v>
      </c>
      <c r="H19" s="10">
        <v>0.05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</v>
      </c>
      <c r="O19" s="10">
        <v>0</v>
      </c>
      <c r="P19" s="10">
        <v>0.23</v>
      </c>
      <c r="Q19" s="10">
        <v>1.4999999999999999E-2</v>
      </c>
      <c r="R19" s="10">
        <v>0.01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0.21</v>
      </c>
      <c r="Z19" s="10">
        <v>0</v>
      </c>
      <c r="AA19" s="11">
        <v>0</v>
      </c>
    </row>
    <row r="20" spans="3:27" x14ac:dyDescent="0.25">
      <c r="D20" s="9">
        <v>150</v>
      </c>
      <c r="E20" s="9" t="s">
        <v>138</v>
      </c>
      <c r="F20" s="9">
        <v>80</v>
      </c>
      <c r="G20" s="9">
        <v>8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0.03</v>
      </c>
      <c r="P20" s="10">
        <v>0.27</v>
      </c>
      <c r="Q20" s="10">
        <v>0.115</v>
      </c>
      <c r="R20" s="10">
        <v>3.5000000000000003E-2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3.5000000000000003E-2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3"/>
    </row>
    <row r="25" spans="3:27" x14ac:dyDescent="0.25">
      <c r="C25" s="73"/>
      <c r="D25" s="132"/>
      <c r="E25" s="132"/>
      <c r="F25" s="132"/>
      <c r="G25" s="83"/>
    </row>
    <row r="26" spans="3:27" x14ac:dyDescent="0.25">
      <c r="D26" s="9">
        <v>450</v>
      </c>
      <c r="E26" s="9" t="s">
        <v>134</v>
      </c>
      <c r="F26" s="9">
        <v>0.93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NiZYkLFzHscJwWV5EiFQpdSGNRlAsULf1WVc1rx+5Ag8VykjtlVRf08DF4XkdG1eC1LfgxqwSpWE8YWif6Cj0A==" saltValue="ShL6t4ac0lxmHXCiUOYuC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999" priority="31">
      <formula>LEN(TRIM(C6))=0</formula>
    </cfRule>
  </conditionalFormatting>
  <conditionalFormatting sqref="H15:AA23 H6:AA6">
    <cfRule type="cellIs" dxfId="998" priority="30" operator="equal">
      <formula>0</formula>
    </cfRule>
  </conditionalFormatting>
  <conditionalFormatting sqref="G15:G23">
    <cfRule type="cellIs" dxfId="997" priority="28" operator="equal">
      <formula>0</formula>
    </cfRule>
    <cfRule type="containsBlanks" dxfId="996" priority="29">
      <formula>LEN(TRIM(G15))=0</formula>
    </cfRule>
  </conditionalFormatting>
  <conditionalFormatting sqref="H5:AA5">
    <cfRule type="containsBlanks" dxfId="995" priority="27">
      <formula>LEN(TRIM(H5))=0</formula>
    </cfRule>
  </conditionalFormatting>
  <conditionalFormatting sqref="G5">
    <cfRule type="containsBlanks" dxfId="994" priority="26">
      <formula>LEN(TRIM(G5))=0</formula>
    </cfRule>
  </conditionalFormatting>
  <conditionalFormatting sqref="F6:G6">
    <cfRule type="containsBlanks" dxfId="993" priority="25">
      <formula>LEN(TRIM(F6))=0</formula>
    </cfRule>
  </conditionalFormatting>
  <conditionalFormatting sqref="H14:AA14">
    <cfRule type="containsBlanks" dxfId="992" priority="24">
      <formula>LEN(TRIM(H14))=0</formula>
    </cfRule>
  </conditionalFormatting>
  <conditionalFormatting sqref="D5">
    <cfRule type="containsBlanks" dxfId="991" priority="23">
      <formula>LEN(TRIM(D5))=0</formula>
    </cfRule>
  </conditionalFormatting>
  <conditionalFormatting sqref="C5">
    <cfRule type="containsBlanks" dxfId="990" priority="22">
      <formula>LEN(TRIM(C5))=0</formula>
    </cfRule>
  </conditionalFormatting>
  <conditionalFormatting sqref="D14">
    <cfRule type="containsBlanks" dxfId="989" priority="21">
      <formula>LEN(TRIM(D14))=0</formula>
    </cfRule>
  </conditionalFormatting>
  <conditionalFormatting sqref="G8:AA8 G10:AA10">
    <cfRule type="containsBlanks" dxfId="988" priority="20">
      <formula>LEN(TRIM(G8))=0</formula>
    </cfRule>
  </conditionalFormatting>
  <conditionalFormatting sqref="G8:AA8 G10:AA10">
    <cfRule type="cellIs" dxfId="987" priority="19" operator="equal">
      <formula>0</formula>
    </cfRule>
  </conditionalFormatting>
  <conditionalFormatting sqref="G7:AA7">
    <cfRule type="containsBlanks" dxfId="986" priority="18">
      <formula>LEN(TRIM(G7))=0</formula>
    </cfRule>
  </conditionalFormatting>
  <conditionalFormatting sqref="G7:AA7">
    <cfRule type="cellIs" dxfId="985" priority="17" operator="equal">
      <formula>0</formula>
    </cfRule>
  </conditionalFormatting>
  <conditionalFormatting sqref="A5">
    <cfRule type="containsBlanks" dxfId="984" priority="15">
      <formula>LEN(TRIM(A5))=0</formula>
    </cfRule>
  </conditionalFormatting>
  <conditionalFormatting sqref="F7">
    <cfRule type="containsBlanks" dxfId="983" priority="16">
      <formula>LEN(TRIM(F7))=0</formula>
    </cfRule>
  </conditionalFormatting>
  <conditionalFormatting sqref="B5">
    <cfRule type="containsBlanks" dxfId="982" priority="14">
      <formula>LEN(TRIM(B5))=0</formula>
    </cfRule>
  </conditionalFormatting>
  <conditionalFormatting sqref="A7:E7">
    <cfRule type="containsBlanks" dxfId="981" priority="13">
      <formula>LEN(TRIM(A7))=0</formula>
    </cfRule>
  </conditionalFormatting>
  <conditionalFormatting sqref="G9">
    <cfRule type="containsBlanks" dxfId="980" priority="12">
      <formula>LEN(TRIM(G9))=0</formula>
    </cfRule>
  </conditionalFormatting>
  <conditionalFormatting sqref="E5">
    <cfRule type="containsBlanks" dxfId="979" priority="11">
      <formula>LEN(TRIM(E5))=0</formula>
    </cfRule>
  </conditionalFormatting>
  <conditionalFormatting sqref="F5">
    <cfRule type="containsBlanks" dxfId="978" priority="10">
      <formula>LEN(TRIM(F5))=0</formula>
    </cfRule>
  </conditionalFormatting>
  <conditionalFormatting sqref="C6">
    <cfRule type="containsBlanks" dxfId="977" priority="8">
      <formula>LEN(TRIM(C6))=0</formula>
    </cfRule>
  </conditionalFormatting>
  <conditionalFormatting sqref="E6">
    <cfRule type="containsBlanks" dxfId="976" priority="9">
      <formula>LEN(TRIM(E6))=0</formula>
    </cfRule>
  </conditionalFormatting>
  <conditionalFormatting sqref="A6">
    <cfRule type="containsBlanks" dxfId="975" priority="7">
      <formula>LEN(TRIM(A6))=0</formula>
    </cfRule>
  </conditionalFormatting>
  <conditionalFormatting sqref="B6">
    <cfRule type="containsBlanks" dxfId="974" priority="6">
      <formula>LEN(TRIM(B6))=0</formula>
    </cfRule>
  </conditionalFormatting>
  <conditionalFormatting sqref="D6">
    <cfRule type="containsBlanks" dxfId="973" priority="5">
      <formula>LEN(TRIM(D6))=0</formula>
    </cfRule>
  </conditionalFormatting>
  <conditionalFormatting sqref="H9:O9 Z9:AA9">
    <cfRule type="containsBlanks" dxfId="972" priority="4">
      <formula>LEN(TRIM(H9))=0</formula>
    </cfRule>
  </conditionalFormatting>
  <conditionalFormatting sqref="H9:O9 Z9:AA9">
    <cfRule type="cellIs" dxfId="971" priority="3" operator="equal">
      <formula>0</formula>
    </cfRule>
  </conditionalFormatting>
  <conditionalFormatting sqref="P9:Y9">
    <cfRule type="containsBlanks" dxfId="970" priority="2">
      <formula>LEN(TRIM(P9))=0</formula>
    </cfRule>
  </conditionalFormatting>
  <conditionalFormatting sqref="P9:Y9">
    <cfRule type="cellIs" dxfId="969" priority="1" operator="equal">
      <formula>0</formula>
    </cfRule>
  </conditionalFormatting>
  <dataValidations count="1">
    <dataValidation type="list" allowBlank="1" showInputMessage="1" showErrorMessage="1" sqref="E26:E27 E15:E23" xr:uid="{4FE02A8A-6452-4FDB-86A2-95C79A4C7823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9D630-6E79-4348-963D-DF8E73D68524}">
  <sheetPr codeName="Hoja28">
    <tabColor rgb="FFADDB6F"/>
  </sheetPr>
  <dimension ref="A1:AA32"/>
  <sheetViews>
    <sheetView zoomScaleNormal="100" workbookViewId="0">
      <pane xSplit="4" topLeftCell="E1" activePane="topRight" state="frozen"/>
      <selection activeCell="C18" sqref="C18"/>
      <selection pane="topRight" activeCell="C18" sqref="C18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206</v>
      </c>
      <c r="B6" s="70" t="s">
        <v>201</v>
      </c>
      <c r="C6" s="54">
        <v>516</v>
      </c>
      <c r="D6" s="58" t="s">
        <v>207</v>
      </c>
      <c r="E6" s="69">
        <v>5000</v>
      </c>
      <c r="F6" s="7">
        <v>516240425</v>
      </c>
      <c r="G6" s="77">
        <v>0.40200000000000002</v>
      </c>
      <c r="H6" s="8">
        <v>7.0000000000000001E-3</v>
      </c>
      <c r="I6" s="8">
        <v>0.13300000000000001</v>
      </c>
      <c r="J6" s="8">
        <v>4.1000000000000002E-2</v>
      </c>
      <c r="K6" s="8">
        <v>0</v>
      </c>
      <c r="L6" s="8">
        <v>0</v>
      </c>
      <c r="M6" s="8">
        <v>9.2999999999999999E-2</v>
      </c>
      <c r="N6" s="8">
        <v>3.5000000000000003E-2</v>
      </c>
      <c r="O6" s="8">
        <v>0.23400000000000001</v>
      </c>
      <c r="P6" s="8">
        <v>4.8000000000000001E-2</v>
      </c>
      <c r="Q6" s="8">
        <v>1.2999999999999999E-2</v>
      </c>
      <c r="R6" s="8">
        <v>4.7E-2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3.6999999999999998E-2</v>
      </c>
      <c r="Z6" s="8">
        <v>0</v>
      </c>
      <c r="AA6" s="8">
        <v>0</v>
      </c>
    </row>
    <row r="7" spans="1:27" ht="19.5" x14ac:dyDescent="0.25">
      <c r="A7" s="55" t="s">
        <v>206</v>
      </c>
      <c r="B7" s="55" t="s">
        <v>201</v>
      </c>
      <c r="C7" s="55">
        <v>516</v>
      </c>
      <c r="D7" s="55" t="s">
        <v>207</v>
      </c>
      <c r="E7" s="55">
        <v>5000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0.37000000000000005</v>
      </c>
      <c r="H8" s="8"/>
      <c r="I8" s="8">
        <v>0.128665</v>
      </c>
      <c r="J8" s="8"/>
      <c r="K8" s="8"/>
      <c r="L8" s="8"/>
      <c r="M8" s="8"/>
      <c r="N8" s="8">
        <v>3.1895E-2</v>
      </c>
      <c r="O8" s="8">
        <v>0.221635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207</v>
      </c>
      <c r="E9" s="60"/>
      <c r="F9" s="61"/>
      <c r="G9" s="77">
        <v>0.42000000000000004</v>
      </c>
      <c r="H9" s="8"/>
      <c r="I9" s="8">
        <v>0.14000000000000001</v>
      </c>
      <c r="J9" s="8">
        <v>0</v>
      </c>
      <c r="K9" s="8"/>
      <c r="L9" s="8"/>
      <c r="M9" s="8"/>
      <c r="N9" s="8">
        <v>0.04</v>
      </c>
      <c r="O9" s="8">
        <v>0.24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0.47000000000000003</v>
      </c>
      <c r="H10" s="8"/>
      <c r="I10" s="8">
        <v>0.15133500000000003</v>
      </c>
      <c r="J10" s="8"/>
      <c r="K10" s="8"/>
      <c r="L10" s="8"/>
      <c r="M10" s="8"/>
      <c r="N10" s="8">
        <v>4.8105000000000002E-2</v>
      </c>
      <c r="O10" s="8">
        <v>0.25836500000000001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202</v>
      </c>
      <c r="G15" s="9">
        <v>20.2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204</v>
      </c>
      <c r="F16" s="9">
        <v>180</v>
      </c>
      <c r="G16" s="9">
        <v>18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65</v>
      </c>
      <c r="E17" s="9" t="s">
        <v>150</v>
      </c>
      <c r="F17" s="9">
        <v>43.4</v>
      </c>
      <c r="G17" s="9">
        <v>4.34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0.18</v>
      </c>
      <c r="Q17" s="10">
        <v>0.18</v>
      </c>
      <c r="R17" s="10">
        <v>0.04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0.14000000000000001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133</v>
      </c>
      <c r="F18" s="9">
        <v>389.2</v>
      </c>
      <c r="G18" s="9">
        <v>38.92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0.6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155</v>
      </c>
      <c r="E19" s="9" t="s">
        <v>145</v>
      </c>
      <c r="F19" s="9">
        <v>140</v>
      </c>
      <c r="G19" s="9">
        <v>14</v>
      </c>
      <c r="H19" s="10">
        <v>0.05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</v>
      </c>
      <c r="O19" s="10">
        <v>0</v>
      </c>
      <c r="P19" s="10">
        <v>0.23</v>
      </c>
      <c r="Q19" s="10">
        <v>1.4999999999999999E-2</v>
      </c>
      <c r="R19" s="10">
        <v>0.01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0.21</v>
      </c>
      <c r="Z19" s="10">
        <v>0</v>
      </c>
      <c r="AA19" s="11">
        <v>0</v>
      </c>
    </row>
    <row r="20" spans="3:27" x14ac:dyDescent="0.25">
      <c r="D20" s="9">
        <v>160</v>
      </c>
      <c r="E20" s="9" t="s">
        <v>138</v>
      </c>
      <c r="F20" s="9">
        <v>30</v>
      </c>
      <c r="G20" s="9">
        <v>3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0.03</v>
      </c>
      <c r="P20" s="10">
        <v>0.27</v>
      </c>
      <c r="Q20" s="10">
        <v>0.115</v>
      </c>
      <c r="R20" s="10">
        <v>3.5000000000000003E-2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3.5000000000000003E-2</v>
      </c>
      <c r="Z20" s="10">
        <v>0</v>
      </c>
      <c r="AA20" s="11">
        <v>0</v>
      </c>
    </row>
    <row r="21" spans="3:27" x14ac:dyDescent="0.25">
      <c r="D21" s="9">
        <v>97</v>
      </c>
      <c r="E21" s="9" t="s">
        <v>205</v>
      </c>
      <c r="F21" s="9">
        <v>15.4</v>
      </c>
      <c r="G21" s="9">
        <v>1.54</v>
      </c>
      <c r="H21" s="10">
        <v>0</v>
      </c>
      <c r="I21" s="10">
        <v>0.18</v>
      </c>
      <c r="J21" s="10">
        <v>0.18</v>
      </c>
      <c r="K21" s="10">
        <v>0</v>
      </c>
      <c r="L21" s="10">
        <v>0</v>
      </c>
      <c r="M21" s="10">
        <v>0</v>
      </c>
      <c r="N21" s="10">
        <v>0.46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3"/>
    </row>
    <row r="25" spans="3:27" x14ac:dyDescent="0.25">
      <c r="C25" s="73"/>
      <c r="D25" s="132"/>
      <c r="E25" s="132"/>
      <c r="F25" s="132"/>
      <c r="G25" s="83"/>
    </row>
    <row r="26" spans="3:27" x14ac:dyDescent="0.25">
      <c r="D26" s="9">
        <v>450</v>
      </c>
      <c r="E26" s="9" t="s">
        <v>134</v>
      </c>
      <c r="F26" s="9">
        <v>0.61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PlI4+ii8SRv9ksVQ7yaHz1EsddRq0SxFGi7A0rZYbIYqulYQztg/N0MKj+DeSspYdenOcO61sjEZREV7NzLcnw==" saltValue="UxDS1VlcRRdNRRv6ICI2U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968" priority="31">
      <formula>LEN(TRIM(C6))=0</formula>
    </cfRule>
  </conditionalFormatting>
  <conditionalFormatting sqref="H15:AA23 H6:AA6">
    <cfRule type="cellIs" dxfId="967" priority="30" operator="equal">
      <formula>0</formula>
    </cfRule>
  </conditionalFormatting>
  <conditionalFormatting sqref="G15:G23">
    <cfRule type="cellIs" dxfId="966" priority="28" operator="equal">
      <formula>0</formula>
    </cfRule>
    <cfRule type="containsBlanks" dxfId="965" priority="29">
      <formula>LEN(TRIM(G15))=0</formula>
    </cfRule>
  </conditionalFormatting>
  <conditionalFormatting sqref="H5:AA5">
    <cfRule type="containsBlanks" dxfId="964" priority="27">
      <formula>LEN(TRIM(H5))=0</formula>
    </cfRule>
  </conditionalFormatting>
  <conditionalFormatting sqref="G5">
    <cfRule type="containsBlanks" dxfId="963" priority="26">
      <formula>LEN(TRIM(G5))=0</formula>
    </cfRule>
  </conditionalFormatting>
  <conditionalFormatting sqref="F6:G6">
    <cfRule type="containsBlanks" dxfId="962" priority="25">
      <formula>LEN(TRIM(F6))=0</formula>
    </cfRule>
  </conditionalFormatting>
  <conditionalFormatting sqref="H14:AA14">
    <cfRule type="containsBlanks" dxfId="961" priority="24">
      <formula>LEN(TRIM(H14))=0</formula>
    </cfRule>
  </conditionalFormatting>
  <conditionalFormatting sqref="D5">
    <cfRule type="containsBlanks" dxfId="960" priority="23">
      <formula>LEN(TRIM(D5))=0</formula>
    </cfRule>
  </conditionalFormatting>
  <conditionalFormatting sqref="C5">
    <cfRule type="containsBlanks" dxfId="959" priority="22">
      <formula>LEN(TRIM(C5))=0</formula>
    </cfRule>
  </conditionalFormatting>
  <conditionalFormatting sqref="D14">
    <cfRule type="containsBlanks" dxfId="958" priority="21">
      <formula>LEN(TRIM(D14))=0</formula>
    </cfRule>
  </conditionalFormatting>
  <conditionalFormatting sqref="G8:AA8 G10:AA10">
    <cfRule type="containsBlanks" dxfId="957" priority="20">
      <formula>LEN(TRIM(G8))=0</formula>
    </cfRule>
  </conditionalFormatting>
  <conditionalFormatting sqref="G8:AA8 G10:AA10">
    <cfRule type="cellIs" dxfId="956" priority="19" operator="equal">
      <formula>0</formula>
    </cfRule>
  </conditionalFormatting>
  <conditionalFormatting sqref="G7:AA7">
    <cfRule type="containsBlanks" dxfId="955" priority="18">
      <formula>LEN(TRIM(G7))=0</formula>
    </cfRule>
  </conditionalFormatting>
  <conditionalFormatting sqref="G7:AA7">
    <cfRule type="cellIs" dxfId="954" priority="17" operator="equal">
      <formula>0</formula>
    </cfRule>
  </conditionalFormatting>
  <conditionalFormatting sqref="A5">
    <cfRule type="containsBlanks" dxfId="953" priority="15">
      <formula>LEN(TRIM(A5))=0</formula>
    </cfRule>
  </conditionalFormatting>
  <conditionalFormatting sqref="F7">
    <cfRule type="containsBlanks" dxfId="952" priority="16">
      <formula>LEN(TRIM(F7))=0</formula>
    </cfRule>
  </conditionalFormatting>
  <conditionalFormatting sqref="B5">
    <cfRule type="containsBlanks" dxfId="951" priority="14">
      <formula>LEN(TRIM(B5))=0</formula>
    </cfRule>
  </conditionalFormatting>
  <conditionalFormatting sqref="A7:E7">
    <cfRule type="containsBlanks" dxfId="950" priority="13">
      <formula>LEN(TRIM(A7))=0</formula>
    </cfRule>
  </conditionalFormatting>
  <conditionalFormatting sqref="G9">
    <cfRule type="containsBlanks" dxfId="949" priority="12">
      <formula>LEN(TRIM(G9))=0</formula>
    </cfRule>
  </conditionalFormatting>
  <conditionalFormatting sqref="E5">
    <cfRule type="containsBlanks" dxfId="948" priority="11">
      <formula>LEN(TRIM(E5))=0</formula>
    </cfRule>
  </conditionalFormatting>
  <conditionalFormatting sqref="F5">
    <cfRule type="containsBlanks" dxfId="947" priority="10">
      <formula>LEN(TRIM(F5))=0</formula>
    </cfRule>
  </conditionalFormatting>
  <conditionalFormatting sqref="C6">
    <cfRule type="containsBlanks" dxfId="946" priority="8">
      <formula>LEN(TRIM(C6))=0</formula>
    </cfRule>
  </conditionalFormatting>
  <conditionalFormatting sqref="E6">
    <cfRule type="containsBlanks" dxfId="945" priority="9">
      <formula>LEN(TRIM(E6))=0</formula>
    </cfRule>
  </conditionalFormatting>
  <conditionalFormatting sqref="A6">
    <cfRule type="containsBlanks" dxfId="944" priority="7">
      <formula>LEN(TRIM(A6))=0</formula>
    </cfRule>
  </conditionalFormatting>
  <conditionalFormatting sqref="B6">
    <cfRule type="containsBlanks" dxfId="943" priority="6">
      <formula>LEN(TRIM(B6))=0</formula>
    </cfRule>
  </conditionalFormatting>
  <conditionalFormatting sqref="D6">
    <cfRule type="containsBlanks" dxfId="942" priority="5">
      <formula>LEN(TRIM(D6))=0</formula>
    </cfRule>
  </conditionalFormatting>
  <conditionalFormatting sqref="H9:O9 Z9:AA9">
    <cfRule type="containsBlanks" dxfId="941" priority="4">
      <formula>LEN(TRIM(H9))=0</formula>
    </cfRule>
  </conditionalFormatting>
  <conditionalFormatting sqref="H9:O9 Z9:AA9">
    <cfRule type="cellIs" dxfId="940" priority="3" operator="equal">
      <formula>0</formula>
    </cfRule>
  </conditionalFormatting>
  <conditionalFormatting sqref="P9:Y9">
    <cfRule type="containsBlanks" dxfId="939" priority="2">
      <formula>LEN(TRIM(P9))=0</formula>
    </cfRule>
  </conditionalFormatting>
  <conditionalFormatting sqref="P9:Y9">
    <cfRule type="cellIs" dxfId="938" priority="1" operator="equal">
      <formula>0</formula>
    </cfRule>
  </conditionalFormatting>
  <dataValidations count="1">
    <dataValidation type="list" allowBlank="1" showInputMessage="1" showErrorMessage="1" sqref="E26:E27 E15:E23" xr:uid="{58913E8C-E455-411A-BCC0-9F0661AE2043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670B7-128D-4267-A160-E7ADB1D4D40D}">
  <sheetPr codeName="Hoja29">
    <tabColor rgb="FFADDB6F"/>
  </sheetPr>
  <dimension ref="A1:AA32"/>
  <sheetViews>
    <sheetView zoomScaleNormal="100" workbookViewId="0">
      <pane xSplit="4" topLeftCell="E1" activePane="topRight" state="frozen"/>
      <selection activeCell="E7" sqref="E7"/>
      <selection pane="topRight" activeCell="D6" sqref="D6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208</v>
      </c>
      <c r="B6" s="70" t="s">
        <v>201</v>
      </c>
      <c r="C6" s="54">
        <v>65</v>
      </c>
      <c r="D6" s="58" t="s">
        <v>34</v>
      </c>
      <c r="E6" s="69">
        <v>70000</v>
      </c>
      <c r="F6" s="7">
        <v>65240425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208</v>
      </c>
      <c r="B7" s="55" t="s">
        <v>201</v>
      </c>
      <c r="C7" s="55">
        <v>65</v>
      </c>
      <c r="D7" s="55" t="s">
        <v>34</v>
      </c>
      <c r="E7" s="55">
        <v>70000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3.4000000000000002E-2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34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0.16</v>
      </c>
      <c r="Q9" s="8">
        <v>0.16</v>
      </c>
      <c r="R9" s="8">
        <v>0.04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4.5999999999999999E-2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65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155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3"/>
    </row>
    <row r="25" spans="3:27" x14ac:dyDescent="0.25">
      <c r="C25" s="73"/>
      <c r="D25" s="132"/>
      <c r="E25" s="132"/>
      <c r="F25" s="132"/>
      <c r="G25" s="83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hKBWwQZ0AqhtnApemIzHpMuxVqzUVHh++MgFglUaOjGHF6u4/Tv/02gf3hum2Nl4tQMoJViNsRa6TEk3OC4b3g==" saltValue="YUYMYFryu+10yVNBTZkaM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937" priority="31">
      <formula>LEN(TRIM(C6))=0</formula>
    </cfRule>
  </conditionalFormatting>
  <conditionalFormatting sqref="H15:AA23 H6:AA6">
    <cfRule type="cellIs" dxfId="936" priority="30" operator="equal">
      <formula>0</formula>
    </cfRule>
  </conditionalFormatting>
  <conditionalFormatting sqref="G15:G23">
    <cfRule type="cellIs" dxfId="935" priority="28" operator="equal">
      <formula>0</formula>
    </cfRule>
    <cfRule type="containsBlanks" dxfId="934" priority="29">
      <formula>LEN(TRIM(G15))=0</formula>
    </cfRule>
  </conditionalFormatting>
  <conditionalFormatting sqref="H5:AA5">
    <cfRule type="containsBlanks" dxfId="933" priority="27">
      <formula>LEN(TRIM(H5))=0</formula>
    </cfRule>
  </conditionalFormatting>
  <conditionalFormatting sqref="G5">
    <cfRule type="containsBlanks" dxfId="932" priority="26">
      <formula>LEN(TRIM(G5))=0</formula>
    </cfRule>
  </conditionalFormatting>
  <conditionalFormatting sqref="F6:G6">
    <cfRule type="containsBlanks" dxfId="931" priority="25">
      <formula>LEN(TRIM(F6))=0</formula>
    </cfRule>
  </conditionalFormatting>
  <conditionalFormatting sqref="H14:AA14">
    <cfRule type="containsBlanks" dxfId="930" priority="24">
      <formula>LEN(TRIM(H14))=0</formula>
    </cfRule>
  </conditionalFormatting>
  <conditionalFormatting sqref="D5">
    <cfRule type="containsBlanks" dxfId="929" priority="23">
      <formula>LEN(TRIM(D5))=0</formula>
    </cfRule>
  </conditionalFormatting>
  <conditionalFormatting sqref="C5">
    <cfRule type="containsBlanks" dxfId="928" priority="22">
      <formula>LEN(TRIM(C5))=0</formula>
    </cfRule>
  </conditionalFormatting>
  <conditionalFormatting sqref="D14">
    <cfRule type="containsBlanks" dxfId="927" priority="21">
      <formula>LEN(TRIM(D14))=0</formula>
    </cfRule>
  </conditionalFormatting>
  <conditionalFormatting sqref="G8:AA8 G10:AA10">
    <cfRule type="containsBlanks" dxfId="926" priority="20">
      <formula>LEN(TRIM(G8))=0</formula>
    </cfRule>
  </conditionalFormatting>
  <conditionalFormatting sqref="G8:AA8 G10:AA10">
    <cfRule type="cellIs" dxfId="925" priority="19" operator="equal">
      <formula>0</formula>
    </cfRule>
  </conditionalFormatting>
  <conditionalFormatting sqref="G7:AA7">
    <cfRule type="containsBlanks" dxfId="924" priority="18">
      <formula>LEN(TRIM(G7))=0</formula>
    </cfRule>
  </conditionalFormatting>
  <conditionalFormatting sqref="G7:AA7">
    <cfRule type="cellIs" dxfId="923" priority="17" operator="equal">
      <formula>0</formula>
    </cfRule>
  </conditionalFormatting>
  <conditionalFormatting sqref="A5">
    <cfRule type="containsBlanks" dxfId="922" priority="15">
      <formula>LEN(TRIM(A5))=0</formula>
    </cfRule>
  </conditionalFormatting>
  <conditionalFormatting sqref="F7">
    <cfRule type="containsBlanks" dxfId="921" priority="16">
      <formula>LEN(TRIM(F7))=0</formula>
    </cfRule>
  </conditionalFormatting>
  <conditionalFormatting sqref="B5">
    <cfRule type="containsBlanks" dxfId="920" priority="14">
      <formula>LEN(TRIM(B5))=0</formula>
    </cfRule>
  </conditionalFormatting>
  <conditionalFormatting sqref="A7:E7">
    <cfRule type="containsBlanks" dxfId="919" priority="13">
      <formula>LEN(TRIM(A7))=0</formula>
    </cfRule>
  </conditionalFormatting>
  <conditionalFormatting sqref="G9">
    <cfRule type="containsBlanks" dxfId="918" priority="12">
      <formula>LEN(TRIM(G9))=0</formula>
    </cfRule>
  </conditionalFormatting>
  <conditionalFormatting sqref="E5">
    <cfRule type="containsBlanks" dxfId="917" priority="11">
      <formula>LEN(TRIM(E5))=0</formula>
    </cfRule>
  </conditionalFormatting>
  <conditionalFormatting sqref="F5">
    <cfRule type="containsBlanks" dxfId="916" priority="10">
      <formula>LEN(TRIM(F5))=0</formula>
    </cfRule>
  </conditionalFormatting>
  <conditionalFormatting sqref="C6">
    <cfRule type="containsBlanks" dxfId="915" priority="8">
      <formula>LEN(TRIM(C6))=0</formula>
    </cfRule>
  </conditionalFormatting>
  <conditionalFormatting sqref="E6">
    <cfRule type="containsBlanks" dxfId="914" priority="9">
      <formula>LEN(TRIM(E6))=0</formula>
    </cfRule>
  </conditionalFormatting>
  <conditionalFormatting sqref="A6">
    <cfRule type="containsBlanks" dxfId="913" priority="7">
      <formula>LEN(TRIM(A6))=0</formula>
    </cfRule>
  </conditionalFormatting>
  <conditionalFormatting sqref="B6">
    <cfRule type="containsBlanks" dxfId="912" priority="6">
      <formula>LEN(TRIM(B6))=0</formula>
    </cfRule>
  </conditionalFormatting>
  <conditionalFormatting sqref="D6">
    <cfRule type="containsBlanks" dxfId="911" priority="5">
      <formula>LEN(TRIM(D6))=0</formula>
    </cfRule>
  </conditionalFormatting>
  <conditionalFormatting sqref="H9:O9 Z9:AA9">
    <cfRule type="containsBlanks" dxfId="910" priority="4">
      <formula>LEN(TRIM(H9))=0</formula>
    </cfRule>
  </conditionalFormatting>
  <conditionalFormatting sqref="H9:O9 Z9:AA9">
    <cfRule type="cellIs" dxfId="909" priority="3" operator="equal">
      <formula>0</formula>
    </cfRule>
  </conditionalFormatting>
  <conditionalFormatting sqref="P9:Y9">
    <cfRule type="containsBlanks" dxfId="908" priority="2">
      <formula>LEN(TRIM(P9))=0</formula>
    </cfRule>
  </conditionalFormatting>
  <conditionalFormatting sqref="P9:Y9">
    <cfRule type="cellIs" dxfId="907" priority="1" operator="equal">
      <formula>0</formula>
    </cfRule>
  </conditionalFormatting>
  <dataValidations count="1">
    <dataValidation type="list" allowBlank="1" showInputMessage="1" showErrorMessage="1" sqref="E26:E27 E15:E23" xr:uid="{729A9A18-D982-48AA-B7C1-6339CD6C9092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80ED8-A101-47B3-931A-47B53BFCCD6F}">
  <sheetPr codeName="Hoja30">
    <tabColor rgb="FF92D050"/>
  </sheetPr>
  <dimension ref="A1:AA32"/>
  <sheetViews>
    <sheetView zoomScaleNormal="100" workbookViewId="0">
      <pane xSplit="4" topLeftCell="E1" activePane="topRight" state="frozen"/>
      <selection activeCell="D36" sqref="D36"/>
      <selection pane="topRight" activeCell="D36" sqref="D36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209</v>
      </c>
      <c r="B6" s="70" t="s">
        <v>201</v>
      </c>
      <c r="C6" s="54">
        <v>208</v>
      </c>
      <c r="D6" s="58" t="s">
        <v>210</v>
      </c>
      <c r="E6" s="69">
        <v>35000</v>
      </c>
      <c r="F6" s="7">
        <v>208240425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0.114</v>
      </c>
      <c r="Q6" s="8">
        <v>8.3000000000000004E-2</v>
      </c>
      <c r="R6" s="8">
        <v>9.2999999999999999E-2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0.157</v>
      </c>
      <c r="Z6" s="8">
        <v>0</v>
      </c>
      <c r="AA6" s="8">
        <v>0</v>
      </c>
    </row>
    <row r="7" spans="1:27" ht="19.5" x14ac:dyDescent="0.25">
      <c r="A7" s="55" t="s">
        <v>209</v>
      </c>
      <c r="B7" s="55" t="s">
        <v>201</v>
      </c>
      <c r="C7" s="55">
        <v>208</v>
      </c>
      <c r="D7" s="55" t="s">
        <v>210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0.1032</v>
      </c>
      <c r="Q8" s="8">
        <v>7.3749999999999996E-2</v>
      </c>
      <c r="R8" s="8">
        <v>8.950000000000001E-2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210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0.12</v>
      </c>
      <c r="Q9" s="8">
        <v>0.09</v>
      </c>
      <c r="R9" s="8">
        <v>0.1</v>
      </c>
      <c r="S9" s="8"/>
      <c r="T9" s="8"/>
      <c r="U9" s="8"/>
      <c r="V9" s="8"/>
      <c r="W9" s="8"/>
      <c r="X9" s="8"/>
      <c r="Y9" s="8">
        <v>0.16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0.1368</v>
      </c>
      <c r="Q10" s="8">
        <v>0.10625</v>
      </c>
      <c r="R10" s="8">
        <v>0.1105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2</v>
      </c>
      <c r="E15" s="9" t="s">
        <v>154</v>
      </c>
      <c r="F15" s="9">
        <v>440</v>
      </c>
      <c r="G15" s="9">
        <v>44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180</v>
      </c>
      <c r="G16" s="9">
        <v>18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111</v>
      </c>
      <c r="E17" s="9" t="s">
        <v>211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6.0000000000000001E-3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0.47</v>
      </c>
      <c r="Z17" s="10">
        <v>0</v>
      </c>
      <c r="AA17" s="11">
        <v>0</v>
      </c>
    </row>
    <row r="18" spans="3:27" x14ac:dyDescent="0.25">
      <c r="D18" s="9">
        <v>155</v>
      </c>
      <c r="E18" s="9" t="s">
        <v>40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3"/>
    </row>
    <row r="25" spans="3:27" x14ac:dyDescent="0.25">
      <c r="C25" s="73"/>
      <c r="D25" s="132"/>
      <c r="E25" s="132"/>
      <c r="F25" s="132"/>
      <c r="G25" s="83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kpKgmX5CP1PvKgPnGwcKbdsSlocGbIV0Ob8G2HIzKvzSzlBiZt+hjCcYBkoA01gh4XHCgOIDBUN0FCvpOnRgmg==" saltValue="TdESMz4yuJq5a29wfg/nn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906" priority="31">
      <formula>LEN(TRIM(C6))=0</formula>
    </cfRule>
  </conditionalFormatting>
  <conditionalFormatting sqref="H15:AA23 H6:AA6">
    <cfRule type="cellIs" dxfId="905" priority="30" operator="equal">
      <formula>0</formula>
    </cfRule>
  </conditionalFormatting>
  <conditionalFormatting sqref="G15:G23">
    <cfRule type="cellIs" dxfId="904" priority="28" operator="equal">
      <formula>0</formula>
    </cfRule>
    <cfRule type="containsBlanks" dxfId="903" priority="29">
      <formula>LEN(TRIM(G15))=0</formula>
    </cfRule>
  </conditionalFormatting>
  <conditionalFormatting sqref="H5:AA5">
    <cfRule type="containsBlanks" dxfId="902" priority="27">
      <formula>LEN(TRIM(H5))=0</formula>
    </cfRule>
  </conditionalFormatting>
  <conditionalFormatting sqref="G5">
    <cfRule type="containsBlanks" dxfId="901" priority="26">
      <formula>LEN(TRIM(G5))=0</formula>
    </cfRule>
  </conditionalFormatting>
  <conditionalFormatting sqref="F6:G6">
    <cfRule type="containsBlanks" dxfId="900" priority="25">
      <formula>LEN(TRIM(F6))=0</formula>
    </cfRule>
  </conditionalFormatting>
  <conditionalFormatting sqref="H14:AA14">
    <cfRule type="containsBlanks" dxfId="899" priority="24">
      <formula>LEN(TRIM(H14))=0</formula>
    </cfRule>
  </conditionalFormatting>
  <conditionalFormatting sqref="D5">
    <cfRule type="containsBlanks" dxfId="898" priority="23">
      <formula>LEN(TRIM(D5))=0</formula>
    </cfRule>
  </conditionalFormatting>
  <conditionalFormatting sqref="C5">
    <cfRule type="containsBlanks" dxfId="897" priority="22">
      <formula>LEN(TRIM(C5))=0</formula>
    </cfRule>
  </conditionalFormatting>
  <conditionalFormatting sqref="D14">
    <cfRule type="containsBlanks" dxfId="896" priority="21">
      <formula>LEN(TRIM(D14))=0</formula>
    </cfRule>
  </conditionalFormatting>
  <conditionalFormatting sqref="G8:AA8 G10:AA10">
    <cfRule type="containsBlanks" dxfId="895" priority="20">
      <formula>LEN(TRIM(G8))=0</formula>
    </cfRule>
  </conditionalFormatting>
  <conditionalFormatting sqref="G8:AA8 G10:AA10">
    <cfRule type="cellIs" dxfId="894" priority="19" operator="equal">
      <formula>0</formula>
    </cfRule>
  </conditionalFormatting>
  <conditionalFormatting sqref="G7:AA7">
    <cfRule type="containsBlanks" dxfId="893" priority="18">
      <formula>LEN(TRIM(G7))=0</formula>
    </cfRule>
  </conditionalFormatting>
  <conditionalFormatting sqref="G7:AA7">
    <cfRule type="cellIs" dxfId="892" priority="17" operator="equal">
      <formula>0</formula>
    </cfRule>
  </conditionalFormatting>
  <conditionalFormatting sqref="A5">
    <cfRule type="containsBlanks" dxfId="891" priority="15">
      <formula>LEN(TRIM(A5))=0</formula>
    </cfRule>
  </conditionalFormatting>
  <conditionalFormatting sqref="F7">
    <cfRule type="containsBlanks" dxfId="890" priority="16">
      <formula>LEN(TRIM(F7))=0</formula>
    </cfRule>
  </conditionalFormatting>
  <conditionalFormatting sqref="B5">
    <cfRule type="containsBlanks" dxfId="889" priority="14">
      <formula>LEN(TRIM(B5))=0</formula>
    </cfRule>
  </conditionalFormatting>
  <conditionalFormatting sqref="A7:E7">
    <cfRule type="containsBlanks" dxfId="888" priority="13">
      <formula>LEN(TRIM(A7))=0</formula>
    </cfRule>
  </conditionalFormatting>
  <conditionalFormatting sqref="G9">
    <cfRule type="containsBlanks" dxfId="887" priority="12">
      <formula>LEN(TRIM(G9))=0</formula>
    </cfRule>
  </conditionalFormatting>
  <conditionalFormatting sqref="E5">
    <cfRule type="containsBlanks" dxfId="886" priority="11">
      <formula>LEN(TRIM(E5))=0</formula>
    </cfRule>
  </conditionalFormatting>
  <conditionalFormatting sqref="F5">
    <cfRule type="containsBlanks" dxfId="885" priority="10">
      <formula>LEN(TRIM(F5))=0</formula>
    </cfRule>
  </conditionalFormatting>
  <conditionalFormatting sqref="C6">
    <cfRule type="containsBlanks" dxfId="884" priority="8">
      <formula>LEN(TRIM(C6))=0</formula>
    </cfRule>
  </conditionalFormatting>
  <conditionalFormatting sqref="E6">
    <cfRule type="containsBlanks" dxfId="883" priority="9">
      <formula>LEN(TRIM(E6))=0</formula>
    </cfRule>
  </conditionalFormatting>
  <conditionalFormatting sqref="A6">
    <cfRule type="containsBlanks" dxfId="882" priority="7">
      <formula>LEN(TRIM(A6))=0</formula>
    </cfRule>
  </conditionalFormatting>
  <conditionalFormatting sqref="B6">
    <cfRule type="containsBlanks" dxfId="881" priority="6">
      <formula>LEN(TRIM(B6))=0</formula>
    </cfRule>
  </conditionalFormatting>
  <conditionalFormatting sqref="D6">
    <cfRule type="containsBlanks" dxfId="880" priority="5">
      <formula>LEN(TRIM(D6))=0</formula>
    </cfRule>
  </conditionalFormatting>
  <conditionalFormatting sqref="H9:O9 Z9:AA9">
    <cfRule type="containsBlanks" dxfId="879" priority="4">
      <formula>LEN(TRIM(H9))=0</formula>
    </cfRule>
  </conditionalFormatting>
  <conditionalFormatting sqref="H9:O9 Z9:AA9">
    <cfRule type="cellIs" dxfId="878" priority="3" operator="equal">
      <formula>0</formula>
    </cfRule>
  </conditionalFormatting>
  <conditionalFormatting sqref="P9:Y9">
    <cfRule type="containsBlanks" dxfId="877" priority="2">
      <formula>LEN(TRIM(P9))=0</formula>
    </cfRule>
  </conditionalFormatting>
  <conditionalFormatting sqref="P9:Y9">
    <cfRule type="cellIs" dxfId="876" priority="1" operator="equal">
      <formula>0</formula>
    </cfRule>
  </conditionalFormatting>
  <dataValidations count="1">
    <dataValidation type="list" allowBlank="1" showInputMessage="1" showErrorMessage="1" sqref="E26:E27 E15:E23" xr:uid="{57009632-29E9-44E1-9E66-0ACCE70D5FCE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965E-524D-4C99-B07B-F2B7CB8065BC}">
  <sheetPr codeName="Hoja31">
    <tabColor rgb="FF92D050"/>
  </sheetPr>
  <dimension ref="A1:AA32"/>
  <sheetViews>
    <sheetView zoomScaleNormal="100" workbookViewId="0">
      <pane xSplit="4" topLeftCell="E1" activePane="topRight" state="frozen"/>
      <selection activeCell="D19" sqref="D19:E19"/>
      <selection pane="topRight" activeCell="D19" sqref="D19:E1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212</v>
      </c>
      <c r="B6" s="70" t="s">
        <v>213</v>
      </c>
      <c r="C6" s="54">
        <v>803</v>
      </c>
      <c r="D6" s="58" t="s">
        <v>214</v>
      </c>
      <c r="E6" s="69">
        <v>35000</v>
      </c>
      <c r="F6" s="7">
        <v>803250425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0.114</v>
      </c>
      <c r="Q6" s="8">
        <v>0.157</v>
      </c>
      <c r="R6" s="8">
        <v>9.2999999999999999E-2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0.156</v>
      </c>
      <c r="Z6" s="8">
        <v>0</v>
      </c>
      <c r="AA6" s="8">
        <v>0</v>
      </c>
    </row>
    <row r="7" spans="1:27" ht="19.5" x14ac:dyDescent="0.25">
      <c r="A7" s="55" t="s">
        <v>212</v>
      </c>
      <c r="B7" s="55" t="s">
        <v>213</v>
      </c>
      <c r="C7" s="55">
        <v>803</v>
      </c>
      <c r="D7" s="55" t="s">
        <v>214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0.1032</v>
      </c>
      <c r="Q8" s="8">
        <v>0.13500000000000001</v>
      </c>
      <c r="R8" s="8">
        <v>8.950000000000001E-2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214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0.12</v>
      </c>
      <c r="Q9" s="8">
        <v>0.16</v>
      </c>
      <c r="R9" s="8">
        <v>0.1</v>
      </c>
      <c r="S9" s="8"/>
      <c r="T9" s="8"/>
      <c r="U9" s="8"/>
      <c r="V9" s="8"/>
      <c r="W9" s="8"/>
      <c r="X9" s="8"/>
      <c r="Y9" s="8">
        <v>0.16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0.1368</v>
      </c>
      <c r="Q10" s="8">
        <v>0.185</v>
      </c>
      <c r="R10" s="8">
        <v>0.1105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2</v>
      </c>
      <c r="E15" s="9" t="s">
        <v>154</v>
      </c>
      <c r="F15" s="9">
        <v>440</v>
      </c>
      <c r="G15" s="9">
        <v>44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180</v>
      </c>
      <c r="G16" s="9">
        <v>18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111</v>
      </c>
      <c r="E17" s="9" t="s">
        <v>211</v>
      </c>
      <c r="F17" s="9">
        <v>70</v>
      </c>
      <c r="G17" s="9">
        <v>7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6.0000000000000001E-3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0.47</v>
      </c>
      <c r="Z17" s="10">
        <v>0</v>
      </c>
      <c r="AA17" s="11">
        <v>0</v>
      </c>
    </row>
    <row r="18" spans="3:27" x14ac:dyDescent="0.25">
      <c r="D18" s="9">
        <v>155</v>
      </c>
      <c r="E18" s="9" t="s">
        <v>40</v>
      </c>
      <c r="F18" s="9">
        <v>310</v>
      </c>
      <c r="G18" s="9">
        <v>31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4"/>
    </row>
    <row r="25" spans="3:27" x14ac:dyDescent="0.25">
      <c r="C25" s="73"/>
      <c r="D25" s="132"/>
      <c r="E25" s="132"/>
      <c r="F25" s="132"/>
      <c r="G25" s="84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x+tz/RK68YtOpGbYuNe+PCZduVde6fSDOZ+LJeymfynYSrHgcPV9YsNFrgIwaDcRo1kqvxM0ndWUEpPQ7KGIvA==" saltValue="g3BgnzLV3dKQ2QpUaLQvG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875" priority="31">
      <formula>LEN(TRIM(C6))=0</formula>
    </cfRule>
  </conditionalFormatting>
  <conditionalFormatting sqref="H15:AA23 H6:AA6">
    <cfRule type="cellIs" dxfId="874" priority="30" operator="equal">
      <formula>0</formula>
    </cfRule>
  </conditionalFormatting>
  <conditionalFormatting sqref="G15:G23">
    <cfRule type="cellIs" dxfId="873" priority="28" operator="equal">
      <formula>0</formula>
    </cfRule>
    <cfRule type="containsBlanks" dxfId="872" priority="29">
      <formula>LEN(TRIM(G15))=0</formula>
    </cfRule>
  </conditionalFormatting>
  <conditionalFormatting sqref="H5:AA5">
    <cfRule type="containsBlanks" dxfId="871" priority="27">
      <formula>LEN(TRIM(H5))=0</formula>
    </cfRule>
  </conditionalFormatting>
  <conditionalFormatting sqref="G5">
    <cfRule type="containsBlanks" dxfId="870" priority="26">
      <formula>LEN(TRIM(G5))=0</formula>
    </cfRule>
  </conditionalFormatting>
  <conditionalFormatting sqref="F6:G6">
    <cfRule type="containsBlanks" dxfId="869" priority="25">
      <formula>LEN(TRIM(F6))=0</formula>
    </cfRule>
  </conditionalFormatting>
  <conditionalFormatting sqref="H14:AA14">
    <cfRule type="containsBlanks" dxfId="868" priority="24">
      <formula>LEN(TRIM(H14))=0</formula>
    </cfRule>
  </conditionalFormatting>
  <conditionalFormatting sqref="D5">
    <cfRule type="containsBlanks" dxfId="867" priority="23">
      <formula>LEN(TRIM(D5))=0</formula>
    </cfRule>
  </conditionalFormatting>
  <conditionalFormatting sqref="C5">
    <cfRule type="containsBlanks" dxfId="866" priority="22">
      <formula>LEN(TRIM(C5))=0</formula>
    </cfRule>
  </conditionalFormatting>
  <conditionalFormatting sqref="D14">
    <cfRule type="containsBlanks" dxfId="865" priority="21">
      <formula>LEN(TRIM(D14))=0</formula>
    </cfRule>
  </conditionalFormatting>
  <conditionalFormatting sqref="G8:AA8 G10:AA10">
    <cfRule type="containsBlanks" dxfId="864" priority="20">
      <formula>LEN(TRIM(G8))=0</formula>
    </cfRule>
  </conditionalFormatting>
  <conditionalFormatting sqref="G8:AA8 G10:AA10">
    <cfRule type="cellIs" dxfId="863" priority="19" operator="equal">
      <formula>0</formula>
    </cfRule>
  </conditionalFormatting>
  <conditionalFormatting sqref="G7:AA7">
    <cfRule type="containsBlanks" dxfId="862" priority="18">
      <formula>LEN(TRIM(G7))=0</formula>
    </cfRule>
  </conditionalFormatting>
  <conditionalFormatting sqref="G7:AA7">
    <cfRule type="cellIs" dxfId="861" priority="17" operator="equal">
      <formula>0</formula>
    </cfRule>
  </conditionalFormatting>
  <conditionalFormatting sqref="A5">
    <cfRule type="containsBlanks" dxfId="860" priority="15">
      <formula>LEN(TRIM(A5))=0</formula>
    </cfRule>
  </conditionalFormatting>
  <conditionalFormatting sqref="F7">
    <cfRule type="containsBlanks" dxfId="859" priority="16">
      <formula>LEN(TRIM(F7))=0</formula>
    </cfRule>
  </conditionalFormatting>
  <conditionalFormatting sqref="B5">
    <cfRule type="containsBlanks" dxfId="858" priority="14">
      <formula>LEN(TRIM(B5))=0</formula>
    </cfRule>
  </conditionalFormatting>
  <conditionalFormatting sqref="A7:E7">
    <cfRule type="containsBlanks" dxfId="857" priority="13">
      <formula>LEN(TRIM(A7))=0</formula>
    </cfRule>
  </conditionalFormatting>
  <conditionalFormatting sqref="G9">
    <cfRule type="containsBlanks" dxfId="856" priority="12">
      <formula>LEN(TRIM(G9))=0</formula>
    </cfRule>
  </conditionalFormatting>
  <conditionalFormatting sqref="E5">
    <cfRule type="containsBlanks" dxfId="855" priority="11">
      <formula>LEN(TRIM(E5))=0</formula>
    </cfRule>
  </conditionalFormatting>
  <conditionalFormatting sqref="F5">
    <cfRule type="containsBlanks" dxfId="854" priority="10">
      <formula>LEN(TRIM(F5))=0</formula>
    </cfRule>
  </conditionalFormatting>
  <conditionalFormatting sqref="C6">
    <cfRule type="containsBlanks" dxfId="853" priority="8">
      <formula>LEN(TRIM(C6))=0</formula>
    </cfRule>
  </conditionalFormatting>
  <conditionalFormatting sqref="E6">
    <cfRule type="containsBlanks" dxfId="852" priority="9">
      <formula>LEN(TRIM(E6))=0</formula>
    </cfRule>
  </conditionalFormatting>
  <conditionalFormatting sqref="A6">
    <cfRule type="containsBlanks" dxfId="851" priority="7">
      <formula>LEN(TRIM(A6))=0</formula>
    </cfRule>
  </conditionalFormatting>
  <conditionalFormatting sqref="B6">
    <cfRule type="containsBlanks" dxfId="850" priority="6">
      <formula>LEN(TRIM(B6))=0</formula>
    </cfRule>
  </conditionalFormatting>
  <conditionalFormatting sqref="D6">
    <cfRule type="containsBlanks" dxfId="849" priority="5">
      <formula>LEN(TRIM(D6))=0</formula>
    </cfRule>
  </conditionalFormatting>
  <conditionalFormatting sqref="H9:O9 Z9:AA9">
    <cfRule type="containsBlanks" dxfId="848" priority="4">
      <formula>LEN(TRIM(H9))=0</formula>
    </cfRule>
  </conditionalFormatting>
  <conditionalFormatting sqref="H9:O9 Z9:AA9">
    <cfRule type="cellIs" dxfId="847" priority="3" operator="equal">
      <formula>0</formula>
    </cfRule>
  </conditionalFormatting>
  <conditionalFormatting sqref="P9:Y9">
    <cfRule type="containsBlanks" dxfId="846" priority="2">
      <formula>LEN(TRIM(P9))=0</formula>
    </cfRule>
  </conditionalFormatting>
  <conditionalFormatting sqref="P9:Y9">
    <cfRule type="cellIs" dxfId="845" priority="1" operator="equal">
      <formula>0</formula>
    </cfRule>
  </conditionalFormatting>
  <dataValidations count="1">
    <dataValidation type="list" allowBlank="1" showInputMessage="1" showErrorMessage="1" sqref="E26:E27 E15:E23" xr:uid="{9039D69E-A796-4B07-902F-97FD7AD80D90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D31E-418B-4F3E-9B34-A1EC7BC42952}">
  <sheetPr codeName="Hoja32">
    <tabColor rgb="FF92D050"/>
  </sheetPr>
  <dimension ref="A1:AA32"/>
  <sheetViews>
    <sheetView zoomScaleNormal="100" workbookViewId="0">
      <pane xSplit="4" topLeftCell="E1" activePane="topRight" state="frozen"/>
      <selection activeCell="D19" sqref="D19:E19"/>
      <selection pane="topRight" activeCell="D19" sqref="D19:E1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215</v>
      </c>
      <c r="B6" s="70" t="s">
        <v>201</v>
      </c>
      <c r="C6" s="54">
        <v>635</v>
      </c>
      <c r="D6" s="58" t="s">
        <v>216</v>
      </c>
      <c r="E6" s="69">
        <v>2000</v>
      </c>
      <c r="F6" s="7">
        <v>635240425</v>
      </c>
      <c r="G6" s="77">
        <v>0.43099999999999999</v>
      </c>
      <c r="H6" s="8">
        <v>8.9999999999999993E-3</v>
      </c>
      <c r="I6" s="8">
        <v>0.14499999999999999</v>
      </c>
      <c r="J6" s="8">
        <v>2.5000000000000001E-2</v>
      </c>
      <c r="K6" s="8">
        <v>0</v>
      </c>
      <c r="L6" s="8">
        <v>0</v>
      </c>
      <c r="M6" s="8">
        <v>0.114</v>
      </c>
      <c r="N6" s="8">
        <v>0.09</v>
      </c>
      <c r="O6" s="8">
        <v>0.19600000000000001</v>
      </c>
      <c r="P6" s="8">
        <v>0.05</v>
      </c>
      <c r="Q6" s="8">
        <v>7.0000000000000001E-3</v>
      </c>
      <c r="R6" s="8">
        <v>0.03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3.5999999999999997E-2</v>
      </c>
      <c r="Z6" s="8">
        <v>1E-3</v>
      </c>
      <c r="AA6" s="8">
        <v>0</v>
      </c>
    </row>
    <row r="7" spans="1:27" ht="19.5" x14ac:dyDescent="0.25">
      <c r="A7" s="55" t="s">
        <v>215</v>
      </c>
      <c r="B7" s="55" t="s">
        <v>201</v>
      </c>
      <c r="C7" s="55">
        <v>635</v>
      </c>
      <c r="D7" s="55" t="s">
        <v>216</v>
      </c>
      <c r="E7" s="55">
        <v>2000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0.39</v>
      </c>
      <c r="H8" s="8"/>
      <c r="I8" s="8">
        <v>0.13839699999999999</v>
      </c>
      <c r="J8" s="8"/>
      <c r="K8" s="8"/>
      <c r="L8" s="8"/>
      <c r="M8" s="8"/>
      <c r="N8" s="8">
        <v>8.0155000000000004E-2</v>
      </c>
      <c r="O8" s="8">
        <v>0.183479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216</v>
      </c>
      <c r="E9" s="60"/>
      <c r="F9" s="61"/>
      <c r="G9" s="77">
        <v>0.44</v>
      </c>
      <c r="H9" s="8"/>
      <c r="I9" s="8">
        <v>0.15</v>
      </c>
      <c r="J9" s="8">
        <v>0</v>
      </c>
      <c r="K9" s="8"/>
      <c r="L9" s="8"/>
      <c r="M9" s="8"/>
      <c r="N9" s="8">
        <v>0.09</v>
      </c>
      <c r="O9" s="8">
        <v>0.2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0.49</v>
      </c>
      <c r="H10" s="8"/>
      <c r="I10" s="8">
        <v>0.161603</v>
      </c>
      <c r="J10" s="8"/>
      <c r="K10" s="8"/>
      <c r="L10" s="8"/>
      <c r="M10" s="8"/>
      <c r="N10" s="8">
        <v>9.9844999999999989E-2</v>
      </c>
      <c r="O10" s="8">
        <v>0.21652100000000002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247.5</v>
      </c>
      <c r="G15" s="9">
        <v>24.75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204</v>
      </c>
      <c r="F16" s="9">
        <v>82.5</v>
      </c>
      <c r="G16" s="9">
        <v>8.25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72</v>
      </c>
      <c r="E17" s="9" t="s">
        <v>132</v>
      </c>
      <c r="F17" s="9">
        <v>80</v>
      </c>
      <c r="G17" s="9">
        <v>8</v>
      </c>
      <c r="H17" s="10">
        <v>0</v>
      </c>
      <c r="I17" s="10">
        <v>0.1</v>
      </c>
      <c r="J17" s="10">
        <v>0.1</v>
      </c>
      <c r="K17" s="10">
        <v>0</v>
      </c>
      <c r="L17" s="10">
        <v>0</v>
      </c>
      <c r="M17" s="10">
        <v>0</v>
      </c>
      <c r="N17" s="10">
        <v>0.5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205</v>
      </c>
      <c r="F18" s="9">
        <v>30</v>
      </c>
      <c r="G18" s="9">
        <v>3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300</v>
      </c>
      <c r="G19" s="9">
        <v>30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155</v>
      </c>
      <c r="E20" s="9" t="s">
        <v>145</v>
      </c>
      <c r="F20" s="9">
        <v>170</v>
      </c>
      <c r="G20" s="9">
        <v>17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>
        <v>160</v>
      </c>
      <c r="E21" s="9" t="s">
        <v>138</v>
      </c>
      <c r="F21" s="9">
        <v>20</v>
      </c>
      <c r="G21" s="9">
        <v>2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0.03</v>
      </c>
      <c r="P21" s="10">
        <v>0.27</v>
      </c>
      <c r="Q21" s="10">
        <v>0.115</v>
      </c>
      <c r="R21" s="10">
        <v>3.5000000000000003E-2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3.5000000000000003E-2</v>
      </c>
      <c r="Z21" s="10">
        <v>0</v>
      </c>
      <c r="AA21" s="11">
        <v>0</v>
      </c>
    </row>
    <row r="22" spans="3:27" x14ac:dyDescent="0.25">
      <c r="D22" s="9">
        <v>161</v>
      </c>
      <c r="E22" s="9" t="s">
        <v>217</v>
      </c>
      <c r="F22" s="9">
        <v>40</v>
      </c>
      <c r="G22" s="9">
        <v>4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0.05</v>
      </c>
      <c r="O22" s="10">
        <v>0</v>
      </c>
      <c r="P22" s="10">
        <v>0.13</v>
      </c>
      <c r="Q22" s="10">
        <v>0.06</v>
      </c>
      <c r="R22" s="10">
        <v>0.05</v>
      </c>
      <c r="S22" s="10">
        <v>0.01</v>
      </c>
      <c r="T22" s="10">
        <v>5.0000000000000001E-3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2.5000000000000001E-2</v>
      </c>
      <c r="AA22" s="11">
        <v>0</v>
      </c>
    </row>
    <row r="23" spans="3:27" x14ac:dyDescent="0.25">
      <c r="D23" s="9">
        <v>167</v>
      </c>
      <c r="E23" s="9" t="s">
        <v>227</v>
      </c>
      <c r="F23" s="80">
        <v>30</v>
      </c>
      <c r="G23" s="9">
        <v>3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0.52</v>
      </c>
      <c r="P23" s="10">
        <v>0</v>
      </c>
      <c r="Q23" s="10">
        <v>0</v>
      </c>
      <c r="R23" s="10">
        <v>0.18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5"/>
    </row>
    <row r="25" spans="3:27" x14ac:dyDescent="0.25">
      <c r="C25" s="73"/>
      <c r="D25" s="132"/>
      <c r="E25" s="132"/>
      <c r="F25" s="132"/>
      <c r="G25" s="85"/>
    </row>
    <row r="26" spans="3:27" x14ac:dyDescent="0.25">
      <c r="D26" s="9">
        <v>450</v>
      </c>
      <c r="E26" s="9" t="s">
        <v>134</v>
      </c>
      <c r="F26" s="9">
        <v>0.74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jT86Gfug1FQD12L0Bd7wbEQckwMj6HOsYF1ETMwDrMA1HO3xyjKOTU39BDj+4HClpGASD5fekiSEi3FQiTbreA==" saltValue="aHx7HbtAgPiD4EGtWOTrd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844" priority="31">
      <formula>LEN(TRIM(C6))=0</formula>
    </cfRule>
  </conditionalFormatting>
  <conditionalFormatting sqref="H15:AA23 H6:AA6">
    <cfRule type="cellIs" dxfId="843" priority="30" operator="equal">
      <formula>0</formula>
    </cfRule>
  </conditionalFormatting>
  <conditionalFormatting sqref="G15:G23">
    <cfRule type="cellIs" dxfId="842" priority="28" operator="equal">
      <formula>0</formula>
    </cfRule>
    <cfRule type="containsBlanks" dxfId="841" priority="29">
      <formula>LEN(TRIM(G15))=0</formula>
    </cfRule>
  </conditionalFormatting>
  <conditionalFormatting sqref="H5:AA5">
    <cfRule type="containsBlanks" dxfId="840" priority="27">
      <formula>LEN(TRIM(H5))=0</formula>
    </cfRule>
  </conditionalFormatting>
  <conditionalFormatting sqref="G5">
    <cfRule type="containsBlanks" dxfId="839" priority="26">
      <formula>LEN(TRIM(G5))=0</formula>
    </cfRule>
  </conditionalFormatting>
  <conditionalFormatting sqref="F6:G6">
    <cfRule type="containsBlanks" dxfId="838" priority="25">
      <formula>LEN(TRIM(F6))=0</formula>
    </cfRule>
  </conditionalFormatting>
  <conditionalFormatting sqref="H14:AA14">
    <cfRule type="containsBlanks" dxfId="837" priority="24">
      <formula>LEN(TRIM(H14))=0</formula>
    </cfRule>
  </conditionalFormatting>
  <conditionalFormatting sqref="D5">
    <cfRule type="containsBlanks" dxfId="836" priority="23">
      <formula>LEN(TRIM(D5))=0</formula>
    </cfRule>
  </conditionalFormatting>
  <conditionalFormatting sqref="C5">
    <cfRule type="containsBlanks" dxfId="835" priority="22">
      <formula>LEN(TRIM(C5))=0</formula>
    </cfRule>
  </conditionalFormatting>
  <conditionalFormatting sqref="D14">
    <cfRule type="containsBlanks" dxfId="834" priority="21">
      <formula>LEN(TRIM(D14))=0</formula>
    </cfRule>
  </conditionalFormatting>
  <conditionalFormatting sqref="G8:AA8 G10:AA10">
    <cfRule type="containsBlanks" dxfId="833" priority="20">
      <formula>LEN(TRIM(G8))=0</formula>
    </cfRule>
  </conditionalFormatting>
  <conditionalFormatting sqref="G8:AA8 G10:AA10">
    <cfRule type="cellIs" dxfId="832" priority="19" operator="equal">
      <formula>0</formula>
    </cfRule>
  </conditionalFormatting>
  <conditionalFormatting sqref="G7:AA7">
    <cfRule type="containsBlanks" dxfId="831" priority="18">
      <formula>LEN(TRIM(G7))=0</formula>
    </cfRule>
  </conditionalFormatting>
  <conditionalFormatting sqref="G7:AA7">
    <cfRule type="cellIs" dxfId="830" priority="17" operator="equal">
      <formula>0</formula>
    </cfRule>
  </conditionalFormatting>
  <conditionalFormatting sqref="A5">
    <cfRule type="containsBlanks" dxfId="829" priority="15">
      <formula>LEN(TRIM(A5))=0</formula>
    </cfRule>
  </conditionalFormatting>
  <conditionalFormatting sqref="F7">
    <cfRule type="containsBlanks" dxfId="828" priority="16">
      <formula>LEN(TRIM(F7))=0</formula>
    </cfRule>
  </conditionalFormatting>
  <conditionalFormatting sqref="B5">
    <cfRule type="containsBlanks" dxfId="827" priority="14">
      <formula>LEN(TRIM(B5))=0</formula>
    </cfRule>
  </conditionalFormatting>
  <conditionalFormatting sqref="A7:E7">
    <cfRule type="containsBlanks" dxfId="826" priority="13">
      <formula>LEN(TRIM(A7))=0</formula>
    </cfRule>
  </conditionalFormatting>
  <conditionalFormatting sqref="G9">
    <cfRule type="containsBlanks" dxfId="825" priority="12">
      <formula>LEN(TRIM(G9))=0</formula>
    </cfRule>
  </conditionalFormatting>
  <conditionalFormatting sqref="E5">
    <cfRule type="containsBlanks" dxfId="824" priority="11">
      <formula>LEN(TRIM(E5))=0</formula>
    </cfRule>
  </conditionalFormatting>
  <conditionalFormatting sqref="F5">
    <cfRule type="containsBlanks" dxfId="823" priority="10">
      <formula>LEN(TRIM(F5))=0</formula>
    </cfRule>
  </conditionalFormatting>
  <conditionalFormatting sqref="C6">
    <cfRule type="containsBlanks" dxfId="822" priority="8">
      <formula>LEN(TRIM(C6))=0</formula>
    </cfRule>
  </conditionalFormatting>
  <conditionalFormatting sqref="E6">
    <cfRule type="containsBlanks" dxfId="821" priority="9">
      <formula>LEN(TRIM(E6))=0</formula>
    </cfRule>
  </conditionalFormatting>
  <conditionalFormatting sqref="A6">
    <cfRule type="containsBlanks" dxfId="820" priority="7">
      <formula>LEN(TRIM(A6))=0</formula>
    </cfRule>
  </conditionalFormatting>
  <conditionalFormatting sqref="B6">
    <cfRule type="containsBlanks" dxfId="819" priority="6">
      <formula>LEN(TRIM(B6))=0</formula>
    </cfRule>
  </conditionalFormatting>
  <conditionalFormatting sqref="D6">
    <cfRule type="containsBlanks" dxfId="818" priority="5">
      <formula>LEN(TRIM(D6))=0</formula>
    </cfRule>
  </conditionalFormatting>
  <conditionalFormatting sqref="H9:O9 Z9:AA9">
    <cfRule type="containsBlanks" dxfId="817" priority="4">
      <formula>LEN(TRIM(H9))=0</formula>
    </cfRule>
  </conditionalFormatting>
  <conditionalFormatting sqref="H9:O9 Z9:AA9">
    <cfRule type="cellIs" dxfId="816" priority="3" operator="equal">
      <formula>0</formula>
    </cfRule>
  </conditionalFormatting>
  <conditionalFormatting sqref="P9:Y9">
    <cfRule type="containsBlanks" dxfId="815" priority="2">
      <formula>LEN(TRIM(P9))=0</formula>
    </cfRule>
  </conditionalFormatting>
  <conditionalFormatting sqref="P9:Y9">
    <cfRule type="cellIs" dxfId="814" priority="1" operator="equal">
      <formula>0</formula>
    </cfRule>
  </conditionalFormatting>
  <dataValidations count="1">
    <dataValidation type="list" allowBlank="1" showInputMessage="1" showErrorMessage="1" sqref="E26:E27 E15:E23" xr:uid="{C8D7A13E-D2B0-4FD8-AE52-745E10D1D33B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E727B-C2DB-4613-B4B9-F983A0FCAD5C}">
  <sheetPr codeName="Hoja33">
    <tabColor rgb="FF92D050"/>
  </sheetPr>
  <dimension ref="A1:AA32"/>
  <sheetViews>
    <sheetView zoomScaleNormal="100" workbookViewId="0">
      <pane xSplit="4" topLeftCell="E1" activePane="topRight" state="frozen"/>
      <selection activeCell="D19" sqref="D19:E19"/>
      <selection pane="topRight" activeCell="D19" sqref="D19:E1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218</v>
      </c>
      <c r="B6" s="70" t="s">
        <v>201</v>
      </c>
      <c r="C6" s="54">
        <v>311</v>
      </c>
      <c r="D6" s="58" t="s">
        <v>219</v>
      </c>
      <c r="E6" s="69">
        <v>24000</v>
      </c>
      <c r="F6" s="7">
        <v>311240425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3.9E-2</v>
      </c>
      <c r="O6" s="8">
        <v>2E-3</v>
      </c>
      <c r="P6" s="8">
        <v>0.14699999999999999</v>
      </c>
      <c r="Q6" s="8">
        <v>0.14399999999999999</v>
      </c>
      <c r="R6" s="8">
        <v>2.5999999999999999E-2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0.19600000000000001</v>
      </c>
      <c r="Z6" s="8">
        <v>0</v>
      </c>
      <c r="AA6" s="8">
        <v>0</v>
      </c>
    </row>
    <row r="7" spans="1:27" ht="19.5" x14ac:dyDescent="0.25">
      <c r="A7" s="55" t="s">
        <v>218</v>
      </c>
      <c r="B7" s="55" t="s">
        <v>201</v>
      </c>
      <c r="C7" s="55">
        <v>311</v>
      </c>
      <c r="D7" s="55" t="s">
        <v>219</v>
      </c>
      <c r="E7" s="55">
        <v>24000</v>
      </c>
      <c r="F7" s="53" t="s">
        <v>113</v>
      </c>
      <c r="G7" s="8" t="s">
        <v>156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-1.0000000000000002E-2</v>
      </c>
      <c r="H8" s="8"/>
      <c r="I8" s="8"/>
      <c r="J8" s="8"/>
      <c r="K8" s="8"/>
      <c r="L8" s="8"/>
      <c r="M8" s="8"/>
      <c r="N8" s="8">
        <v>3.1895E-2</v>
      </c>
      <c r="O8" s="8"/>
      <c r="P8" s="8">
        <v>0.13005</v>
      </c>
      <c r="Q8" s="8">
        <v>0.12625</v>
      </c>
      <c r="R8" s="8">
        <v>2.4750000000000001E-2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219</v>
      </c>
      <c r="E9" s="60"/>
      <c r="F9" s="61"/>
      <c r="G9" s="77">
        <v>0.04</v>
      </c>
      <c r="H9" s="8"/>
      <c r="I9" s="8"/>
      <c r="J9" s="8">
        <v>0</v>
      </c>
      <c r="K9" s="8"/>
      <c r="L9" s="8"/>
      <c r="M9" s="8"/>
      <c r="N9" s="8">
        <v>0.04</v>
      </c>
      <c r="O9" s="8"/>
      <c r="P9" s="8">
        <v>0.15</v>
      </c>
      <c r="Q9" s="8">
        <v>0.15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0.09</v>
      </c>
      <c r="H10" s="8"/>
      <c r="I10" s="8"/>
      <c r="J10" s="8"/>
      <c r="K10" s="8"/>
      <c r="L10" s="8"/>
      <c r="M10" s="8"/>
      <c r="N10" s="8">
        <v>4.8105000000000002E-2</v>
      </c>
      <c r="O10" s="8"/>
      <c r="P10" s="8">
        <v>0.16994999999999999</v>
      </c>
      <c r="Q10" s="8">
        <v>0.17374999999999999</v>
      </c>
      <c r="R10" s="8">
        <v>3.5249999999999997E-2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505</v>
      </c>
      <c r="E15" s="9" t="s">
        <v>221</v>
      </c>
      <c r="F15" s="9">
        <v>200</v>
      </c>
      <c r="G15" s="9">
        <v>20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463</v>
      </c>
      <c r="E16" s="9" t="s">
        <v>223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0.55000000000000004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120</v>
      </c>
      <c r="E17" s="9" t="s">
        <v>155</v>
      </c>
      <c r="F17" s="9">
        <v>100</v>
      </c>
      <c r="G17" s="9">
        <v>10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0.34</v>
      </c>
      <c r="Q17" s="10">
        <v>0.14000000000000001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240</v>
      </c>
      <c r="E18" s="9" t="s">
        <v>40</v>
      </c>
      <c r="F18" s="9">
        <v>350</v>
      </c>
      <c r="G18" s="9">
        <v>35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224</v>
      </c>
      <c r="F19" s="9">
        <v>150</v>
      </c>
      <c r="G19" s="9">
        <v>15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0.26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370</v>
      </c>
      <c r="E20" s="9" t="s">
        <v>85</v>
      </c>
      <c r="F20" s="9">
        <v>100</v>
      </c>
      <c r="G20" s="9">
        <v>10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2.4E-2</v>
      </c>
      <c r="P20" s="10">
        <v>6.2E-2</v>
      </c>
      <c r="Q20" s="10">
        <v>0.04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0.56899999999999995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5"/>
    </row>
    <row r="25" spans="3:27" x14ac:dyDescent="0.25">
      <c r="C25" s="73"/>
      <c r="D25" s="132"/>
      <c r="E25" s="132"/>
      <c r="F25" s="132"/>
      <c r="G25" s="85"/>
    </row>
    <row r="26" spans="3:27" x14ac:dyDescent="0.25">
      <c r="D26" s="9">
        <v>450</v>
      </c>
      <c r="E26" s="9" t="s">
        <v>134</v>
      </c>
      <c r="F26" s="9">
        <v>0.74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3D4ciQ/w3AVxdcS0vS6sU0iDZtjmxThaMrzojXJge+Obg57toEj4wb0AlRWNRv2KAwYUnxzGmAGfyJFfKUWTUA==" saltValue="JyKxvpjsTYAiv/48MA1U6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813" priority="31">
      <formula>LEN(TRIM(C6))=0</formula>
    </cfRule>
  </conditionalFormatting>
  <conditionalFormatting sqref="H15:AA23 H6:AA6">
    <cfRule type="cellIs" dxfId="812" priority="30" operator="equal">
      <formula>0</formula>
    </cfRule>
  </conditionalFormatting>
  <conditionalFormatting sqref="G15:G23">
    <cfRule type="cellIs" dxfId="811" priority="28" operator="equal">
      <formula>0</formula>
    </cfRule>
    <cfRule type="containsBlanks" dxfId="810" priority="29">
      <formula>LEN(TRIM(G15))=0</formula>
    </cfRule>
  </conditionalFormatting>
  <conditionalFormatting sqref="H5:AA5">
    <cfRule type="containsBlanks" dxfId="809" priority="27">
      <formula>LEN(TRIM(H5))=0</formula>
    </cfRule>
  </conditionalFormatting>
  <conditionalFormatting sqref="G5">
    <cfRule type="containsBlanks" dxfId="808" priority="26">
      <formula>LEN(TRIM(G5))=0</formula>
    </cfRule>
  </conditionalFormatting>
  <conditionalFormatting sqref="F6:G6">
    <cfRule type="containsBlanks" dxfId="807" priority="25">
      <formula>LEN(TRIM(F6))=0</formula>
    </cfRule>
  </conditionalFormatting>
  <conditionalFormatting sqref="H14:AA14">
    <cfRule type="containsBlanks" dxfId="806" priority="24">
      <formula>LEN(TRIM(H14))=0</formula>
    </cfRule>
  </conditionalFormatting>
  <conditionalFormatting sqref="D5">
    <cfRule type="containsBlanks" dxfId="805" priority="23">
      <formula>LEN(TRIM(D5))=0</formula>
    </cfRule>
  </conditionalFormatting>
  <conditionalFormatting sqref="C5">
    <cfRule type="containsBlanks" dxfId="804" priority="22">
      <formula>LEN(TRIM(C5))=0</formula>
    </cfRule>
  </conditionalFormatting>
  <conditionalFormatting sqref="D14">
    <cfRule type="containsBlanks" dxfId="803" priority="21">
      <formula>LEN(TRIM(D14))=0</formula>
    </cfRule>
  </conditionalFormatting>
  <conditionalFormatting sqref="G8:AA8 G10:AA10">
    <cfRule type="containsBlanks" dxfId="802" priority="20">
      <formula>LEN(TRIM(G8))=0</formula>
    </cfRule>
  </conditionalFormatting>
  <conditionalFormatting sqref="G8:AA8 G10:AA10">
    <cfRule type="cellIs" dxfId="801" priority="19" operator="equal">
      <formula>0</formula>
    </cfRule>
  </conditionalFormatting>
  <conditionalFormatting sqref="G7:AA7">
    <cfRule type="containsBlanks" dxfId="800" priority="18">
      <formula>LEN(TRIM(G7))=0</formula>
    </cfRule>
  </conditionalFormatting>
  <conditionalFormatting sqref="G7:AA7">
    <cfRule type="cellIs" dxfId="799" priority="17" operator="equal">
      <formula>0</formula>
    </cfRule>
  </conditionalFormatting>
  <conditionalFormatting sqref="A5">
    <cfRule type="containsBlanks" dxfId="798" priority="15">
      <formula>LEN(TRIM(A5))=0</formula>
    </cfRule>
  </conditionalFormatting>
  <conditionalFormatting sqref="F7">
    <cfRule type="containsBlanks" dxfId="797" priority="16">
      <formula>LEN(TRIM(F7))=0</formula>
    </cfRule>
  </conditionalFormatting>
  <conditionalFormatting sqref="B5">
    <cfRule type="containsBlanks" dxfId="796" priority="14">
      <formula>LEN(TRIM(B5))=0</formula>
    </cfRule>
  </conditionalFormatting>
  <conditionalFormatting sqref="A7:E7">
    <cfRule type="containsBlanks" dxfId="795" priority="13">
      <formula>LEN(TRIM(A7))=0</formula>
    </cfRule>
  </conditionalFormatting>
  <conditionalFormatting sqref="G9">
    <cfRule type="containsBlanks" dxfId="794" priority="12">
      <formula>LEN(TRIM(G9))=0</formula>
    </cfRule>
  </conditionalFormatting>
  <conditionalFormatting sqref="E5">
    <cfRule type="containsBlanks" dxfId="793" priority="11">
      <formula>LEN(TRIM(E5))=0</formula>
    </cfRule>
  </conditionalFormatting>
  <conditionalFormatting sqref="F5">
    <cfRule type="containsBlanks" dxfId="792" priority="10">
      <formula>LEN(TRIM(F5))=0</formula>
    </cfRule>
  </conditionalFormatting>
  <conditionalFormatting sqref="C6">
    <cfRule type="containsBlanks" dxfId="791" priority="8">
      <formula>LEN(TRIM(C6))=0</formula>
    </cfRule>
  </conditionalFormatting>
  <conditionalFormatting sqref="E6">
    <cfRule type="containsBlanks" dxfId="790" priority="9">
      <formula>LEN(TRIM(E6))=0</formula>
    </cfRule>
  </conditionalFormatting>
  <conditionalFormatting sqref="A6">
    <cfRule type="containsBlanks" dxfId="789" priority="7">
      <formula>LEN(TRIM(A6))=0</formula>
    </cfRule>
  </conditionalFormatting>
  <conditionalFormatting sqref="B6">
    <cfRule type="containsBlanks" dxfId="788" priority="6">
      <formula>LEN(TRIM(B6))=0</formula>
    </cfRule>
  </conditionalFormatting>
  <conditionalFormatting sqref="D6">
    <cfRule type="containsBlanks" dxfId="787" priority="5">
      <formula>LEN(TRIM(D6))=0</formula>
    </cfRule>
  </conditionalFormatting>
  <conditionalFormatting sqref="H9:O9 Z9:AA9">
    <cfRule type="containsBlanks" dxfId="786" priority="4">
      <formula>LEN(TRIM(H9))=0</formula>
    </cfRule>
  </conditionalFormatting>
  <conditionalFormatting sqref="H9:O9 Z9:AA9">
    <cfRule type="cellIs" dxfId="785" priority="3" operator="equal">
      <formula>0</formula>
    </cfRule>
  </conditionalFormatting>
  <conditionalFormatting sqref="P9:Y9">
    <cfRule type="containsBlanks" dxfId="784" priority="2">
      <formula>LEN(TRIM(P9))=0</formula>
    </cfRule>
  </conditionalFormatting>
  <conditionalFormatting sqref="P9:Y9">
    <cfRule type="cellIs" dxfId="783" priority="1" operator="equal">
      <formula>0</formula>
    </cfRule>
  </conditionalFormatting>
  <dataValidations count="1">
    <dataValidation type="list" allowBlank="1" showInputMessage="1" showErrorMessage="1" sqref="E26:E27 E15:E23" xr:uid="{DB76E23E-135C-4185-A46D-673573D9C32C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7109F-90F2-4B6C-805C-C7BBD9CBE19A}">
  <sheetPr codeName="Hoja34">
    <tabColor rgb="FF92D050"/>
  </sheetPr>
  <dimension ref="A1:AA32"/>
  <sheetViews>
    <sheetView zoomScaleNormal="100" workbookViewId="0">
      <pane xSplit="4" topLeftCell="E1" activePane="topRight" state="frozen"/>
      <selection activeCell="E7" sqref="E7"/>
      <selection pane="topRight" activeCell="E7" sqref="E7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228</v>
      </c>
      <c r="B6" s="70" t="s">
        <v>229</v>
      </c>
      <c r="C6" s="54">
        <v>803</v>
      </c>
      <c r="D6" s="58" t="s">
        <v>230</v>
      </c>
      <c r="E6" s="69">
        <v>35000</v>
      </c>
      <c r="F6" s="7">
        <v>803260425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0.114</v>
      </c>
      <c r="Q6" s="8">
        <v>0.157</v>
      </c>
      <c r="R6" s="8">
        <v>9.2999999999999999E-2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0.156</v>
      </c>
      <c r="Z6" s="8">
        <v>0</v>
      </c>
      <c r="AA6" s="8">
        <v>0</v>
      </c>
    </row>
    <row r="7" spans="1:27" ht="19.5" x14ac:dyDescent="0.25">
      <c r="A7" s="55" t="s">
        <v>228</v>
      </c>
      <c r="B7" s="55" t="s">
        <v>229</v>
      </c>
      <c r="C7" s="55">
        <v>803</v>
      </c>
      <c r="D7" s="55" t="s">
        <v>230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0.1032</v>
      </c>
      <c r="Q8" s="8">
        <v>0.13500000000000001</v>
      </c>
      <c r="R8" s="8">
        <v>8.950000000000001E-2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230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0.12</v>
      </c>
      <c r="Q9" s="8">
        <v>0.16</v>
      </c>
      <c r="R9" s="8">
        <v>0.1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0.1368</v>
      </c>
      <c r="Q10" s="8">
        <v>0.185</v>
      </c>
      <c r="R10" s="8">
        <v>0.1105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440</v>
      </c>
      <c r="G15" s="9">
        <v>44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180</v>
      </c>
      <c r="G16" s="9">
        <v>18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111</v>
      </c>
      <c r="E17" s="9" t="s">
        <v>211</v>
      </c>
      <c r="F17" s="9">
        <v>70</v>
      </c>
      <c r="G17" s="9">
        <v>7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6.0000000000000001E-3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0.47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310</v>
      </c>
      <c r="G18" s="9">
        <v>31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6"/>
    </row>
    <row r="25" spans="3:27" x14ac:dyDescent="0.25">
      <c r="C25" s="73"/>
      <c r="D25" s="132"/>
      <c r="E25" s="132"/>
      <c r="F25" s="132"/>
      <c r="G25" s="86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oq1U6/+z8tmQ+Ekp0RkEaiZ1WaDpb3e2ok66bfMWi6X+vHDyFM8oCIgWQHA16Srn74cJtRavS81N019ZGWX1GA==" saltValue="KpxpxOi5LUdFc+X9biLxJ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782" priority="31">
      <formula>LEN(TRIM(C6))=0</formula>
    </cfRule>
  </conditionalFormatting>
  <conditionalFormatting sqref="H15:AA23 H6:AA6">
    <cfRule type="cellIs" dxfId="781" priority="30" operator="equal">
      <formula>0</formula>
    </cfRule>
  </conditionalFormatting>
  <conditionalFormatting sqref="G15:G23">
    <cfRule type="cellIs" dxfId="780" priority="28" operator="equal">
      <formula>0</formula>
    </cfRule>
    <cfRule type="containsBlanks" dxfId="779" priority="29">
      <formula>LEN(TRIM(G15))=0</formula>
    </cfRule>
  </conditionalFormatting>
  <conditionalFormatting sqref="H5:AA5">
    <cfRule type="containsBlanks" dxfId="778" priority="27">
      <formula>LEN(TRIM(H5))=0</formula>
    </cfRule>
  </conditionalFormatting>
  <conditionalFormatting sqref="G5">
    <cfRule type="containsBlanks" dxfId="777" priority="26">
      <formula>LEN(TRIM(G5))=0</formula>
    </cfRule>
  </conditionalFormatting>
  <conditionalFormatting sqref="F6:G6">
    <cfRule type="containsBlanks" dxfId="776" priority="25">
      <formula>LEN(TRIM(F6))=0</formula>
    </cfRule>
  </conditionalFormatting>
  <conditionalFormatting sqref="H14:AA14">
    <cfRule type="containsBlanks" dxfId="775" priority="24">
      <formula>LEN(TRIM(H14))=0</formula>
    </cfRule>
  </conditionalFormatting>
  <conditionalFormatting sqref="D5">
    <cfRule type="containsBlanks" dxfId="774" priority="23">
      <formula>LEN(TRIM(D5))=0</formula>
    </cfRule>
  </conditionalFormatting>
  <conditionalFormatting sqref="C5">
    <cfRule type="containsBlanks" dxfId="773" priority="22">
      <formula>LEN(TRIM(C5))=0</formula>
    </cfRule>
  </conditionalFormatting>
  <conditionalFormatting sqref="D14">
    <cfRule type="containsBlanks" dxfId="772" priority="21">
      <formula>LEN(TRIM(D14))=0</formula>
    </cfRule>
  </conditionalFormatting>
  <conditionalFormatting sqref="G8:AA8 G10:AA10">
    <cfRule type="containsBlanks" dxfId="771" priority="20">
      <formula>LEN(TRIM(G8))=0</formula>
    </cfRule>
  </conditionalFormatting>
  <conditionalFormatting sqref="G8:AA8 G10:AA10">
    <cfRule type="cellIs" dxfId="770" priority="19" operator="equal">
      <formula>0</formula>
    </cfRule>
  </conditionalFormatting>
  <conditionalFormatting sqref="G7:AA7">
    <cfRule type="containsBlanks" dxfId="769" priority="18">
      <formula>LEN(TRIM(G7))=0</formula>
    </cfRule>
  </conditionalFormatting>
  <conditionalFormatting sqref="G7:AA7">
    <cfRule type="cellIs" dxfId="768" priority="17" operator="equal">
      <formula>0</formula>
    </cfRule>
  </conditionalFormatting>
  <conditionalFormatting sqref="A5">
    <cfRule type="containsBlanks" dxfId="767" priority="15">
      <formula>LEN(TRIM(A5))=0</formula>
    </cfRule>
  </conditionalFormatting>
  <conditionalFormatting sqref="F7">
    <cfRule type="containsBlanks" dxfId="766" priority="16">
      <formula>LEN(TRIM(F7))=0</formula>
    </cfRule>
  </conditionalFormatting>
  <conditionalFormatting sqref="B5">
    <cfRule type="containsBlanks" dxfId="765" priority="14">
      <formula>LEN(TRIM(B5))=0</formula>
    </cfRule>
  </conditionalFormatting>
  <conditionalFormatting sqref="A7:E7">
    <cfRule type="containsBlanks" dxfId="764" priority="13">
      <formula>LEN(TRIM(A7))=0</formula>
    </cfRule>
  </conditionalFormatting>
  <conditionalFormatting sqref="G9">
    <cfRule type="containsBlanks" dxfId="763" priority="12">
      <formula>LEN(TRIM(G9))=0</formula>
    </cfRule>
  </conditionalFormatting>
  <conditionalFormatting sqref="E5">
    <cfRule type="containsBlanks" dxfId="762" priority="11">
      <formula>LEN(TRIM(E5))=0</formula>
    </cfRule>
  </conditionalFormatting>
  <conditionalFormatting sqref="F5">
    <cfRule type="containsBlanks" dxfId="761" priority="10">
      <formula>LEN(TRIM(F5))=0</formula>
    </cfRule>
  </conditionalFormatting>
  <conditionalFormatting sqref="C6">
    <cfRule type="containsBlanks" dxfId="760" priority="8">
      <formula>LEN(TRIM(C6))=0</formula>
    </cfRule>
  </conditionalFormatting>
  <conditionalFormatting sqref="E6">
    <cfRule type="containsBlanks" dxfId="759" priority="9">
      <formula>LEN(TRIM(E6))=0</formula>
    </cfRule>
  </conditionalFormatting>
  <conditionalFormatting sqref="A6">
    <cfRule type="containsBlanks" dxfId="758" priority="7">
      <formula>LEN(TRIM(A6))=0</formula>
    </cfRule>
  </conditionalFormatting>
  <conditionalFormatting sqref="B6">
    <cfRule type="containsBlanks" dxfId="757" priority="6">
      <formula>LEN(TRIM(B6))=0</formula>
    </cfRule>
  </conditionalFormatting>
  <conditionalFormatting sqref="D6">
    <cfRule type="containsBlanks" dxfId="756" priority="5">
      <formula>LEN(TRIM(D6))=0</formula>
    </cfRule>
  </conditionalFormatting>
  <conditionalFormatting sqref="H9:O9 Z9:AA9">
    <cfRule type="containsBlanks" dxfId="755" priority="4">
      <formula>LEN(TRIM(H9))=0</formula>
    </cfRule>
  </conditionalFormatting>
  <conditionalFormatting sqref="H9:O9 Z9:AA9">
    <cfRule type="cellIs" dxfId="754" priority="3" operator="equal">
      <formula>0</formula>
    </cfRule>
  </conditionalFormatting>
  <conditionalFormatting sqref="P9:Y9">
    <cfRule type="containsBlanks" dxfId="753" priority="2">
      <formula>LEN(TRIM(P9))=0</formula>
    </cfRule>
  </conditionalFormatting>
  <conditionalFormatting sqref="P9:Y9">
    <cfRule type="cellIs" dxfId="752" priority="1" operator="equal">
      <formula>0</formula>
    </cfRule>
  </conditionalFormatting>
  <dataValidations count="1">
    <dataValidation type="list" allowBlank="1" showInputMessage="1" showErrorMessage="1" sqref="E26:E27 E15:E23" xr:uid="{A0E6C6BA-3288-4DAE-BFBC-E413E3C29F24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095A2-4463-40E8-9D77-BB106C995EE5}">
  <sheetPr codeName="Hoja43">
    <tabColor rgb="FFADDB6F"/>
  </sheetPr>
  <dimension ref="A1:AA32"/>
  <sheetViews>
    <sheetView zoomScaleNormal="100" workbookViewId="0">
      <pane xSplit="4" topLeftCell="G1" activePane="topRight" state="frozen"/>
      <selection activeCell="K34" sqref="K34"/>
      <selection pane="topRight" activeCell="K34" sqref="K34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241</v>
      </c>
      <c r="B6" s="70" t="s">
        <v>242</v>
      </c>
      <c r="C6" s="54">
        <v>803</v>
      </c>
      <c r="D6" s="58" t="s">
        <v>230</v>
      </c>
      <c r="E6" s="69">
        <v>14000</v>
      </c>
      <c r="F6" s="7" t="str">
        <f>C6&amp;RIGHT("0"&amp;MID(B6,1,2),2)&amp;RIGHT("0"&amp;MID(B6,4,2),2)&amp;RIGHT(MID(B6,7,4),2)</f>
        <v>803280425</v>
      </c>
      <c r="G6" s="77" t="str">
        <f>IF(I6+N6+O6&lt;5%,"",I6+N6+O6)</f>
        <v/>
      </c>
      <c r="H6" s="8">
        <f t="shared" ref="H6:AA6" si="0">ROUND(($G15*H15+$G16*H16+$G17*H17+$G18*H18+$G19*H19+$G20*H20+$G21*H21+$G22*H22+$G23*H23)/100,3)</f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8">
        <f t="shared" si="0"/>
        <v>0</v>
      </c>
      <c r="N6" s="8">
        <f t="shared" si="0"/>
        <v>0</v>
      </c>
      <c r="O6" s="8">
        <f t="shared" si="0"/>
        <v>0</v>
      </c>
      <c r="P6" s="8">
        <f t="shared" si="0"/>
        <v>0.114</v>
      </c>
      <c r="Q6" s="8">
        <f t="shared" si="0"/>
        <v>0.157</v>
      </c>
      <c r="R6" s="8">
        <f t="shared" si="0"/>
        <v>9.2999999999999999E-2</v>
      </c>
      <c r="S6" s="8">
        <f t="shared" si="0"/>
        <v>0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0.156</v>
      </c>
      <c r="Z6" s="8">
        <f t="shared" si="0"/>
        <v>0</v>
      </c>
      <c r="AA6" s="8">
        <f t="shared" si="0"/>
        <v>0</v>
      </c>
    </row>
    <row r="7" spans="1:27" ht="19.5" x14ac:dyDescent="0.25">
      <c r="A7" s="55" t="str">
        <f>A6</f>
        <v>OP036</v>
      </c>
      <c r="B7" s="55" t="str">
        <f>B6</f>
        <v>28-04-2025</v>
      </c>
      <c r="C7" s="55">
        <f t="shared" ref="C7:E7" si="1">C6</f>
        <v>803</v>
      </c>
      <c r="D7" s="55" t="str">
        <f t="shared" si="1"/>
        <v>NUCLEO MAGNESIO - S</v>
      </c>
      <c r="E7" s="55">
        <f t="shared" si="1"/>
        <v>14000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NUCLEO MAGNESIO - S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</v>
      </c>
      <c r="Q9" s="8">
        <v>0.15</v>
      </c>
      <c r="R9" s="8">
        <v>0.1</v>
      </c>
      <c r="S9" s="8"/>
      <c r="T9" s="8"/>
      <c r="U9" s="8"/>
      <c r="V9" s="8"/>
      <c r="W9" s="8"/>
      <c r="X9" s="8"/>
      <c r="Y9" s="8">
        <v>0.16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440</v>
      </c>
      <c r="G15" s="9">
        <f>Tabla25[[#This Row],[CANTIDAD]]/10</f>
        <v>44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0.26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0.13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>
        <v>74</v>
      </c>
      <c r="E16" s="9" t="s">
        <v>39</v>
      </c>
      <c r="F16" s="9">
        <v>180</v>
      </c>
      <c r="G16" s="9">
        <f>Tabla25[[#This Row],[CANTIDAD]]/10</f>
        <v>18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0.25</v>
      </c>
      <c r="R16" s="10" cm="1">
        <f t="array" ref="R16">IF($E16="",0%,(_xlfn.XLOOKUP($E16,Tabla1[[#All],[ID]],Tabla1[[#All],[S]])))</f>
        <v>0.2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>
        <v>111</v>
      </c>
      <c r="E17" s="9" t="s">
        <v>211</v>
      </c>
      <c r="F17" s="9">
        <v>70</v>
      </c>
      <c r="G17" s="9">
        <f>Tabla25[[#This Row],[CANTIDAD]]/10</f>
        <v>7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6.0000000000000001E-3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0.47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>
        <v>274</v>
      </c>
      <c r="E18" s="9" t="s">
        <v>40</v>
      </c>
      <c r="F18" s="9">
        <v>310</v>
      </c>
      <c r="G18" s="9">
        <f>Tabla25[[#This Row],[CANTIDAD]]/10</f>
        <v>31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0.36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0.39600000000000002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/>
      <c r="E19" s="9"/>
      <c r="F19" s="9"/>
      <c r="G19" s="9">
        <f>Tabla25[[#This Row],[CANTIDAD]]/10</f>
        <v>0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/>
      <c r="F20" s="9"/>
      <c r="G20" s="9">
        <f>Tabla25[[#This Row],[CANTIDAD]]/10</f>
        <v>0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/>
      <c r="F21" s="9"/>
      <c r="G21" s="9">
        <f>Tabla25[[#This Row],[CANTIDAD]]/10</f>
        <v>0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Tabla25[[#This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Tabla25[[#This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2"/>
    </row>
    <row r="25" spans="3:27" x14ac:dyDescent="0.25">
      <c r="C25" s="73"/>
      <c r="D25" s="132"/>
      <c r="E25" s="132"/>
      <c r="F25" s="132"/>
      <c r="G25" s="9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751" priority="31">
      <formula>LEN(TRIM(C6))=0</formula>
    </cfRule>
  </conditionalFormatting>
  <conditionalFormatting sqref="H15:AA23 H6:AA6">
    <cfRule type="cellIs" dxfId="750" priority="30" operator="equal">
      <formula>0</formula>
    </cfRule>
  </conditionalFormatting>
  <conditionalFormatting sqref="G15:G23">
    <cfRule type="cellIs" dxfId="749" priority="28" operator="equal">
      <formula>0</formula>
    </cfRule>
    <cfRule type="containsBlanks" dxfId="748" priority="29">
      <formula>LEN(TRIM(G15))=0</formula>
    </cfRule>
  </conditionalFormatting>
  <conditionalFormatting sqref="H5:AA5">
    <cfRule type="containsBlanks" dxfId="747" priority="27">
      <formula>LEN(TRIM(H5))=0</formula>
    </cfRule>
  </conditionalFormatting>
  <conditionalFormatting sqref="G5">
    <cfRule type="containsBlanks" dxfId="746" priority="26">
      <formula>LEN(TRIM(G5))=0</formula>
    </cfRule>
  </conditionalFormatting>
  <conditionalFormatting sqref="F6:G6">
    <cfRule type="containsBlanks" dxfId="745" priority="25">
      <formula>LEN(TRIM(F6))=0</formula>
    </cfRule>
  </conditionalFormatting>
  <conditionalFormatting sqref="H14:AA14">
    <cfRule type="containsBlanks" dxfId="744" priority="24">
      <formula>LEN(TRIM(H14))=0</formula>
    </cfRule>
  </conditionalFormatting>
  <conditionalFormatting sqref="D5">
    <cfRule type="containsBlanks" dxfId="743" priority="23">
      <formula>LEN(TRIM(D5))=0</formula>
    </cfRule>
  </conditionalFormatting>
  <conditionalFormatting sqref="C5">
    <cfRule type="containsBlanks" dxfId="742" priority="22">
      <formula>LEN(TRIM(C5))=0</formula>
    </cfRule>
  </conditionalFormatting>
  <conditionalFormatting sqref="D14">
    <cfRule type="containsBlanks" dxfId="741" priority="21">
      <formula>LEN(TRIM(D14))=0</formula>
    </cfRule>
  </conditionalFormatting>
  <conditionalFormatting sqref="G8:AA8 G10:AA10">
    <cfRule type="containsBlanks" dxfId="740" priority="20">
      <formula>LEN(TRIM(G8))=0</formula>
    </cfRule>
  </conditionalFormatting>
  <conditionalFormatting sqref="G8:AA8 G10:AA10">
    <cfRule type="cellIs" dxfId="739" priority="19" operator="equal">
      <formula>0</formula>
    </cfRule>
  </conditionalFormatting>
  <conditionalFormatting sqref="G7:AA7">
    <cfRule type="containsBlanks" dxfId="738" priority="18">
      <formula>LEN(TRIM(G7))=0</formula>
    </cfRule>
  </conditionalFormatting>
  <conditionalFormatting sqref="G7:AA7">
    <cfRule type="cellIs" dxfId="737" priority="17" operator="equal">
      <formula>0</formula>
    </cfRule>
  </conditionalFormatting>
  <conditionalFormatting sqref="A5">
    <cfRule type="containsBlanks" dxfId="736" priority="15">
      <formula>LEN(TRIM(A5))=0</formula>
    </cfRule>
  </conditionalFormatting>
  <conditionalFormatting sqref="F7">
    <cfRule type="containsBlanks" dxfId="735" priority="16">
      <formula>LEN(TRIM(F7))=0</formula>
    </cfRule>
  </conditionalFormatting>
  <conditionalFormatting sqref="B5">
    <cfRule type="containsBlanks" dxfId="734" priority="14">
      <formula>LEN(TRIM(B5))=0</formula>
    </cfRule>
  </conditionalFormatting>
  <conditionalFormatting sqref="A7:E7">
    <cfRule type="containsBlanks" dxfId="733" priority="13">
      <formula>LEN(TRIM(A7))=0</formula>
    </cfRule>
  </conditionalFormatting>
  <conditionalFormatting sqref="G9">
    <cfRule type="containsBlanks" dxfId="732" priority="12">
      <formula>LEN(TRIM(G9))=0</formula>
    </cfRule>
  </conditionalFormatting>
  <conditionalFormatting sqref="E5">
    <cfRule type="containsBlanks" dxfId="731" priority="11">
      <formula>LEN(TRIM(E5))=0</formula>
    </cfRule>
  </conditionalFormatting>
  <conditionalFormatting sqref="F5">
    <cfRule type="containsBlanks" dxfId="730" priority="10">
      <formula>LEN(TRIM(F5))=0</formula>
    </cfRule>
  </conditionalFormatting>
  <conditionalFormatting sqref="E6">
    <cfRule type="containsBlanks" dxfId="729" priority="9">
      <formula>LEN(TRIM(E6))=0</formula>
    </cfRule>
  </conditionalFormatting>
  <conditionalFormatting sqref="A6">
    <cfRule type="containsBlanks" dxfId="728" priority="8">
      <formula>LEN(TRIM(A6))=0</formula>
    </cfRule>
  </conditionalFormatting>
  <conditionalFormatting sqref="B6">
    <cfRule type="containsBlanks" dxfId="727" priority="7">
      <formula>LEN(TRIM(B6))=0</formula>
    </cfRule>
  </conditionalFormatting>
  <conditionalFormatting sqref="H9:O9 Z9:AA9">
    <cfRule type="containsBlanks" dxfId="726" priority="6">
      <formula>LEN(TRIM(H9))=0</formula>
    </cfRule>
  </conditionalFormatting>
  <conditionalFormatting sqref="H9:O9 Z9:AA9">
    <cfRule type="cellIs" dxfId="725" priority="5" operator="equal">
      <formula>0</formula>
    </cfRule>
  </conditionalFormatting>
  <conditionalFormatting sqref="P9:Y9">
    <cfRule type="containsBlanks" dxfId="724" priority="4">
      <formula>LEN(TRIM(P9))=0</formula>
    </cfRule>
  </conditionalFormatting>
  <conditionalFormatting sqref="P9:Y9">
    <cfRule type="cellIs" dxfId="723" priority="3" operator="equal">
      <formula>0</formula>
    </cfRule>
  </conditionalFormatting>
  <conditionalFormatting sqref="C6">
    <cfRule type="containsBlanks" dxfId="722" priority="2">
      <formula>LEN(TRIM(C6))=0</formula>
    </cfRule>
  </conditionalFormatting>
  <conditionalFormatting sqref="D6">
    <cfRule type="containsBlanks" dxfId="721" priority="1">
      <formula>LEN(TRIM(D6))=0</formula>
    </cfRule>
  </conditionalFormatting>
  <dataValidations count="1">
    <dataValidation type="list" allowBlank="1" showInputMessage="1" showErrorMessage="1" sqref="E26:E27 E15:E23" xr:uid="{8B783300-0F56-407B-AE20-1219AA49B210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464CD-C3CD-4BB5-A442-DE195FA4C6ED}">
  <sheetPr codeName="Hoja35">
    <tabColor rgb="FF92D050"/>
  </sheetPr>
  <dimension ref="A1:AA32"/>
  <sheetViews>
    <sheetView zoomScaleNormal="100" workbookViewId="0">
      <pane xSplit="4" topLeftCell="E1" activePane="topRight" state="frozen"/>
      <selection activeCell="R10" sqref="R10"/>
      <selection pane="topRight" activeCell="R10" sqref="R10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231</v>
      </c>
      <c r="B6" s="70" t="s">
        <v>229</v>
      </c>
      <c r="C6" s="54">
        <v>431</v>
      </c>
      <c r="D6" s="58" t="s">
        <v>232</v>
      </c>
      <c r="E6" s="69">
        <v>1250</v>
      </c>
      <c r="F6" s="7">
        <v>431260425</v>
      </c>
      <c r="G6" s="77">
        <v>0.34100000000000003</v>
      </c>
      <c r="H6" s="8">
        <v>8.0000000000000002E-3</v>
      </c>
      <c r="I6" s="8">
        <v>0.26100000000000001</v>
      </c>
      <c r="J6" s="8">
        <v>3.2000000000000001E-2</v>
      </c>
      <c r="K6" s="8">
        <v>0</v>
      </c>
      <c r="L6" s="8">
        <v>0</v>
      </c>
      <c r="M6" s="8">
        <v>0.221</v>
      </c>
      <c r="N6" s="8">
        <v>5.6000000000000001E-2</v>
      </c>
      <c r="O6" s="8">
        <v>2.4E-2</v>
      </c>
      <c r="P6" s="8">
        <v>6.7000000000000004E-2</v>
      </c>
      <c r="Q6" s="8">
        <v>0.02</v>
      </c>
      <c r="R6" s="8">
        <v>4.1000000000000002E-2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4.2000000000000003E-2</v>
      </c>
      <c r="Z6" s="8">
        <v>0</v>
      </c>
      <c r="AA6" s="8">
        <v>0</v>
      </c>
    </row>
    <row r="7" spans="1:27" ht="19.5" x14ac:dyDescent="0.25">
      <c r="A7" s="55" t="s">
        <v>231</v>
      </c>
      <c r="B7" s="55" t="s">
        <v>229</v>
      </c>
      <c r="C7" s="55">
        <v>431</v>
      </c>
      <c r="D7" s="55" t="s">
        <v>232</v>
      </c>
      <c r="E7" s="55">
        <v>1250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0.29000000000000004</v>
      </c>
      <c r="H8" s="8"/>
      <c r="I8" s="8">
        <v>0.24610899999999999</v>
      </c>
      <c r="J8" s="8"/>
      <c r="K8" s="8"/>
      <c r="L8" s="8"/>
      <c r="M8" s="8"/>
      <c r="N8" s="8">
        <v>5.1168999999999999E-2</v>
      </c>
      <c r="O8" s="8">
        <v>1.4548999999999999E-2</v>
      </c>
      <c r="P8" s="8"/>
      <c r="Q8" s="8"/>
      <c r="R8" s="8"/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232</v>
      </c>
      <c r="E9" s="60"/>
      <c r="F9" s="61"/>
      <c r="G9" s="77">
        <v>0.34</v>
      </c>
      <c r="H9" s="8"/>
      <c r="I9" s="8">
        <v>0.26</v>
      </c>
      <c r="J9" s="8">
        <v>0</v>
      </c>
      <c r="K9" s="8"/>
      <c r="L9" s="8"/>
      <c r="M9" s="8"/>
      <c r="N9" s="8">
        <v>0.06</v>
      </c>
      <c r="O9" s="8">
        <v>0.02</v>
      </c>
      <c r="P9" s="8"/>
      <c r="Q9" s="8"/>
      <c r="R9" s="8"/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0.39</v>
      </c>
      <c r="H10" s="8"/>
      <c r="I10" s="8">
        <v>0.273891</v>
      </c>
      <c r="J10" s="8"/>
      <c r="K10" s="8"/>
      <c r="L10" s="8"/>
      <c r="M10" s="8"/>
      <c r="N10" s="8">
        <v>6.8831000000000003E-2</v>
      </c>
      <c r="O10" s="8">
        <v>2.5451000000000001E-2</v>
      </c>
      <c r="P10" s="8"/>
      <c r="Q10" s="8"/>
      <c r="R10" s="8"/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480</v>
      </c>
      <c r="G15" s="9">
        <v>48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204</v>
      </c>
      <c r="F16" s="9">
        <v>150</v>
      </c>
      <c r="G16" s="9">
        <v>15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374</v>
      </c>
      <c r="E17" s="9" t="s">
        <v>131</v>
      </c>
      <c r="F17" s="9">
        <v>15</v>
      </c>
      <c r="G17" s="9">
        <v>1.5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205</v>
      </c>
      <c r="F18" s="9">
        <v>50</v>
      </c>
      <c r="G18" s="9">
        <v>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35</v>
      </c>
      <c r="G19" s="9">
        <v>3.5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155</v>
      </c>
      <c r="E20" s="9" t="s">
        <v>145</v>
      </c>
      <c r="F20" s="9">
        <v>160</v>
      </c>
      <c r="G20" s="9">
        <v>16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>
        <v>372</v>
      </c>
      <c r="E21" s="9" t="s">
        <v>138</v>
      </c>
      <c r="F21" s="9">
        <v>110</v>
      </c>
      <c r="G21" s="9">
        <v>11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0.03</v>
      </c>
      <c r="P21" s="10">
        <v>0.27</v>
      </c>
      <c r="Q21" s="10">
        <v>0.115</v>
      </c>
      <c r="R21" s="10">
        <v>3.5000000000000003E-2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3.5000000000000003E-2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7"/>
    </row>
    <row r="25" spans="3:27" x14ac:dyDescent="0.25">
      <c r="C25" s="73"/>
      <c r="D25" s="132"/>
      <c r="E25" s="132"/>
      <c r="F25" s="132"/>
      <c r="G25" s="87"/>
    </row>
    <row r="26" spans="3:27" x14ac:dyDescent="0.25">
      <c r="D26" s="9">
        <v>450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vnriHaXbMvEb0w1RDBrhydGVRXL7EECPnCNq3rkkL9h9lErLT0P+22cRGUCXl87btuSjFwACnGJHyraAp43vfg==" saltValue="hvPQ5m6qygqtIaZO6Kw23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691" priority="31">
      <formula>LEN(TRIM(C6))=0</formula>
    </cfRule>
  </conditionalFormatting>
  <conditionalFormatting sqref="H15:AA23 H6:AA6">
    <cfRule type="cellIs" dxfId="690" priority="30" operator="equal">
      <formula>0</formula>
    </cfRule>
  </conditionalFormatting>
  <conditionalFormatting sqref="G15:G23">
    <cfRule type="cellIs" dxfId="689" priority="28" operator="equal">
      <formula>0</formula>
    </cfRule>
    <cfRule type="containsBlanks" dxfId="688" priority="29">
      <formula>LEN(TRIM(G15))=0</formula>
    </cfRule>
  </conditionalFormatting>
  <conditionalFormatting sqref="H5:AA5">
    <cfRule type="containsBlanks" dxfId="687" priority="27">
      <formula>LEN(TRIM(H5))=0</formula>
    </cfRule>
  </conditionalFormatting>
  <conditionalFormatting sqref="G5">
    <cfRule type="containsBlanks" dxfId="686" priority="26">
      <formula>LEN(TRIM(G5))=0</formula>
    </cfRule>
  </conditionalFormatting>
  <conditionalFormatting sqref="F6:G6">
    <cfRule type="containsBlanks" dxfId="685" priority="25">
      <formula>LEN(TRIM(F6))=0</formula>
    </cfRule>
  </conditionalFormatting>
  <conditionalFormatting sqref="H14:AA14">
    <cfRule type="containsBlanks" dxfId="684" priority="24">
      <formula>LEN(TRIM(H14))=0</formula>
    </cfRule>
  </conditionalFormatting>
  <conditionalFormatting sqref="D5">
    <cfRule type="containsBlanks" dxfId="683" priority="23">
      <formula>LEN(TRIM(D5))=0</formula>
    </cfRule>
  </conditionalFormatting>
  <conditionalFormatting sqref="C5">
    <cfRule type="containsBlanks" dxfId="682" priority="22">
      <formula>LEN(TRIM(C5))=0</formula>
    </cfRule>
  </conditionalFormatting>
  <conditionalFormatting sqref="D14">
    <cfRule type="containsBlanks" dxfId="681" priority="21">
      <formula>LEN(TRIM(D14))=0</formula>
    </cfRule>
  </conditionalFormatting>
  <conditionalFormatting sqref="G8:AA8 G10:AA10">
    <cfRule type="containsBlanks" dxfId="680" priority="20">
      <formula>LEN(TRIM(G8))=0</formula>
    </cfRule>
  </conditionalFormatting>
  <conditionalFormatting sqref="G8:AA8 G10:AA10">
    <cfRule type="cellIs" dxfId="679" priority="19" operator="equal">
      <formula>0</formula>
    </cfRule>
  </conditionalFormatting>
  <conditionalFormatting sqref="G7:AA7">
    <cfRule type="containsBlanks" dxfId="678" priority="18">
      <formula>LEN(TRIM(G7))=0</formula>
    </cfRule>
  </conditionalFormatting>
  <conditionalFormatting sqref="G7:AA7">
    <cfRule type="cellIs" dxfId="677" priority="17" operator="equal">
      <formula>0</formula>
    </cfRule>
  </conditionalFormatting>
  <conditionalFormatting sqref="A5">
    <cfRule type="containsBlanks" dxfId="676" priority="15">
      <formula>LEN(TRIM(A5))=0</formula>
    </cfRule>
  </conditionalFormatting>
  <conditionalFormatting sqref="F7">
    <cfRule type="containsBlanks" dxfId="675" priority="16">
      <formula>LEN(TRIM(F7))=0</formula>
    </cfRule>
  </conditionalFormatting>
  <conditionalFormatting sqref="B5">
    <cfRule type="containsBlanks" dxfId="674" priority="14">
      <formula>LEN(TRIM(B5))=0</formula>
    </cfRule>
  </conditionalFormatting>
  <conditionalFormatting sqref="A7:E7">
    <cfRule type="containsBlanks" dxfId="673" priority="13">
      <formula>LEN(TRIM(A7))=0</formula>
    </cfRule>
  </conditionalFormatting>
  <conditionalFormatting sqref="G9">
    <cfRule type="containsBlanks" dxfId="672" priority="12">
      <formula>LEN(TRIM(G9))=0</formula>
    </cfRule>
  </conditionalFormatting>
  <conditionalFormatting sqref="E5">
    <cfRule type="containsBlanks" dxfId="671" priority="11">
      <formula>LEN(TRIM(E5))=0</formula>
    </cfRule>
  </conditionalFormatting>
  <conditionalFormatting sqref="F5">
    <cfRule type="containsBlanks" dxfId="670" priority="10">
      <formula>LEN(TRIM(F5))=0</formula>
    </cfRule>
  </conditionalFormatting>
  <conditionalFormatting sqref="C6">
    <cfRule type="containsBlanks" dxfId="669" priority="8">
      <formula>LEN(TRIM(C6))=0</formula>
    </cfRule>
  </conditionalFormatting>
  <conditionalFormatting sqref="E6">
    <cfRule type="containsBlanks" dxfId="668" priority="9">
      <formula>LEN(TRIM(E6))=0</formula>
    </cfRule>
  </conditionalFormatting>
  <conditionalFormatting sqref="A6">
    <cfRule type="containsBlanks" dxfId="667" priority="7">
      <formula>LEN(TRIM(A6))=0</formula>
    </cfRule>
  </conditionalFormatting>
  <conditionalFormatting sqref="B6">
    <cfRule type="containsBlanks" dxfId="666" priority="6">
      <formula>LEN(TRIM(B6))=0</formula>
    </cfRule>
  </conditionalFormatting>
  <conditionalFormatting sqref="D6">
    <cfRule type="containsBlanks" dxfId="665" priority="5">
      <formula>LEN(TRIM(D6))=0</formula>
    </cfRule>
  </conditionalFormatting>
  <conditionalFormatting sqref="H9:O9 Z9:AA9">
    <cfRule type="containsBlanks" dxfId="664" priority="4">
      <formula>LEN(TRIM(H9))=0</formula>
    </cfRule>
  </conditionalFormatting>
  <conditionalFormatting sqref="H9:O9 Z9:AA9">
    <cfRule type="cellIs" dxfId="663" priority="3" operator="equal">
      <formula>0</formula>
    </cfRule>
  </conditionalFormatting>
  <conditionalFormatting sqref="P9:Y9">
    <cfRule type="containsBlanks" dxfId="662" priority="2">
      <formula>LEN(TRIM(P9))=0</formula>
    </cfRule>
  </conditionalFormatting>
  <conditionalFormatting sqref="P9:Y9">
    <cfRule type="cellIs" dxfId="661" priority="1" operator="equal">
      <formula>0</formula>
    </cfRule>
  </conditionalFormatting>
  <dataValidations count="1">
    <dataValidation type="list" allowBlank="1" showInputMessage="1" showErrorMessage="1" sqref="E26:E27 E15:E23" xr:uid="{4299EEDC-B65B-4A2B-8CF0-3F5234696BB3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E6A1-D8DF-41C2-ADAF-8B422BFA6372}">
  <sheetPr codeName="Hoja36">
    <tabColor rgb="FF92D050"/>
  </sheetPr>
  <dimension ref="A1:AA32"/>
  <sheetViews>
    <sheetView zoomScaleNormal="100" workbookViewId="0">
      <pane xSplit="4" topLeftCell="E1" activePane="topRight" state="frozen"/>
      <selection activeCell="R10" sqref="R10"/>
      <selection pane="topRight" activeCell="R10" sqref="R10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233</v>
      </c>
      <c r="B6" s="70" t="s">
        <v>229</v>
      </c>
      <c r="C6" s="54">
        <v>646</v>
      </c>
      <c r="D6" s="58" t="s">
        <v>234</v>
      </c>
      <c r="E6" s="69">
        <v>2500</v>
      </c>
      <c r="F6" s="7">
        <v>646260425</v>
      </c>
      <c r="G6" s="77">
        <v>0.44599999999999995</v>
      </c>
      <c r="H6" s="8">
        <v>8.0000000000000002E-3</v>
      </c>
      <c r="I6" s="8">
        <v>0.111</v>
      </c>
      <c r="J6" s="8">
        <v>2E-3</v>
      </c>
      <c r="K6" s="8">
        <v>0</v>
      </c>
      <c r="L6" s="8">
        <v>0</v>
      </c>
      <c r="M6" s="8">
        <v>2.9000000000000001E-2</v>
      </c>
      <c r="N6" s="8">
        <v>0.245</v>
      </c>
      <c r="O6" s="8">
        <v>0.09</v>
      </c>
      <c r="P6" s="8">
        <v>3.5000000000000003E-2</v>
      </c>
      <c r="Q6" s="8">
        <v>0.05</v>
      </c>
      <c r="R6" s="8">
        <v>3.0000000000000001E-3</v>
      </c>
      <c r="S6" s="8">
        <v>2E-3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0.08</v>
      </c>
      <c r="Z6" s="8">
        <v>0</v>
      </c>
      <c r="AA6" s="8">
        <v>0</v>
      </c>
    </row>
    <row r="7" spans="1:27" ht="19.5" x14ac:dyDescent="0.25">
      <c r="A7" s="55" t="s">
        <v>233</v>
      </c>
      <c r="B7" s="55" t="s">
        <v>229</v>
      </c>
      <c r="C7" s="55">
        <v>646</v>
      </c>
      <c r="D7" s="55" t="s">
        <v>234</v>
      </c>
      <c r="E7" s="55">
        <v>2500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0.39999999999999997</v>
      </c>
      <c r="H8" s="8"/>
      <c r="I8" s="8">
        <v>9.9529000000000006E-2</v>
      </c>
      <c r="J8" s="8"/>
      <c r="K8" s="8"/>
      <c r="L8" s="8"/>
      <c r="M8" s="8"/>
      <c r="N8" s="8">
        <v>0.236267</v>
      </c>
      <c r="O8" s="8">
        <v>7.9704999999999998E-2</v>
      </c>
      <c r="P8" s="8"/>
      <c r="Q8" s="8"/>
      <c r="R8" s="8"/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234</v>
      </c>
      <c r="E9" s="60"/>
      <c r="F9" s="61"/>
      <c r="G9" s="77">
        <v>0.44999999999999996</v>
      </c>
      <c r="H9" s="8"/>
      <c r="I9" s="8">
        <v>0.11</v>
      </c>
      <c r="J9" s="8">
        <v>0</v>
      </c>
      <c r="K9" s="8"/>
      <c r="L9" s="8"/>
      <c r="M9" s="8"/>
      <c r="N9" s="8">
        <v>0.25</v>
      </c>
      <c r="O9" s="8">
        <v>0.09</v>
      </c>
      <c r="P9" s="8"/>
      <c r="Q9" s="8"/>
      <c r="R9" s="8"/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0.49999999999999994</v>
      </c>
      <c r="H10" s="8"/>
      <c r="I10" s="8">
        <v>0.12047099999999999</v>
      </c>
      <c r="J10" s="8"/>
      <c r="K10" s="8"/>
      <c r="L10" s="8"/>
      <c r="M10" s="8"/>
      <c r="N10" s="8">
        <v>0.263733</v>
      </c>
      <c r="O10" s="8">
        <v>0.100295</v>
      </c>
      <c r="P10" s="8"/>
      <c r="Q10" s="8"/>
      <c r="R10" s="8"/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62.5</v>
      </c>
      <c r="G15" s="9">
        <v>6.25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204</v>
      </c>
      <c r="F16" s="9">
        <v>7.5</v>
      </c>
      <c r="G16" s="9">
        <v>0.75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374</v>
      </c>
      <c r="E17" s="9" t="s">
        <v>131</v>
      </c>
      <c r="F17" s="9">
        <v>160</v>
      </c>
      <c r="G17" s="9">
        <v>16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205</v>
      </c>
      <c r="F18" s="9">
        <v>450</v>
      </c>
      <c r="G18" s="9">
        <v>45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150</v>
      </c>
      <c r="G19" s="9">
        <v>15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155</v>
      </c>
      <c r="E20" s="9" t="s">
        <v>145</v>
      </c>
      <c r="F20" s="9">
        <v>150</v>
      </c>
      <c r="G20" s="9">
        <v>15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>
        <v>373</v>
      </c>
      <c r="E21" s="9" t="s">
        <v>196</v>
      </c>
      <c r="F21" s="9">
        <v>20</v>
      </c>
      <c r="G21" s="9">
        <v>2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0.1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7"/>
    </row>
    <row r="25" spans="3:27" x14ac:dyDescent="0.25">
      <c r="C25" s="73"/>
      <c r="D25" s="132"/>
      <c r="E25" s="132"/>
      <c r="F25" s="132"/>
      <c r="G25" s="87"/>
    </row>
    <row r="26" spans="3:27" x14ac:dyDescent="0.25">
      <c r="D26" s="9">
        <v>450</v>
      </c>
      <c r="E26" s="9" t="s">
        <v>134</v>
      </c>
      <c r="F26" s="9">
        <v>0.19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Y2On7D9xc8yhd3YFUeV9Lq2GcqLkA2HNe0W44nqzfKmmbgBO1uKfudwtgxQgQAYxVWcbk9mDPtvP7B5nwaKtog==" saltValue="+qWxcfJphArtJLqFXwaSZ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660" priority="31">
      <formula>LEN(TRIM(C6))=0</formula>
    </cfRule>
  </conditionalFormatting>
  <conditionalFormatting sqref="H15:AA23 H6:AA6">
    <cfRule type="cellIs" dxfId="659" priority="30" operator="equal">
      <formula>0</formula>
    </cfRule>
  </conditionalFormatting>
  <conditionalFormatting sqref="G15:G23">
    <cfRule type="cellIs" dxfId="658" priority="28" operator="equal">
      <formula>0</formula>
    </cfRule>
    <cfRule type="containsBlanks" dxfId="657" priority="29">
      <formula>LEN(TRIM(G15))=0</formula>
    </cfRule>
  </conditionalFormatting>
  <conditionalFormatting sqref="H5:AA5">
    <cfRule type="containsBlanks" dxfId="656" priority="27">
      <formula>LEN(TRIM(H5))=0</formula>
    </cfRule>
  </conditionalFormatting>
  <conditionalFormatting sqref="G5">
    <cfRule type="containsBlanks" dxfId="655" priority="26">
      <formula>LEN(TRIM(G5))=0</formula>
    </cfRule>
  </conditionalFormatting>
  <conditionalFormatting sqref="F6:G6">
    <cfRule type="containsBlanks" dxfId="654" priority="25">
      <formula>LEN(TRIM(F6))=0</formula>
    </cfRule>
  </conditionalFormatting>
  <conditionalFormatting sqref="H14:AA14">
    <cfRule type="containsBlanks" dxfId="653" priority="24">
      <formula>LEN(TRIM(H14))=0</formula>
    </cfRule>
  </conditionalFormatting>
  <conditionalFormatting sqref="D5">
    <cfRule type="containsBlanks" dxfId="652" priority="23">
      <formula>LEN(TRIM(D5))=0</formula>
    </cfRule>
  </conditionalFormatting>
  <conditionalFormatting sqref="C5">
    <cfRule type="containsBlanks" dxfId="651" priority="22">
      <formula>LEN(TRIM(C5))=0</formula>
    </cfRule>
  </conditionalFormatting>
  <conditionalFormatting sqref="D14">
    <cfRule type="containsBlanks" dxfId="650" priority="21">
      <formula>LEN(TRIM(D14))=0</formula>
    </cfRule>
  </conditionalFormatting>
  <conditionalFormatting sqref="G8:AA8 G10:AA10">
    <cfRule type="containsBlanks" dxfId="649" priority="20">
      <formula>LEN(TRIM(G8))=0</formula>
    </cfRule>
  </conditionalFormatting>
  <conditionalFormatting sqref="G8:AA8 G10:AA10">
    <cfRule type="cellIs" dxfId="648" priority="19" operator="equal">
      <formula>0</formula>
    </cfRule>
  </conditionalFormatting>
  <conditionalFormatting sqref="G7:AA7">
    <cfRule type="containsBlanks" dxfId="647" priority="18">
      <formula>LEN(TRIM(G7))=0</formula>
    </cfRule>
  </conditionalFormatting>
  <conditionalFormatting sqref="G7:AA7">
    <cfRule type="cellIs" dxfId="646" priority="17" operator="equal">
      <formula>0</formula>
    </cfRule>
  </conditionalFormatting>
  <conditionalFormatting sqref="A5">
    <cfRule type="containsBlanks" dxfId="645" priority="15">
      <formula>LEN(TRIM(A5))=0</formula>
    </cfRule>
  </conditionalFormatting>
  <conditionalFormatting sqref="F7">
    <cfRule type="containsBlanks" dxfId="644" priority="16">
      <formula>LEN(TRIM(F7))=0</formula>
    </cfRule>
  </conditionalFormatting>
  <conditionalFormatting sqref="B5">
    <cfRule type="containsBlanks" dxfId="643" priority="14">
      <formula>LEN(TRIM(B5))=0</formula>
    </cfRule>
  </conditionalFormatting>
  <conditionalFormatting sqref="A7:E7">
    <cfRule type="containsBlanks" dxfId="642" priority="13">
      <formula>LEN(TRIM(A7))=0</formula>
    </cfRule>
  </conditionalFormatting>
  <conditionalFormatting sqref="G9">
    <cfRule type="containsBlanks" dxfId="641" priority="12">
      <formula>LEN(TRIM(G9))=0</formula>
    </cfRule>
  </conditionalFormatting>
  <conditionalFormatting sqref="E5">
    <cfRule type="containsBlanks" dxfId="640" priority="11">
      <formula>LEN(TRIM(E5))=0</formula>
    </cfRule>
  </conditionalFormatting>
  <conditionalFormatting sqref="F5">
    <cfRule type="containsBlanks" dxfId="639" priority="10">
      <formula>LEN(TRIM(F5))=0</formula>
    </cfRule>
  </conditionalFormatting>
  <conditionalFormatting sqref="C6">
    <cfRule type="containsBlanks" dxfId="638" priority="8">
      <formula>LEN(TRIM(C6))=0</formula>
    </cfRule>
  </conditionalFormatting>
  <conditionalFormatting sqref="E6">
    <cfRule type="containsBlanks" dxfId="637" priority="9">
      <formula>LEN(TRIM(E6))=0</formula>
    </cfRule>
  </conditionalFormatting>
  <conditionalFormatting sqref="A6">
    <cfRule type="containsBlanks" dxfId="636" priority="7">
      <formula>LEN(TRIM(A6))=0</formula>
    </cfRule>
  </conditionalFormatting>
  <conditionalFormatting sqref="B6">
    <cfRule type="containsBlanks" dxfId="635" priority="6">
      <formula>LEN(TRIM(B6))=0</formula>
    </cfRule>
  </conditionalFormatting>
  <conditionalFormatting sqref="D6">
    <cfRule type="containsBlanks" dxfId="634" priority="5">
      <formula>LEN(TRIM(D6))=0</formula>
    </cfRule>
  </conditionalFormatting>
  <conditionalFormatting sqref="H9:O9 Z9:AA9">
    <cfRule type="containsBlanks" dxfId="633" priority="4">
      <formula>LEN(TRIM(H9))=0</formula>
    </cfRule>
  </conditionalFormatting>
  <conditionalFormatting sqref="H9:O9 Z9:AA9">
    <cfRule type="cellIs" dxfId="632" priority="3" operator="equal">
      <formula>0</formula>
    </cfRule>
  </conditionalFormatting>
  <conditionalFormatting sqref="P9:Y9">
    <cfRule type="containsBlanks" dxfId="631" priority="2">
      <formula>LEN(TRIM(P9))=0</formula>
    </cfRule>
  </conditionalFormatting>
  <conditionalFormatting sqref="P9:Y9">
    <cfRule type="cellIs" dxfId="630" priority="1" operator="equal">
      <formula>0</formula>
    </cfRule>
  </conditionalFormatting>
  <dataValidations count="1">
    <dataValidation type="list" allowBlank="1" showInputMessage="1" showErrorMessage="1" sqref="E26:E27 E15:E23" xr:uid="{1189F6A8-C37E-4BE0-BF4B-49016A0203C8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6FD0C-8936-4849-B9B8-4EC0E276F75F}">
  <sheetPr codeName="Hoja37">
    <tabColor rgb="FF92D050"/>
  </sheetPr>
  <dimension ref="A1:AA32"/>
  <sheetViews>
    <sheetView zoomScaleNormal="100" workbookViewId="0">
      <pane xSplit="4" topLeftCell="E1" activePane="topRight" state="frozen"/>
      <selection activeCell="R10" sqref="R10"/>
      <selection pane="topRight" activeCell="R10" sqref="R10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235</v>
      </c>
      <c r="B6" s="70" t="s">
        <v>229</v>
      </c>
      <c r="C6" s="54">
        <v>545</v>
      </c>
      <c r="D6" s="58" t="s">
        <v>236</v>
      </c>
      <c r="E6" s="69">
        <v>2250</v>
      </c>
      <c r="F6" s="7">
        <v>545260425</v>
      </c>
      <c r="G6" s="77">
        <v>0.501</v>
      </c>
      <c r="H6" s="8">
        <v>5.0000000000000001E-3</v>
      </c>
      <c r="I6" s="8">
        <v>6.7000000000000004E-2</v>
      </c>
      <c r="J6" s="8">
        <v>8.9999999999999993E-3</v>
      </c>
      <c r="K6" s="8">
        <v>0</v>
      </c>
      <c r="L6" s="8">
        <v>0</v>
      </c>
      <c r="M6" s="8">
        <v>1.2999999999999999E-2</v>
      </c>
      <c r="N6" s="8">
        <v>0.14000000000000001</v>
      </c>
      <c r="O6" s="8">
        <v>0.29399999999999998</v>
      </c>
      <c r="P6" s="8">
        <v>2.3E-2</v>
      </c>
      <c r="Q6" s="8">
        <v>2.9000000000000001E-2</v>
      </c>
      <c r="R6" s="8">
        <v>1.0999999999999999E-2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4.8000000000000001E-2</v>
      </c>
      <c r="Z6" s="8">
        <v>0</v>
      </c>
      <c r="AA6" s="8">
        <v>0</v>
      </c>
    </row>
    <row r="7" spans="1:27" ht="19.5" x14ac:dyDescent="0.25">
      <c r="A7" s="55" t="s">
        <v>235</v>
      </c>
      <c r="B7" s="55" t="s">
        <v>229</v>
      </c>
      <c r="C7" s="55">
        <v>545</v>
      </c>
      <c r="D7" s="55" t="s">
        <v>236</v>
      </c>
      <c r="E7" s="55">
        <v>2250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0.45</v>
      </c>
      <c r="H8" s="8"/>
      <c r="I8" s="8">
        <v>6.0821000000000007E-2</v>
      </c>
      <c r="J8" s="8"/>
      <c r="K8" s="8"/>
      <c r="L8" s="8"/>
      <c r="M8" s="8"/>
      <c r="N8" s="8">
        <v>0.128665</v>
      </c>
      <c r="O8" s="8">
        <v>0.26964499999999997</v>
      </c>
      <c r="P8" s="8"/>
      <c r="Q8" s="8"/>
      <c r="R8" s="8"/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236</v>
      </c>
      <c r="E9" s="60"/>
      <c r="F9" s="61"/>
      <c r="G9" s="77">
        <v>0.5</v>
      </c>
      <c r="H9" s="8"/>
      <c r="I9" s="8">
        <v>7.0000000000000007E-2</v>
      </c>
      <c r="J9" s="8">
        <v>0</v>
      </c>
      <c r="K9" s="8"/>
      <c r="L9" s="8"/>
      <c r="M9" s="8"/>
      <c r="N9" s="8">
        <v>0.14000000000000001</v>
      </c>
      <c r="O9" s="8">
        <v>0.28999999999999998</v>
      </c>
      <c r="P9" s="8"/>
      <c r="Q9" s="8"/>
      <c r="R9" s="8"/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0.55000000000000004</v>
      </c>
      <c r="H10" s="8"/>
      <c r="I10" s="8">
        <v>7.9178999999999999E-2</v>
      </c>
      <c r="J10" s="8"/>
      <c r="K10" s="8"/>
      <c r="L10" s="8"/>
      <c r="M10" s="8"/>
      <c r="N10" s="8">
        <v>0.15133500000000003</v>
      </c>
      <c r="O10" s="8">
        <v>0.31035499999999999</v>
      </c>
      <c r="P10" s="8"/>
      <c r="Q10" s="8"/>
      <c r="R10" s="8"/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27.5</v>
      </c>
      <c r="G15" s="9">
        <v>2.75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204</v>
      </c>
      <c r="F16" s="9">
        <v>42.5</v>
      </c>
      <c r="G16" s="9">
        <v>4.25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374</v>
      </c>
      <c r="E17" s="9" t="s">
        <v>131</v>
      </c>
      <c r="F17" s="9">
        <v>90</v>
      </c>
      <c r="G17" s="9">
        <v>9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205</v>
      </c>
      <c r="F18" s="9">
        <v>250</v>
      </c>
      <c r="G18" s="9">
        <v>25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490</v>
      </c>
      <c r="G19" s="9">
        <v>49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155</v>
      </c>
      <c r="E20" s="9" t="s">
        <v>145</v>
      </c>
      <c r="F20" s="9">
        <v>100</v>
      </c>
      <c r="G20" s="9">
        <v>10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7"/>
    </row>
    <row r="25" spans="3:27" x14ac:dyDescent="0.25">
      <c r="C25" s="73"/>
      <c r="D25" s="132"/>
      <c r="E25" s="132"/>
      <c r="F25" s="132"/>
      <c r="G25" s="87"/>
    </row>
    <row r="26" spans="3:27" x14ac:dyDescent="0.25">
      <c r="D26" s="9">
        <v>450</v>
      </c>
      <c r="E26" s="9" t="s">
        <v>134</v>
      </c>
      <c r="F26" s="9">
        <v>0.08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UppvaqmPWSKGav6WyqfXBB6QbVIvnQQDSjkOkXwNfSbwxpWEhNMkARnI/3ZzfmRlOSvn+E5zTYj9H868bZzmsw==" saltValue="qMJygnpY6sq/MO8ydsUOY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629" priority="31">
      <formula>LEN(TRIM(C6))=0</formula>
    </cfRule>
  </conditionalFormatting>
  <conditionalFormatting sqref="H15:AA23 H6:AA6">
    <cfRule type="cellIs" dxfId="628" priority="30" operator="equal">
      <formula>0</formula>
    </cfRule>
  </conditionalFormatting>
  <conditionalFormatting sqref="G15:G23">
    <cfRule type="cellIs" dxfId="627" priority="28" operator="equal">
      <formula>0</formula>
    </cfRule>
    <cfRule type="containsBlanks" dxfId="626" priority="29">
      <formula>LEN(TRIM(G15))=0</formula>
    </cfRule>
  </conditionalFormatting>
  <conditionalFormatting sqref="H5:AA5">
    <cfRule type="containsBlanks" dxfId="625" priority="27">
      <formula>LEN(TRIM(H5))=0</formula>
    </cfRule>
  </conditionalFormatting>
  <conditionalFormatting sqref="G5">
    <cfRule type="containsBlanks" dxfId="624" priority="26">
      <formula>LEN(TRIM(G5))=0</formula>
    </cfRule>
  </conditionalFormatting>
  <conditionalFormatting sqref="F6:G6">
    <cfRule type="containsBlanks" dxfId="623" priority="25">
      <formula>LEN(TRIM(F6))=0</formula>
    </cfRule>
  </conditionalFormatting>
  <conditionalFormatting sqref="H14:AA14">
    <cfRule type="containsBlanks" dxfId="622" priority="24">
      <formula>LEN(TRIM(H14))=0</formula>
    </cfRule>
  </conditionalFormatting>
  <conditionalFormatting sqref="D5">
    <cfRule type="containsBlanks" dxfId="621" priority="23">
      <formula>LEN(TRIM(D5))=0</formula>
    </cfRule>
  </conditionalFormatting>
  <conditionalFormatting sqref="C5">
    <cfRule type="containsBlanks" dxfId="620" priority="22">
      <formula>LEN(TRIM(C5))=0</formula>
    </cfRule>
  </conditionalFormatting>
  <conditionalFormatting sqref="D14">
    <cfRule type="containsBlanks" dxfId="619" priority="21">
      <formula>LEN(TRIM(D14))=0</formula>
    </cfRule>
  </conditionalFormatting>
  <conditionalFormatting sqref="G8:AA8 G10:AA10">
    <cfRule type="containsBlanks" dxfId="618" priority="20">
      <formula>LEN(TRIM(G8))=0</formula>
    </cfRule>
  </conditionalFormatting>
  <conditionalFormatting sqref="G8:AA8 G10:AA10">
    <cfRule type="cellIs" dxfId="617" priority="19" operator="equal">
      <formula>0</formula>
    </cfRule>
  </conditionalFormatting>
  <conditionalFormatting sqref="G7:AA7">
    <cfRule type="containsBlanks" dxfId="616" priority="18">
      <formula>LEN(TRIM(G7))=0</formula>
    </cfRule>
  </conditionalFormatting>
  <conditionalFormatting sqref="G7:AA7">
    <cfRule type="cellIs" dxfId="615" priority="17" operator="equal">
      <formula>0</formula>
    </cfRule>
  </conditionalFormatting>
  <conditionalFormatting sqref="A5">
    <cfRule type="containsBlanks" dxfId="614" priority="15">
      <formula>LEN(TRIM(A5))=0</formula>
    </cfRule>
  </conditionalFormatting>
  <conditionalFormatting sqref="F7">
    <cfRule type="containsBlanks" dxfId="613" priority="16">
      <formula>LEN(TRIM(F7))=0</formula>
    </cfRule>
  </conditionalFormatting>
  <conditionalFormatting sqref="B5">
    <cfRule type="containsBlanks" dxfId="612" priority="14">
      <formula>LEN(TRIM(B5))=0</formula>
    </cfRule>
  </conditionalFormatting>
  <conditionalFormatting sqref="A7:E7">
    <cfRule type="containsBlanks" dxfId="611" priority="13">
      <formula>LEN(TRIM(A7))=0</formula>
    </cfRule>
  </conditionalFormatting>
  <conditionalFormatting sqref="G9">
    <cfRule type="containsBlanks" dxfId="610" priority="12">
      <formula>LEN(TRIM(G9))=0</formula>
    </cfRule>
  </conditionalFormatting>
  <conditionalFormatting sqref="E5">
    <cfRule type="containsBlanks" dxfId="609" priority="11">
      <formula>LEN(TRIM(E5))=0</formula>
    </cfRule>
  </conditionalFormatting>
  <conditionalFormatting sqref="F5">
    <cfRule type="containsBlanks" dxfId="608" priority="10">
      <formula>LEN(TRIM(F5))=0</formula>
    </cfRule>
  </conditionalFormatting>
  <conditionalFormatting sqref="C6">
    <cfRule type="containsBlanks" dxfId="607" priority="8">
      <formula>LEN(TRIM(C6))=0</formula>
    </cfRule>
  </conditionalFormatting>
  <conditionalFormatting sqref="E6">
    <cfRule type="containsBlanks" dxfId="606" priority="9">
      <formula>LEN(TRIM(E6))=0</formula>
    </cfRule>
  </conditionalFormatting>
  <conditionalFormatting sqref="A6">
    <cfRule type="containsBlanks" dxfId="605" priority="7">
      <formula>LEN(TRIM(A6))=0</formula>
    </cfRule>
  </conditionalFormatting>
  <conditionalFormatting sqref="B6">
    <cfRule type="containsBlanks" dxfId="604" priority="6">
      <formula>LEN(TRIM(B6))=0</formula>
    </cfRule>
  </conditionalFormatting>
  <conditionalFormatting sqref="D6">
    <cfRule type="containsBlanks" dxfId="603" priority="5">
      <formula>LEN(TRIM(D6))=0</formula>
    </cfRule>
  </conditionalFormatting>
  <conditionalFormatting sqref="H9:O9 Z9:AA9">
    <cfRule type="containsBlanks" dxfId="602" priority="4">
      <formula>LEN(TRIM(H9))=0</formula>
    </cfRule>
  </conditionalFormatting>
  <conditionalFormatting sqref="H9:O9 Z9:AA9">
    <cfRule type="cellIs" dxfId="601" priority="3" operator="equal">
      <formula>0</formula>
    </cfRule>
  </conditionalFormatting>
  <conditionalFormatting sqref="P9:Y9">
    <cfRule type="containsBlanks" dxfId="600" priority="2">
      <formula>LEN(TRIM(P9))=0</formula>
    </cfRule>
  </conditionalFormatting>
  <conditionalFormatting sqref="P9:Y9">
    <cfRule type="cellIs" dxfId="599" priority="1" operator="equal">
      <formula>0</formula>
    </cfRule>
  </conditionalFormatting>
  <dataValidations count="1">
    <dataValidation type="list" allowBlank="1" showInputMessage="1" showErrorMessage="1" sqref="E26:E27 E15:E23" xr:uid="{D4A3A2F0-ED4F-4551-A45A-4BF535842E23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0686D-89C7-4DDA-A9AD-DF0123284236}">
  <sheetPr codeName="Hoja38">
    <tabColor rgb="FF92D050"/>
  </sheetPr>
  <dimension ref="A1:AA32"/>
  <sheetViews>
    <sheetView zoomScaleNormal="100" workbookViewId="0">
      <pane xSplit="4" topLeftCell="E1" activePane="topRight" state="frozen"/>
      <selection activeCell="R10" sqref="R10"/>
      <selection pane="topRight" activeCell="R10" sqref="R10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237</v>
      </c>
      <c r="B6" s="70" t="s">
        <v>229</v>
      </c>
      <c r="C6" s="54">
        <v>840</v>
      </c>
      <c r="D6" s="58" t="s">
        <v>238</v>
      </c>
      <c r="E6" s="69">
        <v>10500</v>
      </c>
      <c r="F6" s="7">
        <v>840260425</v>
      </c>
      <c r="G6" s="77">
        <v>0.496</v>
      </c>
      <c r="H6" s="8">
        <v>0</v>
      </c>
      <c r="I6" s="8">
        <v>0.30099999999999999</v>
      </c>
      <c r="J6" s="8">
        <v>0</v>
      </c>
      <c r="K6" s="8">
        <v>0</v>
      </c>
      <c r="L6" s="8">
        <v>0</v>
      </c>
      <c r="M6" s="8">
        <v>0.30099999999999999</v>
      </c>
      <c r="N6" s="8">
        <v>0</v>
      </c>
      <c r="O6" s="8">
        <v>0.19500000000000001</v>
      </c>
      <c r="P6" s="8">
        <v>4.0000000000000001E-3</v>
      </c>
      <c r="Q6" s="8">
        <v>4.0000000000000001E-3</v>
      </c>
      <c r="R6" s="8">
        <v>1E-3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3.0000000000000001E-3</v>
      </c>
      <c r="Z6" s="8">
        <v>0</v>
      </c>
      <c r="AA6" s="8">
        <v>0</v>
      </c>
    </row>
    <row r="7" spans="1:27" ht="19.5" x14ac:dyDescent="0.25">
      <c r="A7" s="55" t="s">
        <v>237</v>
      </c>
      <c r="B7" s="55" t="s">
        <v>229</v>
      </c>
      <c r="C7" s="55">
        <v>840</v>
      </c>
      <c r="D7" s="55" t="s">
        <v>238</v>
      </c>
      <c r="E7" s="55">
        <v>10500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/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0.45</v>
      </c>
      <c r="H8" s="8"/>
      <c r="I8" s="8">
        <v>0.28557699999999997</v>
      </c>
      <c r="J8" s="8"/>
      <c r="K8" s="8"/>
      <c r="L8" s="8"/>
      <c r="M8" s="8"/>
      <c r="N8" s="8"/>
      <c r="O8" s="8">
        <v>0.183479</v>
      </c>
      <c r="P8" s="8"/>
      <c r="Q8" s="8"/>
      <c r="R8" s="8"/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238</v>
      </c>
      <c r="E9" s="60"/>
      <c r="F9" s="61"/>
      <c r="G9" s="77">
        <v>0.5</v>
      </c>
      <c r="H9" s="8"/>
      <c r="I9" s="8">
        <v>0.3</v>
      </c>
      <c r="J9" s="8">
        <v>0</v>
      </c>
      <c r="K9" s="8"/>
      <c r="L9" s="8"/>
      <c r="M9" s="8"/>
      <c r="N9" s="8">
        <v>0</v>
      </c>
      <c r="O9" s="8">
        <v>0.2</v>
      </c>
      <c r="P9" s="8"/>
      <c r="Q9" s="8"/>
      <c r="R9" s="8"/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0.55000000000000004</v>
      </c>
      <c r="H10" s="8"/>
      <c r="I10" s="8">
        <v>0.31442300000000001</v>
      </c>
      <c r="J10" s="8"/>
      <c r="K10" s="8"/>
      <c r="L10" s="8"/>
      <c r="M10" s="8"/>
      <c r="N10" s="8"/>
      <c r="O10" s="8">
        <v>0.21652100000000002</v>
      </c>
      <c r="P10" s="8"/>
      <c r="Q10" s="8"/>
      <c r="R10" s="8"/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655</v>
      </c>
      <c r="G15" s="9">
        <v>65.5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65</v>
      </c>
      <c r="E16" s="9" t="s">
        <v>150</v>
      </c>
      <c r="F16" s="9">
        <v>20</v>
      </c>
      <c r="G16" s="9">
        <v>2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0.18</v>
      </c>
      <c r="Q16" s="10">
        <v>0.18</v>
      </c>
      <c r="R16" s="10">
        <v>0.04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0.14000000000000001</v>
      </c>
      <c r="Z16" s="10">
        <v>0</v>
      </c>
      <c r="AA16" s="11">
        <v>0</v>
      </c>
    </row>
    <row r="17" spans="3:27" x14ac:dyDescent="0.25">
      <c r="D17" s="9">
        <v>144</v>
      </c>
      <c r="E17" s="9" t="s">
        <v>133</v>
      </c>
      <c r="F17" s="9">
        <v>325</v>
      </c>
      <c r="G17" s="9">
        <v>32.5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0.6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7"/>
    </row>
    <row r="25" spans="3:27" x14ac:dyDescent="0.25">
      <c r="C25" s="73"/>
      <c r="D25" s="132"/>
      <c r="E25" s="132"/>
      <c r="F25" s="132"/>
      <c r="G25" s="87"/>
    </row>
    <row r="26" spans="3:27" x14ac:dyDescent="0.25">
      <c r="D26" s="9">
        <v>450</v>
      </c>
      <c r="E26" s="9" t="s">
        <v>134</v>
      </c>
      <c r="F26" s="9">
        <v>1.97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prMtGJUvHQExsyJVKwOsvHLaRnlOTDxjDdMrjbSxs6KlD4+VFvRzsMfL5G/GmI74lfbCiNJPoiBybXFwORt7dA==" saltValue="9g6pezIEfP1R4D1F+6Niy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598" priority="31">
      <formula>LEN(TRIM(C6))=0</formula>
    </cfRule>
  </conditionalFormatting>
  <conditionalFormatting sqref="H15:AA23 H6:AA6">
    <cfRule type="cellIs" dxfId="597" priority="30" operator="equal">
      <formula>0</formula>
    </cfRule>
  </conditionalFormatting>
  <conditionalFormatting sqref="G15:G23">
    <cfRule type="cellIs" dxfId="596" priority="28" operator="equal">
      <formula>0</formula>
    </cfRule>
    <cfRule type="containsBlanks" dxfId="595" priority="29">
      <formula>LEN(TRIM(G15))=0</formula>
    </cfRule>
  </conditionalFormatting>
  <conditionalFormatting sqref="H5:AA5">
    <cfRule type="containsBlanks" dxfId="594" priority="27">
      <formula>LEN(TRIM(H5))=0</formula>
    </cfRule>
  </conditionalFormatting>
  <conditionalFormatting sqref="G5">
    <cfRule type="containsBlanks" dxfId="593" priority="26">
      <formula>LEN(TRIM(G5))=0</formula>
    </cfRule>
  </conditionalFormatting>
  <conditionalFormatting sqref="F6:G6">
    <cfRule type="containsBlanks" dxfId="592" priority="25">
      <formula>LEN(TRIM(F6))=0</formula>
    </cfRule>
  </conditionalFormatting>
  <conditionalFormatting sqref="H14:AA14">
    <cfRule type="containsBlanks" dxfId="591" priority="24">
      <formula>LEN(TRIM(H14))=0</formula>
    </cfRule>
  </conditionalFormatting>
  <conditionalFormatting sqref="D5">
    <cfRule type="containsBlanks" dxfId="590" priority="23">
      <formula>LEN(TRIM(D5))=0</formula>
    </cfRule>
  </conditionalFormatting>
  <conditionalFormatting sqref="C5">
    <cfRule type="containsBlanks" dxfId="589" priority="22">
      <formula>LEN(TRIM(C5))=0</formula>
    </cfRule>
  </conditionalFormatting>
  <conditionalFormatting sqref="D14">
    <cfRule type="containsBlanks" dxfId="588" priority="21">
      <formula>LEN(TRIM(D14))=0</formula>
    </cfRule>
  </conditionalFormatting>
  <conditionalFormatting sqref="G8:AA8 G10:AA10">
    <cfRule type="containsBlanks" dxfId="587" priority="20">
      <formula>LEN(TRIM(G8))=0</formula>
    </cfRule>
  </conditionalFormatting>
  <conditionalFormatting sqref="G8:AA8 G10:AA10">
    <cfRule type="cellIs" dxfId="586" priority="19" operator="equal">
      <formula>0</formula>
    </cfRule>
  </conditionalFormatting>
  <conditionalFormatting sqref="G7:AA7">
    <cfRule type="containsBlanks" dxfId="585" priority="18">
      <formula>LEN(TRIM(G7))=0</formula>
    </cfRule>
  </conditionalFormatting>
  <conditionalFormatting sqref="G7:AA7">
    <cfRule type="cellIs" dxfId="584" priority="17" operator="equal">
      <formula>0</formula>
    </cfRule>
  </conditionalFormatting>
  <conditionalFormatting sqref="A5">
    <cfRule type="containsBlanks" dxfId="583" priority="15">
      <formula>LEN(TRIM(A5))=0</formula>
    </cfRule>
  </conditionalFormatting>
  <conditionalFormatting sqref="F7">
    <cfRule type="containsBlanks" dxfId="582" priority="16">
      <formula>LEN(TRIM(F7))=0</formula>
    </cfRule>
  </conditionalFormatting>
  <conditionalFormatting sqref="B5">
    <cfRule type="containsBlanks" dxfId="581" priority="14">
      <formula>LEN(TRIM(B5))=0</formula>
    </cfRule>
  </conditionalFormatting>
  <conditionalFormatting sqref="A7:E7">
    <cfRule type="containsBlanks" dxfId="580" priority="13">
      <formula>LEN(TRIM(A7))=0</formula>
    </cfRule>
  </conditionalFormatting>
  <conditionalFormatting sqref="G9">
    <cfRule type="containsBlanks" dxfId="579" priority="12">
      <formula>LEN(TRIM(G9))=0</formula>
    </cfRule>
  </conditionalFormatting>
  <conditionalFormatting sqref="E5">
    <cfRule type="containsBlanks" dxfId="578" priority="11">
      <formula>LEN(TRIM(E5))=0</formula>
    </cfRule>
  </conditionalFormatting>
  <conditionalFormatting sqref="F5">
    <cfRule type="containsBlanks" dxfId="577" priority="10">
      <formula>LEN(TRIM(F5))=0</formula>
    </cfRule>
  </conditionalFormatting>
  <conditionalFormatting sqref="C6">
    <cfRule type="containsBlanks" dxfId="576" priority="8">
      <formula>LEN(TRIM(C6))=0</formula>
    </cfRule>
  </conditionalFormatting>
  <conditionalFormatting sqref="E6">
    <cfRule type="containsBlanks" dxfId="575" priority="9">
      <formula>LEN(TRIM(E6))=0</formula>
    </cfRule>
  </conditionalFormatting>
  <conditionalFormatting sqref="A6">
    <cfRule type="containsBlanks" dxfId="574" priority="7">
      <formula>LEN(TRIM(A6))=0</formula>
    </cfRule>
  </conditionalFormatting>
  <conditionalFormatting sqref="B6">
    <cfRule type="containsBlanks" dxfId="573" priority="6">
      <formula>LEN(TRIM(B6))=0</formula>
    </cfRule>
  </conditionalFormatting>
  <conditionalFormatting sqref="D6">
    <cfRule type="containsBlanks" dxfId="572" priority="5">
      <formula>LEN(TRIM(D6))=0</formula>
    </cfRule>
  </conditionalFormatting>
  <conditionalFormatting sqref="H9:O9 Z9:AA9">
    <cfRule type="containsBlanks" dxfId="571" priority="4">
      <formula>LEN(TRIM(H9))=0</formula>
    </cfRule>
  </conditionalFormatting>
  <conditionalFormatting sqref="H9:O9 Z9:AA9">
    <cfRule type="cellIs" dxfId="570" priority="3" operator="equal">
      <formula>0</formula>
    </cfRule>
  </conditionalFormatting>
  <conditionalFormatting sqref="P9:Y9">
    <cfRule type="containsBlanks" dxfId="569" priority="2">
      <formula>LEN(TRIM(P9))=0</formula>
    </cfRule>
  </conditionalFormatting>
  <conditionalFormatting sqref="P9:Y9">
    <cfRule type="cellIs" dxfId="568" priority="1" operator="equal">
      <formula>0</formula>
    </cfRule>
  </conditionalFormatting>
  <dataValidations count="1">
    <dataValidation type="list" allowBlank="1" showInputMessage="1" showErrorMessage="1" sqref="E26:E27 E15:E23" xr:uid="{3C2BEF6D-1E1D-4BE6-8C34-BA5DA1613585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F1D6-D114-4B1A-B21E-94F8871D753D}">
  <sheetPr codeName="Hoja39">
    <tabColor rgb="FFC00000"/>
  </sheetPr>
  <dimension ref="A1:AA32"/>
  <sheetViews>
    <sheetView zoomScaleNormal="100" workbookViewId="0">
      <pane xSplit="4" topLeftCell="E1" activePane="topRight" state="frozen"/>
      <selection activeCell="D19" sqref="D19:E19"/>
      <selection pane="topRight" activeCell="F34" sqref="F34"/>
    </sheetView>
  </sheetViews>
  <sheetFormatPr baseColWidth="10" defaultColWidth="9.140625" defaultRowHeight="15" x14ac:dyDescent="0.25"/>
  <cols>
    <col min="1" max="1" width="10.28515625" customWidth="1"/>
    <col min="2" max="2" width="21.7109375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hidden="1" customWidth="1"/>
    <col min="9" max="9" width="7.5703125" hidden="1" customWidth="1"/>
    <col min="10" max="10" width="8.85546875" hidden="1" customWidth="1"/>
    <col min="11" max="11" width="9.7109375" hidden="1" customWidth="1"/>
    <col min="12" max="12" width="11.85546875" hidden="1" customWidth="1"/>
    <col min="13" max="13" width="10.7109375" hidden="1" customWidth="1"/>
    <col min="14" max="14" width="7.7109375" hidden="1" customWidth="1"/>
    <col min="15" max="15" width="6.42578125" hidden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hidden="1" customWidth="1"/>
    <col min="20" max="20" width="8.5703125" hidden="1" customWidth="1"/>
    <col min="21" max="21" width="8.7109375" hidden="1" customWidth="1"/>
    <col min="22" max="22" width="8.28515625" hidden="1" customWidth="1"/>
    <col min="23" max="23" width="9.28515625" hidden="1" customWidth="1"/>
    <col min="24" max="24" width="9.140625" hidden="1" customWidth="1"/>
    <col min="25" max="25" width="10.7109375" bestFit="1" customWidth="1"/>
    <col min="26" max="26" width="8.5703125" hidden="1" customWidth="1"/>
    <col min="27" max="27" width="8.85546875" hidden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239</v>
      </c>
      <c r="B6" s="97">
        <v>45785</v>
      </c>
      <c r="C6" s="54">
        <v>65</v>
      </c>
      <c r="D6" s="58" t="s">
        <v>240</v>
      </c>
      <c r="E6" s="69">
        <v>35000</v>
      </c>
      <c r="F6" s="7">
        <v>65080525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f t="shared" ref="P6:R6" si="0">ROUND(($G15*P15+$G16*P16+$G17*P17+$G18*P18+$G19*P19+$G20*P20+$G21*P21+$G22*P22+$G23*P23)/100,3)</f>
        <v>0.183</v>
      </c>
      <c r="Q6" s="8">
        <f t="shared" si="0"/>
        <v>0.20300000000000001</v>
      </c>
      <c r="R6" s="8">
        <f t="shared" si="0"/>
        <v>0.03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239</v>
      </c>
      <c r="B7" s="89">
        <v>45874</v>
      </c>
      <c r="C7" s="55">
        <v>65</v>
      </c>
      <c r="D7" s="55" t="s">
        <v>240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2.4750000000000001E-2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240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>
        <v>0</v>
      </c>
      <c r="O9" s="8"/>
      <c r="P9" s="8">
        <v>0.16</v>
      </c>
      <c r="Q9" s="8">
        <v>0.16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3.5249999999999997E-2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300</v>
      </c>
      <c r="G16" s="9">
        <v>30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120</v>
      </c>
      <c r="E17" s="9" t="s">
        <v>155</v>
      </c>
      <c r="F17" s="9">
        <v>150</v>
      </c>
      <c r="G17" s="9">
        <v>15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0.34</v>
      </c>
      <c r="Q17" s="10">
        <v>0.14000000000000001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400</v>
      </c>
      <c r="G18" s="9">
        <v>40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88"/>
    </row>
    <row r="25" spans="3:27" x14ac:dyDescent="0.25">
      <c r="C25" s="73"/>
      <c r="D25" s="132"/>
      <c r="E25" s="132"/>
      <c r="F25" s="132"/>
      <c r="G25" s="88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O6 E14:G14 S6:AA6">
    <cfRule type="containsBlanks" dxfId="567" priority="39">
      <formula>LEN(TRIM(C6))=0</formula>
    </cfRule>
  </conditionalFormatting>
  <conditionalFormatting sqref="H15:AA23 H6:O6 S6:AA6">
    <cfRule type="cellIs" dxfId="566" priority="38" operator="equal">
      <formula>0</formula>
    </cfRule>
  </conditionalFormatting>
  <conditionalFormatting sqref="G15:G23">
    <cfRule type="cellIs" dxfId="565" priority="36" operator="equal">
      <formula>0</formula>
    </cfRule>
    <cfRule type="containsBlanks" dxfId="564" priority="37">
      <formula>LEN(TRIM(G15))=0</formula>
    </cfRule>
  </conditionalFormatting>
  <conditionalFormatting sqref="H5:AA5">
    <cfRule type="containsBlanks" dxfId="563" priority="35">
      <formula>LEN(TRIM(H5))=0</formula>
    </cfRule>
  </conditionalFormatting>
  <conditionalFormatting sqref="G5">
    <cfRule type="containsBlanks" dxfId="562" priority="34">
      <formula>LEN(TRIM(G5))=0</formula>
    </cfRule>
  </conditionalFormatting>
  <conditionalFormatting sqref="F6:G6">
    <cfRule type="containsBlanks" dxfId="561" priority="33">
      <formula>LEN(TRIM(F6))=0</formula>
    </cfRule>
  </conditionalFormatting>
  <conditionalFormatting sqref="H14:AA14">
    <cfRule type="containsBlanks" dxfId="560" priority="32">
      <formula>LEN(TRIM(H14))=0</formula>
    </cfRule>
  </conditionalFormatting>
  <conditionalFormatting sqref="D5">
    <cfRule type="containsBlanks" dxfId="559" priority="31">
      <formula>LEN(TRIM(D5))=0</formula>
    </cfRule>
  </conditionalFormatting>
  <conditionalFormatting sqref="C5">
    <cfRule type="containsBlanks" dxfId="558" priority="30">
      <formula>LEN(TRIM(C5))=0</formula>
    </cfRule>
  </conditionalFormatting>
  <conditionalFormatting sqref="D14">
    <cfRule type="containsBlanks" dxfId="557" priority="29">
      <formula>LEN(TRIM(D14))=0</formula>
    </cfRule>
  </conditionalFormatting>
  <conditionalFormatting sqref="G8:O8 G10:O10 S10:AA10 S8:AA8">
    <cfRule type="containsBlanks" dxfId="556" priority="28">
      <formula>LEN(TRIM(G8))=0</formula>
    </cfRule>
  </conditionalFormatting>
  <conditionalFormatting sqref="G8:O8 G10:O10 S10:AA10 S8:AA8">
    <cfRule type="cellIs" dxfId="555" priority="27" operator="equal">
      <formula>0</formula>
    </cfRule>
  </conditionalFormatting>
  <conditionalFormatting sqref="G7:O7 S7:AA7">
    <cfRule type="containsBlanks" dxfId="554" priority="26">
      <formula>LEN(TRIM(G7))=0</formula>
    </cfRule>
  </conditionalFormatting>
  <conditionalFormatting sqref="G7:O7 S7:AA7">
    <cfRule type="cellIs" dxfId="553" priority="25" operator="equal">
      <formula>0</formula>
    </cfRule>
  </conditionalFormatting>
  <conditionalFormatting sqref="A5">
    <cfRule type="containsBlanks" dxfId="552" priority="23">
      <formula>LEN(TRIM(A5))=0</formula>
    </cfRule>
  </conditionalFormatting>
  <conditionalFormatting sqref="F7">
    <cfRule type="containsBlanks" dxfId="551" priority="24">
      <formula>LEN(TRIM(F7))=0</formula>
    </cfRule>
  </conditionalFormatting>
  <conditionalFormatting sqref="B5">
    <cfRule type="containsBlanks" dxfId="550" priority="22">
      <formula>LEN(TRIM(B5))=0</formula>
    </cfRule>
  </conditionalFormatting>
  <conditionalFormatting sqref="A7:E7">
    <cfRule type="containsBlanks" dxfId="549" priority="21">
      <formula>LEN(TRIM(A7))=0</formula>
    </cfRule>
  </conditionalFormatting>
  <conditionalFormatting sqref="G9">
    <cfRule type="containsBlanks" dxfId="548" priority="20">
      <formula>LEN(TRIM(G9))=0</formula>
    </cfRule>
  </conditionalFormatting>
  <conditionalFormatting sqref="E5">
    <cfRule type="containsBlanks" dxfId="547" priority="19">
      <formula>LEN(TRIM(E5))=0</formula>
    </cfRule>
  </conditionalFormatting>
  <conditionalFormatting sqref="F5">
    <cfRule type="containsBlanks" dxfId="546" priority="18">
      <formula>LEN(TRIM(F5))=0</formula>
    </cfRule>
  </conditionalFormatting>
  <conditionalFormatting sqref="C6">
    <cfRule type="containsBlanks" dxfId="545" priority="16">
      <formula>LEN(TRIM(C6))=0</formula>
    </cfRule>
  </conditionalFormatting>
  <conditionalFormatting sqref="E6">
    <cfRule type="containsBlanks" dxfId="544" priority="17">
      <formula>LEN(TRIM(E6))=0</formula>
    </cfRule>
  </conditionalFormatting>
  <conditionalFormatting sqref="A6">
    <cfRule type="containsBlanks" dxfId="543" priority="15">
      <formula>LEN(TRIM(A6))=0</formula>
    </cfRule>
  </conditionalFormatting>
  <conditionalFormatting sqref="B6">
    <cfRule type="containsBlanks" dxfId="542" priority="14">
      <formula>LEN(TRIM(B6))=0</formula>
    </cfRule>
  </conditionalFormatting>
  <conditionalFormatting sqref="D6">
    <cfRule type="containsBlanks" dxfId="541" priority="13">
      <formula>LEN(TRIM(D6))=0</formula>
    </cfRule>
  </conditionalFormatting>
  <conditionalFormatting sqref="H9:O9 Z9:AA9">
    <cfRule type="containsBlanks" dxfId="540" priority="12">
      <formula>LEN(TRIM(H9))=0</formula>
    </cfRule>
  </conditionalFormatting>
  <conditionalFormatting sqref="H9:O9 Z9:AA9">
    <cfRule type="cellIs" dxfId="539" priority="11" operator="equal">
      <formula>0</formula>
    </cfRule>
  </conditionalFormatting>
  <conditionalFormatting sqref="S9:Y9">
    <cfRule type="containsBlanks" dxfId="538" priority="10">
      <formula>LEN(TRIM(S9))=0</formula>
    </cfRule>
  </conditionalFormatting>
  <conditionalFormatting sqref="S9:Y9">
    <cfRule type="cellIs" dxfId="537" priority="9" operator="equal">
      <formula>0</formula>
    </cfRule>
  </conditionalFormatting>
  <conditionalFormatting sqref="P6:R6">
    <cfRule type="containsBlanks" dxfId="536" priority="8">
      <formula>LEN(TRIM(P6))=0</formula>
    </cfRule>
  </conditionalFormatting>
  <conditionalFormatting sqref="P6:R6">
    <cfRule type="cellIs" dxfId="535" priority="7" operator="equal">
      <formula>0</formula>
    </cfRule>
  </conditionalFormatting>
  <conditionalFormatting sqref="P8:R8 P10:R10">
    <cfRule type="containsBlanks" dxfId="534" priority="6">
      <formula>LEN(TRIM(P8))=0</formula>
    </cfRule>
  </conditionalFormatting>
  <conditionalFormatting sqref="P8:R8 P10:R10">
    <cfRule type="cellIs" dxfId="533" priority="5" operator="equal">
      <formula>0</formula>
    </cfRule>
  </conditionalFormatting>
  <conditionalFormatting sqref="P7:R7">
    <cfRule type="containsBlanks" dxfId="532" priority="4">
      <formula>LEN(TRIM(P7))=0</formula>
    </cfRule>
  </conditionalFormatting>
  <conditionalFormatting sqref="P7:R7">
    <cfRule type="cellIs" dxfId="531" priority="3" operator="equal">
      <formula>0</formula>
    </cfRule>
  </conditionalFormatting>
  <conditionalFormatting sqref="P9:R9">
    <cfRule type="containsBlanks" dxfId="530" priority="2">
      <formula>LEN(TRIM(P9))=0</formula>
    </cfRule>
  </conditionalFormatting>
  <conditionalFormatting sqref="P9:R9">
    <cfRule type="cellIs" dxfId="529" priority="1" operator="equal">
      <formula>0</formula>
    </cfRule>
  </conditionalFormatting>
  <dataValidations disablePrompts="1" count="1">
    <dataValidation type="list" allowBlank="1" showInputMessage="1" showErrorMessage="1" sqref="E26:E27 E15:E23" xr:uid="{E40713FC-36AB-4351-A347-3766C5D5944B}">
      <formula1>CID</formula1>
    </dataValidation>
  </dataValidations>
  <pageMargins left="0.25" right="0.25" top="0.75" bottom="0.75" header="0.3" footer="0.3"/>
  <pageSetup paperSize="9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BDEED-9877-4303-8D5E-62C2A1B4885E}">
  <sheetPr codeName="Hoja40">
    <tabColor rgb="FFC00000"/>
  </sheetPr>
  <dimension ref="A1:AA32"/>
  <sheetViews>
    <sheetView zoomScaleNormal="100" workbookViewId="0">
      <pane xSplit="4" topLeftCell="E1" activePane="topRight" state="frozen"/>
      <selection activeCell="D15" sqref="D15:F20"/>
      <selection pane="topRight" activeCell="D15" sqref="D15:F20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245</v>
      </c>
      <c r="B6" s="70" t="s">
        <v>242</v>
      </c>
      <c r="C6" s="54">
        <v>311</v>
      </c>
      <c r="D6" s="58" t="s">
        <v>219</v>
      </c>
      <c r="E6" s="69">
        <v>36000</v>
      </c>
      <c r="F6" s="7">
        <v>311280425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3.9E-2</v>
      </c>
      <c r="O6" s="8">
        <v>2E-3</v>
      </c>
      <c r="P6" s="8">
        <v>0.14699999999999999</v>
      </c>
      <c r="Q6" s="8">
        <v>0.14399999999999999</v>
      </c>
      <c r="R6" s="8">
        <v>2.5999999999999999E-2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0.19600000000000001</v>
      </c>
      <c r="Z6" s="8">
        <v>0</v>
      </c>
      <c r="AA6" s="8">
        <v>0</v>
      </c>
    </row>
    <row r="7" spans="1:27" ht="19.5" x14ac:dyDescent="0.25">
      <c r="A7" s="55" t="s">
        <v>245</v>
      </c>
      <c r="B7" s="55" t="s">
        <v>242</v>
      </c>
      <c r="C7" s="55">
        <v>311</v>
      </c>
      <c r="D7" s="55" t="s">
        <v>219</v>
      </c>
      <c r="E7" s="55">
        <v>36000</v>
      </c>
      <c r="F7" s="53" t="s">
        <v>113</v>
      </c>
      <c r="G7" s="8" t="s">
        <v>156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-1.0000000000000002E-2</v>
      </c>
      <c r="H8" s="8"/>
      <c r="I8" s="8"/>
      <c r="J8" s="8"/>
      <c r="K8" s="8"/>
      <c r="L8" s="8"/>
      <c r="M8" s="8"/>
      <c r="N8" s="8">
        <v>3.1895E-2</v>
      </c>
      <c r="O8" s="8"/>
      <c r="P8" s="8">
        <v>0.13005</v>
      </c>
      <c r="Q8" s="8">
        <v>0.12625</v>
      </c>
      <c r="R8" s="8">
        <v>2.4750000000000001E-2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219</v>
      </c>
      <c r="E9" s="60"/>
      <c r="F9" s="61"/>
      <c r="G9" s="77">
        <v>0.04</v>
      </c>
      <c r="H9" s="8"/>
      <c r="I9" s="8"/>
      <c r="J9" s="8">
        <v>0</v>
      </c>
      <c r="K9" s="8"/>
      <c r="L9" s="8"/>
      <c r="M9" s="8"/>
      <c r="N9" s="8">
        <v>0.04</v>
      </c>
      <c r="O9" s="8"/>
      <c r="P9" s="8">
        <v>0.15</v>
      </c>
      <c r="Q9" s="8">
        <v>0.15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0.09</v>
      </c>
      <c r="H10" s="8"/>
      <c r="I10" s="8"/>
      <c r="J10" s="8"/>
      <c r="K10" s="8"/>
      <c r="L10" s="8"/>
      <c r="M10" s="8"/>
      <c r="N10" s="8">
        <v>4.8105000000000002E-2</v>
      </c>
      <c r="O10" s="8"/>
      <c r="P10" s="8">
        <v>0.16994999999999999</v>
      </c>
      <c r="Q10" s="8">
        <v>0.17374999999999999</v>
      </c>
      <c r="R10" s="8">
        <v>3.5249999999999997E-2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505</v>
      </c>
      <c r="E15" s="9" t="s">
        <v>221</v>
      </c>
      <c r="F15" s="9">
        <v>200</v>
      </c>
      <c r="G15" s="9">
        <v>20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463</v>
      </c>
      <c r="E16" s="9" t="s">
        <v>223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0.55000000000000004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120</v>
      </c>
      <c r="E17" s="9" t="s">
        <v>155</v>
      </c>
      <c r="F17" s="9">
        <v>100</v>
      </c>
      <c r="G17" s="9">
        <v>10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0.34</v>
      </c>
      <c r="Q17" s="10">
        <v>0.14000000000000001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240</v>
      </c>
      <c r="E18" s="9" t="s">
        <v>40</v>
      </c>
      <c r="F18" s="9">
        <v>350</v>
      </c>
      <c r="G18" s="9">
        <v>35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224</v>
      </c>
      <c r="F19" s="9">
        <v>150</v>
      </c>
      <c r="G19" s="9">
        <v>15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0.26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370</v>
      </c>
      <c r="E20" s="9" t="s">
        <v>85</v>
      </c>
      <c r="F20" s="9">
        <v>100</v>
      </c>
      <c r="G20" s="9">
        <v>10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2.4E-2</v>
      </c>
      <c r="P20" s="10">
        <v>6.2E-2</v>
      </c>
      <c r="Q20" s="10">
        <v>0.04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0.56899999999999995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1"/>
    </row>
    <row r="25" spans="3:27" x14ac:dyDescent="0.25">
      <c r="C25" s="73"/>
      <c r="D25" s="132"/>
      <c r="E25" s="132"/>
      <c r="F25" s="132"/>
      <c r="G25" s="91"/>
    </row>
    <row r="26" spans="3:27" x14ac:dyDescent="0.25">
      <c r="D26" s="9">
        <v>460</v>
      </c>
      <c r="E26" s="9" t="s">
        <v>244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WB8oad88te1PzADphsXdNrTr+XPqpFwg0+F5vEFiklYGUhJL4KyNknsgEgeAxwXA8CNShumwl9c8YkCMmlkZXw==" saltValue="TVhp9tn25JwJuui2As2X/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528" priority="31">
      <formula>LEN(TRIM(C6))=0</formula>
    </cfRule>
  </conditionalFormatting>
  <conditionalFormatting sqref="H15:AA23 H6:AA6">
    <cfRule type="cellIs" dxfId="527" priority="30" operator="equal">
      <formula>0</formula>
    </cfRule>
  </conditionalFormatting>
  <conditionalFormatting sqref="G15:G23">
    <cfRule type="cellIs" dxfId="526" priority="28" operator="equal">
      <formula>0</formula>
    </cfRule>
    <cfRule type="containsBlanks" dxfId="525" priority="29">
      <formula>LEN(TRIM(G15))=0</formula>
    </cfRule>
  </conditionalFormatting>
  <conditionalFormatting sqref="H5:AA5">
    <cfRule type="containsBlanks" dxfId="524" priority="27">
      <formula>LEN(TRIM(H5))=0</formula>
    </cfRule>
  </conditionalFormatting>
  <conditionalFormatting sqref="G5">
    <cfRule type="containsBlanks" dxfId="523" priority="26">
      <formula>LEN(TRIM(G5))=0</formula>
    </cfRule>
  </conditionalFormatting>
  <conditionalFormatting sqref="F6:G6">
    <cfRule type="containsBlanks" dxfId="522" priority="25">
      <formula>LEN(TRIM(F6))=0</formula>
    </cfRule>
  </conditionalFormatting>
  <conditionalFormatting sqref="H14:AA14">
    <cfRule type="containsBlanks" dxfId="521" priority="24">
      <formula>LEN(TRIM(H14))=0</formula>
    </cfRule>
  </conditionalFormatting>
  <conditionalFormatting sqref="D5">
    <cfRule type="containsBlanks" dxfId="520" priority="23">
      <formula>LEN(TRIM(D5))=0</formula>
    </cfRule>
  </conditionalFormatting>
  <conditionalFormatting sqref="C5">
    <cfRule type="containsBlanks" dxfId="519" priority="22">
      <formula>LEN(TRIM(C5))=0</formula>
    </cfRule>
  </conditionalFormatting>
  <conditionalFormatting sqref="D14">
    <cfRule type="containsBlanks" dxfId="518" priority="21">
      <formula>LEN(TRIM(D14))=0</formula>
    </cfRule>
  </conditionalFormatting>
  <conditionalFormatting sqref="G8:AA8 G10:AA10">
    <cfRule type="containsBlanks" dxfId="517" priority="20">
      <formula>LEN(TRIM(G8))=0</formula>
    </cfRule>
  </conditionalFormatting>
  <conditionalFormatting sqref="G8:AA8 G10:AA10">
    <cfRule type="cellIs" dxfId="516" priority="19" operator="equal">
      <formula>0</formula>
    </cfRule>
  </conditionalFormatting>
  <conditionalFormatting sqref="G7:AA7">
    <cfRule type="containsBlanks" dxfId="515" priority="18">
      <formula>LEN(TRIM(G7))=0</formula>
    </cfRule>
  </conditionalFormatting>
  <conditionalFormatting sqref="G7:AA7">
    <cfRule type="cellIs" dxfId="514" priority="17" operator="equal">
      <formula>0</formula>
    </cfRule>
  </conditionalFormatting>
  <conditionalFormatting sqref="A5">
    <cfRule type="containsBlanks" dxfId="513" priority="15">
      <formula>LEN(TRIM(A5))=0</formula>
    </cfRule>
  </conditionalFormatting>
  <conditionalFormatting sqref="F7">
    <cfRule type="containsBlanks" dxfId="512" priority="16">
      <formula>LEN(TRIM(F7))=0</formula>
    </cfRule>
  </conditionalFormatting>
  <conditionalFormatting sqref="B5">
    <cfRule type="containsBlanks" dxfId="511" priority="14">
      <formula>LEN(TRIM(B5))=0</formula>
    </cfRule>
  </conditionalFormatting>
  <conditionalFormatting sqref="A7:E7">
    <cfRule type="containsBlanks" dxfId="510" priority="13">
      <formula>LEN(TRIM(A7))=0</formula>
    </cfRule>
  </conditionalFormatting>
  <conditionalFormatting sqref="G9">
    <cfRule type="containsBlanks" dxfId="509" priority="12">
      <formula>LEN(TRIM(G9))=0</formula>
    </cfRule>
  </conditionalFormatting>
  <conditionalFormatting sqref="E5">
    <cfRule type="containsBlanks" dxfId="508" priority="11">
      <formula>LEN(TRIM(E5))=0</formula>
    </cfRule>
  </conditionalFormatting>
  <conditionalFormatting sqref="F5">
    <cfRule type="containsBlanks" dxfId="507" priority="10">
      <formula>LEN(TRIM(F5))=0</formula>
    </cfRule>
  </conditionalFormatting>
  <conditionalFormatting sqref="C6">
    <cfRule type="containsBlanks" dxfId="506" priority="8">
      <formula>LEN(TRIM(C6))=0</formula>
    </cfRule>
  </conditionalFormatting>
  <conditionalFormatting sqref="E6">
    <cfRule type="containsBlanks" dxfId="505" priority="9">
      <formula>LEN(TRIM(E6))=0</formula>
    </cfRule>
  </conditionalFormatting>
  <conditionalFormatting sqref="A6">
    <cfRule type="containsBlanks" dxfId="504" priority="7">
      <formula>LEN(TRIM(A6))=0</formula>
    </cfRule>
  </conditionalFormatting>
  <conditionalFormatting sqref="B6">
    <cfRule type="containsBlanks" dxfId="503" priority="6">
      <formula>LEN(TRIM(B6))=0</formula>
    </cfRule>
  </conditionalFormatting>
  <conditionalFormatting sqref="D6">
    <cfRule type="containsBlanks" dxfId="502" priority="5">
      <formula>LEN(TRIM(D6))=0</formula>
    </cfRule>
  </conditionalFormatting>
  <conditionalFormatting sqref="H9:O9 Z9:AA9">
    <cfRule type="containsBlanks" dxfId="501" priority="4">
      <formula>LEN(TRIM(H9))=0</formula>
    </cfRule>
  </conditionalFormatting>
  <conditionalFormatting sqref="H9:O9 Z9:AA9">
    <cfRule type="cellIs" dxfId="500" priority="3" operator="equal">
      <formula>0</formula>
    </cfRule>
  </conditionalFormatting>
  <conditionalFormatting sqref="P9:Y9">
    <cfRule type="containsBlanks" dxfId="499" priority="2">
      <formula>LEN(TRIM(P9))=0</formula>
    </cfRule>
  </conditionalFormatting>
  <conditionalFormatting sqref="P9:Y9">
    <cfRule type="cellIs" dxfId="498" priority="1" operator="equal">
      <formula>0</formula>
    </cfRule>
  </conditionalFormatting>
  <dataValidations count="1">
    <dataValidation type="list" allowBlank="1" showInputMessage="1" showErrorMessage="1" sqref="E26:E27 E15:E23" xr:uid="{239B1835-8B22-4EA6-8F0E-F0AF8D49A76A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606AE-189B-416A-9E3B-F8FD91956E63}">
  <sheetPr codeName="Hoja41">
    <tabColor rgb="FFADDB6F"/>
  </sheetPr>
  <dimension ref="A1:AA32"/>
  <sheetViews>
    <sheetView zoomScaleNormal="100" workbookViewId="0">
      <pane xSplit="4" topLeftCell="E1" activePane="topRight" state="frozen"/>
      <selection activeCell="D15" sqref="D15:F20"/>
      <selection pane="topRight" activeCell="D15" sqref="D15:F20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246</v>
      </c>
      <c r="B6" s="70" t="s">
        <v>247</v>
      </c>
      <c r="C6" s="54">
        <v>311</v>
      </c>
      <c r="D6" s="58" t="s">
        <v>219</v>
      </c>
      <c r="E6" s="69">
        <v>36000</v>
      </c>
      <c r="F6" s="7">
        <v>311290425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3.9E-2</v>
      </c>
      <c r="O6" s="8">
        <v>2E-3</v>
      </c>
      <c r="P6" s="8">
        <v>0.14699999999999999</v>
      </c>
      <c r="Q6" s="8">
        <v>0.14399999999999999</v>
      </c>
      <c r="R6" s="8">
        <v>2.5999999999999999E-2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0.19600000000000001</v>
      </c>
      <c r="Z6" s="8">
        <v>0</v>
      </c>
      <c r="AA6" s="8">
        <v>0</v>
      </c>
    </row>
    <row r="7" spans="1:27" ht="19.5" x14ac:dyDescent="0.25">
      <c r="A7" s="55" t="s">
        <v>246</v>
      </c>
      <c r="B7" s="55" t="s">
        <v>247</v>
      </c>
      <c r="C7" s="55">
        <v>311</v>
      </c>
      <c r="D7" s="55" t="s">
        <v>219</v>
      </c>
      <c r="E7" s="55">
        <v>36000</v>
      </c>
      <c r="F7" s="53" t="s">
        <v>113</v>
      </c>
      <c r="G7" s="8" t="s">
        <v>156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-1.0000000000000002E-2</v>
      </c>
      <c r="H8" s="8"/>
      <c r="I8" s="8"/>
      <c r="J8" s="8"/>
      <c r="K8" s="8"/>
      <c r="L8" s="8"/>
      <c r="M8" s="8"/>
      <c r="N8" s="8">
        <v>3.1895E-2</v>
      </c>
      <c r="O8" s="8"/>
      <c r="P8" s="8">
        <v>0.13005</v>
      </c>
      <c r="Q8" s="8">
        <v>0.12625</v>
      </c>
      <c r="R8" s="8">
        <v>2.4750000000000001E-2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219</v>
      </c>
      <c r="E9" s="60"/>
      <c r="F9" s="61"/>
      <c r="G9" s="77">
        <v>0.04</v>
      </c>
      <c r="H9" s="8"/>
      <c r="I9" s="8"/>
      <c r="J9" s="8">
        <v>0</v>
      </c>
      <c r="K9" s="8"/>
      <c r="L9" s="8"/>
      <c r="M9" s="8"/>
      <c r="N9" s="8">
        <v>0.04</v>
      </c>
      <c r="O9" s="8"/>
      <c r="P9" s="8">
        <v>0.15</v>
      </c>
      <c r="Q9" s="8">
        <v>0.15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0.09</v>
      </c>
      <c r="H10" s="8"/>
      <c r="I10" s="8"/>
      <c r="J10" s="8"/>
      <c r="K10" s="8"/>
      <c r="L10" s="8"/>
      <c r="M10" s="8"/>
      <c r="N10" s="8">
        <v>4.8105000000000002E-2</v>
      </c>
      <c r="O10" s="8"/>
      <c r="P10" s="8">
        <v>0.16994999999999999</v>
      </c>
      <c r="Q10" s="8">
        <v>0.17374999999999999</v>
      </c>
      <c r="R10" s="8">
        <v>3.5249999999999997E-2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505</v>
      </c>
      <c r="E15" s="9" t="s">
        <v>221</v>
      </c>
      <c r="F15" s="9">
        <v>200</v>
      </c>
      <c r="G15" s="9">
        <v>20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463</v>
      </c>
      <c r="E16" s="9" t="s">
        <v>223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0.55000000000000004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120</v>
      </c>
      <c r="E17" s="9" t="s">
        <v>155</v>
      </c>
      <c r="F17" s="9">
        <v>100</v>
      </c>
      <c r="G17" s="9">
        <v>10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0.34</v>
      </c>
      <c r="Q17" s="10">
        <v>0.14000000000000001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240</v>
      </c>
      <c r="E18" s="9" t="s">
        <v>40</v>
      </c>
      <c r="F18" s="9">
        <v>350</v>
      </c>
      <c r="G18" s="9">
        <v>35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224</v>
      </c>
      <c r="F19" s="9">
        <v>150</v>
      </c>
      <c r="G19" s="9">
        <v>15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0.26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370</v>
      </c>
      <c r="E20" s="9" t="s">
        <v>85</v>
      </c>
      <c r="F20" s="9">
        <v>100</v>
      </c>
      <c r="G20" s="9">
        <v>10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2.4E-2</v>
      </c>
      <c r="P20" s="10">
        <v>6.2E-2</v>
      </c>
      <c r="Q20" s="10">
        <v>0.04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0.56899999999999995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1"/>
    </row>
    <row r="25" spans="3:27" x14ac:dyDescent="0.25">
      <c r="C25" s="73"/>
      <c r="D25" s="132"/>
      <c r="E25" s="132"/>
      <c r="F25" s="132"/>
      <c r="G25" s="91"/>
    </row>
    <row r="26" spans="3:27" x14ac:dyDescent="0.25">
      <c r="D26" s="9"/>
      <c r="E26" s="9"/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m1C1KJAhwDWOWILTEfrvJPqD1NQfzESMGm7FhomE1q3iGwbY2Dz5SElF8q4vcqpbmYE4oEixLQ2oDqAcycMe5A==" saltValue="UbL7AlswyebbTSE16Awdn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497" priority="31">
      <formula>LEN(TRIM(C6))=0</formula>
    </cfRule>
  </conditionalFormatting>
  <conditionalFormatting sqref="H15:AA23 H6:AA6">
    <cfRule type="cellIs" dxfId="496" priority="30" operator="equal">
      <formula>0</formula>
    </cfRule>
  </conditionalFormatting>
  <conditionalFormatting sqref="G15:G23">
    <cfRule type="cellIs" dxfId="495" priority="28" operator="equal">
      <formula>0</formula>
    </cfRule>
    <cfRule type="containsBlanks" dxfId="494" priority="29">
      <formula>LEN(TRIM(G15))=0</formula>
    </cfRule>
  </conditionalFormatting>
  <conditionalFormatting sqref="H5:AA5">
    <cfRule type="containsBlanks" dxfId="493" priority="27">
      <formula>LEN(TRIM(H5))=0</formula>
    </cfRule>
  </conditionalFormatting>
  <conditionalFormatting sqref="G5">
    <cfRule type="containsBlanks" dxfId="492" priority="26">
      <formula>LEN(TRIM(G5))=0</formula>
    </cfRule>
  </conditionalFormatting>
  <conditionalFormatting sqref="F6:G6">
    <cfRule type="containsBlanks" dxfId="491" priority="25">
      <formula>LEN(TRIM(F6))=0</formula>
    </cfRule>
  </conditionalFormatting>
  <conditionalFormatting sqref="H14:AA14">
    <cfRule type="containsBlanks" dxfId="490" priority="24">
      <formula>LEN(TRIM(H14))=0</formula>
    </cfRule>
  </conditionalFormatting>
  <conditionalFormatting sqref="D5">
    <cfRule type="containsBlanks" dxfId="489" priority="23">
      <formula>LEN(TRIM(D5))=0</formula>
    </cfRule>
  </conditionalFormatting>
  <conditionalFormatting sqref="C5">
    <cfRule type="containsBlanks" dxfId="488" priority="22">
      <formula>LEN(TRIM(C5))=0</formula>
    </cfRule>
  </conditionalFormatting>
  <conditionalFormatting sqref="D14">
    <cfRule type="containsBlanks" dxfId="487" priority="21">
      <formula>LEN(TRIM(D14))=0</formula>
    </cfRule>
  </conditionalFormatting>
  <conditionalFormatting sqref="G8:AA8 G10:AA10">
    <cfRule type="containsBlanks" dxfId="486" priority="20">
      <formula>LEN(TRIM(G8))=0</formula>
    </cfRule>
  </conditionalFormatting>
  <conditionalFormatting sqref="G8:AA8 G10:AA10">
    <cfRule type="cellIs" dxfId="485" priority="19" operator="equal">
      <formula>0</formula>
    </cfRule>
  </conditionalFormatting>
  <conditionalFormatting sqref="G7:AA7">
    <cfRule type="containsBlanks" dxfId="484" priority="18">
      <formula>LEN(TRIM(G7))=0</formula>
    </cfRule>
  </conditionalFormatting>
  <conditionalFormatting sqref="G7:AA7">
    <cfRule type="cellIs" dxfId="483" priority="17" operator="equal">
      <formula>0</formula>
    </cfRule>
  </conditionalFormatting>
  <conditionalFormatting sqref="A5">
    <cfRule type="containsBlanks" dxfId="482" priority="15">
      <formula>LEN(TRIM(A5))=0</formula>
    </cfRule>
  </conditionalFormatting>
  <conditionalFormatting sqref="F7">
    <cfRule type="containsBlanks" dxfId="481" priority="16">
      <formula>LEN(TRIM(F7))=0</formula>
    </cfRule>
  </conditionalFormatting>
  <conditionalFormatting sqref="B5">
    <cfRule type="containsBlanks" dxfId="480" priority="14">
      <formula>LEN(TRIM(B5))=0</formula>
    </cfRule>
  </conditionalFormatting>
  <conditionalFormatting sqref="A7:E7">
    <cfRule type="containsBlanks" dxfId="479" priority="13">
      <formula>LEN(TRIM(A7))=0</formula>
    </cfRule>
  </conditionalFormatting>
  <conditionalFormatting sqref="G9">
    <cfRule type="containsBlanks" dxfId="478" priority="12">
      <formula>LEN(TRIM(G9))=0</formula>
    </cfRule>
  </conditionalFormatting>
  <conditionalFormatting sqref="E5">
    <cfRule type="containsBlanks" dxfId="477" priority="11">
      <formula>LEN(TRIM(E5))=0</formula>
    </cfRule>
  </conditionalFormatting>
  <conditionalFormatting sqref="F5">
    <cfRule type="containsBlanks" dxfId="476" priority="10">
      <formula>LEN(TRIM(F5))=0</formula>
    </cfRule>
  </conditionalFormatting>
  <conditionalFormatting sqref="C6">
    <cfRule type="containsBlanks" dxfId="475" priority="8">
      <formula>LEN(TRIM(C6))=0</formula>
    </cfRule>
  </conditionalFormatting>
  <conditionalFormatting sqref="E6">
    <cfRule type="containsBlanks" dxfId="474" priority="9">
      <formula>LEN(TRIM(E6))=0</formula>
    </cfRule>
  </conditionalFormatting>
  <conditionalFormatting sqref="A6">
    <cfRule type="containsBlanks" dxfId="473" priority="7">
      <formula>LEN(TRIM(A6))=0</formula>
    </cfRule>
  </conditionalFormatting>
  <conditionalFormatting sqref="B6">
    <cfRule type="containsBlanks" dxfId="472" priority="6">
      <formula>LEN(TRIM(B6))=0</formula>
    </cfRule>
  </conditionalFormatting>
  <conditionalFormatting sqref="D6">
    <cfRule type="containsBlanks" dxfId="471" priority="5">
      <formula>LEN(TRIM(D6))=0</formula>
    </cfRule>
  </conditionalFormatting>
  <conditionalFormatting sqref="H9:O9 Z9:AA9">
    <cfRule type="containsBlanks" dxfId="470" priority="4">
      <formula>LEN(TRIM(H9))=0</formula>
    </cfRule>
  </conditionalFormatting>
  <conditionalFormatting sqref="H9:O9 Z9:AA9">
    <cfRule type="cellIs" dxfId="469" priority="3" operator="equal">
      <formula>0</formula>
    </cfRule>
  </conditionalFormatting>
  <conditionalFormatting sqref="P9:Y9">
    <cfRule type="containsBlanks" dxfId="468" priority="2">
      <formula>LEN(TRIM(P9))=0</formula>
    </cfRule>
  </conditionalFormatting>
  <conditionalFormatting sqref="P9:Y9">
    <cfRule type="cellIs" dxfId="467" priority="1" operator="equal">
      <formula>0</formula>
    </cfRule>
  </conditionalFormatting>
  <dataValidations count="1">
    <dataValidation type="list" allowBlank="1" showInputMessage="1" showErrorMessage="1" sqref="E26:E27 E15:E23" xr:uid="{D8686490-EC52-4214-9DD7-AAE586A23503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E3CDC-155A-4DCD-B22C-E131DFA27740}">
  <sheetPr codeName="Hoja42">
    <tabColor rgb="FFC00000"/>
  </sheetPr>
  <dimension ref="A1:AA32"/>
  <sheetViews>
    <sheetView zoomScaleNormal="100" workbookViewId="0">
      <pane xSplit="4" topLeftCell="E1" activePane="topRight" state="frozen"/>
      <selection activeCell="D15" sqref="D15:F20"/>
      <selection pane="topRight" activeCell="I27" sqref="I27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250</v>
      </c>
      <c r="B6" s="70" t="s">
        <v>248</v>
      </c>
      <c r="C6" s="54">
        <v>65</v>
      </c>
      <c r="D6" s="58" t="s">
        <v>153</v>
      </c>
      <c r="E6" s="69">
        <v>14000</v>
      </c>
      <c r="F6" s="7">
        <v>65300425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250</v>
      </c>
      <c r="B7" s="55" t="s">
        <v>248</v>
      </c>
      <c r="C7" s="55">
        <v>65</v>
      </c>
      <c r="D7" s="55" t="s">
        <v>153</v>
      </c>
      <c r="E7" s="55">
        <v>14000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3.4000000000000002E-2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153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0.16</v>
      </c>
      <c r="Q9" s="8">
        <v>0.16</v>
      </c>
      <c r="R9" s="8">
        <v>0.04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4.5999999999999999E-2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274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3"/>
    </row>
    <row r="25" spans="3:27" x14ac:dyDescent="0.25">
      <c r="C25" s="73"/>
      <c r="D25" s="132"/>
      <c r="E25" s="132"/>
      <c r="F25" s="132"/>
      <c r="G25" s="93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0UctGMLAOWEj0NYkQ1WMoc1ak4M/E8lp+rVFoBtxL00M3byIADa8bPN5Z6CzOd7pvGEg2TfwvO8V2xiQG2T8XQ==" saltValue="flS0CtEK57Dp47rCMDVrf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466" priority="31">
      <formula>LEN(TRIM(C6))=0</formula>
    </cfRule>
  </conditionalFormatting>
  <conditionalFormatting sqref="H15:AA23 H6:AA6">
    <cfRule type="cellIs" dxfId="465" priority="30" operator="equal">
      <formula>0</formula>
    </cfRule>
  </conditionalFormatting>
  <conditionalFormatting sqref="G15:G23">
    <cfRule type="cellIs" dxfId="464" priority="28" operator="equal">
      <formula>0</formula>
    </cfRule>
    <cfRule type="containsBlanks" dxfId="463" priority="29">
      <formula>LEN(TRIM(G15))=0</formula>
    </cfRule>
  </conditionalFormatting>
  <conditionalFormatting sqref="H5:AA5">
    <cfRule type="containsBlanks" dxfId="462" priority="27">
      <formula>LEN(TRIM(H5))=0</formula>
    </cfRule>
  </conditionalFormatting>
  <conditionalFormatting sqref="G5">
    <cfRule type="containsBlanks" dxfId="461" priority="26">
      <formula>LEN(TRIM(G5))=0</formula>
    </cfRule>
  </conditionalFormatting>
  <conditionalFormatting sqref="F6:G6">
    <cfRule type="containsBlanks" dxfId="460" priority="25">
      <formula>LEN(TRIM(F6))=0</formula>
    </cfRule>
  </conditionalFormatting>
  <conditionalFormatting sqref="H14:AA14">
    <cfRule type="containsBlanks" dxfId="459" priority="24">
      <formula>LEN(TRIM(H14))=0</formula>
    </cfRule>
  </conditionalFormatting>
  <conditionalFormatting sqref="D5">
    <cfRule type="containsBlanks" dxfId="458" priority="23">
      <formula>LEN(TRIM(D5))=0</formula>
    </cfRule>
  </conditionalFormatting>
  <conditionalFormatting sqref="C5">
    <cfRule type="containsBlanks" dxfId="457" priority="22">
      <formula>LEN(TRIM(C5))=0</formula>
    </cfRule>
  </conditionalFormatting>
  <conditionalFormatting sqref="D14">
    <cfRule type="containsBlanks" dxfId="456" priority="21">
      <formula>LEN(TRIM(D14))=0</formula>
    </cfRule>
  </conditionalFormatting>
  <conditionalFormatting sqref="G8:AA8 G10:AA10">
    <cfRule type="containsBlanks" dxfId="455" priority="20">
      <formula>LEN(TRIM(G8))=0</formula>
    </cfRule>
  </conditionalFormatting>
  <conditionalFormatting sqref="G8:AA8 G10:AA10">
    <cfRule type="cellIs" dxfId="454" priority="19" operator="equal">
      <formula>0</formula>
    </cfRule>
  </conditionalFormatting>
  <conditionalFormatting sqref="G7:AA7">
    <cfRule type="containsBlanks" dxfId="453" priority="18">
      <formula>LEN(TRIM(G7))=0</formula>
    </cfRule>
  </conditionalFormatting>
  <conditionalFormatting sqref="G7:AA7">
    <cfRule type="cellIs" dxfId="452" priority="17" operator="equal">
      <formula>0</formula>
    </cfRule>
  </conditionalFormatting>
  <conditionalFormatting sqref="A5">
    <cfRule type="containsBlanks" dxfId="451" priority="15">
      <formula>LEN(TRIM(A5))=0</formula>
    </cfRule>
  </conditionalFormatting>
  <conditionalFormatting sqref="F7">
    <cfRule type="containsBlanks" dxfId="450" priority="16">
      <formula>LEN(TRIM(F7))=0</formula>
    </cfRule>
  </conditionalFormatting>
  <conditionalFormatting sqref="B5">
    <cfRule type="containsBlanks" dxfId="449" priority="14">
      <formula>LEN(TRIM(B5))=0</formula>
    </cfRule>
  </conditionalFormatting>
  <conditionalFormatting sqref="A7:E7">
    <cfRule type="containsBlanks" dxfId="448" priority="13">
      <formula>LEN(TRIM(A7))=0</formula>
    </cfRule>
  </conditionalFormatting>
  <conditionalFormatting sqref="G9">
    <cfRule type="containsBlanks" dxfId="447" priority="12">
      <formula>LEN(TRIM(G9))=0</formula>
    </cfRule>
  </conditionalFormatting>
  <conditionalFormatting sqref="E5">
    <cfRule type="containsBlanks" dxfId="446" priority="11">
      <formula>LEN(TRIM(E5))=0</formula>
    </cfRule>
  </conditionalFormatting>
  <conditionalFormatting sqref="F5">
    <cfRule type="containsBlanks" dxfId="445" priority="10">
      <formula>LEN(TRIM(F5))=0</formula>
    </cfRule>
  </conditionalFormatting>
  <conditionalFormatting sqref="E6">
    <cfRule type="containsBlanks" dxfId="444" priority="9">
      <formula>LEN(TRIM(E6))=0</formula>
    </cfRule>
  </conditionalFormatting>
  <conditionalFormatting sqref="A6">
    <cfRule type="containsBlanks" dxfId="443" priority="8">
      <formula>LEN(TRIM(A6))=0</formula>
    </cfRule>
  </conditionalFormatting>
  <conditionalFormatting sqref="B6">
    <cfRule type="containsBlanks" dxfId="442" priority="7">
      <formula>LEN(TRIM(B6))=0</formula>
    </cfRule>
  </conditionalFormatting>
  <conditionalFormatting sqref="H9:O9 Z9:AA9">
    <cfRule type="containsBlanks" dxfId="441" priority="6">
      <formula>LEN(TRIM(H9))=0</formula>
    </cfRule>
  </conditionalFormatting>
  <conditionalFormatting sqref="H9:O9 Z9:AA9">
    <cfRule type="cellIs" dxfId="440" priority="5" operator="equal">
      <formula>0</formula>
    </cfRule>
  </conditionalFormatting>
  <conditionalFormatting sqref="P9:Y9">
    <cfRule type="containsBlanks" dxfId="439" priority="4">
      <formula>LEN(TRIM(P9))=0</formula>
    </cfRule>
  </conditionalFormatting>
  <conditionalFormatting sqref="P9:Y9">
    <cfRule type="cellIs" dxfId="438" priority="3" operator="equal">
      <formula>0</formula>
    </cfRule>
  </conditionalFormatting>
  <conditionalFormatting sqref="C6">
    <cfRule type="containsBlanks" dxfId="437" priority="2">
      <formula>LEN(TRIM(C6))=0</formula>
    </cfRule>
  </conditionalFormatting>
  <conditionalFormatting sqref="D6">
    <cfRule type="containsBlanks" dxfId="436" priority="1">
      <formula>LEN(TRIM(D6))=0</formula>
    </cfRule>
  </conditionalFormatting>
  <dataValidations count="1">
    <dataValidation type="list" allowBlank="1" showInputMessage="1" showErrorMessage="1" sqref="E26:E27 E15:E23" xr:uid="{2783863E-1EEA-46A5-847D-14C571CEA058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15745-D4FC-4257-83C9-1875DF9B50C1}">
  <sheetPr codeName="Hoja46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I34" sqref="I34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105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249</v>
      </c>
      <c r="B6" s="70" t="s">
        <v>248</v>
      </c>
      <c r="C6" s="54">
        <v>311</v>
      </c>
      <c r="D6" s="58" t="s">
        <v>244</v>
      </c>
      <c r="E6" s="69">
        <v>36000</v>
      </c>
      <c r="F6" s="7" t="str">
        <f>C6&amp;RIGHT("0"&amp;MID(B6,1,2),2)&amp;RIGHT("0"&amp;MID(B6,4,2),2)&amp;RIGHT(MID(B6,7,4),2)</f>
        <v>311300425</v>
      </c>
      <c r="G6" s="77" t="str">
        <f>IF(I6+N6+O6&lt;5%,"",I6+N6+O6)</f>
        <v/>
      </c>
      <c r="H6" s="8">
        <f t="shared" ref="H6:AA6" si="0">ROUND(($G15*H15+$G16*H16+$G17*H17+$G18*H18+$G19*H19+$G20*H20+$G21*H21+$G22*H22+$G23*H23)/100,3)</f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8">
        <f t="shared" si="0"/>
        <v>0</v>
      </c>
      <c r="N6" s="8">
        <f t="shared" si="0"/>
        <v>3.9E-2</v>
      </c>
      <c r="O6" s="8">
        <f t="shared" si="0"/>
        <v>2E-3</v>
      </c>
      <c r="P6" s="8">
        <f t="shared" si="0"/>
        <v>0.14699999999999999</v>
      </c>
      <c r="Q6" s="8">
        <f t="shared" si="0"/>
        <v>0.14399999999999999</v>
      </c>
      <c r="R6" s="8">
        <f t="shared" si="0"/>
        <v>2.5999999999999999E-2</v>
      </c>
      <c r="S6" s="8">
        <f t="shared" si="0"/>
        <v>0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0.19600000000000001</v>
      </c>
      <c r="Z6" s="8">
        <f t="shared" si="0"/>
        <v>0</v>
      </c>
      <c r="AA6" s="8">
        <f t="shared" si="0"/>
        <v>0</v>
      </c>
    </row>
    <row r="7" spans="1:27" ht="19.5" x14ac:dyDescent="0.25">
      <c r="A7" s="55" t="str">
        <f>A6</f>
        <v>OP042</v>
      </c>
      <c r="B7" s="55" t="str">
        <f>B6</f>
        <v>30-04-2025</v>
      </c>
      <c r="C7" s="55">
        <f t="shared" ref="C7:E7" si="1">C6</f>
        <v>311</v>
      </c>
      <c r="D7" s="55" t="str">
        <f t="shared" si="1"/>
        <v>FERTICORRECTIVO</v>
      </c>
      <c r="E7" s="55">
        <f t="shared" si="1"/>
        <v>36000</v>
      </c>
      <c r="F7" s="53" t="s">
        <v>113</v>
      </c>
      <c r="G7" s="8" t="str">
        <f>memoria_calculo!E20</f>
        <v/>
      </c>
      <c r="H7" s="8" t="str">
        <f>memoria_calculo!F20</f>
        <v/>
      </c>
      <c r="I7" s="8" t="str">
        <f>memoria_calculo!G20</f>
        <v>NC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NC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125" t="s">
        <v>108</v>
      </c>
      <c r="D8" s="126"/>
      <c r="E8" s="126"/>
      <c r="F8" s="127"/>
      <c r="G8" s="8" t="str">
        <f>memoria_calculo!E15</f>
        <v/>
      </c>
      <c r="H8" s="8" t="str">
        <f>memoria_calculo!F15</f>
        <v/>
      </c>
      <c r="I8" s="8">
        <f>memoria_calculo!G15</f>
        <v>0.236267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3.1895E-2</v>
      </c>
      <c r="O8" s="8">
        <f>memoria_calculo!M15</f>
        <v>0.221635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FERTICORRECTIVO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0.19</v>
      </c>
      <c r="Q9" s="8">
        <v>7.0000000000000007E-2</v>
      </c>
      <c r="R9" s="8">
        <v>0.1</v>
      </c>
      <c r="S9" s="8"/>
      <c r="T9" s="8"/>
      <c r="U9" s="8"/>
      <c r="V9" s="8"/>
      <c r="W9" s="8"/>
      <c r="X9" s="8"/>
      <c r="Y9" s="8">
        <v>0.08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 t="str">
        <f>memoria_calculo!E17</f>
        <v/>
      </c>
      <c r="H10" s="8" t="str">
        <f>memoria_calculo!F17</f>
        <v/>
      </c>
      <c r="I10" s="8">
        <f>memoria_calculo!G17</f>
        <v>0.263733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4.8105000000000002E-2</v>
      </c>
      <c r="O10" s="8">
        <f>memoria_calculo!M17</f>
        <v>0.25836500000000001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505</v>
      </c>
      <c r="E15" s="9" t="s">
        <v>221</v>
      </c>
      <c r="F15" s="9">
        <v>200</v>
      </c>
      <c r="G15" s="9">
        <f>Tabla26[[#This Row],[CANTIDAD]]/10</f>
        <v>20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0.26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0.13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>
        <v>463</v>
      </c>
      <c r="E16" s="9" t="s">
        <v>223</v>
      </c>
      <c r="F16" s="9">
        <v>100</v>
      </c>
      <c r="G16" s="9">
        <f>Tabla26[[#This Row],[CANTIDAD]]/10</f>
        <v>10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</v>
      </c>
      <c r="J16" s="10" cm="1">
        <f t="array" ref="J16">IF($E16="",0%,(_xlfn.XLOOKUP($E16,Tabla1[[#All],[ID]],Tabla1[[#All],[N-NH4]])))</f>
        <v>0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0.55000000000000004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>
        <v>120</v>
      </c>
      <c r="E17" s="9" t="s">
        <v>155</v>
      </c>
      <c r="F17" s="9">
        <v>100</v>
      </c>
      <c r="G17" s="9">
        <f>Tabla26[[#This Row],[CANTIDAD]]/10</f>
        <v>10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0.34</v>
      </c>
      <c r="Q17" s="10" cm="1">
        <f t="array" ref="Q17">IF($E17="",0%,(_xlfn.XLOOKUP($E17,Tabla1[[#All],[ID]],Tabla1[[#All],[MgO]])))</f>
        <v>0.14000000000000001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>
        <v>240</v>
      </c>
      <c r="E18" s="9" t="s">
        <v>40</v>
      </c>
      <c r="F18" s="9">
        <v>350</v>
      </c>
      <c r="G18" s="9">
        <f>Tabla26[[#This Row],[CANTIDAD]]/10</f>
        <v>35</v>
      </c>
      <c r="H18" s="10">
        <v>0</v>
      </c>
      <c r="I18" s="10" cm="1">
        <f t="array" ref="I18">IF($E18="",0%,_xlfn.XLOOKUP($E18,Tabla1[[#All],[ID]],Tabla1[[#All],[N]]))</f>
        <v>0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</v>
      </c>
      <c r="O18" s="10" cm="1">
        <f t="array" ref="O18">IF($E18="",0%,(_xlfn.XLOOKUP($E18,Tabla1[[#All],[ID]],Tabla1[[#All],[K]])))</f>
        <v>0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0.36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0.39600000000000002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>
        <v>290</v>
      </c>
      <c r="E19" s="9" t="s">
        <v>224</v>
      </c>
      <c r="F19" s="9">
        <v>150</v>
      </c>
      <c r="G19" s="9">
        <f>Tabla26[[#This Row],[CANTIDAD]]/10</f>
        <v>15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0.26</v>
      </c>
      <c r="O19" s="10" cm="1">
        <f t="array" ref="O19">IF($E19="",0%,(_xlfn.XLOOKUP($E19,Tabla1[[#All],[ID]],Tabla1[[#All],[K]])))</f>
        <v>0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>
        <v>370</v>
      </c>
      <c r="E20" s="9" t="s">
        <v>85</v>
      </c>
      <c r="F20" s="9">
        <v>100</v>
      </c>
      <c r="G20" s="9">
        <f>Tabla26[[#This Row],[CANTIDAD]]/10</f>
        <v>10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2.4E-2</v>
      </c>
      <c r="P20" s="10" cm="1">
        <f t="array" ref="P20">IF($E20="",0%,(_xlfn.XLOOKUP($E20,Tabla1[[#All],[ID]],Tabla1[[#All],[CaO]])))</f>
        <v>6.2E-2</v>
      </c>
      <c r="Q20" s="10" cm="1">
        <f t="array" ref="Q20">IF($E20="",0%,(_xlfn.XLOOKUP($E20,Tabla1[[#All],[ID]],Tabla1[[#All],[MgO]])))</f>
        <v>0.04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0.56899999999999995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/>
      <c r="F21" s="9"/>
      <c r="G21" s="9">
        <f>Tabla26[[#This Row],[CANTIDAD]]/10</f>
        <v>0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Tabla26[[#This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Tabla26[[#This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131"/>
      <c r="E24" s="131"/>
      <c r="F24" s="131"/>
      <c r="G24" s="94"/>
    </row>
    <row r="25" spans="3:27" x14ac:dyDescent="0.25">
      <c r="C25" s="73"/>
      <c r="D25" s="132"/>
      <c r="E25" s="132"/>
      <c r="F25" s="132"/>
      <c r="G25" s="94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435" priority="31">
      <formula>LEN(TRIM(C6))=0</formula>
    </cfRule>
  </conditionalFormatting>
  <conditionalFormatting sqref="H15:AA23 H6:AA6">
    <cfRule type="cellIs" dxfId="434" priority="30" operator="equal">
      <formula>0</formula>
    </cfRule>
  </conditionalFormatting>
  <conditionalFormatting sqref="G15:G23">
    <cfRule type="cellIs" dxfId="433" priority="28" operator="equal">
      <formula>0</formula>
    </cfRule>
    <cfRule type="containsBlanks" dxfId="432" priority="29">
      <formula>LEN(TRIM(G15))=0</formula>
    </cfRule>
  </conditionalFormatting>
  <conditionalFormatting sqref="H5:AA5">
    <cfRule type="containsBlanks" dxfId="431" priority="27">
      <formula>LEN(TRIM(H5))=0</formula>
    </cfRule>
  </conditionalFormatting>
  <conditionalFormatting sqref="G5">
    <cfRule type="containsBlanks" dxfId="430" priority="26">
      <formula>LEN(TRIM(G5))=0</formula>
    </cfRule>
  </conditionalFormatting>
  <conditionalFormatting sqref="F6:G6">
    <cfRule type="containsBlanks" dxfId="429" priority="25">
      <formula>LEN(TRIM(F6))=0</formula>
    </cfRule>
  </conditionalFormatting>
  <conditionalFormatting sqref="H14:AA14">
    <cfRule type="containsBlanks" dxfId="428" priority="24">
      <formula>LEN(TRIM(H14))=0</formula>
    </cfRule>
  </conditionalFormatting>
  <conditionalFormatting sqref="D5">
    <cfRule type="containsBlanks" dxfId="427" priority="23">
      <formula>LEN(TRIM(D5))=0</formula>
    </cfRule>
  </conditionalFormatting>
  <conditionalFormatting sqref="C5">
    <cfRule type="containsBlanks" dxfId="426" priority="22">
      <formula>LEN(TRIM(C5))=0</formula>
    </cfRule>
  </conditionalFormatting>
  <conditionalFormatting sqref="D14">
    <cfRule type="containsBlanks" dxfId="425" priority="21">
      <formula>LEN(TRIM(D14))=0</formula>
    </cfRule>
  </conditionalFormatting>
  <conditionalFormatting sqref="G8:AA8 G10:AA10">
    <cfRule type="containsBlanks" dxfId="424" priority="20">
      <formula>LEN(TRIM(G8))=0</formula>
    </cfRule>
  </conditionalFormatting>
  <conditionalFormatting sqref="G8:AA8 G10:AA10">
    <cfRule type="cellIs" dxfId="423" priority="19" operator="equal">
      <formula>0</formula>
    </cfRule>
  </conditionalFormatting>
  <conditionalFormatting sqref="G7:AA7">
    <cfRule type="containsBlanks" dxfId="422" priority="18">
      <formula>LEN(TRIM(G7))=0</formula>
    </cfRule>
  </conditionalFormatting>
  <conditionalFormatting sqref="G7:AA7">
    <cfRule type="cellIs" dxfId="421" priority="17" operator="equal">
      <formula>0</formula>
    </cfRule>
  </conditionalFormatting>
  <conditionalFormatting sqref="A5">
    <cfRule type="containsBlanks" dxfId="420" priority="15">
      <formula>LEN(TRIM(A5))=0</formula>
    </cfRule>
  </conditionalFormatting>
  <conditionalFormatting sqref="F7">
    <cfRule type="containsBlanks" dxfId="419" priority="16">
      <formula>LEN(TRIM(F7))=0</formula>
    </cfRule>
  </conditionalFormatting>
  <conditionalFormatting sqref="B5">
    <cfRule type="containsBlanks" dxfId="418" priority="14">
      <formula>LEN(TRIM(B5))=0</formula>
    </cfRule>
  </conditionalFormatting>
  <conditionalFormatting sqref="A7:E7">
    <cfRule type="containsBlanks" dxfId="417" priority="13">
      <formula>LEN(TRIM(A7))=0</formula>
    </cfRule>
  </conditionalFormatting>
  <conditionalFormatting sqref="G9">
    <cfRule type="containsBlanks" dxfId="416" priority="12">
      <formula>LEN(TRIM(G9))=0</formula>
    </cfRule>
  </conditionalFormatting>
  <conditionalFormatting sqref="E5">
    <cfRule type="containsBlanks" dxfId="415" priority="11">
      <formula>LEN(TRIM(E5))=0</formula>
    </cfRule>
  </conditionalFormatting>
  <conditionalFormatting sqref="F5">
    <cfRule type="containsBlanks" dxfId="414" priority="10">
      <formula>LEN(TRIM(F5))=0</formula>
    </cfRule>
  </conditionalFormatting>
  <conditionalFormatting sqref="A6">
    <cfRule type="containsBlanks" dxfId="413" priority="9">
      <formula>LEN(TRIM(A6))=0</formula>
    </cfRule>
  </conditionalFormatting>
  <conditionalFormatting sqref="B6">
    <cfRule type="containsBlanks" dxfId="412" priority="8">
      <formula>LEN(TRIM(B6))=0</formula>
    </cfRule>
  </conditionalFormatting>
  <conditionalFormatting sqref="H9:O9 Z9:AA9">
    <cfRule type="containsBlanks" dxfId="411" priority="7">
      <formula>LEN(TRIM(H9))=0</formula>
    </cfRule>
  </conditionalFormatting>
  <conditionalFormatting sqref="H9:O9 Z9:AA9">
    <cfRule type="cellIs" dxfId="410" priority="6" operator="equal">
      <formula>0</formula>
    </cfRule>
  </conditionalFormatting>
  <conditionalFormatting sqref="E6">
    <cfRule type="containsBlanks" dxfId="409" priority="5">
      <formula>LEN(TRIM(E6))=0</formula>
    </cfRule>
  </conditionalFormatting>
  <conditionalFormatting sqref="C6">
    <cfRule type="containsBlanks" dxfId="408" priority="4">
      <formula>LEN(TRIM(C6))=0</formula>
    </cfRule>
  </conditionalFormatting>
  <conditionalFormatting sqref="D6">
    <cfRule type="containsBlanks" dxfId="407" priority="3">
      <formula>LEN(TRIM(D6))=0</formula>
    </cfRule>
  </conditionalFormatting>
  <conditionalFormatting sqref="P9:Y9">
    <cfRule type="containsBlanks" dxfId="406" priority="2">
      <formula>LEN(TRIM(P9))=0</formula>
    </cfRule>
  </conditionalFormatting>
  <conditionalFormatting sqref="P9:Y9">
    <cfRule type="cellIs" dxfId="405" priority="1" operator="equal">
      <formula>0</formula>
    </cfRule>
  </conditionalFormatting>
  <dataValidations count="1">
    <dataValidation type="list" allowBlank="1" showInputMessage="1" showErrorMessage="1" sqref="E26:E27 E15:E23" xr:uid="{66913E54-5F2E-409C-A7DA-EE8D97C6D556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507-31C1-424B-BFC8-1ED82E4E05E1}">
  <sheetPr codeName="Hoja44">
    <tabColor rgb="FFADDB6F"/>
  </sheetPr>
  <dimension ref="A1:AA32"/>
  <sheetViews>
    <sheetView zoomScaleNormal="100" workbookViewId="0">
      <pane xSplit="4" topLeftCell="E1" activePane="topRight" state="frozen"/>
      <selection activeCell="K34" sqref="K34"/>
      <selection pane="topRight" activeCell="K34" sqref="K34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251</v>
      </c>
      <c r="B6" s="70" t="s">
        <v>247</v>
      </c>
      <c r="C6" s="54">
        <v>803</v>
      </c>
      <c r="D6" s="58" t="s">
        <v>230</v>
      </c>
      <c r="E6" s="69">
        <v>14000</v>
      </c>
      <c r="F6" s="7">
        <v>803290425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0.114</v>
      </c>
      <c r="Q6" s="8">
        <v>0.157</v>
      </c>
      <c r="R6" s="8">
        <v>9.2999999999999999E-2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0.156</v>
      </c>
      <c r="Z6" s="8">
        <v>0</v>
      </c>
      <c r="AA6" s="8">
        <v>0</v>
      </c>
    </row>
    <row r="7" spans="1:27" ht="19.5" x14ac:dyDescent="0.25">
      <c r="A7" s="55" t="s">
        <v>251</v>
      </c>
      <c r="B7" s="55" t="s">
        <v>247</v>
      </c>
      <c r="C7" s="55">
        <v>803</v>
      </c>
      <c r="D7" s="55" t="s">
        <v>230</v>
      </c>
      <c r="E7" s="55">
        <v>14000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8.5300000000000001E-2</v>
      </c>
      <c r="Q8" s="8">
        <v>0.12625</v>
      </c>
      <c r="R8" s="8">
        <v>8.950000000000001E-2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230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</v>
      </c>
      <c r="Q9" s="8">
        <v>0.15</v>
      </c>
      <c r="R9" s="8">
        <v>0.1</v>
      </c>
      <c r="S9" s="8"/>
      <c r="T9" s="8"/>
      <c r="U9" s="8"/>
      <c r="V9" s="8"/>
      <c r="W9" s="8"/>
      <c r="X9" s="8"/>
      <c r="Y9" s="8">
        <v>0.16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0.11470000000000001</v>
      </c>
      <c r="Q10" s="8">
        <v>0.17374999999999999</v>
      </c>
      <c r="R10" s="8">
        <v>0.1105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440</v>
      </c>
      <c r="G15" s="9">
        <v>44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180</v>
      </c>
      <c r="G16" s="9">
        <v>18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111</v>
      </c>
      <c r="E17" s="9" t="s">
        <v>211</v>
      </c>
      <c r="F17" s="9">
        <v>70</v>
      </c>
      <c r="G17" s="9">
        <v>7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6.0000000000000001E-3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0.47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310</v>
      </c>
      <c r="G18" s="9">
        <v>31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3"/>
    </row>
    <row r="25" spans="3:27" x14ac:dyDescent="0.25">
      <c r="C25" s="73"/>
      <c r="D25" s="132"/>
      <c r="E25" s="132"/>
      <c r="F25" s="132"/>
      <c r="G25" s="93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HB63jW8vInyOykgoIzcIbIpQAmQbuBcY21BKU68MzkyEXsNgFNzxqGF5n5e7/4wJ9lLlsm83hy/2vfflV1XxWA==" saltValue="2ss8C6s10D8psXIrz5M2z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375" priority="31">
      <formula>LEN(TRIM(C6))=0</formula>
    </cfRule>
  </conditionalFormatting>
  <conditionalFormatting sqref="H15:AA23 H6:AA6">
    <cfRule type="cellIs" dxfId="374" priority="30" operator="equal">
      <formula>0</formula>
    </cfRule>
  </conditionalFormatting>
  <conditionalFormatting sqref="G15:G23">
    <cfRule type="cellIs" dxfId="373" priority="28" operator="equal">
      <formula>0</formula>
    </cfRule>
    <cfRule type="containsBlanks" dxfId="372" priority="29">
      <formula>LEN(TRIM(G15))=0</formula>
    </cfRule>
  </conditionalFormatting>
  <conditionalFormatting sqref="H5:AA5">
    <cfRule type="containsBlanks" dxfId="371" priority="27">
      <formula>LEN(TRIM(H5))=0</formula>
    </cfRule>
  </conditionalFormatting>
  <conditionalFormatting sqref="G5">
    <cfRule type="containsBlanks" dxfId="370" priority="26">
      <formula>LEN(TRIM(G5))=0</formula>
    </cfRule>
  </conditionalFormatting>
  <conditionalFormatting sqref="F6:G6">
    <cfRule type="containsBlanks" dxfId="369" priority="25">
      <formula>LEN(TRIM(F6))=0</formula>
    </cfRule>
  </conditionalFormatting>
  <conditionalFormatting sqref="H14:AA14">
    <cfRule type="containsBlanks" dxfId="368" priority="24">
      <formula>LEN(TRIM(H14))=0</formula>
    </cfRule>
  </conditionalFormatting>
  <conditionalFormatting sqref="D5">
    <cfRule type="containsBlanks" dxfId="367" priority="23">
      <formula>LEN(TRIM(D5))=0</formula>
    </cfRule>
  </conditionalFormatting>
  <conditionalFormatting sqref="C5">
    <cfRule type="containsBlanks" dxfId="366" priority="22">
      <formula>LEN(TRIM(C5))=0</formula>
    </cfRule>
  </conditionalFormatting>
  <conditionalFormatting sqref="D14">
    <cfRule type="containsBlanks" dxfId="365" priority="21">
      <formula>LEN(TRIM(D14))=0</formula>
    </cfRule>
  </conditionalFormatting>
  <conditionalFormatting sqref="G8:AA8 G10:AA10">
    <cfRule type="containsBlanks" dxfId="364" priority="20">
      <formula>LEN(TRIM(G8))=0</formula>
    </cfRule>
  </conditionalFormatting>
  <conditionalFormatting sqref="G8:AA8 G10:AA10">
    <cfRule type="cellIs" dxfId="363" priority="19" operator="equal">
      <formula>0</formula>
    </cfRule>
  </conditionalFormatting>
  <conditionalFormatting sqref="G7:AA7">
    <cfRule type="containsBlanks" dxfId="362" priority="18">
      <formula>LEN(TRIM(G7))=0</formula>
    </cfRule>
  </conditionalFormatting>
  <conditionalFormatting sqref="G7:AA7">
    <cfRule type="cellIs" dxfId="361" priority="17" operator="equal">
      <formula>0</formula>
    </cfRule>
  </conditionalFormatting>
  <conditionalFormatting sqref="A5">
    <cfRule type="containsBlanks" dxfId="360" priority="15">
      <formula>LEN(TRIM(A5))=0</formula>
    </cfRule>
  </conditionalFormatting>
  <conditionalFormatting sqref="F7">
    <cfRule type="containsBlanks" dxfId="359" priority="16">
      <formula>LEN(TRIM(F7))=0</formula>
    </cfRule>
  </conditionalFormatting>
  <conditionalFormatting sqref="B5">
    <cfRule type="containsBlanks" dxfId="358" priority="14">
      <formula>LEN(TRIM(B5))=0</formula>
    </cfRule>
  </conditionalFormatting>
  <conditionalFormatting sqref="A7:E7">
    <cfRule type="containsBlanks" dxfId="357" priority="13">
      <formula>LEN(TRIM(A7))=0</formula>
    </cfRule>
  </conditionalFormatting>
  <conditionalFormatting sqref="G9">
    <cfRule type="containsBlanks" dxfId="356" priority="12">
      <formula>LEN(TRIM(G9))=0</formula>
    </cfRule>
  </conditionalFormatting>
  <conditionalFormatting sqref="E5">
    <cfRule type="containsBlanks" dxfId="355" priority="11">
      <formula>LEN(TRIM(E5))=0</formula>
    </cfRule>
  </conditionalFormatting>
  <conditionalFormatting sqref="F5">
    <cfRule type="containsBlanks" dxfId="354" priority="10">
      <formula>LEN(TRIM(F5))=0</formula>
    </cfRule>
  </conditionalFormatting>
  <conditionalFormatting sqref="A6">
    <cfRule type="containsBlanks" dxfId="353" priority="9">
      <formula>LEN(TRIM(A6))=0</formula>
    </cfRule>
  </conditionalFormatting>
  <conditionalFormatting sqref="B6">
    <cfRule type="containsBlanks" dxfId="352" priority="8">
      <formula>LEN(TRIM(B6))=0</formula>
    </cfRule>
  </conditionalFormatting>
  <conditionalFormatting sqref="H9:O9 Z9:AA9">
    <cfRule type="containsBlanks" dxfId="351" priority="7">
      <formula>LEN(TRIM(H9))=0</formula>
    </cfRule>
  </conditionalFormatting>
  <conditionalFormatting sqref="H9:O9 Z9:AA9">
    <cfRule type="cellIs" dxfId="350" priority="6" operator="equal">
      <formula>0</formula>
    </cfRule>
  </conditionalFormatting>
  <conditionalFormatting sqref="E6">
    <cfRule type="containsBlanks" dxfId="349" priority="5">
      <formula>LEN(TRIM(E6))=0</formula>
    </cfRule>
  </conditionalFormatting>
  <conditionalFormatting sqref="C6">
    <cfRule type="containsBlanks" dxfId="348" priority="4">
      <formula>LEN(TRIM(C6))=0</formula>
    </cfRule>
  </conditionalFormatting>
  <conditionalFormatting sqref="D6">
    <cfRule type="containsBlanks" dxfId="347" priority="3">
      <formula>LEN(TRIM(D6))=0</formula>
    </cfRule>
  </conditionalFormatting>
  <conditionalFormatting sqref="P9:Y9">
    <cfRule type="containsBlanks" dxfId="346" priority="2">
      <formula>LEN(TRIM(P9))=0</formula>
    </cfRule>
  </conditionalFormatting>
  <conditionalFormatting sqref="P9:Y9">
    <cfRule type="cellIs" dxfId="345" priority="1" operator="equal">
      <formula>0</formula>
    </cfRule>
  </conditionalFormatting>
  <dataValidations count="1">
    <dataValidation type="list" allowBlank="1" showInputMessage="1" showErrorMessage="1" sqref="E26:E27 E15:E23" xr:uid="{D0905A82-AFFC-4E10-80C9-1ACD15EEB40B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12CD-3879-48E8-8BDD-4F25DA58E5CC}">
  <sheetPr codeName="Hoja45">
    <tabColor rgb="FFADDB6F"/>
  </sheetPr>
  <dimension ref="A1:AA32"/>
  <sheetViews>
    <sheetView zoomScaleNormal="100" workbookViewId="0">
      <pane xSplit="4" topLeftCell="E1" activePane="topRight" state="frozen"/>
      <selection activeCell="K34" sqref="K34"/>
      <selection pane="topRight" activeCell="K34" sqref="K34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252</v>
      </c>
      <c r="B6" s="70" t="s">
        <v>247</v>
      </c>
      <c r="C6" s="54">
        <v>803</v>
      </c>
      <c r="D6" s="58" t="s">
        <v>230</v>
      </c>
      <c r="E6" s="69">
        <v>50000</v>
      </c>
      <c r="F6" s="7">
        <v>803290425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0.19500000000000001</v>
      </c>
      <c r="Q6" s="8">
        <v>6.7000000000000004E-2</v>
      </c>
      <c r="R6" s="8">
        <v>0.108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8.3000000000000004E-2</v>
      </c>
      <c r="Z6" s="8">
        <v>0</v>
      </c>
      <c r="AA6" s="8">
        <v>0</v>
      </c>
    </row>
    <row r="7" spans="1:27" ht="19.5" x14ac:dyDescent="0.25">
      <c r="A7" s="55" t="s">
        <v>252</v>
      </c>
      <c r="B7" s="55" t="s">
        <v>247</v>
      </c>
      <c r="C7" s="55">
        <v>803</v>
      </c>
      <c r="D7" s="55" t="s">
        <v>230</v>
      </c>
      <c r="E7" s="55">
        <v>50000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0.16585</v>
      </c>
      <c r="Q8" s="8">
        <v>5.6250000000000008E-2</v>
      </c>
      <c r="R8" s="8">
        <v>8.950000000000001E-2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230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0.19</v>
      </c>
      <c r="Q9" s="8">
        <v>7.0000000000000007E-2</v>
      </c>
      <c r="R9" s="8">
        <v>0.1</v>
      </c>
      <c r="S9" s="8"/>
      <c r="T9" s="8"/>
      <c r="U9" s="8"/>
      <c r="V9" s="8"/>
      <c r="W9" s="8"/>
      <c r="X9" s="8"/>
      <c r="Y9" s="8">
        <v>0.08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0.21415000000000001</v>
      </c>
      <c r="Q10" s="8">
        <v>8.3750000000000005E-2</v>
      </c>
      <c r="R10" s="8">
        <v>0.1105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750</v>
      </c>
      <c r="G15" s="9">
        <v>75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111</v>
      </c>
      <c r="E17" s="9" t="s">
        <v>211</v>
      </c>
      <c r="F17" s="9">
        <v>50</v>
      </c>
      <c r="G17" s="9">
        <v>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6.0000000000000001E-3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0.47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150</v>
      </c>
      <c r="G18" s="9">
        <v>15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3"/>
    </row>
    <row r="25" spans="3:27" x14ac:dyDescent="0.25">
      <c r="C25" s="73"/>
      <c r="D25" s="132"/>
      <c r="E25" s="132"/>
      <c r="F25" s="132"/>
      <c r="G25" s="93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DSErtoBNaXf2ZZ6FgS88krJSnkljSqX042j4+RVibcidy56LcMrCRsSBUt9CT6yg2Tp6EF1Z342zm2xOp3OZFg==" saltValue="oQBVjcZrMbFCh7H4Q0atp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344" priority="31">
      <formula>LEN(TRIM(C6))=0</formula>
    </cfRule>
  </conditionalFormatting>
  <conditionalFormatting sqref="H15:AA23 H6:AA6">
    <cfRule type="cellIs" dxfId="343" priority="30" operator="equal">
      <formula>0</formula>
    </cfRule>
  </conditionalFormatting>
  <conditionalFormatting sqref="G15:G23">
    <cfRule type="cellIs" dxfId="342" priority="28" operator="equal">
      <formula>0</formula>
    </cfRule>
    <cfRule type="containsBlanks" dxfId="341" priority="29">
      <formula>LEN(TRIM(G15))=0</formula>
    </cfRule>
  </conditionalFormatting>
  <conditionalFormatting sqref="H5:AA5">
    <cfRule type="containsBlanks" dxfId="340" priority="27">
      <formula>LEN(TRIM(H5))=0</formula>
    </cfRule>
  </conditionalFormatting>
  <conditionalFormatting sqref="G5">
    <cfRule type="containsBlanks" dxfId="339" priority="26">
      <formula>LEN(TRIM(G5))=0</formula>
    </cfRule>
  </conditionalFormatting>
  <conditionalFormatting sqref="F6:G6">
    <cfRule type="containsBlanks" dxfId="338" priority="25">
      <formula>LEN(TRIM(F6))=0</formula>
    </cfRule>
  </conditionalFormatting>
  <conditionalFormatting sqref="H14:AA14">
    <cfRule type="containsBlanks" dxfId="337" priority="24">
      <formula>LEN(TRIM(H14))=0</formula>
    </cfRule>
  </conditionalFormatting>
  <conditionalFormatting sqref="D5">
    <cfRule type="containsBlanks" dxfId="336" priority="23">
      <formula>LEN(TRIM(D5))=0</formula>
    </cfRule>
  </conditionalFormatting>
  <conditionalFormatting sqref="C5">
    <cfRule type="containsBlanks" dxfId="335" priority="22">
      <formula>LEN(TRIM(C5))=0</formula>
    </cfRule>
  </conditionalFormatting>
  <conditionalFormatting sqref="D14">
    <cfRule type="containsBlanks" dxfId="334" priority="21">
      <formula>LEN(TRIM(D14))=0</formula>
    </cfRule>
  </conditionalFormatting>
  <conditionalFormatting sqref="G8:AA8 G10:AA10">
    <cfRule type="containsBlanks" dxfId="333" priority="20">
      <formula>LEN(TRIM(G8))=0</formula>
    </cfRule>
  </conditionalFormatting>
  <conditionalFormatting sqref="G8:AA8 G10:AA10">
    <cfRule type="cellIs" dxfId="332" priority="19" operator="equal">
      <formula>0</formula>
    </cfRule>
  </conditionalFormatting>
  <conditionalFormatting sqref="G7:AA7">
    <cfRule type="containsBlanks" dxfId="331" priority="18">
      <formula>LEN(TRIM(G7))=0</formula>
    </cfRule>
  </conditionalFormatting>
  <conditionalFormatting sqref="G7:AA7">
    <cfRule type="cellIs" dxfId="330" priority="17" operator="equal">
      <formula>0</formula>
    </cfRule>
  </conditionalFormatting>
  <conditionalFormatting sqref="A5">
    <cfRule type="containsBlanks" dxfId="329" priority="15">
      <formula>LEN(TRIM(A5))=0</formula>
    </cfRule>
  </conditionalFormatting>
  <conditionalFormatting sqref="F7">
    <cfRule type="containsBlanks" dxfId="328" priority="16">
      <formula>LEN(TRIM(F7))=0</formula>
    </cfRule>
  </conditionalFormatting>
  <conditionalFormatting sqref="B5">
    <cfRule type="containsBlanks" dxfId="327" priority="14">
      <formula>LEN(TRIM(B5))=0</formula>
    </cfRule>
  </conditionalFormatting>
  <conditionalFormatting sqref="A7:E7">
    <cfRule type="containsBlanks" dxfId="326" priority="13">
      <formula>LEN(TRIM(A7))=0</formula>
    </cfRule>
  </conditionalFormatting>
  <conditionalFormatting sqref="G9">
    <cfRule type="containsBlanks" dxfId="325" priority="12">
      <formula>LEN(TRIM(G9))=0</formula>
    </cfRule>
  </conditionalFormatting>
  <conditionalFormatting sqref="E5">
    <cfRule type="containsBlanks" dxfId="324" priority="11">
      <formula>LEN(TRIM(E5))=0</formula>
    </cfRule>
  </conditionalFormatting>
  <conditionalFormatting sqref="F5">
    <cfRule type="containsBlanks" dxfId="323" priority="10">
      <formula>LEN(TRIM(F5))=0</formula>
    </cfRule>
  </conditionalFormatting>
  <conditionalFormatting sqref="A6">
    <cfRule type="containsBlanks" dxfId="322" priority="9">
      <formula>LEN(TRIM(A6))=0</formula>
    </cfRule>
  </conditionalFormatting>
  <conditionalFormatting sqref="B6">
    <cfRule type="containsBlanks" dxfId="321" priority="8">
      <formula>LEN(TRIM(B6))=0</formula>
    </cfRule>
  </conditionalFormatting>
  <conditionalFormatting sqref="H9:O9 Z9:AA9">
    <cfRule type="containsBlanks" dxfId="320" priority="7">
      <formula>LEN(TRIM(H9))=0</formula>
    </cfRule>
  </conditionalFormatting>
  <conditionalFormatting sqref="H9:O9 Z9:AA9">
    <cfRule type="cellIs" dxfId="319" priority="6" operator="equal">
      <formula>0</formula>
    </cfRule>
  </conditionalFormatting>
  <conditionalFormatting sqref="E6">
    <cfRule type="containsBlanks" dxfId="318" priority="5">
      <formula>LEN(TRIM(E6))=0</formula>
    </cfRule>
  </conditionalFormatting>
  <conditionalFormatting sqref="C6">
    <cfRule type="containsBlanks" dxfId="317" priority="4">
      <formula>LEN(TRIM(C6))=0</formula>
    </cfRule>
  </conditionalFormatting>
  <conditionalFormatting sqref="D6">
    <cfRule type="containsBlanks" dxfId="316" priority="3">
      <formula>LEN(TRIM(D6))=0</formula>
    </cfRule>
  </conditionalFormatting>
  <conditionalFormatting sqref="P9:Y9">
    <cfRule type="containsBlanks" dxfId="315" priority="2">
      <formula>LEN(TRIM(P9))=0</formula>
    </cfRule>
  </conditionalFormatting>
  <conditionalFormatting sqref="P9:Y9">
    <cfRule type="cellIs" dxfId="314" priority="1" operator="equal">
      <formula>0</formula>
    </cfRule>
  </conditionalFormatting>
  <dataValidations count="1">
    <dataValidation type="list" allowBlank="1" showInputMessage="1" showErrorMessage="1" sqref="E26:E27 E15:E23" xr:uid="{3D5D2119-D70E-42EE-ADA2-77FF9A4DD552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B835E-E22A-4723-AB9C-D787A4535A74}">
  <sheetPr codeName="Hoja47">
    <tabColor rgb="FFC00000"/>
  </sheetPr>
  <dimension ref="A1:AA32"/>
  <sheetViews>
    <sheetView topLeftCell="A38" zoomScaleNormal="100" workbookViewId="0">
      <pane xSplit="4" topLeftCell="E1" activePane="topRight" state="frozen"/>
      <selection activeCell="C8" sqref="C8"/>
      <selection pane="topRight" activeCell="D52" sqref="D52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253</v>
      </c>
      <c r="B6" s="70" t="s">
        <v>248</v>
      </c>
      <c r="C6" s="54">
        <v>62</v>
      </c>
      <c r="D6" s="58" t="s">
        <v>190</v>
      </c>
      <c r="E6" s="69">
        <v>35000</v>
      </c>
      <c r="F6" s="7">
        <v>62300425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2.1999999999999999E-2</v>
      </c>
      <c r="Q6" s="8">
        <v>0.188</v>
      </c>
      <c r="R6" s="8">
        <v>0.15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2.4E-2</v>
      </c>
      <c r="Z6" s="8">
        <v>0</v>
      </c>
      <c r="AA6" s="8">
        <v>0</v>
      </c>
    </row>
    <row r="7" spans="1:27" ht="19.5" x14ac:dyDescent="0.25">
      <c r="A7" s="55" t="s">
        <v>253</v>
      </c>
      <c r="B7" s="55" t="s">
        <v>248</v>
      </c>
      <c r="C7" s="55">
        <v>62</v>
      </c>
      <c r="D7" s="55" t="s">
        <v>190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139</v>
      </c>
      <c r="Q7" s="8" t="s">
        <v>156</v>
      </c>
      <c r="R7" s="8" t="s">
        <v>156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0.16585</v>
      </c>
      <c r="Q8" s="8">
        <v>5.6250000000000008E-2</v>
      </c>
      <c r="R8" s="8">
        <v>8.950000000000001E-2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190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0.19</v>
      </c>
      <c r="Q9" s="8">
        <v>7.0000000000000007E-2</v>
      </c>
      <c r="R9" s="8">
        <v>0.1</v>
      </c>
      <c r="S9" s="8"/>
      <c r="T9" s="8"/>
      <c r="U9" s="8"/>
      <c r="V9" s="8"/>
      <c r="W9" s="8"/>
      <c r="X9" s="8"/>
      <c r="Y9" s="8">
        <v>0.08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0.21415000000000001</v>
      </c>
      <c r="Q10" s="8">
        <v>8.3750000000000005E-2</v>
      </c>
      <c r="R10" s="8">
        <v>0.1105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750</v>
      </c>
      <c r="G15" s="9">
        <v>75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254</v>
      </c>
      <c r="F17" s="9">
        <v>50</v>
      </c>
      <c r="G17" s="9">
        <v>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6.0000000000000001E-3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0.47</v>
      </c>
      <c r="Z17" s="10">
        <v>0</v>
      </c>
      <c r="AA17" s="11">
        <v>0</v>
      </c>
    </row>
    <row r="18" spans="3:27" x14ac:dyDescent="0.25">
      <c r="D18" s="9"/>
      <c r="E18" s="9"/>
      <c r="F18" s="9">
        <v>150</v>
      </c>
      <c r="G18" s="9">
        <v>15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e2FO/y4rQQlMFFY2yHS3iNpCVW605QNrMgze412CFZNIq45Jl/kaJlecAgN8gQeJ+gimeNbKneMSAMK9Ayb3pw==" saltValue="+Vlioyapkny67AOtX3Sp8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313" priority="31">
      <formula>LEN(TRIM(C6))=0</formula>
    </cfRule>
  </conditionalFormatting>
  <conditionalFormatting sqref="H15:AA23 H6:AA6">
    <cfRule type="cellIs" dxfId="312" priority="30" operator="equal">
      <formula>0</formula>
    </cfRule>
  </conditionalFormatting>
  <conditionalFormatting sqref="G15:G23">
    <cfRule type="cellIs" dxfId="311" priority="28" operator="equal">
      <formula>0</formula>
    </cfRule>
    <cfRule type="containsBlanks" dxfId="310" priority="29">
      <formula>LEN(TRIM(G15))=0</formula>
    </cfRule>
  </conditionalFormatting>
  <conditionalFormatting sqref="H5:AA5">
    <cfRule type="containsBlanks" dxfId="309" priority="27">
      <formula>LEN(TRIM(H5))=0</formula>
    </cfRule>
  </conditionalFormatting>
  <conditionalFormatting sqref="G5">
    <cfRule type="containsBlanks" dxfId="308" priority="26">
      <formula>LEN(TRIM(G5))=0</formula>
    </cfRule>
  </conditionalFormatting>
  <conditionalFormatting sqref="F6:G6">
    <cfRule type="containsBlanks" dxfId="307" priority="25">
      <formula>LEN(TRIM(F6))=0</formula>
    </cfRule>
  </conditionalFormatting>
  <conditionalFormatting sqref="H14:AA14">
    <cfRule type="containsBlanks" dxfId="306" priority="24">
      <formula>LEN(TRIM(H14))=0</formula>
    </cfRule>
  </conditionalFormatting>
  <conditionalFormatting sqref="D5">
    <cfRule type="containsBlanks" dxfId="305" priority="23">
      <formula>LEN(TRIM(D5))=0</formula>
    </cfRule>
  </conditionalFormatting>
  <conditionalFormatting sqref="C5">
    <cfRule type="containsBlanks" dxfId="304" priority="22">
      <formula>LEN(TRIM(C5))=0</formula>
    </cfRule>
  </conditionalFormatting>
  <conditionalFormatting sqref="D14">
    <cfRule type="containsBlanks" dxfId="303" priority="21">
      <formula>LEN(TRIM(D14))=0</formula>
    </cfRule>
  </conditionalFormatting>
  <conditionalFormatting sqref="G8:AA8 G10:AA10">
    <cfRule type="containsBlanks" dxfId="302" priority="20">
      <formula>LEN(TRIM(G8))=0</formula>
    </cfRule>
  </conditionalFormatting>
  <conditionalFormatting sqref="G8:AA8 G10:AA10">
    <cfRule type="cellIs" dxfId="301" priority="19" operator="equal">
      <formula>0</formula>
    </cfRule>
  </conditionalFormatting>
  <conditionalFormatting sqref="G7:AA7">
    <cfRule type="containsBlanks" dxfId="300" priority="18">
      <formula>LEN(TRIM(G7))=0</formula>
    </cfRule>
  </conditionalFormatting>
  <conditionalFormatting sqref="G7:AA7">
    <cfRule type="cellIs" dxfId="299" priority="17" operator="equal">
      <formula>0</formula>
    </cfRule>
  </conditionalFormatting>
  <conditionalFormatting sqref="A5">
    <cfRule type="containsBlanks" dxfId="298" priority="15">
      <formula>LEN(TRIM(A5))=0</formula>
    </cfRule>
  </conditionalFormatting>
  <conditionalFormatting sqref="F7">
    <cfRule type="containsBlanks" dxfId="297" priority="16">
      <formula>LEN(TRIM(F7))=0</formula>
    </cfRule>
  </conditionalFormatting>
  <conditionalFormatting sqref="B5">
    <cfRule type="containsBlanks" dxfId="296" priority="14">
      <formula>LEN(TRIM(B5))=0</formula>
    </cfRule>
  </conditionalFormatting>
  <conditionalFormatting sqref="A7:E7">
    <cfRule type="containsBlanks" dxfId="295" priority="13">
      <formula>LEN(TRIM(A7))=0</formula>
    </cfRule>
  </conditionalFormatting>
  <conditionalFormatting sqref="G9">
    <cfRule type="containsBlanks" dxfId="294" priority="12">
      <formula>LEN(TRIM(G9))=0</formula>
    </cfRule>
  </conditionalFormatting>
  <conditionalFormatting sqref="E5">
    <cfRule type="containsBlanks" dxfId="293" priority="11">
      <formula>LEN(TRIM(E5))=0</formula>
    </cfRule>
  </conditionalFormatting>
  <conditionalFormatting sqref="F5">
    <cfRule type="containsBlanks" dxfId="292" priority="10">
      <formula>LEN(TRIM(F5))=0</formula>
    </cfRule>
  </conditionalFormatting>
  <conditionalFormatting sqref="A6">
    <cfRule type="containsBlanks" dxfId="291" priority="9">
      <formula>LEN(TRIM(A6))=0</formula>
    </cfRule>
  </conditionalFormatting>
  <conditionalFormatting sqref="B6">
    <cfRule type="containsBlanks" dxfId="290" priority="8">
      <formula>LEN(TRIM(B6))=0</formula>
    </cfRule>
  </conditionalFormatting>
  <conditionalFormatting sqref="H9:O9 Z9:AA9">
    <cfRule type="containsBlanks" dxfId="289" priority="7">
      <formula>LEN(TRIM(H9))=0</formula>
    </cfRule>
  </conditionalFormatting>
  <conditionalFormatting sqref="H9:O9 Z9:AA9">
    <cfRule type="cellIs" dxfId="288" priority="6" operator="equal">
      <formula>0</formula>
    </cfRule>
  </conditionalFormatting>
  <conditionalFormatting sqref="E6">
    <cfRule type="containsBlanks" dxfId="287" priority="5">
      <formula>LEN(TRIM(E6))=0</formula>
    </cfRule>
  </conditionalFormatting>
  <conditionalFormatting sqref="C6">
    <cfRule type="containsBlanks" dxfId="286" priority="4">
      <formula>LEN(TRIM(C6))=0</formula>
    </cfRule>
  </conditionalFormatting>
  <conditionalFormatting sqref="D6">
    <cfRule type="containsBlanks" dxfId="285" priority="3">
      <formula>LEN(TRIM(D6))=0</formula>
    </cfRule>
  </conditionalFormatting>
  <conditionalFormatting sqref="P9:Y9">
    <cfRule type="containsBlanks" dxfId="284" priority="2">
      <formula>LEN(TRIM(P9))=0</formula>
    </cfRule>
  </conditionalFormatting>
  <conditionalFormatting sqref="P9:Y9">
    <cfRule type="cellIs" dxfId="283" priority="1" operator="equal">
      <formula>0</formula>
    </cfRule>
  </conditionalFormatting>
  <dataValidations count="1">
    <dataValidation type="list" allowBlank="1" showInputMessage="1" showErrorMessage="1" sqref="E26:E27 E15:E23" xr:uid="{AB18715C-5D19-47D0-92F7-3B4D018CD3D9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408B-0810-4D69-B2E9-25F834327246}">
  <sheetPr codeName="Hoja48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B7" sqref="B7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255</v>
      </c>
      <c r="B6" s="70">
        <v>45693</v>
      </c>
      <c r="C6" s="54">
        <v>62</v>
      </c>
      <c r="D6" s="58" t="s">
        <v>190</v>
      </c>
      <c r="E6" s="69">
        <v>35000</v>
      </c>
      <c r="F6" s="7">
        <v>62020525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0.154</v>
      </c>
      <c r="Q6" s="8">
        <v>1.6E-2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0.28199999999999997</v>
      </c>
      <c r="Z6" s="8">
        <v>0</v>
      </c>
      <c r="AA6" s="8">
        <v>0</v>
      </c>
    </row>
    <row r="7" spans="1:27" ht="19.5" x14ac:dyDescent="0.25">
      <c r="A7" s="55" t="s">
        <v>255</v>
      </c>
      <c r="B7" s="89">
        <v>45693</v>
      </c>
      <c r="C7" s="55">
        <v>62</v>
      </c>
      <c r="D7" s="55" t="s">
        <v>190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139</v>
      </c>
      <c r="Q7" s="8" t="s">
        <v>139</v>
      </c>
      <c r="R7" s="8" t="s">
        <v>139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0.16585</v>
      </c>
      <c r="Q8" s="8">
        <v>5.6250000000000008E-2</v>
      </c>
      <c r="R8" s="8">
        <v>8.950000000000001E-2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190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0.19</v>
      </c>
      <c r="Q9" s="8">
        <v>7.0000000000000007E-2</v>
      </c>
      <c r="R9" s="8">
        <v>0.1</v>
      </c>
      <c r="S9" s="8"/>
      <c r="T9" s="8"/>
      <c r="U9" s="8"/>
      <c r="V9" s="8"/>
      <c r="W9" s="8"/>
      <c r="X9" s="8"/>
      <c r="Y9" s="8">
        <v>0.08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0.21415000000000001</v>
      </c>
      <c r="Q10" s="8">
        <v>8.3750000000000005E-2</v>
      </c>
      <c r="R10" s="8">
        <v>0.1105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350</v>
      </c>
      <c r="G16" s="9">
        <v>35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254</v>
      </c>
      <c r="F17" s="9">
        <v>600</v>
      </c>
      <c r="G17" s="9">
        <v>60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6.0000000000000001E-3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0.47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aRoRuK7lnTbeMQCSDK0G1THDrq8Aq0N1X1udFjl+6IWCPBglIi2NXHqI3I7pEKaIAYq2hu5P6sro43S9/F/HmQ==" saltValue="Ovu2/QlumgLYODBWeDBDz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282" priority="31">
      <formula>LEN(TRIM(C6))=0</formula>
    </cfRule>
  </conditionalFormatting>
  <conditionalFormatting sqref="H15:AA23 H6:AA6">
    <cfRule type="cellIs" dxfId="281" priority="30" operator="equal">
      <formula>0</formula>
    </cfRule>
  </conditionalFormatting>
  <conditionalFormatting sqref="G15:G23">
    <cfRule type="cellIs" dxfId="280" priority="28" operator="equal">
      <formula>0</formula>
    </cfRule>
    <cfRule type="containsBlanks" dxfId="279" priority="29">
      <formula>LEN(TRIM(G15))=0</formula>
    </cfRule>
  </conditionalFormatting>
  <conditionalFormatting sqref="H5:AA5">
    <cfRule type="containsBlanks" dxfId="278" priority="27">
      <formula>LEN(TRIM(H5))=0</formula>
    </cfRule>
  </conditionalFormatting>
  <conditionalFormatting sqref="G5">
    <cfRule type="containsBlanks" dxfId="277" priority="26">
      <formula>LEN(TRIM(G5))=0</formula>
    </cfRule>
  </conditionalFormatting>
  <conditionalFormatting sqref="F6:G6">
    <cfRule type="containsBlanks" dxfId="276" priority="25">
      <formula>LEN(TRIM(F6))=0</formula>
    </cfRule>
  </conditionalFormatting>
  <conditionalFormatting sqref="H14:AA14">
    <cfRule type="containsBlanks" dxfId="275" priority="24">
      <formula>LEN(TRIM(H14))=0</formula>
    </cfRule>
  </conditionalFormatting>
  <conditionalFormatting sqref="D5">
    <cfRule type="containsBlanks" dxfId="274" priority="23">
      <formula>LEN(TRIM(D5))=0</formula>
    </cfRule>
  </conditionalFormatting>
  <conditionalFormatting sqref="C5">
    <cfRule type="containsBlanks" dxfId="273" priority="22">
      <formula>LEN(TRIM(C5))=0</formula>
    </cfRule>
  </conditionalFormatting>
  <conditionalFormatting sqref="D14">
    <cfRule type="containsBlanks" dxfId="272" priority="21">
      <formula>LEN(TRIM(D14))=0</formula>
    </cfRule>
  </conditionalFormatting>
  <conditionalFormatting sqref="G8:AA8 G10:AA10">
    <cfRule type="containsBlanks" dxfId="271" priority="20">
      <formula>LEN(TRIM(G8))=0</formula>
    </cfRule>
  </conditionalFormatting>
  <conditionalFormatting sqref="G8:AA8 G10:AA10">
    <cfRule type="cellIs" dxfId="270" priority="19" operator="equal">
      <formula>0</formula>
    </cfRule>
  </conditionalFormatting>
  <conditionalFormatting sqref="G7:AA7">
    <cfRule type="containsBlanks" dxfId="269" priority="18">
      <formula>LEN(TRIM(G7))=0</formula>
    </cfRule>
  </conditionalFormatting>
  <conditionalFormatting sqref="G7:AA7">
    <cfRule type="cellIs" dxfId="268" priority="17" operator="equal">
      <formula>0</formula>
    </cfRule>
  </conditionalFormatting>
  <conditionalFormatting sqref="A5">
    <cfRule type="containsBlanks" dxfId="267" priority="15">
      <formula>LEN(TRIM(A5))=0</formula>
    </cfRule>
  </conditionalFormatting>
  <conditionalFormatting sqref="F7">
    <cfRule type="containsBlanks" dxfId="266" priority="16">
      <formula>LEN(TRIM(F7))=0</formula>
    </cfRule>
  </conditionalFormatting>
  <conditionalFormatting sqref="B5">
    <cfRule type="containsBlanks" dxfId="265" priority="14">
      <formula>LEN(TRIM(B5))=0</formula>
    </cfRule>
  </conditionalFormatting>
  <conditionalFormatting sqref="A7:E7">
    <cfRule type="containsBlanks" dxfId="264" priority="13">
      <formula>LEN(TRIM(A7))=0</formula>
    </cfRule>
  </conditionalFormatting>
  <conditionalFormatting sqref="G9">
    <cfRule type="containsBlanks" dxfId="263" priority="12">
      <formula>LEN(TRIM(G9))=0</formula>
    </cfRule>
  </conditionalFormatting>
  <conditionalFormatting sqref="E5">
    <cfRule type="containsBlanks" dxfId="262" priority="11">
      <formula>LEN(TRIM(E5))=0</formula>
    </cfRule>
  </conditionalFormatting>
  <conditionalFormatting sqref="F5">
    <cfRule type="containsBlanks" dxfId="261" priority="10">
      <formula>LEN(TRIM(F5))=0</formula>
    </cfRule>
  </conditionalFormatting>
  <conditionalFormatting sqref="A6">
    <cfRule type="containsBlanks" dxfId="260" priority="9">
      <formula>LEN(TRIM(A6))=0</formula>
    </cfRule>
  </conditionalFormatting>
  <conditionalFormatting sqref="B6">
    <cfRule type="containsBlanks" dxfId="259" priority="8">
      <formula>LEN(TRIM(B6))=0</formula>
    </cfRule>
  </conditionalFormatting>
  <conditionalFormatting sqref="H9:O9 Z9:AA9">
    <cfRule type="containsBlanks" dxfId="258" priority="7">
      <formula>LEN(TRIM(H9))=0</formula>
    </cfRule>
  </conditionalFormatting>
  <conditionalFormatting sqref="H9:O9 Z9:AA9">
    <cfRule type="cellIs" dxfId="257" priority="6" operator="equal">
      <formula>0</formula>
    </cfRule>
  </conditionalFormatting>
  <conditionalFormatting sqref="E6">
    <cfRule type="containsBlanks" dxfId="256" priority="5">
      <formula>LEN(TRIM(E6))=0</formula>
    </cfRule>
  </conditionalFormatting>
  <conditionalFormatting sqref="C6">
    <cfRule type="containsBlanks" dxfId="255" priority="4">
      <formula>LEN(TRIM(C6))=0</formula>
    </cfRule>
  </conditionalFormatting>
  <conditionalFormatting sqref="D6">
    <cfRule type="containsBlanks" dxfId="254" priority="3">
      <formula>LEN(TRIM(D6))=0</formula>
    </cfRule>
  </conditionalFormatting>
  <conditionalFormatting sqref="P9:Y9">
    <cfRule type="containsBlanks" dxfId="253" priority="2">
      <formula>LEN(TRIM(P9))=0</formula>
    </cfRule>
  </conditionalFormatting>
  <conditionalFormatting sqref="P9:Y9">
    <cfRule type="cellIs" dxfId="252" priority="1" operator="equal">
      <formula>0</formula>
    </cfRule>
  </conditionalFormatting>
  <dataValidations count="1">
    <dataValidation type="list" allowBlank="1" showInputMessage="1" showErrorMessage="1" sqref="E26:E27 E15:E23" xr:uid="{985C138B-84EF-4317-9861-DC4467A485C7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5527-EFD0-46ED-BDFA-6822468C7797}">
  <sheetPr codeName="Hoja49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Y28" sqref="A1:Y28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hidden="1" customWidth="1"/>
    <col min="9" max="9" width="7.5703125" hidden="1" customWidth="1"/>
    <col min="10" max="10" width="8.85546875" hidden="1" customWidth="1"/>
    <col min="11" max="11" width="9.7109375" hidden="1" customWidth="1"/>
    <col min="12" max="12" width="11.85546875" hidden="1" customWidth="1"/>
    <col min="13" max="13" width="10.7109375" hidden="1" customWidth="1"/>
    <col min="14" max="14" width="7.7109375" hidden="1" customWidth="1"/>
    <col min="15" max="15" width="9.42578125" hidden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hidden="1" customWidth="1"/>
    <col min="20" max="20" width="8.5703125" hidden="1" customWidth="1"/>
    <col min="21" max="21" width="8.7109375" hidden="1" customWidth="1"/>
    <col min="22" max="22" width="8.28515625" hidden="1" customWidth="1"/>
    <col min="23" max="23" width="9.28515625" hidden="1" customWidth="1"/>
    <col min="24" max="24" width="0" hidden="1" customWidth="1"/>
    <col min="25" max="25" width="10.7109375" bestFit="1" customWidth="1"/>
    <col min="26" max="26" width="8.5703125" hidden="1" customWidth="1"/>
    <col min="27" max="27" width="8.85546875" hidden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256</v>
      </c>
      <c r="B6" s="70">
        <v>45693</v>
      </c>
      <c r="C6" s="54">
        <v>65</v>
      </c>
      <c r="D6" s="58" t="s">
        <v>153</v>
      </c>
      <c r="E6" s="69">
        <v>35000</v>
      </c>
      <c r="F6" s="7">
        <v>65020525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256</v>
      </c>
      <c r="B7" s="89">
        <v>45693</v>
      </c>
      <c r="C7" s="55">
        <v>65</v>
      </c>
      <c r="D7" s="55" t="s">
        <v>153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 t="str">
        <f>memoria_calculo!P15</f>
        <v/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153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0.16</v>
      </c>
      <c r="Q9" s="8">
        <v>0.16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 t="str">
        <f>memoria_calculo!P17</f>
        <v/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65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155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1:E2"/>
    <mergeCell ref="C8:F8"/>
    <mergeCell ref="C10:F10"/>
    <mergeCell ref="D24:F25"/>
  </mergeCells>
  <conditionalFormatting sqref="C8:C10 H6:AA6 E14:G14">
    <cfRule type="containsBlanks" dxfId="251" priority="35">
      <formula>LEN(TRIM(C6))=0</formula>
    </cfRule>
  </conditionalFormatting>
  <conditionalFormatting sqref="H15:AA23 H6:AA6">
    <cfRule type="cellIs" dxfId="250" priority="34" operator="equal">
      <formula>0</formula>
    </cfRule>
  </conditionalFormatting>
  <conditionalFormatting sqref="G15:G23">
    <cfRule type="cellIs" dxfId="249" priority="32" operator="equal">
      <formula>0</formula>
    </cfRule>
    <cfRule type="containsBlanks" dxfId="248" priority="33">
      <formula>LEN(TRIM(G15))=0</formula>
    </cfRule>
  </conditionalFormatting>
  <conditionalFormatting sqref="H5:AA5">
    <cfRule type="containsBlanks" dxfId="247" priority="31">
      <formula>LEN(TRIM(H5))=0</formula>
    </cfRule>
  </conditionalFormatting>
  <conditionalFormatting sqref="G5">
    <cfRule type="containsBlanks" dxfId="246" priority="30">
      <formula>LEN(TRIM(G5))=0</formula>
    </cfRule>
  </conditionalFormatting>
  <conditionalFormatting sqref="F6:G6">
    <cfRule type="containsBlanks" dxfId="245" priority="29">
      <formula>LEN(TRIM(F6))=0</formula>
    </cfRule>
  </conditionalFormatting>
  <conditionalFormatting sqref="H14:AA14">
    <cfRule type="containsBlanks" dxfId="244" priority="28">
      <formula>LEN(TRIM(H14))=0</formula>
    </cfRule>
  </conditionalFormatting>
  <conditionalFormatting sqref="D5">
    <cfRule type="containsBlanks" dxfId="243" priority="27">
      <formula>LEN(TRIM(D5))=0</formula>
    </cfRule>
  </conditionalFormatting>
  <conditionalFormatting sqref="C5">
    <cfRule type="containsBlanks" dxfId="242" priority="26">
      <formula>LEN(TRIM(C5))=0</formula>
    </cfRule>
  </conditionalFormatting>
  <conditionalFormatting sqref="D14">
    <cfRule type="containsBlanks" dxfId="241" priority="25">
      <formula>LEN(TRIM(D14))=0</formula>
    </cfRule>
  </conditionalFormatting>
  <conditionalFormatting sqref="G8:Q8 G10:Q10 S10:AA10 S8:AA8">
    <cfRule type="containsBlanks" dxfId="240" priority="24">
      <formula>LEN(TRIM(G8))=0</formula>
    </cfRule>
  </conditionalFormatting>
  <conditionalFormatting sqref="G8:Q8 G10:Q10 S10:AA10 S8:AA8">
    <cfRule type="cellIs" dxfId="239" priority="23" operator="equal">
      <formula>0</formula>
    </cfRule>
  </conditionalFormatting>
  <conditionalFormatting sqref="G7:AA7">
    <cfRule type="containsBlanks" dxfId="238" priority="22">
      <formula>LEN(TRIM(G7))=0</formula>
    </cfRule>
  </conditionalFormatting>
  <conditionalFormatting sqref="G7:AA7">
    <cfRule type="cellIs" dxfId="237" priority="21" operator="equal">
      <formula>0</formula>
    </cfRule>
  </conditionalFormatting>
  <conditionalFormatting sqref="A5">
    <cfRule type="containsBlanks" dxfId="236" priority="19">
      <formula>LEN(TRIM(A5))=0</formula>
    </cfRule>
  </conditionalFormatting>
  <conditionalFormatting sqref="F7">
    <cfRule type="containsBlanks" dxfId="235" priority="20">
      <formula>LEN(TRIM(F7))=0</formula>
    </cfRule>
  </conditionalFormatting>
  <conditionalFormatting sqref="B5">
    <cfRule type="containsBlanks" dxfId="234" priority="18">
      <formula>LEN(TRIM(B5))=0</formula>
    </cfRule>
  </conditionalFormatting>
  <conditionalFormatting sqref="A7:E7">
    <cfRule type="containsBlanks" dxfId="233" priority="17">
      <formula>LEN(TRIM(A7))=0</formula>
    </cfRule>
  </conditionalFormatting>
  <conditionalFormatting sqref="G9">
    <cfRule type="containsBlanks" dxfId="232" priority="16">
      <formula>LEN(TRIM(G9))=0</formula>
    </cfRule>
  </conditionalFormatting>
  <conditionalFormatting sqref="E5">
    <cfRule type="containsBlanks" dxfId="231" priority="15">
      <formula>LEN(TRIM(E5))=0</formula>
    </cfRule>
  </conditionalFormatting>
  <conditionalFormatting sqref="F5">
    <cfRule type="containsBlanks" dxfId="230" priority="14">
      <formula>LEN(TRIM(F5))=0</formula>
    </cfRule>
  </conditionalFormatting>
  <conditionalFormatting sqref="A6">
    <cfRule type="containsBlanks" dxfId="229" priority="13">
      <formula>LEN(TRIM(A6))=0</formula>
    </cfRule>
  </conditionalFormatting>
  <conditionalFormatting sqref="B6">
    <cfRule type="containsBlanks" dxfId="228" priority="12">
      <formula>LEN(TRIM(B6))=0</formula>
    </cfRule>
  </conditionalFormatting>
  <conditionalFormatting sqref="H9:O9 Z9:AA9">
    <cfRule type="containsBlanks" dxfId="227" priority="11">
      <formula>LEN(TRIM(H9))=0</formula>
    </cfRule>
  </conditionalFormatting>
  <conditionalFormatting sqref="H9:O9 Z9:AA9">
    <cfRule type="cellIs" dxfId="226" priority="10" operator="equal">
      <formula>0</formula>
    </cfRule>
  </conditionalFormatting>
  <conditionalFormatting sqref="E6">
    <cfRule type="containsBlanks" dxfId="225" priority="9">
      <formula>LEN(TRIM(E6))=0</formula>
    </cfRule>
  </conditionalFormatting>
  <conditionalFormatting sqref="C6">
    <cfRule type="containsBlanks" dxfId="224" priority="8">
      <formula>LEN(TRIM(C6))=0</formula>
    </cfRule>
  </conditionalFormatting>
  <conditionalFormatting sqref="D6">
    <cfRule type="containsBlanks" dxfId="223" priority="7">
      <formula>LEN(TRIM(D6))=0</formula>
    </cfRule>
  </conditionalFormatting>
  <conditionalFormatting sqref="P9:Q9 S9:Y9">
    <cfRule type="containsBlanks" dxfId="222" priority="6">
      <formula>LEN(TRIM(P9))=0</formula>
    </cfRule>
  </conditionalFormatting>
  <conditionalFormatting sqref="P9:Q9 S9:Y9">
    <cfRule type="cellIs" dxfId="221" priority="5" operator="equal">
      <formula>0</formula>
    </cfRule>
  </conditionalFormatting>
  <conditionalFormatting sqref="R8 R10">
    <cfRule type="containsBlanks" dxfId="220" priority="4">
      <formula>LEN(TRIM(R8))=0</formula>
    </cfRule>
  </conditionalFormatting>
  <conditionalFormatting sqref="R8 R10">
    <cfRule type="cellIs" dxfId="219" priority="3" operator="equal">
      <formula>0</formula>
    </cfRule>
  </conditionalFormatting>
  <conditionalFormatting sqref="R9">
    <cfRule type="containsBlanks" dxfId="218" priority="2">
      <formula>LEN(TRIM(R9))=0</formula>
    </cfRule>
  </conditionalFormatting>
  <conditionalFormatting sqref="R9">
    <cfRule type="cellIs" dxfId="217" priority="1" operator="equal">
      <formula>0</formula>
    </cfRule>
  </conditionalFormatting>
  <dataValidations count="1">
    <dataValidation type="list" allowBlank="1" showInputMessage="1" showErrorMessage="1" sqref="E26:E27 E15:E23" xr:uid="{AC3F5B8B-27C9-44FF-A24B-9AF68BC934F8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BF8E-71F2-40AF-9680-625F4BA6AE4E}">
  <sheetPr codeName="Hoja50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A7" sqref="A7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257</v>
      </c>
      <c r="B6" s="70">
        <v>45721</v>
      </c>
      <c r="C6" s="54">
        <v>65</v>
      </c>
      <c r="D6" s="58" t="s">
        <v>153</v>
      </c>
      <c r="E6" s="69">
        <v>35000</v>
      </c>
      <c r="F6" s="7">
        <v>65030525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257</v>
      </c>
      <c r="B7" s="89">
        <v>45721</v>
      </c>
      <c r="C7" s="55">
        <v>65</v>
      </c>
      <c r="D7" s="55" t="s">
        <v>153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3.4000000000000002E-2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153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0.16</v>
      </c>
      <c r="Q9" s="8">
        <v>0.16</v>
      </c>
      <c r="R9" s="8">
        <v>0.04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4.5999999999999999E-2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65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155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aS0/8rK0ytZi01GzXEmlMOa0+w6UYlQuI/2GKvzjnc3OiUBBUZSsivUiokzIRWLyZ8GJDyDuk46faLt+QnK/gQ==" saltValue="COiIyDKovYN50vkr+jxzt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216" priority="31">
      <formula>LEN(TRIM(C6))=0</formula>
    </cfRule>
  </conditionalFormatting>
  <conditionalFormatting sqref="H15:AA23 H6:AA6">
    <cfRule type="cellIs" dxfId="215" priority="30" operator="equal">
      <formula>0</formula>
    </cfRule>
  </conditionalFormatting>
  <conditionalFormatting sqref="G15:G23">
    <cfRule type="cellIs" dxfId="214" priority="28" operator="equal">
      <formula>0</formula>
    </cfRule>
    <cfRule type="containsBlanks" dxfId="213" priority="29">
      <formula>LEN(TRIM(G15))=0</formula>
    </cfRule>
  </conditionalFormatting>
  <conditionalFormatting sqref="H5:AA5">
    <cfRule type="containsBlanks" dxfId="212" priority="27">
      <formula>LEN(TRIM(H5))=0</formula>
    </cfRule>
  </conditionalFormatting>
  <conditionalFormatting sqref="G5">
    <cfRule type="containsBlanks" dxfId="211" priority="26">
      <formula>LEN(TRIM(G5))=0</formula>
    </cfRule>
  </conditionalFormatting>
  <conditionalFormatting sqref="F6:G6">
    <cfRule type="containsBlanks" dxfId="210" priority="25">
      <formula>LEN(TRIM(F6))=0</formula>
    </cfRule>
  </conditionalFormatting>
  <conditionalFormatting sqref="H14:AA14">
    <cfRule type="containsBlanks" dxfId="209" priority="24">
      <formula>LEN(TRIM(H14))=0</formula>
    </cfRule>
  </conditionalFormatting>
  <conditionalFormatting sqref="D5">
    <cfRule type="containsBlanks" dxfId="208" priority="23">
      <formula>LEN(TRIM(D5))=0</formula>
    </cfRule>
  </conditionalFormatting>
  <conditionalFormatting sqref="C5">
    <cfRule type="containsBlanks" dxfId="207" priority="22">
      <formula>LEN(TRIM(C5))=0</formula>
    </cfRule>
  </conditionalFormatting>
  <conditionalFormatting sqref="D14">
    <cfRule type="containsBlanks" dxfId="206" priority="21">
      <formula>LEN(TRIM(D14))=0</formula>
    </cfRule>
  </conditionalFormatting>
  <conditionalFormatting sqref="G8:AA8 G10:AA10">
    <cfRule type="containsBlanks" dxfId="205" priority="20">
      <formula>LEN(TRIM(G8))=0</formula>
    </cfRule>
  </conditionalFormatting>
  <conditionalFormatting sqref="G8:AA8 G10:AA10">
    <cfRule type="cellIs" dxfId="204" priority="19" operator="equal">
      <formula>0</formula>
    </cfRule>
  </conditionalFormatting>
  <conditionalFormatting sqref="G7:AA7">
    <cfRule type="containsBlanks" dxfId="203" priority="18">
      <formula>LEN(TRIM(G7))=0</formula>
    </cfRule>
  </conditionalFormatting>
  <conditionalFormatting sqref="G7:AA7">
    <cfRule type="cellIs" dxfId="202" priority="17" operator="equal">
      <formula>0</formula>
    </cfRule>
  </conditionalFormatting>
  <conditionalFormatting sqref="A5">
    <cfRule type="containsBlanks" dxfId="201" priority="15">
      <formula>LEN(TRIM(A5))=0</formula>
    </cfRule>
  </conditionalFormatting>
  <conditionalFormatting sqref="F7">
    <cfRule type="containsBlanks" dxfId="200" priority="16">
      <formula>LEN(TRIM(F7))=0</formula>
    </cfRule>
  </conditionalFormatting>
  <conditionalFormatting sqref="B5">
    <cfRule type="containsBlanks" dxfId="199" priority="14">
      <formula>LEN(TRIM(B5))=0</formula>
    </cfRule>
  </conditionalFormatting>
  <conditionalFormatting sqref="A7:E7">
    <cfRule type="containsBlanks" dxfId="198" priority="13">
      <formula>LEN(TRIM(A7))=0</formula>
    </cfRule>
  </conditionalFormatting>
  <conditionalFormatting sqref="G9">
    <cfRule type="containsBlanks" dxfId="197" priority="12">
      <formula>LEN(TRIM(G9))=0</formula>
    </cfRule>
  </conditionalFormatting>
  <conditionalFormatting sqref="E5">
    <cfRule type="containsBlanks" dxfId="196" priority="11">
      <formula>LEN(TRIM(E5))=0</formula>
    </cfRule>
  </conditionalFormatting>
  <conditionalFormatting sqref="F5">
    <cfRule type="containsBlanks" dxfId="195" priority="10">
      <formula>LEN(TRIM(F5))=0</formula>
    </cfRule>
  </conditionalFormatting>
  <conditionalFormatting sqref="A6">
    <cfRule type="containsBlanks" dxfId="194" priority="9">
      <formula>LEN(TRIM(A6))=0</formula>
    </cfRule>
  </conditionalFormatting>
  <conditionalFormatting sqref="B6">
    <cfRule type="containsBlanks" dxfId="193" priority="8">
      <formula>LEN(TRIM(B6))=0</formula>
    </cfRule>
  </conditionalFormatting>
  <conditionalFormatting sqref="H9:O9 Z9:AA9">
    <cfRule type="containsBlanks" dxfId="192" priority="7">
      <formula>LEN(TRIM(H9))=0</formula>
    </cfRule>
  </conditionalFormatting>
  <conditionalFormatting sqref="H9:O9 Z9:AA9">
    <cfRule type="cellIs" dxfId="191" priority="6" operator="equal">
      <formula>0</formula>
    </cfRule>
  </conditionalFormatting>
  <conditionalFormatting sqref="E6">
    <cfRule type="containsBlanks" dxfId="190" priority="5">
      <formula>LEN(TRIM(E6))=0</formula>
    </cfRule>
  </conditionalFormatting>
  <conditionalFormatting sqref="C6">
    <cfRule type="containsBlanks" dxfId="189" priority="4">
      <formula>LEN(TRIM(C6))=0</formula>
    </cfRule>
  </conditionalFormatting>
  <conditionalFormatting sqref="D6">
    <cfRule type="containsBlanks" dxfId="188" priority="3">
      <formula>LEN(TRIM(D6))=0</formula>
    </cfRule>
  </conditionalFormatting>
  <conditionalFormatting sqref="P9:Y9">
    <cfRule type="containsBlanks" dxfId="187" priority="2">
      <formula>LEN(TRIM(P9))=0</formula>
    </cfRule>
  </conditionalFormatting>
  <conditionalFormatting sqref="P9:Y9">
    <cfRule type="cellIs" dxfId="186" priority="1" operator="equal">
      <formula>0</formula>
    </cfRule>
  </conditionalFormatting>
  <dataValidations count="1">
    <dataValidation type="list" allowBlank="1" showInputMessage="1" showErrorMessage="1" sqref="E26:E27 E15:E23" xr:uid="{D092E87E-80BA-4FCD-9A86-CD25006B39CC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0C8C-4330-4BFA-B45D-1069A2752485}">
  <sheetPr codeName="Hoja51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F18" sqref="D15:F18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258</v>
      </c>
      <c r="B6" s="70">
        <v>45721</v>
      </c>
      <c r="C6" s="54">
        <v>563</v>
      </c>
      <c r="D6" s="58" t="s">
        <v>259</v>
      </c>
      <c r="E6" s="69">
        <v>35000</v>
      </c>
      <c r="F6" s="7">
        <v>563030525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6.0000000000000001E-3</v>
      </c>
      <c r="P6" s="8">
        <v>0.28000000000000003</v>
      </c>
      <c r="Q6" s="8">
        <v>5.8999999999999997E-2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0.182</v>
      </c>
      <c r="Z6" s="8">
        <v>0</v>
      </c>
      <c r="AA6" s="8">
        <v>0</v>
      </c>
    </row>
    <row r="7" spans="1:27" ht="19.5" x14ac:dyDescent="0.25">
      <c r="A7" s="55" t="s">
        <v>258</v>
      </c>
      <c r="B7" s="89">
        <v>45721</v>
      </c>
      <c r="C7" s="55">
        <v>563</v>
      </c>
      <c r="D7" s="55" t="s">
        <v>259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0.24640000000000001</v>
      </c>
      <c r="Q8" s="8">
        <v>4.7500000000000001E-2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259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0.28000000000000003</v>
      </c>
      <c r="Q9" s="8">
        <v>0.06</v>
      </c>
      <c r="R9" s="8">
        <v>0.01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0.31360000000000005</v>
      </c>
      <c r="Q10" s="8">
        <v>7.2499999999999995E-2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600</v>
      </c>
      <c r="G16" s="9">
        <v>60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177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K+4IZv3NJPnWhbAAazDFdoWPtbPofnsIrP7XWKJgnMWuErxzZCBbKi8UHb0LXOr4D8vE0fe7QxobLnZvCRie7Q==" saltValue="bGxEmSaBlNEQmlPZeEma7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85" priority="31">
      <formula>LEN(TRIM(C6))=0</formula>
    </cfRule>
  </conditionalFormatting>
  <conditionalFormatting sqref="H15:AA23 H6:AA6">
    <cfRule type="cellIs" dxfId="184" priority="30" operator="equal">
      <formula>0</formula>
    </cfRule>
  </conditionalFormatting>
  <conditionalFormatting sqref="G15:G23">
    <cfRule type="cellIs" dxfId="183" priority="28" operator="equal">
      <formula>0</formula>
    </cfRule>
    <cfRule type="containsBlanks" dxfId="182" priority="29">
      <formula>LEN(TRIM(G15))=0</formula>
    </cfRule>
  </conditionalFormatting>
  <conditionalFormatting sqref="H5:AA5">
    <cfRule type="containsBlanks" dxfId="181" priority="27">
      <formula>LEN(TRIM(H5))=0</formula>
    </cfRule>
  </conditionalFormatting>
  <conditionalFormatting sqref="G5">
    <cfRule type="containsBlanks" dxfId="180" priority="26">
      <formula>LEN(TRIM(G5))=0</formula>
    </cfRule>
  </conditionalFormatting>
  <conditionalFormatting sqref="F6:G6">
    <cfRule type="containsBlanks" dxfId="179" priority="25">
      <formula>LEN(TRIM(F6))=0</formula>
    </cfRule>
  </conditionalFormatting>
  <conditionalFormatting sqref="H14:AA14">
    <cfRule type="containsBlanks" dxfId="178" priority="24">
      <formula>LEN(TRIM(H14))=0</formula>
    </cfRule>
  </conditionalFormatting>
  <conditionalFormatting sqref="D5">
    <cfRule type="containsBlanks" dxfId="177" priority="23">
      <formula>LEN(TRIM(D5))=0</formula>
    </cfRule>
  </conditionalFormatting>
  <conditionalFormatting sqref="C5">
    <cfRule type="containsBlanks" dxfId="176" priority="22">
      <formula>LEN(TRIM(C5))=0</formula>
    </cfRule>
  </conditionalFormatting>
  <conditionalFormatting sqref="D14">
    <cfRule type="containsBlanks" dxfId="175" priority="21">
      <formula>LEN(TRIM(D14))=0</formula>
    </cfRule>
  </conditionalFormatting>
  <conditionalFormatting sqref="G8:AA8 G10:AA10">
    <cfRule type="containsBlanks" dxfId="174" priority="20">
      <formula>LEN(TRIM(G8))=0</formula>
    </cfRule>
  </conditionalFormatting>
  <conditionalFormatting sqref="G8:AA8 G10:AA10">
    <cfRule type="cellIs" dxfId="173" priority="19" operator="equal">
      <formula>0</formula>
    </cfRule>
  </conditionalFormatting>
  <conditionalFormatting sqref="G7:AA7">
    <cfRule type="containsBlanks" dxfId="172" priority="18">
      <formula>LEN(TRIM(G7))=0</formula>
    </cfRule>
  </conditionalFormatting>
  <conditionalFormatting sqref="G7:AA7">
    <cfRule type="cellIs" dxfId="171" priority="17" operator="equal">
      <formula>0</formula>
    </cfRule>
  </conditionalFormatting>
  <conditionalFormatting sqref="A5">
    <cfRule type="containsBlanks" dxfId="170" priority="15">
      <formula>LEN(TRIM(A5))=0</formula>
    </cfRule>
  </conditionalFormatting>
  <conditionalFormatting sqref="F7">
    <cfRule type="containsBlanks" dxfId="169" priority="16">
      <formula>LEN(TRIM(F7))=0</formula>
    </cfRule>
  </conditionalFormatting>
  <conditionalFormatting sqref="B5">
    <cfRule type="containsBlanks" dxfId="168" priority="14">
      <formula>LEN(TRIM(B5))=0</formula>
    </cfRule>
  </conditionalFormatting>
  <conditionalFormatting sqref="A7:E7">
    <cfRule type="containsBlanks" dxfId="167" priority="13">
      <formula>LEN(TRIM(A7))=0</formula>
    </cfRule>
  </conditionalFormatting>
  <conditionalFormatting sqref="G9">
    <cfRule type="containsBlanks" dxfId="166" priority="12">
      <formula>LEN(TRIM(G9))=0</formula>
    </cfRule>
  </conditionalFormatting>
  <conditionalFormatting sqref="E5">
    <cfRule type="containsBlanks" dxfId="165" priority="11">
      <formula>LEN(TRIM(E5))=0</formula>
    </cfRule>
  </conditionalFormatting>
  <conditionalFormatting sqref="F5">
    <cfRule type="containsBlanks" dxfId="164" priority="10">
      <formula>LEN(TRIM(F5))=0</formula>
    </cfRule>
  </conditionalFormatting>
  <conditionalFormatting sqref="A6">
    <cfRule type="containsBlanks" dxfId="163" priority="9">
      <formula>LEN(TRIM(A6))=0</formula>
    </cfRule>
  </conditionalFormatting>
  <conditionalFormatting sqref="B6">
    <cfRule type="containsBlanks" dxfId="162" priority="8">
      <formula>LEN(TRIM(B6))=0</formula>
    </cfRule>
  </conditionalFormatting>
  <conditionalFormatting sqref="H9:O9 Z9:AA9">
    <cfRule type="containsBlanks" dxfId="161" priority="7">
      <formula>LEN(TRIM(H9))=0</formula>
    </cfRule>
  </conditionalFormatting>
  <conditionalFormatting sqref="H9:O9 Z9:AA9">
    <cfRule type="cellIs" dxfId="160" priority="6" operator="equal">
      <formula>0</formula>
    </cfRule>
  </conditionalFormatting>
  <conditionalFormatting sqref="E6">
    <cfRule type="containsBlanks" dxfId="159" priority="5">
      <formula>LEN(TRIM(E6))=0</formula>
    </cfRule>
  </conditionalFormatting>
  <conditionalFormatting sqref="C6">
    <cfRule type="containsBlanks" dxfId="158" priority="4">
      <formula>LEN(TRIM(C6))=0</formula>
    </cfRule>
  </conditionalFormatting>
  <conditionalFormatting sqref="D6">
    <cfRule type="containsBlanks" dxfId="157" priority="3">
      <formula>LEN(TRIM(D6))=0</formula>
    </cfRule>
  </conditionalFormatting>
  <conditionalFormatting sqref="P9:Y9">
    <cfRule type="containsBlanks" dxfId="156" priority="2">
      <formula>LEN(TRIM(P9))=0</formula>
    </cfRule>
  </conditionalFormatting>
  <conditionalFormatting sqref="P9:Y9">
    <cfRule type="cellIs" dxfId="155" priority="1" operator="equal">
      <formula>0</formula>
    </cfRule>
  </conditionalFormatting>
  <dataValidations count="1">
    <dataValidation type="list" allowBlank="1" showInputMessage="1" showErrorMessage="1" sqref="E26:E27 E15:E23" xr:uid="{F07811D1-5DFC-4880-9965-6A28CF431224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9B78-29CD-4C51-9E80-237A8A9548F8}">
  <sheetPr codeName="Hoja52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G10" sqref="G10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260</v>
      </c>
      <c r="B6" s="70">
        <v>45721</v>
      </c>
      <c r="C6" s="54">
        <v>82</v>
      </c>
      <c r="D6" s="58" t="s">
        <v>185</v>
      </c>
      <c r="E6" s="69">
        <v>36000</v>
      </c>
      <c r="F6" s="7">
        <v>82030525</v>
      </c>
      <c r="G6" s="77">
        <v>0.53</v>
      </c>
      <c r="H6" s="8">
        <v>0</v>
      </c>
      <c r="I6" s="8">
        <v>0.248</v>
      </c>
      <c r="J6" s="8">
        <v>8.9999999999999993E-3</v>
      </c>
      <c r="K6" s="8">
        <v>0</v>
      </c>
      <c r="L6" s="8">
        <v>0</v>
      </c>
      <c r="M6" s="8">
        <v>0.23899999999999999</v>
      </c>
      <c r="N6" s="8">
        <v>4.2000000000000003E-2</v>
      </c>
      <c r="O6" s="8">
        <v>0.24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</row>
    <row r="7" spans="1:27" ht="19.5" x14ac:dyDescent="0.25">
      <c r="A7" s="55" t="s">
        <v>260</v>
      </c>
      <c r="B7" s="89">
        <v>45721</v>
      </c>
      <c r="C7" s="55">
        <v>82</v>
      </c>
      <c r="D7" s="55" t="s">
        <v>185</v>
      </c>
      <c r="E7" s="55">
        <v>36000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>
        <v>0.48000000000000004</v>
      </c>
      <c r="H8" s="8"/>
      <c r="I8" s="8">
        <v>0.236267</v>
      </c>
      <c r="J8" s="8"/>
      <c r="K8" s="8"/>
      <c r="L8" s="8"/>
      <c r="M8" s="8"/>
      <c r="N8" s="8">
        <v>3.1895E-2</v>
      </c>
      <c r="O8" s="8">
        <v>0.221635</v>
      </c>
      <c r="P8" s="8"/>
      <c r="Q8" s="8"/>
      <c r="R8" s="8"/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185</v>
      </c>
      <c r="E9" s="60"/>
      <c r="F9" s="61"/>
      <c r="G9" s="77">
        <v>0.53</v>
      </c>
      <c r="H9" s="8"/>
      <c r="I9" s="8">
        <v>0.25</v>
      </c>
      <c r="J9" s="8">
        <v>0</v>
      </c>
      <c r="K9" s="8"/>
      <c r="L9" s="8"/>
      <c r="M9" s="8"/>
      <c r="N9" s="8">
        <v>0.04</v>
      </c>
      <c r="O9" s="8">
        <v>0.24</v>
      </c>
      <c r="P9" s="8"/>
      <c r="Q9" s="8"/>
      <c r="R9" s="8"/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>
        <v>0.58000000000000007</v>
      </c>
      <c r="H10" s="8"/>
      <c r="I10" s="8">
        <v>0.263733</v>
      </c>
      <c r="J10" s="8"/>
      <c r="K10" s="8"/>
      <c r="L10" s="8"/>
      <c r="M10" s="8"/>
      <c r="N10" s="8">
        <v>4.8105000000000002E-2</v>
      </c>
      <c r="O10" s="8">
        <v>0.25836500000000001</v>
      </c>
      <c r="P10" s="8"/>
      <c r="Q10" s="8"/>
      <c r="R10" s="8"/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261</v>
      </c>
      <c r="F15" s="9">
        <v>520</v>
      </c>
      <c r="G15" s="9">
        <v>52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65</v>
      </c>
      <c r="E16" s="9" t="s">
        <v>133</v>
      </c>
      <c r="F16" s="9">
        <v>400</v>
      </c>
      <c r="G16" s="9">
        <v>40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0.6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97</v>
      </c>
      <c r="E17" s="9" t="s">
        <v>186</v>
      </c>
      <c r="F17" s="9">
        <v>80</v>
      </c>
      <c r="G17" s="9">
        <v>8</v>
      </c>
      <c r="H17" s="10">
        <v>0</v>
      </c>
      <c r="I17" s="10">
        <v>0.11</v>
      </c>
      <c r="J17" s="10">
        <v>0.11</v>
      </c>
      <c r="K17" s="10">
        <v>0</v>
      </c>
      <c r="L17" s="10">
        <v>0</v>
      </c>
      <c r="M17" s="10">
        <v>0</v>
      </c>
      <c r="N17" s="10">
        <v>0.52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7kQGFgKWdAnWThyMIDpj3zFbT/rysB58NJAQgJwHwtXNCwhueyvtJqdpkbAhsSMM60D6cCcFS1/2xBzk4dIuiw==" saltValue="ug8SnAvYcuDS+yWg+WN1d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54" priority="31">
      <formula>LEN(TRIM(C6))=0</formula>
    </cfRule>
  </conditionalFormatting>
  <conditionalFormatting sqref="H15:AA23 H6:AA6">
    <cfRule type="cellIs" dxfId="153" priority="30" operator="equal">
      <formula>0</formula>
    </cfRule>
  </conditionalFormatting>
  <conditionalFormatting sqref="G15:G23">
    <cfRule type="cellIs" dxfId="152" priority="28" operator="equal">
      <formula>0</formula>
    </cfRule>
    <cfRule type="containsBlanks" dxfId="151" priority="29">
      <formula>LEN(TRIM(G15))=0</formula>
    </cfRule>
  </conditionalFormatting>
  <conditionalFormatting sqref="H5:AA5">
    <cfRule type="containsBlanks" dxfId="150" priority="27">
      <formula>LEN(TRIM(H5))=0</formula>
    </cfRule>
  </conditionalFormatting>
  <conditionalFormatting sqref="G5">
    <cfRule type="containsBlanks" dxfId="149" priority="26">
      <formula>LEN(TRIM(G5))=0</formula>
    </cfRule>
  </conditionalFormatting>
  <conditionalFormatting sqref="F6:G6">
    <cfRule type="containsBlanks" dxfId="148" priority="25">
      <formula>LEN(TRIM(F6))=0</formula>
    </cfRule>
  </conditionalFormatting>
  <conditionalFormatting sqref="H14:AA14">
    <cfRule type="containsBlanks" dxfId="147" priority="24">
      <formula>LEN(TRIM(H14))=0</formula>
    </cfRule>
  </conditionalFormatting>
  <conditionalFormatting sqref="D5">
    <cfRule type="containsBlanks" dxfId="146" priority="23">
      <formula>LEN(TRIM(D5))=0</formula>
    </cfRule>
  </conditionalFormatting>
  <conditionalFormatting sqref="C5">
    <cfRule type="containsBlanks" dxfId="145" priority="22">
      <formula>LEN(TRIM(C5))=0</formula>
    </cfRule>
  </conditionalFormatting>
  <conditionalFormatting sqref="D14">
    <cfRule type="containsBlanks" dxfId="144" priority="21">
      <formula>LEN(TRIM(D14))=0</formula>
    </cfRule>
  </conditionalFormatting>
  <conditionalFormatting sqref="G8:AA8 G10:AA10">
    <cfRule type="containsBlanks" dxfId="143" priority="20">
      <formula>LEN(TRIM(G8))=0</formula>
    </cfRule>
  </conditionalFormatting>
  <conditionalFormatting sqref="G8:AA8 G10:AA10">
    <cfRule type="cellIs" dxfId="142" priority="19" operator="equal">
      <formula>0</formula>
    </cfRule>
  </conditionalFormatting>
  <conditionalFormatting sqref="G7:AA7">
    <cfRule type="containsBlanks" dxfId="141" priority="18">
      <formula>LEN(TRIM(G7))=0</formula>
    </cfRule>
  </conditionalFormatting>
  <conditionalFormatting sqref="G7:AA7">
    <cfRule type="cellIs" dxfId="140" priority="17" operator="equal">
      <formula>0</formula>
    </cfRule>
  </conditionalFormatting>
  <conditionalFormatting sqref="A5">
    <cfRule type="containsBlanks" dxfId="139" priority="15">
      <formula>LEN(TRIM(A5))=0</formula>
    </cfRule>
  </conditionalFormatting>
  <conditionalFormatting sqref="F7">
    <cfRule type="containsBlanks" dxfId="138" priority="16">
      <formula>LEN(TRIM(F7))=0</formula>
    </cfRule>
  </conditionalFormatting>
  <conditionalFormatting sqref="B5">
    <cfRule type="containsBlanks" dxfId="137" priority="14">
      <formula>LEN(TRIM(B5))=0</formula>
    </cfRule>
  </conditionalFormatting>
  <conditionalFormatting sqref="A7:E7">
    <cfRule type="containsBlanks" dxfId="136" priority="13">
      <formula>LEN(TRIM(A7))=0</formula>
    </cfRule>
  </conditionalFormatting>
  <conditionalFormatting sqref="G9">
    <cfRule type="containsBlanks" dxfId="135" priority="12">
      <formula>LEN(TRIM(G9))=0</formula>
    </cfRule>
  </conditionalFormatting>
  <conditionalFormatting sqref="E5">
    <cfRule type="containsBlanks" dxfId="134" priority="11">
      <formula>LEN(TRIM(E5))=0</formula>
    </cfRule>
  </conditionalFormatting>
  <conditionalFormatting sqref="F5">
    <cfRule type="containsBlanks" dxfId="133" priority="10">
      <formula>LEN(TRIM(F5))=0</formula>
    </cfRule>
  </conditionalFormatting>
  <conditionalFormatting sqref="A6">
    <cfRule type="containsBlanks" dxfId="132" priority="9">
      <formula>LEN(TRIM(A6))=0</formula>
    </cfRule>
  </conditionalFormatting>
  <conditionalFormatting sqref="B6">
    <cfRule type="containsBlanks" dxfId="131" priority="8">
      <formula>LEN(TRIM(B6))=0</formula>
    </cfRule>
  </conditionalFormatting>
  <conditionalFormatting sqref="H9:O9 Z9:AA9">
    <cfRule type="containsBlanks" dxfId="130" priority="7">
      <formula>LEN(TRIM(H9))=0</formula>
    </cfRule>
  </conditionalFormatting>
  <conditionalFormatting sqref="H9:O9 Z9:AA9">
    <cfRule type="cellIs" dxfId="129" priority="6" operator="equal">
      <formula>0</formula>
    </cfRule>
  </conditionalFormatting>
  <conditionalFormatting sqref="E6">
    <cfRule type="containsBlanks" dxfId="128" priority="5">
      <formula>LEN(TRIM(E6))=0</formula>
    </cfRule>
  </conditionalFormatting>
  <conditionalFormatting sqref="C6">
    <cfRule type="containsBlanks" dxfId="127" priority="4">
      <formula>LEN(TRIM(C6))=0</formula>
    </cfRule>
  </conditionalFormatting>
  <conditionalFormatting sqref="D6">
    <cfRule type="containsBlanks" dxfId="126" priority="3">
      <formula>LEN(TRIM(D6))=0</formula>
    </cfRule>
  </conditionalFormatting>
  <conditionalFormatting sqref="P9:Y9">
    <cfRule type="containsBlanks" dxfId="125" priority="2">
      <formula>LEN(TRIM(P9))=0</formula>
    </cfRule>
  </conditionalFormatting>
  <conditionalFormatting sqref="P9:Y9">
    <cfRule type="cellIs" dxfId="124" priority="1" operator="equal">
      <formula>0</formula>
    </cfRule>
  </conditionalFormatting>
  <dataValidations count="1">
    <dataValidation type="list" allowBlank="1" showInputMessage="1" showErrorMessage="1" sqref="E26:E27 E15:E23" xr:uid="{E1BE0919-A19B-4DB8-8E01-EE19A9B071A7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BC5C3-B376-487C-8A5E-5A3E0FBA253F}">
  <sheetPr codeName="Hoja53">
    <tabColor rgb="FFC00000"/>
  </sheetPr>
  <dimension ref="A1:AA32"/>
  <sheetViews>
    <sheetView zoomScaleNormal="100" workbookViewId="0">
      <pane xSplit="4" topLeftCell="F1" activePane="topRight" state="frozen"/>
      <selection activeCell="C8" sqref="C8"/>
      <selection pane="topRight" activeCell="X9" sqref="X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262</v>
      </c>
      <c r="B6" s="70" t="s">
        <v>263</v>
      </c>
      <c r="C6" s="54">
        <v>65</v>
      </c>
      <c r="D6" s="58" t="s">
        <v>153</v>
      </c>
      <c r="E6" s="69">
        <v>70000</v>
      </c>
      <c r="F6" s="7">
        <v>65270425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262</v>
      </c>
      <c r="B7" s="55" t="s">
        <v>263</v>
      </c>
      <c r="C7" s="55">
        <v>65</v>
      </c>
      <c r="D7" s="55" t="s">
        <v>153</v>
      </c>
      <c r="E7" s="55">
        <v>70000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3.4000000000000002E-2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153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0.16</v>
      </c>
      <c r="Q9" s="8">
        <v>0.16</v>
      </c>
      <c r="R9" s="8">
        <v>0.04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4.5999999999999999E-2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65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155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VDt/76iC8+V1YGaMmHqgrP7P5Gk9Bjm0r6WgYKujOGuNq0WAF7t5iJNDbt7xO1MrgnsPc9lCgXxM6b31XtnA/A==" saltValue="dbKSC67MXPOJ/DJNLp9kk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23" priority="31">
      <formula>LEN(TRIM(C6))=0</formula>
    </cfRule>
  </conditionalFormatting>
  <conditionalFormatting sqref="H15:AA23 H6:AA6">
    <cfRule type="cellIs" dxfId="122" priority="30" operator="equal">
      <formula>0</formula>
    </cfRule>
  </conditionalFormatting>
  <conditionalFormatting sqref="G15:G23">
    <cfRule type="cellIs" dxfId="121" priority="28" operator="equal">
      <formula>0</formula>
    </cfRule>
    <cfRule type="containsBlanks" dxfId="120" priority="29">
      <formula>LEN(TRIM(G15))=0</formula>
    </cfRule>
  </conditionalFormatting>
  <conditionalFormatting sqref="H5:AA5">
    <cfRule type="containsBlanks" dxfId="119" priority="27">
      <formula>LEN(TRIM(H5))=0</formula>
    </cfRule>
  </conditionalFormatting>
  <conditionalFormatting sqref="G5">
    <cfRule type="containsBlanks" dxfId="118" priority="26">
      <formula>LEN(TRIM(G5))=0</formula>
    </cfRule>
  </conditionalFormatting>
  <conditionalFormatting sqref="F6:G6">
    <cfRule type="containsBlanks" dxfId="117" priority="25">
      <formula>LEN(TRIM(F6))=0</formula>
    </cfRule>
  </conditionalFormatting>
  <conditionalFormatting sqref="H14:AA14">
    <cfRule type="containsBlanks" dxfId="116" priority="24">
      <formula>LEN(TRIM(H14))=0</formula>
    </cfRule>
  </conditionalFormatting>
  <conditionalFormatting sqref="D5">
    <cfRule type="containsBlanks" dxfId="115" priority="23">
      <formula>LEN(TRIM(D5))=0</formula>
    </cfRule>
  </conditionalFormatting>
  <conditionalFormatting sqref="C5">
    <cfRule type="containsBlanks" dxfId="114" priority="22">
      <formula>LEN(TRIM(C5))=0</formula>
    </cfRule>
  </conditionalFormatting>
  <conditionalFormatting sqref="D14">
    <cfRule type="containsBlanks" dxfId="113" priority="21">
      <formula>LEN(TRIM(D14))=0</formula>
    </cfRule>
  </conditionalFormatting>
  <conditionalFormatting sqref="G8:AA8 G10:AA10">
    <cfRule type="containsBlanks" dxfId="112" priority="20">
      <formula>LEN(TRIM(G8))=0</formula>
    </cfRule>
  </conditionalFormatting>
  <conditionalFormatting sqref="G8:AA8 G10:AA10">
    <cfRule type="cellIs" dxfId="111" priority="19" operator="equal">
      <formula>0</formula>
    </cfRule>
  </conditionalFormatting>
  <conditionalFormatting sqref="G7:AA7">
    <cfRule type="containsBlanks" dxfId="110" priority="18">
      <formula>LEN(TRIM(G7))=0</formula>
    </cfRule>
  </conditionalFormatting>
  <conditionalFormatting sqref="G7:AA7">
    <cfRule type="cellIs" dxfId="109" priority="17" operator="equal">
      <formula>0</formula>
    </cfRule>
  </conditionalFormatting>
  <conditionalFormatting sqref="A5">
    <cfRule type="containsBlanks" dxfId="108" priority="15">
      <formula>LEN(TRIM(A5))=0</formula>
    </cfRule>
  </conditionalFormatting>
  <conditionalFormatting sqref="F7">
    <cfRule type="containsBlanks" dxfId="107" priority="16">
      <formula>LEN(TRIM(F7))=0</formula>
    </cfRule>
  </conditionalFormatting>
  <conditionalFormatting sqref="B5">
    <cfRule type="containsBlanks" dxfId="106" priority="14">
      <formula>LEN(TRIM(B5))=0</formula>
    </cfRule>
  </conditionalFormatting>
  <conditionalFormatting sqref="A7:E7">
    <cfRule type="containsBlanks" dxfId="105" priority="13">
      <formula>LEN(TRIM(A7))=0</formula>
    </cfRule>
  </conditionalFormatting>
  <conditionalFormatting sqref="G9">
    <cfRule type="containsBlanks" dxfId="104" priority="12">
      <formula>LEN(TRIM(G9))=0</formula>
    </cfRule>
  </conditionalFormatting>
  <conditionalFormatting sqref="E5">
    <cfRule type="containsBlanks" dxfId="103" priority="11">
      <formula>LEN(TRIM(E5))=0</formula>
    </cfRule>
  </conditionalFormatting>
  <conditionalFormatting sqref="F5">
    <cfRule type="containsBlanks" dxfId="102" priority="10">
      <formula>LEN(TRIM(F5))=0</formula>
    </cfRule>
  </conditionalFormatting>
  <conditionalFormatting sqref="A6">
    <cfRule type="containsBlanks" dxfId="101" priority="9">
      <formula>LEN(TRIM(A6))=0</formula>
    </cfRule>
  </conditionalFormatting>
  <conditionalFormatting sqref="B6">
    <cfRule type="containsBlanks" dxfId="100" priority="8">
      <formula>LEN(TRIM(B6))=0</formula>
    </cfRule>
  </conditionalFormatting>
  <conditionalFormatting sqref="H9:O9 Z9:AA9">
    <cfRule type="containsBlanks" dxfId="99" priority="7">
      <formula>LEN(TRIM(H9))=0</formula>
    </cfRule>
  </conditionalFormatting>
  <conditionalFormatting sqref="H9:O9 Z9:AA9">
    <cfRule type="cellIs" dxfId="98" priority="6" operator="equal">
      <formula>0</formula>
    </cfRule>
  </conditionalFormatting>
  <conditionalFormatting sqref="E6">
    <cfRule type="containsBlanks" dxfId="97" priority="5">
      <formula>LEN(TRIM(E6))=0</formula>
    </cfRule>
  </conditionalFormatting>
  <conditionalFormatting sqref="C6">
    <cfRule type="containsBlanks" dxfId="96" priority="4">
      <formula>LEN(TRIM(C6))=0</formula>
    </cfRule>
  </conditionalFormatting>
  <conditionalFormatting sqref="D6">
    <cfRule type="containsBlanks" dxfId="95" priority="3">
      <formula>LEN(TRIM(D6))=0</formula>
    </cfRule>
  </conditionalFormatting>
  <conditionalFormatting sqref="P9:Y9">
    <cfRule type="containsBlanks" dxfId="94" priority="2">
      <formula>LEN(TRIM(P9))=0</formula>
    </cfRule>
  </conditionalFormatting>
  <conditionalFormatting sqref="P9:Y9">
    <cfRule type="cellIs" dxfId="93" priority="1" operator="equal">
      <formula>0</formula>
    </cfRule>
  </conditionalFormatting>
  <dataValidations count="1">
    <dataValidation type="list" allowBlank="1" showInputMessage="1" showErrorMessage="1" sqref="E26:E27 E15:E23" xr:uid="{F2FFBAD4-130E-4CCE-B127-791555B48F92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FEC5-DEF8-42C2-B639-F563E2671079}">
  <sheetPr codeName="Hoja54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D36" sqref="D36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265</v>
      </c>
      <c r="B6" s="70">
        <v>45782</v>
      </c>
      <c r="C6" s="54">
        <v>62</v>
      </c>
      <c r="D6" s="58" t="s">
        <v>190</v>
      </c>
      <c r="E6" s="69">
        <v>35000</v>
      </c>
      <c r="F6" s="7">
        <v>62050525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1.6E-2</v>
      </c>
      <c r="P6" s="8">
        <v>0.17199999999999999</v>
      </c>
      <c r="Q6" s="8">
        <v>3.9E-2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0.37</v>
      </c>
      <c r="Z6" s="8">
        <v>0</v>
      </c>
      <c r="AA6" s="8">
        <v>0</v>
      </c>
    </row>
    <row r="7" spans="1:27" ht="19.5" x14ac:dyDescent="0.25">
      <c r="A7" s="55" t="s">
        <v>265</v>
      </c>
      <c r="B7" s="89">
        <v>45782</v>
      </c>
      <c r="C7" s="55">
        <v>62</v>
      </c>
      <c r="D7" s="55" t="s">
        <v>190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0.15689999999999998</v>
      </c>
      <c r="Q8" s="8">
        <v>0.03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190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0.18</v>
      </c>
      <c r="Q9" s="8">
        <v>0.04</v>
      </c>
      <c r="R9" s="8">
        <v>0.01</v>
      </c>
      <c r="S9" s="8"/>
      <c r="T9" s="8"/>
      <c r="U9" s="8"/>
      <c r="V9" s="8"/>
      <c r="W9" s="8"/>
      <c r="X9" s="8"/>
      <c r="Y9" s="8">
        <v>0.35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0.2031</v>
      </c>
      <c r="Q10" s="8">
        <v>0.05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300</v>
      </c>
      <c r="G16" s="9">
        <v>30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177</v>
      </c>
      <c r="F17" s="9">
        <v>650</v>
      </c>
      <c r="G17" s="9">
        <v>65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CH2IoJm6ltHL/nxLq58sYrMGHqMmkG2CjBpX1+qdDy587/o3CWzLKCu74+IOTIO1dR6mZSIHTG06XV5qSNTGEQ==" saltValue="GPEKYzP5Yp/JZa+Jr1kui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92" priority="31">
      <formula>LEN(TRIM(C6))=0</formula>
    </cfRule>
  </conditionalFormatting>
  <conditionalFormatting sqref="H15:AA23 H6:AA6">
    <cfRule type="cellIs" dxfId="91" priority="30" operator="equal">
      <formula>0</formula>
    </cfRule>
  </conditionalFormatting>
  <conditionalFormatting sqref="G15:G23">
    <cfRule type="cellIs" dxfId="90" priority="28" operator="equal">
      <formula>0</formula>
    </cfRule>
    <cfRule type="containsBlanks" dxfId="89" priority="29">
      <formula>LEN(TRIM(G15))=0</formula>
    </cfRule>
  </conditionalFormatting>
  <conditionalFormatting sqref="H5:AA5">
    <cfRule type="containsBlanks" dxfId="88" priority="27">
      <formula>LEN(TRIM(H5))=0</formula>
    </cfRule>
  </conditionalFormatting>
  <conditionalFormatting sqref="G5">
    <cfRule type="containsBlanks" dxfId="87" priority="26">
      <formula>LEN(TRIM(G5))=0</formula>
    </cfRule>
  </conditionalFormatting>
  <conditionalFormatting sqref="F6:G6">
    <cfRule type="containsBlanks" dxfId="86" priority="25">
      <formula>LEN(TRIM(F6))=0</formula>
    </cfRule>
  </conditionalFormatting>
  <conditionalFormatting sqref="H14:AA14">
    <cfRule type="containsBlanks" dxfId="85" priority="24">
      <formula>LEN(TRIM(H14))=0</formula>
    </cfRule>
  </conditionalFormatting>
  <conditionalFormatting sqref="D5">
    <cfRule type="containsBlanks" dxfId="84" priority="23">
      <formula>LEN(TRIM(D5))=0</formula>
    </cfRule>
  </conditionalFormatting>
  <conditionalFormatting sqref="C5">
    <cfRule type="containsBlanks" dxfId="83" priority="22">
      <formula>LEN(TRIM(C5))=0</formula>
    </cfRule>
  </conditionalFormatting>
  <conditionalFormatting sqref="D14">
    <cfRule type="containsBlanks" dxfId="82" priority="21">
      <formula>LEN(TRIM(D14))=0</formula>
    </cfRule>
  </conditionalFormatting>
  <conditionalFormatting sqref="G8:AA8 G10:AA10">
    <cfRule type="containsBlanks" dxfId="81" priority="20">
      <formula>LEN(TRIM(G8))=0</formula>
    </cfRule>
  </conditionalFormatting>
  <conditionalFormatting sqref="G8:AA8 G10:AA10">
    <cfRule type="cellIs" dxfId="80" priority="19" operator="equal">
      <formula>0</formula>
    </cfRule>
  </conditionalFormatting>
  <conditionalFormatting sqref="G7:AA7">
    <cfRule type="containsBlanks" dxfId="79" priority="18">
      <formula>LEN(TRIM(G7))=0</formula>
    </cfRule>
  </conditionalFormatting>
  <conditionalFormatting sqref="G7:AA7">
    <cfRule type="cellIs" dxfId="78" priority="17" operator="equal">
      <formula>0</formula>
    </cfRule>
  </conditionalFormatting>
  <conditionalFormatting sqref="A5">
    <cfRule type="containsBlanks" dxfId="77" priority="15">
      <formula>LEN(TRIM(A5))=0</formula>
    </cfRule>
  </conditionalFormatting>
  <conditionalFormatting sqref="F7">
    <cfRule type="containsBlanks" dxfId="76" priority="16">
      <formula>LEN(TRIM(F7))=0</formula>
    </cfRule>
  </conditionalFormatting>
  <conditionalFormatting sqref="B5">
    <cfRule type="containsBlanks" dxfId="75" priority="14">
      <formula>LEN(TRIM(B5))=0</formula>
    </cfRule>
  </conditionalFormatting>
  <conditionalFormatting sqref="A7:E7">
    <cfRule type="containsBlanks" dxfId="74" priority="13">
      <formula>LEN(TRIM(A7))=0</formula>
    </cfRule>
  </conditionalFormatting>
  <conditionalFormatting sqref="G9">
    <cfRule type="containsBlanks" dxfId="73" priority="12">
      <formula>LEN(TRIM(G9))=0</formula>
    </cfRule>
  </conditionalFormatting>
  <conditionalFormatting sqref="E5">
    <cfRule type="containsBlanks" dxfId="72" priority="11">
      <formula>LEN(TRIM(E5))=0</formula>
    </cfRule>
  </conditionalFormatting>
  <conditionalFormatting sqref="F5">
    <cfRule type="containsBlanks" dxfId="71" priority="10">
      <formula>LEN(TRIM(F5))=0</formula>
    </cfRule>
  </conditionalFormatting>
  <conditionalFormatting sqref="A6">
    <cfRule type="containsBlanks" dxfId="70" priority="9">
      <formula>LEN(TRIM(A6))=0</formula>
    </cfRule>
  </conditionalFormatting>
  <conditionalFormatting sqref="B6">
    <cfRule type="containsBlanks" dxfId="69" priority="8">
      <formula>LEN(TRIM(B6))=0</formula>
    </cfRule>
  </conditionalFormatting>
  <conditionalFormatting sqref="H9:O9 Z9:AA9">
    <cfRule type="containsBlanks" dxfId="68" priority="7">
      <formula>LEN(TRIM(H9))=0</formula>
    </cfRule>
  </conditionalFormatting>
  <conditionalFormatting sqref="H9:O9 Z9:AA9">
    <cfRule type="cellIs" dxfId="67" priority="6" operator="equal">
      <formula>0</formula>
    </cfRule>
  </conditionalFormatting>
  <conditionalFormatting sqref="P9:Y9">
    <cfRule type="containsBlanks" dxfId="66" priority="5">
      <formula>LEN(TRIM(P9))=0</formula>
    </cfRule>
  </conditionalFormatting>
  <conditionalFormatting sqref="P9:Y9">
    <cfRule type="cellIs" dxfId="65" priority="4" operator="equal">
      <formula>0</formula>
    </cfRule>
  </conditionalFormatting>
  <conditionalFormatting sqref="E6">
    <cfRule type="containsBlanks" dxfId="64" priority="3">
      <formula>LEN(TRIM(E6))=0</formula>
    </cfRule>
  </conditionalFormatting>
  <conditionalFormatting sqref="C6">
    <cfRule type="containsBlanks" dxfId="63" priority="2">
      <formula>LEN(TRIM(C6))=0</formula>
    </cfRule>
  </conditionalFormatting>
  <conditionalFormatting sqref="D6">
    <cfRule type="containsBlanks" dxfId="62" priority="1">
      <formula>LEN(TRIM(D6))=0</formula>
    </cfRule>
  </conditionalFormatting>
  <dataValidations count="1">
    <dataValidation type="list" allowBlank="1" showInputMessage="1" showErrorMessage="1" sqref="E26:E27 E15:E23" xr:uid="{2FABE374-E86D-4114-8CEB-3A972154AB2C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AE85D-A592-4CFF-ACEE-C2D430457001}">
  <sheetPr codeName="Hoja55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D35" sqref="D35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264</v>
      </c>
      <c r="B6" s="70">
        <v>45782</v>
      </c>
      <c r="C6" s="54">
        <v>563</v>
      </c>
      <c r="D6" s="58" t="s">
        <v>115</v>
      </c>
      <c r="E6" s="69">
        <v>35000</v>
      </c>
      <c r="F6" s="7">
        <v>563050525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6.0000000000000001E-3</v>
      </c>
      <c r="P6" s="8">
        <v>0.28000000000000003</v>
      </c>
      <c r="Q6" s="8">
        <v>5.8999999999999997E-2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0.182</v>
      </c>
      <c r="Z6" s="8">
        <v>0</v>
      </c>
      <c r="AA6" s="8">
        <v>0</v>
      </c>
    </row>
    <row r="7" spans="1:27" ht="19.5" x14ac:dyDescent="0.25">
      <c r="A7" s="55" t="s">
        <v>264</v>
      </c>
      <c r="B7" s="89">
        <v>45782</v>
      </c>
      <c r="C7" s="55">
        <v>563</v>
      </c>
      <c r="D7" s="55" t="s">
        <v>115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>
        <v>0.24640000000000001</v>
      </c>
      <c r="Q8" s="8">
        <v>4.7500000000000001E-2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115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>
        <v>0.28000000000000003</v>
      </c>
      <c r="Q9" s="8">
        <v>0.06</v>
      </c>
      <c r="R9" s="8">
        <v>0.01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>
        <v>0.31360000000000005</v>
      </c>
      <c r="Q10" s="8">
        <v>7.2499999999999995E-2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600</v>
      </c>
      <c r="G16" s="9">
        <v>60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85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dIeXdpxJOt0s8h2eSRVU/KOophwOTeDITwIK9tf2KIviMYDIggmVoe+aKiBg0uG/LTqnFm1ngSEaXbhV1uwxjQ==" saltValue="pxk9IROIjYA6/VdKSo9p8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61" priority="31">
      <formula>LEN(TRIM(C6))=0</formula>
    </cfRule>
  </conditionalFormatting>
  <conditionalFormatting sqref="H15:AA23 H6:AA6">
    <cfRule type="cellIs" dxfId="60" priority="30" operator="equal">
      <formula>0</formula>
    </cfRule>
  </conditionalFormatting>
  <conditionalFormatting sqref="G15:G23">
    <cfRule type="cellIs" dxfId="59" priority="28" operator="equal">
      <formula>0</formula>
    </cfRule>
    <cfRule type="containsBlanks" dxfId="58" priority="29">
      <formula>LEN(TRIM(G15))=0</formula>
    </cfRule>
  </conditionalFormatting>
  <conditionalFormatting sqref="H5:AA5">
    <cfRule type="containsBlanks" dxfId="57" priority="27">
      <formula>LEN(TRIM(H5))=0</formula>
    </cfRule>
  </conditionalFormatting>
  <conditionalFormatting sqref="G5">
    <cfRule type="containsBlanks" dxfId="56" priority="26">
      <formula>LEN(TRIM(G5))=0</formula>
    </cfRule>
  </conditionalFormatting>
  <conditionalFormatting sqref="F6:G6">
    <cfRule type="containsBlanks" dxfId="55" priority="25">
      <formula>LEN(TRIM(F6))=0</formula>
    </cfRule>
  </conditionalFormatting>
  <conditionalFormatting sqref="H14:AA14">
    <cfRule type="containsBlanks" dxfId="54" priority="24">
      <formula>LEN(TRIM(H14))=0</formula>
    </cfRule>
  </conditionalFormatting>
  <conditionalFormatting sqref="D5">
    <cfRule type="containsBlanks" dxfId="53" priority="23">
      <formula>LEN(TRIM(D5))=0</formula>
    </cfRule>
  </conditionalFormatting>
  <conditionalFormatting sqref="C5">
    <cfRule type="containsBlanks" dxfId="52" priority="22">
      <formula>LEN(TRIM(C5))=0</formula>
    </cfRule>
  </conditionalFormatting>
  <conditionalFormatting sqref="D14">
    <cfRule type="containsBlanks" dxfId="51" priority="21">
      <formula>LEN(TRIM(D14))=0</formula>
    </cfRule>
  </conditionalFormatting>
  <conditionalFormatting sqref="G8:AA8 G10:AA10">
    <cfRule type="containsBlanks" dxfId="50" priority="20">
      <formula>LEN(TRIM(G8))=0</formula>
    </cfRule>
  </conditionalFormatting>
  <conditionalFormatting sqref="G8:AA8 G10:AA10">
    <cfRule type="cellIs" dxfId="49" priority="19" operator="equal">
      <formula>0</formula>
    </cfRule>
  </conditionalFormatting>
  <conditionalFormatting sqref="G7:AA7">
    <cfRule type="containsBlanks" dxfId="48" priority="18">
      <formula>LEN(TRIM(G7))=0</formula>
    </cfRule>
  </conditionalFormatting>
  <conditionalFormatting sqref="G7:AA7">
    <cfRule type="cellIs" dxfId="47" priority="17" operator="equal">
      <formula>0</formula>
    </cfRule>
  </conditionalFormatting>
  <conditionalFormatting sqref="A5">
    <cfRule type="containsBlanks" dxfId="46" priority="15">
      <formula>LEN(TRIM(A5))=0</formula>
    </cfRule>
  </conditionalFormatting>
  <conditionalFormatting sqref="F7">
    <cfRule type="containsBlanks" dxfId="45" priority="16">
      <formula>LEN(TRIM(F7))=0</formula>
    </cfRule>
  </conditionalFormatting>
  <conditionalFormatting sqref="B5">
    <cfRule type="containsBlanks" dxfId="44" priority="14">
      <formula>LEN(TRIM(B5))=0</formula>
    </cfRule>
  </conditionalFormatting>
  <conditionalFormatting sqref="A7:E7">
    <cfRule type="containsBlanks" dxfId="43" priority="13">
      <formula>LEN(TRIM(A7))=0</formula>
    </cfRule>
  </conditionalFormatting>
  <conditionalFormatting sqref="G9">
    <cfRule type="containsBlanks" dxfId="42" priority="12">
      <formula>LEN(TRIM(G9))=0</formula>
    </cfRule>
  </conditionalFormatting>
  <conditionalFormatting sqref="E5">
    <cfRule type="containsBlanks" dxfId="41" priority="11">
      <formula>LEN(TRIM(E5))=0</formula>
    </cfRule>
  </conditionalFormatting>
  <conditionalFormatting sqref="F5">
    <cfRule type="containsBlanks" dxfId="40" priority="10">
      <formula>LEN(TRIM(F5))=0</formula>
    </cfRule>
  </conditionalFormatting>
  <conditionalFormatting sqref="A6">
    <cfRule type="containsBlanks" dxfId="39" priority="9">
      <formula>LEN(TRIM(A6))=0</formula>
    </cfRule>
  </conditionalFormatting>
  <conditionalFormatting sqref="B6">
    <cfRule type="containsBlanks" dxfId="38" priority="8">
      <formula>LEN(TRIM(B6))=0</formula>
    </cfRule>
  </conditionalFormatting>
  <conditionalFormatting sqref="H9:O9 Z9:AA9">
    <cfRule type="containsBlanks" dxfId="37" priority="7">
      <formula>LEN(TRIM(H9))=0</formula>
    </cfRule>
  </conditionalFormatting>
  <conditionalFormatting sqref="H9:O9 Z9:AA9">
    <cfRule type="cellIs" dxfId="36" priority="6" operator="equal">
      <formula>0</formula>
    </cfRule>
  </conditionalFormatting>
  <conditionalFormatting sqref="E6">
    <cfRule type="containsBlanks" dxfId="35" priority="5">
      <formula>LEN(TRIM(E6))=0</formula>
    </cfRule>
  </conditionalFormatting>
  <conditionalFormatting sqref="C6">
    <cfRule type="containsBlanks" dxfId="34" priority="4">
      <formula>LEN(TRIM(C6))=0</formula>
    </cfRule>
  </conditionalFormatting>
  <conditionalFormatting sqref="D6">
    <cfRule type="containsBlanks" dxfId="33" priority="3">
      <formula>LEN(TRIM(D6))=0</formula>
    </cfRule>
  </conditionalFormatting>
  <conditionalFormatting sqref="P9:Y9">
    <cfRule type="containsBlanks" dxfId="32" priority="2">
      <formula>LEN(TRIM(P9))=0</formula>
    </cfRule>
  </conditionalFormatting>
  <conditionalFormatting sqref="P9:Y9">
    <cfRule type="cellIs" dxfId="31" priority="1" operator="equal">
      <formula>0</formula>
    </cfRule>
  </conditionalFormatting>
  <dataValidations count="1">
    <dataValidation type="list" allowBlank="1" showInputMessage="1" showErrorMessage="1" sqref="E26:E27 E15:E23" xr:uid="{D700DBE8-2C23-4EEF-A646-C41A02FE9B39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5D800-A8B0-47A3-8138-886C027D0AFF}">
  <sheetPr codeName="Hoja56">
    <tabColor rgb="FFC00000"/>
  </sheetPr>
  <dimension ref="A1:AA32"/>
  <sheetViews>
    <sheetView zoomScaleNormal="100" workbookViewId="0">
      <pane xSplit="4" topLeftCell="E1" activePane="topRight" state="frozen"/>
      <selection activeCell="C8" sqref="C8"/>
      <selection pane="topRight" activeCell="E19" sqref="E1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121" t="s">
        <v>125</v>
      </c>
      <c r="E1" s="122"/>
      <c r="F1" s="21" t="s">
        <v>103</v>
      </c>
    </row>
    <row r="2" spans="1:27" x14ac:dyDescent="0.25">
      <c r="A2" s="57"/>
      <c r="B2" s="65"/>
      <c r="C2" s="66"/>
      <c r="D2" s="123"/>
      <c r="E2" s="124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266</v>
      </c>
      <c r="B6" s="70">
        <v>45813</v>
      </c>
      <c r="C6" s="54">
        <v>604</v>
      </c>
      <c r="D6" s="58" t="s">
        <v>267</v>
      </c>
      <c r="E6" s="69">
        <v>35000</v>
      </c>
      <c r="F6" s="7">
        <v>604060525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0.35499999999999998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0.376</v>
      </c>
      <c r="Z6" s="8">
        <v>0</v>
      </c>
      <c r="AA6" s="8">
        <v>0</v>
      </c>
    </row>
    <row r="7" spans="1:27" ht="19.5" x14ac:dyDescent="0.25">
      <c r="A7" s="55" t="s">
        <v>266</v>
      </c>
      <c r="B7" s="89">
        <v>45813</v>
      </c>
      <c r="C7" s="55">
        <v>604</v>
      </c>
      <c r="D7" s="55" t="s">
        <v>267</v>
      </c>
      <c r="E7" s="55">
        <v>35000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/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125" t="s">
        <v>108</v>
      </c>
      <c r="D8" s="126"/>
      <c r="E8" s="126"/>
      <c r="F8" s="127"/>
      <c r="G8" s="8"/>
      <c r="H8" s="8"/>
      <c r="I8" s="8"/>
      <c r="J8" s="8"/>
      <c r="K8" s="8"/>
      <c r="L8" s="8"/>
      <c r="M8" s="8"/>
      <c r="N8" s="8"/>
      <c r="O8" s="8"/>
      <c r="P8" s="8"/>
      <c r="Q8" s="8">
        <v>0.30124999999999996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267</v>
      </c>
      <c r="E9" s="60"/>
      <c r="F9" s="61"/>
      <c r="G9" s="77"/>
      <c r="H9" s="8"/>
      <c r="I9" s="8"/>
      <c r="J9" s="8">
        <v>0</v>
      </c>
      <c r="K9" s="8"/>
      <c r="L9" s="8"/>
      <c r="M9" s="8"/>
      <c r="N9" s="8"/>
      <c r="O9" s="8"/>
      <c r="P9" s="8"/>
      <c r="Q9" s="8">
        <v>0.35</v>
      </c>
      <c r="R9" s="8">
        <v>0.01</v>
      </c>
      <c r="S9" s="8"/>
      <c r="T9" s="8"/>
      <c r="U9" s="8"/>
      <c r="V9" s="8"/>
      <c r="W9" s="8"/>
      <c r="X9" s="8"/>
      <c r="Y9" s="8">
        <v>0.38</v>
      </c>
      <c r="Z9" s="8"/>
      <c r="AA9" s="8"/>
    </row>
    <row r="10" spans="1:27" ht="19.5" x14ac:dyDescent="0.25">
      <c r="C10" s="128" t="s">
        <v>109</v>
      </c>
      <c r="D10" s="129"/>
      <c r="E10" s="129"/>
      <c r="F10" s="130"/>
      <c r="G10" s="8"/>
      <c r="H10" s="8"/>
      <c r="I10" s="8"/>
      <c r="J10" s="8"/>
      <c r="K10" s="8"/>
      <c r="L10" s="8"/>
      <c r="M10" s="8"/>
      <c r="N10" s="8"/>
      <c r="O10" s="8"/>
      <c r="P10" s="8"/>
      <c r="Q10" s="8">
        <v>0.39874999999999999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267</v>
      </c>
      <c r="E16" s="9" t="s">
        <v>40</v>
      </c>
      <c r="F16" s="9">
        <v>950</v>
      </c>
      <c r="G16" s="9">
        <v>95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0.36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0.39600000000000002</v>
      </c>
      <c r="Z16" s="10">
        <v>0</v>
      </c>
      <c r="AA16" s="11">
        <v>0</v>
      </c>
    </row>
    <row r="17" spans="3:27" x14ac:dyDescent="0.25">
      <c r="D17" s="9"/>
      <c r="E17" s="9"/>
      <c r="F17" s="9"/>
      <c r="G17" s="9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131"/>
      <c r="E24" s="131"/>
      <c r="F24" s="131"/>
      <c r="G24" s="95"/>
    </row>
    <row r="25" spans="3:27" x14ac:dyDescent="0.25">
      <c r="C25" s="73"/>
      <c r="D25" s="132"/>
      <c r="E25" s="132"/>
      <c r="F25" s="132"/>
      <c r="G25" s="95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2ChxjgL3vFEtc/eQxpC+kIyIWNmfR3M7e5ygasq23KpLDzqqDjTdDuaHZbUMnaKxn+mk69Tal/q3uvfyEvsdeQ==" saltValue="sbrRlpeEUR0iTGIj1siwh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30" priority="31">
      <formula>LEN(TRIM(C6))=0</formula>
    </cfRule>
  </conditionalFormatting>
  <conditionalFormatting sqref="H15:AA23 H6:AA6">
    <cfRule type="cellIs" dxfId="29" priority="30" operator="equal">
      <formula>0</formula>
    </cfRule>
  </conditionalFormatting>
  <conditionalFormatting sqref="G15:G23">
    <cfRule type="cellIs" dxfId="28" priority="28" operator="equal">
      <formula>0</formula>
    </cfRule>
    <cfRule type="containsBlanks" dxfId="27" priority="29">
      <formula>LEN(TRIM(G15))=0</formula>
    </cfRule>
  </conditionalFormatting>
  <conditionalFormatting sqref="H5:AA5">
    <cfRule type="containsBlanks" dxfId="26" priority="27">
      <formula>LEN(TRIM(H5))=0</formula>
    </cfRule>
  </conditionalFormatting>
  <conditionalFormatting sqref="G5">
    <cfRule type="containsBlanks" dxfId="25" priority="26">
      <formula>LEN(TRIM(G5))=0</formula>
    </cfRule>
  </conditionalFormatting>
  <conditionalFormatting sqref="F6:G6">
    <cfRule type="containsBlanks" dxfId="24" priority="25">
      <formula>LEN(TRIM(F6))=0</formula>
    </cfRule>
  </conditionalFormatting>
  <conditionalFormatting sqref="H14:AA14">
    <cfRule type="containsBlanks" dxfId="23" priority="24">
      <formula>LEN(TRIM(H14))=0</formula>
    </cfRule>
  </conditionalFormatting>
  <conditionalFormatting sqref="D5">
    <cfRule type="containsBlanks" dxfId="22" priority="23">
      <formula>LEN(TRIM(D5))=0</formula>
    </cfRule>
  </conditionalFormatting>
  <conditionalFormatting sqref="C5">
    <cfRule type="containsBlanks" dxfId="21" priority="22">
      <formula>LEN(TRIM(C5))=0</formula>
    </cfRule>
  </conditionalFormatting>
  <conditionalFormatting sqref="D14">
    <cfRule type="containsBlanks" dxfId="20" priority="21">
      <formula>LEN(TRIM(D14))=0</formula>
    </cfRule>
  </conditionalFormatting>
  <conditionalFormatting sqref="G8:AA8 G10:AA10">
    <cfRule type="containsBlanks" dxfId="19" priority="20">
      <formula>LEN(TRIM(G8))=0</formula>
    </cfRule>
  </conditionalFormatting>
  <conditionalFormatting sqref="G8:AA8 G10:AA10">
    <cfRule type="cellIs" dxfId="18" priority="19" operator="equal">
      <formula>0</formula>
    </cfRule>
  </conditionalFormatting>
  <conditionalFormatting sqref="G7:AA7">
    <cfRule type="containsBlanks" dxfId="17" priority="18">
      <formula>LEN(TRIM(G7))=0</formula>
    </cfRule>
  </conditionalFormatting>
  <conditionalFormatting sqref="G7:AA7">
    <cfRule type="cellIs" dxfId="16" priority="17" operator="equal">
      <formula>0</formula>
    </cfRule>
  </conditionalFormatting>
  <conditionalFormatting sqref="A5">
    <cfRule type="containsBlanks" dxfId="15" priority="15">
      <formula>LEN(TRIM(A5))=0</formula>
    </cfRule>
  </conditionalFormatting>
  <conditionalFormatting sqref="F7">
    <cfRule type="containsBlanks" dxfId="14" priority="16">
      <formula>LEN(TRIM(F7))=0</formula>
    </cfRule>
  </conditionalFormatting>
  <conditionalFormatting sqref="B5">
    <cfRule type="containsBlanks" dxfId="13" priority="14">
      <formula>LEN(TRIM(B5))=0</formula>
    </cfRule>
  </conditionalFormatting>
  <conditionalFormatting sqref="A7:E7">
    <cfRule type="containsBlanks" dxfId="12" priority="13">
      <formula>LEN(TRIM(A7))=0</formula>
    </cfRule>
  </conditionalFormatting>
  <conditionalFormatting sqref="G9">
    <cfRule type="containsBlanks" dxfId="11" priority="12">
      <formula>LEN(TRIM(G9))=0</formula>
    </cfRule>
  </conditionalFormatting>
  <conditionalFormatting sqref="E5">
    <cfRule type="containsBlanks" dxfId="10" priority="11">
      <formula>LEN(TRIM(E5))=0</formula>
    </cfRule>
  </conditionalFormatting>
  <conditionalFormatting sqref="F5">
    <cfRule type="containsBlanks" dxfId="9" priority="10">
      <formula>LEN(TRIM(F5))=0</formula>
    </cfRule>
  </conditionalFormatting>
  <conditionalFormatting sqref="A6">
    <cfRule type="containsBlanks" dxfId="8" priority="9">
      <formula>LEN(TRIM(A6))=0</formula>
    </cfRule>
  </conditionalFormatting>
  <conditionalFormatting sqref="B6">
    <cfRule type="containsBlanks" dxfId="7" priority="8">
      <formula>LEN(TRIM(B6))=0</formula>
    </cfRule>
  </conditionalFormatting>
  <conditionalFormatting sqref="H9:O9 Z9:AA9">
    <cfRule type="containsBlanks" dxfId="6" priority="7">
      <formula>LEN(TRIM(H9))=0</formula>
    </cfRule>
  </conditionalFormatting>
  <conditionalFormatting sqref="H9:O9 Z9:AA9">
    <cfRule type="cellIs" dxfId="5" priority="6" operator="equal">
      <formula>0</formula>
    </cfRule>
  </conditionalFormatting>
  <conditionalFormatting sqref="E6">
    <cfRule type="containsBlanks" dxfId="4" priority="5">
      <formula>LEN(TRIM(E6))=0</formula>
    </cfRule>
  </conditionalFormatting>
  <conditionalFormatting sqref="C6">
    <cfRule type="containsBlanks" dxfId="3" priority="4">
      <formula>LEN(TRIM(C6))=0</formula>
    </cfRule>
  </conditionalFormatting>
  <conditionalFormatting sqref="D6">
    <cfRule type="containsBlanks" dxfId="2" priority="3">
      <formula>LEN(TRIM(D6))=0</formula>
    </cfRule>
  </conditionalFormatting>
  <conditionalFormatting sqref="P9:Y9">
    <cfRule type="containsBlanks" dxfId="1" priority="2">
      <formula>LEN(TRIM(P9))=0</formula>
    </cfRule>
  </conditionalFormatting>
  <conditionalFormatting sqref="P9:Y9">
    <cfRule type="cellIs" dxfId="0" priority="1" operator="equal">
      <formula>0</formula>
    </cfRule>
  </conditionalFormatting>
  <dataValidations count="1">
    <dataValidation type="list" allowBlank="1" showInputMessage="1" showErrorMessage="1" sqref="E26:E27 E15:E23" xr:uid="{1BE851F1-8F5A-4CAF-B9DB-4DC7A35A7375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64</vt:i4>
      </vt:variant>
      <vt:variant>
        <vt:lpstr>Rangos con nombre</vt:lpstr>
      </vt:variant>
      <vt:variant>
        <vt:i4>62</vt:i4>
      </vt:variant>
    </vt:vector>
  </HeadingPairs>
  <TitlesOfParts>
    <vt:vector size="126" baseType="lpstr">
      <vt:lpstr>Lista de Materias Primas</vt:lpstr>
      <vt:lpstr>Registro</vt:lpstr>
      <vt:lpstr>mfe_25-13-12</vt:lpstr>
      <vt:lpstr>mfe 18-18-18 em</vt:lpstr>
      <vt:lpstr>mfe 29-15-5 em</vt:lpstr>
      <vt:lpstr>mfe 20-4-18</vt:lpstr>
      <vt:lpstr>mfe 18-9-29</vt:lpstr>
      <vt:lpstr>zueloca_v2</vt:lpstr>
      <vt:lpstr>zueloca_v1</vt:lpstr>
      <vt:lpstr>Verificación de Formulación (2)</vt:lpstr>
      <vt:lpstr>Verificación de Formulación</vt:lpstr>
      <vt:lpstr>memoria_calculo</vt:lpstr>
      <vt:lpstr>OP001_563140425</vt:lpstr>
      <vt:lpstr>OP002_510140425</vt:lpstr>
      <vt:lpstr>OP003_489140425</vt:lpstr>
      <vt:lpstr>OP004_602140425</vt:lpstr>
      <vt:lpstr>OP005_603140425</vt:lpstr>
      <vt:lpstr>OP006_841140425</vt:lpstr>
      <vt:lpstr>OP007_65150425</vt:lpstr>
      <vt:lpstr>OP008_679160425</vt:lpstr>
      <vt:lpstr>OP009_679160425</vt:lpstr>
      <vt:lpstr>OP010_679210425</vt:lpstr>
      <vt:lpstr>OP011_62210425</vt:lpstr>
      <vt:lpstr>OP012_602210425</vt:lpstr>
      <vt:lpstr>OP013_603210425</vt:lpstr>
      <vt:lpstr>OP014_679220425</vt:lpstr>
      <vt:lpstr>OP015_65220425</vt:lpstr>
      <vt:lpstr>OP016_82220425</vt:lpstr>
      <vt:lpstr>OP017_679230425</vt:lpstr>
      <vt:lpstr>OP018_62230425</vt:lpstr>
      <vt:lpstr>OP019_62230425</vt:lpstr>
      <vt:lpstr>OP020_592230425</vt:lpstr>
      <vt:lpstr>OP021_587230425</vt:lpstr>
      <vt:lpstr>OP022_588240425</vt:lpstr>
      <vt:lpstr>OP023_518240425</vt:lpstr>
      <vt:lpstr>OP024_516240425</vt:lpstr>
      <vt:lpstr>OP027_65240425</vt:lpstr>
      <vt:lpstr>OP028_208240425</vt:lpstr>
      <vt:lpstr>OP029_803250425</vt:lpstr>
      <vt:lpstr>OP025_635240425</vt:lpstr>
      <vt:lpstr>OP026_311240425</vt:lpstr>
      <vt:lpstr>OP030_803260425</vt:lpstr>
      <vt:lpstr>OP036_803280425</vt:lpstr>
      <vt:lpstr>OP031_431260425</vt:lpstr>
      <vt:lpstr>OP032_646260425</vt:lpstr>
      <vt:lpstr>OP033_545260425</vt:lpstr>
      <vt:lpstr>OP034_840260425</vt:lpstr>
      <vt:lpstr>OP061_65080525</vt:lpstr>
      <vt:lpstr>OP037_311280425</vt:lpstr>
      <vt:lpstr>OP039_311290425</vt:lpstr>
      <vt:lpstr>OP043_65300425</vt:lpstr>
      <vt:lpstr>OP042_311300425</vt:lpstr>
      <vt:lpstr>OP040_803290425</vt:lpstr>
      <vt:lpstr>OP041_803290425</vt:lpstr>
      <vt:lpstr>OP044_62300425</vt:lpstr>
      <vt:lpstr>OP045_62020525</vt:lpstr>
      <vt:lpstr>OP046_65020525</vt:lpstr>
      <vt:lpstr>OP047_65030525</vt:lpstr>
      <vt:lpstr>OP048_563030525</vt:lpstr>
      <vt:lpstr>OP049_82030525</vt:lpstr>
      <vt:lpstr>OP035_65270425</vt:lpstr>
      <vt:lpstr>OP051_62050525</vt:lpstr>
      <vt:lpstr>OP050_563050525</vt:lpstr>
      <vt:lpstr>OP052_604060525</vt:lpstr>
      <vt:lpstr>'mfe 18-18-18 em'!Área_de_impresión</vt:lpstr>
      <vt:lpstr>'mfe 18-9-29'!Área_de_impresión</vt:lpstr>
      <vt:lpstr>'mfe 20-4-18'!Área_de_impresión</vt:lpstr>
      <vt:lpstr>'mfe 29-15-5 em'!Área_de_impresión</vt:lpstr>
      <vt:lpstr>'mfe_25-13-12'!Área_de_impresión</vt:lpstr>
      <vt:lpstr>OP001_563140425!Área_de_impresión</vt:lpstr>
      <vt:lpstr>OP002_510140425!Área_de_impresión</vt:lpstr>
      <vt:lpstr>OP003_489140425!Área_de_impresión</vt:lpstr>
      <vt:lpstr>OP004_602140425!Área_de_impresión</vt:lpstr>
      <vt:lpstr>OP005_603140425!Área_de_impresión</vt:lpstr>
      <vt:lpstr>OP006_841140425!Área_de_impresión</vt:lpstr>
      <vt:lpstr>OP007_65150425!Área_de_impresión</vt:lpstr>
      <vt:lpstr>OP008_679160425!Área_de_impresión</vt:lpstr>
      <vt:lpstr>OP009_679160425!Área_de_impresión</vt:lpstr>
      <vt:lpstr>OP010_679210425!Área_de_impresión</vt:lpstr>
      <vt:lpstr>OP011_62210425!Área_de_impresión</vt:lpstr>
      <vt:lpstr>OP012_602210425!Área_de_impresión</vt:lpstr>
      <vt:lpstr>OP013_603210425!Área_de_impresión</vt:lpstr>
      <vt:lpstr>OP014_679220425!Área_de_impresión</vt:lpstr>
      <vt:lpstr>OP015_65220425!Área_de_impresión</vt:lpstr>
      <vt:lpstr>OP016_82220425!Área_de_impresión</vt:lpstr>
      <vt:lpstr>OP017_679230425!Área_de_impresión</vt:lpstr>
      <vt:lpstr>OP018_62230425!Área_de_impresión</vt:lpstr>
      <vt:lpstr>OP019_62230425!Área_de_impresión</vt:lpstr>
      <vt:lpstr>OP020_592230425!Área_de_impresión</vt:lpstr>
      <vt:lpstr>OP021_587230425!Área_de_impresión</vt:lpstr>
      <vt:lpstr>OP022_588240425!Área_de_impresión</vt:lpstr>
      <vt:lpstr>OP023_518240425!Área_de_impresión</vt:lpstr>
      <vt:lpstr>OP024_516240425!Área_de_impresión</vt:lpstr>
      <vt:lpstr>OP025_635240425!Área_de_impresión</vt:lpstr>
      <vt:lpstr>OP026_311240425!Área_de_impresión</vt:lpstr>
      <vt:lpstr>OP027_65240425!Área_de_impresión</vt:lpstr>
      <vt:lpstr>OP028_208240425!Área_de_impresión</vt:lpstr>
      <vt:lpstr>OP029_803250425!Área_de_impresión</vt:lpstr>
      <vt:lpstr>OP030_803260425!Área_de_impresión</vt:lpstr>
      <vt:lpstr>OP031_431260425!Área_de_impresión</vt:lpstr>
      <vt:lpstr>OP032_646260425!Área_de_impresión</vt:lpstr>
      <vt:lpstr>OP033_545260425!Área_de_impresión</vt:lpstr>
      <vt:lpstr>OP034_840260425!Área_de_impresión</vt:lpstr>
      <vt:lpstr>OP035_65270425!Área_de_impresión</vt:lpstr>
      <vt:lpstr>OP036_803280425!Área_de_impresión</vt:lpstr>
      <vt:lpstr>OP037_311280425!Área_de_impresión</vt:lpstr>
      <vt:lpstr>OP039_311290425!Área_de_impresión</vt:lpstr>
      <vt:lpstr>OP040_803290425!Área_de_impresión</vt:lpstr>
      <vt:lpstr>OP041_803290425!Área_de_impresión</vt:lpstr>
      <vt:lpstr>OP042_311300425!Área_de_impresión</vt:lpstr>
      <vt:lpstr>OP043_65300425!Área_de_impresión</vt:lpstr>
      <vt:lpstr>OP044_62300425!Área_de_impresión</vt:lpstr>
      <vt:lpstr>OP045_62020525!Área_de_impresión</vt:lpstr>
      <vt:lpstr>OP046_65020525!Área_de_impresión</vt:lpstr>
      <vt:lpstr>OP047_65030525!Área_de_impresión</vt:lpstr>
      <vt:lpstr>OP048_563030525!Área_de_impresión</vt:lpstr>
      <vt:lpstr>OP049_82030525!Área_de_impresión</vt:lpstr>
      <vt:lpstr>OP050_563050525!Área_de_impresión</vt:lpstr>
      <vt:lpstr>OP051_62050525!Área_de_impresión</vt:lpstr>
      <vt:lpstr>OP052_604060525!Área_de_impresión</vt:lpstr>
      <vt:lpstr>OP061_65080525!Área_de_impresión</vt:lpstr>
      <vt:lpstr>'Verificación de Formulación'!Área_de_impresión</vt:lpstr>
      <vt:lpstr>'Verificación de Formulación (2)'!Área_de_impresión</vt:lpstr>
      <vt:lpstr>zueloca_v1!Área_de_impresión</vt:lpstr>
      <vt:lpstr>zueloca_v2!Área_de_impresión</vt:lpstr>
      <vt:lpstr>CID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CALFERQUIM</dc:creator>
  <cp:lastModifiedBy>Will Salas</cp:lastModifiedBy>
  <cp:lastPrinted>2025-05-09T14:31:55Z</cp:lastPrinted>
  <dcterms:created xsi:type="dcterms:W3CDTF">2025-01-02T16:48:40Z</dcterms:created>
  <dcterms:modified xsi:type="dcterms:W3CDTF">2025-05-21T13:48:46Z</dcterms:modified>
</cp:coreProperties>
</file>