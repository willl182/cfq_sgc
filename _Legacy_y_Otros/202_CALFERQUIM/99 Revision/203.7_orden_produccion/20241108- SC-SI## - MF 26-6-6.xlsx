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9F907F9D-9BA2-4A28-8D02-3126801ED017}" xr6:coauthVersionLast="47" xr6:coauthVersionMax="47" xr10:uidLastSave="{00000000-0000-0000-0000-000000000000}"/>
  <bookViews>
    <workbookView xWindow="3075" yWindow="3075" windowWidth="14490" windowHeight="11295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1" l="1"/>
  <c r="F23" i="1"/>
  <c r="F22" i="1"/>
  <c r="F21" i="1"/>
  <c r="F20" i="1" l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<sst xmlns="http://schemas.openxmlformats.org/spreadsheetml/2006/main" count="103" uniqueCount="51">
  <si>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</si>
  <si>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</si>
  <si>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</si>
  <si>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</si>
  <si>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</si>
  <si>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</si>
  <si>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</si>
  <si>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</si>
  <si>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</si>
  <si>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</si>
  <si>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</si>
  <si>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</si>
  <si>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</si>
  <si>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</si>
  <si>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</si>
  <si>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</si>
  <si>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</si>
  <si>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</si>
  <si>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</si>
  <si>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</si>
  <si>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</si>
  <si>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</si>
  <si>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</si>
  <si>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</si>
  <si>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</si>
  <si>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</si>
  <si>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</si>
  <si>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</si>
  <si>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</si>
  <si>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</si>
  <si>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</si>
  <si>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</si>
  <si>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</si>
  <si>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</si>
  <si>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</si>
  <si>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</si>
  <si>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G</t>
  </si>
  <si>
    <t>UREA</t>
  </si>
  <si>
    <t>SAM</t>
  </si>
  <si>
    <t>DAP</t>
  </si>
  <si>
    <t>KCl</t>
  </si>
  <si>
    <t>RAIFOS 20</t>
  </si>
  <si>
    <t>ZUELO CA</t>
  </si>
  <si>
    <t>CARBONITRO</t>
  </si>
  <si>
    <t>EVOAGRO</t>
  </si>
  <si>
    <t>PRECISAGRO</t>
  </si>
  <si>
    <t>DISAN</t>
  </si>
  <si>
    <t>CALFERQUIM</t>
  </si>
  <si>
    <t>MF 26-6-6</t>
  </si>
  <si>
    <t>546-081124</t>
  </si>
  <si>
    <t>SILIMAGRAN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</si>
</sst>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Normal" xfId="0" builtinId="0"/>
  </cellStyles>
  <dxfs count="57">
    <dxf>
      <font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9" dataDxfId="27" headerRowBorderDxfId="28" tableBorderDxfId="26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5">
      <calculatedColumnFormula>B17</calculatedColumnFormula>
    </tableColumn>
    <tableColumn id="25" xr3:uid="{884606E3-7CE2-45C3-97BD-6CF08F8EEA9A}" name="PROVEEDOR" dataDxfId="24">
      <calculatedColumnFormula>C17</calculatedColumnFormula>
    </tableColumn>
    <tableColumn id="24" xr3:uid="{D0ACCF2F-C590-4F61-BFF0-DE4F6960D58D}" name="TIPO" dataDxfId="23">
      <calculatedColumnFormula>D17</calculatedColumnFormula>
    </tableColumn>
    <tableColumn id="2" xr3:uid="{AE74D918-DF3F-499C-8E04-946F506AE009}" name="kg / Ton" dataDxfId="22">
      <calculatedColumnFormula>E17</calculatedColumnFormula>
    </tableColumn>
    <tableColumn id="3" xr3:uid="{9F26846A-CE6E-4CFC-8327-03BEDE1F6186}" name="%/100 kg" dataDxfId="21">
      <calculatedColumnFormula>E35/10</calculatedColumnFormula>
    </tableColumn>
    <tableColumn id="4" xr3:uid="{4ABF355D-C14A-4662-A478-F12F186D7982}" name="C" dataDxfId="20">
      <calculatedColumnFormula>IF(G17="","",G17*$F17/$F$32)</calculatedColumnFormula>
    </tableColumn>
    <tableColumn id="5" xr3:uid="{567CCF88-2D3C-480B-BD19-F5F6D1039C60}" name="N" dataDxfId="19">
      <calculatedColumnFormula>IF(H17="","",SUM(I35:L35))</calculatedColumnFormula>
    </tableColumn>
    <tableColumn id="6" xr3:uid="{CCA2EC60-397B-4D2B-A5A8-FD633E13D6ED}" name="N-NH4" dataDxfId="18">
      <calculatedColumnFormula>IF(I17="","",I17*$F17/$F$32)</calculatedColumnFormula>
    </tableColumn>
    <tableColumn id="7" xr3:uid="{CD8D4980-2855-4825-B850-88627A3B5AD0}" name="N-NO3" dataDxfId="17">
      <calculatedColumnFormula>IF(J17="","",J17*$F17/$F$32)</calculatedColumnFormula>
    </tableColumn>
    <tableColumn id="8" xr3:uid="{56B106F1-A054-438D-8908-EB1DE964A89F}" name="N-org" dataDxfId="16">
      <calculatedColumnFormula>IF(K17="","",K17*$F17/$F$32)</calculatedColumnFormula>
    </tableColumn>
    <tableColumn id="9" xr3:uid="{DDFB1EF0-5869-478D-8CE0-CE1192E57980}" name="N-ur" dataDxfId="15">
      <calculatedColumnFormula>IF(L17="","",L17*$F17/$F$32)</calculatedColumnFormula>
    </tableColumn>
    <tableColumn id="10" xr3:uid="{C2148EBA-5086-445E-9A76-4625EF4D7F0B}" name="P" dataDxfId="14">
      <calculatedColumnFormula>IF(M17="","",M17*$F17/$F$32)</calculatedColumnFormula>
    </tableColumn>
    <tableColumn id="11" xr3:uid="{C6702B72-B92E-47C6-8674-8AA34DC5109A}" name="K" dataDxfId="13">
      <calculatedColumnFormula>IF(N17="","",N17*$F17/$F$32)</calculatedColumnFormula>
    </tableColumn>
    <tableColumn id="12" xr3:uid="{98B147E2-3129-4605-966E-0306061FA52F}" name="CaO" dataDxfId="12">
      <calculatedColumnFormula>IF(O17="","",O17*$F17/$F$32)</calculatedColumnFormula>
    </tableColumn>
    <tableColumn id="13" xr3:uid="{597C000A-F1BD-4EC3-8BB1-208C87CA5BCF}" name="MgO" dataDxfId="11">
      <calculatedColumnFormula>IF(P17="","",P17*$F17/$F$32)</calculatedColumnFormula>
    </tableColumn>
    <tableColumn id="14" xr3:uid="{39144FCD-1386-49C1-AB81-3BDF8B053A75}" name="S" dataDxfId="10">
      <calculatedColumnFormula>IF(Q17="","",Q17*$F17/$F$32)</calculatedColumnFormula>
    </tableColumn>
    <tableColumn id="15" xr3:uid="{77CFDAA6-18DB-4633-85DD-0CACCF938731}" name="B" dataDxfId="9">
      <calculatedColumnFormula>IF(R17="","",R17*$F17/$F$32)</calculatedColumnFormula>
    </tableColumn>
    <tableColumn id="16" xr3:uid="{2F8A72EE-86CB-454F-8E6B-187019CAE218}" name="Co" dataDxfId="8">
      <calculatedColumnFormula>IF(S17="","",S17*$F17/$F$32)</calculatedColumnFormula>
    </tableColumn>
    <tableColumn id="17" xr3:uid="{553C86FB-9920-440B-9C30-69E051FC9BEC}" name="Cu" dataDxfId="7">
      <calculatedColumnFormula>IF(T17="","",T17*$F17/$F$32)</calculatedColumnFormula>
    </tableColumn>
    <tableColumn id="18" xr3:uid="{5F5848B1-83A3-42E2-9121-20D37782F611}" name="Fe" dataDxfId="6">
      <calculatedColumnFormula>IF(U17="","",U17*$F17/$F$32)</calculatedColumnFormula>
    </tableColumn>
    <tableColumn id="19" xr3:uid="{B6224F62-519B-4357-B907-E3BDE03BDDE7}" name="Mn" dataDxfId="5">
      <calculatedColumnFormula>IF(V17="","",V17*$F17/$F$32)</calculatedColumnFormula>
    </tableColumn>
    <tableColumn id="20" xr3:uid="{4EEB8055-52E4-48A3-AD84-778B40D7D184}" name="Mo" dataDxfId="4">
      <calculatedColumnFormula>IF(W17="","",W17*$F17/$F$32)</calculatedColumnFormula>
    </tableColumn>
    <tableColumn id="21" xr3:uid="{84F23676-EF56-45DC-AF5E-04130A9E43E2}" name="SiO2" dataDxfId="3">
      <calculatedColumnFormula>IF(X17="","",X17*$F17/$F$32)</calculatedColumnFormula>
    </tableColumn>
    <tableColumn id="22" xr3:uid="{F5E07346-4680-4E5F-B7BE-274A82BAD724}" name="Zn" dataDxfId="2">
      <calculatedColumnFormula>IF(Y17="","",Y17*$F17/$F$32)</calculatedColumnFormula>
    </tableColumn>
    <tableColumn id="23" xr3:uid="{3AC0C550-5041-472C-8AD1-BD81835AA9E9}" name="Na" dataDxfId="1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E24" sqref="E24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80" t="s">
        <v>27</v>
      </c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9"/>
      <c r="U2" s="81" t="s">
        <v>24</v>
      </c>
      <c r="V2" s="82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1" t="s">
        <v>25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14"/>
      <c r="U3" s="81" t="s">
        <v>24</v>
      </c>
      <c r="V3" s="82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77" t="s">
        <v>34</v>
      </c>
      <c r="H6" s="78"/>
      <c r="I6" s="78"/>
      <c r="J6" s="78"/>
      <c r="K6" s="78"/>
      <c r="L6" s="78"/>
      <c r="M6" s="79"/>
      <c r="N6" s="77" t="s">
        <v>35</v>
      </c>
      <c r="O6" s="78"/>
      <c r="P6" s="78"/>
      <c r="Q6" s="78"/>
      <c r="R6" s="78"/>
      <c r="S6" s="78"/>
      <c r="T6" s="79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2" t="s">
        <v>48</v>
      </c>
      <c r="H7" s="73"/>
      <c r="I7" s="73"/>
      <c r="J7" s="73"/>
      <c r="K7" s="73"/>
      <c r="L7" s="73"/>
      <c r="M7" s="73"/>
      <c r="N7" s="74" t="s">
        <v>49</v>
      </c>
      <c r="O7" s="75"/>
      <c r="P7" s="75"/>
      <c r="Q7" s="75"/>
      <c r="R7" s="75"/>
      <c r="S7" s="75"/>
      <c r="T7" s="76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65" t="s">
        <v>29</v>
      </c>
      <c r="C9" s="66"/>
      <c r="D9" s="66"/>
      <c r="E9" s="66"/>
      <c r="F9" s="66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3" t="s">
        <v>28</v>
      </c>
      <c r="C10" s="64"/>
      <c r="D10" s="64"/>
      <c r="E10" s="64"/>
      <c r="F10" s="64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67" t="s">
        <v>30</v>
      </c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9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74" t="s">
        <v>33</v>
      </c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6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37</v>
      </c>
      <c r="C17" s="44" t="s">
        <v>44</v>
      </c>
      <c r="D17" s="44"/>
      <c r="E17" s="46">
        <v>480</v>
      </c>
      <c r="F17" s="27">
        <f>E17/10</f>
        <v>48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38</v>
      </c>
      <c r="C18" s="44" t="s">
        <v>45</v>
      </c>
      <c r="D18" s="44" t="s">
        <v>9</v>
      </c>
      <c r="E18" s="46">
        <v>150</v>
      </c>
      <c r="F18" s="27">
        <f t="shared" ref="F18:F31" si="1">E18/10</f>
        <v>15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50</v>
      </c>
      <c r="C19" s="44" t="s">
        <v>46</v>
      </c>
      <c r="D19" s="44" t="s">
        <v>36</v>
      </c>
      <c r="E19" s="46">
        <v>10</v>
      </c>
      <c r="F19" s="27">
        <f t="shared" si="1"/>
        <v>1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39</v>
      </c>
      <c r="C20" s="44" t="s">
        <v>47</v>
      </c>
      <c r="D20" s="44" t="s">
        <v>36</v>
      </c>
      <c r="E20" s="46">
        <v>50</v>
      </c>
      <c r="F20" s="27">
        <f t="shared" si="1"/>
        <v>5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40</v>
      </c>
      <c r="C21" s="44" t="s">
        <v>47</v>
      </c>
      <c r="D21" s="44"/>
      <c r="E21" s="46">
        <v>40</v>
      </c>
      <c r="F21" s="27">
        <f t="shared" ref="F21:F24" si="2">E21/10</f>
        <v>4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 t="s">
        <v>41</v>
      </c>
      <c r="C22" s="44" t="s">
        <v>47</v>
      </c>
      <c r="D22" s="44"/>
      <c r="E22" s="46">
        <v>160</v>
      </c>
      <c r="F22" s="27">
        <f t="shared" si="2"/>
        <v>16</v>
      </c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 t="s">
        <v>42</v>
      </c>
      <c r="C23" s="44" t="s">
        <v>47</v>
      </c>
      <c r="D23" s="44"/>
      <c r="E23" s="46">
        <v>110</v>
      </c>
      <c r="F23" s="27">
        <f t="shared" si="2"/>
        <v>11</v>
      </c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 t="s">
        <v>43</v>
      </c>
      <c r="C24" s="44" t="s">
        <v>47</v>
      </c>
      <c r="D24" s="44"/>
      <c r="E24" s="46">
        <v>3</v>
      </c>
      <c r="F24" s="27">
        <f t="shared" si="2"/>
        <v>0.3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/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>
        <f>D17</f>
        <v>0</v>
      </c>
      <c r="E35" s="46">
        <f>E17</f>
        <v>480</v>
      </c>
      <c r="F35" s="62">
        <f t="shared" ref="F35:F40" si="3">E35/10</f>
        <v>48</v>
      </c>
      <c r="G35" s="41" t="str">
        <f t="shared" ref="G35:G49" si="4">IF(G17="","",G17*$F17/$F$32)</f>
        <v/>
      </c>
      <c r="H35" s="42" t="str">
        <f t="shared" ref="H35:H49" si="5">IF(H17="","",SUM(I35:L35))</f>
        <v/>
      </c>
      <c r="I35" s="42" t="str">
        <f t="shared" ref="I35:Z35" si="6">IF(I17="","",I17*$F17/$F$32)</f>
        <v/>
      </c>
      <c r="J35" s="42" t="str">
        <f t="shared" si="6"/>
        <v/>
      </c>
      <c r="K35" s="42" t="str">
        <f t="shared" si="6"/>
        <v/>
      </c>
      <c r="L35" s="42" t="str">
        <f t="shared" si="6"/>
        <v/>
      </c>
      <c r="M35" s="42" t="str">
        <f t="shared" si="6"/>
        <v/>
      </c>
      <c r="N35" s="42" t="str">
        <f t="shared" si="6"/>
        <v/>
      </c>
      <c r="O35" s="42" t="str">
        <f t="shared" si="6"/>
        <v/>
      </c>
      <c r="P35" s="42" t="str">
        <f t="shared" si="6"/>
        <v/>
      </c>
      <c r="Q35" s="42" t="str">
        <f t="shared" si="6"/>
        <v/>
      </c>
      <c r="R35" s="42" t="str">
        <f t="shared" si="6"/>
        <v/>
      </c>
      <c r="S35" s="42" t="str">
        <f t="shared" si="6"/>
        <v/>
      </c>
      <c r="T35" s="42" t="str">
        <f t="shared" si="6"/>
        <v/>
      </c>
      <c r="U35" s="42" t="str">
        <f t="shared" si="6"/>
        <v/>
      </c>
      <c r="V35" s="42" t="str">
        <f t="shared" si="6"/>
        <v/>
      </c>
      <c r="W35" s="42" t="str">
        <f t="shared" si="6"/>
        <v/>
      </c>
      <c r="X35" s="42" t="str">
        <f t="shared" si="6"/>
        <v/>
      </c>
      <c r="Y35" s="42" t="str">
        <f t="shared" si="6"/>
        <v/>
      </c>
      <c r="Z35" s="43" t="str">
        <f t="shared" si="6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7">B18</f>
        <v>SAM</v>
      </c>
      <c r="C36" s="44" t="str">
        <f t="shared" ref="C36:D49" si="8">C18</f>
        <v>PRECISAGRO</v>
      </c>
      <c r="D36" s="44" t="str">
        <f t="shared" si="8"/>
        <v>P</v>
      </c>
      <c r="E36" s="46">
        <f t="shared" si="7"/>
        <v>150</v>
      </c>
      <c r="F36" s="46">
        <f t="shared" si="3"/>
        <v>15</v>
      </c>
      <c r="G36" s="36" t="str">
        <f t="shared" si="4"/>
        <v/>
      </c>
      <c r="H36" s="3" t="str">
        <f t="shared" si="5"/>
        <v/>
      </c>
      <c r="I36" s="3" t="str">
        <f t="shared" ref="I36:Z36" si="9">IF(I18="","",I18*$F18/$F$32)</f>
        <v/>
      </c>
      <c r="J36" s="3" t="str">
        <f t="shared" si="9"/>
        <v/>
      </c>
      <c r="K36" s="3" t="str">
        <f t="shared" si="9"/>
        <v/>
      </c>
      <c r="L36" s="3" t="str">
        <f t="shared" si="9"/>
        <v/>
      </c>
      <c r="M36" s="3" t="str">
        <f t="shared" si="9"/>
        <v/>
      </c>
      <c r="N36" s="3" t="str">
        <f t="shared" si="9"/>
        <v/>
      </c>
      <c r="O36" s="3" t="str">
        <f t="shared" si="9"/>
        <v/>
      </c>
      <c r="P36" s="3" t="str">
        <f t="shared" si="9"/>
        <v/>
      </c>
      <c r="Q36" s="3" t="str">
        <f t="shared" si="9"/>
        <v/>
      </c>
      <c r="R36" s="3" t="str">
        <f t="shared" si="9"/>
        <v/>
      </c>
      <c r="S36" s="3" t="str">
        <f t="shared" si="9"/>
        <v/>
      </c>
      <c r="T36" s="3" t="str">
        <f t="shared" si="9"/>
        <v/>
      </c>
      <c r="U36" s="3" t="str">
        <f t="shared" si="9"/>
        <v/>
      </c>
      <c r="V36" s="3" t="str">
        <f t="shared" si="9"/>
        <v/>
      </c>
      <c r="W36" s="3" t="str">
        <f t="shared" si="9"/>
        <v/>
      </c>
      <c r="X36" s="3" t="str">
        <f t="shared" si="9"/>
        <v/>
      </c>
      <c r="Y36" s="3" t="str">
        <f t="shared" si="9"/>
        <v/>
      </c>
      <c r="Z36" s="37" t="str">
        <f t="shared" si="9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7"/>
        <v>SILIMAGRAN</v>
      </c>
      <c r="C37" s="44" t="str">
        <f t="shared" si="8"/>
        <v>DISAN</v>
      </c>
      <c r="D37" s="44" t="str">
        <f t="shared" si="8"/>
        <v>G</v>
      </c>
      <c r="E37" s="46">
        <f t="shared" si="7"/>
        <v>10</v>
      </c>
      <c r="F37" s="46">
        <f t="shared" si="3"/>
        <v>1</v>
      </c>
      <c r="G37" s="36" t="str">
        <f t="shared" si="4"/>
        <v/>
      </c>
      <c r="H37" s="3" t="str">
        <f t="shared" si="5"/>
        <v/>
      </c>
      <c r="I37" s="3" t="str">
        <f t="shared" ref="I37:Z37" si="10">IF(I19="","",I19*$F19/$F$32)</f>
        <v/>
      </c>
      <c r="J37" s="3" t="str">
        <f t="shared" si="10"/>
        <v/>
      </c>
      <c r="K37" s="3" t="str">
        <f t="shared" si="10"/>
        <v/>
      </c>
      <c r="L37" s="3" t="str">
        <f t="shared" si="10"/>
        <v/>
      </c>
      <c r="M37" s="3" t="str">
        <f t="shared" si="10"/>
        <v/>
      </c>
      <c r="N37" s="3" t="str">
        <f t="shared" si="10"/>
        <v/>
      </c>
      <c r="O37" s="3" t="str">
        <f t="shared" si="10"/>
        <v/>
      </c>
      <c r="P37" s="3" t="str">
        <f t="shared" si="10"/>
        <v/>
      </c>
      <c r="Q37" s="3" t="str">
        <f t="shared" si="10"/>
        <v/>
      </c>
      <c r="R37" s="3" t="str">
        <f t="shared" si="10"/>
        <v/>
      </c>
      <c r="S37" s="3" t="str">
        <f t="shared" si="10"/>
        <v/>
      </c>
      <c r="T37" s="3" t="str">
        <f t="shared" si="10"/>
        <v/>
      </c>
      <c r="U37" s="3" t="str">
        <f t="shared" si="10"/>
        <v/>
      </c>
      <c r="V37" s="3" t="str">
        <f t="shared" si="10"/>
        <v/>
      </c>
      <c r="W37" s="3" t="str">
        <f t="shared" si="10"/>
        <v/>
      </c>
      <c r="X37" s="3" t="str">
        <f t="shared" si="10"/>
        <v/>
      </c>
      <c r="Y37" s="3" t="str">
        <f t="shared" si="10"/>
        <v/>
      </c>
      <c r="Z37" s="37" t="str">
        <f t="shared" si="10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7"/>
        <v>DAP</v>
      </c>
      <c r="C38" s="44" t="str">
        <f t="shared" si="8"/>
        <v>CALFERQUIM</v>
      </c>
      <c r="D38" s="44" t="str">
        <f t="shared" si="8"/>
        <v>G</v>
      </c>
      <c r="E38" s="46">
        <f t="shared" si="7"/>
        <v>50</v>
      </c>
      <c r="F38" s="46">
        <f t="shared" si="3"/>
        <v>5</v>
      </c>
      <c r="G38" s="36" t="str">
        <f t="shared" si="4"/>
        <v/>
      </c>
      <c r="H38" s="3" t="str">
        <f t="shared" si="5"/>
        <v/>
      </c>
      <c r="I38" s="3" t="str">
        <f>IF(I20="","",I20*$F20/$F$32)</f>
        <v/>
      </c>
      <c r="J38" s="3" t="str">
        <f t="shared" ref="J38:Z38" si="11">IF(J20="","",J20*$F20/$F$32)</f>
        <v/>
      </c>
      <c r="K38" s="3" t="str">
        <f t="shared" si="11"/>
        <v/>
      </c>
      <c r="L38" s="3" t="str">
        <f t="shared" si="11"/>
        <v/>
      </c>
      <c r="M38" s="3" t="str">
        <f t="shared" si="11"/>
        <v/>
      </c>
      <c r="N38" s="3" t="str">
        <f t="shared" si="11"/>
        <v/>
      </c>
      <c r="O38" s="3" t="str">
        <f t="shared" si="11"/>
        <v/>
      </c>
      <c r="P38" s="3" t="str">
        <f t="shared" si="11"/>
        <v/>
      </c>
      <c r="Q38" s="3" t="str">
        <f t="shared" si="11"/>
        <v/>
      </c>
      <c r="R38" s="3" t="str">
        <f t="shared" si="11"/>
        <v/>
      </c>
      <c r="S38" s="3" t="str">
        <f t="shared" si="11"/>
        <v/>
      </c>
      <c r="T38" s="3" t="str">
        <f t="shared" si="11"/>
        <v/>
      </c>
      <c r="U38" s="3" t="str">
        <f t="shared" si="11"/>
        <v/>
      </c>
      <c r="V38" s="3" t="str">
        <f t="shared" si="11"/>
        <v/>
      </c>
      <c r="W38" s="3" t="str">
        <f t="shared" si="11"/>
        <v/>
      </c>
      <c r="X38" s="3" t="str">
        <f t="shared" si="11"/>
        <v/>
      </c>
      <c r="Y38" s="3" t="str">
        <f t="shared" si="11"/>
        <v/>
      </c>
      <c r="Z38" s="37" t="str">
        <f t="shared" si="11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7"/>
        <v>KCl</v>
      </c>
      <c r="C39" s="44" t="str">
        <f t="shared" si="8"/>
        <v>CALFERQUIM</v>
      </c>
      <c r="D39" s="44">
        <f t="shared" si="8"/>
        <v>0</v>
      </c>
      <c r="E39" s="46">
        <f t="shared" si="7"/>
        <v>40</v>
      </c>
      <c r="F39" s="46">
        <f t="shared" si="3"/>
        <v>4</v>
      </c>
      <c r="G39" s="36" t="str">
        <f t="shared" si="4"/>
        <v/>
      </c>
      <c r="H39" s="3" t="str">
        <f t="shared" si="5"/>
        <v/>
      </c>
      <c r="I39" s="3" t="str">
        <f t="shared" ref="I39:Z39" si="12">IF(I21="","",I21*$F21/$F$32)</f>
        <v/>
      </c>
      <c r="J39" s="3" t="str">
        <f t="shared" si="12"/>
        <v/>
      </c>
      <c r="K39" s="3" t="str">
        <f t="shared" si="12"/>
        <v/>
      </c>
      <c r="L39" s="3" t="str">
        <f t="shared" si="12"/>
        <v/>
      </c>
      <c r="M39" s="3" t="str">
        <f t="shared" si="12"/>
        <v/>
      </c>
      <c r="N39" s="3" t="str">
        <f t="shared" si="12"/>
        <v/>
      </c>
      <c r="O39" s="3" t="str">
        <f t="shared" si="12"/>
        <v/>
      </c>
      <c r="P39" s="3" t="str">
        <f t="shared" si="12"/>
        <v/>
      </c>
      <c r="Q39" s="3" t="str">
        <f t="shared" si="12"/>
        <v/>
      </c>
      <c r="R39" s="3" t="str">
        <f t="shared" si="12"/>
        <v/>
      </c>
      <c r="S39" s="3" t="str">
        <f t="shared" si="12"/>
        <v/>
      </c>
      <c r="T39" s="3" t="str">
        <f t="shared" si="12"/>
        <v/>
      </c>
      <c r="U39" s="3" t="str">
        <f t="shared" si="12"/>
        <v/>
      </c>
      <c r="V39" s="3" t="str">
        <f t="shared" si="12"/>
        <v/>
      </c>
      <c r="W39" s="3" t="str">
        <f t="shared" si="12"/>
        <v/>
      </c>
      <c r="X39" s="3" t="str">
        <f t="shared" si="12"/>
        <v/>
      </c>
      <c r="Y39" s="3" t="str">
        <f t="shared" si="12"/>
        <v/>
      </c>
      <c r="Z39" s="37" t="str">
        <f t="shared" si="12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 t="str">
        <f t="shared" si="7"/>
        <v>RAIFOS 20</v>
      </c>
      <c r="C40" s="44" t="str">
        <f t="shared" si="8"/>
        <v>CALFERQUIM</v>
      </c>
      <c r="D40" s="44">
        <f t="shared" si="8"/>
        <v>0</v>
      </c>
      <c r="E40" s="46">
        <f t="shared" si="7"/>
        <v>160</v>
      </c>
      <c r="F40" s="46">
        <f t="shared" si="3"/>
        <v>16</v>
      </c>
      <c r="G40" s="36" t="str">
        <f t="shared" si="4"/>
        <v/>
      </c>
      <c r="H40" s="3" t="str">
        <f t="shared" si="5"/>
        <v/>
      </c>
      <c r="I40" s="3" t="str">
        <f t="shared" ref="I40:Z40" si="13">IF(I22="","",I22*$F22/$F$32)</f>
        <v/>
      </c>
      <c r="J40" s="3" t="str">
        <f t="shared" si="13"/>
        <v/>
      </c>
      <c r="K40" s="3" t="str">
        <f t="shared" si="13"/>
        <v/>
      </c>
      <c r="L40" s="3" t="str">
        <f t="shared" si="13"/>
        <v/>
      </c>
      <c r="M40" s="3" t="str">
        <f t="shared" si="13"/>
        <v/>
      </c>
      <c r="N40" s="3" t="str">
        <f t="shared" si="13"/>
        <v/>
      </c>
      <c r="O40" s="3" t="str">
        <f t="shared" si="13"/>
        <v/>
      </c>
      <c r="P40" s="3" t="str">
        <f t="shared" si="13"/>
        <v/>
      </c>
      <c r="Q40" s="3" t="str">
        <f t="shared" si="13"/>
        <v/>
      </c>
      <c r="R40" s="3" t="str">
        <f t="shared" si="13"/>
        <v/>
      </c>
      <c r="S40" s="3" t="str">
        <f t="shared" si="13"/>
        <v/>
      </c>
      <c r="T40" s="3" t="str">
        <f t="shared" si="13"/>
        <v/>
      </c>
      <c r="U40" s="3" t="str">
        <f t="shared" si="13"/>
        <v/>
      </c>
      <c r="V40" s="3" t="str">
        <f t="shared" si="13"/>
        <v/>
      </c>
      <c r="W40" s="3" t="str">
        <f t="shared" si="13"/>
        <v/>
      </c>
      <c r="X40" s="3" t="str">
        <f t="shared" si="13"/>
        <v/>
      </c>
      <c r="Y40" s="3" t="str">
        <f t="shared" si="13"/>
        <v/>
      </c>
      <c r="Z40" s="37" t="str">
        <f t="shared" si="13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 t="str">
        <f t="shared" si="7"/>
        <v>ZUELO CA</v>
      </c>
      <c r="C41" s="44" t="str">
        <f t="shared" si="8"/>
        <v>CALFERQUIM</v>
      </c>
      <c r="D41" s="44">
        <f t="shared" si="8"/>
        <v>0</v>
      </c>
      <c r="E41" s="46">
        <f t="shared" si="7"/>
        <v>110</v>
      </c>
      <c r="F41" s="46">
        <f t="shared" ref="F41:F49" si="14">E41/10</f>
        <v>11</v>
      </c>
      <c r="G41" s="36" t="str">
        <f t="shared" si="4"/>
        <v/>
      </c>
      <c r="H41" s="3" t="str">
        <f t="shared" si="5"/>
        <v/>
      </c>
      <c r="I41" s="3" t="str">
        <f t="shared" ref="I41:Z41" si="15">IF(I23="","",I23*$F23/$F$32)</f>
        <v/>
      </c>
      <c r="J41" s="3" t="str">
        <f t="shared" si="15"/>
        <v/>
      </c>
      <c r="K41" s="3" t="str">
        <f t="shared" si="15"/>
        <v/>
      </c>
      <c r="L41" s="3" t="str">
        <f t="shared" si="15"/>
        <v/>
      </c>
      <c r="M41" s="3" t="str">
        <f t="shared" si="15"/>
        <v/>
      </c>
      <c r="N41" s="3" t="str">
        <f t="shared" si="15"/>
        <v/>
      </c>
      <c r="O41" s="3" t="str">
        <f t="shared" si="15"/>
        <v/>
      </c>
      <c r="P41" s="3" t="str">
        <f t="shared" si="15"/>
        <v/>
      </c>
      <c r="Q41" s="3" t="str">
        <f t="shared" si="15"/>
        <v/>
      </c>
      <c r="R41" s="3" t="str">
        <f t="shared" si="15"/>
        <v/>
      </c>
      <c r="S41" s="3" t="str">
        <f t="shared" si="15"/>
        <v/>
      </c>
      <c r="T41" s="3" t="str">
        <f t="shared" si="15"/>
        <v/>
      </c>
      <c r="U41" s="3" t="str">
        <f t="shared" si="15"/>
        <v/>
      </c>
      <c r="V41" s="3" t="str">
        <f t="shared" si="15"/>
        <v/>
      </c>
      <c r="W41" s="3" t="str">
        <f t="shared" si="15"/>
        <v/>
      </c>
      <c r="X41" s="3" t="str">
        <f t="shared" si="15"/>
        <v/>
      </c>
      <c r="Y41" s="3" t="str">
        <f t="shared" si="15"/>
        <v/>
      </c>
      <c r="Z41" s="37" t="str">
        <f t="shared" si="15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 t="str">
        <f t="shared" si="7"/>
        <v>CARBONITRO</v>
      </c>
      <c r="C42" s="44" t="str">
        <f t="shared" si="8"/>
        <v>CALFERQUIM</v>
      </c>
      <c r="D42" s="44">
        <f t="shared" si="8"/>
        <v>0</v>
      </c>
      <c r="E42" s="46">
        <f t="shared" si="7"/>
        <v>3</v>
      </c>
      <c r="F42" s="46">
        <f t="shared" si="14"/>
        <v>0.3</v>
      </c>
      <c r="G42" s="36" t="str">
        <f t="shared" si="4"/>
        <v/>
      </c>
      <c r="H42" s="3" t="str">
        <f t="shared" si="5"/>
        <v/>
      </c>
      <c r="I42" s="3" t="str">
        <f t="shared" ref="I42:Z42" si="16">IF(I24="","",I24*$F24/$F$32)</f>
        <v/>
      </c>
      <c r="J42" s="3" t="str">
        <f t="shared" si="16"/>
        <v/>
      </c>
      <c r="K42" s="3" t="str">
        <f t="shared" si="16"/>
        <v/>
      </c>
      <c r="L42" s="3" t="str">
        <f t="shared" si="16"/>
        <v/>
      </c>
      <c r="M42" s="3" t="str">
        <f t="shared" si="16"/>
        <v/>
      </c>
      <c r="N42" s="3" t="str">
        <f t="shared" si="16"/>
        <v/>
      </c>
      <c r="O42" s="3" t="str">
        <f t="shared" si="16"/>
        <v/>
      </c>
      <c r="P42" s="3" t="str">
        <f t="shared" si="16"/>
        <v/>
      </c>
      <c r="Q42" s="3" t="str">
        <f t="shared" si="16"/>
        <v/>
      </c>
      <c r="R42" s="3" t="str">
        <f t="shared" si="16"/>
        <v/>
      </c>
      <c r="S42" s="3" t="str">
        <f t="shared" si="16"/>
        <v/>
      </c>
      <c r="T42" s="3" t="str">
        <f t="shared" si="16"/>
        <v/>
      </c>
      <c r="U42" s="3" t="str">
        <f t="shared" si="16"/>
        <v/>
      </c>
      <c r="V42" s="3" t="str">
        <f t="shared" si="16"/>
        <v/>
      </c>
      <c r="W42" s="3" t="str">
        <f t="shared" si="16"/>
        <v/>
      </c>
      <c r="X42" s="3" t="str">
        <f t="shared" si="16"/>
        <v/>
      </c>
      <c r="Y42" s="3" t="str">
        <f t="shared" si="16"/>
        <v/>
      </c>
      <c r="Z42" s="37" t="str">
        <f t="shared" si="16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7"/>
        <v>0</v>
      </c>
      <c r="C43" s="44">
        <f t="shared" si="8"/>
        <v>0</v>
      </c>
      <c r="D43" s="44">
        <f t="shared" si="8"/>
        <v>0</v>
      </c>
      <c r="E43" s="46">
        <f t="shared" si="7"/>
        <v>0</v>
      </c>
      <c r="F43" s="46">
        <f t="shared" si="14"/>
        <v>0</v>
      </c>
      <c r="G43" s="36" t="str">
        <f t="shared" si="4"/>
        <v/>
      </c>
      <c r="H43" s="3" t="str">
        <f t="shared" si="5"/>
        <v/>
      </c>
      <c r="I43" s="3" t="str">
        <f t="shared" ref="I43:Z43" si="17">IF(I25="","",I25*$F25/$F$32)</f>
        <v/>
      </c>
      <c r="J43" s="3" t="str">
        <f t="shared" si="17"/>
        <v/>
      </c>
      <c r="K43" s="3" t="str">
        <f t="shared" si="17"/>
        <v/>
      </c>
      <c r="L43" s="3" t="str">
        <f t="shared" si="17"/>
        <v/>
      </c>
      <c r="M43" s="3" t="str">
        <f t="shared" si="17"/>
        <v/>
      </c>
      <c r="N43" s="3" t="str">
        <f t="shared" si="17"/>
        <v/>
      </c>
      <c r="O43" s="3" t="str">
        <f t="shared" si="17"/>
        <v/>
      </c>
      <c r="P43" s="3" t="str">
        <f t="shared" si="17"/>
        <v/>
      </c>
      <c r="Q43" s="3" t="str">
        <f t="shared" si="17"/>
        <v/>
      </c>
      <c r="R43" s="3" t="str">
        <f t="shared" si="17"/>
        <v/>
      </c>
      <c r="S43" s="3" t="str">
        <f t="shared" si="17"/>
        <v/>
      </c>
      <c r="T43" s="3" t="str">
        <f t="shared" si="17"/>
        <v/>
      </c>
      <c r="U43" s="3" t="str">
        <f t="shared" si="17"/>
        <v/>
      </c>
      <c r="V43" s="3" t="str">
        <f t="shared" si="17"/>
        <v/>
      </c>
      <c r="W43" s="3" t="str">
        <f t="shared" si="17"/>
        <v/>
      </c>
      <c r="X43" s="3" t="str">
        <f t="shared" si="17"/>
        <v/>
      </c>
      <c r="Y43" s="3" t="str">
        <f t="shared" si="17"/>
        <v/>
      </c>
      <c r="Z43" s="37" t="str">
        <f t="shared" si="17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7"/>
        <v>0</v>
      </c>
      <c r="C44" s="44">
        <f t="shared" si="8"/>
        <v>0</v>
      </c>
      <c r="D44" s="44">
        <f t="shared" si="8"/>
        <v>0</v>
      </c>
      <c r="E44" s="46">
        <f t="shared" si="7"/>
        <v>0</v>
      </c>
      <c r="F44" s="46">
        <f t="shared" si="14"/>
        <v>0</v>
      </c>
      <c r="G44" s="36" t="str">
        <f t="shared" si="4"/>
        <v/>
      </c>
      <c r="H44" s="3" t="str">
        <f t="shared" si="5"/>
        <v/>
      </c>
      <c r="I44" s="3" t="str">
        <f t="shared" ref="I44:Z44" si="18">IF(I26="","",I26*$F26/$F$32)</f>
        <v/>
      </c>
      <c r="J44" s="3" t="str">
        <f t="shared" si="18"/>
        <v/>
      </c>
      <c r="K44" s="3" t="str">
        <f t="shared" si="18"/>
        <v/>
      </c>
      <c r="L44" s="3" t="str">
        <f t="shared" si="18"/>
        <v/>
      </c>
      <c r="M44" s="3" t="str">
        <f t="shared" si="18"/>
        <v/>
      </c>
      <c r="N44" s="3" t="str">
        <f t="shared" si="18"/>
        <v/>
      </c>
      <c r="O44" s="3" t="str">
        <f t="shared" si="18"/>
        <v/>
      </c>
      <c r="P44" s="3" t="str">
        <f t="shared" si="18"/>
        <v/>
      </c>
      <c r="Q44" s="3" t="str">
        <f t="shared" si="18"/>
        <v/>
      </c>
      <c r="R44" s="3" t="str">
        <f t="shared" si="18"/>
        <v/>
      </c>
      <c r="S44" s="3" t="str">
        <f t="shared" si="18"/>
        <v/>
      </c>
      <c r="T44" s="3" t="str">
        <f t="shared" si="18"/>
        <v/>
      </c>
      <c r="U44" s="3" t="str">
        <f t="shared" si="18"/>
        <v/>
      </c>
      <c r="V44" s="3" t="str">
        <f t="shared" si="18"/>
        <v/>
      </c>
      <c r="W44" s="3" t="str">
        <f t="shared" si="18"/>
        <v/>
      </c>
      <c r="X44" s="3" t="str">
        <f t="shared" si="18"/>
        <v/>
      </c>
      <c r="Y44" s="3" t="str">
        <f t="shared" si="18"/>
        <v/>
      </c>
      <c r="Z44" s="37" t="str">
        <f t="shared" si="18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7"/>
        <v>0</v>
      </c>
      <c r="C45" s="44">
        <f t="shared" si="8"/>
        <v>0</v>
      </c>
      <c r="D45" s="44">
        <f t="shared" si="8"/>
        <v>0</v>
      </c>
      <c r="E45" s="46">
        <f t="shared" si="7"/>
        <v>0</v>
      </c>
      <c r="F45" s="46">
        <f t="shared" si="14"/>
        <v>0</v>
      </c>
      <c r="G45" s="36" t="str">
        <f t="shared" si="4"/>
        <v/>
      </c>
      <c r="H45" s="3" t="str">
        <f t="shared" si="5"/>
        <v/>
      </c>
      <c r="I45" s="3" t="str">
        <f t="shared" ref="I45:Z45" si="19">IF(I27="","",I27*$F27/$F$32)</f>
        <v/>
      </c>
      <c r="J45" s="3" t="str">
        <f t="shared" si="19"/>
        <v/>
      </c>
      <c r="K45" s="3" t="str">
        <f t="shared" si="19"/>
        <v/>
      </c>
      <c r="L45" s="3" t="str">
        <f t="shared" si="19"/>
        <v/>
      </c>
      <c r="M45" s="3" t="str">
        <f t="shared" si="19"/>
        <v/>
      </c>
      <c r="N45" s="3" t="str">
        <f t="shared" si="19"/>
        <v/>
      </c>
      <c r="O45" s="3" t="str">
        <f t="shared" si="19"/>
        <v/>
      </c>
      <c r="P45" s="3" t="str">
        <f t="shared" si="19"/>
        <v/>
      </c>
      <c r="Q45" s="3" t="str">
        <f t="shared" si="19"/>
        <v/>
      </c>
      <c r="R45" s="3" t="str">
        <f t="shared" si="19"/>
        <v/>
      </c>
      <c r="S45" s="3" t="str">
        <f t="shared" si="19"/>
        <v/>
      </c>
      <c r="T45" s="3" t="str">
        <f t="shared" si="19"/>
        <v/>
      </c>
      <c r="U45" s="3" t="str">
        <f t="shared" si="19"/>
        <v/>
      </c>
      <c r="V45" s="3" t="str">
        <f t="shared" si="19"/>
        <v/>
      </c>
      <c r="W45" s="3" t="str">
        <f t="shared" si="19"/>
        <v/>
      </c>
      <c r="X45" s="3" t="str">
        <f t="shared" si="19"/>
        <v/>
      </c>
      <c r="Y45" s="3" t="str">
        <f t="shared" si="19"/>
        <v/>
      </c>
      <c r="Z45" s="37" t="str">
        <f t="shared" si="19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7"/>
        <v>0</v>
      </c>
      <c r="C46" s="44">
        <f t="shared" si="8"/>
        <v>0</v>
      </c>
      <c r="D46" s="44">
        <f t="shared" si="8"/>
        <v>0</v>
      </c>
      <c r="E46" s="46">
        <f t="shared" si="7"/>
        <v>0</v>
      </c>
      <c r="F46" s="46">
        <f t="shared" si="14"/>
        <v>0</v>
      </c>
      <c r="G46" s="36" t="str">
        <f t="shared" si="4"/>
        <v/>
      </c>
      <c r="H46" s="3" t="str">
        <f t="shared" si="5"/>
        <v/>
      </c>
      <c r="I46" s="3" t="str">
        <f t="shared" ref="I46:Z46" si="20">IF(I28="","",I28*$F28/$F$32)</f>
        <v/>
      </c>
      <c r="J46" s="3" t="str">
        <f t="shared" si="20"/>
        <v/>
      </c>
      <c r="K46" s="3" t="str">
        <f t="shared" si="20"/>
        <v/>
      </c>
      <c r="L46" s="3" t="str">
        <f t="shared" si="20"/>
        <v/>
      </c>
      <c r="M46" s="3" t="str">
        <f t="shared" si="20"/>
        <v/>
      </c>
      <c r="N46" s="3" t="str">
        <f t="shared" si="20"/>
        <v/>
      </c>
      <c r="O46" s="3" t="str">
        <f t="shared" si="20"/>
        <v/>
      </c>
      <c r="P46" s="3" t="str">
        <f t="shared" si="20"/>
        <v/>
      </c>
      <c r="Q46" s="3" t="str">
        <f t="shared" si="20"/>
        <v/>
      </c>
      <c r="R46" s="3" t="str">
        <f t="shared" si="20"/>
        <v/>
      </c>
      <c r="S46" s="3" t="str">
        <f t="shared" si="20"/>
        <v/>
      </c>
      <c r="T46" s="3" t="str">
        <f t="shared" si="20"/>
        <v/>
      </c>
      <c r="U46" s="3" t="str">
        <f t="shared" si="20"/>
        <v/>
      </c>
      <c r="V46" s="3" t="str">
        <f t="shared" si="20"/>
        <v/>
      </c>
      <c r="W46" s="3" t="str">
        <f t="shared" si="20"/>
        <v/>
      </c>
      <c r="X46" s="3" t="str">
        <f t="shared" si="20"/>
        <v/>
      </c>
      <c r="Y46" s="3" t="str">
        <f t="shared" si="20"/>
        <v/>
      </c>
      <c r="Z46" s="37" t="str">
        <f t="shared" si="20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7"/>
        <v>0</v>
      </c>
      <c r="C47" s="44">
        <f t="shared" si="8"/>
        <v>0</v>
      </c>
      <c r="D47" s="44">
        <f t="shared" si="8"/>
        <v>0</v>
      </c>
      <c r="E47" s="46">
        <f t="shared" si="7"/>
        <v>0</v>
      </c>
      <c r="F47" s="46">
        <f t="shared" si="14"/>
        <v>0</v>
      </c>
      <c r="G47" s="36" t="str">
        <f t="shared" si="4"/>
        <v/>
      </c>
      <c r="H47" s="3" t="str">
        <f t="shared" si="5"/>
        <v/>
      </c>
      <c r="I47" s="3" t="str">
        <f t="shared" ref="I47:Z47" si="21">IF(I29="","",I29*$F29/$F$32)</f>
        <v/>
      </c>
      <c r="J47" s="3" t="str">
        <f t="shared" si="21"/>
        <v/>
      </c>
      <c r="K47" s="3" t="str">
        <f t="shared" si="21"/>
        <v/>
      </c>
      <c r="L47" s="3" t="str">
        <f t="shared" si="21"/>
        <v/>
      </c>
      <c r="M47" s="3" t="str">
        <f t="shared" si="21"/>
        <v/>
      </c>
      <c r="N47" s="3" t="str">
        <f t="shared" si="21"/>
        <v/>
      </c>
      <c r="O47" s="3" t="str">
        <f t="shared" si="21"/>
        <v/>
      </c>
      <c r="P47" s="3" t="str">
        <f t="shared" si="21"/>
        <v/>
      </c>
      <c r="Q47" s="3" t="str">
        <f t="shared" si="21"/>
        <v/>
      </c>
      <c r="R47" s="3" t="str">
        <f t="shared" si="21"/>
        <v/>
      </c>
      <c r="S47" s="3" t="str">
        <f t="shared" si="21"/>
        <v/>
      </c>
      <c r="T47" s="3" t="str">
        <f t="shared" si="21"/>
        <v/>
      </c>
      <c r="U47" s="3" t="str">
        <f t="shared" si="21"/>
        <v/>
      </c>
      <c r="V47" s="3" t="str">
        <f t="shared" si="21"/>
        <v/>
      </c>
      <c r="W47" s="3" t="str">
        <f t="shared" si="21"/>
        <v/>
      </c>
      <c r="X47" s="3" t="str">
        <f t="shared" si="21"/>
        <v/>
      </c>
      <c r="Y47" s="3" t="str">
        <f t="shared" si="21"/>
        <v/>
      </c>
      <c r="Z47" s="37" t="str">
        <f t="shared" si="21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7"/>
        <v>0</v>
      </c>
      <c r="C48" s="44">
        <f t="shared" si="8"/>
        <v>0</v>
      </c>
      <c r="D48" s="44">
        <f t="shared" si="8"/>
        <v>0</v>
      </c>
      <c r="E48" s="46">
        <f t="shared" si="7"/>
        <v>0</v>
      </c>
      <c r="F48" s="46">
        <f t="shared" si="14"/>
        <v>0</v>
      </c>
      <c r="G48" s="36" t="str">
        <f t="shared" si="4"/>
        <v/>
      </c>
      <c r="H48" s="3" t="str">
        <f t="shared" si="5"/>
        <v/>
      </c>
      <c r="I48" s="3" t="str">
        <f t="shared" ref="I48:Z48" si="22">IF(I30="","",I30*$F30/$F$32)</f>
        <v/>
      </c>
      <c r="J48" s="3" t="str">
        <f t="shared" si="22"/>
        <v/>
      </c>
      <c r="K48" s="3" t="str">
        <f t="shared" si="22"/>
        <v/>
      </c>
      <c r="L48" s="3" t="str">
        <f t="shared" si="22"/>
        <v/>
      </c>
      <c r="M48" s="3" t="str">
        <f t="shared" si="22"/>
        <v/>
      </c>
      <c r="N48" s="3" t="str">
        <f t="shared" si="22"/>
        <v/>
      </c>
      <c r="O48" s="3" t="str">
        <f t="shared" si="22"/>
        <v/>
      </c>
      <c r="P48" s="3" t="str">
        <f t="shared" si="22"/>
        <v/>
      </c>
      <c r="Q48" s="3" t="str">
        <f t="shared" si="22"/>
        <v/>
      </c>
      <c r="R48" s="3" t="str">
        <f t="shared" si="22"/>
        <v/>
      </c>
      <c r="S48" s="3" t="str">
        <f t="shared" si="22"/>
        <v/>
      </c>
      <c r="T48" s="3" t="str">
        <f t="shared" si="22"/>
        <v/>
      </c>
      <c r="U48" s="3" t="str">
        <f t="shared" si="22"/>
        <v/>
      </c>
      <c r="V48" s="3" t="str">
        <f t="shared" si="22"/>
        <v/>
      </c>
      <c r="W48" s="3" t="str">
        <f t="shared" si="22"/>
        <v/>
      </c>
      <c r="X48" s="3" t="str">
        <f t="shared" si="22"/>
        <v/>
      </c>
      <c r="Y48" s="3" t="str">
        <f t="shared" si="22"/>
        <v/>
      </c>
      <c r="Z48" s="37" t="str">
        <f t="shared" si="22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7"/>
        <v>0</v>
      </c>
      <c r="C49" s="45">
        <f t="shared" si="8"/>
        <v>0</v>
      </c>
      <c r="D49" s="45">
        <f t="shared" si="8"/>
        <v>0</v>
      </c>
      <c r="E49" s="47">
        <f t="shared" si="7"/>
        <v>0</v>
      </c>
      <c r="F49" s="47">
        <f t="shared" si="14"/>
        <v>0</v>
      </c>
      <c r="G49" s="38" t="str">
        <f t="shared" si="4"/>
        <v/>
      </c>
      <c r="H49" s="39" t="str">
        <f t="shared" si="5"/>
        <v/>
      </c>
      <c r="I49" s="39" t="str">
        <f t="shared" ref="I49:Z49" si="23">IF(I31="","",I31*$F31/$F$32)</f>
        <v/>
      </c>
      <c r="J49" s="39" t="str">
        <f t="shared" si="23"/>
        <v/>
      </c>
      <c r="K49" s="39" t="str">
        <f t="shared" si="23"/>
        <v/>
      </c>
      <c r="L49" s="39" t="str">
        <f t="shared" si="23"/>
        <v/>
      </c>
      <c r="M49" s="39" t="str">
        <f t="shared" si="23"/>
        <v/>
      </c>
      <c r="N49" s="39" t="str">
        <f t="shared" si="23"/>
        <v/>
      </c>
      <c r="O49" s="39" t="str">
        <f t="shared" si="23"/>
        <v/>
      </c>
      <c r="P49" s="39" t="str">
        <f t="shared" si="23"/>
        <v/>
      </c>
      <c r="Q49" s="39" t="str">
        <f t="shared" si="23"/>
        <v/>
      </c>
      <c r="R49" s="39" t="str">
        <f t="shared" si="23"/>
        <v/>
      </c>
      <c r="S49" s="39" t="str">
        <f t="shared" si="23"/>
        <v/>
      </c>
      <c r="T49" s="39" t="str">
        <f t="shared" si="23"/>
        <v/>
      </c>
      <c r="U49" s="39" t="str">
        <f t="shared" si="23"/>
        <v/>
      </c>
      <c r="V49" s="39" t="str">
        <f t="shared" si="23"/>
        <v/>
      </c>
      <c r="W49" s="39" t="str">
        <f t="shared" si="23"/>
        <v/>
      </c>
      <c r="X49" s="39" t="str">
        <f t="shared" si="23"/>
        <v/>
      </c>
      <c r="Y49" s="39" t="str">
        <f t="shared" si="23"/>
        <v/>
      </c>
      <c r="Z49" s="40" t="str">
        <f t="shared" si="23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4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26:Z31 C17:Z25" name="COMPOSICION MATERIAS PRIMAS"/>
    <protectedRange algorithmName="SHA-512" hashValue="wcIVhBhq6imVgAtvjXkt5fYxXsLbL0w5jActKj78/Yu/p5H7SKJV30bpVCHS7a+M4xmSCVQiXpvuuP7zx4QGZg==" saltValue="/1gprdm/ldj5RpZR4enuWA==" spinCount="100000" sqref="B17:B25" name="COMPOSICION MATERIAS PRIMAS_1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6" priority="38" operator="equal">
      <formula>0</formula>
    </cfRule>
    <cfRule type="containsBlanks" dxfId="55" priority="39">
      <formula>LEN(TRIM(G36))=0</formula>
    </cfRule>
  </conditionalFormatting>
  <conditionalFormatting sqref="G36:Z40">
    <cfRule type="cellIs" dxfId="54" priority="31" operator="equal">
      <formula>0</formula>
    </cfRule>
    <cfRule type="containsBlanks" dxfId="53" priority="32">
      <formula>LEN(TRIM(G36))=0</formula>
    </cfRule>
  </conditionalFormatting>
  <conditionalFormatting sqref="G36:Z40">
    <cfRule type="notContainsBlanks" dxfId="52" priority="30">
      <formula>LEN(TRIM(G36))&gt;0</formula>
    </cfRule>
  </conditionalFormatting>
  <conditionalFormatting sqref="G35">
    <cfRule type="cellIs" dxfId="51" priority="28" operator="equal">
      <formula>0</formula>
    </cfRule>
    <cfRule type="containsBlanks" dxfId="50" priority="29">
      <formula>LEN(TRIM(G35))=0</formula>
    </cfRule>
  </conditionalFormatting>
  <conditionalFormatting sqref="G35">
    <cfRule type="notContainsBlanks" dxfId="49" priority="27">
      <formula>LEN(TRIM(G35))&gt;0</formula>
    </cfRule>
  </conditionalFormatting>
  <conditionalFormatting sqref="H35">
    <cfRule type="cellIs" dxfId="48" priority="25" operator="equal">
      <formula>0</formula>
    </cfRule>
    <cfRule type="containsBlanks" dxfId="47" priority="26">
      <formula>LEN(TRIM(H35))=0</formula>
    </cfRule>
  </conditionalFormatting>
  <conditionalFormatting sqref="H35">
    <cfRule type="notContainsBlanks" dxfId="46" priority="24">
      <formula>LEN(TRIM(H35))&gt;0</formula>
    </cfRule>
  </conditionalFormatting>
  <conditionalFormatting sqref="I35:Z35">
    <cfRule type="cellIs" dxfId="45" priority="22" operator="equal">
      <formula>0</formula>
    </cfRule>
    <cfRule type="containsBlanks" dxfId="44" priority="23">
      <formula>LEN(TRIM(I35))=0</formula>
    </cfRule>
  </conditionalFormatting>
  <conditionalFormatting sqref="I35:Z35">
    <cfRule type="notContainsBlanks" dxfId="43" priority="21">
      <formula>LEN(TRIM(I35))&gt;0</formula>
    </cfRule>
  </conditionalFormatting>
  <conditionalFormatting sqref="G41:Z49">
    <cfRule type="cellIs" dxfId="42" priority="13" operator="equal">
      <formula>0</formula>
    </cfRule>
    <cfRule type="containsBlanks" dxfId="41" priority="14">
      <formula>LEN(TRIM(G41))=0</formula>
    </cfRule>
  </conditionalFormatting>
  <conditionalFormatting sqref="G41:Z49">
    <cfRule type="cellIs" dxfId="40" priority="11" operator="equal">
      <formula>0</formula>
    </cfRule>
    <cfRule type="containsBlanks" dxfId="39" priority="12">
      <formula>LEN(TRIM(G41))=0</formula>
    </cfRule>
  </conditionalFormatting>
  <conditionalFormatting sqref="G41:Z49">
    <cfRule type="notContainsBlanks" dxfId="38" priority="10">
      <formula>LEN(TRIM(G41))&gt;0</formula>
    </cfRule>
  </conditionalFormatting>
  <conditionalFormatting sqref="B35:F49">
    <cfRule type="cellIs" dxfId="37" priority="9" operator="equal">
      <formula>0</formula>
    </cfRule>
  </conditionalFormatting>
  <conditionalFormatting sqref="G9:Z10">
    <cfRule type="cellIs" dxfId="36" priority="8" operator="equal">
      <formula>0</formula>
    </cfRule>
  </conditionalFormatting>
  <conditionalFormatting sqref="C35:C49">
    <cfRule type="cellIs" dxfId="35" priority="7" operator="equal">
      <formula>0</formula>
    </cfRule>
  </conditionalFormatting>
  <conditionalFormatting sqref="D35:D49">
    <cfRule type="cellIs" dxfId="34" priority="6" operator="equal">
      <formula>0</formula>
    </cfRule>
  </conditionalFormatting>
  <conditionalFormatting sqref="B26:F31 C17:F25">
    <cfRule type="cellIs" dxfId="33" priority="5" operator="equal">
      <formula>0</formula>
    </cfRule>
  </conditionalFormatting>
  <conditionalFormatting sqref="C17:C31">
    <cfRule type="cellIs" dxfId="32" priority="4" operator="equal">
      <formula>0</formula>
    </cfRule>
  </conditionalFormatting>
  <conditionalFormatting sqref="D17:D31">
    <cfRule type="cellIs" dxfId="31" priority="3" operator="equal">
      <formula>0</formula>
    </cfRule>
  </conditionalFormatting>
  <conditionalFormatting sqref="G16:Z31">
    <cfRule type="containsBlanks" dxfId="30" priority="2">
      <formula>LEN(TRIM(G16))=0</formula>
    </cfRule>
  </conditionalFormatting>
  <conditionalFormatting sqref="B17:B25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2024-11-13T15:58:53Z</dcterms:modified>
</cp:coreProperties>
</file>