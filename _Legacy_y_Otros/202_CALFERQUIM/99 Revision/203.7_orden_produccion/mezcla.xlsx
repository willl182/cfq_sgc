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59274770-3D70-4536-B8ED-5535B78330CD}" xr6:coauthVersionLast="47" xr6:coauthVersionMax="47" xr10:uidLastSave="{00000000-0000-0000-0000-000000000000}"/>
  <bookViews>
    <workbookView xWindow="-120" yWindow="-120" windowWidth="29040" windowHeight="1644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1" l="1"/>
  <c r="F22" i="1"/>
  <c r="F21" i="1"/>
  <c r="H20" i="1" l="1"/>
  <c r="H38" i="1" s="1"/>
  <c r="H19" i="1"/>
  <c r="H17" i="1"/>
  <c r="F20" i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I37" i="1" s="1"/>
  <c r="E37" i="1"/>
  <c r="F37" i="1" s="1"/>
  <c r="C37" i="1"/>
  <c r="F18" i="1"/>
  <c r="M36" i="1" s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L36" i="1"/>
  <c r="K36" i="1"/>
  <c r="J36" i="1"/>
  <c r="I36" i="1"/>
  <c r="G36" i="1"/>
  <c r="Z35" i="1"/>
  <c r="Y35" i="1"/>
  <c r="W35" i="1"/>
  <c r="V35" i="1"/>
  <c r="T35" i="1"/>
  <c r="S35" i="1"/>
  <c r="R35" i="1"/>
  <c r="O35" i="1"/>
  <c r="N35" i="1"/>
  <c r="M35" i="1"/>
  <c r="K35" i="1"/>
  <c r="J35" i="1"/>
  <c r="I35" i="1"/>
  <c r="Y40" i="1"/>
  <c r="P39" i="1"/>
  <c r="Y38" i="1"/>
  <c r="N37" i="1"/>
  <c r="N36" i="1"/>
  <c r="X35" i="1"/>
  <c r="H36" i="1" l="1"/>
  <c r="L35" i="1"/>
  <c r="L10" i="1" s="1"/>
  <c r="H37" i="1"/>
  <c r="M10" i="1"/>
  <c r="N10" i="1"/>
  <c r="P35" i="1"/>
  <c r="Z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  <c r="H35" i="1" l="1"/>
  <c r="H10" i="1" s="1"/>
</calcChain>
</file>

<file path=xl/sharedStrings.xml><?xml version="1.0" encoding="utf-8"?>
<sst xmlns="http://schemas.openxmlformats.org/spreadsheetml/2006/main" count="98" uniqueCount="49">
  <si>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</si>
  <si>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</si>
  <si>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</si>
  <si>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</si>
  <si>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</si>
  <si>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</si>
  <si>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</si>
  <si>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</si>
  <si>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</si>
  <si>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</si>
  <si>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</si>
  <si>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</si>
  <si>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</si>
  <si>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</si>
  <si>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</si>
  <si>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</si>
  <si>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</si>
  <si>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</si>
  <si>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</si>
  <si>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</si>
  <si>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</si>
  <si>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</si>
  <si>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</si>
  <si>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</si>
  <si>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</si>
  <si>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</si>
  <si>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</si>
  <si>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</si>
  <si>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</si>
  <si>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</si>
  <si>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</si>
  <si>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</si>
  <si>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</si>
  <si>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</si>
  <si>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</si>
  <si>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</si>
  <si>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EVOAGRO</t>
  </si>
  <si>
    <t>CALFERQUIM</t>
  </si>
  <si>
    <t>G</t>
  </si>
  <si>
    <t>PRECISAGRO</t>
  </si>
  <si>
    <t>CIAMSA</t>
  </si>
  <si>
    <t>micron c</t>
  </si>
  <si>
    <t>micron cs</t>
  </si>
  <si>
    <t>dap</t>
  </si>
  <si>
    <t>calferzinc</t>
  </si>
  <si>
    <t>boro</t>
  </si>
  <si>
    <t>raifos</t>
  </si>
  <si>
    <t>MFE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</si>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</sst>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  <font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9" fontId="0" fillId="2" borderId="0" xfId="0" applyNumberFormat="1" applyFill="1" applyBorder="1"/>
    <xf numFmtId="9" fontId="0" fillId="2" borderId="0" xfId="1" applyFont="1" applyFill="1" applyBorder="1"/>
    <xf numFmtId="9" fontId="0" fillId="2" borderId="0" xfId="0" applyNumberFormat="1" applyFill="1"/>
    <xf numFmtId="10" fontId="0" fillId="2" borderId="0" xfId="0" applyNumberFormat="1" applyFill="1" applyBorder="1"/>
    <xf numFmtId="10" fontId="0" fillId="2" borderId="25" xfId="0" applyNumberFormat="1" applyFill="1" applyBorder="1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zoomScale="85" zoomScaleNormal="85" workbookViewId="0">
      <selection activeCell="N8" sqref="N8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13" width="9" style="2" bestFit="1" customWidth="1"/>
    <col min="14" max="14" width="9" style="2" customWidth="1"/>
    <col min="15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71" t="s">
        <v>27</v>
      </c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9"/>
      <c r="U2" s="72" t="s">
        <v>24</v>
      </c>
      <c r="V2" s="73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82" t="s">
        <v>25</v>
      </c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14"/>
      <c r="U3" s="72" t="s">
        <v>24</v>
      </c>
      <c r="V3" s="73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5" t="s">
        <v>34</v>
      </c>
      <c r="H6" s="86"/>
      <c r="I6" s="86"/>
      <c r="J6" s="86"/>
      <c r="K6" s="86"/>
      <c r="L6" s="86"/>
      <c r="M6" s="87"/>
      <c r="N6" s="85" t="s">
        <v>35</v>
      </c>
      <c r="O6" s="86"/>
      <c r="P6" s="86"/>
      <c r="Q6" s="86"/>
      <c r="R6" s="86"/>
      <c r="S6" s="86"/>
      <c r="T6" s="87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83" t="s">
        <v>47</v>
      </c>
      <c r="H7" s="84"/>
      <c r="I7" s="84"/>
      <c r="J7" s="84"/>
      <c r="K7" s="84"/>
      <c r="L7" s="84"/>
      <c r="M7" s="84"/>
      <c r="N7" s="68" t="s">
        <v>48</v>
      </c>
      <c r="O7" s="69"/>
      <c r="P7" s="69"/>
      <c r="Q7" s="69"/>
      <c r="R7" s="69"/>
      <c r="S7" s="69"/>
      <c r="T7" s="70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6" t="s">
        <v>29</v>
      </c>
      <c r="C9" s="77"/>
      <c r="D9" s="77"/>
      <c r="E9" s="77"/>
      <c r="F9" s="77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74" t="s">
        <v>28</v>
      </c>
      <c r="C10" s="75"/>
      <c r="D10" s="75"/>
      <c r="E10" s="75"/>
      <c r="F10" s="75"/>
      <c r="G10" s="31">
        <f t="shared" ref="G10:Z10" si="0">SUM(G35:G49)</f>
        <v>9.8670000000000008E-3</v>
      </c>
      <c r="H10" s="32">
        <f t="shared" si="0"/>
        <v>0.26519999999999999</v>
      </c>
      <c r="I10" s="32">
        <f t="shared" si="0"/>
        <v>6.1200000000000004E-2</v>
      </c>
      <c r="J10" s="32">
        <f t="shared" si="0"/>
        <v>0</v>
      </c>
      <c r="K10" s="32">
        <f t="shared" si="0"/>
        <v>0</v>
      </c>
      <c r="L10" s="32">
        <f t="shared" si="0"/>
        <v>0.20400000000000001</v>
      </c>
      <c r="M10" s="32">
        <f t="shared" si="0"/>
        <v>0.19615450000000001</v>
      </c>
      <c r="N10" s="32">
        <f t="shared" si="0"/>
        <v>0</v>
      </c>
      <c r="O10" s="32">
        <f t="shared" si="0"/>
        <v>4.5142500000000002E-2</v>
      </c>
      <c r="P10" s="32">
        <f t="shared" si="0"/>
        <v>3.0419999999999996E-3</v>
      </c>
      <c r="Q10" s="32">
        <f t="shared" si="0"/>
        <v>5.4949999999999999E-3</v>
      </c>
      <c r="R10" s="32">
        <f t="shared" si="0"/>
        <v>1E-3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4.1574E-2</v>
      </c>
      <c r="Y10" s="32">
        <f t="shared" si="0"/>
        <v>1.1000000000000001E-3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8" t="s">
        <v>30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80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8" t="s">
        <v>33</v>
      </c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70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41</v>
      </c>
      <c r="C17" s="44" t="s">
        <v>36</v>
      </c>
      <c r="D17" s="44" t="s">
        <v>38</v>
      </c>
      <c r="E17" s="46">
        <v>400</v>
      </c>
      <c r="F17" s="27">
        <f>E17/10</f>
        <v>40</v>
      </c>
      <c r="G17" s="56"/>
      <c r="H17" s="64">
        <f>IF(SUM(I17:L17)=0,"",SUM(I17:L17))</f>
        <v>0.46</v>
      </c>
      <c r="I17" s="57"/>
      <c r="J17" s="57"/>
      <c r="K17" s="57"/>
      <c r="L17" s="63">
        <v>0.46</v>
      </c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42</v>
      </c>
      <c r="C18" s="44" t="s">
        <v>40</v>
      </c>
      <c r="D18" s="44" t="s">
        <v>38</v>
      </c>
      <c r="E18" s="46">
        <v>50</v>
      </c>
      <c r="F18" s="27">
        <f t="shared" ref="F18:F31" si="1">E18/10</f>
        <v>5</v>
      </c>
      <c r="G18" s="56"/>
      <c r="H18" s="64">
        <f>IF(SUM(I18:L18)=0,"",SUM(I18:L18))</f>
        <v>0.4</v>
      </c>
      <c r="I18" s="65"/>
      <c r="J18" s="24"/>
      <c r="K18" s="24"/>
      <c r="L18" s="65">
        <v>0.4</v>
      </c>
      <c r="M18" s="65"/>
      <c r="N18" s="57"/>
      <c r="O18" s="57"/>
      <c r="P18" s="57"/>
      <c r="Q18" s="63">
        <v>0.06</v>
      </c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43</v>
      </c>
      <c r="C19" s="44" t="s">
        <v>37</v>
      </c>
      <c r="D19" s="44" t="s">
        <v>38</v>
      </c>
      <c r="E19" s="46">
        <v>340</v>
      </c>
      <c r="F19" s="27">
        <f t="shared" si="1"/>
        <v>34</v>
      </c>
      <c r="G19" s="56"/>
      <c r="H19" s="64">
        <f>IF(SUM(I19:L19)=0,"",SUM(I19:L19))</f>
        <v>0.18</v>
      </c>
      <c r="I19" s="63">
        <v>0.18</v>
      </c>
      <c r="J19" s="57"/>
      <c r="K19" s="57"/>
      <c r="L19" s="57"/>
      <c r="M19" s="63">
        <v>0.46</v>
      </c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44</v>
      </c>
      <c r="C20" s="44" t="s">
        <v>39</v>
      </c>
      <c r="D20" s="44" t="s">
        <v>38</v>
      </c>
      <c r="E20" s="46">
        <v>5</v>
      </c>
      <c r="F20" s="27">
        <f t="shared" si="1"/>
        <v>0.5</v>
      </c>
      <c r="G20" s="56"/>
      <c r="H20" s="64" t="str">
        <f>IF(SUM(I20:L20)=0,"",SUM(I20:L20))</f>
        <v/>
      </c>
      <c r="I20" s="57"/>
      <c r="J20" s="57"/>
      <c r="K20" s="57"/>
      <c r="L20" s="57"/>
      <c r="M20" s="63">
        <v>0.03</v>
      </c>
      <c r="N20" s="63"/>
      <c r="O20" s="57"/>
      <c r="P20" s="57"/>
      <c r="Q20" s="63">
        <v>7.0000000000000007E-2</v>
      </c>
      <c r="R20" s="57"/>
      <c r="S20" s="57"/>
      <c r="T20" s="57"/>
      <c r="U20" s="57"/>
      <c r="V20" s="57"/>
      <c r="W20" s="57"/>
      <c r="X20" s="57"/>
      <c r="Y20" s="63">
        <v>0.22</v>
      </c>
      <c r="Z20" s="58"/>
      <c r="AY20" s="4"/>
    </row>
    <row r="21" spans="2:51" x14ac:dyDescent="0.45">
      <c r="B21" s="44" t="s">
        <v>45</v>
      </c>
      <c r="C21" s="44"/>
      <c r="D21" s="44"/>
      <c r="E21" s="46">
        <v>10</v>
      </c>
      <c r="F21" s="27">
        <f t="shared" si="1"/>
        <v>1</v>
      </c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63">
        <v>0.1</v>
      </c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 t="s">
        <v>46</v>
      </c>
      <c r="C22" s="44"/>
      <c r="D22" s="44"/>
      <c r="E22" s="46">
        <v>195</v>
      </c>
      <c r="F22" s="27">
        <f t="shared" si="1"/>
        <v>19.5</v>
      </c>
      <c r="G22" s="67">
        <v>5.0599999999999999E-2</v>
      </c>
      <c r="H22" s="57"/>
      <c r="I22" s="57"/>
      <c r="J22" s="57"/>
      <c r="K22" s="57"/>
      <c r="L22" s="57"/>
      <c r="M22" s="66">
        <v>0.2031</v>
      </c>
      <c r="N22" s="57"/>
      <c r="O22" s="66">
        <v>0.23150000000000001</v>
      </c>
      <c r="P22" s="66">
        <v>1.5599999999999999E-2</v>
      </c>
      <c r="Q22" s="66">
        <v>1.0999999999999999E-2</v>
      </c>
      <c r="R22" s="57"/>
      <c r="S22" s="57"/>
      <c r="T22" s="57"/>
      <c r="U22" s="57"/>
      <c r="V22" s="57"/>
      <c r="W22" s="57"/>
      <c r="X22" s="66">
        <v>0.2132</v>
      </c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micron c</v>
      </c>
      <c r="C35" s="44" t="str">
        <f>C17</f>
        <v>EVOAGRO</v>
      </c>
      <c r="D35" s="44" t="str">
        <f>D17</f>
        <v>G</v>
      </c>
      <c r="E35" s="46">
        <f>E17</f>
        <v>400</v>
      </c>
      <c r="F35" s="62">
        <f t="shared" ref="F35:F40" si="2">E35/10</f>
        <v>40</v>
      </c>
      <c r="G35" s="41" t="str">
        <f t="shared" ref="G35:G49" si="3">IF(G17="","",G17*$F17/$F$32)</f>
        <v/>
      </c>
      <c r="H35" s="42">
        <f t="shared" ref="H35:H49" si="4">IF(H17="","",SUM(I35:L35))</f>
        <v>0.18400000000000002</v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>
        <f t="shared" si="5"/>
        <v>0.18400000000000002</v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micron cs</v>
      </c>
      <c r="C36" s="44" t="str">
        <f t="shared" ref="C36:D49" si="7">C18</f>
        <v>CIAMSA</v>
      </c>
      <c r="D36" s="44" t="str">
        <f t="shared" si="7"/>
        <v>G</v>
      </c>
      <c r="E36" s="46">
        <f t="shared" si="6"/>
        <v>50</v>
      </c>
      <c r="F36" s="46">
        <f t="shared" si="2"/>
        <v>5</v>
      </c>
      <c r="G36" s="36" t="str">
        <f t="shared" si="3"/>
        <v/>
      </c>
      <c r="H36" s="3">
        <f t="shared" si="4"/>
        <v>0.02</v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>
        <f t="shared" si="8"/>
        <v>0.02</v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>
        <f t="shared" si="8"/>
        <v>3.0000000000000001E-3</v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dap</v>
      </c>
      <c r="C37" s="44" t="str">
        <f t="shared" si="7"/>
        <v>CALFERQUIM</v>
      </c>
      <c r="D37" s="44" t="str">
        <f t="shared" si="7"/>
        <v>G</v>
      </c>
      <c r="E37" s="46">
        <f t="shared" si="6"/>
        <v>340</v>
      </c>
      <c r="F37" s="46">
        <f t="shared" si="2"/>
        <v>34</v>
      </c>
      <c r="G37" s="36" t="str">
        <f t="shared" si="3"/>
        <v/>
      </c>
      <c r="H37" s="3">
        <f t="shared" si="4"/>
        <v>6.1200000000000004E-2</v>
      </c>
      <c r="I37" s="3">
        <f t="shared" ref="I37:Z37" si="9">IF(I19="","",I19*$F19/$F$32)</f>
        <v>6.1200000000000004E-2</v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>
        <f t="shared" si="9"/>
        <v>0.15640000000000001</v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calferzinc</v>
      </c>
      <c r="C38" s="44" t="str">
        <f t="shared" si="7"/>
        <v>PRECISAGRO</v>
      </c>
      <c r="D38" s="44" t="str">
        <f t="shared" si="7"/>
        <v>G</v>
      </c>
      <c r="E38" s="46">
        <f t="shared" si="6"/>
        <v>5</v>
      </c>
      <c r="F38" s="46">
        <f t="shared" si="2"/>
        <v>0.5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>
        <f t="shared" si="10"/>
        <v>1.4999999999999999E-4</v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>
        <f t="shared" si="10"/>
        <v>3.5000000000000005E-4</v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>
        <f t="shared" si="10"/>
        <v>1.1000000000000001E-3</v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 t="str">
        <f t="shared" si="6"/>
        <v>boro</v>
      </c>
      <c r="C39" s="44">
        <f t="shared" si="7"/>
        <v>0</v>
      </c>
      <c r="D39" s="44">
        <f t="shared" si="7"/>
        <v>0</v>
      </c>
      <c r="E39" s="46">
        <f t="shared" si="6"/>
        <v>10</v>
      </c>
      <c r="F39" s="46">
        <f t="shared" si="2"/>
        <v>1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>
        <f t="shared" si="11"/>
        <v>1E-3</v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 t="str">
        <f t="shared" si="6"/>
        <v>raifos</v>
      </c>
      <c r="C40" s="44">
        <f t="shared" si="7"/>
        <v>0</v>
      </c>
      <c r="D40" s="44">
        <f t="shared" si="7"/>
        <v>0</v>
      </c>
      <c r="E40" s="46">
        <f t="shared" si="6"/>
        <v>195</v>
      </c>
      <c r="F40" s="46">
        <f t="shared" si="2"/>
        <v>19.5</v>
      </c>
      <c r="G40" s="36">
        <f t="shared" si="3"/>
        <v>9.8670000000000008E-3</v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>
        <f t="shared" si="12"/>
        <v>3.9604500000000001E-2</v>
      </c>
      <c r="N40" s="3" t="str">
        <f t="shared" si="12"/>
        <v/>
      </c>
      <c r="O40" s="3">
        <f t="shared" si="12"/>
        <v>4.5142500000000002E-2</v>
      </c>
      <c r="P40" s="3">
        <f t="shared" si="12"/>
        <v>3.0419999999999996E-3</v>
      </c>
      <c r="Q40" s="3">
        <f t="shared" si="12"/>
        <v>2.1449999999999998E-3</v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>
        <f t="shared" si="12"/>
        <v>4.1574E-2</v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17 B19:Z31 B18:G18 N18:Z18" name="COMPOSICION MATERIAS PRIMAS"/>
    <protectedRange algorithmName="SHA-512" hashValue="wcIVhBhq6imVgAtvjXkt5fYxXsLbL0w5jActKj78/Yu/p5H7SKJV30bpVCHS7a+M4xmSCVQiXpvuuP7zx4QGZg==" saltValue="/1gprdm/ldj5RpZR4enuWA==" spinCount="100000" sqref="H18:M18" name="COMPOSICION MATERIAS PRIMAS_1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6" priority="38" operator="equal">
      <formula>0</formula>
    </cfRule>
    <cfRule type="containsBlanks" dxfId="55" priority="39">
      <formula>LEN(TRIM(G36))=0</formula>
    </cfRule>
  </conditionalFormatting>
  <conditionalFormatting sqref="G36:Z40">
    <cfRule type="cellIs" dxfId="54" priority="31" operator="equal">
      <formula>0</formula>
    </cfRule>
    <cfRule type="containsBlanks" dxfId="53" priority="32">
      <formula>LEN(TRIM(G36))=0</formula>
    </cfRule>
  </conditionalFormatting>
  <conditionalFormatting sqref="G36:Z40">
    <cfRule type="notContainsBlanks" dxfId="52" priority="30">
      <formula>LEN(TRIM(G36))&gt;0</formula>
    </cfRule>
  </conditionalFormatting>
  <conditionalFormatting sqref="G35">
    <cfRule type="cellIs" dxfId="51" priority="28" operator="equal">
      <formula>0</formula>
    </cfRule>
    <cfRule type="containsBlanks" dxfId="50" priority="29">
      <formula>LEN(TRIM(G35))=0</formula>
    </cfRule>
  </conditionalFormatting>
  <conditionalFormatting sqref="G35">
    <cfRule type="notContainsBlanks" dxfId="49" priority="27">
      <formula>LEN(TRIM(G35))&gt;0</formula>
    </cfRule>
  </conditionalFormatting>
  <conditionalFormatting sqref="H35">
    <cfRule type="cellIs" dxfId="48" priority="25" operator="equal">
      <formula>0</formula>
    </cfRule>
    <cfRule type="containsBlanks" dxfId="47" priority="26">
      <formula>LEN(TRIM(H35))=0</formula>
    </cfRule>
  </conditionalFormatting>
  <conditionalFormatting sqref="H35">
    <cfRule type="notContainsBlanks" dxfId="46" priority="24">
      <formula>LEN(TRIM(H35))&gt;0</formula>
    </cfRule>
  </conditionalFormatting>
  <conditionalFormatting sqref="I35:Z35">
    <cfRule type="cellIs" dxfId="45" priority="22" operator="equal">
      <formula>0</formula>
    </cfRule>
    <cfRule type="containsBlanks" dxfId="44" priority="23">
      <formula>LEN(TRIM(I35))=0</formula>
    </cfRule>
  </conditionalFormatting>
  <conditionalFormatting sqref="I35:Z35">
    <cfRule type="notContainsBlanks" dxfId="43" priority="21">
      <formula>LEN(TRIM(I35))&gt;0</formula>
    </cfRule>
  </conditionalFormatting>
  <conditionalFormatting sqref="G41:Z49">
    <cfRule type="cellIs" dxfId="42" priority="13" operator="equal">
      <formula>0</formula>
    </cfRule>
    <cfRule type="containsBlanks" dxfId="41" priority="14">
      <formula>LEN(TRIM(G41))=0</formula>
    </cfRule>
  </conditionalFormatting>
  <conditionalFormatting sqref="G41:Z49">
    <cfRule type="cellIs" dxfId="40" priority="11" operator="equal">
      <formula>0</formula>
    </cfRule>
    <cfRule type="containsBlanks" dxfId="39" priority="12">
      <formula>LEN(TRIM(G41))=0</formula>
    </cfRule>
  </conditionalFormatting>
  <conditionalFormatting sqref="G41:Z49">
    <cfRule type="notContainsBlanks" dxfId="38" priority="10">
      <formula>LEN(TRIM(G41))&gt;0</formula>
    </cfRule>
  </conditionalFormatting>
  <conditionalFormatting sqref="B35:F49">
    <cfRule type="cellIs" dxfId="37" priority="9" operator="equal">
      <formula>0</formula>
    </cfRule>
  </conditionalFormatting>
  <conditionalFormatting sqref="G9:Z10">
    <cfRule type="cellIs" dxfId="36" priority="8" operator="equal">
      <formula>0</formula>
    </cfRule>
  </conditionalFormatting>
  <conditionalFormatting sqref="C35:C49">
    <cfRule type="cellIs" dxfId="35" priority="7" operator="equal">
      <formula>0</formula>
    </cfRule>
  </conditionalFormatting>
  <conditionalFormatting sqref="D35:D49">
    <cfRule type="cellIs" dxfId="34" priority="6" operator="equal">
      <formula>0</formula>
    </cfRule>
  </conditionalFormatting>
  <conditionalFormatting sqref="B17:F31">
    <cfRule type="cellIs" dxfId="33" priority="5" operator="equal">
      <formula>0</formula>
    </cfRule>
  </conditionalFormatting>
  <conditionalFormatting sqref="C17:C31">
    <cfRule type="cellIs" dxfId="32" priority="4" operator="equal">
      <formula>0</formula>
    </cfRule>
  </conditionalFormatting>
  <conditionalFormatting sqref="D17:D31">
    <cfRule type="cellIs" dxfId="31" priority="3" operator="equal">
      <formula>0</formula>
    </cfRule>
  </conditionalFormatting>
  <conditionalFormatting sqref="G16:Z17 G19:Z31 G18 N18:Z18">
    <cfRule type="containsBlanks" dxfId="30" priority="2">
      <formula>LEN(TRIM(G16))=0</formula>
    </cfRule>
  </conditionalFormatting>
  <conditionalFormatting sqref="H18:M18">
    <cfRule type="containsBlanks" dxfId="29" priority="1">
      <formula>LEN(TRIM(H18))=0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2024-12-10T20:56:04Z</dcterms:modified>
</cp:coreProperties>
</file>