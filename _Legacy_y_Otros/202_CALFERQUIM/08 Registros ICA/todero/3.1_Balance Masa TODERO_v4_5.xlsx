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inbox\previo\1.114_todero\todero\"/>
    </mc:Choice>
  </mc:AlternateContent>
  <xr:revisionPtr revIDLastSave="0" documentId="13_ncr:1_{1C678D1D-52CC-4B61-BD90-4798D934A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ER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3" l="1"/>
  <c r="P17" i="3"/>
  <c r="O17" i="3"/>
  <c r="N17" i="3"/>
  <c r="L17" i="3"/>
  <c r="K17" i="3"/>
  <c r="J17" i="3"/>
  <c r="I17" i="3"/>
  <c r="H17" i="3"/>
  <c r="E17" i="3"/>
  <c r="P16" i="3"/>
  <c r="I16" i="3"/>
  <c r="H16" i="3"/>
  <c r="E16" i="3"/>
  <c r="Q15" i="3"/>
  <c r="L15" i="3"/>
  <c r="O14" i="3"/>
  <c r="L14" i="3"/>
  <c r="N13" i="3"/>
  <c r="L13" i="3"/>
  <c r="M12" i="3"/>
  <c r="L12" i="3"/>
  <c r="L11" i="3"/>
  <c r="K11" i="3"/>
  <c r="J10" i="3"/>
  <c r="I10" i="3"/>
  <c r="J9" i="3"/>
  <c r="I9" i="3"/>
  <c r="I8" i="3"/>
  <c r="G8" i="3"/>
  <c r="H7" i="3"/>
  <c r="E26" i="3" l="1"/>
  <c r="F26" i="3"/>
  <c r="H26" i="3"/>
  <c r="I26" i="3"/>
  <c r="J26" i="3"/>
  <c r="K26" i="3"/>
  <c r="L26" i="3"/>
  <c r="M26" i="3"/>
  <c r="N26" i="3"/>
  <c r="O26" i="3"/>
  <c r="P26" i="3"/>
  <c r="Q26" i="3"/>
  <c r="R26" i="3"/>
  <c r="M43" i="3" l="1"/>
  <c r="I40" i="3"/>
  <c r="P43" i="3"/>
  <c r="O43" i="3"/>
  <c r="F40" i="3"/>
  <c r="E25" i="3"/>
  <c r="A26" i="3"/>
  <c r="C19" i="3"/>
  <c r="D17" i="3"/>
  <c r="D16" i="3"/>
  <c r="D15" i="3"/>
  <c r="D14" i="3"/>
  <c r="D13" i="3"/>
  <c r="D12" i="3"/>
  <c r="D11" i="3"/>
  <c r="D10" i="3"/>
  <c r="D9" i="3"/>
  <c r="D8" i="3"/>
  <c r="D7" i="3"/>
  <c r="R20" i="3" l="1"/>
  <c r="M20" i="3"/>
  <c r="M34" i="3" s="1"/>
  <c r="Q20" i="3"/>
  <c r="Q34" i="3" s="1"/>
  <c r="G20" i="3"/>
  <c r="G26" i="3" s="1"/>
  <c r="F17" i="3"/>
  <c r="F16" i="3"/>
  <c r="F7" i="3"/>
  <c r="P20" i="3"/>
  <c r="D19" i="3"/>
  <c r="E27" i="3"/>
  <c r="F27" i="3"/>
  <c r="J40" i="3"/>
  <c r="I25" i="3"/>
  <c r="Q43" i="3"/>
  <c r="K25" i="3"/>
  <c r="K27" i="3"/>
  <c r="L27" i="3"/>
  <c r="L25" i="3"/>
  <c r="N43" i="3"/>
  <c r="O20" i="3" l="1"/>
  <c r="O34" i="3" s="1"/>
  <c r="N20" i="3"/>
  <c r="N34" i="3" s="1"/>
  <c r="E20" i="3"/>
  <c r="E34" i="3" s="1"/>
  <c r="F8" i="3"/>
  <c r="F20" i="3" s="1"/>
  <c r="F34" i="3" s="1"/>
  <c r="I20" i="3"/>
  <c r="F25" i="3"/>
  <c r="H25" i="3"/>
  <c r="J27" i="3"/>
  <c r="J25" i="3"/>
  <c r="K20" i="3"/>
  <c r="K34" i="3" s="1"/>
  <c r="J20" i="3"/>
  <c r="I27" i="3"/>
  <c r="L20" i="3"/>
  <c r="L34" i="3" s="1"/>
  <c r="H20" i="3"/>
  <c r="I34" i="3" l="1"/>
  <c r="J34" i="3"/>
  <c r="H27" i="3"/>
  <c r="G27" i="3"/>
  <c r="G25" i="3"/>
</calcChain>
</file>

<file path=xl/sharedStrings.xml><?xml version="1.0" encoding="utf-8"?>
<sst xmlns="http://schemas.openxmlformats.org/spreadsheetml/2006/main" count="68" uniqueCount="66">
  <si>
    <t>MATERIA PRIMA</t>
  </si>
  <si>
    <t>Composición</t>
  </si>
  <si>
    <t>Kg/Ton</t>
  </si>
  <si>
    <t>SUMATORIA</t>
  </si>
  <si>
    <t>%/100 Kg</t>
  </si>
  <si>
    <t>Nitrógeno Total (N)</t>
  </si>
  <si>
    <t>Hierro (Fe)</t>
  </si>
  <si>
    <t>Manganeso (Mn)</t>
  </si>
  <si>
    <t>ADITIVOS E INERTES</t>
  </si>
  <si>
    <t>SULFATO DE MANGANESO</t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</si>
  <si>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</si>
  <si>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</si>
  <si>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</si>
  <si>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</si>
  <si>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</si>
  <si>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</si>
  <si>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</si>
  <si>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TOTAL CALFERQUIM S.A.S</t>
  </si>
  <si>
    <t xml:space="preserve"> 32% MgO + 26% S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</si>
  <si>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</si>
  <si>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</si>
  <si>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</si>
  <si>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</si>
  <si>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</si>
  <si>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</si>
  <si>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</si>
  <si>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</si>
  <si>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Nitrógeno 0rgánico (N)</t>
  </si>
  <si>
    <t>Sodio (Na)</t>
  </si>
  <si>
    <r>
      <t>52%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  <r>
      <rPr>
        <b/>
        <sz val="8"/>
        <color theme="1"/>
        <rFont val="Segoe UI"/>
        <family val="2"/>
      </rPr>
      <t>+ 34%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</si>
  <si>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FOSFATO MONOPOTASICO (MKP)</t>
  </si>
  <si>
    <r>
      <t>28,40% C + 1,90% N Total + 0,66% 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0</t>
    </r>
    <r>
      <rPr>
        <b/>
        <vertAlign val="subscript"/>
        <sz val="8"/>
        <color theme="1"/>
        <rFont val="Arial"/>
        <family val="2"/>
      </rPr>
      <t>5</t>
    </r>
    <r>
      <rPr>
        <b/>
        <sz val="8"/>
        <color theme="1"/>
        <rFont val="Arial"/>
        <family val="2"/>
      </rPr>
      <t xml:space="preserve"> Total + 14,50% K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 Total + 3,02% CaO + 2,19 MgO + 2,27% S Total + 0,44% Na + 1,70 % SiO</t>
    </r>
    <r>
      <rPr>
        <b/>
        <vertAlign val="subscript"/>
        <sz val="8"/>
        <color theme="1"/>
        <rFont val="Arial"/>
        <family val="2"/>
      </rPr>
      <t xml:space="preserve">2 </t>
    </r>
    <r>
      <rPr>
        <b/>
        <sz val="8"/>
        <color theme="1"/>
        <rFont val="Arial"/>
        <family val="2"/>
      </rPr>
      <t xml:space="preserve">Total + 0,10% Fe + 0,0294% Mn </t>
    </r>
  </si>
  <si>
    <t>30% Fe +18 % S</t>
  </si>
  <si>
    <r>
      <t>Fósforo Total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</si>
  <si>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t>TOTALES</t>
  </si>
  <si>
    <t>SOLUBLES</t>
  </si>
  <si>
    <t>VINAZA (BIORGANIK)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</si>
  <si>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</si>
  <si>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</si>
  <si>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</si>
  <si>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</si>
  <si>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UREA </t>
  </si>
  <si>
    <t xml:space="preserve">46% N </t>
  </si>
  <si>
    <t>FOSFATO MONOAMONICO (MAP)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</si>
  <si>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</si>
  <si>
    <t>FOSFATO DIPOTASICO (DKP)</t>
  </si>
  <si>
    <r>
      <t>41%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  <r>
      <rPr>
        <b/>
        <sz val="8"/>
        <color theme="1"/>
        <rFont val="Segoe UI"/>
        <family val="2"/>
      </rPr>
      <t>+ 54%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</si>
  <si>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SULFATO FERROSO MONOHIDRATO</t>
  </si>
  <si>
    <t>QUITINA ORGÁNICA (HYT-C)</t>
  </si>
  <si>
    <r>
      <t>37,60% C + 4,00% N Total + 1% 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</t>
    </r>
    <r>
      <rPr>
        <b/>
        <vertAlign val="subscript"/>
        <sz val="8"/>
        <color theme="1"/>
        <rFont val="Arial"/>
        <family val="2"/>
      </rPr>
      <t>5</t>
    </r>
    <r>
      <rPr>
        <b/>
        <sz val="8"/>
        <color theme="1"/>
        <rFont val="Arial"/>
        <family val="2"/>
      </rPr>
      <t xml:space="preserve"> + 5% SiO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</t>
    </r>
  </si>
  <si>
    <r>
      <t>Potasio Total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</si>
  <si>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TODERO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</si>
  <si>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</si>
  <si>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</si>
  <si>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</si>
  <si>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</si>
  <si>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</si>
  <si>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</si>
  <si>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Carbono Orgánico Oxidable Total ©</t>
  </si>
  <si>
    <t>RESULTADOS ANÁLISIS No. CC-34019</t>
  </si>
  <si>
    <t>Nitrogeno Amoniacal (N)</t>
  </si>
  <si>
    <t xml:space="preserve">3) NTC 1061:2020 4.2.1 - 4.2.2 </t>
  </si>
  <si>
    <t xml:space="preserve">2) NTC 1061:2020 4.1 </t>
  </si>
  <si>
    <t>1) NTC 1061:2020 ALCANCE: no aplica para organicos</t>
  </si>
  <si>
    <t>SI</t>
  </si>
  <si>
    <t>Diferencia vs certificado supera 1%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</si>
</sst>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3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FF0000"/>
      <name val="Segoe U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5" tint="0.79998168889431442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8" fillId="0" borderId="10" xfId="0" applyFont="1" applyBorder="1"/>
    <xf numFmtId="0" fontId="5" fillId="4" borderId="1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1" fillId="0" borderId="0" xfId="0" applyFont="1"/>
    <xf numFmtId="0" fontId="6" fillId="6" borderId="16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165" fontId="6" fillId="6" borderId="15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165" fontId="6" fillId="6" borderId="9" xfId="0" applyNumberFormat="1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0" fontId="5" fillId="3" borderId="29" xfId="0" applyNumberFormat="1" applyFont="1" applyFill="1" applyBorder="1" applyAlignment="1">
      <alignment horizontal="center" vertical="center"/>
    </xf>
    <xf numFmtId="10" fontId="5" fillId="3" borderId="2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25" fillId="0" borderId="0" xfId="0" applyFont="1"/>
    <xf numFmtId="10" fontId="24" fillId="3" borderId="22" xfId="1" applyNumberFormat="1" applyFont="1" applyFill="1" applyBorder="1" applyAlignment="1">
      <alignment horizontal="center" vertical="center"/>
    </xf>
    <xf numFmtId="164" fontId="24" fillId="3" borderId="22" xfId="1" applyNumberFormat="1" applyFont="1" applyFill="1" applyBorder="1" applyAlignment="1">
      <alignment horizontal="center" vertical="center"/>
    </xf>
    <xf numFmtId="0" fontId="27" fillId="0" borderId="0" xfId="0" applyFont="1"/>
    <xf numFmtId="2" fontId="24" fillId="9" borderId="43" xfId="0" applyNumberFormat="1" applyFont="1" applyFill="1" applyBorder="1" applyAlignment="1">
      <alignment vertical="center"/>
    </xf>
    <xf numFmtId="2" fontId="24" fillId="9" borderId="7" xfId="0" applyNumberFormat="1" applyFont="1" applyFill="1" applyBorder="1" applyAlignment="1">
      <alignment vertical="center"/>
    </xf>
    <xf numFmtId="2" fontId="24" fillId="9" borderId="24" xfId="0" applyNumberFormat="1" applyFont="1" applyFill="1" applyBorder="1" applyAlignment="1">
      <alignment vertical="center"/>
    </xf>
    <xf numFmtId="164" fontId="24" fillId="9" borderId="7" xfId="0" applyNumberFormat="1" applyFont="1" applyFill="1" applyBorder="1" applyAlignment="1">
      <alignment vertical="center"/>
    </xf>
    <xf numFmtId="2" fontId="29" fillId="8" borderId="22" xfId="0" applyNumberFormat="1" applyFont="1" applyFill="1" applyBorder="1" applyAlignment="1">
      <alignment horizontal="center" vertical="center"/>
    </xf>
    <xf numFmtId="2" fontId="29" fillId="8" borderId="26" xfId="0" applyNumberFormat="1" applyFont="1" applyFill="1" applyBorder="1" applyAlignment="1">
      <alignment horizontal="center" vertical="center"/>
    </xf>
    <xf numFmtId="2" fontId="29" fillId="8" borderId="27" xfId="0" applyNumberFormat="1" applyFont="1" applyFill="1" applyBorder="1" applyAlignment="1">
      <alignment horizontal="center" vertical="center"/>
    </xf>
    <xf numFmtId="2" fontId="28" fillId="9" borderId="7" xfId="0" applyNumberFormat="1" applyFont="1" applyFill="1" applyBorder="1" applyAlignment="1">
      <alignment vertical="center"/>
    </xf>
    <xf numFmtId="2" fontId="28" fillId="8" borderId="27" xfId="0" applyNumberFormat="1" applyFont="1" applyFill="1" applyBorder="1" applyAlignment="1">
      <alignment horizontal="center" vertical="center"/>
    </xf>
    <xf numFmtId="2" fontId="29" fillId="8" borderId="24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10" fontId="30" fillId="0" borderId="23" xfId="1" applyNumberFormat="1" applyFont="1" applyBorder="1" applyAlignment="1">
      <alignment horizontal="center"/>
    </xf>
    <xf numFmtId="10" fontId="30" fillId="0" borderId="13" xfId="1" applyNumberFormat="1" applyFont="1" applyBorder="1" applyAlignment="1">
      <alignment horizontal="center"/>
    </xf>
    <xf numFmtId="10" fontId="30" fillId="0" borderId="15" xfId="1" applyNumberFormat="1" applyFont="1" applyBorder="1" applyAlignment="1">
      <alignment horizontal="center"/>
    </xf>
    <xf numFmtId="10" fontId="30" fillId="0" borderId="5" xfId="1" applyNumberFormat="1" applyFont="1" applyBorder="1" applyAlignment="1">
      <alignment horizontal="center"/>
    </xf>
    <xf numFmtId="9" fontId="4" fillId="0" borderId="15" xfId="1" applyFont="1" applyFill="1" applyBorder="1" applyAlignment="1">
      <alignment horizontal="center" vertical="center" wrapText="1"/>
    </xf>
    <xf numFmtId="9" fontId="4" fillId="0" borderId="44" xfId="1" applyFont="1" applyFill="1" applyBorder="1" applyAlignment="1">
      <alignment horizontal="center" vertical="center" wrapText="1"/>
    </xf>
    <xf numFmtId="9" fontId="4" fillId="0" borderId="17" xfId="1" applyFont="1" applyFill="1" applyBorder="1" applyAlignment="1">
      <alignment horizontal="center" vertical="center" wrapText="1"/>
    </xf>
    <xf numFmtId="9" fontId="4" fillId="0" borderId="5" xfId="1" applyFont="1" applyFill="1" applyBorder="1" applyAlignment="1">
      <alignment horizontal="center" vertical="center" wrapText="1"/>
    </xf>
    <xf numFmtId="9" fontId="4" fillId="0" borderId="7" xfId="1" applyFont="1" applyFill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 wrapText="1"/>
    </xf>
    <xf numFmtId="9" fontId="4" fillId="0" borderId="23" xfId="1" applyFont="1" applyFill="1" applyBorder="1" applyAlignment="1">
      <alignment horizontal="center" vertical="center" wrapText="1"/>
    </xf>
    <xf numFmtId="9" fontId="4" fillId="0" borderId="5" xfId="1" applyFont="1" applyFill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23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 wrapText="1"/>
    </xf>
    <xf numFmtId="10" fontId="31" fillId="0" borderId="7" xfId="0" applyNumberFormat="1" applyFont="1" applyBorder="1"/>
    <xf numFmtId="10" fontId="4" fillId="0" borderId="5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23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9" fontId="4" fillId="0" borderId="13" xfId="1" applyFont="1" applyFill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 wrapText="1"/>
    </xf>
    <xf numFmtId="10" fontId="31" fillId="0" borderId="22" xfId="0" applyNumberFormat="1" applyFont="1" applyBorder="1"/>
    <xf numFmtId="9" fontId="31" fillId="0" borderId="14" xfId="1" applyFont="1" applyFill="1" applyBorder="1" applyAlignment="1">
      <alignment horizontal="left" vertical="center"/>
    </xf>
    <xf numFmtId="10" fontId="31" fillId="0" borderId="45" xfId="0" applyNumberFormat="1" applyFont="1" applyBorder="1" applyAlignment="1">
      <alignment horizontal="center" vertical="center"/>
    </xf>
    <xf numFmtId="10" fontId="31" fillId="0" borderId="9" xfId="0" applyNumberFormat="1" applyFont="1" applyBorder="1" applyAlignment="1">
      <alignment horizontal="center" vertical="center"/>
    </xf>
    <xf numFmtId="10" fontId="31" fillId="0" borderId="8" xfId="0" applyNumberFormat="1" applyFont="1" applyBorder="1" applyAlignment="1">
      <alignment horizontal="center" vertical="center"/>
    </xf>
    <xf numFmtId="10" fontId="31" fillId="0" borderId="6" xfId="0" applyNumberFormat="1" applyFont="1" applyBorder="1" applyAlignment="1">
      <alignment horizontal="center" vertical="center"/>
    </xf>
    <xf numFmtId="10" fontId="31" fillId="0" borderId="6" xfId="0" applyNumberFormat="1" applyFont="1" applyBorder="1"/>
    <xf numFmtId="10" fontId="31" fillId="0" borderId="26" xfId="0" applyNumberFormat="1" applyFont="1" applyBorder="1"/>
    <xf numFmtId="10" fontId="26" fillId="7" borderId="22" xfId="1" applyNumberFormat="1" applyFont="1" applyFill="1" applyBorder="1" applyAlignment="1">
      <alignment horizontal="center" vertical="center"/>
    </xf>
    <xf numFmtId="164" fontId="24" fillId="7" borderId="22" xfId="1" applyNumberFormat="1" applyFont="1" applyFill="1" applyBorder="1" applyAlignment="1">
      <alignment horizontal="center" vertical="center"/>
    </xf>
    <xf numFmtId="10" fontId="24" fillId="7" borderId="22" xfId="1" applyNumberFormat="1" applyFont="1" applyFill="1" applyBorder="1" applyAlignment="1">
      <alignment horizontal="center" vertical="center"/>
    </xf>
    <xf numFmtId="10" fontId="24" fillId="2" borderId="22" xfId="0" applyNumberFormat="1" applyFont="1" applyFill="1" applyBorder="1" applyAlignment="1">
      <alignment horizontal="center" vertical="center"/>
    </xf>
    <xf numFmtId="10" fontId="22" fillId="2" borderId="22" xfId="0" applyNumberFormat="1" applyFont="1" applyFill="1" applyBorder="1" applyAlignment="1">
      <alignment horizontal="center" vertical="center"/>
    </xf>
    <xf numFmtId="10" fontId="24" fillId="8" borderId="43" xfId="1" applyNumberFormat="1" applyFont="1" applyFill="1" applyBorder="1" applyAlignment="1">
      <alignment horizontal="center" vertical="center"/>
    </xf>
    <xf numFmtId="10" fontId="24" fillId="8" borderId="7" xfId="1" applyNumberFormat="1" applyFont="1" applyFill="1" applyBorder="1" applyAlignment="1">
      <alignment horizontal="center" vertical="center"/>
    </xf>
    <xf numFmtId="10" fontId="24" fillId="8" borderId="24" xfId="1" applyNumberFormat="1" applyFont="1" applyFill="1" applyBorder="1" applyAlignment="1">
      <alignment horizontal="center" vertical="center"/>
    </xf>
    <xf numFmtId="2" fontId="24" fillId="8" borderId="43" xfId="0" applyNumberFormat="1" applyFont="1" applyFill="1" applyBorder="1" applyAlignment="1">
      <alignment horizontal="center" vertical="center"/>
    </xf>
    <xf numFmtId="2" fontId="24" fillId="8" borderId="7" xfId="0" applyNumberFormat="1" applyFont="1" applyFill="1" applyBorder="1" applyAlignment="1">
      <alignment horizontal="center" vertical="center"/>
    </xf>
    <xf numFmtId="164" fontId="24" fillId="8" borderId="7" xfId="0" applyNumberFormat="1" applyFont="1" applyFill="1" applyBorder="1" applyAlignment="1">
      <alignment horizontal="center" vertical="center"/>
    </xf>
    <xf numFmtId="2" fontId="24" fillId="8" borderId="24" xfId="0" applyNumberFormat="1" applyFont="1" applyFill="1" applyBorder="1" applyAlignment="1">
      <alignment horizontal="center" vertical="center"/>
    </xf>
    <xf numFmtId="10" fontId="32" fillId="8" borderId="43" xfId="1" applyNumberFormat="1" applyFont="1" applyFill="1" applyBorder="1" applyAlignment="1">
      <alignment horizontal="center" vertical="center"/>
    </xf>
    <xf numFmtId="10" fontId="32" fillId="8" borderId="7" xfId="1" applyNumberFormat="1" applyFont="1" applyFill="1" applyBorder="1" applyAlignment="1">
      <alignment horizontal="center" vertical="center"/>
    </xf>
    <xf numFmtId="2" fontId="32" fillId="8" borderId="7" xfId="0" applyNumberFormat="1" applyFont="1" applyFill="1" applyBorder="1" applyAlignment="1">
      <alignment horizontal="center" vertical="center"/>
    </xf>
    <xf numFmtId="2" fontId="32" fillId="8" borderId="24" xfId="0" applyNumberFormat="1" applyFont="1" applyFill="1" applyBorder="1" applyAlignment="1">
      <alignment horizontal="center" vertical="center"/>
    </xf>
    <xf numFmtId="10" fontId="25" fillId="0" borderId="0" xfId="1" applyNumberFormat="1" applyFont="1"/>
    <xf numFmtId="10" fontId="30" fillId="0" borderId="7" xfId="1" applyNumberFormat="1" applyFont="1" applyBorder="1" applyAlignment="1">
      <alignment horizontal="center"/>
    </xf>
    <xf numFmtId="10" fontId="4" fillId="0" borderId="13" xfId="0" applyNumberFormat="1" applyFont="1" applyBorder="1" applyAlignment="1">
      <alignment horizontal="center" vertical="center" wrapText="1"/>
    </xf>
    <xf numFmtId="10" fontId="31" fillId="0" borderId="45" xfId="0" applyNumberFormat="1" applyFont="1" applyBorder="1"/>
    <xf numFmtId="10" fontId="31" fillId="0" borderId="5" xfId="0" applyNumberFormat="1" applyFont="1" applyBorder="1"/>
    <xf numFmtId="10" fontId="31" fillId="0" borderId="9" xfId="0" applyNumberFormat="1" applyFont="1" applyBorder="1"/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 wrapText="1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 wrapText="1"/>
    </xf>
    <xf numFmtId="10" fontId="22" fillId="2" borderId="22" xfId="0" applyNumberFormat="1" applyFont="1" applyFill="1" applyBorder="1" applyAlignment="1">
      <alignment horizontal="center" vertical="center"/>
    </xf>
    <xf numFmtId="10" fontId="24" fillId="2" borderId="22" xfId="1" applyNumberFormat="1" applyFont="1" applyFill="1" applyBorder="1" applyAlignment="1">
      <alignment horizontal="center" vertical="center"/>
    </xf>
    <xf numFmtId="10" fontId="24" fillId="2" borderId="22" xfId="0" applyNumberFormat="1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R44"/>
  <sheetViews>
    <sheetView tabSelected="1" zoomScale="70" zoomScaleNormal="70" workbookViewId="0">
      <selection activeCell="F26" sqref="F26"/>
    </sheetView>
  </sheetViews>
  <sheetFormatPr baseColWidth="10" defaultColWidth="11.42578125" defaultRowHeight="15" x14ac:dyDescent="0.25"/>
  <cols>
    <col min="1" max="1" width="35" bestFit="1" customWidth="1"/>
    <col min="2" max="2" width="32.7109375" customWidth="1"/>
    <col min="3" max="3" width="8.140625" customWidth="1"/>
    <col min="4" max="4" width="9.42578125" customWidth="1"/>
    <col min="5" max="5" width="11" customWidth="1"/>
    <col min="6" max="6" width="11.85546875" customWidth="1"/>
    <col min="7" max="7" width="11.42578125" customWidth="1"/>
    <col min="8" max="8" width="14.5703125" customWidth="1"/>
    <col min="9" max="9" width="9.140625" customWidth="1"/>
    <col min="10" max="10" width="10" bestFit="1" customWidth="1"/>
    <col min="11" max="11" width="11.7109375" customWidth="1"/>
    <col min="12" max="12" width="8.85546875" bestFit="1" customWidth="1"/>
    <col min="13" max="14" width="10.28515625" bestFit="1" customWidth="1"/>
    <col min="15" max="15" width="14.42578125" customWidth="1"/>
    <col min="16" max="17" width="9.42578125" customWidth="1"/>
    <col min="18" max="18" width="7.7109375" customWidth="1"/>
  </cols>
  <sheetData>
    <row r="1" spans="1:18" ht="18" x14ac:dyDescent="0.25">
      <c r="A1" s="126" t="s">
        <v>26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23.25" x14ac:dyDescent="0.35">
      <c r="A2" s="127" t="s">
        <v>51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</row>
    <row r="3" spans="1:18" ht="20.25" x14ac:dyDescent="0.3">
      <c r="A3" s="128" t="s">
        <v>25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</row>
    <row r="4" spans="1:18" ht="21" thickBo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31"/>
      <c r="L5" s="131"/>
      <c r="M5" s="131"/>
      <c r="N5" s="131"/>
      <c r="O5" s="131"/>
      <c r="P5" s="131"/>
      <c r="Q5" s="131"/>
      <c r="R5" s="132"/>
    </row>
    <row r="6" spans="1:18" ht="42.75" thickBot="1" x14ac:dyDescent="0.3">
      <c r="A6" s="4" t="s">
        <v>0</v>
      </c>
      <c r="B6" s="10" t="s">
        <v>1</v>
      </c>
      <c r="C6" s="11" t="s">
        <v>2</v>
      </c>
      <c r="D6" s="17" t="s">
        <v>4</v>
      </c>
      <c r="E6" s="25" t="s">
        <v>58</v>
      </c>
      <c r="F6" s="26" t="s">
        <v>5</v>
      </c>
      <c r="G6" s="52" t="s">
        <v>60</v>
      </c>
      <c r="H6" s="26" t="s">
        <v>27</v>
      </c>
      <c r="I6" s="53" t="s">
        <v>33</v>
      </c>
      <c r="J6" s="6" t="s">
        <v>50</v>
      </c>
      <c r="K6" s="6" t="s">
        <v>20</v>
      </c>
      <c r="L6" s="6" t="s">
        <v>21</v>
      </c>
      <c r="M6" s="6" t="s">
        <v>10</v>
      </c>
      <c r="N6" s="6" t="s">
        <v>6</v>
      </c>
      <c r="O6" s="6" t="s">
        <v>7</v>
      </c>
      <c r="P6" s="25" t="s">
        <v>19</v>
      </c>
      <c r="Q6" s="26" t="s">
        <v>11</v>
      </c>
      <c r="R6" s="26" t="s">
        <v>28</v>
      </c>
    </row>
    <row r="7" spans="1:18" ht="15.75" thickBot="1" x14ac:dyDescent="0.3">
      <c r="A7" s="8" t="s">
        <v>41</v>
      </c>
      <c r="B7" s="19" t="s">
        <v>42</v>
      </c>
      <c r="C7" s="22">
        <v>369</v>
      </c>
      <c r="D7" s="22">
        <f>C7/10</f>
        <v>36.9</v>
      </c>
      <c r="E7" s="54"/>
      <c r="F7" s="55">
        <f>SUM(G7:H7)</f>
        <v>0.16974</v>
      </c>
      <c r="G7" s="56"/>
      <c r="H7" s="54">
        <f>$C7*46%/1000</f>
        <v>0.16974</v>
      </c>
      <c r="I7" s="57"/>
      <c r="J7" s="57"/>
      <c r="K7" s="59"/>
      <c r="L7" s="58"/>
      <c r="M7" s="59"/>
      <c r="N7" s="58"/>
      <c r="O7" s="59"/>
      <c r="P7" s="59"/>
      <c r="Q7" s="58"/>
      <c r="R7" s="60"/>
    </row>
    <row r="8" spans="1:18" ht="15.75" thickBot="1" x14ac:dyDescent="0.3">
      <c r="A8" s="8" t="s">
        <v>43</v>
      </c>
      <c r="B8" s="20" t="s">
        <v>44</v>
      </c>
      <c r="C8" s="23">
        <v>74.5</v>
      </c>
      <c r="D8" s="23">
        <f t="shared" ref="D8:D17" si="0">C8/10</f>
        <v>7.45</v>
      </c>
      <c r="E8" s="54"/>
      <c r="F8" s="55">
        <f>SUM(G8:H8)</f>
        <v>8.94E-3</v>
      </c>
      <c r="G8" s="54">
        <f>$C8*12%/1000</f>
        <v>8.94E-3</v>
      </c>
      <c r="H8" s="57"/>
      <c r="I8" s="54">
        <f>$C8*61%/1000</f>
        <v>4.5444999999999999E-2</v>
      </c>
      <c r="J8" s="57"/>
      <c r="K8" s="62"/>
      <c r="L8" s="63"/>
      <c r="M8" s="62"/>
      <c r="N8" s="61"/>
      <c r="O8" s="62"/>
      <c r="P8" s="62"/>
      <c r="Q8" s="61"/>
      <c r="R8" s="64"/>
    </row>
    <row r="9" spans="1:18" ht="15.75" customHeight="1" thickBot="1" x14ac:dyDescent="0.3">
      <c r="A9" s="8" t="s">
        <v>30</v>
      </c>
      <c r="B9" s="20" t="s">
        <v>29</v>
      </c>
      <c r="C9" s="23">
        <v>31.8</v>
      </c>
      <c r="D9" s="23">
        <f t="shared" si="0"/>
        <v>3.18</v>
      </c>
      <c r="E9" s="54"/>
      <c r="F9" s="55"/>
      <c r="G9" s="54"/>
      <c r="H9" s="54"/>
      <c r="I9" s="54">
        <f>$C9*52%/1000</f>
        <v>1.6536000000000002E-2</v>
      </c>
      <c r="J9" s="54">
        <f>$C9*34%/1000</f>
        <v>1.0812E-2</v>
      </c>
      <c r="K9" s="62"/>
      <c r="L9" s="61"/>
      <c r="M9" s="62"/>
      <c r="N9" s="61"/>
      <c r="O9" s="62"/>
      <c r="P9" s="62"/>
      <c r="Q9" s="61"/>
      <c r="R9" s="64"/>
    </row>
    <row r="10" spans="1:18" ht="15.75" customHeight="1" thickBot="1" x14ac:dyDescent="0.3">
      <c r="A10" s="8" t="s">
        <v>45</v>
      </c>
      <c r="B10" s="20" t="s">
        <v>46</v>
      </c>
      <c r="C10" s="23">
        <v>343.5</v>
      </c>
      <c r="D10" s="23">
        <f t="shared" si="0"/>
        <v>34.35</v>
      </c>
      <c r="E10" s="54"/>
      <c r="F10" s="55"/>
      <c r="G10" s="54"/>
      <c r="H10" s="54"/>
      <c r="I10" s="54">
        <f>$C10*41%/1000</f>
        <v>0.14083499999999999</v>
      </c>
      <c r="J10" s="54">
        <f>$C10*54%/1000</f>
        <v>0.18549000000000002</v>
      </c>
      <c r="K10" s="62"/>
      <c r="L10" s="61"/>
      <c r="M10" s="62"/>
      <c r="N10" s="61"/>
      <c r="O10" s="62"/>
      <c r="P10" s="62"/>
      <c r="Q10" s="61"/>
      <c r="R10" s="64"/>
    </row>
    <row r="11" spans="1:18" ht="15.75" thickBot="1" x14ac:dyDescent="0.3">
      <c r="A11" s="8" t="s">
        <v>22</v>
      </c>
      <c r="B11" s="20" t="s">
        <v>18</v>
      </c>
      <c r="C11" s="23">
        <v>32.5</v>
      </c>
      <c r="D11" s="23">
        <f t="shared" si="0"/>
        <v>3.25</v>
      </c>
      <c r="E11" s="65"/>
      <c r="F11" s="66"/>
      <c r="G11" s="67"/>
      <c r="H11" s="66"/>
      <c r="I11" s="67"/>
      <c r="J11" s="69"/>
      <c r="K11" s="105">
        <f>$C11*32%/1000</f>
        <v>1.04E-2</v>
      </c>
      <c r="L11" s="57">
        <f>$C11*26%/1000</f>
        <v>8.4500000000000009E-3</v>
      </c>
      <c r="M11" s="66"/>
      <c r="N11" s="67"/>
      <c r="O11" s="66"/>
      <c r="P11" s="66"/>
      <c r="Q11" s="67"/>
      <c r="R11" s="68"/>
    </row>
    <row r="12" spans="1:18" ht="15.75" thickBot="1" x14ac:dyDescent="0.3">
      <c r="A12" s="8" t="s">
        <v>12</v>
      </c>
      <c r="B12" s="20" t="s">
        <v>15</v>
      </c>
      <c r="C12" s="23">
        <v>1.2</v>
      </c>
      <c r="D12" s="23">
        <f t="shared" si="0"/>
        <v>0.12</v>
      </c>
      <c r="E12" s="65"/>
      <c r="F12" s="66"/>
      <c r="G12" s="67"/>
      <c r="H12" s="66"/>
      <c r="I12" s="67"/>
      <c r="J12" s="69"/>
      <c r="K12" s="70"/>
      <c r="L12" s="57">
        <f>$C12*13%/1000</f>
        <v>1.56E-4</v>
      </c>
      <c r="M12" s="54">
        <f>$C12*25%/1000</f>
        <v>2.9999999999999997E-4</v>
      </c>
      <c r="N12" s="71"/>
      <c r="O12" s="72"/>
      <c r="P12" s="72"/>
      <c r="Q12" s="71"/>
      <c r="R12" s="73"/>
    </row>
    <row r="13" spans="1:18" ht="15.75" thickBot="1" x14ac:dyDescent="0.3">
      <c r="A13" s="8" t="s">
        <v>47</v>
      </c>
      <c r="B13" s="20" t="s">
        <v>32</v>
      </c>
      <c r="C13" s="23">
        <v>3.5</v>
      </c>
      <c r="D13" s="23">
        <f t="shared" si="0"/>
        <v>0.35</v>
      </c>
      <c r="E13" s="65"/>
      <c r="F13" s="66"/>
      <c r="G13" s="67"/>
      <c r="H13" s="66"/>
      <c r="I13" s="67"/>
      <c r="J13" s="69"/>
      <c r="K13" s="70"/>
      <c r="L13" s="57">
        <f>$C13*18%/1000</f>
        <v>6.3000000000000003E-4</v>
      </c>
      <c r="M13" s="57"/>
      <c r="N13" s="54">
        <f>$C13*30%/1000</f>
        <v>1.0500000000000002E-3</v>
      </c>
      <c r="O13" s="72"/>
      <c r="P13" s="72"/>
      <c r="Q13" s="71"/>
      <c r="R13" s="73"/>
    </row>
    <row r="14" spans="1:18" ht="15.75" thickBot="1" x14ac:dyDescent="0.3">
      <c r="A14" s="8" t="s">
        <v>9</v>
      </c>
      <c r="B14" s="20" t="s">
        <v>16</v>
      </c>
      <c r="C14" s="23">
        <v>1</v>
      </c>
      <c r="D14" s="23">
        <f t="shared" si="0"/>
        <v>0.1</v>
      </c>
      <c r="E14" s="65"/>
      <c r="F14" s="66"/>
      <c r="G14" s="67"/>
      <c r="H14" s="66"/>
      <c r="I14" s="67"/>
      <c r="J14" s="69"/>
      <c r="K14" s="69"/>
      <c r="L14" s="57">
        <f>$C14*18%/1000</f>
        <v>1.7999999999999998E-4</v>
      </c>
      <c r="M14" s="57"/>
      <c r="N14" s="57"/>
      <c r="O14" s="54">
        <f>$C14*31%/1000</f>
        <v>3.1E-4</v>
      </c>
      <c r="P14" s="75"/>
      <c r="Q14" s="74"/>
      <c r="R14" s="76"/>
    </row>
    <row r="15" spans="1:18" ht="15.75" thickBot="1" x14ac:dyDescent="0.3">
      <c r="A15" s="9" t="s">
        <v>13</v>
      </c>
      <c r="B15" s="20" t="s">
        <v>14</v>
      </c>
      <c r="C15" s="23">
        <v>2</v>
      </c>
      <c r="D15" s="23">
        <f t="shared" si="0"/>
        <v>0.2</v>
      </c>
      <c r="E15" s="65"/>
      <c r="F15" s="66"/>
      <c r="G15" s="67"/>
      <c r="H15" s="66"/>
      <c r="I15" s="67"/>
      <c r="J15" s="69"/>
      <c r="K15" s="69"/>
      <c r="L15" s="57">
        <f>$C15*16%/1000</f>
        <v>3.2000000000000003E-4</v>
      </c>
      <c r="M15" s="57"/>
      <c r="N15" s="57"/>
      <c r="O15" s="57"/>
      <c r="P15" s="57"/>
      <c r="Q15" s="54">
        <f>$C15*35%/1000</f>
        <v>6.9999999999999999E-4</v>
      </c>
      <c r="R15" s="76"/>
    </row>
    <row r="16" spans="1:18" ht="23.25" thickBot="1" x14ac:dyDescent="0.3">
      <c r="A16" s="9" t="s">
        <v>48</v>
      </c>
      <c r="B16" s="21" t="s">
        <v>49</v>
      </c>
      <c r="C16" s="23">
        <v>108</v>
      </c>
      <c r="D16" s="23">
        <f t="shared" si="0"/>
        <v>10.8</v>
      </c>
      <c r="E16" s="54">
        <f>$C16*37.6%/1000</f>
        <v>4.0607999999999998E-2</v>
      </c>
      <c r="F16" s="55">
        <f>SUM(G16:H16)</f>
        <v>4.3200000000000001E-3</v>
      </c>
      <c r="G16" s="57"/>
      <c r="H16" s="54">
        <f>$C16*4%/1000</f>
        <v>4.3200000000000001E-3</v>
      </c>
      <c r="I16" s="54">
        <f>$C16*1%/1000</f>
        <v>1.08E-3</v>
      </c>
      <c r="J16" s="57"/>
      <c r="K16" s="69"/>
      <c r="L16" s="71"/>
      <c r="M16" s="75"/>
      <c r="N16" s="71"/>
      <c r="O16" s="72"/>
      <c r="P16" s="54">
        <f>$C16*5%/1000</f>
        <v>5.4000000000000003E-3</v>
      </c>
      <c r="Q16" s="74"/>
      <c r="R16" s="76"/>
    </row>
    <row r="17" spans="1:18" ht="57" thickBot="1" x14ac:dyDescent="0.3">
      <c r="A17" s="14" t="s">
        <v>36</v>
      </c>
      <c r="B17" s="15" t="s">
        <v>31</v>
      </c>
      <c r="C17" s="24">
        <v>33</v>
      </c>
      <c r="D17" s="24">
        <f t="shared" si="0"/>
        <v>3.3</v>
      </c>
      <c r="E17" s="54">
        <f>$C17*28.4%/1000</f>
        <v>9.3720000000000001E-3</v>
      </c>
      <c r="F17" s="55">
        <f>SUM(G17:H17)</f>
        <v>6.2699999999999995E-4</v>
      </c>
      <c r="G17" s="57"/>
      <c r="H17" s="54">
        <f>$C17*1.9%/1000</f>
        <v>6.2699999999999995E-4</v>
      </c>
      <c r="I17" s="54">
        <f>$C17*0.66%/1000</f>
        <v>2.1779999999999998E-4</v>
      </c>
      <c r="J17" s="54">
        <f>$C17*14.5%/1000</f>
        <v>4.7849999999999993E-3</v>
      </c>
      <c r="K17" s="105">
        <f>$C17*2.19%/1000</f>
        <v>7.2270000000000006E-4</v>
      </c>
      <c r="L17" s="57">
        <f>$C17*2.27%/1000</f>
        <v>7.4910000000000005E-4</v>
      </c>
      <c r="M17" s="57"/>
      <c r="N17" s="54">
        <f>$C17*0.1%/1000</f>
        <v>3.3000000000000003E-5</v>
      </c>
      <c r="O17" s="54">
        <f>$C17*0.0294%/1000</f>
        <v>9.7019999999999996E-6</v>
      </c>
      <c r="P17" s="54">
        <f>$C17*1.7%/1000</f>
        <v>5.6100000000000008E-4</v>
      </c>
      <c r="Q17" s="57"/>
      <c r="R17" s="54">
        <f>$C17*0.44%/1000</f>
        <v>1.4520000000000001E-4</v>
      </c>
    </row>
    <row r="18" spans="1:18" ht="15.75" thickBot="1" x14ac:dyDescent="0.3">
      <c r="A18" s="129" t="s">
        <v>8</v>
      </c>
      <c r="B18" s="130"/>
      <c r="C18" s="7"/>
      <c r="D18" s="7"/>
      <c r="E18" s="77"/>
      <c r="F18" s="78"/>
      <c r="G18" s="67"/>
      <c r="H18" s="67"/>
      <c r="I18" s="66"/>
      <c r="J18" s="79"/>
      <c r="K18" s="106"/>
      <c r="L18" s="108"/>
      <c r="M18" s="79"/>
      <c r="N18" s="80"/>
      <c r="O18" s="79"/>
      <c r="P18" s="79"/>
      <c r="Q18" s="80"/>
      <c r="R18" s="79"/>
    </row>
    <row r="19" spans="1:18" ht="15.75" thickBot="1" x14ac:dyDescent="0.3">
      <c r="A19" s="124" t="s">
        <v>3</v>
      </c>
      <c r="B19" s="125"/>
      <c r="C19" s="16">
        <f>SUM(C7:C18)</f>
        <v>1000</v>
      </c>
      <c r="D19" s="16">
        <f>SUM(D7:D18)</f>
        <v>99.999999999999986</v>
      </c>
      <c r="E19" s="81"/>
      <c r="F19" s="82"/>
      <c r="G19" s="83"/>
      <c r="H19" s="85"/>
      <c r="I19" s="84"/>
      <c r="J19" s="86"/>
      <c r="K19" s="107"/>
      <c r="L19" s="109"/>
      <c r="M19" s="86"/>
      <c r="N19" s="87"/>
      <c r="O19" s="86"/>
      <c r="P19" s="86"/>
      <c r="Q19" s="87"/>
      <c r="R19" s="86"/>
    </row>
    <row r="20" spans="1:18" ht="17.25" thickBot="1" x14ac:dyDescent="0.3">
      <c r="A20" s="110" t="s">
        <v>17</v>
      </c>
      <c r="B20" s="111"/>
      <c r="C20" s="111"/>
      <c r="D20" s="111"/>
      <c r="E20" s="28">
        <f t="shared" ref="E20:J20" si="1">SUM(E7:E19)</f>
        <v>4.9979999999999997E-2</v>
      </c>
      <c r="F20" s="28">
        <f t="shared" si="1"/>
        <v>0.18362699999999998</v>
      </c>
      <c r="G20" s="28">
        <f t="shared" si="1"/>
        <v>8.94E-3</v>
      </c>
      <c r="H20" s="28">
        <f t="shared" si="1"/>
        <v>0.17468699999999998</v>
      </c>
      <c r="I20" s="28">
        <f t="shared" si="1"/>
        <v>0.20411379999999998</v>
      </c>
      <c r="J20" s="28">
        <f t="shared" si="1"/>
        <v>0.20108700000000002</v>
      </c>
      <c r="K20" s="27">
        <f>SUM(K9:K19)</f>
        <v>1.1122699999999999E-2</v>
      </c>
      <c r="L20" s="29">
        <f>SUM(L7:L19)</f>
        <v>1.0485100000000002E-2</v>
      </c>
      <c r="M20" s="27">
        <f>SUM(M9:M19)</f>
        <v>2.9999999999999997E-4</v>
      </c>
      <c r="N20" s="30">
        <f>SUM(N9:N19)</f>
        <v>1.0830000000000002E-3</v>
      </c>
      <c r="O20" s="27">
        <f>SUM(O9:O19)</f>
        <v>3.19702E-4</v>
      </c>
      <c r="P20" s="27">
        <f>SUM(P7:P19)</f>
        <v>5.9610000000000002E-3</v>
      </c>
      <c r="Q20" s="30">
        <f>SUM(Q9:Q19)</f>
        <v>6.9999999999999999E-4</v>
      </c>
      <c r="R20" s="27">
        <f>SUM(R9:R19)</f>
        <v>1.4520000000000001E-4</v>
      </c>
    </row>
    <row r="21" spans="1:18" ht="15.75" thickBot="1" x14ac:dyDescent="0.3">
      <c r="A21" s="5"/>
      <c r="B21" s="2"/>
      <c r="C21" s="3"/>
      <c r="D21" s="3"/>
      <c r="E21" s="31"/>
      <c r="F21" s="31"/>
      <c r="G21" s="31"/>
      <c r="H21" s="31"/>
      <c r="I21" s="31"/>
      <c r="J21" s="32"/>
      <c r="K21" s="33"/>
      <c r="L21" s="32"/>
      <c r="M21" s="32"/>
      <c r="N21" s="32"/>
      <c r="O21" s="32"/>
      <c r="P21" s="32"/>
      <c r="Q21" s="34"/>
      <c r="R21" s="34"/>
    </row>
    <row r="22" spans="1:18" ht="18" customHeight="1" thickBot="1" x14ac:dyDescent="0.3">
      <c r="A22" s="118" t="s">
        <v>59</v>
      </c>
      <c r="B22" s="119"/>
      <c r="C22" s="122" t="s">
        <v>34</v>
      </c>
      <c r="D22" s="123"/>
      <c r="E22" s="141">
        <v>5.1999999999999998E-2</v>
      </c>
      <c r="F22" s="142">
        <v>0.1903</v>
      </c>
      <c r="G22" s="91"/>
      <c r="H22" s="140">
        <v>0.1837</v>
      </c>
      <c r="I22" s="91">
        <v>0.2127</v>
      </c>
      <c r="J22" s="92">
        <v>0.20799999999999999</v>
      </c>
      <c r="K22" s="92">
        <v>1.44E-2</v>
      </c>
      <c r="L22" s="92">
        <v>1.5900000000000001E-2</v>
      </c>
      <c r="M22" s="92">
        <v>4.0000000000000002E-4</v>
      </c>
      <c r="N22" s="92">
        <v>2.5999999999999999E-3</v>
      </c>
      <c r="O22" s="92">
        <v>8.0000000000000004E-4</v>
      </c>
      <c r="P22" s="92">
        <v>6.7999999999999996E-3</v>
      </c>
      <c r="Q22" s="92">
        <v>8.9999999999999998E-4</v>
      </c>
      <c r="R22" s="92">
        <v>6.3E-3</v>
      </c>
    </row>
    <row r="23" spans="1:18" ht="18" customHeight="1" thickBot="1" x14ac:dyDescent="0.3">
      <c r="A23" s="120"/>
      <c r="B23" s="121"/>
      <c r="C23" s="122" t="s">
        <v>35</v>
      </c>
      <c r="D23" s="123"/>
      <c r="E23" s="141"/>
      <c r="F23" s="142"/>
      <c r="G23" s="91">
        <v>6.6E-3</v>
      </c>
      <c r="H23" s="140"/>
      <c r="I23" s="91">
        <v>0.21179999999999999</v>
      </c>
      <c r="J23" s="92">
        <v>0.19789999999999999</v>
      </c>
      <c r="K23" s="92">
        <v>1.3100000000000001E-2</v>
      </c>
      <c r="L23" s="92">
        <v>5.7000000000000002E-3</v>
      </c>
      <c r="M23" s="92">
        <v>2.0000000000000001E-4</v>
      </c>
      <c r="N23" s="92">
        <v>1.2999999999999999E-3</v>
      </c>
      <c r="O23" s="92">
        <v>4.0000000000000002E-4</v>
      </c>
      <c r="P23" s="92">
        <v>1.1000000000000001E-3</v>
      </c>
      <c r="Q23" s="92">
        <v>2.0000000000000001E-4</v>
      </c>
      <c r="R23" s="92"/>
    </row>
    <row r="24" spans="1:18" ht="18" customHeight="1" thickBot="1" x14ac:dyDescent="0.3">
      <c r="A24" s="12"/>
      <c r="B24" s="12"/>
      <c r="C24" s="12"/>
      <c r="D24" s="12"/>
      <c r="E24" s="35"/>
      <c r="F24" s="36"/>
      <c r="G24" s="36"/>
      <c r="H24" s="37"/>
      <c r="I24" s="36"/>
      <c r="J24" s="37"/>
      <c r="K24" s="38"/>
      <c r="L24" s="38"/>
      <c r="M24" s="38"/>
      <c r="N24" s="38"/>
      <c r="O24" s="38"/>
      <c r="P24" s="38"/>
      <c r="Q24" s="38"/>
      <c r="R24" s="38"/>
    </row>
    <row r="25" spans="1:18" ht="18" customHeight="1" x14ac:dyDescent="0.25">
      <c r="A25" s="115" t="s">
        <v>23</v>
      </c>
      <c r="B25" s="116"/>
      <c r="C25" s="116"/>
      <c r="D25" s="117"/>
      <c r="E25" s="88">
        <f t="shared" ref="E25:L25" si="2">IF(E33&lt;0.01%,ROUND(E26,5)-ROUND(E33,5),ROUND(E26,4)-ROUND(E33,4))</f>
        <v>5.1999999999999998E-2</v>
      </c>
      <c r="F25" s="88">
        <f t="shared" si="2"/>
        <v>0.1903</v>
      </c>
      <c r="G25" s="88">
        <f t="shared" si="2"/>
        <v>8.94E-3</v>
      </c>
      <c r="H25" s="88">
        <f t="shared" si="2"/>
        <v>0.1837</v>
      </c>
      <c r="I25" s="88">
        <f t="shared" si="2"/>
        <v>0.2127</v>
      </c>
      <c r="J25" s="88">
        <f t="shared" si="2"/>
        <v>0.20799999999999999</v>
      </c>
      <c r="K25" s="88">
        <f t="shared" si="2"/>
        <v>1.44E-2</v>
      </c>
      <c r="L25" s="88">
        <f t="shared" si="2"/>
        <v>1.5900000000000001E-2</v>
      </c>
      <c r="M25" s="89"/>
      <c r="N25" s="90"/>
      <c r="O25" s="89"/>
      <c r="P25" s="89"/>
      <c r="Q25" s="90"/>
      <c r="R25" s="89"/>
    </row>
    <row r="26" spans="1:18" ht="24.95" customHeight="1" x14ac:dyDescent="0.25">
      <c r="A26" s="112" t="str">
        <f>_xlfn.CONCAT("SOLICITUD DE REGISTRO ICA: ",A2)</f>
        <v>SOLICITUD DE REGISTRO ICA: TODERO</v>
      </c>
      <c r="B26" s="113"/>
      <c r="C26" s="113"/>
      <c r="D26" s="114"/>
      <c r="E26" s="39">
        <f t="shared" ref="E26:J26" si="3">E22</f>
        <v>5.1999999999999998E-2</v>
      </c>
      <c r="F26" s="39">
        <f t="shared" si="3"/>
        <v>0.1903</v>
      </c>
      <c r="G26" s="39">
        <f>G20</f>
        <v>8.94E-3</v>
      </c>
      <c r="H26" s="39">
        <f t="shared" si="3"/>
        <v>0.1837</v>
      </c>
      <c r="I26" s="39">
        <f t="shared" si="3"/>
        <v>0.2127</v>
      </c>
      <c r="J26" s="39">
        <f t="shared" si="3"/>
        <v>0.20799999999999999</v>
      </c>
      <c r="K26" s="39">
        <f>K22</f>
        <v>1.44E-2</v>
      </c>
      <c r="L26" s="39">
        <f>L22</f>
        <v>1.5900000000000001E-2</v>
      </c>
      <c r="M26" s="40">
        <f>M23</f>
        <v>2.0000000000000001E-4</v>
      </c>
      <c r="N26" s="40">
        <f>N23</f>
        <v>1.2999999999999999E-3</v>
      </c>
      <c r="O26" s="40">
        <f>O23</f>
        <v>4.0000000000000002E-4</v>
      </c>
      <c r="P26" s="40">
        <f>P23</f>
        <v>1.1000000000000001E-3</v>
      </c>
      <c r="Q26" s="40">
        <f>Q23</f>
        <v>2.0000000000000001E-4</v>
      </c>
      <c r="R26" s="39">
        <f>R22</f>
        <v>6.3E-3</v>
      </c>
    </row>
    <row r="27" spans="1:18" ht="18" customHeight="1" thickBot="1" x14ac:dyDescent="0.3">
      <c r="A27" s="143" t="s">
        <v>24</v>
      </c>
      <c r="B27" s="144"/>
      <c r="C27" s="144"/>
      <c r="D27" s="145"/>
      <c r="E27" s="88">
        <f t="shared" ref="E27:L27" si="4">IF(E33&lt;0.01%,ROUND(E26,5)+ROUND(E33,5),ROUND(E26,4)+ROUND(E33,4))</f>
        <v>5.1999999999999998E-2</v>
      </c>
      <c r="F27" s="88">
        <f t="shared" si="4"/>
        <v>0.1903</v>
      </c>
      <c r="G27" s="88">
        <f t="shared" si="4"/>
        <v>8.94E-3</v>
      </c>
      <c r="H27" s="88">
        <f t="shared" si="4"/>
        <v>0.1837</v>
      </c>
      <c r="I27" s="88">
        <f t="shared" si="4"/>
        <v>0.2127</v>
      </c>
      <c r="J27" s="88">
        <f t="shared" si="4"/>
        <v>0.20799999999999999</v>
      </c>
      <c r="K27" s="88">
        <f t="shared" si="4"/>
        <v>1.44E-2</v>
      </c>
      <c r="L27" s="88">
        <f t="shared" si="4"/>
        <v>1.5900000000000001E-2</v>
      </c>
      <c r="M27" s="89"/>
      <c r="N27" s="90"/>
      <c r="O27" s="89"/>
      <c r="P27" s="89"/>
      <c r="Q27" s="90"/>
      <c r="R27" s="89"/>
    </row>
    <row r="28" spans="1:18" x14ac:dyDescent="0.25">
      <c r="E28" s="38"/>
      <c r="F28" s="38"/>
      <c r="G28" s="38"/>
      <c r="H28" s="38"/>
      <c r="I28" s="38"/>
      <c r="J28" s="41"/>
      <c r="K28" s="38"/>
      <c r="L28" s="38"/>
      <c r="M28" s="38"/>
      <c r="N28" s="38"/>
      <c r="O28" s="38"/>
      <c r="P28" s="38"/>
      <c r="Q28" s="38"/>
      <c r="R28" s="38"/>
    </row>
    <row r="29" spans="1:18" ht="15.75" thickBot="1" x14ac:dyDescent="0.3">
      <c r="E29" s="38"/>
      <c r="F29" s="38"/>
      <c r="G29" s="38"/>
      <c r="H29" s="38"/>
      <c r="I29" s="38"/>
      <c r="J29" s="41"/>
      <c r="K29" s="38"/>
      <c r="L29" s="38"/>
      <c r="M29" s="38"/>
      <c r="N29" s="38"/>
      <c r="O29" s="38"/>
      <c r="P29" s="38"/>
      <c r="Q29" s="38"/>
      <c r="R29" s="38"/>
    </row>
    <row r="30" spans="1:18" ht="16.5" x14ac:dyDescent="0.25">
      <c r="A30" s="133" t="s">
        <v>37</v>
      </c>
      <c r="B30" s="134"/>
      <c r="C30" s="134"/>
      <c r="D30" s="146"/>
      <c r="E30" s="93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5"/>
    </row>
    <row r="31" spans="1:18" ht="16.5" customHeight="1" x14ac:dyDescent="0.25">
      <c r="A31" s="136" t="s">
        <v>39</v>
      </c>
      <c r="B31" s="137"/>
      <c r="C31" s="137"/>
      <c r="D31" s="138"/>
      <c r="E31" s="96"/>
      <c r="F31" s="97"/>
      <c r="G31" s="98"/>
      <c r="H31" s="97"/>
      <c r="I31" s="97"/>
      <c r="J31" s="97"/>
      <c r="K31" s="43"/>
      <c r="L31" s="43"/>
      <c r="M31" s="43"/>
      <c r="N31" s="43"/>
      <c r="O31" s="43"/>
      <c r="P31" s="43"/>
      <c r="Q31" s="43"/>
      <c r="R31" s="44"/>
    </row>
    <row r="32" spans="1:18" ht="17.25" customHeight="1" x14ac:dyDescent="0.25">
      <c r="A32" s="147" t="s">
        <v>40</v>
      </c>
      <c r="B32" s="148"/>
      <c r="C32" s="148"/>
      <c r="D32" s="149"/>
      <c r="E32" s="42"/>
      <c r="F32" s="43"/>
      <c r="G32" s="45"/>
      <c r="H32" s="43"/>
      <c r="I32" s="43"/>
      <c r="J32" s="49"/>
      <c r="K32" s="97"/>
      <c r="L32" s="97"/>
      <c r="M32" s="94"/>
      <c r="N32" s="94"/>
      <c r="O32" s="94"/>
      <c r="P32" s="97"/>
      <c r="Q32" s="94"/>
      <c r="R32" s="99"/>
    </row>
    <row r="33" spans="1:18" ht="16.5" x14ac:dyDescent="0.25">
      <c r="A33" s="147" t="s">
        <v>38</v>
      </c>
      <c r="B33" s="148"/>
      <c r="C33" s="148"/>
      <c r="D33" s="149"/>
      <c r="E33" s="93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7"/>
      <c r="Q33" s="94"/>
      <c r="R33" s="99"/>
    </row>
    <row r="34" spans="1:18" ht="16.5" x14ac:dyDescent="0.25">
      <c r="A34" s="136" t="s">
        <v>65</v>
      </c>
      <c r="B34" s="137"/>
      <c r="C34" s="137"/>
      <c r="D34" s="138"/>
      <c r="E34" s="100" t="str">
        <f>IF(ABS(E22-E20)&gt;1%,"SI","NO")</f>
        <v>NO</v>
      </c>
      <c r="F34" s="101" t="str">
        <f>IF(ABS(F22-F20)&gt;1%,"SI","NO")</f>
        <v>NO</v>
      </c>
      <c r="G34" s="101"/>
      <c r="H34" s="101"/>
      <c r="I34" s="101" t="str">
        <f t="shared" ref="I34:O34" si="5">IF(ABS(I22-I20)&gt;1%,"SI","NO")</f>
        <v>NO</v>
      </c>
      <c r="J34" s="101" t="str">
        <f t="shared" si="5"/>
        <v>NO</v>
      </c>
      <c r="K34" s="101" t="str">
        <f t="shared" si="5"/>
        <v>NO</v>
      </c>
      <c r="L34" s="101" t="str">
        <f t="shared" si="5"/>
        <v>NO</v>
      </c>
      <c r="M34" s="101" t="str">
        <f t="shared" si="5"/>
        <v>NO</v>
      </c>
      <c r="N34" s="101" t="str">
        <f t="shared" si="5"/>
        <v>NO</v>
      </c>
      <c r="O34" s="101" t="str">
        <f t="shared" si="5"/>
        <v>NO</v>
      </c>
      <c r="P34" s="102"/>
      <c r="Q34" s="101" t="str">
        <f>IF(ABS(Q22-Q20)&gt;1%,"SI","NO")</f>
        <v>NO</v>
      </c>
      <c r="R34" s="103"/>
    </row>
    <row r="35" spans="1:18" x14ac:dyDescent="0.25">
      <c r="A35" s="18" t="s">
        <v>63</v>
      </c>
      <c r="E35" s="38"/>
      <c r="F35" s="38"/>
      <c r="G35" s="38"/>
      <c r="H35" s="38"/>
      <c r="I35" s="104"/>
      <c r="J35" s="104"/>
      <c r="K35" s="38"/>
      <c r="L35" s="38"/>
      <c r="M35" s="38"/>
      <c r="N35" s="38"/>
      <c r="O35" s="38"/>
      <c r="P35" s="38"/>
      <c r="Q35" s="38"/>
      <c r="R35" s="38"/>
    </row>
    <row r="36" spans="1:18" x14ac:dyDescent="0.25">
      <c r="A36" s="18" t="s">
        <v>62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1:18" x14ac:dyDescent="0.25">
      <c r="A37" s="18" t="s">
        <v>61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1:18" ht="15.75" thickBot="1" x14ac:dyDescent="0.3"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1:18" ht="16.5" x14ac:dyDescent="0.25">
      <c r="A39" s="133" t="s">
        <v>52</v>
      </c>
      <c r="B39" s="134"/>
      <c r="C39" s="134"/>
      <c r="D39" s="135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ht="16.5" x14ac:dyDescent="0.25">
      <c r="A40" s="136" t="s">
        <v>53</v>
      </c>
      <c r="B40" s="137"/>
      <c r="C40" s="137"/>
      <c r="D40" s="138"/>
      <c r="E40" s="46" t="s">
        <v>64</v>
      </c>
      <c r="F40" s="47" t="str">
        <f>IF(F26&gt;=3%,"SI","NO")</f>
        <v>SI</v>
      </c>
      <c r="G40" s="48"/>
      <c r="H40" s="48"/>
      <c r="I40" s="48" t="str">
        <f>IF(I26&gt;=3%,"SI","NO")</f>
        <v>SI</v>
      </c>
      <c r="J40" s="48" t="str">
        <f>IF(J26&gt;=3%,"SI","NO")</f>
        <v>SI</v>
      </c>
      <c r="K40" s="43"/>
      <c r="L40" s="43"/>
      <c r="M40" s="43"/>
      <c r="N40" s="43"/>
      <c r="O40" s="43"/>
      <c r="P40" s="43"/>
      <c r="Q40" s="43"/>
      <c r="R40" s="43"/>
    </row>
    <row r="41" spans="1:18" ht="16.5" x14ac:dyDescent="0.25">
      <c r="A41" s="136" t="s">
        <v>54</v>
      </c>
      <c r="B41" s="137"/>
      <c r="C41" s="137"/>
      <c r="D41" s="138"/>
      <c r="E41" s="43"/>
      <c r="F41" s="43"/>
      <c r="G41" s="43"/>
      <c r="H41" s="43"/>
      <c r="I41" s="43"/>
      <c r="J41" s="49"/>
      <c r="K41" s="46" t="s">
        <v>57</v>
      </c>
      <c r="L41" s="48" t="s">
        <v>57</v>
      </c>
      <c r="M41" s="43"/>
      <c r="N41" s="43"/>
      <c r="O41" s="43"/>
      <c r="P41" s="43"/>
      <c r="Q41" s="43"/>
      <c r="R41" s="43"/>
    </row>
    <row r="42" spans="1:18" ht="16.5" x14ac:dyDescent="0.25">
      <c r="A42" s="139" t="s">
        <v>55</v>
      </c>
      <c r="B42" s="137"/>
      <c r="C42" s="137"/>
      <c r="D42" s="138"/>
      <c r="E42" s="43"/>
      <c r="F42" s="43"/>
      <c r="G42" s="43"/>
      <c r="H42" s="43"/>
      <c r="I42" s="43"/>
      <c r="J42" s="43"/>
      <c r="K42" s="43"/>
      <c r="L42" s="44"/>
      <c r="M42" s="50"/>
      <c r="N42" s="50"/>
      <c r="O42" s="50"/>
      <c r="P42" s="50"/>
      <c r="Q42" s="50"/>
      <c r="R42" s="42"/>
    </row>
    <row r="43" spans="1:18" ht="16.5" x14ac:dyDescent="0.25">
      <c r="A43" s="139" t="s">
        <v>56</v>
      </c>
      <c r="B43" s="137"/>
      <c r="C43" s="137"/>
      <c r="D43" s="138"/>
      <c r="E43" s="43"/>
      <c r="F43" s="43"/>
      <c r="G43" s="43"/>
      <c r="H43" s="43"/>
      <c r="I43" s="43"/>
      <c r="J43" s="43"/>
      <c r="K43" s="43"/>
      <c r="L43" s="44"/>
      <c r="M43" s="51" t="str">
        <f>IF(M26&gt;=0.01%,"SI","NO")</f>
        <v>SI</v>
      </c>
      <c r="N43" s="51" t="str">
        <f>IF(N26&gt;=0.01%,"SI","NO")</f>
        <v>SI</v>
      </c>
      <c r="O43" s="51" t="str">
        <f>IF(O26&gt;=0.01%,"SI","NO")</f>
        <v>SI</v>
      </c>
      <c r="P43" s="51" t="str">
        <f>IF(P26&gt;=0.01%,"SI","NO")</f>
        <v>SI</v>
      </c>
      <c r="Q43" s="51" t="str">
        <f>IF(Q26&gt;=0.02%,"SI","NO")</f>
        <v>SI</v>
      </c>
      <c r="R43" s="46" t="s">
        <v>57</v>
      </c>
    </row>
    <row r="44" spans="1:18" x14ac:dyDescent="0.25">
      <c r="A44" s="18"/>
    </row>
  </sheetData>
  <mergeCells count="26">
    <mergeCell ref="A34:D34"/>
    <mergeCell ref="H22:H23"/>
    <mergeCell ref="E22:E23"/>
    <mergeCell ref="F22:F23"/>
    <mergeCell ref="A27:D27"/>
    <mergeCell ref="A30:D30"/>
    <mergeCell ref="A31:D31"/>
    <mergeCell ref="A32:D32"/>
    <mergeCell ref="A33:D33"/>
    <mergeCell ref="A39:D39"/>
    <mergeCell ref="A40:D40"/>
    <mergeCell ref="A41:D41"/>
    <mergeCell ref="A42:D42"/>
    <mergeCell ref="A43:D43"/>
    <mergeCell ref="A19:B19"/>
    <mergeCell ref="A1:R1"/>
    <mergeCell ref="A2:R2"/>
    <mergeCell ref="A3:R3"/>
    <mergeCell ref="A18:B18"/>
    <mergeCell ref="K5:R5"/>
    <mergeCell ref="A20:D20"/>
    <mergeCell ref="A26:D26"/>
    <mergeCell ref="A25:D25"/>
    <mergeCell ref="A22:B23"/>
    <mergeCell ref="C22:D22"/>
    <mergeCell ref="C23:D23"/>
  </mergeCells>
  <conditionalFormatting sqref="E7:J10 M12 M13:N13 M14:O14 M15:Q15 G16:J16 E16:F17 G17:R17">
    <cfRule type="notContainsBlanks" dxfId="3" priority="10">
      <formula>LEN(TRIM(E7))&gt;0</formula>
    </cfRule>
  </conditionalFormatting>
  <conditionalFormatting sqref="K11">
    <cfRule type="notContainsBlanks" dxfId="2" priority="7">
      <formula>LEN(TRIM(K11))&gt;0</formula>
    </cfRule>
  </conditionalFormatting>
  <conditionalFormatting sqref="L11:L15">
    <cfRule type="notContainsBlanks" dxfId="1" priority="8">
      <formula>LEN(TRIM(L11))&gt;0</formula>
    </cfRule>
  </conditionalFormatting>
  <conditionalFormatting sqref="P16">
    <cfRule type="notContainsBlanks" dxfId="0" priority="3">
      <formula>LEN(TRIM(P16))&gt;0</formula>
    </cfRule>
  </conditionalFormatting>
  <pageMargins left="0" right="0" top="1.7322834645669292" bottom="0.74803149606299213" header="0.31496062992125984" footer="0.31496062992125984"/>
  <pageSetup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2024-05-30T21:15:09Z</cp:lastPrinted>
  <dcterms:created xsi:type="dcterms:W3CDTF">2021-10-20T23:05:00Z</dcterms:created>
  <dcterms:modified xsi:type="dcterms:W3CDTF">2024-09-23T19:05:02Z</dcterms:modified>
</cp:coreProperties>
</file>