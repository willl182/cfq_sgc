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2_proyectos\202.3_registros_ica-n\"/>
    </mc:Choice>
  </mc:AlternateContent>
  <xr:revisionPtr revIDLastSave="0" documentId="13_ncr:1_{B5797B55-CB7E-46C3-8F99-E182206C50BE}" xr6:coauthVersionLast="47" xr6:coauthVersionMax="47" xr10:uidLastSave="{00000000-0000-0000-0000-000000000000}"/>
  <bookViews>
    <workbookView xWindow="-120" yWindow="-120" windowWidth="29040" windowHeight="1644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1" l="1"/>
  <c r="F17" i="1"/>
  <c r="H16" i="1"/>
  <c r="F16" i="1"/>
  <c r="F15" i="1"/>
  <c r="H15" i="1"/>
  <c r="I36" i="1" l="1"/>
  <c r="Q33" i="1"/>
  <c r="F29" i="1"/>
  <c r="D47" i="1"/>
  <c r="F28" i="1"/>
  <c r="B46" i="1"/>
  <c r="F27" i="1"/>
  <c r="F26" i="1"/>
  <c r="F25" i="1"/>
  <c r="E43" i="1"/>
  <c r="F43" i="1" s="1"/>
  <c r="C43" i="1"/>
  <c r="B43" i="1"/>
  <c r="F24" i="1"/>
  <c r="E41" i="1"/>
  <c r="F41" i="1" s="1"/>
  <c r="C41" i="1"/>
  <c r="B41" i="1"/>
  <c r="F22" i="1"/>
  <c r="F21" i="1"/>
  <c r="D39" i="1"/>
  <c r="F20" i="1"/>
  <c r="N36" i="1"/>
  <c r="I35" i="1"/>
  <c r="E35" i="1"/>
  <c r="F35" i="1" s="1"/>
  <c r="C35" i="1"/>
  <c r="C34" i="1"/>
  <c r="E33" i="1"/>
  <c r="F33" i="1" s="1"/>
  <c r="C33" i="1"/>
  <c r="B33" i="1"/>
  <c r="B35" i="1"/>
  <c r="D46" i="1"/>
  <c r="D45" i="1"/>
  <c r="D44" i="1"/>
  <c r="D43" i="1"/>
  <c r="D42" i="1"/>
  <c r="D41" i="1"/>
  <c r="D40" i="1"/>
  <c r="D38" i="1"/>
  <c r="D37" i="1"/>
  <c r="D36" i="1"/>
  <c r="D35" i="1"/>
  <c r="D34" i="1"/>
  <c r="D33" i="1"/>
  <c r="C36" i="1"/>
  <c r="C37" i="1"/>
  <c r="C38" i="1"/>
  <c r="C39" i="1"/>
  <c r="C40" i="1"/>
  <c r="C42" i="1"/>
  <c r="C44" i="1"/>
  <c r="C45" i="1"/>
  <c r="C46" i="1"/>
  <c r="C47" i="1"/>
  <c r="B48" i="1"/>
  <c r="E36" i="1"/>
  <c r="F36" i="1" s="1"/>
  <c r="E37" i="1"/>
  <c r="F37" i="1" s="1"/>
  <c r="E38" i="1"/>
  <c r="F38" i="1" s="1"/>
  <c r="E39" i="1"/>
  <c r="F39" i="1" s="1"/>
  <c r="E44" i="1"/>
  <c r="F44" i="1" s="1"/>
  <c r="E45" i="1"/>
  <c r="F45" i="1" s="1"/>
  <c r="E46" i="1"/>
  <c r="F46" i="1" s="1"/>
  <c r="E47" i="1"/>
  <c r="F47" i="1" s="1"/>
  <c r="B34" i="1"/>
  <c r="B36" i="1"/>
  <c r="B37" i="1"/>
  <c r="B38" i="1"/>
  <c r="B39" i="1"/>
  <c r="B40" i="1"/>
  <c r="B42" i="1"/>
  <c r="B44" i="1"/>
  <c r="B45" i="1"/>
  <c r="B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Z39" i="1"/>
  <c r="Y39" i="1"/>
  <c r="X39" i="1"/>
  <c r="W39" i="1"/>
  <c r="V39" i="1"/>
  <c r="U39" i="1"/>
  <c r="T39" i="1"/>
  <c r="S39" i="1"/>
  <c r="Q39" i="1"/>
  <c r="P39" i="1"/>
  <c r="O39" i="1"/>
  <c r="N39" i="1"/>
  <c r="M39" i="1"/>
  <c r="L39" i="1"/>
  <c r="K39" i="1"/>
  <c r="J39" i="1"/>
  <c r="I39" i="1"/>
  <c r="H39" i="1"/>
  <c r="G39" i="1"/>
  <c r="R39" i="1"/>
  <c r="Z38" i="1"/>
  <c r="X38" i="1"/>
  <c r="W38" i="1"/>
  <c r="V38" i="1"/>
  <c r="U38" i="1"/>
  <c r="T38" i="1"/>
  <c r="S38" i="1"/>
  <c r="R38" i="1"/>
  <c r="P38" i="1"/>
  <c r="O38" i="1"/>
  <c r="N38" i="1"/>
  <c r="M38" i="1"/>
  <c r="L38" i="1"/>
  <c r="K38" i="1"/>
  <c r="J38" i="1"/>
  <c r="I38" i="1"/>
  <c r="H38" i="1"/>
  <c r="G38" i="1"/>
  <c r="Z37" i="1"/>
  <c r="Y37" i="1"/>
  <c r="W37" i="1"/>
  <c r="V37" i="1"/>
  <c r="U37" i="1"/>
  <c r="T37" i="1"/>
  <c r="S37" i="1"/>
  <c r="R37" i="1"/>
  <c r="Q37" i="1"/>
  <c r="O37" i="1"/>
  <c r="N37" i="1"/>
  <c r="M37" i="1"/>
  <c r="L37" i="1"/>
  <c r="K37" i="1"/>
  <c r="J37" i="1"/>
  <c r="I37" i="1"/>
  <c r="H37" i="1"/>
  <c r="G37" i="1"/>
  <c r="Z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H36" i="1"/>
  <c r="G36" i="1"/>
  <c r="Z35" i="1"/>
  <c r="Y35" i="1"/>
  <c r="X35" i="1"/>
  <c r="W35" i="1"/>
  <c r="V35" i="1"/>
  <c r="U35" i="1"/>
  <c r="T35" i="1"/>
  <c r="S35" i="1"/>
  <c r="R35" i="1"/>
  <c r="O35" i="1"/>
  <c r="L35" i="1"/>
  <c r="K35" i="1"/>
  <c r="J35" i="1"/>
  <c r="G35" i="1"/>
  <c r="Z34" i="1"/>
  <c r="Y34" i="1"/>
  <c r="X34" i="1"/>
  <c r="W34" i="1"/>
  <c r="V34" i="1"/>
  <c r="U34" i="1"/>
  <c r="T34" i="1"/>
  <c r="S34" i="1"/>
  <c r="R34" i="1"/>
  <c r="Q34" i="1"/>
  <c r="P34" i="1"/>
  <c r="O34" i="1"/>
  <c r="M34" i="1"/>
  <c r="L34" i="1"/>
  <c r="K34" i="1"/>
  <c r="J34" i="1"/>
  <c r="H34" i="1" s="1"/>
  <c r="I34" i="1"/>
  <c r="G34" i="1"/>
  <c r="Z33" i="1"/>
  <c r="Y33" i="1"/>
  <c r="W33" i="1"/>
  <c r="V33" i="1"/>
  <c r="T33" i="1"/>
  <c r="S33" i="1"/>
  <c r="R33" i="1"/>
  <c r="O33" i="1"/>
  <c r="N33" i="1"/>
  <c r="M33" i="1"/>
  <c r="L33" i="1"/>
  <c r="K33" i="1"/>
  <c r="J33" i="1"/>
  <c r="I33" i="1"/>
  <c r="Y38" i="1"/>
  <c r="P37" i="1"/>
  <c r="Y36" i="1"/>
  <c r="N35" i="1"/>
  <c r="N34" i="1"/>
  <c r="X33" i="1"/>
  <c r="M35" i="1" l="1"/>
  <c r="M8" i="1" s="1"/>
  <c r="H35" i="1"/>
  <c r="H33" i="1"/>
  <c r="N8" i="1"/>
  <c r="P33" i="1"/>
  <c r="Z8" i="1"/>
  <c r="L8" i="1"/>
  <c r="I8" i="1"/>
  <c r="J8" i="1"/>
  <c r="R8" i="1"/>
  <c r="K8" i="1"/>
  <c r="S8" i="1"/>
  <c r="T8" i="1"/>
  <c r="V8" i="1"/>
  <c r="W8" i="1"/>
  <c r="O8" i="1"/>
  <c r="Y8" i="1"/>
  <c r="F23" i="1"/>
  <c r="E42" i="1"/>
  <c r="F42" i="1" s="1"/>
  <c r="E34" i="1"/>
  <c r="F34" i="1" s="1"/>
  <c r="E48" i="1"/>
  <c r="E40" i="1"/>
  <c r="F40" i="1" s="1"/>
  <c r="U33" i="1"/>
  <c r="U8" i="1" s="1"/>
  <c r="Q38" i="1"/>
  <c r="P35" i="1"/>
  <c r="Q35" i="1"/>
  <c r="Q8" i="1" s="1"/>
  <c r="X37" i="1"/>
  <c r="X8" i="1" s="1"/>
  <c r="H8" i="1" l="1"/>
  <c r="P8" i="1"/>
  <c r="F30" i="1"/>
  <c r="F48" i="1" l="1"/>
  <c r="G33" i="1"/>
  <c r="G8" i="1" s="1"/>
</calcChain>
</file>

<file path=xl/sharedStrings.xml><?xml version="1.0" encoding="utf-8"?>
<sst xmlns="http://schemas.openxmlformats.org/spreadsheetml/2006/main" count="92" uniqueCount="43">
  <si>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</si>
  <si>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</si>
  <si>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</si>
  <si>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</si>
  <si>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</si>
  <si>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</si>
  <si>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</si>
  <si>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</si>
  <si>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</si>
  <si>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</si>
  <si>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</si>
  <si>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</si>
  <si>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</si>
  <si>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</si>
  <si>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</si>
  <si>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</si>
  <si>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</si>
  <si>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</si>
  <si>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</si>
  <si>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</si>
  <si>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</si>
  <si>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</si>
  <si>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</si>
  <si>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</si>
  <si>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</si>
  <si>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</si>
  <si>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</si>
  <si>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</si>
  <si>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</si>
  <si>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</si>
  <si>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</si>
  <si>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</si>
  <si>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</si>
  <si>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</si>
  <si>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Polvo</t>
  </si>
  <si>
    <t>Agrocales</t>
  </si>
  <si>
    <t>Julian Saldarriaga</t>
  </si>
  <si>
    <t>Anibal Arango</t>
  </si>
  <si>
    <t>BM</t>
  </si>
  <si>
    <t>UREA</t>
  </si>
  <si>
    <t>DAP</t>
  </si>
  <si>
    <t>KCL</t>
  </si>
  <si>
    <t>Raifos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</si>
</sst>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  <font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37" xfId="0" applyFill="1" applyBorder="1" applyAlignment="1">
      <alignment horizontal="center" vertical="center"/>
    </xf>
    <xf numFmtId="9" fontId="0" fillId="2" borderId="25" xfId="1" applyFont="1" applyFill="1" applyBorder="1"/>
    <xf numFmtId="9" fontId="0" fillId="2" borderId="0" xfId="1" applyFont="1" applyFill="1" applyBorder="1"/>
    <xf numFmtId="9" fontId="0" fillId="2" borderId="3" xfId="1" applyFont="1" applyFill="1" applyBorder="1"/>
    <xf numFmtId="9" fontId="0" fillId="2" borderId="10" xfId="1" applyFont="1" applyFill="1" applyBorder="1"/>
    <xf numFmtId="9" fontId="0" fillId="2" borderId="1" xfId="1" applyFont="1" applyFill="1" applyBorder="1"/>
    <xf numFmtId="9" fontId="0" fillId="2" borderId="2" xfId="1" applyFont="1" applyFill="1" applyBorder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56">
    <dxf>
      <font>
        <color theme="0"/>
      </font>
    </dxf>
    <dxf>
      <font>
        <color theme="0"/>
      </font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2:Z47" totalsRowShown="0" headerRowDxfId="31" dataDxfId="29" headerRowBorderDxfId="30" tableBorderDxfId="28">
  <sortState xmlns:xlrd2="http://schemas.microsoft.com/office/spreadsheetml/2017/richdata2" ref="B33:Z47">
    <sortCondition ref="B32:B47"/>
  </sortState>
  <tableColumns count="25">
    <tableColumn id="1" xr3:uid="{81912DD1-92DD-4881-945A-654B9BF3184A}" name="MATERIA PRIMA" dataDxfId="27">
      <calculatedColumnFormula>B15</calculatedColumnFormula>
    </tableColumn>
    <tableColumn id="25" xr3:uid="{884606E3-7CE2-45C3-97BD-6CF08F8EEA9A}" name="PROVEEDOR" dataDxfId="26">
      <calculatedColumnFormula>C15</calculatedColumnFormula>
    </tableColumn>
    <tableColumn id="24" xr3:uid="{D0ACCF2F-C590-4F61-BFF0-DE4F6960D58D}" name="TIPO" dataDxfId="25">
      <calculatedColumnFormula>D15</calculatedColumnFormula>
    </tableColumn>
    <tableColumn id="2" xr3:uid="{AE74D918-DF3F-499C-8E04-946F506AE009}" name="kg / Ton" dataDxfId="24">
      <calculatedColumnFormula>E15</calculatedColumnFormula>
    </tableColumn>
    <tableColumn id="3" xr3:uid="{9F26846A-CE6E-4CFC-8327-03BEDE1F6186}" name="%/100 kg" dataDxfId="23">
      <calculatedColumnFormula>E33/10</calculatedColumnFormula>
    </tableColumn>
    <tableColumn id="4" xr3:uid="{4ABF355D-C14A-4662-A478-F12F186D7982}" name="C" dataDxfId="22">
      <calculatedColumnFormula>IF(G15="","",G15*$F15/$F$30)</calculatedColumnFormula>
    </tableColumn>
    <tableColumn id="5" xr3:uid="{567CCF88-2D3C-480B-BD19-F5F6D1039C60}" name="N" dataDxfId="21">
      <calculatedColumnFormula>IF(H15="","",SUM(I33:L33))</calculatedColumnFormula>
    </tableColumn>
    <tableColumn id="6" xr3:uid="{CCA2EC60-397B-4D2B-A5A8-FD633E13D6ED}" name="N-NH4" dataDxfId="20">
      <calculatedColumnFormula>IF(I15="","",I15*$F15/$F$30)</calculatedColumnFormula>
    </tableColumn>
    <tableColumn id="7" xr3:uid="{CD8D4980-2855-4825-B850-88627A3B5AD0}" name="N-NO3" dataDxfId="19">
      <calculatedColumnFormula>IF(J15="","",J15*$F15/$F$30)</calculatedColumnFormula>
    </tableColumn>
    <tableColumn id="8" xr3:uid="{56B106F1-A054-438D-8908-EB1DE964A89F}" name="N-org" dataDxfId="18">
      <calculatedColumnFormula>IF(K15="","",K15*$F15/$F$30)</calculatedColumnFormula>
    </tableColumn>
    <tableColumn id="9" xr3:uid="{DDFB1EF0-5869-478D-8CE0-CE1192E57980}" name="N-ur" dataDxfId="17">
      <calculatedColumnFormula>IF(L15="","",L15*$F15/$F$30)</calculatedColumnFormula>
    </tableColumn>
    <tableColumn id="10" xr3:uid="{C2148EBA-5086-445E-9A76-4625EF4D7F0B}" name="P" dataDxfId="16">
      <calculatedColumnFormula>IF(M15="","",M15*$F15/$F$30)</calculatedColumnFormula>
    </tableColumn>
    <tableColumn id="11" xr3:uid="{C6702B72-B92E-47C6-8674-8AA34DC5109A}" name="K" dataDxfId="15">
      <calculatedColumnFormula>IF(N15="","",N15*$F15/$F$30)</calculatedColumnFormula>
    </tableColumn>
    <tableColumn id="12" xr3:uid="{98B147E2-3129-4605-966E-0306061FA52F}" name="CaO" dataDxfId="14">
      <calculatedColumnFormula>IF(O15="","",O15*$F15/$F$30)</calculatedColumnFormula>
    </tableColumn>
    <tableColumn id="13" xr3:uid="{597C000A-F1BD-4EC3-8BB1-208C87CA5BCF}" name="MgO" dataDxfId="13">
      <calculatedColumnFormula>IF(P15="","",P15*$F15/$F$30)</calculatedColumnFormula>
    </tableColumn>
    <tableColumn id="14" xr3:uid="{39144FCD-1386-49C1-AB81-3BDF8B053A75}" name="S" dataDxfId="12">
      <calculatedColumnFormula>IF(Q15="","",Q15*$F15/$F$30)</calculatedColumnFormula>
    </tableColumn>
    <tableColumn id="15" xr3:uid="{77CFDAA6-18DB-4633-85DD-0CACCF938731}" name="B" dataDxfId="11">
      <calculatedColumnFormula>IF(R15="","",R15*$F15/$F$30)</calculatedColumnFormula>
    </tableColumn>
    <tableColumn id="16" xr3:uid="{2F8A72EE-86CB-454F-8E6B-187019CAE218}" name="Co" dataDxfId="10">
      <calculatedColumnFormula>IF(S15="","",S15*$F15/$F$30)</calculatedColumnFormula>
    </tableColumn>
    <tableColumn id="17" xr3:uid="{553C86FB-9920-440B-9C30-69E051FC9BEC}" name="Cu" dataDxfId="9">
      <calculatedColumnFormula>IF(T15="","",T15*$F15/$F$30)</calculatedColumnFormula>
    </tableColumn>
    <tableColumn id="18" xr3:uid="{5F5848B1-83A3-42E2-9121-20D37782F611}" name="Fe" dataDxfId="8">
      <calculatedColumnFormula>IF(U15="","",U15*$F15/$F$30)</calculatedColumnFormula>
    </tableColumn>
    <tableColumn id="19" xr3:uid="{B6224F62-519B-4357-B907-E3BDE03BDDE7}" name="Mn" dataDxfId="7">
      <calculatedColumnFormula>IF(V15="","",V15*$F15/$F$30)</calculatedColumnFormula>
    </tableColumn>
    <tableColumn id="20" xr3:uid="{4EEB8055-52E4-48A3-AD84-778B40D7D184}" name="Mo" dataDxfId="6">
      <calculatedColumnFormula>IF(W15="","",W15*$F15/$F$30)</calculatedColumnFormula>
    </tableColumn>
    <tableColumn id="21" xr3:uid="{84F23676-EF56-45DC-AF5E-04130A9E43E2}" name="SiO2" dataDxfId="5">
      <calculatedColumnFormula>IF(X15="","",X15*$F15/$F$30)</calculatedColumnFormula>
    </tableColumn>
    <tableColumn id="22" xr3:uid="{F5E07346-4680-4E5F-B7BE-274A82BAD724}" name="Zn" dataDxfId="4">
      <calculatedColumnFormula>IF(Y15="","",Y15*$F15/$F$30)</calculatedColumnFormula>
    </tableColumn>
    <tableColumn id="23" xr3:uid="{3AC0C550-5041-472C-8AD1-BD81835AA9E9}" name="Na" dataDxfId="3">
      <calculatedColumnFormula>IF(Z15="","",Z15*$F15/$F$30)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6"/>
  <sheetViews>
    <sheetView tabSelected="1" topLeftCell="A4" zoomScale="85" zoomScaleNormal="85" workbookViewId="0">
      <selection activeCell="L21" sqref="L21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51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51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51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51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51" x14ac:dyDescent="0.4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51" ht="20.25" thickBot="1" x14ac:dyDescent="0.5">
      <c r="B6" s="20"/>
      <c r="C6" s="20"/>
      <c r="D6" s="20"/>
      <c r="E6" s="20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2"/>
      <c r="U6" s="22"/>
      <c r="V6" s="10"/>
      <c r="W6" s="23"/>
      <c r="X6" s="23"/>
      <c r="Y6" s="23"/>
      <c r="Z6" s="23"/>
    </row>
    <row r="7" spans="2:51" ht="27" x14ac:dyDescent="0.6">
      <c r="B7" s="71" t="s">
        <v>29</v>
      </c>
      <c r="C7" s="72"/>
      <c r="D7" s="72"/>
      <c r="E7" s="72"/>
      <c r="F7" s="72"/>
      <c r="G7" s="28" t="s">
        <v>3</v>
      </c>
      <c r="H7" s="29" t="s">
        <v>4</v>
      </c>
      <c r="I7" s="29" t="s">
        <v>5</v>
      </c>
      <c r="J7" s="29" t="s">
        <v>6</v>
      </c>
      <c r="K7" s="29" t="s">
        <v>7</v>
      </c>
      <c r="L7" s="29" t="s">
        <v>8</v>
      </c>
      <c r="M7" s="29" t="s">
        <v>9</v>
      </c>
      <c r="N7" s="29" t="s">
        <v>10</v>
      </c>
      <c r="O7" s="29" t="s">
        <v>11</v>
      </c>
      <c r="P7" s="29" t="s">
        <v>12</v>
      </c>
      <c r="Q7" s="29" t="s">
        <v>13</v>
      </c>
      <c r="R7" s="29" t="s">
        <v>14</v>
      </c>
      <c r="S7" s="29" t="s">
        <v>15</v>
      </c>
      <c r="T7" s="29" t="s">
        <v>16</v>
      </c>
      <c r="U7" s="29" t="s">
        <v>17</v>
      </c>
      <c r="V7" s="29" t="s">
        <v>18</v>
      </c>
      <c r="W7" s="29" t="s">
        <v>19</v>
      </c>
      <c r="X7" s="29" t="s">
        <v>20</v>
      </c>
      <c r="Y7" s="29" t="s">
        <v>21</v>
      </c>
      <c r="Z7" s="30" t="s">
        <v>22</v>
      </c>
    </row>
    <row r="8" spans="2:51" ht="27.75" thickBot="1" x14ac:dyDescent="0.65">
      <c r="B8" s="69" t="s">
        <v>28</v>
      </c>
      <c r="C8" s="70"/>
      <c r="D8" s="70"/>
      <c r="E8" s="70"/>
      <c r="F8" s="70"/>
      <c r="G8" s="31">
        <f t="shared" ref="G8:Z8" si="0">SUM(G33:G47)</f>
        <v>0</v>
      </c>
      <c r="H8" s="32">
        <f t="shared" si="0"/>
        <v>0.10099999999999999</v>
      </c>
      <c r="I8" s="32">
        <f t="shared" si="0"/>
        <v>9.1799999999999993E-2</v>
      </c>
      <c r="J8" s="32">
        <f t="shared" si="0"/>
        <v>0</v>
      </c>
      <c r="K8" s="32">
        <f t="shared" si="0"/>
        <v>0</v>
      </c>
      <c r="L8" s="32">
        <f t="shared" si="0"/>
        <v>9.1999999999999998E-3</v>
      </c>
      <c r="M8" s="32">
        <f t="shared" si="0"/>
        <v>0.29659999999999997</v>
      </c>
      <c r="N8" s="32">
        <f t="shared" si="0"/>
        <v>9.6000000000000002E-2</v>
      </c>
      <c r="O8" s="32">
        <f t="shared" si="0"/>
        <v>0</v>
      </c>
      <c r="P8" s="32">
        <f t="shared" si="0"/>
        <v>0</v>
      </c>
      <c r="Q8" s="32">
        <f t="shared" si="0"/>
        <v>0</v>
      </c>
      <c r="R8" s="32">
        <f t="shared" si="0"/>
        <v>0</v>
      </c>
      <c r="S8" s="32">
        <f t="shared" si="0"/>
        <v>0</v>
      </c>
      <c r="T8" s="32">
        <f t="shared" si="0"/>
        <v>0</v>
      </c>
      <c r="U8" s="32">
        <f t="shared" si="0"/>
        <v>0</v>
      </c>
      <c r="V8" s="32">
        <f t="shared" si="0"/>
        <v>0</v>
      </c>
      <c r="W8" s="32">
        <f t="shared" si="0"/>
        <v>0</v>
      </c>
      <c r="X8" s="32">
        <f t="shared" si="0"/>
        <v>0</v>
      </c>
      <c r="Y8" s="32">
        <f t="shared" si="0"/>
        <v>0</v>
      </c>
      <c r="Z8" s="33">
        <f t="shared" si="0"/>
        <v>0</v>
      </c>
    </row>
    <row r="9" spans="2:51" x14ac:dyDescent="0.45">
      <c r="B9" s="20"/>
      <c r="C9" s="20"/>
      <c r="D9" s="20"/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2"/>
      <c r="U9" s="22"/>
      <c r="V9" s="10"/>
      <c r="W9" s="23"/>
      <c r="X9" s="23"/>
      <c r="Y9" s="23"/>
      <c r="Z9" s="23"/>
    </row>
    <row r="10" spans="2:51" ht="20.25" thickBot="1" x14ac:dyDescent="0.5">
      <c r="B10" s="20"/>
      <c r="C10" s="20"/>
      <c r="D10" s="20"/>
      <c r="E10" s="20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2"/>
      <c r="U10" s="22"/>
      <c r="V10" s="10"/>
      <c r="W10" s="23"/>
      <c r="X10" s="23"/>
      <c r="Y10" s="23"/>
      <c r="Z10" s="23"/>
    </row>
    <row r="11" spans="2:51" ht="27.75" thickBot="1" x14ac:dyDescent="0.65">
      <c r="B11" s="73" t="s">
        <v>30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5"/>
    </row>
    <row r="12" spans="2:51" s="23" customFormat="1" ht="27.75" thickBot="1" x14ac:dyDescent="0.65">
      <c r="B12" s="34"/>
      <c r="C12" s="34"/>
      <c r="D12" s="34"/>
      <c r="E12" s="34"/>
      <c r="F12" s="34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24"/>
    </row>
    <row r="13" spans="2:51" ht="27.75" thickBot="1" x14ac:dyDescent="0.5">
      <c r="B13" s="24"/>
      <c r="C13" s="24"/>
      <c r="D13" s="24"/>
      <c r="E13" s="24"/>
      <c r="F13" s="24"/>
      <c r="G13" s="63" t="s">
        <v>33</v>
      </c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5"/>
    </row>
    <row r="14" spans="2:51" ht="20.25" thickBot="1" x14ac:dyDescent="0.5">
      <c r="B14" s="49" t="s">
        <v>0</v>
      </c>
      <c r="C14" s="49" t="s">
        <v>31</v>
      </c>
      <c r="D14" s="49" t="s">
        <v>32</v>
      </c>
      <c r="E14" s="54" t="s">
        <v>1</v>
      </c>
      <c r="F14" s="53" t="s">
        <v>2</v>
      </c>
      <c r="G14" s="51" t="s">
        <v>3</v>
      </c>
      <c r="H14" s="52" t="s">
        <v>4</v>
      </c>
      <c r="I14" s="52" t="s">
        <v>5</v>
      </c>
      <c r="J14" s="52" t="s">
        <v>6</v>
      </c>
      <c r="K14" s="52" t="s">
        <v>7</v>
      </c>
      <c r="L14" s="52" t="s">
        <v>8</v>
      </c>
      <c r="M14" s="52" t="s">
        <v>9</v>
      </c>
      <c r="N14" s="52" t="s">
        <v>10</v>
      </c>
      <c r="O14" s="52" t="s">
        <v>11</v>
      </c>
      <c r="P14" s="52" t="s">
        <v>12</v>
      </c>
      <c r="Q14" s="52" t="s">
        <v>13</v>
      </c>
      <c r="R14" s="52" t="s">
        <v>14</v>
      </c>
      <c r="S14" s="52" t="s">
        <v>15</v>
      </c>
      <c r="T14" s="52" t="s">
        <v>16</v>
      </c>
      <c r="U14" s="52" t="s">
        <v>17</v>
      </c>
      <c r="V14" s="52" t="s">
        <v>18</v>
      </c>
      <c r="W14" s="52" t="s">
        <v>19</v>
      </c>
      <c r="X14" s="52" t="s">
        <v>20</v>
      </c>
      <c r="Y14" s="52" t="s">
        <v>21</v>
      </c>
      <c r="Z14" s="53" t="s">
        <v>22</v>
      </c>
      <c r="AA14" s="25"/>
    </row>
    <row r="15" spans="2:51" x14ac:dyDescent="0.45">
      <c r="B15" s="44" t="s">
        <v>39</v>
      </c>
      <c r="C15" s="44" t="s">
        <v>37</v>
      </c>
      <c r="D15" s="44" t="s">
        <v>34</v>
      </c>
      <c r="E15" s="46">
        <v>20</v>
      </c>
      <c r="F15" s="27">
        <f>E15/10</f>
        <v>2</v>
      </c>
      <c r="G15" s="57"/>
      <c r="H15" s="58">
        <f>SUM(I15:L15)</f>
        <v>0.46</v>
      </c>
      <c r="I15" s="58"/>
      <c r="J15" s="58"/>
      <c r="K15" s="58"/>
      <c r="L15" s="58">
        <v>0.46</v>
      </c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9"/>
    </row>
    <row r="16" spans="2:51" x14ac:dyDescent="0.45">
      <c r="B16" s="44" t="s">
        <v>40</v>
      </c>
      <c r="C16" s="44" t="s">
        <v>38</v>
      </c>
      <c r="D16" s="44" t="s">
        <v>34</v>
      </c>
      <c r="E16" s="46">
        <v>510</v>
      </c>
      <c r="F16" s="27">
        <f t="shared" ref="F16:F18" si="1">E16/10</f>
        <v>51</v>
      </c>
      <c r="G16" s="57"/>
      <c r="H16" s="58">
        <f t="shared" ref="H16" si="2">SUM(I16:L16)</f>
        <v>0.18</v>
      </c>
      <c r="I16" s="58">
        <v>0.18</v>
      </c>
      <c r="J16" s="58"/>
      <c r="K16" s="58"/>
      <c r="L16" s="58"/>
      <c r="M16" s="58">
        <v>0.46</v>
      </c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9"/>
      <c r="AY16" s="4"/>
    </row>
    <row r="17" spans="2:51" x14ac:dyDescent="0.45">
      <c r="B17" s="44" t="s">
        <v>41</v>
      </c>
      <c r="C17" s="44" t="s">
        <v>36</v>
      </c>
      <c r="D17" s="44" t="s">
        <v>34</v>
      </c>
      <c r="E17" s="46">
        <v>160</v>
      </c>
      <c r="F17" s="27">
        <f t="shared" si="1"/>
        <v>16</v>
      </c>
      <c r="G17" s="57"/>
      <c r="H17" s="58"/>
      <c r="I17" s="58"/>
      <c r="J17" s="58"/>
      <c r="K17" s="58"/>
      <c r="L17" s="58"/>
      <c r="M17" s="58"/>
      <c r="N17" s="58">
        <v>0.6</v>
      </c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9"/>
      <c r="AY17" s="4"/>
    </row>
    <row r="18" spans="2:51" x14ac:dyDescent="0.45">
      <c r="B18" s="44" t="s">
        <v>42</v>
      </c>
      <c r="C18" s="44" t="s">
        <v>35</v>
      </c>
      <c r="D18" s="44" t="s">
        <v>34</v>
      </c>
      <c r="E18" s="46">
        <v>310</v>
      </c>
      <c r="F18" s="27">
        <f t="shared" si="1"/>
        <v>31</v>
      </c>
      <c r="G18" s="57"/>
      <c r="H18" s="58"/>
      <c r="I18" s="58"/>
      <c r="J18" s="58"/>
      <c r="K18" s="58"/>
      <c r="L18" s="58"/>
      <c r="M18" s="58">
        <v>0.2</v>
      </c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9"/>
      <c r="AY18" s="4"/>
    </row>
    <row r="19" spans="2:51" x14ac:dyDescent="0.45">
      <c r="B19" s="44"/>
      <c r="C19" s="44"/>
      <c r="D19" s="44"/>
      <c r="E19" s="46"/>
      <c r="F19" s="27"/>
      <c r="G19" s="57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9"/>
      <c r="AY19" s="4"/>
    </row>
    <row r="20" spans="2:51" x14ac:dyDescent="0.45">
      <c r="B20" s="44"/>
      <c r="C20" s="44"/>
      <c r="D20" s="44"/>
      <c r="E20" s="46"/>
      <c r="F20" s="27">
        <f t="shared" ref="F17:F29" si="3">E20/10</f>
        <v>0</v>
      </c>
      <c r="G20" s="57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9"/>
      <c r="AY20" s="4"/>
    </row>
    <row r="21" spans="2:51" x14ac:dyDescent="0.45">
      <c r="B21" s="44"/>
      <c r="C21" s="44"/>
      <c r="D21" s="44"/>
      <c r="E21" s="46"/>
      <c r="F21" s="27">
        <f t="shared" si="3"/>
        <v>0</v>
      </c>
      <c r="G21" s="57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9"/>
      <c r="AY21" s="4"/>
    </row>
    <row r="22" spans="2:51" x14ac:dyDescent="0.45">
      <c r="B22" s="44"/>
      <c r="C22" s="44"/>
      <c r="D22" s="44"/>
      <c r="E22" s="46"/>
      <c r="F22" s="27">
        <f t="shared" si="3"/>
        <v>0</v>
      </c>
      <c r="G22" s="57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9"/>
      <c r="AY22" s="4"/>
    </row>
    <row r="23" spans="2:51" x14ac:dyDescent="0.45">
      <c r="B23" s="44"/>
      <c r="C23" s="44"/>
      <c r="D23" s="44"/>
      <c r="E23" s="46"/>
      <c r="F23" s="27">
        <f t="shared" si="3"/>
        <v>0</v>
      </c>
      <c r="G23" s="57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9"/>
      <c r="AY23" s="4"/>
    </row>
    <row r="24" spans="2:51" x14ac:dyDescent="0.45">
      <c r="B24" s="44"/>
      <c r="C24" s="44"/>
      <c r="D24" s="44"/>
      <c r="E24" s="46"/>
      <c r="F24" s="27">
        <f t="shared" si="3"/>
        <v>0</v>
      </c>
      <c r="G24" s="57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9"/>
      <c r="AY24" s="4"/>
    </row>
    <row r="25" spans="2:51" x14ac:dyDescent="0.45">
      <c r="B25" s="44"/>
      <c r="C25" s="44"/>
      <c r="D25" s="44"/>
      <c r="E25" s="46"/>
      <c r="F25" s="27">
        <f t="shared" si="3"/>
        <v>0</v>
      </c>
      <c r="G25" s="57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9"/>
      <c r="AY25" s="4"/>
    </row>
    <row r="26" spans="2:51" x14ac:dyDescent="0.45">
      <c r="B26" s="44"/>
      <c r="C26" s="44"/>
      <c r="D26" s="44"/>
      <c r="E26" s="46"/>
      <c r="F26" s="27">
        <f t="shared" si="3"/>
        <v>0</v>
      </c>
      <c r="G26" s="57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9"/>
      <c r="AY26" s="4"/>
    </row>
    <row r="27" spans="2:51" x14ac:dyDescent="0.45">
      <c r="B27" s="44"/>
      <c r="C27" s="44"/>
      <c r="D27" s="44"/>
      <c r="E27" s="46"/>
      <c r="F27" s="27">
        <f t="shared" si="3"/>
        <v>0</v>
      </c>
      <c r="G27" s="57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9"/>
      <c r="AY27" s="4"/>
    </row>
    <row r="28" spans="2:51" x14ac:dyDescent="0.45">
      <c r="B28" s="44"/>
      <c r="C28" s="44"/>
      <c r="D28" s="44"/>
      <c r="E28" s="46"/>
      <c r="F28" s="27">
        <f t="shared" si="3"/>
        <v>0</v>
      </c>
      <c r="G28" s="57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9"/>
      <c r="AY28" s="4"/>
    </row>
    <row r="29" spans="2:51" ht="20.25" thickBot="1" x14ac:dyDescent="0.5">
      <c r="B29" s="45"/>
      <c r="C29" s="45"/>
      <c r="D29" s="45"/>
      <c r="E29" s="47"/>
      <c r="F29" s="48">
        <f t="shared" si="3"/>
        <v>0</v>
      </c>
      <c r="G29" s="60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2"/>
      <c r="AY29" s="4"/>
    </row>
    <row r="30" spans="2:51" s="23" customFormat="1" x14ac:dyDescent="0.45">
      <c r="B30" s="23" t="s">
        <v>23</v>
      </c>
      <c r="E30" s="25">
        <v>1000</v>
      </c>
      <c r="F30" s="25">
        <f>$E30/10</f>
        <v>100</v>
      </c>
      <c r="AA30" s="24"/>
      <c r="AY30" s="26"/>
    </row>
    <row r="31" spans="2:51" s="23" customFormat="1" ht="20.25" thickBot="1" x14ac:dyDescent="0.5">
      <c r="E31" s="25"/>
      <c r="F31" s="25"/>
      <c r="AA31" s="24"/>
      <c r="AY31" s="26"/>
    </row>
    <row r="32" spans="2:51" ht="20.25" thickBot="1" x14ac:dyDescent="0.5">
      <c r="B32" s="55" t="s">
        <v>0</v>
      </c>
      <c r="C32" s="49" t="s">
        <v>31</v>
      </c>
      <c r="D32" s="49" t="s">
        <v>32</v>
      </c>
      <c r="E32" s="54" t="s">
        <v>1</v>
      </c>
      <c r="F32" s="50" t="s">
        <v>2</v>
      </c>
      <c r="G32" s="51" t="s">
        <v>3</v>
      </c>
      <c r="H32" s="52" t="s">
        <v>4</v>
      </c>
      <c r="I32" s="52" t="s">
        <v>5</v>
      </c>
      <c r="J32" s="52" t="s">
        <v>6</v>
      </c>
      <c r="K32" s="52" t="s">
        <v>7</v>
      </c>
      <c r="L32" s="52" t="s">
        <v>8</v>
      </c>
      <c r="M32" s="52" t="s">
        <v>9</v>
      </c>
      <c r="N32" s="52" t="s">
        <v>10</v>
      </c>
      <c r="O32" s="52" t="s">
        <v>11</v>
      </c>
      <c r="P32" s="52" t="s">
        <v>12</v>
      </c>
      <c r="Q32" s="52" t="s">
        <v>13</v>
      </c>
      <c r="R32" s="52" t="s">
        <v>14</v>
      </c>
      <c r="S32" s="52" t="s">
        <v>15</v>
      </c>
      <c r="T32" s="52" t="s">
        <v>16</v>
      </c>
      <c r="U32" s="52" t="s">
        <v>17</v>
      </c>
      <c r="V32" s="52" t="s">
        <v>18</v>
      </c>
      <c r="W32" s="52" t="s">
        <v>19</v>
      </c>
      <c r="X32" s="52" t="s">
        <v>20</v>
      </c>
      <c r="Y32" s="52" t="s">
        <v>21</v>
      </c>
      <c r="Z32" s="53" t="s">
        <v>22</v>
      </c>
    </row>
    <row r="33" spans="1:51" customFormat="1" x14ac:dyDescent="0.45">
      <c r="A33" s="24"/>
      <c r="B33" s="22" t="str">
        <f>B15</f>
        <v>UREA</v>
      </c>
      <c r="C33" s="44" t="str">
        <f>C15</f>
        <v>Anibal Arango</v>
      </c>
      <c r="D33" s="44" t="str">
        <f>D15</f>
        <v>Polvo</v>
      </c>
      <c r="E33" s="46">
        <f>E15</f>
        <v>20</v>
      </c>
      <c r="F33" s="56">
        <f t="shared" ref="F33:F38" si="4">E33/10</f>
        <v>2</v>
      </c>
      <c r="G33" s="41" t="str">
        <f t="shared" ref="G33:G47" si="5">IF(G15="","",G15*$F15/$F$30)</f>
        <v/>
      </c>
      <c r="H33" s="42">
        <f t="shared" ref="H33:H47" si="6">IF(H15="","",SUM(I33:L33))</f>
        <v>9.1999999999999998E-3</v>
      </c>
      <c r="I33" s="42" t="str">
        <f t="shared" ref="I33:Z33" si="7">IF(I15="","",I15*$F15/$F$30)</f>
        <v/>
      </c>
      <c r="J33" s="42" t="str">
        <f t="shared" si="7"/>
        <v/>
      </c>
      <c r="K33" s="42" t="str">
        <f t="shared" si="7"/>
        <v/>
      </c>
      <c r="L33" s="42">
        <f t="shared" si="7"/>
        <v>9.1999999999999998E-3</v>
      </c>
      <c r="M33" s="42" t="str">
        <f t="shared" si="7"/>
        <v/>
      </c>
      <c r="N33" s="42" t="str">
        <f t="shared" si="7"/>
        <v/>
      </c>
      <c r="O33" s="42" t="str">
        <f t="shared" si="7"/>
        <v/>
      </c>
      <c r="P33" s="42" t="str">
        <f t="shared" si="7"/>
        <v/>
      </c>
      <c r="Q33" s="42" t="str">
        <f t="shared" si="7"/>
        <v/>
      </c>
      <c r="R33" s="42" t="str">
        <f t="shared" si="7"/>
        <v/>
      </c>
      <c r="S33" s="42" t="str">
        <f t="shared" si="7"/>
        <v/>
      </c>
      <c r="T33" s="42" t="str">
        <f t="shared" si="7"/>
        <v/>
      </c>
      <c r="U33" s="42" t="str">
        <f t="shared" si="7"/>
        <v/>
      </c>
      <c r="V33" s="42" t="str">
        <f t="shared" si="7"/>
        <v/>
      </c>
      <c r="W33" s="42" t="str">
        <f t="shared" si="7"/>
        <v/>
      </c>
      <c r="X33" s="42" t="str">
        <f t="shared" si="7"/>
        <v/>
      </c>
      <c r="Y33" s="42" t="str">
        <f t="shared" si="7"/>
        <v/>
      </c>
      <c r="Z33" s="43" t="str">
        <f t="shared" si="7"/>
        <v/>
      </c>
      <c r="AA33" s="24"/>
      <c r="AB33" s="23"/>
      <c r="AC33" s="23"/>
      <c r="AD33" s="23"/>
      <c r="AE33" s="23"/>
      <c r="AF33" s="23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spans="1:51" customFormat="1" x14ac:dyDescent="0.45">
      <c r="A34" s="24"/>
      <c r="B34" s="22" t="str">
        <f t="shared" ref="B34:E47" si="8">B16</f>
        <v>DAP</v>
      </c>
      <c r="C34" s="44" t="str">
        <f t="shared" ref="C34:D47" si="9">C16</f>
        <v>BM</v>
      </c>
      <c r="D34" s="44" t="str">
        <f t="shared" si="9"/>
        <v>Polvo</v>
      </c>
      <c r="E34" s="46">
        <f t="shared" si="8"/>
        <v>510</v>
      </c>
      <c r="F34" s="46">
        <f t="shared" si="4"/>
        <v>51</v>
      </c>
      <c r="G34" s="36" t="str">
        <f t="shared" si="5"/>
        <v/>
      </c>
      <c r="H34" s="3">
        <f t="shared" si="6"/>
        <v>9.1799999999999993E-2</v>
      </c>
      <c r="I34" s="3">
        <f t="shared" ref="I34:Z34" si="10">IF(I16="","",I16*$F16/$F$30)</f>
        <v>9.1799999999999993E-2</v>
      </c>
      <c r="J34" s="3" t="str">
        <f t="shared" si="10"/>
        <v/>
      </c>
      <c r="K34" s="3" t="str">
        <f t="shared" si="10"/>
        <v/>
      </c>
      <c r="L34" s="3" t="str">
        <f t="shared" si="10"/>
        <v/>
      </c>
      <c r="M34" s="3">
        <f t="shared" si="10"/>
        <v>0.2346</v>
      </c>
      <c r="N34" s="3" t="str">
        <f t="shared" si="10"/>
        <v/>
      </c>
      <c r="O34" s="3" t="str">
        <f t="shared" si="10"/>
        <v/>
      </c>
      <c r="P34" s="3" t="str">
        <f t="shared" si="10"/>
        <v/>
      </c>
      <c r="Q34" s="3" t="str">
        <f t="shared" si="10"/>
        <v/>
      </c>
      <c r="R34" s="3" t="str">
        <f t="shared" si="10"/>
        <v/>
      </c>
      <c r="S34" s="3" t="str">
        <f t="shared" si="10"/>
        <v/>
      </c>
      <c r="T34" s="3" t="str">
        <f t="shared" si="10"/>
        <v/>
      </c>
      <c r="U34" s="3" t="str">
        <f t="shared" si="10"/>
        <v/>
      </c>
      <c r="V34" s="3" t="str">
        <f t="shared" si="10"/>
        <v/>
      </c>
      <c r="W34" s="3" t="str">
        <f t="shared" si="10"/>
        <v/>
      </c>
      <c r="X34" s="3" t="str">
        <f t="shared" si="10"/>
        <v/>
      </c>
      <c r="Y34" s="3" t="str">
        <f t="shared" si="10"/>
        <v/>
      </c>
      <c r="Z34" s="37" t="str">
        <f t="shared" si="10"/>
        <v/>
      </c>
      <c r="AA34" s="24"/>
      <c r="AB34" s="23"/>
      <c r="AC34" s="23"/>
      <c r="AD34" s="23"/>
      <c r="AE34" s="23"/>
      <c r="AF34" s="23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1:51" customFormat="1" x14ac:dyDescent="0.45">
      <c r="A35" s="24"/>
      <c r="B35" s="22" t="str">
        <f t="shared" si="8"/>
        <v>KCL</v>
      </c>
      <c r="C35" s="44" t="str">
        <f t="shared" si="9"/>
        <v>Julian Saldarriaga</v>
      </c>
      <c r="D35" s="44" t="str">
        <f t="shared" si="9"/>
        <v>Polvo</v>
      </c>
      <c r="E35" s="46">
        <f t="shared" si="8"/>
        <v>160</v>
      </c>
      <c r="F35" s="46">
        <f t="shared" si="4"/>
        <v>16</v>
      </c>
      <c r="G35" s="36" t="str">
        <f t="shared" si="5"/>
        <v/>
      </c>
      <c r="H35" s="3" t="str">
        <f t="shared" si="6"/>
        <v/>
      </c>
      <c r="I35" s="3" t="str">
        <f t="shared" ref="I35:Z35" si="11">IF(I17="","",I17*$F17/$F$30)</f>
        <v/>
      </c>
      <c r="J35" s="3" t="str">
        <f t="shared" si="11"/>
        <v/>
      </c>
      <c r="K35" s="3" t="str">
        <f t="shared" si="11"/>
        <v/>
      </c>
      <c r="L35" s="3" t="str">
        <f t="shared" si="11"/>
        <v/>
      </c>
      <c r="M35" s="3" t="str">
        <f t="shared" si="11"/>
        <v/>
      </c>
      <c r="N35" s="3">
        <f t="shared" si="11"/>
        <v>9.6000000000000002E-2</v>
      </c>
      <c r="O35" s="3" t="str">
        <f t="shared" si="11"/>
        <v/>
      </c>
      <c r="P35" s="3" t="str">
        <f t="shared" si="11"/>
        <v/>
      </c>
      <c r="Q35" s="3" t="str">
        <f t="shared" si="11"/>
        <v/>
      </c>
      <c r="R35" s="3" t="str">
        <f t="shared" si="11"/>
        <v/>
      </c>
      <c r="S35" s="3" t="str">
        <f t="shared" si="11"/>
        <v/>
      </c>
      <c r="T35" s="3" t="str">
        <f t="shared" si="11"/>
        <v/>
      </c>
      <c r="U35" s="3" t="str">
        <f t="shared" si="11"/>
        <v/>
      </c>
      <c r="V35" s="3" t="str">
        <f t="shared" si="11"/>
        <v/>
      </c>
      <c r="W35" s="3" t="str">
        <f t="shared" si="11"/>
        <v/>
      </c>
      <c r="X35" s="3" t="str">
        <f t="shared" si="11"/>
        <v/>
      </c>
      <c r="Y35" s="3" t="str">
        <f t="shared" si="11"/>
        <v/>
      </c>
      <c r="Z35" s="37" t="str">
        <f t="shared" si="11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si="8"/>
        <v>Raifos</v>
      </c>
      <c r="C36" s="44" t="str">
        <f t="shared" si="9"/>
        <v>Agrocales</v>
      </c>
      <c r="D36" s="44" t="str">
        <f t="shared" si="9"/>
        <v>Polvo</v>
      </c>
      <c r="E36" s="46">
        <f t="shared" si="8"/>
        <v>310</v>
      </c>
      <c r="F36" s="46">
        <f t="shared" si="4"/>
        <v>31</v>
      </c>
      <c r="G36" s="36" t="str">
        <f t="shared" si="5"/>
        <v/>
      </c>
      <c r="H36" s="3" t="str">
        <f t="shared" si="6"/>
        <v/>
      </c>
      <c r="I36" s="3" t="str">
        <f>IF(I18="","",I18*$F18/$F$30)</f>
        <v/>
      </c>
      <c r="J36" s="3" t="str">
        <f t="shared" ref="J36:Z36" si="12">IF(J18="","",J18*$F18/$F$30)</f>
        <v/>
      </c>
      <c r="K36" s="3" t="str">
        <f t="shared" si="12"/>
        <v/>
      </c>
      <c r="L36" s="3" t="str">
        <f t="shared" si="12"/>
        <v/>
      </c>
      <c r="M36" s="3">
        <f t="shared" si="12"/>
        <v>6.2E-2</v>
      </c>
      <c r="N36" s="3" t="str">
        <f t="shared" si="12"/>
        <v/>
      </c>
      <c r="O36" s="3" t="str">
        <f t="shared" si="12"/>
        <v/>
      </c>
      <c r="P36" s="3" t="str">
        <f t="shared" si="12"/>
        <v/>
      </c>
      <c r="Q36" s="3" t="str">
        <f t="shared" si="12"/>
        <v/>
      </c>
      <c r="R36" s="3" t="str">
        <f t="shared" si="12"/>
        <v/>
      </c>
      <c r="S36" s="3" t="str">
        <f t="shared" si="12"/>
        <v/>
      </c>
      <c r="T36" s="3" t="str">
        <f t="shared" si="12"/>
        <v/>
      </c>
      <c r="U36" s="3" t="str">
        <f t="shared" si="12"/>
        <v/>
      </c>
      <c r="V36" s="3" t="str">
        <f t="shared" si="12"/>
        <v/>
      </c>
      <c r="W36" s="3" t="str">
        <f t="shared" si="12"/>
        <v/>
      </c>
      <c r="X36" s="3" t="str">
        <f t="shared" si="12"/>
        <v/>
      </c>
      <c r="Y36" s="3" t="str">
        <f t="shared" si="12"/>
        <v/>
      </c>
      <c r="Z36" s="37" t="str">
        <f t="shared" si="12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>
        <f t="shared" si="8"/>
        <v>0</v>
      </c>
      <c r="C37" s="44">
        <f t="shared" si="9"/>
        <v>0</v>
      </c>
      <c r="D37" s="44">
        <f t="shared" si="9"/>
        <v>0</v>
      </c>
      <c r="E37" s="46">
        <f t="shared" si="8"/>
        <v>0</v>
      </c>
      <c r="F37" s="46">
        <f t="shared" si="4"/>
        <v>0</v>
      </c>
      <c r="G37" s="36" t="str">
        <f t="shared" si="5"/>
        <v/>
      </c>
      <c r="H37" s="3" t="str">
        <f t="shared" si="6"/>
        <v/>
      </c>
      <c r="I37" s="3" t="str">
        <f t="shared" ref="I37:Z37" si="13">IF(I19="","",I19*$F19/$F$30)</f>
        <v/>
      </c>
      <c r="J37" s="3" t="str">
        <f t="shared" si="13"/>
        <v/>
      </c>
      <c r="K37" s="3" t="str">
        <f t="shared" si="13"/>
        <v/>
      </c>
      <c r="L37" s="3" t="str">
        <f t="shared" si="13"/>
        <v/>
      </c>
      <c r="M37" s="3" t="str">
        <f t="shared" si="13"/>
        <v/>
      </c>
      <c r="N37" s="3" t="str">
        <f t="shared" si="13"/>
        <v/>
      </c>
      <c r="O37" s="3" t="str">
        <f t="shared" si="13"/>
        <v/>
      </c>
      <c r="P37" s="3" t="str">
        <f t="shared" si="13"/>
        <v/>
      </c>
      <c r="Q37" s="3" t="str">
        <f t="shared" si="13"/>
        <v/>
      </c>
      <c r="R37" s="3" t="str">
        <f t="shared" si="13"/>
        <v/>
      </c>
      <c r="S37" s="3" t="str">
        <f t="shared" si="13"/>
        <v/>
      </c>
      <c r="T37" s="3" t="str">
        <f t="shared" si="13"/>
        <v/>
      </c>
      <c r="U37" s="3" t="str">
        <f t="shared" si="13"/>
        <v/>
      </c>
      <c r="V37" s="3" t="str">
        <f t="shared" si="13"/>
        <v/>
      </c>
      <c r="W37" s="3" t="str">
        <f t="shared" si="13"/>
        <v/>
      </c>
      <c r="X37" s="3" t="str">
        <f t="shared" si="13"/>
        <v/>
      </c>
      <c r="Y37" s="3" t="str">
        <f t="shared" si="13"/>
        <v/>
      </c>
      <c r="Z37" s="37" t="str">
        <f t="shared" si="13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>
        <f t="shared" si="8"/>
        <v>0</v>
      </c>
      <c r="C38" s="44">
        <f t="shared" si="9"/>
        <v>0</v>
      </c>
      <c r="D38" s="44">
        <f t="shared" si="9"/>
        <v>0</v>
      </c>
      <c r="E38" s="46">
        <f t="shared" si="8"/>
        <v>0</v>
      </c>
      <c r="F38" s="46">
        <f t="shared" si="4"/>
        <v>0</v>
      </c>
      <c r="G38" s="36" t="str">
        <f t="shared" si="5"/>
        <v/>
      </c>
      <c r="H38" s="3" t="str">
        <f t="shared" si="6"/>
        <v/>
      </c>
      <c r="I38" s="3" t="str">
        <f t="shared" ref="I38:Z38" si="14">IF(I20="","",I20*$F20/$F$30)</f>
        <v/>
      </c>
      <c r="J38" s="3" t="str">
        <f t="shared" si="14"/>
        <v/>
      </c>
      <c r="K38" s="3" t="str">
        <f t="shared" si="14"/>
        <v/>
      </c>
      <c r="L38" s="3" t="str">
        <f t="shared" si="14"/>
        <v/>
      </c>
      <c r="M38" s="3" t="str">
        <f t="shared" si="14"/>
        <v/>
      </c>
      <c r="N38" s="3" t="str">
        <f t="shared" si="14"/>
        <v/>
      </c>
      <c r="O38" s="3" t="str">
        <f t="shared" si="14"/>
        <v/>
      </c>
      <c r="P38" s="3" t="str">
        <f t="shared" si="14"/>
        <v/>
      </c>
      <c r="Q38" s="3" t="str">
        <f t="shared" si="14"/>
        <v/>
      </c>
      <c r="R38" s="3" t="str">
        <f t="shared" si="14"/>
        <v/>
      </c>
      <c r="S38" s="3" t="str">
        <f t="shared" si="14"/>
        <v/>
      </c>
      <c r="T38" s="3" t="str">
        <f t="shared" si="14"/>
        <v/>
      </c>
      <c r="U38" s="3" t="str">
        <f t="shared" si="14"/>
        <v/>
      </c>
      <c r="V38" s="3" t="str">
        <f t="shared" si="14"/>
        <v/>
      </c>
      <c r="W38" s="3" t="str">
        <f t="shared" si="14"/>
        <v/>
      </c>
      <c r="X38" s="3" t="str">
        <f t="shared" si="14"/>
        <v/>
      </c>
      <c r="Y38" s="3" t="str">
        <f t="shared" si="14"/>
        <v/>
      </c>
      <c r="Z38" s="37" t="str">
        <f t="shared" si="14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8"/>
        <v>0</v>
      </c>
      <c r="C39" s="44">
        <f t="shared" si="9"/>
        <v>0</v>
      </c>
      <c r="D39" s="44">
        <f t="shared" si="9"/>
        <v>0</v>
      </c>
      <c r="E39" s="46">
        <f t="shared" si="8"/>
        <v>0</v>
      </c>
      <c r="F39" s="46">
        <f t="shared" ref="F39:F47" si="15">E39/10</f>
        <v>0</v>
      </c>
      <c r="G39" s="36" t="str">
        <f t="shared" si="5"/>
        <v/>
      </c>
      <c r="H39" s="3" t="str">
        <f t="shared" si="6"/>
        <v/>
      </c>
      <c r="I39" s="3" t="str">
        <f t="shared" ref="I39:Z39" si="16">IF(I21="","",I21*$F21/$F$30)</f>
        <v/>
      </c>
      <c r="J39" s="3" t="str">
        <f t="shared" si="16"/>
        <v/>
      </c>
      <c r="K39" s="3" t="str">
        <f t="shared" si="16"/>
        <v/>
      </c>
      <c r="L39" s="3" t="str">
        <f t="shared" si="16"/>
        <v/>
      </c>
      <c r="M39" s="3" t="str">
        <f t="shared" si="16"/>
        <v/>
      </c>
      <c r="N39" s="3" t="str">
        <f t="shared" si="16"/>
        <v/>
      </c>
      <c r="O39" s="3" t="str">
        <f t="shared" si="16"/>
        <v/>
      </c>
      <c r="P39" s="3" t="str">
        <f t="shared" si="16"/>
        <v/>
      </c>
      <c r="Q39" s="3" t="str">
        <f t="shared" si="16"/>
        <v/>
      </c>
      <c r="R39" s="3" t="str">
        <f t="shared" si="16"/>
        <v/>
      </c>
      <c r="S39" s="3" t="str">
        <f t="shared" si="16"/>
        <v/>
      </c>
      <c r="T39" s="3" t="str">
        <f t="shared" si="16"/>
        <v/>
      </c>
      <c r="U39" s="3" t="str">
        <f t="shared" si="16"/>
        <v/>
      </c>
      <c r="V39" s="3" t="str">
        <f t="shared" si="16"/>
        <v/>
      </c>
      <c r="W39" s="3" t="str">
        <f t="shared" si="16"/>
        <v/>
      </c>
      <c r="X39" s="3" t="str">
        <f t="shared" si="16"/>
        <v/>
      </c>
      <c r="Y39" s="3" t="str">
        <f t="shared" si="16"/>
        <v/>
      </c>
      <c r="Z39" s="37" t="str">
        <f t="shared" si="16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8"/>
        <v>0</v>
      </c>
      <c r="C40" s="44">
        <f t="shared" si="9"/>
        <v>0</v>
      </c>
      <c r="D40" s="44">
        <f t="shared" si="9"/>
        <v>0</v>
      </c>
      <c r="E40" s="46">
        <f t="shared" si="8"/>
        <v>0</v>
      </c>
      <c r="F40" s="46">
        <f t="shared" si="15"/>
        <v>0</v>
      </c>
      <c r="G40" s="36" t="str">
        <f t="shared" si="5"/>
        <v/>
      </c>
      <c r="H40" s="3" t="str">
        <f t="shared" si="6"/>
        <v/>
      </c>
      <c r="I40" s="3" t="str">
        <f t="shared" ref="I40:Z40" si="17">IF(I22="","",I22*$F22/$F$30)</f>
        <v/>
      </c>
      <c r="J40" s="3" t="str">
        <f t="shared" si="17"/>
        <v/>
      </c>
      <c r="K40" s="3" t="str">
        <f t="shared" si="17"/>
        <v/>
      </c>
      <c r="L40" s="3" t="str">
        <f t="shared" si="17"/>
        <v/>
      </c>
      <c r="M40" s="3" t="str">
        <f t="shared" si="17"/>
        <v/>
      </c>
      <c r="N40" s="3" t="str">
        <f t="shared" si="17"/>
        <v/>
      </c>
      <c r="O40" s="3" t="str">
        <f t="shared" si="17"/>
        <v/>
      </c>
      <c r="P40" s="3" t="str">
        <f t="shared" si="17"/>
        <v/>
      </c>
      <c r="Q40" s="3" t="str">
        <f t="shared" si="17"/>
        <v/>
      </c>
      <c r="R40" s="3" t="str">
        <f t="shared" si="17"/>
        <v/>
      </c>
      <c r="S40" s="3" t="str">
        <f t="shared" si="17"/>
        <v/>
      </c>
      <c r="T40" s="3" t="str">
        <f t="shared" si="17"/>
        <v/>
      </c>
      <c r="U40" s="3" t="str">
        <f t="shared" si="17"/>
        <v/>
      </c>
      <c r="V40" s="3" t="str">
        <f t="shared" si="17"/>
        <v/>
      </c>
      <c r="W40" s="3" t="str">
        <f t="shared" si="17"/>
        <v/>
      </c>
      <c r="X40" s="3" t="str">
        <f t="shared" si="17"/>
        <v/>
      </c>
      <c r="Y40" s="3" t="str">
        <f t="shared" si="17"/>
        <v/>
      </c>
      <c r="Z40" s="37" t="str">
        <f t="shared" si="17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8"/>
        <v>0</v>
      </c>
      <c r="C41" s="44">
        <f t="shared" si="9"/>
        <v>0</v>
      </c>
      <c r="D41" s="44">
        <f t="shared" si="9"/>
        <v>0</v>
      </c>
      <c r="E41" s="46">
        <f t="shared" si="8"/>
        <v>0</v>
      </c>
      <c r="F41" s="46">
        <f t="shared" si="15"/>
        <v>0</v>
      </c>
      <c r="G41" s="36" t="str">
        <f t="shared" si="5"/>
        <v/>
      </c>
      <c r="H41" s="3" t="str">
        <f t="shared" si="6"/>
        <v/>
      </c>
      <c r="I41" s="3" t="str">
        <f t="shared" ref="I41:Z41" si="18">IF(I23="","",I23*$F23/$F$30)</f>
        <v/>
      </c>
      <c r="J41" s="3" t="str">
        <f t="shared" si="18"/>
        <v/>
      </c>
      <c r="K41" s="3" t="str">
        <f t="shared" si="18"/>
        <v/>
      </c>
      <c r="L41" s="3" t="str">
        <f t="shared" si="18"/>
        <v/>
      </c>
      <c r="M41" s="3" t="str">
        <f t="shared" si="18"/>
        <v/>
      </c>
      <c r="N41" s="3" t="str">
        <f t="shared" si="18"/>
        <v/>
      </c>
      <c r="O41" s="3" t="str">
        <f t="shared" si="18"/>
        <v/>
      </c>
      <c r="P41" s="3" t="str">
        <f t="shared" si="18"/>
        <v/>
      </c>
      <c r="Q41" s="3" t="str">
        <f t="shared" si="18"/>
        <v/>
      </c>
      <c r="R41" s="3" t="str">
        <f t="shared" si="18"/>
        <v/>
      </c>
      <c r="S41" s="3" t="str">
        <f t="shared" si="18"/>
        <v/>
      </c>
      <c r="T41" s="3" t="str">
        <f t="shared" si="18"/>
        <v/>
      </c>
      <c r="U41" s="3" t="str">
        <f t="shared" si="18"/>
        <v/>
      </c>
      <c r="V41" s="3" t="str">
        <f t="shared" si="18"/>
        <v/>
      </c>
      <c r="W41" s="3" t="str">
        <f t="shared" si="18"/>
        <v/>
      </c>
      <c r="X41" s="3" t="str">
        <f t="shared" si="18"/>
        <v/>
      </c>
      <c r="Y41" s="3" t="str">
        <f t="shared" si="18"/>
        <v/>
      </c>
      <c r="Z41" s="37" t="str">
        <f t="shared" si="18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8"/>
        <v>0</v>
      </c>
      <c r="C42" s="44">
        <f t="shared" si="9"/>
        <v>0</v>
      </c>
      <c r="D42" s="44">
        <f t="shared" si="9"/>
        <v>0</v>
      </c>
      <c r="E42" s="46">
        <f t="shared" si="8"/>
        <v>0</v>
      </c>
      <c r="F42" s="46">
        <f t="shared" si="15"/>
        <v>0</v>
      </c>
      <c r="G42" s="36" t="str">
        <f t="shared" si="5"/>
        <v/>
      </c>
      <c r="H42" s="3" t="str">
        <f t="shared" si="6"/>
        <v/>
      </c>
      <c r="I42" s="3" t="str">
        <f t="shared" ref="I42:Z42" si="19">IF(I24="","",I24*$F24/$F$30)</f>
        <v/>
      </c>
      <c r="J42" s="3" t="str">
        <f t="shared" si="19"/>
        <v/>
      </c>
      <c r="K42" s="3" t="str">
        <f t="shared" si="19"/>
        <v/>
      </c>
      <c r="L42" s="3" t="str">
        <f t="shared" si="19"/>
        <v/>
      </c>
      <c r="M42" s="3" t="str">
        <f t="shared" si="19"/>
        <v/>
      </c>
      <c r="N42" s="3" t="str">
        <f t="shared" si="19"/>
        <v/>
      </c>
      <c r="O42" s="3" t="str">
        <f t="shared" si="19"/>
        <v/>
      </c>
      <c r="P42" s="3" t="str">
        <f t="shared" si="19"/>
        <v/>
      </c>
      <c r="Q42" s="3" t="str">
        <f t="shared" si="19"/>
        <v/>
      </c>
      <c r="R42" s="3" t="str">
        <f t="shared" si="19"/>
        <v/>
      </c>
      <c r="S42" s="3" t="str">
        <f t="shared" si="19"/>
        <v/>
      </c>
      <c r="T42" s="3" t="str">
        <f t="shared" si="19"/>
        <v/>
      </c>
      <c r="U42" s="3" t="str">
        <f t="shared" si="19"/>
        <v/>
      </c>
      <c r="V42" s="3" t="str">
        <f t="shared" si="19"/>
        <v/>
      </c>
      <c r="W42" s="3" t="str">
        <f t="shared" si="19"/>
        <v/>
      </c>
      <c r="X42" s="3" t="str">
        <f t="shared" si="19"/>
        <v/>
      </c>
      <c r="Y42" s="3" t="str">
        <f t="shared" si="19"/>
        <v/>
      </c>
      <c r="Z42" s="37" t="str">
        <f t="shared" si="19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8"/>
        <v>0</v>
      </c>
      <c r="C43" s="44">
        <f t="shared" si="9"/>
        <v>0</v>
      </c>
      <c r="D43" s="44">
        <f t="shared" si="9"/>
        <v>0</v>
      </c>
      <c r="E43" s="46">
        <f t="shared" si="8"/>
        <v>0</v>
      </c>
      <c r="F43" s="46">
        <f t="shared" si="15"/>
        <v>0</v>
      </c>
      <c r="G43" s="36" t="str">
        <f t="shared" si="5"/>
        <v/>
      </c>
      <c r="H43" s="3" t="str">
        <f t="shared" si="6"/>
        <v/>
      </c>
      <c r="I43" s="3" t="str">
        <f t="shared" ref="I43:Z43" si="20">IF(I25="","",I25*$F25/$F$30)</f>
        <v/>
      </c>
      <c r="J43" s="3" t="str">
        <f t="shared" si="20"/>
        <v/>
      </c>
      <c r="K43" s="3" t="str">
        <f t="shared" si="20"/>
        <v/>
      </c>
      <c r="L43" s="3" t="str">
        <f t="shared" si="20"/>
        <v/>
      </c>
      <c r="M43" s="3" t="str">
        <f t="shared" si="20"/>
        <v/>
      </c>
      <c r="N43" s="3" t="str">
        <f t="shared" si="20"/>
        <v/>
      </c>
      <c r="O43" s="3" t="str">
        <f t="shared" si="20"/>
        <v/>
      </c>
      <c r="P43" s="3" t="str">
        <f t="shared" si="20"/>
        <v/>
      </c>
      <c r="Q43" s="3" t="str">
        <f t="shared" si="20"/>
        <v/>
      </c>
      <c r="R43" s="3" t="str">
        <f t="shared" si="20"/>
        <v/>
      </c>
      <c r="S43" s="3" t="str">
        <f t="shared" si="20"/>
        <v/>
      </c>
      <c r="T43" s="3" t="str">
        <f t="shared" si="20"/>
        <v/>
      </c>
      <c r="U43" s="3" t="str">
        <f t="shared" si="20"/>
        <v/>
      </c>
      <c r="V43" s="3" t="str">
        <f t="shared" si="20"/>
        <v/>
      </c>
      <c r="W43" s="3" t="str">
        <f t="shared" si="20"/>
        <v/>
      </c>
      <c r="X43" s="3" t="str">
        <f t="shared" si="20"/>
        <v/>
      </c>
      <c r="Y43" s="3" t="str">
        <f t="shared" si="20"/>
        <v/>
      </c>
      <c r="Z43" s="37" t="str">
        <f t="shared" si="20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8"/>
        <v>0</v>
      </c>
      <c r="C44" s="44">
        <f t="shared" si="9"/>
        <v>0</v>
      </c>
      <c r="D44" s="44">
        <f t="shared" si="9"/>
        <v>0</v>
      </c>
      <c r="E44" s="46">
        <f t="shared" si="8"/>
        <v>0</v>
      </c>
      <c r="F44" s="46">
        <f t="shared" si="15"/>
        <v>0</v>
      </c>
      <c r="G44" s="36" t="str">
        <f t="shared" si="5"/>
        <v/>
      </c>
      <c r="H44" s="3" t="str">
        <f t="shared" si="6"/>
        <v/>
      </c>
      <c r="I44" s="3" t="str">
        <f t="shared" ref="I44:Z44" si="21">IF(I26="","",I26*$F26/$F$30)</f>
        <v/>
      </c>
      <c r="J44" s="3" t="str">
        <f t="shared" si="21"/>
        <v/>
      </c>
      <c r="K44" s="3" t="str">
        <f t="shared" si="21"/>
        <v/>
      </c>
      <c r="L44" s="3" t="str">
        <f t="shared" si="21"/>
        <v/>
      </c>
      <c r="M44" s="3" t="str">
        <f t="shared" si="21"/>
        <v/>
      </c>
      <c r="N44" s="3" t="str">
        <f t="shared" si="21"/>
        <v/>
      </c>
      <c r="O44" s="3" t="str">
        <f t="shared" si="21"/>
        <v/>
      </c>
      <c r="P44" s="3" t="str">
        <f t="shared" si="21"/>
        <v/>
      </c>
      <c r="Q44" s="3" t="str">
        <f t="shared" si="21"/>
        <v/>
      </c>
      <c r="R44" s="3" t="str">
        <f t="shared" si="21"/>
        <v/>
      </c>
      <c r="S44" s="3" t="str">
        <f t="shared" si="21"/>
        <v/>
      </c>
      <c r="T44" s="3" t="str">
        <f t="shared" si="21"/>
        <v/>
      </c>
      <c r="U44" s="3" t="str">
        <f t="shared" si="21"/>
        <v/>
      </c>
      <c r="V44" s="3" t="str">
        <f t="shared" si="21"/>
        <v/>
      </c>
      <c r="W44" s="3" t="str">
        <f t="shared" si="21"/>
        <v/>
      </c>
      <c r="X44" s="3" t="str">
        <f t="shared" si="21"/>
        <v/>
      </c>
      <c r="Y44" s="3" t="str">
        <f t="shared" si="21"/>
        <v/>
      </c>
      <c r="Z44" s="37" t="str">
        <f t="shared" si="21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8"/>
        <v>0</v>
      </c>
      <c r="C45" s="44">
        <f t="shared" si="9"/>
        <v>0</v>
      </c>
      <c r="D45" s="44">
        <f t="shared" si="9"/>
        <v>0</v>
      </c>
      <c r="E45" s="46">
        <f t="shared" si="8"/>
        <v>0</v>
      </c>
      <c r="F45" s="46">
        <f t="shared" si="15"/>
        <v>0</v>
      </c>
      <c r="G45" s="36" t="str">
        <f t="shared" si="5"/>
        <v/>
      </c>
      <c r="H45" s="3" t="str">
        <f t="shared" si="6"/>
        <v/>
      </c>
      <c r="I45" s="3" t="str">
        <f t="shared" ref="I45:Z45" si="22">IF(I27="","",I27*$F27/$F$30)</f>
        <v/>
      </c>
      <c r="J45" s="3" t="str">
        <f t="shared" si="22"/>
        <v/>
      </c>
      <c r="K45" s="3" t="str">
        <f t="shared" si="22"/>
        <v/>
      </c>
      <c r="L45" s="3" t="str">
        <f t="shared" si="22"/>
        <v/>
      </c>
      <c r="M45" s="3" t="str">
        <f t="shared" si="22"/>
        <v/>
      </c>
      <c r="N45" s="3" t="str">
        <f t="shared" si="22"/>
        <v/>
      </c>
      <c r="O45" s="3" t="str">
        <f t="shared" si="22"/>
        <v/>
      </c>
      <c r="P45" s="3" t="str">
        <f t="shared" si="22"/>
        <v/>
      </c>
      <c r="Q45" s="3" t="str">
        <f t="shared" si="22"/>
        <v/>
      </c>
      <c r="R45" s="3" t="str">
        <f t="shared" si="22"/>
        <v/>
      </c>
      <c r="S45" s="3" t="str">
        <f t="shared" si="22"/>
        <v/>
      </c>
      <c r="T45" s="3" t="str">
        <f t="shared" si="22"/>
        <v/>
      </c>
      <c r="U45" s="3" t="str">
        <f t="shared" si="22"/>
        <v/>
      </c>
      <c r="V45" s="3" t="str">
        <f t="shared" si="22"/>
        <v/>
      </c>
      <c r="W45" s="3" t="str">
        <f t="shared" si="22"/>
        <v/>
      </c>
      <c r="X45" s="3" t="str">
        <f t="shared" si="22"/>
        <v/>
      </c>
      <c r="Y45" s="3" t="str">
        <f t="shared" si="22"/>
        <v/>
      </c>
      <c r="Z45" s="37" t="str">
        <f t="shared" si="22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8"/>
        <v>0</v>
      </c>
      <c r="C46" s="44">
        <f t="shared" si="9"/>
        <v>0</v>
      </c>
      <c r="D46" s="44">
        <f t="shared" si="9"/>
        <v>0</v>
      </c>
      <c r="E46" s="46">
        <f t="shared" si="8"/>
        <v>0</v>
      </c>
      <c r="F46" s="46">
        <f t="shared" si="15"/>
        <v>0</v>
      </c>
      <c r="G46" s="36" t="str">
        <f t="shared" si="5"/>
        <v/>
      </c>
      <c r="H46" s="3" t="str">
        <f t="shared" si="6"/>
        <v/>
      </c>
      <c r="I46" s="3" t="str">
        <f t="shared" ref="I46:Z46" si="23">IF(I28="","",I28*$F28/$F$30)</f>
        <v/>
      </c>
      <c r="J46" s="3" t="str">
        <f t="shared" si="23"/>
        <v/>
      </c>
      <c r="K46" s="3" t="str">
        <f t="shared" si="23"/>
        <v/>
      </c>
      <c r="L46" s="3" t="str">
        <f t="shared" si="23"/>
        <v/>
      </c>
      <c r="M46" s="3" t="str">
        <f t="shared" si="23"/>
        <v/>
      </c>
      <c r="N46" s="3" t="str">
        <f t="shared" si="23"/>
        <v/>
      </c>
      <c r="O46" s="3" t="str">
        <f t="shared" si="23"/>
        <v/>
      </c>
      <c r="P46" s="3" t="str">
        <f t="shared" si="23"/>
        <v/>
      </c>
      <c r="Q46" s="3" t="str">
        <f t="shared" si="23"/>
        <v/>
      </c>
      <c r="R46" s="3" t="str">
        <f t="shared" si="23"/>
        <v/>
      </c>
      <c r="S46" s="3" t="str">
        <f t="shared" si="23"/>
        <v/>
      </c>
      <c r="T46" s="3" t="str">
        <f t="shared" si="23"/>
        <v/>
      </c>
      <c r="U46" s="3" t="str">
        <f t="shared" si="23"/>
        <v/>
      </c>
      <c r="V46" s="3" t="str">
        <f t="shared" si="23"/>
        <v/>
      </c>
      <c r="W46" s="3" t="str">
        <f t="shared" si="23"/>
        <v/>
      </c>
      <c r="X46" s="3" t="str">
        <f t="shared" si="23"/>
        <v/>
      </c>
      <c r="Y46" s="3" t="str">
        <f t="shared" si="23"/>
        <v/>
      </c>
      <c r="Z46" s="37" t="str">
        <f t="shared" si="23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ht="20.25" thickBot="1" x14ac:dyDescent="0.5">
      <c r="A47" s="24"/>
      <c r="B47" s="22">
        <f t="shared" si="8"/>
        <v>0</v>
      </c>
      <c r="C47" s="45">
        <f t="shared" si="9"/>
        <v>0</v>
      </c>
      <c r="D47" s="45">
        <f t="shared" si="9"/>
        <v>0</v>
      </c>
      <c r="E47" s="47">
        <f t="shared" si="8"/>
        <v>0</v>
      </c>
      <c r="F47" s="47">
        <f t="shared" si="15"/>
        <v>0</v>
      </c>
      <c r="G47" s="38" t="str">
        <f t="shared" si="5"/>
        <v/>
      </c>
      <c r="H47" s="39" t="str">
        <f t="shared" si="6"/>
        <v/>
      </c>
      <c r="I47" s="39" t="str">
        <f t="shared" ref="I47:Z47" si="24">IF(I29="","",I29*$F29/$F$30)</f>
        <v/>
      </c>
      <c r="J47" s="39" t="str">
        <f t="shared" si="24"/>
        <v/>
      </c>
      <c r="K47" s="39" t="str">
        <f t="shared" si="24"/>
        <v/>
      </c>
      <c r="L47" s="39" t="str">
        <f t="shared" si="24"/>
        <v/>
      </c>
      <c r="M47" s="39" t="str">
        <f t="shared" si="24"/>
        <v/>
      </c>
      <c r="N47" s="39" t="str">
        <f t="shared" si="24"/>
        <v/>
      </c>
      <c r="O47" s="39" t="str">
        <f t="shared" si="24"/>
        <v/>
      </c>
      <c r="P47" s="39" t="str">
        <f t="shared" si="24"/>
        <v/>
      </c>
      <c r="Q47" s="39" t="str">
        <f t="shared" si="24"/>
        <v/>
      </c>
      <c r="R47" s="39" t="str">
        <f t="shared" si="24"/>
        <v/>
      </c>
      <c r="S47" s="39" t="str">
        <f t="shared" si="24"/>
        <v/>
      </c>
      <c r="T47" s="39" t="str">
        <f t="shared" si="24"/>
        <v/>
      </c>
      <c r="U47" s="39" t="str">
        <f t="shared" si="24"/>
        <v/>
      </c>
      <c r="V47" s="39" t="str">
        <f t="shared" si="24"/>
        <v/>
      </c>
      <c r="W47" s="39" t="str">
        <f t="shared" si="24"/>
        <v/>
      </c>
      <c r="X47" s="39" t="str">
        <f t="shared" si="24"/>
        <v/>
      </c>
      <c r="Y47" s="39" t="str">
        <f t="shared" si="24"/>
        <v/>
      </c>
      <c r="Z47" s="40" t="str">
        <f t="shared" si="24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3" t="str">
        <f>B30</f>
        <v>SUMA</v>
      </c>
      <c r="C48" s="23"/>
      <c r="D48" s="23"/>
      <c r="E48" s="23">
        <f>E30</f>
        <v>1000</v>
      </c>
      <c r="F48" s="23">
        <f t="shared" ref="F48" si="25">F30</f>
        <v>100</v>
      </c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x14ac:dyDescent="0.45">
      <c r="A49" s="24"/>
      <c r="B49" s="23"/>
      <c r="C49" s="23"/>
      <c r="D49" s="23"/>
      <c r="E49" s="25"/>
      <c r="F49" s="25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x14ac:dyDescent="0.45">
      <c r="B50" s="23"/>
      <c r="C50" s="23"/>
      <c r="D50" s="23"/>
      <c r="E50" s="25"/>
      <c r="F50" s="25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51" x14ac:dyDescent="0.45"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5:Z29" name="COMPOSICION MATERIAS PRIMAS"/>
  </protectedRanges>
  <mergeCells count="9">
    <mergeCell ref="G13:Z13"/>
    <mergeCell ref="H2:S2"/>
    <mergeCell ref="U2:V2"/>
    <mergeCell ref="U3:V3"/>
    <mergeCell ref="B8:F8"/>
    <mergeCell ref="B7:F7"/>
    <mergeCell ref="B11:Z11"/>
    <mergeCell ref="I4:S4"/>
    <mergeCell ref="H3:S3"/>
  </mergeCells>
  <conditionalFormatting sqref="G34:Z38">
    <cfRule type="cellIs" dxfId="55" priority="37" operator="equal">
      <formula>0</formula>
    </cfRule>
    <cfRule type="containsBlanks" dxfId="54" priority="38">
      <formula>LEN(TRIM(G34))=0</formula>
    </cfRule>
  </conditionalFormatting>
  <conditionalFormatting sqref="G34:Z38">
    <cfRule type="cellIs" dxfId="53" priority="30" operator="equal">
      <formula>0</formula>
    </cfRule>
    <cfRule type="containsBlanks" dxfId="52" priority="31">
      <formula>LEN(TRIM(G34))=0</formula>
    </cfRule>
  </conditionalFormatting>
  <conditionalFormatting sqref="G34:Z38">
    <cfRule type="notContainsBlanks" dxfId="51" priority="29">
      <formula>LEN(TRIM(G34))&gt;0</formula>
    </cfRule>
  </conditionalFormatting>
  <conditionalFormatting sqref="G33">
    <cfRule type="cellIs" dxfId="50" priority="27" operator="equal">
      <formula>0</formula>
    </cfRule>
    <cfRule type="containsBlanks" dxfId="49" priority="28">
      <formula>LEN(TRIM(G33))=0</formula>
    </cfRule>
  </conditionalFormatting>
  <conditionalFormatting sqref="G33">
    <cfRule type="notContainsBlanks" dxfId="48" priority="26">
      <formula>LEN(TRIM(G33))&gt;0</formula>
    </cfRule>
  </conditionalFormatting>
  <conditionalFormatting sqref="H33">
    <cfRule type="cellIs" dxfId="47" priority="24" operator="equal">
      <formula>0</formula>
    </cfRule>
    <cfRule type="containsBlanks" dxfId="46" priority="25">
      <formula>LEN(TRIM(H33))=0</formula>
    </cfRule>
  </conditionalFormatting>
  <conditionalFormatting sqref="H33">
    <cfRule type="notContainsBlanks" dxfId="45" priority="23">
      <formula>LEN(TRIM(H33))&gt;0</formula>
    </cfRule>
  </conditionalFormatting>
  <conditionalFormatting sqref="I33:Z33">
    <cfRule type="cellIs" dxfId="44" priority="21" operator="equal">
      <formula>0</formula>
    </cfRule>
    <cfRule type="containsBlanks" dxfId="43" priority="22">
      <formula>LEN(TRIM(I33))=0</formula>
    </cfRule>
  </conditionalFormatting>
  <conditionalFormatting sqref="I33:Z33">
    <cfRule type="notContainsBlanks" dxfId="42" priority="20">
      <formula>LEN(TRIM(I33))&gt;0</formula>
    </cfRule>
  </conditionalFormatting>
  <conditionalFormatting sqref="G39:Z47">
    <cfRule type="cellIs" dxfId="41" priority="12" operator="equal">
      <formula>0</formula>
    </cfRule>
    <cfRule type="containsBlanks" dxfId="40" priority="13">
      <formula>LEN(TRIM(G39))=0</formula>
    </cfRule>
  </conditionalFormatting>
  <conditionalFormatting sqref="G39:Z47">
    <cfRule type="cellIs" dxfId="39" priority="10" operator="equal">
      <formula>0</formula>
    </cfRule>
    <cfRule type="containsBlanks" dxfId="38" priority="11">
      <formula>LEN(TRIM(G39))=0</formula>
    </cfRule>
  </conditionalFormatting>
  <conditionalFormatting sqref="G39:Z47">
    <cfRule type="notContainsBlanks" dxfId="37" priority="9">
      <formula>LEN(TRIM(G39))&gt;0</formula>
    </cfRule>
  </conditionalFormatting>
  <conditionalFormatting sqref="B33:F47">
    <cfRule type="cellIs" dxfId="36" priority="8" operator="equal">
      <formula>0</formula>
    </cfRule>
  </conditionalFormatting>
  <conditionalFormatting sqref="G7:Z8">
    <cfRule type="cellIs" dxfId="35" priority="7" operator="equal">
      <formula>0</formula>
    </cfRule>
  </conditionalFormatting>
  <conditionalFormatting sqref="C33:C47">
    <cfRule type="cellIs" dxfId="34" priority="6" operator="equal">
      <formula>0</formula>
    </cfRule>
  </conditionalFormatting>
  <conditionalFormatting sqref="D33:D47">
    <cfRule type="cellIs" dxfId="33" priority="5" operator="equal">
      <formula>0</formula>
    </cfRule>
  </conditionalFormatting>
  <conditionalFormatting sqref="B15:F29">
    <cfRule type="cellIs" dxfId="2" priority="4" operator="equal">
      <formula>0</formula>
    </cfRule>
  </conditionalFormatting>
  <conditionalFormatting sqref="C15:C29">
    <cfRule type="cellIs" dxfId="1" priority="3" operator="equal">
      <formula>0</formula>
    </cfRule>
  </conditionalFormatting>
  <conditionalFormatting sqref="D15:D29">
    <cfRule type="cellIs" dxfId="0" priority="2" operator="equal">
      <formula>0</formula>
    </cfRule>
  </conditionalFormatting>
  <conditionalFormatting sqref="G14:Z29">
    <cfRule type="containsBlanks" dxfId="32" priority="1">
      <formula>LEN(TRIM(G14))=0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2025-03-10T16:36:21Z</dcterms:modified>
</cp:coreProperties>
</file>