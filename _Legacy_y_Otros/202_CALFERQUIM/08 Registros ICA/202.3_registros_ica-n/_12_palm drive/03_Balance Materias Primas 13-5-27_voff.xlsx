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2_proyectos\202.3_registros_ica-n\_06-13-5-27\"/>
    </mc:Choice>
  </mc:AlternateContent>
  <xr:revisionPtr revIDLastSave="0" documentId="13_ncr:1_{9EA0D008-7E46-487E-80B2-3EAF8D6C7CF1}" xr6:coauthVersionLast="47" xr6:coauthVersionMax="47" xr10:uidLastSave="{00000000-0000-0000-0000-000000000000}"/>
  <bookViews>
    <workbookView xWindow="4155" yWindow="1440" windowWidth="14490" windowHeight="11295" xr2:uid="{0B55C156-2283-4643-9981-AECFAD0007B0}"/>
  </bookViews>
  <sheets>
    <sheet name="salida" sheetId="1" r:id="rId1"/>
  </sheets>
  <externalReferences>
    <externalReference r:id="rId2"/>
  </externalReferences>
  <definedNames>
    <definedName name="_xlnm.Print_Area" localSheetId="0">salida!$A$1:$J$37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" i="1" l="1"/>
  <c r="D35" i="1"/>
  <c r="C35" i="1"/>
  <c r="B35" i="1"/>
  <c r="H34" i="1"/>
  <c r="D34" i="1"/>
  <c r="C34" i="1"/>
  <c r="B34" i="1"/>
</calcChain>
</file>

<file path=xl/sharedStrings.xml><?xml version="1.0" encoding="utf-8"?>
<sst xmlns="http://schemas.openxmlformats.org/spreadsheetml/2006/main" count="94" uniqueCount="35">
  <si>
    <t>BALANCE DE MATERIAS PRIMAS</t>
  </si>
  <si>
    <t>FORMULACION:</t>
  </si>
  <si>
    <t>CALFERQUIM * 13-5-27</t>
  </si>
  <si>
    <t>MATERIA PRIMA</t>
  </si>
  <si>
    <t>kg / Ton</t>
  </si>
  <si>
    <t>%/100 kg</t>
  </si>
  <si>
    <t>Nitrogeno Total N</t>
  </si>
  <si>
    <t>Nitrogeno amoniacal</t>
  </si>
  <si>
    <t>Nitrogeno ureico</t>
  </si>
  <si>
    <t>Fosforo asimilable P2O5</t>
  </si>
  <si>
    <t>Potasio soluble K2O</t>
  </si>
  <si>
    <t/>
  </si>
  <si>
    <t>ADITIVOS</t>
  </si>
  <si>
    <t>CERTIFICADO DE ANALISIS</t>
  </si>
  <si>
    <t>CONTENIDOS MINIMOS*1</t>
  </si>
  <si>
    <t>1) NPK (Formula sola o en mezcla con micronutrientes)</t>
  </si>
  <si>
    <t>CUMPLE</t>
  </si>
  <si>
    <t>SI</t>
  </si>
  <si>
    <t>*1 Resolución ICA 150 de 2003 ANEXO 11</t>
  </si>
  <si>
    <t>TOLERANCIAS*2</t>
  </si>
  <si>
    <t>Calculo</t>
  </si>
  <si>
    <t>NO</t>
  </si>
  <si>
    <t>Tolerancia permitida</t>
  </si>
  <si>
    <t>*2 NTC 1061:2020 ALCANCE: no aplica para organicos</t>
  </si>
  <si>
    <t xml:space="preserve">*3 NTC 1061:2020 4.1 </t>
  </si>
  <si>
    <t>Tolerancia Mínima NTC</t>
  </si>
  <si>
    <t>SOLICITUD DE REGISTRO ICA</t>
  </si>
  <si>
    <t>Tolerancia Máxima NTC</t>
  </si>
  <si>
    <t>TOTAL CALFERQUIM SAS</t>
  </si>
  <si>
    <t>1) NPK: ¿El contenido está fuera de rango [4%-32%]?*3</t>
  </si>
  <si>
    <t>UREA - NUTRICION PLANTAS</t>
  </si>
  <si>
    <t>MAP - PRECISAGRO</t>
  </si>
  <si>
    <t>KCL - NUTRICION PLANTAS</t>
  </si>
  <si>
    <t>SAM - PRECISAGRO</t>
  </si>
  <si>
    <t>SILICATO DE MAGNESIO - JULIAN SALDARRIAGA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</si>
</sst>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Noto Sans"/>
      <family val="2"/>
    </font>
    <font>
      <sz val="11"/>
      <color theme="1"/>
      <name val="Noto Sans"/>
      <family val="2"/>
    </font>
    <font>
      <b/>
      <sz val="18"/>
      <color theme="1"/>
      <name val="Noto Sans"/>
      <family val="2"/>
    </font>
    <font>
      <b/>
      <sz val="20"/>
      <color theme="1"/>
      <name val="Noto Sans"/>
      <family val="2"/>
    </font>
    <font>
      <b/>
      <sz val="11"/>
      <color theme="1"/>
      <name val="Noto Sans"/>
      <family val="2"/>
    </font>
    <font>
      <sz val="12"/>
      <color theme="1"/>
      <name val="Noto Sans"/>
      <family val="2"/>
    </font>
    <font>
      <b/>
      <sz val="12"/>
      <color theme="1"/>
      <name val="Noto Sans"/>
      <family val="2"/>
    </font>
    <font>
      <sz val="9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FF66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0" fontId="0" fillId="2" borderId="0" xfId="0" applyFill="1"/>
    <xf numFmtId="0" fontId="0" fillId="2" borderId="4" xfId="0" applyFill="1" applyBorder="1" applyAlignment="1">
      <alignment vertical="center"/>
    </xf>
    <xf numFmtId="0" fontId="0" fillId="2" borderId="6" xfId="0" applyFill="1" applyBorder="1"/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0" xfId="0" applyFill="1" applyAlignment="1">
      <alignment horizontal="center"/>
    </xf>
    <xf numFmtId="0" fontId="4" fillId="2" borderId="4" xfId="0" applyFont="1" applyFill="1" applyBorder="1"/>
    <xf numFmtId="0" fontId="4" fillId="3" borderId="7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2" borderId="6" xfId="0" applyFont="1" applyFill="1" applyBorder="1"/>
    <xf numFmtId="0" fontId="4" fillId="2" borderId="0" xfId="0" applyFont="1" applyFill="1"/>
    <xf numFmtId="0" fontId="5" fillId="2" borderId="5" xfId="0" applyFont="1" applyFill="1" applyBorder="1"/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164" fontId="5" fillId="2" borderId="0" xfId="1" applyNumberFormat="1" applyFont="1" applyFill="1" applyBorder="1" applyAlignment="1">
      <alignment horizontal="center" vertical="center"/>
    </xf>
    <xf numFmtId="0" fontId="0" fillId="2" borderId="11" xfId="0" applyFill="1" applyBorder="1"/>
    <xf numFmtId="0" fontId="0" fillId="2" borderId="12" xfId="0" applyFill="1" applyBorder="1" applyAlignment="1">
      <alignment horizontal="center"/>
    </xf>
    <xf numFmtId="0" fontId="0" fillId="2" borderId="13" xfId="0" applyFill="1" applyBorder="1"/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5" xfId="0" applyFill="1" applyBorder="1"/>
    <xf numFmtId="0" fontId="0" fillId="2" borderId="9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4" fillId="2" borderId="18" xfId="0" applyFont="1" applyFill="1" applyBorder="1"/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left"/>
    </xf>
    <xf numFmtId="0" fontId="4" fillId="2" borderId="23" xfId="0" applyFont="1" applyFill="1" applyBorder="1" applyAlignment="1">
      <alignment horizontal="left"/>
    </xf>
    <xf numFmtId="0" fontId="4" fillId="2" borderId="24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0" fillId="2" borderId="22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2" borderId="24" xfId="0" applyFill="1" applyBorder="1" applyAlignment="1">
      <alignment horizontal="left"/>
    </xf>
    <xf numFmtId="164" fontId="0" fillId="2" borderId="23" xfId="0" applyNumberFormat="1" applyFill="1" applyBorder="1" applyAlignment="1">
      <alignment horizontal="center" vertical="center"/>
    </xf>
    <xf numFmtId="0" fontId="0" fillId="2" borderId="23" xfId="0" applyFill="1" applyBorder="1" applyAlignment="1">
      <alignment horizontal="center"/>
    </xf>
    <xf numFmtId="164" fontId="0" fillId="2" borderId="24" xfId="0" applyNumberFormat="1" applyFill="1" applyBorder="1" applyAlignment="1">
      <alignment horizontal="center" vertical="center"/>
    </xf>
    <xf numFmtId="0" fontId="0" fillId="2" borderId="25" xfId="0" applyFill="1" applyBorder="1" applyAlignment="1">
      <alignment horizontal="left"/>
    </xf>
    <xf numFmtId="0" fontId="0" fillId="2" borderId="26" xfId="0" applyFill="1" applyBorder="1" applyAlignment="1">
      <alignment horizontal="left"/>
    </xf>
    <xf numFmtId="0" fontId="0" fillId="2" borderId="27" xfId="0" applyFill="1" applyBorder="1" applyAlignment="1">
      <alignment horizontal="left"/>
    </xf>
    <xf numFmtId="0" fontId="4" fillId="2" borderId="26" xfId="0" applyFon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164" fontId="4" fillId="2" borderId="26" xfId="1" applyNumberFormat="1" applyFont="1" applyFill="1" applyBorder="1" applyAlignment="1">
      <alignment horizontal="center" vertical="center"/>
    </xf>
    <xf numFmtId="164" fontId="4" fillId="2" borderId="27" xfId="1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/>
    </xf>
    <xf numFmtId="10" fontId="0" fillId="2" borderId="23" xfId="1" applyNumberFormat="1" applyFont="1" applyFill="1" applyBorder="1" applyAlignment="1">
      <alignment horizontal="center"/>
    </xf>
    <xf numFmtId="10" fontId="0" fillId="2" borderId="23" xfId="0" applyNumberFormat="1" applyFill="1" applyBorder="1" applyAlignment="1">
      <alignment horizontal="center"/>
    </xf>
    <xf numFmtId="10" fontId="0" fillId="2" borderId="23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left"/>
    </xf>
    <xf numFmtId="0" fontId="0" fillId="2" borderId="28" xfId="0" applyFill="1" applyBorder="1" applyAlignment="1">
      <alignment horizontal="left"/>
    </xf>
    <xf numFmtId="10" fontId="0" fillId="2" borderId="26" xfId="0" applyNumberFormat="1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25" xfId="0" applyFont="1" applyFill="1" applyBorder="1" applyAlignment="1">
      <alignment horizontal="left"/>
    </xf>
    <xf numFmtId="0" fontId="4" fillId="2" borderId="26" xfId="0" applyFont="1" applyFill="1" applyBorder="1" applyAlignment="1">
      <alignment horizontal="left"/>
    </xf>
    <xf numFmtId="164" fontId="0" fillId="2" borderId="26" xfId="0" applyNumberFormat="1" applyFill="1" applyBorder="1" applyAlignment="1">
      <alignment horizontal="center" vertical="center"/>
    </xf>
    <xf numFmtId="0" fontId="0" fillId="2" borderId="29" xfId="0" applyFill="1" applyBorder="1"/>
    <xf numFmtId="0" fontId="0" fillId="2" borderId="30" xfId="0" applyFill="1" applyBorder="1"/>
    <xf numFmtId="0" fontId="0" fillId="2" borderId="30" xfId="0" applyFill="1" applyBorder="1" applyAlignment="1">
      <alignment horizontal="center"/>
    </xf>
    <xf numFmtId="0" fontId="0" fillId="2" borderId="31" xfId="0" applyFill="1" applyBorder="1"/>
    <xf numFmtId="0" fontId="4" fillId="3" borderId="21" xfId="0" applyFont="1" applyFill="1" applyBorder="1" applyAlignment="1">
      <alignment horizontal="center" vertical="center" wrapText="1"/>
    </xf>
    <xf numFmtId="164" fontId="5" fillId="2" borderId="28" xfId="1" applyNumberFormat="1" applyFont="1" applyFill="1" applyBorder="1" applyAlignment="1">
      <alignment horizontal="center" vertic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164" fontId="4" fillId="2" borderId="21" xfId="1" applyNumberFormat="1" applyFont="1" applyFill="1" applyBorder="1" applyAlignment="1">
      <alignment horizontal="center" vertical="center"/>
    </xf>
    <xf numFmtId="10" fontId="0" fillId="2" borderId="24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left"/>
    </xf>
    <xf numFmtId="164" fontId="0" fillId="2" borderId="0" xfId="0" applyNumberFormat="1" applyFill="1" applyBorder="1" applyAlignment="1">
      <alignment horizontal="center" vertical="center"/>
    </xf>
    <xf numFmtId="164" fontId="0" fillId="2" borderId="28" xfId="0" applyNumberFormat="1" applyFill="1" applyBorder="1" applyAlignment="1">
      <alignment horizontal="center" vertical="center"/>
    </xf>
    <xf numFmtId="10" fontId="0" fillId="2" borderId="27" xfId="0" applyNumberFormat="1" applyFill="1" applyBorder="1" applyAlignment="1">
      <alignment horizontal="center"/>
    </xf>
    <xf numFmtId="164" fontId="4" fillId="2" borderId="22" xfId="1" applyNumberFormat="1" applyFont="1" applyFill="1" applyBorder="1" applyAlignment="1">
      <alignment horizontal="center"/>
    </xf>
    <xf numFmtId="164" fontId="2" fillId="2" borderId="5" xfId="1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/>
    </xf>
    <xf numFmtId="164" fontId="2" fillId="2" borderId="0" xfId="0" applyNumberFormat="1" applyFont="1" applyFill="1" applyBorder="1" applyAlignment="1">
      <alignment horizontal="center" vertical="center"/>
    </xf>
    <xf numFmtId="164" fontId="2" fillId="2" borderId="28" xfId="0" applyNumberFormat="1" applyFont="1" applyFill="1" applyBorder="1" applyAlignment="1">
      <alignment horizontal="center" vertical="center"/>
    </xf>
    <xf numFmtId="164" fontId="4" fillId="2" borderId="25" xfId="1" applyNumberFormat="1" applyFont="1" applyFill="1" applyBorder="1" applyAlignment="1">
      <alignment horizontal="center"/>
    </xf>
    <xf numFmtId="164" fontId="0" fillId="2" borderId="27" xfId="0" applyNumberForma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164" fontId="6" fillId="2" borderId="21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2931458</xdr:colOff>
      <xdr:row>0</xdr:row>
      <xdr:rowOff>112057</xdr:rowOff>
    </xdr:from>
    <xdr:ext cx="1646348" cy="941295"/>
    <xdr:pic>
      <xdr:nvPicPr>
        <xdr:cNvPr id="2" name="Picture 1">
          <a:extLst>
            <a:ext uri="{FF2B5EF4-FFF2-40B4-BE49-F238E27FC236}">
              <a16:creationId xmlns:a16="http://schemas.microsoft.com/office/drawing/2014/main" id="{B80FC5AB-29B2-47F6-AFDC-A16A0FF3F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4164" y="112057"/>
          <a:ext cx="1646348" cy="94129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_calferquim/202_proyectos/202.3_registros_ica-n/_02-ferticorrectivo/Balance-materias-primas_ferticorrect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nimos"/>
      <sheetName val="entrada (2)"/>
      <sheetName val="entrada"/>
      <sheetName val="balance materias primas"/>
      <sheetName val="sali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0D5B-D3F6-49F0-9067-C8532CF8BA9E}">
  <sheetPr>
    <pageSetUpPr fitToPage="1"/>
  </sheetPr>
  <dimension ref="A1:J37"/>
  <sheetViews>
    <sheetView tabSelected="1" zoomScale="55" zoomScaleNormal="55" workbookViewId="0">
      <selection activeCell="H25" sqref="H25"/>
    </sheetView>
  </sheetViews>
  <sheetFormatPr baseColWidth="10" defaultColWidth="8.88671875" defaultRowHeight="19.5" x14ac:dyDescent="0.45"/>
  <cols>
    <col min="1" max="1" width="6.77734375" style="5" customWidth="1"/>
    <col min="2" max="2" width="54.77734375" style="5" bestFit="1" customWidth="1"/>
    <col min="3" max="3" width="10.88671875" style="12" customWidth="1"/>
    <col min="4" max="4" width="12.109375" style="12" customWidth="1"/>
    <col min="5" max="5" width="11.21875" style="12" customWidth="1"/>
    <col min="6" max="6" width="12.5546875" style="12" customWidth="1"/>
    <col min="7" max="7" width="14.33203125" style="12" customWidth="1"/>
    <col min="8" max="9" width="11.33203125" style="12" customWidth="1"/>
    <col min="10" max="16384" width="8.88671875" style="5"/>
  </cols>
  <sheetData>
    <row r="1" spans="1:10" ht="20.25" thickBot="1" x14ac:dyDescent="0.5">
      <c r="A1" s="1"/>
      <c r="B1" s="2"/>
      <c r="C1" s="3"/>
      <c r="D1" s="3"/>
      <c r="E1" s="3"/>
      <c r="F1" s="3"/>
      <c r="G1" s="3"/>
      <c r="H1" s="3"/>
      <c r="I1" s="3"/>
      <c r="J1" s="4"/>
    </row>
    <row r="2" spans="1:10" ht="30" customHeight="1" x14ac:dyDescent="0.45">
      <c r="A2" s="6"/>
      <c r="C2" s="94" t="s">
        <v>0</v>
      </c>
      <c r="D2" s="95"/>
      <c r="E2" s="95"/>
      <c r="F2" s="95"/>
      <c r="G2" s="95"/>
      <c r="H2" s="95"/>
      <c r="I2" s="96"/>
      <c r="J2" s="7"/>
    </row>
    <row r="3" spans="1:10" ht="20.25" thickBot="1" x14ac:dyDescent="0.5">
      <c r="A3" s="6"/>
      <c r="C3" s="97"/>
      <c r="D3" s="98"/>
      <c r="E3" s="98"/>
      <c r="F3" s="98"/>
      <c r="G3" s="98"/>
      <c r="H3" s="98"/>
      <c r="I3" s="99"/>
      <c r="J3" s="7"/>
    </row>
    <row r="4" spans="1:10" ht="20.25" thickBot="1" x14ac:dyDescent="0.5">
      <c r="A4" s="8"/>
      <c r="B4" s="9"/>
      <c r="C4" s="9"/>
      <c r="D4" s="9"/>
      <c r="E4" s="9"/>
      <c r="F4" s="9"/>
      <c r="G4" s="9"/>
      <c r="H4" s="9"/>
      <c r="I4" s="9"/>
      <c r="J4" s="7"/>
    </row>
    <row r="5" spans="1:10" ht="34.5" thickBot="1" x14ac:dyDescent="0.5">
      <c r="A5" s="8"/>
      <c r="B5" s="10" t="s">
        <v>1</v>
      </c>
      <c r="C5" s="91" t="s">
        <v>2</v>
      </c>
      <c r="D5" s="92"/>
      <c r="E5" s="92"/>
      <c r="F5" s="92"/>
      <c r="G5" s="92"/>
      <c r="H5" s="92"/>
      <c r="I5" s="93"/>
      <c r="J5" s="7"/>
    </row>
    <row r="6" spans="1:10" ht="20.25" thickBot="1" x14ac:dyDescent="0.5">
      <c r="A6" s="11"/>
      <c r="J6" s="7"/>
    </row>
    <row r="7" spans="1:10" s="18" customFormat="1" ht="59.25" thickBot="1" x14ac:dyDescent="0.5">
      <c r="A7" s="13"/>
      <c r="B7" s="14" t="s">
        <v>3</v>
      </c>
      <c r="C7" s="15" t="s">
        <v>4</v>
      </c>
      <c r="D7" s="15" t="s">
        <v>5</v>
      </c>
      <c r="E7" s="16" t="s">
        <v>6</v>
      </c>
      <c r="F7" s="16" t="s">
        <v>7</v>
      </c>
      <c r="G7" s="16" t="s">
        <v>8</v>
      </c>
      <c r="H7" s="16" t="s">
        <v>9</v>
      </c>
      <c r="I7" s="72" t="s">
        <v>10</v>
      </c>
      <c r="J7" s="17"/>
    </row>
    <row r="8" spans="1:10" ht="20.25" x14ac:dyDescent="0.45">
      <c r="A8" s="11"/>
      <c r="B8" s="19" t="s">
        <v>30</v>
      </c>
      <c r="C8" s="20">
        <v>200</v>
      </c>
      <c r="D8" s="21">
        <v>20</v>
      </c>
      <c r="E8" s="22">
        <v>9.2000000000000012E-2</v>
      </c>
      <c r="F8" s="22" t="s">
        <v>11</v>
      </c>
      <c r="G8" s="22">
        <v>9.2000000000000012E-2</v>
      </c>
      <c r="H8" s="22" t="s">
        <v>11</v>
      </c>
      <c r="I8" s="73" t="s">
        <v>11</v>
      </c>
      <c r="J8" s="7"/>
    </row>
    <row r="9" spans="1:10" ht="20.25" x14ac:dyDescent="0.45">
      <c r="A9" s="11"/>
      <c r="B9" s="19" t="s">
        <v>31</v>
      </c>
      <c r="C9" s="20">
        <v>100</v>
      </c>
      <c r="D9" s="21">
        <v>10</v>
      </c>
      <c r="E9" s="22">
        <v>0.01</v>
      </c>
      <c r="F9" s="22">
        <v>0.01</v>
      </c>
      <c r="G9" s="22" t="s">
        <v>11</v>
      </c>
      <c r="H9" s="22">
        <v>0.05</v>
      </c>
      <c r="I9" s="73" t="s">
        <v>11</v>
      </c>
      <c r="J9" s="7"/>
    </row>
    <row r="10" spans="1:10" ht="20.25" x14ac:dyDescent="0.45">
      <c r="A10" s="11"/>
      <c r="B10" s="19" t="s">
        <v>32</v>
      </c>
      <c r="C10" s="20">
        <v>450</v>
      </c>
      <c r="D10" s="21">
        <v>45</v>
      </c>
      <c r="E10" s="22" t="s">
        <v>11</v>
      </c>
      <c r="F10" s="22" t="s">
        <v>11</v>
      </c>
      <c r="G10" s="22" t="s">
        <v>11</v>
      </c>
      <c r="H10" s="22" t="s">
        <v>11</v>
      </c>
      <c r="I10" s="73">
        <v>0.27</v>
      </c>
      <c r="J10" s="7"/>
    </row>
    <row r="11" spans="1:10" ht="20.25" x14ac:dyDescent="0.45">
      <c r="A11" s="11"/>
      <c r="B11" s="19" t="s">
        <v>33</v>
      </c>
      <c r="C11" s="20">
        <v>150</v>
      </c>
      <c r="D11" s="21">
        <v>15</v>
      </c>
      <c r="E11" s="22">
        <v>3.15E-2</v>
      </c>
      <c r="F11" s="22">
        <v>3.15E-2</v>
      </c>
      <c r="G11" s="22" t="s">
        <v>11</v>
      </c>
      <c r="H11" s="22" t="s">
        <v>11</v>
      </c>
      <c r="I11" s="73" t="s">
        <v>11</v>
      </c>
      <c r="J11" s="7"/>
    </row>
    <row r="12" spans="1:10" x14ac:dyDescent="0.45">
      <c r="A12" s="11"/>
      <c r="B12" s="23" t="s">
        <v>12</v>
      </c>
      <c r="C12" s="24"/>
      <c r="D12" s="24"/>
      <c r="E12" s="24"/>
      <c r="F12" s="24"/>
      <c r="G12" s="24"/>
      <c r="H12" s="24"/>
      <c r="I12" s="74"/>
      <c r="J12" s="7"/>
    </row>
    <row r="13" spans="1:10" x14ac:dyDescent="0.45">
      <c r="A13" s="11"/>
      <c r="B13" s="25" t="s">
        <v>34</v>
      </c>
      <c r="C13" s="26">
        <v>100</v>
      </c>
      <c r="D13" s="27">
        <v>10</v>
      </c>
      <c r="E13" s="28"/>
      <c r="F13" s="28"/>
      <c r="G13" s="28"/>
      <c r="H13" s="28"/>
      <c r="I13" s="75"/>
      <c r="J13" s="7"/>
    </row>
    <row r="14" spans="1:10" ht="20.25" thickBot="1" x14ac:dyDescent="0.5">
      <c r="A14" s="11"/>
      <c r="B14" s="29"/>
      <c r="C14" s="30"/>
      <c r="D14" s="31"/>
      <c r="E14" s="76"/>
      <c r="F14" s="76"/>
      <c r="G14" s="76"/>
      <c r="H14" s="76"/>
      <c r="I14" s="77"/>
      <c r="J14" s="7"/>
    </row>
    <row r="15" spans="1:10" ht="20.25" thickBot="1" x14ac:dyDescent="0.5">
      <c r="A15" s="11"/>
      <c r="B15" s="32" t="s">
        <v>28</v>
      </c>
      <c r="C15" s="33">
        <v>1000</v>
      </c>
      <c r="D15" s="34">
        <v>100</v>
      </c>
      <c r="E15" s="35">
        <v>0.13350000000000001</v>
      </c>
      <c r="F15" s="35">
        <v>4.1500000000000002E-2</v>
      </c>
      <c r="G15" s="35">
        <v>9.2000000000000012E-2</v>
      </c>
      <c r="H15" s="35">
        <v>0.05</v>
      </c>
      <c r="I15" s="78">
        <v>0.27</v>
      </c>
      <c r="J15" s="7"/>
    </row>
    <row r="16" spans="1:10" ht="20.25" thickBot="1" x14ac:dyDescent="0.5">
      <c r="A16" s="11"/>
      <c r="B16" s="5" t="s">
        <v>11</v>
      </c>
      <c r="C16" s="12" t="s">
        <v>11</v>
      </c>
      <c r="D16" s="12" t="s">
        <v>11</v>
      </c>
      <c r="J16" s="7"/>
    </row>
    <row r="17" spans="1:10" ht="21" thickBot="1" x14ac:dyDescent="0.5">
      <c r="A17" s="11"/>
      <c r="B17" s="32" t="s">
        <v>13</v>
      </c>
      <c r="C17" s="36" t="s">
        <v>11</v>
      </c>
      <c r="D17" s="37" t="s">
        <v>11</v>
      </c>
      <c r="E17" s="38">
        <v>0.13389999999999999</v>
      </c>
      <c r="F17" s="38">
        <v>4.58E-2</v>
      </c>
      <c r="G17" s="38">
        <v>8.8099999999999998E-2</v>
      </c>
      <c r="H17" s="38">
        <v>5.2600000000000001E-2</v>
      </c>
      <c r="I17" s="100">
        <v>0.2752</v>
      </c>
      <c r="J17" s="7"/>
    </row>
    <row r="18" spans="1:10" ht="20.25" thickBot="1" x14ac:dyDescent="0.5">
      <c r="A18" s="11"/>
      <c r="B18" s="5" t="s">
        <v>11</v>
      </c>
      <c r="C18" s="12" t="s">
        <v>11</v>
      </c>
      <c r="D18" s="12" t="s">
        <v>11</v>
      </c>
      <c r="H18" s="12" t="s">
        <v>11</v>
      </c>
      <c r="J18" s="7"/>
    </row>
    <row r="19" spans="1:10" ht="20.25" thickBot="1" x14ac:dyDescent="0.5">
      <c r="A19" s="11"/>
      <c r="B19" s="39" t="s">
        <v>14</v>
      </c>
      <c r="C19" s="40"/>
      <c r="D19" s="41"/>
      <c r="E19" s="42"/>
      <c r="F19" s="42"/>
      <c r="G19" s="42"/>
      <c r="H19" s="9" t="s">
        <v>11</v>
      </c>
      <c r="I19" s="9"/>
      <c r="J19" s="7"/>
    </row>
    <row r="20" spans="1:10" x14ac:dyDescent="0.45">
      <c r="A20" s="11"/>
      <c r="B20" s="43" t="s">
        <v>15</v>
      </c>
      <c r="C20" s="44"/>
      <c r="D20" s="45"/>
      <c r="E20" s="46">
        <v>0.03</v>
      </c>
      <c r="F20" s="47"/>
      <c r="G20" s="47"/>
      <c r="H20" s="46">
        <v>0.03</v>
      </c>
      <c r="I20" s="48">
        <v>0.03</v>
      </c>
      <c r="J20" s="7"/>
    </row>
    <row r="21" spans="1:10" ht="20.25" thickBot="1" x14ac:dyDescent="0.5">
      <c r="A21" s="11"/>
      <c r="B21" s="49" t="s">
        <v>16</v>
      </c>
      <c r="C21" s="50" t="s">
        <v>11</v>
      </c>
      <c r="D21" s="51" t="s">
        <v>11</v>
      </c>
      <c r="E21" s="52" t="s">
        <v>17</v>
      </c>
      <c r="F21" s="53"/>
      <c r="G21" s="53"/>
      <c r="H21" s="54" t="s">
        <v>17</v>
      </c>
      <c r="I21" s="55" t="s">
        <v>17</v>
      </c>
      <c r="J21" s="7"/>
    </row>
    <row r="22" spans="1:10" x14ac:dyDescent="0.45">
      <c r="A22" s="11"/>
      <c r="B22" s="56" t="s">
        <v>18</v>
      </c>
      <c r="C22" s="56" t="s">
        <v>11</v>
      </c>
      <c r="D22" s="56" t="s">
        <v>11</v>
      </c>
      <c r="E22" s="56"/>
      <c r="F22" s="56"/>
      <c r="G22" s="56"/>
      <c r="H22" s="9" t="s">
        <v>11</v>
      </c>
      <c r="I22" s="9"/>
      <c r="J22" s="7"/>
    </row>
    <row r="23" spans="1:10" ht="20.25" thickBot="1" x14ac:dyDescent="0.5">
      <c r="A23" s="11"/>
      <c r="B23" s="5" t="s">
        <v>11</v>
      </c>
      <c r="C23" s="12" t="s">
        <v>11</v>
      </c>
      <c r="D23" s="12" t="s">
        <v>11</v>
      </c>
      <c r="H23" s="12" t="s">
        <v>11</v>
      </c>
      <c r="J23" s="7"/>
    </row>
    <row r="24" spans="1:10" ht="20.25" thickBot="1" x14ac:dyDescent="0.5">
      <c r="A24" s="11"/>
      <c r="B24" s="39" t="s">
        <v>19</v>
      </c>
      <c r="C24" s="40" t="s">
        <v>11</v>
      </c>
      <c r="D24" s="41" t="s">
        <v>11</v>
      </c>
      <c r="E24" s="42"/>
      <c r="F24" s="42"/>
      <c r="G24" s="42"/>
      <c r="H24" s="9" t="s">
        <v>11</v>
      </c>
      <c r="I24" s="9"/>
      <c r="J24" s="7"/>
    </row>
    <row r="25" spans="1:10" x14ac:dyDescent="0.45">
      <c r="A25" s="11"/>
      <c r="B25" s="43" t="s">
        <v>20</v>
      </c>
      <c r="C25" s="44" t="s">
        <v>11</v>
      </c>
      <c r="D25" s="45" t="s">
        <v>11</v>
      </c>
      <c r="E25" s="57">
        <v>1.1211137500000001E-2</v>
      </c>
      <c r="F25" s="58"/>
      <c r="G25" s="58"/>
      <c r="H25" s="59">
        <v>8.4730000000000014E-3</v>
      </c>
      <c r="I25" s="79">
        <v>1.9600999999999997E-2</v>
      </c>
      <c r="J25" s="7"/>
    </row>
    <row r="26" spans="1:10" x14ac:dyDescent="0.45">
      <c r="A26" s="11"/>
      <c r="B26" s="60" t="s">
        <v>29</v>
      </c>
      <c r="C26" s="80" t="s">
        <v>11</v>
      </c>
      <c r="D26" s="61" t="s">
        <v>11</v>
      </c>
      <c r="E26" s="76" t="s">
        <v>21</v>
      </c>
      <c r="F26" s="76"/>
      <c r="G26" s="76"/>
      <c r="H26" s="81" t="s">
        <v>21</v>
      </c>
      <c r="I26" s="82" t="s">
        <v>21</v>
      </c>
      <c r="J26" s="7"/>
    </row>
    <row r="27" spans="1:10" ht="20.25" thickBot="1" x14ac:dyDescent="0.5">
      <c r="A27" s="11"/>
      <c r="B27" s="49" t="s">
        <v>22</v>
      </c>
      <c r="C27" s="50" t="s">
        <v>11</v>
      </c>
      <c r="D27" s="51" t="s">
        <v>11</v>
      </c>
      <c r="E27" s="62">
        <v>1.1211137500000001E-2</v>
      </c>
      <c r="F27" s="53"/>
      <c r="G27" s="53"/>
      <c r="H27" s="62">
        <v>8.4730000000000014E-3</v>
      </c>
      <c r="I27" s="83">
        <v>1.9600999999999997E-2</v>
      </c>
      <c r="J27" s="7"/>
    </row>
    <row r="28" spans="1:10" x14ac:dyDescent="0.45">
      <c r="A28" s="11"/>
      <c r="B28" s="56" t="s">
        <v>23</v>
      </c>
      <c r="C28" s="56" t="s">
        <v>11</v>
      </c>
      <c r="D28" s="56" t="s">
        <v>11</v>
      </c>
      <c r="E28" s="56"/>
      <c r="F28" s="56"/>
      <c r="G28" s="56"/>
      <c r="H28" s="9" t="s">
        <v>11</v>
      </c>
      <c r="I28" s="9"/>
      <c r="J28" s="7"/>
    </row>
    <row r="29" spans="1:10" x14ac:dyDescent="0.45">
      <c r="A29" s="11"/>
      <c r="B29" s="56" t="s">
        <v>24</v>
      </c>
      <c r="C29" s="56" t="s">
        <v>11</v>
      </c>
      <c r="D29" s="56" t="s">
        <v>11</v>
      </c>
      <c r="E29" s="56"/>
      <c r="F29" s="56"/>
      <c r="G29" s="56"/>
      <c r="H29" s="9" t="s">
        <v>11</v>
      </c>
      <c r="I29" s="9"/>
      <c r="J29" s="7"/>
    </row>
    <row r="30" spans="1:10" ht="20.25" thickBot="1" x14ac:dyDescent="0.5">
      <c r="A30" s="11"/>
      <c r="B30" s="5" t="s">
        <v>11</v>
      </c>
      <c r="C30" s="12" t="s">
        <v>11</v>
      </c>
      <c r="D30" s="12" t="s">
        <v>11</v>
      </c>
      <c r="H30" s="9" t="s">
        <v>11</v>
      </c>
      <c r="I30" s="9"/>
      <c r="J30" s="7"/>
    </row>
    <row r="31" spans="1:10" x14ac:dyDescent="0.45">
      <c r="A31" s="11"/>
      <c r="B31" s="39" t="s">
        <v>25</v>
      </c>
      <c r="C31" s="40" t="s">
        <v>11</v>
      </c>
      <c r="D31" s="40" t="s">
        <v>11</v>
      </c>
      <c r="E31" s="84">
        <v>0.1188445625</v>
      </c>
      <c r="F31" s="40"/>
      <c r="G31" s="40"/>
      <c r="H31" s="46">
        <v>4.1527000000000001E-2</v>
      </c>
      <c r="I31" s="48">
        <v>0.25039900000000004</v>
      </c>
      <c r="J31" s="7"/>
    </row>
    <row r="32" spans="1:10" ht="30" x14ac:dyDescent="0.65">
      <c r="A32" s="11"/>
      <c r="B32" s="63" t="s">
        <v>26</v>
      </c>
      <c r="C32" s="64" t="s">
        <v>11</v>
      </c>
      <c r="D32" s="64" t="s">
        <v>11</v>
      </c>
      <c r="E32" s="85">
        <v>0.13</v>
      </c>
      <c r="F32" s="86"/>
      <c r="G32" s="86"/>
      <c r="H32" s="87">
        <v>0.05</v>
      </c>
      <c r="I32" s="88">
        <v>0.27</v>
      </c>
      <c r="J32" s="7"/>
    </row>
    <row r="33" spans="1:10" ht="20.25" thickBot="1" x14ac:dyDescent="0.5">
      <c r="A33" s="11"/>
      <c r="B33" s="65" t="s">
        <v>27</v>
      </c>
      <c r="C33" s="66" t="s">
        <v>11</v>
      </c>
      <c r="D33" s="66" t="s">
        <v>11</v>
      </c>
      <c r="E33" s="89">
        <v>0.14115543750000001</v>
      </c>
      <c r="F33" s="66"/>
      <c r="G33" s="66"/>
      <c r="H33" s="67">
        <v>5.8473000000000004E-2</v>
      </c>
      <c r="I33" s="90">
        <v>0.289601</v>
      </c>
      <c r="J33" s="7"/>
    </row>
    <row r="34" spans="1:10" x14ac:dyDescent="0.45">
      <c r="A34" s="11"/>
      <c r="B34" s="5" t="str">
        <f>IF(OR([1]entrada!B44=0,[1]entrada!B44=""),"",[1]entrada!B44)</f>
        <v/>
      </c>
      <c r="C34" s="12" t="str">
        <f>IF(OR([1]entrada!C44=0,[1]entrada!C44=""),"",[1]entrada!C44)</f>
        <v/>
      </c>
      <c r="D34" s="12" t="str">
        <f>IF(OR([1]entrada!D44=0,[1]entrada!D44=""),"",[1]entrada!D44)</f>
        <v/>
      </c>
      <c r="H34" s="12" t="str">
        <f>IF(OR([1]entrada!K44=0,[1]entrada!K44=""),"",[1]entrada!K44)</f>
        <v/>
      </c>
      <c r="J34" s="7"/>
    </row>
    <row r="35" spans="1:10" x14ac:dyDescent="0.45">
      <c r="A35" s="11"/>
      <c r="B35" s="5" t="str">
        <f>IF(OR([1]entrada!B47=0,[1]entrada!B47=""),"",[1]entrada!B47)</f>
        <v/>
      </c>
      <c r="C35" s="12" t="str">
        <f>IF(OR([1]entrada!C47=0,[1]entrada!C47=""),"",[1]entrada!C47)</f>
        <v/>
      </c>
      <c r="D35" s="12" t="str">
        <f>IF(OR([1]entrada!D47=0,[1]entrada!D47=""),"",[1]entrada!D47)</f>
        <v/>
      </c>
      <c r="H35" s="12" t="str">
        <f>IF(OR([1]entrada!K47=0,[1]entrada!K47=""),"",[1]entrada!K47)</f>
        <v/>
      </c>
      <c r="J35" s="7"/>
    </row>
    <row r="36" spans="1:10" x14ac:dyDescent="0.45">
      <c r="A36" s="11"/>
      <c r="J36" s="7"/>
    </row>
    <row r="37" spans="1:10" x14ac:dyDescent="0.45">
      <c r="A37" s="68"/>
      <c r="B37" s="69"/>
      <c r="C37" s="70"/>
      <c r="D37" s="70"/>
      <c r="E37" s="70"/>
      <c r="F37" s="70"/>
      <c r="G37" s="70"/>
      <c r="H37" s="70"/>
      <c r="I37" s="70"/>
      <c r="J37" s="71"/>
    </row>
  </sheetData>
  <mergeCells count="2">
    <mergeCell ref="C5:I5"/>
    <mergeCell ref="C2:I3"/>
  </mergeCells>
  <conditionalFormatting sqref="B12:B14 B15:D15 B8:D11">
    <cfRule type="notContainsBlanks" dxfId="4" priority="5">
      <formula>LEN(TRIM(B8))&gt;0</formula>
    </cfRule>
  </conditionalFormatting>
  <conditionalFormatting sqref="E8:I11">
    <cfRule type="containsBlanks" dxfId="3" priority="3">
      <formula>LEN(TRIM(E8))=0</formula>
    </cfRule>
    <cfRule type="notContainsBlanks" dxfId="2" priority="4">
      <formula>LEN(TRIM(E8))&gt;0</formula>
    </cfRule>
  </conditionalFormatting>
  <conditionalFormatting sqref="E20:I21 E25:I27">
    <cfRule type="containsBlanks" dxfId="1" priority="2">
      <formula>LEN(TRIM(E20))=0</formula>
    </cfRule>
  </conditionalFormatting>
  <conditionalFormatting sqref="E31:I33">
    <cfRule type="containsBlanks" dxfId="0" priority="1">
      <formula>LEN(TRIM(E31))=0</formula>
    </cfRule>
  </conditionalFormatting>
  <pageMargins left="0.7" right="0.7" top="0.75" bottom="0.75" header="0.3" footer="0.3"/>
  <pageSetup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salida</vt:lpstr>
      <vt:lpstr>salida!Área_de_impresión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2025-03-29T15:11:11Z</dcterms:created>
  <dcterms:modified xsi:type="dcterms:W3CDTF">2025-03-29T17:58:17Z</dcterms:modified>
</cp:coreProperties>
</file>