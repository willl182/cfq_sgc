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BA1A9627-8D82-40F9-A6F3-48A748A22E17}" xr6:coauthVersionLast="47" xr6:coauthVersionMax="47" xr10:uidLastSave="{00000000-0000-0000-0000-000000000000}"/>
  <bookViews>
    <workbookView xWindow="-120" yWindow="-120" windowWidth="29040" windowHeight="15720" firstSheet="1" activeTab="3" xr2:uid="{7A9F012D-6F37-47A5-AC75-9A96A3A822E5}"/>
  </bookViews>
  <sheets>
    <sheet name="tolerancias" sheetId="8" state="hidden" r:id="rId1"/>
    <sheet name="entrada" sheetId="1" r:id="rId2"/>
    <sheet name="balance materias primas" sheetId="9" r:id="rId3"/>
    <sheet name="salida" sheetId="10" r:id="rId4"/>
  </sheets>
  <definedNames>
    <definedName name="_xlnm.Print_Area" localSheetId="2">'balance materias primas'!$A$1:$Z$43</definedName>
    <definedName name="_xlnm.Print_Area" localSheetId="3">salida!$A$1:$N$44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17" i="1"/>
  <c r="F18" i="1"/>
  <c r="F16" i="1"/>
  <c r="X19" i="1"/>
  <c r="V19" i="1"/>
  <c r="U19" i="1"/>
  <c r="T19" i="1"/>
  <c r="S19" i="1"/>
  <c r="R19" i="1"/>
  <c r="Q19" i="1"/>
  <c r="P19" i="1"/>
  <c r="L19" i="1"/>
  <c r="K19" i="1"/>
  <c r="J19" i="1"/>
  <c r="I19" i="1"/>
  <c r="H19" i="1"/>
  <c r="G19" i="1"/>
  <c r="X17" i="1"/>
  <c r="W17" i="1"/>
  <c r="U17" i="1"/>
  <c r="T17" i="1"/>
  <c r="S17" i="1"/>
  <c r="R17" i="1"/>
  <c r="Q17" i="1"/>
  <c r="P17" i="1"/>
  <c r="O17" i="1"/>
  <c r="J17" i="1"/>
  <c r="I17" i="1"/>
  <c r="H17" i="1"/>
  <c r="G17" i="1"/>
  <c r="X15" i="1"/>
  <c r="W15" i="1"/>
  <c r="U15" i="1"/>
  <c r="T15" i="1"/>
  <c r="S15" i="1"/>
  <c r="R15" i="1"/>
  <c r="Q15" i="1"/>
  <c r="P15" i="1"/>
  <c r="O15" i="1"/>
  <c r="L15" i="1"/>
  <c r="J15" i="1"/>
  <c r="I15" i="1"/>
  <c r="H15" i="1"/>
  <c r="G15" i="1"/>
  <c r="X18" i="1"/>
  <c r="W18" i="1"/>
  <c r="U18" i="1"/>
  <c r="T18" i="1"/>
  <c r="S18" i="1"/>
  <c r="R18" i="1"/>
  <c r="Q18" i="1"/>
  <c r="P18" i="1"/>
  <c r="O18" i="1"/>
  <c r="J18" i="1"/>
  <c r="I18" i="1"/>
  <c r="H18" i="1"/>
  <c r="G18" i="1"/>
  <c r="E19" i="1"/>
  <c r="E17" i="1"/>
  <c r="E15" i="1"/>
  <c r="E18" i="1"/>
  <c r="X16" i="1"/>
  <c r="W16" i="1"/>
  <c r="U16" i="1"/>
  <c r="T16" i="1"/>
  <c r="S16" i="1"/>
  <c r="R16" i="1"/>
  <c r="Q16" i="1"/>
  <c r="P16" i="1"/>
  <c r="L16" i="1"/>
  <c r="K16" i="1"/>
  <c r="J16" i="1"/>
  <c r="I16" i="1"/>
  <c r="H16" i="1"/>
  <c r="G16" i="1"/>
  <c r="E16" i="1"/>
  <c r="P21" i="1" l="1"/>
  <c r="Q21" i="1"/>
  <c r="J18" i="10" s="1"/>
  <c r="F15" i="1"/>
  <c r="F21" i="1" s="1"/>
  <c r="G21" i="1"/>
  <c r="R21" i="1"/>
  <c r="H21" i="1"/>
  <c r="S21" i="1"/>
  <c r="I21" i="1"/>
  <c r="T21" i="1"/>
  <c r="J21" i="1"/>
  <c r="U21" i="1"/>
  <c r="X21" i="1"/>
  <c r="D19" i="1"/>
  <c r="D17" i="1"/>
  <c r="D15" i="1"/>
  <c r="D18" i="1"/>
  <c r="D16" i="1"/>
  <c r="M42" i="10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E32" i="10"/>
  <c r="D32" i="10"/>
  <c r="C32" i="10"/>
  <c r="B32" i="10"/>
  <c r="L31" i="10"/>
  <c r="D31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D18" i="10"/>
  <c r="B18" i="10"/>
  <c r="C13" i="10"/>
  <c r="B13" i="10"/>
  <c r="C12" i="10"/>
  <c r="B12" i="10"/>
  <c r="C11" i="10"/>
  <c r="B11" i="10"/>
  <c r="C10" i="10"/>
  <c r="B10" i="10"/>
  <c r="C9" i="10"/>
  <c r="B9" i="10"/>
  <c r="M8" i="10"/>
  <c r="K8" i="10"/>
  <c r="J8" i="10"/>
  <c r="I8" i="10"/>
  <c r="H8" i="10"/>
  <c r="G8" i="10"/>
  <c r="E8" i="10"/>
  <c r="D8" i="10"/>
  <c r="C8" i="10"/>
  <c r="B8" i="10"/>
  <c r="C18" i="9"/>
  <c r="D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40" i="9"/>
  <c r="E41" i="9"/>
  <c r="C19" i="9"/>
  <c r="D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C20" i="9"/>
  <c r="D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M22" i="9"/>
  <c r="N22" i="9"/>
  <c r="O22" i="9"/>
  <c r="P22" i="9"/>
  <c r="Q22" i="9"/>
  <c r="R22" i="9"/>
  <c r="S22" i="9"/>
  <c r="T22" i="9"/>
  <c r="U22" i="9"/>
  <c r="V22" i="9"/>
  <c r="W22" i="9"/>
  <c r="X22" i="9"/>
  <c r="C23" i="9"/>
  <c r="D23" i="9"/>
  <c r="F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F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X25" i="9"/>
  <c r="C26" i="9"/>
  <c r="D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G29" i="9"/>
  <c r="H29" i="9"/>
  <c r="I29" i="9"/>
  <c r="J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I30" i="9"/>
  <c r="V30" i="9"/>
  <c r="C31" i="9"/>
  <c r="D31" i="9"/>
  <c r="F31" i="9"/>
  <c r="K31" i="9"/>
  <c r="L31" i="9"/>
  <c r="C32" i="9"/>
  <c r="D32" i="9"/>
  <c r="G32" i="9"/>
  <c r="H32" i="9"/>
  <c r="I32" i="9"/>
  <c r="J32" i="9"/>
  <c r="C33" i="9"/>
  <c r="D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C34" i="9"/>
  <c r="D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C38" i="9"/>
  <c r="D38" i="9"/>
  <c r="C39" i="9"/>
  <c r="D39" i="9"/>
  <c r="C40" i="9"/>
  <c r="D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C41" i="9"/>
  <c r="D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9" i="9"/>
  <c r="B40" i="9"/>
  <c r="B41" i="9"/>
  <c r="B18" i="9"/>
  <c r="B19" i="9"/>
  <c r="C8" i="9"/>
  <c r="D8" i="9"/>
  <c r="F8" i="9"/>
  <c r="G8" i="9"/>
  <c r="H8" i="9"/>
  <c r="I8" i="9"/>
  <c r="J8" i="9"/>
  <c r="L8" i="9"/>
  <c r="N8" i="9"/>
  <c r="O8" i="9"/>
  <c r="P8" i="9"/>
  <c r="Q8" i="9"/>
  <c r="R8" i="9"/>
  <c r="S8" i="9"/>
  <c r="T8" i="9"/>
  <c r="U8" i="9"/>
  <c r="W8" i="9"/>
  <c r="X8" i="9"/>
  <c r="E8" i="9"/>
  <c r="C9" i="9"/>
  <c r="C10" i="9"/>
  <c r="C11" i="9"/>
  <c r="C12" i="9"/>
  <c r="C13" i="9"/>
  <c r="D17" i="9"/>
  <c r="B9" i="9"/>
  <c r="B10" i="9"/>
  <c r="B11" i="9"/>
  <c r="B12" i="9"/>
  <c r="B13" i="9"/>
  <c r="B17" i="9"/>
  <c r="B8" i="9"/>
  <c r="E43" i="1"/>
  <c r="E39" i="9" s="1"/>
  <c r="E41" i="1"/>
  <c r="E37" i="9" s="1"/>
  <c r="V43" i="1"/>
  <c r="V41" i="1"/>
  <c r="V37" i="9" s="1"/>
  <c r="V36" i="1"/>
  <c r="V35" i="1"/>
  <c r="L32" i="10" s="1"/>
  <c r="Q34" i="1"/>
  <c r="Q35" i="1"/>
  <c r="J32" i="10" s="1"/>
  <c r="Q29" i="1"/>
  <c r="Q17" i="9" l="1"/>
  <c r="Q36" i="1"/>
  <c r="Q43" i="1"/>
  <c r="J40" i="10" s="1"/>
  <c r="Q41" i="1"/>
  <c r="J38" i="10" s="1"/>
  <c r="Q42" i="1"/>
  <c r="J39" i="10" s="1"/>
  <c r="V31" i="9"/>
  <c r="L38" i="10"/>
  <c r="J33" i="10"/>
  <c r="Q32" i="9"/>
  <c r="J31" i="10"/>
  <c r="Q30" i="9"/>
  <c r="V32" i="9"/>
  <c r="L33" i="10"/>
  <c r="J26" i="10"/>
  <c r="Q25" i="9"/>
  <c r="Q38" i="9"/>
  <c r="L40" i="10"/>
  <c r="V39" i="9"/>
  <c r="Q31" i="9"/>
  <c r="B42" i="1"/>
  <c r="C20" i="1"/>
  <c r="D10" i="1"/>
  <c r="D8" i="1"/>
  <c r="L17" i="1" s="1"/>
  <c r="D6" i="1"/>
  <c r="D9" i="1"/>
  <c r="N17" i="1" s="1"/>
  <c r="C11" i="1"/>
  <c r="D7" i="1"/>
  <c r="Q39" i="9" l="1"/>
  <c r="Q37" i="9"/>
  <c r="V16" i="1"/>
  <c r="M18" i="1"/>
  <c r="N15" i="1"/>
  <c r="K15" i="1"/>
  <c r="L18" i="1"/>
  <c r="L21" i="1" s="1"/>
  <c r="K18" i="1"/>
  <c r="J11" i="9"/>
  <c r="V15" i="1"/>
  <c r="M15" i="1"/>
  <c r="H12" i="9"/>
  <c r="V17" i="1"/>
  <c r="M17" i="1"/>
  <c r="K17" i="1"/>
  <c r="J10" i="9"/>
  <c r="V18" i="1"/>
  <c r="N18" i="1"/>
  <c r="J13" i="9"/>
  <c r="M19" i="1"/>
  <c r="W19" i="1"/>
  <c r="W21" i="1" s="1"/>
  <c r="O19" i="1"/>
  <c r="N19" i="1"/>
  <c r="E9" i="9"/>
  <c r="O16" i="1"/>
  <c r="N16" i="1"/>
  <c r="M16" i="1"/>
  <c r="D10" i="10"/>
  <c r="D10" i="9"/>
  <c r="D11" i="10"/>
  <c r="D11" i="9"/>
  <c r="D12" i="10"/>
  <c r="D12" i="9"/>
  <c r="C17" i="9"/>
  <c r="C18" i="10"/>
  <c r="D9" i="10"/>
  <c r="D9" i="9"/>
  <c r="D13" i="10"/>
  <c r="D13" i="9"/>
  <c r="B39" i="10"/>
  <c r="B38" i="9"/>
  <c r="G11" i="9"/>
  <c r="H11" i="9"/>
  <c r="S11" i="9"/>
  <c r="G10" i="9"/>
  <c r="E13" i="9"/>
  <c r="G13" i="9"/>
  <c r="H13" i="9"/>
  <c r="E10" i="9"/>
  <c r="H10" i="9"/>
  <c r="I10" i="9"/>
  <c r="H9" i="9"/>
  <c r="J9" i="9"/>
  <c r="I13" i="9"/>
  <c r="I9" i="9"/>
  <c r="G9" i="9"/>
  <c r="I12" i="9"/>
  <c r="J12" i="9"/>
  <c r="G12" i="9"/>
  <c r="X12" i="9"/>
  <c r="T9" i="9"/>
  <c r="K10" i="9"/>
  <c r="S10" i="9"/>
  <c r="T11" i="9"/>
  <c r="X11" i="9"/>
  <c r="U11" i="9"/>
  <c r="E11" i="9"/>
  <c r="E12" i="9"/>
  <c r="U12" i="9"/>
  <c r="U9" i="9"/>
  <c r="K13" i="9"/>
  <c r="T10" i="9"/>
  <c r="X10" i="9"/>
  <c r="T13" i="9"/>
  <c r="X13" i="9"/>
  <c r="S13" i="9"/>
  <c r="K9" i="9"/>
  <c r="S9" i="9"/>
  <c r="U10" i="9"/>
  <c r="U13" i="9"/>
  <c r="S12" i="9"/>
  <c r="T12" i="9"/>
  <c r="X9" i="9"/>
  <c r="K12" i="9" l="1"/>
  <c r="K8" i="9"/>
  <c r="K21" i="1"/>
  <c r="N21" i="1"/>
  <c r="M21" i="1"/>
  <c r="V21" i="1"/>
  <c r="O21" i="1"/>
  <c r="L8" i="10"/>
  <c r="V8" i="9"/>
  <c r="K11" i="9"/>
  <c r="M8" i="9"/>
  <c r="F8" i="10"/>
  <c r="E9" i="10"/>
  <c r="L9" i="9"/>
  <c r="M11" i="10"/>
  <c r="W11" i="9"/>
  <c r="G10" i="10"/>
  <c r="N10" i="9"/>
  <c r="L13" i="10"/>
  <c r="V13" i="9"/>
  <c r="F11" i="9"/>
  <c r="I11" i="9"/>
  <c r="I12" i="10"/>
  <c r="P12" i="9"/>
  <c r="H12" i="10"/>
  <c r="O12" i="9"/>
  <c r="G12" i="10"/>
  <c r="N12" i="9"/>
  <c r="H9" i="10"/>
  <c r="O9" i="9"/>
  <c r="E13" i="10"/>
  <c r="L13" i="9"/>
  <c r="E10" i="10"/>
  <c r="L10" i="9"/>
  <c r="M13" i="10"/>
  <c r="W13" i="9"/>
  <c r="J12" i="10"/>
  <c r="Q12" i="9"/>
  <c r="L10" i="10"/>
  <c r="V10" i="9"/>
  <c r="R10" i="9"/>
  <c r="K10" i="10"/>
  <c r="Q13" i="9"/>
  <c r="J13" i="10"/>
  <c r="L9" i="10"/>
  <c r="V9" i="9"/>
  <c r="L12" i="10"/>
  <c r="V12" i="9"/>
  <c r="K9" i="10"/>
  <c r="R9" i="9"/>
  <c r="Q11" i="9"/>
  <c r="J11" i="10"/>
  <c r="I11" i="10"/>
  <c r="P11" i="9"/>
  <c r="M10" i="10"/>
  <c r="W10" i="9"/>
  <c r="J10" i="10"/>
  <c r="Q10" i="9"/>
  <c r="Q9" i="9"/>
  <c r="J9" i="10"/>
  <c r="K13" i="10"/>
  <c r="R13" i="9"/>
  <c r="N11" i="9"/>
  <c r="G11" i="10"/>
  <c r="E12" i="10"/>
  <c r="L12" i="9"/>
  <c r="M10" i="9"/>
  <c r="F10" i="10"/>
  <c r="M12" i="10"/>
  <c r="W12" i="9"/>
  <c r="F13" i="10"/>
  <c r="M13" i="9"/>
  <c r="M9" i="10"/>
  <c r="W9" i="9"/>
  <c r="I9" i="10"/>
  <c r="P9" i="9"/>
  <c r="F12" i="10"/>
  <c r="M12" i="9"/>
  <c r="R12" i="9"/>
  <c r="K12" i="10"/>
  <c r="H13" i="10"/>
  <c r="O13" i="9"/>
  <c r="I13" i="10"/>
  <c r="P13" i="9"/>
  <c r="I10" i="10"/>
  <c r="P10" i="9"/>
  <c r="N9" i="9"/>
  <c r="G9" i="10"/>
  <c r="M9" i="9"/>
  <c r="F9" i="10"/>
  <c r="G13" i="10"/>
  <c r="N13" i="9"/>
  <c r="R11" i="9"/>
  <c r="K11" i="10"/>
  <c r="M11" i="9"/>
  <c r="F11" i="10"/>
  <c r="E11" i="10"/>
  <c r="L11" i="9"/>
  <c r="H11" i="10"/>
  <c r="O11" i="9"/>
  <c r="H10" i="10"/>
  <c r="O10" i="9"/>
  <c r="L11" i="10"/>
  <c r="V11" i="9"/>
  <c r="F13" i="9"/>
  <c r="F10" i="9"/>
  <c r="I17" i="9"/>
  <c r="H17" i="9"/>
  <c r="E21" i="1"/>
  <c r="S17" i="9"/>
  <c r="T17" i="9"/>
  <c r="F12" i="9"/>
  <c r="K17" i="9"/>
  <c r="F9" i="9"/>
  <c r="J17" i="9"/>
  <c r="X17" i="9"/>
  <c r="U17" i="9"/>
  <c r="G17" i="9"/>
  <c r="M42" i="1" l="1"/>
  <c r="M17" i="9"/>
  <c r="F18" i="10"/>
  <c r="M34" i="1"/>
  <c r="M36" i="1" s="1"/>
  <c r="R17" i="9"/>
  <c r="K18" i="10"/>
  <c r="G18" i="10"/>
  <c r="N17" i="9"/>
  <c r="M18" i="10"/>
  <c r="W17" i="9"/>
  <c r="L18" i="10"/>
  <c r="V17" i="9"/>
  <c r="H18" i="10"/>
  <c r="O17" i="9"/>
  <c r="I18" i="10"/>
  <c r="P17" i="9"/>
  <c r="E42" i="1"/>
  <c r="E38" i="9" s="1"/>
  <c r="E17" i="9"/>
  <c r="E18" i="10"/>
  <c r="L17" i="9"/>
  <c r="U29" i="1"/>
  <c r="U25" i="9" s="1"/>
  <c r="U42" i="1"/>
  <c r="U38" i="9" s="1"/>
  <c r="U35" i="1"/>
  <c r="U31" i="9" s="1"/>
  <c r="U41" i="1"/>
  <c r="U37" i="9" s="1"/>
  <c r="U43" i="1"/>
  <c r="U39" i="9" s="1"/>
  <c r="U34" i="1"/>
  <c r="U30" i="9" s="1"/>
  <c r="U36" i="1"/>
  <c r="U32" i="9" s="1"/>
  <c r="J42" i="1"/>
  <c r="J43" i="1"/>
  <c r="J41" i="1"/>
  <c r="R29" i="1"/>
  <c r="R43" i="1"/>
  <c r="R34" i="1"/>
  <c r="R41" i="1"/>
  <c r="R36" i="1"/>
  <c r="R42" i="1"/>
  <c r="R35" i="1"/>
  <c r="T29" i="1"/>
  <c r="T25" i="9" s="1"/>
  <c r="T41" i="1"/>
  <c r="T37" i="9" s="1"/>
  <c r="T36" i="1"/>
  <c r="T32" i="9" s="1"/>
  <c r="T42" i="1"/>
  <c r="T38" i="9" s="1"/>
  <c r="T35" i="1"/>
  <c r="T31" i="9" s="1"/>
  <c r="T43" i="1"/>
  <c r="T39" i="9" s="1"/>
  <c r="T34" i="1"/>
  <c r="T30" i="9" s="1"/>
  <c r="N34" i="1"/>
  <c r="N35" i="1" s="1"/>
  <c r="N42" i="1"/>
  <c r="G41" i="1"/>
  <c r="G42" i="1"/>
  <c r="G43" i="1"/>
  <c r="W29" i="1"/>
  <c r="W34" i="1"/>
  <c r="W42" i="1"/>
  <c r="V29" i="1"/>
  <c r="V42" i="1"/>
  <c r="O42" i="1"/>
  <c r="O34" i="1"/>
  <c r="O35" i="1" s="1"/>
  <c r="H43" i="1"/>
  <c r="H42" i="1"/>
  <c r="H41" i="1"/>
  <c r="P29" i="1"/>
  <c r="P42" i="1"/>
  <c r="P34" i="1"/>
  <c r="P36" i="1" s="1"/>
  <c r="X43" i="1"/>
  <c r="X39" i="9" s="1"/>
  <c r="X42" i="1"/>
  <c r="X38" i="9" s="1"/>
  <c r="X36" i="1"/>
  <c r="X32" i="9" s="1"/>
  <c r="X35" i="1"/>
  <c r="X31" i="9" s="1"/>
  <c r="X41" i="1"/>
  <c r="X37" i="9" s="1"/>
  <c r="X34" i="1"/>
  <c r="X30" i="9" s="1"/>
  <c r="K34" i="1"/>
  <c r="K30" i="9" s="1"/>
  <c r="K42" i="1"/>
  <c r="K38" i="9" s="1"/>
  <c r="S29" i="1"/>
  <c r="S25" i="9" s="1"/>
  <c r="S34" i="1"/>
  <c r="S30" i="9" s="1"/>
  <c r="S41" i="1"/>
  <c r="S37" i="9" s="1"/>
  <c r="S36" i="1"/>
  <c r="S32" i="9" s="1"/>
  <c r="S42" i="1"/>
  <c r="S38" i="9" s="1"/>
  <c r="S35" i="1"/>
  <c r="S31" i="9" s="1"/>
  <c r="S43" i="1"/>
  <c r="S39" i="9" s="1"/>
  <c r="I43" i="1"/>
  <c r="I42" i="1"/>
  <c r="I41" i="1"/>
  <c r="L42" i="1"/>
  <c r="L34" i="1"/>
  <c r="K33" i="1"/>
  <c r="K29" i="9" s="1"/>
  <c r="K26" i="1"/>
  <c r="K22" i="9" s="1"/>
  <c r="L26" i="1"/>
  <c r="L33" i="1"/>
  <c r="F17" i="9"/>
  <c r="M41" i="1" l="1"/>
  <c r="F38" i="10" s="1"/>
  <c r="M43" i="1"/>
  <c r="F40" i="10" s="1"/>
  <c r="M32" i="9"/>
  <c r="F33" i="10"/>
  <c r="M35" i="1"/>
  <c r="F31" i="10"/>
  <c r="M30" i="9"/>
  <c r="M38" i="9"/>
  <c r="F39" i="10"/>
  <c r="K36" i="1"/>
  <c r="K41" i="1" s="1"/>
  <c r="K37" i="9" s="1"/>
  <c r="L29" i="9"/>
  <c r="E30" i="10"/>
  <c r="P41" i="1"/>
  <c r="I39" i="10"/>
  <c r="P38" i="9"/>
  <c r="W36" i="1"/>
  <c r="W43" i="1" s="1"/>
  <c r="W30" i="9"/>
  <c r="M31" i="10"/>
  <c r="K39" i="10"/>
  <c r="R38" i="9"/>
  <c r="R39" i="9"/>
  <c r="K40" i="10"/>
  <c r="E23" i="10"/>
  <c r="L22" i="9"/>
  <c r="L39" i="10"/>
  <c r="V38" i="9"/>
  <c r="G39" i="10"/>
  <c r="N38" i="9"/>
  <c r="O36" i="1"/>
  <c r="O41" i="1" s="1"/>
  <c r="H31" i="10"/>
  <c r="O30" i="9"/>
  <c r="N31" i="9"/>
  <c r="G32" i="10"/>
  <c r="L30" i="9"/>
  <c r="E31" i="10"/>
  <c r="H32" i="10"/>
  <c r="O31" i="9"/>
  <c r="E39" i="10"/>
  <c r="L38" i="9"/>
  <c r="I33" i="10"/>
  <c r="P32" i="9"/>
  <c r="W25" i="9"/>
  <c r="M26" i="10"/>
  <c r="R32" i="9"/>
  <c r="K33" i="10"/>
  <c r="K26" i="10"/>
  <c r="R25" i="9"/>
  <c r="P25" i="9"/>
  <c r="I26" i="10"/>
  <c r="L26" i="10"/>
  <c r="V25" i="9"/>
  <c r="K38" i="10"/>
  <c r="R37" i="9"/>
  <c r="P35" i="1"/>
  <c r="P30" i="9"/>
  <c r="I31" i="10"/>
  <c r="H39" i="10"/>
  <c r="O38" i="9"/>
  <c r="W38" i="9"/>
  <c r="M39" i="10"/>
  <c r="N36" i="1"/>
  <c r="N30" i="9"/>
  <c r="G31" i="10"/>
  <c r="R31" i="9"/>
  <c r="K32" i="10"/>
  <c r="R30" i="9"/>
  <c r="K31" i="10"/>
  <c r="L36" i="1"/>
  <c r="L43" i="1" s="1"/>
  <c r="F34" i="1"/>
  <c r="F30" i="9" s="1"/>
  <c r="F41" i="1"/>
  <c r="F37" i="9" s="1"/>
  <c r="F42" i="1"/>
  <c r="F38" i="9" s="1"/>
  <c r="F43" i="1"/>
  <c r="F39" i="9" s="1"/>
  <c r="F36" i="1"/>
  <c r="F32" i="9" s="1"/>
  <c r="W35" i="1"/>
  <c r="P43" i="1"/>
  <c r="F33" i="1"/>
  <c r="F29" i="9" s="1"/>
  <c r="F26" i="1"/>
  <c r="F22" i="9" s="1"/>
  <c r="M39" i="9" l="1"/>
  <c r="M37" i="9"/>
  <c r="F32" i="10"/>
  <c r="M31" i="9"/>
  <c r="O43" i="1"/>
  <c r="H40" i="10" s="1"/>
  <c r="K32" i="9"/>
  <c r="K43" i="1"/>
  <c r="K39" i="9" s="1"/>
  <c r="W41" i="1"/>
  <c r="W37" i="9" s="1"/>
  <c r="H38" i="10"/>
  <c r="O37" i="9"/>
  <c r="P37" i="9"/>
  <c r="I38" i="10"/>
  <c r="M33" i="10"/>
  <c r="W32" i="9"/>
  <c r="I40" i="10"/>
  <c r="P39" i="9"/>
  <c r="M32" i="10"/>
  <c r="W31" i="9"/>
  <c r="N32" i="9"/>
  <c r="G33" i="10"/>
  <c r="H33" i="10"/>
  <c r="O32" i="9"/>
  <c r="L39" i="9"/>
  <c r="E40" i="10"/>
  <c r="M40" i="10"/>
  <c r="W39" i="9"/>
  <c r="L41" i="1"/>
  <c r="E33" i="10"/>
  <c r="L32" i="9"/>
  <c r="N43" i="1"/>
  <c r="I32" i="10"/>
  <c r="P31" i="9"/>
  <c r="N41" i="1"/>
  <c r="O39" i="9" l="1"/>
  <c r="M38" i="10"/>
  <c r="N39" i="9"/>
  <c r="G40" i="10"/>
  <c r="G38" i="10"/>
  <c r="N37" i="9"/>
  <c r="E38" i="10"/>
  <c r="L37" i="9"/>
</calcChain>
</file>

<file path=xl/sharedStrings.xml><?xml version="1.0" encoding="utf-8"?>
<sst xmlns="http://schemas.openxmlformats.org/spreadsheetml/2006/main" count="153" uniqueCount="99">
  <si>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</si>
  <si>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</si>
  <si>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</si>
  <si>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</si>
  <si>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</si>
  <si>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</si>
  <si>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</si>
  <si>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</si>
  <si>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</si>
  <si>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</si>
  <si>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</si>
  <si>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</si>
  <si>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</si>
  <si>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</si>
  <si>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</si>
  <si>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</si>
  <si>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</si>
  <si>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</si>
  <si>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</si>
  <si>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</si>
  <si>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</si>
  <si>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</si>
  <si>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</si>
  <si>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</si>
  <si>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</si>
  <si>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</si>
  <si>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</si>
  <si>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</si>
  <si>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</si>
  <si>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</si>
  <si>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</si>
  <si>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</si>
  <si>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</si>
  <si>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</si>
  <si>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</si>
  <si>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</si>
  <si>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</si>
  <si>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</si>
  <si>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</si>
  <si>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</si>
  <si>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</si>
  <si>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</si>
  <si>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</si>
  <si>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</si>
  <si>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</si>
  <si>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</si>
  <si>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</si>
  <si>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</si>
  <si>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</si>
  <si>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</si>
  <si>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</si>
  <si>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</si>
  <si>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</si>
  <si>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</si>
  <si>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</si>
  <si>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</si>
  <si>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</si>
  <si>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</si>
  <si>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</si>
  <si>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</si>
  <si>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</si>
  <si>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</si>
  <si>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</si>
  <si>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</si>
  <si>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</si>
  <si>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</si>
  <si>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</si>
  <si>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</si>
  <si>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</si>
  <si>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</si>
  <si>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</si>
  <si>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</si>
  <si>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</si>
  <si>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</si>
  <si>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</si>
  <si>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</si>
  <si>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</si>
  <si>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</si>
  <si>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</si>
  <si>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</si>
  <si>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</si>
  <si>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</si>
  <si>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</si>
  <si>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</si>
  <si>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</si>
  <si>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</si>
  <si>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BZINC-15</t>
  </si>
  <si>
    <t>Tolerancia Mínima NTC</t>
  </si>
  <si>
    <t>Tolerancia Máxima NTC</t>
  </si>
  <si>
    <t>DOLOMITA</t>
  </si>
  <si>
    <t>CARBONATO CA</t>
  </si>
  <si>
    <t>ROCA FOSFORICA</t>
  </si>
  <si>
    <t>SULFATO CA</t>
  </si>
  <si>
    <t>FERTICORRECTIVO</t>
  </si>
  <si>
    <t>CARBONATO CALCIO - AGROCALES</t>
  </si>
  <si>
    <t>DOLOMITA - BOLIV. MINERALES</t>
  </si>
  <si>
    <t>ROCA FOSFORICA - FOSFATOS HUILA</t>
  </si>
  <si>
    <t>SILICATO MAGNESIO - JULIAN SALDARRIAGA</t>
  </si>
  <si>
    <t>SULFATO CALCIO -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</si>
</sst>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1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0" applyNumberFormat="1"/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0" fillId="3" borderId="15" xfId="1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164" fontId="0" fillId="3" borderId="3" xfId="1" applyNumberFormat="1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0" xfId="0" applyFont="1" applyFill="1"/>
    <xf numFmtId="0" fontId="8" fillId="0" borderId="0" xfId="0" applyFont="1"/>
    <xf numFmtId="0" fontId="0" fillId="3" borderId="0" xfId="0" applyFill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164" fontId="0" fillId="3" borderId="7" xfId="1" applyNumberFormat="1" applyFont="1" applyFill="1" applyBorder="1" applyAlignment="1">
      <alignment horizontal="center" vertical="center"/>
    </xf>
    <xf numFmtId="10" fontId="0" fillId="3" borderId="11" xfId="0" applyNumberFormat="1" applyFill="1" applyBorder="1" applyAlignment="1">
      <alignment horizontal="center" vertical="center"/>
    </xf>
    <xf numFmtId="164" fontId="0" fillId="3" borderId="10" xfId="1" applyNumberFormat="1" applyFont="1" applyFill="1" applyBorder="1" applyAlignment="1">
      <alignment horizontal="center" vertical="center"/>
    </xf>
    <xf numFmtId="0" fontId="8" fillId="3" borderId="17" xfId="0" applyFont="1" applyFill="1" applyBorder="1"/>
    <xf numFmtId="0" fontId="0" fillId="3" borderId="9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29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27" xfId="0" applyFill="1" applyBorder="1" applyAlignment="1">
      <alignment horizontal="center" vertical="center"/>
    </xf>
    <xf numFmtId="0" fontId="0" fillId="3" borderId="27" xfId="0" applyFill="1" applyBorder="1"/>
    <xf numFmtId="0" fontId="8" fillId="3" borderId="27" xfId="0" applyFont="1" applyFill="1" applyBorder="1"/>
    <xf numFmtId="0" fontId="8" fillId="3" borderId="32" xfId="0" applyFont="1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4" xfId="0" applyFill="1" applyBorder="1" applyAlignment="1">
      <alignment horizontal="center"/>
    </xf>
    <xf numFmtId="0" fontId="0" fillId="3" borderId="35" xfId="0" applyFill="1" applyBorder="1"/>
    <xf numFmtId="0" fontId="0" fillId="3" borderId="27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8" xfId="0" applyFill="1" applyBorder="1"/>
    <xf numFmtId="0" fontId="0" fillId="3" borderId="37" xfId="0" applyFill="1" applyBorder="1"/>
    <xf numFmtId="0" fontId="0" fillId="3" borderId="38" xfId="0" applyFill="1" applyBorder="1"/>
    <xf numFmtId="164" fontId="8" fillId="3" borderId="11" xfId="1" applyNumberFormat="1" applyFont="1" applyFill="1" applyBorder="1" applyAlignment="1">
      <alignment horizontal="center" vertical="center"/>
    </xf>
    <xf numFmtId="164" fontId="8" fillId="3" borderId="10" xfId="1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0" fillId="3" borderId="28" xfId="0" applyFill="1" applyBorder="1"/>
    <xf numFmtId="0" fontId="8" fillId="2" borderId="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0" fillId="3" borderId="14" xfId="0" applyFill="1" applyBorder="1"/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2" borderId="13" xfId="0" applyFont="1" applyFill="1" applyBorder="1" applyAlignment="1">
      <alignment vertical="center"/>
    </xf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8" fillId="2" borderId="1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8" fillId="3" borderId="45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41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8" fillId="3" borderId="14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24" xfId="0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/>
    </xf>
    <xf numFmtId="0" fontId="8" fillId="3" borderId="47" xfId="0" applyFont="1" applyFill="1" applyBorder="1" applyAlignment="1">
      <alignment horizontal="center"/>
    </xf>
    <xf numFmtId="164" fontId="8" fillId="3" borderId="9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0" xfId="0" applyBorder="1"/>
    <xf numFmtId="0" fontId="0" fillId="0" borderId="48" xfId="0" applyBorder="1"/>
    <xf numFmtId="9" fontId="0" fillId="0" borderId="49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8" fillId="3" borderId="14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111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</dxfs>
  <tableStyles count="0" defaultTableStyle="TableStyleMedium2" defaultPivotStyle="PivotStyleLight16"/>
  <colors>
    <mruColors>
      <color rgb="FFBFBFBF"/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871D2-8D07-49EE-AD4B-16462215FE60}" name="Tabla1" displayName="Tabla1" ref="B5:X10" totalsRowShown="0" headerRowDxfId="92" dataDxfId="91" tableBorderDxfId="90">
  <autoFilter ref="B5:X10" xr:uid="{7A4871D2-8D07-49EE-AD4B-16462215FE60}"/>
  <sortState xmlns:xlrd2="http://schemas.microsoft.com/office/spreadsheetml/2017/richdata2" ref="B6:X10">
    <sortCondition ref="B5:B10"/>
  </sortState>
  <tableColumns count="23">
    <tableColumn id="1" xr3:uid="{CB5A40A4-A802-418C-B1A1-43DD25EC4586}" name="MATERIA PRIMA" dataDxfId="89"/>
    <tableColumn id="2" xr3:uid="{3C39AAE8-6E59-4498-B8D8-1AD8CBE4FB6E}" name="kg / Ton" dataDxfId="88"/>
    <tableColumn id="3" xr3:uid="{194E5AD3-5078-407E-BE15-F60133B18E03}" name="%/100 kg" dataDxfId="87"/>
    <tableColumn id="4" xr3:uid="{DD106BFB-3779-4E61-88A3-DE0F3769AF64}" name="C" dataDxfId="86"/>
    <tableColumn id="5" xr3:uid="{A25E79BB-E72B-4040-88EE-AB6D91BB17FD}" name="N" dataDxfId="85"/>
    <tableColumn id="6" xr3:uid="{867AA088-E0C2-4889-A204-0191CB20AB18}" name="N-NH4" dataDxfId="84"/>
    <tableColumn id="7" xr3:uid="{7B717883-4D8C-4BBA-8DD5-31BD844C2735}" name="N-NO3" dataDxfId="83"/>
    <tableColumn id="8" xr3:uid="{39CB15B0-DF24-4D94-8CD4-BA797AEB6D24}" name="N-org" dataDxfId="82"/>
    <tableColumn id="9" xr3:uid="{A2CF33EC-D2D2-4403-8A81-53CC245054F6}" name="N-ur" dataDxfId="81"/>
    <tableColumn id="10" xr3:uid="{1481B044-8B25-4C0F-ABC2-C75450BE2366}" name="P" dataDxfId="80"/>
    <tableColumn id="11" xr3:uid="{49CE00DA-7EEC-49B3-A144-431FC59D11EA}" name="K" dataDxfId="79"/>
    <tableColumn id="12" xr3:uid="{AD61735A-2B87-4EA8-8949-6F6E1BFCFB51}" name="CaO" dataDxfId="78"/>
    <tableColumn id="13" xr3:uid="{4B8F4FE2-4FC2-4EB4-B3BA-06D1CF97E040}" name="MgO" dataDxfId="77"/>
    <tableColumn id="14" xr3:uid="{3E447D4C-0CC4-4F59-A765-EE6FC199956B}" name="S" dataDxfId="76"/>
    <tableColumn id="15" xr3:uid="{9DF1D102-448B-4C8F-B6F2-FF091E1FA359}" name="B" dataDxfId="75"/>
    <tableColumn id="16" xr3:uid="{F81FB734-7303-4E0F-8E14-57AA4C24A998}" name="Co" dataDxfId="74"/>
    <tableColumn id="17" xr3:uid="{7CED55D7-63C4-4DF5-9754-FEB353BB2A63}" name="Cu" dataDxfId="73"/>
    <tableColumn id="18" xr3:uid="{F0C31384-7C63-456B-A8D5-E022639D47FD}" name="Fe" dataDxfId="72"/>
    <tableColumn id="19" xr3:uid="{CC8D6B33-569C-40DC-8F73-26F61D07EDDA}" name="Mn" dataDxfId="71"/>
    <tableColumn id="20" xr3:uid="{5E1B23C7-80EA-4D8C-B66A-5DCE7424ED6B}" name="Mo" dataDxfId="70"/>
    <tableColumn id="21" xr3:uid="{F3E94185-4EF2-4032-B0BD-0954437A6B54}" name="SiO2" dataDxfId="69"/>
    <tableColumn id="22" xr3:uid="{B45273D2-E89B-42B9-9F3C-7D1D95CCC0A8}" name="Zn" dataDxfId="68"/>
    <tableColumn id="23" xr3:uid="{D78A9558-C941-48AB-BB68-2AFB36A00F71}" name="Na" dataDxfId="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371C1-AC22-40A7-AC1A-839AD12BBCE9}" name="Tabla3" displayName="Tabla3" ref="B14:X19" totalsRowShown="0" headerRowDxfId="66" dataDxfId="65" tableBorderDxfId="64">
  <autoFilter ref="B14:X19" xr:uid="{4DD371C1-AC22-40A7-AC1A-839AD12BBCE9}"/>
  <sortState xmlns:xlrd2="http://schemas.microsoft.com/office/spreadsheetml/2017/richdata2" ref="B15:X19">
    <sortCondition ref="B14:B19"/>
  </sortState>
  <tableColumns count="23">
    <tableColumn id="1" xr3:uid="{50E112B0-B29B-43F8-A0DB-D855F478ACEF}" name="MATERIA PRIMA" dataDxfId="63"/>
    <tableColumn id="2" xr3:uid="{473AC290-D61E-45BC-97C6-D6FC91CD67FA}" name="kg / Ton" dataDxfId="62"/>
    <tableColumn id="3" xr3:uid="{8D20BD95-D74B-4DB3-8DB4-407B9B2E9B27}" name="%/100 kg" dataDxfId="61">
      <calculatedColumnFormula>C15/10</calculatedColumnFormula>
    </tableColumn>
    <tableColumn id="4" xr3:uid="{69256D7A-AE4C-406E-8864-5687E8BA3FC9}" name="Carbono organico total oxidable C" dataDxfId="60">
      <calculatedColumnFormula>IF(E6="","",E6*$D6/$D$11)</calculatedColumnFormula>
    </tableColumn>
    <tableColumn id="5" xr3:uid="{F64193B8-E971-46C2-9E47-C832381FF3F0}" name="Nitrogeno Total N" dataDxfId="59">
      <calculatedColumnFormula>IF(F6="","",SUM(G15:J15))</calculatedColumnFormula>
    </tableColumn>
    <tableColumn id="6" xr3:uid="{2F93B972-8FE3-4CFB-83EF-EA17748433FA}" name="Nitrogeno amoniacal" dataDxfId="58">
      <calculatedColumnFormula>IF(G6="","",G6*$D6/$D$11)</calculatedColumnFormula>
    </tableColumn>
    <tableColumn id="7" xr3:uid="{056FC5A3-A6F9-4CBB-BE6C-DA239185B165}" name="Nitrogeno nitrico" dataDxfId="57">
      <calculatedColumnFormula>IF(H6="","",H6*$D6/$D$11)</calculatedColumnFormula>
    </tableColumn>
    <tableColumn id="8" xr3:uid="{3DA02661-D30B-4A75-AE60-BE7EAB1C5D44}" name="Nitrogeno organico" dataDxfId="56">
      <calculatedColumnFormula>IF(I6="","",I6*$D6/$D$11)</calculatedColumnFormula>
    </tableColumn>
    <tableColumn id="9" xr3:uid="{D60D2F1E-5691-4801-B730-C9F4C46F5D1D}" name="Nitrogeno ureico" dataDxfId="55">
      <calculatedColumnFormula>IF(J6="","",J6*$D6/$D$11)</calculatedColumnFormula>
    </tableColumn>
    <tableColumn id="10" xr3:uid="{FC2F4D60-66FB-4F4C-8668-30D89A3E8F79}" name="Fosforo asimilable P2O5" dataDxfId="54">
      <calculatedColumnFormula>IF(K6="","",K6*$D6/$D$11)</calculatedColumnFormula>
    </tableColumn>
    <tableColumn id="11" xr3:uid="{8972FA9A-2561-46D0-8358-2F61D6675978}" name="Potasio soluble K2O" dataDxfId="53">
      <calculatedColumnFormula>IF(L6="","",L6*$D6/$D$11)</calculatedColumnFormula>
    </tableColumn>
    <tableColumn id="12" xr3:uid="{EB2F655B-CBEF-4570-BEB3-031213A78565}" name="Calcio CaO" dataDxfId="52">
      <calculatedColumnFormula>IF(M6="","",M6*$D6/$D$11)</calculatedColumnFormula>
    </tableColumn>
    <tableColumn id="13" xr3:uid="{4CDE0476-FD74-4CCE-AFD1-16F2FA50B7FA}" name="Magnesio MgO" dataDxfId="51">
      <calculatedColumnFormula>IF(N6="","",N6*$D6/$D$11)</calculatedColumnFormula>
    </tableColumn>
    <tableColumn id="14" xr3:uid="{2119CD73-F628-4720-8333-2E9B5518BC08}" name="Azufre S" dataDxfId="50">
      <calculatedColumnFormula>IF(O6="","",O6*$D6/$D$11)</calculatedColumnFormula>
    </tableColumn>
    <tableColumn id="15" xr3:uid="{1695EEF4-9ACB-483D-9474-12A09506A03F}" name="Boro B" dataDxfId="49">
      <calculatedColumnFormula>IF(P6="","",P6*$D6/$D$11)</calculatedColumnFormula>
    </tableColumn>
    <tableColumn id="16" xr3:uid="{6572A907-3065-4877-BFF4-8E526FC1C8A8}" name="Cobalto Co" dataDxfId="48">
      <calculatedColumnFormula>IF(Q6="","",Q6*$D6/$D$11)</calculatedColumnFormula>
    </tableColumn>
    <tableColumn id="17" xr3:uid="{4156BD90-6446-40D6-A69A-D44A2E73A643}" name="Cobre Cu" dataDxfId="47">
      <calculatedColumnFormula>IF(R6="","",R6*$D6/$D$11)</calculatedColumnFormula>
    </tableColumn>
    <tableColumn id="18" xr3:uid="{C8446AF2-81A8-4478-B4EC-4145BD4B6FFC}" name="Hierro Fe" dataDxfId="46">
      <calculatedColumnFormula>IF(S6="","",S6*$D6/$D$11)</calculatedColumnFormula>
    </tableColumn>
    <tableColumn id="19" xr3:uid="{2A71B305-FB09-44D7-9B99-5E0CFEECA4D4}" name="Manganeso Mn" dataDxfId="45">
      <calculatedColumnFormula>IF(T6="","",T6*$D6/$D$11)</calculatedColumnFormula>
    </tableColumn>
    <tableColumn id="20" xr3:uid="{70A6A880-3C75-439B-8EFB-732D5F6BF793}" name="Molibdeno Mo" dataDxfId="44">
      <calculatedColumnFormula>IF(U6="","",U6*$D6/$D$11)</calculatedColumnFormula>
    </tableColumn>
    <tableColumn id="21" xr3:uid="{678A11C5-8CE6-40E7-9FD3-9EDFB378A113}" name="Silicio SiO2" dataDxfId="43">
      <calculatedColumnFormula>IF(V6="","",V6*$D6/$D$11)</calculatedColumnFormula>
    </tableColumn>
    <tableColumn id="22" xr3:uid="{D6DDDC74-4F4C-4134-95E8-F937AFC1A665}" name="Zinc Zn" dataDxfId="42">
      <calculatedColumnFormula>IF(W6="","",W6*$D6/$D$11)</calculatedColumnFormula>
    </tableColumn>
    <tableColumn id="23" xr3:uid="{1A476C56-623F-46EA-B3BD-D454BFE68051}" name="Sodio Na" dataDxfId="41">
      <calculatedColumnFormula>IF(X6="","",X6*$D6/$D$11)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6.5" x14ac:dyDescent="0.3"/>
  <sheetData>
    <row r="1" spans="1:16" ht="17.25" thickBot="1" x14ac:dyDescent="0.35">
      <c r="A1" t="s">
        <v>56</v>
      </c>
      <c r="B1" s="2" t="s">
        <v>23</v>
      </c>
      <c r="C1" s="2" t="s">
        <v>36</v>
      </c>
      <c r="D1" s="2" t="s">
        <v>42</v>
      </c>
      <c r="E1" s="2" t="s">
        <v>31</v>
      </c>
      <c r="F1" s="2" t="s">
        <v>41</v>
      </c>
      <c r="G1" s="2" t="s">
        <v>32</v>
      </c>
      <c r="H1" s="2" t="s">
        <v>12</v>
      </c>
      <c r="I1" s="2" t="s">
        <v>17</v>
      </c>
      <c r="J1" s="2" t="s">
        <v>40</v>
      </c>
      <c r="K1" s="2" t="s">
        <v>33</v>
      </c>
      <c r="L1" s="2" t="s">
        <v>34</v>
      </c>
      <c r="M1" s="2" t="s">
        <v>39</v>
      </c>
      <c r="N1" s="2" t="s">
        <v>38</v>
      </c>
      <c r="O1" s="2" t="s">
        <v>35</v>
      </c>
      <c r="P1" s="2" t="s">
        <v>37</v>
      </c>
    </row>
    <row r="2" spans="1:16" x14ac:dyDescent="0.3">
      <c r="A2" t="s">
        <v>57</v>
      </c>
      <c r="B2" s="1">
        <v>0.03</v>
      </c>
      <c r="C2" s="1">
        <v>0.03</v>
      </c>
      <c r="D2" s="1">
        <v>0.03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</row>
    <row r="3" spans="1:16" x14ac:dyDescent="0.3">
      <c r="A3" t="s">
        <v>58</v>
      </c>
      <c r="B3" t="s">
        <v>55</v>
      </c>
      <c r="C3" t="s">
        <v>55</v>
      </c>
      <c r="D3" t="s">
        <v>55</v>
      </c>
      <c r="E3" s="1">
        <v>0.05</v>
      </c>
      <c r="F3" s="1">
        <v>0.05</v>
      </c>
      <c r="G3" s="1">
        <v>0.05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</row>
    <row r="4" spans="1:16" x14ac:dyDescent="0.3">
      <c r="A4" t="s">
        <v>59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s="14">
        <v>5.0000000000000001E-3</v>
      </c>
      <c r="I4" s="14">
        <v>2.0000000000000001E-4</v>
      </c>
      <c r="J4" s="14">
        <v>2E-3</v>
      </c>
      <c r="K4" s="14">
        <v>2E-3</v>
      </c>
      <c r="L4" s="14">
        <v>2E-3</v>
      </c>
      <c r="M4" s="14">
        <v>2.0000000000000001E-4</v>
      </c>
      <c r="N4" s="14">
        <v>2E-3</v>
      </c>
      <c r="O4" t="s">
        <v>55</v>
      </c>
      <c r="P4" s="14">
        <v>5.0000000000000001E-3</v>
      </c>
    </row>
    <row r="5" spans="1:16" x14ac:dyDescent="0.3">
      <c r="A5" t="s">
        <v>60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s="14">
        <v>2.0000000000000001E-4</v>
      </c>
      <c r="I5" s="15">
        <v>2.0000000000000002E-5</v>
      </c>
      <c r="J5" s="14">
        <v>1E-4</v>
      </c>
      <c r="K5" s="14">
        <v>1E-4</v>
      </c>
      <c r="L5" s="14">
        <v>1E-4</v>
      </c>
      <c r="M5" s="15">
        <v>5.0000000000000002E-5</v>
      </c>
      <c r="N5" s="14">
        <v>2.0000000000000001E-4</v>
      </c>
      <c r="O5" t="s">
        <v>55</v>
      </c>
      <c r="P5" s="14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3"/>
  <sheetViews>
    <sheetView zoomScale="85" zoomScaleNormal="85" workbookViewId="0">
      <selection activeCell="B24" sqref="B24"/>
    </sheetView>
  </sheetViews>
  <sheetFormatPr baseColWidth="10" defaultColWidth="8.875" defaultRowHeight="16.5" x14ac:dyDescent="0.3"/>
  <cols>
    <col min="1" max="1" width="8.875" style="4"/>
    <col min="2" max="2" width="55" style="4" bestFit="1" customWidth="1"/>
    <col min="3" max="3" width="10" style="3" customWidth="1"/>
    <col min="4" max="4" width="11" style="3" customWidth="1"/>
    <col min="5" max="24" width="7.375" style="4" customWidth="1"/>
    <col min="26" max="48" width="5.5" style="4" customWidth="1"/>
    <col min="49" max="16384" width="8.875" style="4"/>
  </cols>
  <sheetData>
    <row r="5" spans="2:49" ht="17.25" thickBot="1" x14ac:dyDescent="0.35">
      <c r="B5" s="123" t="s">
        <v>20</v>
      </c>
      <c r="C5" s="8" t="s">
        <v>21</v>
      </c>
      <c r="D5" s="7" t="s">
        <v>22</v>
      </c>
      <c r="E5" s="118" t="s">
        <v>19</v>
      </c>
      <c r="F5" s="118" t="s">
        <v>4</v>
      </c>
      <c r="G5" s="118" t="s">
        <v>24</v>
      </c>
      <c r="H5" s="118" t="s">
        <v>25</v>
      </c>
      <c r="I5" s="118" t="s">
        <v>26</v>
      </c>
      <c r="J5" s="118" t="s">
        <v>27</v>
      </c>
      <c r="K5" s="118" t="s">
        <v>5</v>
      </c>
      <c r="L5" s="118" t="s">
        <v>6</v>
      </c>
      <c r="M5" s="118" t="s">
        <v>7</v>
      </c>
      <c r="N5" s="118" t="s">
        <v>8</v>
      </c>
      <c r="O5" s="118" t="s">
        <v>9</v>
      </c>
      <c r="P5" s="118" t="s">
        <v>12</v>
      </c>
      <c r="Q5" s="118" t="s">
        <v>17</v>
      </c>
      <c r="R5" s="118" t="s">
        <v>15</v>
      </c>
      <c r="S5" s="118" t="s">
        <v>16</v>
      </c>
      <c r="T5" s="118" t="s">
        <v>14</v>
      </c>
      <c r="U5" s="118" t="s">
        <v>13</v>
      </c>
      <c r="V5" s="118" t="s">
        <v>10</v>
      </c>
      <c r="W5" s="118" t="s">
        <v>11</v>
      </c>
      <c r="X5" s="118" t="s">
        <v>18</v>
      </c>
    </row>
    <row r="6" spans="2:49" x14ac:dyDescent="0.3">
      <c r="B6" s="122" t="s">
        <v>90</v>
      </c>
      <c r="C6" s="5">
        <v>100</v>
      </c>
      <c r="D6" s="118">
        <f>C6/10</f>
        <v>10</v>
      </c>
      <c r="E6" s="121"/>
      <c r="F6" s="121"/>
      <c r="G6" s="121"/>
      <c r="H6" s="121"/>
      <c r="I6" s="121"/>
      <c r="J6" s="121"/>
      <c r="K6" s="121"/>
      <c r="L6" s="121"/>
      <c r="M6" s="121">
        <v>0.44</v>
      </c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19"/>
    </row>
    <row r="7" spans="2:49" x14ac:dyDescent="0.3">
      <c r="B7" s="122" t="s">
        <v>89</v>
      </c>
      <c r="C7" s="5">
        <v>100</v>
      </c>
      <c r="D7" s="118">
        <f>C7/10</f>
        <v>10</v>
      </c>
      <c r="E7" s="121"/>
      <c r="F7" s="121"/>
      <c r="G7" s="121"/>
      <c r="H7" s="121"/>
      <c r="I7" s="121"/>
      <c r="J7" s="121"/>
      <c r="K7" s="121"/>
      <c r="L7" s="121"/>
      <c r="M7" s="121">
        <v>0.35</v>
      </c>
      <c r="N7" s="121">
        <v>0.15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0"/>
      <c r="AW7" s="6"/>
    </row>
    <row r="8" spans="2:49" x14ac:dyDescent="0.3">
      <c r="B8" s="122" t="s">
        <v>91</v>
      </c>
      <c r="C8" s="5">
        <v>150</v>
      </c>
      <c r="D8" s="118">
        <f>C8/10</f>
        <v>15</v>
      </c>
      <c r="E8" s="121"/>
      <c r="F8" s="121"/>
      <c r="G8" s="121"/>
      <c r="H8" s="121"/>
      <c r="I8" s="121"/>
      <c r="J8" s="121"/>
      <c r="K8" s="121">
        <v>0.28000000000000003</v>
      </c>
      <c r="L8" s="121">
        <v>1.1599999999999999E-2</v>
      </c>
      <c r="M8" s="121">
        <v>0.4</v>
      </c>
      <c r="N8" s="121"/>
      <c r="O8" s="121"/>
      <c r="P8" s="121"/>
      <c r="Q8" s="121"/>
      <c r="R8" s="121"/>
      <c r="S8" s="121"/>
      <c r="T8" s="121"/>
      <c r="U8" s="121"/>
      <c r="V8" s="121">
        <v>0.1096</v>
      </c>
      <c r="W8" s="121"/>
      <c r="X8" s="121"/>
      <c r="Y8" s="120"/>
      <c r="AW8" s="6"/>
    </row>
    <row r="9" spans="2:49" x14ac:dyDescent="0.3">
      <c r="B9" s="122" t="s">
        <v>30</v>
      </c>
      <c r="C9" s="5">
        <v>450</v>
      </c>
      <c r="D9" s="118">
        <f>C9/10</f>
        <v>45</v>
      </c>
      <c r="E9" s="121"/>
      <c r="F9" s="121"/>
      <c r="G9" s="121"/>
      <c r="H9" s="121"/>
      <c r="I9" s="121"/>
      <c r="J9" s="121"/>
      <c r="K9" s="121"/>
      <c r="L9" s="121"/>
      <c r="M9" s="121"/>
      <c r="N9" s="121">
        <v>0.3</v>
      </c>
      <c r="O9" s="121"/>
      <c r="P9" s="121"/>
      <c r="Q9" s="121"/>
      <c r="R9" s="121"/>
      <c r="S9" s="121"/>
      <c r="T9" s="121"/>
      <c r="U9" s="121"/>
      <c r="V9" s="121">
        <v>0.31</v>
      </c>
      <c r="W9" s="121"/>
      <c r="X9" s="121"/>
      <c r="Y9" s="120"/>
      <c r="AW9" s="6"/>
    </row>
    <row r="10" spans="2:49" x14ac:dyDescent="0.3">
      <c r="B10" s="122" t="s">
        <v>92</v>
      </c>
      <c r="C10" s="5">
        <v>200</v>
      </c>
      <c r="D10" s="118">
        <f>C10/10</f>
        <v>20</v>
      </c>
      <c r="E10" s="121"/>
      <c r="F10" s="121"/>
      <c r="G10" s="121"/>
      <c r="H10" s="121"/>
      <c r="I10" s="121"/>
      <c r="J10" s="121"/>
      <c r="K10" s="121"/>
      <c r="L10" s="121"/>
      <c r="M10" s="121">
        <v>0.26</v>
      </c>
      <c r="N10" s="121"/>
      <c r="O10" s="121">
        <v>0.13</v>
      </c>
      <c r="P10" s="121"/>
      <c r="Q10" s="121"/>
      <c r="R10" s="121"/>
      <c r="S10" s="121"/>
      <c r="T10" s="121"/>
      <c r="U10" s="121"/>
      <c r="V10" s="121"/>
      <c r="W10" s="121"/>
      <c r="X10" s="121"/>
      <c r="Y10" s="120"/>
      <c r="AW10" s="6"/>
    </row>
    <row r="11" spans="2:49" x14ac:dyDescent="0.3">
      <c r="B11" s="4" t="s">
        <v>28</v>
      </c>
      <c r="C11" s="3">
        <f>SUM(C6:C10)</f>
        <v>1000</v>
      </c>
      <c r="D11" s="3">
        <v>100</v>
      </c>
      <c r="AW11" s="6"/>
    </row>
    <row r="12" spans="2:49" x14ac:dyDescent="0.3">
      <c r="B12" s="4" t="s">
        <v>29</v>
      </c>
      <c r="AW12" s="6"/>
    </row>
    <row r="13" spans="2:49" x14ac:dyDescent="0.3">
      <c r="AW13" s="6"/>
    </row>
    <row r="14" spans="2:49" ht="17.25" thickBot="1" x14ac:dyDescent="0.35">
      <c r="B14" s="123" t="s">
        <v>20</v>
      </c>
      <c r="C14" s="8" t="s">
        <v>21</v>
      </c>
      <c r="D14" s="7" t="s">
        <v>22</v>
      </c>
      <c r="E14" s="118" t="s">
        <v>83</v>
      </c>
      <c r="F14" s="118" t="s">
        <v>64</v>
      </c>
      <c r="G14" s="118" t="s">
        <v>65</v>
      </c>
      <c r="H14" s="118" t="s">
        <v>66</v>
      </c>
      <c r="I14" s="118" t="s">
        <v>67</v>
      </c>
      <c r="J14" s="118" t="s">
        <v>68</v>
      </c>
      <c r="K14" s="118" t="s">
        <v>70</v>
      </c>
      <c r="L14" s="118" t="s">
        <v>71</v>
      </c>
      <c r="M14" s="118" t="s">
        <v>69</v>
      </c>
      <c r="N14" s="118" t="s">
        <v>72</v>
      </c>
      <c r="O14" s="118" t="s">
        <v>73</v>
      </c>
      <c r="P14" s="118" t="s">
        <v>74</v>
      </c>
      <c r="Q14" s="118" t="s">
        <v>75</v>
      </c>
      <c r="R14" s="118" t="s">
        <v>76</v>
      </c>
      <c r="S14" s="118" t="s">
        <v>77</v>
      </c>
      <c r="T14" s="118" t="s">
        <v>78</v>
      </c>
      <c r="U14" s="118" t="s">
        <v>79</v>
      </c>
      <c r="V14" s="118" t="s">
        <v>80</v>
      </c>
      <c r="W14" s="118" t="s">
        <v>81</v>
      </c>
      <c r="X14" s="118" t="s">
        <v>82</v>
      </c>
    </row>
    <row r="15" spans="2:49" x14ac:dyDescent="0.3">
      <c r="B15" s="122" t="s">
        <v>94</v>
      </c>
      <c r="C15" s="5">
        <v>100</v>
      </c>
      <c r="D15" s="118">
        <f>C15/10</f>
        <v>10</v>
      </c>
      <c r="E15" s="121" t="str">
        <f>IF(E6="","",E6*$D6/$D$11)</f>
        <v/>
      </c>
      <c r="F15" s="121" t="str">
        <f>IF(F6="","",SUM(G15:J15))</f>
        <v/>
      </c>
      <c r="G15" s="121" t="str">
        <f t="shared" ref="G15:X15" si="0">IF(G6="","",G6*$D6/$D$11)</f>
        <v/>
      </c>
      <c r="H15" s="121" t="str">
        <f t="shared" si="0"/>
        <v/>
      </c>
      <c r="I15" s="121" t="str">
        <f t="shared" si="0"/>
        <v/>
      </c>
      <c r="J15" s="121" t="str">
        <f t="shared" si="0"/>
        <v/>
      </c>
      <c r="K15" s="121" t="str">
        <f t="shared" si="0"/>
        <v/>
      </c>
      <c r="L15" s="121" t="str">
        <f t="shared" si="0"/>
        <v/>
      </c>
      <c r="M15" s="121">
        <f t="shared" si="0"/>
        <v>4.4000000000000004E-2</v>
      </c>
      <c r="N15" s="121" t="str">
        <f t="shared" si="0"/>
        <v/>
      </c>
      <c r="O15" s="121" t="str">
        <f t="shared" si="0"/>
        <v/>
      </c>
      <c r="P15" s="121" t="str">
        <f t="shared" si="0"/>
        <v/>
      </c>
      <c r="Q15" s="121" t="str">
        <f t="shared" si="0"/>
        <v/>
      </c>
      <c r="R15" s="121" t="str">
        <f t="shared" si="0"/>
        <v/>
      </c>
      <c r="S15" s="121" t="str">
        <f t="shared" si="0"/>
        <v/>
      </c>
      <c r="T15" s="121" t="str">
        <f t="shared" si="0"/>
        <v/>
      </c>
      <c r="U15" s="121" t="str">
        <f t="shared" si="0"/>
        <v/>
      </c>
      <c r="V15" s="121" t="str">
        <f t="shared" si="0"/>
        <v/>
      </c>
      <c r="W15" s="121" t="str">
        <f t="shared" si="0"/>
        <v/>
      </c>
      <c r="X15" s="121" t="str">
        <f t="shared" si="0"/>
        <v/>
      </c>
    </row>
    <row r="16" spans="2:49" x14ac:dyDescent="0.3">
      <c r="B16" s="122" t="s">
        <v>95</v>
      </c>
      <c r="C16" s="5">
        <v>100</v>
      </c>
      <c r="D16" s="118">
        <f>C16/10</f>
        <v>10</v>
      </c>
      <c r="E16" s="121" t="str">
        <f>IF(E7="","",E7*$D7/$D$11)</f>
        <v/>
      </c>
      <c r="F16" s="121" t="str">
        <f>IF(F7="","",SUM(G16:J16))</f>
        <v/>
      </c>
      <c r="G16" s="121" t="str">
        <f t="shared" ref="G16:X16" si="1">IF(G7="","",G7*$D7/$D$11)</f>
        <v/>
      </c>
      <c r="H16" s="121" t="str">
        <f t="shared" si="1"/>
        <v/>
      </c>
      <c r="I16" s="121" t="str">
        <f t="shared" si="1"/>
        <v/>
      </c>
      <c r="J16" s="121" t="str">
        <f t="shared" si="1"/>
        <v/>
      </c>
      <c r="K16" s="121" t="str">
        <f t="shared" si="1"/>
        <v/>
      </c>
      <c r="L16" s="121" t="str">
        <f t="shared" si="1"/>
        <v/>
      </c>
      <c r="M16" s="121">
        <f t="shared" si="1"/>
        <v>3.5000000000000003E-2</v>
      </c>
      <c r="N16" s="121">
        <f t="shared" si="1"/>
        <v>1.4999999999999999E-2</v>
      </c>
      <c r="O16" s="121" t="str">
        <f t="shared" si="1"/>
        <v/>
      </c>
      <c r="P16" s="121" t="str">
        <f t="shared" si="1"/>
        <v/>
      </c>
      <c r="Q16" s="121" t="str">
        <f t="shared" si="1"/>
        <v/>
      </c>
      <c r="R16" s="121" t="str">
        <f t="shared" si="1"/>
        <v/>
      </c>
      <c r="S16" s="121" t="str">
        <f t="shared" si="1"/>
        <v/>
      </c>
      <c r="T16" s="121" t="str">
        <f t="shared" si="1"/>
        <v/>
      </c>
      <c r="U16" s="121" t="str">
        <f t="shared" si="1"/>
        <v/>
      </c>
      <c r="V16" s="121" t="str">
        <f t="shared" si="1"/>
        <v/>
      </c>
      <c r="W16" s="121" t="str">
        <f t="shared" si="1"/>
        <v/>
      </c>
      <c r="X16" s="121" t="str">
        <f t="shared" si="1"/>
        <v/>
      </c>
    </row>
    <row r="17" spans="2:24" x14ac:dyDescent="0.3">
      <c r="B17" s="122" t="s">
        <v>96</v>
      </c>
      <c r="C17" s="5">
        <v>150</v>
      </c>
      <c r="D17" s="118">
        <f>C17/10</f>
        <v>15</v>
      </c>
      <c r="E17" s="121" t="str">
        <f>IF(E8="","",E8*$D8/$D$11)</f>
        <v/>
      </c>
      <c r="F17" s="121" t="str">
        <f>IF(F8="","",SUM(G17:J17))</f>
        <v/>
      </c>
      <c r="G17" s="121" t="str">
        <f t="shared" ref="G17:X17" si="2">IF(G8="","",G8*$D8/$D$11)</f>
        <v/>
      </c>
      <c r="H17" s="121" t="str">
        <f t="shared" si="2"/>
        <v/>
      </c>
      <c r="I17" s="121" t="str">
        <f t="shared" si="2"/>
        <v/>
      </c>
      <c r="J17" s="121" t="str">
        <f t="shared" si="2"/>
        <v/>
      </c>
      <c r="K17" s="121">
        <f t="shared" si="2"/>
        <v>4.2000000000000003E-2</v>
      </c>
      <c r="L17" s="121">
        <f t="shared" si="2"/>
        <v>1.7399999999999998E-3</v>
      </c>
      <c r="M17" s="121">
        <f t="shared" si="2"/>
        <v>0.06</v>
      </c>
      <c r="N17" s="121" t="str">
        <f t="shared" si="2"/>
        <v/>
      </c>
      <c r="O17" s="121" t="str">
        <f t="shared" si="2"/>
        <v/>
      </c>
      <c r="P17" s="121" t="str">
        <f t="shared" si="2"/>
        <v/>
      </c>
      <c r="Q17" s="121" t="str">
        <f t="shared" si="2"/>
        <v/>
      </c>
      <c r="R17" s="121" t="str">
        <f t="shared" si="2"/>
        <v/>
      </c>
      <c r="S17" s="121" t="str">
        <f t="shared" si="2"/>
        <v/>
      </c>
      <c r="T17" s="121" t="str">
        <f t="shared" si="2"/>
        <v/>
      </c>
      <c r="U17" s="121" t="str">
        <f t="shared" si="2"/>
        <v/>
      </c>
      <c r="V17" s="121">
        <f t="shared" si="2"/>
        <v>1.644E-2</v>
      </c>
      <c r="W17" s="121" t="str">
        <f t="shared" si="2"/>
        <v/>
      </c>
      <c r="X17" s="121" t="str">
        <f t="shared" si="2"/>
        <v/>
      </c>
    </row>
    <row r="18" spans="2:24" x14ac:dyDescent="0.3">
      <c r="B18" s="122" t="s">
        <v>97</v>
      </c>
      <c r="C18" s="5">
        <v>450</v>
      </c>
      <c r="D18" s="118">
        <f>C18/10</f>
        <v>45</v>
      </c>
      <c r="E18" s="121" t="str">
        <f>IF(E9="","",E9*$D9/$D$11)</f>
        <v/>
      </c>
      <c r="F18" s="121" t="str">
        <f>IF(F9="","",SUM(G18:J18))</f>
        <v/>
      </c>
      <c r="G18" s="121" t="str">
        <f t="shared" ref="G18:X18" si="3">IF(G9="","",G9*$D9/$D$11)</f>
        <v/>
      </c>
      <c r="H18" s="121" t="str">
        <f t="shared" si="3"/>
        <v/>
      </c>
      <c r="I18" s="121" t="str">
        <f t="shared" si="3"/>
        <v/>
      </c>
      <c r="J18" s="121" t="str">
        <f t="shared" si="3"/>
        <v/>
      </c>
      <c r="K18" s="121" t="str">
        <f t="shared" si="3"/>
        <v/>
      </c>
      <c r="L18" s="121" t="str">
        <f t="shared" si="3"/>
        <v/>
      </c>
      <c r="M18" s="121" t="str">
        <f t="shared" si="3"/>
        <v/>
      </c>
      <c r="N18" s="121">
        <f t="shared" si="3"/>
        <v>0.13500000000000001</v>
      </c>
      <c r="O18" s="121" t="str">
        <f t="shared" si="3"/>
        <v/>
      </c>
      <c r="P18" s="121" t="str">
        <f t="shared" si="3"/>
        <v/>
      </c>
      <c r="Q18" s="121" t="str">
        <f t="shared" si="3"/>
        <v/>
      </c>
      <c r="R18" s="121" t="str">
        <f t="shared" si="3"/>
        <v/>
      </c>
      <c r="S18" s="121" t="str">
        <f t="shared" si="3"/>
        <v/>
      </c>
      <c r="T18" s="121" t="str">
        <f t="shared" si="3"/>
        <v/>
      </c>
      <c r="U18" s="121" t="str">
        <f t="shared" si="3"/>
        <v/>
      </c>
      <c r="V18" s="121">
        <f t="shared" si="3"/>
        <v>0.13949999999999999</v>
      </c>
      <c r="W18" s="121" t="str">
        <f t="shared" si="3"/>
        <v/>
      </c>
      <c r="X18" s="121" t="str">
        <f t="shared" si="3"/>
        <v/>
      </c>
    </row>
    <row r="19" spans="2:24" x14ac:dyDescent="0.3">
      <c r="B19" s="122" t="s">
        <v>98</v>
      </c>
      <c r="C19" s="5">
        <v>200</v>
      </c>
      <c r="D19" s="118">
        <f>C19/10</f>
        <v>20</v>
      </c>
      <c r="E19" s="121" t="str">
        <f>IF(E10="","",E10*$D10/$D$11)</f>
        <v/>
      </c>
      <c r="F19" s="121" t="str">
        <f>IF(F10="","",SUM(G19:J19))</f>
        <v/>
      </c>
      <c r="G19" s="121" t="str">
        <f t="shared" ref="G19:X19" si="4">IF(G10="","",G10*$D10/$D$11)</f>
        <v/>
      </c>
      <c r="H19" s="121" t="str">
        <f t="shared" si="4"/>
        <v/>
      </c>
      <c r="I19" s="121" t="str">
        <f t="shared" si="4"/>
        <v/>
      </c>
      <c r="J19" s="121" t="str">
        <f t="shared" si="4"/>
        <v/>
      </c>
      <c r="K19" s="121" t="str">
        <f t="shared" si="4"/>
        <v/>
      </c>
      <c r="L19" s="121" t="str">
        <f t="shared" si="4"/>
        <v/>
      </c>
      <c r="M19" s="121">
        <f t="shared" si="4"/>
        <v>5.2000000000000005E-2</v>
      </c>
      <c r="N19" s="121" t="str">
        <f t="shared" si="4"/>
        <v/>
      </c>
      <c r="O19" s="121">
        <f t="shared" si="4"/>
        <v>2.6000000000000002E-2</v>
      </c>
      <c r="P19" s="121" t="str">
        <f t="shared" si="4"/>
        <v/>
      </c>
      <c r="Q19" s="121" t="str">
        <f t="shared" si="4"/>
        <v/>
      </c>
      <c r="R19" s="121" t="str">
        <f t="shared" si="4"/>
        <v/>
      </c>
      <c r="S19" s="121" t="str">
        <f t="shared" si="4"/>
        <v/>
      </c>
      <c r="T19" s="121" t="str">
        <f t="shared" si="4"/>
        <v/>
      </c>
      <c r="U19" s="121" t="str">
        <f t="shared" si="4"/>
        <v/>
      </c>
      <c r="V19" s="121" t="str">
        <f t="shared" si="4"/>
        <v/>
      </c>
      <c r="W19" s="121" t="str">
        <f t="shared" si="4"/>
        <v/>
      </c>
      <c r="X19" s="121" t="str">
        <f t="shared" si="4"/>
        <v/>
      </c>
    </row>
    <row r="20" spans="2:24" x14ac:dyDescent="0.3">
      <c r="B20" s="4" t="s">
        <v>28</v>
      </c>
      <c r="C20" s="3">
        <f>SUM(C15:C19)</f>
        <v>1000</v>
      </c>
      <c r="D20" s="3">
        <v>100</v>
      </c>
    </row>
    <row r="21" spans="2:24" x14ac:dyDescent="0.3">
      <c r="B21" s="4" t="s">
        <v>29</v>
      </c>
      <c r="E21" s="10">
        <f t="shared" ref="E21:X21" si="5">SUM(E15:E19)</f>
        <v>0</v>
      </c>
      <c r="F21" s="10">
        <f t="shared" si="5"/>
        <v>0</v>
      </c>
      <c r="G21" s="10">
        <f t="shared" si="5"/>
        <v>0</v>
      </c>
      <c r="H21" s="10">
        <f t="shared" si="5"/>
        <v>0</v>
      </c>
      <c r="I21" s="10">
        <f t="shared" si="5"/>
        <v>0</v>
      </c>
      <c r="J21" s="10">
        <f t="shared" si="5"/>
        <v>0</v>
      </c>
      <c r="K21" s="10">
        <f t="shared" si="5"/>
        <v>4.2000000000000003E-2</v>
      </c>
      <c r="L21" s="10">
        <f t="shared" si="5"/>
        <v>1.7399999999999998E-3</v>
      </c>
      <c r="M21" s="10">
        <f t="shared" si="5"/>
        <v>0.191</v>
      </c>
      <c r="N21" s="10">
        <f t="shared" si="5"/>
        <v>0.15000000000000002</v>
      </c>
      <c r="O21" s="10">
        <f t="shared" si="5"/>
        <v>2.6000000000000002E-2</v>
      </c>
      <c r="P21" s="10">
        <f t="shared" si="5"/>
        <v>0</v>
      </c>
      <c r="Q21" s="10">
        <f t="shared" si="5"/>
        <v>0</v>
      </c>
      <c r="R21" s="10">
        <f t="shared" si="5"/>
        <v>0</v>
      </c>
      <c r="S21" s="10">
        <f t="shared" si="5"/>
        <v>0</v>
      </c>
      <c r="T21" s="10">
        <f t="shared" si="5"/>
        <v>0</v>
      </c>
      <c r="U21" s="10">
        <f t="shared" si="5"/>
        <v>0</v>
      </c>
      <c r="V21" s="10">
        <f t="shared" si="5"/>
        <v>0.15594</v>
      </c>
      <c r="W21" s="10">
        <f t="shared" si="5"/>
        <v>0</v>
      </c>
      <c r="X21" s="10">
        <f t="shared" si="5"/>
        <v>0</v>
      </c>
    </row>
    <row r="23" spans="2:24" x14ac:dyDescent="0.3">
      <c r="B23" s="4" t="s">
        <v>44</v>
      </c>
    </row>
    <row r="25" spans="2:24" ht="18" x14ac:dyDescent="0.3">
      <c r="B25" s="4" t="s">
        <v>54</v>
      </c>
    </row>
    <row r="26" spans="2:24" x14ac:dyDescent="0.3">
      <c r="B26" s="11" t="s">
        <v>45</v>
      </c>
      <c r="E26" s="9"/>
      <c r="F26" s="10" t="str">
        <f>IF(F21=0,"",IF(F21&lt;tolerancias!B2,"SI","NO"))</f>
        <v/>
      </c>
      <c r="G26" s="10"/>
      <c r="H26" s="10"/>
      <c r="I26" s="10"/>
      <c r="J26" s="10"/>
      <c r="K26" s="10" t="str">
        <f>IF(K21=0,"",IF(K21&lt;tolerancias!C2,"SI","NO"))</f>
        <v>NO</v>
      </c>
      <c r="L26" s="4" t="str">
        <f>IF(L21=0,"",IF(L21&lt;tolerancias!D2,"SI","NO"))</f>
        <v>SI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3">
      <c r="B27" s="11" t="s">
        <v>46</v>
      </c>
      <c r="E27" s="9"/>
      <c r="F27" s="9"/>
      <c r="G27" s="9"/>
      <c r="H27" s="9"/>
      <c r="I27" s="9"/>
      <c r="J27" s="9"/>
      <c r="K27" s="9"/>
      <c r="L27" s="9"/>
      <c r="M27" s="9" t="s">
        <v>55</v>
      </c>
      <c r="N27" s="9" t="s">
        <v>55</v>
      </c>
      <c r="O27" s="9" t="s">
        <v>55</v>
      </c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3">
      <c r="B28" s="4" t="s">
        <v>47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3">
      <c r="B29" s="4" t="s">
        <v>48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 t="str">
        <f>IF(P21=0,"",IF(P21&gt;tolerancias!H5,"SI","NO"))</f>
        <v/>
      </c>
      <c r="Q29" s="10" t="str">
        <f>IF(Q21=0,"",IF(Q21&gt;tolerancias!I5,"SI","NO"))</f>
        <v/>
      </c>
      <c r="R29" s="10" t="str">
        <f>IF(R21=0,"",IF(R21&gt;tolerancias!J5,"SI","NO"))</f>
        <v/>
      </c>
      <c r="S29" s="10" t="str">
        <f>IF(S21=0,"",IF(S21&gt;tolerancias!K5,"SI","NO"))</f>
        <v/>
      </c>
      <c r="T29" s="10" t="str">
        <f>IF(T21=0,"",IF(T21&gt;tolerancias!L5,"SI","NO"))</f>
        <v/>
      </c>
      <c r="U29" s="10" t="str">
        <f>IF(U21=0,"",IF(U21&gt;tolerancias!M5,"SI","NO"))</f>
        <v/>
      </c>
      <c r="V29" s="10" t="str">
        <f>IF(V21=0,"",IF(V21&gt;tolerancias!N5,"SI","NO"))</f>
        <v>SI</v>
      </c>
      <c r="W29" s="10" t="str">
        <f>IF(W21=0,"",IF(W21&gt;tolerancias!P5,"SI","NO"))</f>
        <v/>
      </c>
      <c r="X29" s="9"/>
    </row>
    <row r="30" spans="2:24" x14ac:dyDescent="0.3">
      <c r="B30" s="12" t="s">
        <v>49</v>
      </c>
    </row>
    <row r="31" spans="2:24" x14ac:dyDescent="0.3">
      <c r="B31" s="12"/>
    </row>
    <row r="32" spans="2:24" ht="18" x14ac:dyDescent="0.3">
      <c r="B32" s="4" t="s">
        <v>61</v>
      </c>
    </row>
    <row r="33" spans="2:24" x14ac:dyDescent="0.3">
      <c r="B33" s="4" t="s">
        <v>62</v>
      </c>
      <c r="E33" s="9"/>
      <c r="F33" s="10" t="str">
        <f>IF(F21=0,"",((-0.0005*100*100*F$21*F$21+0.0413*100*F$21+0.6533)/100))</f>
        <v/>
      </c>
      <c r="G33" s="10"/>
      <c r="H33" s="10"/>
      <c r="I33" s="10"/>
      <c r="J33" s="10"/>
      <c r="K33" s="10">
        <f>IF(K21=0,"",((-0.0005*100*100*K$21*K$21+0.0413*100*K$21+0.6533)/100))</f>
        <v>8.1793999999999999E-3</v>
      </c>
      <c r="L33" s="13">
        <f>IF(L21=0,"",((-0.0007*10000*L$21*L$21+0.0769*100*L$21+0.3941)/100))</f>
        <v>4.0745940679999997E-3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ht="17.25" x14ac:dyDescent="0.3">
      <c r="B34" s="11" t="s">
        <v>53</v>
      </c>
      <c r="E34" s="10"/>
      <c r="F34" s="10" t="str">
        <f>IF(F21=0,"",IF(OR(F21&lt;4.001%,F21&gt;32.001%),"SI","NO"))</f>
        <v/>
      </c>
      <c r="G34" s="9"/>
      <c r="H34" s="9"/>
      <c r="I34" s="9"/>
      <c r="J34" s="9"/>
      <c r="K34" s="10" t="str">
        <f>IF(K21=0,"",IF(OR(K21&lt;4.001%,K21&gt;32.001%),"SI","NO"))</f>
        <v>NO</v>
      </c>
      <c r="L34" s="10" t="str">
        <f>IF(L21=0,"",IF(OR(L21&lt;4.001%,L21&gt;32.001%),"SI","NO"))</f>
        <v>SI</v>
      </c>
      <c r="M34" s="10">
        <f>IF(M21=0,"",((0.42+0.105*100*M$21)/100))</f>
        <v>2.4254999999999999E-2</v>
      </c>
      <c r="N34" s="10">
        <f>IF(N21=0,"",((0.5+0.125*100*N$21)/100))</f>
        <v>2.375E-2</v>
      </c>
      <c r="O34" s="10">
        <f>IF(O21=0,"",((0.3+0.075*100*O$21)/100))</f>
        <v>4.9499999999999995E-3</v>
      </c>
      <c r="P34" s="10" t="str">
        <f>IF(P21=0,"",((0.005+0.25*100*P$21)/100))</f>
        <v/>
      </c>
      <c r="Q34" s="10" t="str">
        <f>IF(Q21=0,"",((0.000125+0.375*100*Q$21)/100))</f>
        <v/>
      </c>
      <c r="R34" s="10" t="str">
        <f>IF(R21=0,"",((0.015+0.3*100*R$21)/100))</f>
        <v/>
      </c>
      <c r="S34" s="10" t="str">
        <f>IF(S21=0,"",((0.015+0.3*100*S$21)/100))</f>
        <v/>
      </c>
      <c r="T34" s="10" t="str">
        <f>IF(T21=0,"",((0.015+0.3*100*T$21)/100))</f>
        <v/>
      </c>
      <c r="U34" s="10" t="str">
        <f>IF(U21=0,"",((0.000125+0.375*100*U$21)/100))</f>
        <v/>
      </c>
      <c r="V34" s="10"/>
      <c r="W34" s="10" t="str">
        <f>IF(W21=0,"",((0.015+0.3*100*W$21)/100))</f>
        <v/>
      </c>
      <c r="X34" s="10" t="str">
        <f>IF(X21=0,"",((0.015+0.3*100*X$21)/100))</f>
        <v/>
      </c>
    </row>
    <row r="35" spans="2:24" ht="17.25" x14ac:dyDescent="0.3">
      <c r="B35" s="11" t="s">
        <v>63</v>
      </c>
      <c r="F35" s="9"/>
      <c r="G35" s="9"/>
      <c r="H35" s="9"/>
      <c r="I35" s="9"/>
      <c r="J35" s="9"/>
      <c r="K35" s="9"/>
      <c r="L35" s="9"/>
      <c r="M35" s="4" t="str">
        <f t="shared" ref="M35:U35" si="6">IF(M21=0,"",IF(OR(M34&gt;M21/2,M34&gt;1.501%),"SI","NO"))</f>
        <v>SI</v>
      </c>
      <c r="N35" s="4" t="str">
        <f t="shared" si="6"/>
        <v>SI</v>
      </c>
      <c r="O35" s="4" t="str">
        <f t="shared" si="6"/>
        <v>NO</v>
      </c>
      <c r="P35" s="4" t="str">
        <f t="shared" si="6"/>
        <v/>
      </c>
      <c r="Q35" s="4" t="str">
        <f t="shared" si="6"/>
        <v/>
      </c>
      <c r="R35" s="4" t="str">
        <f t="shared" si="6"/>
        <v/>
      </c>
      <c r="S35" s="4" t="str">
        <f t="shared" si="6"/>
        <v/>
      </c>
      <c r="T35" s="4" t="str">
        <f t="shared" si="6"/>
        <v/>
      </c>
      <c r="U35" s="4" t="str">
        <f t="shared" si="6"/>
        <v/>
      </c>
      <c r="V35" s="4" t="str">
        <f>IF(V5="SiO2","",IF(V21=0,"",IF(OR(V34&gt;V21/2,V34&gt;1.501%),"SI","NO")))</f>
        <v/>
      </c>
      <c r="W35" s="4" t="str">
        <f>IF(W21=0,"",IF(OR(W34&gt;W21/2,W34&gt;1.501%),"SI","NO"))</f>
        <v/>
      </c>
      <c r="X35" s="4" t="str">
        <f>IF(X21=0,"",IF(OR(X34&gt;X21/2,X34&gt;1.501%),"SI","NO"))</f>
        <v/>
      </c>
    </row>
    <row r="36" spans="2:24" x14ac:dyDescent="0.3">
      <c r="B36" s="4" t="s">
        <v>43</v>
      </c>
      <c r="E36" s="16"/>
      <c r="F36" s="10" t="str">
        <f>IF(F21=0,"",IF(F34="NO",F33,IF(F21&lt;4%,0.81%,1.46%)))</f>
        <v/>
      </c>
      <c r="G36" s="16"/>
      <c r="H36" s="16"/>
      <c r="I36" s="16"/>
      <c r="J36" s="16"/>
      <c r="K36" s="16">
        <f>IF(K21=0,"",IF(K34="NO",K33,IF(K21&lt;4%,0.81%,1.46%)))</f>
        <v>8.1793999999999999E-3</v>
      </c>
      <c r="L36" s="16">
        <f>IF(L21=0,"",IF(L34="NO",L33,IF(L21&lt;4%,0.69%,2.14%)))</f>
        <v>6.8999999999999999E-3</v>
      </c>
      <c r="M36" s="16">
        <f t="shared" ref="M36:U36" si="7">IF(M21=0,"",IF(M34="NO",M33,1.5%))</f>
        <v>1.4999999999999999E-2</v>
      </c>
      <c r="N36" s="16">
        <f t="shared" si="7"/>
        <v>1.4999999999999999E-2</v>
      </c>
      <c r="O36" s="16">
        <f t="shared" si="7"/>
        <v>1.4999999999999999E-2</v>
      </c>
      <c r="P36" s="16" t="str">
        <f t="shared" si="7"/>
        <v/>
      </c>
      <c r="Q36" s="16" t="str">
        <f t="shared" si="7"/>
        <v/>
      </c>
      <c r="R36" s="16" t="str">
        <f t="shared" si="7"/>
        <v/>
      </c>
      <c r="S36" s="16" t="str">
        <f t="shared" si="7"/>
        <v/>
      </c>
      <c r="T36" s="16" t="str">
        <f t="shared" si="7"/>
        <v/>
      </c>
      <c r="U36" s="16" t="str">
        <f t="shared" si="7"/>
        <v/>
      </c>
      <c r="V36" s="16" t="str">
        <f>IF(V5="SiO2","",IF(V21=0,"",IF(V34="NO",V33,1.5%)))</f>
        <v/>
      </c>
      <c r="W36" s="16" t="str">
        <f>IF(W21=0,"",IF(W34="NO",W33,1.5%))</f>
        <v/>
      </c>
      <c r="X36" s="16" t="str">
        <f>IF(X21=0,"",IF(X34="NO",X33,1.5%))</f>
        <v/>
      </c>
    </row>
    <row r="37" spans="2:24" x14ac:dyDescent="0.3">
      <c r="B37" s="12" t="s">
        <v>50</v>
      </c>
    </row>
    <row r="38" spans="2:24" ht="15" customHeight="1" x14ac:dyDescent="0.3">
      <c r="B38" s="12" t="s">
        <v>51</v>
      </c>
    </row>
    <row r="39" spans="2:24" ht="15" customHeight="1" x14ac:dyDescent="0.3">
      <c r="B39" s="12" t="s">
        <v>52</v>
      </c>
    </row>
    <row r="40" spans="2:24" ht="15" customHeight="1" x14ac:dyDescent="0.3"/>
    <row r="41" spans="2:24" x14ac:dyDescent="0.3">
      <c r="B41" s="4" t="s">
        <v>87</v>
      </c>
      <c r="E41" s="10" t="str">
        <f>IF(E5="C","",IF(E21=0,"",E42-E36))</f>
        <v/>
      </c>
      <c r="F41" s="10" t="str">
        <f t="shared" ref="F41:U41" si="8">IF(F21=0,"",F42-F36)</f>
        <v/>
      </c>
      <c r="G41" s="10" t="str">
        <f t="shared" si="8"/>
        <v/>
      </c>
      <c r="H41" s="10" t="str">
        <f t="shared" si="8"/>
        <v/>
      </c>
      <c r="I41" s="10" t="str">
        <f t="shared" si="8"/>
        <v/>
      </c>
      <c r="J41" s="10" t="str">
        <f t="shared" si="8"/>
        <v/>
      </c>
      <c r="K41" s="10">
        <f t="shared" si="8"/>
        <v>3.3820600000000006E-2</v>
      </c>
      <c r="L41" s="10">
        <f t="shared" si="8"/>
        <v>-5.1599999999999997E-3</v>
      </c>
      <c r="M41" s="10">
        <f t="shared" si="8"/>
        <v>0.17599999999999999</v>
      </c>
      <c r="N41" s="10">
        <f t="shared" si="8"/>
        <v>0.13500000000000001</v>
      </c>
      <c r="O41" s="10">
        <f t="shared" si="8"/>
        <v>1.1000000000000003E-2</v>
      </c>
      <c r="P41" s="10" t="str">
        <f t="shared" si="8"/>
        <v/>
      </c>
      <c r="Q41" s="10" t="str">
        <f t="shared" si="8"/>
        <v/>
      </c>
      <c r="R41" s="10" t="str">
        <f t="shared" si="8"/>
        <v/>
      </c>
      <c r="S41" s="10" t="str">
        <f t="shared" si="8"/>
        <v/>
      </c>
      <c r="T41" s="10" t="str">
        <f t="shared" si="8"/>
        <v/>
      </c>
      <c r="U41" s="10" t="str">
        <f t="shared" si="8"/>
        <v/>
      </c>
      <c r="V41" s="10" t="str">
        <f>IF(V5="SiO2","",IF(V21=0,"",V42-V36))</f>
        <v/>
      </c>
      <c r="W41" s="10" t="str">
        <f>IF(W21=0,"",W42-W36)</f>
        <v/>
      </c>
      <c r="X41" s="10" t="str">
        <f>IF(X21=0,"",X42-X36)</f>
        <v/>
      </c>
    </row>
    <row r="42" spans="2:24" x14ac:dyDescent="0.3">
      <c r="B42" s="4" t="str">
        <f>_xlfn.CONCAT("SOLICITUD DE REGISTRO ICA: ",B5)</f>
        <v>SOLICITUD DE REGISTRO ICA: MATERIA PRIMA</v>
      </c>
      <c r="E42" s="10" t="str">
        <f>IF(E21=0,"",E21)</f>
        <v/>
      </c>
      <c r="F42" s="10" t="str">
        <f>IF(F21=0,"",F21)</f>
        <v/>
      </c>
      <c r="G42" s="10" t="str">
        <f t="shared" ref="G42:X42" si="9">IF(G21=0,"",G21)</f>
        <v/>
      </c>
      <c r="H42" s="10" t="str">
        <f t="shared" si="9"/>
        <v/>
      </c>
      <c r="I42" s="10" t="str">
        <f t="shared" si="9"/>
        <v/>
      </c>
      <c r="J42" s="10" t="str">
        <f t="shared" si="9"/>
        <v/>
      </c>
      <c r="K42" s="10">
        <f t="shared" si="9"/>
        <v>4.2000000000000003E-2</v>
      </c>
      <c r="L42" s="10">
        <f t="shared" si="9"/>
        <v>1.7399999999999998E-3</v>
      </c>
      <c r="M42" s="10">
        <f t="shared" si="9"/>
        <v>0.191</v>
      </c>
      <c r="N42" s="10">
        <f t="shared" si="9"/>
        <v>0.15000000000000002</v>
      </c>
      <c r="O42" s="10">
        <f t="shared" si="9"/>
        <v>2.6000000000000002E-2</v>
      </c>
      <c r="P42" s="10" t="str">
        <f t="shared" si="9"/>
        <v/>
      </c>
      <c r="Q42" s="10" t="str">
        <f t="shared" si="9"/>
        <v/>
      </c>
      <c r="R42" s="10" t="str">
        <f t="shared" si="9"/>
        <v/>
      </c>
      <c r="S42" s="10" t="str">
        <f t="shared" si="9"/>
        <v/>
      </c>
      <c r="T42" s="10" t="str">
        <f t="shared" si="9"/>
        <v/>
      </c>
      <c r="U42" s="10" t="str">
        <f t="shared" si="9"/>
        <v/>
      </c>
      <c r="V42" s="10">
        <f t="shared" si="9"/>
        <v>0.15594</v>
      </c>
      <c r="W42" s="10" t="str">
        <f t="shared" si="9"/>
        <v/>
      </c>
      <c r="X42" s="10" t="str">
        <f t="shared" si="9"/>
        <v/>
      </c>
    </row>
    <row r="43" spans="2:24" x14ac:dyDescent="0.3">
      <c r="B43" s="4" t="s">
        <v>88</v>
      </c>
      <c r="E43" s="10" t="str">
        <f>IF(E5="C","",IF(E21=0,"",E42+E36))</f>
        <v/>
      </c>
      <c r="F43" s="10" t="str">
        <f t="shared" ref="F43:U43" si="10">IF(F21=0,"",F42+F36)</f>
        <v/>
      </c>
      <c r="G43" s="10" t="str">
        <f t="shared" si="10"/>
        <v/>
      </c>
      <c r="H43" s="10" t="str">
        <f t="shared" si="10"/>
        <v/>
      </c>
      <c r="I43" s="10" t="str">
        <f t="shared" si="10"/>
        <v/>
      </c>
      <c r="J43" s="10" t="str">
        <f t="shared" si="10"/>
        <v/>
      </c>
      <c r="K43" s="10">
        <f t="shared" si="10"/>
        <v>5.0179399999999999E-2</v>
      </c>
      <c r="L43" s="10">
        <f t="shared" si="10"/>
        <v>8.6400000000000001E-3</v>
      </c>
      <c r="M43" s="10">
        <f t="shared" si="10"/>
        <v>0.20600000000000002</v>
      </c>
      <c r="N43" s="10">
        <f t="shared" si="10"/>
        <v>0.16500000000000004</v>
      </c>
      <c r="O43" s="10">
        <f t="shared" si="10"/>
        <v>4.1000000000000002E-2</v>
      </c>
      <c r="P43" s="10" t="str">
        <f t="shared" si="10"/>
        <v/>
      </c>
      <c r="Q43" s="10" t="str">
        <f t="shared" si="10"/>
        <v/>
      </c>
      <c r="R43" s="10" t="str">
        <f t="shared" si="10"/>
        <v/>
      </c>
      <c r="S43" s="10" t="str">
        <f t="shared" si="10"/>
        <v/>
      </c>
      <c r="T43" s="10" t="str">
        <f t="shared" si="10"/>
        <v/>
      </c>
      <c r="U43" s="10" t="str">
        <f t="shared" si="10"/>
        <v/>
      </c>
      <c r="V43" s="10" t="str">
        <f>IF(V5="SiO2","",IF(V21=0,"",V42+V36))</f>
        <v/>
      </c>
      <c r="W43" s="10" t="str">
        <f>IF(W21=0,"",W42+W36)</f>
        <v/>
      </c>
      <c r="X43" s="10" t="str">
        <f>IF(X21=0,"",X42+X36)</f>
        <v/>
      </c>
    </row>
  </sheetData>
  <conditionalFormatting sqref="E36:X36 K34:X34 E34:F34 E41:X43 E21:X21">
    <cfRule type="cellIs" dxfId="110" priority="2" operator="equal">
      <formula>0</formula>
    </cfRule>
    <cfRule type="containsBlanks" dxfId="109" priority="99">
      <formula>LEN(TRIM(E21))=0</formula>
    </cfRule>
  </conditionalFormatting>
  <conditionalFormatting sqref="F26:K26">
    <cfRule type="cellIs" dxfId="108" priority="53" operator="equal">
      <formula>0</formula>
    </cfRule>
    <cfRule type="containsBlanks" dxfId="107" priority="54">
      <formula>LEN(TRIM(F26))=0</formula>
    </cfRule>
  </conditionalFormatting>
  <conditionalFormatting sqref="F33:K33">
    <cfRule type="cellIs" dxfId="106" priority="93" operator="equal">
      <formula>0</formula>
    </cfRule>
    <cfRule type="containsBlanks" dxfId="105" priority="94">
      <formula>LEN(TRIM(F33))=0</formula>
    </cfRule>
  </conditionalFormatting>
  <conditionalFormatting sqref="F35:L35 M26:X26 M33:X33 E33 P27:X28 X29 E26:E29 E6:X10 E15:X19">
    <cfRule type="cellIs" dxfId="104" priority="27" operator="equal">
      <formula>0</formula>
    </cfRule>
    <cfRule type="containsBlanks" dxfId="103" priority="98">
      <formula>LEN(TRIM(E6))=0</formula>
    </cfRule>
  </conditionalFormatting>
  <conditionalFormatting sqref="F27:O29">
    <cfRule type="cellIs" dxfId="102" priority="69" operator="equal">
      <formula>0</formula>
    </cfRule>
    <cfRule type="containsBlanks" dxfId="101" priority="70">
      <formula>LEN(TRIM(F27))=0</formula>
    </cfRule>
  </conditionalFormatting>
  <conditionalFormatting sqref="P29:W29">
    <cfRule type="cellIs" dxfId="100" priority="95" operator="equal">
      <formula>0</formula>
    </cfRule>
    <cfRule type="containsBlanks" dxfId="99" priority="96">
      <formula>LEN(TRIM(P29))=0</formula>
    </cfRule>
  </conditionalFormatting>
  <conditionalFormatting sqref="G34:J34">
    <cfRule type="cellIs" dxfId="98" priority="33" operator="equal">
      <formula>0</formula>
    </cfRule>
    <cfRule type="containsBlanks" dxfId="97" priority="34">
      <formula>LEN(TRIM(G34))=0</formula>
    </cfRule>
  </conditionalFormatting>
  <conditionalFormatting sqref="E6:X10">
    <cfRule type="notContainsBlanks" dxfId="96" priority="4">
      <formula>LEN(TRIM(E6))&gt;0</formula>
    </cfRule>
  </conditionalFormatting>
  <conditionalFormatting sqref="E15:X19">
    <cfRule type="notContainsBlanks" dxfId="95" priority="3">
      <formula>LEN(TRIM(E15))&gt;0</formula>
    </cfRule>
  </conditionalFormatting>
  <conditionalFormatting sqref="E21:X21">
    <cfRule type="notContainsBlanks" dxfId="94" priority="21">
      <formula>LEN(TRIM(E21))&gt;0</formula>
    </cfRule>
  </conditionalFormatting>
  <conditionalFormatting sqref="E41:X43">
    <cfRule type="notContainsBlanks" dxfId="93" priority="1">
      <formula>LEN(TRIM(E41))&gt;0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48"/>
  <sheetViews>
    <sheetView zoomScale="70" zoomScaleNormal="70" workbookViewId="0">
      <selection activeCell="B9" sqref="B9"/>
    </sheetView>
  </sheetViews>
  <sheetFormatPr baseColWidth="10" defaultColWidth="8.875" defaultRowHeight="16.5" x14ac:dyDescent="0.3"/>
  <cols>
    <col min="1" max="1" width="6.75" style="18" customWidth="1"/>
    <col min="2" max="2" width="54.75" style="18" bestFit="1" customWidth="1"/>
    <col min="3" max="4" width="8.875" style="19"/>
    <col min="5" max="5" width="16.625" style="19" customWidth="1"/>
    <col min="6" max="6" width="12" style="19" customWidth="1"/>
    <col min="7" max="7" width="13" style="19" customWidth="1"/>
    <col min="8" max="8" width="10.25" style="19" customWidth="1"/>
    <col min="9" max="9" width="11" style="19" customWidth="1"/>
    <col min="10" max="10" width="11.25" style="19" customWidth="1"/>
    <col min="11" max="11" width="11.375" style="19" customWidth="1"/>
    <col min="12" max="12" width="9.25" style="19" customWidth="1"/>
    <col min="13" max="13" width="7.875" style="19" customWidth="1"/>
    <col min="14" max="14" width="10.5" style="19" customWidth="1"/>
    <col min="15" max="15" width="8.875" style="19" customWidth="1"/>
    <col min="16" max="16" width="6.375" style="19" customWidth="1"/>
    <col min="17" max="17" width="8.75" style="19" customWidth="1"/>
    <col min="18" max="18" width="9.125" style="19" customWidth="1"/>
    <col min="19" max="19" width="8.125" style="19" bestFit="1" customWidth="1"/>
    <col min="20" max="20" width="13.375" style="19" customWidth="1"/>
    <col min="21" max="21" width="11.625" style="19" customWidth="1"/>
    <col min="22" max="22" width="8.875" style="19" customWidth="1"/>
    <col min="23" max="23" width="7.875" style="19" customWidth="1"/>
    <col min="24" max="24" width="7.875" style="19" bestFit="1" customWidth="1"/>
    <col min="26" max="16384" width="8.875" style="18"/>
  </cols>
  <sheetData>
    <row r="1" spans="1:26" x14ac:dyDescent="0.3">
      <c r="A1" s="69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Z1" s="47"/>
    </row>
    <row r="2" spans="1:26" x14ac:dyDescent="0.3">
      <c r="A2" s="57"/>
      <c r="C2" s="91"/>
      <c r="D2" s="92"/>
      <c r="E2" s="61"/>
      <c r="F2" s="61" t="s">
        <v>2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127" t="s">
        <v>1</v>
      </c>
      <c r="T2" s="128"/>
      <c r="Z2" s="48"/>
    </row>
    <row r="3" spans="1:26" x14ac:dyDescent="0.3">
      <c r="A3" s="57"/>
      <c r="C3" s="93"/>
      <c r="D3" s="94"/>
      <c r="E3" s="58"/>
      <c r="F3" s="58" t="s">
        <v>3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60"/>
      <c r="S3" s="129" t="s">
        <v>1</v>
      </c>
      <c r="T3" s="130"/>
      <c r="Z3" s="48"/>
    </row>
    <row r="4" spans="1:26" x14ac:dyDescent="0.3">
      <c r="A4" s="57"/>
      <c r="C4" s="95"/>
      <c r="D4" s="96"/>
      <c r="E4" s="114"/>
      <c r="F4" s="114" t="s">
        <v>0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90"/>
      <c r="S4" s="59"/>
      <c r="T4" s="59"/>
      <c r="Z4" s="48"/>
    </row>
    <row r="5" spans="1:26" ht="17.25" thickBot="1" x14ac:dyDescent="0.35">
      <c r="A5" s="49"/>
      <c r="B5" s="34"/>
      <c r="C5" s="34"/>
      <c r="D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Z5" s="48"/>
    </row>
    <row r="6" spans="1:26" ht="30.75" thickBot="1" x14ac:dyDescent="0.35">
      <c r="A6" s="49"/>
      <c r="B6" s="68" t="s">
        <v>85</v>
      </c>
      <c r="C6" s="124" t="s">
        <v>93</v>
      </c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  <c r="Z6" s="48"/>
    </row>
    <row r="7" spans="1:26" ht="17.25" thickBot="1" x14ac:dyDescent="0.35">
      <c r="A7" s="50"/>
      <c r="Z7" s="48"/>
    </row>
    <row r="8" spans="1:26" s="32" customFormat="1" ht="50.25" thickBot="1" x14ac:dyDescent="0.35">
      <c r="A8" s="51"/>
      <c r="B8" s="75" t="str">
        <f>IF(OR(entrada!B14=0,entrada!B14=""),"",entrada!B14)</f>
        <v>MATERIA PRIMA</v>
      </c>
      <c r="C8" s="75" t="str">
        <f>IF(OR(entrada!C14=0,entrada!C14=""),"",entrada!C14)</f>
        <v>kg / Ton</v>
      </c>
      <c r="D8" s="75" t="str">
        <f>IF(OR(entrada!D14=0,entrada!D14=""),"",entrada!D14)</f>
        <v>%/100 kg</v>
      </c>
      <c r="E8" s="70" t="str">
        <f>IF(OR(entrada!E14=0,entrada!E14=""),"",entrada!E14)</f>
        <v>Carbono organico total oxidable C</v>
      </c>
      <c r="F8" s="70" t="str">
        <f>IF(OR(entrada!F14=0,entrada!F14=""),"",entrada!F14)</f>
        <v>Nitrogeno Total N</v>
      </c>
      <c r="G8" s="70" t="str">
        <f>IF(OR(entrada!G14=0,entrada!G14=""),"",entrada!G14)</f>
        <v>Nitrogeno amoniacal</v>
      </c>
      <c r="H8" s="70" t="str">
        <f>IF(OR(entrada!H14=0,entrada!H14=""),"",entrada!H14)</f>
        <v>Nitrogeno nitrico</v>
      </c>
      <c r="I8" s="70" t="str">
        <f>IF(OR(entrada!I14=0,entrada!I14=""),"",entrada!I14)</f>
        <v>Nitrogeno organico</v>
      </c>
      <c r="J8" s="70" t="str">
        <f>IF(OR(entrada!J14=0,entrada!J14=""),"",entrada!J14)</f>
        <v>Nitrogeno ureico</v>
      </c>
      <c r="K8" s="70" t="str">
        <f>IF(OR(entrada!K14=0,entrada!K14=""),"",entrada!K14)</f>
        <v>Fosforo asimilable P2O5</v>
      </c>
      <c r="L8" s="70" t="str">
        <f>IF(OR(entrada!L14=0,entrada!L14=""),"",entrada!L14)</f>
        <v>Potasio soluble K2O</v>
      </c>
      <c r="M8" s="70" t="str">
        <f>IF(OR(entrada!M14=0,entrada!M14=""),"",entrada!M14)</f>
        <v>Calcio CaO</v>
      </c>
      <c r="N8" s="70" t="str">
        <f>IF(OR(entrada!N14=0,entrada!N14=""),"",entrada!N14)</f>
        <v>Magnesio MgO</v>
      </c>
      <c r="O8" s="70" t="str">
        <f>IF(OR(entrada!O14=0,entrada!O14=""),"",entrada!O14)</f>
        <v>Azufre S</v>
      </c>
      <c r="P8" s="70" t="str">
        <f>IF(OR(entrada!P14=0,entrada!P14=""),"",entrada!P14)</f>
        <v>Boro B</v>
      </c>
      <c r="Q8" s="70" t="str">
        <f>IF(OR(entrada!Q14=0,entrada!Q14=""),"",entrada!Q14)</f>
        <v>Cobalto Co</v>
      </c>
      <c r="R8" s="70" t="str">
        <f>IF(OR(entrada!R14=0,entrada!R14=""),"",entrada!R14)</f>
        <v>Cobre Cu</v>
      </c>
      <c r="S8" s="70" t="str">
        <f>IF(OR(entrada!S14=0,entrada!S14=""),"",entrada!S14)</f>
        <v>Hierro Fe</v>
      </c>
      <c r="T8" s="70" t="str">
        <f>IF(OR(entrada!T14=0,entrada!T14=""),"",entrada!T14)</f>
        <v>Manganeso Mn</v>
      </c>
      <c r="U8" s="70" t="str">
        <f>IF(OR(entrada!U14=0,entrada!U14=""),"",entrada!U14)</f>
        <v>Molibdeno Mo</v>
      </c>
      <c r="V8" s="70" t="str">
        <f>IF(OR(entrada!V14=0,entrada!V14=""),"",entrada!V14)</f>
        <v>Silicio SiO2</v>
      </c>
      <c r="W8" s="70" t="str">
        <f>IF(OR(entrada!W14=0,entrada!W14=""),"",entrada!W14)</f>
        <v>Zinc Zn</v>
      </c>
      <c r="X8" s="71" t="str">
        <f>IF(OR(entrada!X14=0,entrada!X14=""),"",entrada!X14)</f>
        <v>Sodio Na</v>
      </c>
      <c r="Z8" s="52"/>
    </row>
    <row r="9" spans="1:26" x14ac:dyDescent="0.3">
      <c r="A9" s="50"/>
      <c r="B9" s="63" t="str">
        <f>IF(OR(entrada!B15=0,entrada!B15=""),"",entrada!B15)</f>
        <v>CARBONATO CALCIO - AGROCALES</v>
      </c>
      <c r="C9" s="93">
        <f>IF(OR(entrada!C15=0,entrada!C15=""),"",entrada!C15)</f>
        <v>100</v>
      </c>
      <c r="D9" s="30">
        <f>IF(OR(entrada!D15=0,entrada!D15=""),"",entrada!D15)</f>
        <v>10</v>
      </c>
      <c r="E9" s="20" t="str">
        <f>IF(OR(entrada!E15=0,entrada!E15=""),"",entrada!E15)</f>
        <v/>
      </c>
      <c r="F9" s="20" t="str">
        <f>IF(OR(entrada!F15=0,entrada!F15=""),"",entrada!F15)</f>
        <v/>
      </c>
      <c r="G9" s="20" t="str">
        <f>IF(OR(entrada!G15=0,entrada!G15=""),"",entrada!G15)</f>
        <v/>
      </c>
      <c r="H9" s="20" t="str">
        <f>IF(OR(entrada!H15=0,entrada!H15=""),"",entrada!H15)</f>
        <v/>
      </c>
      <c r="I9" s="20" t="str">
        <f>IF(OR(entrada!I15=0,entrada!I15=""),"",entrada!I15)</f>
        <v/>
      </c>
      <c r="J9" s="20" t="str">
        <f>IF(OR(entrada!J15=0,entrada!J15=""),"",entrada!J15)</f>
        <v/>
      </c>
      <c r="K9" s="20" t="str">
        <f>IF(OR(entrada!K15=0,entrada!K15=""),"",entrada!K15)</f>
        <v/>
      </c>
      <c r="L9" s="20" t="str">
        <f>IF(OR(entrada!L15=0,entrada!L15=""),"",entrada!L15)</f>
        <v/>
      </c>
      <c r="M9" s="20">
        <f>IF(OR(entrada!M15=0,entrada!M15=""),"",entrada!M15)</f>
        <v>4.4000000000000004E-2</v>
      </c>
      <c r="N9" s="20" t="str">
        <f>IF(OR(entrada!N15=0,entrada!N15=""),"",entrada!N15)</f>
        <v/>
      </c>
      <c r="O9" s="20" t="str">
        <f>IF(OR(entrada!O15=0,entrada!O15=""),"",entrada!O15)</f>
        <v/>
      </c>
      <c r="P9" s="20" t="str">
        <f>IF(OR(entrada!P15=0,entrada!P15=""),"",entrada!P15)</f>
        <v/>
      </c>
      <c r="Q9" s="20" t="str">
        <f>IF(OR(entrada!Q15=0,entrada!Q15=""),"",entrada!Q15)</f>
        <v/>
      </c>
      <c r="R9" s="20" t="str">
        <f>IF(OR(entrada!R15=0,entrada!R15=""),"",entrada!R15)</f>
        <v/>
      </c>
      <c r="S9" s="20" t="str">
        <f>IF(OR(entrada!S15=0,entrada!S15=""),"",entrada!S15)</f>
        <v/>
      </c>
      <c r="T9" s="20" t="str">
        <f>IF(OR(entrada!T15=0,entrada!T15=""),"",entrada!T15)</f>
        <v/>
      </c>
      <c r="U9" s="20" t="str">
        <f>IF(OR(entrada!U15=0,entrada!U15=""),"",entrada!U15)</f>
        <v/>
      </c>
      <c r="V9" s="20" t="str">
        <f>IF(OR(entrada!V15=0,entrada!V15=""),"",entrada!V15)</f>
        <v/>
      </c>
      <c r="W9" s="20" t="str">
        <f>IF(OR(entrada!W15=0,entrada!W15=""),"",entrada!W15)</f>
        <v/>
      </c>
      <c r="X9" s="20" t="str">
        <f>IF(OR(entrada!X15=0,entrada!X15=""),"",entrada!X15)</f>
        <v/>
      </c>
      <c r="Z9" s="48"/>
    </row>
    <row r="10" spans="1:26" x14ac:dyDescent="0.3">
      <c r="A10" s="50"/>
      <c r="B10" s="63" t="str">
        <f>IF(OR(entrada!B16=0,entrada!B16=""),"",entrada!B16)</f>
        <v>DOLOMITA - BOLIV. MINERALES</v>
      </c>
      <c r="C10" s="93">
        <f>IF(OR(entrada!C16=0,entrada!C16=""),"",entrada!C16)</f>
        <v>100</v>
      </c>
      <c r="D10" s="30">
        <f>IF(OR(entrada!D16=0,entrada!D16=""),"",entrada!D16)</f>
        <v>10</v>
      </c>
      <c r="E10" s="20" t="str">
        <f>IF(OR(entrada!E16=0,entrada!E16=""),"",entrada!E16)</f>
        <v/>
      </c>
      <c r="F10" s="20" t="str">
        <f>IF(OR(entrada!F16=0,entrada!F16=""),"",entrada!F16)</f>
        <v/>
      </c>
      <c r="G10" s="20" t="str">
        <f>IF(OR(entrada!G16=0,entrada!G16=""),"",entrada!G16)</f>
        <v/>
      </c>
      <c r="H10" s="20" t="str">
        <f>IF(OR(entrada!H16=0,entrada!H16=""),"",entrada!H16)</f>
        <v/>
      </c>
      <c r="I10" s="20" t="str">
        <f>IF(OR(entrada!I16=0,entrada!I16=""),"",entrada!I16)</f>
        <v/>
      </c>
      <c r="J10" s="20" t="str">
        <f>IF(OR(entrada!J16=0,entrada!J16=""),"",entrada!J16)</f>
        <v/>
      </c>
      <c r="K10" s="20" t="str">
        <f>IF(OR(entrada!K16=0,entrada!K16=""),"",entrada!K16)</f>
        <v/>
      </c>
      <c r="L10" s="20" t="str">
        <f>IF(OR(entrada!L16=0,entrada!L16=""),"",entrada!L16)</f>
        <v/>
      </c>
      <c r="M10" s="20">
        <f>IF(OR(entrada!M16=0,entrada!M16=""),"",entrada!M16)</f>
        <v>3.5000000000000003E-2</v>
      </c>
      <c r="N10" s="20">
        <f>IF(OR(entrada!N16=0,entrada!N16=""),"",entrada!N16)</f>
        <v>1.4999999999999999E-2</v>
      </c>
      <c r="O10" s="20" t="str">
        <f>IF(OR(entrada!O16=0,entrada!O16=""),"",entrada!O16)</f>
        <v/>
      </c>
      <c r="P10" s="20" t="str">
        <f>IF(OR(entrada!P16=0,entrada!P16=""),"",entrada!P16)</f>
        <v/>
      </c>
      <c r="Q10" s="20" t="str">
        <f>IF(OR(entrada!Q16=0,entrada!Q16=""),"",entrada!Q16)</f>
        <v/>
      </c>
      <c r="R10" s="20" t="str">
        <f>IF(OR(entrada!R16=0,entrada!R16=""),"",entrada!R16)</f>
        <v/>
      </c>
      <c r="S10" s="20" t="str">
        <f>IF(OR(entrada!S16=0,entrada!S16=""),"",entrada!S16)</f>
        <v/>
      </c>
      <c r="T10" s="20" t="str">
        <f>IF(OR(entrada!T16=0,entrada!T16=""),"",entrada!T16)</f>
        <v/>
      </c>
      <c r="U10" s="20" t="str">
        <f>IF(OR(entrada!U16=0,entrada!U16=""),"",entrada!U16)</f>
        <v/>
      </c>
      <c r="V10" s="20" t="str">
        <f>IF(OR(entrada!V16=0,entrada!V16=""),"",entrada!V16)</f>
        <v/>
      </c>
      <c r="W10" s="20" t="str">
        <f>IF(OR(entrada!W16=0,entrada!W16=""),"",entrada!W16)</f>
        <v/>
      </c>
      <c r="X10" s="20" t="str">
        <f>IF(OR(entrada!X16=0,entrada!X16=""),"",entrada!X16)</f>
        <v/>
      </c>
      <c r="Z10" s="48"/>
    </row>
    <row r="11" spans="1:26" x14ac:dyDescent="0.3">
      <c r="A11" s="50"/>
      <c r="B11" s="63" t="str">
        <f>IF(OR(entrada!B17=0,entrada!B17=""),"",entrada!B17)</f>
        <v>ROCA FOSFORICA - FOSFATOS HUILA</v>
      </c>
      <c r="C11" s="93">
        <f>IF(OR(entrada!C17=0,entrada!C17=""),"",entrada!C17)</f>
        <v>150</v>
      </c>
      <c r="D11" s="30">
        <f>IF(OR(entrada!D17=0,entrada!D17=""),"",entrada!D17)</f>
        <v>15</v>
      </c>
      <c r="E11" s="20" t="str">
        <f>IF(OR(entrada!E17=0,entrada!E17=""),"",entrada!E17)</f>
        <v/>
      </c>
      <c r="F11" s="20" t="str">
        <f>IF(OR(entrada!F17=0,entrada!F17=""),"",entrada!F17)</f>
        <v/>
      </c>
      <c r="G11" s="20" t="str">
        <f>IF(OR(entrada!G17=0,entrada!G17=""),"",entrada!G17)</f>
        <v/>
      </c>
      <c r="H11" s="20" t="str">
        <f>IF(OR(entrada!H17=0,entrada!H17=""),"",entrada!H17)</f>
        <v/>
      </c>
      <c r="I11" s="20" t="str">
        <f>IF(OR(entrada!I17=0,entrada!I17=""),"",entrada!I17)</f>
        <v/>
      </c>
      <c r="J11" s="20" t="str">
        <f>IF(OR(entrada!J17=0,entrada!J17=""),"",entrada!J17)</f>
        <v/>
      </c>
      <c r="K11" s="20">
        <f>IF(OR(entrada!K17=0,entrada!K17=""),"",entrada!K17)</f>
        <v>4.2000000000000003E-2</v>
      </c>
      <c r="L11" s="20">
        <f>IF(OR(entrada!L17=0,entrada!L17=""),"",entrada!L17)</f>
        <v>1.7399999999999998E-3</v>
      </c>
      <c r="M11" s="20">
        <f>IF(OR(entrada!M17=0,entrada!M17=""),"",entrada!M17)</f>
        <v>0.06</v>
      </c>
      <c r="N11" s="20" t="str">
        <f>IF(OR(entrada!N17=0,entrada!N17=""),"",entrada!N17)</f>
        <v/>
      </c>
      <c r="O11" s="20" t="str">
        <f>IF(OR(entrada!O17=0,entrada!O17=""),"",entrada!O17)</f>
        <v/>
      </c>
      <c r="P11" s="20" t="str">
        <f>IF(OR(entrada!P17=0,entrada!P17=""),"",entrada!P17)</f>
        <v/>
      </c>
      <c r="Q11" s="20" t="str">
        <f>IF(OR(entrada!Q17=0,entrada!Q17=""),"",entrada!Q17)</f>
        <v/>
      </c>
      <c r="R11" s="20" t="str">
        <f>IF(OR(entrada!R17=0,entrada!R17=""),"",entrada!R17)</f>
        <v/>
      </c>
      <c r="S11" s="20" t="str">
        <f>IF(OR(entrada!S17=0,entrada!S17=""),"",entrada!S17)</f>
        <v/>
      </c>
      <c r="T11" s="20" t="str">
        <f>IF(OR(entrada!T17=0,entrada!T17=""),"",entrada!T17)</f>
        <v/>
      </c>
      <c r="U11" s="20" t="str">
        <f>IF(OR(entrada!U17=0,entrada!U17=""),"",entrada!U17)</f>
        <v/>
      </c>
      <c r="V11" s="20">
        <f>IF(OR(entrada!V17=0,entrada!V17=""),"",entrada!V17)</f>
        <v>1.644E-2</v>
      </c>
      <c r="W11" s="20" t="str">
        <f>IF(OR(entrada!W17=0,entrada!W17=""),"",entrada!W17)</f>
        <v/>
      </c>
      <c r="X11" s="20" t="str">
        <f>IF(OR(entrada!X17=0,entrada!X17=""),"",entrada!X17)</f>
        <v/>
      </c>
      <c r="Z11" s="48"/>
    </row>
    <row r="12" spans="1:26" x14ac:dyDescent="0.3">
      <c r="A12" s="50"/>
      <c r="B12" s="63" t="str">
        <f>IF(OR(entrada!B18=0,entrada!B18=""),"",entrada!B18)</f>
        <v>SILICATO MAGNESIO - JULIAN SALDARRIAGA</v>
      </c>
      <c r="C12" s="93">
        <f>IF(OR(entrada!C18=0,entrada!C18=""),"",entrada!C18)</f>
        <v>450</v>
      </c>
      <c r="D12" s="30">
        <f>IF(OR(entrada!D18=0,entrada!D18=""),"",entrada!D18)</f>
        <v>45</v>
      </c>
      <c r="E12" s="20" t="str">
        <f>IF(OR(entrada!E18=0,entrada!E18=""),"",entrada!E18)</f>
        <v/>
      </c>
      <c r="F12" s="20" t="str">
        <f>IF(OR(entrada!F18=0,entrada!F18=""),"",entrada!F18)</f>
        <v/>
      </c>
      <c r="G12" s="20" t="str">
        <f>IF(OR(entrada!G18=0,entrada!G18=""),"",entrada!G18)</f>
        <v/>
      </c>
      <c r="H12" s="20" t="str">
        <f>IF(OR(entrada!H18=0,entrada!H18=""),"",entrada!H18)</f>
        <v/>
      </c>
      <c r="I12" s="20" t="str">
        <f>IF(OR(entrada!I18=0,entrada!I18=""),"",entrada!I18)</f>
        <v/>
      </c>
      <c r="J12" s="20" t="str">
        <f>IF(OR(entrada!J18=0,entrada!J18=""),"",entrada!J18)</f>
        <v/>
      </c>
      <c r="K12" s="20" t="str">
        <f>IF(OR(entrada!K18=0,entrada!K18=""),"",entrada!K18)</f>
        <v/>
      </c>
      <c r="L12" s="20" t="str">
        <f>IF(OR(entrada!L18=0,entrada!L18=""),"",entrada!L18)</f>
        <v/>
      </c>
      <c r="M12" s="20" t="str">
        <f>IF(OR(entrada!M18=0,entrada!M18=""),"",entrada!M18)</f>
        <v/>
      </c>
      <c r="N12" s="20">
        <f>IF(OR(entrada!N18=0,entrada!N18=""),"",entrada!N18)</f>
        <v>0.13500000000000001</v>
      </c>
      <c r="O12" s="20" t="str">
        <f>IF(OR(entrada!O18=0,entrada!O18=""),"",entrada!O18)</f>
        <v/>
      </c>
      <c r="P12" s="20" t="str">
        <f>IF(OR(entrada!P18=0,entrada!P18=""),"",entrada!P18)</f>
        <v/>
      </c>
      <c r="Q12" s="20" t="str">
        <f>IF(OR(entrada!Q18=0,entrada!Q18=""),"",entrada!Q18)</f>
        <v/>
      </c>
      <c r="R12" s="20" t="str">
        <f>IF(OR(entrada!R18=0,entrada!R18=""),"",entrada!R18)</f>
        <v/>
      </c>
      <c r="S12" s="20" t="str">
        <f>IF(OR(entrada!S18=0,entrada!S18=""),"",entrada!S18)</f>
        <v/>
      </c>
      <c r="T12" s="20" t="str">
        <f>IF(OR(entrada!T18=0,entrada!T18=""),"",entrada!T18)</f>
        <v/>
      </c>
      <c r="U12" s="20" t="str">
        <f>IF(OR(entrada!U18=0,entrada!U18=""),"",entrada!U18)</f>
        <v/>
      </c>
      <c r="V12" s="20">
        <f>IF(OR(entrada!V18=0,entrada!V18=""),"",entrada!V18)</f>
        <v>0.13949999999999999</v>
      </c>
      <c r="W12" s="20" t="str">
        <f>IF(OR(entrada!W18=0,entrada!W18=""),"",entrada!W18)</f>
        <v/>
      </c>
      <c r="X12" s="20" t="str">
        <f>IF(OR(entrada!X18=0,entrada!X18=""),"",entrada!X18)</f>
        <v/>
      </c>
      <c r="Z12" s="48"/>
    </row>
    <row r="13" spans="1:26" x14ac:dyDescent="0.3">
      <c r="A13" s="50"/>
      <c r="B13" s="63" t="str">
        <f>IF(OR(entrada!B19=0,entrada!B19=""),"",entrada!B19)</f>
        <v>SULFATO CALCIO - SANTA ROSA</v>
      </c>
      <c r="C13" s="93">
        <f>IF(OR(entrada!C19=0,entrada!C19=""),"",entrada!C19)</f>
        <v>200</v>
      </c>
      <c r="D13" s="30">
        <f>IF(OR(entrada!D19=0,entrada!D19=""),"",entrada!D19)</f>
        <v>20</v>
      </c>
      <c r="E13" s="20" t="str">
        <f>IF(OR(entrada!E19=0,entrada!E19=""),"",entrada!E19)</f>
        <v/>
      </c>
      <c r="F13" s="20" t="str">
        <f>IF(OR(entrada!F19=0,entrada!F19=""),"",entrada!F19)</f>
        <v/>
      </c>
      <c r="G13" s="20" t="str">
        <f>IF(OR(entrada!G19=0,entrada!G19=""),"",entrada!G19)</f>
        <v/>
      </c>
      <c r="H13" s="20" t="str">
        <f>IF(OR(entrada!H19=0,entrada!H19=""),"",entrada!H19)</f>
        <v/>
      </c>
      <c r="I13" s="20" t="str">
        <f>IF(OR(entrada!I19=0,entrada!I19=""),"",entrada!I19)</f>
        <v/>
      </c>
      <c r="J13" s="20" t="str">
        <f>IF(OR(entrada!J19=0,entrada!J19=""),"",entrada!J19)</f>
        <v/>
      </c>
      <c r="K13" s="20" t="str">
        <f>IF(OR(entrada!K19=0,entrada!K19=""),"",entrada!K19)</f>
        <v/>
      </c>
      <c r="L13" s="20" t="str">
        <f>IF(OR(entrada!L19=0,entrada!L19=""),"",entrada!L19)</f>
        <v/>
      </c>
      <c r="M13" s="20">
        <f>IF(OR(entrada!M19=0,entrada!M19=""),"",entrada!M19)</f>
        <v>5.2000000000000005E-2</v>
      </c>
      <c r="N13" s="20" t="str">
        <f>IF(OR(entrada!N19=0,entrada!N19=""),"",entrada!N19)</f>
        <v/>
      </c>
      <c r="O13" s="20">
        <f>IF(OR(entrada!O19=0,entrada!O19=""),"",entrada!O19)</f>
        <v>2.6000000000000002E-2</v>
      </c>
      <c r="P13" s="20" t="str">
        <f>IF(OR(entrada!P19=0,entrada!P19=""),"",entrada!P19)</f>
        <v/>
      </c>
      <c r="Q13" s="20" t="str">
        <f>IF(OR(entrada!Q19=0,entrada!Q19=""),"",entrada!Q19)</f>
        <v/>
      </c>
      <c r="R13" s="20" t="str">
        <f>IF(OR(entrada!R19=0,entrada!R19=""),"",entrada!R19)</f>
        <v/>
      </c>
      <c r="S13" s="20" t="str">
        <f>IF(OR(entrada!S19=0,entrada!S19=""),"",entrada!S19)</f>
        <v/>
      </c>
      <c r="T13" s="20" t="str">
        <f>IF(OR(entrada!T19=0,entrada!T19=""),"",entrada!T19)</f>
        <v/>
      </c>
      <c r="U13" s="20" t="str">
        <f>IF(OR(entrada!U19=0,entrada!U19=""),"",entrada!U19)</f>
        <v/>
      </c>
      <c r="V13" s="20" t="str">
        <f>IF(OR(entrada!V19=0,entrada!V19=""),"",entrada!V19)</f>
        <v/>
      </c>
      <c r="W13" s="20" t="str">
        <f>IF(OR(entrada!W19=0,entrada!W19=""),"",entrada!W19)</f>
        <v/>
      </c>
      <c r="X13" s="20" t="str">
        <f>IF(OR(entrada!X19=0,entrada!X19=""),"",entrada!X19)</f>
        <v/>
      </c>
      <c r="Z13" s="48"/>
    </row>
    <row r="14" spans="1:26" x14ac:dyDescent="0.3">
      <c r="A14" s="50"/>
      <c r="B14" s="64" t="s">
        <v>84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Z14" s="48"/>
    </row>
    <row r="15" spans="1:26" x14ac:dyDescent="0.3">
      <c r="A15" s="50"/>
      <c r="B15" s="65"/>
      <c r="C15" s="95"/>
      <c r="D15" s="31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Z15" s="48"/>
    </row>
    <row r="16" spans="1:26" ht="17.25" thickBot="1" x14ac:dyDescent="0.35">
      <c r="A16" s="50"/>
      <c r="B16" s="63"/>
      <c r="C16" s="93"/>
      <c r="D16" s="2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Z16" s="48"/>
    </row>
    <row r="17" spans="1:26" ht="17.25" thickBot="1" x14ac:dyDescent="0.35">
      <c r="A17" s="50"/>
      <c r="B17" s="39" t="str">
        <f>IF(OR(entrada!B21=0,entrada!B21=""),"",entrada!B21)</f>
        <v>TOTAL</v>
      </c>
      <c r="C17" s="115">
        <f>IF(OR(entrada!C20=0,entrada!C20=""),"",entrada!C20)</f>
        <v>1000</v>
      </c>
      <c r="D17" s="116">
        <f>IF(OR(entrada!D20=0,entrada!D20=""),"",entrada!D20)</f>
        <v>100</v>
      </c>
      <c r="E17" s="117" t="str">
        <f>IF(OR(entrada!E21=0,entrada!E21=""),"",entrada!E21)</f>
        <v/>
      </c>
      <c r="F17" s="117" t="str">
        <f>IF(OR(entrada!F21=0,entrada!F21=""),"",entrada!F21)</f>
        <v/>
      </c>
      <c r="G17" s="117" t="str">
        <f>IF(OR(entrada!G21=0,entrada!G21=""),"",entrada!G21)</f>
        <v/>
      </c>
      <c r="H17" s="117" t="str">
        <f>IF(OR(entrada!H21=0,entrada!H21=""),"",entrada!H21)</f>
        <v/>
      </c>
      <c r="I17" s="117" t="str">
        <f>IF(OR(entrada!I21=0,entrada!I21=""),"",entrada!I21)</f>
        <v/>
      </c>
      <c r="J17" s="117" t="str">
        <f>IF(OR(entrada!J21=0,entrada!J21=""),"",entrada!J21)</f>
        <v/>
      </c>
      <c r="K17" s="117">
        <f>IF(OR(entrada!K21=0,entrada!K21=""),"",entrada!K21)</f>
        <v>4.2000000000000003E-2</v>
      </c>
      <c r="L17" s="117">
        <f>IF(OR(entrada!L21=0,entrada!L21=""),"",entrada!L21)</f>
        <v>1.7399999999999998E-3</v>
      </c>
      <c r="M17" s="117">
        <f>IF(OR(entrada!M21=0,entrada!M21=""),"",entrada!M21)</f>
        <v>0.191</v>
      </c>
      <c r="N17" s="117">
        <f>IF(OR(entrada!N21=0,entrada!N21=""),"",entrada!N21)</f>
        <v>0.15000000000000002</v>
      </c>
      <c r="O17" s="117">
        <f>IF(OR(entrada!O21=0,entrada!O21=""),"",entrada!O21)</f>
        <v>2.6000000000000002E-2</v>
      </c>
      <c r="P17" s="117" t="str">
        <f>IF(OR(entrada!P21=0,entrada!P21=""),"",entrada!P21)</f>
        <v/>
      </c>
      <c r="Q17" s="117" t="str">
        <f>IF(OR(entrada!Q21=0,entrada!Q21=""),"",entrada!Q21)</f>
        <v/>
      </c>
      <c r="R17" s="117" t="str">
        <f>IF(OR(entrada!R21=0,entrada!R21=""),"",entrada!R21)</f>
        <v/>
      </c>
      <c r="S17" s="117" t="str">
        <f>IF(OR(entrada!S21=0,entrada!S21=""),"",entrada!S21)</f>
        <v/>
      </c>
      <c r="T17" s="117" t="str">
        <f>IF(OR(entrada!T21=0,entrada!T21=""),"",entrada!T21)</f>
        <v/>
      </c>
      <c r="U17" s="117" t="str">
        <f>IF(OR(entrada!U21=0,entrada!U21=""),"",entrada!U21)</f>
        <v/>
      </c>
      <c r="V17" s="117">
        <f>IF(OR(entrada!V21=0,entrada!V21=""),"",entrada!V21)</f>
        <v>0.15594</v>
      </c>
      <c r="W17" s="117" t="str">
        <f>IF(OR(entrada!W21=0,entrada!W21=""),"",entrada!W21)</f>
        <v/>
      </c>
      <c r="X17" s="117" t="str">
        <f>IF(OR(entrada!X21=0,entrada!X21=""),"",entrada!X21)</f>
        <v/>
      </c>
      <c r="Z17" s="48"/>
    </row>
    <row r="18" spans="1:26" ht="17.25" thickBot="1" x14ac:dyDescent="0.35">
      <c r="A18" s="50"/>
      <c r="B18" s="18" t="str">
        <f>IF(OR(entrada!B22=0,entrada!B22=""),"",entrada!B22)</f>
        <v/>
      </c>
      <c r="C18" s="19" t="str">
        <f>IF(OR(entrada!C22=0,entrada!C22=""),"",entrada!C22)</f>
        <v/>
      </c>
      <c r="D18" s="19" t="str">
        <f>IF(OR(entrada!D22=0,entrada!D22=""),"",entrada!D22)</f>
        <v/>
      </c>
      <c r="Z18" s="48"/>
    </row>
    <row r="19" spans="1:26" ht="17.25" thickBot="1" x14ac:dyDescent="0.35">
      <c r="A19" s="50"/>
      <c r="B19" s="39" t="str">
        <f>IF(OR(entrada!B23=0,entrada!B23=""),"",entrada!B23)</f>
        <v>CERTIFICADO DE ANALISIS</v>
      </c>
      <c r="C19" s="40" t="str">
        <f>IF(OR(entrada!C23=0,entrada!C23=""),"",entrada!C23)</f>
        <v/>
      </c>
      <c r="D19" s="43" t="str">
        <f>IF(OR(entrada!D23=0,entrada!D23=""),"",entrada!D23)</f>
        <v/>
      </c>
      <c r="E19" s="41" t="str">
        <f>IF(OR(entrada!E23=0,entrada!E23=""),"",entrada!E23)</f>
        <v/>
      </c>
      <c r="F19" s="41" t="str">
        <f>IF(OR(entrada!F23=0,entrada!F23=""),"",entrada!F23)</f>
        <v/>
      </c>
      <c r="G19" s="41" t="str">
        <f>IF(OR(entrada!G23=0,entrada!G23=""),"",entrada!G23)</f>
        <v/>
      </c>
      <c r="H19" s="41" t="str">
        <f>IF(OR(entrada!H23=0,entrada!H23=""),"",entrada!H23)</f>
        <v/>
      </c>
      <c r="I19" s="41" t="str">
        <f>IF(OR(entrada!I23=0,entrada!I23=""),"",entrada!I23)</f>
        <v/>
      </c>
      <c r="J19" s="41" t="str">
        <f>IF(OR(entrada!J23=0,entrada!J23=""),"",entrada!J23)</f>
        <v/>
      </c>
      <c r="K19" s="41" t="str">
        <f>IF(OR(entrada!K23=0,entrada!K23=""),"",entrada!K23)</f>
        <v/>
      </c>
      <c r="L19" s="41" t="str">
        <f>IF(OR(entrada!L23=0,entrada!L23=""),"",entrada!L23)</f>
        <v/>
      </c>
      <c r="M19" s="41" t="str">
        <f>IF(OR(entrada!M23=0,entrada!M23=""),"",entrada!M23)</f>
        <v/>
      </c>
      <c r="N19" s="41" t="str">
        <f>IF(OR(entrada!N23=0,entrada!N23=""),"",entrada!N23)</f>
        <v/>
      </c>
      <c r="O19" s="41" t="str">
        <f>IF(OR(entrada!O23=0,entrada!O23=""),"",entrada!O23)</f>
        <v/>
      </c>
      <c r="P19" s="41" t="str">
        <f>IF(OR(entrada!P23=0,entrada!P23=""),"",entrada!P23)</f>
        <v/>
      </c>
      <c r="Q19" s="41" t="str">
        <f>IF(OR(entrada!Q23=0,entrada!Q23=""),"",entrada!Q23)</f>
        <v/>
      </c>
      <c r="R19" s="41" t="str">
        <f>IF(OR(entrada!R23=0,entrada!R23=""),"",entrada!R23)</f>
        <v/>
      </c>
      <c r="S19" s="41" t="str">
        <f>IF(OR(entrada!S23=0,entrada!S23=""),"",entrada!S23)</f>
        <v/>
      </c>
      <c r="T19" s="41" t="str">
        <f>IF(OR(entrada!T23=0,entrada!T23=""),"",entrada!T23)</f>
        <v/>
      </c>
      <c r="U19" s="41" t="str">
        <f>IF(OR(entrada!U23=0,entrada!U23=""),"",entrada!U23)</f>
        <v/>
      </c>
      <c r="V19" s="41" t="str">
        <f>IF(OR(entrada!V23=0,entrada!V23=""),"",entrada!V23)</f>
        <v/>
      </c>
      <c r="W19" s="41" t="str">
        <f>IF(OR(entrada!W23=0,entrada!W23=""),"",entrada!W23)</f>
        <v/>
      </c>
      <c r="X19" s="41" t="str">
        <f>IF(OR(entrada!X23=0,entrada!X23=""),"",entrada!X23)</f>
        <v/>
      </c>
      <c r="Z19" s="48"/>
    </row>
    <row r="20" spans="1:26" ht="17.25" thickBot="1" x14ac:dyDescent="0.35">
      <c r="A20" s="50"/>
      <c r="B20" s="18" t="str">
        <f>IF(OR(entrada!B24=0,entrada!B24=""),"",entrada!B24)</f>
        <v/>
      </c>
      <c r="C20" s="19" t="str">
        <f>IF(OR(entrada!C24=0,entrada!C24=""),"",entrada!C24)</f>
        <v/>
      </c>
      <c r="D20" s="19" t="str">
        <f>IF(OR(entrada!D24=0,entrada!D24=""),"",entrada!D24)</f>
        <v/>
      </c>
      <c r="E20" s="19" t="str">
        <f>IF(OR(entrada!E24=0,entrada!E24=""),"",entrada!E24)</f>
        <v/>
      </c>
      <c r="F20" s="19" t="str">
        <f>IF(OR(entrada!F24=0,entrada!F24=""),"",entrada!F24)</f>
        <v/>
      </c>
      <c r="G20" s="19" t="str">
        <f>IF(OR(entrada!G24=0,entrada!G24=""),"",entrada!G24)</f>
        <v/>
      </c>
      <c r="H20" s="19" t="str">
        <f>IF(OR(entrada!H24=0,entrada!H24=""),"",entrada!H24)</f>
        <v/>
      </c>
      <c r="I20" s="19" t="str">
        <f>IF(OR(entrada!I24=0,entrada!I24=""),"",entrada!I24)</f>
        <v/>
      </c>
      <c r="J20" s="19" t="str">
        <f>IF(OR(entrada!J24=0,entrada!J24=""),"",entrada!J24)</f>
        <v/>
      </c>
      <c r="K20" s="19" t="str">
        <f>IF(OR(entrada!K24=0,entrada!K24=""),"",entrada!K24)</f>
        <v/>
      </c>
      <c r="L20" s="19" t="str">
        <f>IF(OR(entrada!L24=0,entrada!L24=""),"",entrada!L24)</f>
        <v/>
      </c>
      <c r="M20" s="19" t="str">
        <f>IF(OR(entrada!M24=0,entrada!M24=""),"",entrada!M24)</f>
        <v/>
      </c>
      <c r="N20" s="19" t="str">
        <f>IF(OR(entrada!N24=0,entrada!N24=""),"",entrada!N24)</f>
        <v/>
      </c>
      <c r="O20" s="19" t="str">
        <f>IF(OR(entrada!O24=0,entrada!O24=""),"",entrada!O24)</f>
        <v/>
      </c>
      <c r="P20" s="19" t="str">
        <f>IF(OR(entrada!P24=0,entrada!P24=""),"",entrada!P24)</f>
        <v/>
      </c>
      <c r="Q20" s="19" t="str">
        <f>IF(OR(entrada!Q24=0,entrada!Q24=""),"",entrada!Q24)</f>
        <v/>
      </c>
      <c r="R20" s="19" t="str">
        <f>IF(OR(entrada!R24=0,entrada!R24=""),"",entrada!R24)</f>
        <v/>
      </c>
      <c r="S20" s="19" t="str">
        <f>IF(OR(entrada!S24=0,entrada!S24=""),"",entrada!S24)</f>
        <v/>
      </c>
      <c r="T20" s="19" t="str">
        <f>IF(OR(entrada!T24=0,entrada!T24=""),"",entrada!T24)</f>
        <v/>
      </c>
      <c r="U20" s="19" t="str">
        <f>IF(OR(entrada!U24=0,entrada!U24=""),"",entrada!U24)</f>
        <v/>
      </c>
      <c r="V20" s="19" t="str">
        <f>IF(OR(entrada!V24=0,entrada!V24=""),"",entrada!V24)</f>
        <v/>
      </c>
      <c r="W20" s="19" t="str">
        <f>IF(OR(entrada!W24=0,entrada!W24=""),"",entrada!W24)</f>
        <v/>
      </c>
      <c r="X20" s="19" t="str">
        <f>IF(OR(entrada!X24=0,entrada!X24=""),"",entrada!X24)</f>
        <v/>
      </c>
      <c r="Z20" s="48"/>
    </row>
    <row r="21" spans="1:26" ht="17.25" thickBot="1" x14ac:dyDescent="0.35">
      <c r="A21" s="50"/>
      <c r="B21" s="98" t="str">
        <f>IF(OR(entrada!B25=0,entrada!B25=""),"",entrada!B25)</f>
        <v>CONTENIDOS MINIMOS*1</v>
      </c>
      <c r="C21" s="99"/>
      <c r="D21" s="104"/>
      <c r="E21" s="34" t="str">
        <f>IF(OR(entrada!E25=0,entrada!E25=""),"",entrada!E25)</f>
        <v/>
      </c>
      <c r="F21" s="34" t="str">
        <f>IF(OR(entrada!F25=0,entrada!F25=""),"",entrada!F25)</f>
        <v/>
      </c>
      <c r="G21" s="34" t="str">
        <f>IF(OR(entrada!G25=0,entrada!G25=""),"",entrada!G25)</f>
        <v/>
      </c>
      <c r="H21" s="34" t="str">
        <f>IF(OR(entrada!H25=0,entrada!H25=""),"",entrada!H25)</f>
        <v/>
      </c>
      <c r="I21" s="34" t="str">
        <f>IF(OR(entrada!I25=0,entrada!I25=""),"",entrada!I25)</f>
        <v/>
      </c>
      <c r="J21" s="34" t="str">
        <f>IF(OR(entrada!J25=0,entrada!J25=""),"",entrada!J25)</f>
        <v/>
      </c>
      <c r="K21" s="34" t="str">
        <f>IF(OR(entrada!K25=0,entrada!K25=""),"",entrada!K25)</f>
        <v/>
      </c>
      <c r="L21" s="34" t="str">
        <f>IF(OR(entrada!L25=0,entrada!L25=""),"",entrada!L25)</f>
        <v/>
      </c>
      <c r="M21" s="34" t="str">
        <f>IF(OR(entrada!M25=0,entrada!M25=""),"",entrada!M25)</f>
        <v/>
      </c>
      <c r="N21" s="34" t="str">
        <f>IF(OR(entrada!N25=0,entrada!N25=""),"",entrada!N25)</f>
        <v/>
      </c>
      <c r="O21" s="34" t="str">
        <f>IF(OR(entrada!O25=0,entrada!O25=""),"",entrada!O25)</f>
        <v/>
      </c>
      <c r="P21" s="34" t="str">
        <f>IF(OR(entrada!P25=0,entrada!P25=""),"",entrada!P25)</f>
        <v/>
      </c>
      <c r="Q21" s="34" t="str">
        <f>IF(OR(entrada!Q25=0,entrada!Q25=""),"",entrada!Q25)</f>
        <v/>
      </c>
      <c r="R21" s="34" t="str">
        <f>IF(OR(entrada!R25=0,entrada!R25=""),"",entrada!R25)</f>
        <v/>
      </c>
      <c r="S21" s="34" t="str">
        <f>IF(OR(entrada!S25=0,entrada!S25=""),"",entrada!S25)</f>
        <v/>
      </c>
      <c r="T21" s="34" t="str">
        <f>IF(OR(entrada!T25=0,entrada!T25=""),"",entrada!T25)</f>
        <v/>
      </c>
      <c r="U21" s="34" t="str">
        <f>IF(OR(entrada!U25=0,entrada!U25=""),"",entrada!U25)</f>
        <v/>
      </c>
      <c r="V21" s="34" t="str">
        <f>IF(OR(entrada!V25=0,entrada!V25=""),"",entrada!V25)</f>
        <v/>
      </c>
      <c r="W21" s="34" t="str">
        <f>IF(OR(entrada!W25=0,entrada!W25=""),"",entrada!W25)</f>
        <v/>
      </c>
      <c r="X21" s="34" t="str">
        <f>IF(OR(entrada!X25=0,entrada!X25=""),"",entrada!X25)</f>
        <v/>
      </c>
      <c r="Z21" s="48"/>
    </row>
    <row r="22" spans="1:26" x14ac:dyDescent="0.3">
      <c r="A22" s="50"/>
      <c r="B22" s="105" t="str">
        <f>IF(OR(entrada!B26=0,entrada!B26=""),"",entrada!B26)</f>
        <v>NPK (Formula sola o en mezcla con micronutrientes)</v>
      </c>
      <c r="C22" s="106" t="str">
        <f>IF(OR(entrada!C26=0,entrada!C26=""),"",entrada!C26)</f>
        <v/>
      </c>
      <c r="D22" s="107" t="str">
        <f>IF(OR(entrada!D26=0,entrada!D26=""),"",entrada!D26)</f>
        <v/>
      </c>
      <c r="E22" s="21" t="str">
        <f>IF(OR(entrada!E26=0,entrada!E26=""),"",entrada!E26)</f>
        <v/>
      </c>
      <c r="F22" s="21" t="str">
        <f>IF(OR(entrada!F26=0,entrada!F26=""),"",entrada!F26)</f>
        <v/>
      </c>
      <c r="G22" s="21"/>
      <c r="H22" s="21"/>
      <c r="I22" s="21"/>
      <c r="J22" s="21"/>
      <c r="K22" s="21" t="str">
        <f>IF(OR(entrada!K26=0,entrada!K26=""),"",entrada!K26)</f>
        <v>NO</v>
      </c>
      <c r="L22" s="22" t="str">
        <f>IF(OR(entrada!L26=0,entrada!L26=""),"",entrada!L26)</f>
        <v>SI</v>
      </c>
      <c r="M22" s="22" t="str">
        <f>IF(OR(entrada!M26=0,entrada!M26=""),"",entrada!M26)</f>
        <v/>
      </c>
      <c r="N22" s="22" t="str">
        <f>IF(OR(entrada!N26=0,entrada!N26=""),"",entrada!N26)</f>
        <v/>
      </c>
      <c r="O22" s="22" t="str">
        <f>IF(OR(entrada!O26=0,entrada!O26=""),"",entrada!O26)</f>
        <v/>
      </c>
      <c r="P22" s="22" t="str">
        <f>IF(OR(entrada!P26=0,entrada!P26=""),"",entrada!P26)</f>
        <v/>
      </c>
      <c r="Q22" s="22" t="str">
        <f>IF(OR(entrada!Q26=0,entrada!Q26=""),"",entrada!Q26)</f>
        <v/>
      </c>
      <c r="R22" s="22" t="str">
        <f>IF(OR(entrada!R26=0,entrada!R26=""),"",entrada!R26)</f>
        <v/>
      </c>
      <c r="S22" s="22" t="str">
        <f>IF(OR(entrada!S26=0,entrada!S26=""),"",entrada!S26)</f>
        <v/>
      </c>
      <c r="T22" s="22" t="str">
        <f>IF(OR(entrada!T26=0,entrada!T26=""),"",entrada!T26)</f>
        <v/>
      </c>
      <c r="U22" s="22" t="str">
        <f>IF(OR(entrada!U26=0,entrada!U26=""),"",entrada!U26)</f>
        <v/>
      </c>
      <c r="V22" s="22" t="str">
        <f>IF(OR(entrada!V26=0,entrada!V26=""),"",entrada!V26)</f>
        <v/>
      </c>
      <c r="W22" s="22" t="str">
        <f>IF(OR(entrada!W26=0,entrada!W26=""),"",entrada!W26)</f>
        <v/>
      </c>
      <c r="X22" s="22" t="str">
        <f>IF(OR(entrada!X26=0,entrada!X26=""),"",entrada!X26)</f>
        <v/>
      </c>
      <c r="Z22" s="48"/>
    </row>
    <row r="23" spans="1:26" x14ac:dyDescent="0.3">
      <c r="A23" s="50"/>
      <c r="B23" s="108" t="str">
        <f>IF(OR(entrada!B27=0,entrada!B27=""),"",entrada!B27)</f>
        <v>Secundarios (Formula UNICAMENTE con Ca, Mg, S)</v>
      </c>
      <c r="C23" s="109" t="str">
        <f>IF(OR(entrada!C27=0,entrada!C27=""),"",entrada!C27)</f>
        <v/>
      </c>
      <c r="D23" s="110" t="str">
        <f>IF(OR(entrada!D27=0,entrada!D27=""),"",entrada!D27)</f>
        <v/>
      </c>
      <c r="E23" s="20" t="str">
        <f>IF(OR(entrada!E27=0,entrada!E27=""),"",entrada!E27)</f>
        <v/>
      </c>
      <c r="F23" s="20" t="str">
        <f>IF(OR(entrada!F27=0,entrada!F27=""),"",entrada!F27)</f>
        <v/>
      </c>
      <c r="G23" s="20"/>
      <c r="H23" s="20"/>
      <c r="I23" s="20"/>
      <c r="J23" s="20"/>
      <c r="K23" s="20" t="str">
        <f>IF(OR(entrada!K27=0,entrada!K27=""),"",entrada!K27)</f>
        <v/>
      </c>
      <c r="L23" s="20" t="str">
        <f>IF(OR(entrada!L27=0,entrada!L27=""),"",entrada!L27)</f>
        <v/>
      </c>
      <c r="M23" s="20" t="str">
        <f>IF(OR(entrada!M27=0,entrada!M27=""),"",entrada!M27)</f>
        <v>NA</v>
      </c>
      <c r="N23" s="20" t="str">
        <f>IF(OR(entrada!N27=0,entrada!N27=""),"",entrada!N27)</f>
        <v>NA</v>
      </c>
      <c r="O23" s="20" t="str">
        <f>IF(OR(entrada!O27=0,entrada!O27=""),"",entrada!O27)</f>
        <v>NA</v>
      </c>
      <c r="P23" s="20" t="str">
        <f>IF(OR(entrada!P27=0,entrada!P27=""),"",entrada!P27)</f>
        <v/>
      </c>
      <c r="Q23" s="20" t="str">
        <f>IF(OR(entrada!Q27=0,entrada!Q27=""),"",entrada!Q27)</f>
        <v/>
      </c>
      <c r="R23" s="20" t="str">
        <f>IF(OR(entrada!R27=0,entrada!R27=""),"",entrada!R27)</f>
        <v/>
      </c>
      <c r="S23" s="20" t="str">
        <f>IF(OR(entrada!S27=0,entrada!S27=""),"",entrada!S27)</f>
        <v/>
      </c>
      <c r="T23" s="20" t="str">
        <f>IF(OR(entrada!T27=0,entrada!T27=""),"",entrada!T27)</f>
        <v/>
      </c>
      <c r="U23" s="20" t="str">
        <f>IF(OR(entrada!U27=0,entrada!U27=""),"",entrada!U27)</f>
        <v/>
      </c>
      <c r="V23" s="20" t="str">
        <f>IF(OR(entrada!V27=0,entrada!V27=""),"",entrada!V27)</f>
        <v/>
      </c>
      <c r="W23" s="20" t="str">
        <f>IF(OR(entrada!W27=0,entrada!W27=""),"",entrada!W27)</f>
        <v/>
      </c>
      <c r="X23" s="20" t="str">
        <f>IF(OR(entrada!X27=0,entrada!X27=""),"",entrada!X27)</f>
        <v/>
      </c>
      <c r="Z23" s="48"/>
    </row>
    <row r="24" spans="1:26" x14ac:dyDescent="0.3">
      <c r="A24" s="50"/>
      <c r="B24" s="108" t="str">
        <f>IF(OR(entrada!B28=0,entrada!B28=""),"",entrada!B28)</f>
        <v>Micronutrientes: Unicamente micronutrientes</v>
      </c>
      <c r="C24" s="109" t="str">
        <f>IF(OR(entrada!C28=0,entrada!C28=""),"",entrada!C28)</f>
        <v/>
      </c>
      <c r="D24" s="110" t="str">
        <f>IF(OR(entrada!D28=0,entrada!D28=""),"",entrada!D28)</f>
        <v/>
      </c>
      <c r="E24" s="20" t="str">
        <f>IF(OR(entrada!E28=0,entrada!E28=""),"",entrada!E28)</f>
        <v/>
      </c>
      <c r="F24" s="20" t="str">
        <f>IF(OR(entrada!F28=0,entrada!F28=""),"",entrada!F28)</f>
        <v/>
      </c>
      <c r="G24" s="20"/>
      <c r="H24" s="20"/>
      <c r="I24" s="20"/>
      <c r="J24" s="20"/>
      <c r="K24" s="20" t="str">
        <f>IF(OR(entrada!K28=0,entrada!K28=""),"",entrada!K28)</f>
        <v/>
      </c>
      <c r="L24" s="20" t="str">
        <f>IF(OR(entrada!L28=0,entrada!L28=""),"",entrada!L28)</f>
        <v/>
      </c>
      <c r="M24" s="20" t="str">
        <f>IF(OR(entrada!M28=0,entrada!M28=""),"",entrada!M28)</f>
        <v/>
      </c>
      <c r="N24" s="20" t="str">
        <f>IF(OR(entrada!N28=0,entrada!N28=""),"",entrada!N28)</f>
        <v/>
      </c>
      <c r="O24" s="20" t="str">
        <f>IF(OR(entrada!O28=0,entrada!O28=""),"",entrada!O28)</f>
        <v/>
      </c>
      <c r="P24" s="20" t="str">
        <f>IF(OR(entrada!P28=0,entrada!P28=""),"",entrada!P28)</f>
        <v/>
      </c>
      <c r="Q24" s="20" t="str">
        <f>IF(OR(entrada!Q28=0,entrada!Q28=""),"",entrada!Q28)</f>
        <v/>
      </c>
      <c r="R24" s="20" t="str">
        <f>IF(OR(entrada!R28=0,entrada!R28=""),"",entrada!R28)</f>
        <v/>
      </c>
      <c r="S24" s="20" t="str">
        <f>IF(OR(entrada!S28=0,entrada!S28=""),"",entrada!S28)</f>
        <v/>
      </c>
      <c r="T24" s="20" t="str">
        <f>IF(OR(entrada!T28=0,entrada!T28=""),"",entrada!T28)</f>
        <v/>
      </c>
      <c r="U24" s="20" t="str">
        <f>IF(OR(entrada!U28=0,entrada!U28=""),"",entrada!U28)</f>
        <v/>
      </c>
      <c r="V24" s="20" t="str">
        <f>IF(OR(entrada!V28=0,entrada!V28=""),"",entrada!V28)</f>
        <v/>
      </c>
      <c r="W24" s="20" t="str">
        <f>IF(OR(entrada!W28=0,entrada!W28=""),"",entrada!W28)</f>
        <v/>
      </c>
      <c r="X24" s="20" t="str">
        <f>IF(OR(entrada!X28=0,entrada!X28=""),"",entrada!X28)</f>
        <v/>
      </c>
      <c r="Z24" s="48"/>
    </row>
    <row r="25" spans="1:26" ht="17.25" thickBot="1" x14ac:dyDescent="0.35">
      <c r="A25" s="50"/>
      <c r="B25" s="111" t="str">
        <f>IF(OR(entrada!B29=0,entrada!B29=""),"",entrada!B29)</f>
        <v>Micronutrientes: Mezcla con NPK o secundarios</v>
      </c>
      <c r="C25" s="112" t="str">
        <f>IF(OR(entrada!C29=0,entrada!C29=""),"",entrada!C29)</f>
        <v/>
      </c>
      <c r="D25" s="113" t="str">
        <f>IF(OR(entrada!D29=0,entrada!D29=""),"",entrada!D29)</f>
        <v/>
      </c>
      <c r="E25" s="25" t="str">
        <f>IF(OR(entrada!E29=0,entrada!E29=""),"",entrada!E29)</f>
        <v/>
      </c>
      <c r="F25" s="25" t="str">
        <f>IF(OR(entrada!F29=0,entrada!F29=""),"",entrada!F29)</f>
        <v/>
      </c>
      <c r="G25" s="25"/>
      <c r="H25" s="25"/>
      <c r="I25" s="25"/>
      <c r="J25" s="25"/>
      <c r="K25" s="25" t="str">
        <f>IF(OR(entrada!K29=0,entrada!K29=""),"",entrada!K29)</f>
        <v/>
      </c>
      <c r="L25" s="25" t="str">
        <f>IF(OR(entrada!L29=0,entrada!L29=""),"",entrada!L29)</f>
        <v/>
      </c>
      <c r="M25" s="25" t="str">
        <f>IF(OR(entrada!M29=0,entrada!M29=""),"",entrada!M29)</f>
        <v/>
      </c>
      <c r="N25" s="25" t="str">
        <f>IF(OR(entrada!N29=0,entrada!N29=""),"",entrada!N29)</f>
        <v/>
      </c>
      <c r="O25" s="25" t="str">
        <f>IF(OR(entrada!O29=0,entrada!O29=""),"",entrada!O29)</f>
        <v/>
      </c>
      <c r="P25" s="24" t="str">
        <f>IF(OR(entrada!P29=0,entrada!P29=""),"",entrada!P29)</f>
        <v/>
      </c>
      <c r="Q25" s="24" t="str">
        <f>IF(OR(entrada!Q29=0,entrada!Q29=""),"",entrada!Q29)</f>
        <v/>
      </c>
      <c r="R25" s="24" t="str">
        <f>IF(OR(entrada!R29=0,entrada!R29=""),"",entrada!R29)</f>
        <v/>
      </c>
      <c r="S25" s="24" t="str">
        <f>IF(OR(entrada!S29=0,entrada!S29=""),"",entrada!S29)</f>
        <v/>
      </c>
      <c r="T25" s="24" t="str">
        <f>IF(OR(entrada!T29=0,entrada!T29=""),"",entrada!T29)</f>
        <v/>
      </c>
      <c r="U25" s="24" t="str">
        <f>IF(OR(entrada!U29=0,entrada!U29=""),"",entrada!U29)</f>
        <v/>
      </c>
      <c r="V25" s="24" t="str">
        <f>IF(OR(entrada!V29=0,entrada!V29=""),"",entrada!V29)</f>
        <v>SI</v>
      </c>
      <c r="W25" s="24" t="str">
        <f>IF(OR(entrada!W29=0,entrada!W29=""),"",entrada!W29)</f>
        <v/>
      </c>
      <c r="X25" s="25" t="str">
        <f>IF(OR(entrada!X29=0,entrada!X29=""),"",entrada!X29)</f>
        <v/>
      </c>
      <c r="Z25" s="48"/>
    </row>
    <row r="26" spans="1:26" x14ac:dyDescent="0.3">
      <c r="A26" s="50"/>
      <c r="B26" s="97" t="str">
        <f>IF(OR(entrada!B30=0,entrada!B30=""),"",entrada!B30)</f>
        <v>*1 Resolución ICA 150 de 2003 ANEXO 11</v>
      </c>
      <c r="C26" s="97" t="str">
        <f>IF(OR(entrada!C30=0,entrada!C30=""),"",entrada!C30)</f>
        <v/>
      </c>
      <c r="D26" s="97" t="str">
        <f>IF(OR(entrada!D30=0,entrada!D30=""),"",entrada!D30)</f>
        <v/>
      </c>
      <c r="E26" s="34" t="str">
        <f>IF(OR(entrada!E30=0,entrada!E30=""),"",entrada!E30)</f>
        <v/>
      </c>
      <c r="F26" s="34" t="str">
        <f>IF(OR(entrada!F30=0,entrada!F30=""),"",entrada!F30)</f>
        <v/>
      </c>
      <c r="G26" s="34" t="str">
        <f>IF(OR(entrada!G30=0,entrada!G30=""),"",entrada!G30)</f>
        <v/>
      </c>
      <c r="H26" s="34" t="str">
        <f>IF(OR(entrada!H30=0,entrada!H30=""),"",entrada!H30)</f>
        <v/>
      </c>
      <c r="I26" s="34" t="str">
        <f>IF(OR(entrada!I30=0,entrada!I30=""),"",entrada!I30)</f>
        <v/>
      </c>
      <c r="J26" s="34" t="str">
        <f>IF(OR(entrada!J30=0,entrada!J30=""),"",entrada!J30)</f>
        <v/>
      </c>
      <c r="K26" s="34" t="str">
        <f>IF(OR(entrada!K30=0,entrada!K30=""),"",entrada!K30)</f>
        <v/>
      </c>
      <c r="L26" s="34" t="str">
        <f>IF(OR(entrada!L30=0,entrada!L30=""),"",entrada!L30)</f>
        <v/>
      </c>
      <c r="M26" s="34" t="str">
        <f>IF(OR(entrada!M30=0,entrada!M30=""),"",entrada!M30)</f>
        <v/>
      </c>
      <c r="N26" s="34" t="str">
        <f>IF(OR(entrada!N30=0,entrada!N30=""),"",entrada!N30)</f>
        <v/>
      </c>
      <c r="O26" s="34" t="str">
        <f>IF(OR(entrada!O30=0,entrada!O30=""),"",entrada!O30)</f>
        <v/>
      </c>
      <c r="P26" s="34" t="str">
        <f>IF(OR(entrada!P30=0,entrada!P30=""),"",entrada!P30)</f>
        <v/>
      </c>
      <c r="Q26" s="34" t="str">
        <f>IF(OR(entrada!Q30=0,entrada!Q30=""),"",entrada!Q30)</f>
        <v/>
      </c>
      <c r="R26" s="34" t="str">
        <f>IF(OR(entrada!R30=0,entrada!R30=""),"",entrada!R30)</f>
        <v/>
      </c>
      <c r="S26" s="34" t="str">
        <f>IF(OR(entrada!S30=0,entrada!S30=""),"",entrada!S30)</f>
        <v/>
      </c>
      <c r="T26" s="34" t="str">
        <f>IF(OR(entrada!T30=0,entrada!T30=""),"",entrada!T30)</f>
        <v/>
      </c>
      <c r="U26" s="34" t="str">
        <f>IF(OR(entrada!U30=0,entrada!U30=""),"",entrada!U30)</f>
        <v/>
      </c>
      <c r="V26" s="34" t="str">
        <f>IF(OR(entrada!V30=0,entrada!V30=""),"",entrada!V30)</f>
        <v/>
      </c>
      <c r="W26" s="34" t="str">
        <f>IF(OR(entrada!W30=0,entrada!W30=""),"",entrada!W30)</f>
        <v/>
      </c>
      <c r="X26" s="34" t="str">
        <f>IF(OR(entrada!X30=0,entrada!X30=""),"",entrada!X30)</f>
        <v/>
      </c>
      <c r="Z26" s="48"/>
    </row>
    <row r="27" spans="1:26" ht="17.25" thickBot="1" x14ac:dyDescent="0.35">
      <c r="A27" s="50"/>
      <c r="B27" s="18" t="str">
        <f>IF(OR(entrada!B31=0,entrada!B31=""),"",entrada!B31)</f>
        <v/>
      </c>
      <c r="C27" s="19" t="str">
        <f>IF(OR(entrada!C31=0,entrada!C31=""),"",entrada!C31)</f>
        <v/>
      </c>
      <c r="D27" s="19" t="str">
        <f>IF(OR(entrada!D31=0,entrada!D31=""),"",entrada!D31)</f>
        <v/>
      </c>
      <c r="E27" s="19" t="str">
        <f>IF(OR(entrada!E31=0,entrada!E31=""),"",entrada!E31)</f>
        <v/>
      </c>
      <c r="F27" s="19" t="str">
        <f>IF(OR(entrada!F31=0,entrada!F31=""),"",entrada!F31)</f>
        <v/>
      </c>
      <c r="G27" s="19" t="str">
        <f>IF(OR(entrada!G31=0,entrada!G31=""),"",entrada!G31)</f>
        <v/>
      </c>
      <c r="H27" s="19" t="str">
        <f>IF(OR(entrada!H31=0,entrada!H31=""),"",entrada!H31)</f>
        <v/>
      </c>
      <c r="I27" s="19" t="str">
        <f>IF(OR(entrada!I31=0,entrada!I31=""),"",entrada!I31)</f>
        <v/>
      </c>
      <c r="J27" s="19" t="str">
        <f>IF(OR(entrada!J31=0,entrada!J31=""),"",entrada!J31)</f>
        <v/>
      </c>
      <c r="K27" s="19" t="str">
        <f>IF(OR(entrada!K31=0,entrada!K31=""),"",entrada!K31)</f>
        <v/>
      </c>
      <c r="L27" s="19" t="str">
        <f>IF(OR(entrada!L31=0,entrada!L31=""),"",entrada!L31)</f>
        <v/>
      </c>
      <c r="M27" s="19" t="str">
        <f>IF(OR(entrada!M31=0,entrada!M31=""),"",entrada!M31)</f>
        <v/>
      </c>
      <c r="N27" s="19" t="str">
        <f>IF(OR(entrada!N31=0,entrada!N31=""),"",entrada!N31)</f>
        <v/>
      </c>
      <c r="O27" s="19" t="str">
        <f>IF(OR(entrada!O31=0,entrada!O31=""),"",entrada!O31)</f>
        <v/>
      </c>
      <c r="P27" s="19" t="str">
        <f>IF(OR(entrada!P31=0,entrada!P31=""),"",entrada!P31)</f>
        <v/>
      </c>
      <c r="Q27" s="19" t="str">
        <f>IF(OR(entrada!Q31=0,entrada!Q31=""),"",entrada!Q31)</f>
        <v/>
      </c>
      <c r="R27" s="19" t="str">
        <f>IF(OR(entrada!R31=0,entrada!R31=""),"",entrada!R31)</f>
        <v/>
      </c>
      <c r="S27" s="19" t="str">
        <f>IF(OR(entrada!S31=0,entrada!S31=""),"",entrada!S31)</f>
        <v/>
      </c>
      <c r="T27" s="19" t="str">
        <f>IF(OR(entrada!T31=0,entrada!T31=""),"",entrada!T31)</f>
        <v/>
      </c>
      <c r="U27" s="19" t="str">
        <f>IF(OR(entrada!U31=0,entrada!U31=""),"",entrada!U31)</f>
        <v/>
      </c>
      <c r="V27" s="19" t="str">
        <f>IF(OR(entrada!V31=0,entrada!V31=""),"",entrada!V31)</f>
        <v/>
      </c>
      <c r="W27" s="19" t="str">
        <f>IF(OR(entrada!W31=0,entrada!W31=""),"",entrada!W31)</f>
        <v/>
      </c>
      <c r="X27" s="19" t="str">
        <f>IF(OR(entrada!X31=0,entrada!X31=""),"",entrada!X31)</f>
        <v/>
      </c>
      <c r="Z27" s="48"/>
    </row>
    <row r="28" spans="1:26" ht="17.25" thickBot="1" x14ac:dyDescent="0.35">
      <c r="A28" s="50"/>
      <c r="B28" s="98" t="str">
        <f>IF(OR(entrada!B32=0,entrada!B32=""),"",entrada!B32)</f>
        <v>TOLERANCIAS*2</v>
      </c>
      <c r="C28" s="99" t="str">
        <f>IF(OR(entrada!C32=0,entrada!C32=""),"",entrada!C32)</f>
        <v/>
      </c>
      <c r="D28" s="104" t="str">
        <f>IF(OR(entrada!D32=0,entrada!D32=""),"",entrada!D32)</f>
        <v/>
      </c>
      <c r="E28" s="34" t="str">
        <f>IF(OR(entrada!E32=0,entrada!E32=""),"",entrada!E32)</f>
        <v/>
      </c>
      <c r="F28" s="34" t="str">
        <f>IF(OR(entrada!F32=0,entrada!F32=""),"",entrada!F32)</f>
        <v/>
      </c>
      <c r="G28" s="34" t="str">
        <f>IF(OR(entrada!G32=0,entrada!G32=""),"",entrada!G32)</f>
        <v/>
      </c>
      <c r="H28" s="34" t="str">
        <f>IF(OR(entrada!H32=0,entrada!H32=""),"",entrada!H32)</f>
        <v/>
      </c>
      <c r="I28" s="34" t="str">
        <f>IF(OR(entrada!I32=0,entrada!I32=""),"",entrada!I32)</f>
        <v/>
      </c>
      <c r="J28" s="34" t="str">
        <f>IF(OR(entrada!J32=0,entrada!J32=""),"",entrada!J32)</f>
        <v/>
      </c>
      <c r="K28" s="34" t="str">
        <f>IF(OR(entrada!K32=0,entrada!K32=""),"",entrada!K32)</f>
        <v/>
      </c>
      <c r="L28" s="34" t="str">
        <f>IF(OR(entrada!L32=0,entrada!L32=""),"",entrada!L32)</f>
        <v/>
      </c>
      <c r="M28" s="34" t="str">
        <f>IF(OR(entrada!M32=0,entrada!M32=""),"",entrada!M32)</f>
        <v/>
      </c>
      <c r="N28" s="34" t="str">
        <f>IF(OR(entrada!N32=0,entrada!N32=""),"",entrada!N32)</f>
        <v/>
      </c>
      <c r="O28" s="34" t="str">
        <f>IF(OR(entrada!O32=0,entrada!O32=""),"",entrada!O32)</f>
        <v/>
      </c>
      <c r="P28" s="34" t="str">
        <f>IF(OR(entrada!P32=0,entrada!P32=""),"",entrada!P32)</f>
        <v/>
      </c>
      <c r="Q28" s="34" t="str">
        <f>IF(OR(entrada!Q32=0,entrada!Q32=""),"",entrada!Q32)</f>
        <v/>
      </c>
      <c r="R28" s="34" t="str">
        <f>IF(OR(entrada!R32=0,entrada!R32=""),"",entrada!R32)</f>
        <v/>
      </c>
      <c r="S28" s="34" t="str">
        <f>IF(OR(entrada!S32=0,entrada!S32=""),"",entrada!S32)</f>
        <v/>
      </c>
      <c r="T28" s="34" t="str">
        <f>IF(OR(entrada!T32=0,entrada!T32=""),"",entrada!T32)</f>
        <v/>
      </c>
      <c r="U28" s="34" t="str">
        <f>IF(OR(entrada!U32=0,entrada!U32=""),"",entrada!U32)</f>
        <v/>
      </c>
      <c r="V28" s="34" t="str">
        <f>IF(OR(entrada!V32=0,entrada!V32=""),"",entrada!V32)</f>
        <v/>
      </c>
      <c r="W28" s="34" t="str">
        <f>IF(OR(entrada!W32=0,entrada!W32=""),"",entrada!W32)</f>
        <v/>
      </c>
      <c r="X28" s="34" t="str">
        <f>IF(OR(entrada!X32=0,entrada!X32=""),"",entrada!X32)</f>
        <v/>
      </c>
      <c r="Z28" s="48"/>
    </row>
    <row r="29" spans="1:26" x14ac:dyDescent="0.3">
      <c r="A29" s="50"/>
      <c r="B29" s="105" t="str">
        <f>IF(OR(entrada!B33=0,entrada!B33=""),"",entrada!B33)</f>
        <v>Calculo</v>
      </c>
      <c r="C29" s="106" t="str">
        <f>IF(OR(entrada!C33=0,entrada!C33=""),"",entrada!C33)</f>
        <v/>
      </c>
      <c r="D29" s="107" t="str">
        <f>IF(OR(entrada!D33=0,entrada!D33=""),"",entrada!D33)</f>
        <v/>
      </c>
      <c r="E29" s="21" t="str">
        <f>IF(OR(entrada!E33=0,entrada!E33=""),"",entrada!E33)</f>
        <v/>
      </c>
      <c r="F29" s="21" t="str">
        <f>IF(OR(entrada!F33=0,entrada!F33=""),"",entrada!F33)</f>
        <v/>
      </c>
      <c r="G29" s="21" t="str">
        <f>IF(OR(entrada!G33=0,entrada!G33=""),"",entrada!G33)</f>
        <v/>
      </c>
      <c r="H29" s="21" t="str">
        <f>IF(OR(entrada!H33=0,entrada!H33=""),"",entrada!H33)</f>
        <v/>
      </c>
      <c r="I29" s="21" t="str">
        <f>IF(OR(entrada!I33=0,entrada!I33=""),"",entrada!I33)</f>
        <v/>
      </c>
      <c r="J29" s="21" t="str">
        <f>IF(OR(entrada!J33=0,entrada!J33=""),"",entrada!J33)</f>
        <v/>
      </c>
      <c r="K29" s="21">
        <f>IF(OR(entrada!K33=0,entrada!K33=""),"",entrada!K33)</f>
        <v>8.1793999999999999E-3</v>
      </c>
      <c r="L29" s="22">
        <f>IF(OR(entrada!L33=0,entrada!L33=""),"",entrada!L33)</f>
        <v>4.0745940679999997E-3</v>
      </c>
      <c r="M29" s="22" t="str">
        <f>IF(OR(entrada!M33=0,entrada!M33=""),"",entrada!M33)</f>
        <v/>
      </c>
      <c r="N29" s="22" t="str">
        <f>IF(OR(entrada!N33=0,entrada!N33=""),"",entrada!N33)</f>
        <v/>
      </c>
      <c r="O29" s="22" t="str">
        <f>IF(OR(entrada!O33=0,entrada!O33=""),"",entrada!O33)</f>
        <v/>
      </c>
      <c r="P29" s="22" t="str">
        <f>IF(OR(entrada!P33=0,entrada!P33=""),"",entrada!P33)</f>
        <v/>
      </c>
      <c r="Q29" s="22" t="str">
        <f>IF(OR(entrada!Q33=0,entrada!Q33=""),"",entrada!Q33)</f>
        <v/>
      </c>
      <c r="R29" s="22" t="str">
        <f>IF(OR(entrada!R33=0,entrada!R33=""),"",entrada!R33)</f>
        <v/>
      </c>
      <c r="S29" s="22" t="str">
        <f>IF(OR(entrada!S33=0,entrada!S33=""),"",entrada!S33)</f>
        <v/>
      </c>
      <c r="T29" s="22" t="str">
        <f>IF(OR(entrada!T33=0,entrada!T33=""),"",entrada!T33)</f>
        <v/>
      </c>
      <c r="U29" s="22" t="str">
        <f>IF(OR(entrada!U33=0,entrada!U33=""),"",entrada!U33)</f>
        <v/>
      </c>
      <c r="V29" s="22" t="str">
        <f>IF(OR(entrada!V33=0,entrada!V33=""),"",entrada!V33)</f>
        <v/>
      </c>
      <c r="W29" s="22" t="str">
        <f>IF(OR(entrada!W33=0,entrada!W33=""),"",entrada!W33)</f>
        <v/>
      </c>
      <c r="X29" s="22" t="str">
        <f>IF(OR(entrada!X33=0,entrada!X33=""),"",entrada!X33)</f>
        <v/>
      </c>
      <c r="Z29" s="48"/>
    </row>
    <row r="30" spans="1:26" x14ac:dyDescent="0.3">
      <c r="A30" s="50"/>
      <c r="B30" s="108" t="str">
        <f>IF(OR(entrada!B34=0,entrada!B34=""),"",entrada!B34)</f>
        <v>NPK ¿El contenido está fuera de rango [4%-32%]?*3</v>
      </c>
      <c r="C30" s="109" t="str">
        <f>IF(OR(entrada!C34=0,entrada!C34=""),"",entrada!C34)</f>
        <v/>
      </c>
      <c r="D30" s="110" t="str">
        <f>IF(OR(entrada!D34=0,entrada!D34=""),"",entrada!D34)</f>
        <v/>
      </c>
      <c r="E30" s="20" t="str">
        <f>IF(OR(entrada!E34=0,entrada!E34=""),"",entrada!E34)</f>
        <v/>
      </c>
      <c r="F30" s="20" t="str">
        <f>IF(OR(entrada!F34=0,entrada!F34=""),"",entrada!F34)</f>
        <v/>
      </c>
      <c r="G30" s="20"/>
      <c r="H30" s="20"/>
      <c r="I30" s="20" t="str">
        <f>IF(OR(entrada!I34=0,entrada!I34=""),"",entrada!I34)</f>
        <v/>
      </c>
      <c r="J30" s="20"/>
      <c r="K30" s="23" t="str">
        <f>IF(OR(entrada!K34=0,entrada!K34=""),"",entrada!K34)</f>
        <v>NO</v>
      </c>
      <c r="L30" s="20" t="str">
        <f>IF(OR(entrada!L34=0,entrada!L34=""),"",entrada!L34)</f>
        <v>SI</v>
      </c>
      <c r="M30" s="20">
        <f>IF(OR(entrada!M34=0,entrada!M34=""),"",entrada!M34)</f>
        <v>2.4254999999999999E-2</v>
      </c>
      <c r="N30" s="20">
        <f>IF(OR(entrada!N34=0,entrada!N34=""),"",entrada!N34)</f>
        <v>2.375E-2</v>
      </c>
      <c r="O30" s="20">
        <f>IF(OR(entrada!O34=0,entrada!O34=""),"",entrada!O34)</f>
        <v>4.9499999999999995E-3</v>
      </c>
      <c r="P30" s="20" t="str">
        <f>IF(OR(entrada!P34=0,entrada!P34=""),"",entrada!P34)</f>
        <v/>
      </c>
      <c r="Q30" s="23" t="str">
        <f>IF(OR(entrada!Q34=0,entrada!Q34=""),"",entrada!Q34)</f>
        <v/>
      </c>
      <c r="R30" s="23" t="str">
        <f>IF(OR(entrada!R34=0,entrada!R34=""),"",entrada!R34)</f>
        <v/>
      </c>
      <c r="S30" s="23" t="str">
        <f>IF(OR(entrada!S34=0,entrada!S34=""),"",entrada!S34)</f>
        <v/>
      </c>
      <c r="T30" s="23" t="str">
        <f>IF(OR(entrada!T34=0,entrada!T34=""),"",entrada!T34)</f>
        <v/>
      </c>
      <c r="U30" s="23" t="str">
        <f>IF(OR(entrada!U34=0,entrada!U34=""),"",entrada!U34)</f>
        <v/>
      </c>
      <c r="V30" s="23" t="str">
        <f>IF(OR(entrada!V34=0,entrada!V34=""),"",entrada!V34)</f>
        <v/>
      </c>
      <c r="W30" s="20" t="str">
        <f>IF(OR(entrada!W34=0,entrada!W34=""),"",entrada!W34)</f>
        <v/>
      </c>
      <c r="X30" s="23" t="str">
        <f>IF(OR(entrada!X34=0,entrada!X34=""),"",entrada!X34)</f>
        <v/>
      </c>
      <c r="Z30" s="48"/>
    </row>
    <row r="31" spans="1:26" x14ac:dyDescent="0.3">
      <c r="A31" s="50"/>
      <c r="B31" s="108" t="str">
        <f>IF(OR(entrada!B35=0,entrada!B35=""),"",entrada!B35)</f>
        <v>Secundarios y menores ¿La tolerancia supera el 50% o 1.5pp?*4</v>
      </c>
      <c r="C31" s="109" t="str">
        <f>IF(OR(entrada!C35=0,entrada!C35=""),"",entrada!C35)</f>
        <v/>
      </c>
      <c r="D31" s="110" t="str">
        <f>IF(OR(entrada!D35=0,entrada!D35=""),"",entrada!D35)</f>
        <v/>
      </c>
      <c r="E31" s="20" t="str">
        <f>IF(OR(entrada!E35=0,entrada!E35=""),"",entrada!E35)</f>
        <v/>
      </c>
      <c r="F31" s="20" t="str">
        <f>IF(OR(entrada!F35=0,entrada!F35=""),"",entrada!F35)</f>
        <v/>
      </c>
      <c r="G31" s="20"/>
      <c r="H31" s="20"/>
      <c r="I31" s="20"/>
      <c r="J31" s="20"/>
      <c r="K31" s="20" t="str">
        <f>IF(OR(entrada!K35=0,entrada!K35=""),"",entrada!K35)</f>
        <v/>
      </c>
      <c r="L31" s="20" t="str">
        <f>IF(OR(entrada!L35=0,entrada!L35=""),"",entrada!L35)</f>
        <v/>
      </c>
      <c r="M31" s="20" t="str">
        <f>IF(OR(entrada!M35=0,entrada!M35=""),"",entrada!M35)</f>
        <v>SI</v>
      </c>
      <c r="N31" s="20" t="str">
        <f>IF(OR(entrada!N35=0,entrada!N35=""),"",entrada!N35)</f>
        <v>SI</v>
      </c>
      <c r="O31" s="20" t="str">
        <f>IF(OR(entrada!O35=0,entrada!O35=""),"",entrada!O35)</f>
        <v>NO</v>
      </c>
      <c r="P31" s="20" t="str">
        <f>IF(OR(entrada!P35=0,entrada!P35=""),"",entrada!P35)</f>
        <v/>
      </c>
      <c r="Q31" s="20" t="str">
        <f>IF(OR(entrada!Q35=0,entrada!Q35=""),"",entrada!Q35)</f>
        <v/>
      </c>
      <c r="R31" s="20" t="str">
        <f>IF(OR(entrada!R35=0,entrada!R35=""),"",entrada!R35)</f>
        <v/>
      </c>
      <c r="S31" s="20" t="str">
        <f>IF(OR(entrada!S35=0,entrada!S35=""),"",entrada!S35)</f>
        <v/>
      </c>
      <c r="T31" s="20" t="str">
        <f>IF(OR(entrada!T35=0,entrada!T35=""),"",entrada!T35)</f>
        <v/>
      </c>
      <c r="U31" s="20" t="str">
        <f>IF(OR(entrada!U35=0,entrada!U35=""),"",entrada!U35)</f>
        <v/>
      </c>
      <c r="V31" s="20" t="str">
        <f>IF(OR(entrada!V35=0,entrada!V35=""),"",entrada!V35)</f>
        <v/>
      </c>
      <c r="W31" s="20" t="str">
        <f>IF(OR(entrada!W35=0,entrada!W35=""),"",entrada!W35)</f>
        <v/>
      </c>
      <c r="X31" s="20" t="str">
        <f>IF(OR(entrada!X35=0,entrada!X35=""),"",entrada!X35)</f>
        <v/>
      </c>
      <c r="Z31" s="48"/>
    </row>
    <row r="32" spans="1:26" ht="17.25" thickBot="1" x14ac:dyDescent="0.35">
      <c r="A32" s="50"/>
      <c r="B32" s="111" t="str">
        <f>IF(OR(entrada!B36=0,entrada!B36=""),"",entrada!B36)</f>
        <v>Tolerancia permitida</v>
      </c>
      <c r="C32" s="112" t="str">
        <f>IF(OR(entrada!C36=0,entrada!C36=""),"",entrada!C36)</f>
        <v/>
      </c>
      <c r="D32" s="113" t="str">
        <f>IF(OR(entrada!D36=0,entrada!D36=""),"",entrada!D36)</f>
        <v/>
      </c>
      <c r="E32" s="37" t="str">
        <f>IF(OR(entrada!E36=0,entrada!E36=""),"",entrada!E36)</f>
        <v/>
      </c>
      <c r="F32" s="37" t="str">
        <f>IF(OR(entrada!F36=0,entrada!F36=""),"",entrada!F36)</f>
        <v/>
      </c>
      <c r="G32" s="37" t="str">
        <f>IF(OR(entrada!G36=0,entrada!G36=""),"",entrada!G36)</f>
        <v/>
      </c>
      <c r="H32" s="37" t="str">
        <f>IF(OR(entrada!H36=0,entrada!H36=""),"",entrada!H36)</f>
        <v/>
      </c>
      <c r="I32" s="37" t="str">
        <f>IF(OR(entrada!I36=0,entrada!I36=""),"",entrada!I36)</f>
        <v/>
      </c>
      <c r="J32" s="37" t="str">
        <f>IF(OR(entrada!J36=0,entrada!J36=""),"",entrada!J36)</f>
        <v/>
      </c>
      <c r="K32" s="37">
        <f>IF(OR(entrada!K36=0,entrada!K36=""),"",entrada!K36)</f>
        <v>8.1793999999999999E-3</v>
      </c>
      <c r="L32" s="25">
        <f>IF(OR(entrada!L36=0,entrada!L36=""),"",entrada!L36)</f>
        <v>6.8999999999999999E-3</v>
      </c>
      <c r="M32" s="25">
        <f>IF(OR(entrada!M36=0,entrada!M36=""),"",entrada!M36)</f>
        <v>1.4999999999999999E-2</v>
      </c>
      <c r="N32" s="25">
        <f>IF(OR(entrada!N36=0,entrada!N36=""),"",entrada!N36)</f>
        <v>1.4999999999999999E-2</v>
      </c>
      <c r="O32" s="25">
        <f>IF(OR(entrada!O36=0,entrada!O36=""),"",entrada!O36)</f>
        <v>1.4999999999999999E-2</v>
      </c>
      <c r="P32" s="25" t="str">
        <f>IF(OR(entrada!P36=0,entrada!P36=""),"",entrada!P36)</f>
        <v/>
      </c>
      <c r="Q32" s="37" t="str">
        <f>IF(OR(entrada!Q36=0,entrada!Q36=""),"",entrada!Q36)</f>
        <v/>
      </c>
      <c r="R32" s="37" t="str">
        <f>IF(OR(entrada!R36=0,entrada!R36=""),"",entrada!R36)</f>
        <v/>
      </c>
      <c r="S32" s="37" t="str">
        <f>IF(OR(entrada!S36=0,entrada!S36=""),"",entrada!S36)</f>
        <v/>
      </c>
      <c r="T32" s="37" t="str">
        <f>IF(OR(entrada!T36=0,entrada!T36=""),"",entrada!T36)</f>
        <v/>
      </c>
      <c r="U32" s="37" t="str">
        <f>IF(OR(entrada!U36=0,entrada!U36=""),"",entrada!U36)</f>
        <v/>
      </c>
      <c r="V32" s="37" t="str">
        <f>IF(OR(entrada!V36=0,entrada!V36=""),"",entrada!V36)</f>
        <v/>
      </c>
      <c r="W32" s="25" t="str">
        <f>IF(OR(entrada!W36=0,entrada!W36=""),"",entrada!W36)</f>
        <v/>
      </c>
      <c r="X32" s="37" t="str">
        <f>IF(OR(entrada!X36=0,entrada!X36=""),"",entrada!X36)</f>
        <v/>
      </c>
      <c r="Z32" s="48"/>
    </row>
    <row r="33" spans="1:26" x14ac:dyDescent="0.3">
      <c r="A33" s="50"/>
      <c r="B33" s="97" t="str">
        <f>IF(OR(entrada!B37=0,entrada!B37=""),"",entrada!B37)</f>
        <v>*2 NTC 1061:2020 ALCANCE: no aplica para organicos</v>
      </c>
      <c r="C33" s="97" t="str">
        <f>IF(OR(entrada!C37=0,entrada!C37=""),"",entrada!C37)</f>
        <v/>
      </c>
      <c r="D33" s="97" t="str">
        <f>IF(OR(entrada!D37=0,entrada!D37=""),"",entrada!D37)</f>
        <v/>
      </c>
      <c r="E33" s="34" t="str">
        <f>IF(OR(entrada!E37=0,entrada!E37=""),"",entrada!E37)</f>
        <v/>
      </c>
      <c r="F33" s="34" t="str">
        <f>IF(OR(entrada!F37=0,entrada!F37=""),"",entrada!F37)</f>
        <v/>
      </c>
      <c r="G33" s="34" t="str">
        <f>IF(OR(entrada!G37=0,entrada!G37=""),"",entrada!G37)</f>
        <v/>
      </c>
      <c r="H33" s="34" t="str">
        <f>IF(OR(entrada!H37=0,entrada!H37=""),"",entrada!H37)</f>
        <v/>
      </c>
      <c r="I33" s="34" t="str">
        <f>IF(OR(entrada!I37=0,entrada!I37=""),"",entrada!I37)</f>
        <v/>
      </c>
      <c r="J33" s="34" t="str">
        <f>IF(OR(entrada!J37=0,entrada!J37=""),"",entrada!J37)</f>
        <v/>
      </c>
      <c r="K33" s="34" t="str">
        <f>IF(OR(entrada!K37=0,entrada!K37=""),"",entrada!K37)</f>
        <v/>
      </c>
      <c r="L33" s="34" t="str">
        <f>IF(OR(entrada!L37=0,entrada!L37=""),"",entrada!L37)</f>
        <v/>
      </c>
      <c r="M33" s="34" t="str">
        <f>IF(OR(entrada!M37=0,entrada!M37=""),"",entrada!M37)</f>
        <v/>
      </c>
      <c r="N33" s="34" t="str">
        <f>IF(OR(entrada!N37=0,entrada!N37=""),"",entrada!N37)</f>
        <v/>
      </c>
      <c r="O33" s="34" t="str">
        <f>IF(OR(entrada!O37=0,entrada!O37=""),"",entrada!O37)</f>
        <v/>
      </c>
      <c r="P33" s="34" t="str">
        <f>IF(OR(entrada!P37=0,entrada!P37=""),"",entrada!P37)</f>
        <v/>
      </c>
      <c r="Q33" s="34" t="str">
        <f>IF(OR(entrada!Q37=0,entrada!Q37=""),"",entrada!Q37)</f>
        <v/>
      </c>
      <c r="R33" s="34" t="str">
        <f>IF(OR(entrada!R37=0,entrada!R37=""),"",entrada!R37)</f>
        <v/>
      </c>
      <c r="S33" s="34" t="str">
        <f>IF(OR(entrada!S37=0,entrada!S37=""),"",entrada!S37)</f>
        <v/>
      </c>
      <c r="T33" s="34" t="str">
        <f>IF(OR(entrada!T37=0,entrada!T37=""),"",entrada!T37)</f>
        <v/>
      </c>
      <c r="U33" s="34" t="str">
        <f>IF(OR(entrada!U37=0,entrada!U37=""),"",entrada!U37)</f>
        <v/>
      </c>
      <c r="V33" s="34" t="str">
        <f>IF(OR(entrada!V37=0,entrada!V37=""),"",entrada!V37)</f>
        <v/>
      </c>
      <c r="W33" s="34" t="str">
        <f>IF(OR(entrada!W37=0,entrada!W37=""),"",entrada!W37)</f>
        <v/>
      </c>
      <c r="X33" s="34" t="str">
        <f>IF(OR(entrada!X37=0,entrada!X37=""),"",entrada!X37)</f>
        <v/>
      </c>
      <c r="Z33" s="48"/>
    </row>
    <row r="34" spans="1:26" x14ac:dyDescent="0.3">
      <c r="A34" s="50"/>
      <c r="B34" s="97" t="str">
        <f>IF(OR(entrada!B38=0,entrada!B38=""),"",entrada!B38)</f>
        <v xml:space="preserve">*3 NTC 1061:2020 4.1 </v>
      </c>
      <c r="C34" s="97" t="str">
        <f>IF(OR(entrada!C38=0,entrada!C38=""),"",entrada!C38)</f>
        <v/>
      </c>
      <c r="D34" s="97" t="str">
        <f>IF(OR(entrada!D38=0,entrada!D38=""),"",entrada!D38)</f>
        <v/>
      </c>
      <c r="E34" s="34" t="str">
        <f>IF(OR(entrada!E38=0,entrada!E38=""),"",entrada!E38)</f>
        <v/>
      </c>
      <c r="F34" s="34" t="str">
        <f>IF(OR(entrada!F38=0,entrada!F38=""),"",entrada!F38)</f>
        <v/>
      </c>
      <c r="G34" s="34" t="str">
        <f>IF(OR(entrada!G38=0,entrada!G38=""),"",entrada!G38)</f>
        <v/>
      </c>
      <c r="H34" s="34" t="str">
        <f>IF(OR(entrada!H38=0,entrada!H38=""),"",entrada!H38)</f>
        <v/>
      </c>
      <c r="I34" s="34" t="str">
        <f>IF(OR(entrada!I38=0,entrada!I38=""),"",entrada!I38)</f>
        <v/>
      </c>
      <c r="J34" s="34" t="str">
        <f>IF(OR(entrada!J38=0,entrada!J38=""),"",entrada!J38)</f>
        <v/>
      </c>
      <c r="K34" s="34" t="str">
        <f>IF(OR(entrada!K38=0,entrada!K38=""),"",entrada!K38)</f>
        <v/>
      </c>
      <c r="L34" s="34" t="str">
        <f>IF(OR(entrada!L38=0,entrada!L38=""),"",entrada!L38)</f>
        <v/>
      </c>
      <c r="M34" s="34" t="str">
        <f>IF(OR(entrada!M38=0,entrada!M38=""),"",entrada!M38)</f>
        <v/>
      </c>
      <c r="N34" s="34" t="str">
        <f>IF(OR(entrada!N38=0,entrada!N38=""),"",entrada!N38)</f>
        <v/>
      </c>
      <c r="O34" s="34" t="str">
        <f>IF(OR(entrada!O38=0,entrada!O38=""),"",entrada!O38)</f>
        <v/>
      </c>
      <c r="P34" s="34" t="str">
        <f>IF(OR(entrada!P38=0,entrada!P38=""),"",entrada!P38)</f>
        <v/>
      </c>
      <c r="Q34" s="34" t="str">
        <f>IF(OR(entrada!Q38=0,entrada!Q38=""),"",entrada!Q38)</f>
        <v/>
      </c>
      <c r="R34" s="34" t="str">
        <f>IF(OR(entrada!R38=0,entrada!R38=""),"",entrada!R38)</f>
        <v/>
      </c>
      <c r="S34" s="34" t="str">
        <f>IF(OR(entrada!S38=0,entrada!S38=""),"",entrada!S38)</f>
        <v/>
      </c>
      <c r="T34" s="34" t="str">
        <f>IF(OR(entrada!T38=0,entrada!T38=""),"",entrada!T38)</f>
        <v/>
      </c>
      <c r="U34" s="34" t="str">
        <f>IF(OR(entrada!U38=0,entrada!U38=""),"",entrada!U38)</f>
        <v/>
      </c>
      <c r="V34" s="34" t="str">
        <f>IF(OR(entrada!V38=0,entrada!V38=""),"",entrada!V38)</f>
        <v/>
      </c>
      <c r="W34" s="34" t="str">
        <f>IF(OR(entrada!W38=0,entrada!W38=""),"",entrada!W38)</f>
        <v/>
      </c>
      <c r="X34" s="34" t="str">
        <f>IF(OR(entrada!X38=0,entrada!X38=""),"",entrada!X38)</f>
        <v/>
      </c>
      <c r="Z34" s="48"/>
    </row>
    <row r="35" spans="1:26" x14ac:dyDescent="0.3">
      <c r="A35" s="50"/>
      <c r="B35" s="97" t="str">
        <f>IF(OR(entrada!B39=0,entrada!B39=""),"",entrada!B39)</f>
        <v xml:space="preserve">*4 NTC 1061:2020 4.2.1 - 4.2.2 </v>
      </c>
      <c r="C35" s="97" t="str">
        <f>IF(OR(entrada!C39=0,entrada!C39=""),"",entrada!C39)</f>
        <v/>
      </c>
      <c r="D35" s="97" t="str">
        <f>IF(OR(entrada!D39=0,entrada!D39=""),"",entrada!D39)</f>
        <v/>
      </c>
      <c r="E35" s="34" t="str">
        <f>IF(OR(entrada!E39=0,entrada!E39=""),"",entrada!E39)</f>
        <v/>
      </c>
      <c r="F35" s="34" t="str">
        <f>IF(OR(entrada!F39=0,entrada!F39=""),"",entrada!F39)</f>
        <v/>
      </c>
      <c r="G35" s="34" t="str">
        <f>IF(OR(entrada!G39=0,entrada!G39=""),"",entrada!G39)</f>
        <v/>
      </c>
      <c r="H35" s="34" t="str">
        <f>IF(OR(entrada!H39=0,entrada!H39=""),"",entrada!H39)</f>
        <v/>
      </c>
      <c r="I35" s="34" t="str">
        <f>IF(OR(entrada!I39=0,entrada!I39=""),"",entrada!I39)</f>
        <v/>
      </c>
      <c r="J35" s="34" t="str">
        <f>IF(OR(entrada!J39=0,entrada!J39=""),"",entrada!J39)</f>
        <v/>
      </c>
      <c r="K35" s="34" t="str">
        <f>IF(OR(entrada!K39=0,entrada!K39=""),"",entrada!K39)</f>
        <v/>
      </c>
      <c r="L35" s="34" t="str">
        <f>IF(OR(entrada!L39=0,entrada!L39=""),"",entrada!L39)</f>
        <v/>
      </c>
      <c r="M35" s="34" t="str">
        <f>IF(OR(entrada!M39=0,entrada!M39=""),"",entrada!M39)</f>
        <v/>
      </c>
      <c r="N35" s="34" t="str">
        <f>IF(OR(entrada!N39=0,entrada!N39=""),"",entrada!N39)</f>
        <v/>
      </c>
      <c r="O35" s="34" t="str">
        <f>IF(OR(entrada!O39=0,entrada!O39=""),"",entrada!O39)</f>
        <v/>
      </c>
      <c r="P35" s="34" t="str">
        <f>IF(OR(entrada!P39=0,entrada!P39=""),"",entrada!P39)</f>
        <v/>
      </c>
      <c r="Q35" s="34" t="str">
        <f>IF(OR(entrada!Q39=0,entrada!Q39=""),"",entrada!Q39)</f>
        <v/>
      </c>
      <c r="R35" s="34" t="str">
        <f>IF(OR(entrada!R39=0,entrada!R39=""),"",entrada!R39)</f>
        <v/>
      </c>
      <c r="S35" s="34" t="str">
        <f>IF(OR(entrada!S39=0,entrada!S39=""),"",entrada!S39)</f>
        <v/>
      </c>
      <c r="T35" s="34" t="str">
        <f>IF(OR(entrada!T39=0,entrada!T39=""),"",entrada!T39)</f>
        <v/>
      </c>
      <c r="U35" s="34" t="str">
        <f>IF(OR(entrada!U39=0,entrada!U39=""),"",entrada!U39)</f>
        <v/>
      </c>
      <c r="V35" s="34" t="str">
        <f>IF(OR(entrada!V39=0,entrada!V39=""),"",entrada!V39)</f>
        <v/>
      </c>
      <c r="W35" s="34" t="str">
        <f>IF(OR(entrada!W39=0,entrada!W39=""),"",entrada!W39)</f>
        <v/>
      </c>
      <c r="X35" s="34" t="str">
        <f>IF(OR(entrada!X39=0,entrada!X39=""),"",entrada!X39)</f>
        <v/>
      </c>
      <c r="Z35" s="48"/>
    </row>
    <row r="36" spans="1:26" ht="17.25" thickBot="1" x14ac:dyDescent="0.35">
      <c r="A36" s="50"/>
      <c r="B36" s="18" t="str">
        <f>IF(OR(entrada!B40=0,entrada!B40=""),"",entrada!B40)</f>
        <v/>
      </c>
      <c r="C36" s="19" t="str">
        <f>IF(OR(entrada!C40=0,entrada!C40=""),"",entrada!C40)</f>
        <v/>
      </c>
      <c r="D36" s="19" t="str">
        <f>IF(OR(entrada!D40=0,entrada!D40=""),"",entrada!D40)</f>
        <v/>
      </c>
      <c r="E36" s="34" t="str">
        <f>IF(OR(entrada!E40=0,entrada!E40=""),"",entrada!E40)</f>
        <v/>
      </c>
      <c r="F36" s="34" t="str">
        <f>IF(OR(entrada!F40=0,entrada!F40=""),"",entrada!F40)</f>
        <v/>
      </c>
      <c r="G36" s="34" t="str">
        <f>IF(OR(entrada!G40=0,entrada!G40=""),"",entrada!G40)</f>
        <v/>
      </c>
      <c r="H36" s="34" t="str">
        <f>IF(OR(entrada!H40=0,entrada!H40=""),"",entrada!H40)</f>
        <v/>
      </c>
      <c r="I36" s="34" t="str">
        <f>IF(OR(entrada!I40=0,entrada!I40=""),"",entrada!I40)</f>
        <v/>
      </c>
      <c r="J36" s="34" t="str">
        <f>IF(OR(entrada!J40=0,entrada!J40=""),"",entrada!J40)</f>
        <v/>
      </c>
      <c r="K36" s="34" t="str">
        <f>IF(OR(entrada!K40=0,entrada!K40=""),"",entrada!K40)</f>
        <v/>
      </c>
      <c r="L36" s="34" t="str">
        <f>IF(OR(entrada!L40=0,entrada!L40=""),"",entrada!L40)</f>
        <v/>
      </c>
      <c r="M36" s="34" t="str">
        <f>IF(OR(entrada!M40=0,entrada!M40=""),"",entrada!M40)</f>
        <v/>
      </c>
      <c r="N36" s="34" t="str">
        <f>IF(OR(entrada!N40=0,entrada!N40=""),"",entrada!N40)</f>
        <v/>
      </c>
      <c r="O36" s="34" t="str">
        <f>IF(OR(entrada!O40=0,entrada!O40=""),"",entrada!O40)</f>
        <v/>
      </c>
      <c r="P36" s="34" t="str">
        <f>IF(OR(entrada!P40=0,entrada!P40=""),"",entrada!P40)</f>
        <v/>
      </c>
      <c r="Q36" s="34" t="str">
        <f>IF(OR(entrada!Q40=0,entrada!Q40=""),"",entrada!Q40)</f>
        <v/>
      </c>
      <c r="R36" s="34" t="str">
        <f>IF(OR(entrada!R40=0,entrada!R40=""),"",entrada!R40)</f>
        <v/>
      </c>
      <c r="S36" s="34" t="str">
        <f>IF(OR(entrada!S40=0,entrada!S40=""),"",entrada!S40)</f>
        <v/>
      </c>
      <c r="T36" s="34" t="str">
        <f>IF(OR(entrada!T40=0,entrada!T40=""),"",entrada!T40)</f>
        <v/>
      </c>
      <c r="U36" s="34" t="str">
        <f>IF(OR(entrada!U40=0,entrada!U40=""),"",entrada!U40)</f>
        <v/>
      </c>
      <c r="V36" s="34" t="str">
        <f>IF(OR(entrada!V40=0,entrada!V40=""),"",entrada!V40)</f>
        <v/>
      </c>
      <c r="W36" s="34" t="str">
        <f>IF(OR(entrada!W40=0,entrada!W40=""),"",entrada!W40)</f>
        <v/>
      </c>
      <c r="X36" s="34" t="str">
        <f>IF(OR(entrada!X40=0,entrada!X40=""),"",entrada!X40)</f>
        <v/>
      </c>
      <c r="Z36" s="48"/>
    </row>
    <row r="37" spans="1:26" x14ac:dyDescent="0.3">
      <c r="A37" s="50"/>
      <c r="B37" s="98" t="str">
        <f>IF(OR(entrada!B41=0,entrada!B41=""),"",entrada!B41)</f>
        <v>Tolerancia Mínima NTC</v>
      </c>
      <c r="C37" s="99" t="str">
        <f>IF(OR(entrada!C41=0,entrada!C41=""),"",entrada!C41)</f>
        <v/>
      </c>
      <c r="D37" s="99" t="str">
        <f>IF(OR(entrada!D41=0,entrada!D41=""),"",entrada!D41)</f>
        <v/>
      </c>
      <c r="E37" s="21" t="str">
        <f>IF(OR(entrada!E41=0,entrada!E41=""),"",entrada!E41)</f>
        <v/>
      </c>
      <c r="F37" s="21" t="str">
        <f>IF(OR(entrada!F41=0,entrada!F41=""),"",entrada!F41)</f>
        <v/>
      </c>
      <c r="G37" s="21"/>
      <c r="H37" s="21"/>
      <c r="I37" s="21"/>
      <c r="J37" s="21"/>
      <c r="K37" s="21">
        <f>IF(OR(entrada!K41=0,entrada!K41=""),"",entrada!K41)</f>
        <v>3.3820600000000006E-2</v>
      </c>
      <c r="L37" s="22">
        <f>IF(OR(entrada!L41=0,entrada!L41=""),"",entrada!L41)</f>
        <v>-5.1599999999999997E-3</v>
      </c>
      <c r="M37" s="22">
        <f>IF(OR(entrada!M41=0,entrada!M41=""),"",entrada!M41)</f>
        <v>0.17599999999999999</v>
      </c>
      <c r="N37" s="22">
        <f>IF(OR(entrada!N41=0,entrada!N41=""),"",entrada!N41)</f>
        <v>0.13500000000000001</v>
      </c>
      <c r="O37" s="22">
        <f>IF(OR(entrada!O41=0,entrada!O41=""),"",entrada!O41)</f>
        <v>1.1000000000000003E-2</v>
      </c>
      <c r="P37" s="22" t="str">
        <f>IF(OR(entrada!P41=0,entrada!P41=""),"",entrada!P41)</f>
        <v/>
      </c>
      <c r="Q37" s="21" t="str">
        <f>IF(OR(entrada!Q41=0,entrada!Q41=""),"",entrada!Q41)</f>
        <v/>
      </c>
      <c r="R37" s="21" t="str">
        <f>IF(OR(entrada!R41=0,entrada!R41=""),"",entrada!R41)</f>
        <v/>
      </c>
      <c r="S37" s="21" t="str">
        <f>IF(OR(entrada!S41=0,entrada!S41=""),"",entrada!S41)</f>
        <v/>
      </c>
      <c r="T37" s="21" t="str">
        <f>IF(OR(entrada!T41=0,entrada!T41=""),"",entrada!T41)</f>
        <v/>
      </c>
      <c r="U37" s="21" t="str">
        <f>IF(OR(entrada!U41=0,entrada!U41=""),"",entrada!U41)</f>
        <v/>
      </c>
      <c r="V37" s="21" t="str">
        <f>IF(OR(entrada!V41=0,entrada!V41=""),"",entrada!V41)</f>
        <v/>
      </c>
      <c r="W37" s="22" t="str">
        <f>IF(OR(entrada!W41=0,entrada!W41=""),"",entrada!W41)</f>
        <v/>
      </c>
      <c r="X37" s="21" t="str">
        <f>IF(OR(entrada!X41=0,entrada!X41=""),"",entrada!X41)</f>
        <v/>
      </c>
      <c r="Z37" s="48"/>
    </row>
    <row r="38" spans="1:26" x14ac:dyDescent="0.3">
      <c r="A38" s="50"/>
      <c r="B38" s="100" t="str">
        <f>IF(OR(entrada!B42=0,entrada!B42=""),"",entrada!B42)</f>
        <v>SOLICITUD DE REGISTRO ICA: MATERIA PRIMA</v>
      </c>
      <c r="C38" s="101" t="str">
        <f>IF(OR(entrada!C42=0,entrada!C42=""),"",entrada!C42)</f>
        <v/>
      </c>
      <c r="D38" s="101" t="str">
        <f>IF(OR(entrada!D42=0,entrada!D42=""),"",entrada!D42)</f>
        <v/>
      </c>
      <c r="E38" s="23" t="str">
        <f>IF(OR(entrada!E42=0,entrada!E42=""),"",entrada!E42)</f>
        <v/>
      </c>
      <c r="F38" s="23" t="str">
        <f>IF(OR(entrada!F42=0,entrada!F42=""),"",entrada!F42)</f>
        <v/>
      </c>
      <c r="G38" s="23"/>
      <c r="H38" s="23"/>
      <c r="I38" s="23"/>
      <c r="J38" s="23"/>
      <c r="K38" s="23">
        <f>IF(OR(entrada!K42=0,entrada!K42=""),"",entrada!K42)</f>
        <v>4.2000000000000003E-2</v>
      </c>
      <c r="L38" s="20">
        <f>IF(OR(entrada!L42=0,entrada!L42=""),"",entrada!L42)</f>
        <v>1.7399999999999998E-3</v>
      </c>
      <c r="M38" s="20">
        <f>IF(OR(entrada!M42=0,entrada!M42=""),"",entrada!M42)</f>
        <v>0.191</v>
      </c>
      <c r="N38" s="20">
        <f>IF(OR(entrada!N42=0,entrada!N42=""),"",entrada!N42)</f>
        <v>0.15000000000000002</v>
      </c>
      <c r="O38" s="20">
        <f>IF(OR(entrada!O42=0,entrada!O42=""),"",entrada!O42)</f>
        <v>2.6000000000000002E-2</v>
      </c>
      <c r="P38" s="20" t="str">
        <f>IF(OR(entrada!P42=0,entrada!P42=""),"",entrada!P42)</f>
        <v/>
      </c>
      <c r="Q38" s="23" t="str">
        <f>IF(OR(entrada!Q42=0,entrada!Q42=""),"",entrada!Q42)</f>
        <v/>
      </c>
      <c r="R38" s="23" t="str">
        <f>IF(OR(entrada!R42=0,entrada!R42=""),"",entrada!R42)</f>
        <v/>
      </c>
      <c r="S38" s="23" t="str">
        <f>IF(OR(entrada!S42=0,entrada!S42=""),"",entrada!S42)</f>
        <v/>
      </c>
      <c r="T38" s="23" t="str">
        <f>IF(OR(entrada!T42=0,entrada!T42=""),"",entrada!T42)</f>
        <v/>
      </c>
      <c r="U38" s="23" t="str">
        <f>IF(OR(entrada!U42=0,entrada!U42=""),"",entrada!U42)</f>
        <v/>
      </c>
      <c r="V38" s="23">
        <f>IF(OR(entrada!V42=0,entrada!V42=""),"",entrada!V42)</f>
        <v>0.15594</v>
      </c>
      <c r="W38" s="20" t="str">
        <f>IF(OR(entrada!W42=0,entrada!W42=""),"",entrada!W42)</f>
        <v/>
      </c>
      <c r="X38" s="23" t="str">
        <f>IF(OR(entrada!X42=0,entrada!X42=""),"",entrada!X42)</f>
        <v/>
      </c>
      <c r="Z38" s="48"/>
    </row>
    <row r="39" spans="1:26" ht="17.25" thickBot="1" x14ac:dyDescent="0.35">
      <c r="A39" s="50"/>
      <c r="B39" s="102" t="str">
        <f>IF(OR(entrada!B43=0,entrada!B43=""),"",entrada!B43)</f>
        <v>Tolerancia Máxima NTC</v>
      </c>
      <c r="C39" s="103" t="str">
        <f>IF(OR(entrada!C43=0,entrada!C43=""),"",entrada!C43)</f>
        <v/>
      </c>
      <c r="D39" s="103" t="str">
        <f>IF(OR(entrada!D43=0,entrada!D43=""),"",entrada!D43)</f>
        <v/>
      </c>
      <c r="E39" s="24" t="str">
        <f>IF(OR(entrada!E43=0,entrada!E43=""),"",entrada!E43)</f>
        <v/>
      </c>
      <c r="F39" s="24" t="str">
        <f>IF(OR(entrada!F43=0,entrada!F43=""),"",entrada!F43)</f>
        <v/>
      </c>
      <c r="G39" s="24"/>
      <c r="H39" s="24"/>
      <c r="I39" s="24"/>
      <c r="J39" s="24"/>
      <c r="K39" s="24">
        <f>IF(OR(entrada!K43=0,entrada!K43=""),"",entrada!K43)</f>
        <v>5.0179399999999999E-2</v>
      </c>
      <c r="L39" s="25">
        <f>IF(OR(entrada!L43=0,entrada!L43=""),"",entrada!L43)</f>
        <v>8.6400000000000001E-3</v>
      </c>
      <c r="M39" s="25">
        <f>IF(OR(entrada!M43=0,entrada!M43=""),"",entrada!M43)</f>
        <v>0.20600000000000002</v>
      </c>
      <c r="N39" s="25">
        <f>IF(OR(entrada!N43=0,entrada!N43=""),"",entrada!N43)</f>
        <v>0.16500000000000004</v>
      </c>
      <c r="O39" s="25">
        <f>IF(OR(entrada!O43=0,entrada!O43=""),"",entrada!O43)</f>
        <v>4.1000000000000002E-2</v>
      </c>
      <c r="P39" s="25" t="str">
        <f>IF(OR(entrada!P43=0,entrada!P43=""),"",entrada!P43)</f>
        <v/>
      </c>
      <c r="Q39" s="24" t="str">
        <f>IF(OR(entrada!Q43=0,entrada!Q43=""),"",entrada!Q43)</f>
        <v/>
      </c>
      <c r="R39" s="24" t="str">
        <f>IF(OR(entrada!R43=0,entrada!R43=""),"",entrada!R43)</f>
        <v/>
      </c>
      <c r="S39" s="24" t="str">
        <f>IF(OR(entrada!S43=0,entrada!S43=""),"",entrada!S43)</f>
        <v/>
      </c>
      <c r="T39" s="24" t="str">
        <f>IF(OR(entrada!T43=0,entrada!T43=""),"",entrada!T43)</f>
        <v/>
      </c>
      <c r="U39" s="24" t="str">
        <f>IF(OR(entrada!U43=0,entrada!U43=""),"",entrada!U43)</f>
        <v/>
      </c>
      <c r="V39" s="24" t="str">
        <f>IF(OR(entrada!V43=0,entrada!V43=""),"",entrada!V43)</f>
        <v/>
      </c>
      <c r="W39" s="25" t="str">
        <f>IF(OR(entrada!W43=0,entrada!W43=""),"",entrada!W43)</f>
        <v/>
      </c>
      <c r="X39" s="24" t="str">
        <f>IF(OR(entrada!X43=0,entrada!X43=""),"",entrada!X43)</f>
        <v/>
      </c>
      <c r="Z39" s="48"/>
    </row>
    <row r="40" spans="1:26" x14ac:dyDescent="0.3">
      <c r="A40" s="50"/>
      <c r="B40" s="18" t="str">
        <f>IF(OR(entrada!B44=0,entrada!B44=""),"",entrada!B44)</f>
        <v/>
      </c>
      <c r="C40" s="19" t="str">
        <f>IF(OR(entrada!C44=0,entrada!C44=""),"",entrada!C44)</f>
        <v/>
      </c>
      <c r="D40" s="19" t="str">
        <f>IF(OR(entrada!D44=0,entrada!D44=""),"",entrada!D44)</f>
        <v/>
      </c>
      <c r="E40" s="19" t="str">
        <f>IF(OR(entrada!E44=0,entrada!E44=""),"",entrada!E44)</f>
        <v/>
      </c>
      <c r="F40" s="19" t="str">
        <f>IF(OR(entrada!F44=0,entrada!F44=""),"",entrada!F44)</f>
        <v/>
      </c>
      <c r="G40" s="19" t="str">
        <f>IF(OR(entrada!G44=0,entrada!G44=""),"",entrada!G44)</f>
        <v/>
      </c>
      <c r="H40" s="19" t="str">
        <f>IF(OR(entrada!H44=0,entrada!H44=""),"",entrada!H44)</f>
        <v/>
      </c>
      <c r="I40" s="19" t="str">
        <f>IF(OR(entrada!I44=0,entrada!I44=""),"",entrada!I44)</f>
        <v/>
      </c>
      <c r="J40" s="19" t="str">
        <f>IF(OR(entrada!J44=0,entrada!J44=""),"",entrada!J44)</f>
        <v/>
      </c>
      <c r="K40" s="19" t="str">
        <f>IF(OR(entrada!K44=0,entrada!K44=""),"",entrada!K44)</f>
        <v/>
      </c>
      <c r="L40" s="19" t="str">
        <f>IF(OR(entrada!L44=0,entrada!L44=""),"",entrada!L44)</f>
        <v/>
      </c>
      <c r="M40" s="19" t="str">
        <f>IF(OR(entrada!M44=0,entrada!M44=""),"",entrada!M44)</f>
        <v/>
      </c>
      <c r="N40" s="19" t="str">
        <f>IF(OR(entrada!N44=0,entrada!N44=""),"",entrada!N44)</f>
        <v/>
      </c>
      <c r="O40" s="19" t="str">
        <f>IF(OR(entrada!O44=0,entrada!O44=""),"",entrada!O44)</f>
        <v/>
      </c>
      <c r="P40" s="19" t="str">
        <f>IF(OR(entrada!P44=0,entrada!P44=""),"",entrada!P44)</f>
        <v/>
      </c>
      <c r="Q40" s="19" t="str">
        <f>IF(OR(entrada!Q44=0,entrada!Q44=""),"",entrada!Q44)</f>
        <v/>
      </c>
      <c r="R40" s="19" t="str">
        <f>IF(OR(entrada!R44=0,entrada!R44=""),"",entrada!R44)</f>
        <v/>
      </c>
      <c r="S40" s="19" t="str">
        <f>IF(OR(entrada!S44=0,entrada!S44=""),"",entrada!S44)</f>
        <v/>
      </c>
      <c r="T40" s="19" t="str">
        <f>IF(OR(entrada!T44=0,entrada!T44=""),"",entrada!T44)</f>
        <v/>
      </c>
      <c r="U40" s="19" t="str">
        <f>IF(OR(entrada!U44=0,entrada!U44=""),"",entrada!U44)</f>
        <v/>
      </c>
      <c r="V40" s="19" t="str">
        <f>IF(OR(entrada!V44=0,entrada!V44=""),"",entrada!V44)</f>
        <v/>
      </c>
      <c r="W40" s="19" t="str">
        <f>IF(OR(entrada!W44=0,entrada!W44=""),"",entrada!W44)</f>
        <v/>
      </c>
      <c r="X40" s="19" t="str">
        <f>IF(OR(entrada!X44=0,entrada!X44=""),"",entrada!X44)</f>
        <v/>
      </c>
      <c r="Z40" s="48"/>
    </row>
    <row r="41" spans="1:26" x14ac:dyDescent="0.3">
      <c r="A41" s="50"/>
      <c r="B41" s="18" t="str">
        <f>IF(OR(entrada!B47=0,entrada!B47=""),"",entrada!B47)</f>
        <v/>
      </c>
      <c r="C41" s="19" t="str">
        <f>IF(OR(entrada!C47=0,entrada!C47=""),"",entrada!C47)</f>
        <v/>
      </c>
      <c r="D41" s="19" t="str">
        <f>IF(OR(entrada!D47=0,entrada!D47=""),"",entrada!D47)</f>
        <v/>
      </c>
      <c r="E41" s="19" t="str">
        <f>IF(OR(entrada!E47=0,entrada!E47=""),"",entrada!E47)</f>
        <v/>
      </c>
      <c r="F41" s="19" t="str">
        <f>IF(OR(entrada!F47=0,entrada!F47=""),"",entrada!F47)</f>
        <v/>
      </c>
      <c r="G41" s="19" t="str">
        <f>IF(OR(entrada!G47=0,entrada!G47=""),"",entrada!G47)</f>
        <v/>
      </c>
      <c r="H41" s="19" t="str">
        <f>IF(OR(entrada!H47=0,entrada!H47=""),"",entrada!H47)</f>
        <v/>
      </c>
      <c r="I41" s="19" t="str">
        <f>IF(OR(entrada!I47=0,entrada!I47=""),"",entrada!I47)</f>
        <v/>
      </c>
      <c r="J41" s="19" t="str">
        <f>IF(OR(entrada!J47=0,entrada!J47=""),"",entrada!J47)</f>
        <v/>
      </c>
      <c r="K41" s="19" t="str">
        <f>IF(OR(entrada!K47=0,entrada!K47=""),"",entrada!K47)</f>
        <v/>
      </c>
      <c r="L41" s="19" t="str">
        <f>IF(OR(entrada!L47=0,entrada!L47=""),"",entrada!L47)</f>
        <v/>
      </c>
      <c r="M41" s="19" t="str">
        <f>IF(OR(entrada!M47=0,entrada!M47=""),"",entrada!M47)</f>
        <v/>
      </c>
      <c r="N41" s="19" t="str">
        <f>IF(OR(entrada!N47=0,entrada!N47=""),"",entrada!N47)</f>
        <v/>
      </c>
      <c r="O41" s="19" t="str">
        <f>IF(OR(entrada!O47=0,entrada!O47=""),"",entrada!O47)</f>
        <v/>
      </c>
      <c r="P41" s="19" t="str">
        <f>IF(OR(entrada!P47=0,entrada!P47=""),"",entrada!P47)</f>
        <v/>
      </c>
      <c r="Q41" s="19" t="str">
        <f>IF(OR(entrada!Q47=0,entrada!Q47=""),"",entrada!Q47)</f>
        <v/>
      </c>
      <c r="R41" s="19" t="str">
        <f>IF(OR(entrada!R47=0,entrada!R47=""),"",entrada!R47)</f>
        <v/>
      </c>
      <c r="S41" s="19" t="str">
        <f>IF(OR(entrada!S47=0,entrada!S47=""),"",entrada!S47)</f>
        <v/>
      </c>
      <c r="T41" s="19" t="str">
        <f>IF(OR(entrada!T47=0,entrada!T47=""),"",entrada!T47)</f>
        <v/>
      </c>
      <c r="U41" s="19" t="str">
        <f>IF(OR(entrada!U47=0,entrada!U47=""),"",entrada!U47)</f>
        <v/>
      </c>
      <c r="V41" s="19" t="str">
        <f>IF(OR(entrada!V47=0,entrada!V47=""),"",entrada!V47)</f>
        <v/>
      </c>
      <c r="W41" s="19" t="str">
        <f>IF(OR(entrada!W47=0,entrada!W47=""),"",entrada!W47)</f>
        <v/>
      </c>
      <c r="X41" s="19" t="str">
        <f>IF(OR(entrada!X47=0,entrada!X47=""),"",entrada!X47)</f>
        <v/>
      </c>
      <c r="Z41" s="48"/>
    </row>
    <row r="42" spans="1:26" x14ac:dyDescent="0.3">
      <c r="A42" s="50"/>
      <c r="Z42" s="48"/>
    </row>
    <row r="43" spans="1:26" x14ac:dyDescent="0.3">
      <c r="A43" s="53"/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Z43" s="56"/>
    </row>
    <row r="48" spans="1:26" x14ac:dyDescent="0.3">
      <c r="G48" s="44"/>
    </row>
  </sheetData>
  <mergeCells count="3">
    <mergeCell ref="C6:Q6"/>
    <mergeCell ref="S2:T2"/>
    <mergeCell ref="S3:T3"/>
  </mergeCells>
  <conditionalFormatting sqref="B14:B16">
    <cfRule type="notContainsBlanks" dxfId="40" priority="42">
      <formula>LEN(TRIM(B14))&gt;0</formula>
    </cfRule>
  </conditionalFormatting>
  <conditionalFormatting sqref="B9:D13">
    <cfRule type="notContainsBlanks" dxfId="39" priority="35">
      <formula>LEN(TRIM(B9))&gt;0</formula>
    </cfRule>
  </conditionalFormatting>
  <conditionalFormatting sqref="B17:D17">
    <cfRule type="notContainsBlanks" dxfId="38" priority="43">
      <formula>LEN(TRIM(B17))&gt;0</formula>
    </cfRule>
  </conditionalFormatting>
  <conditionalFormatting sqref="F9:X13 F15:X16">
    <cfRule type="containsBlanks" dxfId="37" priority="8">
      <formula>LEN(TRIM(F9))=0</formula>
    </cfRule>
    <cfRule type="notContainsBlanks" dxfId="36" priority="9">
      <formula>LEN(TRIM(F9))&gt;0</formula>
    </cfRule>
  </conditionalFormatting>
  <conditionalFormatting sqref="E9:E13 E15:E16">
    <cfRule type="containsBlanks" dxfId="35" priority="1">
      <formula>LEN(TRIM(E9))=0</formula>
    </cfRule>
    <cfRule type="notContainsBlanks" dxfId="34" priority="2">
      <formula>LEN(TRIM(E9))&gt;0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N155"/>
  <sheetViews>
    <sheetView tabSelected="1" zoomScale="70" zoomScaleNormal="70" workbookViewId="0">
      <selection activeCell="F19" sqref="F19"/>
    </sheetView>
  </sheetViews>
  <sheetFormatPr baseColWidth="10" defaultColWidth="9" defaultRowHeight="16.5" x14ac:dyDescent="0.3"/>
  <cols>
    <col min="1" max="1" width="6.75" style="18" customWidth="1"/>
    <col min="2" max="2" width="36.125" customWidth="1"/>
    <col min="3" max="3" width="8.875" style="17"/>
    <col min="4" max="4" width="11" style="17" customWidth="1"/>
    <col min="5" max="5" width="10.875" style="17" customWidth="1"/>
    <col min="6" max="6" width="7.875" style="17" customWidth="1"/>
    <col min="7" max="7" width="10.5" style="17" customWidth="1"/>
    <col min="8" max="8" width="10.375" style="17" customWidth="1"/>
    <col min="9" max="9" width="6.375" style="17" bestFit="1" customWidth="1"/>
    <col min="10" max="10" width="9.125" style="17" customWidth="1"/>
    <col min="11" max="11" width="8" style="17" bestFit="1" customWidth="1"/>
    <col min="12" max="12" width="7.625" style="17" customWidth="1"/>
    <col min="13" max="13" width="7.5" style="17" customWidth="1"/>
    <col min="14" max="40" width="8.875" style="18"/>
  </cols>
  <sheetData>
    <row r="1" spans="1:40" s="18" customFormat="1" x14ac:dyDescent="0.3">
      <c r="A1" s="69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7"/>
    </row>
    <row r="2" spans="1:40" s="18" customFormat="1" x14ac:dyDescent="0.3">
      <c r="A2" s="57"/>
      <c r="C2" s="134"/>
      <c r="D2" s="135"/>
      <c r="E2" s="61" t="s">
        <v>2</v>
      </c>
      <c r="F2" s="61"/>
      <c r="G2" s="61"/>
      <c r="H2" s="61"/>
      <c r="I2" s="61"/>
      <c r="J2" s="61"/>
      <c r="K2" s="62"/>
      <c r="L2" s="127" t="s">
        <v>1</v>
      </c>
      <c r="M2" s="128"/>
      <c r="N2" s="48"/>
    </row>
    <row r="3" spans="1:40" s="18" customFormat="1" x14ac:dyDescent="0.3">
      <c r="A3" s="57"/>
      <c r="C3" s="136"/>
      <c r="D3" s="137"/>
      <c r="E3" s="58" t="s">
        <v>3</v>
      </c>
      <c r="F3" s="58"/>
      <c r="G3" s="58"/>
      <c r="H3" s="58"/>
      <c r="I3" s="58"/>
      <c r="J3" s="58"/>
      <c r="K3" s="60"/>
      <c r="L3" s="129" t="s">
        <v>1</v>
      </c>
      <c r="M3" s="130"/>
      <c r="N3" s="48"/>
    </row>
    <row r="4" spans="1:40" s="18" customFormat="1" x14ac:dyDescent="0.3">
      <c r="A4" s="57"/>
      <c r="C4" s="138"/>
      <c r="D4" s="139"/>
      <c r="E4" s="140"/>
      <c r="F4" s="140"/>
      <c r="G4" s="140"/>
      <c r="H4" s="140"/>
      <c r="I4" s="140"/>
      <c r="J4" s="140"/>
      <c r="K4" s="128"/>
      <c r="L4" s="59"/>
      <c r="M4" s="59"/>
      <c r="N4" s="48"/>
    </row>
    <row r="5" spans="1:40" s="18" customFormat="1" ht="17.25" thickBot="1" x14ac:dyDescent="0.35">
      <c r="A5" s="49"/>
      <c r="B5" s="34"/>
      <c r="C5" s="34"/>
      <c r="D5" s="34"/>
      <c r="E5" s="34"/>
      <c r="F5" s="34"/>
      <c r="G5" s="34"/>
      <c r="H5" s="34"/>
      <c r="I5" s="34"/>
      <c r="J5" s="34"/>
      <c r="K5" s="19"/>
      <c r="L5" s="19"/>
      <c r="M5" s="19"/>
      <c r="N5" s="48"/>
    </row>
    <row r="6" spans="1:40" s="18" customFormat="1" ht="30.75" thickBot="1" x14ac:dyDescent="0.35">
      <c r="A6" s="49"/>
      <c r="B6" s="68" t="s">
        <v>85</v>
      </c>
      <c r="C6" s="125" t="s">
        <v>86</v>
      </c>
      <c r="D6" s="125"/>
      <c r="E6" s="125"/>
      <c r="F6" s="125"/>
      <c r="G6" s="125"/>
      <c r="H6" s="125"/>
      <c r="I6" s="125"/>
      <c r="J6" s="126"/>
      <c r="K6" s="19"/>
      <c r="L6" s="19"/>
      <c r="M6" s="19"/>
      <c r="N6" s="48"/>
    </row>
    <row r="7" spans="1:40" s="18" customFormat="1" ht="17.25" thickBot="1" x14ac:dyDescent="0.35">
      <c r="A7" s="5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48"/>
    </row>
    <row r="8" spans="1:40" s="33" customFormat="1" ht="50.25" thickBot="1" x14ac:dyDescent="0.35">
      <c r="A8" s="51"/>
      <c r="B8" s="75" t="str">
        <f>IF(OR(entrada!B14=0,entrada!B14=""),"",entrada!B14)</f>
        <v>MATERIA PRIMA</v>
      </c>
      <c r="C8" s="79" t="str">
        <f>IF(OR(entrada!C14=0,entrada!C14=""),"",entrada!C14)</f>
        <v>kg / Ton</v>
      </c>
      <c r="D8" s="80" t="str">
        <f>IF(OR(entrada!D14=0,entrada!D14=""),"",entrada!D14)</f>
        <v>%/100 kg</v>
      </c>
      <c r="E8" s="70" t="str">
        <f>IF(OR(entrada!L14=0,entrada!L14=""),"",entrada!L14)</f>
        <v>Potasio soluble K2O</v>
      </c>
      <c r="F8" s="70" t="str">
        <f>IF(OR(entrada!M14=0,entrada!M14=""),"",entrada!M14)</f>
        <v>Calcio CaO</v>
      </c>
      <c r="G8" s="70" t="str">
        <f>IF(OR(entrada!N14=0,entrada!N14=""),"",entrada!N14)</f>
        <v>Magnesio MgO</v>
      </c>
      <c r="H8" s="70" t="str">
        <f>IF(OR(entrada!O14=0,entrada!O14=""),"",entrada!O14)</f>
        <v>Azufre S</v>
      </c>
      <c r="I8" s="70" t="str">
        <f>IF(OR(entrada!P14=0,entrada!P14=""),"",entrada!P14)</f>
        <v>Boro B</v>
      </c>
      <c r="J8" s="70" t="str">
        <f>IF(OR(entrada!Q14=0,entrada!Q14=""),"",entrada!Q14)</f>
        <v>Cobalto Co</v>
      </c>
      <c r="K8" s="70" t="str">
        <f>IF(OR(entrada!R14=0,entrada!R14=""),"",entrada!R14)</f>
        <v>Cobre Cu</v>
      </c>
      <c r="L8" s="70" t="str">
        <f>IF(OR(entrada!V14=0,entrada!V14=""),"",entrada!V14)</f>
        <v>Silicio SiO2</v>
      </c>
      <c r="M8" s="71" t="str">
        <f>IF(OR(entrada!W14=0,entrada!W14=""),"",entrada!W14)</f>
        <v>Zinc Zn</v>
      </c>
      <c r="N8" s="5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</row>
    <row r="9" spans="1:40" x14ac:dyDescent="0.3">
      <c r="A9" s="50"/>
      <c r="B9" s="76" t="str">
        <f>IF(OR(entrada!B15=0,entrada!B15=""),"",entrada!B15)</f>
        <v>CARBONATO CALCIO - AGROCALES</v>
      </c>
      <c r="C9" s="81">
        <f>IF(OR(entrada!C15=0,entrada!C15=""),"",entrada!C15)</f>
        <v>100</v>
      </c>
      <c r="D9" s="82">
        <f>IF(OR(entrada!D15=0,entrada!D15=""),"",entrada!D15)</f>
        <v>10</v>
      </c>
      <c r="E9" s="22" t="str">
        <f>IF(OR(entrada!L15=0,entrada!L15=""),"",entrada!L15)</f>
        <v/>
      </c>
      <c r="F9" s="22">
        <f>IF(OR(entrada!M15=0,entrada!M15=""),"",entrada!M15)</f>
        <v>4.4000000000000004E-2</v>
      </c>
      <c r="G9" s="22" t="str">
        <f>IF(OR(entrada!N15=0,entrada!N15=""),"",entrada!N15)</f>
        <v/>
      </c>
      <c r="H9" s="22" t="str">
        <f>IF(OR(entrada!O15=0,entrada!O15=""),"",entrada!O15)</f>
        <v/>
      </c>
      <c r="I9" s="22" t="str">
        <f>IF(OR(entrada!P15=0,entrada!P15=""),"",entrada!P15)</f>
        <v/>
      </c>
      <c r="J9" s="22" t="str">
        <f>IF(OR(entrada!Q15=0,entrada!Q15=""),"",entrada!Q15)</f>
        <v/>
      </c>
      <c r="K9" s="22" t="str">
        <f>IF(OR(entrada!R15=0,entrada!R15=""),"",entrada!R15)</f>
        <v/>
      </c>
      <c r="L9" s="22" t="str">
        <f>IF(OR(entrada!V15=0,entrada!V15=""),"",entrada!V15)</f>
        <v/>
      </c>
      <c r="M9" s="35" t="str">
        <f>IF(OR(entrada!W15=0,entrada!W15=""),"",entrada!W15)</f>
        <v/>
      </c>
      <c r="N9" s="48"/>
    </row>
    <row r="10" spans="1:40" x14ac:dyDescent="0.3">
      <c r="A10" s="50"/>
      <c r="B10" s="77" t="str">
        <f>IF(OR(entrada!B16=0,entrada!B16=""),"",entrada!B16)</f>
        <v>DOLOMITA - BOLIV. MINERALES</v>
      </c>
      <c r="C10" s="83">
        <f>IF(OR(entrada!C16=0,entrada!C16=""),"",entrada!C16)</f>
        <v>100</v>
      </c>
      <c r="D10" s="84">
        <f>IF(OR(entrada!D16=0,entrada!D16=""),"",entrada!D16)</f>
        <v>10</v>
      </c>
      <c r="E10" s="20" t="str">
        <f>IF(OR(entrada!L16=0,entrada!L16=""),"",entrada!L16)</f>
        <v/>
      </c>
      <c r="F10" s="20">
        <f>IF(OR(entrada!M16=0,entrada!M16=""),"",entrada!M16)</f>
        <v>3.5000000000000003E-2</v>
      </c>
      <c r="G10" s="20">
        <f>IF(OR(entrada!N16=0,entrada!N16=""),"",entrada!N16)</f>
        <v>1.4999999999999999E-2</v>
      </c>
      <c r="H10" s="20" t="str">
        <f>IF(OR(entrada!O16=0,entrada!O16=""),"",entrada!O16)</f>
        <v/>
      </c>
      <c r="I10" s="20" t="str">
        <f>IF(OR(entrada!P16=0,entrada!P16=""),"",entrada!P16)</f>
        <v/>
      </c>
      <c r="J10" s="20" t="str">
        <f>IF(OR(entrada!Q16=0,entrada!Q16=""),"",entrada!Q16)</f>
        <v/>
      </c>
      <c r="K10" s="20" t="str">
        <f>IF(OR(entrada!R16=0,entrada!R16=""),"",entrada!R16)</f>
        <v/>
      </c>
      <c r="L10" s="20" t="str">
        <f>IF(OR(entrada!V16=0,entrada!V16=""),"",entrada!V16)</f>
        <v/>
      </c>
      <c r="M10" s="36" t="str">
        <f>IF(OR(entrada!W16=0,entrada!W16=""),"",entrada!W16)</f>
        <v/>
      </c>
      <c r="N10" s="48"/>
    </row>
    <row r="11" spans="1:40" x14ac:dyDescent="0.3">
      <c r="A11" s="50"/>
      <c r="B11" s="77" t="str">
        <f>IF(OR(entrada!B17=0,entrada!B17=""),"",entrada!B17)</f>
        <v>ROCA FOSFORICA - FOSFATOS HUILA</v>
      </c>
      <c r="C11" s="83">
        <f>IF(OR(entrada!C17=0,entrada!C17=""),"",entrada!C17)</f>
        <v>150</v>
      </c>
      <c r="D11" s="84">
        <f>IF(OR(entrada!D17=0,entrada!D17=""),"",entrada!D17)</f>
        <v>15</v>
      </c>
      <c r="E11" s="20">
        <f>IF(OR(entrada!L17=0,entrada!L17=""),"",entrada!L17)</f>
        <v>1.7399999999999998E-3</v>
      </c>
      <c r="F11" s="20">
        <f>IF(OR(entrada!M17=0,entrada!M17=""),"",entrada!M17)</f>
        <v>0.06</v>
      </c>
      <c r="G11" s="20" t="str">
        <f>IF(OR(entrada!N17=0,entrada!N17=""),"",entrada!N17)</f>
        <v/>
      </c>
      <c r="H11" s="20" t="str">
        <f>IF(OR(entrada!O17=0,entrada!O17=""),"",entrada!O17)</f>
        <v/>
      </c>
      <c r="I11" s="20" t="str">
        <f>IF(OR(entrada!P17=0,entrada!P17=""),"",entrada!P17)</f>
        <v/>
      </c>
      <c r="J11" s="20" t="str">
        <f>IF(OR(entrada!Q17=0,entrada!Q17=""),"",entrada!Q17)</f>
        <v/>
      </c>
      <c r="K11" s="20" t="str">
        <f>IF(OR(entrada!R17=0,entrada!R17=""),"",entrada!R17)</f>
        <v/>
      </c>
      <c r="L11" s="20">
        <f>IF(OR(entrada!V17=0,entrada!V17=""),"",entrada!V17)</f>
        <v>1.644E-2</v>
      </c>
      <c r="M11" s="36" t="str">
        <f>IF(OR(entrada!W17=0,entrada!W17=""),"",entrada!W17)</f>
        <v/>
      </c>
      <c r="N11" s="48"/>
    </row>
    <row r="12" spans="1:40" x14ac:dyDescent="0.3">
      <c r="A12" s="50"/>
      <c r="B12" s="77" t="str">
        <f>IF(OR(entrada!B18=0,entrada!B18=""),"",entrada!B18)</f>
        <v>SILICATO MAGNESIO - JULIAN SALDARRIAGA</v>
      </c>
      <c r="C12" s="83">
        <f>IF(OR(entrada!C18=0,entrada!C18=""),"",entrada!C18)</f>
        <v>450</v>
      </c>
      <c r="D12" s="84">
        <f>IF(OR(entrada!D18=0,entrada!D18=""),"",entrada!D18)</f>
        <v>45</v>
      </c>
      <c r="E12" s="20" t="str">
        <f>IF(OR(entrada!L18=0,entrada!L18=""),"",entrada!L18)</f>
        <v/>
      </c>
      <c r="F12" s="20" t="str">
        <f>IF(OR(entrada!M18=0,entrada!M18=""),"",entrada!M18)</f>
        <v/>
      </c>
      <c r="G12" s="20">
        <f>IF(OR(entrada!N18=0,entrada!N18=""),"",entrada!N18)</f>
        <v>0.13500000000000001</v>
      </c>
      <c r="H12" s="20" t="str">
        <f>IF(OR(entrada!O18=0,entrada!O18=""),"",entrada!O18)</f>
        <v/>
      </c>
      <c r="I12" s="20" t="str">
        <f>IF(OR(entrada!P18=0,entrada!P18=""),"",entrada!P18)</f>
        <v/>
      </c>
      <c r="J12" s="20" t="str">
        <f>IF(OR(entrada!Q18=0,entrada!Q18=""),"",entrada!Q18)</f>
        <v/>
      </c>
      <c r="K12" s="20" t="str">
        <f>IF(OR(entrada!R18=0,entrada!R18=""),"",entrada!R18)</f>
        <v/>
      </c>
      <c r="L12" s="20">
        <f>IF(OR(entrada!V18=0,entrada!V18=""),"",entrada!V18)</f>
        <v>0.13949999999999999</v>
      </c>
      <c r="M12" s="36" t="str">
        <f>IF(OR(entrada!W18=0,entrada!W18=""),"",entrada!W18)</f>
        <v/>
      </c>
      <c r="N12" s="48"/>
    </row>
    <row r="13" spans="1:40" x14ac:dyDescent="0.3">
      <c r="A13" s="50"/>
      <c r="B13" s="77" t="str">
        <f>IF(OR(entrada!B19=0,entrada!B19=""),"",entrada!B19)</f>
        <v>SULFATO CALCIO - SANTA ROSA</v>
      </c>
      <c r="C13" s="83">
        <f>IF(OR(entrada!C19=0,entrada!C19=""),"",entrada!C19)</f>
        <v>200</v>
      </c>
      <c r="D13" s="84">
        <f>IF(OR(entrada!D19=0,entrada!D19=""),"",entrada!D19)</f>
        <v>20</v>
      </c>
      <c r="E13" s="20" t="str">
        <f>IF(OR(entrada!L19=0,entrada!L19=""),"",entrada!L19)</f>
        <v/>
      </c>
      <c r="F13" s="20">
        <f>IF(OR(entrada!M19=0,entrada!M19=""),"",entrada!M19)</f>
        <v>5.2000000000000005E-2</v>
      </c>
      <c r="G13" s="20" t="str">
        <f>IF(OR(entrada!N19=0,entrada!N19=""),"",entrada!N19)</f>
        <v/>
      </c>
      <c r="H13" s="20">
        <f>IF(OR(entrada!O19=0,entrada!O19=""),"",entrada!O19)</f>
        <v>2.6000000000000002E-2</v>
      </c>
      <c r="I13" s="20" t="str">
        <f>IF(OR(entrada!P19=0,entrada!P19=""),"",entrada!P19)</f>
        <v/>
      </c>
      <c r="J13" s="20" t="str">
        <f>IF(OR(entrada!Q19=0,entrada!Q19=""),"",entrada!Q19)</f>
        <v/>
      </c>
      <c r="K13" s="20" t="str">
        <f>IF(OR(entrada!R19=0,entrada!R19=""),"",entrada!R19)</f>
        <v/>
      </c>
      <c r="L13" s="20" t="str">
        <f>IF(OR(entrada!V19=0,entrada!V19=""),"",entrada!V19)</f>
        <v/>
      </c>
      <c r="M13" s="36" t="str">
        <f>IF(OR(entrada!W19=0,entrada!W19=""),"",entrada!W19)</f>
        <v/>
      </c>
      <c r="N13" s="48"/>
    </row>
    <row r="14" spans="1:40" x14ac:dyDescent="0.3">
      <c r="A14" s="50"/>
      <c r="B14" s="77"/>
      <c r="C14" s="83"/>
      <c r="D14" s="84"/>
      <c r="E14" s="20"/>
      <c r="F14" s="20"/>
      <c r="G14" s="20"/>
      <c r="H14" s="20"/>
      <c r="I14" s="20"/>
      <c r="J14" s="20"/>
      <c r="K14" s="20"/>
      <c r="L14" s="20"/>
      <c r="M14" s="36"/>
      <c r="N14" s="48"/>
    </row>
    <row r="15" spans="1:40" ht="17.25" thickBot="1" x14ac:dyDescent="0.35">
      <c r="A15" s="50"/>
      <c r="B15" s="78"/>
      <c r="C15" s="85"/>
      <c r="D15" s="86"/>
      <c r="E15" s="25"/>
      <c r="F15" s="25"/>
      <c r="G15" s="25"/>
      <c r="H15" s="25"/>
      <c r="I15" s="25"/>
      <c r="J15" s="25"/>
      <c r="K15" s="25"/>
      <c r="L15" s="25"/>
      <c r="M15" s="38"/>
      <c r="N15" s="48"/>
    </row>
    <row r="16" spans="1:40" ht="17.25" thickBot="1" x14ac:dyDescent="0.35">
      <c r="A16" s="50"/>
      <c r="B16" s="72" t="s">
        <v>84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48"/>
    </row>
    <row r="17" spans="1:14" x14ac:dyDescent="0.3">
      <c r="A17" s="50"/>
      <c r="B17" s="76"/>
      <c r="C17" s="81"/>
      <c r="D17" s="82"/>
      <c r="E17" s="73"/>
      <c r="F17" s="73"/>
      <c r="G17" s="73"/>
      <c r="H17" s="73"/>
      <c r="I17" s="73"/>
      <c r="J17" s="73"/>
      <c r="K17" s="73"/>
      <c r="L17" s="73"/>
      <c r="M17" s="74"/>
      <c r="N17" s="48"/>
    </row>
    <row r="18" spans="1:14" ht="17.25" thickBot="1" x14ac:dyDescent="0.35">
      <c r="A18" s="50"/>
      <c r="B18" s="89" t="str">
        <f>IF(OR(entrada!B21=0,entrada!B21=""),"",entrada!B21)</f>
        <v>TOTAL</v>
      </c>
      <c r="C18" s="88">
        <f>IF(OR(entrada!C20=0,entrada!C20=""),"",entrada!C20)</f>
        <v>1000</v>
      </c>
      <c r="D18" s="87">
        <f>IF(OR(entrada!D20=0,entrada!D20=""),"",entrada!D20)</f>
        <v>100</v>
      </c>
      <c r="E18" s="66">
        <f>IF(OR(entrada!L21=0,entrada!L21=""),"",entrada!L21)</f>
        <v>1.7399999999999998E-3</v>
      </c>
      <c r="F18" s="66">
        <f>IF(OR(entrada!M21=0,entrada!M21=""),"",entrada!M21)</f>
        <v>0.191</v>
      </c>
      <c r="G18" s="66">
        <f>IF(OR(entrada!N21=0,entrada!N21=""),"",entrada!N21)</f>
        <v>0.15000000000000002</v>
      </c>
      <c r="H18" s="66">
        <f>IF(OR(entrada!O21=0,entrada!O21=""),"",entrada!O21)</f>
        <v>2.6000000000000002E-2</v>
      </c>
      <c r="I18" s="66" t="str">
        <f>IF(OR(entrada!P21=0,entrada!P21=""),"",entrada!P21)</f>
        <v/>
      </c>
      <c r="J18" s="66" t="str">
        <f>IF(OR(entrada!Q21=0,entrada!Q21=""),"",entrada!Q21)</f>
        <v/>
      </c>
      <c r="K18" s="66" t="str">
        <f>IF(OR(entrada!R21=0,entrada!R21=""),"",entrada!R21)</f>
        <v/>
      </c>
      <c r="L18" s="66">
        <f>IF(OR(entrada!V21=0,entrada!V21=""),"",entrada!V21)</f>
        <v>0.15594</v>
      </c>
      <c r="M18" s="67" t="str">
        <f>IF(OR(entrada!W21=0,entrada!W21=""),"",entrada!W21)</f>
        <v/>
      </c>
      <c r="N18" s="48"/>
    </row>
    <row r="19" spans="1:14" ht="17.25" thickBot="1" x14ac:dyDescent="0.35">
      <c r="A19" s="50"/>
      <c r="B19" s="18" t="str">
        <f>IF(OR(entrada!B22=0,entrada!B22=""),"",entrada!B22)</f>
        <v/>
      </c>
      <c r="C19" s="19" t="str">
        <f>IF(OR(entrada!C22=0,entrada!C22=""),"",entrada!C22)</f>
        <v/>
      </c>
      <c r="D19" s="19" t="str">
        <f>IF(OR(entrada!D22=0,entrada!D22=""),"",entrada!D22)</f>
        <v/>
      </c>
      <c r="E19" s="19"/>
      <c r="F19" s="19"/>
      <c r="G19" s="19"/>
      <c r="H19" s="19"/>
      <c r="I19" s="19"/>
      <c r="J19" s="19"/>
      <c r="K19" s="19"/>
      <c r="L19" s="19"/>
      <c r="M19" s="19"/>
      <c r="N19" s="48"/>
    </row>
    <row r="20" spans="1:14" ht="17.25" thickBot="1" x14ac:dyDescent="0.35">
      <c r="A20" s="50"/>
      <c r="B20" s="39" t="str">
        <f>IF(OR(entrada!B23=0,entrada!B23=""),"",entrada!B23)</f>
        <v>CERTIFICADO DE ANALISIS</v>
      </c>
      <c r="C20" s="40" t="str">
        <f>IF(OR(entrada!C23=0,entrada!C23=""),"",entrada!C23)</f>
        <v/>
      </c>
      <c r="D20" s="40" t="str">
        <f>IF(OR(entrada!D23=0,entrada!D23=""),"",entrada!D23)</f>
        <v/>
      </c>
      <c r="E20" s="41" t="str">
        <f>IF(OR(entrada!L23=0,entrada!L23=""),"",entrada!L23)</f>
        <v/>
      </c>
      <c r="F20" s="41" t="str">
        <f>IF(OR(entrada!M23=0,entrada!M23=""),"",entrada!M23)</f>
        <v/>
      </c>
      <c r="G20" s="41" t="str">
        <f>IF(OR(entrada!N23=0,entrada!N23=""),"",entrada!N23)</f>
        <v/>
      </c>
      <c r="H20" s="41" t="str">
        <f>IF(OR(entrada!O23=0,entrada!O23=""),"",entrada!O23)</f>
        <v/>
      </c>
      <c r="I20" s="41" t="str">
        <f>IF(OR(entrada!P23=0,entrada!P23=""),"",entrada!P23)</f>
        <v/>
      </c>
      <c r="J20" s="41" t="str">
        <f>IF(OR(entrada!Q23=0,entrada!Q23=""),"",entrada!Q23)</f>
        <v/>
      </c>
      <c r="K20" s="41" t="str">
        <f>IF(OR(entrada!R23=0,entrada!R23=""),"",entrada!R23)</f>
        <v/>
      </c>
      <c r="L20" s="41" t="str">
        <f>IF(OR(entrada!V23=0,entrada!V23=""),"",entrada!V23)</f>
        <v/>
      </c>
      <c r="M20" s="42" t="str">
        <f>IF(OR(entrada!W23=0,entrada!W23=""),"",entrada!W23)</f>
        <v/>
      </c>
      <c r="N20" s="48"/>
    </row>
    <row r="21" spans="1:14" ht="17.25" thickBot="1" x14ac:dyDescent="0.35">
      <c r="A21" s="50"/>
      <c r="B21" s="18" t="str">
        <f>IF(OR(entrada!B24=0,entrada!B24=""),"",entrada!B24)</f>
        <v/>
      </c>
      <c r="C21" s="19" t="str">
        <f>IF(OR(entrada!C24=0,entrada!C24=""),"",entrada!C24)</f>
        <v/>
      </c>
      <c r="D21" s="19" t="str">
        <f>IF(OR(entrada!D24=0,entrada!D24=""),"",entrada!D24)</f>
        <v/>
      </c>
      <c r="E21" s="19" t="str">
        <f>IF(OR(entrada!L24=0,entrada!L24=""),"",entrada!L24)</f>
        <v/>
      </c>
      <c r="F21" s="19" t="str">
        <f>IF(OR(entrada!M24=0,entrada!M24=""),"",entrada!M24)</f>
        <v/>
      </c>
      <c r="G21" s="19" t="str">
        <f>IF(OR(entrada!N24=0,entrada!N24=""),"",entrada!N24)</f>
        <v/>
      </c>
      <c r="H21" s="19" t="str">
        <f>IF(OR(entrada!O24=0,entrada!O24=""),"",entrada!O24)</f>
        <v/>
      </c>
      <c r="I21" s="19" t="str">
        <f>IF(OR(entrada!P24=0,entrada!P24=""),"",entrada!P24)</f>
        <v/>
      </c>
      <c r="J21" s="19" t="str">
        <f>IF(OR(entrada!Q24=0,entrada!Q24=""),"",entrada!Q24)</f>
        <v/>
      </c>
      <c r="K21" s="19" t="str">
        <f>IF(OR(entrada!R24=0,entrada!R24=""),"",entrada!R24)</f>
        <v/>
      </c>
      <c r="L21" s="19" t="str">
        <f>IF(OR(entrada!V24=0,entrada!V24=""),"",entrada!V24)</f>
        <v/>
      </c>
      <c r="M21" s="19" t="str">
        <f>IF(OR(entrada!W24=0,entrada!W24=""),"",entrada!W24)</f>
        <v/>
      </c>
      <c r="N21" s="48"/>
    </row>
    <row r="22" spans="1:14" ht="17.25" thickBot="1" x14ac:dyDescent="0.35">
      <c r="A22" s="50"/>
      <c r="B22" s="131" t="str">
        <f>IF(OR(entrada!B25=0,entrada!B25=""),"",entrada!B25)</f>
        <v>CONTENIDOS MINIMOS*1</v>
      </c>
      <c r="C22" s="132"/>
      <c r="D22" s="133"/>
      <c r="E22" s="34" t="str">
        <f>IF(OR(entrada!L25=0,entrada!L25=""),"",entrada!L25)</f>
        <v/>
      </c>
      <c r="F22" s="34" t="str">
        <f>IF(OR(entrada!M25=0,entrada!M25=""),"",entrada!M25)</f>
        <v/>
      </c>
      <c r="G22" s="34" t="str">
        <f>IF(OR(entrada!N25=0,entrada!N25=""),"",entrada!N25)</f>
        <v/>
      </c>
      <c r="H22" s="34" t="str">
        <f>IF(OR(entrada!O25=0,entrada!O25=""),"",entrada!O25)</f>
        <v/>
      </c>
      <c r="I22" s="34" t="str">
        <f>IF(OR(entrada!P25=0,entrada!P25=""),"",entrada!P25)</f>
        <v/>
      </c>
      <c r="J22" s="34" t="str">
        <f>IF(OR(entrada!Q25=0,entrada!Q25=""),"",entrada!Q25)</f>
        <v/>
      </c>
      <c r="K22" s="34" t="str">
        <f>IF(OR(entrada!R25=0,entrada!R25=""),"",entrada!R25)</f>
        <v/>
      </c>
      <c r="L22" s="34" t="str">
        <f>IF(OR(entrada!V25=0,entrada!V25=""),"",entrada!V25)</f>
        <v/>
      </c>
      <c r="M22" s="34" t="str">
        <f>IF(OR(entrada!W25=0,entrada!W25=""),"",entrada!W25)</f>
        <v/>
      </c>
      <c r="N22" s="48"/>
    </row>
    <row r="23" spans="1:14" x14ac:dyDescent="0.3">
      <c r="A23" s="50"/>
      <c r="B23" s="141" t="str">
        <f>IF(OR(entrada!B26=0,entrada!B26=""),"",entrada!B26)</f>
        <v>NPK (Formula sola o en mezcla con micronutrientes)</v>
      </c>
      <c r="C23" s="142" t="str">
        <f>IF(OR(entrada!C26=0,entrada!C26=""),"",entrada!C26)</f>
        <v/>
      </c>
      <c r="D23" s="143" t="str">
        <f>IF(OR(entrada!D26=0,entrada!D26=""),"",entrada!D26)</f>
        <v/>
      </c>
      <c r="E23" s="22" t="str">
        <f>IF(OR(entrada!L26=0,entrada!L26=""),"",entrada!L26)</f>
        <v>SI</v>
      </c>
      <c r="F23" s="22" t="str">
        <f>IF(OR(entrada!M26=0,entrada!M26=""),"",entrada!M26)</f>
        <v/>
      </c>
      <c r="G23" s="22" t="str">
        <f>IF(OR(entrada!N26=0,entrada!N26=""),"",entrada!N26)</f>
        <v/>
      </c>
      <c r="H23" s="22" t="str">
        <f>IF(OR(entrada!O26=0,entrada!O26=""),"",entrada!O26)</f>
        <v/>
      </c>
      <c r="I23" s="22" t="str">
        <f>IF(OR(entrada!P26=0,entrada!P26=""),"",entrada!P26)</f>
        <v/>
      </c>
      <c r="J23" s="22" t="str">
        <f>IF(OR(entrada!Q26=0,entrada!Q26=""),"",entrada!Q26)</f>
        <v/>
      </c>
      <c r="K23" s="22" t="str">
        <f>IF(OR(entrada!R26=0,entrada!R26=""),"",entrada!R26)</f>
        <v/>
      </c>
      <c r="L23" s="22" t="str">
        <f>IF(OR(entrada!V26=0,entrada!V26=""),"",entrada!V26)</f>
        <v/>
      </c>
      <c r="M23" s="35" t="str">
        <f>IF(OR(entrada!W26=0,entrada!W26=""),"",entrada!W26)</f>
        <v/>
      </c>
      <c r="N23" s="48"/>
    </row>
    <row r="24" spans="1:14" x14ac:dyDescent="0.3">
      <c r="A24" s="50"/>
      <c r="B24" s="144" t="str">
        <f>IF(OR(entrada!B27=0,entrada!B27=""),"",entrada!B27)</f>
        <v>Secundarios (Formula UNICAMENTE con Ca, Mg, S)</v>
      </c>
      <c r="C24" s="145" t="str">
        <f>IF(OR(entrada!C27=0,entrada!C27=""),"",entrada!C27)</f>
        <v/>
      </c>
      <c r="D24" s="146" t="str">
        <f>IF(OR(entrada!D27=0,entrada!D27=""),"",entrada!D27)</f>
        <v/>
      </c>
      <c r="E24" s="20" t="str">
        <f>IF(OR(entrada!L27=0,entrada!L27=""),"",entrada!L27)</f>
        <v/>
      </c>
      <c r="F24" s="20" t="str">
        <f>IF(OR(entrada!M27=0,entrada!M27=""),"",entrada!M27)</f>
        <v>NA</v>
      </c>
      <c r="G24" s="20" t="str">
        <f>IF(OR(entrada!N27=0,entrada!N27=""),"",entrada!N27)</f>
        <v>NA</v>
      </c>
      <c r="H24" s="20" t="str">
        <f>IF(OR(entrada!O27=0,entrada!O27=""),"",entrada!O27)</f>
        <v>NA</v>
      </c>
      <c r="I24" s="20" t="str">
        <f>IF(OR(entrada!P27=0,entrada!P27=""),"",entrada!P27)</f>
        <v/>
      </c>
      <c r="J24" s="20" t="str">
        <f>IF(OR(entrada!Q27=0,entrada!Q27=""),"",entrada!Q27)</f>
        <v/>
      </c>
      <c r="K24" s="20" t="str">
        <f>IF(OR(entrada!R27=0,entrada!R27=""),"",entrada!R27)</f>
        <v/>
      </c>
      <c r="L24" s="20" t="str">
        <f>IF(OR(entrada!V27=0,entrada!V27=""),"",entrada!V27)</f>
        <v/>
      </c>
      <c r="M24" s="36" t="str">
        <f>IF(OR(entrada!W27=0,entrada!W27=""),"",entrada!W27)</f>
        <v/>
      </c>
      <c r="N24" s="48"/>
    </row>
    <row r="25" spans="1:14" x14ac:dyDescent="0.3">
      <c r="A25" s="50"/>
      <c r="B25" s="144" t="str">
        <f>IF(OR(entrada!B28=0,entrada!B28=""),"",entrada!B28)</f>
        <v>Micronutrientes: Unicamente micronutrientes</v>
      </c>
      <c r="C25" s="145" t="str">
        <f>IF(OR(entrada!C28=0,entrada!C28=""),"",entrada!C28)</f>
        <v/>
      </c>
      <c r="D25" s="146" t="str">
        <f>IF(OR(entrada!D28=0,entrada!D28=""),"",entrada!D28)</f>
        <v/>
      </c>
      <c r="E25" s="20" t="str">
        <f>IF(OR(entrada!L28=0,entrada!L28=""),"",entrada!L28)</f>
        <v/>
      </c>
      <c r="F25" s="20" t="str">
        <f>IF(OR(entrada!M28=0,entrada!M28=""),"",entrada!M28)</f>
        <v/>
      </c>
      <c r="G25" s="20" t="str">
        <f>IF(OR(entrada!N28=0,entrada!N28=""),"",entrada!N28)</f>
        <v/>
      </c>
      <c r="H25" s="20" t="str">
        <f>IF(OR(entrada!O28=0,entrada!O28=""),"",entrada!O28)</f>
        <v/>
      </c>
      <c r="I25" s="20" t="str">
        <f>IF(OR(entrada!P28=0,entrada!P28=""),"",entrada!P28)</f>
        <v/>
      </c>
      <c r="J25" s="20" t="str">
        <f>IF(OR(entrada!Q28=0,entrada!Q28=""),"",entrada!Q28)</f>
        <v/>
      </c>
      <c r="K25" s="20" t="str">
        <f>IF(OR(entrada!R28=0,entrada!R28=""),"",entrada!R28)</f>
        <v/>
      </c>
      <c r="L25" s="20" t="str">
        <f>IF(OR(entrada!V28=0,entrada!V28=""),"",entrada!V28)</f>
        <v/>
      </c>
      <c r="M25" s="36" t="str">
        <f>IF(OR(entrada!W28=0,entrada!W28=""),"",entrada!W28)</f>
        <v/>
      </c>
      <c r="N25" s="48"/>
    </row>
    <row r="26" spans="1:14" ht="17.25" thickBot="1" x14ac:dyDescent="0.35">
      <c r="A26" s="50"/>
      <c r="B26" s="147" t="str">
        <f>IF(OR(entrada!B29=0,entrada!B29=""),"",entrada!B29)</f>
        <v>Micronutrientes: Mezcla con NPK o secundarios</v>
      </c>
      <c r="C26" s="148" t="str">
        <f>IF(OR(entrada!C29=0,entrada!C29=""),"",entrada!C29)</f>
        <v/>
      </c>
      <c r="D26" s="149" t="str">
        <f>IF(OR(entrada!D29=0,entrada!D29=""),"",entrada!D29)</f>
        <v/>
      </c>
      <c r="E26" s="25" t="str">
        <f>IF(OR(entrada!L29=0,entrada!L29=""),"",entrada!L29)</f>
        <v/>
      </c>
      <c r="F26" s="25" t="str">
        <f>IF(OR(entrada!M29=0,entrada!M29=""),"",entrada!M29)</f>
        <v/>
      </c>
      <c r="G26" s="25" t="str">
        <f>IF(OR(entrada!N29=0,entrada!N29=""),"",entrada!N29)</f>
        <v/>
      </c>
      <c r="H26" s="25" t="str">
        <f>IF(OR(entrada!O29=0,entrada!O29=""),"",entrada!O29)</f>
        <v/>
      </c>
      <c r="I26" s="24" t="str">
        <f>IF(OR(entrada!P29=0,entrada!P29=""),"",entrada!P29)</f>
        <v/>
      </c>
      <c r="J26" s="24" t="str">
        <f>IF(OR(entrada!Q29=0,entrada!Q29=""),"",entrada!Q29)</f>
        <v/>
      </c>
      <c r="K26" s="24" t="str">
        <f>IF(OR(entrada!R29=0,entrada!R29=""),"",entrada!R29)</f>
        <v/>
      </c>
      <c r="L26" s="24" t="str">
        <f>IF(OR(entrada!V29=0,entrada!V29=""),"",entrada!V29)</f>
        <v>SI</v>
      </c>
      <c r="M26" s="26" t="str">
        <f>IF(OR(entrada!W29=0,entrada!W29=""),"",entrada!W29)</f>
        <v/>
      </c>
      <c r="N26" s="48"/>
    </row>
    <row r="27" spans="1:14" s="18" customFormat="1" x14ac:dyDescent="0.3">
      <c r="A27" s="50"/>
      <c r="B27" s="150" t="str">
        <f>IF(OR(entrada!B30=0,entrada!B30=""),"",entrada!B30)</f>
        <v>*1 Resolución ICA 150 de 2003 ANEXO 11</v>
      </c>
      <c r="C27" s="150" t="str">
        <f>IF(OR(entrada!C30=0,entrada!C30=""),"",entrada!C30)</f>
        <v/>
      </c>
      <c r="D27" s="150" t="str">
        <f>IF(OR(entrada!D30=0,entrada!D30=""),"",entrada!D30)</f>
        <v/>
      </c>
      <c r="E27" s="34" t="str">
        <f>IF(OR(entrada!L30=0,entrada!L30=""),"",entrada!L30)</f>
        <v/>
      </c>
      <c r="F27" s="34" t="str">
        <f>IF(OR(entrada!M30=0,entrada!M30=""),"",entrada!M30)</f>
        <v/>
      </c>
      <c r="G27" s="34" t="str">
        <f>IF(OR(entrada!N30=0,entrada!N30=""),"",entrada!N30)</f>
        <v/>
      </c>
      <c r="H27" s="34" t="str">
        <f>IF(OR(entrada!O30=0,entrada!O30=""),"",entrada!O30)</f>
        <v/>
      </c>
      <c r="I27" s="34" t="str">
        <f>IF(OR(entrada!P30=0,entrada!P30=""),"",entrada!P30)</f>
        <v/>
      </c>
      <c r="J27" s="34" t="str">
        <f>IF(OR(entrada!Q30=0,entrada!Q30=""),"",entrada!Q30)</f>
        <v/>
      </c>
      <c r="K27" s="34" t="str">
        <f>IF(OR(entrada!R30=0,entrada!R30=""),"",entrada!R30)</f>
        <v/>
      </c>
      <c r="L27" s="34" t="str">
        <f>IF(OR(entrada!V30=0,entrada!V30=""),"",entrada!V30)</f>
        <v/>
      </c>
      <c r="M27" s="34" t="str">
        <f>IF(OR(entrada!W30=0,entrada!W30=""),"",entrada!W30)</f>
        <v/>
      </c>
      <c r="N27" s="48"/>
    </row>
    <row r="28" spans="1:14" s="18" customFormat="1" ht="17.25" thickBot="1" x14ac:dyDescent="0.35">
      <c r="A28" s="50"/>
      <c r="B28" s="18" t="str">
        <f>IF(OR(entrada!B31=0,entrada!B31=""),"",entrada!B31)</f>
        <v/>
      </c>
      <c r="C28" s="19" t="str">
        <f>IF(OR(entrada!C31=0,entrada!C31=""),"",entrada!C31)</f>
        <v/>
      </c>
      <c r="D28" s="19" t="str">
        <f>IF(OR(entrada!D31=0,entrada!D31=""),"",entrada!D31)</f>
        <v/>
      </c>
      <c r="E28" s="19" t="str">
        <f>IF(OR(entrada!L31=0,entrada!L31=""),"",entrada!L31)</f>
        <v/>
      </c>
      <c r="F28" s="19" t="str">
        <f>IF(OR(entrada!M31=0,entrada!M31=""),"",entrada!M31)</f>
        <v/>
      </c>
      <c r="G28" s="19" t="str">
        <f>IF(OR(entrada!N31=0,entrada!N31=""),"",entrada!N31)</f>
        <v/>
      </c>
      <c r="H28" s="19" t="str">
        <f>IF(OR(entrada!O31=0,entrada!O31=""),"",entrada!O31)</f>
        <v/>
      </c>
      <c r="I28" s="19" t="str">
        <f>IF(OR(entrada!P31=0,entrada!P31=""),"",entrada!P31)</f>
        <v/>
      </c>
      <c r="J28" s="19" t="str">
        <f>IF(OR(entrada!Q31=0,entrada!Q31=""),"",entrada!Q31)</f>
        <v/>
      </c>
      <c r="K28" s="19" t="str">
        <f>IF(OR(entrada!R31=0,entrada!R31=""),"",entrada!R31)</f>
        <v/>
      </c>
      <c r="L28" s="19" t="str">
        <f>IF(OR(entrada!V31=0,entrada!V31=""),"",entrada!V31)</f>
        <v/>
      </c>
      <c r="M28" s="19" t="str">
        <f>IF(OR(entrada!W31=0,entrada!W31=""),"",entrada!W31)</f>
        <v/>
      </c>
      <c r="N28" s="48"/>
    </row>
    <row r="29" spans="1:14" s="18" customFormat="1" ht="17.25" thickBot="1" x14ac:dyDescent="0.35">
      <c r="A29" s="50"/>
      <c r="B29" s="131" t="str">
        <f>IF(OR(entrada!B32=0,entrada!B32=""),"",entrada!B32)</f>
        <v>TOLERANCIAS*2</v>
      </c>
      <c r="C29" s="132" t="str">
        <f>IF(OR(entrada!C32=0,entrada!C32=""),"",entrada!C32)</f>
        <v/>
      </c>
      <c r="D29" s="133" t="str">
        <f>IF(OR(entrada!D32=0,entrada!D32=""),"",entrada!D32)</f>
        <v/>
      </c>
      <c r="E29" s="34" t="str">
        <f>IF(OR(entrada!L32=0,entrada!L32=""),"",entrada!L32)</f>
        <v/>
      </c>
      <c r="F29" s="34" t="str">
        <f>IF(OR(entrada!M32=0,entrada!M32=""),"",entrada!M32)</f>
        <v/>
      </c>
      <c r="G29" s="34" t="str">
        <f>IF(OR(entrada!N32=0,entrada!N32=""),"",entrada!N32)</f>
        <v/>
      </c>
      <c r="H29" s="34" t="str">
        <f>IF(OR(entrada!O32=0,entrada!O32=""),"",entrada!O32)</f>
        <v/>
      </c>
      <c r="I29" s="34" t="str">
        <f>IF(OR(entrada!P32=0,entrada!P32=""),"",entrada!P32)</f>
        <v/>
      </c>
      <c r="J29" s="34" t="str">
        <f>IF(OR(entrada!Q32=0,entrada!Q32=""),"",entrada!Q32)</f>
        <v/>
      </c>
      <c r="K29" s="34" t="str">
        <f>IF(OR(entrada!R32=0,entrada!R32=""),"",entrada!R32)</f>
        <v/>
      </c>
      <c r="L29" s="34" t="str">
        <f>IF(OR(entrada!V32=0,entrada!V32=""),"",entrada!V32)</f>
        <v/>
      </c>
      <c r="M29" s="34" t="str">
        <f>IF(OR(entrada!W32=0,entrada!W32=""),"",entrada!W32)</f>
        <v/>
      </c>
      <c r="N29" s="48"/>
    </row>
    <row r="30" spans="1:14" s="18" customFormat="1" x14ac:dyDescent="0.3">
      <c r="A30" s="50"/>
      <c r="B30" s="141" t="str">
        <f>IF(OR(entrada!B33=0,entrada!B33=""),"",entrada!B33)</f>
        <v>Calculo</v>
      </c>
      <c r="C30" s="142" t="str">
        <f>IF(OR(entrada!C33=0,entrada!C33=""),"",entrada!C33)</f>
        <v/>
      </c>
      <c r="D30" s="143" t="str">
        <f>IF(OR(entrada!D33=0,entrada!D33=""),"",entrada!D33)</f>
        <v/>
      </c>
      <c r="E30" s="22">
        <f>IF(OR(entrada!L33=0,entrada!L33=""),"",entrada!L33)</f>
        <v>4.0745940679999997E-3</v>
      </c>
      <c r="F30" s="22" t="str">
        <f>IF(OR(entrada!M33=0,entrada!M33=""),"",entrada!M33)</f>
        <v/>
      </c>
      <c r="G30" s="22" t="str">
        <f>IF(OR(entrada!N33=0,entrada!N33=""),"",entrada!N33)</f>
        <v/>
      </c>
      <c r="H30" s="22" t="str">
        <f>IF(OR(entrada!O33=0,entrada!O33=""),"",entrada!O33)</f>
        <v/>
      </c>
      <c r="I30" s="22" t="str">
        <f>IF(OR(entrada!P33=0,entrada!P33=""),"",entrada!P33)</f>
        <v/>
      </c>
      <c r="J30" s="22" t="str">
        <f>IF(OR(entrada!Q33=0,entrada!Q33=""),"",entrada!Q33)</f>
        <v/>
      </c>
      <c r="K30" s="22" t="str">
        <f>IF(OR(entrada!R33=0,entrada!R33=""),"",entrada!R33)</f>
        <v/>
      </c>
      <c r="L30" s="22" t="str">
        <f>IF(OR(entrada!V33=0,entrada!V33=""),"",entrada!V33)</f>
        <v/>
      </c>
      <c r="M30" s="35" t="str">
        <f>IF(OR(entrada!W33=0,entrada!W33=""),"",entrada!W33)</f>
        <v/>
      </c>
      <c r="N30" s="48"/>
    </row>
    <row r="31" spans="1:14" s="18" customFormat="1" x14ac:dyDescent="0.3">
      <c r="A31" s="50"/>
      <c r="B31" s="144" t="str">
        <f>IF(OR(entrada!B34=0,entrada!B34=""),"",entrada!B34)</f>
        <v>NPK ¿El contenido está fuera de rango [4%-32%]?*3</v>
      </c>
      <c r="C31" s="145" t="str">
        <f>IF(OR(entrada!C34=0,entrada!C34=""),"",entrada!C34)</f>
        <v/>
      </c>
      <c r="D31" s="146" t="str">
        <f>IF(OR(entrada!D34=0,entrada!D34=""),"",entrada!D34)</f>
        <v/>
      </c>
      <c r="E31" s="20" t="str">
        <f>IF(OR(entrada!L34=0,entrada!L34=""),"",entrada!L34)</f>
        <v>SI</v>
      </c>
      <c r="F31" s="20">
        <f>IF(OR(entrada!M34=0,entrada!M34=""),"",entrada!M34)</f>
        <v>2.4254999999999999E-2</v>
      </c>
      <c r="G31" s="20">
        <f>IF(OR(entrada!N34=0,entrada!N34=""),"",entrada!N34)</f>
        <v>2.375E-2</v>
      </c>
      <c r="H31" s="20">
        <f>IF(OR(entrada!O34=0,entrada!O34=""),"",entrada!O34)</f>
        <v>4.9499999999999995E-3</v>
      </c>
      <c r="I31" s="20" t="str">
        <f>IF(OR(entrada!P34=0,entrada!P34=""),"",entrada!P34)</f>
        <v/>
      </c>
      <c r="J31" s="23" t="str">
        <f>IF(OR(entrada!Q34=0,entrada!Q34=""),"",entrada!Q34)</f>
        <v/>
      </c>
      <c r="K31" s="23" t="str">
        <f>IF(OR(entrada!R34=0,entrada!R34=""),"",entrada!R34)</f>
        <v/>
      </c>
      <c r="L31" s="23" t="str">
        <f>IF(OR(entrada!V34=0,entrada!V34=""),"",entrada!V34)</f>
        <v/>
      </c>
      <c r="M31" s="36" t="str">
        <f>IF(OR(entrada!W34=0,entrada!W34=""),"",entrada!W34)</f>
        <v/>
      </c>
      <c r="N31" s="48"/>
    </row>
    <row r="32" spans="1:14" s="18" customFormat="1" x14ac:dyDescent="0.3">
      <c r="A32" s="50"/>
      <c r="B32" s="144" t="str">
        <f>IF(OR(entrada!B35=0,entrada!B35=""),"",entrada!B35)</f>
        <v>Secundarios y menores ¿La tolerancia supera el 50% o 1.5pp?*4</v>
      </c>
      <c r="C32" s="145" t="str">
        <f>IF(OR(entrada!C35=0,entrada!C35=""),"",entrada!C35)</f>
        <v/>
      </c>
      <c r="D32" s="146" t="str">
        <f>IF(OR(entrada!D35=0,entrada!D35=""),"",entrada!D35)</f>
        <v/>
      </c>
      <c r="E32" s="20" t="str">
        <f>IF(OR(entrada!L35=0,entrada!L35=""),"",entrada!L35)</f>
        <v/>
      </c>
      <c r="F32" s="20" t="str">
        <f>IF(OR(entrada!M35=0,entrada!M35=""),"",entrada!M35)</f>
        <v>SI</v>
      </c>
      <c r="G32" s="20" t="str">
        <f>IF(OR(entrada!N35=0,entrada!N35=""),"",entrada!N35)</f>
        <v>SI</v>
      </c>
      <c r="H32" s="20" t="str">
        <f>IF(OR(entrada!O35=0,entrada!O35=""),"",entrada!O35)</f>
        <v>NO</v>
      </c>
      <c r="I32" s="20" t="str">
        <f>IF(OR(entrada!P35=0,entrada!P35=""),"",entrada!P35)</f>
        <v/>
      </c>
      <c r="J32" s="20" t="str">
        <f>IF(OR(entrada!Q35=0,entrada!Q35=""),"",entrada!Q35)</f>
        <v/>
      </c>
      <c r="K32" s="20" t="str">
        <f>IF(OR(entrada!R35=0,entrada!R35=""),"",entrada!R35)</f>
        <v/>
      </c>
      <c r="L32" s="20" t="str">
        <f>IF(OR(entrada!V35=0,entrada!V35=""),"",entrada!V35)</f>
        <v/>
      </c>
      <c r="M32" s="36" t="str">
        <f>IF(OR(entrada!W35=0,entrada!W35=""),"",entrada!W35)</f>
        <v/>
      </c>
      <c r="N32" s="48"/>
    </row>
    <row r="33" spans="1:14" s="18" customFormat="1" ht="17.25" thickBot="1" x14ac:dyDescent="0.35">
      <c r="A33" s="50"/>
      <c r="B33" s="147" t="str">
        <f>IF(OR(entrada!B36=0,entrada!B36=""),"",entrada!B36)</f>
        <v>Tolerancia permitida</v>
      </c>
      <c r="C33" s="148" t="str">
        <f>IF(OR(entrada!C36=0,entrada!C36=""),"",entrada!C36)</f>
        <v/>
      </c>
      <c r="D33" s="149" t="str">
        <f>IF(OR(entrada!D36=0,entrada!D36=""),"",entrada!D36)</f>
        <v/>
      </c>
      <c r="E33" s="25">
        <f>IF(OR(entrada!L36=0,entrada!L36=""),"",entrada!L36)</f>
        <v>6.8999999999999999E-3</v>
      </c>
      <c r="F33" s="25">
        <f>IF(OR(entrada!M36=0,entrada!M36=""),"",entrada!M36)</f>
        <v>1.4999999999999999E-2</v>
      </c>
      <c r="G33" s="25">
        <f>IF(OR(entrada!N36=0,entrada!N36=""),"",entrada!N36)</f>
        <v>1.4999999999999999E-2</v>
      </c>
      <c r="H33" s="25">
        <f>IF(OR(entrada!O36=0,entrada!O36=""),"",entrada!O36)</f>
        <v>1.4999999999999999E-2</v>
      </c>
      <c r="I33" s="25" t="str">
        <f>IF(OR(entrada!P36=0,entrada!P36=""),"",entrada!P36)</f>
        <v/>
      </c>
      <c r="J33" s="37" t="str">
        <f>IF(OR(entrada!Q36=0,entrada!Q36=""),"",entrada!Q36)</f>
        <v/>
      </c>
      <c r="K33" s="37" t="str">
        <f>IF(OR(entrada!R36=0,entrada!R36=""),"",entrada!R36)</f>
        <v/>
      </c>
      <c r="L33" s="37" t="str">
        <f>IF(OR(entrada!V36=0,entrada!V36=""),"",entrada!V36)</f>
        <v/>
      </c>
      <c r="M33" s="38" t="str">
        <f>IF(OR(entrada!W36=0,entrada!W36=""),"",entrada!W36)</f>
        <v/>
      </c>
      <c r="N33" s="48"/>
    </row>
    <row r="34" spans="1:14" s="18" customFormat="1" x14ac:dyDescent="0.3">
      <c r="A34" s="50"/>
      <c r="B34" s="150" t="str">
        <f>IF(OR(entrada!B37=0,entrada!B37=""),"",entrada!B37)</f>
        <v>*2 NTC 1061:2020 ALCANCE: no aplica para organicos</v>
      </c>
      <c r="C34" s="150" t="str">
        <f>IF(OR(entrada!C37=0,entrada!C37=""),"",entrada!C37)</f>
        <v/>
      </c>
      <c r="D34" s="150" t="str">
        <f>IF(OR(entrada!D37=0,entrada!D37=""),"",entrada!D37)</f>
        <v/>
      </c>
      <c r="E34" s="34" t="str">
        <f>IF(OR(entrada!L37=0,entrada!L37=""),"",entrada!L37)</f>
        <v/>
      </c>
      <c r="F34" s="34" t="str">
        <f>IF(OR(entrada!M37=0,entrada!M37=""),"",entrada!M37)</f>
        <v/>
      </c>
      <c r="G34" s="34" t="str">
        <f>IF(OR(entrada!N37=0,entrada!N37=""),"",entrada!N37)</f>
        <v/>
      </c>
      <c r="H34" s="34" t="str">
        <f>IF(OR(entrada!O37=0,entrada!O37=""),"",entrada!O37)</f>
        <v/>
      </c>
      <c r="I34" s="34" t="str">
        <f>IF(OR(entrada!P37=0,entrada!P37=""),"",entrada!P37)</f>
        <v/>
      </c>
      <c r="J34" s="34" t="str">
        <f>IF(OR(entrada!Q37=0,entrada!Q37=""),"",entrada!Q37)</f>
        <v/>
      </c>
      <c r="K34" s="34" t="str">
        <f>IF(OR(entrada!R37=0,entrada!R37=""),"",entrada!R37)</f>
        <v/>
      </c>
      <c r="L34" s="34" t="str">
        <f>IF(OR(entrada!V37=0,entrada!V37=""),"",entrada!V37)</f>
        <v/>
      </c>
      <c r="M34" s="34" t="str">
        <f>IF(OR(entrada!W37=0,entrada!W37=""),"",entrada!W37)</f>
        <v/>
      </c>
      <c r="N34" s="48"/>
    </row>
    <row r="35" spans="1:14" s="18" customFormat="1" x14ac:dyDescent="0.3">
      <c r="A35" s="50"/>
      <c r="B35" s="150" t="str">
        <f>IF(OR(entrada!B38=0,entrada!B38=""),"",entrada!B38)</f>
        <v xml:space="preserve">*3 NTC 1061:2020 4.1 </v>
      </c>
      <c r="C35" s="150" t="str">
        <f>IF(OR(entrada!C38=0,entrada!C38=""),"",entrada!C38)</f>
        <v/>
      </c>
      <c r="D35" s="150" t="str">
        <f>IF(OR(entrada!D38=0,entrada!D38=""),"",entrada!D38)</f>
        <v/>
      </c>
      <c r="E35" s="34" t="str">
        <f>IF(OR(entrada!L38=0,entrada!L38=""),"",entrada!L38)</f>
        <v/>
      </c>
      <c r="F35" s="34" t="str">
        <f>IF(OR(entrada!M38=0,entrada!M38=""),"",entrada!M38)</f>
        <v/>
      </c>
      <c r="G35" s="34" t="str">
        <f>IF(OR(entrada!N38=0,entrada!N38=""),"",entrada!N38)</f>
        <v/>
      </c>
      <c r="H35" s="34" t="str">
        <f>IF(OR(entrada!O38=0,entrada!O38=""),"",entrada!O38)</f>
        <v/>
      </c>
      <c r="I35" s="34" t="str">
        <f>IF(OR(entrada!P38=0,entrada!P38=""),"",entrada!P38)</f>
        <v/>
      </c>
      <c r="J35" s="34" t="str">
        <f>IF(OR(entrada!Q38=0,entrada!Q38=""),"",entrada!Q38)</f>
        <v/>
      </c>
      <c r="K35" s="34" t="str">
        <f>IF(OR(entrada!R38=0,entrada!R38=""),"",entrada!R38)</f>
        <v/>
      </c>
      <c r="L35" s="34" t="str">
        <f>IF(OR(entrada!V38=0,entrada!V38=""),"",entrada!V38)</f>
        <v/>
      </c>
      <c r="M35" s="34" t="str">
        <f>IF(OR(entrada!W38=0,entrada!W38=""),"",entrada!W38)</f>
        <v/>
      </c>
      <c r="N35" s="48"/>
    </row>
    <row r="36" spans="1:14" s="18" customFormat="1" x14ac:dyDescent="0.3">
      <c r="A36" s="50"/>
      <c r="B36" s="150" t="str">
        <f>IF(OR(entrada!B39=0,entrada!B39=""),"",entrada!B39)</f>
        <v xml:space="preserve">*4 NTC 1061:2020 4.2.1 - 4.2.2 </v>
      </c>
      <c r="C36" s="150" t="str">
        <f>IF(OR(entrada!C39=0,entrada!C39=""),"",entrada!C39)</f>
        <v/>
      </c>
      <c r="D36" s="150" t="str">
        <f>IF(OR(entrada!D39=0,entrada!D39=""),"",entrada!D39)</f>
        <v/>
      </c>
      <c r="E36" s="34" t="str">
        <f>IF(OR(entrada!L39=0,entrada!L39=""),"",entrada!L39)</f>
        <v/>
      </c>
      <c r="F36" s="34" t="str">
        <f>IF(OR(entrada!M39=0,entrada!M39=""),"",entrada!M39)</f>
        <v/>
      </c>
      <c r="G36" s="34" t="str">
        <f>IF(OR(entrada!N39=0,entrada!N39=""),"",entrada!N39)</f>
        <v/>
      </c>
      <c r="H36" s="34" t="str">
        <f>IF(OR(entrada!O39=0,entrada!O39=""),"",entrada!O39)</f>
        <v/>
      </c>
      <c r="I36" s="34" t="str">
        <f>IF(OR(entrada!P39=0,entrada!P39=""),"",entrada!P39)</f>
        <v/>
      </c>
      <c r="J36" s="34" t="str">
        <f>IF(OR(entrada!Q39=0,entrada!Q39=""),"",entrada!Q39)</f>
        <v/>
      </c>
      <c r="K36" s="34" t="str">
        <f>IF(OR(entrada!R39=0,entrada!R39=""),"",entrada!R39)</f>
        <v/>
      </c>
      <c r="L36" s="34" t="str">
        <f>IF(OR(entrada!V39=0,entrada!V39=""),"",entrada!V39)</f>
        <v/>
      </c>
      <c r="M36" s="34" t="str">
        <f>IF(OR(entrada!W39=0,entrada!W39=""),"",entrada!W39)</f>
        <v/>
      </c>
      <c r="N36" s="48"/>
    </row>
    <row r="37" spans="1:14" ht="17.25" thickBot="1" x14ac:dyDescent="0.35">
      <c r="A37" s="50"/>
      <c r="B37" s="18" t="str">
        <f>IF(OR(entrada!B40=0,entrada!B40=""),"",entrada!B40)</f>
        <v/>
      </c>
      <c r="C37" s="19" t="str">
        <f>IF(OR(entrada!C40=0,entrada!C40=""),"",entrada!C40)</f>
        <v/>
      </c>
      <c r="D37" s="19" t="str">
        <f>IF(OR(entrada!D40=0,entrada!D40=""),"",entrada!D40)</f>
        <v/>
      </c>
      <c r="E37" s="34" t="str">
        <f>IF(OR(entrada!L40=0,entrada!L40=""),"",entrada!L40)</f>
        <v/>
      </c>
      <c r="F37" s="34" t="str">
        <f>IF(OR(entrada!M40=0,entrada!M40=""),"",entrada!M40)</f>
        <v/>
      </c>
      <c r="G37" s="34" t="str">
        <f>IF(OR(entrada!N40=0,entrada!N40=""),"",entrada!N40)</f>
        <v/>
      </c>
      <c r="H37" s="34" t="str">
        <f>IF(OR(entrada!O40=0,entrada!O40=""),"",entrada!O40)</f>
        <v/>
      </c>
      <c r="I37" s="34" t="str">
        <f>IF(OR(entrada!P40=0,entrada!P40=""),"",entrada!P40)</f>
        <v/>
      </c>
      <c r="J37" s="34" t="str">
        <f>IF(OR(entrada!Q40=0,entrada!Q40=""),"",entrada!Q40)</f>
        <v/>
      </c>
      <c r="K37" s="34" t="str">
        <f>IF(OR(entrada!R40=0,entrada!R40=""),"",entrada!R40)</f>
        <v/>
      </c>
      <c r="L37" s="34" t="str">
        <f>IF(OR(entrada!V40=0,entrada!V40=""),"",entrada!V40)</f>
        <v/>
      </c>
      <c r="M37" s="34" t="str">
        <f>IF(OR(entrada!W40=0,entrada!W40=""),"",entrada!W40)</f>
        <v/>
      </c>
      <c r="N37" s="48"/>
    </row>
    <row r="38" spans="1:14" x14ac:dyDescent="0.3">
      <c r="A38" s="50"/>
      <c r="B38" s="131" t="str">
        <f>IF(OR(entrada!B41=0,entrada!B41=""),"",entrada!B41)</f>
        <v>Tolerancia Mínima NTC</v>
      </c>
      <c r="C38" s="132" t="str">
        <f>IF(OR(entrada!C41=0,entrada!C41=""),"",entrada!C41)</f>
        <v/>
      </c>
      <c r="D38" s="132" t="str">
        <f>IF(OR(entrada!D41=0,entrada!D41=""),"",entrada!D41)</f>
        <v/>
      </c>
      <c r="E38" s="22">
        <f>IF(OR(entrada!L41=0,entrada!L41=""),"",entrada!L41)</f>
        <v>-5.1599999999999997E-3</v>
      </c>
      <c r="F38" s="22">
        <f>IF(OR(entrada!M41=0,entrada!M41=""),"",entrada!M41)</f>
        <v>0.17599999999999999</v>
      </c>
      <c r="G38" s="22">
        <f>IF(OR(entrada!N41=0,entrada!N41=""),"",entrada!N41)</f>
        <v>0.13500000000000001</v>
      </c>
      <c r="H38" s="22">
        <f>IF(OR(entrada!O41=0,entrada!O41=""),"",entrada!O41)</f>
        <v>1.1000000000000003E-2</v>
      </c>
      <c r="I38" s="22" t="str">
        <f>IF(OR(entrada!P41=0,entrada!P41=""),"",entrada!P41)</f>
        <v/>
      </c>
      <c r="J38" s="21" t="str">
        <f>IF(OR(entrada!Q41=0,entrada!Q41=""),"",entrada!Q41)</f>
        <v/>
      </c>
      <c r="K38" s="21" t="str">
        <f>IF(OR(entrada!R41=0,entrada!R41=""),"",entrada!R41)</f>
        <v/>
      </c>
      <c r="L38" s="21" t="str">
        <f>IF(OR(entrada!V41=0,entrada!V41=""),"",entrada!V41)</f>
        <v/>
      </c>
      <c r="M38" s="35" t="str">
        <f>IF(OR(entrada!W41=0,entrada!W41=""),"",entrada!W41)</f>
        <v/>
      </c>
      <c r="N38" s="48"/>
    </row>
    <row r="39" spans="1:14" x14ac:dyDescent="0.3">
      <c r="A39" s="50"/>
      <c r="B39" s="151" t="str">
        <f>IF(OR(entrada!B42=0,entrada!B42=""),"",entrada!B42)</f>
        <v>SOLICITUD DE REGISTRO ICA: MATERIA PRIMA</v>
      </c>
      <c r="C39" s="152" t="str">
        <f>IF(OR(entrada!C42=0,entrada!C42=""),"",entrada!C42)</f>
        <v/>
      </c>
      <c r="D39" s="152" t="str">
        <f>IF(OR(entrada!D42=0,entrada!D42=""),"",entrada!D42)</f>
        <v/>
      </c>
      <c r="E39" s="20">
        <f>IF(OR(entrada!L42=0,entrada!L42=""),"",entrada!L42)</f>
        <v>1.7399999999999998E-3</v>
      </c>
      <c r="F39" s="20">
        <f>IF(OR(entrada!M42=0,entrada!M42=""),"",entrada!M42)</f>
        <v>0.191</v>
      </c>
      <c r="G39" s="20">
        <f>IF(OR(entrada!N42=0,entrada!N42=""),"",entrada!N42)</f>
        <v>0.15000000000000002</v>
      </c>
      <c r="H39" s="20">
        <f>IF(OR(entrada!O42=0,entrada!O42=""),"",entrada!O42)</f>
        <v>2.6000000000000002E-2</v>
      </c>
      <c r="I39" s="20" t="str">
        <f>IF(OR(entrada!P42=0,entrada!P42=""),"",entrada!P42)</f>
        <v/>
      </c>
      <c r="J39" s="23" t="str">
        <f>IF(OR(entrada!Q42=0,entrada!Q42=""),"",entrada!Q42)</f>
        <v/>
      </c>
      <c r="K39" s="23" t="str">
        <f>IF(OR(entrada!R42=0,entrada!R42=""),"",entrada!R42)</f>
        <v/>
      </c>
      <c r="L39" s="23">
        <f>IF(OR(entrada!V42=0,entrada!V42=""),"",entrada!V42)</f>
        <v>0.15594</v>
      </c>
      <c r="M39" s="36" t="str">
        <f>IF(OR(entrada!W42=0,entrada!W42=""),"",entrada!W42)</f>
        <v/>
      </c>
      <c r="N39" s="48"/>
    </row>
    <row r="40" spans="1:14" ht="17.25" thickBot="1" x14ac:dyDescent="0.35">
      <c r="A40" s="50"/>
      <c r="B40" s="153" t="str">
        <f>IF(OR(entrada!B43=0,entrada!B43=""),"",entrada!B43)</f>
        <v>Tolerancia Máxima NTC</v>
      </c>
      <c r="C40" s="154" t="str">
        <f>IF(OR(entrada!C43=0,entrada!C43=""),"",entrada!C43)</f>
        <v/>
      </c>
      <c r="D40" s="154" t="str">
        <f>IF(OR(entrada!D43=0,entrada!D43=""),"",entrada!D43)</f>
        <v/>
      </c>
      <c r="E40" s="25">
        <f>IF(OR(entrada!L43=0,entrada!L43=""),"",entrada!L43)</f>
        <v>8.6400000000000001E-3</v>
      </c>
      <c r="F40" s="25">
        <f>IF(OR(entrada!M43=0,entrada!M43=""),"",entrada!M43)</f>
        <v>0.20600000000000002</v>
      </c>
      <c r="G40" s="25">
        <f>IF(OR(entrada!N43=0,entrada!N43=""),"",entrada!N43)</f>
        <v>0.16500000000000004</v>
      </c>
      <c r="H40" s="25">
        <f>IF(OR(entrada!O43=0,entrada!O43=""),"",entrada!O43)</f>
        <v>4.1000000000000002E-2</v>
      </c>
      <c r="I40" s="25" t="str">
        <f>IF(OR(entrada!P43=0,entrada!P43=""),"",entrada!P43)</f>
        <v/>
      </c>
      <c r="J40" s="24" t="str">
        <f>IF(OR(entrada!Q43=0,entrada!Q43=""),"",entrada!Q43)</f>
        <v/>
      </c>
      <c r="K40" s="24" t="str">
        <f>IF(OR(entrada!R43=0,entrada!R43=""),"",entrada!R43)</f>
        <v/>
      </c>
      <c r="L40" s="24" t="str">
        <f>IF(OR(entrada!V43=0,entrada!V43=""),"",entrada!V43)</f>
        <v/>
      </c>
      <c r="M40" s="38" t="str">
        <f>IF(OR(entrada!W43=0,entrada!W43=""),"",entrada!W43)</f>
        <v/>
      </c>
      <c r="N40" s="48"/>
    </row>
    <row r="41" spans="1:14" s="18" customFormat="1" x14ac:dyDescent="0.3">
      <c r="A41" s="50"/>
      <c r="B41" s="18" t="str">
        <f>IF(OR(entrada!B44=0,entrada!B44=""),"",entrada!B44)</f>
        <v/>
      </c>
      <c r="C41" s="19" t="str">
        <f>IF(OR(entrada!C44=0,entrada!C44=""),"",entrada!C44)</f>
        <v/>
      </c>
      <c r="D41" s="19" t="str">
        <f>IF(OR(entrada!D44=0,entrada!D44=""),"",entrada!D44)</f>
        <v/>
      </c>
      <c r="E41" s="19" t="str">
        <f>IF(OR(entrada!L44=0,entrada!L44=""),"",entrada!L44)</f>
        <v/>
      </c>
      <c r="F41" s="19" t="str">
        <f>IF(OR(entrada!M44=0,entrada!M44=""),"",entrada!M44)</f>
        <v/>
      </c>
      <c r="G41" s="19" t="str">
        <f>IF(OR(entrada!N44=0,entrada!N44=""),"",entrada!N44)</f>
        <v/>
      </c>
      <c r="H41" s="19" t="str">
        <f>IF(OR(entrada!O44=0,entrada!O44=""),"",entrada!O44)</f>
        <v/>
      </c>
      <c r="I41" s="19" t="str">
        <f>IF(OR(entrada!P44=0,entrada!P44=""),"",entrada!P44)</f>
        <v/>
      </c>
      <c r="J41" s="19" t="str">
        <f>IF(OR(entrada!Q44=0,entrada!Q44=""),"",entrada!Q44)</f>
        <v/>
      </c>
      <c r="K41" s="19" t="str">
        <f>IF(OR(entrada!R44=0,entrada!R44=""),"",entrada!R44)</f>
        <v/>
      </c>
      <c r="L41" s="19" t="str">
        <f>IF(OR(entrada!V44=0,entrada!V44=""),"",entrada!V44)</f>
        <v/>
      </c>
      <c r="M41" s="19" t="str">
        <f>IF(OR(entrada!W44=0,entrada!W44=""),"",entrada!W44)</f>
        <v/>
      </c>
      <c r="N41" s="48"/>
    </row>
    <row r="42" spans="1:14" s="18" customFormat="1" x14ac:dyDescent="0.3">
      <c r="A42" s="50"/>
      <c r="B42" s="18" t="str">
        <f>IF(OR(entrada!B47=0,entrada!B47=""),"",entrada!B47)</f>
        <v/>
      </c>
      <c r="C42" s="19" t="str">
        <f>IF(OR(entrada!C47=0,entrada!C47=""),"",entrada!C47)</f>
        <v/>
      </c>
      <c r="D42" s="19" t="str">
        <f>IF(OR(entrada!D47=0,entrada!D47=""),"",entrada!D47)</f>
        <v/>
      </c>
      <c r="E42" s="19" t="str">
        <f>IF(OR(entrada!L47=0,entrada!L47=""),"",entrada!L47)</f>
        <v/>
      </c>
      <c r="F42" s="19" t="str">
        <f>IF(OR(entrada!M47=0,entrada!M47=""),"",entrada!M47)</f>
        <v/>
      </c>
      <c r="G42" s="19" t="str">
        <f>IF(OR(entrada!N47=0,entrada!N47=""),"",entrada!N47)</f>
        <v/>
      </c>
      <c r="H42" s="19" t="str">
        <f>IF(OR(entrada!O47=0,entrada!O47=""),"",entrada!O47)</f>
        <v/>
      </c>
      <c r="I42" s="19" t="str">
        <f>IF(OR(entrada!P47=0,entrada!P47=""),"",entrada!P47)</f>
        <v/>
      </c>
      <c r="J42" s="19" t="str">
        <f>IF(OR(entrada!Q47=0,entrada!Q47=""),"",entrada!Q47)</f>
        <v/>
      </c>
      <c r="K42" s="19" t="str">
        <f>IF(OR(entrada!R47=0,entrada!R47=""),"",entrada!R47)</f>
        <v/>
      </c>
      <c r="L42" s="19" t="str">
        <f>IF(OR(entrada!V47=0,entrada!V47=""),"",entrada!V47)</f>
        <v/>
      </c>
      <c r="M42" s="19" t="str">
        <f>IF(OR(entrada!W47=0,entrada!W47=""),"",entrada!W47)</f>
        <v/>
      </c>
      <c r="N42" s="48"/>
    </row>
    <row r="43" spans="1:14" s="18" customFormat="1" x14ac:dyDescent="0.3">
      <c r="A43" s="50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48"/>
    </row>
    <row r="44" spans="1:14" s="18" customFormat="1" x14ac:dyDescent="0.3">
      <c r="A44" s="53"/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6"/>
    </row>
    <row r="45" spans="1:14" s="18" customFormat="1" x14ac:dyDescent="0.3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4" s="18" customFormat="1" x14ac:dyDescent="0.3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4" s="18" customFormat="1" x14ac:dyDescent="0.3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4" s="18" customFormat="1" x14ac:dyDescent="0.3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3:13" s="18" customFormat="1" x14ac:dyDescent="0.3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3:13" s="18" customFormat="1" x14ac:dyDescent="0.3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3:13" s="18" customFormat="1" x14ac:dyDescent="0.3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3:13" s="18" customFormat="1" x14ac:dyDescent="0.3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3:13" s="18" customFormat="1" x14ac:dyDescent="0.3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3:13" s="18" customFormat="1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3:13" s="18" customFormat="1" x14ac:dyDescent="0.3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3:13" s="18" customFormat="1" x14ac:dyDescent="0.3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3:13" s="18" customFormat="1" x14ac:dyDescent="0.3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3:13" s="18" customFormat="1" x14ac:dyDescent="0.3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3:13" s="18" customFormat="1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3:13" s="18" customFormat="1" x14ac:dyDescent="0.3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3:13" s="18" customFormat="1" x14ac:dyDescent="0.3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3:13" s="18" customFormat="1" x14ac:dyDescent="0.3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3:13" s="18" customFormat="1" x14ac:dyDescent="0.3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3:13" s="18" customFormat="1" x14ac:dyDescent="0.3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3:13" s="18" customFormat="1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3:13" s="18" customFormat="1" x14ac:dyDescent="0.3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3:13" s="18" customFormat="1" x14ac:dyDescent="0.3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3:13" s="18" customFormat="1" x14ac:dyDescent="0.3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3:13" s="18" customForma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3:13" s="18" customFormat="1" x14ac:dyDescent="0.3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3:13" s="18" customFormat="1" x14ac:dyDescent="0.3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3:13" s="18" customFormat="1" x14ac:dyDescent="0.3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3:13" s="18" customFormat="1" x14ac:dyDescent="0.3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3:13" s="18" customFormat="1" x14ac:dyDescent="0.3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3:13" s="18" customFormat="1" x14ac:dyDescent="0.3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3:13" s="18" customFormat="1" x14ac:dyDescent="0.3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3:13" s="18" customFormat="1" x14ac:dyDescent="0.3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3:13" s="18" customFormat="1" x14ac:dyDescent="0.3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3:13" s="18" customFormat="1" x14ac:dyDescent="0.3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3:13" s="18" customFormat="1" x14ac:dyDescent="0.3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3:13" s="18" customFormat="1" x14ac:dyDescent="0.3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3:13" s="18" customFormat="1" x14ac:dyDescent="0.3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3:13" s="18" customFormat="1" x14ac:dyDescent="0.3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3:13" s="18" customFormat="1" x14ac:dyDescent="0.3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3:13" s="18" customFormat="1" x14ac:dyDescent="0.3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3:13" s="18" customFormat="1" x14ac:dyDescent="0.3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3:13" s="18" customFormat="1" x14ac:dyDescent="0.3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3:13" s="18" customFormat="1" x14ac:dyDescent="0.3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3:13" s="18" customFormat="1" x14ac:dyDescent="0.3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3:13" s="18" customFormat="1" x14ac:dyDescent="0.3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3:13" s="18" customFormat="1" x14ac:dyDescent="0.3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3:13" s="18" customFormat="1" x14ac:dyDescent="0.3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3:13" s="18" customFormat="1" x14ac:dyDescent="0.3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3:13" s="18" customFormat="1" x14ac:dyDescent="0.3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3:13" s="18" customFormat="1" x14ac:dyDescent="0.3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3:13" s="18" customFormat="1" x14ac:dyDescent="0.3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3:13" s="18" customFormat="1" x14ac:dyDescent="0.3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3:13" s="18" customFormat="1" x14ac:dyDescent="0.3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3:13" s="18" customFormat="1" x14ac:dyDescent="0.3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3:13" s="18" customFormat="1" x14ac:dyDescent="0.3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3:13" s="18" customFormat="1" x14ac:dyDescent="0.3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</row>
    <row r="102" spans="3:13" s="18" customFormat="1" x14ac:dyDescent="0.3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3:13" s="18" customFormat="1" x14ac:dyDescent="0.3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spans="3:13" s="18" customFormat="1" x14ac:dyDescent="0.3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3:13" s="18" customFormat="1" x14ac:dyDescent="0.3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3:13" s="18" customFormat="1" x14ac:dyDescent="0.3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3:13" s="18" customFormat="1" x14ac:dyDescent="0.3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  <row r="108" spans="3:13" s="18" customFormat="1" x14ac:dyDescent="0.3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3:13" s="18" customFormat="1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3:13" s="18" customFormat="1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3:13" s="18" customFormat="1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3:13" s="18" customFormat="1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3:13" s="18" customFormat="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3:13" s="18" customFormat="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3:13" s="18" customFormat="1" x14ac:dyDescent="0.3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3:13" s="18" customFormat="1" x14ac:dyDescent="0.3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3:13" s="18" customFormat="1" x14ac:dyDescent="0.3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3:13" s="18" customFormat="1" x14ac:dyDescent="0.3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3:13" s="18" customFormat="1" x14ac:dyDescent="0.3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3:13" s="18" customFormat="1" x14ac:dyDescent="0.3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3:13" s="18" customFormat="1" x14ac:dyDescent="0.3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3:13" s="18" customFormat="1" x14ac:dyDescent="0.3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3:13" s="18" customFormat="1" x14ac:dyDescent="0.3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</row>
    <row r="124" spans="3:13" s="18" customFormat="1" x14ac:dyDescent="0.3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3:13" s="18" customFormat="1" x14ac:dyDescent="0.3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3:13" s="18" customFormat="1" x14ac:dyDescent="0.3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3:13" s="18" customFormat="1" x14ac:dyDescent="0.3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3:13" s="18" customFormat="1" x14ac:dyDescent="0.3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3:13" s="18" customFormat="1" x14ac:dyDescent="0.3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3:13" s="18" customFormat="1" x14ac:dyDescent="0.3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3:13" s="18" customFormat="1" x14ac:dyDescent="0.3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3:13" s="18" customFormat="1" x14ac:dyDescent="0.3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3:13" s="18" customFormat="1" x14ac:dyDescent="0.3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3:13" s="18" customFormat="1" x14ac:dyDescent="0.3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3:13" s="18" customFormat="1" x14ac:dyDescent="0.3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3:13" s="18" customFormat="1" x14ac:dyDescent="0.3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spans="3:13" s="18" customFormat="1" x14ac:dyDescent="0.3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</row>
    <row r="138" spans="3:13" s="18" customFormat="1" x14ac:dyDescent="0.3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spans="3:13" s="18" customFormat="1" x14ac:dyDescent="0.3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  <row r="140" spans="3:13" s="18" customFormat="1" x14ac:dyDescent="0.3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3:13" s="18" customFormat="1" x14ac:dyDescent="0.3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</row>
    <row r="142" spans="3:13" s="18" customFormat="1" x14ac:dyDescent="0.3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3:13" s="18" customFormat="1" x14ac:dyDescent="0.3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3:13" s="18" customFormat="1" x14ac:dyDescent="0.3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3:13" s="18" customFormat="1" x14ac:dyDescent="0.3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3:13" s="18" customFormat="1" x14ac:dyDescent="0.3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13" s="18" customFormat="1" x14ac:dyDescent="0.3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3:13" s="18" customFormat="1" x14ac:dyDescent="0.3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3:13" s="18" customFormat="1" x14ac:dyDescent="0.3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spans="3:13" s="18" customFormat="1" x14ac:dyDescent="0.3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3:13" s="18" customFormat="1" x14ac:dyDescent="0.3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</row>
    <row r="152" spans="3:13" s="18" customFormat="1" x14ac:dyDescent="0.3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3:13" s="18" customFormat="1" x14ac:dyDescent="0.3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3:13" s="18" customFormat="1" x14ac:dyDescent="0.3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3:13" s="18" customFormat="1" x14ac:dyDescent="0.3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</sheetData>
  <mergeCells count="22"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  <mergeCell ref="B29:D29"/>
    <mergeCell ref="C2:D4"/>
    <mergeCell ref="L2:M2"/>
    <mergeCell ref="L3:M3"/>
    <mergeCell ref="E4:K4"/>
    <mergeCell ref="C6:J6"/>
    <mergeCell ref="B22:D22"/>
    <mergeCell ref="B23:D23"/>
    <mergeCell ref="B24:D24"/>
    <mergeCell ref="B25:D25"/>
    <mergeCell ref="B26:D26"/>
    <mergeCell ref="B27:D27"/>
  </mergeCells>
  <conditionalFormatting sqref="B9:M15 B16:B17">
    <cfRule type="notContainsBlanks" dxfId="33" priority="34">
      <formula>LEN(TRIM(B9))&gt;0</formula>
    </cfRule>
  </conditionalFormatting>
  <conditionalFormatting sqref="B18:M18 F32:L32">
    <cfRule type="notContainsBlanks" dxfId="32" priority="35">
      <formula>LEN(TRIM(B18))&gt;0</formula>
    </cfRule>
  </conditionalFormatting>
  <conditionalFormatting sqref="C17:D17">
    <cfRule type="notContainsBlanks" dxfId="31" priority="2">
      <formula>LEN(TRIM(C17))&gt;0</formula>
    </cfRule>
  </conditionalFormatting>
  <conditionalFormatting sqref="E15">
    <cfRule type="notContainsBlanks" dxfId="30" priority="26">
      <formula>LEN(TRIM(E15))&gt;0</formula>
    </cfRule>
  </conditionalFormatting>
  <conditionalFormatting sqref="E23">
    <cfRule type="notContainsBlanks" dxfId="29" priority="31">
      <formula>LEN(TRIM(E23))&gt;0</formula>
    </cfRule>
  </conditionalFormatting>
  <conditionalFormatting sqref="E23:E24">
    <cfRule type="cellIs" dxfId="28" priority="32" operator="equal">
      <formula>0</formula>
    </cfRule>
    <cfRule type="containsBlanks" dxfId="27" priority="33">
      <formula>LEN(TRIM(E23))=0</formula>
    </cfRule>
  </conditionalFormatting>
  <conditionalFormatting sqref="E30:E31">
    <cfRule type="notContainsBlanks" dxfId="26" priority="23">
      <formula>LEN(TRIM(E30))&gt;0</formula>
    </cfRule>
    <cfRule type="cellIs" dxfId="25" priority="24" operator="equal">
      <formula>0</formula>
    </cfRule>
    <cfRule type="containsBlanks" dxfId="24" priority="25">
      <formula>LEN(TRIM(E30))=0</formula>
    </cfRule>
  </conditionalFormatting>
  <conditionalFormatting sqref="E33:I33">
    <cfRule type="notContainsBlanks" dxfId="23" priority="17">
      <formula>LEN(TRIM(E33))&gt;0</formula>
    </cfRule>
    <cfRule type="cellIs" dxfId="22" priority="18" operator="equal">
      <formula>0</formula>
    </cfRule>
    <cfRule type="containsBlanks" dxfId="21" priority="19">
      <formula>LEN(TRIM(E33))=0</formula>
    </cfRule>
  </conditionalFormatting>
  <conditionalFormatting sqref="E38:I40">
    <cfRule type="notContainsBlanks" dxfId="20" priority="8">
      <formula>LEN(TRIM(E38))&gt;0</formula>
    </cfRule>
    <cfRule type="cellIs" dxfId="19" priority="9" operator="equal">
      <formula>0</formula>
    </cfRule>
    <cfRule type="containsBlanks" dxfId="18" priority="10">
      <formula>LEN(TRIM(E38))=0</formula>
    </cfRule>
  </conditionalFormatting>
  <conditionalFormatting sqref="E18:M18 E32:L32 E9:M15 F23:M23 I24:M25 E25:H26 F30:M30">
    <cfRule type="cellIs" dxfId="17" priority="68" operator="equal">
      <formula>0</formula>
    </cfRule>
    <cfRule type="containsBlanks" dxfId="16" priority="69">
      <formula>LEN(TRIM(E9))=0</formula>
    </cfRule>
  </conditionalFormatting>
  <conditionalFormatting sqref="F24:H24">
    <cfRule type="notContainsBlanks" dxfId="15" priority="28">
      <formula>LEN(TRIM(F24))&gt;0</formula>
    </cfRule>
    <cfRule type="cellIs" dxfId="14" priority="29" operator="equal">
      <formula>0</formula>
    </cfRule>
    <cfRule type="containsBlanks" dxfId="13" priority="30">
      <formula>LEN(TRIM(F24))=0</formula>
    </cfRule>
  </conditionalFormatting>
  <conditionalFormatting sqref="F31:I31">
    <cfRule type="notContainsBlanks" dxfId="12" priority="20">
      <formula>LEN(TRIM(F31))&gt;0</formula>
    </cfRule>
    <cfRule type="cellIs" dxfId="11" priority="21" operator="equal">
      <formula>0</formula>
    </cfRule>
    <cfRule type="containsBlanks" dxfId="10" priority="22">
      <formula>LEN(TRIM(F31))=0</formula>
    </cfRule>
  </conditionalFormatting>
  <conditionalFormatting sqref="I26:M26 J31:L31 J33:L33">
    <cfRule type="cellIs" dxfId="9" priority="46" operator="equal">
      <formula>0</formula>
    </cfRule>
    <cfRule type="containsBlanks" dxfId="8" priority="47">
      <formula>LEN(TRIM(I26))=0</formula>
    </cfRule>
  </conditionalFormatting>
  <conditionalFormatting sqref="J38:L40">
    <cfRule type="cellIs" dxfId="7" priority="3" operator="equal">
      <formula>0</formula>
    </cfRule>
    <cfRule type="containsBlanks" dxfId="6" priority="4">
      <formula>LEN(TRIM(J38))=0</formula>
    </cfRule>
  </conditionalFormatting>
  <conditionalFormatting sqref="M31:M33">
    <cfRule type="notContainsBlanks" dxfId="5" priority="11">
      <formula>LEN(TRIM(M31))&gt;0</formula>
    </cfRule>
    <cfRule type="cellIs" dxfId="4" priority="12" operator="equal">
      <formula>0</formula>
    </cfRule>
    <cfRule type="containsBlanks" dxfId="3" priority="13">
      <formula>LEN(TRIM(M31))=0</formula>
    </cfRule>
  </conditionalFormatting>
  <conditionalFormatting sqref="M38:M40">
    <cfRule type="notContainsBlanks" dxfId="2" priority="5">
      <formula>LEN(TRIM(M38))&gt;0</formula>
    </cfRule>
    <cfRule type="cellIs" dxfId="1" priority="6" operator="equal">
      <formula>0</formula>
    </cfRule>
    <cfRule type="containsBlanks" dxfId="0" priority="7">
      <formula>LEN(TRIM(M38))=0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tolerancias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DIRECCION TECNICA</cp:lastModifiedBy>
  <cp:lastPrinted>2024-07-22T21:41:32Z</cp:lastPrinted>
  <dcterms:created xsi:type="dcterms:W3CDTF">2024-07-19T14:39:17Z</dcterms:created>
  <dcterms:modified xsi:type="dcterms:W3CDTF">2024-09-26T16:21:26Z</dcterms:modified>
</cp:coreProperties>
</file>