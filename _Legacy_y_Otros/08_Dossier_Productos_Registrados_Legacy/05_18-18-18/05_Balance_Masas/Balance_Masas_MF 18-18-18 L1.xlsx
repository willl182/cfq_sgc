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8-18-18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<sst xmlns="http://schemas.openxmlformats.org/spreadsheetml/2006/main" count="36" uniqueCount="36">
  <si>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</si>
  <si>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18-18-18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</si>
  <si>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</si>
  <si>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</si>
  <si>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</si>
  <si>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</si>
  <si>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</si>
  <si>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</si>
  <si>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</si>
  <si>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</si>
  <si>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</si>
  <si>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</si>
  <si>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Total (P₂O₅)</t>
  </si>
  <si>
    <t xml:space="preserve">Potasio Total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</si>
  <si>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</si>
  <si>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</si>
  <si>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</si>
  <si>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</si>
  <si>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</si>
  <si>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</si>
  <si>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</si>
  <si>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</si>
  <si>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</si>
  <si>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</si>
  <si>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</si>
  <si>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41.4 – 0 -6</t>
  </si>
  <si>
    <t xml:space="preserve">41%N + 6%K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</si>
  <si>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</si>
  <si>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</si>
  <si>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</si>
  <si>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</si>
  <si>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</si>
  <si>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</si>
  <si>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</si>
  <si>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</si>
  <si>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18-18-18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</si>
</sst>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8" activeCellId="0" sqref="J8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23.8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250</v>
      </c>
      <c r="D7" s="9" t="n">
        <v>25</v>
      </c>
      <c r="E7" s="10" t="n">
        <f aca="false">(41%*25)/100</f>
        <v>0.1025</v>
      </c>
      <c r="F7" s="10"/>
      <c r="G7" s="10"/>
      <c r="H7" s="10" t="n">
        <f aca="false">(41%*20)/100</f>
        <v>0.082</v>
      </c>
      <c r="I7" s="10"/>
      <c r="J7" s="10" t="n">
        <f aca="false">(6%*25)/100</f>
        <v>0.015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370</v>
      </c>
      <c r="D8" s="9" t="n">
        <v>37</v>
      </c>
      <c r="E8" s="10" t="n">
        <f aca="false">(18%*37)/100</f>
        <v>0.0666</v>
      </c>
      <c r="F8" s="10"/>
      <c r="G8" s="10"/>
      <c r="H8" s="10"/>
      <c r="I8" s="10" t="n">
        <f aca="false">(46%*37)/100</f>
        <v>0.1702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250</v>
      </c>
      <c r="D9" s="9" t="n">
        <v>25</v>
      </c>
      <c r="E9" s="10"/>
      <c r="F9" s="10"/>
      <c r="G9" s="10"/>
      <c r="H9" s="10"/>
      <c r="I9" s="10"/>
      <c r="J9" s="10" t="n">
        <f aca="false">(60%*25)/100</f>
        <v>0.15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130</v>
      </c>
      <c r="D10" s="9" t="n">
        <v>13</v>
      </c>
      <c r="E10" s="10"/>
      <c r="F10" s="10"/>
      <c r="G10" s="10"/>
      <c r="H10" s="10"/>
      <c r="I10" s="10"/>
      <c r="J10" s="10"/>
      <c r="K10" s="10" t="n">
        <v>0.0252</v>
      </c>
      <c r="L10" s="10" t="n">
        <v>0.0252</v>
      </c>
      <c r="M10" s="10" t="n">
        <v>0.0056</v>
      </c>
      <c r="N10" s="10"/>
      <c r="O10" s="10"/>
      <c r="P10" s="10"/>
      <c r="Q10" s="10"/>
      <c r="R10" s="10"/>
      <c r="S10" s="10"/>
      <c r="T10" s="10" t="n">
        <v>0.0196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0.1691</v>
      </c>
      <c r="F11" s="14" t="n">
        <f aca="false">SUM(F7:F10)</f>
        <v>0</v>
      </c>
      <c r="G11" s="14" t="n">
        <f aca="false">SUM(G7:G10)</f>
        <v>0</v>
      </c>
      <c r="H11" s="14" t="n">
        <f aca="false">SUM(H7:H10)</f>
        <v>0.082</v>
      </c>
      <c r="I11" s="14" t="n">
        <f aca="false">SUM(I7:I10)</f>
        <v>0.1702</v>
      </c>
      <c r="J11" s="14" t="n">
        <f aca="false">SUM(J7:J10)</f>
        <v>0.165</v>
      </c>
      <c r="K11" s="14" t="n">
        <f aca="false">SUM(K7:K10)</f>
        <v>0.0252</v>
      </c>
      <c r="L11" s="14" t="n">
        <f aca="false">SUM(L7:L10)</f>
        <v>0.0252</v>
      </c>
      <c r="M11" s="14" t="n">
        <f aca="false">SUM(M7:M10)</f>
        <v>0.0056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0.0196</v>
      </c>
      <c r="U11" s="14" t="n">
        <f aca="false">SUM(U7:U10)</f>
        <v>0</v>
      </c>
    </row>
    <row r="12" customFormat="false" ht="15" hidden="false" customHeight="false" outlineLevel="0" collapsed="false">
      <c r="E12" s="15" t="n">
        <v>0.1667</v>
      </c>
      <c r="F12" s="15"/>
      <c r="G12" s="15"/>
      <c r="H12" s="15"/>
      <c r="I12" s="15" t="n">
        <v>0.1667</v>
      </c>
      <c r="J12" s="15" t="n">
        <v>0.1645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0.1691</v>
      </c>
      <c r="F13" s="18" t="n">
        <f aca="false">F11</f>
        <v>0</v>
      </c>
      <c r="G13" s="18" t="n">
        <f aca="false">G11</f>
        <v>0</v>
      </c>
      <c r="H13" s="18" t="n">
        <f aca="false">H11</f>
        <v>0.082</v>
      </c>
      <c r="I13" s="18" t="n">
        <f aca="false">I11</f>
        <v>0.1702</v>
      </c>
      <c r="J13" s="18" t="n">
        <f aca="false">J11</f>
        <v>0.165</v>
      </c>
      <c r="K13" s="18" t="n">
        <f aca="false">K11</f>
        <v>0.0252</v>
      </c>
      <c r="L13" s="18" t="n">
        <f aca="false">L11</f>
        <v>0.0252</v>
      </c>
      <c r="M13" s="18" t="n">
        <f aca="false">M11</f>
        <v>0.0056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0.0196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0.18</v>
      </c>
      <c r="F15" s="20"/>
      <c r="G15" s="20"/>
      <c r="H15" s="20"/>
      <c r="I15" s="20" t="n">
        <v>0.18</v>
      </c>
      <c r="J15" s="20" t="n">
        <v>0.18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2026-03-18T15:07:21Z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