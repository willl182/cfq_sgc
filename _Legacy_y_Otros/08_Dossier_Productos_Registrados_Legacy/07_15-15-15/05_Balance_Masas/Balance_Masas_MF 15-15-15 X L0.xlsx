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F 15-15-15 X KIL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<sst xmlns="http://schemas.openxmlformats.org/spreadsheetml/2006/main" count="36" uniqueCount="36">
  <si>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BALANCE DE MATERIAS PRIMAS</t>
  </si>
  <si>
    <t xml:space="preserve">MF 15-15-15 X KILO</t>
  </si>
  <si>
    <t xml:space="preserve">CALFERQUIM S.A.S</t>
  </si>
  <si>
    <t xml:space="preserve">ELEMENTOS</t>
  </si>
  <si>
    <t xml:space="preserve">MATERIA PRIMA</t>
  </si>
  <si>
    <t xml:space="preserve">Composición</t>
  </si>
  <si>
    <t xml:space="preserve">Kg/Ton</t>
  </si>
  <si>
    <t xml:space="preserve">%/100 Kg</t>
  </si>
  <si>
    <t xml:space="preserve">Nitrógeno Total (N)</t>
  </si>
  <si>
    <t xml:space="preserve">Nitrógeno Amoniacal (N)</t>
  </si>
  <si>
    <t xml:space="preserve">Nitrógeno Nítrico (N)</t>
  </si>
  <si>
    <t xml:space="preserve">Nitrógeno Ureico (N)</t>
  </si>
  <si>
    <t xml:space="preserve">Fósforo Asimilable (P₂O₅)</t>
  </si>
  <si>
    <t xml:space="preserve">Potasio Soluble (K₂O)</t>
  </si>
  <si>
    <t xml:space="preserve">CaO</t>
  </si>
  <si>
    <t xml:space="preserve">MgO</t>
  </si>
  <si>
    <t xml:space="preserve">Azufre (S)</t>
  </si>
  <si>
    <t xml:space="preserve">Boro (B)</t>
  </si>
  <si>
    <t xml:space="preserve">Cobalto (Co)</t>
  </si>
  <si>
    <t xml:space="preserve">Cobre (Cu)</t>
  </si>
  <si>
    <t xml:space="preserve">Hierro (Fe)</t>
  </si>
  <si>
    <t xml:space="preserve">Manganeso (Mn)</t>
  </si>
  <si>
    <t xml:space="preserve">Molibdeno (Mo)</t>
  </si>
  <si>
    <t xml:space="preserve">SiO₂</t>
  </si>
  <si>
    <t xml:space="preserve">Zinc (Zn)</t>
  </si>
  <si>
    <t xml:space="preserve">UREA X KILO</t>
  </si>
  <si>
    <t xml:space="preserve">46% N</t>
  </si>
  <si>
    <t xml:space="preserve">DAP GRANULADO X KILO</t>
  </si>
  <si>
    <t xml:space="preserve">18% N + 46% P₂O₅</t>
  </si>
  <si>
    <t xml:space="preserve">KCL GRANULADO X KILO</t>
  </si>
  <si>
    <t xml:space="preserve">60% K₂O</t>
  </si>
  <si>
    <t xml:space="preserve">NUCLEO 4 X KILO</t>
  </si>
  <si>
    <t xml:space="preserve">18% CaO + 18% MgO + 4% S + 14% SiO₂</t>
  </si>
  <si>
    <t xml:space="preserve">SUMATORIA</t>
  </si>
  <si>
    <t xml:space="preserve">TOTAL CALFERQUIM S.A.S</t>
  </si>
  <si>
    <t xml:space="preserve">SOLICITUD DE REGISTRO ICA MF 15-15-15 X KILO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</si>
</sst>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.00"/>
    <numFmt numFmtId="167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0"/>
      <name val="Cambria"/>
      <family val="0"/>
      <charset val="1"/>
    </font>
    <font>
      <b val="true"/>
      <sz val="10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2F5496"/>
        <bgColor rgb="FF666699"/>
      </patternFill>
    </fill>
    <fill>
      <patternFill patternType="solid">
        <fgColor rgb="FFE2EFDA"/>
        <bgColor rgb="FFD6E4F0"/>
      </patternFill>
    </fill>
    <fill>
      <patternFill patternType="solid">
        <fgColor rgb="FFB4C6E7"/>
        <bgColor rgb="FF99CCFF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I9" activeCellId="0" sqref="I9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10"/>
    <col collapsed="false" customWidth="true" hidden="false" outlineLevel="0" max="21" min="4" style="1" width="12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5" customFormat="false" ht="15" hidden="false" customHeight="false" outlineLevel="0" collapsed="false">
      <c r="E5" s="5" t="s">
        <v>3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customFormat="false" ht="35.05" hidden="false" customHeight="fals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  <c r="J6" s="6" t="s">
        <v>13</v>
      </c>
      <c r="K6" s="6" t="s">
        <v>14</v>
      </c>
      <c r="L6" s="6" t="s">
        <v>15</v>
      </c>
      <c r="M6" s="6" t="s">
        <v>16</v>
      </c>
      <c r="N6" s="6" t="s">
        <v>17</v>
      </c>
      <c r="O6" s="6" t="s">
        <v>18</v>
      </c>
      <c r="P6" s="6" t="s">
        <v>19</v>
      </c>
      <c r="Q6" s="6" t="s">
        <v>20</v>
      </c>
      <c r="R6" s="6" t="s">
        <v>21</v>
      </c>
      <c r="S6" s="6" t="s">
        <v>22</v>
      </c>
      <c r="T6" s="6" t="s">
        <v>23</v>
      </c>
      <c r="U6" s="6" t="s">
        <v>24</v>
      </c>
    </row>
    <row r="7" customFormat="false" ht="15" hidden="false" customHeight="false" outlineLevel="0" collapsed="false">
      <c r="A7" s="7" t="s">
        <v>25</v>
      </c>
      <c r="B7" s="7" t="s">
        <v>26</v>
      </c>
      <c r="C7" s="8" t="n">
        <v>180</v>
      </c>
      <c r="D7" s="9" t="n">
        <v>18</v>
      </c>
      <c r="E7" s="10" t="n">
        <f aca="false">(18*46%)/100</f>
        <v>0.0828</v>
      </c>
      <c r="F7" s="10"/>
      <c r="G7" s="10"/>
      <c r="H7" s="10" t="n">
        <v>0.0828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customFormat="false" ht="15" hidden="false" customHeight="false" outlineLevel="0" collapsed="false">
      <c r="A8" s="7" t="s">
        <v>27</v>
      </c>
      <c r="B8" s="7" t="s">
        <v>28</v>
      </c>
      <c r="C8" s="8" t="n">
        <v>300</v>
      </c>
      <c r="D8" s="9" t="n">
        <v>30</v>
      </c>
      <c r="E8" s="10" t="n">
        <f aca="false">(30*18%)/100</f>
        <v>0.054</v>
      </c>
      <c r="F8" s="10"/>
      <c r="G8" s="10"/>
      <c r="H8" s="10"/>
      <c r="I8" s="10" t="n">
        <f aca="false">(46*30%)/100</f>
        <v>0.138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customFormat="false" ht="15" hidden="false" customHeight="false" outlineLevel="0" collapsed="false">
      <c r="A9" s="7" t="s">
        <v>29</v>
      </c>
      <c r="B9" s="7" t="s">
        <v>30</v>
      </c>
      <c r="C9" s="8" t="n">
        <v>230</v>
      </c>
      <c r="D9" s="9" t="n">
        <v>23</v>
      </c>
      <c r="E9" s="10"/>
      <c r="F9" s="10"/>
      <c r="G9" s="10"/>
      <c r="H9" s="10"/>
      <c r="I9" s="10"/>
      <c r="J9" s="10" t="n">
        <f aca="false">(63*23%)/100</f>
        <v>0.1449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customFormat="false" ht="15" hidden="false" customHeight="false" outlineLevel="0" collapsed="false">
      <c r="A10" s="7" t="s">
        <v>31</v>
      </c>
      <c r="B10" s="7" t="s">
        <v>32</v>
      </c>
      <c r="C10" s="8" t="n">
        <v>290</v>
      </c>
      <c r="D10" s="9" t="n">
        <v>29</v>
      </c>
      <c r="E10" s="10"/>
      <c r="F10" s="10"/>
      <c r="G10" s="10"/>
      <c r="H10" s="10"/>
      <c r="I10" s="10"/>
      <c r="J10" s="10"/>
      <c r="K10" s="10" t="n">
        <v>0.0522</v>
      </c>
      <c r="L10" s="10" t="n">
        <v>0.0522</v>
      </c>
      <c r="M10" s="10" t="n">
        <v>0.0116</v>
      </c>
      <c r="N10" s="10"/>
      <c r="O10" s="10"/>
      <c r="P10" s="10"/>
      <c r="Q10" s="10"/>
      <c r="R10" s="10"/>
      <c r="S10" s="10"/>
      <c r="T10" s="10" t="n">
        <v>0.0406</v>
      </c>
      <c r="U10" s="10"/>
    </row>
    <row r="11" customFormat="false" ht="15" hidden="false" customHeight="false" outlineLevel="0" collapsed="false">
      <c r="A11" s="11" t="s">
        <v>33</v>
      </c>
      <c r="B11" s="12"/>
      <c r="C11" s="13" t="n">
        <f aca="false">SUM(C7:C10)</f>
        <v>1000</v>
      </c>
      <c r="D11" s="13" t="n">
        <f aca="false">SUM(D7:D10)</f>
        <v>100</v>
      </c>
      <c r="E11" s="14" t="n">
        <f aca="false">SUM(E7:E10)</f>
        <v>0.1368</v>
      </c>
      <c r="F11" s="14" t="n">
        <f aca="false">SUM(F7:F10)</f>
        <v>0</v>
      </c>
      <c r="G11" s="14" t="n">
        <f aca="false">SUM(G7:G10)</f>
        <v>0</v>
      </c>
      <c r="H11" s="14" t="n">
        <f aca="false">SUM(H7:H10)</f>
        <v>0.0828</v>
      </c>
      <c r="I11" s="14" t="n">
        <f aca="false">SUM(I7:I10)</f>
        <v>0.138</v>
      </c>
      <c r="J11" s="14" t="n">
        <f aca="false">SUM(J7:J10)</f>
        <v>0.1449</v>
      </c>
      <c r="K11" s="14" t="n">
        <f aca="false">SUM(K7:K10)</f>
        <v>0.0522</v>
      </c>
      <c r="L11" s="14" t="n">
        <f aca="false">SUM(L7:L10)</f>
        <v>0.0522</v>
      </c>
      <c r="M11" s="14" t="n">
        <f aca="false">SUM(M7:M10)</f>
        <v>0.0116</v>
      </c>
      <c r="N11" s="14" t="n">
        <f aca="false">SUM(N7:N10)</f>
        <v>0</v>
      </c>
      <c r="O11" s="14" t="n">
        <f aca="false">SUM(O7:O10)</f>
        <v>0</v>
      </c>
      <c r="P11" s="14" t="n">
        <f aca="false">SUM(P7:P10)</f>
        <v>0</v>
      </c>
      <c r="Q11" s="14" t="n">
        <f aca="false">SUM(Q7:Q10)</f>
        <v>0</v>
      </c>
      <c r="R11" s="14" t="n">
        <f aca="false">SUM(R7:R10)</f>
        <v>0</v>
      </c>
      <c r="S11" s="14" t="n">
        <f aca="false">SUM(S7:S10)</f>
        <v>0</v>
      </c>
      <c r="T11" s="14" t="n">
        <f aca="false">SUM(T7:T10)</f>
        <v>0.0406</v>
      </c>
      <c r="U11" s="14" t="n">
        <f aca="false">SUM(U7:U10)</f>
        <v>0</v>
      </c>
    </row>
    <row r="12" customFormat="false" ht="15" hidden="false" customHeight="false" outlineLevel="0" collapsed="false">
      <c r="E12" s="15" t="n">
        <v>0.1384</v>
      </c>
      <c r="F12" s="15"/>
      <c r="G12" s="15"/>
      <c r="H12" s="15"/>
      <c r="I12" s="15" t="n">
        <v>0.1384</v>
      </c>
      <c r="J12" s="15" t="n">
        <v>0.1384</v>
      </c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</row>
    <row r="13" customFormat="false" ht="15" hidden="false" customHeight="false" outlineLevel="0" collapsed="false">
      <c r="A13" s="16" t="s">
        <v>34</v>
      </c>
      <c r="B13" s="17"/>
      <c r="C13" s="17"/>
      <c r="D13" s="17"/>
      <c r="E13" s="18" t="n">
        <f aca="false">E11</f>
        <v>0.1368</v>
      </c>
      <c r="F13" s="18" t="n">
        <f aca="false">F11</f>
        <v>0</v>
      </c>
      <c r="G13" s="18" t="n">
        <f aca="false">G11</f>
        <v>0</v>
      </c>
      <c r="H13" s="18" t="n">
        <f aca="false">H11</f>
        <v>0.0828</v>
      </c>
      <c r="I13" s="18" t="n">
        <f aca="false">I11</f>
        <v>0.138</v>
      </c>
      <c r="J13" s="18" t="n">
        <f aca="false">J11</f>
        <v>0.1449</v>
      </c>
      <c r="K13" s="18" t="n">
        <f aca="false">K11</f>
        <v>0.0522</v>
      </c>
      <c r="L13" s="18" t="n">
        <f aca="false">L11</f>
        <v>0.0522</v>
      </c>
      <c r="M13" s="18" t="n">
        <f aca="false">M11</f>
        <v>0.0116</v>
      </c>
      <c r="N13" s="18" t="n">
        <f aca="false">N11</f>
        <v>0</v>
      </c>
      <c r="O13" s="18" t="n">
        <f aca="false">O11</f>
        <v>0</v>
      </c>
      <c r="P13" s="18" t="n">
        <f aca="false">P11</f>
        <v>0</v>
      </c>
      <c r="Q13" s="18" t="n">
        <f aca="false">Q11</f>
        <v>0</v>
      </c>
      <c r="R13" s="18" t="n">
        <f aca="false">R11</f>
        <v>0</v>
      </c>
      <c r="S13" s="18" t="n">
        <f aca="false">S11</f>
        <v>0</v>
      </c>
      <c r="T13" s="18" t="n">
        <f aca="false">T11</f>
        <v>0.0406</v>
      </c>
      <c r="U13" s="18" t="n">
        <f aca="false">U11</f>
        <v>0</v>
      </c>
    </row>
    <row r="14" customFormat="false" ht="15" hidden="false" customHeight="false" outlineLevel="0" collapsed="false"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</row>
    <row r="15" customFormat="false" ht="15" hidden="false" customHeight="false" outlineLevel="0" collapsed="false">
      <c r="A15" s="19" t="s">
        <v>35</v>
      </c>
      <c r="E15" s="20" t="n">
        <v>0.15</v>
      </c>
      <c r="F15" s="20"/>
      <c r="G15" s="20"/>
      <c r="H15" s="20"/>
      <c r="I15" s="20" t="n">
        <v>0.15</v>
      </c>
      <c r="J15" s="20" t="n">
        <v>0.15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048576" customFormat="false" ht="12.8" hidden="false" customHeight="false" outlineLevel="0" collapsed="false"/>
  </sheetData>
  <mergeCells count="4">
    <mergeCell ref="A1:U1"/>
    <mergeCell ref="A2:U2"/>
    <mergeCell ref="A3:U3"/>
    <mergeCell ref="E5:U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2026-03-18T03:08:13Z</dcterms:created>
  <dc:creator>openpyxl</dc:creator>
  <dc:description/>
  <dc:language>en-US</dc:language>
  <cp:lastModifiedBy/>
  <dcterms:modified xsi:type="dcterms:W3CDTF">2026-03-18T14:49:18Z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