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 lab" sheetId="1" r:id="rId5"/>
    <sheet state="visible" name="N4" sheetId="2" r:id="rId6"/>
    <sheet state="visible" name="Sheet2" sheetId="3" r:id="rId7"/>
    <sheet state="visible" name="Sheet3" sheetId="4" r:id="rId8"/>
    <sheet state="visible" name="Sheet4" sheetId="5" r:id="rId9"/>
  </sheets>
  <definedNames>
    <definedName hidden="1" localSheetId="0" name="_xlnm._FilterDatabase">'resultados lab'!$A$1:$AN$999</definedName>
  </definedNames>
  <calcPr/>
</workbook>
</file>

<file path=xl/sharedStrings.xml><?xml version="1.0" encoding="utf-8"?>
<sst xmlns="http://schemas.openxmlformats.org/spreadsheetml/2006/main" count="2859" uniqueCount="1366">
  <si>
    <t>id</t>
  </si>
  <si>
    <t>analisis</t>
  </si>
  <si>
    <t>certificado</t>
  </si>
  <si>
    <t>ot</t>
  </si>
  <si>
    <t>tipo</t>
  </si>
  <si>
    <t>producto</t>
  </si>
  <si>
    <t>codigo</t>
  </si>
  <si>
    <t>lote</t>
  </si>
  <si>
    <t>Fecha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</si>
  <si>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</si>
  <si>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</si>
  <si>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</si>
  <si>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</si>
  <si>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</si>
  <si>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</si>
  <si>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</si>
  <si>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</si>
  <si>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</si>
  <si>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</si>
  <si>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</si>
  <si>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</si>
  <si>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</si>
  <si>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</si>
  <si>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</si>
  <si>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</si>
  <si>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</si>
  <si>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</si>
  <si>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</si>
  <si>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</si>
  <si>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Enterobacterias</t>
  </si>
  <si>
    <t>salmonella</t>
  </si>
  <si>
    <t>coliformes totales</t>
  </si>
  <si>
    <t>helmintos</t>
  </si>
  <si>
    <t>mb5</t>
  </si>
  <si>
    <t>arsenico</t>
  </si>
  <si>
    <t>cadmio</t>
  </si>
  <si>
    <t>cromo</t>
  </si>
  <si>
    <t>mercurio</t>
  </si>
  <si>
    <t>niquel</t>
  </si>
  <si>
    <t>plomo</t>
  </si>
  <si>
    <t>amb</t>
  </si>
  <si>
    <t>pf</t>
  </si>
  <si>
    <t>bioz</t>
  </si>
  <si>
    <t>&lt;10</t>
  </si>
  <si>
    <t>ausencia</t>
  </si>
  <si>
    <t>&lt;0.05</t>
  </si>
  <si>
    <t>&lt;0.25</t>
  </si>
  <si>
    <t>&lt;2.5</t>
  </si>
  <si>
    <t>&lt;5</t>
  </si>
  <si>
    <t>cc</t>
  </si>
  <si>
    <t>mp</t>
  </si>
  <si>
    <t>sam g</t>
  </si>
  <si>
    <t>&lt;0.00005</t>
  </si>
  <si>
    <t>&lt;0.0005</t>
  </si>
  <si>
    <t>calfer floracion</t>
  </si>
  <si>
    <t>ferticorrectivo</t>
  </si>
  <si>
    <t>sulfato zinc</t>
  </si>
  <si>
    <t>&lt;2.50</t>
  </si>
  <si>
    <t>nucleo n</t>
  </si>
  <si>
    <t>65-n</t>
  </si>
  <si>
    <t>k2k</t>
  </si>
  <si>
    <t>&lt;1.8</t>
  </si>
  <si>
    <t>&lt;1</t>
  </si>
  <si>
    <t>carbono organico</t>
  </si>
  <si>
    <t>raifos20</t>
  </si>
  <si>
    <t>nucleo 4</t>
  </si>
  <si>
    <t>10-30-10</t>
  </si>
  <si>
    <t>10-20-20</t>
  </si>
  <si>
    <t>sam</t>
  </si>
  <si>
    <t>sam granulado</t>
  </si>
  <si>
    <t>nucleo fosforo 10</t>
  </si>
  <si>
    <t>sulfato de calcio P</t>
  </si>
  <si>
    <t>sulfato calcio p</t>
  </si>
  <si>
    <t>nucleo magnesio-s</t>
  </si>
  <si>
    <t>nucleo camasi gris</t>
  </si>
  <si>
    <t>calferzinc p</t>
  </si>
  <si>
    <t>mp sam</t>
  </si>
  <si>
    <t>mp bentonita roja</t>
  </si>
  <si>
    <t>boro g</t>
  </si>
  <si>
    <t>calfos</t>
  </si>
  <si>
    <t>boronat</t>
  </si>
  <si>
    <t>nucleo camasi rojo</t>
  </si>
  <si>
    <t>boro granulado</t>
  </si>
  <si>
    <t>DAP</t>
  </si>
  <si>
    <t>kcl g</t>
  </si>
  <si>
    <t>azufre m100</t>
  </si>
  <si>
    <t>sulfato de calcio</t>
  </si>
  <si>
    <t>map</t>
  </si>
  <si>
    <t>carbonato calcio</t>
  </si>
  <si>
    <t>patenkali</t>
  </si>
  <si>
    <t>nucleo camasi yara</t>
  </si>
  <si>
    <t>calferzinc p p</t>
  </si>
  <si>
    <t>nucleo magnesio silicio</t>
  </si>
  <si>
    <t>zuelo-ca</t>
  </si>
  <si>
    <t>kieserita</t>
  </si>
  <si>
    <t>15-15-15</t>
  </si>
  <si>
    <t>17-6-18-2-1</t>
  </si>
  <si>
    <t>18-18-18</t>
  </si>
  <si>
    <t>carbonato de calcio</t>
  </si>
  <si>
    <t>bentonita gris rara</t>
  </si>
  <si>
    <t>sulfato de calcio g</t>
  </si>
  <si>
    <t>COD</t>
  </si>
  <si>
    <t>PRODUCTO</t>
  </si>
  <si>
    <t>PROVEEDOR</t>
  </si>
  <si>
    <t>Cprov</t>
  </si>
  <si>
    <t>TIPO</t>
  </si>
  <si>
    <t>NOMBRE</t>
  </si>
  <si>
    <t>BSQD</t>
  </si>
  <si>
    <t>v</t>
  </si>
  <si>
    <t>COMP1</t>
  </si>
  <si>
    <t>COMP2</t>
  </si>
  <si>
    <t>COMP3</t>
  </si>
  <si>
    <t>COMP4</t>
  </si>
  <si>
    <t>COMP5</t>
  </si>
  <si>
    <t>COMP6</t>
  </si>
  <si>
    <t>COMP7</t>
  </si>
  <si>
    <t>COMP8</t>
  </si>
  <si>
    <t>COMP9</t>
  </si>
  <si>
    <t>COMP10</t>
  </si>
  <si>
    <t>1-CRECIMIENTO</t>
  </si>
  <si>
    <t>COD 1-CRECIMIENTO--</t>
  </si>
  <si>
    <t>COD_</t>
  </si>
  <si>
    <t>OK</t>
  </si>
  <si>
    <t>2-AVANCE</t>
  </si>
  <si>
    <t>COD 2-AVANCE--</t>
  </si>
  <si>
    <t>3-PRODUCTOR</t>
  </si>
  <si>
    <t>COD 3-PRODUCTOR--</t>
  </si>
  <si>
    <t>ACIDO BORICO</t>
  </si>
  <si>
    <t>132 ACIDO BORICO--P</t>
  </si>
  <si>
    <t>132_1</t>
  </si>
  <si>
    <t>ACIDO FULVICO 60</t>
  </si>
  <si>
    <t>447 ACIDO FULVICO 60--</t>
  </si>
  <si>
    <t>447_1</t>
  </si>
  <si>
    <t>ACIDO FULVICO 80</t>
  </si>
  <si>
    <t>443 ACIDO FULVICO 80--</t>
  </si>
  <si>
    <t>443_1</t>
  </si>
  <si>
    <t>AFOS-K</t>
  </si>
  <si>
    <t>CALFERQUIM</t>
  </si>
  <si>
    <t>379 AFOS-K-CALFERQUIM-P</t>
  </si>
  <si>
    <t>379_1</t>
  </si>
  <si>
    <t>AMINOACIDOS 43</t>
  </si>
  <si>
    <t>361 AMINOACIDOS 43--P</t>
  </si>
  <si>
    <t>361_1</t>
  </si>
  <si>
    <t>AMINOACIDOS 80</t>
  </si>
  <si>
    <t>360 AMINOACIDOS 80--P</t>
  </si>
  <si>
    <t>360_1</t>
  </si>
  <si>
    <t>AZUFRE</t>
  </si>
  <si>
    <t>G</t>
  </si>
  <si>
    <t>145 AZUFRE--G</t>
  </si>
  <si>
    <t>145_1</t>
  </si>
  <si>
    <t>AZUFRE M100</t>
  </si>
  <si>
    <t>130 AZUFRE M100--P</t>
  </si>
  <si>
    <t>130_1</t>
  </si>
  <si>
    <t>BENTONITA CALCICA</t>
  </si>
  <si>
    <t>223 BENTONITA CALCICA--P</t>
  </si>
  <si>
    <t>223_1</t>
  </si>
  <si>
    <t>BENTONITA GRIS</t>
  </si>
  <si>
    <t>DIDIER HOYOS</t>
  </si>
  <si>
    <t>370 BENTONITA GRIS-DIDIER HOYOS-P</t>
  </si>
  <si>
    <t>370_1</t>
  </si>
  <si>
    <t>HENRY CORONADO</t>
  </si>
  <si>
    <t>370 BENTONITA GRIS-HENRY CORONADO-P</t>
  </si>
  <si>
    <t>370_2</t>
  </si>
  <si>
    <t>FERTICAUCA</t>
  </si>
  <si>
    <t>370 BENTONITA GRIS-FERTICAUCA-P</t>
  </si>
  <si>
    <t>370_3</t>
  </si>
  <si>
    <t>COMERCIALIZADORA HA</t>
  </si>
  <si>
    <t>370 BENTONITA GRIS-COMERCIALIZADORA HA-P</t>
  </si>
  <si>
    <t>370_4</t>
  </si>
  <si>
    <t>BENTONITA ROJA</t>
  </si>
  <si>
    <t>MINERALES</t>
  </si>
  <si>
    <t>111 BENTONITA ROJA-MINERALES-P</t>
  </si>
  <si>
    <t>111_1</t>
  </si>
  <si>
    <t>HYM</t>
  </si>
  <si>
    <t>111 BENTONITA ROJA-HYM-P</t>
  </si>
  <si>
    <t>111_2</t>
  </si>
  <si>
    <t>111 BENTONITA ROJA-COMERCIALIZADORA HA-P</t>
  </si>
  <si>
    <t>111_3</t>
  </si>
  <si>
    <t>BENTONITA SODICA</t>
  </si>
  <si>
    <t>198 BENTONITA SODICA--P</t>
  </si>
  <si>
    <t>198_1</t>
  </si>
  <si>
    <t>codx</t>
  </si>
  <si>
    <t>BIORGANIK</t>
  </si>
  <si>
    <t>codx BIORGANIK-CALFERQUIM-P</t>
  </si>
  <si>
    <t>codx_1</t>
  </si>
  <si>
    <t>BORO G</t>
  </si>
  <si>
    <t>123 BORO G-CALFERQUIM-G</t>
  </si>
  <si>
    <t>123_1</t>
  </si>
  <si>
    <t>B-ZINC</t>
  </si>
  <si>
    <t>350 B-ZINC-CALFERQUIM-G</t>
  </si>
  <si>
    <t>350_1</t>
  </si>
  <si>
    <t>BZINC-15</t>
  </si>
  <si>
    <t>576 BZINC-15-CALFERQUIM-G</t>
  </si>
  <si>
    <t>576_1</t>
  </si>
  <si>
    <t>CAL APAGADA</t>
  </si>
  <si>
    <t>JAMAROL</t>
  </si>
  <si>
    <t>463 CAL APAGADA-JAMAROL-P</t>
  </si>
  <si>
    <t>463_1</t>
  </si>
  <si>
    <t>CAL DOLOMITA</t>
  </si>
  <si>
    <t>BM</t>
  </si>
  <si>
    <t>120 CAL DOLOMITA-BM-P</t>
  </si>
  <si>
    <t>120_1</t>
  </si>
  <si>
    <t>CALFER LLENADO</t>
  </si>
  <si>
    <t>COD CALFER LLENADO-CALFERQUIM-</t>
  </si>
  <si>
    <t>CALFER MENORES</t>
  </si>
  <si>
    <t>COD CALFER MENORES-CALFERQUIM-</t>
  </si>
  <si>
    <t>CALFERCAT</t>
  </si>
  <si>
    <t>325 CALFERCAT-CALFERQUIM-P</t>
  </si>
  <si>
    <t>325_1</t>
  </si>
  <si>
    <t>CALFERCORRECTIVO</t>
  </si>
  <si>
    <t>311 CALFERCORRECTIVO-CALFERQUIM-G</t>
  </si>
  <si>
    <t>311_1</t>
  </si>
  <si>
    <t>CALFERMAGNESIO</t>
  </si>
  <si>
    <t>26 CALFERMAGNESIO-CALFERQUIM-</t>
  </si>
  <si>
    <t>26_1</t>
  </si>
  <si>
    <t>CALFERZINC P</t>
  </si>
  <si>
    <t>150 CALFERZINC P-CALFERQUIM-G</t>
  </si>
  <si>
    <t>150_1</t>
  </si>
  <si>
    <t>CALFOS G</t>
  </si>
  <si>
    <t>113 CALFOS G--G</t>
  </si>
  <si>
    <t>113_1</t>
  </si>
  <si>
    <t>CAOLIN GRIS</t>
  </si>
  <si>
    <t>110 CAOLIN GRIS--P</t>
  </si>
  <si>
    <t>110_1</t>
  </si>
  <si>
    <t>CARBONATO CALCIO</t>
  </si>
  <si>
    <t>AGROCALES</t>
  </si>
  <si>
    <t>105 CARBONATO CALCIO-AGROCALES-P</t>
  </si>
  <si>
    <t>105_1</t>
  </si>
  <si>
    <t>HELVECIA</t>
  </si>
  <si>
    <t>105 CARBONATO CALCIO-HELVECIA-P</t>
  </si>
  <si>
    <t>105_2</t>
  </si>
  <si>
    <t>105 CARBONATO CALCIO-JAMAROL-P</t>
  </si>
  <si>
    <t>105_3</t>
  </si>
  <si>
    <t>CARBONITRO</t>
  </si>
  <si>
    <t>L</t>
  </si>
  <si>
    <t>450 CARBONITRO-CALFERQUIM-L</t>
  </si>
  <si>
    <t>450_1</t>
  </si>
  <si>
    <t>CITRATO ZINC</t>
  </si>
  <si>
    <t>103 CITRATO ZINC--P</t>
  </si>
  <si>
    <t>103_1</t>
  </si>
  <si>
    <t>NUTRICION PLANTAS</t>
  </si>
  <si>
    <t>97 DAP-NUTRICION PLANTAS-G</t>
  </si>
  <si>
    <t>97_1</t>
  </si>
  <si>
    <t>97 DAP-CALFERQUIM-G</t>
  </si>
  <si>
    <t>97_2</t>
  </si>
  <si>
    <t>DISAN</t>
  </si>
  <si>
    <t>97 DAP-DISAN-G</t>
  </si>
  <si>
    <t>97_3</t>
  </si>
  <si>
    <t>CIAMSA</t>
  </si>
  <si>
    <t>97 DAP-CIAMSA-G</t>
  </si>
  <si>
    <t>97_4</t>
  </si>
  <si>
    <t>EVOAGRO</t>
  </si>
  <si>
    <t>97 DAP-EVOAGRO-G</t>
  </si>
  <si>
    <t>97_5</t>
  </si>
  <si>
    <t>NITROFERT</t>
  </si>
  <si>
    <t>97 DAP-NITROFERT-G</t>
  </si>
  <si>
    <t>97_6</t>
  </si>
  <si>
    <t>DAP TECNICO</t>
  </si>
  <si>
    <t>226 DAP TECNICO--P</t>
  </si>
  <si>
    <t>226_1</t>
  </si>
  <si>
    <t>DKP</t>
  </si>
  <si>
    <t>79 DKP--G</t>
  </si>
  <si>
    <t>79_1</t>
  </si>
  <si>
    <t>EXTRACTO ALGAS</t>
  </si>
  <si>
    <t>359 EXTRACTO ALGAS--P</t>
  </si>
  <si>
    <t>359_1</t>
  </si>
  <si>
    <t>FE FERTIMENORES</t>
  </si>
  <si>
    <t>663 FE FERTIMENORES-CALFERQUIM-G</t>
  </si>
  <si>
    <t>663_1</t>
  </si>
  <si>
    <t>FE MAGNE 6</t>
  </si>
  <si>
    <t>157 FE MAGNE 6-CALFERQUIM-G</t>
  </si>
  <si>
    <t>157_1</t>
  </si>
  <si>
    <t>FE NUCLEO N</t>
  </si>
  <si>
    <t>655 FE NUCLEO N-CALFERQUIM-G</t>
  </si>
  <si>
    <t>655_1</t>
  </si>
  <si>
    <t>FE SULFATO CALCIO C</t>
  </si>
  <si>
    <t>306 FE SULFATO CALCIO C-CALFERQUIM-</t>
  </si>
  <si>
    <t>306_1</t>
  </si>
  <si>
    <t>FE SULFATO CALCIO G</t>
  </si>
  <si>
    <t>559 FE SULFATO CALCIO G-CALFERQUIM-G</t>
  </si>
  <si>
    <t>559_1</t>
  </si>
  <si>
    <t>FE SULFATO CALCIO P</t>
  </si>
  <si>
    <t>141 FE SULFATO CALCIO P-CALFERQUIM-G</t>
  </si>
  <si>
    <t>141_1</t>
  </si>
  <si>
    <t>FE SULFATO CALCIO Z</t>
  </si>
  <si>
    <t>213 FE SULFATO CALCIO Z-CALFERQUIM-P</t>
  </si>
  <si>
    <t>213_1</t>
  </si>
  <si>
    <t>FE SULFATO ZINC</t>
  </si>
  <si>
    <t>22 FE SULFATO ZINC-CALFERQUIM-</t>
  </si>
  <si>
    <t>22_1</t>
  </si>
  <si>
    <t>FE SULFATO ZINC 22</t>
  </si>
  <si>
    <t>643 FE SULFATO ZINC 22-CALFERQUIM-G</t>
  </si>
  <si>
    <t>643_1</t>
  </si>
  <si>
    <t>FE SULFATO ZINC 31</t>
  </si>
  <si>
    <t>564 FE SULFATO ZINC 31-CALFERQUIM-</t>
  </si>
  <si>
    <t>564_1</t>
  </si>
  <si>
    <t>FE ZUELOCa POLVO</t>
  </si>
  <si>
    <t>680 FE ZUELOCa POLVO-CALFERQUIM-P</t>
  </si>
  <si>
    <t>680_1</t>
  </si>
  <si>
    <t>FERTIMENORES</t>
  </si>
  <si>
    <t>161 FERTIMENORES-CALFERQUIM-P</t>
  </si>
  <si>
    <t>161_1</t>
  </si>
  <si>
    <t>FOSFORITA NEIVA</t>
  </si>
  <si>
    <t>437 FOSFORITA NEIVA-CALFERQUIM-P</t>
  </si>
  <si>
    <t>437_1</t>
  </si>
  <si>
    <t>HIDROXIDO CALCIO</t>
  </si>
  <si>
    <t>501 HIDROXIDO CALCIO-JAMAROL-P</t>
  </si>
  <si>
    <t>501_1</t>
  </si>
  <si>
    <t>K2K</t>
  </si>
  <si>
    <t>300 K2K-CALFERQUIM-G</t>
  </si>
  <si>
    <t>300_1</t>
  </si>
  <si>
    <t>KCL</t>
  </si>
  <si>
    <t>SQM</t>
  </si>
  <si>
    <t>144 KCL-SQM-G</t>
  </si>
  <si>
    <t>144_1</t>
  </si>
  <si>
    <t>144 KCL-NUTRICION PLANTAS-G</t>
  </si>
  <si>
    <t>144_2</t>
  </si>
  <si>
    <t>144 KCL-EVOAGRO-G</t>
  </si>
  <si>
    <t>144_3</t>
  </si>
  <si>
    <t>KCL STD</t>
  </si>
  <si>
    <t>143 KCL STD-DISAN-P</t>
  </si>
  <si>
    <t>143_1</t>
  </si>
  <si>
    <t>KIESERITA</t>
  </si>
  <si>
    <t>MANUCHAR</t>
  </si>
  <si>
    <t>74 KIESERITA-MANUCHAR-P</t>
  </si>
  <si>
    <t>74_1</t>
  </si>
  <si>
    <t>75 KIESERITA--G</t>
  </si>
  <si>
    <t>75_1</t>
  </si>
  <si>
    <t>LEONARDITA</t>
  </si>
  <si>
    <t>152 LEONARDITA--P</t>
  </si>
  <si>
    <t>152_1</t>
  </si>
  <si>
    <t>MAGNE 3</t>
  </si>
  <si>
    <t>154 MAGNE 3-CALFERQUIM-G</t>
  </si>
  <si>
    <t>154_1</t>
  </si>
  <si>
    <t>MAP</t>
  </si>
  <si>
    <t>72 MAP-NUTRICION PLANTAS-G</t>
  </si>
  <si>
    <t>72_1</t>
  </si>
  <si>
    <t>72 MAP-CIAMSA-G</t>
  </si>
  <si>
    <t>72_2</t>
  </si>
  <si>
    <t>PRECISAGRO</t>
  </si>
  <si>
    <t>72 MAP-PRECISAGRO-G</t>
  </si>
  <si>
    <t>72_3</t>
  </si>
  <si>
    <t>72 MAP-NITROFERT-G</t>
  </si>
  <si>
    <t>72_4</t>
  </si>
  <si>
    <t>72 MAP-EVOAGRO-G</t>
  </si>
  <si>
    <t>72_5</t>
  </si>
  <si>
    <t>MAP STD</t>
  </si>
  <si>
    <t>193 MAP STD-PRECISAGRO-P</t>
  </si>
  <si>
    <t>193_1</t>
  </si>
  <si>
    <t>193 MAP STD-SQM-P</t>
  </si>
  <si>
    <t>193_2</t>
  </si>
  <si>
    <t>MF 0-15-15+EM</t>
  </si>
  <si>
    <t>411 MF 0-15-15+EM-CALFERQUIM-G</t>
  </si>
  <si>
    <t>411_1</t>
  </si>
  <si>
    <t>MF 10-20-20</t>
  </si>
  <si>
    <t>137 MF 10-20-20-CALFERQUIM-G</t>
  </si>
  <si>
    <t>137_1</t>
  </si>
  <si>
    <t>MF 10-30-10</t>
  </si>
  <si>
    <t>86 MF 10-30-10-CALFERQUIM-G</t>
  </si>
  <si>
    <t>86_1</t>
  </si>
  <si>
    <t>MF 10N-10P-20K+EM</t>
  </si>
  <si>
    <t>407 MF 10N-10P-20K+EM-CALFERQUIM-G</t>
  </si>
  <si>
    <t>407_1</t>
  </si>
  <si>
    <t>MF 10N-15P-20K+EM</t>
  </si>
  <si>
    <t>396 MF 10N-15P-20K+EM-CALFERQUIM-G</t>
  </si>
  <si>
    <t>396_1</t>
  </si>
  <si>
    <t>MF 10N-15P-29K+EM</t>
  </si>
  <si>
    <t>495 MF 10N-15P-29K+EM-CALFERQUIM-G</t>
  </si>
  <si>
    <t>495_1</t>
  </si>
  <si>
    <t>MF 10N-20P-20K+EM</t>
  </si>
  <si>
    <t>408 MF 10N-20P-20K+EM-CALFERQUIM-G</t>
  </si>
  <si>
    <t>408_1</t>
  </si>
  <si>
    <t>MF 10N-20P-28K+EM</t>
  </si>
  <si>
    <t>464 MF 10N-20P-28K+EM-CALFERQUIM-G</t>
  </si>
  <si>
    <t>464_1</t>
  </si>
  <si>
    <t>MF 10N-20P-30K+EM</t>
  </si>
  <si>
    <t>423 MF 10N-20P-30K+EM-CALFERQUIM-G</t>
  </si>
  <si>
    <t>423_1</t>
  </si>
  <si>
    <t>MF 10N-24P-4K+EM</t>
  </si>
  <si>
    <t>406 MF 10N-24P-4K+EM-CALFERQUIM-G</t>
  </si>
  <si>
    <t>406_1</t>
  </si>
  <si>
    <t>MF 10N-28P-6K+EM</t>
  </si>
  <si>
    <t>387 MF 10N-28P-6K+EM-CALFERQUIM-G</t>
  </si>
  <si>
    <t>387_1</t>
  </si>
  <si>
    <t>MF 10N-6P-4K + EM</t>
  </si>
  <si>
    <t>390 MF 10N-6P-4K + EM-CALFERQUIM-G</t>
  </si>
  <si>
    <t>390_1</t>
  </si>
  <si>
    <t>MF 10N-9P-30K</t>
  </si>
  <si>
    <t>670 MF 10N-9P-30K-CALFERQUIM-G</t>
  </si>
  <si>
    <t>670_1</t>
  </si>
  <si>
    <t>MF 10N-9P-30K+EM</t>
  </si>
  <si>
    <t>458 MF 10N-9P-30K+EM-CALFERQUIM-G</t>
  </si>
  <si>
    <t>458_1</t>
  </si>
  <si>
    <t>MF 11-5-27</t>
  </si>
  <si>
    <t>388 MF 11-5-27-CALFERQUIM-G</t>
  </si>
  <si>
    <t>388_1</t>
  </si>
  <si>
    <t>MF 11N-29P-12K+EM</t>
  </si>
  <si>
    <t>543 MF 11N-29P-12K+EM-CALFERQUIM-G</t>
  </si>
  <si>
    <t>543_1</t>
  </si>
  <si>
    <t>MF 12-24-12</t>
  </si>
  <si>
    <t>268 MF 12-24-12-CALFERQUIM-G</t>
  </si>
  <si>
    <t>268_1</t>
  </si>
  <si>
    <t>MF 12-24-12+EM</t>
  </si>
  <si>
    <t>317 MF 12-24-12+EM-CALFERQUIM-G</t>
  </si>
  <si>
    <t>317_1</t>
  </si>
  <si>
    <t>MF 12-7-12+EM</t>
  </si>
  <si>
    <t>318 MF 12-7-12+EM-CALFERQUIM-G</t>
  </si>
  <si>
    <t>318_1</t>
  </si>
  <si>
    <t>MF 12N-30P-10K+EM</t>
  </si>
  <si>
    <t>496 MF 12N-30P-10K+EM-CALFERQUIM-G</t>
  </si>
  <si>
    <t>496_1</t>
  </si>
  <si>
    <t>MF 13N-26P-10K+ EM</t>
  </si>
  <si>
    <t>490 MF 13N-26P-10K+ EM-CALFERQUIM-G</t>
  </si>
  <si>
    <t>490_1</t>
  </si>
  <si>
    <t>MF 13N-7P-12K+EM</t>
  </si>
  <si>
    <t>419 MF 13N-7P-12K+EM-CALFERQUIM-G</t>
  </si>
  <si>
    <t>419_1</t>
  </si>
  <si>
    <t>MF 14-3-19-7Ca+EM</t>
  </si>
  <si>
    <t>381 MF 14-3-19-7Ca+EM-CALFERQUIM-G</t>
  </si>
  <si>
    <t>381_1</t>
  </si>
  <si>
    <t>MF 14N-4P-23K+EM</t>
  </si>
  <si>
    <t>433 MF 14N-4P-23K+EM-CALFERQUIM-G</t>
  </si>
  <si>
    <t>433_1</t>
  </si>
  <si>
    <t>MF 14N-4P-24K+EM</t>
  </si>
  <si>
    <t>516 MF 14N-4P-24K+EM-CALFERQUIM-G</t>
  </si>
  <si>
    <t>516_1</t>
  </si>
  <si>
    <t>MF 15-15-15</t>
  </si>
  <si>
    <t>85 MF 15-15-15-CALFERQUIM-G</t>
  </si>
  <si>
    <t>85_1</t>
  </si>
  <si>
    <t>MF 15N-4P-23K+EM</t>
  </si>
  <si>
    <t>462 MF 15N-4P-23K+EM-CALFERQUIM-G</t>
  </si>
  <si>
    <t>462_1</t>
  </si>
  <si>
    <t>MF 15N-6P-8K+EM</t>
  </si>
  <si>
    <t>426 MF 15N-6P-8K+EM-CALFERQUIM-G</t>
  </si>
  <si>
    <t>426_1</t>
  </si>
  <si>
    <t>MF 16-26-12</t>
  </si>
  <si>
    <t>612 MF 16-26-12-CALFERQUIM-G</t>
  </si>
  <si>
    <t>612_1</t>
  </si>
  <si>
    <t>MF 16N-16P-16K+EM</t>
  </si>
  <si>
    <t>517 MF 16N-16P-16K+EM-CALFERQUIM-G</t>
  </si>
  <si>
    <t>517_1</t>
  </si>
  <si>
    <t>MF 16N-17P-0K-7Ca+EM</t>
  </si>
  <si>
    <t>441 MF 16N-17P-0K-7Ca+EM-CALFERQUIM-G</t>
  </si>
  <si>
    <t>441_1</t>
  </si>
  <si>
    <t>MF 16N-3P-14K+EM</t>
  </si>
  <si>
    <t>405 MF 16N-3P-14K+EM-CALFERQUIM-G</t>
  </si>
  <si>
    <t>405_1</t>
  </si>
  <si>
    <t>MF 17-6-18-2-1</t>
  </si>
  <si>
    <t>84 MF 17-6-18-2-1-CALFERQUIM-G</t>
  </si>
  <si>
    <t>84_1</t>
  </si>
  <si>
    <t>MF 17-6-18-6+EM</t>
  </si>
  <si>
    <t>402 MF 17-6-18-6+EM-CALFERQUIM-G</t>
  </si>
  <si>
    <t>402_1</t>
  </si>
  <si>
    <t>MF 17-8-11+EM+CO</t>
  </si>
  <si>
    <t>401 MF 17-8-11+EM+CO-CALFERQUIM-G</t>
  </si>
  <si>
    <t>401_1</t>
  </si>
  <si>
    <t>MF 17N-4P-23K+EM</t>
  </si>
  <si>
    <t>478 MF 17N-4P-23K+EM-CALFERQUIM-G</t>
  </si>
  <si>
    <t>478_1</t>
  </si>
  <si>
    <t>MF 17N-5P-7K+EM</t>
  </si>
  <si>
    <t>477 MF 17N-5P-7K+EM-CALFERQUIM-G</t>
  </si>
  <si>
    <t>477_1</t>
  </si>
  <si>
    <t>MF 18-18-18</t>
  </si>
  <si>
    <t>83 MF 18-18-18-CALFERQUIM-G</t>
  </si>
  <si>
    <t>83_1</t>
  </si>
  <si>
    <t>MF 18-8-5-4+EM</t>
  </si>
  <si>
    <t>353 MF 18-8-5-4+EM-CALFERQUIM-G</t>
  </si>
  <si>
    <t>353_1</t>
  </si>
  <si>
    <t>MF 19-1-2-1+EM</t>
  </si>
  <si>
    <t>301 MF 19-1-2-1+EM-CALFERQUIM-G</t>
  </si>
  <si>
    <t>301_1</t>
  </si>
  <si>
    <t>MF 19-5-9-5+EM</t>
  </si>
  <si>
    <t>304 MF 19-5-9-5+EM-CALFERQUIM-G</t>
  </si>
  <si>
    <t>304_1</t>
  </si>
  <si>
    <t>MF 19N-1P-3K + MENORES</t>
  </si>
  <si>
    <t>384 MF 19N-1P-3K + MENORES-CALFERQUIM-G</t>
  </si>
  <si>
    <t>384_1</t>
  </si>
  <si>
    <t>MF 19N-3P-18K+EM</t>
  </si>
  <si>
    <t>442 MF 19N-3P-18K+EM-CALFERQUIM-G</t>
  </si>
  <si>
    <t>442_1</t>
  </si>
  <si>
    <t>MF 20-17-18+TCM</t>
  </si>
  <si>
    <t>284 MF 20-17-18+TCM-CALFERQUIM-G</t>
  </si>
  <si>
    <t>284_1</t>
  </si>
  <si>
    <t>MF 20N-0P-30K-3S</t>
  </si>
  <si>
    <t>529 MF 20N-0P-30K-3S-CALFERQUIM-G</t>
  </si>
  <si>
    <t>529_1</t>
  </si>
  <si>
    <t>MF 20N-3P-15K+EM</t>
  </si>
  <si>
    <t>519 MF 20N-3P-15K+EM-CALFERQUIM-G</t>
  </si>
  <si>
    <t>519_1</t>
  </si>
  <si>
    <t>MF 20N-6P-0K-5CA+EM</t>
  </si>
  <si>
    <t>457 MF 20N-6P-0K-5CA+EM-CALFERQUIM-G</t>
  </si>
  <si>
    <t>457_1</t>
  </si>
  <si>
    <t>MF 20N-8P-10K+EM</t>
  </si>
  <si>
    <t>631 MF 20N-8P-10K+EM-CALFERQUIM-G</t>
  </si>
  <si>
    <t>631_1</t>
  </si>
  <si>
    <t>MF 21-1-2+EM</t>
  </si>
  <si>
    <t>172 MF 21-1-2+EM-CALFERQUIM-G</t>
  </si>
  <si>
    <t>172_1</t>
  </si>
  <si>
    <t>MF 21-5-10-6S+EM</t>
  </si>
  <si>
    <t>357 MF 21-5-10-6S+EM-CALFERQUIM-G</t>
  </si>
  <si>
    <t>357_1</t>
  </si>
  <si>
    <t>MF 21N-2P-8K+EM</t>
  </si>
  <si>
    <t>415 MF 21N-2P-8K+EM-CALFERQUIM-G</t>
  </si>
  <si>
    <t>415_1</t>
  </si>
  <si>
    <t>MF 21N-3P-8K-3Ca+MENORES</t>
  </si>
  <si>
    <t>316 MF 21N-3P-8K-3Ca+MENORES-CALFERQUIM-G</t>
  </si>
  <si>
    <t>316_1</t>
  </si>
  <si>
    <t>MF 21N-4P-5K-3Ca+MENORES</t>
  </si>
  <si>
    <t>307 MF 21N-4P-5K-3Ca+MENORES-CALFERQUIM-G</t>
  </si>
  <si>
    <t>307_1</t>
  </si>
  <si>
    <t>MF 21N-5P-10K+EM</t>
  </si>
  <si>
    <t>497 MF 21N-5P-10K+EM-CALFERQUIM-G</t>
  </si>
  <si>
    <t>497_1</t>
  </si>
  <si>
    <t>MF 21N-5P-9K+EM</t>
  </si>
  <si>
    <t>471 MF 21N-5P-9K+EM-CALFERQUIM-G</t>
  </si>
  <si>
    <t>471_1</t>
  </si>
  <si>
    <t>MF 21N-9P-9K+EM</t>
  </si>
  <si>
    <t>632 MF 21N-9P-9K+EM-CALFERQUIM-G</t>
  </si>
  <si>
    <t>632_1</t>
  </si>
  <si>
    <t>MF 22N 3P 13K 4S+MENORES</t>
  </si>
  <si>
    <t>315 MF 22N 3P 13K 4S+MENORES-CALFERQUIM-G</t>
  </si>
  <si>
    <t>315_1</t>
  </si>
  <si>
    <t>MF 22N-0P-25K-3S</t>
  </si>
  <si>
    <t>524 MF 22N-0P-25K-3S-CALFERQUIM-G</t>
  </si>
  <si>
    <t>524_1</t>
  </si>
  <si>
    <t>MF 22N-0P-3K+EM</t>
  </si>
  <si>
    <t>526 MF 22N-0P-3K+EM-CALFERQUIM-G</t>
  </si>
  <si>
    <t>526_1</t>
  </si>
  <si>
    <t>MF 22N-4P-8K+EM</t>
  </si>
  <si>
    <t>511 MF 22N-4P-8K+EM-CALFERQUIM-G</t>
  </si>
  <si>
    <t>511_1</t>
  </si>
  <si>
    <t>MF 22N-5P-13K+EM</t>
  </si>
  <si>
    <t>525 MF 22N-5P-13K+EM-CALFERQUIM-G</t>
  </si>
  <si>
    <t>525_1</t>
  </si>
  <si>
    <t>MF 22N-6P-3K+EM</t>
  </si>
  <si>
    <t>456 MF 22N-6P-3K+EM-CALFERQUIM-G</t>
  </si>
  <si>
    <t>456_1</t>
  </si>
  <si>
    <t>MF 22N-6P-7Ca+EM</t>
  </si>
  <si>
    <t>398 MF 22N-6P-7Ca+EM-CALFERQUIM-G</t>
  </si>
  <si>
    <t>398_1</t>
  </si>
  <si>
    <t>MF 22N-6P-7K+EM</t>
  </si>
  <si>
    <t>633 MF 22N-6P-7K+EM-CALFERQUIM-G</t>
  </si>
  <si>
    <t>633_1</t>
  </si>
  <si>
    <t>MF 22N-9P-9K+EM</t>
  </si>
  <si>
    <t>634 MF 22N-9P-9K+EM-CALFERQUIM-G</t>
  </si>
  <si>
    <t>634_1</t>
  </si>
  <si>
    <t>MF 23-3-20</t>
  </si>
  <si>
    <t>20 MF 23-3-20-CALFERQUIM-G</t>
  </si>
  <si>
    <t>20_1</t>
  </si>
  <si>
    <t>MF 23N 6P 8K + EM</t>
  </si>
  <si>
    <t>618 MF 23N 6P 8K + EM-CALFERQUIM-G</t>
  </si>
  <si>
    <t>618_1</t>
  </si>
  <si>
    <t>MF 23N-3P-20K+EM</t>
  </si>
  <si>
    <t>394 MF 23N-3P-20K+EM-CALFERQUIM-G</t>
  </si>
  <si>
    <t>394_1</t>
  </si>
  <si>
    <t>MF 23N-5P-6K+EM</t>
  </si>
  <si>
    <t>506 MF 23N-5P-6K+EM-CALFERQUIM-G</t>
  </si>
  <si>
    <t>506_1</t>
  </si>
  <si>
    <t>MF 23N-6P-8K+EM</t>
  </si>
  <si>
    <t>508 MF 23N-6P-8K+EM-CALFERQUIM-G</t>
  </si>
  <si>
    <t>508_1</t>
  </si>
  <si>
    <t>MF 24-0-17+EM</t>
  </si>
  <si>
    <t>308 MF 24-0-17+EM-CALFERQUIM-G</t>
  </si>
  <si>
    <t>308_1</t>
  </si>
  <si>
    <t>MF 24-3-9-3+EM</t>
  </si>
  <si>
    <t>174 MF 24-3-9-3+EM-CALFERQUIM-G</t>
  </si>
  <si>
    <t>174_1</t>
  </si>
  <si>
    <t>MF 24-5-7-5S-3Ca+1CO</t>
  </si>
  <si>
    <t>348 MF 24-5-7-5S-3Ca+1CO-CALFERQUIM-G</t>
  </si>
  <si>
    <t>348_1</t>
  </si>
  <si>
    <t>MF 24N-0P-2K+EM</t>
  </si>
  <si>
    <t>436 MF 24N-0P-2K+EM-CALFERQUIM-G</t>
  </si>
  <si>
    <t>436_1</t>
  </si>
  <si>
    <t>MF 24N-3P-12K+EM</t>
  </si>
  <si>
    <t>532 MF 24N-3P-12K+EM-CALFERQUIM-G</t>
  </si>
  <si>
    <t>532_1</t>
  </si>
  <si>
    <t>MF 24N-4P-11K+EM</t>
  </si>
  <si>
    <t>440 MF 24N-4P-11K+EM-CALFERQUIM-G</t>
  </si>
  <si>
    <t>440_1</t>
  </si>
  <si>
    <t>MF 24N-5P-6K+EM</t>
  </si>
  <si>
    <t>473 MF 24N-5P-6K+EM-CALFERQUIM-G</t>
  </si>
  <si>
    <t>473_1</t>
  </si>
  <si>
    <t>MF 25-0-15+EM</t>
  </si>
  <si>
    <t>328 MF 25-0-15+EM-CALFERQUIM-G</t>
  </si>
  <si>
    <t>328_1</t>
  </si>
  <si>
    <t>MF 25-0-17-4S+EM</t>
  </si>
  <si>
    <t>146 MF 25-0-17-4S+EM-CALFERQUIM-G</t>
  </si>
  <si>
    <t>146_1</t>
  </si>
  <si>
    <t>MF 25-10-18+ MENORES</t>
  </si>
  <si>
    <t>148 MF 25-10-18+ MENORES-CALFERQUIM-G</t>
  </si>
  <si>
    <t>148_1</t>
  </si>
  <si>
    <t>MF 25-10-18+EM</t>
  </si>
  <si>
    <t>175 MF 25-10-18+EM-CALFERQUIM-G</t>
  </si>
  <si>
    <t>175_1</t>
  </si>
  <si>
    <t>MF 25-15-2-3-2</t>
  </si>
  <si>
    <t>382 MF 25-15-2-3-2-CALFERQUIM-G</t>
  </si>
  <si>
    <t>382_1</t>
  </si>
  <si>
    <t>MF 25-4-24</t>
  </si>
  <si>
    <t>82 MF 25-4-24-CALFERQUIM-G</t>
  </si>
  <si>
    <t>82_1</t>
  </si>
  <si>
    <t>MF 25N-17P-1K+EM</t>
  </si>
  <si>
    <t>518 MF 25N-17P-1K+EM-CALFERQUIM-G</t>
  </si>
  <si>
    <t>518_1</t>
  </si>
  <si>
    <t>MF 25N-1P-13K+EM</t>
  </si>
  <si>
    <t>455 MF 25N-1P-13K+EM-CALFERQUIM-G</t>
  </si>
  <si>
    <t>455_1</t>
  </si>
  <si>
    <t>MF 25N-4P-11K+EM</t>
  </si>
  <si>
    <t>509 MF 25N-4P-11K+EM-CALFERQUIM-G</t>
  </si>
  <si>
    <t>509_1</t>
  </si>
  <si>
    <t>MF 25N-4P-17K+EM</t>
  </si>
  <si>
    <t>656 MF 25N-4P-17K+EM-CALFERQUIM-G</t>
  </si>
  <si>
    <t>656_1</t>
  </si>
  <si>
    <t>MF 25N-5P-0K-8Ca+EM</t>
  </si>
  <si>
    <t>367 MF 25N-5P-0K-8Ca+EM-CALFERQUIM-G</t>
  </si>
  <si>
    <t>367_1</t>
  </si>
  <si>
    <t>MF 25N-5P-12K+EM</t>
  </si>
  <si>
    <t>533 MF 25N-5P-12K+EM-CALFERQUIM-G</t>
  </si>
  <si>
    <t>533_1</t>
  </si>
  <si>
    <t>MF 25N-7K-2CA+EM</t>
  </si>
  <si>
    <t>492 MF 25N-7K-2CA+EM-CALFERQUIM-G</t>
  </si>
  <si>
    <t>492_1</t>
  </si>
  <si>
    <t>MF 25N-7P-7K+EM</t>
  </si>
  <si>
    <t>652 MF 25N-7P-7K+EM-CALFERQUIM-G</t>
  </si>
  <si>
    <t>652_1</t>
  </si>
  <si>
    <t>MF 25N-8P-14K+EM</t>
  </si>
  <si>
    <t>648 MF 25N-8P-14K+EM-CALFERQUIM-G</t>
  </si>
  <si>
    <t>648_1</t>
  </si>
  <si>
    <t>MF 26-0-17+EM</t>
  </si>
  <si>
    <t>159 MF 26-0-17+EM-CALFERQUIM-G</t>
  </si>
  <si>
    <t>159_1</t>
  </si>
  <si>
    <t>MF 26-1-12-+EM</t>
  </si>
  <si>
    <t>176 MF 26-1-12-+EM-CALFERQUIM-G</t>
  </si>
  <si>
    <t>176_1</t>
  </si>
  <si>
    <t>MF 26N 7P 6K + EM</t>
  </si>
  <si>
    <t>619 MF 26N 7P 6K + EM-CALFERQUIM-G</t>
  </si>
  <si>
    <t>619_1</t>
  </si>
  <si>
    <t>MF 26N-1P-11K+EM</t>
  </si>
  <si>
    <t>514 MF 26N-1P-11K+EM-CALFERQUIM-G</t>
  </si>
  <si>
    <t>514_1</t>
  </si>
  <si>
    <t>MF 26N-5P-11K+EM</t>
  </si>
  <si>
    <t>512 MF 26N-5P-11K+EM-CALFERQUIM-G</t>
  </si>
  <si>
    <t>512_1</t>
  </si>
  <si>
    <t>MF 26N-9P-9K+EM</t>
  </si>
  <si>
    <t>476 MF 26N-9P-9K+EM-CALFERQUIM-G</t>
  </si>
  <si>
    <t>476_1</t>
  </si>
  <si>
    <t>MF 27-17-0Ca</t>
  </si>
  <si>
    <t>136 MF 27-17-0Ca-CALFERQUIM-G</t>
  </si>
  <si>
    <t>136_1</t>
  </si>
  <si>
    <t>MF 27N-0P-14K+EM</t>
  </si>
  <si>
    <t>630 MF 27N-0P-14K+EM-CALFERQUIM-G</t>
  </si>
  <si>
    <t>630_1</t>
  </si>
  <si>
    <t>MF 27N-15K-5S-2Si-0.80CO</t>
  </si>
  <si>
    <t>385 MF 27N-15K-5S-2Si-0.80CO-CALFERQUIM-G</t>
  </si>
  <si>
    <t>385_1</t>
  </si>
  <si>
    <t>MF 27N-1P-12K-2Ca+EM</t>
  </si>
  <si>
    <t>445 MF 27N-1P-12K-2Ca+EM-CALFERQUIM-G</t>
  </si>
  <si>
    <t>445_1</t>
  </si>
  <si>
    <t>MF 27N-1P-7K+EM</t>
  </si>
  <si>
    <t>475 MF 27N-1P-7K+EM-CALFERQUIM-G</t>
  </si>
  <si>
    <t>475_1</t>
  </si>
  <si>
    <t>MF 27N-1P-8K+EM</t>
  </si>
  <si>
    <t>653 MF 27N-1P-8K+EM-CALFERQUIM-G</t>
  </si>
  <si>
    <t>653_1</t>
  </si>
  <si>
    <t>MF 27N-3P-12K+EM</t>
  </si>
  <si>
    <t>642 MF 27N-3P-12K+EM-CALFERQUIM-G</t>
  </si>
  <si>
    <t>642_1</t>
  </si>
  <si>
    <t>MF 27N-3P-3K+EM</t>
  </si>
  <si>
    <t>536 MF 27N-3P-3K+EM-CALFERQUIM-G</t>
  </si>
  <si>
    <t>536_1</t>
  </si>
  <si>
    <t>MF 27N-4P-3K+EM</t>
  </si>
  <si>
    <t>438 MF 27N-4P-3K+EM-CALFERQUIM-G</t>
  </si>
  <si>
    <t>438_1</t>
  </si>
  <si>
    <t>MF 27N-6P-13K+EM</t>
  </si>
  <si>
    <t>606 MF 27N-6P-13K+EM-CALFERQUIM-G</t>
  </si>
  <si>
    <t>606_1</t>
  </si>
  <si>
    <t>MF 27N-9K-10S+EM</t>
  </si>
  <si>
    <t>480 MF 27N-9K-10S+EM-CALFERQUIM-G</t>
  </si>
  <si>
    <t>480_1</t>
  </si>
  <si>
    <t>MF 28-0-6-2Ca+EM</t>
  </si>
  <si>
    <t>299 MF 28-0-6-2Ca+EM-CALFERQUIM-G</t>
  </si>
  <si>
    <t>299_1</t>
  </si>
  <si>
    <t>MF 28-0-9-2Ca+EM</t>
  </si>
  <si>
    <t>312 MF 28-0-9-2Ca+EM-CALFERQUIM-G</t>
  </si>
  <si>
    <t>312_1</t>
  </si>
  <si>
    <t>MF 28-1-12+EM</t>
  </si>
  <si>
    <t>165 MF 28-1-12+EM-CALFERQUIM-G</t>
  </si>
  <si>
    <t>165_1</t>
  </si>
  <si>
    <t>MF 28-1-6-2Ca+EM</t>
  </si>
  <si>
    <t>303 MF 28-1-6-2Ca+EM-CALFERQUIM-G</t>
  </si>
  <si>
    <t>303_1</t>
  </si>
  <si>
    <t>MF 28-1-6-5S-EM+1CO</t>
  </si>
  <si>
    <t>352 MF 28-1-6-5S-EM+1CO-CALFERQUIM-G</t>
  </si>
  <si>
    <t>352_1</t>
  </si>
  <si>
    <t>MF 28N 1P 7K +EM</t>
  </si>
  <si>
    <t>620 MF 28N 1P 7K +EM-CALFERQUIM-G</t>
  </si>
  <si>
    <t>620_1</t>
  </si>
  <si>
    <t>MF 28N 1P 8K + EM</t>
  </si>
  <si>
    <t>617 MF 28N 1P 8K + EM-CALFERQUIM-G</t>
  </si>
  <si>
    <t>617_1</t>
  </si>
  <si>
    <t>MF 28N-0P-12K+EM</t>
  </si>
  <si>
    <t>513 MF 28N-0P-12K+EM-CALFERQUIM-G</t>
  </si>
  <si>
    <t>513_1</t>
  </si>
  <si>
    <t>MF 28N-14P-10K+EM</t>
  </si>
  <si>
    <t>537 MF 28N-14P-10K+EM-CALFERQUIM-G</t>
  </si>
  <si>
    <t>537_1</t>
  </si>
  <si>
    <t>MF 28N-1P-12K+EM</t>
  </si>
  <si>
    <t>432 MF 28N-1P-12K+EM-CALFERQUIM-G</t>
  </si>
  <si>
    <t>432_1</t>
  </si>
  <si>
    <t>MF 28N-4P-15K +EM</t>
  </si>
  <si>
    <t>487 MF 28N-4P-15K +EM-CALFERQUIM-G</t>
  </si>
  <si>
    <t>487_1</t>
  </si>
  <si>
    <t>MF 28N-5P-6K+EM</t>
  </si>
  <si>
    <t>469 MF 28N-5P-6K+EM-CALFERQUIM-G</t>
  </si>
  <si>
    <t>469_1</t>
  </si>
  <si>
    <t>MF 29N-0P-16K-4S</t>
  </si>
  <si>
    <t>527 MF 29N-0P-16K-4S-CALFERQUIM-G</t>
  </si>
  <si>
    <t>527_1</t>
  </si>
  <si>
    <t>MF 29N-10P-10K+EM</t>
  </si>
  <si>
    <t>522 MF 29N-10P-10K+EM-CALFERQUIM-G</t>
  </si>
  <si>
    <t>522_1</t>
  </si>
  <si>
    <t>MF 29N-3P-15K+EM</t>
  </si>
  <si>
    <t>417 MF 29N-3P-15K+EM-CALFERQUIM-G</t>
  </si>
  <si>
    <t>417_1</t>
  </si>
  <si>
    <t>MF 30-0-20 +EM +TMC</t>
  </si>
  <si>
    <t>163 MF 30-0-20 +EM +TMC-CALFERQUIM-G</t>
  </si>
  <si>
    <t>163_1</t>
  </si>
  <si>
    <t>MF 30N 0P 20K</t>
  </si>
  <si>
    <t>418 MF 30N 0P 20K-CALFERQUIM-G</t>
  </si>
  <si>
    <t>418_1</t>
  </si>
  <si>
    <t>MF 30N-11P-10K+EM</t>
  </si>
  <si>
    <t>538 MF 30N-11P-10K+EM-CALFERQUIM-G</t>
  </si>
  <si>
    <t>538_1</t>
  </si>
  <si>
    <t>MF 30N-12K-2CA+EM</t>
  </si>
  <si>
    <t>493 MF 30N-12K-2CA+EM-CALFERQUIM-G</t>
  </si>
  <si>
    <t>493_1</t>
  </si>
  <si>
    <t>MF 3-10-2 + EM</t>
  </si>
  <si>
    <t>389 MF 3-10-2 + EM-CALFERQUIM-G</t>
  </si>
  <si>
    <t>389_1</t>
  </si>
  <si>
    <t>MF 31-0-20+NX</t>
  </si>
  <si>
    <t>298 MF 31-0-20+NX-CALFERQUIM-G</t>
  </si>
  <si>
    <t>298_1</t>
  </si>
  <si>
    <t>MF 31-0-20+TMC</t>
  </si>
  <si>
    <t>187 MF 31-0-20+TMC-CALFERQUIM-G</t>
  </si>
  <si>
    <t>187_1</t>
  </si>
  <si>
    <t>MF 31-8-8-2</t>
  </si>
  <si>
    <t>81 MF 31-8-8-2-CALFERQUIM-G</t>
  </si>
  <si>
    <t>81_1</t>
  </si>
  <si>
    <t>MF 31N-6P-11K+EM</t>
  </si>
  <si>
    <t>521 MF 31N-6P-11K+EM-CALFERQUIM-G</t>
  </si>
  <si>
    <t>521_1</t>
  </si>
  <si>
    <t>MF 32-0-6+EM</t>
  </si>
  <si>
    <t>380 MF 32-0-6+EM-CALFERQUIM-G</t>
  </si>
  <si>
    <t>380_1</t>
  </si>
  <si>
    <t>MF 32-6-5-2SI-1CO</t>
  </si>
  <si>
    <t>327 MF 32-6-5-2SI-1CO-CALFERQUIM-G</t>
  </si>
  <si>
    <t>327_1</t>
  </si>
  <si>
    <t>MF 32N 1P 6K 2Ca+ EM</t>
  </si>
  <si>
    <t>383 MF 32N 1P 6K 2Ca+ EM-CALFERQUIM-G</t>
  </si>
  <si>
    <t>383_1</t>
  </si>
  <si>
    <t>MF 32N-1P-12K+EM</t>
  </si>
  <si>
    <t>665 MF 32N-1P-12K+EM-CALFERQUIM-G</t>
  </si>
  <si>
    <t>665_1</t>
  </si>
  <si>
    <t>MF 33N-1P-12K+EM</t>
  </si>
  <si>
    <t>626 MF 33N-1P-12K+EM-CALFERQUIM-G</t>
  </si>
  <si>
    <t>626_1</t>
  </si>
  <si>
    <t>MF 33N-5P-12K</t>
  </si>
  <si>
    <t>479 MF 33N-5P-12K-CALFERQUIM-G</t>
  </si>
  <si>
    <t>479_1</t>
  </si>
  <si>
    <t>MF 37N-0P-11K</t>
  </si>
  <si>
    <t>523 MF 37N-0P-11K-CALFERQUIM-G</t>
  </si>
  <si>
    <t>523_1</t>
  </si>
  <si>
    <t>MF 37N-2Ca-2Mg+EM</t>
  </si>
  <si>
    <t>434 MF 37N-2Ca-2Mg+EM-CALFERQUIM-G</t>
  </si>
  <si>
    <t>434_1</t>
  </si>
  <si>
    <t>MF 38-0-0-8</t>
  </si>
  <si>
    <t>168 MF 38-0-0-8-CALFERQUIM-G</t>
  </si>
  <si>
    <t>168_1</t>
  </si>
  <si>
    <t>MF 38N-10K_</t>
  </si>
  <si>
    <t>399 MF 38N-10K_-CALFERQUIM-G</t>
  </si>
  <si>
    <t>399_1</t>
  </si>
  <si>
    <t>MF 3N-13P-32K+EM</t>
  </si>
  <si>
    <t>640 MF 3N-13P-32K+EM-CALFERQUIM-G</t>
  </si>
  <si>
    <t>640_1</t>
  </si>
  <si>
    <t>MF 40-3-0-2+EM</t>
  </si>
  <si>
    <t>369 MF 40-3-0-2+EM-CALFERQUIM-G</t>
  </si>
  <si>
    <t>369_1</t>
  </si>
  <si>
    <t>MF 52K-1.1B-0.5Zn</t>
  </si>
  <si>
    <t>292 MF 52K-1.1B-0.5Zn-CALFERQUIM-G</t>
  </si>
  <si>
    <t>292_1</t>
  </si>
  <si>
    <t>MF 6-9-6+EM</t>
  </si>
  <si>
    <t>391 MF 6-9-6+EM-CALFERQUIM-G</t>
  </si>
  <si>
    <t>391_1</t>
  </si>
  <si>
    <t>MF 7-7-5-3S+EM+2CO</t>
  </si>
  <si>
    <t>356 MF 7-7-5-3S+EM+2CO-CALFERQUIM-G</t>
  </si>
  <si>
    <t>356_1</t>
  </si>
  <si>
    <t>MF 7N-14P-29K+EM</t>
  </si>
  <si>
    <t>545 MF 7N-14P-29K+EM-CALFERQUIM-G</t>
  </si>
  <si>
    <t>545_1</t>
  </si>
  <si>
    <t>MF 8-24-8+EM</t>
  </si>
  <si>
    <t>313 MF 8-24-8+EM-CALFERQUIM-G</t>
  </si>
  <si>
    <t>313_1</t>
  </si>
  <si>
    <t>MF 8N-15P-23K+EM</t>
  </si>
  <si>
    <t>435 MF 8N-15P-23K+EM-CALFERQUIM-G</t>
  </si>
  <si>
    <t>435_1</t>
  </si>
  <si>
    <t>MF 8N-17P-34K-1S</t>
  </si>
  <si>
    <t>510 MF 8N-17P-34K-1S-CALFERQUIM-G</t>
  </si>
  <si>
    <t>510_1</t>
  </si>
  <si>
    <t>MF 8N-20P-12+EM</t>
  </si>
  <si>
    <t>453 MF 8N-20P-12+EM-CALFERQUIM-G</t>
  </si>
  <si>
    <t>453_1</t>
  </si>
  <si>
    <t>MF 9N-12P-24K+EM</t>
  </si>
  <si>
    <t>439 MF 9N-12P-24K+EM-CALFERQUIM-G</t>
  </si>
  <si>
    <t>439_1</t>
  </si>
  <si>
    <t>MF-17-6-18-2</t>
  </si>
  <si>
    <t>21 MF-17-6-18-2-CALFERQUIM-G</t>
  </si>
  <si>
    <t>21_1</t>
  </si>
  <si>
    <t>MF-23-3-20-4Ca-3Si</t>
  </si>
  <si>
    <t>22 MF-23-3-20-4Ca-3Si-CALFERQUIM-G</t>
  </si>
  <si>
    <t>MFE 0N-1P0K+EM</t>
  </si>
  <si>
    <t>673 MFE 0N-1P0K+EM-CALFERQUIM-G</t>
  </si>
  <si>
    <t>673_1</t>
  </si>
  <si>
    <t>MFE 10N 11P 29K</t>
  </si>
  <si>
    <t>588 MFE 10N 11P 29K-CALFERQUIM-G</t>
  </si>
  <si>
    <t>588_1</t>
  </si>
  <si>
    <t>MFE 10N-24P-14K +EM</t>
  </si>
  <si>
    <t>641 MFE 10N-24P-14K +EM-CALFERQUIM-G</t>
  </si>
  <si>
    <t>641_1</t>
  </si>
  <si>
    <t>MFE 10N-25P-8K+EM</t>
  </si>
  <si>
    <t>542 MFE 10N-25P-8K+EM-CALFERQUIM-G</t>
  </si>
  <si>
    <t>542_1</t>
  </si>
  <si>
    <t>MFE 10N-6P-16K +EM</t>
  </si>
  <si>
    <t>589 MFE 10N-6P-16K +EM-CALFERQUIM-G</t>
  </si>
  <si>
    <t>589_1</t>
  </si>
  <si>
    <t>MFE 10N-6P-6K+EM</t>
  </si>
  <si>
    <t>668 MFE 10N-6P-6K+EM-CALFERQUIM-G</t>
  </si>
  <si>
    <t>668_1</t>
  </si>
  <si>
    <t>MFE 10N-9P-18K+EM</t>
  </si>
  <si>
    <t>569 MFE 10N-9P-18K+EM-CALFERQUIM-G</t>
  </si>
  <si>
    <t>569_1</t>
  </si>
  <si>
    <t>MFE 11N-24P-9K+EM</t>
  </si>
  <si>
    <t>544 MFE 11N-24P-9K+EM-CALFERQUIM-G</t>
  </si>
  <si>
    <t>544_1</t>
  </si>
  <si>
    <t>MFE 11N-25P-9K+EM</t>
  </si>
  <si>
    <t>646 MFE 11N-25P-9K+EM-CALFERQUIM-G</t>
  </si>
  <si>
    <t>646_1</t>
  </si>
  <si>
    <t>MFE 11N-9P-18K+EM</t>
  </si>
  <si>
    <t>660 MFE 11N-9P-18K+EM-CALFERQUIM-G</t>
  </si>
  <si>
    <t>660_1</t>
  </si>
  <si>
    <t>MFE 12N 25P 9K</t>
  </si>
  <si>
    <t>587 MFE 12N 25P 9K-CALFERQUIM-G</t>
  </si>
  <si>
    <t>587_1</t>
  </si>
  <si>
    <t>MFE 13N-15P-10K+EM</t>
  </si>
  <si>
    <t>659 MFE 13N-15P-10K+EM-CALFERQUIM-G</t>
  </si>
  <si>
    <t>659_1</t>
  </si>
  <si>
    <t>MFE 13N-26P-6K+EM</t>
  </si>
  <si>
    <t>314 MFE 13N-26P-6K+EM-CALFERQUIM-G</t>
  </si>
  <si>
    <t>314_1</t>
  </si>
  <si>
    <t>540 MFE 13N-26P-6K+EM-CALFERQUIM-G</t>
  </si>
  <si>
    <t>540_1</t>
  </si>
  <si>
    <t>MFE 13N-36P-10K+EM</t>
  </si>
  <si>
    <t>489 MFE 13N-36P-10K+EM-CALFERQUIM-G</t>
  </si>
  <si>
    <t>489_1</t>
  </si>
  <si>
    <t>MFE 13N-6P-6K+EM</t>
  </si>
  <si>
    <t>601 MFE 13N-6P-6K+EM-CALFERQUIM-G</t>
  </si>
  <si>
    <t>601_1</t>
  </si>
  <si>
    <t>MFE 15N-12P-20K+EM</t>
  </si>
  <si>
    <t>590 MFE 15N-12P-20K+EM-CALFERQUIM-G</t>
  </si>
  <si>
    <t>590_1</t>
  </si>
  <si>
    <t>MFE 15N-20P-2K+EM</t>
  </si>
  <si>
    <t>623 MFE 15N-20P-2K+EM-CALFERQUIM-G</t>
  </si>
  <si>
    <t>623_1</t>
  </si>
  <si>
    <t>MFE 15N-21P-1K+EM</t>
  </si>
  <si>
    <t>602 MFE 15N-21P-1K+EM-CALFERQUIM-G</t>
  </si>
  <si>
    <t>602_1</t>
  </si>
  <si>
    <t>MFE 15N-9P-20K+EM</t>
  </si>
  <si>
    <t>635 MFE 15N-9P-20K+EM-CALFERQUIM-G</t>
  </si>
  <si>
    <t>635_1</t>
  </si>
  <si>
    <t>MFE 16N-21P-5K+EM</t>
  </si>
  <si>
    <t>658 MFE 16N-21P-5K+EM-CALFERQUIM-G</t>
  </si>
  <si>
    <t>658_1</t>
  </si>
  <si>
    <t>MFE 18N-18P-18K+EM</t>
  </si>
  <si>
    <t>429 MFE 18N-18P-18K+EM-CALFERQUIM-G</t>
  </si>
  <si>
    <t>429_1</t>
  </si>
  <si>
    <t>MFE 18N-2P-0K+EM</t>
  </si>
  <si>
    <t>649 MFE 18N-2P-0K+EM-CALFERQUIM-G</t>
  </si>
  <si>
    <t>649_1</t>
  </si>
  <si>
    <t>MFE 18N-9P-29K+EM</t>
  </si>
  <si>
    <t>414 MFE 18N-9P-29K+EM-CALFERQUIM-G</t>
  </si>
  <si>
    <t>414_1</t>
  </si>
  <si>
    <t>MFE 19N-25P-6K+EM</t>
  </si>
  <si>
    <t>674 MFE 19N-25P-6K+EM-CALFERQUIM-G</t>
  </si>
  <si>
    <t>674_1</t>
  </si>
  <si>
    <t>MFE 19N-4P-10K+EM</t>
  </si>
  <si>
    <t>566 MFE 19N-4P-10K+EM-CALFERQUIM-G</t>
  </si>
  <si>
    <t>566_1</t>
  </si>
  <si>
    <t>MFE 19N-4P-18K</t>
  </si>
  <si>
    <t>586 MFE 19N-4P-18K-CALFERQUIM-G</t>
  </si>
  <si>
    <t>586_1</t>
  </si>
  <si>
    <t>MFE 20N-3P-14K+EM</t>
  </si>
  <si>
    <t>596 MFE 20N-3P-14K+EM-CALFERQUIM-G</t>
  </si>
  <si>
    <t>596_1</t>
  </si>
  <si>
    <t>MFE 20N-4P-18K+EM</t>
  </si>
  <si>
    <t>413 MFE 20N-4P-18K+EM-CALFERQUIM-G</t>
  </si>
  <si>
    <t>413_1</t>
  </si>
  <si>
    <t>MFE 21N-4P-11K+EM</t>
  </si>
  <si>
    <t>555 MFE 21N-4P-11K+EM-CALFERQUIM-G</t>
  </si>
  <si>
    <t>555_1</t>
  </si>
  <si>
    <t>MFE 21N-7P-8K + EM</t>
  </si>
  <si>
    <t>654 MFE 21N-7P-8K + EM-CALFERQUIM-G</t>
  </si>
  <si>
    <t>654_1</t>
  </si>
  <si>
    <t>MFE 22N-0P-19K+EM</t>
  </si>
  <si>
    <t>664 MFE 22N-0P-19K+EM-CALFERQUIM-G</t>
  </si>
  <si>
    <t>664_1</t>
  </si>
  <si>
    <t>MFE 22N-3P-0K+ EM</t>
  </si>
  <si>
    <t>560 MFE 22N-3P-0K+ EM-CALFERQUIM-G</t>
  </si>
  <si>
    <t>560_1</t>
  </si>
  <si>
    <t>MFE 22N-3P-3K+EM</t>
  </si>
  <si>
    <t>645 MFE 22N-3P-3K+EM-CALFERQUIM-G</t>
  </si>
  <si>
    <t>645_1</t>
  </si>
  <si>
    <t>MFE 22N-6P-3K+EM</t>
  </si>
  <si>
    <t>662 MFE 22N-6P-3K+EM-CALFERQUIM-G</t>
  </si>
  <si>
    <t>662_1</t>
  </si>
  <si>
    <t>MFE 22N-7K-12S+EM</t>
  </si>
  <si>
    <t>605 MFE 22N-7K-12S+EM-CALFERQUIM-G</t>
  </si>
  <si>
    <t>605_1</t>
  </si>
  <si>
    <t>MFE 22N-8P-10K+EM</t>
  </si>
  <si>
    <t>639 MFE 22N-8P-10K+EM-CALFERQUIM-G</t>
  </si>
  <si>
    <t>639_1</t>
  </si>
  <si>
    <t>MFE 22N-9P-0K+EM</t>
  </si>
  <si>
    <t>535 MFE 22N-9P-0K+EM-CALFERQUIM-G</t>
  </si>
  <si>
    <t>535_1</t>
  </si>
  <si>
    <t>MFE 23N-1P-18K+EM</t>
  </si>
  <si>
    <t>669 MFE 23N-1P-18K+EM-CALFERQUIM-G</t>
  </si>
  <si>
    <t>669_1</t>
  </si>
  <si>
    <t>MFE 23N-4P-16K+EM</t>
  </si>
  <si>
    <t>651 MFE 23N-4P-16K+EM-CALFERQUIM-G</t>
  </si>
  <si>
    <t>651_1</t>
  </si>
  <si>
    <t>MFE 23N-4P-9K+EM</t>
  </si>
  <si>
    <t>593 MFE 23N-4P-9K+EM-CALFERQUIM-G</t>
  </si>
  <si>
    <t>593_1</t>
  </si>
  <si>
    <t>MFE 23N-5P-10K+EM</t>
  </si>
  <si>
    <t>420 MFE 23N-5P-10K+EM-CALFERQUIM-G</t>
  </si>
  <si>
    <t>420_1</t>
  </si>
  <si>
    <t>MFE 23N-9P-11K+EM</t>
  </si>
  <si>
    <t>554 MFE 23N-9P-11K+EM-CALFERQUIM-G</t>
  </si>
  <si>
    <t>554_1</t>
  </si>
  <si>
    <t>MFE 24N-2P-9K+EM</t>
  </si>
  <si>
    <t>650 MFE 24N-2P-9K+EM-CALFERQUIM-G</t>
  </si>
  <si>
    <t>650_1</t>
  </si>
  <si>
    <t>MFE 24N-4-2K+EM</t>
  </si>
  <si>
    <t>585 MFE 24N-4-2K+EM-CALFERQUIM-G</t>
  </si>
  <si>
    <t>585_1</t>
  </si>
  <si>
    <t>MFE 24N-4P-10K+EM</t>
  </si>
  <si>
    <t>965 MFE 24N-4P-10K+EM-CALFERQUIM-G</t>
  </si>
  <si>
    <t>965_1</t>
  </si>
  <si>
    <t>MFE 24N-6P-7K+EM</t>
  </si>
  <si>
    <t>616 MFE 24N-6P-7K+EM-CALFERQUIM-G</t>
  </si>
  <si>
    <t>616_1</t>
  </si>
  <si>
    <t>MFE 24N-9K-12S+EM</t>
  </si>
  <si>
    <t>591 MFE 24N-9K-12S+EM-CALFERQUIM-G</t>
  </si>
  <si>
    <t>591_1</t>
  </si>
  <si>
    <t>MFE 24N-9P-7S+EM</t>
  </si>
  <si>
    <t>614 MFE 24N-9P-7S+EM-CALFERQUIM-G</t>
  </si>
  <si>
    <t>614_1</t>
  </si>
  <si>
    <t>MFE 25N-0P-8K+EM</t>
  </si>
  <si>
    <t>629 MFE 25N-0P-8K+EM-CALFERQUIM-G</t>
  </si>
  <si>
    <t>629_1</t>
  </si>
  <si>
    <t>MFE 25N-13P-12K +EM</t>
  </si>
  <si>
    <t>412 MFE 25N-13P-12K +EM-CALFERQUIM-G</t>
  </si>
  <si>
    <t>412_1</t>
  </si>
  <si>
    <t>MFE 25N-4P-14K+EM</t>
  </si>
  <si>
    <t>628 MFE 25N-4P-14K+EM-CALFERQUIM-G</t>
  </si>
  <si>
    <t>628_1</t>
  </si>
  <si>
    <t>MFE 25N-6P-0K+EM</t>
  </si>
  <si>
    <t>677 MFE 25N-6P-0K+EM-CALFERQUIM-G</t>
  </si>
  <si>
    <t>677_1</t>
  </si>
  <si>
    <t>MFE 25N-6P-13K+EM</t>
  </si>
  <si>
    <t>568 MFE 25N-6P-13K+EM-CALFERQUIM-G</t>
  </si>
  <si>
    <t>568_1</t>
  </si>
  <si>
    <t>MFE 25N-8P-16K+EM</t>
  </si>
  <si>
    <t>644 MFE 25N-8P-16K+EM-CALFERQUIM-G</t>
  </si>
  <si>
    <t>644_1</t>
  </si>
  <si>
    <t>647 MFE 25N-8P-16K+EM-CALFERQUIM-G</t>
  </si>
  <si>
    <t>647_1</t>
  </si>
  <si>
    <t>MFE 26N-11P-6K+EM</t>
  </si>
  <si>
    <t>594 MFE 26N-11P-6K+EM-CALFERQUIM-G</t>
  </si>
  <si>
    <t>594_1</t>
  </si>
  <si>
    <t>MFE 26N-20K-4S</t>
  </si>
  <si>
    <t>582 MFE 26N-20K-4S-CALFERQUIM-G</t>
  </si>
  <si>
    <t>582_1</t>
  </si>
  <si>
    <t>MFE 26N-2P-9K-2Ca</t>
  </si>
  <si>
    <t>627 MFE 26N-2P-9K-2Ca-CALFERQUIM-G</t>
  </si>
  <si>
    <t>627_1</t>
  </si>
  <si>
    <t>MFE 26N-6P-2K+EM</t>
  </si>
  <si>
    <t>431 MFE 26N-6P-2K+EM-CALFERQUIM-G</t>
  </si>
  <si>
    <t>431_1</t>
  </si>
  <si>
    <t>546 MFE 26N-6P-2K+EM-CALFERQUIM-G</t>
  </si>
  <si>
    <t>546_1</t>
  </si>
  <si>
    <t>MFE 26N-7P-0K+EM</t>
  </si>
  <si>
    <t>682 MFE 26N-7P-0K+EM-CALFERQUIM-G</t>
  </si>
  <si>
    <t>682_1</t>
  </si>
  <si>
    <t>MFE 27N-18K-5S</t>
  </si>
  <si>
    <t>625 MFE 27N-18K-5S-CALFERQUIM-G</t>
  </si>
  <si>
    <t>625_1</t>
  </si>
  <si>
    <t>MFE 27N-20P-0K+EM</t>
  </si>
  <si>
    <t>672 MFE 27N-20P-0K+EM-CALFERQUIM-G</t>
  </si>
  <si>
    <t>672_1</t>
  </si>
  <si>
    <t>MFE 27N-5P-11K+EM</t>
  </si>
  <si>
    <t>539 MFE 27N-5P-11K+EM-CALFERQUIM-G</t>
  </si>
  <si>
    <t>539_1</t>
  </si>
  <si>
    <t>MFE 27N-8P-9K+EM KILO</t>
  </si>
  <si>
    <t>610 MFE 27N-8P-9K+EM KILO-CALFERQUIM-G</t>
  </si>
  <si>
    <t>610_1</t>
  </si>
  <si>
    <t>MFE 28N 24K</t>
  </si>
  <si>
    <t>621 MFE 28N 24K-CALFERQUIM-G</t>
  </si>
  <si>
    <t>621_1</t>
  </si>
  <si>
    <t>MFE 28N-14P-6K+EM</t>
  </si>
  <si>
    <t>600 MFE 28N-14P-6K+EM-CALFERQUIM-G</t>
  </si>
  <si>
    <t>600_1</t>
  </si>
  <si>
    <t>MFE 28N-4P-9K+EM</t>
  </si>
  <si>
    <t>657 MFE 28N-4P-9K+EM-CALFERQUIM-G</t>
  </si>
  <si>
    <t>657_1</t>
  </si>
  <si>
    <t>MFE 28N-5P-0K+EM</t>
  </si>
  <si>
    <t>592 MFE 28N-5P-0K+EM-CALFERQUIM-G</t>
  </si>
  <si>
    <t>592_1</t>
  </si>
  <si>
    <t>MFE 28N-5P-15K+EM</t>
  </si>
  <si>
    <t>548 MFE 28N-5P-15K+EM-CALFERQUIM-G</t>
  </si>
  <si>
    <t>548_1</t>
  </si>
  <si>
    <t>MFE 28N-5P-9K+EM</t>
  </si>
  <si>
    <t>609 MFE 28N-5P-9K+EM-CALFERQUIM-G</t>
  </si>
  <si>
    <t>609_1</t>
  </si>
  <si>
    <t>MFE 29N 10P 6K + EM</t>
  </si>
  <si>
    <t>608 MFE 29N 10P 6K + EM-CALFERQUIM-G</t>
  </si>
  <si>
    <t>608_1</t>
  </si>
  <si>
    <t>MFE 29N-15P-5K+EM</t>
  </si>
  <si>
    <t>428 MFE 29N-15P-5K+EM-CALFERQUIM-G</t>
  </si>
  <si>
    <t>428_1</t>
  </si>
  <si>
    <t>MFE 29N-1P-11K+EM</t>
  </si>
  <si>
    <t>607 MFE 29N-1P-11K+EM-CALFERQUIM-G</t>
  </si>
  <si>
    <t>607_1</t>
  </si>
  <si>
    <t>MFE 29N-6P-12K+EM</t>
  </si>
  <si>
    <t>683 MFE 29N-6P-12K+EM-CALFERQUIM-G</t>
  </si>
  <si>
    <t>683_1</t>
  </si>
  <si>
    <t>MFE 30N-0P-20K</t>
  </si>
  <si>
    <t>840 MFE 30N-0P-20K-CALFERQUIM-G</t>
  </si>
  <si>
    <t>840_1</t>
  </si>
  <si>
    <t>MFE 30N-11P-6K+EM</t>
  </si>
  <si>
    <t>598 MFE 30N-11P-6K+EM-CALFERQUIM-G</t>
  </si>
  <si>
    <t>598_1</t>
  </si>
  <si>
    <t>MFE 30N-8P-0K-5CA+EM</t>
  </si>
  <si>
    <t>465 MFE 30N-8P-0K-5CA+EM-CALFERQUIM-G</t>
  </si>
  <si>
    <t>465_1</t>
  </si>
  <si>
    <t>MFE 30N-9P-0K+EM</t>
  </si>
  <si>
    <t>676 MFE 30N-9P-0K+EM-CALFERQUIM-G</t>
  </si>
  <si>
    <t>676_1</t>
  </si>
  <si>
    <t>MFE 31N-5P-0K+EM</t>
  </si>
  <si>
    <t>671 MFE 31N-5P-0K+EM-CALFERQUIM-G</t>
  </si>
  <si>
    <t>671_1</t>
  </si>
  <si>
    <t>MFE 31N-6P-7K+EM</t>
  </si>
  <si>
    <t>597 MFE 31N-6P-7K+EM-CALFERQUIM-G</t>
  </si>
  <si>
    <t>597_1</t>
  </si>
  <si>
    <t>MFE 31N-7K-9S</t>
  </si>
  <si>
    <t>581 MFE 31N-7K-9S-CALFERQUIM-G</t>
  </si>
  <si>
    <t>581_1</t>
  </si>
  <si>
    <t>MFE 32-0-9</t>
  </si>
  <si>
    <t>1080 MFE 32-0-9-CALFERQUIM-G</t>
  </si>
  <si>
    <t>1080_1</t>
  </si>
  <si>
    <t>MFE 33N-6P-6K+EM</t>
  </si>
  <si>
    <t>599 MFE 33N-6P-6K+EM-CALFERQUIM-G</t>
  </si>
  <si>
    <t>599_1</t>
  </si>
  <si>
    <t>MFE 4N-9P-0K+ EM</t>
  </si>
  <si>
    <t>666 MFE 4N-9P-0K+ EM-CALFERQUIM-G</t>
  </si>
  <si>
    <t>666_1</t>
  </si>
  <si>
    <t>MFE 5N-8P-29K+EM</t>
  </si>
  <si>
    <t>622 MFE 5N-8P-29K+EM-CALFERQUIM-G</t>
  </si>
  <si>
    <t>622_1</t>
  </si>
  <si>
    <t>MFE 6N-6P-33K+EM</t>
  </si>
  <si>
    <t>603 MFE 6N-6P-33K+EM-CALFERQUIM-G</t>
  </si>
  <si>
    <t>603_1</t>
  </si>
  <si>
    <t>MFE 7N-8P-30K+EM</t>
  </si>
  <si>
    <t>661 MFE 7N-8P-30K+EM-CALFERQUIM-G</t>
  </si>
  <si>
    <t>661_1</t>
  </si>
  <si>
    <t>MFE 8N-6P-24K+EM</t>
  </si>
  <si>
    <t>551 MFE 8N-6P-24K+EM-CALFERQUIM-G</t>
  </si>
  <si>
    <t>551_1</t>
  </si>
  <si>
    <t>MICRON C</t>
  </si>
  <si>
    <t>164 MICRON C-CALFERQUIM-G</t>
  </si>
  <si>
    <t>164_1</t>
  </si>
  <si>
    <t>MICRON CS</t>
  </si>
  <si>
    <t>188 MICRON CS-CALFERQUIM-G</t>
  </si>
  <si>
    <t>188_1</t>
  </si>
  <si>
    <t>MKP</t>
  </si>
  <si>
    <t>178 MKP-PRECISAGRO-C</t>
  </si>
  <si>
    <t>178_1</t>
  </si>
  <si>
    <t>NITRABOR</t>
  </si>
  <si>
    <t>354 NITRABOR--G</t>
  </si>
  <si>
    <t>354_1</t>
  </si>
  <si>
    <t>NUCLEO 4</t>
  </si>
  <si>
    <t>65 NUCLEO 4-CALFERQUIM-G</t>
  </si>
  <si>
    <t>65_1</t>
  </si>
  <si>
    <t>NUCLEO CAMASI GRIS</t>
  </si>
  <si>
    <t>62 NUCLEO CAMASI GRIS-CALFERQUIM-G</t>
  </si>
  <si>
    <t>62_1</t>
  </si>
  <si>
    <t>NUCLEO CAMASI ROJO</t>
  </si>
  <si>
    <t>452 NUCLEO CAMASI ROJO-CALFERQUIM-G</t>
  </si>
  <si>
    <t>452_1</t>
  </si>
  <si>
    <t>NUCLEO CAMASI YARA</t>
  </si>
  <si>
    <t>563 NUCLEO CAMASI YARA-CALFERQUIM-G</t>
  </si>
  <si>
    <t>563_1</t>
  </si>
  <si>
    <t>NUCLEO FERCON</t>
  </si>
  <si>
    <t>140 NUCLEO FERCON-CALFERQUIM-G</t>
  </si>
  <si>
    <t>140_1</t>
  </si>
  <si>
    <t>NUCLEO FOSFORO</t>
  </si>
  <si>
    <t>365 NUCLEO FOSFORO-CALFERQUIM-G</t>
  </si>
  <si>
    <t>365_1</t>
  </si>
  <si>
    <t>NUCLEO FOSFORO 1</t>
  </si>
  <si>
    <t>574 NUCLEO FOSFORO 1-CALFERQUIM-G</t>
  </si>
  <si>
    <t>574_1</t>
  </si>
  <si>
    <t>NUCLEO FOSFORO 10</t>
  </si>
  <si>
    <t>679 NUCLEO FOSFORO 10-CALFERQUIM-G</t>
  </si>
  <si>
    <t>679_1</t>
  </si>
  <si>
    <t>NUCLEO FOSFORO 2</t>
  </si>
  <si>
    <t>575 NUCLEO FOSFORO 2-CALFERQUIM-G</t>
  </si>
  <si>
    <t>575_1</t>
  </si>
  <si>
    <t>NUCLEO HIERRO</t>
  </si>
  <si>
    <t>CAMPOFERT</t>
  </si>
  <si>
    <t>302 NUCLEO HIERRO-CAMPOFERT-G</t>
  </si>
  <si>
    <t>302_1</t>
  </si>
  <si>
    <t>NUCLEO MAGNESIO</t>
  </si>
  <si>
    <t>208 NUCLEO MAGNESIO-CALFERQUIM-G</t>
  </si>
  <si>
    <t>208_1</t>
  </si>
  <si>
    <t>NUCLEO MAGNESIO-S</t>
  </si>
  <si>
    <t>803 NUCLEO MAGNESIO-S-CALFERQUIM-G</t>
  </si>
  <si>
    <t>803_1</t>
  </si>
  <si>
    <t>NUCLEO MAGNESIO-S EM</t>
  </si>
  <si>
    <t>804 NUCLEO MAGNESIO-S EM-CALFERQUIM-G</t>
  </si>
  <si>
    <t>804_1</t>
  </si>
  <si>
    <t>NUCLEO MAGNESIO-SILICIO</t>
  </si>
  <si>
    <t>604 NUCLEO MAGNESIO-SILICIO-CALFERQUIM-G</t>
  </si>
  <si>
    <t>604_1</t>
  </si>
  <si>
    <t>NUCLEO MAGNESIO-SILICIO EM</t>
  </si>
  <si>
    <t>558 NUCLEO MAGNESIO-SILICIO EM-CALFERQUIM-G</t>
  </si>
  <si>
    <t>558_1</t>
  </si>
  <si>
    <t>NUCLEO MANGANESO</t>
  </si>
  <si>
    <t>579 NUCLEO MANGANESO-CALFERQUIM-G</t>
  </si>
  <si>
    <t>579_1</t>
  </si>
  <si>
    <t>NUCLEO MENORES</t>
  </si>
  <si>
    <t>61 NUCLEO MENORES-CALFERQUIM-G</t>
  </si>
  <si>
    <t>61_1</t>
  </si>
  <si>
    <t>NUCLEO N</t>
  </si>
  <si>
    <t>611 NUCLEO N-CALFERQUIM-G</t>
  </si>
  <si>
    <t>611_1</t>
  </si>
  <si>
    <t>OXIDO MAGNESIO</t>
  </si>
  <si>
    <t>ATEQUIMICOS</t>
  </si>
  <si>
    <t>57 OXIDO MAGNESIO-ATEQUIMICOS-P</t>
  </si>
  <si>
    <t>57_1</t>
  </si>
  <si>
    <t>OXIDO ZINC</t>
  </si>
  <si>
    <t>56 OXIDO ZINC--</t>
  </si>
  <si>
    <t>56_1</t>
  </si>
  <si>
    <t>OXIDO ZINC 70</t>
  </si>
  <si>
    <t>55 OXIDO ZINC 70--</t>
  </si>
  <si>
    <t>55_1</t>
  </si>
  <si>
    <t>PANTEKALI</t>
  </si>
  <si>
    <t>349 PANTEKALI-PRECISAGRO-</t>
  </si>
  <si>
    <t>349_1</t>
  </si>
  <si>
    <t>349 PANTEKALI-DISAN-</t>
  </si>
  <si>
    <t>349_2</t>
  </si>
  <si>
    <t>POLVILLO BORO</t>
  </si>
  <si>
    <t>53 POLVILLO BORO-CALFERQUIM-</t>
  </si>
  <si>
    <t>53_1</t>
  </si>
  <si>
    <t>POLVILLO CALFERZINC P</t>
  </si>
  <si>
    <t>294 POLVILLO CALFERZINC P-CALFERQUIM-</t>
  </si>
  <si>
    <t>294_1</t>
  </si>
  <si>
    <t>POLVILLO FERTIMENORES</t>
  </si>
  <si>
    <t>403 POLVILLO FERTIMENORES-CALFERQUIM-</t>
  </si>
  <si>
    <t>403_1</t>
  </si>
  <si>
    <t>POLVILLO FOSFORO 10</t>
  </si>
  <si>
    <t>684 POLVILLO FOSFORO 10-CALFERQUIM-</t>
  </si>
  <si>
    <t>684_1</t>
  </si>
  <si>
    <t>POLVILLO FOSFORO ESPECIAL</t>
  </si>
  <si>
    <t>637 POLVILLO FOSFORO ESPECIAL-CALFERQUIM-</t>
  </si>
  <si>
    <t>637_1</t>
  </si>
  <si>
    <t>POLVILLO K2K</t>
  </si>
  <si>
    <t>47 POLVILLO K2K-CALFERQUIM-</t>
  </si>
  <si>
    <t>47_1</t>
  </si>
  <si>
    <t>POLVILLO KCL GRANULADO</t>
  </si>
  <si>
    <t>470 POLVILLO KCL GRANULADO--</t>
  </si>
  <si>
    <t>470_1</t>
  </si>
  <si>
    <t>POLVILLO MAGNE 3</t>
  </si>
  <si>
    <t>295 POLVILLO MAGNE 3-CALFERQUIM-</t>
  </si>
  <si>
    <t>295_1</t>
  </si>
  <si>
    <t>POLVILLO MAGNE 6</t>
  </si>
  <si>
    <t>229 POLVILLO MAGNE 6-CALFERQUIM-</t>
  </si>
  <si>
    <t>229_1</t>
  </si>
  <si>
    <t>POLVILLO MAGNESIO</t>
  </si>
  <si>
    <t>230 POLVILLO MAGNESIO-CALFERQUIM-</t>
  </si>
  <si>
    <t>230_1</t>
  </si>
  <si>
    <t>POLVILLO MANGANESO</t>
  </si>
  <si>
    <t>613 POLVILLO MANGANESO-CALFERQUIM-</t>
  </si>
  <si>
    <t>613_1</t>
  </si>
  <si>
    <t>POLVILLO MENORES</t>
  </si>
  <si>
    <t>51 POLVILLO MENORES-CALFERQUIM-</t>
  </si>
  <si>
    <t>51_1</t>
  </si>
  <si>
    <t>POLVILLO NUCLEO 4</t>
  </si>
  <si>
    <t>287 POLVILLO NUCLEO 4-CALFERQUIM-</t>
  </si>
  <si>
    <t>287_1</t>
  </si>
  <si>
    <t>POLVILLO NUCLEO CAMASI</t>
  </si>
  <si>
    <t>50 POLVILLO NUCLEO CAMASI-CALFERQUIM-</t>
  </si>
  <si>
    <t>50_1</t>
  </si>
  <si>
    <t>POLVILLO NUCLEO CAMASI ROJO</t>
  </si>
  <si>
    <t>636 POLVILLO NUCLEO CAMASI ROJO-CALFERQUIM-</t>
  </si>
  <si>
    <t>636_1</t>
  </si>
  <si>
    <t>POLVILLO NUCLEO CAMASI YARA</t>
  </si>
  <si>
    <t>534 POLVILLO NUCLEO CAMASI YARA-CALFERQUIM-</t>
  </si>
  <si>
    <t>534_1</t>
  </si>
  <si>
    <t>POLVILLO NUCLEO SILICIO-MAGNESIO</t>
  </si>
  <si>
    <t>685 POLVILLO NUCLEO SILICIO-MAGNESIO-CALFERQUIM-</t>
  </si>
  <si>
    <t>685_1</t>
  </si>
  <si>
    <t>POLVILLO RAIFOS</t>
  </si>
  <si>
    <t>366 POLVILLO RAIFOS-CALFERQUIM-</t>
  </si>
  <si>
    <t>366_1</t>
  </si>
  <si>
    <t>POLVILLO SAM GRANULADO</t>
  </si>
  <si>
    <t>638 POLVILLO SAM GRANULADO-CALFERQUIM-</t>
  </si>
  <si>
    <t>638_1</t>
  </si>
  <si>
    <t>POLVILLO SILIMAGRAM</t>
  </si>
  <si>
    <t>421 POLVILLO SILIMAGRAM-CALFERQUIM-</t>
  </si>
  <si>
    <t>421_1</t>
  </si>
  <si>
    <t>POLVILLO SULFATO DE CALCIO</t>
  </si>
  <si>
    <t>49 POLVILLO SULFATO DE CALCIO-CALFERQUIM-</t>
  </si>
  <si>
    <t>49_1</t>
  </si>
  <si>
    <t>POLVILLO ZUELO Ca</t>
  </si>
  <si>
    <t>368 POLVILLO ZUELO Ca-CALFERQUIM-</t>
  </si>
  <si>
    <t>368_1</t>
  </si>
  <si>
    <t>RAIFOS 20</t>
  </si>
  <si>
    <t>155 RAIFOS 20-CALFERQUIM-G</t>
  </si>
  <si>
    <t>155_1</t>
  </si>
  <si>
    <t>ROCA FOSFÓRICA</t>
  </si>
  <si>
    <t>FOSFATOS HUILA</t>
  </si>
  <si>
    <t>31 ROCA FOSFÓRICA-FOSFATOS HUILA-P</t>
  </si>
  <si>
    <t>31_1</t>
  </si>
  <si>
    <t>ROCA FOSFORICA-24</t>
  </si>
  <si>
    <t>PRACO</t>
  </si>
  <si>
    <t>832 ROCA FOSFORICA-24-PRACO-P</t>
  </si>
  <si>
    <t>832_1</t>
  </si>
  <si>
    <t>ROCA FOSFORICA-26</t>
  </si>
  <si>
    <t>290 ROCA FOSFORICA-26-PRACO-P</t>
  </si>
  <si>
    <t>290_1</t>
  </si>
  <si>
    <t>ROCA FOSFÓRICA-28</t>
  </si>
  <si>
    <t>34 ROCA FOSFÓRICA-28-PRACO-P</t>
  </si>
  <si>
    <t>34_1</t>
  </si>
  <si>
    <t>ROCA FOSFORICA-30</t>
  </si>
  <si>
    <t>681 ROCA FOSFORICA-30--P</t>
  </si>
  <si>
    <t>681_1</t>
  </si>
  <si>
    <t>SAM</t>
  </si>
  <si>
    <t>32 SAM-NUTRICION PLANTAS-G</t>
  </si>
  <si>
    <t>32_1</t>
  </si>
  <si>
    <t>32 SAM-PRECISAGRO-G</t>
  </si>
  <si>
    <t>32_2</t>
  </si>
  <si>
    <t>32 SAM-EVOAGRO-G</t>
  </si>
  <si>
    <t>32_3</t>
  </si>
  <si>
    <t>32 SAM-CALFERQUIM-G</t>
  </si>
  <si>
    <t>32_4</t>
  </si>
  <si>
    <t>SAM STD</t>
  </si>
  <si>
    <t>40 SAM STD--P</t>
  </si>
  <si>
    <t>40_1</t>
  </si>
  <si>
    <t>SILICATO HIERRO</t>
  </si>
  <si>
    <t>171 SILICATO HIERRO-HYM-P</t>
  </si>
  <si>
    <t>171_1</t>
  </si>
  <si>
    <t>SILICATO MAGNESIO</t>
  </si>
  <si>
    <t>JULIAN SALDARRIAGA</t>
  </si>
  <si>
    <t>274 SILICATO MAGNESIO-JULIAN SALDARRIAGA-P</t>
  </si>
  <si>
    <t>274_1</t>
  </si>
  <si>
    <t>SILICATO SODIO</t>
  </si>
  <si>
    <t>37 SILICATO SODIO--P</t>
  </si>
  <si>
    <t>37_1</t>
  </si>
  <si>
    <t>SILIMAGRAN</t>
  </si>
  <si>
    <t>35 SILIMAGRAN-CALFERQUIM-G</t>
  </si>
  <si>
    <t>35_1</t>
  </si>
  <si>
    <t>SULFATO CALCIO</t>
  </si>
  <si>
    <t>ANIBAL ARANGO</t>
  </si>
  <si>
    <t>5 SULFATO CALCIO-ANIBAL ARANGO-P</t>
  </si>
  <si>
    <t>5_1</t>
  </si>
  <si>
    <t>AGROINSUMOS</t>
  </si>
  <si>
    <t>5 SULFATO CALCIO-AGROINSUMOS-P</t>
  </si>
  <si>
    <t>5_2</t>
  </si>
  <si>
    <t>SULFATO CALCIO SUCROAL</t>
  </si>
  <si>
    <t>505 SULFATO CALCIO SUCROAL--P</t>
  </si>
  <si>
    <t>505_1</t>
  </si>
  <si>
    <t>SULFATO COBRE</t>
  </si>
  <si>
    <t>831 SULFATO COBRE--P</t>
  </si>
  <si>
    <t>831_1</t>
  </si>
  <si>
    <t>SULFATO COBRE 22</t>
  </si>
  <si>
    <t>30 SULFATO COBRE 22--P</t>
  </si>
  <si>
    <t>30_1</t>
  </si>
  <si>
    <t>SULFATO COBRE 25</t>
  </si>
  <si>
    <t>173 SULFATO COBRE 25--P</t>
  </si>
  <si>
    <t>173_1</t>
  </si>
  <si>
    <t>SULFATO HIERRO</t>
  </si>
  <si>
    <t>28 SULFATO HIERRO--P</t>
  </si>
  <si>
    <t>28_1</t>
  </si>
  <si>
    <t>SULFATO MANGANESO</t>
  </si>
  <si>
    <t>425 SULFATO MANGANESO--P</t>
  </si>
  <si>
    <t>425_1</t>
  </si>
  <si>
    <t>SULFATO POTASIO</t>
  </si>
  <si>
    <t>197 SULFATO POTASIO-PRECISAGRO-C</t>
  </si>
  <si>
    <t>197_1</t>
  </si>
  <si>
    <t>AGRICULTURA Y SERVICIOS</t>
  </si>
  <si>
    <t>167 SULFATO POTASIO-AGRICULTURA Y SERVICIOS-G</t>
  </si>
  <si>
    <t>167_1</t>
  </si>
  <si>
    <t>SULFATO ZINC 22</t>
  </si>
  <si>
    <t>997 SULFATO ZINC 22-CALFERQUIM-P</t>
  </si>
  <si>
    <t>997_1</t>
  </si>
  <si>
    <t>SULFATO ZINC 22 MP</t>
  </si>
  <si>
    <t>21 SULFATO ZINC 22 MP--P</t>
  </si>
  <si>
    <t>SULFATO ZINC 32</t>
  </si>
  <si>
    <t>227 SULFATO ZINC 32--P</t>
  </si>
  <si>
    <t>227_1</t>
  </si>
  <si>
    <t>SULFATO ZINC 35</t>
  </si>
  <si>
    <t>23 SULFATO ZINC 35-ATEQUIMICOS-P</t>
  </si>
  <si>
    <t>23_1</t>
  </si>
  <si>
    <t>SULFATO ZINC 38</t>
  </si>
  <si>
    <t>323 SULFATO ZINC 38--P</t>
  </si>
  <si>
    <t>323_1</t>
  </si>
  <si>
    <t>ULEXITA</t>
  </si>
  <si>
    <t>ATEQUIMICO</t>
  </si>
  <si>
    <t>16 ULEXITA-ATEQUIMICO-P</t>
  </si>
  <si>
    <t>16_1</t>
  </si>
  <si>
    <t>16 ULEXITA-MANUCHAR-C</t>
  </si>
  <si>
    <t>16_2</t>
  </si>
  <si>
    <t>UREA</t>
  </si>
  <si>
    <t>12 UREA-PRECISAGRO-G</t>
  </si>
  <si>
    <t>12_1</t>
  </si>
  <si>
    <t>12 UREA-EVOAGRO-G</t>
  </si>
  <si>
    <t>12_2</t>
  </si>
  <si>
    <t>12 UREA-NUTRICION PLANTAS-G</t>
  </si>
  <si>
    <t>12_3</t>
  </si>
  <si>
    <t>12_4</t>
  </si>
  <si>
    <t>VINAZA</t>
  </si>
  <si>
    <t>MASTERCAMPO</t>
  </si>
  <si>
    <t>214 VINAZA-MASTERCAMPO-L</t>
  </si>
  <si>
    <t>214_1</t>
  </si>
  <si>
    <t>MANUELITA</t>
  </si>
  <si>
    <t>214 VINAZA-MANUELITA-L</t>
  </si>
  <si>
    <t>214_2</t>
  </si>
  <si>
    <t>ZUELO CA</t>
  </si>
  <si>
    <t>160 ZUELO CA-CALFERQUIM-G</t>
  </si>
  <si>
    <t>160_1</t>
  </si>
  <si>
    <t>663x</t>
  </si>
  <si>
    <t>Fertimenores 2</t>
  </si>
  <si>
    <t>663x Fertimenores 2-CALFERQUIM-P</t>
  </si>
  <si>
    <t>663x_1</t>
  </si>
  <si>
    <t>CERTIFICADO</t>
  </si>
  <si>
    <t>LOTE</t>
  </si>
  <si>
    <t>FECHA</t>
  </si>
  <si>
    <t>Tolerancia CaO</t>
  </si>
  <si>
    <t>Tolerancia MgO</t>
  </si>
  <si>
    <t>Tolerancia S</t>
  </si>
  <si>
    <t>Silicio Total</t>
  </si>
  <si>
    <t>Muestra</t>
  </si>
  <si>
    <t>LI</t>
  </si>
  <si>
    <t>LS</t>
  </si>
  <si>
    <t>LI 2</t>
  </si>
  <si>
    <t>LS 2</t>
  </si>
  <si>
    <t>LI 3</t>
  </si>
  <si>
    <t>LS 3</t>
  </si>
  <si>
    <t>Diferencia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</si>
</sst>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&quot;Noto Sans&quot;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7">
    <border/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textRotation="90" vertical="center" wrapText="0"/>
    </xf>
    <xf borderId="0" fillId="0" fontId="1" numFmtId="49" xfId="0" applyAlignment="1" applyFont="1" applyNumberFormat="1">
      <alignment horizontal="left" readingOrder="0" shrinkToFit="0" textRotation="90" vertical="center" wrapText="0"/>
    </xf>
    <xf borderId="0" fillId="0" fontId="1" numFmtId="0" xfId="0" applyAlignment="1" applyFont="1">
      <alignment horizontal="left" readingOrder="0" shrinkToFit="0" textRotation="90" vertical="center" wrapText="0"/>
    </xf>
    <xf borderId="0" fillId="0" fontId="2" numFmtId="0" xfId="0" applyAlignment="1" applyFont="1">
      <alignment horizontal="center" readingOrder="0" shrinkToFit="0" textRotation="9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Font="1"/>
    <xf borderId="1" fillId="2" fontId="3" numFmtId="0" xfId="0" applyAlignment="1" applyBorder="1" applyFill="1" applyFont="1">
      <alignment readingOrder="0" shrinkToFit="0" vertical="bottom" wrapText="0"/>
    </xf>
    <xf borderId="2" fillId="2" fontId="3" numFmtId="0" xfId="0" applyAlignment="1" applyBorder="1" applyFont="1">
      <alignment readingOrder="0"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2" fillId="2" fontId="3" numFmtId="9" xfId="0" applyAlignment="1" applyBorder="1" applyFont="1" applyNumberFormat="1">
      <alignment horizontal="center" readingOrder="0" shrinkToFit="0" vertical="bottom" wrapText="0"/>
    </xf>
    <xf borderId="2" fillId="2" fontId="3" numFmtId="10" xfId="0" applyAlignment="1" applyBorder="1" applyFont="1" applyNumberFormat="1">
      <alignment horizontal="center" readingOrder="0" shrinkToFit="0" vertical="bottom" wrapText="0"/>
    </xf>
    <xf borderId="3" fillId="2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2" fillId="2" fontId="3" numFmtId="0" xfId="0" applyAlignment="1" applyBorder="1" applyFont="1">
      <alignment horizontal="right" readingOrder="0" shrinkToFit="0" vertical="bottom" wrapText="0"/>
    </xf>
    <xf borderId="4" fillId="2" fontId="3" numFmtId="0" xfId="0" applyAlignment="1" applyBorder="1" applyFont="1">
      <alignment readingOrder="0" shrinkToFit="0" vertical="bottom" wrapText="0"/>
    </xf>
    <xf borderId="5" fillId="2" fontId="3" numFmtId="0" xfId="0" applyAlignment="1" applyBorder="1" applyFont="1">
      <alignment readingOrder="0" shrinkToFit="0" vertical="bottom" wrapText="0"/>
    </xf>
    <xf borderId="5" fillId="2" fontId="3" numFmtId="0" xfId="0" applyAlignment="1" applyBorder="1" applyFont="1">
      <alignment horizontal="right" readingOrder="0" shrinkToFit="0" vertical="bottom" wrapText="0"/>
    </xf>
    <xf borderId="5" fillId="2" fontId="3" numFmtId="0" xfId="0" applyAlignment="1" applyBorder="1" applyFont="1">
      <alignment horizontal="center" shrinkToFit="0" vertical="bottom" wrapText="0"/>
    </xf>
    <xf borderId="5" fillId="2" fontId="3" numFmtId="10" xfId="0" applyAlignment="1" applyBorder="1" applyFont="1" applyNumberFormat="1">
      <alignment horizontal="center" readingOrder="0" shrinkToFit="0" vertical="bottom" wrapText="0"/>
    </xf>
    <xf borderId="6" fillId="2" fontId="3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5">
    <tableStyle count="4" pivot="0" name="resultados la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Sheet4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3" pivot="0" name="Sheet4-style 2">
      <tableStyleElement dxfId="2" type="firstRowStripe"/>
      <tableStyleElement dxfId="3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Resultados CaO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Sheet4!$B$1</c:f>
            </c:strRef>
          </c:tx>
          <c:spPr>
            <a:solidFill>
              <a:srgbClr val="B6E73E"/>
            </a:solidFill>
            <a:ln cmpd="sng">
              <a:solidFill>
                <a:srgbClr val="B6E73E">
                  <a:alpha val="100000"/>
                </a:srgbClr>
              </a:solidFill>
            </a:ln>
          </c:spPr>
          <c:cat>
            <c:strRef>
              <c:f>Sheet4!$A$2:$A$22</c:f>
            </c:strRef>
          </c:cat>
          <c:val>
            <c:numRef>
              <c:f>Sheet4!$B$2:$B$22</c:f>
              <c:numCache/>
            </c:numRef>
          </c:val>
        </c:ser>
        <c:axId val="1275522191"/>
        <c:axId val="1075594183"/>
      </c:barChart>
      <c:lineChart>
        <c:ser>
          <c:idx val="1"/>
          <c:order val="1"/>
          <c:tx>
            <c:strRef>
              <c:f>Sheet4!$C$1</c:f>
            </c:strRef>
          </c:tx>
          <c:spPr>
            <a:ln cmpd="sng" w="38100">
              <a:solidFill>
                <a:srgbClr val="EA4335"/>
              </a:solidFill>
              <a:prstDash val="dash"/>
            </a:ln>
          </c:spPr>
          <c:marker>
            <c:symbol val="none"/>
          </c:marker>
          <c:cat>
            <c:strRef>
              <c:f>Sheet4!$A$2:$A$22</c:f>
            </c:strRef>
          </c:cat>
          <c:val>
            <c:numRef>
              <c:f>Sheet4!$C$2:$C$22</c:f>
              <c:numCache/>
            </c:numRef>
          </c:val>
          <c:smooth val="0"/>
        </c:ser>
        <c:ser>
          <c:idx val="2"/>
          <c:order val="2"/>
          <c:tx>
            <c:strRef>
              <c:f>Sheet4!$D$1</c:f>
            </c:strRef>
          </c:tx>
          <c:spPr>
            <a:ln cmpd="sng" w="38100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Sheet4!$A$2:$A$22</c:f>
            </c:strRef>
          </c:cat>
          <c:val>
            <c:numRef>
              <c:f>Sheet4!$D$2:$D$22</c:f>
              <c:numCache/>
            </c:numRef>
          </c:val>
          <c:smooth val="0"/>
        </c:ser>
        <c:axId val="1275522191"/>
        <c:axId val="1075594183"/>
      </c:lineChart>
      <c:catAx>
        <c:axId val="1275522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594183"/>
      </c:catAx>
      <c:valAx>
        <c:axId val="1075594183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CaO Total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522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Resultados S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Sheet4!$H$1</c:f>
            </c:strRef>
          </c:tx>
          <c:spPr>
            <a:solidFill>
              <a:srgbClr val="B6E73E"/>
            </a:solidFill>
            <a:ln cmpd="sng">
              <a:solidFill>
                <a:srgbClr val="B6E73E">
                  <a:alpha val="100000"/>
                </a:srgbClr>
              </a:solidFill>
            </a:ln>
          </c:spPr>
          <c:cat>
            <c:strRef>
              <c:f>Sheet4!$A$2:$A$22</c:f>
            </c:strRef>
          </c:cat>
          <c:val>
            <c:numRef>
              <c:f>Sheet4!$H$2:$H$22</c:f>
              <c:numCache/>
            </c:numRef>
          </c:val>
        </c:ser>
        <c:axId val="1540786931"/>
        <c:axId val="1255496555"/>
      </c:barChart>
      <c:lineChart>
        <c:ser>
          <c:idx val="1"/>
          <c:order val="1"/>
          <c:tx>
            <c:strRef>
              <c:f>Sheet4!$I$1</c:f>
            </c:strRef>
          </c:tx>
          <c:spPr>
            <a:ln cmpd="sng" w="38100">
              <a:solidFill>
                <a:srgbClr val="EA4335"/>
              </a:solidFill>
              <a:prstDash val="dash"/>
            </a:ln>
          </c:spPr>
          <c:marker>
            <c:symbol val="none"/>
          </c:marker>
          <c:cat>
            <c:strRef>
              <c:f>Sheet4!$A$2:$A$22</c:f>
            </c:strRef>
          </c:cat>
          <c:val>
            <c:numRef>
              <c:f>Sheet4!$I$2:$I$22</c:f>
              <c:numCache/>
            </c:numRef>
          </c:val>
          <c:smooth val="0"/>
        </c:ser>
        <c:ser>
          <c:idx val="2"/>
          <c:order val="2"/>
          <c:tx>
            <c:strRef>
              <c:f>Sheet4!$J$1</c:f>
            </c:strRef>
          </c:tx>
          <c:spPr>
            <a:ln cmpd="sng" w="38100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Sheet4!$A$2:$A$22</c:f>
            </c:strRef>
          </c:cat>
          <c:val>
            <c:numRef>
              <c:f>Sheet4!$J$2:$J$22</c:f>
              <c:numCache/>
            </c:numRef>
          </c:val>
          <c:smooth val="0"/>
        </c:ser>
        <c:axId val="1540786931"/>
        <c:axId val="1255496555"/>
      </c:lineChart>
      <c:catAx>
        <c:axId val="1540786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496555"/>
      </c:catAx>
      <c:valAx>
        <c:axId val="1255496555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 Total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7869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Resultados MgO Total</a:t>
            </a:r>
          </a:p>
        </c:rich>
      </c:tx>
      <c:overlay val="0"/>
    </c:title>
    <c:plotArea>
      <c:layout/>
      <c:barChart>
        <c:barDir val="col"/>
        <c:ser>
          <c:idx val="2"/>
          <c:order val="2"/>
          <c:tx>
            <c:strRef>
              <c:f>Sheet4!$E$1</c:f>
            </c:strRef>
          </c:tx>
          <c:spPr>
            <a:solidFill>
              <a:srgbClr val="B6E73E"/>
            </a:solidFill>
            <a:ln cmpd="sng">
              <a:solidFill>
                <a:srgbClr val="B6E73E">
                  <a:alpha val="100000"/>
                </a:srgbClr>
              </a:solidFill>
            </a:ln>
          </c:spPr>
          <c:cat>
            <c:strRef>
              <c:f>Sheet4!$A$2:$A$22</c:f>
            </c:strRef>
          </c:cat>
          <c:val>
            <c:numRef>
              <c:f>Sheet4!$E$2:$E$22</c:f>
              <c:numCache/>
            </c:numRef>
          </c:val>
        </c:ser>
        <c:axId val="1671827932"/>
        <c:axId val="1020285568"/>
      </c:barChart>
      <c:lineChart>
        <c:ser>
          <c:idx val="0"/>
          <c:order val="0"/>
          <c:tx>
            <c:strRef>
              <c:f>Sheet4!$C$1</c:f>
            </c:strRef>
          </c:tx>
          <c:spPr>
            <a:ln cmpd="sng" w="38100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Sheet4!$A$2:$A$22</c:f>
            </c:strRef>
          </c:cat>
          <c:val>
            <c:numRef>
              <c:f>Sheet4!$C$2:$C$22</c:f>
              <c:numCache/>
            </c:numRef>
          </c:val>
          <c:smooth val="0"/>
        </c:ser>
        <c:ser>
          <c:idx val="1"/>
          <c:order val="1"/>
          <c:tx>
            <c:strRef>
              <c:f>Sheet4!$D$1</c:f>
            </c:strRef>
          </c:tx>
          <c:spPr>
            <a:ln cmpd="sng" w="38100">
              <a:solidFill>
                <a:srgbClr val="EA4335"/>
              </a:solidFill>
              <a:prstDash val="dash"/>
            </a:ln>
          </c:spPr>
          <c:marker>
            <c:symbol val="none"/>
          </c:marker>
          <c:cat>
            <c:strRef>
              <c:f>Sheet4!$A$2:$A$22</c:f>
            </c:strRef>
          </c:cat>
          <c:val>
            <c:numRef>
              <c:f>Sheet4!$D$2:$D$22</c:f>
              <c:numCache/>
            </c:numRef>
          </c:val>
          <c:smooth val="0"/>
        </c:ser>
        <c:axId val="1671827932"/>
        <c:axId val="1020285568"/>
      </c:lineChart>
      <c:catAx>
        <c:axId val="1671827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285568"/>
      </c:catAx>
      <c:valAx>
        <c:axId val="1020285568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MgO Total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827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Resultados SiO2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Sheet4!$K$1</c:f>
            </c:strRef>
          </c:tx>
          <c:spPr>
            <a:solidFill>
              <a:srgbClr val="B6E73E"/>
            </a:solidFill>
            <a:ln cmpd="sng">
              <a:solidFill>
                <a:srgbClr val="B6E73E">
                  <a:alpha val="100000"/>
                </a:srgbClr>
              </a:solidFill>
            </a:ln>
          </c:spPr>
          <c:cat>
            <c:strRef>
              <c:f>Sheet4!$A$2:$A$22</c:f>
            </c:strRef>
          </c:cat>
          <c:val>
            <c:numRef>
              <c:f>Sheet4!$K$2:$K$22</c:f>
              <c:numCache/>
            </c:numRef>
          </c:val>
        </c:ser>
        <c:axId val="1553512950"/>
        <c:axId val="1911327979"/>
      </c:barChart>
      <c:lineChart>
        <c:varyColors val="0"/>
        <c:ser>
          <c:idx val="1"/>
          <c:order val="1"/>
          <c:tx>
            <c:strRef>
              <c:f>Sheet4!$L$1</c:f>
            </c:strRef>
          </c:tx>
          <c:spPr>
            <a:ln cmpd="sng" w="38100">
              <a:solidFill>
                <a:srgbClr val="EA4335"/>
              </a:solidFill>
              <a:prstDash val="dash"/>
            </a:ln>
          </c:spPr>
          <c:marker>
            <c:symbol val="none"/>
          </c:marker>
          <c:cat>
            <c:strRef>
              <c:f>Sheet4!$A$2:$A$22</c:f>
            </c:strRef>
          </c:cat>
          <c:val>
            <c:numRef>
              <c:f>Sheet4!$L$2:$L$22</c:f>
              <c:numCache/>
            </c:numRef>
          </c:val>
          <c:smooth val="0"/>
        </c:ser>
        <c:axId val="1553512950"/>
        <c:axId val="1911327979"/>
      </c:lineChart>
      <c:catAx>
        <c:axId val="1553512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327979"/>
      </c:catAx>
      <c:valAx>
        <c:axId val="1911327979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SiO2 Total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512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24</xdr:row>
      <xdr:rowOff>200025</xdr:rowOff>
    </xdr:from>
    <xdr:ext cx="6762750" cy="3981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942975</xdr:colOff>
      <xdr:row>46</xdr:row>
      <xdr:rowOff>9525</xdr:rowOff>
    </xdr:from>
    <xdr:ext cx="6762750" cy="3981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933450</xdr:colOff>
      <xdr:row>24</xdr:row>
      <xdr:rowOff>200025</xdr:rowOff>
    </xdr:from>
    <xdr:ext cx="6762750" cy="3981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933450</xdr:colOff>
      <xdr:row>46</xdr:row>
      <xdr:rowOff>9525</xdr:rowOff>
    </xdr:from>
    <xdr:ext cx="6762750" cy="3981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N999" displayName="Table1" name="Table1" id="1">
  <autoFilter ref="$A$1:$AN$999">
    <filterColumn colId="4">
      <filters>
        <filter val="pf"/>
      </filters>
    </filterColumn>
  </autoFilter>
  <tableColumns count="40">
    <tableColumn name="id" id="1"/>
    <tableColumn name="analisis" id="2"/>
    <tableColumn name="certificado" id="3"/>
    <tableColumn name="ot" id="4"/>
    <tableColumn name="tipo" id="5"/>
    <tableColumn name="producto" id="6"/>
    <tableColumn name="codigo" id="7"/>
    <tableColumn name="lote" id="8"/>
    <tableColumn name="Fecha" id="9"/>
    <tableColumn name="C" id="10"/>
    <tableColumn name="N" id="11"/>
    <tableColumn name="N-NH4" id="12"/>
    <tableColumn name="N-NO3" id="13"/>
    <tableColumn name="N-org" id="14"/>
    <tableColumn name="N-ur" id="15"/>
    <tableColumn name="P" id="16"/>
    <tableColumn name="K" id="17"/>
    <tableColumn name="CaO" id="18"/>
    <tableColumn name="MgO" id="19"/>
    <tableColumn name="S" id="20"/>
    <tableColumn name="B" id="21"/>
    <tableColumn name="Co" id="22"/>
    <tableColumn name="Cu" id="23"/>
    <tableColumn name="Fe" id="24"/>
    <tableColumn name="Mn" id="25"/>
    <tableColumn name="Mo" id="26"/>
    <tableColumn name="SiO2" id="27"/>
    <tableColumn name="Zn" id="28"/>
    <tableColumn name="Na" id="29"/>
    <tableColumn name="Enterobacterias" id="30"/>
    <tableColumn name="salmonella" id="31"/>
    <tableColumn name="coliformes totales" id="32"/>
    <tableColumn name="helmintos" id="33"/>
    <tableColumn name="mb5" id="34"/>
    <tableColumn name="arsenico" id="35"/>
    <tableColumn name="cadmio" id="36"/>
    <tableColumn name="cromo" id="37"/>
    <tableColumn name="mercurio" id="38"/>
    <tableColumn name="niquel" id="39"/>
    <tableColumn name="plomo" id="40"/>
  </tableColumns>
  <tableStyleInfo name="resultados lab-style" showColumnStripes="0" showFirstColumn="1" showLastColumn="1" showRowStripes="1"/>
</table>
</file>

<file path=xl/tables/table2.xml><?xml version="1.0" encoding="utf-8"?>
<table xmlns="http://schemas.openxmlformats.org/spreadsheetml/2006/main" ref="A1:AL414" displayName="Table2" name="Table2" id="2">
  <tableColumns count="38">
    <tableColumn name="COD" id="1"/>
    <tableColumn name="PRODUCTO" id="2"/>
    <tableColumn name="PROVEEDOR" id="3"/>
    <tableColumn name="Cprov" id="4"/>
    <tableColumn name="TIPO" id="5"/>
    <tableColumn name="NOMBRE" id="6"/>
    <tableColumn name="BSQD" id="7"/>
    <tableColumn name="v" id="8"/>
    <tableColumn name="C" id="9"/>
    <tableColumn name="N" id="10"/>
    <tableColumn name="N-NH4" id="11"/>
    <tableColumn name="N-NO3" id="12"/>
    <tableColumn name="N-org" id="13"/>
    <tableColumn name="N-ur" id="14"/>
    <tableColumn name="P" id="15"/>
    <tableColumn name="K" id="16"/>
    <tableColumn name="CaO" id="17"/>
    <tableColumn name="MgO" id="18"/>
    <tableColumn name="S" id="19"/>
    <tableColumn name="B" id="20"/>
    <tableColumn name="Co" id="21"/>
    <tableColumn name="Cu" id="22"/>
    <tableColumn name="Fe" id="23"/>
    <tableColumn name="Mn" id="24"/>
    <tableColumn name="Mo" id="25"/>
    <tableColumn name="SiO2" id="26"/>
    <tableColumn name="Zn" id="27"/>
    <tableColumn name="Na" id="28"/>
    <tableColumn name="COMP1" id="29"/>
    <tableColumn name="COMP2" id="30"/>
    <tableColumn name="COMP3" id="31"/>
    <tableColumn name="COMP4" id="32"/>
    <tableColumn name="COMP5" id="33"/>
    <tableColumn name="COMP6" id="34"/>
    <tableColumn name="COMP7" id="35"/>
    <tableColumn name="COMP8" id="36"/>
    <tableColumn name="COMP9" id="37"/>
    <tableColumn name="COMP10" id="38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1:L17" displayName="Table3" name="Table3" id="3">
  <tableColumns count="12">
    <tableColumn name="CERTIFICADO" id="1"/>
    <tableColumn name="PRODUCTO" id="2"/>
    <tableColumn name="LOTE" id="3"/>
    <tableColumn name="FECHA" id="4"/>
    <tableColumn name="CaO" id="5"/>
    <tableColumn name="MgO" id="6"/>
    <tableColumn name="S" id="7"/>
    <tableColumn name="SiO2" id="8"/>
    <tableColumn name="Tolerancia CaO" id="9"/>
    <tableColumn name="Tolerancia MgO" id="10"/>
    <tableColumn name="Tolerancia S" id="11"/>
    <tableColumn name="Silicio Total" id="12"/>
  </tableColumns>
  <tableStyleInfo name="Sheet3-style" showColumnStripes="0" showFirstColumn="1" showLastColumn="1" showRowStripes="1"/>
</table>
</file>

<file path=xl/tables/table4.xml><?xml version="1.0" encoding="utf-8"?>
<table xmlns="http://schemas.openxmlformats.org/spreadsheetml/2006/main" totalsRowCount="1" ref="A1:P18" displayName="Table4" name="Table4" id="4">
  <tableColumns count="16">
    <tableColumn name="Muestra" id="1"/>
    <tableColumn name="CaO" id="2"/>
    <tableColumn name="LI" id="3"/>
    <tableColumn name="LS" id="4"/>
    <tableColumn name="MgO" id="5"/>
    <tableColumn name="LI 2" id="6"/>
    <tableColumn name="LS 2" id="7"/>
    <tableColumn name="S" id="8"/>
    <tableColumn name="LI 3" id="9"/>
    <tableColumn name="LS 3" id="10"/>
    <tableColumn name="SiO2" id="11"/>
    <tableColumn name="Diferencia" id="12"/>
    <tableColumn name="Tolerancia CaO" id="13"/>
    <tableColumn name="Tolerancia MgO" id="14"/>
    <tableColumn name="Tolerancia S" id="15"/>
    <tableColumn name="Silicio Total" id="16"/>
  </tableColumns>
  <tableStyleInfo name="Sheet4-style" showColumnStripes="0" showFirstColumn="1" showLastColumn="1" showRowStripes="1"/>
</table>
</file>

<file path=xl/tables/table5.xml><?xml version="1.0" encoding="utf-8"?>
<table xmlns="http://schemas.openxmlformats.org/spreadsheetml/2006/main" totalsRowCount="1" headerRowCount="0" ref="E20:L22" displayName="Table_1" name="Table_1" id="5">
  <tableColumns count="8">
    <tableColumn totalsRowFunction="custom" name="Column1" id="1"/>
    <tableColumn name="Column2" id="2"/>
    <tableColumn name="Column3" id="3"/>
    <tableColumn totalsRowFunction="custom" name="Column4" id="4"/>
    <tableColumn name="Column5" id="5"/>
    <tableColumn name="Column6" id="6"/>
    <tableColumn name="Column7" id="7"/>
    <tableColumn name="Column8" id="8"/>
  </tableColumns>
  <tableStyleInfo name="Sheet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7.75"/>
    <col customWidth="1" min="2" max="2" width="5.5"/>
    <col customWidth="1" min="3" max="3" width="7.5"/>
    <col customWidth="1" min="4" max="4" width="2.88"/>
    <col customWidth="1" min="5" max="5" width="4.63"/>
    <col customWidth="1" min="6" max="6" width="19.63"/>
    <col customWidth="1" min="7" max="8" width="10.63"/>
    <col customWidth="1" min="10" max="12" width="6.38"/>
    <col customWidth="1" min="13" max="15" width="5.5"/>
    <col customWidth="1" min="16" max="16" width="7.63"/>
    <col customWidth="1" min="17" max="21" width="6.38"/>
    <col customWidth="1" min="22" max="22" width="9.13"/>
    <col customWidth="1" min="23" max="25" width="6.38"/>
    <col customWidth="1" min="26" max="26" width="8.25"/>
    <col customWidth="1" min="27" max="28" width="6.38"/>
    <col customWidth="1" min="29" max="29" width="5.5"/>
    <col customWidth="1" min="30" max="30" width="5.0"/>
    <col customWidth="1" min="31" max="31" width="8.88"/>
    <col customWidth="1" min="32" max="32" width="5.38"/>
    <col customWidth="1" min="33" max="33" width="4.0"/>
    <col customWidth="1" min="34" max="34" width="3.0"/>
    <col customWidth="1" min="35" max="36" width="6.38"/>
    <col customWidth="1" min="37" max="37" width="7.5"/>
    <col customWidth="1" min="38" max="38" width="4.0"/>
    <col customWidth="1" min="39" max="39" width="7.5"/>
    <col customWidth="1" min="40" max="40" width="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5"/>
      <c r="AP1" s="5"/>
      <c r="AQ1" s="5"/>
      <c r="AR1" s="5"/>
      <c r="AS1" s="5"/>
      <c r="AT1" s="5"/>
      <c r="AU1" s="5"/>
      <c r="AV1" s="5"/>
      <c r="AW1" s="5"/>
    </row>
    <row r="2" ht="22.5" customHeight="1">
      <c r="B2" s="6" t="s">
        <v>40</v>
      </c>
      <c r="C2" s="6">
        <v>26949.0</v>
      </c>
      <c r="E2" s="6" t="s">
        <v>41</v>
      </c>
      <c r="F2" s="6" t="s">
        <v>42</v>
      </c>
      <c r="G2" s="6" t="s">
        <v>42</v>
      </c>
      <c r="H2" s="6">
        <v>3.0092024E7</v>
      </c>
      <c r="AD2" s="6" t="s">
        <v>43</v>
      </c>
      <c r="AE2" s="6" t="s">
        <v>44</v>
      </c>
      <c r="AI2" s="6" t="s">
        <v>45</v>
      </c>
      <c r="AJ2" s="6" t="s">
        <v>46</v>
      </c>
      <c r="AK2" s="6" t="s">
        <v>47</v>
      </c>
      <c r="AL2" s="6" t="s">
        <v>48</v>
      </c>
      <c r="AM2" s="6">
        <v>0.76</v>
      </c>
      <c r="AN2" s="6" t="s">
        <v>48</v>
      </c>
    </row>
    <row r="3" ht="22.5" hidden="1" customHeight="1">
      <c r="B3" s="6" t="s">
        <v>49</v>
      </c>
      <c r="C3" s="6">
        <v>35836.0</v>
      </c>
      <c r="E3" s="6" t="s">
        <v>50</v>
      </c>
      <c r="F3" s="6" t="s">
        <v>51</v>
      </c>
      <c r="G3" s="6"/>
      <c r="H3" s="6">
        <v>91024.0</v>
      </c>
      <c r="K3" s="6">
        <v>12.66</v>
      </c>
      <c r="L3" s="6">
        <v>12.66</v>
      </c>
      <c r="T3" s="6">
        <v>14.8</v>
      </c>
    </row>
    <row r="4" ht="22.5" customHeight="1">
      <c r="B4" s="6" t="s">
        <v>49</v>
      </c>
      <c r="C4" s="6">
        <v>35789.0</v>
      </c>
      <c r="E4" s="6" t="s">
        <v>41</v>
      </c>
      <c r="F4" s="6" t="s">
        <v>42</v>
      </c>
      <c r="G4" s="6" t="s">
        <v>42</v>
      </c>
      <c r="H4" s="6">
        <v>3.0092024E7</v>
      </c>
      <c r="J4" s="6">
        <v>24.37</v>
      </c>
      <c r="K4" s="6">
        <v>1.67</v>
      </c>
      <c r="N4" s="6">
        <v>1.67</v>
      </c>
      <c r="P4" s="6">
        <v>3.09</v>
      </c>
      <c r="Q4" s="6">
        <v>2.63</v>
      </c>
      <c r="R4" s="6">
        <v>0.4</v>
      </c>
      <c r="S4" s="6">
        <v>0.86</v>
      </c>
      <c r="T4" s="6">
        <v>0.174</v>
      </c>
      <c r="U4" s="6">
        <v>0.002</v>
      </c>
      <c r="V4" s="6" t="s">
        <v>52</v>
      </c>
      <c r="W4" s="6">
        <v>0.002</v>
      </c>
      <c r="X4" s="6">
        <v>0.027</v>
      </c>
      <c r="Y4" s="6">
        <v>0.017</v>
      </c>
      <c r="Z4" s="6" t="s">
        <v>53</v>
      </c>
      <c r="AA4" s="6">
        <v>2.45</v>
      </c>
      <c r="AB4" s="6">
        <v>0.009</v>
      </c>
      <c r="AC4" s="6">
        <v>0.02</v>
      </c>
    </row>
    <row r="5" ht="22.5" customHeight="1">
      <c r="B5" s="6" t="s">
        <v>49</v>
      </c>
      <c r="C5" s="6">
        <v>35752.0</v>
      </c>
      <c r="E5" s="6" t="s">
        <v>41</v>
      </c>
      <c r="F5" s="6" t="s">
        <v>54</v>
      </c>
      <c r="G5" s="6"/>
      <c r="H5" s="6">
        <v>260924.0</v>
      </c>
      <c r="K5" s="6">
        <v>9.17</v>
      </c>
      <c r="L5" s="6">
        <v>6.03</v>
      </c>
      <c r="M5" s="6">
        <v>3.15</v>
      </c>
      <c r="P5" s="6">
        <v>25.355</v>
      </c>
      <c r="Q5" s="6">
        <v>11.22</v>
      </c>
      <c r="S5" s="6">
        <v>1.9</v>
      </c>
      <c r="T5" s="6">
        <v>3.65</v>
      </c>
      <c r="U5" s="6">
        <v>0.04</v>
      </c>
      <c r="V5" s="6">
        <v>0.003</v>
      </c>
      <c r="W5" s="6">
        <v>0.02</v>
      </c>
      <c r="X5" s="6">
        <v>0.04</v>
      </c>
      <c r="Y5" s="6">
        <v>0.06</v>
      </c>
      <c r="Z5" s="6">
        <v>0.008</v>
      </c>
      <c r="AA5" s="6">
        <v>0.26</v>
      </c>
      <c r="AB5" s="6">
        <v>0.03</v>
      </c>
      <c r="AC5" s="6">
        <v>1.57</v>
      </c>
    </row>
    <row r="6" ht="22.5" customHeight="1">
      <c r="B6" s="6" t="s">
        <v>49</v>
      </c>
      <c r="C6" s="6">
        <v>35751.0</v>
      </c>
      <c r="E6" s="6" t="s">
        <v>41</v>
      </c>
      <c r="F6" s="6" t="s">
        <v>55</v>
      </c>
      <c r="G6" s="6"/>
      <c r="H6" s="6">
        <v>250924.0</v>
      </c>
      <c r="P6" s="6">
        <v>9.38</v>
      </c>
      <c r="Q6" s="6">
        <v>0.13</v>
      </c>
      <c r="R6" s="6">
        <v>18.52</v>
      </c>
      <c r="S6" s="6">
        <v>7.87</v>
      </c>
      <c r="T6" s="6">
        <v>5.92</v>
      </c>
      <c r="AA6" s="6">
        <v>17.45</v>
      </c>
    </row>
    <row r="7" ht="22.5" customHeight="1">
      <c r="B7" s="6" t="s">
        <v>49</v>
      </c>
      <c r="C7" s="6">
        <v>35750.0</v>
      </c>
      <c r="E7" s="6" t="s">
        <v>41</v>
      </c>
      <c r="F7" s="6" t="s">
        <v>56</v>
      </c>
      <c r="G7" s="6">
        <v>993.0</v>
      </c>
      <c r="H7" s="6">
        <v>250924.0</v>
      </c>
      <c r="T7" s="6">
        <v>14.79</v>
      </c>
      <c r="AB7" s="6">
        <v>33.05</v>
      </c>
      <c r="AI7" s="6" t="s">
        <v>45</v>
      </c>
      <c r="AJ7" s="6">
        <v>2.66</v>
      </c>
      <c r="AK7" s="6" t="s">
        <v>57</v>
      </c>
      <c r="AL7" s="6" t="s">
        <v>48</v>
      </c>
      <c r="AM7" s="6">
        <v>1.33</v>
      </c>
      <c r="AN7" s="6" t="s">
        <v>48</v>
      </c>
    </row>
    <row r="8" ht="22.5" customHeight="1">
      <c r="B8" s="6" t="s">
        <v>49</v>
      </c>
      <c r="C8" s="6">
        <v>35749.0</v>
      </c>
      <c r="E8" s="6" t="s">
        <v>41</v>
      </c>
      <c r="F8" s="6" t="s">
        <v>58</v>
      </c>
      <c r="G8" s="6" t="s">
        <v>59</v>
      </c>
      <c r="H8" s="6">
        <v>6.5250924E7</v>
      </c>
      <c r="R8" s="6">
        <v>19.4</v>
      </c>
      <c r="S8" s="6">
        <v>18.7</v>
      </c>
      <c r="T8" s="6">
        <v>3.24</v>
      </c>
      <c r="AA8" s="6">
        <v>18.38</v>
      </c>
    </row>
    <row r="9" ht="22.5" customHeight="1">
      <c r="B9" s="6" t="s">
        <v>40</v>
      </c>
      <c r="C9" s="6">
        <v>28457.0</v>
      </c>
      <c r="E9" s="6" t="s">
        <v>41</v>
      </c>
      <c r="F9" s="6" t="s">
        <v>60</v>
      </c>
      <c r="G9" s="6">
        <v>300.0</v>
      </c>
      <c r="H9" s="6">
        <v>3.00270225E8</v>
      </c>
      <c r="AD9" s="6" t="s">
        <v>43</v>
      </c>
      <c r="AE9" s="6" t="s">
        <v>44</v>
      </c>
      <c r="AF9" s="6" t="s">
        <v>61</v>
      </c>
      <c r="AG9" s="6" t="s">
        <v>62</v>
      </c>
    </row>
    <row r="10" ht="22.5" hidden="1" customHeight="1">
      <c r="B10" s="6" t="s">
        <v>40</v>
      </c>
      <c r="C10" s="6">
        <v>27863.0</v>
      </c>
      <c r="E10" s="6" t="s">
        <v>50</v>
      </c>
      <c r="F10" s="6" t="s">
        <v>63</v>
      </c>
      <c r="G10" s="6"/>
      <c r="H10" s="6">
        <v>22025.0</v>
      </c>
      <c r="AD10" s="6" t="s">
        <v>43</v>
      </c>
      <c r="AE10" s="6" t="s">
        <v>44</v>
      </c>
      <c r="AF10" s="6" t="s">
        <v>61</v>
      </c>
      <c r="AG10" s="6" t="s">
        <v>62</v>
      </c>
    </row>
    <row r="11" ht="22.5" customHeight="1">
      <c r="B11" s="6" t="s">
        <v>40</v>
      </c>
      <c r="C11" s="6">
        <v>27738.0</v>
      </c>
      <c r="E11" s="6" t="s">
        <v>41</v>
      </c>
      <c r="F11" s="6" t="s">
        <v>64</v>
      </c>
      <c r="G11" s="6">
        <v>155.0</v>
      </c>
      <c r="H11" s="6">
        <v>1.55140325E8</v>
      </c>
      <c r="AD11" s="6" t="s">
        <v>43</v>
      </c>
      <c r="AE11" s="6" t="s">
        <v>44</v>
      </c>
      <c r="AF11" s="6" t="s">
        <v>61</v>
      </c>
      <c r="AG11" s="6" t="s">
        <v>62</v>
      </c>
    </row>
    <row r="12" ht="22.5" customHeight="1">
      <c r="B12" s="6" t="s">
        <v>49</v>
      </c>
      <c r="C12" s="6">
        <v>35837.0</v>
      </c>
      <c r="E12" s="6" t="s">
        <v>41</v>
      </c>
      <c r="F12" s="6" t="s">
        <v>65</v>
      </c>
      <c r="G12" s="6">
        <v>65.0</v>
      </c>
      <c r="H12" s="6">
        <v>6.5081024E7</v>
      </c>
      <c r="I12" s="6">
        <v>241008.0</v>
      </c>
      <c r="R12" s="6">
        <v>18.79</v>
      </c>
      <c r="S12" s="6">
        <v>19.69</v>
      </c>
      <c r="T12" s="6">
        <v>3.03</v>
      </c>
      <c r="AA12" s="6">
        <v>19.69</v>
      </c>
    </row>
    <row r="13" ht="22.5" customHeight="1">
      <c r="B13" s="6" t="s">
        <v>49</v>
      </c>
      <c r="C13" s="6">
        <v>37130.0</v>
      </c>
      <c r="E13" s="6" t="s">
        <v>41</v>
      </c>
      <c r="F13" s="6" t="s">
        <v>55</v>
      </c>
      <c r="G13" s="6"/>
      <c r="H13" s="6">
        <v>2.50022025E8</v>
      </c>
      <c r="R13" s="6">
        <v>17.3</v>
      </c>
      <c r="S13" s="6">
        <v>14.92</v>
      </c>
      <c r="T13" s="6">
        <v>2.62</v>
      </c>
      <c r="AA13" s="6">
        <v>24.91</v>
      </c>
    </row>
    <row r="14" ht="22.5" customHeight="1">
      <c r="B14" s="6" t="s">
        <v>49</v>
      </c>
      <c r="C14" s="6">
        <v>36832.0</v>
      </c>
      <c r="E14" s="6" t="s">
        <v>41</v>
      </c>
      <c r="F14" s="6" t="s">
        <v>66</v>
      </c>
      <c r="G14" s="6"/>
      <c r="H14" s="6">
        <v>7112024.0</v>
      </c>
      <c r="K14" s="6">
        <v>8.93</v>
      </c>
      <c r="L14" s="6">
        <v>8.35</v>
      </c>
      <c r="O14" s="6">
        <v>0.58</v>
      </c>
      <c r="P14" s="6">
        <v>26.43</v>
      </c>
      <c r="Q14" s="6">
        <v>9.0</v>
      </c>
    </row>
    <row r="15" ht="22.5" customHeight="1">
      <c r="B15" s="6" t="s">
        <v>49</v>
      </c>
      <c r="C15" s="6">
        <v>36833.0</v>
      </c>
      <c r="E15" s="6" t="s">
        <v>41</v>
      </c>
      <c r="F15" s="6" t="s">
        <v>67</v>
      </c>
      <c r="G15" s="6"/>
      <c r="H15" s="6">
        <v>7112024.0</v>
      </c>
      <c r="K15" s="6">
        <v>9.05</v>
      </c>
      <c r="L15" s="6">
        <v>5.53</v>
      </c>
      <c r="O15" s="6">
        <v>3.52</v>
      </c>
      <c r="P15" s="6">
        <v>17.32</v>
      </c>
      <c r="Q15" s="6">
        <v>19.27</v>
      </c>
    </row>
    <row r="16" ht="22.5" customHeight="1">
      <c r="B16" s="6" t="s">
        <v>49</v>
      </c>
      <c r="C16" s="6">
        <v>36834.0</v>
      </c>
      <c r="E16" s="6" t="s">
        <v>41</v>
      </c>
      <c r="F16" s="7">
        <v>46520.0</v>
      </c>
      <c r="G16" s="6"/>
      <c r="H16" s="6">
        <v>7112024.0</v>
      </c>
      <c r="K16" s="6">
        <v>13.39</v>
      </c>
      <c r="L16" s="6">
        <v>4.58</v>
      </c>
      <c r="O16" s="6">
        <v>8.81</v>
      </c>
      <c r="P16" s="6">
        <v>5.26</v>
      </c>
      <c r="Q16" s="6">
        <v>27.52</v>
      </c>
    </row>
    <row r="17" ht="22.5" customHeight="1">
      <c r="B17" s="6" t="s">
        <v>49</v>
      </c>
      <c r="C17" s="6">
        <v>36598.0</v>
      </c>
      <c r="E17" s="6" t="s">
        <v>41</v>
      </c>
      <c r="F17" s="6" t="s">
        <v>65</v>
      </c>
      <c r="G17" s="6">
        <v>65.0</v>
      </c>
      <c r="H17" s="6">
        <v>6.5031224E7</v>
      </c>
      <c r="I17" s="6">
        <v>241231.0</v>
      </c>
      <c r="R17" s="6">
        <v>13.64</v>
      </c>
      <c r="S17" s="6">
        <v>19.39</v>
      </c>
      <c r="T17" s="6">
        <v>3.22</v>
      </c>
      <c r="AA17" s="6">
        <v>24.18</v>
      </c>
    </row>
    <row r="18" ht="22.5" customHeight="1">
      <c r="B18" s="6" t="s">
        <v>49</v>
      </c>
      <c r="C18" s="6">
        <v>36599.0</v>
      </c>
      <c r="E18" s="6" t="s">
        <v>41</v>
      </c>
      <c r="F18" s="6" t="s">
        <v>65</v>
      </c>
      <c r="G18" s="6">
        <v>65.0</v>
      </c>
      <c r="H18" s="6">
        <v>6.5291124E7</v>
      </c>
      <c r="I18" s="6">
        <v>241129.0</v>
      </c>
      <c r="R18" s="6">
        <v>18.09</v>
      </c>
      <c r="S18" s="6">
        <v>18.13</v>
      </c>
      <c r="T18" s="6">
        <v>3.28</v>
      </c>
      <c r="AA18" s="6">
        <v>23.78</v>
      </c>
    </row>
    <row r="19" ht="22.5" customHeight="1">
      <c r="B19" s="6" t="s">
        <v>49</v>
      </c>
      <c r="C19" s="6">
        <v>36388.0</v>
      </c>
      <c r="E19" s="6" t="s">
        <v>41</v>
      </c>
      <c r="F19" s="6" t="s">
        <v>65</v>
      </c>
      <c r="G19" s="6">
        <v>65.0</v>
      </c>
      <c r="H19" s="6">
        <v>6.5131124E7</v>
      </c>
      <c r="I19" s="6">
        <v>241113.0</v>
      </c>
      <c r="R19" s="6">
        <v>18.02</v>
      </c>
      <c r="S19" s="6">
        <v>18.87</v>
      </c>
      <c r="T19" s="6">
        <v>3.28</v>
      </c>
      <c r="AA19" s="6">
        <v>22.69</v>
      </c>
    </row>
    <row r="20" ht="22.5" customHeight="1">
      <c r="B20" s="6" t="s">
        <v>49</v>
      </c>
      <c r="C20" s="6">
        <v>36389.0</v>
      </c>
      <c r="E20" s="6" t="s">
        <v>41</v>
      </c>
      <c r="F20" s="6" t="s">
        <v>65</v>
      </c>
      <c r="G20" s="6">
        <v>65.0</v>
      </c>
      <c r="H20" s="6">
        <v>6.5201124E7</v>
      </c>
      <c r="I20" s="6">
        <v>241120.0</v>
      </c>
      <c r="R20" s="6">
        <v>17.74</v>
      </c>
      <c r="S20" s="6">
        <v>18.86</v>
      </c>
      <c r="T20" s="6">
        <v>3.3</v>
      </c>
      <c r="AA20" s="6">
        <v>20.93</v>
      </c>
    </row>
    <row r="21" ht="22.5" customHeight="1">
      <c r="B21" s="6" t="s">
        <v>49</v>
      </c>
      <c r="C21" s="6">
        <v>36216.0</v>
      </c>
      <c r="E21" s="6" t="s">
        <v>41</v>
      </c>
      <c r="F21" s="6" t="s">
        <v>65</v>
      </c>
      <c r="G21" s="6">
        <v>65.0</v>
      </c>
      <c r="H21" s="6">
        <v>6.5071124E7</v>
      </c>
      <c r="I21" s="6">
        <v>241107.0</v>
      </c>
      <c r="R21" s="6">
        <v>16.69</v>
      </c>
      <c r="S21" s="6">
        <v>18.95</v>
      </c>
      <c r="T21" s="6">
        <v>3.95</v>
      </c>
      <c r="AA21" s="6">
        <v>28.46</v>
      </c>
    </row>
    <row r="22" ht="22.5" customHeight="1">
      <c r="B22" s="6" t="s">
        <v>49</v>
      </c>
      <c r="C22" s="6">
        <v>36141.0</v>
      </c>
      <c r="E22" s="6" t="s">
        <v>41</v>
      </c>
      <c r="F22" s="6" t="s">
        <v>65</v>
      </c>
      <c r="G22" s="6">
        <v>65.0</v>
      </c>
      <c r="H22" s="6">
        <v>6.5311024E7</v>
      </c>
      <c r="I22" s="6">
        <v>241031.0</v>
      </c>
      <c r="R22" s="6">
        <v>18.2</v>
      </c>
      <c r="S22" s="6">
        <v>19.6</v>
      </c>
      <c r="T22" s="6">
        <v>3.92</v>
      </c>
      <c r="AA22" s="6">
        <v>17.71</v>
      </c>
    </row>
    <row r="23" ht="22.5" hidden="1" customHeight="1">
      <c r="B23" s="6" t="s">
        <v>49</v>
      </c>
      <c r="C23" s="6">
        <v>36137.0</v>
      </c>
      <c r="E23" s="6" t="s">
        <v>50</v>
      </c>
      <c r="F23" s="6" t="s">
        <v>68</v>
      </c>
      <c r="G23" s="6"/>
      <c r="H23" s="6">
        <v>31024.0</v>
      </c>
      <c r="K23" s="6">
        <v>18.67</v>
      </c>
      <c r="L23" s="6">
        <v>18.67</v>
      </c>
      <c r="T23" s="6">
        <v>25.1</v>
      </c>
    </row>
    <row r="24" ht="22.5" hidden="1" customHeight="1">
      <c r="B24" s="6" t="s">
        <v>49</v>
      </c>
      <c r="C24" s="6">
        <v>36138.0</v>
      </c>
      <c r="E24" s="6" t="s">
        <v>50</v>
      </c>
      <c r="F24" s="6" t="s">
        <v>68</v>
      </c>
      <c r="G24" s="6"/>
      <c r="H24" s="6">
        <v>131024.0</v>
      </c>
      <c r="K24" s="6">
        <v>19.98</v>
      </c>
      <c r="L24" s="6">
        <v>19.98</v>
      </c>
      <c r="T24" s="6">
        <v>20.2</v>
      </c>
    </row>
    <row r="25" ht="22.5" customHeight="1">
      <c r="B25" s="6" t="s">
        <v>49</v>
      </c>
      <c r="C25" s="6">
        <v>36139.0</v>
      </c>
      <c r="E25" s="6" t="s">
        <v>41</v>
      </c>
      <c r="F25" s="6" t="s">
        <v>69</v>
      </c>
      <c r="G25" s="6"/>
      <c r="H25" s="6">
        <v>311024.0</v>
      </c>
      <c r="K25" s="6">
        <v>13.7</v>
      </c>
      <c r="L25" s="6">
        <v>13.7</v>
      </c>
      <c r="T25" s="6">
        <v>15.0</v>
      </c>
    </row>
    <row r="26" ht="22.5" customHeight="1">
      <c r="B26" s="6" t="s">
        <v>49</v>
      </c>
      <c r="C26" s="6">
        <v>36140.0</v>
      </c>
      <c r="E26" s="6" t="s">
        <v>41</v>
      </c>
      <c r="F26" s="6" t="s">
        <v>69</v>
      </c>
      <c r="G26" s="6"/>
      <c r="H26" s="6">
        <v>291024.0</v>
      </c>
      <c r="K26" s="6">
        <v>19.33</v>
      </c>
      <c r="L26" s="6">
        <v>19.33</v>
      </c>
      <c r="T26" s="6">
        <v>20.1</v>
      </c>
    </row>
    <row r="27" ht="22.5" customHeight="1">
      <c r="B27" s="6" t="s">
        <v>49</v>
      </c>
      <c r="C27" s="6">
        <v>35979.0</v>
      </c>
      <c r="E27" s="6" t="s">
        <v>41</v>
      </c>
      <c r="F27" s="6" t="s">
        <v>65</v>
      </c>
      <c r="G27" s="6">
        <v>65.0</v>
      </c>
      <c r="H27" s="6">
        <v>6.5221024E7</v>
      </c>
      <c r="I27" s="6">
        <v>241022.0</v>
      </c>
      <c r="R27" s="6">
        <v>17.92</v>
      </c>
      <c r="S27" s="6">
        <v>24.46</v>
      </c>
      <c r="T27" s="6">
        <v>3.55</v>
      </c>
      <c r="AA27" s="6">
        <v>19.2</v>
      </c>
    </row>
    <row r="28" ht="22.5" customHeight="1">
      <c r="B28" s="6" t="s">
        <v>49</v>
      </c>
      <c r="C28" s="6">
        <v>35927.0</v>
      </c>
      <c r="E28" s="6" t="s">
        <v>41</v>
      </c>
      <c r="F28" s="6" t="s">
        <v>65</v>
      </c>
      <c r="G28" s="6">
        <v>65.0</v>
      </c>
      <c r="H28" s="6">
        <v>6.5161024E7</v>
      </c>
      <c r="I28" s="6">
        <v>241016.0</v>
      </c>
      <c r="R28" s="6">
        <v>19.17</v>
      </c>
      <c r="S28" s="6">
        <v>15.57</v>
      </c>
      <c r="T28" s="6">
        <v>3.42</v>
      </c>
      <c r="AA28" s="6">
        <v>23.3</v>
      </c>
    </row>
    <row r="29" ht="22.5" customHeight="1">
      <c r="B29" s="6" t="s">
        <v>49</v>
      </c>
      <c r="C29" s="6">
        <v>37317.0</v>
      </c>
      <c r="E29" s="6" t="s">
        <v>41</v>
      </c>
      <c r="F29" s="6" t="s">
        <v>66</v>
      </c>
      <c r="G29" s="6"/>
      <c r="H29" s="6">
        <v>120325.0</v>
      </c>
      <c r="K29" s="6">
        <v>8.99</v>
      </c>
      <c r="L29" s="6">
        <v>4.26</v>
      </c>
      <c r="O29" s="6">
        <v>4.43</v>
      </c>
      <c r="P29" s="6">
        <v>23.89</v>
      </c>
      <c r="Q29" s="6">
        <v>11.39</v>
      </c>
    </row>
    <row r="30" ht="22.5" customHeight="1">
      <c r="B30" s="6" t="s">
        <v>49</v>
      </c>
      <c r="C30" s="6">
        <v>37318.0</v>
      </c>
      <c r="E30" s="6" t="s">
        <v>41</v>
      </c>
      <c r="F30" s="6" t="s">
        <v>67</v>
      </c>
      <c r="G30" s="6"/>
      <c r="H30" s="6">
        <v>120325.0</v>
      </c>
      <c r="K30" s="6">
        <v>8.77</v>
      </c>
      <c r="L30" s="6">
        <v>2.36</v>
      </c>
      <c r="O30" s="6">
        <v>6.41</v>
      </c>
      <c r="P30" s="6">
        <v>15.71</v>
      </c>
      <c r="Q30" s="6">
        <v>17.95</v>
      </c>
    </row>
    <row r="31" ht="22.5" customHeight="1">
      <c r="B31" s="6" t="s">
        <v>49</v>
      </c>
      <c r="C31" s="6">
        <v>37316.0</v>
      </c>
      <c r="E31" s="6" t="s">
        <v>41</v>
      </c>
      <c r="F31" s="6" t="s">
        <v>64</v>
      </c>
      <c r="G31" s="6">
        <v>155.0</v>
      </c>
      <c r="H31" s="6">
        <v>140325.0</v>
      </c>
      <c r="J31" s="6">
        <v>5.26</v>
      </c>
    </row>
    <row r="32" ht="22.5" customHeight="1">
      <c r="B32" s="6" t="s">
        <v>49</v>
      </c>
      <c r="C32" s="6">
        <v>37315.0</v>
      </c>
      <c r="E32" s="6" t="s">
        <v>41</v>
      </c>
      <c r="F32" s="6" t="s">
        <v>70</v>
      </c>
      <c r="G32" s="6">
        <v>679.0</v>
      </c>
      <c r="H32" s="6">
        <v>130325.0</v>
      </c>
      <c r="P32" s="6">
        <v>10.79</v>
      </c>
      <c r="R32" s="6">
        <v>26.59</v>
      </c>
      <c r="S32" s="6">
        <v>3.3</v>
      </c>
      <c r="T32" s="6">
        <v>5.47</v>
      </c>
      <c r="AI32" s="6">
        <v>0.69</v>
      </c>
      <c r="AJ32" s="6">
        <v>2.31</v>
      </c>
      <c r="AK32" s="6">
        <v>109.01</v>
      </c>
      <c r="AL32" s="6" t="s">
        <v>48</v>
      </c>
      <c r="AN32" s="6" t="s">
        <v>48</v>
      </c>
    </row>
    <row r="33" ht="22.5" customHeight="1">
      <c r="B33" s="6" t="s">
        <v>49</v>
      </c>
      <c r="C33" s="6">
        <v>37314.0</v>
      </c>
      <c r="E33" s="6" t="s">
        <v>41</v>
      </c>
      <c r="F33" s="6" t="s">
        <v>71</v>
      </c>
      <c r="G33" s="6">
        <v>141.0</v>
      </c>
      <c r="H33" s="6">
        <v>130325.0</v>
      </c>
      <c r="R33" s="6">
        <v>27.27</v>
      </c>
      <c r="T33" s="6">
        <v>16.63</v>
      </c>
      <c r="AI33" s="6">
        <v>1.07</v>
      </c>
      <c r="AJ33" s="6" t="s">
        <v>46</v>
      </c>
      <c r="AK33" s="6">
        <v>28.28</v>
      </c>
      <c r="AL33" s="6" t="s">
        <v>48</v>
      </c>
      <c r="AN33" s="6" t="s">
        <v>48</v>
      </c>
    </row>
    <row r="34" ht="22.5" customHeight="1">
      <c r="B34" s="6" t="s">
        <v>49</v>
      </c>
      <c r="C34" s="6">
        <v>37313.0</v>
      </c>
      <c r="E34" s="6" t="s">
        <v>41</v>
      </c>
      <c r="F34" s="6" t="s">
        <v>70</v>
      </c>
      <c r="G34" s="6">
        <v>679.0</v>
      </c>
      <c r="H34" s="6">
        <v>130325.0</v>
      </c>
      <c r="P34" s="6">
        <v>10.87</v>
      </c>
      <c r="R34" s="6">
        <v>26.82</v>
      </c>
      <c r="S34" s="6">
        <v>3.32</v>
      </c>
      <c r="T34" s="6">
        <v>5.18</v>
      </c>
    </row>
    <row r="35" ht="22.5" customHeight="1">
      <c r="B35" s="6" t="s">
        <v>49</v>
      </c>
      <c r="C35" s="6">
        <v>37312.0</v>
      </c>
      <c r="E35" s="6" t="s">
        <v>41</v>
      </c>
      <c r="F35" s="6" t="s">
        <v>72</v>
      </c>
      <c r="G35" s="6">
        <v>141.0</v>
      </c>
      <c r="H35" s="6">
        <v>130325.0</v>
      </c>
      <c r="R35" s="6">
        <v>23.35</v>
      </c>
      <c r="T35" s="6">
        <v>14.24</v>
      </c>
    </row>
    <row r="36" ht="22.5" customHeight="1">
      <c r="B36" s="6" t="s">
        <v>49</v>
      </c>
      <c r="C36" s="6">
        <v>37243.0</v>
      </c>
      <c r="E36" s="6" t="s">
        <v>41</v>
      </c>
      <c r="F36" s="6" t="s">
        <v>73</v>
      </c>
      <c r="G36" s="6">
        <v>208.0</v>
      </c>
      <c r="H36" s="6">
        <v>2.08050325E8</v>
      </c>
      <c r="S36" s="6">
        <v>16.5</v>
      </c>
      <c r="T36" s="6">
        <v>5.96</v>
      </c>
      <c r="AI36" s="6">
        <v>0.75</v>
      </c>
      <c r="AJ36" s="6">
        <v>0.25</v>
      </c>
      <c r="AK36" s="6">
        <v>212.61</v>
      </c>
      <c r="AL36" s="6" t="s">
        <v>48</v>
      </c>
      <c r="AN36" s="6" t="s">
        <v>48</v>
      </c>
    </row>
    <row r="37" ht="22.5" customHeight="1">
      <c r="B37" s="6" t="s">
        <v>49</v>
      </c>
      <c r="C37" s="6">
        <v>37242.0</v>
      </c>
      <c r="E37" s="6" t="s">
        <v>41</v>
      </c>
      <c r="F37" s="6" t="s">
        <v>72</v>
      </c>
      <c r="G37" s="6">
        <v>141.0</v>
      </c>
      <c r="H37" s="6">
        <v>1.41050325E8</v>
      </c>
      <c r="R37" s="6">
        <v>21.06</v>
      </c>
      <c r="T37" s="6">
        <v>15.18</v>
      </c>
      <c r="AI37" s="6">
        <v>1.19</v>
      </c>
      <c r="AJ37" s="6" t="s">
        <v>46</v>
      </c>
      <c r="AK37" s="6">
        <v>52.24</v>
      </c>
      <c r="AL37" s="6" t="s">
        <v>48</v>
      </c>
      <c r="AN37" s="6" t="s">
        <v>48</v>
      </c>
    </row>
    <row r="38" ht="22.5" customHeight="1">
      <c r="B38" s="6" t="s">
        <v>49</v>
      </c>
      <c r="C38" s="6">
        <v>37241.0</v>
      </c>
      <c r="E38" s="6" t="s">
        <v>41</v>
      </c>
      <c r="F38" s="6" t="s">
        <v>74</v>
      </c>
      <c r="G38" s="6">
        <v>62.0</v>
      </c>
      <c r="H38" s="6">
        <v>6.2050325E7</v>
      </c>
      <c r="R38" s="6">
        <v>12.25</v>
      </c>
      <c r="S38" s="6">
        <v>2.52</v>
      </c>
      <c r="T38" s="6">
        <v>1.28</v>
      </c>
      <c r="AA38" s="6">
        <v>34.82</v>
      </c>
      <c r="AI38" s="6">
        <v>1.24</v>
      </c>
      <c r="AJ38" s="6" t="s">
        <v>46</v>
      </c>
      <c r="AK38" s="6">
        <v>98.21</v>
      </c>
      <c r="AL38" s="6" t="s">
        <v>48</v>
      </c>
      <c r="AN38" s="6" t="s">
        <v>48</v>
      </c>
    </row>
    <row r="39" ht="22.5" customHeight="1">
      <c r="B39" s="6" t="s">
        <v>49</v>
      </c>
      <c r="C39" s="6">
        <v>37240.0</v>
      </c>
      <c r="E39" s="6" t="s">
        <v>41</v>
      </c>
      <c r="F39" s="6" t="s">
        <v>75</v>
      </c>
      <c r="G39" s="6">
        <v>993.0</v>
      </c>
      <c r="H39" s="6">
        <v>1.50050325E8</v>
      </c>
      <c r="P39" s="6">
        <v>0.23</v>
      </c>
      <c r="T39" s="6">
        <v>6.29</v>
      </c>
      <c r="AB39" s="6">
        <v>12.81</v>
      </c>
      <c r="AI39" s="6">
        <v>0.88</v>
      </c>
      <c r="AJ39" s="6">
        <v>0.94</v>
      </c>
      <c r="AK39" s="6">
        <v>106.31</v>
      </c>
      <c r="AL39" s="6" t="s">
        <v>48</v>
      </c>
      <c r="AN39" s="6" t="s">
        <v>48</v>
      </c>
    </row>
    <row r="40" ht="22.5" hidden="1" customHeight="1">
      <c r="B40" s="6" t="s">
        <v>49</v>
      </c>
      <c r="C40" s="6">
        <v>38378.0</v>
      </c>
      <c r="E40" s="6" t="s">
        <v>50</v>
      </c>
      <c r="F40" s="6" t="s">
        <v>76</v>
      </c>
      <c r="G40" s="6"/>
      <c r="H40" s="6">
        <v>140425.0</v>
      </c>
      <c r="K40" s="6">
        <v>20.08</v>
      </c>
      <c r="L40" s="6">
        <v>20.08</v>
      </c>
      <c r="T40" s="6">
        <v>22.97</v>
      </c>
    </row>
    <row r="41" ht="22.5" hidden="1" customHeight="1">
      <c r="B41" s="6" t="s">
        <v>49</v>
      </c>
      <c r="C41" s="6">
        <v>38377.0</v>
      </c>
      <c r="E41" s="6" t="s">
        <v>50</v>
      </c>
      <c r="F41" s="6" t="s">
        <v>77</v>
      </c>
      <c r="G41" s="6"/>
      <c r="H41" s="6">
        <v>140425.0</v>
      </c>
      <c r="X41" s="6">
        <v>3.22</v>
      </c>
      <c r="AA41" s="6">
        <v>58.74</v>
      </c>
    </row>
    <row r="42" ht="22.5" customHeight="1">
      <c r="B42" s="6" t="s">
        <v>49</v>
      </c>
      <c r="C42" s="6">
        <v>38378.0</v>
      </c>
      <c r="E42" s="6" t="s">
        <v>41</v>
      </c>
      <c r="F42" s="6" t="s">
        <v>65</v>
      </c>
      <c r="G42" s="6">
        <v>65.0</v>
      </c>
      <c r="H42" s="6">
        <v>6.5060425E7</v>
      </c>
      <c r="I42" s="6">
        <v>250406.0</v>
      </c>
      <c r="R42" s="6">
        <v>14.76</v>
      </c>
      <c r="S42" s="6">
        <v>18.03</v>
      </c>
      <c r="T42" s="6">
        <v>3.22</v>
      </c>
      <c r="AA42" s="6">
        <v>20.96</v>
      </c>
    </row>
    <row r="43" ht="22.5" customHeight="1">
      <c r="B43" s="6" t="s">
        <v>49</v>
      </c>
      <c r="C43" s="6">
        <v>37877.0</v>
      </c>
      <c r="E43" s="6" t="s">
        <v>41</v>
      </c>
      <c r="F43" s="6" t="s">
        <v>65</v>
      </c>
      <c r="G43" s="6">
        <v>65.0</v>
      </c>
      <c r="H43" s="6">
        <v>6.5270425E7</v>
      </c>
      <c r="I43" s="6">
        <v>250427.0</v>
      </c>
      <c r="R43" s="6">
        <v>15.93</v>
      </c>
      <c r="S43" s="6">
        <v>20.72</v>
      </c>
      <c r="T43" s="6">
        <v>2.93</v>
      </c>
      <c r="AA43" s="6">
        <v>19.9</v>
      </c>
    </row>
    <row r="44" ht="22.5" customHeight="1">
      <c r="B44" s="6" t="s">
        <v>49</v>
      </c>
      <c r="C44" s="6">
        <v>37876.0</v>
      </c>
      <c r="E44" s="6" t="s">
        <v>41</v>
      </c>
      <c r="F44" s="6" t="s">
        <v>65</v>
      </c>
      <c r="G44" s="6">
        <v>65.0</v>
      </c>
      <c r="H44" s="6">
        <v>6.5080525E7</v>
      </c>
      <c r="I44" s="6">
        <v>250808.0</v>
      </c>
      <c r="R44" s="6">
        <v>17.04</v>
      </c>
      <c r="S44" s="6">
        <v>19.46</v>
      </c>
      <c r="T44" s="6">
        <v>2.79</v>
      </c>
      <c r="AA44" s="6">
        <v>16.3</v>
      </c>
    </row>
    <row r="45" ht="22.5" customHeight="1">
      <c r="B45" s="6" t="s">
        <v>49</v>
      </c>
      <c r="C45" s="6">
        <v>37875.0</v>
      </c>
      <c r="E45" s="6" t="s">
        <v>41</v>
      </c>
      <c r="F45" s="6" t="s">
        <v>78</v>
      </c>
      <c r="G45" s="6">
        <v>123.0</v>
      </c>
      <c r="H45" s="6">
        <v>160525.0</v>
      </c>
      <c r="U45" s="6">
        <v>8.03</v>
      </c>
    </row>
    <row r="46" ht="22.5" customHeight="1">
      <c r="B46" s="6" t="s">
        <v>49</v>
      </c>
      <c r="C46" s="6">
        <v>37874.0</v>
      </c>
      <c r="E46" s="6" t="s">
        <v>41</v>
      </c>
      <c r="F46" s="6" t="s">
        <v>79</v>
      </c>
      <c r="G46" s="6"/>
      <c r="H46" s="6">
        <v>50525.0</v>
      </c>
      <c r="P46" s="6">
        <v>20.17</v>
      </c>
      <c r="R46" s="6">
        <v>28.69</v>
      </c>
      <c r="T46" s="6">
        <v>3.98</v>
      </c>
    </row>
    <row r="47" ht="22.5" customHeight="1">
      <c r="B47" s="6" t="s">
        <v>49</v>
      </c>
      <c r="C47" s="6">
        <v>37873.0</v>
      </c>
      <c r="E47" s="6" t="s">
        <v>41</v>
      </c>
      <c r="F47" s="6" t="s">
        <v>80</v>
      </c>
      <c r="G47" s="6"/>
      <c r="H47" s="6">
        <v>6052025.0</v>
      </c>
      <c r="U47" s="6">
        <v>9.77</v>
      </c>
    </row>
    <row r="48" ht="22.5" hidden="1" customHeight="1">
      <c r="B48" s="6" t="s">
        <v>49</v>
      </c>
      <c r="C48" s="6">
        <v>37501.0</v>
      </c>
      <c r="E48" s="6" t="s">
        <v>50</v>
      </c>
      <c r="F48" s="6" t="s">
        <v>63</v>
      </c>
      <c r="G48" s="6"/>
      <c r="H48" s="6">
        <v>22025.0</v>
      </c>
      <c r="J48" s="6">
        <v>27.11</v>
      </c>
      <c r="K48" s="6">
        <v>1.03</v>
      </c>
      <c r="N48" s="6">
        <v>1.03</v>
      </c>
      <c r="P48" s="6">
        <v>2.5</v>
      </c>
      <c r="Q48" s="6">
        <v>1.21</v>
      </c>
      <c r="R48" s="6">
        <v>12.18</v>
      </c>
      <c r="S48" s="6">
        <v>1.38</v>
      </c>
      <c r="T48" s="6">
        <v>0.75</v>
      </c>
      <c r="AA48" s="6">
        <v>7.13</v>
      </c>
      <c r="AI48" s="6">
        <v>0.45</v>
      </c>
      <c r="AJ48" s="6">
        <v>0.81</v>
      </c>
      <c r="AK48" s="6">
        <v>24.13</v>
      </c>
      <c r="AL48" s="6" t="s">
        <v>48</v>
      </c>
      <c r="AM48" s="6">
        <v>85.12</v>
      </c>
      <c r="AN48" s="6">
        <v>9.12</v>
      </c>
    </row>
    <row r="49" ht="22.5" customHeight="1">
      <c r="B49" s="6" t="s">
        <v>49</v>
      </c>
      <c r="C49" s="6">
        <v>37319.0</v>
      </c>
      <c r="E49" s="6" t="s">
        <v>41</v>
      </c>
      <c r="F49" s="6" t="s">
        <v>64</v>
      </c>
      <c r="G49" s="6">
        <v>155.0</v>
      </c>
      <c r="H49" s="6">
        <v>140325.0</v>
      </c>
      <c r="J49" s="6">
        <v>5.26</v>
      </c>
      <c r="K49" s="6">
        <v>0.72</v>
      </c>
      <c r="L49" s="6">
        <v>0.44</v>
      </c>
      <c r="N49" s="6">
        <v>0.28</v>
      </c>
      <c r="P49" s="6">
        <v>20.26</v>
      </c>
      <c r="Q49" s="6">
        <v>0.71</v>
      </c>
      <c r="R49" s="6">
        <v>24.4</v>
      </c>
      <c r="S49" s="6">
        <v>5.15</v>
      </c>
      <c r="T49" s="6">
        <v>1.41</v>
      </c>
      <c r="AA49" s="6">
        <v>13.34</v>
      </c>
      <c r="AC49" s="6">
        <v>0.14</v>
      </c>
      <c r="AI49" s="6">
        <v>0.97</v>
      </c>
      <c r="AJ49" s="6">
        <v>6.32</v>
      </c>
      <c r="AK49" s="6">
        <v>181.74</v>
      </c>
      <c r="AL49" s="6" t="s">
        <v>48</v>
      </c>
      <c r="AM49" s="6">
        <v>287.95</v>
      </c>
      <c r="AN49" s="6" t="s">
        <v>48</v>
      </c>
    </row>
    <row r="50" ht="22.5" customHeight="1">
      <c r="B50" s="6" t="s">
        <v>49</v>
      </c>
      <c r="C50" s="6">
        <v>38388.0</v>
      </c>
      <c r="E50" s="6" t="s">
        <v>41</v>
      </c>
      <c r="F50" s="6" t="s">
        <v>81</v>
      </c>
      <c r="G50" s="6">
        <v>452.0</v>
      </c>
      <c r="H50" s="6">
        <v>4.52070325E8</v>
      </c>
      <c r="R50" s="6">
        <v>10.77</v>
      </c>
      <c r="S50" s="6">
        <v>2.97</v>
      </c>
      <c r="T50" s="6">
        <v>1.16</v>
      </c>
      <c r="AA50" s="6">
        <v>35.77</v>
      </c>
      <c r="AI50" s="6" t="s">
        <v>46</v>
      </c>
      <c r="AJ50" s="6" t="s">
        <v>46</v>
      </c>
      <c r="AK50" s="6">
        <v>89.02</v>
      </c>
      <c r="AL50" s="6" t="s">
        <v>48</v>
      </c>
      <c r="AM50" s="6">
        <v>69.23</v>
      </c>
      <c r="AN50" s="6" t="s">
        <v>48</v>
      </c>
    </row>
    <row r="51" ht="22.5" customHeight="1">
      <c r="B51" s="6" t="s">
        <v>49</v>
      </c>
      <c r="C51" s="6">
        <v>38387.0</v>
      </c>
      <c r="E51" s="6" t="s">
        <v>41</v>
      </c>
      <c r="F51" s="6" t="s">
        <v>82</v>
      </c>
      <c r="G51" s="6">
        <v>123.0</v>
      </c>
      <c r="H51" s="6">
        <v>1.23060225E8</v>
      </c>
      <c r="U51" s="6">
        <v>2.88</v>
      </c>
      <c r="AI51" s="6" t="s">
        <v>46</v>
      </c>
      <c r="AJ51" s="6" t="s">
        <v>46</v>
      </c>
      <c r="AK51" s="6">
        <v>129.25</v>
      </c>
      <c r="AL51" s="6" t="s">
        <v>48</v>
      </c>
      <c r="AM51" s="6">
        <v>244.15</v>
      </c>
      <c r="AN51" s="6" t="s">
        <v>48</v>
      </c>
    </row>
    <row r="52" ht="22.5" hidden="1" customHeight="1">
      <c r="B52" s="6" t="s">
        <v>49</v>
      </c>
      <c r="C52" s="6">
        <v>38386.0</v>
      </c>
      <c r="E52" s="6" t="s">
        <v>50</v>
      </c>
      <c r="F52" s="6" t="s">
        <v>83</v>
      </c>
      <c r="G52" s="6"/>
      <c r="H52" s="6">
        <v>140425.0</v>
      </c>
      <c r="K52" s="6">
        <v>16.06</v>
      </c>
      <c r="L52" s="6">
        <v>16.06</v>
      </c>
      <c r="P52" s="6">
        <v>46.4</v>
      </c>
    </row>
    <row r="53" ht="22.5" hidden="1" customHeight="1">
      <c r="B53" s="6" t="s">
        <v>49</v>
      </c>
      <c r="C53" s="6">
        <v>38385.0</v>
      </c>
      <c r="E53" s="6" t="s">
        <v>50</v>
      </c>
      <c r="F53" s="6" t="s">
        <v>68</v>
      </c>
      <c r="G53" s="6"/>
      <c r="H53" s="6">
        <v>140425.0</v>
      </c>
      <c r="K53" s="6">
        <v>19.97</v>
      </c>
      <c r="P53" s="6">
        <v>19.97</v>
      </c>
      <c r="T53" s="6">
        <v>24.26</v>
      </c>
    </row>
    <row r="54" ht="22.5" hidden="1" customHeight="1">
      <c r="B54" s="6" t="s">
        <v>49</v>
      </c>
      <c r="C54" s="6">
        <v>38384.0</v>
      </c>
      <c r="E54" s="6" t="s">
        <v>50</v>
      </c>
      <c r="F54" s="6" t="s">
        <v>84</v>
      </c>
      <c r="G54" s="6">
        <v>144.0</v>
      </c>
      <c r="H54" s="6">
        <v>140425.0</v>
      </c>
      <c r="Q54" s="6">
        <v>51.6</v>
      </c>
    </row>
    <row r="55" ht="22.5" hidden="1" customHeight="1">
      <c r="B55" s="6" t="s">
        <v>49</v>
      </c>
      <c r="C55" s="6">
        <v>38383.0</v>
      </c>
      <c r="E55" s="6" t="s">
        <v>50</v>
      </c>
      <c r="F55" s="6" t="s">
        <v>85</v>
      </c>
      <c r="G55" s="6"/>
      <c r="H55" s="6">
        <v>140425.0</v>
      </c>
      <c r="T55" s="6">
        <v>96.43</v>
      </c>
    </row>
    <row r="56" ht="22.5" hidden="1" customHeight="1">
      <c r="B56" s="6" t="s">
        <v>49</v>
      </c>
      <c r="C56" s="6">
        <v>38382.0</v>
      </c>
      <c r="E56" s="6" t="s">
        <v>50</v>
      </c>
      <c r="F56" s="6" t="s">
        <v>86</v>
      </c>
      <c r="G56" s="6">
        <v>5.0</v>
      </c>
      <c r="H56" s="6">
        <v>140425.0</v>
      </c>
      <c r="R56" s="6">
        <v>16.91</v>
      </c>
      <c r="T56" s="6">
        <v>8.94</v>
      </c>
    </row>
    <row r="57" ht="22.5" hidden="1" customHeight="1">
      <c r="B57" s="6" t="s">
        <v>49</v>
      </c>
      <c r="C57" s="6">
        <v>38381.0</v>
      </c>
      <c r="E57" s="6" t="s">
        <v>50</v>
      </c>
      <c r="F57" s="6" t="s">
        <v>87</v>
      </c>
      <c r="G57" s="6"/>
      <c r="H57" s="6">
        <v>140425.0</v>
      </c>
      <c r="K57" s="6">
        <v>10.61</v>
      </c>
      <c r="L57" s="6">
        <v>10.61</v>
      </c>
      <c r="P57" s="6">
        <v>54.37</v>
      </c>
    </row>
    <row r="58" ht="22.5" hidden="1" customHeight="1">
      <c r="B58" s="6" t="s">
        <v>49</v>
      </c>
      <c r="C58" s="6">
        <v>38380.0</v>
      </c>
      <c r="E58" s="6" t="s">
        <v>50</v>
      </c>
      <c r="F58" s="6" t="s">
        <v>88</v>
      </c>
      <c r="G58" s="6">
        <v>105.0</v>
      </c>
      <c r="R58" s="6">
        <v>36.68</v>
      </c>
    </row>
    <row r="59" ht="22.5" hidden="1" customHeight="1">
      <c r="B59" s="6" t="s">
        <v>49</v>
      </c>
      <c r="C59" s="6">
        <v>38379.0</v>
      </c>
      <c r="E59" s="6" t="s">
        <v>50</v>
      </c>
      <c r="F59" s="6" t="s">
        <v>89</v>
      </c>
      <c r="G59" s="6"/>
      <c r="H59" s="6">
        <v>140425.0</v>
      </c>
      <c r="Q59" s="6">
        <v>29.95</v>
      </c>
      <c r="S59" s="6">
        <v>9.53</v>
      </c>
      <c r="T59" s="6">
        <v>16.06</v>
      </c>
    </row>
    <row r="60" ht="22.5" hidden="1" customHeight="1">
      <c r="B60" s="6" t="s">
        <v>49</v>
      </c>
      <c r="C60" s="6">
        <v>38396.0</v>
      </c>
      <c r="E60" s="6" t="s">
        <v>50</v>
      </c>
      <c r="F60" s="6" t="s">
        <v>74</v>
      </c>
      <c r="G60" s="6">
        <v>62.0</v>
      </c>
      <c r="H60" s="6">
        <v>6.2210425E7</v>
      </c>
      <c r="R60" s="6">
        <v>12.25</v>
      </c>
      <c r="S60" s="6">
        <v>2.14</v>
      </c>
      <c r="T60" s="6">
        <v>1.17</v>
      </c>
      <c r="AA60" s="6">
        <v>27.83</v>
      </c>
      <c r="AI60" s="6" t="s">
        <v>46</v>
      </c>
      <c r="AJ60" s="6" t="s">
        <v>46</v>
      </c>
      <c r="AK60" s="6">
        <v>26.14</v>
      </c>
      <c r="AL60" s="6" t="s">
        <v>48</v>
      </c>
      <c r="AM60" s="6">
        <v>9.59</v>
      </c>
      <c r="AN60" s="6" t="s">
        <v>48</v>
      </c>
    </row>
    <row r="61" ht="22.5" customHeight="1">
      <c r="B61" s="6" t="s">
        <v>49</v>
      </c>
      <c r="C61" s="6">
        <v>38395.0</v>
      </c>
      <c r="E61" s="6" t="s">
        <v>41</v>
      </c>
      <c r="F61" s="6" t="s">
        <v>90</v>
      </c>
      <c r="G61" s="6">
        <v>491.0</v>
      </c>
      <c r="H61" s="6">
        <v>4.91070425E8</v>
      </c>
      <c r="R61" s="6">
        <v>19.01</v>
      </c>
      <c r="S61" s="6">
        <v>5.43</v>
      </c>
      <c r="T61" s="6">
        <v>1.18</v>
      </c>
      <c r="AA61" s="6">
        <v>24.47</v>
      </c>
      <c r="AI61" s="6">
        <v>0.44</v>
      </c>
      <c r="AJ61" s="6" t="s">
        <v>46</v>
      </c>
      <c r="AK61" s="6">
        <v>129.25</v>
      </c>
      <c r="AL61" s="6" t="s">
        <v>48</v>
      </c>
      <c r="AM61" s="6">
        <v>193.21</v>
      </c>
      <c r="AN61" s="6" t="s">
        <v>48</v>
      </c>
    </row>
    <row r="62" ht="22.5" customHeight="1">
      <c r="B62" s="6" t="s">
        <v>49</v>
      </c>
      <c r="C62" s="6">
        <v>38394.0</v>
      </c>
      <c r="E62" s="6" t="s">
        <v>41</v>
      </c>
      <c r="F62" s="6" t="s">
        <v>91</v>
      </c>
      <c r="G62" s="6">
        <v>993.0</v>
      </c>
      <c r="H62" s="6">
        <v>140425.0</v>
      </c>
      <c r="P62" s="6">
        <v>0.09</v>
      </c>
      <c r="T62" s="6">
        <v>8.45</v>
      </c>
      <c r="AB62" s="6">
        <v>18.14</v>
      </c>
      <c r="AI62" s="6" t="s">
        <v>46</v>
      </c>
      <c r="AJ62" s="6">
        <v>0.43</v>
      </c>
      <c r="AK62" s="6">
        <v>18.67</v>
      </c>
      <c r="AL62" s="6" t="s">
        <v>48</v>
      </c>
      <c r="AM62" s="6">
        <v>152.38</v>
      </c>
      <c r="AN62" s="6" t="s">
        <v>48</v>
      </c>
    </row>
    <row r="63" ht="22.5" customHeight="1">
      <c r="B63" s="6" t="s">
        <v>49</v>
      </c>
      <c r="C63" s="6">
        <v>38393.0</v>
      </c>
      <c r="E63" s="6" t="s">
        <v>41</v>
      </c>
      <c r="F63" s="6" t="s">
        <v>92</v>
      </c>
      <c r="G63" s="6">
        <v>208.0</v>
      </c>
      <c r="H63" s="6">
        <v>5.58020425E8</v>
      </c>
      <c r="S63" s="6">
        <v>30.26</v>
      </c>
      <c r="T63" s="6">
        <v>1.14</v>
      </c>
      <c r="AA63" s="6">
        <v>34.26</v>
      </c>
      <c r="AI63" s="6">
        <v>0.4</v>
      </c>
      <c r="AJ63" s="6" t="s">
        <v>46</v>
      </c>
      <c r="AK63" s="6">
        <v>351.82</v>
      </c>
      <c r="AL63" s="6" t="s">
        <v>48</v>
      </c>
      <c r="AM63" s="6">
        <v>1037.47</v>
      </c>
      <c r="AN63" s="6" t="s">
        <v>48</v>
      </c>
    </row>
    <row r="64" ht="22.5" customHeight="1">
      <c r="B64" s="6" t="s">
        <v>49</v>
      </c>
      <c r="C64" s="6">
        <v>38392.0</v>
      </c>
      <c r="E64" s="6" t="s">
        <v>41</v>
      </c>
      <c r="F64" s="6" t="s">
        <v>70</v>
      </c>
      <c r="G64" s="6">
        <v>679.0</v>
      </c>
      <c r="H64" s="6">
        <v>6.79080425E8</v>
      </c>
      <c r="P64" s="6">
        <v>10.96</v>
      </c>
      <c r="Q64" s="6">
        <v>0.3</v>
      </c>
      <c r="R64" s="6">
        <v>26.6</v>
      </c>
      <c r="S64" s="6">
        <v>2.17</v>
      </c>
      <c r="T64" s="6">
        <v>5.6</v>
      </c>
      <c r="AI64" s="6" t="s">
        <v>46</v>
      </c>
      <c r="AJ64" s="6">
        <v>2.47</v>
      </c>
      <c r="AK64" s="6">
        <v>83.28</v>
      </c>
      <c r="AL64" s="6" t="s">
        <v>48</v>
      </c>
      <c r="AM64" s="6">
        <v>130.42</v>
      </c>
      <c r="AN64" s="6" t="s">
        <v>48</v>
      </c>
    </row>
    <row r="65" ht="22.5" customHeight="1">
      <c r="B65" s="6" t="s">
        <v>49</v>
      </c>
      <c r="C65" s="6">
        <v>38391.0</v>
      </c>
      <c r="E65" s="6" t="s">
        <v>41</v>
      </c>
      <c r="F65" s="6" t="s">
        <v>73</v>
      </c>
      <c r="G65" s="6">
        <v>208.0</v>
      </c>
      <c r="H65" s="6">
        <v>2.08190225E8</v>
      </c>
      <c r="S65" s="6">
        <v>17.83</v>
      </c>
      <c r="T65" s="6">
        <v>6.81</v>
      </c>
      <c r="AI65" s="6" t="s">
        <v>46</v>
      </c>
      <c r="AJ65" s="6" t="s">
        <v>46</v>
      </c>
      <c r="AK65" s="6">
        <v>169.44</v>
      </c>
      <c r="AL65" s="6" t="s">
        <v>48</v>
      </c>
      <c r="AM65" s="6">
        <v>488.22</v>
      </c>
      <c r="AN65" s="6" t="s">
        <v>48</v>
      </c>
    </row>
    <row r="66" ht="22.5" customHeight="1">
      <c r="B66" s="6" t="s">
        <v>49</v>
      </c>
      <c r="C66" s="6">
        <v>38390.0</v>
      </c>
      <c r="E66" s="6" t="s">
        <v>41</v>
      </c>
      <c r="F66" s="6" t="s">
        <v>93</v>
      </c>
      <c r="G66" s="6">
        <v>160.0</v>
      </c>
      <c r="H66" s="6">
        <v>100225.0</v>
      </c>
      <c r="Q66" s="6">
        <v>0.34</v>
      </c>
      <c r="R66" s="6">
        <v>18.7</v>
      </c>
      <c r="S66" s="6">
        <v>8.03</v>
      </c>
      <c r="T66" s="6">
        <v>5.3</v>
      </c>
      <c r="U66" s="6">
        <v>0.78</v>
      </c>
      <c r="AA66" s="6">
        <v>16.53</v>
      </c>
      <c r="AI66" s="6">
        <v>0.36</v>
      </c>
      <c r="AJ66" s="6">
        <v>1.42</v>
      </c>
      <c r="AK66" s="6">
        <v>140.73</v>
      </c>
      <c r="AL66" s="6" t="s">
        <v>48</v>
      </c>
      <c r="AM66" s="6">
        <v>299.96</v>
      </c>
      <c r="AN66" s="6" t="s">
        <v>48</v>
      </c>
    </row>
    <row r="67" ht="22.5" customHeight="1">
      <c r="B67" s="6" t="s">
        <v>49</v>
      </c>
      <c r="C67" s="6">
        <v>38389.0</v>
      </c>
      <c r="E67" s="6" t="s">
        <v>41</v>
      </c>
      <c r="F67" s="6" t="s">
        <v>70</v>
      </c>
      <c r="G67" s="6">
        <v>679.0</v>
      </c>
      <c r="H67" s="6">
        <v>5.74260325E8</v>
      </c>
      <c r="P67" s="6">
        <v>21.35</v>
      </c>
      <c r="AI67" s="6" t="s">
        <v>46</v>
      </c>
      <c r="AJ67" s="6">
        <v>19.22</v>
      </c>
      <c r="AK67" s="6">
        <v>157.95</v>
      </c>
      <c r="AL67" s="6" t="s">
        <v>48</v>
      </c>
      <c r="AM67" s="6">
        <v>183.76</v>
      </c>
      <c r="AN67" s="6" t="s">
        <v>48</v>
      </c>
    </row>
    <row r="68" ht="22.5" hidden="1" customHeight="1">
      <c r="B68" s="6" t="s">
        <v>49</v>
      </c>
      <c r="C68" s="6">
        <v>38864.0</v>
      </c>
      <c r="E68" s="6" t="s">
        <v>50</v>
      </c>
      <c r="F68" s="6" t="s">
        <v>94</v>
      </c>
      <c r="G68" s="6">
        <v>74.0</v>
      </c>
      <c r="H68" s="6">
        <v>10825.0</v>
      </c>
      <c r="S68" s="6">
        <v>30.18</v>
      </c>
      <c r="T68" s="6">
        <v>18.23</v>
      </c>
    </row>
    <row r="69" ht="22.5" customHeight="1">
      <c r="B69" s="6" t="s">
        <v>49</v>
      </c>
      <c r="C69" s="6">
        <v>38860.0</v>
      </c>
      <c r="E69" s="6" t="s">
        <v>41</v>
      </c>
      <c r="F69" s="7">
        <v>45407.0</v>
      </c>
      <c r="G69" s="6">
        <v>82.0</v>
      </c>
      <c r="H69" s="6">
        <v>250725.0</v>
      </c>
      <c r="K69" s="6">
        <v>21.91</v>
      </c>
      <c r="L69" s="6">
        <v>1.22</v>
      </c>
      <c r="O69" s="6">
        <v>20.69</v>
      </c>
      <c r="P69" s="6">
        <v>5.32</v>
      </c>
      <c r="Q69" s="6">
        <v>17.28</v>
      </c>
    </row>
    <row r="70" ht="22.5" customHeight="1">
      <c r="B70" s="6" t="s">
        <v>49</v>
      </c>
      <c r="C70" s="6">
        <v>38861.0</v>
      </c>
      <c r="E70" s="6" t="s">
        <v>41</v>
      </c>
      <c r="F70" s="6" t="s">
        <v>95</v>
      </c>
      <c r="G70" s="6"/>
      <c r="H70" s="6">
        <v>290725.0</v>
      </c>
      <c r="K70" s="6">
        <v>34.1</v>
      </c>
      <c r="L70" s="6">
        <v>4.48</v>
      </c>
      <c r="O70" s="6">
        <v>29.62</v>
      </c>
      <c r="P70" s="6">
        <v>12.32</v>
      </c>
      <c r="Q70" s="6">
        <v>14.86</v>
      </c>
    </row>
    <row r="71" ht="22.5" customHeight="1">
      <c r="B71" s="6" t="s">
        <v>49</v>
      </c>
      <c r="C71" s="6">
        <v>38862.0</v>
      </c>
      <c r="E71" s="6" t="s">
        <v>41</v>
      </c>
      <c r="F71" s="6" t="s">
        <v>96</v>
      </c>
      <c r="G71" s="6"/>
      <c r="H71" s="6">
        <v>300725.0</v>
      </c>
      <c r="K71" s="6">
        <v>23.14</v>
      </c>
      <c r="L71" s="6">
        <v>2.55</v>
      </c>
      <c r="O71" s="6">
        <v>20.6</v>
      </c>
      <c r="P71" s="6">
        <v>6.49</v>
      </c>
      <c r="Q71" s="6">
        <v>17.12</v>
      </c>
    </row>
    <row r="72" ht="22.5" customHeight="1">
      <c r="B72" s="6" t="s">
        <v>49</v>
      </c>
      <c r="C72" s="6">
        <v>38863.0</v>
      </c>
      <c r="E72" s="6" t="s">
        <v>41</v>
      </c>
      <c r="F72" s="6" t="s">
        <v>97</v>
      </c>
      <c r="G72" s="6"/>
      <c r="H72" s="6">
        <v>310725.0</v>
      </c>
      <c r="K72" s="6">
        <v>14.22</v>
      </c>
      <c r="L72" s="6">
        <v>4.85</v>
      </c>
      <c r="O72" s="6">
        <v>9.37</v>
      </c>
      <c r="P72" s="6">
        <v>13.57</v>
      </c>
      <c r="Q72" s="6">
        <v>9.61</v>
      </c>
    </row>
    <row r="73" ht="22.5" customHeight="1">
      <c r="B73" s="6" t="s">
        <v>49</v>
      </c>
      <c r="C73" s="6">
        <v>38859.0</v>
      </c>
      <c r="E73" s="6" t="s">
        <v>41</v>
      </c>
      <c r="F73" s="6" t="s">
        <v>73</v>
      </c>
      <c r="G73" s="6">
        <v>208.0</v>
      </c>
      <c r="H73" s="6">
        <v>2.08180325E8</v>
      </c>
      <c r="S73" s="6">
        <v>13.89</v>
      </c>
      <c r="T73" s="6">
        <v>6.27</v>
      </c>
    </row>
    <row r="74" ht="22.5" customHeight="1">
      <c r="B74" s="6" t="s">
        <v>49</v>
      </c>
      <c r="C74" s="6">
        <v>38639.0</v>
      </c>
      <c r="E74" s="6" t="s">
        <v>41</v>
      </c>
      <c r="F74" s="6" t="s">
        <v>60</v>
      </c>
      <c r="G74" s="6">
        <v>300.0</v>
      </c>
      <c r="H74" s="6">
        <v>3.00270225E8</v>
      </c>
      <c r="J74" s="6">
        <v>5.02</v>
      </c>
      <c r="Q74" s="6">
        <v>23.15</v>
      </c>
      <c r="R74" s="6">
        <v>5.07</v>
      </c>
      <c r="S74" s="6">
        <v>2.5</v>
      </c>
      <c r="T74" s="6">
        <v>2.94</v>
      </c>
      <c r="AA74" s="6">
        <v>14.03</v>
      </c>
      <c r="AC74" s="6">
        <v>0.65</v>
      </c>
      <c r="AI74" s="6">
        <v>0.58</v>
      </c>
      <c r="AJ74" s="6">
        <v>0.31</v>
      </c>
      <c r="AK74" s="6">
        <v>28.78</v>
      </c>
      <c r="AL74" s="6" t="s">
        <v>48</v>
      </c>
      <c r="AM74" s="6">
        <v>51.4</v>
      </c>
      <c r="AN74" s="6" t="s">
        <v>48</v>
      </c>
    </row>
    <row r="75" ht="22.5" hidden="1" customHeight="1">
      <c r="B75" s="6" t="s">
        <v>49</v>
      </c>
      <c r="C75" s="6">
        <v>38637.0</v>
      </c>
      <c r="E75" s="6" t="s">
        <v>50</v>
      </c>
      <c r="F75" s="6" t="s">
        <v>98</v>
      </c>
      <c r="G75" s="6">
        <v>105.0</v>
      </c>
      <c r="H75" s="6">
        <v>1.05040325E8</v>
      </c>
      <c r="R75" s="6">
        <v>39.66</v>
      </c>
    </row>
    <row r="76" ht="22.5" hidden="1" customHeight="1">
      <c r="B76" s="6" t="s">
        <v>49</v>
      </c>
      <c r="C76" s="6">
        <v>38638.0</v>
      </c>
      <c r="E76" s="6" t="s">
        <v>50</v>
      </c>
      <c r="F76" s="6" t="s">
        <v>98</v>
      </c>
      <c r="G76" s="6">
        <v>105.0</v>
      </c>
      <c r="H76" s="6">
        <v>1.05020425E8</v>
      </c>
      <c r="R76" s="6">
        <v>39.51</v>
      </c>
    </row>
    <row r="77" ht="22.5" hidden="1" customHeight="1">
      <c r="B77" s="6" t="s">
        <v>49</v>
      </c>
      <c r="C77" s="6">
        <v>38408.0</v>
      </c>
      <c r="E77" s="6" t="s">
        <v>50</v>
      </c>
      <c r="F77" s="6" t="s">
        <v>99</v>
      </c>
      <c r="G77" s="6"/>
      <c r="H77" s="6">
        <v>725.0</v>
      </c>
      <c r="R77" s="6">
        <v>0.5</v>
      </c>
      <c r="S77" s="6">
        <v>0.45</v>
      </c>
      <c r="T77" s="6">
        <v>0.48</v>
      </c>
      <c r="AA77" s="6">
        <v>51.64</v>
      </c>
    </row>
    <row r="78" ht="22.5" customHeight="1">
      <c r="B78" s="6" t="s">
        <v>49</v>
      </c>
      <c r="C78" s="6">
        <v>38407.0</v>
      </c>
      <c r="E78" s="6" t="s">
        <v>41</v>
      </c>
      <c r="F78" s="6" t="s">
        <v>100</v>
      </c>
      <c r="G78" s="6">
        <v>141.0</v>
      </c>
      <c r="H78" s="6">
        <v>230724.0</v>
      </c>
      <c r="R78" s="6">
        <v>23.74</v>
      </c>
      <c r="T78" s="6">
        <v>13.39</v>
      </c>
    </row>
    <row r="79" ht="22.5" customHeight="1">
      <c r="B79" s="6" t="s">
        <v>49</v>
      </c>
      <c r="C79" s="6">
        <v>383977.0</v>
      </c>
      <c r="E79" s="6" t="s">
        <v>41</v>
      </c>
      <c r="F79" s="6" t="s">
        <v>90</v>
      </c>
      <c r="G79" s="6">
        <v>491.0</v>
      </c>
      <c r="H79" s="6">
        <v>4.91070425E8</v>
      </c>
      <c r="R79" s="6">
        <v>19.8</v>
      </c>
      <c r="S79" s="6">
        <v>5.43</v>
      </c>
      <c r="T79" s="6">
        <v>1.23</v>
      </c>
      <c r="AA79" s="6">
        <v>25.8</v>
      </c>
    </row>
    <row r="80" ht="22.5" customHeight="1">
      <c r="B80" s="6" t="s">
        <v>49</v>
      </c>
      <c r="C80" s="6">
        <v>39156.0</v>
      </c>
      <c r="E80" s="6" t="s">
        <v>41</v>
      </c>
      <c r="F80" s="6" t="s">
        <v>65</v>
      </c>
      <c r="G80" s="6">
        <v>65.0</v>
      </c>
      <c r="H80" s="6">
        <v>6.5120625E7</v>
      </c>
      <c r="I80" s="6">
        <v>250612.0</v>
      </c>
      <c r="R80" s="6">
        <v>16.77</v>
      </c>
      <c r="S80" s="6">
        <v>18.48</v>
      </c>
      <c r="T80" s="6">
        <v>3.29</v>
      </c>
      <c r="AA80" s="6">
        <v>15.6</v>
      </c>
    </row>
    <row r="81" ht="22.5" customHeight="1">
      <c r="B81" s="6" t="s">
        <v>49</v>
      </c>
      <c r="C81" s="6">
        <v>39157.0</v>
      </c>
      <c r="E81" s="6" t="s">
        <v>41</v>
      </c>
      <c r="F81" s="6" t="s">
        <v>65</v>
      </c>
      <c r="G81" s="6">
        <v>65.0</v>
      </c>
      <c r="H81" s="6">
        <v>6.5050825E7</v>
      </c>
      <c r="I81" s="6">
        <v>250805.0</v>
      </c>
      <c r="R81" s="6">
        <v>18.03</v>
      </c>
      <c r="S81" s="6">
        <v>18.39</v>
      </c>
      <c r="T81" s="6">
        <v>3.51</v>
      </c>
      <c r="AA81" s="6">
        <v>20.18</v>
      </c>
    </row>
    <row r="82" ht="22.5" customHeight="1">
      <c r="B82" s="6" t="s">
        <v>49</v>
      </c>
      <c r="C82" s="6">
        <v>39158.0</v>
      </c>
      <c r="E82" s="6" t="s">
        <v>41</v>
      </c>
      <c r="F82" s="6" t="s">
        <v>65</v>
      </c>
      <c r="G82" s="6">
        <v>65.0</v>
      </c>
      <c r="H82" s="6">
        <v>6.5250925E7</v>
      </c>
      <c r="I82" s="6">
        <v>250925.0</v>
      </c>
      <c r="R82" s="6">
        <v>15.72</v>
      </c>
      <c r="S82" s="6">
        <v>15.59</v>
      </c>
      <c r="T82" s="6">
        <v>3.42</v>
      </c>
      <c r="AA82" s="6">
        <v>23.14</v>
      </c>
    </row>
    <row r="83" ht="22.5" customHeight="1">
      <c r="B83" s="6" t="s">
        <v>49</v>
      </c>
      <c r="C83" s="6">
        <v>39159.0</v>
      </c>
      <c r="E83" s="6" t="s">
        <v>41</v>
      </c>
      <c r="F83" s="6" t="s">
        <v>65</v>
      </c>
      <c r="G83" s="6">
        <v>65.0</v>
      </c>
      <c r="H83" s="6">
        <v>6.5061025E7</v>
      </c>
      <c r="I83" s="6">
        <v>251006.0</v>
      </c>
      <c r="R83" s="6">
        <v>16.86</v>
      </c>
      <c r="S83" s="6">
        <v>17.08</v>
      </c>
      <c r="T83" s="6">
        <v>3.32</v>
      </c>
      <c r="AA83" s="6">
        <v>22.97</v>
      </c>
    </row>
    <row r="84" ht="22.5" hidden="1" customHeight="1"/>
    <row r="85" ht="22.5" hidden="1" customHeight="1"/>
    <row r="86" ht="22.5" hidden="1" customHeight="1"/>
    <row r="87" ht="22.5" hidden="1" customHeight="1"/>
    <row r="88" ht="22.5" hidden="1" customHeight="1"/>
    <row r="89" ht="22.5" hidden="1" customHeight="1"/>
    <row r="90" ht="22.5" hidden="1" customHeight="1"/>
    <row r="91" ht="22.5" hidden="1" customHeight="1"/>
    <row r="92" ht="22.5" hidden="1" customHeight="1"/>
    <row r="93" ht="22.5" hidden="1" customHeight="1"/>
    <row r="94" ht="22.5" hidden="1" customHeight="1"/>
    <row r="95" ht="22.5" hidden="1" customHeight="1"/>
    <row r="96" ht="22.5" hidden="1" customHeight="1"/>
    <row r="97" ht="22.5" hidden="1" customHeight="1"/>
    <row r="98" ht="22.5" hidden="1" customHeight="1"/>
    <row r="99" ht="22.5" hidden="1" customHeight="1"/>
    <row r="100" ht="22.5" hidden="1" customHeight="1"/>
    <row r="101" ht="22.5" hidden="1" customHeight="1"/>
    <row r="102" ht="22.5" hidden="1" customHeight="1"/>
    <row r="103" ht="22.5" hidden="1" customHeight="1"/>
    <row r="104" ht="22.5" hidden="1" customHeight="1"/>
    <row r="105" ht="22.5" hidden="1" customHeight="1"/>
    <row r="106" ht="22.5" hidden="1" customHeight="1"/>
    <row r="107" ht="22.5" hidden="1" customHeight="1"/>
    <row r="108" ht="22.5" hidden="1" customHeight="1"/>
    <row r="109" ht="22.5" hidden="1" customHeight="1"/>
    <row r="110" ht="22.5" hidden="1" customHeight="1"/>
    <row r="111" ht="22.5" hidden="1" customHeight="1"/>
    <row r="112" ht="22.5" hidden="1" customHeight="1"/>
    <row r="113" ht="22.5" hidden="1" customHeight="1"/>
    <row r="114" ht="22.5" hidden="1" customHeight="1"/>
    <row r="115" ht="22.5" hidden="1" customHeight="1"/>
    <row r="116" ht="22.5" hidden="1" customHeight="1"/>
    <row r="117" ht="22.5" hidden="1" customHeight="1"/>
    <row r="118" ht="22.5" hidden="1" customHeight="1"/>
    <row r="119" ht="22.5" hidden="1" customHeight="1"/>
    <row r="120" ht="22.5" hidden="1" customHeight="1"/>
    <row r="121" ht="22.5" hidden="1" customHeight="1"/>
    <row r="122" ht="22.5" hidden="1" customHeight="1"/>
    <row r="123" ht="22.5" hidden="1" customHeight="1"/>
    <row r="124" ht="22.5" hidden="1" customHeight="1"/>
    <row r="125" ht="22.5" hidden="1" customHeight="1"/>
    <row r="126" ht="22.5" hidden="1" customHeight="1"/>
    <row r="127" ht="22.5" hidden="1" customHeight="1"/>
    <row r="128" ht="22.5" hidden="1" customHeight="1"/>
    <row r="129" ht="22.5" hidden="1" customHeight="1"/>
    <row r="130" ht="22.5" hidden="1" customHeight="1"/>
    <row r="131" ht="22.5" hidden="1" customHeight="1"/>
    <row r="132" ht="22.5" hidden="1" customHeight="1"/>
    <row r="133" ht="22.5" hidden="1" customHeight="1"/>
    <row r="134" ht="22.5" hidden="1" customHeight="1"/>
    <row r="135" ht="22.5" hidden="1" customHeight="1"/>
    <row r="136" ht="22.5" hidden="1" customHeight="1"/>
    <row r="137" ht="22.5" hidden="1" customHeight="1"/>
    <row r="138" ht="22.5" hidden="1" customHeight="1"/>
    <row r="139" ht="22.5" hidden="1" customHeight="1"/>
    <row r="140" ht="22.5" hidden="1" customHeight="1"/>
    <row r="141" ht="22.5" hidden="1" customHeight="1"/>
    <row r="142" ht="22.5" hidden="1" customHeight="1"/>
    <row r="143" ht="22.5" hidden="1" customHeight="1"/>
    <row r="144" ht="22.5" hidden="1" customHeight="1"/>
    <row r="145" ht="22.5" hidden="1" customHeight="1"/>
    <row r="146" ht="22.5" hidden="1" customHeight="1"/>
    <row r="147" ht="22.5" hidden="1" customHeight="1"/>
    <row r="148" ht="22.5" hidden="1" customHeight="1"/>
    <row r="149" ht="22.5" hidden="1" customHeight="1"/>
    <row r="150" ht="22.5" hidden="1" customHeight="1"/>
    <row r="151" ht="22.5" hidden="1" customHeight="1"/>
    <row r="152" ht="22.5" hidden="1" customHeight="1"/>
    <row r="153" ht="22.5" hidden="1" customHeight="1"/>
    <row r="154" ht="22.5" hidden="1" customHeight="1"/>
    <row r="155" ht="22.5" hidden="1" customHeight="1"/>
    <row r="156" ht="22.5" hidden="1" customHeight="1"/>
    <row r="157" ht="22.5" hidden="1" customHeight="1"/>
    <row r="158" ht="22.5" hidden="1" customHeight="1"/>
    <row r="159" ht="22.5" hidden="1" customHeight="1"/>
    <row r="160" ht="22.5" hidden="1" customHeight="1"/>
    <row r="161" ht="22.5" hidden="1" customHeight="1"/>
    <row r="162" ht="22.5" hidden="1" customHeight="1"/>
    <row r="163" ht="22.5" hidden="1" customHeight="1"/>
    <row r="164" ht="22.5" hidden="1" customHeight="1"/>
    <row r="165" ht="22.5" hidden="1" customHeight="1"/>
    <row r="166" ht="22.5" hidden="1" customHeight="1"/>
    <row r="167" ht="22.5" hidden="1" customHeight="1"/>
    <row r="168" ht="22.5" hidden="1" customHeight="1"/>
    <row r="169" ht="22.5" hidden="1" customHeight="1"/>
    <row r="170" ht="22.5" hidden="1" customHeight="1"/>
    <row r="171" ht="22.5" hidden="1" customHeight="1"/>
    <row r="172" ht="22.5" hidden="1" customHeight="1"/>
    <row r="173" ht="22.5" hidden="1" customHeight="1"/>
    <row r="174" ht="22.5" hidden="1" customHeight="1"/>
    <row r="175" ht="22.5" hidden="1" customHeight="1"/>
    <row r="176" ht="22.5" hidden="1" customHeight="1"/>
    <row r="177" ht="22.5" hidden="1" customHeight="1"/>
    <row r="178" ht="22.5" hidden="1" customHeight="1"/>
    <row r="179" ht="22.5" hidden="1" customHeight="1"/>
    <row r="180" ht="22.5" hidden="1" customHeight="1"/>
    <row r="181" ht="22.5" hidden="1" customHeight="1"/>
    <row r="182" ht="22.5" hidden="1" customHeight="1"/>
    <row r="183" ht="22.5" hidden="1" customHeight="1"/>
    <row r="184" ht="22.5" hidden="1" customHeight="1"/>
    <row r="185" ht="22.5" hidden="1" customHeight="1"/>
    <row r="186" ht="22.5" hidden="1" customHeight="1"/>
    <row r="187" ht="22.5" hidden="1" customHeight="1"/>
    <row r="188" ht="22.5" hidden="1" customHeight="1"/>
    <row r="189" ht="22.5" hidden="1" customHeight="1"/>
    <row r="190" ht="22.5" hidden="1" customHeight="1"/>
    <row r="191" ht="22.5" hidden="1" customHeight="1"/>
    <row r="192" ht="22.5" hidden="1" customHeight="1"/>
    <row r="193" ht="22.5" hidden="1" customHeight="1"/>
    <row r="194" ht="22.5" hidden="1" customHeight="1"/>
    <row r="195" ht="22.5" hidden="1" customHeight="1"/>
    <row r="196" ht="22.5" hidden="1" customHeight="1"/>
    <row r="197" ht="22.5" hidden="1" customHeight="1"/>
    <row r="198" ht="22.5" hidden="1" customHeight="1"/>
    <row r="199" ht="22.5" hidden="1" customHeight="1"/>
    <row r="200" ht="22.5" hidden="1" customHeight="1"/>
    <row r="201" ht="22.5" hidden="1" customHeight="1"/>
    <row r="202" ht="22.5" hidden="1" customHeight="1"/>
    <row r="203" ht="22.5" hidden="1" customHeight="1"/>
    <row r="204" ht="22.5" hidden="1" customHeight="1"/>
    <row r="205" ht="22.5" hidden="1" customHeight="1"/>
    <row r="206" ht="22.5" hidden="1" customHeight="1"/>
    <row r="207" ht="22.5" hidden="1" customHeight="1"/>
    <row r="208" ht="22.5" hidden="1" customHeight="1"/>
    <row r="209" ht="22.5" hidden="1" customHeight="1"/>
    <row r="210" ht="22.5" hidden="1" customHeight="1"/>
    <row r="211" ht="22.5" hidden="1" customHeight="1"/>
    <row r="212" ht="22.5" hidden="1" customHeight="1"/>
    <row r="213" ht="22.5" hidden="1" customHeight="1"/>
    <row r="214" ht="22.5" hidden="1" customHeight="1"/>
    <row r="215" ht="22.5" hidden="1" customHeight="1"/>
    <row r="216" ht="22.5" hidden="1" customHeight="1"/>
    <row r="217" ht="22.5" hidden="1" customHeight="1"/>
    <row r="218" ht="22.5" hidden="1" customHeight="1"/>
    <row r="219" ht="22.5" hidden="1" customHeight="1"/>
    <row r="220" ht="22.5" hidden="1" customHeight="1"/>
    <row r="221" ht="22.5" hidden="1" customHeight="1"/>
    <row r="222" ht="22.5" hidden="1" customHeight="1"/>
    <row r="223" ht="22.5" hidden="1" customHeight="1"/>
    <row r="224" ht="22.5" hidden="1" customHeight="1"/>
    <row r="225" ht="22.5" hidden="1" customHeight="1"/>
    <row r="226" ht="22.5" hidden="1" customHeight="1"/>
    <row r="227" ht="22.5" hidden="1" customHeight="1"/>
    <row r="228" ht="22.5" hidden="1" customHeight="1"/>
    <row r="229" ht="22.5" hidden="1" customHeight="1"/>
    <row r="230" ht="22.5" hidden="1" customHeight="1"/>
    <row r="231" ht="22.5" hidden="1" customHeight="1"/>
    <row r="232" ht="22.5" hidden="1" customHeight="1"/>
    <row r="233" ht="22.5" hidden="1" customHeight="1"/>
    <row r="234" ht="22.5" hidden="1" customHeight="1"/>
    <row r="235" ht="22.5" hidden="1" customHeight="1"/>
    <row r="236" ht="22.5" hidden="1" customHeight="1"/>
    <row r="237" ht="22.5" hidden="1" customHeight="1"/>
    <row r="238" ht="22.5" hidden="1" customHeight="1"/>
    <row r="239" ht="22.5" hidden="1" customHeight="1"/>
    <row r="240" ht="22.5" hidden="1" customHeight="1"/>
    <row r="241" ht="22.5" hidden="1" customHeight="1"/>
    <row r="242" ht="22.5" hidden="1" customHeight="1"/>
    <row r="243" ht="22.5" hidden="1" customHeight="1"/>
    <row r="244" ht="22.5" hidden="1" customHeight="1"/>
    <row r="245" ht="22.5" hidden="1" customHeight="1"/>
    <row r="246" ht="22.5" hidden="1" customHeight="1"/>
    <row r="247" ht="22.5" hidden="1" customHeight="1"/>
    <row r="248" ht="22.5" hidden="1" customHeight="1"/>
    <row r="249" ht="22.5" hidden="1" customHeight="1"/>
    <row r="250" ht="22.5" hidden="1" customHeight="1"/>
    <row r="251" ht="22.5" hidden="1" customHeight="1"/>
    <row r="252" ht="22.5" hidden="1" customHeight="1"/>
    <row r="253" ht="22.5" hidden="1" customHeight="1"/>
    <row r="254" ht="22.5" hidden="1" customHeight="1"/>
    <row r="255" ht="22.5" hidden="1" customHeight="1"/>
    <row r="256" ht="22.5" hidden="1" customHeight="1"/>
    <row r="257" ht="22.5" hidden="1" customHeight="1"/>
    <row r="258" ht="22.5" hidden="1" customHeight="1"/>
    <row r="259" ht="22.5" hidden="1" customHeight="1"/>
    <row r="260" ht="22.5" hidden="1" customHeight="1"/>
    <row r="261" ht="22.5" hidden="1" customHeight="1"/>
    <row r="262" ht="22.5" hidden="1" customHeight="1"/>
    <row r="263" ht="22.5" hidden="1" customHeight="1"/>
    <row r="264" ht="22.5" hidden="1" customHeight="1"/>
    <row r="265" ht="22.5" hidden="1" customHeight="1"/>
    <row r="266" ht="22.5" hidden="1" customHeight="1"/>
    <row r="267" ht="22.5" hidden="1" customHeight="1"/>
    <row r="268" ht="22.5" hidden="1" customHeight="1"/>
    <row r="269" ht="22.5" hidden="1" customHeight="1"/>
    <row r="270" ht="22.5" hidden="1" customHeight="1"/>
    <row r="271" ht="22.5" hidden="1" customHeight="1"/>
    <row r="272" ht="22.5" hidden="1" customHeight="1"/>
    <row r="273" ht="22.5" hidden="1" customHeight="1"/>
    <row r="274" ht="22.5" hidden="1" customHeight="1"/>
    <row r="275" ht="22.5" hidden="1" customHeight="1"/>
    <row r="276" ht="22.5" hidden="1" customHeight="1"/>
    <row r="277" ht="22.5" hidden="1" customHeight="1"/>
    <row r="278" ht="22.5" hidden="1" customHeight="1"/>
    <row r="279" ht="22.5" hidden="1" customHeight="1"/>
    <row r="280" ht="22.5" hidden="1" customHeight="1"/>
    <row r="281" ht="22.5" hidden="1" customHeight="1"/>
    <row r="282" ht="22.5" hidden="1" customHeight="1"/>
    <row r="283" ht="22.5" hidden="1" customHeight="1"/>
    <row r="284" ht="22.5" hidden="1" customHeight="1"/>
    <row r="285" ht="22.5" hidden="1" customHeight="1"/>
    <row r="286" ht="22.5" hidden="1" customHeight="1"/>
    <row r="287" ht="22.5" hidden="1" customHeight="1"/>
    <row r="288" ht="22.5" hidden="1" customHeight="1"/>
    <row r="289" ht="22.5" hidden="1" customHeight="1"/>
    <row r="290" ht="22.5" hidden="1" customHeight="1"/>
    <row r="291" ht="22.5" hidden="1" customHeight="1"/>
    <row r="292" ht="22.5" hidden="1" customHeight="1"/>
    <row r="293" ht="22.5" hidden="1" customHeight="1"/>
    <row r="294" ht="22.5" hidden="1" customHeight="1"/>
    <row r="295" ht="22.5" hidden="1" customHeight="1"/>
    <row r="296" ht="22.5" hidden="1" customHeight="1"/>
    <row r="297" ht="22.5" hidden="1" customHeight="1"/>
    <row r="298" ht="22.5" hidden="1" customHeight="1"/>
    <row r="299" ht="22.5" hidden="1" customHeight="1"/>
    <row r="300" ht="22.5" hidden="1" customHeight="1"/>
    <row r="301" ht="22.5" hidden="1" customHeight="1"/>
    <row r="302" ht="22.5" hidden="1" customHeight="1"/>
    <row r="303" ht="22.5" hidden="1" customHeight="1"/>
    <row r="304" ht="22.5" hidden="1" customHeight="1"/>
    <row r="305" ht="22.5" hidden="1" customHeight="1"/>
    <row r="306" ht="22.5" hidden="1" customHeight="1"/>
    <row r="307" ht="22.5" hidden="1" customHeight="1"/>
    <row r="308" ht="22.5" hidden="1" customHeight="1"/>
    <row r="309" ht="22.5" hidden="1" customHeight="1"/>
    <row r="310" ht="22.5" hidden="1" customHeight="1"/>
    <row r="311" ht="22.5" hidden="1" customHeight="1"/>
    <row r="312" ht="22.5" hidden="1" customHeight="1"/>
    <row r="313" ht="22.5" hidden="1" customHeight="1"/>
    <row r="314" ht="22.5" hidden="1" customHeight="1"/>
    <row r="315" ht="22.5" hidden="1" customHeight="1"/>
    <row r="316" ht="22.5" hidden="1" customHeight="1"/>
    <row r="317" ht="22.5" hidden="1" customHeight="1"/>
    <row r="318" ht="22.5" hidden="1" customHeight="1"/>
    <row r="319" ht="22.5" hidden="1" customHeight="1"/>
    <row r="320" ht="22.5" hidden="1" customHeight="1"/>
    <row r="321" ht="22.5" hidden="1" customHeight="1"/>
    <row r="322" ht="22.5" hidden="1" customHeight="1"/>
    <row r="323" ht="22.5" hidden="1" customHeight="1"/>
    <row r="324" ht="22.5" hidden="1" customHeight="1"/>
    <row r="325" ht="22.5" hidden="1" customHeight="1"/>
    <row r="326" ht="22.5" hidden="1" customHeight="1"/>
    <row r="327" ht="22.5" hidden="1" customHeight="1"/>
    <row r="328" ht="22.5" hidden="1" customHeight="1"/>
    <row r="329" ht="22.5" hidden="1" customHeight="1"/>
    <row r="330" ht="22.5" hidden="1" customHeight="1"/>
    <row r="331" ht="22.5" hidden="1" customHeight="1"/>
    <row r="332" ht="22.5" hidden="1" customHeight="1"/>
    <row r="333" ht="22.5" hidden="1" customHeight="1"/>
    <row r="334" ht="22.5" hidden="1" customHeight="1"/>
    <row r="335" ht="22.5" hidden="1" customHeight="1"/>
    <row r="336" ht="22.5" hidden="1" customHeight="1"/>
    <row r="337" ht="22.5" hidden="1" customHeight="1"/>
    <row r="338" ht="22.5" hidden="1" customHeight="1"/>
    <row r="339" ht="22.5" hidden="1" customHeight="1"/>
    <row r="340" ht="22.5" hidden="1" customHeight="1"/>
    <row r="341" ht="22.5" hidden="1" customHeight="1"/>
    <row r="342" ht="22.5" hidden="1" customHeight="1"/>
    <row r="343" ht="22.5" hidden="1" customHeight="1"/>
    <row r="344" ht="22.5" hidden="1" customHeight="1"/>
    <row r="345" ht="22.5" hidden="1" customHeight="1"/>
    <row r="346" ht="22.5" hidden="1" customHeight="1"/>
    <row r="347" ht="22.5" hidden="1" customHeight="1"/>
    <row r="348" ht="22.5" hidden="1" customHeight="1"/>
    <row r="349" ht="22.5" hidden="1" customHeight="1"/>
    <row r="350" ht="22.5" hidden="1" customHeight="1"/>
    <row r="351" ht="22.5" hidden="1" customHeight="1"/>
    <row r="352" ht="22.5" hidden="1" customHeight="1"/>
    <row r="353" ht="22.5" hidden="1" customHeight="1"/>
    <row r="354" ht="22.5" hidden="1" customHeight="1"/>
    <row r="355" ht="22.5" hidden="1" customHeight="1"/>
    <row r="356" ht="22.5" hidden="1" customHeight="1"/>
    <row r="357" ht="22.5" hidden="1" customHeight="1"/>
    <row r="358" ht="22.5" hidden="1" customHeight="1"/>
    <row r="359" ht="22.5" hidden="1" customHeight="1"/>
    <row r="360" ht="22.5" hidden="1" customHeight="1"/>
    <row r="361" ht="22.5" hidden="1" customHeight="1"/>
    <row r="362" ht="22.5" hidden="1" customHeight="1"/>
    <row r="363" ht="22.5" hidden="1" customHeight="1"/>
    <row r="364" ht="22.5" hidden="1" customHeight="1"/>
    <row r="365" ht="22.5" hidden="1" customHeight="1"/>
    <row r="366" ht="22.5" hidden="1" customHeight="1"/>
    <row r="367" ht="22.5" hidden="1" customHeight="1"/>
    <row r="368" ht="22.5" hidden="1" customHeight="1"/>
    <row r="369" ht="22.5" hidden="1" customHeight="1"/>
    <row r="370" ht="22.5" hidden="1" customHeight="1"/>
    <row r="371" ht="22.5" hidden="1" customHeight="1"/>
    <row r="372" ht="22.5" hidden="1" customHeight="1"/>
    <row r="373" ht="22.5" hidden="1" customHeight="1"/>
    <row r="374" ht="22.5" hidden="1" customHeight="1"/>
    <row r="375" ht="22.5" hidden="1" customHeight="1"/>
    <row r="376" ht="22.5" hidden="1" customHeight="1"/>
    <row r="377" ht="22.5" hidden="1" customHeight="1"/>
    <row r="378" ht="22.5" hidden="1" customHeight="1"/>
    <row r="379" ht="22.5" hidden="1" customHeight="1"/>
    <row r="380" ht="22.5" hidden="1" customHeight="1"/>
    <row r="381" ht="22.5" hidden="1" customHeight="1"/>
    <row r="382" ht="22.5" hidden="1" customHeight="1"/>
    <row r="383" ht="22.5" hidden="1" customHeight="1"/>
    <row r="384" ht="22.5" hidden="1" customHeight="1"/>
    <row r="385" ht="22.5" hidden="1" customHeight="1"/>
    <row r="386" ht="22.5" hidden="1" customHeight="1"/>
    <row r="387" ht="22.5" hidden="1" customHeight="1"/>
    <row r="388" ht="22.5" hidden="1" customHeight="1"/>
    <row r="389" ht="22.5" hidden="1" customHeight="1"/>
    <row r="390" ht="22.5" hidden="1" customHeight="1"/>
    <row r="391" ht="22.5" hidden="1" customHeight="1"/>
    <row r="392" ht="22.5" hidden="1" customHeight="1"/>
    <row r="393" ht="22.5" hidden="1" customHeight="1"/>
    <row r="394" ht="22.5" hidden="1" customHeight="1"/>
    <row r="395" ht="22.5" hidden="1" customHeight="1"/>
    <row r="396" ht="22.5" hidden="1" customHeight="1"/>
    <row r="397" ht="22.5" hidden="1" customHeight="1"/>
    <row r="398" ht="22.5" hidden="1" customHeight="1"/>
    <row r="399" ht="22.5" hidden="1" customHeight="1"/>
    <row r="400" ht="22.5" hidden="1" customHeight="1"/>
    <row r="401" ht="22.5" hidden="1" customHeight="1"/>
    <row r="402" ht="22.5" hidden="1" customHeight="1"/>
    <row r="403" ht="22.5" hidden="1" customHeight="1"/>
    <row r="404" ht="22.5" hidden="1" customHeight="1"/>
    <row r="405" ht="22.5" hidden="1" customHeight="1"/>
    <row r="406" ht="22.5" hidden="1" customHeight="1"/>
    <row r="407" ht="22.5" hidden="1" customHeight="1"/>
    <row r="408" ht="22.5" hidden="1" customHeight="1"/>
    <row r="409" ht="22.5" hidden="1" customHeight="1"/>
    <row r="410" ht="22.5" hidden="1" customHeight="1"/>
    <row r="411" ht="22.5" hidden="1" customHeight="1"/>
    <row r="412" ht="22.5" hidden="1" customHeight="1"/>
    <row r="413" ht="22.5" hidden="1" customHeight="1"/>
    <row r="414" ht="22.5" hidden="1" customHeight="1"/>
    <row r="415" ht="22.5" hidden="1" customHeight="1"/>
    <row r="416" ht="22.5" hidden="1" customHeight="1"/>
    <row r="417" ht="22.5" hidden="1" customHeight="1"/>
    <row r="418" ht="22.5" hidden="1" customHeight="1"/>
    <row r="419" ht="22.5" hidden="1" customHeight="1"/>
    <row r="420" ht="22.5" hidden="1" customHeight="1"/>
    <row r="421" ht="22.5" hidden="1" customHeight="1"/>
    <row r="422" ht="22.5" hidden="1" customHeight="1"/>
    <row r="423" ht="22.5" hidden="1" customHeight="1"/>
    <row r="424" ht="22.5" hidden="1" customHeight="1"/>
    <row r="425" ht="22.5" hidden="1" customHeight="1"/>
    <row r="426" ht="22.5" hidden="1" customHeight="1"/>
    <row r="427" ht="22.5" hidden="1" customHeight="1"/>
    <row r="428" ht="22.5" hidden="1" customHeight="1"/>
    <row r="429" ht="22.5" hidden="1" customHeight="1"/>
    <row r="430" ht="22.5" hidden="1" customHeight="1"/>
    <row r="431" ht="22.5" hidden="1" customHeight="1"/>
    <row r="432" ht="22.5" hidden="1" customHeight="1"/>
    <row r="433" ht="22.5" hidden="1" customHeight="1"/>
    <row r="434" ht="22.5" hidden="1" customHeight="1"/>
    <row r="435" ht="22.5" hidden="1" customHeight="1"/>
    <row r="436" ht="22.5" hidden="1" customHeight="1"/>
    <row r="437" ht="22.5" hidden="1" customHeight="1"/>
    <row r="438" ht="22.5" hidden="1" customHeight="1"/>
    <row r="439" ht="22.5" hidden="1" customHeight="1"/>
    <row r="440" ht="22.5" hidden="1" customHeight="1"/>
    <row r="441" ht="22.5" hidden="1" customHeight="1"/>
    <row r="442" ht="22.5" hidden="1" customHeight="1"/>
    <row r="443" ht="22.5" hidden="1" customHeight="1"/>
    <row r="444" ht="22.5" hidden="1" customHeight="1"/>
    <row r="445" ht="22.5" hidden="1" customHeight="1"/>
    <row r="446" ht="22.5" hidden="1" customHeight="1"/>
    <row r="447" ht="22.5" hidden="1" customHeight="1"/>
    <row r="448" ht="22.5" hidden="1" customHeight="1"/>
    <row r="449" ht="22.5" hidden="1" customHeight="1"/>
    <row r="450" ht="22.5" hidden="1" customHeight="1"/>
    <row r="451" ht="22.5" hidden="1" customHeight="1"/>
    <row r="452" ht="22.5" hidden="1" customHeight="1"/>
    <row r="453" ht="22.5" hidden="1" customHeight="1"/>
    <row r="454" ht="22.5" hidden="1" customHeight="1"/>
    <row r="455" ht="22.5" hidden="1" customHeight="1"/>
    <row r="456" ht="22.5" hidden="1" customHeight="1"/>
    <row r="457" ht="22.5" hidden="1" customHeight="1"/>
    <row r="458" ht="22.5" hidden="1" customHeight="1"/>
    <row r="459" ht="22.5" hidden="1" customHeight="1"/>
    <row r="460" ht="22.5" hidden="1" customHeight="1"/>
    <row r="461" ht="22.5" hidden="1" customHeight="1"/>
    <row r="462" ht="22.5" hidden="1" customHeight="1"/>
    <row r="463" ht="22.5" hidden="1" customHeight="1"/>
    <row r="464" ht="22.5" hidden="1" customHeight="1"/>
    <row r="465" ht="22.5" hidden="1" customHeight="1"/>
    <row r="466" ht="22.5" hidden="1" customHeight="1"/>
    <row r="467" ht="22.5" hidden="1" customHeight="1"/>
    <row r="468" ht="22.5" hidden="1" customHeight="1"/>
    <row r="469" ht="22.5" hidden="1" customHeight="1"/>
    <row r="470" ht="22.5" hidden="1" customHeight="1"/>
    <row r="471" ht="22.5" hidden="1" customHeight="1"/>
    <row r="472" ht="22.5" hidden="1" customHeight="1"/>
    <row r="473" ht="22.5" hidden="1" customHeight="1"/>
    <row r="474" ht="22.5" hidden="1" customHeight="1"/>
    <row r="475" ht="22.5" hidden="1" customHeight="1"/>
    <row r="476" ht="22.5" hidden="1" customHeight="1"/>
    <row r="477" ht="22.5" hidden="1" customHeight="1"/>
    <row r="478" ht="22.5" hidden="1" customHeight="1"/>
    <row r="479" ht="22.5" hidden="1" customHeight="1"/>
    <row r="480" ht="22.5" hidden="1" customHeight="1"/>
    <row r="481" ht="22.5" hidden="1" customHeight="1"/>
    <row r="482" ht="22.5" hidden="1" customHeight="1"/>
    <row r="483" ht="22.5" hidden="1" customHeight="1"/>
    <row r="484" ht="22.5" hidden="1" customHeight="1"/>
    <row r="485" ht="22.5" hidden="1" customHeight="1"/>
    <row r="486" ht="22.5" hidden="1" customHeight="1"/>
    <row r="487" ht="22.5" hidden="1" customHeight="1"/>
    <row r="488" ht="22.5" hidden="1" customHeight="1"/>
    <row r="489" ht="22.5" hidden="1" customHeight="1"/>
    <row r="490" ht="22.5" hidden="1" customHeight="1"/>
    <row r="491" ht="22.5" hidden="1" customHeight="1"/>
    <row r="492" ht="22.5" hidden="1" customHeight="1"/>
    <row r="493" ht="22.5" hidden="1" customHeight="1"/>
    <row r="494" ht="22.5" hidden="1" customHeight="1"/>
    <row r="495" ht="22.5" hidden="1" customHeight="1"/>
    <row r="496" ht="22.5" hidden="1" customHeight="1"/>
    <row r="497" ht="22.5" hidden="1" customHeight="1"/>
    <row r="498" ht="22.5" hidden="1" customHeight="1"/>
    <row r="499" ht="22.5" hidden="1" customHeight="1"/>
    <row r="500" ht="22.5" hidden="1" customHeight="1"/>
    <row r="501" ht="22.5" hidden="1" customHeight="1"/>
    <row r="502" ht="22.5" hidden="1" customHeight="1"/>
    <row r="503" ht="22.5" hidden="1" customHeight="1"/>
    <row r="504" ht="22.5" hidden="1" customHeight="1"/>
    <row r="505" ht="22.5" hidden="1" customHeight="1"/>
    <row r="506" ht="22.5" hidden="1" customHeight="1"/>
    <row r="507" ht="22.5" hidden="1" customHeight="1"/>
    <row r="508" ht="22.5" hidden="1" customHeight="1"/>
    <row r="509" ht="22.5" hidden="1" customHeight="1"/>
    <row r="510" ht="22.5" hidden="1" customHeight="1"/>
    <row r="511" ht="22.5" hidden="1" customHeight="1"/>
    <row r="512" ht="22.5" hidden="1" customHeight="1"/>
    <row r="513" ht="22.5" hidden="1" customHeight="1"/>
    <row r="514" ht="22.5" hidden="1" customHeight="1"/>
    <row r="515" ht="22.5" hidden="1" customHeight="1"/>
    <row r="516" ht="22.5" hidden="1" customHeight="1"/>
    <row r="517" ht="22.5" hidden="1" customHeight="1"/>
    <row r="518" ht="22.5" hidden="1" customHeight="1"/>
    <row r="519" ht="22.5" hidden="1" customHeight="1"/>
    <row r="520" ht="22.5" hidden="1" customHeight="1"/>
    <row r="521" ht="22.5" hidden="1" customHeight="1"/>
    <row r="522" ht="22.5" hidden="1" customHeight="1"/>
    <row r="523" ht="22.5" hidden="1" customHeight="1"/>
    <row r="524" ht="22.5" hidden="1" customHeight="1"/>
    <row r="525" ht="22.5" hidden="1" customHeight="1"/>
    <row r="526" ht="22.5" hidden="1" customHeight="1"/>
    <row r="527" ht="22.5" hidden="1" customHeight="1"/>
    <row r="528" ht="22.5" hidden="1" customHeight="1"/>
    <row r="529" ht="22.5" hidden="1" customHeight="1"/>
    <row r="530" ht="22.5" hidden="1" customHeight="1"/>
    <row r="531" ht="22.5" hidden="1" customHeight="1"/>
    <row r="532" ht="22.5" hidden="1" customHeight="1"/>
    <row r="533" ht="22.5" hidden="1" customHeight="1"/>
    <row r="534" ht="22.5" hidden="1" customHeight="1"/>
    <row r="535" ht="22.5" hidden="1" customHeight="1"/>
    <row r="536" ht="22.5" hidden="1" customHeight="1"/>
    <row r="537" ht="22.5" hidden="1" customHeight="1"/>
    <row r="538" ht="22.5" hidden="1" customHeight="1"/>
    <row r="539" ht="22.5" hidden="1" customHeight="1"/>
    <row r="540" ht="22.5" hidden="1" customHeight="1"/>
    <row r="541" ht="22.5" hidden="1" customHeight="1"/>
    <row r="542" ht="22.5" hidden="1" customHeight="1"/>
    <row r="543" ht="22.5" hidden="1" customHeight="1"/>
    <row r="544" ht="22.5" hidden="1" customHeight="1"/>
    <row r="545" ht="22.5" hidden="1" customHeight="1"/>
    <row r="546" ht="22.5" hidden="1" customHeight="1"/>
    <row r="547" ht="22.5" hidden="1" customHeight="1"/>
    <row r="548" ht="22.5" hidden="1" customHeight="1"/>
    <row r="549" ht="22.5" hidden="1" customHeight="1"/>
    <row r="550" ht="22.5" hidden="1" customHeight="1"/>
    <row r="551" ht="22.5" hidden="1" customHeight="1"/>
    <row r="552" ht="22.5" hidden="1" customHeight="1"/>
    <row r="553" ht="22.5" hidden="1" customHeight="1"/>
    <row r="554" ht="22.5" hidden="1" customHeight="1"/>
    <row r="555" ht="22.5" hidden="1" customHeight="1"/>
    <row r="556" ht="22.5" hidden="1" customHeight="1"/>
    <row r="557" ht="22.5" hidden="1" customHeight="1"/>
    <row r="558" ht="22.5" hidden="1" customHeight="1"/>
    <row r="559" ht="22.5" hidden="1" customHeight="1"/>
    <row r="560" ht="22.5" hidden="1" customHeight="1"/>
    <row r="561" ht="22.5" hidden="1" customHeight="1"/>
    <row r="562" ht="22.5" hidden="1" customHeight="1"/>
    <row r="563" ht="22.5" hidden="1" customHeight="1"/>
    <row r="564" ht="22.5" hidden="1" customHeight="1"/>
    <row r="565" ht="22.5" hidden="1" customHeight="1"/>
    <row r="566" ht="22.5" hidden="1" customHeight="1"/>
    <row r="567" ht="22.5" hidden="1" customHeight="1"/>
    <row r="568" ht="22.5" hidden="1" customHeight="1"/>
    <row r="569" ht="22.5" hidden="1" customHeight="1"/>
    <row r="570" ht="22.5" hidden="1" customHeight="1"/>
    <row r="571" ht="22.5" hidden="1" customHeight="1"/>
    <row r="572" ht="22.5" hidden="1" customHeight="1"/>
    <row r="573" ht="22.5" hidden="1" customHeight="1"/>
    <row r="574" ht="22.5" hidden="1" customHeight="1"/>
    <row r="575" ht="22.5" hidden="1" customHeight="1"/>
    <row r="576" ht="22.5" hidden="1" customHeight="1"/>
    <row r="577" ht="22.5" hidden="1" customHeight="1"/>
    <row r="578" ht="22.5" hidden="1" customHeight="1"/>
    <row r="579" ht="22.5" hidden="1" customHeight="1"/>
    <row r="580" ht="22.5" hidden="1" customHeight="1"/>
    <row r="581" ht="22.5" hidden="1" customHeight="1"/>
    <row r="582" ht="22.5" hidden="1" customHeight="1"/>
    <row r="583" ht="22.5" hidden="1" customHeight="1"/>
    <row r="584" ht="22.5" hidden="1" customHeight="1"/>
    <row r="585" ht="22.5" hidden="1" customHeight="1"/>
    <row r="586" ht="22.5" hidden="1" customHeight="1"/>
    <row r="587" ht="22.5" hidden="1" customHeight="1"/>
    <row r="588" ht="22.5" hidden="1" customHeight="1"/>
    <row r="589" ht="22.5" hidden="1" customHeight="1"/>
    <row r="590" ht="22.5" hidden="1" customHeight="1"/>
    <row r="591" ht="22.5" hidden="1" customHeight="1"/>
    <row r="592" ht="22.5" hidden="1" customHeight="1"/>
    <row r="593" ht="22.5" hidden="1" customHeight="1"/>
    <row r="594" ht="22.5" hidden="1" customHeight="1"/>
    <row r="595" ht="22.5" hidden="1" customHeight="1"/>
    <row r="596" ht="22.5" hidden="1" customHeight="1"/>
    <row r="597" ht="22.5" hidden="1" customHeight="1"/>
    <row r="598" ht="22.5" hidden="1" customHeight="1"/>
    <row r="599" ht="22.5" hidden="1" customHeight="1"/>
    <row r="600" ht="22.5" hidden="1" customHeight="1"/>
    <row r="601" ht="22.5" hidden="1" customHeight="1"/>
    <row r="602" ht="22.5" hidden="1" customHeight="1"/>
    <row r="603" ht="22.5" hidden="1" customHeight="1"/>
    <row r="604" ht="22.5" hidden="1" customHeight="1"/>
    <row r="605" ht="22.5" hidden="1" customHeight="1"/>
    <row r="606" ht="22.5" hidden="1" customHeight="1"/>
    <row r="607" ht="22.5" hidden="1" customHeight="1"/>
    <row r="608" ht="22.5" hidden="1" customHeight="1"/>
    <row r="609" ht="22.5" hidden="1" customHeight="1"/>
    <row r="610" ht="22.5" hidden="1" customHeight="1"/>
    <row r="611" ht="22.5" hidden="1" customHeight="1"/>
    <row r="612" ht="22.5" hidden="1" customHeight="1"/>
    <row r="613" ht="22.5" hidden="1" customHeight="1"/>
    <row r="614" ht="22.5" hidden="1" customHeight="1"/>
    <row r="615" ht="22.5" hidden="1" customHeight="1"/>
    <row r="616" ht="22.5" hidden="1" customHeight="1"/>
    <row r="617" ht="22.5" hidden="1" customHeight="1"/>
    <row r="618" ht="22.5" hidden="1" customHeight="1"/>
    <row r="619" ht="22.5" hidden="1" customHeight="1"/>
    <row r="620" ht="22.5" hidden="1" customHeight="1"/>
    <row r="621" ht="22.5" hidden="1" customHeight="1"/>
    <row r="622" ht="22.5" hidden="1" customHeight="1"/>
    <row r="623" ht="22.5" hidden="1" customHeight="1"/>
    <row r="624" ht="22.5" hidden="1" customHeight="1"/>
    <row r="625" ht="22.5" hidden="1" customHeight="1"/>
    <row r="626" ht="22.5" hidden="1" customHeight="1"/>
    <row r="627" ht="22.5" hidden="1" customHeight="1"/>
    <row r="628" ht="22.5" hidden="1" customHeight="1"/>
    <row r="629" ht="22.5" hidden="1" customHeight="1"/>
    <row r="630" ht="22.5" hidden="1" customHeight="1"/>
    <row r="631" ht="22.5" hidden="1" customHeight="1"/>
    <row r="632" ht="22.5" hidden="1" customHeight="1"/>
    <row r="633" ht="22.5" hidden="1" customHeight="1"/>
    <row r="634" ht="22.5" hidden="1" customHeight="1"/>
    <row r="635" ht="22.5" hidden="1" customHeight="1"/>
    <row r="636" ht="22.5" hidden="1" customHeight="1"/>
    <row r="637" ht="22.5" hidden="1" customHeight="1"/>
    <row r="638" ht="22.5" hidden="1" customHeight="1"/>
    <row r="639" ht="22.5" hidden="1" customHeight="1"/>
    <row r="640" ht="22.5" hidden="1" customHeight="1"/>
    <row r="641" ht="22.5" hidden="1" customHeight="1"/>
    <row r="642" ht="22.5" hidden="1" customHeight="1"/>
    <row r="643" ht="22.5" hidden="1" customHeight="1"/>
    <row r="644" ht="22.5" hidden="1" customHeight="1"/>
    <row r="645" ht="22.5" hidden="1" customHeight="1"/>
    <row r="646" ht="22.5" hidden="1" customHeight="1"/>
    <row r="647" ht="22.5" hidden="1" customHeight="1"/>
    <row r="648" ht="22.5" hidden="1" customHeight="1"/>
    <row r="649" ht="22.5" hidden="1" customHeight="1"/>
    <row r="650" ht="22.5" hidden="1" customHeight="1"/>
    <row r="651" ht="22.5" hidden="1" customHeight="1"/>
    <row r="652" ht="22.5" hidden="1" customHeight="1"/>
    <row r="653" ht="22.5" hidden="1" customHeight="1"/>
    <row r="654" ht="22.5" hidden="1" customHeight="1"/>
    <row r="655" ht="22.5" hidden="1" customHeight="1"/>
    <row r="656" ht="22.5" hidden="1" customHeight="1"/>
    <row r="657" ht="22.5" hidden="1" customHeight="1"/>
    <row r="658" ht="22.5" hidden="1" customHeight="1"/>
    <row r="659" ht="22.5" hidden="1" customHeight="1"/>
    <row r="660" ht="22.5" hidden="1" customHeight="1"/>
    <row r="661" ht="22.5" hidden="1" customHeight="1"/>
    <row r="662" ht="22.5" hidden="1" customHeight="1"/>
    <row r="663" ht="22.5" hidden="1" customHeight="1"/>
    <row r="664" ht="22.5" hidden="1" customHeight="1"/>
    <row r="665" ht="22.5" hidden="1" customHeight="1"/>
    <row r="666" ht="22.5" hidden="1" customHeight="1"/>
    <row r="667" ht="22.5" hidden="1" customHeight="1"/>
    <row r="668" ht="22.5" hidden="1" customHeight="1"/>
    <row r="669" ht="22.5" hidden="1" customHeight="1"/>
    <row r="670" ht="22.5" hidden="1" customHeight="1"/>
    <row r="671" ht="22.5" hidden="1" customHeight="1"/>
    <row r="672" ht="22.5" hidden="1" customHeight="1"/>
    <row r="673" ht="22.5" hidden="1" customHeight="1"/>
    <row r="674" ht="22.5" hidden="1" customHeight="1"/>
    <row r="675" ht="22.5" hidden="1" customHeight="1"/>
    <row r="676" ht="22.5" hidden="1" customHeight="1"/>
    <row r="677" ht="22.5" hidden="1" customHeight="1"/>
    <row r="678" ht="22.5" hidden="1" customHeight="1"/>
    <row r="679" ht="22.5" hidden="1" customHeight="1"/>
    <row r="680" ht="22.5" hidden="1" customHeight="1"/>
    <row r="681" ht="22.5" hidden="1" customHeight="1"/>
    <row r="682" ht="22.5" hidden="1" customHeight="1"/>
    <row r="683" ht="22.5" hidden="1" customHeight="1"/>
    <row r="684" ht="22.5" hidden="1" customHeight="1"/>
    <row r="685" ht="22.5" hidden="1" customHeight="1"/>
    <row r="686" ht="22.5" hidden="1" customHeight="1"/>
    <row r="687" ht="22.5" hidden="1" customHeight="1"/>
    <row r="688" ht="22.5" hidden="1" customHeight="1"/>
    <row r="689" ht="22.5" hidden="1" customHeight="1"/>
    <row r="690" ht="22.5" hidden="1" customHeight="1"/>
    <row r="691" ht="22.5" hidden="1" customHeight="1"/>
    <row r="692" ht="22.5" hidden="1" customHeight="1"/>
    <row r="693" ht="22.5" hidden="1" customHeight="1"/>
    <row r="694" ht="22.5" hidden="1" customHeight="1"/>
    <row r="695" ht="22.5" hidden="1" customHeight="1"/>
    <row r="696" ht="22.5" hidden="1" customHeight="1"/>
    <row r="697" ht="22.5" hidden="1" customHeight="1"/>
    <row r="698" ht="22.5" hidden="1" customHeight="1"/>
    <row r="699" ht="22.5" hidden="1" customHeight="1"/>
    <row r="700" ht="22.5" hidden="1" customHeight="1"/>
    <row r="701" ht="22.5" hidden="1" customHeight="1"/>
    <row r="702" ht="22.5" hidden="1" customHeight="1"/>
    <row r="703" ht="22.5" hidden="1" customHeight="1"/>
    <row r="704" ht="22.5" hidden="1" customHeight="1"/>
    <row r="705" ht="22.5" hidden="1" customHeight="1"/>
    <row r="706" ht="22.5" hidden="1" customHeight="1"/>
    <row r="707" ht="22.5" hidden="1" customHeight="1"/>
    <row r="708" ht="22.5" hidden="1" customHeight="1"/>
    <row r="709" ht="22.5" hidden="1" customHeight="1"/>
    <row r="710" ht="22.5" hidden="1" customHeight="1"/>
    <row r="711" ht="22.5" hidden="1" customHeight="1"/>
    <row r="712" ht="22.5" hidden="1" customHeight="1"/>
    <row r="713" ht="22.5" hidden="1" customHeight="1"/>
    <row r="714" ht="22.5" hidden="1" customHeight="1"/>
    <row r="715" ht="22.5" hidden="1" customHeight="1"/>
    <row r="716" ht="22.5" hidden="1" customHeight="1"/>
    <row r="717" ht="22.5" hidden="1" customHeight="1"/>
    <row r="718" ht="22.5" hidden="1" customHeight="1"/>
    <row r="719" ht="22.5" hidden="1" customHeight="1"/>
    <row r="720" ht="22.5" hidden="1" customHeight="1"/>
    <row r="721" ht="22.5" hidden="1" customHeight="1"/>
    <row r="722" ht="22.5" hidden="1" customHeight="1"/>
    <row r="723" ht="22.5" hidden="1" customHeight="1"/>
    <row r="724" ht="22.5" hidden="1" customHeight="1"/>
    <row r="725" ht="22.5" hidden="1" customHeight="1"/>
    <row r="726" ht="22.5" hidden="1" customHeight="1"/>
    <row r="727" ht="22.5" hidden="1" customHeight="1"/>
    <row r="728" ht="22.5" hidden="1" customHeight="1"/>
    <row r="729" ht="22.5" hidden="1" customHeight="1"/>
    <row r="730" ht="22.5" hidden="1" customHeight="1"/>
    <row r="731" ht="22.5" hidden="1" customHeight="1"/>
    <row r="732" ht="22.5" hidden="1" customHeight="1"/>
    <row r="733" ht="22.5" hidden="1" customHeight="1"/>
    <row r="734" ht="22.5" hidden="1" customHeight="1"/>
    <row r="735" ht="22.5" hidden="1" customHeight="1"/>
    <row r="736" ht="22.5" hidden="1" customHeight="1"/>
    <row r="737" ht="22.5" hidden="1" customHeight="1"/>
    <row r="738" ht="22.5" hidden="1" customHeight="1"/>
    <row r="739" ht="22.5" hidden="1" customHeight="1"/>
    <row r="740" ht="22.5" hidden="1" customHeight="1"/>
    <row r="741" ht="22.5" hidden="1" customHeight="1"/>
    <row r="742" ht="22.5" hidden="1" customHeight="1"/>
    <row r="743" ht="22.5" hidden="1" customHeight="1"/>
    <row r="744" ht="22.5" hidden="1" customHeight="1"/>
    <row r="745" ht="22.5" hidden="1" customHeight="1"/>
    <row r="746" ht="22.5" hidden="1" customHeight="1"/>
    <row r="747" ht="22.5" hidden="1" customHeight="1"/>
    <row r="748" ht="22.5" hidden="1" customHeight="1"/>
    <row r="749" ht="22.5" hidden="1" customHeight="1"/>
    <row r="750" ht="22.5" hidden="1" customHeight="1"/>
    <row r="751" ht="22.5" hidden="1" customHeight="1"/>
    <row r="752" ht="22.5" hidden="1" customHeight="1"/>
    <row r="753" ht="22.5" hidden="1" customHeight="1"/>
    <row r="754" ht="22.5" hidden="1" customHeight="1"/>
    <row r="755" ht="22.5" hidden="1" customHeight="1"/>
    <row r="756" ht="22.5" hidden="1" customHeight="1"/>
    <row r="757" ht="22.5" hidden="1" customHeight="1"/>
    <row r="758" ht="22.5" hidden="1" customHeight="1"/>
    <row r="759" ht="22.5" hidden="1" customHeight="1"/>
    <row r="760" ht="22.5" hidden="1" customHeight="1"/>
    <row r="761" ht="22.5" hidden="1" customHeight="1"/>
    <row r="762" ht="22.5" hidden="1" customHeight="1"/>
    <row r="763" ht="22.5" hidden="1" customHeight="1"/>
    <row r="764" ht="22.5" hidden="1" customHeight="1"/>
    <row r="765" ht="22.5" hidden="1" customHeight="1"/>
    <row r="766" ht="22.5" hidden="1" customHeight="1"/>
    <row r="767" ht="22.5" hidden="1" customHeight="1"/>
    <row r="768" ht="22.5" hidden="1" customHeight="1"/>
    <row r="769" ht="22.5" hidden="1" customHeight="1"/>
    <row r="770" ht="22.5" hidden="1" customHeight="1"/>
    <row r="771" ht="22.5" hidden="1" customHeight="1"/>
    <row r="772" ht="22.5" hidden="1" customHeight="1"/>
    <row r="773" ht="22.5" hidden="1" customHeight="1"/>
    <row r="774" ht="22.5" hidden="1" customHeight="1"/>
    <row r="775" ht="22.5" hidden="1" customHeight="1"/>
    <row r="776" ht="22.5" hidden="1" customHeight="1"/>
    <row r="777" ht="22.5" hidden="1" customHeight="1"/>
    <row r="778" ht="22.5" hidden="1" customHeight="1"/>
    <row r="779" ht="22.5" hidden="1" customHeight="1"/>
    <row r="780" ht="22.5" hidden="1" customHeight="1"/>
    <row r="781" ht="22.5" hidden="1" customHeight="1"/>
    <row r="782" ht="22.5" hidden="1" customHeight="1"/>
    <row r="783" ht="22.5" hidden="1" customHeight="1"/>
    <row r="784" ht="22.5" hidden="1" customHeight="1"/>
    <row r="785" ht="22.5" hidden="1" customHeight="1"/>
    <row r="786" ht="22.5" hidden="1" customHeight="1"/>
    <row r="787" ht="22.5" hidden="1" customHeight="1"/>
    <row r="788" ht="22.5" hidden="1" customHeight="1"/>
    <row r="789" ht="22.5" hidden="1" customHeight="1"/>
    <row r="790" ht="22.5" hidden="1" customHeight="1"/>
    <row r="791" ht="22.5" hidden="1" customHeight="1"/>
    <row r="792" ht="22.5" hidden="1" customHeight="1"/>
    <row r="793" ht="22.5" hidden="1" customHeight="1"/>
    <row r="794" ht="22.5" hidden="1" customHeight="1"/>
    <row r="795" ht="22.5" hidden="1" customHeight="1"/>
    <row r="796" ht="22.5" hidden="1" customHeight="1"/>
    <row r="797" ht="22.5" hidden="1" customHeight="1"/>
    <row r="798" ht="22.5" hidden="1" customHeight="1"/>
    <row r="799" ht="22.5" hidden="1" customHeight="1"/>
    <row r="800" ht="22.5" hidden="1" customHeight="1"/>
    <row r="801" ht="22.5" hidden="1" customHeight="1"/>
    <row r="802" ht="22.5" hidden="1" customHeight="1"/>
    <row r="803" ht="22.5" hidden="1" customHeight="1"/>
    <row r="804" ht="22.5" hidden="1" customHeight="1"/>
    <row r="805" ht="22.5" hidden="1" customHeight="1"/>
    <row r="806" ht="22.5" hidden="1" customHeight="1"/>
    <row r="807" ht="22.5" hidden="1" customHeight="1"/>
    <row r="808" ht="22.5" hidden="1" customHeight="1"/>
    <row r="809" ht="22.5" hidden="1" customHeight="1"/>
    <row r="810" ht="22.5" hidden="1" customHeight="1"/>
    <row r="811" ht="22.5" hidden="1" customHeight="1"/>
    <row r="812" ht="22.5" hidden="1" customHeight="1"/>
    <row r="813" ht="22.5" hidden="1" customHeight="1"/>
    <row r="814" ht="22.5" hidden="1" customHeight="1"/>
    <row r="815" ht="22.5" hidden="1" customHeight="1"/>
    <row r="816" ht="22.5" hidden="1" customHeight="1"/>
    <row r="817" ht="22.5" hidden="1" customHeight="1"/>
    <row r="818" ht="22.5" hidden="1" customHeight="1"/>
    <row r="819" ht="22.5" hidden="1" customHeight="1"/>
    <row r="820" ht="22.5" hidden="1" customHeight="1"/>
    <row r="821" ht="22.5" hidden="1" customHeight="1"/>
    <row r="822" ht="22.5" hidden="1" customHeight="1"/>
    <row r="823" ht="22.5" hidden="1" customHeight="1"/>
    <row r="824" ht="22.5" hidden="1" customHeight="1"/>
    <row r="825" ht="22.5" hidden="1" customHeight="1"/>
    <row r="826" ht="22.5" hidden="1" customHeight="1"/>
    <row r="827" ht="22.5" hidden="1" customHeight="1"/>
    <row r="828" ht="22.5" hidden="1" customHeight="1"/>
    <row r="829" ht="22.5" hidden="1" customHeight="1"/>
    <row r="830" ht="22.5" hidden="1" customHeight="1"/>
    <row r="831" ht="22.5" hidden="1" customHeight="1"/>
    <row r="832" ht="22.5" hidden="1" customHeight="1"/>
    <row r="833" ht="22.5" hidden="1" customHeight="1"/>
    <row r="834" ht="22.5" hidden="1" customHeight="1"/>
    <row r="835" ht="22.5" hidden="1" customHeight="1"/>
    <row r="836" ht="22.5" hidden="1" customHeight="1"/>
    <row r="837" ht="22.5" hidden="1" customHeight="1"/>
    <row r="838" ht="22.5" hidden="1" customHeight="1"/>
    <row r="839" ht="22.5" hidden="1" customHeight="1"/>
    <row r="840" ht="22.5" hidden="1" customHeight="1"/>
    <row r="841" ht="22.5" hidden="1" customHeight="1"/>
    <row r="842" ht="22.5" hidden="1" customHeight="1"/>
    <row r="843" ht="22.5" hidden="1" customHeight="1"/>
    <row r="844" ht="22.5" hidden="1" customHeight="1"/>
    <row r="845" ht="22.5" hidden="1" customHeight="1"/>
    <row r="846" ht="22.5" hidden="1" customHeight="1"/>
    <row r="847" ht="22.5" hidden="1" customHeight="1"/>
    <row r="848" ht="22.5" hidden="1" customHeight="1"/>
    <row r="849" ht="22.5" hidden="1" customHeight="1"/>
    <row r="850" ht="22.5" hidden="1" customHeight="1"/>
    <row r="851" ht="22.5" hidden="1" customHeight="1"/>
    <row r="852" ht="22.5" hidden="1" customHeight="1"/>
    <row r="853" ht="22.5" hidden="1" customHeight="1"/>
    <row r="854" ht="22.5" hidden="1" customHeight="1"/>
    <row r="855" ht="22.5" hidden="1" customHeight="1"/>
    <row r="856" ht="22.5" hidden="1" customHeight="1"/>
    <row r="857" ht="22.5" hidden="1" customHeight="1"/>
    <row r="858" ht="22.5" hidden="1" customHeight="1"/>
    <row r="859" ht="22.5" hidden="1" customHeight="1"/>
    <row r="860" ht="22.5" hidden="1" customHeight="1"/>
    <row r="861" ht="22.5" hidden="1" customHeight="1"/>
    <row r="862" ht="22.5" hidden="1" customHeight="1"/>
    <row r="863" ht="22.5" hidden="1" customHeight="1"/>
    <row r="864" ht="22.5" hidden="1" customHeight="1"/>
    <row r="865" ht="22.5" hidden="1" customHeight="1"/>
    <row r="866" ht="22.5" hidden="1" customHeight="1"/>
    <row r="867" ht="22.5" hidden="1" customHeight="1"/>
    <row r="868" ht="22.5" hidden="1" customHeight="1"/>
    <row r="869" ht="22.5" hidden="1" customHeight="1"/>
    <row r="870" ht="22.5" hidden="1" customHeight="1"/>
    <row r="871" ht="22.5" hidden="1" customHeight="1"/>
    <row r="872" ht="22.5" hidden="1" customHeight="1"/>
    <row r="873" ht="22.5" hidden="1" customHeight="1"/>
    <row r="874" ht="22.5" hidden="1" customHeight="1"/>
    <row r="875" ht="22.5" hidden="1" customHeight="1"/>
    <row r="876" ht="22.5" hidden="1" customHeight="1"/>
    <row r="877" ht="22.5" hidden="1" customHeight="1"/>
    <row r="878" ht="22.5" hidden="1" customHeight="1"/>
    <row r="879" ht="22.5" hidden="1" customHeight="1"/>
    <row r="880" ht="22.5" hidden="1" customHeight="1"/>
    <row r="881" ht="22.5" hidden="1" customHeight="1"/>
    <row r="882" ht="22.5" hidden="1" customHeight="1"/>
    <row r="883" ht="22.5" hidden="1" customHeight="1"/>
    <row r="884" ht="22.5" hidden="1" customHeight="1"/>
    <row r="885" ht="22.5" hidden="1" customHeight="1"/>
    <row r="886" ht="22.5" hidden="1" customHeight="1"/>
    <row r="887" ht="22.5" hidden="1" customHeight="1"/>
    <row r="888" ht="22.5" hidden="1" customHeight="1"/>
    <row r="889" ht="22.5" hidden="1" customHeight="1"/>
    <row r="890" ht="22.5" hidden="1" customHeight="1"/>
    <row r="891" ht="22.5" hidden="1" customHeight="1"/>
    <row r="892" ht="22.5" hidden="1" customHeight="1"/>
    <row r="893" ht="22.5" hidden="1" customHeight="1"/>
    <row r="894" ht="22.5" hidden="1" customHeight="1"/>
    <row r="895" ht="22.5" hidden="1" customHeight="1"/>
    <row r="896" ht="22.5" hidden="1" customHeight="1"/>
    <row r="897" ht="22.5" hidden="1" customHeight="1"/>
    <row r="898" ht="22.5" hidden="1" customHeight="1"/>
    <row r="899" ht="22.5" hidden="1" customHeight="1"/>
    <row r="900" ht="22.5" hidden="1" customHeight="1"/>
    <row r="901" ht="22.5" hidden="1" customHeight="1"/>
    <row r="902" ht="22.5" hidden="1" customHeight="1"/>
    <row r="903" ht="22.5" hidden="1" customHeight="1"/>
    <row r="904" ht="22.5" hidden="1" customHeight="1"/>
    <row r="905" ht="22.5" hidden="1" customHeight="1"/>
    <row r="906" ht="22.5" hidden="1" customHeight="1"/>
    <row r="907" ht="22.5" hidden="1" customHeight="1"/>
    <row r="908" ht="22.5" hidden="1" customHeight="1"/>
    <row r="909" ht="22.5" hidden="1" customHeight="1"/>
    <row r="910" ht="22.5" hidden="1" customHeight="1"/>
    <row r="911" ht="22.5" hidden="1" customHeight="1"/>
    <row r="912" ht="22.5" hidden="1" customHeight="1"/>
    <row r="913" ht="22.5" hidden="1" customHeight="1"/>
    <row r="914" ht="22.5" hidden="1" customHeight="1"/>
    <row r="915" ht="22.5" hidden="1" customHeight="1"/>
    <row r="916" ht="22.5" hidden="1" customHeight="1"/>
    <row r="917" ht="22.5" hidden="1" customHeight="1"/>
    <row r="918" ht="22.5" hidden="1" customHeight="1"/>
    <row r="919" ht="22.5" hidden="1" customHeight="1"/>
    <row r="920" ht="22.5" hidden="1" customHeight="1"/>
    <row r="921" ht="22.5" hidden="1" customHeight="1"/>
    <row r="922" ht="22.5" hidden="1" customHeight="1"/>
    <row r="923" ht="22.5" hidden="1" customHeight="1"/>
    <row r="924" ht="22.5" hidden="1" customHeight="1"/>
    <row r="925" ht="22.5" hidden="1" customHeight="1"/>
    <row r="926" ht="22.5" hidden="1" customHeight="1"/>
    <row r="927" ht="22.5" hidden="1" customHeight="1"/>
    <row r="928" ht="22.5" hidden="1" customHeight="1"/>
    <row r="929" ht="22.5" hidden="1" customHeight="1"/>
    <row r="930" ht="22.5" hidden="1" customHeight="1"/>
    <row r="931" ht="22.5" hidden="1" customHeight="1"/>
    <row r="932" ht="22.5" hidden="1" customHeight="1"/>
    <row r="933" ht="22.5" hidden="1" customHeight="1"/>
    <row r="934" ht="22.5" hidden="1" customHeight="1"/>
    <row r="935" ht="22.5" hidden="1" customHeight="1"/>
    <row r="936" ht="22.5" hidden="1" customHeight="1"/>
    <row r="937" ht="22.5" hidden="1" customHeight="1"/>
    <row r="938" ht="22.5" hidden="1" customHeight="1"/>
    <row r="939" ht="22.5" hidden="1" customHeight="1"/>
    <row r="940" ht="22.5" hidden="1" customHeight="1"/>
    <row r="941" ht="22.5" hidden="1" customHeight="1"/>
    <row r="942" ht="22.5" hidden="1" customHeight="1"/>
    <row r="943" ht="22.5" hidden="1" customHeight="1"/>
    <row r="944" ht="22.5" hidden="1" customHeight="1"/>
    <row r="945" ht="22.5" hidden="1" customHeight="1"/>
    <row r="946" ht="22.5" hidden="1" customHeight="1"/>
    <row r="947" ht="22.5" hidden="1" customHeight="1"/>
    <row r="948" ht="22.5" hidden="1" customHeight="1"/>
    <row r="949" ht="22.5" hidden="1" customHeight="1"/>
    <row r="950" ht="22.5" hidden="1" customHeight="1"/>
    <row r="951" ht="22.5" hidden="1" customHeight="1"/>
    <row r="952" ht="22.5" hidden="1" customHeight="1"/>
    <row r="953" ht="22.5" hidden="1" customHeight="1"/>
    <row r="954" ht="22.5" hidden="1" customHeight="1"/>
    <row r="955" ht="22.5" hidden="1" customHeight="1"/>
    <row r="956" ht="22.5" hidden="1" customHeight="1"/>
    <row r="957" ht="22.5" hidden="1" customHeight="1"/>
    <row r="958" ht="22.5" hidden="1" customHeight="1"/>
    <row r="959" ht="22.5" hidden="1" customHeight="1"/>
    <row r="960" ht="22.5" hidden="1" customHeight="1"/>
    <row r="961" ht="22.5" hidden="1" customHeight="1"/>
    <row r="962" ht="22.5" hidden="1" customHeight="1"/>
    <row r="963" ht="22.5" hidden="1" customHeight="1"/>
    <row r="964" ht="22.5" hidden="1" customHeight="1"/>
    <row r="965" ht="22.5" hidden="1" customHeight="1"/>
    <row r="966" ht="22.5" hidden="1" customHeight="1"/>
    <row r="967" ht="22.5" hidden="1" customHeight="1"/>
    <row r="968" ht="22.5" hidden="1" customHeight="1"/>
    <row r="969" ht="22.5" hidden="1" customHeight="1"/>
    <row r="970" ht="22.5" hidden="1" customHeight="1"/>
    <row r="971" ht="22.5" hidden="1" customHeight="1"/>
    <row r="972" ht="22.5" hidden="1" customHeight="1"/>
    <row r="973" ht="22.5" hidden="1" customHeight="1"/>
    <row r="974" ht="22.5" hidden="1" customHeight="1"/>
    <row r="975" ht="22.5" hidden="1" customHeight="1"/>
    <row r="976" ht="22.5" hidden="1" customHeight="1"/>
    <row r="977" ht="22.5" hidden="1" customHeight="1"/>
    <row r="978" ht="22.5" hidden="1" customHeight="1"/>
    <row r="979" ht="22.5" hidden="1" customHeight="1"/>
    <row r="980" ht="22.5" hidden="1" customHeight="1"/>
    <row r="981" ht="22.5" hidden="1" customHeight="1"/>
    <row r="982" ht="22.5" hidden="1" customHeight="1"/>
    <row r="983" ht="22.5" hidden="1" customHeight="1"/>
    <row r="984" ht="22.5" hidden="1" customHeight="1"/>
    <row r="985" ht="22.5" hidden="1" customHeight="1"/>
    <row r="986" ht="22.5" hidden="1" customHeight="1"/>
    <row r="987" ht="22.5" hidden="1" customHeight="1"/>
    <row r="988" ht="22.5" hidden="1" customHeight="1"/>
    <row r="989" ht="22.5" hidden="1" customHeight="1"/>
    <row r="990" ht="22.5" hidden="1" customHeight="1"/>
    <row r="991" ht="22.5" hidden="1" customHeight="1"/>
    <row r="992" ht="22.5" hidden="1" customHeight="1"/>
    <row r="993" ht="22.5" hidden="1" customHeight="1"/>
    <row r="994" ht="22.5" hidden="1" customHeight="1"/>
    <row r="995" ht="22.5" hidden="1" customHeight="1"/>
    <row r="996" ht="22.5" hidden="1" customHeight="1"/>
    <row r="997" ht="22.5" hidden="1" customHeight="1"/>
    <row r="998" ht="22.5" hidden="1" customHeight="1"/>
    <row r="999" ht="22.5" hidden="1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7.75"/>
    <col customWidth="1" min="2" max="2" width="5.5"/>
    <col customWidth="1" min="3" max="3" width="7.5"/>
    <col customWidth="1" min="4" max="4" width="2.88"/>
    <col customWidth="1" min="5" max="5" width="4.63"/>
    <col customWidth="1" min="6" max="6" width="19.63"/>
    <col customWidth="1" min="7" max="8" width="10.63"/>
    <col customWidth="1" min="11" max="13" width="6.38"/>
    <col customWidth="1" min="14" max="16" width="5.5"/>
    <col customWidth="1" min="17" max="17" width="7.63"/>
    <col customWidth="1" min="18" max="22" width="6.38"/>
    <col customWidth="1" min="23" max="23" width="9.13"/>
    <col customWidth="1" min="24" max="26" width="6.38"/>
    <col customWidth="1" min="27" max="27" width="8.25"/>
    <col customWidth="1" min="28" max="29" width="6.38"/>
    <col customWidth="1" min="30" max="30" width="5.5"/>
    <col customWidth="1" min="31" max="31" width="5.0"/>
    <col customWidth="1" min="32" max="32" width="8.88"/>
    <col customWidth="1" min="33" max="33" width="5.38"/>
    <col customWidth="1" min="34" max="34" width="4.0"/>
    <col customWidth="1" min="35" max="35" width="3.0"/>
    <col customWidth="1" min="36" max="37" width="6.38"/>
    <col customWidth="1" min="38" max="38" width="7.5"/>
    <col customWidth="1" min="39" max="39" width="4.0"/>
    <col customWidth="1" min="40" max="40" width="7.5"/>
    <col customWidth="1" min="41" max="41" width="4.25"/>
  </cols>
  <sheetData>
    <row r="1">
      <c r="A1" s="8" t="str">
        <f>IFERROR(__xludf.DUMMYFUNCTION("query(Table1[#ALL],""SELECT * WHERE G = 65"",1)"),"id")</f>
        <v>id</v>
      </c>
      <c r="B1" s="8" t="str">
        <f>IFERROR(__xludf.DUMMYFUNCTION("""COMPUTED_VALUE"""),"analisis")</f>
        <v>analisis</v>
      </c>
      <c r="C1" s="8" t="str">
        <f>IFERROR(__xludf.DUMMYFUNCTION("""COMPUTED_VALUE"""),"certificado")</f>
        <v>certificado</v>
      </c>
      <c r="D1" s="8" t="str">
        <f>IFERROR(__xludf.DUMMYFUNCTION("""COMPUTED_VALUE"""),"ot")</f>
        <v>ot</v>
      </c>
      <c r="E1" s="8" t="str">
        <f>IFERROR(__xludf.DUMMYFUNCTION("""COMPUTED_VALUE"""),"tipo")</f>
        <v>tipo</v>
      </c>
      <c r="F1" s="8" t="str">
        <f>IFERROR(__xludf.DUMMYFUNCTION("""COMPUTED_VALUE"""),"producto")</f>
        <v>producto</v>
      </c>
      <c r="G1" s="8" t="str">
        <f>IFERROR(__xludf.DUMMYFUNCTION("""COMPUTED_VALUE"""),"codigo")</f>
        <v>codigo</v>
      </c>
      <c r="H1" s="8" t="str">
        <f>IFERROR(__xludf.DUMMYFUNCTION("""COMPUTED_VALUE"""),"lote")</f>
        <v>lote</v>
      </c>
      <c r="I1" s="8" t="str">
        <f>IFERROR(__xludf.DUMMYFUNCTION("""COMPUTED_VALUE"""),"Fecha")</f>
        <v>Fecha</v>
      </c>
      <c r="J1" s="8" t="str">
        <f>IFERROR(__xludf.DUMMYFUNCTION("""COMPUTED_VALUE"""),"C")</f>
        <v>C</v>
      </c>
      <c r="K1" s="8" t="str">
        <f>IFERROR(__xludf.DUMMYFUNCTION("""COMPUTED_VALUE"""),"N")</f>
        <v>N</v>
      </c>
      <c r="L1" s="8" t="str">
        <f>IFERROR(__xludf.DUMMYFUNCTION("""COMPUTED_VALUE"""),"N-NH4")</f>
        <v>N-NH4</v>
      </c>
      <c r="M1" s="8" t="str">
        <f>IFERROR(__xludf.DUMMYFUNCTION("""COMPUTED_VALUE"""),"N-NO3")</f>
        <v>N-NO3</v>
      </c>
      <c r="N1" s="8" t="str">
        <f>IFERROR(__xludf.DUMMYFUNCTION("""COMPUTED_VALUE"""),"N-org")</f>
        <v>N-org</v>
      </c>
      <c r="O1" s="8" t="str">
        <f>IFERROR(__xludf.DUMMYFUNCTION("""COMPUTED_VALUE"""),"N-ur")</f>
        <v>N-ur</v>
      </c>
      <c r="P1" s="8" t="str">
        <f>IFERROR(__xludf.DUMMYFUNCTION("""COMPUTED_VALUE"""),"P")</f>
        <v>P</v>
      </c>
      <c r="Q1" s="8" t="str">
        <f>IFERROR(__xludf.DUMMYFUNCTION("""COMPUTED_VALUE"""),"K")</f>
        <v>K</v>
      </c>
      <c r="R1" s="8" t="str">
        <f>IFERROR(__xludf.DUMMYFUNCTION("""COMPUTED_VALUE"""),"CaO")</f>
        <v>CaO</v>
      </c>
      <c r="S1" s="8" t="str">
        <f>IFERROR(__xludf.DUMMYFUNCTION("""COMPUTED_VALUE"""),"MgO")</f>
        <v>MgO</v>
      </c>
      <c r="T1" s="8" t="str">
        <f>IFERROR(__xludf.DUMMYFUNCTION("""COMPUTED_VALUE"""),"S")</f>
        <v>S</v>
      </c>
      <c r="U1" s="8" t="str">
        <f>IFERROR(__xludf.DUMMYFUNCTION("""COMPUTED_VALUE"""),"B")</f>
        <v>B</v>
      </c>
      <c r="V1" s="8" t="str">
        <f>IFERROR(__xludf.DUMMYFUNCTION("""COMPUTED_VALUE"""),"Co")</f>
        <v>Co</v>
      </c>
      <c r="W1" s="8" t="str">
        <f>IFERROR(__xludf.DUMMYFUNCTION("""COMPUTED_VALUE"""),"Cu")</f>
        <v>Cu</v>
      </c>
      <c r="X1" s="8" t="str">
        <f>IFERROR(__xludf.DUMMYFUNCTION("""COMPUTED_VALUE"""),"Fe")</f>
        <v>Fe</v>
      </c>
      <c r="Y1" s="8" t="str">
        <f>IFERROR(__xludf.DUMMYFUNCTION("""COMPUTED_VALUE"""),"Mn")</f>
        <v>Mn</v>
      </c>
      <c r="Z1" s="8" t="str">
        <f>IFERROR(__xludf.DUMMYFUNCTION("""COMPUTED_VALUE"""),"Mo")</f>
        <v>Mo</v>
      </c>
      <c r="AA1" s="8" t="str">
        <f>IFERROR(__xludf.DUMMYFUNCTION("""COMPUTED_VALUE"""),"SiO2")</f>
        <v>SiO2</v>
      </c>
      <c r="AB1" s="8" t="str">
        <f>IFERROR(__xludf.DUMMYFUNCTION("""COMPUTED_VALUE"""),"Zn")</f>
        <v>Zn</v>
      </c>
      <c r="AC1" s="8" t="str">
        <f>IFERROR(__xludf.DUMMYFUNCTION("""COMPUTED_VALUE"""),"Na")</f>
        <v>Na</v>
      </c>
      <c r="AD1" s="8" t="str">
        <f>IFERROR(__xludf.DUMMYFUNCTION("""COMPUTED_VALUE"""),"Enterobacterias")</f>
        <v>Enterobacterias</v>
      </c>
      <c r="AE1" s="8" t="str">
        <f>IFERROR(__xludf.DUMMYFUNCTION("""COMPUTED_VALUE"""),"salmonella")</f>
        <v>salmonella</v>
      </c>
      <c r="AF1" s="8" t="str">
        <f>IFERROR(__xludf.DUMMYFUNCTION("""COMPUTED_VALUE"""),"coliformes totales")</f>
        <v>coliformes totales</v>
      </c>
      <c r="AG1" s="8" t="str">
        <f>IFERROR(__xludf.DUMMYFUNCTION("""COMPUTED_VALUE"""),"helmintos")</f>
        <v>helmintos</v>
      </c>
      <c r="AH1" s="8" t="str">
        <f>IFERROR(__xludf.DUMMYFUNCTION("""COMPUTED_VALUE"""),"mb5")</f>
        <v>mb5</v>
      </c>
      <c r="AI1" s="8" t="str">
        <f>IFERROR(__xludf.DUMMYFUNCTION("""COMPUTED_VALUE"""),"arsenico")</f>
        <v>arsenico</v>
      </c>
      <c r="AJ1" s="8" t="str">
        <f>IFERROR(__xludf.DUMMYFUNCTION("""COMPUTED_VALUE"""),"cadmio")</f>
        <v>cadmio</v>
      </c>
      <c r="AK1" s="8" t="str">
        <f>IFERROR(__xludf.DUMMYFUNCTION("""COMPUTED_VALUE"""),"cromo")</f>
        <v>cromo</v>
      </c>
      <c r="AL1" s="8" t="str">
        <f>IFERROR(__xludf.DUMMYFUNCTION("""COMPUTED_VALUE"""),"mercurio")</f>
        <v>mercurio</v>
      </c>
      <c r="AM1" s="8" t="str">
        <f>IFERROR(__xludf.DUMMYFUNCTION("""COMPUTED_VALUE"""),"niquel")</f>
        <v>niquel</v>
      </c>
      <c r="AN1" s="8" t="str">
        <f>IFERROR(__xludf.DUMMYFUNCTION("""COMPUTED_VALUE"""),"plomo")</f>
        <v>plomo</v>
      </c>
      <c r="AO1" s="8"/>
      <c r="AP1" s="5"/>
      <c r="AQ1" s="5"/>
      <c r="AR1" s="5"/>
      <c r="AS1" s="5"/>
      <c r="AT1" s="5"/>
      <c r="AU1" s="5"/>
      <c r="AV1" s="5"/>
      <c r="AW1" s="5"/>
      <c r="AX1" s="5"/>
    </row>
    <row r="2">
      <c r="A2" s="8"/>
      <c r="B2" s="8" t="str">
        <f>IFERROR(__xludf.DUMMYFUNCTION("""COMPUTED_VALUE"""),"cc")</f>
        <v>cc</v>
      </c>
      <c r="C2" s="8">
        <f>IFERROR(__xludf.DUMMYFUNCTION("""COMPUTED_VALUE"""),35837.0)</f>
        <v>35837</v>
      </c>
      <c r="D2" s="8"/>
      <c r="E2" s="8" t="str">
        <f>IFERROR(__xludf.DUMMYFUNCTION("""COMPUTED_VALUE"""),"pf")</f>
        <v>pf</v>
      </c>
      <c r="F2" s="8" t="str">
        <f>IFERROR(__xludf.DUMMYFUNCTION("""COMPUTED_VALUE"""),"nucleo 4")</f>
        <v>nucleo 4</v>
      </c>
      <c r="G2" s="8">
        <f>IFERROR(__xludf.DUMMYFUNCTION("""COMPUTED_VALUE"""),65.0)</f>
        <v>65</v>
      </c>
      <c r="H2" s="8">
        <f>IFERROR(__xludf.DUMMYFUNCTION("""COMPUTED_VALUE"""),6.5081024E7)</f>
        <v>65081024</v>
      </c>
      <c r="I2" s="8">
        <f>IFERROR(__xludf.DUMMYFUNCTION("""COMPUTED_VALUE"""),241008.0)</f>
        <v>241008</v>
      </c>
      <c r="J2" s="8"/>
      <c r="K2" s="8"/>
      <c r="L2" s="8"/>
      <c r="M2" s="8"/>
      <c r="N2" s="8"/>
      <c r="O2" s="8"/>
      <c r="P2" s="8"/>
      <c r="Q2" s="8"/>
      <c r="R2" s="8">
        <f>IFERROR(__xludf.DUMMYFUNCTION("""COMPUTED_VALUE"""),18.79)</f>
        <v>18.79</v>
      </c>
      <c r="S2" s="8">
        <f>IFERROR(__xludf.DUMMYFUNCTION("""COMPUTED_VALUE"""),19.69)</f>
        <v>19.69</v>
      </c>
      <c r="T2" s="8">
        <f>IFERROR(__xludf.DUMMYFUNCTION("""COMPUTED_VALUE"""),3.03)</f>
        <v>3.03</v>
      </c>
      <c r="U2" s="8"/>
      <c r="V2" s="8"/>
      <c r="W2" s="8"/>
      <c r="X2" s="8"/>
      <c r="Y2" s="8"/>
      <c r="Z2" s="8"/>
      <c r="AA2" s="8">
        <f>IFERROR(__xludf.DUMMYFUNCTION("""COMPUTED_VALUE"""),19.69)</f>
        <v>19.69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>
      <c r="A3" s="8"/>
      <c r="B3" s="8" t="str">
        <f>IFERROR(__xludf.DUMMYFUNCTION("""COMPUTED_VALUE"""),"cc")</f>
        <v>cc</v>
      </c>
      <c r="C3" s="8">
        <f>IFERROR(__xludf.DUMMYFUNCTION("""COMPUTED_VALUE"""),36598.0)</f>
        <v>36598</v>
      </c>
      <c r="D3" s="8"/>
      <c r="E3" s="8" t="str">
        <f>IFERROR(__xludf.DUMMYFUNCTION("""COMPUTED_VALUE"""),"pf")</f>
        <v>pf</v>
      </c>
      <c r="F3" s="8" t="str">
        <f>IFERROR(__xludf.DUMMYFUNCTION("""COMPUTED_VALUE"""),"nucleo 4")</f>
        <v>nucleo 4</v>
      </c>
      <c r="G3" s="8">
        <f>IFERROR(__xludf.DUMMYFUNCTION("""COMPUTED_VALUE"""),65.0)</f>
        <v>65</v>
      </c>
      <c r="H3" s="8">
        <f>IFERROR(__xludf.DUMMYFUNCTION("""COMPUTED_VALUE"""),6.5031224E7)</f>
        <v>65031224</v>
      </c>
      <c r="I3" s="8">
        <f>IFERROR(__xludf.DUMMYFUNCTION("""COMPUTED_VALUE"""),241231.0)</f>
        <v>241231</v>
      </c>
      <c r="J3" s="8"/>
      <c r="K3" s="8"/>
      <c r="L3" s="8"/>
      <c r="M3" s="8"/>
      <c r="N3" s="8"/>
      <c r="O3" s="8"/>
      <c r="P3" s="8"/>
      <c r="Q3" s="8"/>
      <c r="R3" s="8">
        <f>IFERROR(__xludf.DUMMYFUNCTION("""COMPUTED_VALUE"""),13.64)</f>
        <v>13.64</v>
      </c>
      <c r="S3" s="8">
        <f>IFERROR(__xludf.DUMMYFUNCTION("""COMPUTED_VALUE"""),19.39)</f>
        <v>19.39</v>
      </c>
      <c r="T3" s="8">
        <f>IFERROR(__xludf.DUMMYFUNCTION("""COMPUTED_VALUE"""),3.22)</f>
        <v>3.22</v>
      </c>
      <c r="U3" s="8"/>
      <c r="V3" s="8"/>
      <c r="W3" s="8"/>
      <c r="X3" s="8"/>
      <c r="Y3" s="8"/>
      <c r="Z3" s="8"/>
      <c r="AA3" s="8">
        <f>IFERROR(__xludf.DUMMYFUNCTION("""COMPUTED_VALUE"""),24.18)</f>
        <v>24.18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>
      <c r="A4" s="8"/>
      <c r="B4" s="8" t="str">
        <f>IFERROR(__xludf.DUMMYFUNCTION("""COMPUTED_VALUE"""),"cc")</f>
        <v>cc</v>
      </c>
      <c r="C4" s="8">
        <f>IFERROR(__xludf.DUMMYFUNCTION("""COMPUTED_VALUE"""),36599.0)</f>
        <v>36599</v>
      </c>
      <c r="D4" s="8"/>
      <c r="E4" s="8" t="str">
        <f>IFERROR(__xludf.DUMMYFUNCTION("""COMPUTED_VALUE"""),"pf")</f>
        <v>pf</v>
      </c>
      <c r="F4" s="8" t="str">
        <f>IFERROR(__xludf.DUMMYFUNCTION("""COMPUTED_VALUE"""),"nucleo 4")</f>
        <v>nucleo 4</v>
      </c>
      <c r="G4" s="8">
        <f>IFERROR(__xludf.DUMMYFUNCTION("""COMPUTED_VALUE"""),65.0)</f>
        <v>65</v>
      </c>
      <c r="H4" s="8">
        <f>IFERROR(__xludf.DUMMYFUNCTION("""COMPUTED_VALUE"""),6.5291124E7)</f>
        <v>65291124</v>
      </c>
      <c r="I4" s="8">
        <f>IFERROR(__xludf.DUMMYFUNCTION("""COMPUTED_VALUE"""),241129.0)</f>
        <v>241129</v>
      </c>
      <c r="J4" s="8"/>
      <c r="K4" s="8"/>
      <c r="L4" s="8"/>
      <c r="M4" s="8"/>
      <c r="N4" s="8"/>
      <c r="O4" s="8"/>
      <c r="P4" s="8"/>
      <c r="Q4" s="8"/>
      <c r="R4" s="8">
        <f>IFERROR(__xludf.DUMMYFUNCTION("""COMPUTED_VALUE"""),18.09)</f>
        <v>18.09</v>
      </c>
      <c r="S4" s="8">
        <f>IFERROR(__xludf.DUMMYFUNCTION("""COMPUTED_VALUE"""),18.13)</f>
        <v>18.13</v>
      </c>
      <c r="T4" s="8">
        <f>IFERROR(__xludf.DUMMYFUNCTION("""COMPUTED_VALUE"""),3.28)</f>
        <v>3.28</v>
      </c>
      <c r="U4" s="8"/>
      <c r="V4" s="8"/>
      <c r="W4" s="8"/>
      <c r="X4" s="8"/>
      <c r="Y4" s="8"/>
      <c r="Z4" s="8"/>
      <c r="AA4" s="8">
        <f>IFERROR(__xludf.DUMMYFUNCTION("""COMPUTED_VALUE"""),23.78)</f>
        <v>23.78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>
      <c r="A5" s="8"/>
      <c r="B5" s="8" t="str">
        <f>IFERROR(__xludf.DUMMYFUNCTION("""COMPUTED_VALUE"""),"cc")</f>
        <v>cc</v>
      </c>
      <c r="C5" s="8">
        <f>IFERROR(__xludf.DUMMYFUNCTION("""COMPUTED_VALUE"""),36388.0)</f>
        <v>36388</v>
      </c>
      <c r="D5" s="8"/>
      <c r="E5" s="8" t="str">
        <f>IFERROR(__xludf.DUMMYFUNCTION("""COMPUTED_VALUE"""),"pf")</f>
        <v>pf</v>
      </c>
      <c r="F5" s="8" t="str">
        <f>IFERROR(__xludf.DUMMYFUNCTION("""COMPUTED_VALUE"""),"nucleo 4")</f>
        <v>nucleo 4</v>
      </c>
      <c r="G5" s="8">
        <f>IFERROR(__xludf.DUMMYFUNCTION("""COMPUTED_VALUE"""),65.0)</f>
        <v>65</v>
      </c>
      <c r="H5" s="8">
        <f>IFERROR(__xludf.DUMMYFUNCTION("""COMPUTED_VALUE"""),6.5131124E7)</f>
        <v>65131124</v>
      </c>
      <c r="I5" s="8">
        <f>IFERROR(__xludf.DUMMYFUNCTION("""COMPUTED_VALUE"""),241113.0)</f>
        <v>241113</v>
      </c>
      <c r="J5" s="8"/>
      <c r="K5" s="8"/>
      <c r="L5" s="8"/>
      <c r="M5" s="8"/>
      <c r="N5" s="8"/>
      <c r="O5" s="8"/>
      <c r="P5" s="8"/>
      <c r="Q5" s="8"/>
      <c r="R5" s="8">
        <f>IFERROR(__xludf.DUMMYFUNCTION("""COMPUTED_VALUE"""),18.02)</f>
        <v>18.02</v>
      </c>
      <c r="S5" s="8">
        <f>IFERROR(__xludf.DUMMYFUNCTION("""COMPUTED_VALUE"""),18.87)</f>
        <v>18.87</v>
      </c>
      <c r="T5" s="8">
        <f>IFERROR(__xludf.DUMMYFUNCTION("""COMPUTED_VALUE"""),3.28)</f>
        <v>3.28</v>
      </c>
      <c r="U5" s="8"/>
      <c r="V5" s="8"/>
      <c r="W5" s="8"/>
      <c r="X5" s="8"/>
      <c r="Y5" s="8"/>
      <c r="Z5" s="8"/>
      <c r="AA5" s="8">
        <f>IFERROR(__xludf.DUMMYFUNCTION("""COMPUTED_VALUE"""),22.69)</f>
        <v>22.69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>
      <c r="A6" s="8"/>
      <c r="B6" s="8" t="str">
        <f>IFERROR(__xludf.DUMMYFUNCTION("""COMPUTED_VALUE"""),"cc")</f>
        <v>cc</v>
      </c>
      <c r="C6" s="8">
        <f>IFERROR(__xludf.DUMMYFUNCTION("""COMPUTED_VALUE"""),36389.0)</f>
        <v>36389</v>
      </c>
      <c r="D6" s="8"/>
      <c r="E6" s="8" t="str">
        <f>IFERROR(__xludf.DUMMYFUNCTION("""COMPUTED_VALUE"""),"pf")</f>
        <v>pf</v>
      </c>
      <c r="F6" s="8" t="str">
        <f>IFERROR(__xludf.DUMMYFUNCTION("""COMPUTED_VALUE"""),"nucleo 4")</f>
        <v>nucleo 4</v>
      </c>
      <c r="G6" s="8">
        <f>IFERROR(__xludf.DUMMYFUNCTION("""COMPUTED_VALUE"""),65.0)</f>
        <v>65</v>
      </c>
      <c r="H6" s="8">
        <f>IFERROR(__xludf.DUMMYFUNCTION("""COMPUTED_VALUE"""),6.5201124E7)</f>
        <v>65201124</v>
      </c>
      <c r="I6" s="8">
        <f>IFERROR(__xludf.DUMMYFUNCTION("""COMPUTED_VALUE"""),241120.0)</f>
        <v>241120</v>
      </c>
      <c r="J6" s="8"/>
      <c r="K6" s="8"/>
      <c r="L6" s="8"/>
      <c r="M6" s="8"/>
      <c r="N6" s="8"/>
      <c r="O6" s="8"/>
      <c r="P6" s="8"/>
      <c r="Q6" s="8"/>
      <c r="R6" s="8">
        <f>IFERROR(__xludf.DUMMYFUNCTION("""COMPUTED_VALUE"""),17.74)</f>
        <v>17.74</v>
      </c>
      <c r="S6" s="8">
        <f>IFERROR(__xludf.DUMMYFUNCTION("""COMPUTED_VALUE"""),18.86)</f>
        <v>18.86</v>
      </c>
      <c r="T6" s="8">
        <f>IFERROR(__xludf.DUMMYFUNCTION("""COMPUTED_VALUE"""),3.3)</f>
        <v>3.3</v>
      </c>
      <c r="U6" s="8"/>
      <c r="V6" s="8"/>
      <c r="W6" s="8"/>
      <c r="X6" s="8"/>
      <c r="Y6" s="8"/>
      <c r="Z6" s="8"/>
      <c r="AA6" s="8">
        <f>IFERROR(__xludf.DUMMYFUNCTION("""COMPUTED_VALUE"""),20.93)</f>
        <v>20.93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>
      <c r="A7" s="8"/>
      <c r="B7" s="8" t="str">
        <f>IFERROR(__xludf.DUMMYFUNCTION("""COMPUTED_VALUE"""),"cc")</f>
        <v>cc</v>
      </c>
      <c r="C7" s="8">
        <f>IFERROR(__xludf.DUMMYFUNCTION("""COMPUTED_VALUE"""),36216.0)</f>
        <v>36216</v>
      </c>
      <c r="D7" s="8"/>
      <c r="E7" s="8" t="str">
        <f>IFERROR(__xludf.DUMMYFUNCTION("""COMPUTED_VALUE"""),"pf")</f>
        <v>pf</v>
      </c>
      <c r="F7" s="8" t="str">
        <f>IFERROR(__xludf.DUMMYFUNCTION("""COMPUTED_VALUE"""),"nucleo 4")</f>
        <v>nucleo 4</v>
      </c>
      <c r="G7" s="8">
        <f>IFERROR(__xludf.DUMMYFUNCTION("""COMPUTED_VALUE"""),65.0)</f>
        <v>65</v>
      </c>
      <c r="H7" s="8">
        <f>IFERROR(__xludf.DUMMYFUNCTION("""COMPUTED_VALUE"""),6.5071124E7)</f>
        <v>65071124</v>
      </c>
      <c r="I7" s="8">
        <f>IFERROR(__xludf.DUMMYFUNCTION("""COMPUTED_VALUE"""),241107.0)</f>
        <v>241107</v>
      </c>
      <c r="J7" s="8"/>
      <c r="K7" s="8"/>
      <c r="L7" s="8"/>
      <c r="M7" s="8"/>
      <c r="N7" s="8"/>
      <c r="O7" s="8"/>
      <c r="P7" s="8"/>
      <c r="Q7" s="8"/>
      <c r="R7" s="8">
        <f>IFERROR(__xludf.DUMMYFUNCTION("""COMPUTED_VALUE"""),16.69)</f>
        <v>16.69</v>
      </c>
      <c r="S7" s="8">
        <f>IFERROR(__xludf.DUMMYFUNCTION("""COMPUTED_VALUE"""),18.95)</f>
        <v>18.95</v>
      </c>
      <c r="T7" s="8">
        <f>IFERROR(__xludf.DUMMYFUNCTION("""COMPUTED_VALUE"""),3.95)</f>
        <v>3.95</v>
      </c>
      <c r="U7" s="8"/>
      <c r="V7" s="8"/>
      <c r="W7" s="8"/>
      <c r="X7" s="8"/>
      <c r="Y7" s="8"/>
      <c r="Z7" s="8"/>
      <c r="AA7" s="8">
        <f>IFERROR(__xludf.DUMMYFUNCTION("""COMPUTED_VALUE"""),28.46)</f>
        <v>28.46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>
      <c r="A8" s="8"/>
      <c r="B8" s="8" t="str">
        <f>IFERROR(__xludf.DUMMYFUNCTION("""COMPUTED_VALUE"""),"cc")</f>
        <v>cc</v>
      </c>
      <c r="C8" s="8">
        <f>IFERROR(__xludf.DUMMYFUNCTION("""COMPUTED_VALUE"""),36141.0)</f>
        <v>36141</v>
      </c>
      <c r="D8" s="8"/>
      <c r="E8" s="8" t="str">
        <f>IFERROR(__xludf.DUMMYFUNCTION("""COMPUTED_VALUE"""),"pf")</f>
        <v>pf</v>
      </c>
      <c r="F8" s="8" t="str">
        <f>IFERROR(__xludf.DUMMYFUNCTION("""COMPUTED_VALUE"""),"nucleo 4")</f>
        <v>nucleo 4</v>
      </c>
      <c r="G8" s="8">
        <f>IFERROR(__xludf.DUMMYFUNCTION("""COMPUTED_VALUE"""),65.0)</f>
        <v>65</v>
      </c>
      <c r="H8" s="8">
        <f>IFERROR(__xludf.DUMMYFUNCTION("""COMPUTED_VALUE"""),6.5311024E7)</f>
        <v>65311024</v>
      </c>
      <c r="I8" s="8">
        <f>IFERROR(__xludf.DUMMYFUNCTION("""COMPUTED_VALUE"""),241031.0)</f>
        <v>241031</v>
      </c>
      <c r="J8" s="8"/>
      <c r="K8" s="8"/>
      <c r="L8" s="8"/>
      <c r="M8" s="8"/>
      <c r="N8" s="8"/>
      <c r="O8" s="8"/>
      <c r="P8" s="8"/>
      <c r="Q8" s="8"/>
      <c r="R8" s="8">
        <f>IFERROR(__xludf.DUMMYFUNCTION("""COMPUTED_VALUE"""),18.2)</f>
        <v>18.2</v>
      </c>
      <c r="S8" s="8">
        <f>IFERROR(__xludf.DUMMYFUNCTION("""COMPUTED_VALUE"""),19.6)</f>
        <v>19.6</v>
      </c>
      <c r="T8" s="8">
        <f>IFERROR(__xludf.DUMMYFUNCTION("""COMPUTED_VALUE"""),3.92)</f>
        <v>3.92</v>
      </c>
      <c r="U8" s="8"/>
      <c r="V8" s="8"/>
      <c r="W8" s="8"/>
      <c r="X8" s="8"/>
      <c r="Y8" s="8"/>
      <c r="Z8" s="8"/>
      <c r="AA8" s="8">
        <f>IFERROR(__xludf.DUMMYFUNCTION("""COMPUTED_VALUE"""),17.71)</f>
        <v>17.71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>
      <c r="A9" s="8"/>
      <c r="B9" s="8" t="str">
        <f>IFERROR(__xludf.DUMMYFUNCTION("""COMPUTED_VALUE"""),"cc")</f>
        <v>cc</v>
      </c>
      <c r="C9" s="8">
        <f>IFERROR(__xludf.DUMMYFUNCTION("""COMPUTED_VALUE"""),35979.0)</f>
        <v>35979</v>
      </c>
      <c r="D9" s="8"/>
      <c r="E9" s="8" t="str">
        <f>IFERROR(__xludf.DUMMYFUNCTION("""COMPUTED_VALUE"""),"pf")</f>
        <v>pf</v>
      </c>
      <c r="F9" s="8" t="str">
        <f>IFERROR(__xludf.DUMMYFUNCTION("""COMPUTED_VALUE"""),"nucleo 4")</f>
        <v>nucleo 4</v>
      </c>
      <c r="G9" s="8">
        <f>IFERROR(__xludf.DUMMYFUNCTION("""COMPUTED_VALUE"""),65.0)</f>
        <v>65</v>
      </c>
      <c r="H9" s="8">
        <f>IFERROR(__xludf.DUMMYFUNCTION("""COMPUTED_VALUE"""),6.5221024E7)</f>
        <v>65221024</v>
      </c>
      <c r="I9" s="8">
        <f>IFERROR(__xludf.DUMMYFUNCTION("""COMPUTED_VALUE"""),241022.0)</f>
        <v>241022</v>
      </c>
      <c r="J9" s="8"/>
      <c r="K9" s="8"/>
      <c r="L9" s="8"/>
      <c r="M9" s="8"/>
      <c r="N9" s="8"/>
      <c r="O9" s="8"/>
      <c r="P9" s="8"/>
      <c r="Q9" s="8"/>
      <c r="R9" s="8">
        <f>IFERROR(__xludf.DUMMYFUNCTION("""COMPUTED_VALUE"""),17.92)</f>
        <v>17.92</v>
      </c>
      <c r="S9" s="8">
        <f>IFERROR(__xludf.DUMMYFUNCTION("""COMPUTED_VALUE"""),24.46)</f>
        <v>24.46</v>
      </c>
      <c r="T9" s="8">
        <f>IFERROR(__xludf.DUMMYFUNCTION("""COMPUTED_VALUE"""),3.55)</f>
        <v>3.55</v>
      </c>
      <c r="U9" s="8"/>
      <c r="V9" s="8"/>
      <c r="W9" s="8"/>
      <c r="X9" s="8"/>
      <c r="Y9" s="8"/>
      <c r="Z9" s="8"/>
      <c r="AA9" s="8">
        <f>IFERROR(__xludf.DUMMYFUNCTION("""COMPUTED_VALUE"""),19.2)</f>
        <v>19.2</v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>
      <c r="A10" s="8"/>
      <c r="B10" s="8" t="str">
        <f>IFERROR(__xludf.DUMMYFUNCTION("""COMPUTED_VALUE"""),"cc")</f>
        <v>cc</v>
      </c>
      <c r="C10" s="8">
        <f>IFERROR(__xludf.DUMMYFUNCTION("""COMPUTED_VALUE"""),35927.0)</f>
        <v>35927</v>
      </c>
      <c r="D10" s="8"/>
      <c r="E10" s="8" t="str">
        <f>IFERROR(__xludf.DUMMYFUNCTION("""COMPUTED_VALUE"""),"pf")</f>
        <v>pf</v>
      </c>
      <c r="F10" s="8" t="str">
        <f>IFERROR(__xludf.DUMMYFUNCTION("""COMPUTED_VALUE"""),"nucleo 4")</f>
        <v>nucleo 4</v>
      </c>
      <c r="G10" s="8">
        <f>IFERROR(__xludf.DUMMYFUNCTION("""COMPUTED_VALUE"""),65.0)</f>
        <v>65</v>
      </c>
      <c r="H10" s="8">
        <f>IFERROR(__xludf.DUMMYFUNCTION("""COMPUTED_VALUE"""),6.5161024E7)</f>
        <v>65161024</v>
      </c>
      <c r="I10" s="8">
        <f>IFERROR(__xludf.DUMMYFUNCTION("""COMPUTED_VALUE"""),241016.0)</f>
        <v>241016</v>
      </c>
      <c r="J10" s="8"/>
      <c r="K10" s="8"/>
      <c r="L10" s="8"/>
      <c r="M10" s="8"/>
      <c r="N10" s="8"/>
      <c r="O10" s="8"/>
      <c r="P10" s="8"/>
      <c r="Q10" s="8"/>
      <c r="R10" s="8">
        <f>IFERROR(__xludf.DUMMYFUNCTION("""COMPUTED_VALUE"""),19.17)</f>
        <v>19.17</v>
      </c>
      <c r="S10" s="8">
        <f>IFERROR(__xludf.DUMMYFUNCTION("""COMPUTED_VALUE"""),15.57)</f>
        <v>15.57</v>
      </c>
      <c r="T10" s="8">
        <f>IFERROR(__xludf.DUMMYFUNCTION("""COMPUTED_VALUE"""),3.42)</f>
        <v>3.42</v>
      </c>
      <c r="U10" s="8"/>
      <c r="V10" s="8"/>
      <c r="W10" s="8"/>
      <c r="X10" s="8"/>
      <c r="Y10" s="8"/>
      <c r="Z10" s="8"/>
      <c r="AA10" s="8">
        <f>IFERROR(__xludf.DUMMYFUNCTION("""COMPUTED_VALUE"""),23.3)</f>
        <v>23.3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>
      <c r="A11" s="8"/>
      <c r="B11" s="8" t="str">
        <f>IFERROR(__xludf.DUMMYFUNCTION("""COMPUTED_VALUE"""),"cc")</f>
        <v>cc</v>
      </c>
      <c r="C11" s="8">
        <f>IFERROR(__xludf.DUMMYFUNCTION("""COMPUTED_VALUE"""),38378.0)</f>
        <v>38378</v>
      </c>
      <c r="D11" s="8"/>
      <c r="E11" s="8" t="str">
        <f>IFERROR(__xludf.DUMMYFUNCTION("""COMPUTED_VALUE"""),"pf")</f>
        <v>pf</v>
      </c>
      <c r="F11" s="8" t="str">
        <f>IFERROR(__xludf.DUMMYFUNCTION("""COMPUTED_VALUE"""),"nucleo 4")</f>
        <v>nucleo 4</v>
      </c>
      <c r="G11" s="8">
        <f>IFERROR(__xludf.DUMMYFUNCTION("""COMPUTED_VALUE"""),65.0)</f>
        <v>65</v>
      </c>
      <c r="H11" s="8">
        <f>IFERROR(__xludf.DUMMYFUNCTION("""COMPUTED_VALUE"""),6.5060425E7)</f>
        <v>65060425</v>
      </c>
      <c r="I11" s="8">
        <f>IFERROR(__xludf.DUMMYFUNCTION("""COMPUTED_VALUE"""),250406.0)</f>
        <v>250406</v>
      </c>
      <c r="J11" s="8"/>
      <c r="K11" s="8"/>
      <c r="L11" s="8"/>
      <c r="M11" s="8"/>
      <c r="N11" s="8"/>
      <c r="O11" s="8"/>
      <c r="P11" s="8"/>
      <c r="Q11" s="8"/>
      <c r="R11" s="8">
        <f>IFERROR(__xludf.DUMMYFUNCTION("""COMPUTED_VALUE"""),14.76)</f>
        <v>14.76</v>
      </c>
      <c r="S11" s="8">
        <f>IFERROR(__xludf.DUMMYFUNCTION("""COMPUTED_VALUE"""),18.03)</f>
        <v>18.03</v>
      </c>
      <c r="T11" s="8">
        <f>IFERROR(__xludf.DUMMYFUNCTION("""COMPUTED_VALUE"""),3.22)</f>
        <v>3.22</v>
      </c>
      <c r="U11" s="8"/>
      <c r="V11" s="8"/>
      <c r="W11" s="8"/>
      <c r="X11" s="8"/>
      <c r="Y11" s="8"/>
      <c r="Z11" s="8"/>
      <c r="AA11" s="8">
        <f>IFERROR(__xludf.DUMMYFUNCTION("""COMPUTED_VALUE"""),20.96)</f>
        <v>20.96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>
      <c r="A12" s="8"/>
      <c r="B12" s="8" t="str">
        <f>IFERROR(__xludf.DUMMYFUNCTION("""COMPUTED_VALUE"""),"cc")</f>
        <v>cc</v>
      </c>
      <c r="C12" s="8">
        <f>IFERROR(__xludf.DUMMYFUNCTION("""COMPUTED_VALUE"""),37877.0)</f>
        <v>37877</v>
      </c>
      <c r="D12" s="8"/>
      <c r="E12" s="8" t="str">
        <f>IFERROR(__xludf.DUMMYFUNCTION("""COMPUTED_VALUE"""),"pf")</f>
        <v>pf</v>
      </c>
      <c r="F12" s="8" t="str">
        <f>IFERROR(__xludf.DUMMYFUNCTION("""COMPUTED_VALUE"""),"nucleo 4")</f>
        <v>nucleo 4</v>
      </c>
      <c r="G12" s="8">
        <f>IFERROR(__xludf.DUMMYFUNCTION("""COMPUTED_VALUE"""),65.0)</f>
        <v>65</v>
      </c>
      <c r="H12" s="8">
        <f>IFERROR(__xludf.DUMMYFUNCTION("""COMPUTED_VALUE"""),6.5270425E7)</f>
        <v>65270425</v>
      </c>
      <c r="I12" s="8">
        <f>IFERROR(__xludf.DUMMYFUNCTION("""COMPUTED_VALUE"""),250427.0)</f>
        <v>250427</v>
      </c>
      <c r="J12" s="8"/>
      <c r="K12" s="8"/>
      <c r="L12" s="8"/>
      <c r="M12" s="8"/>
      <c r="N12" s="8"/>
      <c r="O12" s="8"/>
      <c r="P12" s="8"/>
      <c r="Q12" s="8"/>
      <c r="R12" s="8">
        <f>IFERROR(__xludf.DUMMYFUNCTION("""COMPUTED_VALUE"""),15.93)</f>
        <v>15.93</v>
      </c>
      <c r="S12" s="8">
        <f>IFERROR(__xludf.DUMMYFUNCTION("""COMPUTED_VALUE"""),20.72)</f>
        <v>20.72</v>
      </c>
      <c r="T12" s="8">
        <f>IFERROR(__xludf.DUMMYFUNCTION("""COMPUTED_VALUE"""),2.93)</f>
        <v>2.93</v>
      </c>
      <c r="U12" s="8"/>
      <c r="V12" s="8"/>
      <c r="W12" s="8"/>
      <c r="X12" s="8"/>
      <c r="Y12" s="8"/>
      <c r="Z12" s="8"/>
      <c r="AA12" s="8">
        <f>IFERROR(__xludf.DUMMYFUNCTION("""COMPUTED_VALUE"""),19.9)</f>
        <v>19.9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>
      <c r="A13" s="8"/>
      <c r="B13" s="8" t="str">
        <f>IFERROR(__xludf.DUMMYFUNCTION("""COMPUTED_VALUE"""),"cc")</f>
        <v>cc</v>
      </c>
      <c r="C13" s="8">
        <f>IFERROR(__xludf.DUMMYFUNCTION("""COMPUTED_VALUE"""),37876.0)</f>
        <v>37876</v>
      </c>
      <c r="D13" s="8"/>
      <c r="E13" s="8" t="str">
        <f>IFERROR(__xludf.DUMMYFUNCTION("""COMPUTED_VALUE"""),"pf")</f>
        <v>pf</v>
      </c>
      <c r="F13" s="8" t="str">
        <f>IFERROR(__xludf.DUMMYFUNCTION("""COMPUTED_VALUE"""),"nucleo 4")</f>
        <v>nucleo 4</v>
      </c>
      <c r="G13" s="8">
        <f>IFERROR(__xludf.DUMMYFUNCTION("""COMPUTED_VALUE"""),65.0)</f>
        <v>65</v>
      </c>
      <c r="H13" s="8">
        <f>IFERROR(__xludf.DUMMYFUNCTION("""COMPUTED_VALUE"""),6.5080525E7)</f>
        <v>65080525</v>
      </c>
      <c r="I13" s="8">
        <f>IFERROR(__xludf.DUMMYFUNCTION("""COMPUTED_VALUE"""),250808.0)</f>
        <v>250808</v>
      </c>
      <c r="J13" s="8"/>
      <c r="K13" s="8"/>
      <c r="L13" s="8"/>
      <c r="M13" s="8"/>
      <c r="N13" s="8"/>
      <c r="O13" s="8"/>
      <c r="P13" s="8"/>
      <c r="Q13" s="8"/>
      <c r="R13" s="8">
        <f>IFERROR(__xludf.DUMMYFUNCTION("""COMPUTED_VALUE"""),17.04)</f>
        <v>17.04</v>
      </c>
      <c r="S13" s="8">
        <f>IFERROR(__xludf.DUMMYFUNCTION("""COMPUTED_VALUE"""),19.46)</f>
        <v>19.46</v>
      </c>
      <c r="T13" s="8">
        <f>IFERROR(__xludf.DUMMYFUNCTION("""COMPUTED_VALUE"""),2.79)</f>
        <v>2.79</v>
      </c>
      <c r="U13" s="8"/>
      <c r="V13" s="8"/>
      <c r="W13" s="8"/>
      <c r="X13" s="8"/>
      <c r="Y13" s="8"/>
      <c r="Z13" s="8"/>
      <c r="AA13" s="8">
        <f>IFERROR(__xludf.DUMMYFUNCTION("""COMPUTED_VALUE"""),16.3)</f>
        <v>16.3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>
      <c r="A14" s="8"/>
      <c r="B14" s="8" t="str">
        <f>IFERROR(__xludf.DUMMYFUNCTION("""COMPUTED_VALUE"""),"cc")</f>
        <v>cc</v>
      </c>
      <c r="C14" s="8">
        <f>IFERROR(__xludf.DUMMYFUNCTION("""COMPUTED_VALUE"""),39156.0)</f>
        <v>39156</v>
      </c>
      <c r="D14" s="8"/>
      <c r="E14" s="8" t="str">
        <f>IFERROR(__xludf.DUMMYFUNCTION("""COMPUTED_VALUE"""),"pf")</f>
        <v>pf</v>
      </c>
      <c r="F14" s="8" t="str">
        <f>IFERROR(__xludf.DUMMYFUNCTION("""COMPUTED_VALUE"""),"nucleo 4")</f>
        <v>nucleo 4</v>
      </c>
      <c r="G14" s="8">
        <f>IFERROR(__xludf.DUMMYFUNCTION("""COMPUTED_VALUE"""),65.0)</f>
        <v>65</v>
      </c>
      <c r="H14" s="8">
        <f>IFERROR(__xludf.DUMMYFUNCTION("""COMPUTED_VALUE"""),6.5120625E7)</f>
        <v>65120625</v>
      </c>
      <c r="I14" s="8">
        <f>IFERROR(__xludf.DUMMYFUNCTION("""COMPUTED_VALUE"""),250612.0)</f>
        <v>250612</v>
      </c>
      <c r="J14" s="8"/>
      <c r="K14" s="8"/>
      <c r="L14" s="8"/>
      <c r="M14" s="8"/>
      <c r="N14" s="8"/>
      <c r="O14" s="8"/>
      <c r="P14" s="8"/>
      <c r="Q14" s="8"/>
      <c r="R14" s="8">
        <f>IFERROR(__xludf.DUMMYFUNCTION("""COMPUTED_VALUE"""),16.77)</f>
        <v>16.77</v>
      </c>
      <c r="S14" s="8">
        <f>IFERROR(__xludf.DUMMYFUNCTION("""COMPUTED_VALUE"""),18.48)</f>
        <v>18.48</v>
      </c>
      <c r="T14" s="8">
        <f>IFERROR(__xludf.DUMMYFUNCTION("""COMPUTED_VALUE"""),3.29)</f>
        <v>3.29</v>
      </c>
      <c r="U14" s="8"/>
      <c r="V14" s="8"/>
      <c r="W14" s="8"/>
      <c r="X14" s="8"/>
      <c r="Y14" s="8"/>
      <c r="Z14" s="8"/>
      <c r="AA14" s="8">
        <f>IFERROR(__xludf.DUMMYFUNCTION("""COMPUTED_VALUE"""),15.6)</f>
        <v>15.6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>
      <c r="A15" s="8"/>
      <c r="B15" s="8" t="str">
        <f>IFERROR(__xludf.DUMMYFUNCTION("""COMPUTED_VALUE"""),"cc")</f>
        <v>cc</v>
      </c>
      <c r="C15" s="8">
        <f>IFERROR(__xludf.DUMMYFUNCTION("""COMPUTED_VALUE"""),39157.0)</f>
        <v>39157</v>
      </c>
      <c r="D15" s="8"/>
      <c r="E15" s="8" t="str">
        <f>IFERROR(__xludf.DUMMYFUNCTION("""COMPUTED_VALUE"""),"pf")</f>
        <v>pf</v>
      </c>
      <c r="F15" s="8" t="str">
        <f>IFERROR(__xludf.DUMMYFUNCTION("""COMPUTED_VALUE"""),"nucleo 4")</f>
        <v>nucleo 4</v>
      </c>
      <c r="G15" s="8">
        <f>IFERROR(__xludf.DUMMYFUNCTION("""COMPUTED_VALUE"""),65.0)</f>
        <v>65</v>
      </c>
      <c r="H15" s="8">
        <f>IFERROR(__xludf.DUMMYFUNCTION("""COMPUTED_VALUE"""),6.5050825E7)</f>
        <v>65050825</v>
      </c>
      <c r="I15" s="8">
        <f>IFERROR(__xludf.DUMMYFUNCTION("""COMPUTED_VALUE"""),250805.0)</f>
        <v>250805</v>
      </c>
      <c r="J15" s="8"/>
      <c r="K15" s="8"/>
      <c r="L15" s="8"/>
      <c r="M15" s="8"/>
      <c r="N15" s="8"/>
      <c r="O15" s="8"/>
      <c r="P15" s="8"/>
      <c r="Q15" s="8"/>
      <c r="R15" s="8">
        <f>IFERROR(__xludf.DUMMYFUNCTION("""COMPUTED_VALUE"""),18.03)</f>
        <v>18.03</v>
      </c>
      <c r="S15" s="8">
        <f>IFERROR(__xludf.DUMMYFUNCTION("""COMPUTED_VALUE"""),18.39)</f>
        <v>18.39</v>
      </c>
      <c r="T15" s="8">
        <f>IFERROR(__xludf.DUMMYFUNCTION("""COMPUTED_VALUE"""),3.51)</f>
        <v>3.51</v>
      </c>
      <c r="U15" s="8"/>
      <c r="V15" s="8"/>
      <c r="W15" s="8"/>
      <c r="X15" s="8"/>
      <c r="Y15" s="8"/>
      <c r="Z15" s="8"/>
      <c r="AA15" s="8">
        <f>IFERROR(__xludf.DUMMYFUNCTION("""COMPUTED_VALUE"""),20.18)</f>
        <v>20.18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>
      <c r="A16" s="8"/>
      <c r="B16" s="8" t="str">
        <f>IFERROR(__xludf.DUMMYFUNCTION("""COMPUTED_VALUE"""),"cc")</f>
        <v>cc</v>
      </c>
      <c r="C16" s="8">
        <f>IFERROR(__xludf.DUMMYFUNCTION("""COMPUTED_VALUE"""),39158.0)</f>
        <v>39158</v>
      </c>
      <c r="D16" s="8"/>
      <c r="E16" s="8" t="str">
        <f>IFERROR(__xludf.DUMMYFUNCTION("""COMPUTED_VALUE"""),"pf")</f>
        <v>pf</v>
      </c>
      <c r="F16" s="8" t="str">
        <f>IFERROR(__xludf.DUMMYFUNCTION("""COMPUTED_VALUE"""),"nucleo 4")</f>
        <v>nucleo 4</v>
      </c>
      <c r="G16" s="8">
        <f>IFERROR(__xludf.DUMMYFUNCTION("""COMPUTED_VALUE"""),65.0)</f>
        <v>65</v>
      </c>
      <c r="H16" s="8">
        <f>IFERROR(__xludf.DUMMYFUNCTION("""COMPUTED_VALUE"""),6.5250925E7)</f>
        <v>65250925</v>
      </c>
      <c r="I16" s="8">
        <f>IFERROR(__xludf.DUMMYFUNCTION("""COMPUTED_VALUE"""),250925.0)</f>
        <v>250925</v>
      </c>
      <c r="J16" s="8"/>
      <c r="K16" s="8"/>
      <c r="L16" s="8"/>
      <c r="M16" s="8"/>
      <c r="N16" s="8"/>
      <c r="O16" s="8"/>
      <c r="P16" s="8"/>
      <c r="Q16" s="8"/>
      <c r="R16" s="8">
        <f>IFERROR(__xludf.DUMMYFUNCTION("""COMPUTED_VALUE"""),15.72)</f>
        <v>15.72</v>
      </c>
      <c r="S16" s="8">
        <f>IFERROR(__xludf.DUMMYFUNCTION("""COMPUTED_VALUE"""),15.59)</f>
        <v>15.59</v>
      </c>
      <c r="T16" s="8">
        <f>IFERROR(__xludf.DUMMYFUNCTION("""COMPUTED_VALUE"""),3.42)</f>
        <v>3.42</v>
      </c>
      <c r="U16" s="8"/>
      <c r="V16" s="8"/>
      <c r="W16" s="8"/>
      <c r="X16" s="8"/>
      <c r="Y16" s="8"/>
      <c r="Z16" s="8"/>
      <c r="AA16" s="8">
        <f>IFERROR(__xludf.DUMMYFUNCTION("""COMPUTED_VALUE"""),23.14)</f>
        <v>23.14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>
      <c r="A17" s="8"/>
      <c r="B17" s="8" t="str">
        <f>IFERROR(__xludf.DUMMYFUNCTION("""COMPUTED_VALUE"""),"cc")</f>
        <v>cc</v>
      </c>
      <c r="C17" s="8">
        <f>IFERROR(__xludf.DUMMYFUNCTION("""COMPUTED_VALUE"""),39159.0)</f>
        <v>39159</v>
      </c>
      <c r="D17" s="8"/>
      <c r="E17" s="8" t="str">
        <f>IFERROR(__xludf.DUMMYFUNCTION("""COMPUTED_VALUE"""),"pf")</f>
        <v>pf</v>
      </c>
      <c r="F17" s="8" t="str">
        <f>IFERROR(__xludf.DUMMYFUNCTION("""COMPUTED_VALUE"""),"nucleo 4")</f>
        <v>nucleo 4</v>
      </c>
      <c r="G17" s="8">
        <f>IFERROR(__xludf.DUMMYFUNCTION("""COMPUTED_VALUE"""),65.0)</f>
        <v>65</v>
      </c>
      <c r="H17" s="8">
        <f>IFERROR(__xludf.DUMMYFUNCTION("""COMPUTED_VALUE"""),6.5061025E7)</f>
        <v>65061025</v>
      </c>
      <c r="I17" s="8">
        <f>IFERROR(__xludf.DUMMYFUNCTION("""COMPUTED_VALUE"""),251006.0)</f>
        <v>251006</v>
      </c>
      <c r="J17" s="8"/>
      <c r="K17" s="8"/>
      <c r="L17" s="8"/>
      <c r="M17" s="8"/>
      <c r="N17" s="8"/>
      <c r="O17" s="8"/>
      <c r="P17" s="8"/>
      <c r="Q17" s="8"/>
      <c r="R17" s="8">
        <f>IFERROR(__xludf.DUMMYFUNCTION("""COMPUTED_VALUE"""),16.86)</f>
        <v>16.86</v>
      </c>
      <c r="S17" s="8">
        <f>IFERROR(__xludf.DUMMYFUNCTION("""COMPUTED_VALUE"""),17.08)</f>
        <v>17.08</v>
      </c>
      <c r="T17" s="8">
        <f>IFERROR(__xludf.DUMMYFUNCTION("""COMPUTED_VALUE"""),3.32)</f>
        <v>3.32</v>
      </c>
      <c r="U17" s="8"/>
      <c r="V17" s="8"/>
      <c r="W17" s="8"/>
      <c r="X17" s="8"/>
      <c r="Y17" s="8"/>
      <c r="Z17" s="8"/>
      <c r="AA17" s="8">
        <f>IFERROR(__xludf.DUMMYFUNCTION("""COMPUTED_VALUE"""),22.97)</f>
        <v>22.97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30.38"/>
    <col customWidth="1" min="3" max="3" width="22.25"/>
    <col customWidth="1" min="4" max="5" width="7.5"/>
    <col customWidth="1" min="6" max="6" width="44.63"/>
    <col customWidth="1" min="7" max="7" width="7.75"/>
    <col customWidth="1" min="8" max="9" width="7.38"/>
    <col customWidth="1" min="10" max="10" width="7.75"/>
    <col customWidth="1" min="11" max="13" width="7.5"/>
    <col customWidth="1" min="14" max="17" width="7.75"/>
    <col customWidth="1" min="18" max="18" width="7.5"/>
    <col customWidth="1" min="19" max="19" width="7.75"/>
    <col customWidth="1" min="20" max="20" width="7.38"/>
    <col customWidth="1" min="21" max="22" width="7.75"/>
    <col customWidth="1" min="23" max="23" width="7.38"/>
    <col customWidth="1" min="24" max="25" width="7.5"/>
    <col customWidth="1" min="26" max="27" width="7.75"/>
    <col customWidth="1" min="28" max="38" width="7.5"/>
  </cols>
  <sheetData>
    <row r="1" ht="22.5" customHeight="1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109</v>
      </c>
      <c r="AD1" s="2" t="s">
        <v>110</v>
      </c>
      <c r="AE1" s="2" t="s">
        <v>111</v>
      </c>
      <c r="AF1" s="2" t="s">
        <v>112</v>
      </c>
      <c r="AG1" s="2" t="s">
        <v>113</v>
      </c>
      <c r="AH1" s="2" t="s">
        <v>114</v>
      </c>
      <c r="AI1" s="2" t="s">
        <v>115</v>
      </c>
      <c r="AJ1" s="2" t="s">
        <v>116</v>
      </c>
      <c r="AK1" s="2" t="s">
        <v>117</v>
      </c>
      <c r="AL1" s="2" t="s">
        <v>118</v>
      </c>
    </row>
    <row r="2" ht="22.5" customHeight="1">
      <c r="A2" s="9" t="s">
        <v>101</v>
      </c>
      <c r="B2" s="10" t="s">
        <v>119</v>
      </c>
      <c r="C2" s="11"/>
      <c r="D2" s="11"/>
      <c r="E2" s="11"/>
      <c r="F2" s="10" t="s">
        <v>120</v>
      </c>
      <c r="G2" s="10" t="s">
        <v>121</v>
      </c>
      <c r="H2" s="10" t="s">
        <v>122</v>
      </c>
      <c r="I2" s="12"/>
      <c r="J2" s="13">
        <v>0.3</v>
      </c>
      <c r="K2" s="13">
        <v>0.02</v>
      </c>
      <c r="L2" s="13">
        <v>0.03</v>
      </c>
      <c r="M2" s="12"/>
      <c r="N2" s="13">
        <v>0.25</v>
      </c>
      <c r="O2" s="14">
        <v>0.105</v>
      </c>
      <c r="P2" s="14">
        <v>0.105</v>
      </c>
      <c r="Q2" s="12"/>
      <c r="R2" s="14">
        <v>0.006</v>
      </c>
      <c r="S2" s="14">
        <v>0.0058</v>
      </c>
      <c r="T2" s="14">
        <v>2.0E-4</v>
      </c>
      <c r="U2" s="14">
        <v>0.0</v>
      </c>
      <c r="V2" s="14">
        <v>2.0E-4</v>
      </c>
      <c r="W2" s="14">
        <v>5.0E-4</v>
      </c>
      <c r="X2" s="14">
        <v>5.0E-4</v>
      </c>
      <c r="Y2" s="14">
        <v>1.0E-4</v>
      </c>
      <c r="Z2" s="12"/>
      <c r="AA2" s="14">
        <v>2.0E-4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5"/>
    </row>
    <row r="3" ht="22.5" customHeight="1">
      <c r="A3" s="9" t="s">
        <v>101</v>
      </c>
      <c r="B3" s="10" t="s">
        <v>123</v>
      </c>
      <c r="C3" s="11"/>
      <c r="D3" s="11"/>
      <c r="E3" s="11"/>
      <c r="F3" s="10" t="s">
        <v>124</v>
      </c>
      <c r="G3" s="10" t="s">
        <v>121</v>
      </c>
      <c r="H3" s="10" t="s">
        <v>122</v>
      </c>
      <c r="I3" s="12"/>
      <c r="J3" s="14">
        <v>0.195</v>
      </c>
      <c r="K3" s="14">
        <v>0.06</v>
      </c>
      <c r="L3" s="14">
        <v>0.03</v>
      </c>
      <c r="M3" s="12"/>
      <c r="N3" s="14">
        <v>0.105</v>
      </c>
      <c r="O3" s="14">
        <v>0.31</v>
      </c>
      <c r="P3" s="14">
        <v>0.105</v>
      </c>
      <c r="Q3" s="12"/>
      <c r="R3" s="14">
        <v>0.01</v>
      </c>
      <c r="S3" s="14">
        <v>0.0105</v>
      </c>
      <c r="T3" s="14">
        <v>2.0E-4</v>
      </c>
      <c r="U3" s="14">
        <v>0.0</v>
      </c>
      <c r="V3" s="14">
        <v>3.0E-4</v>
      </c>
      <c r="W3" s="14">
        <v>8.0E-4</v>
      </c>
      <c r="X3" s="14">
        <v>9.0E-4</v>
      </c>
      <c r="Y3" s="14">
        <v>1.0E-4</v>
      </c>
      <c r="Z3" s="12"/>
      <c r="AA3" s="14">
        <v>2.0E-4</v>
      </c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5"/>
    </row>
    <row r="4" ht="22.5" customHeight="1">
      <c r="A4" s="9" t="s">
        <v>101</v>
      </c>
      <c r="B4" s="10" t="s">
        <v>125</v>
      </c>
      <c r="C4" s="11"/>
      <c r="D4" s="11"/>
      <c r="E4" s="11"/>
      <c r="F4" s="10" t="s">
        <v>126</v>
      </c>
      <c r="G4" s="10" t="s">
        <v>121</v>
      </c>
      <c r="H4" s="10" t="s">
        <v>122</v>
      </c>
      <c r="I4" s="12"/>
      <c r="J4" s="14">
        <v>0.07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5"/>
    </row>
    <row r="5" ht="22.5" customHeight="1">
      <c r="A5" s="16">
        <v>132.0</v>
      </c>
      <c r="B5" s="10" t="s">
        <v>127</v>
      </c>
      <c r="C5" s="11"/>
      <c r="D5" s="17">
        <v>1.0</v>
      </c>
      <c r="E5" s="10" t="s">
        <v>15</v>
      </c>
      <c r="F5" s="10" t="s">
        <v>128</v>
      </c>
      <c r="G5" s="10" t="s">
        <v>129</v>
      </c>
      <c r="H5" s="10" t="s">
        <v>15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5"/>
    </row>
    <row r="6" ht="22.5" customHeight="1">
      <c r="A6" s="16">
        <v>447.0</v>
      </c>
      <c r="B6" s="10" t="s">
        <v>130</v>
      </c>
      <c r="C6" s="11"/>
      <c r="D6" s="17">
        <v>1.0</v>
      </c>
      <c r="E6" s="11"/>
      <c r="F6" s="10" t="s">
        <v>131</v>
      </c>
      <c r="G6" s="10" t="s">
        <v>132</v>
      </c>
      <c r="H6" s="10" t="s">
        <v>15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5"/>
    </row>
    <row r="7" ht="22.5" customHeight="1">
      <c r="A7" s="16">
        <v>443.0</v>
      </c>
      <c r="B7" s="10" t="s">
        <v>133</v>
      </c>
      <c r="C7" s="11"/>
      <c r="D7" s="17">
        <v>1.0</v>
      </c>
      <c r="E7" s="11"/>
      <c r="F7" s="10" t="s">
        <v>134</v>
      </c>
      <c r="G7" s="10" t="s">
        <v>135</v>
      </c>
      <c r="H7" s="10" t="s">
        <v>15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5"/>
    </row>
    <row r="8" ht="22.5" customHeight="1">
      <c r="A8" s="16">
        <v>379.0</v>
      </c>
      <c r="B8" s="10" t="s">
        <v>136</v>
      </c>
      <c r="C8" s="10" t="s">
        <v>137</v>
      </c>
      <c r="D8" s="17">
        <v>1.0</v>
      </c>
      <c r="E8" s="10" t="s">
        <v>15</v>
      </c>
      <c r="F8" s="10" t="s">
        <v>138</v>
      </c>
      <c r="G8" s="10" t="s">
        <v>139</v>
      </c>
      <c r="H8" s="10" t="s">
        <v>15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5"/>
    </row>
    <row r="9" ht="22.5" customHeight="1">
      <c r="A9" s="16">
        <v>361.0</v>
      </c>
      <c r="B9" s="10" t="s">
        <v>140</v>
      </c>
      <c r="C9" s="11"/>
      <c r="D9" s="17">
        <v>1.0</v>
      </c>
      <c r="E9" s="10" t="s">
        <v>15</v>
      </c>
      <c r="F9" s="10" t="s">
        <v>141</v>
      </c>
      <c r="G9" s="10" t="s">
        <v>142</v>
      </c>
      <c r="H9" s="10" t="s">
        <v>15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5"/>
    </row>
    <row r="10" ht="22.5" customHeight="1">
      <c r="A10" s="16">
        <v>360.0</v>
      </c>
      <c r="B10" s="10" t="s">
        <v>143</v>
      </c>
      <c r="C10" s="11"/>
      <c r="D10" s="17">
        <v>1.0</v>
      </c>
      <c r="E10" s="10" t="s">
        <v>15</v>
      </c>
      <c r="F10" s="10" t="s">
        <v>144</v>
      </c>
      <c r="G10" s="10" t="s">
        <v>145</v>
      </c>
      <c r="H10" s="10" t="s">
        <v>15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5"/>
    </row>
    <row r="11" ht="22.5" customHeight="1">
      <c r="A11" s="16">
        <v>145.0</v>
      </c>
      <c r="B11" s="10" t="s">
        <v>146</v>
      </c>
      <c r="C11" s="11"/>
      <c r="D11" s="17">
        <v>1.0</v>
      </c>
      <c r="E11" s="10" t="s">
        <v>147</v>
      </c>
      <c r="F11" s="10" t="s">
        <v>148</v>
      </c>
      <c r="G11" s="10" t="s">
        <v>149</v>
      </c>
      <c r="H11" s="10" t="s">
        <v>122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>
        <v>0.51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5"/>
    </row>
    <row r="12" ht="22.5" customHeight="1">
      <c r="A12" s="16">
        <v>130.0</v>
      </c>
      <c r="B12" s="10" t="s">
        <v>150</v>
      </c>
      <c r="C12" s="11"/>
      <c r="D12" s="17">
        <v>1.0</v>
      </c>
      <c r="E12" s="10" t="s">
        <v>15</v>
      </c>
      <c r="F12" s="10" t="s">
        <v>151</v>
      </c>
      <c r="G12" s="10" t="s">
        <v>152</v>
      </c>
      <c r="H12" s="10" t="s">
        <v>122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>
        <v>0.51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5"/>
    </row>
    <row r="13" ht="22.5" customHeight="1">
      <c r="A13" s="16">
        <v>223.0</v>
      </c>
      <c r="B13" s="10" t="s">
        <v>153</v>
      </c>
      <c r="C13" s="11"/>
      <c r="D13" s="17">
        <v>1.0</v>
      </c>
      <c r="E13" s="10" t="s">
        <v>15</v>
      </c>
      <c r="F13" s="10" t="s">
        <v>154</v>
      </c>
      <c r="G13" s="10" t="s">
        <v>155</v>
      </c>
      <c r="H13" s="10" t="s">
        <v>15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5"/>
    </row>
    <row r="14" ht="22.5" customHeight="1">
      <c r="A14" s="16">
        <v>370.0</v>
      </c>
      <c r="B14" s="10" t="s">
        <v>156</v>
      </c>
      <c r="C14" s="10" t="s">
        <v>157</v>
      </c>
      <c r="D14" s="17">
        <v>1.0</v>
      </c>
      <c r="E14" s="10" t="s">
        <v>15</v>
      </c>
      <c r="F14" s="10" t="s">
        <v>158</v>
      </c>
      <c r="G14" s="10" t="s">
        <v>159</v>
      </c>
      <c r="H14" s="10" t="s">
        <v>122</v>
      </c>
      <c r="I14" s="12"/>
      <c r="J14" s="12"/>
      <c r="K14" s="12"/>
      <c r="L14" s="12"/>
      <c r="M14" s="12"/>
      <c r="N14" s="12"/>
      <c r="O14" s="12"/>
      <c r="P14" s="13">
        <v>0.02</v>
      </c>
      <c r="Q14" s="13">
        <v>0.06</v>
      </c>
      <c r="R14" s="13">
        <v>0.04</v>
      </c>
      <c r="S14" s="12"/>
      <c r="T14" s="12"/>
      <c r="U14" s="12"/>
      <c r="V14" s="12"/>
      <c r="W14" s="12"/>
      <c r="X14" s="12"/>
      <c r="Y14" s="12"/>
      <c r="Z14" s="13">
        <v>0.57</v>
      </c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5"/>
    </row>
    <row r="15" ht="22.5" customHeight="1">
      <c r="A15" s="16">
        <v>370.0</v>
      </c>
      <c r="B15" s="10" t="s">
        <v>156</v>
      </c>
      <c r="C15" s="10" t="s">
        <v>160</v>
      </c>
      <c r="D15" s="17">
        <v>2.0</v>
      </c>
      <c r="E15" s="10" t="s">
        <v>15</v>
      </c>
      <c r="F15" s="10" t="s">
        <v>161</v>
      </c>
      <c r="G15" s="10" t="s">
        <v>162</v>
      </c>
      <c r="H15" s="10" t="s">
        <v>122</v>
      </c>
      <c r="I15" s="12"/>
      <c r="J15" s="12"/>
      <c r="K15" s="12"/>
      <c r="L15" s="12"/>
      <c r="M15" s="12"/>
      <c r="N15" s="12"/>
      <c r="O15" s="12"/>
      <c r="P15" s="12"/>
      <c r="Q15" s="13">
        <v>0.06</v>
      </c>
      <c r="R15" s="13">
        <v>0.04</v>
      </c>
      <c r="S15" s="12"/>
      <c r="T15" s="12"/>
      <c r="U15" s="12"/>
      <c r="V15" s="12"/>
      <c r="W15" s="12"/>
      <c r="X15" s="12"/>
      <c r="Y15" s="12"/>
      <c r="Z15" s="13">
        <v>0.57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5"/>
    </row>
    <row r="16" ht="22.5" customHeight="1">
      <c r="A16" s="16">
        <v>370.0</v>
      </c>
      <c r="B16" s="10" t="s">
        <v>156</v>
      </c>
      <c r="C16" s="10" t="s">
        <v>163</v>
      </c>
      <c r="D16" s="17">
        <v>3.0</v>
      </c>
      <c r="E16" s="10" t="s">
        <v>15</v>
      </c>
      <c r="F16" s="10" t="s">
        <v>164</v>
      </c>
      <c r="G16" s="10" t="s">
        <v>165</v>
      </c>
      <c r="H16" s="10" t="s">
        <v>122</v>
      </c>
      <c r="I16" s="12"/>
      <c r="J16" s="12"/>
      <c r="K16" s="12"/>
      <c r="L16" s="12"/>
      <c r="M16" s="12"/>
      <c r="N16" s="12"/>
      <c r="O16" s="12"/>
      <c r="P16" s="13">
        <v>0.02</v>
      </c>
      <c r="Q16" s="13">
        <v>0.06</v>
      </c>
      <c r="R16" s="13">
        <v>0.04</v>
      </c>
      <c r="S16" s="12"/>
      <c r="T16" s="12"/>
      <c r="U16" s="12"/>
      <c r="V16" s="12"/>
      <c r="W16" s="12"/>
      <c r="X16" s="12"/>
      <c r="Y16" s="12"/>
      <c r="Z16" s="13">
        <v>0.57</v>
      </c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5"/>
    </row>
    <row r="17" ht="22.5" customHeight="1">
      <c r="A17" s="16">
        <v>370.0</v>
      </c>
      <c r="B17" s="10" t="s">
        <v>156</v>
      </c>
      <c r="C17" s="10" t="s">
        <v>166</v>
      </c>
      <c r="D17" s="17">
        <v>4.0</v>
      </c>
      <c r="E17" s="10" t="s">
        <v>15</v>
      </c>
      <c r="F17" s="10" t="s">
        <v>167</v>
      </c>
      <c r="G17" s="10" t="s">
        <v>168</v>
      </c>
      <c r="H17" s="10" t="s">
        <v>122</v>
      </c>
      <c r="I17" s="12"/>
      <c r="J17" s="12"/>
      <c r="K17" s="12"/>
      <c r="L17" s="12"/>
      <c r="M17" s="12"/>
      <c r="N17" s="12"/>
      <c r="O17" s="12"/>
      <c r="P17" s="13">
        <v>0.02</v>
      </c>
      <c r="Q17" s="13">
        <v>0.06</v>
      </c>
      <c r="R17" s="13">
        <v>0.04</v>
      </c>
      <c r="S17" s="12"/>
      <c r="T17" s="12"/>
      <c r="U17" s="12"/>
      <c r="V17" s="12"/>
      <c r="W17" s="12"/>
      <c r="X17" s="12"/>
      <c r="Y17" s="12"/>
      <c r="Z17" s="13">
        <v>0.57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5"/>
    </row>
    <row r="18" ht="22.5" customHeight="1">
      <c r="A18" s="16">
        <v>111.0</v>
      </c>
      <c r="B18" s="10" t="s">
        <v>169</v>
      </c>
      <c r="C18" s="10" t="s">
        <v>170</v>
      </c>
      <c r="D18" s="17">
        <v>1.0</v>
      </c>
      <c r="E18" s="10" t="s">
        <v>15</v>
      </c>
      <c r="F18" s="10" t="s">
        <v>171</v>
      </c>
      <c r="G18" s="10" t="s">
        <v>172</v>
      </c>
      <c r="H18" s="10" t="s">
        <v>122</v>
      </c>
      <c r="I18" s="12"/>
      <c r="J18" s="12"/>
      <c r="K18" s="12"/>
      <c r="L18" s="12"/>
      <c r="M18" s="12"/>
      <c r="N18" s="12"/>
      <c r="O18" s="12"/>
      <c r="P18" s="12"/>
      <c r="Q18" s="12"/>
      <c r="R18" s="13">
        <v>0.01</v>
      </c>
      <c r="S18" s="12"/>
      <c r="T18" s="12"/>
      <c r="U18" s="12"/>
      <c r="V18" s="12"/>
      <c r="W18" s="12"/>
      <c r="X18" s="12"/>
      <c r="Y18" s="12"/>
      <c r="Z18" s="13">
        <v>0.47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5"/>
    </row>
    <row r="19" ht="22.5" customHeight="1">
      <c r="A19" s="16">
        <v>111.0</v>
      </c>
      <c r="B19" s="10" t="s">
        <v>169</v>
      </c>
      <c r="C19" s="10" t="s">
        <v>173</v>
      </c>
      <c r="D19" s="17">
        <v>2.0</v>
      </c>
      <c r="E19" s="10" t="s">
        <v>15</v>
      </c>
      <c r="F19" s="10" t="s">
        <v>174</v>
      </c>
      <c r="G19" s="10" t="s">
        <v>175</v>
      </c>
      <c r="H19" s="10" t="s">
        <v>122</v>
      </c>
      <c r="I19" s="12"/>
      <c r="J19" s="12"/>
      <c r="K19" s="12"/>
      <c r="L19" s="12"/>
      <c r="M19" s="12"/>
      <c r="N19" s="12"/>
      <c r="O19" s="12"/>
      <c r="P19" s="12"/>
      <c r="Q19" s="12"/>
      <c r="R19" s="13">
        <v>0.01</v>
      </c>
      <c r="S19" s="12"/>
      <c r="T19" s="12"/>
      <c r="U19" s="12"/>
      <c r="V19" s="12"/>
      <c r="W19" s="12"/>
      <c r="X19" s="12"/>
      <c r="Y19" s="12"/>
      <c r="Z19" s="13">
        <v>0.47</v>
      </c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5"/>
    </row>
    <row r="20" ht="22.5" customHeight="1">
      <c r="A20" s="16">
        <v>111.0</v>
      </c>
      <c r="B20" s="10" t="s">
        <v>169</v>
      </c>
      <c r="C20" s="10" t="s">
        <v>166</v>
      </c>
      <c r="D20" s="17">
        <v>3.0</v>
      </c>
      <c r="E20" s="10" t="s">
        <v>15</v>
      </c>
      <c r="F20" s="10" t="s">
        <v>176</v>
      </c>
      <c r="G20" s="10" t="s">
        <v>177</v>
      </c>
      <c r="H20" s="10" t="s">
        <v>122</v>
      </c>
      <c r="I20" s="12"/>
      <c r="J20" s="12"/>
      <c r="K20" s="12"/>
      <c r="L20" s="12"/>
      <c r="M20" s="12"/>
      <c r="N20" s="12"/>
      <c r="O20" s="12"/>
      <c r="P20" s="12"/>
      <c r="Q20" s="12"/>
      <c r="R20" s="13">
        <v>0.01</v>
      </c>
      <c r="S20" s="12"/>
      <c r="T20" s="12"/>
      <c r="U20" s="12"/>
      <c r="V20" s="12"/>
      <c r="W20" s="12"/>
      <c r="X20" s="12"/>
      <c r="Y20" s="12"/>
      <c r="Z20" s="13">
        <v>0.47</v>
      </c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5"/>
    </row>
    <row r="21" ht="22.5" customHeight="1">
      <c r="A21" s="16">
        <v>198.0</v>
      </c>
      <c r="B21" s="10" t="s">
        <v>178</v>
      </c>
      <c r="C21" s="11"/>
      <c r="D21" s="17">
        <v>1.0</v>
      </c>
      <c r="E21" s="10" t="s">
        <v>15</v>
      </c>
      <c r="F21" s="10" t="s">
        <v>179</v>
      </c>
      <c r="G21" s="10" t="s">
        <v>180</v>
      </c>
      <c r="H21" s="10" t="s">
        <v>15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5"/>
    </row>
    <row r="22" ht="22.5" customHeight="1">
      <c r="A22" s="9" t="s">
        <v>181</v>
      </c>
      <c r="B22" s="10" t="s">
        <v>182</v>
      </c>
      <c r="C22" s="10" t="s">
        <v>137</v>
      </c>
      <c r="D22" s="17">
        <v>1.0</v>
      </c>
      <c r="E22" s="10" t="s">
        <v>15</v>
      </c>
      <c r="F22" s="10" t="s">
        <v>183</v>
      </c>
      <c r="G22" s="10" t="s">
        <v>184</v>
      </c>
      <c r="H22" s="10" t="s">
        <v>122</v>
      </c>
      <c r="I22" s="13">
        <v>0.16</v>
      </c>
      <c r="J22" s="13">
        <v>0.01</v>
      </c>
      <c r="K22" s="12"/>
      <c r="L22" s="12"/>
      <c r="M22" s="12"/>
      <c r="N22" s="12"/>
      <c r="O22" s="13">
        <v>0.01</v>
      </c>
      <c r="P22" s="13">
        <v>0.02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5"/>
    </row>
    <row r="23" ht="22.5" customHeight="1">
      <c r="A23" s="16">
        <v>123.0</v>
      </c>
      <c r="B23" s="10" t="s">
        <v>185</v>
      </c>
      <c r="C23" s="10" t="s">
        <v>137</v>
      </c>
      <c r="D23" s="17">
        <v>1.0</v>
      </c>
      <c r="E23" s="10" t="s">
        <v>147</v>
      </c>
      <c r="F23" s="10" t="s">
        <v>186</v>
      </c>
      <c r="G23" s="10" t="s">
        <v>187</v>
      </c>
      <c r="H23" s="10" t="s">
        <v>122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3">
        <v>0.1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5"/>
    </row>
    <row r="24" ht="22.5" customHeight="1">
      <c r="A24" s="16">
        <v>350.0</v>
      </c>
      <c r="B24" s="10" t="s">
        <v>188</v>
      </c>
      <c r="C24" s="10" t="s">
        <v>137</v>
      </c>
      <c r="D24" s="17">
        <v>1.0</v>
      </c>
      <c r="E24" s="10" t="s">
        <v>147</v>
      </c>
      <c r="F24" s="10" t="s">
        <v>189</v>
      </c>
      <c r="G24" s="10" t="s">
        <v>190</v>
      </c>
      <c r="H24" s="10" t="s">
        <v>15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5"/>
    </row>
    <row r="25" ht="22.5" customHeight="1">
      <c r="A25" s="16">
        <v>576.0</v>
      </c>
      <c r="B25" s="10" t="s">
        <v>191</v>
      </c>
      <c r="C25" s="10" t="s">
        <v>137</v>
      </c>
      <c r="D25" s="17">
        <v>1.0</v>
      </c>
      <c r="E25" s="10" t="s">
        <v>147</v>
      </c>
      <c r="F25" s="10" t="s">
        <v>192</v>
      </c>
      <c r="G25" s="10" t="s">
        <v>193</v>
      </c>
      <c r="H25" s="10" t="s">
        <v>15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5"/>
    </row>
    <row r="26" ht="22.5" customHeight="1">
      <c r="A26" s="16">
        <v>463.0</v>
      </c>
      <c r="B26" s="10" t="s">
        <v>194</v>
      </c>
      <c r="C26" s="10" t="s">
        <v>195</v>
      </c>
      <c r="D26" s="17">
        <v>1.0</v>
      </c>
      <c r="E26" s="10" t="s">
        <v>15</v>
      </c>
      <c r="F26" s="10" t="s">
        <v>196</v>
      </c>
      <c r="G26" s="10" t="s">
        <v>197</v>
      </c>
      <c r="H26" s="10" t="s">
        <v>122</v>
      </c>
      <c r="I26" s="12"/>
      <c r="J26" s="12"/>
      <c r="K26" s="12"/>
      <c r="L26" s="12"/>
      <c r="M26" s="12"/>
      <c r="N26" s="12"/>
      <c r="O26" s="12"/>
      <c r="P26" s="12"/>
      <c r="Q26" s="13">
        <v>0.55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5"/>
    </row>
    <row r="27" ht="22.5" customHeight="1">
      <c r="A27" s="16">
        <v>120.0</v>
      </c>
      <c r="B27" s="10" t="s">
        <v>198</v>
      </c>
      <c r="C27" s="10" t="s">
        <v>199</v>
      </c>
      <c r="D27" s="17">
        <v>1.0</v>
      </c>
      <c r="E27" s="10" t="s">
        <v>15</v>
      </c>
      <c r="F27" s="10" t="s">
        <v>200</v>
      </c>
      <c r="G27" s="10" t="s">
        <v>201</v>
      </c>
      <c r="H27" s="10" t="s">
        <v>122</v>
      </c>
      <c r="I27" s="12"/>
      <c r="J27" s="12"/>
      <c r="K27" s="12"/>
      <c r="L27" s="12"/>
      <c r="M27" s="12"/>
      <c r="N27" s="12"/>
      <c r="O27" s="12"/>
      <c r="P27" s="12"/>
      <c r="Q27" s="13">
        <v>0.34</v>
      </c>
      <c r="R27" s="13">
        <v>0.14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5"/>
    </row>
    <row r="28" ht="22.5" customHeight="1">
      <c r="A28" s="9" t="s">
        <v>101</v>
      </c>
      <c r="B28" s="10" t="s">
        <v>202</v>
      </c>
      <c r="C28" s="10" t="s">
        <v>137</v>
      </c>
      <c r="D28" s="11"/>
      <c r="E28" s="11"/>
      <c r="F28" s="10" t="s">
        <v>203</v>
      </c>
      <c r="G28" s="10" t="s">
        <v>121</v>
      </c>
      <c r="H28" s="10" t="s">
        <v>122</v>
      </c>
      <c r="I28" s="12"/>
      <c r="J28" s="13">
        <v>0.05</v>
      </c>
      <c r="K28" s="14">
        <v>0.0026</v>
      </c>
      <c r="L28" s="14">
        <v>0.0474</v>
      </c>
      <c r="M28" s="12"/>
      <c r="N28" s="12"/>
      <c r="O28" s="13">
        <v>0.15</v>
      </c>
      <c r="P28" s="13">
        <v>0.45</v>
      </c>
      <c r="Q28" s="12"/>
      <c r="R28" s="13">
        <v>0.01</v>
      </c>
      <c r="S28" s="14">
        <v>0.0488</v>
      </c>
      <c r="T28" s="13">
        <v>0.02</v>
      </c>
      <c r="U28" s="14">
        <v>0.0</v>
      </c>
      <c r="V28" s="14">
        <v>2.0E-4</v>
      </c>
      <c r="W28" s="14">
        <v>6.0E-4</v>
      </c>
      <c r="X28" s="14">
        <v>6.0E-4</v>
      </c>
      <c r="Y28" s="14">
        <v>1.0E-4</v>
      </c>
      <c r="Z28" s="12"/>
      <c r="AA28" s="14">
        <v>2.0E-4</v>
      </c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5"/>
    </row>
    <row r="29" ht="22.5" customHeight="1">
      <c r="A29" s="9" t="s">
        <v>101</v>
      </c>
      <c r="B29" s="10" t="s">
        <v>204</v>
      </c>
      <c r="C29" s="10" t="s">
        <v>137</v>
      </c>
      <c r="D29" s="11"/>
      <c r="E29" s="11"/>
      <c r="F29" s="10" t="s">
        <v>205</v>
      </c>
      <c r="G29" s="10" t="s">
        <v>121</v>
      </c>
      <c r="H29" s="10" t="s">
        <v>122</v>
      </c>
      <c r="I29" s="12"/>
      <c r="J29" s="12"/>
      <c r="K29" s="12"/>
      <c r="L29" s="12"/>
      <c r="M29" s="12"/>
      <c r="N29" s="12"/>
      <c r="O29" s="12"/>
      <c r="P29" s="12"/>
      <c r="Q29" s="12"/>
      <c r="R29" s="14">
        <v>0.05</v>
      </c>
      <c r="S29" s="14">
        <v>0.0026</v>
      </c>
      <c r="T29" s="14">
        <v>0.0474</v>
      </c>
      <c r="U29" s="14">
        <v>0.15</v>
      </c>
      <c r="V29" s="14">
        <v>0.45</v>
      </c>
      <c r="W29" s="14">
        <v>0.01</v>
      </c>
      <c r="X29" s="14">
        <v>0.0488</v>
      </c>
      <c r="Y29" s="14">
        <v>0.02</v>
      </c>
      <c r="Z29" s="12"/>
      <c r="AA29" s="14">
        <v>0.0</v>
      </c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5"/>
    </row>
    <row r="30" ht="22.5" customHeight="1">
      <c r="A30" s="16">
        <v>325.0</v>
      </c>
      <c r="B30" s="10" t="s">
        <v>206</v>
      </c>
      <c r="C30" s="10" t="s">
        <v>137</v>
      </c>
      <c r="D30" s="17">
        <v>1.0</v>
      </c>
      <c r="E30" s="10" t="s">
        <v>15</v>
      </c>
      <c r="F30" s="10" t="s">
        <v>207</v>
      </c>
      <c r="G30" s="10" t="s">
        <v>208</v>
      </c>
      <c r="H30" s="10" t="s">
        <v>15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5"/>
    </row>
    <row r="31" ht="22.5" customHeight="1">
      <c r="A31" s="16">
        <v>311.0</v>
      </c>
      <c r="B31" s="10" t="s">
        <v>209</v>
      </c>
      <c r="C31" s="10" t="s">
        <v>137</v>
      </c>
      <c r="D31" s="17">
        <v>1.0</v>
      </c>
      <c r="E31" s="10" t="s">
        <v>147</v>
      </c>
      <c r="F31" s="10" t="s">
        <v>210</v>
      </c>
      <c r="G31" s="10" t="s">
        <v>211</v>
      </c>
      <c r="H31" s="10" t="s">
        <v>15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5"/>
    </row>
    <row r="32" ht="22.5" customHeight="1">
      <c r="A32" s="16">
        <v>26.0</v>
      </c>
      <c r="B32" s="10" t="s">
        <v>212</v>
      </c>
      <c r="C32" s="10" t="s">
        <v>137</v>
      </c>
      <c r="D32" s="17">
        <v>1.0</v>
      </c>
      <c r="E32" s="11"/>
      <c r="F32" s="10" t="s">
        <v>213</v>
      </c>
      <c r="G32" s="10" t="s">
        <v>214</v>
      </c>
      <c r="H32" s="10" t="s">
        <v>15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5"/>
    </row>
    <row r="33" ht="22.5" customHeight="1">
      <c r="A33" s="16">
        <v>150.0</v>
      </c>
      <c r="B33" s="10" t="s">
        <v>215</v>
      </c>
      <c r="C33" s="10" t="s">
        <v>137</v>
      </c>
      <c r="D33" s="17">
        <v>1.0</v>
      </c>
      <c r="E33" s="10" t="s">
        <v>147</v>
      </c>
      <c r="F33" s="10" t="s">
        <v>216</v>
      </c>
      <c r="G33" s="10" t="s">
        <v>217</v>
      </c>
      <c r="H33" s="10" t="s">
        <v>122</v>
      </c>
      <c r="I33" s="12"/>
      <c r="J33" s="12"/>
      <c r="K33" s="12"/>
      <c r="L33" s="12"/>
      <c r="M33" s="12"/>
      <c r="N33" s="12"/>
      <c r="O33" s="12"/>
      <c r="P33" s="13">
        <v>0.03</v>
      </c>
      <c r="Q33" s="12"/>
      <c r="R33" s="12"/>
      <c r="S33" s="13">
        <v>0.07</v>
      </c>
      <c r="T33" s="12"/>
      <c r="U33" s="12"/>
      <c r="V33" s="12"/>
      <c r="W33" s="12"/>
      <c r="X33" s="12"/>
      <c r="Y33" s="12"/>
      <c r="Z33" s="12"/>
      <c r="AA33" s="13">
        <v>0.22</v>
      </c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5"/>
    </row>
    <row r="34" ht="22.5" customHeight="1">
      <c r="A34" s="16">
        <v>113.0</v>
      </c>
      <c r="B34" s="10" t="s">
        <v>218</v>
      </c>
      <c r="C34" s="11"/>
      <c r="D34" s="17">
        <v>1.0</v>
      </c>
      <c r="E34" s="10" t="s">
        <v>147</v>
      </c>
      <c r="F34" s="10" t="s">
        <v>219</v>
      </c>
      <c r="G34" s="10" t="s">
        <v>220</v>
      </c>
      <c r="H34" s="10" t="s">
        <v>15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5"/>
    </row>
    <row r="35" ht="22.5" customHeight="1">
      <c r="A35" s="16">
        <v>110.0</v>
      </c>
      <c r="B35" s="10" t="s">
        <v>221</v>
      </c>
      <c r="C35" s="11"/>
      <c r="D35" s="17">
        <v>1.0</v>
      </c>
      <c r="E35" s="10" t="s">
        <v>15</v>
      </c>
      <c r="F35" s="10" t="s">
        <v>222</v>
      </c>
      <c r="G35" s="10" t="s">
        <v>223</v>
      </c>
      <c r="H35" s="10" t="s">
        <v>15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5"/>
    </row>
    <row r="36" ht="22.5" customHeight="1">
      <c r="A36" s="16">
        <v>105.0</v>
      </c>
      <c r="B36" s="10" t="s">
        <v>224</v>
      </c>
      <c r="C36" s="10" t="s">
        <v>225</v>
      </c>
      <c r="D36" s="17">
        <v>1.0</v>
      </c>
      <c r="E36" s="10" t="s">
        <v>15</v>
      </c>
      <c r="F36" s="10" t="s">
        <v>226</v>
      </c>
      <c r="G36" s="10" t="s">
        <v>227</v>
      </c>
      <c r="H36" s="10" t="s">
        <v>122</v>
      </c>
      <c r="I36" s="12"/>
      <c r="J36" s="12"/>
      <c r="K36" s="12"/>
      <c r="L36" s="12"/>
      <c r="M36" s="12"/>
      <c r="N36" s="12"/>
      <c r="O36" s="12"/>
      <c r="P36" s="12"/>
      <c r="Q36" s="13">
        <v>0.44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5"/>
    </row>
    <row r="37" ht="22.5" customHeight="1">
      <c r="A37" s="16">
        <v>105.0</v>
      </c>
      <c r="B37" s="10" t="s">
        <v>224</v>
      </c>
      <c r="C37" s="10" t="s">
        <v>228</v>
      </c>
      <c r="D37" s="17">
        <v>2.0</v>
      </c>
      <c r="E37" s="10" t="s">
        <v>15</v>
      </c>
      <c r="F37" s="10" t="s">
        <v>229</v>
      </c>
      <c r="G37" s="10" t="s">
        <v>230</v>
      </c>
      <c r="H37" s="10" t="s">
        <v>122</v>
      </c>
      <c r="I37" s="12"/>
      <c r="J37" s="12"/>
      <c r="K37" s="12"/>
      <c r="L37" s="12"/>
      <c r="M37" s="12"/>
      <c r="N37" s="12"/>
      <c r="O37" s="12"/>
      <c r="P37" s="12"/>
      <c r="Q37" s="13">
        <v>0.44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5"/>
    </row>
    <row r="38" ht="22.5" customHeight="1">
      <c r="A38" s="16">
        <v>105.0</v>
      </c>
      <c r="B38" s="10" t="s">
        <v>224</v>
      </c>
      <c r="C38" s="10" t="s">
        <v>195</v>
      </c>
      <c r="D38" s="17">
        <v>3.0</v>
      </c>
      <c r="E38" s="10" t="s">
        <v>15</v>
      </c>
      <c r="F38" s="10" t="s">
        <v>231</v>
      </c>
      <c r="G38" s="10" t="s">
        <v>232</v>
      </c>
      <c r="H38" s="10" t="s">
        <v>122</v>
      </c>
      <c r="I38" s="12"/>
      <c r="J38" s="12"/>
      <c r="K38" s="12"/>
      <c r="L38" s="12"/>
      <c r="M38" s="12"/>
      <c r="N38" s="12"/>
      <c r="O38" s="12"/>
      <c r="P38" s="12"/>
      <c r="Q38" s="13">
        <v>0.44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5"/>
    </row>
    <row r="39" ht="22.5" customHeight="1">
      <c r="A39" s="16">
        <v>450.0</v>
      </c>
      <c r="B39" s="10" t="s">
        <v>233</v>
      </c>
      <c r="C39" s="10" t="s">
        <v>137</v>
      </c>
      <c r="D39" s="17">
        <v>1.0</v>
      </c>
      <c r="E39" s="10" t="s">
        <v>234</v>
      </c>
      <c r="F39" s="10" t="s">
        <v>235</v>
      </c>
      <c r="G39" s="10" t="s">
        <v>236</v>
      </c>
      <c r="H39" s="10" t="s">
        <v>15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5"/>
    </row>
    <row r="40" ht="22.5" customHeight="1">
      <c r="A40" s="16">
        <v>103.0</v>
      </c>
      <c r="B40" s="10" t="s">
        <v>237</v>
      </c>
      <c r="C40" s="11"/>
      <c r="D40" s="17">
        <v>1.0</v>
      </c>
      <c r="E40" s="10" t="s">
        <v>15</v>
      </c>
      <c r="F40" s="10" t="s">
        <v>238</v>
      </c>
      <c r="G40" s="10" t="s">
        <v>239</v>
      </c>
      <c r="H40" s="10" t="s">
        <v>15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5"/>
    </row>
    <row r="41" ht="22.5" customHeight="1">
      <c r="A41" s="16">
        <v>97.0</v>
      </c>
      <c r="B41" s="10" t="s">
        <v>83</v>
      </c>
      <c r="C41" s="10" t="s">
        <v>240</v>
      </c>
      <c r="D41" s="17">
        <v>1.0</v>
      </c>
      <c r="E41" s="10" t="s">
        <v>147</v>
      </c>
      <c r="F41" s="10" t="s">
        <v>241</v>
      </c>
      <c r="G41" s="10" t="s">
        <v>242</v>
      </c>
      <c r="H41" s="10" t="s">
        <v>122</v>
      </c>
      <c r="I41" s="12"/>
      <c r="J41" s="13">
        <v>0.18</v>
      </c>
      <c r="K41" s="13">
        <v>0.18</v>
      </c>
      <c r="L41" s="12"/>
      <c r="M41" s="12"/>
      <c r="N41" s="12"/>
      <c r="O41" s="13">
        <v>0.46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5"/>
    </row>
    <row r="42" ht="22.5" customHeight="1">
      <c r="A42" s="16">
        <v>97.0</v>
      </c>
      <c r="B42" s="10" t="s">
        <v>83</v>
      </c>
      <c r="C42" s="10" t="s">
        <v>137</v>
      </c>
      <c r="D42" s="17">
        <v>2.0</v>
      </c>
      <c r="E42" s="10" t="s">
        <v>147</v>
      </c>
      <c r="F42" s="10" t="s">
        <v>243</v>
      </c>
      <c r="G42" s="10" t="s">
        <v>244</v>
      </c>
      <c r="H42" s="10" t="s">
        <v>122</v>
      </c>
      <c r="I42" s="12"/>
      <c r="J42" s="13">
        <v>0.18</v>
      </c>
      <c r="K42" s="13">
        <v>0.18</v>
      </c>
      <c r="L42" s="12"/>
      <c r="M42" s="12"/>
      <c r="N42" s="12"/>
      <c r="O42" s="13">
        <v>0.46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5"/>
    </row>
    <row r="43" ht="22.5" customHeight="1">
      <c r="A43" s="16">
        <v>97.0</v>
      </c>
      <c r="B43" s="10" t="s">
        <v>83</v>
      </c>
      <c r="C43" s="10" t="s">
        <v>245</v>
      </c>
      <c r="D43" s="17">
        <v>3.0</v>
      </c>
      <c r="E43" s="10" t="s">
        <v>147</v>
      </c>
      <c r="F43" s="10" t="s">
        <v>246</v>
      </c>
      <c r="G43" s="10" t="s">
        <v>247</v>
      </c>
      <c r="H43" s="10" t="s">
        <v>122</v>
      </c>
      <c r="I43" s="12"/>
      <c r="J43" s="13">
        <v>0.18</v>
      </c>
      <c r="K43" s="13">
        <v>0.18</v>
      </c>
      <c r="L43" s="12"/>
      <c r="M43" s="12"/>
      <c r="N43" s="12"/>
      <c r="O43" s="13">
        <v>0.46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5"/>
    </row>
    <row r="44" ht="22.5" customHeight="1">
      <c r="A44" s="16">
        <v>97.0</v>
      </c>
      <c r="B44" s="10" t="s">
        <v>83</v>
      </c>
      <c r="C44" s="10" t="s">
        <v>248</v>
      </c>
      <c r="D44" s="17">
        <v>4.0</v>
      </c>
      <c r="E44" s="10" t="s">
        <v>147</v>
      </c>
      <c r="F44" s="10" t="s">
        <v>249</v>
      </c>
      <c r="G44" s="10" t="s">
        <v>250</v>
      </c>
      <c r="H44" s="10" t="s">
        <v>122</v>
      </c>
      <c r="I44" s="12"/>
      <c r="J44" s="13">
        <v>0.18</v>
      </c>
      <c r="K44" s="13">
        <v>0.18</v>
      </c>
      <c r="L44" s="12"/>
      <c r="M44" s="12"/>
      <c r="N44" s="12"/>
      <c r="O44" s="13">
        <v>0.46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5"/>
    </row>
    <row r="45" ht="22.5" customHeight="1">
      <c r="A45" s="16">
        <v>97.0</v>
      </c>
      <c r="B45" s="10" t="s">
        <v>83</v>
      </c>
      <c r="C45" s="10" t="s">
        <v>251</v>
      </c>
      <c r="D45" s="17">
        <v>5.0</v>
      </c>
      <c r="E45" s="10" t="s">
        <v>147</v>
      </c>
      <c r="F45" s="10" t="s">
        <v>252</v>
      </c>
      <c r="G45" s="10" t="s">
        <v>253</v>
      </c>
      <c r="H45" s="10" t="s">
        <v>122</v>
      </c>
      <c r="I45" s="12"/>
      <c r="J45" s="13">
        <v>0.18</v>
      </c>
      <c r="K45" s="13">
        <v>0.18</v>
      </c>
      <c r="L45" s="12"/>
      <c r="M45" s="12"/>
      <c r="N45" s="12"/>
      <c r="O45" s="13">
        <v>0.46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5"/>
    </row>
    <row r="46" ht="22.5" customHeight="1">
      <c r="A46" s="16">
        <v>97.0</v>
      </c>
      <c r="B46" s="10" t="s">
        <v>83</v>
      </c>
      <c r="C46" s="10" t="s">
        <v>254</v>
      </c>
      <c r="D46" s="17">
        <v>6.0</v>
      </c>
      <c r="E46" s="10" t="s">
        <v>147</v>
      </c>
      <c r="F46" s="10" t="s">
        <v>255</v>
      </c>
      <c r="G46" s="10" t="s">
        <v>256</v>
      </c>
      <c r="H46" s="10" t="s">
        <v>122</v>
      </c>
      <c r="I46" s="12"/>
      <c r="J46" s="13">
        <v>0.18</v>
      </c>
      <c r="K46" s="13">
        <v>0.18</v>
      </c>
      <c r="L46" s="12"/>
      <c r="M46" s="12"/>
      <c r="N46" s="12"/>
      <c r="O46" s="13">
        <v>0.46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5"/>
    </row>
    <row r="47" ht="22.5" customHeight="1">
      <c r="A47" s="16">
        <v>226.0</v>
      </c>
      <c r="B47" s="10" t="s">
        <v>257</v>
      </c>
      <c r="C47" s="11"/>
      <c r="D47" s="17">
        <v>1.0</v>
      </c>
      <c r="E47" s="10" t="s">
        <v>15</v>
      </c>
      <c r="F47" s="10" t="s">
        <v>258</v>
      </c>
      <c r="G47" s="10" t="s">
        <v>259</v>
      </c>
      <c r="H47" s="10" t="s">
        <v>15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5"/>
    </row>
    <row r="48" ht="22.5" customHeight="1">
      <c r="A48" s="16">
        <v>79.0</v>
      </c>
      <c r="B48" s="10" t="s">
        <v>260</v>
      </c>
      <c r="C48" s="11"/>
      <c r="D48" s="17">
        <v>1.0</v>
      </c>
      <c r="E48" s="10" t="s">
        <v>147</v>
      </c>
      <c r="F48" s="10" t="s">
        <v>261</v>
      </c>
      <c r="G48" s="10" t="s">
        <v>262</v>
      </c>
      <c r="H48" s="10" t="s">
        <v>15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5"/>
    </row>
    <row r="49" ht="22.5" customHeight="1">
      <c r="A49" s="16">
        <v>359.0</v>
      </c>
      <c r="B49" s="10" t="s">
        <v>263</v>
      </c>
      <c r="C49" s="11"/>
      <c r="D49" s="17">
        <v>1.0</v>
      </c>
      <c r="E49" s="10" t="s">
        <v>15</v>
      </c>
      <c r="F49" s="10" t="s">
        <v>264</v>
      </c>
      <c r="G49" s="10" t="s">
        <v>265</v>
      </c>
      <c r="H49" s="10" t="s">
        <v>15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5"/>
    </row>
    <row r="50" ht="22.5" customHeight="1">
      <c r="A50" s="16">
        <v>663.0</v>
      </c>
      <c r="B50" s="10" t="s">
        <v>266</v>
      </c>
      <c r="C50" s="10" t="s">
        <v>137</v>
      </c>
      <c r="D50" s="17">
        <v>1.0</v>
      </c>
      <c r="E50" s="10" t="s">
        <v>147</v>
      </c>
      <c r="F50" s="10" t="s">
        <v>267</v>
      </c>
      <c r="G50" s="10" t="s">
        <v>268</v>
      </c>
      <c r="H50" s="10" t="s">
        <v>122</v>
      </c>
      <c r="I50" s="12"/>
      <c r="J50" s="12"/>
      <c r="K50" s="12"/>
      <c r="L50" s="12"/>
      <c r="M50" s="12"/>
      <c r="N50" s="12"/>
      <c r="O50" s="13">
        <v>0.05</v>
      </c>
      <c r="P50" s="12"/>
      <c r="Q50" s="14">
        <v>0.13</v>
      </c>
      <c r="R50" s="14">
        <v>0.06</v>
      </c>
      <c r="S50" s="14">
        <v>0.05</v>
      </c>
      <c r="T50" s="14">
        <v>0.01</v>
      </c>
      <c r="U50" s="12"/>
      <c r="V50" s="14">
        <v>0.005</v>
      </c>
      <c r="W50" s="12"/>
      <c r="X50" s="12"/>
      <c r="Y50" s="12"/>
      <c r="Z50" s="12"/>
      <c r="AA50" s="14">
        <v>0.025</v>
      </c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5"/>
    </row>
    <row r="51" ht="22.5" customHeight="1">
      <c r="A51" s="16">
        <v>157.0</v>
      </c>
      <c r="B51" s="10" t="s">
        <v>269</v>
      </c>
      <c r="C51" s="10" t="s">
        <v>137</v>
      </c>
      <c r="D51" s="17">
        <v>1.0</v>
      </c>
      <c r="E51" s="10" t="s">
        <v>147</v>
      </c>
      <c r="F51" s="10" t="s">
        <v>270</v>
      </c>
      <c r="G51" s="10" t="s">
        <v>271</v>
      </c>
      <c r="H51" s="10" t="s">
        <v>15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5"/>
    </row>
    <row r="52" ht="22.5" customHeight="1">
      <c r="A52" s="16">
        <v>655.0</v>
      </c>
      <c r="B52" s="10" t="s">
        <v>272</v>
      </c>
      <c r="C52" s="10" t="s">
        <v>137</v>
      </c>
      <c r="D52" s="17">
        <v>1.0</v>
      </c>
      <c r="E52" s="10" t="s">
        <v>147</v>
      </c>
      <c r="F52" s="10" t="s">
        <v>273</v>
      </c>
      <c r="G52" s="10" t="s">
        <v>274</v>
      </c>
      <c r="H52" s="10" t="s">
        <v>15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5"/>
    </row>
    <row r="53" ht="22.5" customHeight="1">
      <c r="A53" s="16">
        <v>306.0</v>
      </c>
      <c r="B53" s="10" t="s">
        <v>275</v>
      </c>
      <c r="C53" s="10" t="s">
        <v>137</v>
      </c>
      <c r="D53" s="17">
        <v>1.0</v>
      </c>
      <c r="E53" s="11"/>
      <c r="F53" s="10" t="s">
        <v>276</v>
      </c>
      <c r="G53" s="10" t="s">
        <v>277</v>
      </c>
      <c r="H53" s="10" t="s">
        <v>15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5"/>
    </row>
    <row r="54" ht="22.5" customHeight="1">
      <c r="A54" s="16">
        <v>559.0</v>
      </c>
      <c r="B54" s="10" t="s">
        <v>278</v>
      </c>
      <c r="C54" s="10" t="s">
        <v>137</v>
      </c>
      <c r="D54" s="17">
        <v>1.0</v>
      </c>
      <c r="E54" s="10" t="s">
        <v>147</v>
      </c>
      <c r="F54" s="10" t="s">
        <v>279</v>
      </c>
      <c r="G54" s="10" t="s">
        <v>280</v>
      </c>
      <c r="H54" s="10" t="s">
        <v>15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5"/>
    </row>
    <row r="55" ht="22.5" customHeight="1">
      <c r="A55" s="16">
        <v>141.0</v>
      </c>
      <c r="B55" s="10" t="s">
        <v>281</v>
      </c>
      <c r="C55" s="10" t="s">
        <v>137</v>
      </c>
      <c r="D55" s="17">
        <v>1.0</v>
      </c>
      <c r="E55" s="10" t="s">
        <v>147</v>
      </c>
      <c r="F55" s="10" t="s">
        <v>282</v>
      </c>
      <c r="G55" s="10" t="s">
        <v>283</v>
      </c>
      <c r="H55" s="10" t="s">
        <v>122</v>
      </c>
      <c r="I55" s="12"/>
      <c r="J55" s="12"/>
      <c r="K55" s="12"/>
      <c r="L55" s="12"/>
      <c r="M55" s="12"/>
      <c r="N55" s="12"/>
      <c r="O55" s="12"/>
      <c r="P55" s="12"/>
      <c r="Q55" s="14">
        <v>0.264</v>
      </c>
      <c r="R55" s="14">
        <v>0.015</v>
      </c>
      <c r="S55" s="14">
        <v>0.108</v>
      </c>
      <c r="T55" s="12"/>
      <c r="U55" s="12"/>
      <c r="V55" s="12"/>
      <c r="W55" s="12"/>
      <c r="X55" s="12"/>
      <c r="Y55" s="12"/>
      <c r="Z55" s="14">
        <v>0.028</v>
      </c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5"/>
    </row>
    <row r="56" ht="22.5" customHeight="1">
      <c r="A56" s="16">
        <v>213.0</v>
      </c>
      <c r="B56" s="10" t="s">
        <v>284</v>
      </c>
      <c r="C56" s="10" t="s">
        <v>137</v>
      </c>
      <c r="D56" s="17">
        <v>1.0</v>
      </c>
      <c r="E56" s="10" t="s">
        <v>15</v>
      </c>
      <c r="F56" s="10" t="s">
        <v>285</v>
      </c>
      <c r="G56" s="10" t="s">
        <v>286</v>
      </c>
      <c r="H56" s="10" t="s">
        <v>15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5"/>
    </row>
    <row r="57" ht="22.5" customHeight="1">
      <c r="A57" s="16">
        <v>22.0</v>
      </c>
      <c r="B57" s="10" t="s">
        <v>287</v>
      </c>
      <c r="C57" s="10" t="s">
        <v>137</v>
      </c>
      <c r="D57" s="17">
        <v>1.0</v>
      </c>
      <c r="E57" s="11"/>
      <c r="F57" s="10" t="s">
        <v>288</v>
      </c>
      <c r="G57" s="10" t="s">
        <v>289</v>
      </c>
      <c r="H57" s="10" t="s">
        <v>15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5"/>
    </row>
    <row r="58" ht="22.5" customHeight="1">
      <c r="A58" s="16">
        <v>643.0</v>
      </c>
      <c r="B58" s="10" t="s">
        <v>290</v>
      </c>
      <c r="C58" s="10" t="s">
        <v>137</v>
      </c>
      <c r="D58" s="17">
        <v>1.0</v>
      </c>
      <c r="E58" s="10" t="s">
        <v>147</v>
      </c>
      <c r="F58" s="10" t="s">
        <v>291</v>
      </c>
      <c r="G58" s="10" t="s">
        <v>292</v>
      </c>
      <c r="H58" s="10" t="s">
        <v>122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4">
        <v>0.22</v>
      </c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5"/>
    </row>
    <row r="59" ht="22.5" customHeight="1">
      <c r="A59" s="16">
        <v>564.0</v>
      </c>
      <c r="B59" s="10" t="s">
        <v>293</v>
      </c>
      <c r="C59" s="10" t="s">
        <v>137</v>
      </c>
      <c r="D59" s="17">
        <v>1.0</v>
      </c>
      <c r="E59" s="11"/>
      <c r="F59" s="10" t="s">
        <v>294</v>
      </c>
      <c r="G59" s="10" t="s">
        <v>295</v>
      </c>
      <c r="H59" s="10" t="s">
        <v>122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4">
        <v>0.31</v>
      </c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5"/>
    </row>
    <row r="60" ht="22.5" customHeight="1">
      <c r="A60" s="16">
        <v>680.0</v>
      </c>
      <c r="B60" s="10" t="s">
        <v>296</v>
      </c>
      <c r="C60" s="10" t="s">
        <v>137</v>
      </c>
      <c r="D60" s="17">
        <v>1.0</v>
      </c>
      <c r="E60" s="10" t="s">
        <v>15</v>
      </c>
      <c r="F60" s="10" t="s">
        <v>297</v>
      </c>
      <c r="G60" s="10" t="s">
        <v>298</v>
      </c>
      <c r="H60" s="10" t="s">
        <v>15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5"/>
    </row>
    <row r="61" ht="22.5" customHeight="1">
      <c r="A61" s="16">
        <v>161.0</v>
      </c>
      <c r="B61" s="10" t="s">
        <v>299</v>
      </c>
      <c r="C61" s="10" t="s">
        <v>137</v>
      </c>
      <c r="D61" s="17">
        <v>1.0</v>
      </c>
      <c r="E61" s="10" t="s">
        <v>15</v>
      </c>
      <c r="F61" s="10" t="s">
        <v>300</v>
      </c>
      <c r="G61" s="10" t="s">
        <v>301</v>
      </c>
      <c r="H61" s="10" t="s">
        <v>122</v>
      </c>
      <c r="I61" s="12"/>
      <c r="J61" s="13">
        <v>0.04</v>
      </c>
      <c r="K61" s="12"/>
      <c r="L61" s="12"/>
      <c r="M61" s="12"/>
      <c r="N61" s="12"/>
      <c r="O61" s="13">
        <v>0.1</v>
      </c>
      <c r="P61" s="12"/>
      <c r="Q61" s="13">
        <v>0.13</v>
      </c>
      <c r="R61" s="13">
        <v>0.07</v>
      </c>
      <c r="S61" s="13">
        <v>0.07</v>
      </c>
      <c r="T61" s="13">
        <v>0.01</v>
      </c>
      <c r="U61" s="14">
        <v>0.005</v>
      </c>
      <c r="V61" s="12"/>
      <c r="W61" s="12"/>
      <c r="X61" s="12"/>
      <c r="Y61" s="12"/>
      <c r="Z61" s="12"/>
      <c r="AA61" s="14">
        <v>0.025</v>
      </c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5"/>
    </row>
    <row r="62" ht="22.5" customHeight="1">
      <c r="A62" s="16">
        <v>437.0</v>
      </c>
      <c r="B62" s="10" t="s">
        <v>302</v>
      </c>
      <c r="C62" s="10" t="s">
        <v>137</v>
      </c>
      <c r="D62" s="17">
        <v>1.0</v>
      </c>
      <c r="E62" s="10" t="s">
        <v>15</v>
      </c>
      <c r="F62" s="10" t="s">
        <v>303</v>
      </c>
      <c r="G62" s="10" t="s">
        <v>304</v>
      </c>
      <c r="H62" s="10" t="s">
        <v>122</v>
      </c>
      <c r="I62" s="12"/>
      <c r="J62" s="12"/>
      <c r="K62" s="12"/>
      <c r="L62" s="12"/>
      <c r="M62" s="12"/>
      <c r="N62" s="12"/>
      <c r="O62" s="13">
        <v>0.22</v>
      </c>
      <c r="P62" s="12"/>
      <c r="Q62" s="13">
        <v>0.42</v>
      </c>
      <c r="R62" s="12"/>
      <c r="S62" s="12"/>
      <c r="T62" s="12"/>
      <c r="U62" s="12"/>
      <c r="V62" s="12"/>
      <c r="W62" s="12"/>
      <c r="X62" s="12"/>
      <c r="Y62" s="12"/>
      <c r="Z62" s="13">
        <v>0.16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5"/>
    </row>
    <row r="63" ht="22.5" customHeight="1">
      <c r="A63" s="16">
        <v>501.0</v>
      </c>
      <c r="B63" s="10" t="s">
        <v>305</v>
      </c>
      <c r="C63" s="10" t="s">
        <v>195</v>
      </c>
      <c r="D63" s="17">
        <v>1.0</v>
      </c>
      <c r="E63" s="10" t="s">
        <v>15</v>
      </c>
      <c r="F63" s="10" t="s">
        <v>306</v>
      </c>
      <c r="G63" s="10" t="s">
        <v>307</v>
      </c>
      <c r="H63" s="10" t="s">
        <v>122</v>
      </c>
      <c r="I63" s="12"/>
      <c r="J63" s="12"/>
      <c r="K63" s="12"/>
      <c r="L63" s="12"/>
      <c r="M63" s="12"/>
      <c r="N63" s="12"/>
      <c r="O63" s="12"/>
      <c r="P63" s="12"/>
      <c r="Q63" s="13">
        <v>0.55</v>
      </c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5"/>
    </row>
    <row r="64" ht="22.5" customHeight="1">
      <c r="A64" s="16">
        <v>300.0</v>
      </c>
      <c r="B64" s="10" t="s">
        <v>308</v>
      </c>
      <c r="C64" s="10" t="s">
        <v>137</v>
      </c>
      <c r="D64" s="17">
        <v>1.0</v>
      </c>
      <c r="E64" s="10" t="s">
        <v>147</v>
      </c>
      <c r="F64" s="10" t="s">
        <v>309</v>
      </c>
      <c r="G64" s="10" t="s">
        <v>310</v>
      </c>
      <c r="H64" s="10" t="s">
        <v>122</v>
      </c>
      <c r="I64" s="13">
        <v>0.05</v>
      </c>
      <c r="J64" s="12"/>
      <c r="K64" s="12"/>
      <c r="L64" s="12"/>
      <c r="M64" s="12"/>
      <c r="N64" s="12"/>
      <c r="O64" s="12"/>
      <c r="P64" s="14">
        <v>0.2876</v>
      </c>
      <c r="Q64" s="14">
        <v>0.0284</v>
      </c>
      <c r="R64" s="12"/>
      <c r="S64" s="14">
        <v>0.0342</v>
      </c>
      <c r="T64" s="12"/>
      <c r="U64" s="12"/>
      <c r="V64" s="12"/>
      <c r="W64" s="12"/>
      <c r="X64" s="12"/>
      <c r="Y64" s="12"/>
      <c r="Z64" s="13">
        <v>0.01</v>
      </c>
      <c r="AA64" s="12"/>
      <c r="AB64" s="14">
        <v>0.0031</v>
      </c>
      <c r="AC64" s="12"/>
      <c r="AD64" s="12"/>
      <c r="AE64" s="12"/>
      <c r="AF64" s="12"/>
      <c r="AG64" s="12"/>
      <c r="AH64" s="12"/>
      <c r="AI64" s="12"/>
      <c r="AJ64" s="12"/>
      <c r="AK64" s="12"/>
      <c r="AL64" s="15"/>
    </row>
    <row r="65" ht="22.5" customHeight="1">
      <c r="A65" s="16">
        <v>144.0</v>
      </c>
      <c r="B65" s="10" t="s">
        <v>311</v>
      </c>
      <c r="C65" s="10" t="s">
        <v>312</v>
      </c>
      <c r="D65" s="17">
        <v>1.0</v>
      </c>
      <c r="E65" s="10" t="s">
        <v>147</v>
      </c>
      <c r="F65" s="10" t="s">
        <v>313</v>
      </c>
      <c r="G65" s="10" t="s">
        <v>314</v>
      </c>
      <c r="H65" s="10" t="s">
        <v>122</v>
      </c>
      <c r="I65" s="12"/>
      <c r="J65" s="12"/>
      <c r="K65" s="12"/>
      <c r="L65" s="12"/>
      <c r="M65" s="12"/>
      <c r="N65" s="12"/>
      <c r="O65" s="12"/>
      <c r="P65" s="13">
        <v>0.6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5"/>
    </row>
    <row r="66" ht="22.5" customHeight="1">
      <c r="A66" s="16">
        <v>144.0</v>
      </c>
      <c r="B66" s="10" t="s">
        <v>311</v>
      </c>
      <c r="C66" s="10" t="s">
        <v>240</v>
      </c>
      <c r="D66" s="17">
        <v>2.0</v>
      </c>
      <c r="E66" s="10" t="s">
        <v>147</v>
      </c>
      <c r="F66" s="10" t="s">
        <v>315</v>
      </c>
      <c r="G66" s="10" t="s">
        <v>316</v>
      </c>
      <c r="H66" s="10" t="s">
        <v>122</v>
      </c>
      <c r="I66" s="12"/>
      <c r="J66" s="12"/>
      <c r="K66" s="12"/>
      <c r="L66" s="12"/>
      <c r="M66" s="12"/>
      <c r="N66" s="12"/>
      <c r="O66" s="12"/>
      <c r="P66" s="13">
        <v>0.6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5"/>
    </row>
    <row r="67" ht="22.5" customHeight="1">
      <c r="A67" s="16">
        <v>144.0</v>
      </c>
      <c r="B67" s="10" t="s">
        <v>311</v>
      </c>
      <c r="C67" s="10" t="s">
        <v>251</v>
      </c>
      <c r="D67" s="17">
        <v>3.0</v>
      </c>
      <c r="E67" s="10" t="s">
        <v>147</v>
      </c>
      <c r="F67" s="10" t="s">
        <v>317</v>
      </c>
      <c r="G67" s="10" t="s">
        <v>318</v>
      </c>
      <c r="H67" s="10" t="s">
        <v>122</v>
      </c>
      <c r="I67" s="12"/>
      <c r="J67" s="12"/>
      <c r="K67" s="12"/>
      <c r="L67" s="12"/>
      <c r="M67" s="12"/>
      <c r="N67" s="12"/>
      <c r="O67" s="12"/>
      <c r="P67" s="13">
        <v>0.6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5"/>
    </row>
    <row r="68" ht="22.5" customHeight="1">
      <c r="A68" s="16">
        <v>143.0</v>
      </c>
      <c r="B68" s="10" t="s">
        <v>319</v>
      </c>
      <c r="C68" s="10" t="s">
        <v>245</v>
      </c>
      <c r="D68" s="17">
        <v>1.0</v>
      </c>
      <c r="E68" s="10" t="s">
        <v>15</v>
      </c>
      <c r="F68" s="10" t="s">
        <v>320</v>
      </c>
      <c r="G68" s="10" t="s">
        <v>321</v>
      </c>
      <c r="H68" s="10" t="s">
        <v>122</v>
      </c>
      <c r="I68" s="12"/>
      <c r="J68" s="12"/>
      <c r="K68" s="12"/>
      <c r="L68" s="12"/>
      <c r="M68" s="12"/>
      <c r="N68" s="12"/>
      <c r="O68" s="12"/>
      <c r="P68" s="13">
        <v>0.6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5"/>
    </row>
    <row r="69" ht="22.5" customHeight="1">
      <c r="A69" s="16">
        <v>74.0</v>
      </c>
      <c r="B69" s="10" t="s">
        <v>322</v>
      </c>
      <c r="C69" s="10" t="s">
        <v>323</v>
      </c>
      <c r="D69" s="17">
        <v>1.0</v>
      </c>
      <c r="E69" s="10" t="s">
        <v>15</v>
      </c>
      <c r="F69" s="10" t="s">
        <v>324</v>
      </c>
      <c r="G69" s="10" t="s">
        <v>325</v>
      </c>
      <c r="H69" s="10" t="s">
        <v>122</v>
      </c>
      <c r="I69" s="12"/>
      <c r="J69" s="12"/>
      <c r="K69" s="12"/>
      <c r="L69" s="12"/>
      <c r="M69" s="12"/>
      <c r="N69" s="12"/>
      <c r="O69" s="12"/>
      <c r="P69" s="12"/>
      <c r="Q69" s="12"/>
      <c r="R69" s="13">
        <v>0.25</v>
      </c>
      <c r="S69" s="13">
        <v>0.2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5"/>
    </row>
    <row r="70" ht="22.5" customHeight="1">
      <c r="A70" s="16">
        <v>75.0</v>
      </c>
      <c r="B70" s="10" t="s">
        <v>322</v>
      </c>
      <c r="C70" s="11"/>
      <c r="D70" s="17">
        <v>1.0</v>
      </c>
      <c r="E70" s="10" t="s">
        <v>147</v>
      </c>
      <c r="F70" s="10" t="s">
        <v>326</v>
      </c>
      <c r="G70" s="10" t="s">
        <v>327</v>
      </c>
      <c r="H70" s="10" t="s">
        <v>15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5"/>
    </row>
    <row r="71" ht="22.5" customHeight="1">
      <c r="A71" s="16">
        <v>152.0</v>
      </c>
      <c r="B71" s="10" t="s">
        <v>328</v>
      </c>
      <c r="C71" s="11"/>
      <c r="D71" s="17">
        <v>1.0</v>
      </c>
      <c r="E71" s="10" t="s">
        <v>15</v>
      </c>
      <c r="F71" s="10" t="s">
        <v>329</v>
      </c>
      <c r="G71" s="10" t="s">
        <v>330</v>
      </c>
      <c r="H71" s="10" t="s">
        <v>15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5"/>
    </row>
    <row r="72" ht="22.5" customHeight="1">
      <c r="A72" s="16">
        <v>154.0</v>
      </c>
      <c r="B72" s="10" t="s">
        <v>331</v>
      </c>
      <c r="C72" s="10" t="s">
        <v>137</v>
      </c>
      <c r="D72" s="17">
        <v>1.0</v>
      </c>
      <c r="E72" s="10" t="s">
        <v>147</v>
      </c>
      <c r="F72" s="10" t="s">
        <v>332</v>
      </c>
      <c r="G72" s="10" t="s">
        <v>333</v>
      </c>
      <c r="H72" s="10" t="s">
        <v>122</v>
      </c>
      <c r="I72" s="12"/>
      <c r="J72" s="12"/>
      <c r="K72" s="12"/>
      <c r="L72" s="12"/>
      <c r="M72" s="12"/>
      <c r="N72" s="12"/>
      <c r="O72" s="12"/>
      <c r="P72" s="13">
        <v>0.03</v>
      </c>
      <c r="Q72" s="14">
        <v>0.045</v>
      </c>
      <c r="R72" s="13">
        <v>0.27</v>
      </c>
      <c r="S72" s="14">
        <v>0.055</v>
      </c>
      <c r="T72" s="12"/>
      <c r="U72" s="12"/>
      <c r="V72" s="12"/>
      <c r="W72" s="12"/>
      <c r="X72" s="12"/>
      <c r="Y72" s="12"/>
      <c r="Z72" s="13">
        <v>0.13</v>
      </c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5"/>
    </row>
    <row r="73" ht="22.5" customHeight="1">
      <c r="A73" s="16">
        <v>72.0</v>
      </c>
      <c r="B73" s="10" t="s">
        <v>334</v>
      </c>
      <c r="C73" s="10" t="s">
        <v>240</v>
      </c>
      <c r="D73" s="17">
        <v>1.0</v>
      </c>
      <c r="E73" s="10" t="s">
        <v>147</v>
      </c>
      <c r="F73" s="10" t="s">
        <v>335</v>
      </c>
      <c r="G73" s="10" t="s">
        <v>336</v>
      </c>
      <c r="H73" s="10" t="s">
        <v>122</v>
      </c>
      <c r="I73" s="12"/>
      <c r="J73" s="13">
        <v>0.11</v>
      </c>
      <c r="K73" s="13">
        <v>0.11</v>
      </c>
      <c r="L73" s="12"/>
      <c r="M73" s="12"/>
      <c r="N73" s="12"/>
      <c r="O73" s="13">
        <v>0.52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5"/>
    </row>
    <row r="74" ht="22.5" customHeight="1">
      <c r="A74" s="16">
        <v>72.0</v>
      </c>
      <c r="B74" s="10" t="s">
        <v>334</v>
      </c>
      <c r="C74" s="10" t="s">
        <v>248</v>
      </c>
      <c r="D74" s="17">
        <v>2.0</v>
      </c>
      <c r="E74" s="10" t="s">
        <v>147</v>
      </c>
      <c r="F74" s="10" t="s">
        <v>337</v>
      </c>
      <c r="G74" s="10" t="s">
        <v>338</v>
      </c>
      <c r="H74" s="10" t="s">
        <v>122</v>
      </c>
      <c r="I74" s="12"/>
      <c r="J74" s="13">
        <v>0.11</v>
      </c>
      <c r="K74" s="13">
        <v>0.11</v>
      </c>
      <c r="L74" s="12"/>
      <c r="M74" s="12"/>
      <c r="N74" s="12"/>
      <c r="O74" s="13">
        <v>0.52</v>
      </c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5"/>
    </row>
    <row r="75" ht="22.5" customHeight="1">
      <c r="A75" s="16">
        <v>72.0</v>
      </c>
      <c r="B75" s="10" t="s">
        <v>334</v>
      </c>
      <c r="C75" s="10" t="s">
        <v>339</v>
      </c>
      <c r="D75" s="17">
        <v>3.0</v>
      </c>
      <c r="E75" s="10" t="s">
        <v>147</v>
      </c>
      <c r="F75" s="10" t="s">
        <v>340</v>
      </c>
      <c r="G75" s="10" t="s">
        <v>341</v>
      </c>
      <c r="H75" s="10" t="s">
        <v>122</v>
      </c>
      <c r="I75" s="12"/>
      <c r="J75" s="13">
        <v>0.1</v>
      </c>
      <c r="K75" s="13">
        <v>0.1</v>
      </c>
      <c r="L75" s="12"/>
      <c r="M75" s="12"/>
      <c r="N75" s="12"/>
      <c r="O75" s="13">
        <v>0.5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5"/>
    </row>
    <row r="76" ht="22.5" customHeight="1">
      <c r="A76" s="16">
        <v>72.0</v>
      </c>
      <c r="B76" s="10" t="s">
        <v>334</v>
      </c>
      <c r="C76" s="10" t="s">
        <v>254</v>
      </c>
      <c r="D76" s="17">
        <v>4.0</v>
      </c>
      <c r="E76" s="10" t="s">
        <v>147</v>
      </c>
      <c r="F76" s="10" t="s">
        <v>342</v>
      </c>
      <c r="G76" s="10" t="s">
        <v>343</v>
      </c>
      <c r="H76" s="10" t="s">
        <v>122</v>
      </c>
      <c r="I76" s="12"/>
      <c r="J76" s="13">
        <v>0.11</v>
      </c>
      <c r="K76" s="13">
        <v>0.11</v>
      </c>
      <c r="L76" s="12"/>
      <c r="M76" s="12"/>
      <c r="N76" s="12"/>
      <c r="O76" s="13">
        <v>0.52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5"/>
    </row>
    <row r="77" ht="22.5" customHeight="1">
      <c r="A77" s="16">
        <v>72.0</v>
      </c>
      <c r="B77" s="10" t="s">
        <v>334</v>
      </c>
      <c r="C77" s="10" t="s">
        <v>251</v>
      </c>
      <c r="D77" s="17">
        <v>5.0</v>
      </c>
      <c r="E77" s="10" t="s">
        <v>147</v>
      </c>
      <c r="F77" s="10" t="s">
        <v>344</v>
      </c>
      <c r="G77" s="10" t="s">
        <v>345</v>
      </c>
      <c r="H77" s="10" t="s">
        <v>122</v>
      </c>
      <c r="I77" s="12"/>
      <c r="J77" s="13">
        <v>0.11</v>
      </c>
      <c r="K77" s="13">
        <v>0.11</v>
      </c>
      <c r="L77" s="12"/>
      <c r="M77" s="12"/>
      <c r="N77" s="12"/>
      <c r="O77" s="13">
        <v>0.52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5"/>
    </row>
    <row r="78" ht="22.5" customHeight="1">
      <c r="A78" s="16">
        <v>193.0</v>
      </c>
      <c r="B78" s="10" t="s">
        <v>346</v>
      </c>
      <c r="C78" s="10" t="s">
        <v>339</v>
      </c>
      <c r="D78" s="17">
        <v>1.0</v>
      </c>
      <c r="E78" s="10" t="s">
        <v>15</v>
      </c>
      <c r="F78" s="10" t="s">
        <v>347</v>
      </c>
      <c r="G78" s="10" t="s">
        <v>348</v>
      </c>
      <c r="H78" s="10" t="s">
        <v>122</v>
      </c>
      <c r="I78" s="12"/>
      <c r="J78" s="13">
        <v>0.12</v>
      </c>
      <c r="K78" s="13">
        <v>0.12</v>
      </c>
      <c r="L78" s="12"/>
      <c r="M78" s="12"/>
      <c r="N78" s="12"/>
      <c r="O78" s="13">
        <v>0.52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5"/>
    </row>
    <row r="79" ht="22.5" customHeight="1">
      <c r="A79" s="16">
        <v>193.0</v>
      </c>
      <c r="B79" s="10" t="s">
        <v>346</v>
      </c>
      <c r="C79" s="10" t="s">
        <v>312</v>
      </c>
      <c r="D79" s="17">
        <v>2.0</v>
      </c>
      <c r="E79" s="10" t="s">
        <v>15</v>
      </c>
      <c r="F79" s="10" t="s">
        <v>349</v>
      </c>
      <c r="G79" s="10" t="s">
        <v>350</v>
      </c>
      <c r="H79" s="10" t="s">
        <v>122</v>
      </c>
      <c r="I79" s="12"/>
      <c r="J79" s="13">
        <v>0.12</v>
      </c>
      <c r="K79" s="13">
        <v>0.12</v>
      </c>
      <c r="L79" s="12"/>
      <c r="M79" s="12"/>
      <c r="N79" s="12"/>
      <c r="O79" s="13">
        <v>0.61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5"/>
    </row>
    <row r="80" ht="22.5" customHeight="1">
      <c r="A80" s="16">
        <v>411.0</v>
      </c>
      <c r="B80" s="10" t="s">
        <v>351</v>
      </c>
      <c r="C80" s="10" t="s">
        <v>137</v>
      </c>
      <c r="D80" s="17">
        <v>1.0</v>
      </c>
      <c r="E80" s="10" t="s">
        <v>147</v>
      </c>
      <c r="F80" s="10" t="s">
        <v>352</v>
      </c>
      <c r="G80" s="10" t="s">
        <v>353</v>
      </c>
      <c r="H80" s="10" t="s">
        <v>122</v>
      </c>
      <c r="I80" s="12"/>
      <c r="J80" s="13">
        <v>0.0</v>
      </c>
      <c r="K80" s="12"/>
      <c r="L80" s="12"/>
      <c r="M80" s="12"/>
      <c r="N80" s="12"/>
      <c r="O80" s="13">
        <v>0.15</v>
      </c>
      <c r="P80" s="13">
        <v>0.15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5"/>
    </row>
    <row r="81" ht="22.5" customHeight="1">
      <c r="A81" s="16">
        <v>137.0</v>
      </c>
      <c r="B81" s="10" t="s">
        <v>354</v>
      </c>
      <c r="C81" s="10" t="s">
        <v>137</v>
      </c>
      <c r="D81" s="17">
        <v>1.0</v>
      </c>
      <c r="E81" s="10" t="s">
        <v>147</v>
      </c>
      <c r="F81" s="10" t="s">
        <v>355</v>
      </c>
      <c r="G81" s="10" t="s">
        <v>356</v>
      </c>
      <c r="H81" s="10" t="s">
        <v>122</v>
      </c>
      <c r="I81" s="12"/>
      <c r="J81" s="13">
        <v>0.1</v>
      </c>
      <c r="K81" s="12"/>
      <c r="L81" s="12"/>
      <c r="M81" s="12"/>
      <c r="N81" s="12"/>
      <c r="O81" s="13">
        <v>0.2</v>
      </c>
      <c r="P81" s="13">
        <v>0.2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5"/>
    </row>
    <row r="82" ht="22.5" customHeight="1">
      <c r="A82" s="16">
        <v>86.0</v>
      </c>
      <c r="B82" s="10" t="s">
        <v>357</v>
      </c>
      <c r="C82" s="10" t="s">
        <v>137</v>
      </c>
      <c r="D82" s="17">
        <v>1.0</v>
      </c>
      <c r="E82" s="10" t="s">
        <v>147</v>
      </c>
      <c r="F82" s="10" t="s">
        <v>358</v>
      </c>
      <c r="G82" s="10" t="s">
        <v>359</v>
      </c>
      <c r="H82" s="10" t="s">
        <v>122</v>
      </c>
      <c r="I82" s="12"/>
      <c r="J82" s="13">
        <v>0.1</v>
      </c>
      <c r="K82" s="12"/>
      <c r="L82" s="12"/>
      <c r="M82" s="12"/>
      <c r="N82" s="12"/>
      <c r="O82" s="13">
        <v>0.3</v>
      </c>
      <c r="P82" s="13">
        <v>0.1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5"/>
    </row>
    <row r="83" ht="22.5" customHeight="1">
      <c r="A83" s="16">
        <v>407.0</v>
      </c>
      <c r="B83" s="10" t="s">
        <v>360</v>
      </c>
      <c r="C83" s="10" t="s">
        <v>137</v>
      </c>
      <c r="D83" s="17">
        <v>1.0</v>
      </c>
      <c r="E83" s="10" t="s">
        <v>147</v>
      </c>
      <c r="F83" s="10" t="s">
        <v>361</v>
      </c>
      <c r="G83" s="10" t="s">
        <v>362</v>
      </c>
      <c r="H83" s="10" t="s">
        <v>122</v>
      </c>
      <c r="I83" s="12"/>
      <c r="J83" s="13">
        <v>0.1</v>
      </c>
      <c r="K83" s="12"/>
      <c r="L83" s="12"/>
      <c r="M83" s="12"/>
      <c r="N83" s="12"/>
      <c r="O83" s="13">
        <v>0.1</v>
      </c>
      <c r="P83" s="13">
        <v>0.2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5"/>
    </row>
    <row r="84" ht="22.5" customHeight="1">
      <c r="A84" s="16">
        <v>396.0</v>
      </c>
      <c r="B84" s="10" t="s">
        <v>363</v>
      </c>
      <c r="C84" s="10" t="s">
        <v>137</v>
      </c>
      <c r="D84" s="17">
        <v>1.0</v>
      </c>
      <c r="E84" s="10" t="s">
        <v>147</v>
      </c>
      <c r="F84" s="10" t="s">
        <v>364</v>
      </c>
      <c r="G84" s="10" t="s">
        <v>365</v>
      </c>
      <c r="H84" s="10" t="s">
        <v>122</v>
      </c>
      <c r="I84" s="12"/>
      <c r="J84" s="13">
        <v>0.1</v>
      </c>
      <c r="K84" s="12"/>
      <c r="L84" s="12"/>
      <c r="M84" s="12"/>
      <c r="N84" s="12"/>
      <c r="O84" s="13">
        <v>0.15</v>
      </c>
      <c r="P84" s="13">
        <v>0.2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5"/>
    </row>
    <row r="85" ht="22.5" customHeight="1">
      <c r="A85" s="16">
        <v>495.0</v>
      </c>
      <c r="B85" s="10" t="s">
        <v>366</v>
      </c>
      <c r="C85" s="10" t="s">
        <v>137</v>
      </c>
      <c r="D85" s="17">
        <v>1.0</v>
      </c>
      <c r="E85" s="10" t="s">
        <v>147</v>
      </c>
      <c r="F85" s="10" t="s">
        <v>367</v>
      </c>
      <c r="G85" s="10" t="s">
        <v>368</v>
      </c>
      <c r="H85" s="10" t="s">
        <v>122</v>
      </c>
      <c r="I85" s="12"/>
      <c r="J85" s="13">
        <v>0.1</v>
      </c>
      <c r="K85" s="12"/>
      <c r="L85" s="12"/>
      <c r="M85" s="12"/>
      <c r="N85" s="12"/>
      <c r="O85" s="13">
        <v>0.15</v>
      </c>
      <c r="P85" s="13">
        <v>0.29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5"/>
    </row>
    <row r="86" ht="22.5" customHeight="1">
      <c r="A86" s="16">
        <v>408.0</v>
      </c>
      <c r="B86" s="10" t="s">
        <v>369</v>
      </c>
      <c r="C86" s="10" t="s">
        <v>137</v>
      </c>
      <c r="D86" s="17">
        <v>1.0</v>
      </c>
      <c r="E86" s="10" t="s">
        <v>147</v>
      </c>
      <c r="F86" s="10" t="s">
        <v>370</v>
      </c>
      <c r="G86" s="10" t="s">
        <v>371</v>
      </c>
      <c r="H86" s="10" t="s">
        <v>122</v>
      </c>
      <c r="I86" s="12"/>
      <c r="J86" s="13">
        <v>0.1</v>
      </c>
      <c r="K86" s="12"/>
      <c r="L86" s="12"/>
      <c r="M86" s="12"/>
      <c r="N86" s="12"/>
      <c r="O86" s="13">
        <v>0.2</v>
      </c>
      <c r="P86" s="13">
        <v>0.2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5"/>
    </row>
    <row r="87" ht="22.5" customHeight="1">
      <c r="A87" s="16">
        <v>464.0</v>
      </c>
      <c r="B87" s="10" t="s">
        <v>372</v>
      </c>
      <c r="C87" s="10" t="s">
        <v>137</v>
      </c>
      <c r="D87" s="17">
        <v>1.0</v>
      </c>
      <c r="E87" s="10" t="s">
        <v>147</v>
      </c>
      <c r="F87" s="10" t="s">
        <v>373</v>
      </c>
      <c r="G87" s="10" t="s">
        <v>374</v>
      </c>
      <c r="H87" s="10" t="s">
        <v>122</v>
      </c>
      <c r="I87" s="12"/>
      <c r="J87" s="13">
        <v>0.1</v>
      </c>
      <c r="K87" s="12"/>
      <c r="L87" s="12"/>
      <c r="M87" s="12"/>
      <c r="N87" s="12"/>
      <c r="O87" s="13">
        <v>0.2</v>
      </c>
      <c r="P87" s="13">
        <v>0.28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5"/>
    </row>
    <row r="88" ht="22.5" customHeight="1">
      <c r="A88" s="16">
        <v>423.0</v>
      </c>
      <c r="B88" s="10" t="s">
        <v>375</v>
      </c>
      <c r="C88" s="10" t="s">
        <v>137</v>
      </c>
      <c r="D88" s="17">
        <v>1.0</v>
      </c>
      <c r="E88" s="10" t="s">
        <v>147</v>
      </c>
      <c r="F88" s="10" t="s">
        <v>376</v>
      </c>
      <c r="G88" s="10" t="s">
        <v>377</v>
      </c>
      <c r="H88" s="10" t="s">
        <v>122</v>
      </c>
      <c r="I88" s="12"/>
      <c r="J88" s="13">
        <v>0.1</v>
      </c>
      <c r="K88" s="12"/>
      <c r="L88" s="12"/>
      <c r="M88" s="12"/>
      <c r="N88" s="12"/>
      <c r="O88" s="13">
        <v>0.2</v>
      </c>
      <c r="P88" s="13">
        <v>0.3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5"/>
    </row>
    <row r="89" ht="22.5" customHeight="1">
      <c r="A89" s="16">
        <v>406.0</v>
      </c>
      <c r="B89" s="10" t="s">
        <v>378</v>
      </c>
      <c r="C89" s="10" t="s">
        <v>137</v>
      </c>
      <c r="D89" s="17">
        <v>1.0</v>
      </c>
      <c r="E89" s="10" t="s">
        <v>147</v>
      </c>
      <c r="F89" s="10" t="s">
        <v>379</v>
      </c>
      <c r="G89" s="10" t="s">
        <v>380</v>
      </c>
      <c r="H89" s="10" t="s">
        <v>122</v>
      </c>
      <c r="I89" s="12"/>
      <c r="J89" s="13">
        <v>0.1</v>
      </c>
      <c r="K89" s="12"/>
      <c r="L89" s="12"/>
      <c r="M89" s="12"/>
      <c r="N89" s="12"/>
      <c r="O89" s="13">
        <v>0.24</v>
      </c>
      <c r="P89" s="13">
        <v>0.04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5"/>
    </row>
    <row r="90" ht="22.5" customHeight="1">
      <c r="A90" s="16">
        <v>387.0</v>
      </c>
      <c r="B90" s="10" t="s">
        <v>381</v>
      </c>
      <c r="C90" s="10" t="s">
        <v>137</v>
      </c>
      <c r="D90" s="17">
        <v>1.0</v>
      </c>
      <c r="E90" s="10" t="s">
        <v>147</v>
      </c>
      <c r="F90" s="10" t="s">
        <v>382</v>
      </c>
      <c r="G90" s="10" t="s">
        <v>383</v>
      </c>
      <c r="H90" s="10" t="s">
        <v>122</v>
      </c>
      <c r="I90" s="12"/>
      <c r="J90" s="13">
        <v>0.1</v>
      </c>
      <c r="K90" s="12"/>
      <c r="L90" s="12"/>
      <c r="M90" s="12"/>
      <c r="N90" s="12"/>
      <c r="O90" s="13">
        <v>0.28</v>
      </c>
      <c r="P90" s="13">
        <v>0.06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5"/>
    </row>
    <row r="91" ht="22.5" customHeight="1">
      <c r="A91" s="16">
        <v>390.0</v>
      </c>
      <c r="B91" s="10" t="s">
        <v>384</v>
      </c>
      <c r="C91" s="10" t="s">
        <v>137</v>
      </c>
      <c r="D91" s="17">
        <v>1.0</v>
      </c>
      <c r="E91" s="10" t="s">
        <v>147</v>
      </c>
      <c r="F91" s="10" t="s">
        <v>385</v>
      </c>
      <c r="G91" s="10" t="s">
        <v>386</v>
      </c>
      <c r="H91" s="10" t="s">
        <v>122</v>
      </c>
      <c r="I91" s="12"/>
      <c r="J91" s="13">
        <v>0.1</v>
      </c>
      <c r="K91" s="12"/>
      <c r="L91" s="12"/>
      <c r="M91" s="12"/>
      <c r="N91" s="12"/>
      <c r="O91" s="13">
        <v>0.06</v>
      </c>
      <c r="P91" s="13">
        <v>0.04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5"/>
    </row>
    <row r="92" ht="22.5" customHeight="1">
      <c r="A92" s="16">
        <v>670.0</v>
      </c>
      <c r="B92" s="10" t="s">
        <v>387</v>
      </c>
      <c r="C92" s="10" t="s">
        <v>137</v>
      </c>
      <c r="D92" s="17">
        <v>1.0</v>
      </c>
      <c r="E92" s="10" t="s">
        <v>147</v>
      </c>
      <c r="F92" s="10" t="s">
        <v>388</v>
      </c>
      <c r="G92" s="10" t="s">
        <v>389</v>
      </c>
      <c r="H92" s="10" t="s">
        <v>122</v>
      </c>
      <c r="I92" s="12"/>
      <c r="J92" s="13">
        <v>0.1</v>
      </c>
      <c r="K92" s="12"/>
      <c r="L92" s="12"/>
      <c r="M92" s="12"/>
      <c r="N92" s="12"/>
      <c r="O92" s="13">
        <v>0.09</v>
      </c>
      <c r="P92" s="13">
        <v>0.3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5"/>
    </row>
    <row r="93" ht="22.5" customHeight="1">
      <c r="A93" s="16">
        <v>458.0</v>
      </c>
      <c r="B93" s="10" t="s">
        <v>390</v>
      </c>
      <c r="C93" s="10" t="s">
        <v>137</v>
      </c>
      <c r="D93" s="17">
        <v>1.0</v>
      </c>
      <c r="E93" s="10" t="s">
        <v>147</v>
      </c>
      <c r="F93" s="10" t="s">
        <v>391</v>
      </c>
      <c r="G93" s="10" t="s">
        <v>392</v>
      </c>
      <c r="H93" s="10" t="s">
        <v>122</v>
      </c>
      <c r="I93" s="12"/>
      <c r="J93" s="13">
        <v>0.1</v>
      </c>
      <c r="K93" s="12"/>
      <c r="L93" s="12"/>
      <c r="M93" s="12"/>
      <c r="N93" s="12"/>
      <c r="O93" s="13">
        <v>0.09</v>
      </c>
      <c r="P93" s="13">
        <v>0.3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5"/>
    </row>
    <row r="94" ht="22.5" customHeight="1">
      <c r="A94" s="16">
        <v>388.0</v>
      </c>
      <c r="B94" s="10" t="s">
        <v>393</v>
      </c>
      <c r="C94" s="10" t="s">
        <v>137</v>
      </c>
      <c r="D94" s="17">
        <v>1.0</v>
      </c>
      <c r="E94" s="10" t="s">
        <v>147</v>
      </c>
      <c r="F94" s="10" t="s">
        <v>394</v>
      </c>
      <c r="G94" s="10" t="s">
        <v>395</v>
      </c>
      <c r="H94" s="10" t="s">
        <v>122</v>
      </c>
      <c r="I94" s="12"/>
      <c r="J94" s="13">
        <v>0.11</v>
      </c>
      <c r="K94" s="12"/>
      <c r="L94" s="12"/>
      <c r="M94" s="12"/>
      <c r="N94" s="12"/>
      <c r="O94" s="13">
        <v>0.05</v>
      </c>
      <c r="P94" s="13">
        <v>0.27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5"/>
    </row>
    <row r="95" ht="22.5" customHeight="1">
      <c r="A95" s="16">
        <v>543.0</v>
      </c>
      <c r="B95" s="10" t="s">
        <v>396</v>
      </c>
      <c r="C95" s="10" t="s">
        <v>137</v>
      </c>
      <c r="D95" s="17">
        <v>1.0</v>
      </c>
      <c r="E95" s="10" t="s">
        <v>147</v>
      </c>
      <c r="F95" s="10" t="s">
        <v>397</v>
      </c>
      <c r="G95" s="10" t="s">
        <v>398</v>
      </c>
      <c r="H95" s="10" t="s">
        <v>122</v>
      </c>
      <c r="I95" s="12"/>
      <c r="J95" s="13">
        <v>0.11</v>
      </c>
      <c r="K95" s="12"/>
      <c r="L95" s="12"/>
      <c r="M95" s="12"/>
      <c r="N95" s="12"/>
      <c r="O95" s="13">
        <v>0.29</v>
      </c>
      <c r="P95" s="13">
        <v>0.12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5"/>
    </row>
    <row r="96" ht="22.5" customHeight="1">
      <c r="A96" s="16">
        <v>268.0</v>
      </c>
      <c r="B96" s="10" t="s">
        <v>399</v>
      </c>
      <c r="C96" s="10" t="s">
        <v>137</v>
      </c>
      <c r="D96" s="17">
        <v>1.0</v>
      </c>
      <c r="E96" s="10" t="s">
        <v>147</v>
      </c>
      <c r="F96" s="10" t="s">
        <v>400</v>
      </c>
      <c r="G96" s="10" t="s">
        <v>401</v>
      </c>
      <c r="H96" s="10" t="s">
        <v>122</v>
      </c>
      <c r="I96" s="12"/>
      <c r="J96" s="13">
        <v>0.12</v>
      </c>
      <c r="K96" s="12"/>
      <c r="L96" s="12"/>
      <c r="M96" s="12"/>
      <c r="N96" s="12"/>
      <c r="O96" s="13">
        <v>0.24</v>
      </c>
      <c r="P96" s="13">
        <v>0.12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5"/>
    </row>
    <row r="97" ht="22.5" customHeight="1">
      <c r="A97" s="16">
        <v>317.0</v>
      </c>
      <c r="B97" s="10" t="s">
        <v>402</v>
      </c>
      <c r="C97" s="10" t="s">
        <v>137</v>
      </c>
      <c r="D97" s="17">
        <v>1.0</v>
      </c>
      <c r="E97" s="10" t="s">
        <v>147</v>
      </c>
      <c r="F97" s="10" t="s">
        <v>403</v>
      </c>
      <c r="G97" s="10" t="s">
        <v>404</v>
      </c>
      <c r="H97" s="10" t="s">
        <v>122</v>
      </c>
      <c r="I97" s="12"/>
      <c r="J97" s="13">
        <v>0.12</v>
      </c>
      <c r="K97" s="12"/>
      <c r="L97" s="12"/>
      <c r="M97" s="12"/>
      <c r="N97" s="12"/>
      <c r="O97" s="13">
        <v>0.24</v>
      </c>
      <c r="P97" s="13">
        <v>0.12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5"/>
    </row>
    <row r="98" ht="22.5" customHeight="1">
      <c r="A98" s="16">
        <v>318.0</v>
      </c>
      <c r="B98" s="10" t="s">
        <v>405</v>
      </c>
      <c r="C98" s="10" t="s">
        <v>137</v>
      </c>
      <c r="D98" s="17">
        <v>1.0</v>
      </c>
      <c r="E98" s="10" t="s">
        <v>147</v>
      </c>
      <c r="F98" s="10" t="s">
        <v>406</v>
      </c>
      <c r="G98" s="10" t="s">
        <v>407</v>
      </c>
      <c r="H98" s="10" t="s">
        <v>122</v>
      </c>
      <c r="I98" s="12"/>
      <c r="J98" s="13">
        <v>0.12</v>
      </c>
      <c r="K98" s="12"/>
      <c r="L98" s="12"/>
      <c r="M98" s="12"/>
      <c r="N98" s="12"/>
      <c r="O98" s="13">
        <v>0.07</v>
      </c>
      <c r="P98" s="13">
        <v>0.12</v>
      </c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5"/>
    </row>
    <row r="99" ht="22.5" customHeight="1">
      <c r="A99" s="16">
        <v>496.0</v>
      </c>
      <c r="B99" s="10" t="s">
        <v>408</v>
      </c>
      <c r="C99" s="10" t="s">
        <v>137</v>
      </c>
      <c r="D99" s="17">
        <v>1.0</v>
      </c>
      <c r="E99" s="10" t="s">
        <v>147</v>
      </c>
      <c r="F99" s="10" t="s">
        <v>409</v>
      </c>
      <c r="G99" s="10" t="s">
        <v>410</v>
      </c>
      <c r="H99" s="10" t="s">
        <v>122</v>
      </c>
      <c r="I99" s="12"/>
      <c r="J99" s="13">
        <v>0.12</v>
      </c>
      <c r="K99" s="12"/>
      <c r="L99" s="12"/>
      <c r="M99" s="12"/>
      <c r="N99" s="12"/>
      <c r="O99" s="13">
        <v>0.3</v>
      </c>
      <c r="P99" s="13">
        <v>0.1</v>
      </c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5"/>
    </row>
    <row r="100" ht="22.5" customHeight="1">
      <c r="A100" s="16">
        <v>490.0</v>
      </c>
      <c r="B100" s="10" t="s">
        <v>411</v>
      </c>
      <c r="C100" s="10" t="s">
        <v>137</v>
      </c>
      <c r="D100" s="17">
        <v>1.0</v>
      </c>
      <c r="E100" s="10" t="s">
        <v>147</v>
      </c>
      <c r="F100" s="10" t="s">
        <v>412</v>
      </c>
      <c r="G100" s="10" t="s">
        <v>413</v>
      </c>
      <c r="H100" s="10" t="s">
        <v>122</v>
      </c>
      <c r="I100" s="12"/>
      <c r="J100" s="13">
        <v>0.13</v>
      </c>
      <c r="K100" s="12"/>
      <c r="L100" s="12"/>
      <c r="M100" s="12"/>
      <c r="N100" s="12"/>
      <c r="O100" s="13">
        <v>0.26</v>
      </c>
      <c r="P100" s="13">
        <v>0.1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5"/>
    </row>
    <row r="101" ht="22.5" customHeight="1">
      <c r="A101" s="16">
        <v>419.0</v>
      </c>
      <c r="B101" s="10" t="s">
        <v>414</v>
      </c>
      <c r="C101" s="10" t="s">
        <v>137</v>
      </c>
      <c r="D101" s="17">
        <v>1.0</v>
      </c>
      <c r="E101" s="10" t="s">
        <v>147</v>
      </c>
      <c r="F101" s="10" t="s">
        <v>415</v>
      </c>
      <c r="G101" s="10" t="s">
        <v>416</v>
      </c>
      <c r="H101" s="10" t="s">
        <v>122</v>
      </c>
      <c r="I101" s="12"/>
      <c r="J101" s="13">
        <v>0.13</v>
      </c>
      <c r="K101" s="12"/>
      <c r="L101" s="12"/>
      <c r="M101" s="12"/>
      <c r="N101" s="12"/>
      <c r="O101" s="13">
        <v>0.07</v>
      </c>
      <c r="P101" s="13">
        <v>0.12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5"/>
    </row>
    <row r="102" ht="22.5" customHeight="1">
      <c r="A102" s="16">
        <v>381.0</v>
      </c>
      <c r="B102" s="10" t="s">
        <v>417</v>
      </c>
      <c r="C102" s="10" t="s">
        <v>137</v>
      </c>
      <c r="D102" s="17">
        <v>1.0</v>
      </c>
      <c r="E102" s="10" t="s">
        <v>147</v>
      </c>
      <c r="F102" s="10" t="s">
        <v>418</v>
      </c>
      <c r="G102" s="10" t="s">
        <v>419</v>
      </c>
      <c r="H102" s="10" t="s">
        <v>122</v>
      </c>
      <c r="I102" s="12"/>
      <c r="J102" s="13">
        <v>0.14</v>
      </c>
      <c r="K102" s="12"/>
      <c r="L102" s="12"/>
      <c r="M102" s="12"/>
      <c r="N102" s="12"/>
      <c r="O102" s="13">
        <v>0.03</v>
      </c>
      <c r="P102" s="13">
        <v>0.19</v>
      </c>
      <c r="Q102" s="13">
        <v>0.07</v>
      </c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5"/>
    </row>
    <row r="103" ht="22.5" customHeight="1">
      <c r="A103" s="16">
        <v>433.0</v>
      </c>
      <c r="B103" s="10" t="s">
        <v>420</v>
      </c>
      <c r="C103" s="10" t="s">
        <v>137</v>
      </c>
      <c r="D103" s="17">
        <v>1.0</v>
      </c>
      <c r="E103" s="10" t="s">
        <v>147</v>
      </c>
      <c r="F103" s="10" t="s">
        <v>421</v>
      </c>
      <c r="G103" s="10" t="s">
        <v>422</v>
      </c>
      <c r="H103" s="10" t="s">
        <v>122</v>
      </c>
      <c r="I103" s="12"/>
      <c r="J103" s="13">
        <v>0.14</v>
      </c>
      <c r="K103" s="12"/>
      <c r="L103" s="12"/>
      <c r="M103" s="12"/>
      <c r="N103" s="12"/>
      <c r="O103" s="13">
        <v>0.04</v>
      </c>
      <c r="P103" s="13">
        <v>0.23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5"/>
    </row>
    <row r="104" ht="22.5" customHeight="1">
      <c r="A104" s="16">
        <v>516.0</v>
      </c>
      <c r="B104" s="10" t="s">
        <v>423</v>
      </c>
      <c r="C104" s="10" t="s">
        <v>137</v>
      </c>
      <c r="D104" s="17">
        <v>1.0</v>
      </c>
      <c r="E104" s="10" t="s">
        <v>147</v>
      </c>
      <c r="F104" s="10" t="s">
        <v>424</v>
      </c>
      <c r="G104" s="10" t="s">
        <v>425</v>
      </c>
      <c r="H104" s="10" t="s">
        <v>122</v>
      </c>
      <c r="I104" s="12"/>
      <c r="J104" s="13">
        <v>0.14</v>
      </c>
      <c r="K104" s="12"/>
      <c r="L104" s="12"/>
      <c r="M104" s="12"/>
      <c r="N104" s="12"/>
      <c r="O104" s="13">
        <v>0.04</v>
      </c>
      <c r="P104" s="13">
        <v>0.24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5"/>
    </row>
    <row r="105" ht="22.5" customHeight="1">
      <c r="A105" s="16">
        <v>85.0</v>
      </c>
      <c r="B105" s="10" t="s">
        <v>426</v>
      </c>
      <c r="C105" s="10" t="s">
        <v>137</v>
      </c>
      <c r="D105" s="17">
        <v>1.0</v>
      </c>
      <c r="E105" s="10" t="s">
        <v>147</v>
      </c>
      <c r="F105" s="10" t="s">
        <v>427</v>
      </c>
      <c r="G105" s="10" t="s">
        <v>428</v>
      </c>
      <c r="H105" s="10" t="s">
        <v>122</v>
      </c>
      <c r="I105" s="12"/>
      <c r="J105" s="13">
        <v>0.15</v>
      </c>
      <c r="K105" s="12"/>
      <c r="L105" s="12"/>
      <c r="M105" s="12"/>
      <c r="N105" s="12"/>
      <c r="O105" s="13">
        <v>0.15</v>
      </c>
      <c r="P105" s="13">
        <v>0.15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5"/>
    </row>
    <row r="106" ht="22.5" customHeight="1">
      <c r="A106" s="16">
        <v>462.0</v>
      </c>
      <c r="B106" s="10" t="s">
        <v>429</v>
      </c>
      <c r="C106" s="10" t="s">
        <v>137</v>
      </c>
      <c r="D106" s="17">
        <v>1.0</v>
      </c>
      <c r="E106" s="10" t="s">
        <v>147</v>
      </c>
      <c r="F106" s="10" t="s">
        <v>430</v>
      </c>
      <c r="G106" s="10" t="s">
        <v>431</v>
      </c>
      <c r="H106" s="10" t="s">
        <v>122</v>
      </c>
      <c r="I106" s="12"/>
      <c r="J106" s="13">
        <v>0.15</v>
      </c>
      <c r="K106" s="12"/>
      <c r="L106" s="12"/>
      <c r="M106" s="12"/>
      <c r="N106" s="12"/>
      <c r="O106" s="13">
        <v>0.04</v>
      </c>
      <c r="P106" s="13">
        <v>0.23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5"/>
    </row>
    <row r="107" ht="22.5" customHeight="1">
      <c r="A107" s="16">
        <v>426.0</v>
      </c>
      <c r="B107" s="10" t="s">
        <v>432</v>
      </c>
      <c r="C107" s="10" t="s">
        <v>137</v>
      </c>
      <c r="D107" s="17">
        <v>1.0</v>
      </c>
      <c r="E107" s="10" t="s">
        <v>147</v>
      </c>
      <c r="F107" s="10" t="s">
        <v>433</v>
      </c>
      <c r="G107" s="10" t="s">
        <v>434</v>
      </c>
      <c r="H107" s="10" t="s">
        <v>122</v>
      </c>
      <c r="I107" s="12"/>
      <c r="J107" s="13">
        <v>0.15</v>
      </c>
      <c r="K107" s="12"/>
      <c r="L107" s="12"/>
      <c r="M107" s="12"/>
      <c r="N107" s="12"/>
      <c r="O107" s="13">
        <v>0.06</v>
      </c>
      <c r="P107" s="13">
        <v>0.08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5"/>
    </row>
    <row r="108" ht="22.5" customHeight="1">
      <c r="A108" s="16">
        <v>612.0</v>
      </c>
      <c r="B108" s="10" t="s">
        <v>435</v>
      </c>
      <c r="C108" s="10" t="s">
        <v>137</v>
      </c>
      <c r="D108" s="17">
        <v>1.0</v>
      </c>
      <c r="E108" s="10" t="s">
        <v>147</v>
      </c>
      <c r="F108" s="10" t="s">
        <v>436</v>
      </c>
      <c r="G108" s="10" t="s">
        <v>437</v>
      </c>
      <c r="H108" s="10" t="s">
        <v>122</v>
      </c>
      <c r="I108" s="12"/>
      <c r="J108" s="13">
        <v>0.16</v>
      </c>
      <c r="K108" s="12"/>
      <c r="L108" s="12"/>
      <c r="M108" s="12"/>
      <c r="N108" s="12"/>
      <c r="O108" s="13">
        <v>0.23</v>
      </c>
      <c r="P108" s="13">
        <v>0.12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5"/>
    </row>
    <row r="109" ht="22.5" customHeight="1">
      <c r="A109" s="16">
        <v>517.0</v>
      </c>
      <c r="B109" s="10" t="s">
        <v>438</v>
      </c>
      <c r="C109" s="10" t="s">
        <v>137</v>
      </c>
      <c r="D109" s="17">
        <v>1.0</v>
      </c>
      <c r="E109" s="10" t="s">
        <v>147</v>
      </c>
      <c r="F109" s="10" t="s">
        <v>439</v>
      </c>
      <c r="G109" s="10" t="s">
        <v>440</v>
      </c>
      <c r="H109" s="10" t="s">
        <v>122</v>
      </c>
      <c r="I109" s="12"/>
      <c r="J109" s="13">
        <v>0.16</v>
      </c>
      <c r="K109" s="12"/>
      <c r="L109" s="12"/>
      <c r="M109" s="12"/>
      <c r="N109" s="12"/>
      <c r="O109" s="13">
        <v>0.16</v>
      </c>
      <c r="P109" s="13">
        <v>0.16</v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5"/>
    </row>
    <row r="110" ht="22.5" customHeight="1">
      <c r="A110" s="16">
        <v>441.0</v>
      </c>
      <c r="B110" s="10" t="s">
        <v>441</v>
      </c>
      <c r="C110" s="10" t="s">
        <v>137</v>
      </c>
      <c r="D110" s="17">
        <v>1.0</v>
      </c>
      <c r="E110" s="10" t="s">
        <v>147</v>
      </c>
      <c r="F110" s="10" t="s">
        <v>442</v>
      </c>
      <c r="G110" s="10" t="s">
        <v>443</v>
      </c>
      <c r="H110" s="10" t="s">
        <v>122</v>
      </c>
      <c r="I110" s="12"/>
      <c r="J110" s="13">
        <v>0.16</v>
      </c>
      <c r="K110" s="12"/>
      <c r="L110" s="12"/>
      <c r="M110" s="12"/>
      <c r="N110" s="12"/>
      <c r="O110" s="13">
        <v>0.17</v>
      </c>
      <c r="P110" s="13">
        <v>0.0</v>
      </c>
      <c r="Q110" s="13">
        <v>0.07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5"/>
    </row>
    <row r="111" ht="22.5" customHeight="1">
      <c r="A111" s="16">
        <v>405.0</v>
      </c>
      <c r="B111" s="10" t="s">
        <v>444</v>
      </c>
      <c r="C111" s="10" t="s">
        <v>137</v>
      </c>
      <c r="D111" s="17">
        <v>1.0</v>
      </c>
      <c r="E111" s="10" t="s">
        <v>147</v>
      </c>
      <c r="F111" s="10" t="s">
        <v>445</v>
      </c>
      <c r="G111" s="10" t="s">
        <v>446</v>
      </c>
      <c r="H111" s="10" t="s">
        <v>122</v>
      </c>
      <c r="I111" s="12"/>
      <c r="J111" s="13">
        <v>0.16</v>
      </c>
      <c r="K111" s="12"/>
      <c r="L111" s="12"/>
      <c r="M111" s="12"/>
      <c r="N111" s="12"/>
      <c r="O111" s="13">
        <v>0.03</v>
      </c>
      <c r="P111" s="13">
        <v>0.14</v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5"/>
    </row>
    <row r="112" ht="22.5" customHeight="1">
      <c r="A112" s="16">
        <v>84.0</v>
      </c>
      <c r="B112" s="10" t="s">
        <v>447</v>
      </c>
      <c r="C112" s="10" t="s">
        <v>137</v>
      </c>
      <c r="D112" s="17">
        <v>1.0</v>
      </c>
      <c r="E112" s="10" t="s">
        <v>147</v>
      </c>
      <c r="F112" s="10" t="s">
        <v>448</v>
      </c>
      <c r="G112" s="10" t="s">
        <v>449</v>
      </c>
      <c r="H112" s="10" t="s">
        <v>122</v>
      </c>
      <c r="I112" s="12"/>
      <c r="J112" s="13">
        <v>0.17</v>
      </c>
      <c r="K112" s="12"/>
      <c r="L112" s="12"/>
      <c r="M112" s="12"/>
      <c r="N112" s="12"/>
      <c r="O112" s="13">
        <v>0.06</v>
      </c>
      <c r="P112" s="13">
        <v>0.18</v>
      </c>
      <c r="Q112" s="13">
        <v>0.02</v>
      </c>
      <c r="R112" s="13">
        <v>0.01</v>
      </c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5"/>
    </row>
    <row r="113" ht="22.5" customHeight="1">
      <c r="A113" s="16">
        <v>402.0</v>
      </c>
      <c r="B113" s="10" t="s">
        <v>450</v>
      </c>
      <c r="C113" s="10" t="s">
        <v>137</v>
      </c>
      <c r="D113" s="17">
        <v>1.0</v>
      </c>
      <c r="E113" s="10" t="s">
        <v>147</v>
      </c>
      <c r="F113" s="10" t="s">
        <v>451</v>
      </c>
      <c r="G113" s="10" t="s">
        <v>452</v>
      </c>
      <c r="H113" s="10" t="s">
        <v>122</v>
      </c>
      <c r="I113" s="12"/>
      <c r="J113" s="13">
        <v>0.17</v>
      </c>
      <c r="K113" s="12"/>
      <c r="L113" s="12"/>
      <c r="M113" s="12"/>
      <c r="N113" s="12"/>
      <c r="O113" s="13">
        <v>0.06</v>
      </c>
      <c r="P113" s="13">
        <v>0.18</v>
      </c>
      <c r="Q113" s="13">
        <v>0.06</v>
      </c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5"/>
    </row>
    <row r="114" ht="22.5" customHeight="1">
      <c r="A114" s="16">
        <v>401.0</v>
      </c>
      <c r="B114" s="10" t="s">
        <v>453</v>
      </c>
      <c r="C114" s="10" t="s">
        <v>137</v>
      </c>
      <c r="D114" s="17">
        <v>1.0</v>
      </c>
      <c r="E114" s="10" t="s">
        <v>147</v>
      </c>
      <c r="F114" s="10" t="s">
        <v>454</v>
      </c>
      <c r="G114" s="10" t="s">
        <v>455</v>
      </c>
      <c r="H114" s="10" t="s">
        <v>122</v>
      </c>
      <c r="I114" s="12"/>
      <c r="J114" s="13">
        <v>0.17</v>
      </c>
      <c r="K114" s="12"/>
      <c r="L114" s="12"/>
      <c r="M114" s="12"/>
      <c r="N114" s="12"/>
      <c r="O114" s="13">
        <v>0.08</v>
      </c>
      <c r="P114" s="13">
        <v>0.11</v>
      </c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5"/>
    </row>
    <row r="115" ht="22.5" customHeight="1">
      <c r="A115" s="16">
        <v>478.0</v>
      </c>
      <c r="B115" s="10" t="s">
        <v>456</v>
      </c>
      <c r="C115" s="10" t="s">
        <v>137</v>
      </c>
      <c r="D115" s="17">
        <v>1.0</v>
      </c>
      <c r="E115" s="10" t="s">
        <v>147</v>
      </c>
      <c r="F115" s="10" t="s">
        <v>457</v>
      </c>
      <c r="G115" s="10" t="s">
        <v>458</v>
      </c>
      <c r="H115" s="10" t="s">
        <v>122</v>
      </c>
      <c r="I115" s="12"/>
      <c r="J115" s="13">
        <v>0.17</v>
      </c>
      <c r="K115" s="12"/>
      <c r="L115" s="12"/>
      <c r="M115" s="12"/>
      <c r="N115" s="12"/>
      <c r="O115" s="13">
        <v>0.04</v>
      </c>
      <c r="P115" s="13">
        <v>0.23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5"/>
    </row>
    <row r="116" ht="22.5" customHeight="1">
      <c r="A116" s="16">
        <v>477.0</v>
      </c>
      <c r="B116" s="10" t="s">
        <v>459</v>
      </c>
      <c r="C116" s="10" t="s">
        <v>137</v>
      </c>
      <c r="D116" s="17">
        <v>1.0</v>
      </c>
      <c r="E116" s="10" t="s">
        <v>147</v>
      </c>
      <c r="F116" s="10" t="s">
        <v>460</v>
      </c>
      <c r="G116" s="10" t="s">
        <v>461</v>
      </c>
      <c r="H116" s="10" t="s">
        <v>122</v>
      </c>
      <c r="I116" s="12"/>
      <c r="J116" s="13">
        <v>0.17</v>
      </c>
      <c r="K116" s="12"/>
      <c r="L116" s="12"/>
      <c r="M116" s="12"/>
      <c r="N116" s="12"/>
      <c r="O116" s="13">
        <v>0.05</v>
      </c>
      <c r="P116" s="13">
        <v>0.07</v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5"/>
    </row>
    <row r="117" ht="22.5" customHeight="1">
      <c r="A117" s="16">
        <v>83.0</v>
      </c>
      <c r="B117" s="10" t="s">
        <v>462</v>
      </c>
      <c r="C117" s="10" t="s">
        <v>137</v>
      </c>
      <c r="D117" s="17">
        <v>1.0</v>
      </c>
      <c r="E117" s="10" t="s">
        <v>147</v>
      </c>
      <c r="F117" s="10" t="s">
        <v>463</v>
      </c>
      <c r="G117" s="10" t="s">
        <v>464</v>
      </c>
      <c r="H117" s="10" t="s">
        <v>122</v>
      </c>
      <c r="I117" s="12"/>
      <c r="J117" s="13">
        <v>0.18</v>
      </c>
      <c r="K117" s="12"/>
      <c r="L117" s="12"/>
      <c r="M117" s="12"/>
      <c r="N117" s="12"/>
      <c r="O117" s="13">
        <v>0.18</v>
      </c>
      <c r="P117" s="13">
        <v>0.18</v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5"/>
    </row>
    <row r="118" ht="22.5" customHeight="1">
      <c r="A118" s="16">
        <v>353.0</v>
      </c>
      <c r="B118" s="10" t="s">
        <v>465</v>
      </c>
      <c r="C118" s="10" t="s">
        <v>137</v>
      </c>
      <c r="D118" s="17">
        <v>1.0</v>
      </c>
      <c r="E118" s="10" t="s">
        <v>147</v>
      </c>
      <c r="F118" s="10" t="s">
        <v>466</v>
      </c>
      <c r="G118" s="10" t="s">
        <v>467</v>
      </c>
      <c r="H118" s="10" t="s">
        <v>122</v>
      </c>
      <c r="I118" s="12"/>
      <c r="J118" s="13">
        <v>0.18</v>
      </c>
      <c r="K118" s="12"/>
      <c r="L118" s="12"/>
      <c r="M118" s="12"/>
      <c r="N118" s="12"/>
      <c r="O118" s="13">
        <v>0.08</v>
      </c>
      <c r="P118" s="13">
        <v>0.05</v>
      </c>
      <c r="Q118" s="13">
        <v>0.04</v>
      </c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5"/>
    </row>
    <row r="119" ht="22.5" customHeight="1">
      <c r="A119" s="16">
        <v>301.0</v>
      </c>
      <c r="B119" s="10" t="s">
        <v>468</v>
      </c>
      <c r="C119" s="10" t="s">
        <v>137</v>
      </c>
      <c r="D119" s="17">
        <v>1.0</v>
      </c>
      <c r="E119" s="10" t="s">
        <v>147</v>
      </c>
      <c r="F119" s="10" t="s">
        <v>469</v>
      </c>
      <c r="G119" s="10" t="s">
        <v>470</v>
      </c>
      <c r="H119" s="10" t="s">
        <v>122</v>
      </c>
      <c r="I119" s="12"/>
      <c r="J119" s="13">
        <v>0.19</v>
      </c>
      <c r="K119" s="12"/>
      <c r="L119" s="12"/>
      <c r="M119" s="12"/>
      <c r="N119" s="12"/>
      <c r="O119" s="13">
        <v>0.01</v>
      </c>
      <c r="P119" s="13">
        <v>0.02</v>
      </c>
      <c r="Q119" s="13">
        <v>0.01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5"/>
    </row>
    <row r="120" ht="22.5" customHeight="1">
      <c r="A120" s="16">
        <v>304.0</v>
      </c>
      <c r="B120" s="10" t="s">
        <v>471</v>
      </c>
      <c r="C120" s="10" t="s">
        <v>137</v>
      </c>
      <c r="D120" s="17">
        <v>1.0</v>
      </c>
      <c r="E120" s="10" t="s">
        <v>147</v>
      </c>
      <c r="F120" s="10" t="s">
        <v>472</v>
      </c>
      <c r="G120" s="10" t="s">
        <v>473</v>
      </c>
      <c r="H120" s="10" t="s">
        <v>122</v>
      </c>
      <c r="I120" s="12"/>
      <c r="J120" s="13">
        <v>0.19</v>
      </c>
      <c r="K120" s="12"/>
      <c r="L120" s="12"/>
      <c r="M120" s="12"/>
      <c r="N120" s="12"/>
      <c r="O120" s="13">
        <v>0.05</v>
      </c>
      <c r="P120" s="13">
        <v>0.06</v>
      </c>
      <c r="Q120" s="13">
        <v>0.05</v>
      </c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5"/>
    </row>
    <row r="121" ht="22.5" customHeight="1">
      <c r="A121" s="16">
        <v>384.0</v>
      </c>
      <c r="B121" s="10" t="s">
        <v>474</v>
      </c>
      <c r="C121" s="10" t="s">
        <v>137</v>
      </c>
      <c r="D121" s="17">
        <v>1.0</v>
      </c>
      <c r="E121" s="10" t="s">
        <v>147</v>
      </c>
      <c r="F121" s="10" t="s">
        <v>475</v>
      </c>
      <c r="G121" s="10" t="s">
        <v>476</v>
      </c>
      <c r="H121" s="10" t="s">
        <v>122</v>
      </c>
      <c r="I121" s="12"/>
      <c r="J121" s="13">
        <v>0.19</v>
      </c>
      <c r="K121" s="12"/>
      <c r="L121" s="12"/>
      <c r="M121" s="12"/>
      <c r="N121" s="12"/>
      <c r="O121" s="13">
        <v>0.01</v>
      </c>
      <c r="P121" s="13">
        <v>0.03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5"/>
    </row>
    <row r="122" ht="22.5" customHeight="1">
      <c r="A122" s="16">
        <v>442.0</v>
      </c>
      <c r="B122" s="10" t="s">
        <v>477</v>
      </c>
      <c r="C122" s="10" t="s">
        <v>137</v>
      </c>
      <c r="D122" s="17">
        <v>1.0</v>
      </c>
      <c r="E122" s="10" t="s">
        <v>147</v>
      </c>
      <c r="F122" s="10" t="s">
        <v>478</v>
      </c>
      <c r="G122" s="10" t="s">
        <v>479</v>
      </c>
      <c r="H122" s="10" t="s">
        <v>122</v>
      </c>
      <c r="I122" s="12"/>
      <c r="J122" s="13">
        <v>0.19</v>
      </c>
      <c r="K122" s="12"/>
      <c r="L122" s="12"/>
      <c r="M122" s="12"/>
      <c r="N122" s="12"/>
      <c r="O122" s="13">
        <v>0.03</v>
      </c>
      <c r="P122" s="13">
        <v>0.18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5"/>
    </row>
    <row r="123" ht="22.5" customHeight="1">
      <c r="A123" s="16">
        <v>284.0</v>
      </c>
      <c r="B123" s="10" t="s">
        <v>480</v>
      </c>
      <c r="C123" s="10" t="s">
        <v>137</v>
      </c>
      <c r="D123" s="17">
        <v>1.0</v>
      </c>
      <c r="E123" s="10" t="s">
        <v>147</v>
      </c>
      <c r="F123" s="10" t="s">
        <v>481</v>
      </c>
      <c r="G123" s="10" t="s">
        <v>482</v>
      </c>
      <c r="H123" s="10" t="s">
        <v>122</v>
      </c>
      <c r="I123" s="12"/>
      <c r="J123" s="13">
        <v>0.2</v>
      </c>
      <c r="K123" s="12"/>
      <c r="L123" s="12"/>
      <c r="M123" s="12"/>
      <c r="N123" s="12"/>
      <c r="O123" s="13">
        <v>0.17</v>
      </c>
      <c r="P123" s="13">
        <v>0.18</v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5"/>
    </row>
    <row r="124" ht="22.5" customHeight="1">
      <c r="A124" s="16">
        <v>529.0</v>
      </c>
      <c r="B124" s="10" t="s">
        <v>483</v>
      </c>
      <c r="C124" s="10" t="s">
        <v>137</v>
      </c>
      <c r="D124" s="17">
        <v>1.0</v>
      </c>
      <c r="E124" s="10" t="s">
        <v>147</v>
      </c>
      <c r="F124" s="10" t="s">
        <v>484</v>
      </c>
      <c r="G124" s="10" t="s">
        <v>485</v>
      </c>
      <c r="H124" s="10" t="s">
        <v>122</v>
      </c>
      <c r="I124" s="12"/>
      <c r="J124" s="13">
        <v>0.2</v>
      </c>
      <c r="K124" s="12"/>
      <c r="L124" s="12"/>
      <c r="M124" s="12"/>
      <c r="N124" s="12"/>
      <c r="O124" s="13">
        <v>0.0</v>
      </c>
      <c r="P124" s="13">
        <v>0.3</v>
      </c>
      <c r="Q124" s="12"/>
      <c r="R124" s="12"/>
      <c r="S124" s="13">
        <v>0.03</v>
      </c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5"/>
    </row>
    <row r="125" ht="22.5" customHeight="1">
      <c r="A125" s="16">
        <v>519.0</v>
      </c>
      <c r="B125" s="10" t="s">
        <v>486</v>
      </c>
      <c r="C125" s="10" t="s">
        <v>137</v>
      </c>
      <c r="D125" s="17">
        <v>1.0</v>
      </c>
      <c r="E125" s="10" t="s">
        <v>147</v>
      </c>
      <c r="F125" s="10" t="s">
        <v>487</v>
      </c>
      <c r="G125" s="10" t="s">
        <v>488</v>
      </c>
      <c r="H125" s="10" t="s">
        <v>122</v>
      </c>
      <c r="I125" s="12"/>
      <c r="J125" s="13">
        <v>0.2</v>
      </c>
      <c r="K125" s="12"/>
      <c r="L125" s="12"/>
      <c r="M125" s="12"/>
      <c r="N125" s="12"/>
      <c r="O125" s="13">
        <v>0.03</v>
      </c>
      <c r="P125" s="13">
        <v>0.15</v>
      </c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5"/>
    </row>
    <row r="126" ht="22.5" customHeight="1">
      <c r="A126" s="16">
        <v>457.0</v>
      </c>
      <c r="B126" s="10" t="s">
        <v>489</v>
      </c>
      <c r="C126" s="10" t="s">
        <v>137</v>
      </c>
      <c r="D126" s="17">
        <v>1.0</v>
      </c>
      <c r="E126" s="10" t="s">
        <v>147</v>
      </c>
      <c r="F126" s="10" t="s">
        <v>490</v>
      </c>
      <c r="G126" s="10" t="s">
        <v>491</v>
      </c>
      <c r="H126" s="10" t="s">
        <v>122</v>
      </c>
      <c r="I126" s="12"/>
      <c r="J126" s="13">
        <v>0.2</v>
      </c>
      <c r="K126" s="12"/>
      <c r="L126" s="12"/>
      <c r="M126" s="12"/>
      <c r="N126" s="12"/>
      <c r="O126" s="13">
        <v>0.06</v>
      </c>
      <c r="P126" s="13">
        <v>0.0</v>
      </c>
      <c r="Q126" s="13">
        <v>0.05</v>
      </c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5"/>
    </row>
    <row r="127" ht="22.5" customHeight="1">
      <c r="A127" s="16">
        <v>631.0</v>
      </c>
      <c r="B127" s="10" t="s">
        <v>492</v>
      </c>
      <c r="C127" s="10" t="s">
        <v>137</v>
      </c>
      <c r="D127" s="17">
        <v>1.0</v>
      </c>
      <c r="E127" s="10" t="s">
        <v>147</v>
      </c>
      <c r="F127" s="10" t="s">
        <v>493</v>
      </c>
      <c r="G127" s="10" t="s">
        <v>494</v>
      </c>
      <c r="H127" s="10" t="s">
        <v>122</v>
      </c>
      <c r="I127" s="12"/>
      <c r="J127" s="13">
        <v>0.2</v>
      </c>
      <c r="K127" s="12"/>
      <c r="L127" s="12"/>
      <c r="M127" s="12"/>
      <c r="N127" s="12"/>
      <c r="O127" s="13">
        <v>0.08</v>
      </c>
      <c r="P127" s="13">
        <v>0.1</v>
      </c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5"/>
    </row>
    <row r="128" ht="22.5" customHeight="1">
      <c r="A128" s="16">
        <v>172.0</v>
      </c>
      <c r="B128" s="10" t="s">
        <v>495</v>
      </c>
      <c r="C128" s="10" t="s">
        <v>137</v>
      </c>
      <c r="D128" s="17">
        <v>1.0</v>
      </c>
      <c r="E128" s="10" t="s">
        <v>147</v>
      </c>
      <c r="F128" s="10" t="s">
        <v>496</v>
      </c>
      <c r="G128" s="10" t="s">
        <v>497</v>
      </c>
      <c r="H128" s="10" t="s">
        <v>122</v>
      </c>
      <c r="I128" s="12"/>
      <c r="J128" s="13">
        <v>0.21</v>
      </c>
      <c r="K128" s="12"/>
      <c r="L128" s="12"/>
      <c r="M128" s="12"/>
      <c r="N128" s="12"/>
      <c r="O128" s="13">
        <v>0.01</v>
      </c>
      <c r="P128" s="13">
        <v>0.02</v>
      </c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5"/>
    </row>
    <row r="129" ht="22.5" customHeight="1">
      <c r="A129" s="16">
        <v>357.0</v>
      </c>
      <c r="B129" s="10" t="s">
        <v>498</v>
      </c>
      <c r="C129" s="10" t="s">
        <v>137</v>
      </c>
      <c r="D129" s="17">
        <v>1.0</v>
      </c>
      <c r="E129" s="10" t="s">
        <v>147</v>
      </c>
      <c r="F129" s="10" t="s">
        <v>499</v>
      </c>
      <c r="G129" s="10" t="s">
        <v>500</v>
      </c>
      <c r="H129" s="10" t="s">
        <v>122</v>
      </c>
      <c r="I129" s="12"/>
      <c r="J129" s="13">
        <v>0.21</v>
      </c>
      <c r="K129" s="12"/>
      <c r="L129" s="12"/>
      <c r="M129" s="12"/>
      <c r="N129" s="12"/>
      <c r="O129" s="13">
        <v>0.05</v>
      </c>
      <c r="P129" s="13">
        <v>0.1</v>
      </c>
      <c r="Q129" s="12"/>
      <c r="R129" s="12"/>
      <c r="S129" s="13">
        <v>0.06</v>
      </c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5"/>
    </row>
    <row r="130" ht="22.5" customHeight="1">
      <c r="A130" s="16">
        <v>415.0</v>
      </c>
      <c r="B130" s="10" t="s">
        <v>501</v>
      </c>
      <c r="C130" s="10" t="s">
        <v>137</v>
      </c>
      <c r="D130" s="17">
        <v>1.0</v>
      </c>
      <c r="E130" s="10" t="s">
        <v>147</v>
      </c>
      <c r="F130" s="10" t="s">
        <v>502</v>
      </c>
      <c r="G130" s="10" t="s">
        <v>503</v>
      </c>
      <c r="H130" s="10" t="s">
        <v>122</v>
      </c>
      <c r="I130" s="12"/>
      <c r="J130" s="13">
        <v>0.21</v>
      </c>
      <c r="K130" s="12"/>
      <c r="L130" s="12"/>
      <c r="M130" s="12"/>
      <c r="N130" s="12"/>
      <c r="O130" s="13">
        <v>0.02</v>
      </c>
      <c r="P130" s="13">
        <v>0.08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5"/>
    </row>
    <row r="131" ht="22.5" customHeight="1">
      <c r="A131" s="16">
        <v>316.0</v>
      </c>
      <c r="B131" s="10" t="s">
        <v>504</v>
      </c>
      <c r="C131" s="10" t="s">
        <v>137</v>
      </c>
      <c r="D131" s="17">
        <v>1.0</v>
      </c>
      <c r="E131" s="10" t="s">
        <v>147</v>
      </c>
      <c r="F131" s="10" t="s">
        <v>505</v>
      </c>
      <c r="G131" s="10" t="s">
        <v>506</v>
      </c>
      <c r="H131" s="10" t="s">
        <v>122</v>
      </c>
      <c r="I131" s="12"/>
      <c r="J131" s="13">
        <v>0.21</v>
      </c>
      <c r="K131" s="12"/>
      <c r="L131" s="12"/>
      <c r="M131" s="12"/>
      <c r="N131" s="12"/>
      <c r="O131" s="13">
        <v>0.03</v>
      </c>
      <c r="P131" s="13">
        <v>0.08</v>
      </c>
      <c r="Q131" s="13">
        <v>0.03</v>
      </c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5"/>
    </row>
    <row r="132" ht="22.5" customHeight="1">
      <c r="A132" s="16">
        <v>307.0</v>
      </c>
      <c r="B132" s="10" t="s">
        <v>507</v>
      </c>
      <c r="C132" s="10" t="s">
        <v>137</v>
      </c>
      <c r="D132" s="17">
        <v>1.0</v>
      </c>
      <c r="E132" s="10" t="s">
        <v>147</v>
      </c>
      <c r="F132" s="10" t="s">
        <v>508</v>
      </c>
      <c r="G132" s="10" t="s">
        <v>509</v>
      </c>
      <c r="H132" s="10" t="s">
        <v>122</v>
      </c>
      <c r="I132" s="12"/>
      <c r="J132" s="13">
        <v>0.21</v>
      </c>
      <c r="K132" s="12"/>
      <c r="L132" s="12"/>
      <c r="M132" s="12"/>
      <c r="N132" s="12"/>
      <c r="O132" s="13">
        <v>0.04</v>
      </c>
      <c r="P132" s="13">
        <v>0.05</v>
      </c>
      <c r="Q132" s="13">
        <v>0.03</v>
      </c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5"/>
    </row>
    <row r="133" ht="22.5" customHeight="1">
      <c r="A133" s="16">
        <v>497.0</v>
      </c>
      <c r="B133" s="10" t="s">
        <v>510</v>
      </c>
      <c r="C133" s="10" t="s">
        <v>137</v>
      </c>
      <c r="D133" s="17">
        <v>1.0</v>
      </c>
      <c r="E133" s="10" t="s">
        <v>147</v>
      </c>
      <c r="F133" s="10" t="s">
        <v>511</v>
      </c>
      <c r="G133" s="10" t="s">
        <v>512</v>
      </c>
      <c r="H133" s="10" t="s">
        <v>122</v>
      </c>
      <c r="I133" s="12"/>
      <c r="J133" s="13">
        <v>0.21</v>
      </c>
      <c r="K133" s="12"/>
      <c r="L133" s="12"/>
      <c r="M133" s="12"/>
      <c r="N133" s="12"/>
      <c r="O133" s="13">
        <v>0.05</v>
      </c>
      <c r="P133" s="13">
        <v>0.1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5"/>
    </row>
    <row r="134" ht="22.5" customHeight="1">
      <c r="A134" s="16">
        <v>471.0</v>
      </c>
      <c r="B134" s="10" t="s">
        <v>513</v>
      </c>
      <c r="C134" s="10" t="s">
        <v>137</v>
      </c>
      <c r="D134" s="17">
        <v>1.0</v>
      </c>
      <c r="E134" s="10" t="s">
        <v>147</v>
      </c>
      <c r="F134" s="10" t="s">
        <v>514</v>
      </c>
      <c r="G134" s="10" t="s">
        <v>515</v>
      </c>
      <c r="H134" s="10" t="s">
        <v>122</v>
      </c>
      <c r="I134" s="12"/>
      <c r="J134" s="13">
        <v>0.21</v>
      </c>
      <c r="K134" s="12"/>
      <c r="L134" s="12"/>
      <c r="M134" s="12"/>
      <c r="N134" s="12"/>
      <c r="O134" s="13">
        <v>0.05</v>
      </c>
      <c r="P134" s="13">
        <v>0.09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5"/>
    </row>
    <row r="135" ht="22.5" customHeight="1">
      <c r="A135" s="16">
        <v>632.0</v>
      </c>
      <c r="B135" s="10" t="s">
        <v>516</v>
      </c>
      <c r="C135" s="10" t="s">
        <v>137</v>
      </c>
      <c r="D135" s="17">
        <v>1.0</v>
      </c>
      <c r="E135" s="10" t="s">
        <v>147</v>
      </c>
      <c r="F135" s="10" t="s">
        <v>517</v>
      </c>
      <c r="G135" s="10" t="s">
        <v>518</v>
      </c>
      <c r="H135" s="10" t="s">
        <v>122</v>
      </c>
      <c r="I135" s="12"/>
      <c r="J135" s="13">
        <v>0.21</v>
      </c>
      <c r="K135" s="12"/>
      <c r="L135" s="12"/>
      <c r="M135" s="12"/>
      <c r="N135" s="12"/>
      <c r="O135" s="13">
        <v>0.09</v>
      </c>
      <c r="P135" s="13">
        <v>0.09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5"/>
    </row>
    <row r="136" ht="22.5" customHeight="1">
      <c r="A136" s="16">
        <v>315.0</v>
      </c>
      <c r="B136" s="10" t="s">
        <v>519</v>
      </c>
      <c r="C136" s="10" t="s">
        <v>137</v>
      </c>
      <c r="D136" s="17">
        <v>1.0</v>
      </c>
      <c r="E136" s="10" t="s">
        <v>147</v>
      </c>
      <c r="F136" s="10" t="s">
        <v>520</v>
      </c>
      <c r="G136" s="10" t="s">
        <v>521</v>
      </c>
      <c r="H136" s="10" t="s">
        <v>122</v>
      </c>
      <c r="I136" s="12"/>
      <c r="J136" s="13">
        <v>0.21</v>
      </c>
      <c r="K136" s="12"/>
      <c r="L136" s="12"/>
      <c r="M136" s="12"/>
      <c r="N136" s="12"/>
      <c r="O136" s="13">
        <v>0.03</v>
      </c>
      <c r="P136" s="13">
        <v>0.13</v>
      </c>
      <c r="Q136" s="12"/>
      <c r="R136" s="12"/>
      <c r="S136" s="13">
        <v>0.04</v>
      </c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5"/>
    </row>
    <row r="137" ht="22.5" customHeight="1">
      <c r="A137" s="16">
        <v>524.0</v>
      </c>
      <c r="B137" s="10" t="s">
        <v>522</v>
      </c>
      <c r="C137" s="10" t="s">
        <v>137</v>
      </c>
      <c r="D137" s="17">
        <v>1.0</v>
      </c>
      <c r="E137" s="10" t="s">
        <v>147</v>
      </c>
      <c r="F137" s="10" t="s">
        <v>523</v>
      </c>
      <c r="G137" s="10" t="s">
        <v>524</v>
      </c>
      <c r="H137" s="10" t="s">
        <v>122</v>
      </c>
      <c r="I137" s="12"/>
      <c r="J137" s="13">
        <v>0.22</v>
      </c>
      <c r="K137" s="12"/>
      <c r="L137" s="12"/>
      <c r="M137" s="12"/>
      <c r="N137" s="12"/>
      <c r="O137" s="13">
        <v>0.0</v>
      </c>
      <c r="P137" s="13">
        <v>0.25</v>
      </c>
      <c r="Q137" s="12"/>
      <c r="R137" s="12"/>
      <c r="S137" s="13">
        <v>0.03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5"/>
    </row>
    <row r="138" ht="22.5" customHeight="1">
      <c r="A138" s="16">
        <v>526.0</v>
      </c>
      <c r="B138" s="10" t="s">
        <v>525</v>
      </c>
      <c r="C138" s="10" t="s">
        <v>137</v>
      </c>
      <c r="D138" s="17">
        <v>1.0</v>
      </c>
      <c r="E138" s="10" t="s">
        <v>147</v>
      </c>
      <c r="F138" s="10" t="s">
        <v>526</v>
      </c>
      <c r="G138" s="10" t="s">
        <v>527</v>
      </c>
      <c r="H138" s="10" t="s">
        <v>122</v>
      </c>
      <c r="I138" s="12"/>
      <c r="J138" s="13">
        <v>0.22</v>
      </c>
      <c r="K138" s="12"/>
      <c r="L138" s="12"/>
      <c r="M138" s="12"/>
      <c r="N138" s="12"/>
      <c r="O138" s="13">
        <v>0.0</v>
      </c>
      <c r="P138" s="13">
        <v>0.03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5"/>
    </row>
    <row r="139" ht="22.5" customHeight="1">
      <c r="A139" s="16">
        <v>511.0</v>
      </c>
      <c r="B139" s="10" t="s">
        <v>528</v>
      </c>
      <c r="C139" s="10" t="s">
        <v>137</v>
      </c>
      <c r="D139" s="17">
        <v>1.0</v>
      </c>
      <c r="E139" s="10" t="s">
        <v>147</v>
      </c>
      <c r="F139" s="10" t="s">
        <v>529</v>
      </c>
      <c r="G139" s="10" t="s">
        <v>530</v>
      </c>
      <c r="H139" s="10" t="s">
        <v>122</v>
      </c>
      <c r="I139" s="12"/>
      <c r="J139" s="13">
        <v>0.22</v>
      </c>
      <c r="K139" s="12"/>
      <c r="L139" s="12"/>
      <c r="M139" s="12"/>
      <c r="N139" s="12"/>
      <c r="O139" s="13">
        <v>0.04</v>
      </c>
      <c r="P139" s="13">
        <v>0.08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5"/>
    </row>
    <row r="140" ht="22.5" customHeight="1">
      <c r="A140" s="16">
        <v>525.0</v>
      </c>
      <c r="B140" s="10" t="s">
        <v>531</v>
      </c>
      <c r="C140" s="10" t="s">
        <v>137</v>
      </c>
      <c r="D140" s="17">
        <v>1.0</v>
      </c>
      <c r="E140" s="10" t="s">
        <v>147</v>
      </c>
      <c r="F140" s="10" t="s">
        <v>532</v>
      </c>
      <c r="G140" s="10" t="s">
        <v>533</v>
      </c>
      <c r="H140" s="10" t="s">
        <v>122</v>
      </c>
      <c r="I140" s="12"/>
      <c r="J140" s="13">
        <v>0.22</v>
      </c>
      <c r="K140" s="12"/>
      <c r="L140" s="12"/>
      <c r="M140" s="12"/>
      <c r="N140" s="12"/>
      <c r="O140" s="13">
        <v>0.05</v>
      </c>
      <c r="P140" s="13">
        <v>0.13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5"/>
    </row>
    <row r="141" ht="22.5" customHeight="1">
      <c r="A141" s="16">
        <v>456.0</v>
      </c>
      <c r="B141" s="10" t="s">
        <v>534</v>
      </c>
      <c r="C141" s="10" t="s">
        <v>137</v>
      </c>
      <c r="D141" s="17">
        <v>1.0</v>
      </c>
      <c r="E141" s="10" t="s">
        <v>147</v>
      </c>
      <c r="F141" s="10" t="s">
        <v>535</v>
      </c>
      <c r="G141" s="10" t="s">
        <v>536</v>
      </c>
      <c r="H141" s="10" t="s">
        <v>122</v>
      </c>
      <c r="I141" s="12"/>
      <c r="J141" s="13">
        <v>0.22</v>
      </c>
      <c r="K141" s="12"/>
      <c r="L141" s="12"/>
      <c r="M141" s="12"/>
      <c r="N141" s="12"/>
      <c r="O141" s="13">
        <v>0.06</v>
      </c>
      <c r="P141" s="13">
        <v>0.03</v>
      </c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5"/>
    </row>
    <row r="142" ht="22.5" customHeight="1">
      <c r="A142" s="16">
        <v>398.0</v>
      </c>
      <c r="B142" s="10" t="s">
        <v>537</v>
      </c>
      <c r="C142" s="10" t="s">
        <v>137</v>
      </c>
      <c r="D142" s="17">
        <v>1.0</v>
      </c>
      <c r="E142" s="10" t="s">
        <v>147</v>
      </c>
      <c r="F142" s="10" t="s">
        <v>538</v>
      </c>
      <c r="G142" s="10" t="s">
        <v>539</v>
      </c>
      <c r="H142" s="10" t="s">
        <v>122</v>
      </c>
      <c r="I142" s="12"/>
      <c r="J142" s="13">
        <v>0.22</v>
      </c>
      <c r="K142" s="12"/>
      <c r="L142" s="12"/>
      <c r="M142" s="12"/>
      <c r="N142" s="12"/>
      <c r="O142" s="13">
        <v>0.06</v>
      </c>
      <c r="P142" s="13">
        <v>0.0</v>
      </c>
      <c r="Q142" s="13">
        <v>0.07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5"/>
    </row>
    <row r="143" ht="22.5" customHeight="1">
      <c r="A143" s="16">
        <v>633.0</v>
      </c>
      <c r="B143" s="10" t="s">
        <v>540</v>
      </c>
      <c r="C143" s="10" t="s">
        <v>137</v>
      </c>
      <c r="D143" s="17">
        <v>1.0</v>
      </c>
      <c r="E143" s="10" t="s">
        <v>147</v>
      </c>
      <c r="F143" s="10" t="s">
        <v>541</v>
      </c>
      <c r="G143" s="10" t="s">
        <v>542</v>
      </c>
      <c r="H143" s="10" t="s">
        <v>122</v>
      </c>
      <c r="I143" s="12"/>
      <c r="J143" s="13">
        <v>0.22</v>
      </c>
      <c r="K143" s="12"/>
      <c r="L143" s="12"/>
      <c r="M143" s="12"/>
      <c r="N143" s="12"/>
      <c r="O143" s="13">
        <v>0.06</v>
      </c>
      <c r="P143" s="13">
        <v>0.07</v>
      </c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5"/>
    </row>
    <row r="144" ht="22.5" customHeight="1">
      <c r="A144" s="16">
        <v>634.0</v>
      </c>
      <c r="B144" s="10" t="s">
        <v>543</v>
      </c>
      <c r="C144" s="10" t="s">
        <v>137</v>
      </c>
      <c r="D144" s="17">
        <v>1.0</v>
      </c>
      <c r="E144" s="10" t="s">
        <v>147</v>
      </c>
      <c r="F144" s="10" t="s">
        <v>544</v>
      </c>
      <c r="G144" s="10" t="s">
        <v>545</v>
      </c>
      <c r="H144" s="10" t="s">
        <v>122</v>
      </c>
      <c r="I144" s="12"/>
      <c r="J144" s="13">
        <v>0.22</v>
      </c>
      <c r="K144" s="12"/>
      <c r="L144" s="12"/>
      <c r="M144" s="12"/>
      <c r="N144" s="12"/>
      <c r="O144" s="13">
        <v>0.09</v>
      </c>
      <c r="P144" s="13">
        <v>0.09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5"/>
    </row>
    <row r="145" ht="22.5" customHeight="1">
      <c r="A145" s="16">
        <v>20.0</v>
      </c>
      <c r="B145" s="10" t="s">
        <v>546</v>
      </c>
      <c r="C145" s="10" t="s">
        <v>137</v>
      </c>
      <c r="D145" s="17">
        <v>1.0</v>
      </c>
      <c r="E145" s="10" t="s">
        <v>147</v>
      </c>
      <c r="F145" s="10" t="s">
        <v>547</v>
      </c>
      <c r="G145" s="10" t="s">
        <v>548</v>
      </c>
      <c r="H145" s="10" t="s">
        <v>122</v>
      </c>
      <c r="I145" s="12"/>
      <c r="J145" s="13">
        <v>0.23</v>
      </c>
      <c r="K145" s="12"/>
      <c r="L145" s="12"/>
      <c r="M145" s="12"/>
      <c r="N145" s="12"/>
      <c r="O145" s="13">
        <v>0.03</v>
      </c>
      <c r="P145" s="13">
        <v>0.2</v>
      </c>
      <c r="Q145" s="13">
        <v>0.03</v>
      </c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5"/>
    </row>
    <row r="146" ht="22.5" customHeight="1">
      <c r="A146" s="16">
        <v>618.0</v>
      </c>
      <c r="B146" s="10" t="s">
        <v>549</v>
      </c>
      <c r="C146" s="10" t="s">
        <v>137</v>
      </c>
      <c r="D146" s="17">
        <v>1.0</v>
      </c>
      <c r="E146" s="10" t="s">
        <v>147</v>
      </c>
      <c r="F146" s="10" t="s">
        <v>550</v>
      </c>
      <c r="G146" s="10" t="s">
        <v>551</v>
      </c>
      <c r="H146" s="10" t="s">
        <v>122</v>
      </c>
      <c r="I146" s="12"/>
      <c r="J146" s="13">
        <v>0.23</v>
      </c>
      <c r="K146" s="12"/>
      <c r="L146" s="12"/>
      <c r="M146" s="12"/>
      <c r="N146" s="12"/>
      <c r="O146" s="13">
        <v>0.06</v>
      </c>
      <c r="P146" s="13">
        <v>0.08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5"/>
    </row>
    <row r="147" ht="22.5" customHeight="1">
      <c r="A147" s="16">
        <v>394.0</v>
      </c>
      <c r="B147" s="10" t="s">
        <v>552</v>
      </c>
      <c r="C147" s="10" t="s">
        <v>137</v>
      </c>
      <c r="D147" s="17">
        <v>1.0</v>
      </c>
      <c r="E147" s="10" t="s">
        <v>147</v>
      </c>
      <c r="F147" s="10" t="s">
        <v>553</v>
      </c>
      <c r="G147" s="10" t="s">
        <v>554</v>
      </c>
      <c r="H147" s="10" t="s">
        <v>122</v>
      </c>
      <c r="I147" s="12"/>
      <c r="J147" s="13">
        <v>0.23</v>
      </c>
      <c r="K147" s="12"/>
      <c r="L147" s="12"/>
      <c r="M147" s="12"/>
      <c r="N147" s="12"/>
      <c r="O147" s="13">
        <v>0.03</v>
      </c>
      <c r="P147" s="13">
        <v>0.2</v>
      </c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5"/>
    </row>
    <row r="148" ht="22.5" customHeight="1">
      <c r="A148" s="16">
        <v>506.0</v>
      </c>
      <c r="B148" s="10" t="s">
        <v>555</v>
      </c>
      <c r="C148" s="10" t="s">
        <v>137</v>
      </c>
      <c r="D148" s="17">
        <v>1.0</v>
      </c>
      <c r="E148" s="10" t="s">
        <v>147</v>
      </c>
      <c r="F148" s="10" t="s">
        <v>556</v>
      </c>
      <c r="G148" s="10" t="s">
        <v>557</v>
      </c>
      <c r="H148" s="10" t="s">
        <v>122</v>
      </c>
      <c r="I148" s="12"/>
      <c r="J148" s="13">
        <v>0.23</v>
      </c>
      <c r="K148" s="12"/>
      <c r="L148" s="12"/>
      <c r="M148" s="12"/>
      <c r="N148" s="12"/>
      <c r="O148" s="13">
        <v>0.05</v>
      </c>
      <c r="P148" s="13">
        <v>0.06</v>
      </c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5"/>
    </row>
    <row r="149" ht="22.5" customHeight="1">
      <c r="A149" s="16">
        <v>508.0</v>
      </c>
      <c r="B149" s="10" t="s">
        <v>558</v>
      </c>
      <c r="C149" s="10" t="s">
        <v>137</v>
      </c>
      <c r="D149" s="17">
        <v>1.0</v>
      </c>
      <c r="E149" s="10" t="s">
        <v>147</v>
      </c>
      <c r="F149" s="10" t="s">
        <v>559</v>
      </c>
      <c r="G149" s="10" t="s">
        <v>560</v>
      </c>
      <c r="H149" s="10" t="s">
        <v>122</v>
      </c>
      <c r="I149" s="12"/>
      <c r="J149" s="13">
        <v>0.23</v>
      </c>
      <c r="K149" s="12"/>
      <c r="L149" s="12"/>
      <c r="M149" s="12"/>
      <c r="N149" s="12"/>
      <c r="O149" s="13">
        <v>0.06</v>
      </c>
      <c r="P149" s="13">
        <v>0.08</v>
      </c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5"/>
    </row>
    <row r="150" ht="22.5" customHeight="1">
      <c r="A150" s="16">
        <v>308.0</v>
      </c>
      <c r="B150" s="10" t="s">
        <v>561</v>
      </c>
      <c r="C150" s="10" t="s">
        <v>137</v>
      </c>
      <c r="D150" s="17">
        <v>1.0</v>
      </c>
      <c r="E150" s="10" t="s">
        <v>147</v>
      </c>
      <c r="F150" s="10" t="s">
        <v>562</v>
      </c>
      <c r="G150" s="10" t="s">
        <v>563</v>
      </c>
      <c r="H150" s="10" t="s">
        <v>122</v>
      </c>
      <c r="I150" s="12"/>
      <c r="J150" s="13">
        <v>0.24</v>
      </c>
      <c r="K150" s="12"/>
      <c r="L150" s="12"/>
      <c r="M150" s="12"/>
      <c r="N150" s="12"/>
      <c r="O150" s="13">
        <v>0.0</v>
      </c>
      <c r="P150" s="13">
        <v>0.17</v>
      </c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5"/>
    </row>
    <row r="151" ht="22.5" customHeight="1">
      <c r="A151" s="16">
        <v>174.0</v>
      </c>
      <c r="B151" s="10" t="s">
        <v>564</v>
      </c>
      <c r="C151" s="10" t="s">
        <v>137</v>
      </c>
      <c r="D151" s="17">
        <v>1.0</v>
      </c>
      <c r="E151" s="10" t="s">
        <v>147</v>
      </c>
      <c r="F151" s="10" t="s">
        <v>565</v>
      </c>
      <c r="G151" s="10" t="s">
        <v>566</v>
      </c>
      <c r="H151" s="10" t="s">
        <v>122</v>
      </c>
      <c r="I151" s="12"/>
      <c r="J151" s="13">
        <v>0.24</v>
      </c>
      <c r="K151" s="12"/>
      <c r="L151" s="12"/>
      <c r="M151" s="12"/>
      <c r="N151" s="12"/>
      <c r="O151" s="13">
        <v>0.03</v>
      </c>
      <c r="P151" s="13">
        <v>0.09</v>
      </c>
      <c r="Q151" s="13">
        <v>0.03</v>
      </c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5"/>
    </row>
    <row r="152" ht="22.5" customHeight="1">
      <c r="A152" s="16">
        <v>348.0</v>
      </c>
      <c r="B152" s="10" t="s">
        <v>567</v>
      </c>
      <c r="C152" s="10" t="s">
        <v>137</v>
      </c>
      <c r="D152" s="17">
        <v>1.0</v>
      </c>
      <c r="E152" s="10" t="s">
        <v>147</v>
      </c>
      <c r="F152" s="10" t="s">
        <v>568</v>
      </c>
      <c r="G152" s="10" t="s">
        <v>569</v>
      </c>
      <c r="H152" s="10" t="s">
        <v>122</v>
      </c>
      <c r="I152" s="13">
        <v>0.01</v>
      </c>
      <c r="J152" s="13">
        <v>0.24</v>
      </c>
      <c r="K152" s="12"/>
      <c r="L152" s="12"/>
      <c r="M152" s="12"/>
      <c r="N152" s="12"/>
      <c r="O152" s="13">
        <v>0.05</v>
      </c>
      <c r="P152" s="13">
        <v>0.07</v>
      </c>
      <c r="Q152" s="13">
        <v>0.03</v>
      </c>
      <c r="R152" s="12"/>
      <c r="S152" s="13">
        <v>0.05</v>
      </c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5"/>
    </row>
    <row r="153" ht="22.5" customHeight="1">
      <c r="A153" s="16">
        <v>436.0</v>
      </c>
      <c r="B153" s="10" t="s">
        <v>570</v>
      </c>
      <c r="C153" s="10" t="s">
        <v>137</v>
      </c>
      <c r="D153" s="17">
        <v>1.0</v>
      </c>
      <c r="E153" s="10" t="s">
        <v>147</v>
      </c>
      <c r="F153" s="10" t="s">
        <v>571</v>
      </c>
      <c r="G153" s="10" t="s">
        <v>572</v>
      </c>
      <c r="H153" s="10" t="s">
        <v>122</v>
      </c>
      <c r="I153" s="12"/>
      <c r="J153" s="13">
        <v>0.24</v>
      </c>
      <c r="K153" s="12"/>
      <c r="L153" s="12"/>
      <c r="M153" s="12"/>
      <c r="N153" s="12"/>
      <c r="O153" s="13">
        <v>0.0</v>
      </c>
      <c r="P153" s="13">
        <v>0.02</v>
      </c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5"/>
    </row>
    <row r="154" ht="22.5" customHeight="1">
      <c r="A154" s="16">
        <v>532.0</v>
      </c>
      <c r="B154" s="10" t="s">
        <v>573</v>
      </c>
      <c r="C154" s="10" t="s">
        <v>137</v>
      </c>
      <c r="D154" s="17">
        <v>1.0</v>
      </c>
      <c r="E154" s="10" t="s">
        <v>147</v>
      </c>
      <c r="F154" s="10" t="s">
        <v>574</v>
      </c>
      <c r="G154" s="10" t="s">
        <v>575</v>
      </c>
      <c r="H154" s="10" t="s">
        <v>122</v>
      </c>
      <c r="I154" s="12"/>
      <c r="J154" s="13">
        <v>0.24</v>
      </c>
      <c r="K154" s="12"/>
      <c r="L154" s="12"/>
      <c r="M154" s="12"/>
      <c r="N154" s="12"/>
      <c r="O154" s="13">
        <v>0.03</v>
      </c>
      <c r="P154" s="13">
        <v>0.12</v>
      </c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5"/>
    </row>
    <row r="155" ht="22.5" customHeight="1">
      <c r="A155" s="16">
        <v>440.0</v>
      </c>
      <c r="B155" s="10" t="s">
        <v>576</v>
      </c>
      <c r="C155" s="10" t="s">
        <v>137</v>
      </c>
      <c r="D155" s="17">
        <v>1.0</v>
      </c>
      <c r="E155" s="10" t="s">
        <v>147</v>
      </c>
      <c r="F155" s="10" t="s">
        <v>577</v>
      </c>
      <c r="G155" s="10" t="s">
        <v>578</v>
      </c>
      <c r="H155" s="10" t="s">
        <v>122</v>
      </c>
      <c r="I155" s="12"/>
      <c r="J155" s="13">
        <v>0.24</v>
      </c>
      <c r="K155" s="12"/>
      <c r="L155" s="12"/>
      <c r="M155" s="12"/>
      <c r="N155" s="12"/>
      <c r="O155" s="13">
        <v>0.04</v>
      </c>
      <c r="P155" s="13">
        <v>0.11</v>
      </c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5"/>
    </row>
    <row r="156" ht="22.5" customHeight="1">
      <c r="A156" s="16">
        <v>473.0</v>
      </c>
      <c r="B156" s="10" t="s">
        <v>579</v>
      </c>
      <c r="C156" s="10" t="s">
        <v>137</v>
      </c>
      <c r="D156" s="17">
        <v>1.0</v>
      </c>
      <c r="E156" s="10" t="s">
        <v>147</v>
      </c>
      <c r="F156" s="10" t="s">
        <v>580</v>
      </c>
      <c r="G156" s="10" t="s">
        <v>581</v>
      </c>
      <c r="H156" s="10" t="s">
        <v>122</v>
      </c>
      <c r="I156" s="12"/>
      <c r="J156" s="13">
        <v>0.24</v>
      </c>
      <c r="K156" s="12"/>
      <c r="L156" s="12"/>
      <c r="M156" s="12"/>
      <c r="N156" s="12"/>
      <c r="O156" s="13">
        <v>0.05</v>
      </c>
      <c r="P156" s="13">
        <v>0.06</v>
      </c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5"/>
    </row>
    <row r="157" ht="22.5" customHeight="1">
      <c r="A157" s="16">
        <v>328.0</v>
      </c>
      <c r="B157" s="10" t="s">
        <v>582</v>
      </c>
      <c r="C157" s="10" t="s">
        <v>137</v>
      </c>
      <c r="D157" s="17">
        <v>1.0</v>
      </c>
      <c r="E157" s="10" t="s">
        <v>147</v>
      </c>
      <c r="F157" s="10" t="s">
        <v>583</v>
      </c>
      <c r="G157" s="10" t="s">
        <v>584</v>
      </c>
      <c r="H157" s="10" t="s">
        <v>122</v>
      </c>
      <c r="I157" s="12"/>
      <c r="J157" s="13">
        <v>0.25</v>
      </c>
      <c r="K157" s="12"/>
      <c r="L157" s="12"/>
      <c r="M157" s="12"/>
      <c r="N157" s="12"/>
      <c r="O157" s="13">
        <v>0.0</v>
      </c>
      <c r="P157" s="13">
        <v>0.15</v>
      </c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5"/>
    </row>
    <row r="158" ht="22.5" customHeight="1">
      <c r="A158" s="16">
        <v>146.0</v>
      </c>
      <c r="B158" s="10" t="s">
        <v>585</v>
      </c>
      <c r="C158" s="10" t="s">
        <v>137</v>
      </c>
      <c r="D158" s="17">
        <v>1.0</v>
      </c>
      <c r="E158" s="10" t="s">
        <v>147</v>
      </c>
      <c r="F158" s="10" t="s">
        <v>586</v>
      </c>
      <c r="G158" s="10" t="s">
        <v>587</v>
      </c>
      <c r="H158" s="10" t="s">
        <v>122</v>
      </c>
      <c r="I158" s="12"/>
      <c r="J158" s="13">
        <v>0.25</v>
      </c>
      <c r="K158" s="12"/>
      <c r="L158" s="12"/>
      <c r="M158" s="12"/>
      <c r="N158" s="12"/>
      <c r="O158" s="13">
        <v>0.0</v>
      </c>
      <c r="P158" s="13">
        <v>0.17</v>
      </c>
      <c r="Q158" s="12"/>
      <c r="R158" s="12"/>
      <c r="S158" s="13">
        <v>0.04</v>
      </c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5"/>
    </row>
    <row r="159" ht="22.5" customHeight="1">
      <c r="A159" s="16">
        <v>148.0</v>
      </c>
      <c r="B159" s="10" t="s">
        <v>588</v>
      </c>
      <c r="C159" s="10" t="s">
        <v>137</v>
      </c>
      <c r="D159" s="17">
        <v>1.0</v>
      </c>
      <c r="E159" s="10" t="s">
        <v>147</v>
      </c>
      <c r="F159" s="10" t="s">
        <v>589</v>
      </c>
      <c r="G159" s="10" t="s">
        <v>590</v>
      </c>
      <c r="H159" s="10" t="s">
        <v>122</v>
      </c>
      <c r="I159" s="12"/>
      <c r="J159" s="13">
        <v>0.25</v>
      </c>
      <c r="K159" s="12"/>
      <c r="L159" s="12"/>
      <c r="M159" s="12"/>
      <c r="N159" s="12"/>
      <c r="O159" s="13">
        <v>0.1</v>
      </c>
      <c r="P159" s="13">
        <v>0.18</v>
      </c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5"/>
    </row>
    <row r="160" ht="22.5" customHeight="1">
      <c r="A160" s="16">
        <v>175.0</v>
      </c>
      <c r="B160" s="10" t="s">
        <v>591</v>
      </c>
      <c r="C160" s="10" t="s">
        <v>137</v>
      </c>
      <c r="D160" s="17">
        <v>1.0</v>
      </c>
      <c r="E160" s="10" t="s">
        <v>147</v>
      </c>
      <c r="F160" s="10" t="s">
        <v>592</v>
      </c>
      <c r="G160" s="10" t="s">
        <v>593</v>
      </c>
      <c r="H160" s="10" t="s">
        <v>122</v>
      </c>
      <c r="I160" s="12"/>
      <c r="J160" s="13">
        <v>0.25</v>
      </c>
      <c r="K160" s="12"/>
      <c r="L160" s="12"/>
      <c r="M160" s="12"/>
      <c r="N160" s="12"/>
      <c r="O160" s="13">
        <v>0.1</v>
      </c>
      <c r="P160" s="13">
        <v>0.18</v>
      </c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5"/>
    </row>
    <row r="161" ht="22.5" customHeight="1">
      <c r="A161" s="16">
        <v>382.0</v>
      </c>
      <c r="B161" s="10" t="s">
        <v>594</v>
      </c>
      <c r="C161" s="10" t="s">
        <v>137</v>
      </c>
      <c r="D161" s="17">
        <v>1.0</v>
      </c>
      <c r="E161" s="10" t="s">
        <v>147</v>
      </c>
      <c r="F161" s="10" t="s">
        <v>595</v>
      </c>
      <c r="G161" s="10" t="s">
        <v>596</v>
      </c>
      <c r="H161" s="10" t="s">
        <v>122</v>
      </c>
      <c r="I161" s="12"/>
      <c r="J161" s="13">
        <v>0.25</v>
      </c>
      <c r="K161" s="12"/>
      <c r="L161" s="12"/>
      <c r="M161" s="12"/>
      <c r="N161" s="12"/>
      <c r="O161" s="13">
        <v>0.15</v>
      </c>
      <c r="P161" s="13">
        <v>0.02</v>
      </c>
      <c r="Q161" s="13">
        <v>0.03</v>
      </c>
      <c r="R161" s="13">
        <v>0.02</v>
      </c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5"/>
    </row>
    <row r="162" ht="22.5" customHeight="1">
      <c r="A162" s="16">
        <v>82.0</v>
      </c>
      <c r="B162" s="10" t="s">
        <v>597</v>
      </c>
      <c r="C162" s="10" t="s">
        <v>137</v>
      </c>
      <c r="D162" s="17">
        <v>1.0</v>
      </c>
      <c r="E162" s="10" t="s">
        <v>147</v>
      </c>
      <c r="F162" s="10" t="s">
        <v>598</v>
      </c>
      <c r="G162" s="10" t="s">
        <v>599</v>
      </c>
      <c r="H162" s="10" t="s">
        <v>122</v>
      </c>
      <c r="I162" s="12"/>
      <c r="J162" s="13">
        <v>0.25</v>
      </c>
      <c r="K162" s="12"/>
      <c r="L162" s="12"/>
      <c r="M162" s="12"/>
      <c r="N162" s="12"/>
      <c r="O162" s="13">
        <v>0.04</v>
      </c>
      <c r="P162" s="13">
        <v>0.24</v>
      </c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5"/>
    </row>
    <row r="163" ht="22.5" customHeight="1">
      <c r="A163" s="16">
        <v>518.0</v>
      </c>
      <c r="B163" s="10" t="s">
        <v>600</v>
      </c>
      <c r="C163" s="10" t="s">
        <v>137</v>
      </c>
      <c r="D163" s="17">
        <v>1.0</v>
      </c>
      <c r="E163" s="10" t="s">
        <v>147</v>
      </c>
      <c r="F163" s="10" t="s">
        <v>601</v>
      </c>
      <c r="G163" s="10" t="s">
        <v>602</v>
      </c>
      <c r="H163" s="10" t="s">
        <v>122</v>
      </c>
      <c r="I163" s="12"/>
      <c r="J163" s="13">
        <v>0.25</v>
      </c>
      <c r="K163" s="12"/>
      <c r="L163" s="12"/>
      <c r="M163" s="12"/>
      <c r="N163" s="12"/>
      <c r="O163" s="13">
        <v>0.17</v>
      </c>
      <c r="P163" s="13">
        <v>0.01</v>
      </c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5"/>
    </row>
    <row r="164" ht="22.5" customHeight="1">
      <c r="A164" s="16">
        <v>455.0</v>
      </c>
      <c r="B164" s="10" t="s">
        <v>603</v>
      </c>
      <c r="C164" s="10" t="s">
        <v>137</v>
      </c>
      <c r="D164" s="17">
        <v>1.0</v>
      </c>
      <c r="E164" s="10" t="s">
        <v>147</v>
      </c>
      <c r="F164" s="10" t="s">
        <v>604</v>
      </c>
      <c r="G164" s="10" t="s">
        <v>605</v>
      </c>
      <c r="H164" s="10" t="s">
        <v>122</v>
      </c>
      <c r="I164" s="12"/>
      <c r="J164" s="13">
        <v>0.25</v>
      </c>
      <c r="K164" s="12"/>
      <c r="L164" s="12"/>
      <c r="M164" s="12"/>
      <c r="N164" s="12"/>
      <c r="O164" s="13">
        <v>0.01</v>
      </c>
      <c r="P164" s="13">
        <v>0.13</v>
      </c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5"/>
    </row>
    <row r="165" ht="22.5" customHeight="1">
      <c r="A165" s="16">
        <v>509.0</v>
      </c>
      <c r="B165" s="10" t="s">
        <v>606</v>
      </c>
      <c r="C165" s="10" t="s">
        <v>137</v>
      </c>
      <c r="D165" s="17">
        <v>1.0</v>
      </c>
      <c r="E165" s="10" t="s">
        <v>147</v>
      </c>
      <c r="F165" s="10" t="s">
        <v>607</v>
      </c>
      <c r="G165" s="10" t="s">
        <v>608</v>
      </c>
      <c r="H165" s="10" t="s">
        <v>122</v>
      </c>
      <c r="I165" s="12"/>
      <c r="J165" s="13">
        <v>0.25</v>
      </c>
      <c r="K165" s="12"/>
      <c r="L165" s="12"/>
      <c r="M165" s="12"/>
      <c r="N165" s="12"/>
      <c r="O165" s="13">
        <v>0.04</v>
      </c>
      <c r="P165" s="13">
        <v>0.11</v>
      </c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5"/>
    </row>
    <row r="166" ht="22.5" customHeight="1">
      <c r="A166" s="16">
        <v>656.0</v>
      </c>
      <c r="B166" s="10" t="s">
        <v>609</v>
      </c>
      <c r="C166" s="10" t="s">
        <v>137</v>
      </c>
      <c r="D166" s="17">
        <v>1.0</v>
      </c>
      <c r="E166" s="10" t="s">
        <v>147</v>
      </c>
      <c r="F166" s="10" t="s">
        <v>610</v>
      </c>
      <c r="G166" s="10" t="s">
        <v>611</v>
      </c>
      <c r="H166" s="10" t="s">
        <v>122</v>
      </c>
      <c r="I166" s="12"/>
      <c r="J166" s="13">
        <v>0.25</v>
      </c>
      <c r="K166" s="12"/>
      <c r="L166" s="12"/>
      <c r="M166" s="12"/>
      <c r="N166" s="12"/>
      <c r="O166" s="13">
        <v>0.04</v>
      </c>
      <c r="P166" s="13">
        <v>0.17</v>
      </c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5"/>
    </row>
    <row r="167" ht="22.5" customHeight="1">
      <c r="A167" s="16">
        <v>367.0</v>
      </c>
      <c r="B167" s="10" t="s">
        <v>612</v>
      </c>
      <c r="C167" s="10" t="s">
        <v>137</v>
      </c>
      <c r="D167" s="17">
        <v>1.0</v>
      </c>
      <c r="E167" s="10" t="s">
        <v>147</v>
      </c>
      <c r="F167" s="10" t="s">
        <v>613</v>
      </c>
      <c r="G167" s="10" t="s">
        <v>614</v>
      </c>
      <c r="H167" s="10" t="s">
        <v>122</v>
      </c>
      <c r="I167" s="12"/>
      <c r="J167" s="13">
        <v>0.25</v>
      </c>
      <c r="K167" s="12"/>
      <c r="L167" s="12"/>
      <c r="M167" s="12"/>
      <c r="N167" s="12"/>
      <c r="O167" s="13">
        <v>0.05</v>
      </c>
      <c r="P167" s="13">
        <v>0.0</v>
      </c>
      <c r="Q167" s="13">
        <v>0.08</v>
      </c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5"/>
    </row>
    <row r="168" ht="22.5" customHeight="1">
      <c r="A168" s="16">
        <v>533.0</v>
      </c>
      <c r="B168" s="10" t="s">
        <v>615</v>
      </c>
      <c r="C168" s="10" t="s">
        <v>137</v>
      </c>
      <c r="D168" s="17">
        <v>1.0</v>
      </c>
      <c r="E168" s="10" t="s">
        <v>147</v>
      </c>
      <c r="F168" s="10" t="s">
        <v>616</v>
      </c>
      <c r="G168" s="10" t="s">
        <v>617</v>
      </c>
      <c r="H168" s="10" t="s">
        <v>122</v>
      </c>
      <c r="I168" s="12"/>
      <c r="J168" s="13">
        <v>0.25</v>
      </c>
      <c r="K168" s="12"/>
      <c r="L168" s="12"/>
      <c r="M168" s="12"/>
      <c r="N168" s="12"/>
      <c r="O168" s="13">
        <v>0.05</v>
      </c>
      <c r="P168" s="13">
        <v>0.12</v>
      </c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5"/>
    </row>
    <row r="169" ht="22.5" customHeight="1">
      <c r="A169" s="16">
        <v>492.0</v>
      </c>
      <c r="B169" s="10" t="s">
        <v>618</v>
      </c>
      <c r="C169" s="10" t="s">
        <v>137</v>
      </c>
      <c r="D169" s="17">
        <v>1.0</v>
      </c>
      <c r="E169" s="10" t="s">
        <v>147</v>
      </c>
      <c r="F169" s="10" t="s">
        <v>619</v>
      </c>
      <c r="G169" s="10" t="s">
        <v>620</v>
      </c>
      <c r="H169" s="10" t="s">
        <v>122</v>
      </c>
      <c r="I169" s="12"/>
      <c r="J169" s="13">
        <v>0.25</v>
      </c>
      <c r="K169" s="12"/>
      <c r="L169" s="12"/>
      <c r="M169" s="12"/>
      <c r="N169" s="12"/>
      <c r="O169" s="13">
        <v>0.07</v>
      </c>
      <c r="P169" s="13">
        <v>0.07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5"/>
    </row>
    <row r="170" ht="22.5" customHeight="1">
      <c r="A170" s="16">
        <v>652.0</v>
      </c>
      <c r="B170" s="10" t="s">
        <v>621</v>
      </c>
      <c r="C170" s="10" t="s">
        <v>137</v>
      </c>
      <c r="D170" s="17">
        <v>1.0</v>
      </c>
      <c r="E170" s="10" t="s">
        <v>147</v>
      </c>
      <c r="F170" s="10" t="s">
        <v>622</v>
      </c>
      <c r="G170" s="10" t="s">
        <v>623</v>
      </c>
      <c r="H170" s="10" t="s">
        <v>122</v>
      </c>
      <c r="I170" s="12"/>
      <c r="J170" s="13">
        <v>0.25</v>
      </c>
      <c r="K170" s="12"/>
      <c r="L170" s="12"/>
      <c r="M170" s="12"/>
      <c r="N170" s="12"/>
      <c r="O170" s="13">
        <v>0.07</v>
      </c>
      <c r="P170" s="13">
        <v>0.07</v>
      </c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5"/>
    </row>
    <row r="171" ht="22.5" customHeight="1">
      <c r="A171" s="16">
        <v>648.0</v>
      </c>
      <c r="B171" s="10" t="s">
        <v>624</v>
      </c>
      <c r="C171" s="10" t="s">
        <v>137</v>
      </c>
      <c r="D171" s="17">
        <v>1.0</v>
      </c>
      <c r="E171" s="10" t="s">
        <v>147</v>
      </c>
      <c r="F171" s="10" t="s">
        <v>625</v>
      </c>
      <c r="G171" s="10" t="s">
        <v>626</v>
      </c>
      <c r="H171" s="10" t="s">
        <v>122</v>
      </c>
      <c r="I171" s="12"/>
      <c r="J171" s="13">
        <v>0.25</v>
      </c>
      <c r="K171" s="12"/>
      <c r="L171" s="12"/>
      <c r="M171" s="12"/>
      <c r="N171" s="12"/>
      <c r="O171" s="13">
        <v>0.08</v>
      </c>
      <c r="P171" s="13">
        <v>0.14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5"/>
    </row>
    <row r="172" ht="22.5" customHeight="1">
      <c r="A172" s="16">
        <v>159.0</v>
      </c>
      <c r="B172" s="10" t="s">
        <v>627</v>
      </c>
      <c r="C172" s="10" t="s">
        <v>137</v>
      </c>
      <c r="D172" s="17">
        <v>1.0</v>
      </c>
      <c r="E172" s="10" t="s">
        <v>147</v>
      </c>
      <c r="F172" s="10" t="s">
        <v>628</v>
      </c>
      <c r="G172" s="10" t="s">
        <v>629</v>
      </c>
      <c r="H172" s="10" t="s">
        <v>122</v>
      </c>
      <c r="I172" s="12"/>
      <c r="J172" s="13">
        <v>0.26</v>
      </c>
      <c r="K172" s="12"/>
      <c r="L172" s="12"/>
      <c r="M172" s="12"/>
      <c r="N172" s="12"/>
      <c r="O172" s="13">
        <v>0.0</v>
      </c>
      <c r="P172" s="13">
        <v>0.17</v>
      </c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5"/>
    </row>
    <row r="173" ht="22.5" customHeight="1">
      <c r="A173" s="16">
        <v>176.0</v>
      </c>
      <c r="B173" s="10" t="s">
        <v>630</v>
      </c>
      <c r="C173" s="10" t="s">
        <v>137</v>
      </c>
      <c r="D173" s="17">
        <v>1.0</v>
      </c>
      <c r="E173" s="10" t="s">
        <v>147</v>
      </c>
      <c r="F173" s="10" t="s">
        <v>631</v>
      </c>
      <c r="G173" s="10" t="s">
        <v>632</v>
      </c>
      <c r="H173" s="10" t="s">
        <v>122</v>
      </c>
      <c r="I173" s="12"/>
      <c r="J173" s="13">
        <v>0.26</v>
      </c>
      <c r="K173" s="12"/>
      <c r="L173" s="12"/>
      <c r="M173" s="12"/>
      <c r="N173" s="12"/>
      <c r="O173" s="13">
        <v>0.01</v>
      </c>
      <c r="P173" s="13">
        <v>0.12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5"/>
    </row>
    <row r="174" ht="22.5" customHeight="1">
      <c r="A174" s="16">
        <v>619.0</v>
      </c>
      <c r="B174" s="10" t="s">
        <v>633</v>
      </c>
      <c r="C174" s="10" t="s">
        <v>137</v>
      </c>
      <c r="D174" s="17">
        <v>1.0</v>
      </c>
      <c r="E174" s="10" t="s">
        <v>147</v>
      </c>
      <c r="F174" s="10" t="s">
        <v>634</v>
      </c>
      <c r="G174" s="10" t="s">
        <v>635</v>
      </c>
      <c r="H174" s="10" t="s">
        <v>122</v>
      </c>
      <c r="I174" s="12"/>
      <c r="J174" s="13">
        <v>0.26</v>
      </c>
      <c r="K174" s="12"/>
      <c r="L174" s="12"/>
      <c r="M174" s="12"/>
      <c r="N174" s="12"/>
      <c r="O174" s="13">
        <v>0.07</v>
      </c>
      <c r="P174" s="13">
        <v>0.06</v>
      </c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5"/>
    </row>
    <row r="175" ht="22.5" customHeight="1">
      <c r="A175" s="16">
        <v>514.0</v>
      </c>
      <c r="B175" s="10" t="s">
        <v>636</v>
      </c>
      <c r="C175" s="10" t="s">
        <v>137</v>
      </c>
      <c r="D175" s="17">
        <v>1.0</v>
      </c>
      <c r="E175" s="10" t="s">
        <v>147</v>
      </c>
      <c r="F175" s="10" t="s">
        <v>637</v>
      </c>
      <c r="G175" s="10" t="s">
        <v>638</v>
      </c>
      <c r="H175" s="10" t="s">
        <v>122</v>
      </c>
      <c r="I175" s="12"/>
      <c r="J175" s="13">
        <v>0.26</v>
      </c>
      <c r="K175" s="12"/>
      <c r="L175" s="12"/>
      <c r="M175" s="12"/>
      <c r="N175" s="12"/>
      <c r="O175" s="13">
        <v>0.01</v>
      </c>
      <c r="P175" s="13">
        <v>0.11</v>
      </c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5"/>
    </row>
    <row r="176" ht="22.5" customHeight="1">
      <c r="A176" s="16">
        <v>512.0</v>
      </c>
      <c r="B176" s="10" t="s">
        <v>639</v>
      </c>
      <c r="C176" s="10" t="s">
        <v>137</v>
      </c>
      <c r="D176" s="17">
        <v>1.0</v>
      </c>
      <c r="E176" s="10" t="s">
        <v>147</v>
      </c>
      <c r="F176" s="10" t="s">
        <v>640</v>
      </c>
      <c r="G176" s="10" t="s">
        <v>641</v>
      </c>
      <c r="H176" s="10" t="s">
        <v>122</v>
      </c>
      <c r="I176" s="12"/>
      <c r="J176" s="13">
        <v>0.26</v>
      </c>
      <c r="K176" s="12"/>
      <c r="L176" s="12"/>
      <c r="M176" s="12"/>
      <c r="N176" s="12"/>
      <c r="O176" s="13">
        <v>0.05</v>
      </c>
      <c r="P176" s="13">
        <v>0.11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5"/>
    </row>
    <row r="177" ht="22.5" customHeight="1">
      <c r="A177" s="16">
        <v>476.0</v>
      </c>
      <c r="B177" s="10" t="s">
        <v>642</v>
      </c>
      <c r="C177" s="10" t="s">
        <v>137</v>
      </c>
      <c r="D177" s="17">
        <v>1.0</v>
      </c>
      <c r="E177" s="10" t="s">
        <v>147</v>
      </c>
      <c r="F177" s="10" t="s">
        <v>643</v>
      </c>
      <c r="G177" s="10" t="s">
        <v>644</v>
      </c>
      <c r="H177" s="10" t="s">
        <v>122</v>
      </c>
      <c r="I177" s="12"/>
      <c r="J177" s="13">
        <v>0.26</v>
      </c>
      <c r="K177" s="12"/>
      <c r="L177" s="12"/>
      <c r="M177" s="12"/>
      <c r="N177" s="12"/>
      <c r="O177" s="13">
        <v>0.09</v>
      </c>
      <c r="P177" s="13">
        <v>0.09</v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5"/>
    </row>
    <row r="178" ht="22.5" customHeight="1">
      <c r="A178" s="16">
        <v>136.0</v>
      </c>
      <c r="B178" s="10" t="s">
        <v>645</v>
      </c>
      <c r="C178" s="10" t="s">
        <v>137</v>
      </c>
      <c r="D178" s="17">
        <v>1.0</v>
      </c>
      <c r="E178" s="10" t="s">
        <v>147</v>
      </c>
      <c r="F178" s="10" t="s">
        <v>646</v>
      </c>
      <c r="G178" s="10" t="s">
        <v>647</v>
      </c>
      <c r="H178" s="10" t="s">
        <v>122</v>
      </c>
      <c r="I178" s="12"/>
      <c r="J178" s="13">
        <v>0.27</v>
      </c>
      <c r="K178" s="12"/>
      <c r="L178" s="12"/>
      <c r="M178" s="12"/>
      <c r="N178" s="12"/>
      <c r="O178" s="13">
        <v>0.17</v>
      </c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5"/>
    </row>
    <row r="179" ht="22.5" customHeight="1">
      <c r="A179" s="16">
        <v>630.0</v>
      </c>
      <c r="B179" s="10" t="s">
        <v>648</v>
      </c>
      <c r="C179" s="10" t="s">
        <v>137</v>
      </c>
      <c r="D179" s="17">
        <v>1.0</v>
      </c>
      <c r="E179" s="10" t="s">
        <v>147</v>
      </c>
      <c r="F179" s="10" t="s">
        <v>649</v>
      </c>
      <c r="G179" s="10" t="s">
        <v>650</v>
      </c>
      <c r="H179" s="10" t="s">
        <v>122</v>
      </c>
      <c r="I179" s="12"/>
      <c r="J179" s="13">
        <v>0.27</v>
      </c>
      <c r="K179" s="12"/>
      <c r="L179" s="12"/>
      <c r="M179" s="12"/>
      <c r="N179" s="12"/>
      <c r="O179" s="13">
        <v>0.0</v>
      </c>
      <c r="P179" s="13">
        <v>0.14</v>
      </c>
      <c r="Q179" s="12"/>
      <c r="R179" s="12"/>
      <c r="S179" s="13">
        <v>0.05</v>
      </c>
      <c r="T179" s="12"/>
      <c r="U179" s="12"/>
      <c r="V179" s="12"/>
      <c r="W179" s="12"/>
      <c r="X179" s="12"/>
      <c r="Y179" s="12"/>
      <c r="Z179" s="13">
        <v>0.02</v>
      </c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5"/>
    </row>
    <row r="180" ht="22.5" customHeight="1">
      <c r="A180" s="16">
        <v>385.0</v>
      </c>
      <c r="B180" s="10" t="s">
        <v>651</v>
      </c>
      <c r="C180" s="10" t="s">
        <v>137</v>
      </c>
      <c r="D180" s="17">
        <v>1.0</v>
      </c>
      <c r="E180" s="10" t="s">
        <v>147</v>
      </c>
      <c r="F180" s="10" t="s">
        <v>652</v>
      </c>
      <c r="G180" s="10" t="s">
        <v>653</v>
      </c>
      <c r="H180" s="10" t="s">
        <v>122</v>
      </c>
      <c r="I180" s="14">
        <v>0.008</v>
      </c>
      <c r="J180" s="13">
        <v>0.27</v>
      </c>
      <c r="K180" s="12"/>
      <c r="L180" s="12"/>
      <c r="M180" s="12"/>
      <c r="N180" s="12"/>
      <c r="O180" s="13">
        <v>0.0</v>
      </c>
      <c r="P180" s="13">
        <v>0.15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5"/>
    </row>
    <row r="181" ht="22.5" customHeight="1">
      <c r="A181" s="16">
        <v>445.0</v>
      </c>
      <c r="B181" s="10" t="s">
        <v>654</v>
      </c>
      <c r="C181" s="10" t="s">
        <v>137</v>
      </c>
      <c r="D181" s="17">
        <v>1.0</v>
      </c>
      <c r="E181" s="10" t="s">
        <v>147</v>
      </c>
      <c r="F181" s="10" t="s">
        <v>655</v>
      </c>
      <c r="G181" s="10" t="s">
        <v>656</v>
      </c>
      <c r="H181" s="10" t="s">
        <v>122</v>
      </c>
      <c r="I181" s="12"/>
      <c r="J181" s="13">
        <v>0.27</v>
      </c>
      <c r="K181" s="12"/>
      <c r="L181" s="12"/>
      <c r="M181" s="12"/>
      <c r="N181" s="12"/>
      <c r="O181" s="13">
        <v>0.01</v>
      </c>
      <c r="P181" s="13">
        <v>0.12</v>
      </c>
      <c r="Q181" s="13">
        <v>0.02</v>
      </c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5"/>
    </row>
    <row r="182" ht="22.5" customHeight="1">
      <c r="A182" s="16">
        <v>475.0</v>
      </c>
      <c r="B182" s="10" t="s">
        <v>657</v>
      </c>
      <c r="C182" s="10" t="s">
        <v>137</v>
      </c>
      <c r="D182" s="17">
        <v>1.0</v>
      </c>
      <c r="E182" s="10" t="s">
        <v>147</v>
      </c>
      <c r="F182" s="10" t="s">
        <v>658</v>
      </c>
      <c r="G182" s="10" t="s">
        <v>659</v>
      </c>
      <c r="H182" s="10" t="s">
        <v>122</v>
      </c>
      <c r="I182" s="12"/>
      <c r="J182" s="13">
        <v>0.27</v>
      </c>
      <c r="K182" s="12"/>
      <c r="L182" s="12"/>
      <c r="M182" s="12"/>
      <c r="N182" s="12"/>
      <c r="O182" s="13">
        <v>0.01</v>
      </c>
      <c r="P182" s="13">
        <v>0.07</v>
      </c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5"/>
    </row>
    <row r="183" ht="22.5" customHeight="1">
      <c r="A183" s="16">
        <v>653.0</v>
      </c>
      <c r="B183" s="10" t="s">
        <v>660</v>
      </c>
      <c r="C183" s="10" t="s">
        <v>137</v>
      </c>
      <c r="D183" s="17">
        <v>1.0</v>
      </c>
      <c r="E183" s="10" t="s">
        <v>147</v>
      </c>
      <c r="F183" s="10" t="s">
        <v>661</v>
      </c>
      <c r="G183" s="10" t="s">
        <v>662</v>
      </c>
      <c r="H183" s="10" t="s">
        <v>122</v>
      </c>
      <c r="I183" s="12"/>
      <c r="J183" s="13">
        <v>0.27</v>
      </c>
      <c r="K183" s="12"/>
      <c r="L183" s="12"/>
      <c r="M183" s="12"/>
      <c r="N183" s="12"/>
      <c r="O183" s="13">
        <v>0.01</v>
      </c>
      <c r="P183" s="13">
        <v>0.08</v>
      </c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5"/>
    </row>
    <row r="184" ht="22.5" customHeight="1">
      <c r="A184" s="16">
        <v>642.0</v>
      </c>
      <c r="B184" s="10" t="s">
        <v>663</v>
      </c>
      <c r="C184" s="10" t="s">
        <v>137</v>
      </c>
      <c r="D184" s="17">
        <v>1.0</v>
      </c>
      <c r="E184" s="10" t="s">
        <v>147</v>
      </c>
      <c r="F184" s="10" t="s">
        <v>664</v>
      </c>
      <c r="G184" s="10" t="s">
        <v>665</v>
      </c>
      <c r="H184" s="10" t="s">
        <v>122</v>
      </c>
      <c r="I184" s="12"/>
      <c r="J184" s="13">
        <v>0.27</v>
      </c>
      <c r="K184" s="12"/>
      <c r="L184" s="12"/>
      <c r="M184" s="12"/>
      <c r="N184" s="12"/>
      <c r="O184" s="13">
        <v>0.03</v>
      </c>
      <c r="P184" s="13">
        <v>0.12</v>
      </c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5"/>
    </row>
    <row r="185" ht="22.5" customHeight="1">
      <c r="A185" s="16">
        <v>536.0</v>
      </c>
      <c r="B185" s="10" t="s">
        <v>666</v>
      </c>
      <c r="C185" s="10" t="s">
        <v>137</v>
      </c>
      <c r="D185" s="17">
        <v>1.0</v>
      </c>
      <c r="E185" s="10" t="s">
        <v>147</v>
      </c>
      <c r="F185" s="10" t="s">
        <v>667</v>
      </c>
      <c r="G185" s="10" t="s">
        <v>668</v>
      </c>
      <c r="H185" s="10" t="s">
        <v>122</v>
      </c>
      <c r="I185" s="12"/>
      <c r="J185" s="13">
        <v>0.27</v>
      </c>
      <c r="K185" s="12"/>
      <c r="L185" s="12"/>
      <c r="M185" s="12"/>
      <c r="N185" s="12"/>
      <c r="O185" s="13">
        <v>0.03</v>
      </c>
      <c r="P185" s="13">
        <v>0.03</v>
      </c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5"/>
    </row>
    <row r="186" ht="22.5" customHeight="1">
      <c r="A186" s="16">
        <v>438.0</v>
      </c>
      <c r="B186" s="10" t="s">
        <v>669</v>
      </c>
      <c r="C186" s="10" t="s">
        <v>137</v>
      </c>
      <c r="D186" s="17">
        <v>1.0</v>
      </c>
      <c r="E186" s="10" t="s">
        <v>147</v>
      </c>
      <c r="F186" s="10" t="s">
        <v>670</v>
      </c>
      <c r="G186" s="10" t="s">
        <v>671</v>
      </c>
      <c r="H186" s="10" t="s">
        <v>122</v>
      </c>
      <c r="I186" s="12"/>
      <c r="J186" s="13">
        <v>0.27</v>
      </c>
      <c r="K186" s="12"/>
      <c r="L186" s="12"/>
      <c r="M186" s="12"/>
      <c r="N186" s="12"/>
      <c r="O186" s="13">
        <v>0.04</v>
      </c>
      <c r="P186" s="13">
        <v>0.03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5"/>
    </row>
    <row r="187" ht="22.5" customHeight="1">
      <c r="A187" s="16">
        <v>606.0</v>
      </c>
      <c r="B187" s="10" t="s">
        <v>672</v>
      </c>
      <c r="C187" s="10" t="s">
        <v>137</v>
      </c>
      <c r="D187" s="17">
        <v>1.0</v>
      </c>
      <c r="E187" s="10" t="s">
        <v>147</v>
      </c>
      <c r="F187" s="10" t="s">
        <v>673</v>
      </c>
      <c r="G187" s="10" t="s">
        <v>674</v>
      </c>
      <c r="H187" s="10" t="s">
        <v>122</v>
      </c>
      <c r="I187" s="12"/>
      <c r="J187" s="13">
        <v>0.27</v>
      </c>
      <c r="K187" s="12"/>
      <c r="L187" s="12"/>
      <c r="M187" s="12"/>
      <c r="N187" s="12"/>
      <c r="O187" s="13">
        <v>0.06</v>
      </c>
      <c r="P187" s="13">
        <v>0.13</v>
      </c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5"/>
    </row>
    <row r="188" ht="22.5" customHeight="1">
      <c r="A188" s="16">
        <v>480.0</v>
      </c>
      <c r="B188" s="10" t="s">
        <v>675</v>
      </c>
      <c r="C188" s="10" t="s">
        <v>137</v>
      </c>
      <c r="D188" s="17">
        <v>1.0</v>
      </c>
      <c r="E188" s="10" t="s">
        <v>147</v>
      </c>
      <c r="F188" s="10" t="s">
        <v>676</v>
      </c>
      <c r="G188" s="10" t="s">
        <v>677</v>
      </c>
      <c r="H188" s="10" t="s">
        <v>122</v>
      </c>
      <c r="I188" s="12"/>
      <c r="J188" s="13">
        <v>0.27</v>
      </c>
      <c r="K188" s="12"/>
      <c r="L188" s="12"/>
      <c r="M188" s="12"/>
      <c r="N188" s="12"/>
      <c r="O188" s="13">
        <v>0.06</v>
      </c>
      <c r="P188" s="13">
        <v>0.09</v>
      </c>
      <c r="Q188" s="12"/>
      <c r="R188" s="12"/>
      <c r="S188" s="13">
        <v>0.1</v>
      </c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5"/>
    </row>
    <row r="189" ht="22.5" customHeight="1">
      <c r="A189" s="16">
        <v>299.0</v>
      </c>
      <c r="B189" s="10" t="s">
        <v>678</v>
      </c>
      <c r="C189" s="10" t="s">
        <v>137</v>
      </c>
      <c r="D189" s="17">
        <v>1.0</v>
      </c>
      <c r="E189" s="10" t="s">
        <v>147</v>
      </c>
      <c r="F189" s="10" t="s">
        <v>679</v>
      </c>
      <c r="G189" s="10" t="s">
        <v>680</v>
      </c>
      <c r="H189" s="10" t="s">
        <v>122</v>
      </c>
      <c r="I189" s="12"/>
      <c r="J189" s="13">
        <v>0.28</v>
      </c>
      <c r="K189" s="12"/>
      <c r="L189" s="12"/>
      <c r="M189" s="12"/>
      <c r="N189" s="12"/>
      <c r="O189" s="13">
        <v>0.0</v>
      </c>
      <c r="P189" s="13">
        <v>0.06</v>
      </c>
      <c r="Q189" s="13">
        <v>0.02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5"/>
    </row>
    <row r="190" ht="22.5" customHeight="1">
      <c r="A190" s="16">
        <v>312.0</v>
      </c>
      <c r="B190" s="10" t="s">
        <v>681</v>
      </c>
      <c r="C190" s="10" t="s">
        <v>137</v>
      </c>
      <c r="D190" s="17">
        <v>1.0</v>
      </c>
      <c r="E190" s="10" t="s">
        <v>147</v>
      </c>
      <c r="F190" s="10" t="s">
        <v>682</v>
      </c>
      <c r="G190" s="10" t="s">
        <v>683</v>
      </c>
      <c r="H190" s="10" t="s">
        <v>122</v>
      </c>
      <c r="I190" s="12"/>
      <c r="J190" s="13">
        <v>0.28</v>
      </c>
      <c r="K190" s="12"/>
      <c r="L190" s="12"/>
      <c r="M190" s="12"/>
      <c r="N190" s="12"/>
      <c r="O190" s="13">
        <v>0.0</v>
      </c>
      <c r="P190" s="13">
        <v>0.09</v>
      </c>
      <c r="Q190" s="13">
        <v>0.02</v>
      </c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5"/>
    </row>
    <row r="191" ht="22.5" customHeight="1">
      <c r="A191" s="16">
        <v>165.0</v>
      </c>
      <c r="B191" s="10" t="s">
        <v>684</v>
      </c>
      <c r="C191" s="10" t="s">
        <v>137</v>
      </c>
      <c r="D191" s="17">
        <v>1.0</v>
      </c>
      <c r="E191" s="10" t="s">
        <v>147</v>
      </c>
      <c r="F191" s="10" t="s">
        <v>685</v>
      </c>
      <c r="G191" s="10" t="s">
        <v>686</v>
      </c>
      <c r="H191" s="10" t="s">
        <v>122</v>
      </c>
      <c r="I191" s="12"/>
      <c r="J191" s="13">
        <v>0.28</v>
      </c>
      <c r="K191" s="12"/>
      <c r="L191" s="12"/>
      <c r="M191" s="12"/>
      <c r="N191" s="12"/>
      <c r="O191" s="13">
        <v>0.01</v>
      </c>
      <c r="P191" s="13">
        <v>0.12</v>
      </c>
      <c r="Q191" s="13">
        <v>0.02</v>
      </c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5"/>
    </row>
    <row r="192" ht="22.5" customHeight="1">
      <c r="A192" s="16">
        <v>303.0</v>
      </c>
      <c r="B192" s="10" t="s">
        <v>687</v>
      </c>
      <c r="C192" s="10" t="s">
        <v>137</v>
      </c>
      <c r="D192" s="17">
        <v>1.0</v>
      </c>
      <c r="E192" s="10" t="s">
        <v>147</v>
      </c>
      <c r="F192" s="10" t="s">
        <v>688</v>
      </c>
      <c r="G192" s="10" t="s">
        <v>689</v>
      </c>
      <c r="H192" s="10" t="s">
        <v>122</v>
      </c>
      <c r="I192" s="12"/>
      <c r="J192" s="13">
        <v>0.28</v>
      </c>
      <c r="K192" s="12"/>
      <c r="L192" s="12"/>
      <c r="M192" s="12"/>
      <c r="N192" s="12"/>
      <c r="O192" s="13">
        <v>0.01</v>
      </c>
      <c r="P192" s="13">
        <v>0.06</v>
      </c>
      <c r="Q192" s="13">
        <v>0.02</v>
      </c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5"/>
    </row>
    <row r="193" ht="22.5" customHeight="1">
      <c r="A193" s="16">
        <v>352.0</v>
      </c>
      <c r="B193" s="10" t="s">
        <v>690</v>
      </c>
      <c r="C193" s="10" t="s">
        <v>137</v>
      </c>
      <c r="D193" s="17">
        <v>1.0</v>
      </c>
      <c r="E193" s="10" t="s">
        <v>147</v>
      </c>
      <c r="F193" s="10" t="s">
        <v>691</v>
      </c>
      <c r="G193" s="10" t="s">
        <v>692</v>
      </c>
      <c r="H193" s="10" t="s">
        <v>122</v>
      </c>
      <c r="I193" s="13">
        <v>0.01</v>
      </c>
      <c r="J193" s="13">
        <v>0.28</v>
      </c>
      <c r="K193" s="12"/>
      <c r="L193" s="12"/>
      <c r="M193" s="12"/>
      <c r="N193" s="12"/>
      <c r="O193" s="13">
        <v>0.01</v>
      </c>
      <c r="P193" s="13">
        <v>0.06</v>
      </c>
      <c r="Q193" s="12"/>
      <c r="R193" s="12"/>
      <c r="S193" s="13">
        <v>0.05</v>
      </c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5"/>
    </row>
    <row r="194" ht="22.5" customHeight="1">
      <c r="A194" s="16">
        <v>620.0</v>
      </c>
      <c r="B194" s="10" t="s">
        <v>693</v>
      </c>
      <c r="C194" s="10" t="s">
        <v>137</v>
      </c>
      <c r="D194" s="17">
        <v>1.0</v>
      </c>
      <c r="E194" s="10" t="s">
        <v>147</v>
      </c>
      <c r="F194" s="10" t="s">
        <v>694</v>
      </c>
      <c r="G194" s="10" t="s">
        <v>695</v>
      </c>
      <c r="H194" s="10" t="s">
        <v>122</v>
      </c>
      <c r="I194" s="12"/>
      <c r="J194" s="13">
        <v>0.28</v>
      </c>
      <c r="K194" s="12"/>
      <c r="L194" s="12"/>
      <c r="M194" s="12"/>
      <c r="N194" s="12"/>
      <c r="O194" s="13">
        <v>0.01</v>
      </c>
      <c r="P194" s="13">
        <v>0.07</v>
      </c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5"/>
    </row>
    <row r="195" ht="22.5" customHeight="1">
      <c r="A195" s="16">
        <v>617.0</v>
      </c>
      <c r="B195" s="10" t="s">
        <v>696</v>
      </c>
      <c r="C195" s="10" t="s">
        <v>137</v>
      </c>
      <c r="D195" s="17">
        <v>1.0</v>
      </c>
      <c r="E195" s="10" t="s">
        <v>147</v>
      </c>
      <c r="F195" s="10" t="s">
        <v>697</v>
      </c>
      <c r="G195" s="10" t="s">
        <v>698</v>
      </c>
      <c r="H195" s="10" t="s">
        <v>122</v>
      </c>
      <c r="I195" s="12"/>
      <c r="J195" s="13">
        <v>0.28</v>
      </c>
      <c r="K195" s="12"/>
      <c r="L195" s="12"/>
      <c r="M195" s="12"/>
      <c r="N195" s="12"/>
      <c r="O195" s="13">
        <v>0.01</v>
      </c>
      <c r="P195" s="13">
        <v>0.08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5"/>
    </row>
    <row r="196" ht="22.5" customHeight="1">
      <c r="A196" s="16">
        <v>513.0</v>
      </c>
      <c r="B196" s="10" t="s">
        <v>699</v>
      </c>
      <c r="C196" s="10" t="s">
        <v>137</v>
      </c>
      <c r="D196" s="17">
        <v>1.0</v>
      </c>
      <c r="E196" s="10" t="s">
        <v>147</v>
      </c>
      <c r="F196" s="10" t="s">
        <v>700</v>
      </c>
      <c r="G196" s="10" t="s">
        <v>701</v>
      </c>
      <c r="H196" s="10" t="s">
        <v>122</v>
      </c>
      <c r="I196" s="12"/>
      <c r="J196" s="13">
        <v>0.28</v>
      </c>
      <c r="K196" s="12"/>
      <c r="L196" s="12"/>
      <c r="M196" s="12"/>
      <c r="N196" s="12"/>
      <c r="O196" s="13">
        <v>0.0</v>
      </c>
      <c r="P196" s="13">
        <v>0.12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5"/>
    </row>
    <row r="197" ht="22.5" customHeight="1">
      <c r="A197" s="16">
        <v>537.0</v>
      </c>
      <c r="B197" s="10" t="s">
        <v>702</v>
      </c>
      <c r="C197" s="10" t="s">
        <v>137</v>
      </c>
      <c r="D197" s="17">
        <v>1.0</v>
      </c>
      <c r="E197" s="10" t="s">
        <v>147</v>
      </c>
      <c r="F197" s="10" t="s">
        <v>703</v>
      </c>
      <c r="G197" s="10" t="s">
        <v>704</v>
      </c>
      <c r="H197" s="10" t="s">
        <v>122</v>
      </c>
      <c r="I197" s="12"/>
      <c r="J197" s="13">
        <v>0.28</v>
      </c>
      <c r="K197" s="12"/>
      <c r="L197" s="12"/>
      <c r="M197" s="12"/>
      <c r="N197" s="12"/>
      <c r="O197" s="13">
        <v>0.14</v>
      </c>
      <c r="P197" s="13">
        <v>0.1</v>
      </c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5"/>
    </row>
    <row r="198" ht="22.5" customHeight="1">
      <c r="A198" s="16">
        <v>432.0</v>
      </c>
      <c r="B198" s="10" t="s">
        <v>705</v>
      </c>
      <c r="C198" s="10" t="s">
        <v>137</v>
      </c>
      <c r="D198" s="17">
        <v>1.0</v>
      </c>
      <c r="E198" s="10" t="s">
        <v>147</v>
      </c>
      <c r="F198" s="10" t="s">
        <v>706</v>
      </c>
      <c r="G198" s="10" t="s">
        <v>707</v>
      </c>
      <c r="H198" s="10" t="s">
        <v>122</v>
      </c>
      <c r="I198" s="12"/>
      <c r="J198" s="13">
        <v>0.28</v>
      </c>
      <c r="K198" s="12"/>
      <c r="L198" s="12"/>
      <c r="M198" s="12"/>
      <c r="N198" s="12"/>
      <c r="O198" s="13">
        <v>0.01</v>
      </c>
      <c r="P198" s="13">
        <v>0.12</v>
      </c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5"/>
    </row>
    <row r="199" ht="22.5" customHeight="1">
      <c r="A199" s="16">
        <v>487.0</v>
      </c>
      <c r="B199" s="10" t="s">
        <v>708</v>
      </c>
      <c r="C199" s="10" t="s">
        <v>137</v>
      </c>
      <c r="D199" s="17">
        <v>1.0</v>
      </c>
      <c r="E199" s="10" t="s">
        <v>147</v>
      </c>
      <c r="F199" s="10" t="s">
        <v>709</v>
      </c>
      <c r="G199" s="10" t="s">
        <v>710</v>
      </c>
      <c r="H199" s="10" t="s">
        <v>122</v>
      </c>
      <c r="I199" s="12"/>
      <c r="J199" s="13">
        <v>0.28</v>
      </c>
      <c r="K199" s="12"/>
      <c r="L199" s="12"/>
      <c r="M199" s="12"/>
      <c r="N199" s="12"/>
      <c r="O199" s="13">
        <v>0.04</v>
      </c>
      <c r="P199" s="13">
        <v>0.15</v>
      </c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5"/>
    </row>
    <row r="200" ht="22.5" customHeight="1">
      <c r="A200" s="16">
        <v>469.0</v>
      </c>
      <c r="B200" s="10" t="s">
        <v>711</v>
      </c>
      <c r="C200" s="10" t="s">
        <v>137</v>
      </c>
      <c r="D200" s="17">
        <v>1.0</v>
      </c>
      <c r="E200" s="10" t="s">
        <v>147</v>
      </c>
      <c r="F200" s="10" t="s">
        <v>712</v>
      </c>
      <c r="G200" s="10" t="s">
        <v>713</v>
      </c>
      <c r="H200" s="10" t="s">
        <v>122</v>
      </c>
      <c r="I200" s="12"/>
      <c r="J200" s="13">
        <v>0.28</v>
      </c>
      <c r="K200" s="12"/>
      <c r="L200" s="12"/>
      <c r="M200" s="12"/>
      <c r="N200" s="12"/>
      <c r="O200" s="13">
        <v>0.05</v>
      </c>
      <c r="P200" s="13">
        <v>0.06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5"/>
    </row>
    <row r="201" ht="22.5" customHeight="1">
      <c r="A201" s="16">
        <v>527.0</v>
      </c>
      <c r="B201" s="10" t="s">
        <v>714</v>
      </c>
      <c r="C201" s="10" t="s">
        <v>137</v>
      </c>
      <c r="D201" s="17">
        <v>1.0</v>
      </c>
      <c r="E201" s="10" t="s">
        <v>147</v>
      </c>
      <c r="F201" s="10" t="s">
        <v>715</v>
      </c>
      <c r="G201" s="10" t="s">
        <v>716</v>
      </c>
      <c r="H201" s="10" t="s">
        <v>122</v>
      </c>
      <c r="I201" s="12"/>
      <c r="J201" s="13">
        <v>0.29</v>
      </c>
      <c r="K201" s="12"/>
      <c r="L201" s="12"/>
      <c r="M201" s="12"/>
      <c r="N201" s="12"/>
      <c r="O201" s="13">
        <v>0.0</v>
      </c>
      <c r="P201" s="13">
        <v>0.16</v>
      </c>
      <c r="Q201" s="12"/>
      <c r="R201" s="12"/>
      <c r="S201" s="13">
        <v>0.04</v>
      </c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5"/>
    </row>
    <row r="202" ht="22.5" customHeight="1">
      <c r="A202" s="16">
        <v>522.0</v>
      </c>
      <c r="B202" s="10" t="s">
        <v>717</v>
      </c>
      <c r="C202" s="10" t="s">
        <v>137</v>
      </c>
      <c r="D202" s="17">
        <v>1.0</v>
      </c>
      <c r="E202" s="10" t="s">
        <v>147</v>
      </c>
      <c r="F202" s="10" t="s">
        <v>718</v>
      </c>
      <c r="G202" s="10" t="s">
        <v>719</v>
      </c>
      <c r="H202" s="10" t="s">
        <v>122</v>
      </c>
      <c r="I202" s="12"/>
      <c r="J202" s="13">
        <v>0.29</v>
      </c>
      <c r="K202" s="12"/>
      <c r="L202" s="12"/>
      <c r="M202" s="12"/>
      <c r="N202" s="12"/>
      <c r="O202" s="13">
        <v>0.1</v>
      </c>
      <c r="P202" s="13">
        <v>0.1</v>
      </c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5"/>
    </row>
    <row r="203" ht="22.5" customHeight="1">
      <c r="A203" s="16">
        <v>417.0</v>
      </c>
      <c r="B203" s="10" t="s">
        <v>720</v>
      </c>
      <c r="C203" s="10" t="s">
        <v>137</v>
      </c>
      <c r="D203" s="17">
        <v>1.0</v>
      </c>
      <c r="E203" s="10" t="s">
        <v>147</v>
      </c>
      <c r="F203" s="10" t="s">
        <v>721</v>
      </c>
      <c r="G203" s="10" t="s">
        <v>722</v>
      </c>
      <c r="H203" s="10" t="s">
        <v>122</v>
      </c>
      <c r="I203" s="12"/>
      <c r="J203" s="13">
        <v>0.29</v>
      </c>
      <c r="K203" s="12"/>
      <c r="L203" s="12"/>
      <c r="M203" s="12"/>
      <c r="N203" s="12"/>
      <c r="O203" s="13">
        <v>0.03</v>
      </c>
      <c r="P203" s="13">
        <v>0.15</v>
      </c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5"/>
    </row>
    <row r="204" ht="22.5" customHeight="1">
      <c r="A204" s="16">
        <v>163.0</v>
      </c>
      <c r="B204" s="10" t="s">
        <v>723</v>
      </c>
      <c r="C204" s="10" t="s">
        <v>137</v>
      </c>
      <c r="D204" s="17">
        <v>1.0</v>
      </c>
      <c r="E204" s="10" t="s">
        <v>147</v>
      </c>
      <c r="F204" s="10" t="s">
        <v>724</v>
      </c>
      <c r="G204" s="10" t="s">
        <v>725</v>
      </c>
      <c r="H204" s="10" t="s">
        <v>122</v>
      </c>
      <c r="I204" s="12"/>
      <c r="J204" s="13">
        <v>0.3</v>
      </c>
      <c r="K204" s="12"/>
      <c r="L204" s="12"/>
      <c r="M204" s="12"/>
      <c r="N204" s="12"/>
      <c r="O204" s="13">
        <v>0.0</v>
      </c>
      <c r="P204" s="13">
        <v>0.2</v>
      </c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5"/>
    </row>
    <row r="205" ht="22.5" customHeight="1">
      <c r="A205" s="16">
        <v>418.0</v>
      </c>
      <c r="B205" s="10" t="s">
        <v>726</v>
      </c>
      <c r="C205" s="10" t="s">
        <v>137</v>
      </c>
      <c r="D205" s="17">
        <v>1.0</v>
      </c>
      <c r="E205" s="10" t="s">
        <v>147</v>
      </c>
      <c r="F205" s="10" t="s">
        <v>727</v>
      </c>
      <c r="G205" s="10" t="s">
        <v>728</v>
      </c>
      <c r="H205" s="10" t="s">
        <v>122</v>
      </c>
      <c r="I205" s="12"/>
      <c r="J205" s="13">
        <v>0.3</v>
      </c>
      <c r="K205" s="12"/>
      <c r="L205" s="12"/>
      <c r="M205" s="12"/>
      <c r="N205" s="12"/>
      <c r="O205" s="13">
        <v>0.0</v>
      </c>
      <c r="P205" s="13">
        <v>0.2</v>
      </c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5"/>
    </row>
    <row r="206" ht="22.5" customHeight="1">
      <c r="A206" s="16">
        <v>538.0</v>
      </c>
      <c r="B206" s="10" t="s">
        <v>729</v>
      </c>
      <c r="C206" s="10" t="s">
        <v>137</v>
      </c>
      <c r="D206" s="17">
        <v>1.0</v>
      </c>
      <c r="E206" s="10" t="s">
        <v>147</v>
      </c>
      <c r="F206" s="10" t="s">
        <v>730</v>
      </c>
      <c r="G206" s="10" t="s">
        <v>731</v>
      </c>
      <c r="H206" s="10" t="s">
        <v>122</v>
      </c>
      <c r="I206" s="12"/>
      <c r="J206" s="13">
        <v>0.3</v>
      </c>
      <c r="K206" s="12"/>
      <c r="L206" s="12"/>
      <c r="M206" s="12"/>
      <c r="N206" s="12"/>
      <c r="O206" s="13">
        <v>0.11</v>
      </c>
      <c r="P206" s="13">
        <v>0.1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5"/>
    </row>
    <row r="207" ht="22.5" customHeight="1">
      <c r="A207" s="16">
        <v>493.0</v>
      </c>
      <c r="B207" s="10" t="s">
        <v>732</v>
      </c>
      <c r="C207" s="10" t="s">
        <v>137</v>
      </c>
      <c r="D207" s="17">
        <v>1.0</v>
      </c>
      <c r="E207" s="10" t="s">
        <v>147</v>
      </c>
      <c r="F207" s="10" t="s">
        <v>733</v>
      </c>
      <c r="G207" s="10" t="s">
        <v>734</v>
      </c>
      <c r="H207" s="10" t="s">
        <v>122</v>
      </c>
      <c r="I207" s="12"/>
      <c r="J207" s="13">
        <v>0.3</v>
      </c>
      <c r="K207" s="12"/>
      <c r="L207" s="12"/>
      <c r="M207" s="12"/>
      <c r="N207" s="12"/>
      <c r="O207" s="13">
        <v>0.12</v>
      </c>
      <c r="P207" s="13">
        <v>0.12</v>
      </c>
      <c r="Q207" s="13">
        <v>0.02</v>
      </c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5"/>
    </row>
    <row r="208" ht="22.5" customHeight="1">
      <c r="A208" s="16">
        <v>389.0</v>
      </c>
      <c r="B208" s="10" t="s">
        <v>735</v>
      </c>
      <c r="C208" s="10" t="s">
        <v>137</v>
      </c>
      <c r="D208" s="17">
        <v>1.0</v>
      </c>
      <c r="E208" s="10" t="s">
        <v>147</v>
      </c>
      <c r="F208" s="10" t="s">
        <v>736</v>
      </c>
      <c r="G208" s="10" t="s">
        <v>737</v>
      </c>
      <c r="H208" s="10" t="s">
        <v>122</v>
      </c>
      <c r="I208" s="12"/>
      <c r="J208" s="13">
        <v>0.03</v>
      </c>
      <c r="K208" s="12"/>
      <c r="L208" s="12"/>
      <c r="M208" s="12"/>
      <c r="N208" s="12"/>
      <c r="O208" s="13">
        <v>0.1</v>
      </c>
      <c r="P208" s="13">
        <v>0.02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5"/>
    </row>
    <row r="209" ht="22.5" customHeight="1">
      <c r="A209" s="16">
        <v>298.0</v>
      </c>
      <c r="B209" s="10" t="s">
        <v>738</v>
      </c>
      <c r="C209" s="10" t="s">
        <v>137</v>
      </c>
      <c r="D209" s="17">
        <v>1.0</v>
      </c>
      <c r="E209" s="10" t="s">
        <v>147</v>
      </c>
      <c r="F209" s="10" t="s">
        <v>739</v>
      </c>
      <c r="G209" s="10" t="s">
        <v>740</v>
      </c>
      <c r="H209" s="10" t="s">
        <v>122</v>
      </c>
      <c r="I209" s="12"/>
      <c r="J209" s="13">
        <v>0.31</v>
      </c>
      <c r="K209" s="12"/>
      <c r="L209" s="12"/>
      <c r="M209" s="12"/>
      <c r="N209" s="12"/>
      <c r="O209" s="13">
        <v>0.0</v>
      </c>
      <c r="P209" s="13">
        <v>0.2</v>
      </c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5"/>
    </row>
    <row r="210" ht="22.5" customHeight="1">
      <c r="A210" s="16">
        <v>187.0</v>
      </c>
      <c r="B210" s="10" t="s">
        <v>741</v>
      </c>
      <c r="C210" s="10" t="s">
        <v>137</v>
      </c>
      <c r="D210" s="17">
        <v>1.0</v>
      </c>
      <c r="E210" s="10" t="s">
        <v>147</v>
      </c>
      <c r="F210" s="10" t="s">
        <v>742</v>
      </c>
      <c r="G210" s="10" t="s">
        <v>743</v>
      </c>
      <c r="H210" s="10" t="s">
        <v>122</v>
      </c>
      <c r="I210" s="12"/>
      <c r="J210" s="13">
        <v>0.31</v>
      </c>
      <c r="K210" s="12"/>
      <c r="L210" s="12"/>
      <c r="M210" s="12"/>
      <c r="N210" s="12"/>
      <c r="O210" s="13">
        <v>0.0</v>
      </c>
      <c r="P210" s="13">
        <v>0.2</v>
      </c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5"/>
    </row>
    <row r="211" ht="22.5" customHeight="1">
      <c r="A211" s="16">
        <v>81.0</v>
      </c>
      <c r="B211" s="10" t="s">
        <v>744</v>
      </c>
      <c r="C211" s="10" t="s">
        <v>137</v>
      </c>
      <c r="D211" s="17">
        <v>1.0</v>
      </c>
      <c r="E211" s="10" t="s">
        <v>147</v>
      </c>
      <c r="F211" s="10" t="s">
        <v>745</v>
      </c>
      <c r="G211" s="10" t="s">
        <v>746</v>
      </c>
      <c r="H211" s="10" t="s">
        <v>122</v>
      </c>
      <c r="I211" s="12"/>
      <c r="J211" s="13">
        <v>0.31</v>
      </c>
      <c r="K211" s="12"/>
      <c r="L211" s="12"/>
      <c r="M211" s="12"/>
      <c r="N211" s="12"/>
      <c r="O211" s="13">
        <v>0.08</v>
      </c>
      <c r="P211" s="13">
        <v>0.08</v>
      </c>
      <c r="Q211" s="13">
        <v>0.02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5"/>
    </row>
    <row r="212" ht="22.5" customHeight="1">
      <c r="A212" s="16">
        <v>521.0</v>
      </c>
      <c r="B212" s="10" t="s">
        <v>747</v>
      </c>
      <c r="C212" s="10" t="s">
        <v>137</v>
      </c>
      <c r="D212" s="17">
        <v>1.0</v>
      </c>
      <c r="E212" s="10" t="s">
        <v>147</v>
      </c>
      <c r="F212" s="10" t="s">
        <v>748</v>
      </c>
      <c r="G212" s="10" t="s">
        <v>749</v>
      </c>
      <c r="H212" s="10" t="s">
        <v>122</v>
      </c>
      <c r="I212" s="12"/>
      <c r="J212" s="13">
        <v>0.31</v>
      </c>
      <c r="K212" s="12"/>
      <c r="L212" s="12"/>
      <c r="M212" s="12"/>
      <c r="N212" s="12"/>
      <c r="O212" s="13">
        <v>0.06</v>
      </c>
      <c r="P212" s="13">
        <v>0.11</v>
      </c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5"/>
    </row>
    <row r="213" ht="22.5" customHeight="1">
      <c r="A213" s="16">
        <v>380.0</v>
      </c>
      <c r="B213" s="10" t="s">
        <v>750</v>
      </c>
      <c r="C213" s="10" t="s">
        <v>137</v>
      </c>
      <c r="D213" s="17">
        <v>1.0</v>
      </c>
      <c r="E213" s="10" t="s">
        <v>147</v>
      </c>
      <c r="F213" s="10" t="s">
        <v>751</v>
      </c>
      <c r="G213" s="10" t="s">
        <v>752</v>
      </c>
      <c r="H213" s="10" t="s">
        <v>122</v>
      </c>
      <c r="I213" s="12"/>
      <c r="J213" s="13">
        <v>0.32</v>
      </c>
      <c r="K213" s="12"/>
      <c r="L213" s="12"/>
      <c r="M213" s="12"/>
      <c r="N213" s="12"/>
      <c r="O213" s="13">
        <v>0.0</v>
      </c>
      <c r="P213" s="13">
        <v>0.06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5"/>
    </row>
    <row r="214" ht="22.5" customHeight="1">
      <c r="A214" s="16">
        <v>327.0</v>
      </c>
      <c r="B214" s="10" t="s">
        <v>753</v>
      </c>
      <c r="C214" s="10" t="s">
        <v>137</v>
      </c>
      <c r="D214" s="17">
        <v>1.0</v>
      </c>
      <c r="E214" s="10" t="s">
        <v>147</v>
      </c>
      <c r="F214" s="10" t="s">
        <v>754</v>
      </c>
      <c r="G214" s="10" t="s">
        <v>755</v>
      </c>
      <c r="H214" s="10" t="s">
        <v>122</v>
      </c>
      <c r="I214" s="13">
        <v>0.01</v>
      </c>
      <c r="J214" s="13">
        <v>0.32</v>
      </c>
      <c r="K214" s="12"/>
      <c r="L214" s="12"/>
      <c r="M214" s="12"/>
      <c r="N214" s="12"/>
      <c r="O214" s="13">
        <v>0.06</v>
      </c>
      <c r="P214" s="13">
        <v>0.05</v>
      </c>
      <c r="Q214" s="12"/>
      <c r="R214" s="12"/>
      <c r="S214" s="12"/>
      <c r="T214" s="12"/>
      <c r="U214" s="12"/>
      <c r="V214" s="12"/>
      <c r="W214" s="12"/>
      <c r="X214" s="12"/>
      <c r="Y214" s="12"/>
      <c r="Z214" s="13">
        <v>0.02</v>
      </c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5"/>
    </row>
    <row r="215" ht="22.5" customHeight="1">
      <c r="A215" s="16">
        <v>383.0</v>
      </c>
      <c r="B215" s="10" t="s">
        <v>756</v>
      </c>
      <c r="C215" s="10" t="s">
        <v>137</v>
      </c>
      <c r="D215" s="17">
        <v>1.0</v>
      </c>
      <c r="E215" s="10" t="s">
        <v>147</v>
      </c>
      <c r="F215" s="10" t="s">
        <v>757</v>
      </c>
      <c r="G215" s="10" t="s">
        <v>758</v>
      </c>
      <c r="H215" s="10" t="s">
        <v>122</v>
      </c>
      <c r="I215" s="12"/>
      <c r="J215" s="13">
        <v>0.32</v>
      </c>
      <c r="K215" s="12"/>
      <c r="L215" s="12"/>
      <c r="M215" s="12"/>
      <c r="N215" s="12"/>
      <c r="O215" s="13">
        <v>0.01</v>
      </c>
      <c r="P215" s="13">
        <v>0.06</v>
      </c>
      <c r="Q215" s="13">
        <v>0.02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5"/>
    </row>
    <row r="216" ht="22.5" customHeight="1">
      <c r="A216" s="16">
        <v>665.0</v>
      </c>
      <c r="B216" s="10" t="s">
        <v>759</v>
      </c>
      <c r="C216" s="10" t="s">
        <v>137</v>
      </c>
      <c r="D216" s="17">
        <v>1.0</v>
      </c>
      <c r="E216" s="10" t="s">
        <v>147</v>
      </c>
      <c r="F216" s="10" t="s">
        <v>760</v>
      </c>
      <c r="G216" s="10" t="s">
        <v>761</v>
      </c>
      <c r="H216" s="10" t="s">
        <v>122</v>
      </c>
      <c r="I216" s="12"/>
      <c r="J216" s="13">
        <v>0.32</v>
      </c>
      <c r="K216" s="12"/>
      <c r="L216" s="12"/>
      <c r="M216" s="12"/>
      <c r="N216" s="12"/>
      <c r="O216" s="13">
        <v>0.01</v>
      </c>
      <c r="P216" s="13">
        <v>0.12</v>
      </c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5"/>
    </row>
    <row r="217" ht="22.5" customHeight="1">
      <c r="A217" s="16">
        <v>626.0</v>
      </c>
      <c r="B217" s="10" t="s">
        <v>762</v>
      </c>
      <c r="C217" s="10" t="s">
        <v>137</v>
      </c>
      <c r="D217" s="17">
        <v>1.0</v>
      </c>
      <c r="E217" s="10" t="s">
        <v>147</v>
      </c>
      <c r="F217" s="10" t="s">
        <v>763</v>
      </c>
      <c r="G217" s="10" t="s">
        <v>764</v>
      </c>
      <c r="H217" s="10" t="s">
        <v>122</v>
      </c>
      <c r="I217" s="12"/>
      <c r="J217" s="13">
        <v>0.33</v>
      </c>
      <c r="K217" s="12"/>
      <c r="L217" s="12"/>
      <c r="M217" s="12"/>
      <c r="N217" s="12"/>
      <c r="O217" s="13">
        <v>0.01</v>
      </c>
      <c r="P217" s="13">
        <v>0.12</v>
      </c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5"/>
    </row>
    <row r="218" ht="22.5" customHeight="1">
      <c r="A218" s="16">
        <v>479.0</v>
      </c>
      <c r="B218" s="10" t="s">
        <v>765</v>
      </c>
      <c r="C218" s="10" t="s">
        <v>137</v>
      </c>
      <c r="D218" s="17">
        <v>1.0</v>
      </c>
      <c r="E218" s="10" t="s">
        <v>147</v>
      </c>
      <c r="F218" s="10" t="s">
        <v>766</v>
      </c>
      <c r="G218" s="10" t="s">
        <v>767</v>
      </c>
      <c r="H218" s="10" t="s">
        <v>122</v>
      </c>
      <c r="I218" s="12"/>
      <c r="J218" s="13">
        <v>0.33</v>
      </c>
      <c r="K218" s="12"/>
      <c r="L218" s="12"/>
      <c r="M218" s="12"/>
      <c r="N218" s="12"/>
      <c r="O218" s="13">
        <v>0.05</v>
      </c>
      <c r="P218" s="13">
        <v>0.12</v>
      </c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5"/>
    </row>
    <row r="219" ht="22.5" customHeight="1">
      <c r="A219" s="16">
        <v>523.0</v>
      </c>
      <c r="B219" s="10" t="s">
        <v>768</v>
      </c>
      <c r="C219" s="10" t="s">
        <v>137</v>
      </c>
      <c r="D219" s="17">
        <v>1.0</v>
      </c>
      <c r="E219" s="10" t="s">
        <v>147</v>
      </c>
      <c r="F219" s="10" t="s">
        <v>769</v>
      </c>
      <c r="G219" s="10" t="s">
        <v>770</v>
      </c>
      <c r="H219" s="10" t="s">
        <v>122</v>
      </c>
      <c r="I219" s="12"/>
      <c r="J219" s="13">
        <v>0.37</v>
      </c>
      <c r="K219" s="12"/>
      <c r="L219" s="12"/>
      <c r="M219" s="12"/>
      <c r="N219" s="12"/>
      <c r="O219" s="13">
        <v>0.0</v>
      </c>
      <c r="P219" s="13">
        <v>0.11</v>
      </c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5"/>
    </row>
    <row r="220" ht="22.5" customHeight="1">
      <c r="A220" s="16">
        <v>434.0</v>
      </c>
      <c r="B220" s="10" t="s">
        <v>771</v>
      </c>
      <c r="C220" s="10" t="s">
        <v>137</v>
      </c>
      <c r="D220" s="17">
        <v>1.0</v>
      </c>
      <c r="E220" s="10" t="s">
        <v>147</v>
      </c>
      <c r="F220" s="10" t="s">
        <v>772</v>
      </c>
      <c r="G220" s="10" t="s">
        <v>773</v>
      </c>
      <c r="H220" s="10" t="s">
        <v>122</v>
      </c>
      <c r="I220" s="12"/>
      <c r="J220" s="13">
        <v>0.37</v>
      </c>
      <c r="K220" s="12"/>
      <c r="L220" s="12"/>
      <c r="M220" s="12"/>
      <c r="N220" s="12"/>
      <c r="O220" s="13">
        <v>0.0</v>
      </c>
      <c r="P220" s="13">
        <v>0.0</v>
      </c>
      <c r="Q220" s="13">
        <v>0.02</v>
      </c>
      <c r="R220" s="13">
        <v>0.02</v>
      </c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5"/>
    </row>
    <row r="221" ht="22.5" customHeight="1">
      <c r="A221" s="16">
        <v>168.0</v>
      </c>
      <c r="B221" s="10" t="s">
        <v>774</v>
      </c>
      <c r="C221" s="10" t="s">
        <v>137</v>
      </c>
      <c r="D221" s="17">
        <v>1.0</v>
      </c>
      <c r="E221" s="10" t="s">
        <v>147</v>
      </c>
      <c r="F221" s="10" t="s">
        <v>775</v>
      </c>
      <c r="G221" s="10" t="s">
        <v>776</v>
      </c>
      <c r="H221" s="10" t="s">
        <v>122</v>
      </c>
      <c r="I221" s="12"/>
      <c r="J221" s="13">
        <v>0.38</v>
      </c>
      <c r="K221" s="12"/>
      <c r="L221" s="12"/>
      <c r="M221" s="12"/>
      <c r="N221" s="12"/>
      <c r="O221" s="13">
        <v>0.0</v>
      </c>
      <c r="P221" s="13">
        <v>0.0</v>
      </c>
      <c r="Q221" s="13">
        <v>0.08</v>
      </c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5"/>
    </row>
    <row r="222" ht="22.5" customHeight="1">
      <c r="A222" s="16">
        <v>399.0</v>
      </c>
      <c r="B222" s="10" t="s">
        <v>777</v>
      </c>
      <c r="C222" s="10" t="s">
        <v>137</v>
      </c>
      <c r="D222" s="17">
        <v>1.0</v>
      </c>
      <c r="E222" s="10" t="s">
        <v>147</v>
      </c>
      <c r="F222" s="10" t="s">
        <v>778</v>
      </c>
      <c r="G222" s="10" t="s">
        <v>779</v>
      </c>
      <c r="H222" s="10" t="s">
        <v>122</v>
      </c>
      <c r="I222" s="12"/>
      <c r="J222" s="13">
        <v>0.38</v>
      </c>
      <c r="K222" s="12"/>
      <c r="L222" s="12"/>
      <c r="M222" s="12"/>
      <c r="N222" s="12"/>
      <c r="O222" s="13">
        <v>0.0</v>
      </c>
      <c r="P222" s="13">
        <v>0.1</v>
      </c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5"/>
    </row>
    <row r="223" ht="22.5" customHeight="1">
      <c r="A223" s="16">
        <v>640.0</v>
      </c>
      <c r="B223" s="10" t="s">
        <v>780</v>
      </c>
      <c r="C223" s="10" t="s">
        <v>137</v>
      </c>
      <c r="D223" s="17">
        <v>1.0</v>
      </c>
      <c r="E223" s="10" t="s">
        <v>147</v>
      </c>
      <c r="F223" s="10" t="s">
        <v>781</v>
      </c>
      <c r="G223" s="10" t="s">
        <v>782</v>
      </c>
      <c r="H223" s="10" t="s">
        <v>122</v>
      </c>
      <c r="I223" s="12"/>
      <c r="J223" s="13">
        <v>0.03</v>
      </c>
      <c r="K223" s="12"/>
      <c r="L223" s="12"/>
      <c r="M223" s="12"/>
      <c r="N223" s="12"/>
      <c r="O223" s="13">
        <v>0.13</v>
      </c>
      <c r="P223" s="13">
        <v>0.32</v>
      </c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5"/>
    </row>
    <row r="224" ht="22.5" customHeight="1">
      <c r="A224" s="16">
        <v>369.0</v>
      </c>
      <c r="B224" s="10" t="s">
        <v>783</v>
      </c>
      <c r="C224" s="10" t="s">
        <v>137</v>
      </c>
      <c r="D224" s="17">
        <v>1.0</v>
      </c>
      <c r="E224" s="10" t="s">
        <v>147</v>
      </c>
      <c r="F224" s="10" t="s">
        <v>784</v>
      </c>
      <c r="G224" s="10" t="s">
        <v>785</v>
      </c>
      <c r="H224" s="10" t="s">
        <v>122</v>
      </c>
      <c r="I224" s="12"/>
      <c r="J224" s="13">
        <v>0.4</v>
      </c>
      <c r="K224" s="12"/>
      <c r="L224" s="12"/>
      <c r="M224" s="12"/>
      <c r="N224" s="12"/>
      <c r="O224" s="13">
        <v>0.03</v>
      </c>
      <c r="P224" s="13">
        <v>0.0</v>
      </c>
      <c r="Q224" s="13">
        <v>0.02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5"/>
    </row>
    <row r="225" ht="22.5" customHeight="1">
      <c r="A225" s="16">
        <v>292.0</v>
      </c>
      <c r="B225" s="10" t="s">
        <v>786</v>
      </c>
      <c r="C225" s="10" t="s">
        <v>137</v>
      </c>
      <c r="D225" s="17">
        <v>1.0</v>
      </c>
      <c r="E225" s="10" t="s">
        <v>147</v>
      </c>
      <c r="F225" s="10" t="s">
        <v>787</v>
      </c>
      <c r="G225" s="10" t="s">
        <v>788</v>
      </c>
      <c r="H225" s="10" t="s">
        <v>122</v>
      </c>
      <c r="I225" s="12"/>
      <c r="J225" s="13">
        <v>0.0</v>
      </c>
      <c r="K225" s="12"/>
      <c r="L225" s="12"/>
      <c r="M225" s="12"/>
      <c r="N225" s="12"/>
      <c r="O225" s="13">
        <v>0.0</v>
      </c>
      <c r="P225" s="13">
        <v>0.52</v>
      </c>
      <c r="Q225" s="12"/>
      <c r="R225" s="12"/>
      <c r="S225" s="12"/>
      <c r="T225" s="14">
        <v>0.011</v>
      </c>
      <c r="U225" s="12"/>
      <c r="V225" s="12"/>
      <c r="W225" s="12"/>
      <c r="X225" s="12"/>
      <c r="Y225" s="12"/>
      <c r="Z225" s="12"/>
      <c r="AA225" s="14">
        <v>0.005</v>
      </c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5"/>
    </row>
    <row r="226" ht="22.5" customHeight="1">
      <c r="A226" s="16">
        <v>391.0</v>
      </c>
      <c r="B226" s="10" t="s">
        <v>789</v>
      </c>
      <c r="C226" s="10" t="s">
        <v>137</v>
      </c>
      <c r="D226" s="17">
        <v>1.0</v>
      </c>
      <c r="E226" s="10" t="s">
        <v>147</v>
      </c>
      <c r="F226" s="10" t="s">
        <v>790</v>
      </c>
      <c r="G226" s="10" t="s">
        <v>791</v>
      </c>
      <c r="H226" s="10" t="s">
        <v>122</v>
      </c>
      <c r="I226" s="12"/>
      <c r="J226" s="13">
        <v>0.06</v>
      </c>
      <c r="K226" s="12"/>
      <c r="L226" s="12"/>
      <c r="M226" s="12"/>
      <c r="N226" s="12"/>
      <c r="O226" s="13">
        <v>0.09</v>
      </c>
      <c r="P226" s="13">
        <v>0.06</v>
      </c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5"/>
    </row>
    <row r="227" ht="22.5" customHeight="1">
      <c r="A227" s="16">
        <v>356.0</v>
      </c>
      <c r="B227" s="10" t="s">
        <v>792</v>
      </c>
      <c r="C227" s="10" t="s">
        <v>137</v>
      </c>
      <c r="D227" s="17">
        <v>1.0</v>
      </c>
      <c r="E227" s="10" t="s">
        <v>147</v>
      </c>
      <c r="F227" s="10" t="s">
        <v>793</v>
      </c>
      <c r="G227" s="10" t="s">
        <v>794</v>
      </c>
      <c r="H227" s="10" t="s">
        <v>122</v>
      </c>
      <c r="I227" s="13">
        <v>0.02</v>
      </c>
      <c r="J227" s="13">
        <v>0.07</v>
      </c>
      <c r="K227" s="12"/>
      <c r="L227" s="12"/>
      <c r="M227" s="12"/>
      <c r="N227" s="12"/>
      <c r="O227" s="13">
        <v>0.07</v>
      </c>
      <c r="P227" s="13">
        <v>0.05</v>
      </c>
      <c r="Q227" s="12"/>
      <c r="R227" s="12"/>
      <c r="S227" s="13">
        <v>0.03</v>
      </c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5"/>
    </row>
    <row r="228" ht="22.5" customHeight="1">
      <c r="A228" s="16">
        <v>545.0</v>
      </c>
      <c r="B228" s="10" t="s">
        <v>795</v>
      </c>
      <c r="C228" s="10" t="s">
        <v>137</v>
      </c>
      <c r="D228" s="17">
        <v>1.0</v>
      </c>
      <c r="E228" s="10" t="s">
        <v>147</v>
      </c>
      <c r="F228" s="10" t="s">
        <v>796</v>
      </c>
      <c r="G228" s="10" t="s">
        <v>797</v>
      </c>
      <c r="H228" s="10" t="s">
        <v>122</v>
      </c>
      <c r="I228" s="12"/>
      <c r="J228" s="13">
        <v>0.07</v>
      </c>
      <c r="K228" s="12"/>
      <c r="L228" s="12"/>
      <c r="M228" s="12"/>
      <c r="N228" s="12"/>
      <c r="O228" s="13">
        <v>0.14</v>
      </c>
      <c r="P228" s="13">
        <v>0.29</v>
      </c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5"/>
    </row>
    <row r="229" ht="22.5" customHeight="1">
      <c r="A229" s="16">
        <v>313.0</v>
      </c>
      <c r="B229" s="10" t="s">
        <v>798</v>
      </c>
      <c r="C229" s="10" t="s">
        <v>137</v>
      </c>
      <c r="D229" s="17">
        <v>1.0</v>
      </c>
      <c r="E229" s="10" t="s">
        <v>147</v>
      </c>
      <c r="F229" s="10" t="s">
        <v>799</v>
      </c>
      <c r="G229" s="10" t="s">
        <v>800</v>
      </c>
      <c r="H229" s="10" t="s">
        <v>122</v>
      </c>
      <c r="I229" s="12"/>
      <c r="J229" s="13">
        <v>0.08</v>
      </c>
      <c r="K229" s="12"/>
      <c r="L229" s="12"/>
      <c r="M229" s="12"/>
      <c r="N229" s="12"/>
      <c r="O229" s="13">
        <v>0.24</v>
      </c>
      <c r="P229" s="13">
        <v>0.08</v>
      </c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5"/>
    </row>
    <row r="230" ht="22.5" customHeight="1">
      <c r="A230" s="16">
        <v>435.0</v>
      </c>
      <c r="B230" s="10" t="s">
        <v>801</v>
      </c>
      <c r="C230" s="10" t="s">
        <v>137</v>
      </c>
      <c r="D230" s="17">
        <v>1.0</v>
      </c>
      <c r="E230" s="10" t="s">
        <v>147</v>
      </c>
      <c r="F230" s="10" t="s">
        <v>802</v>
      </c>
      <c r="G230" s="10" t="s">
        <v>803</v>
      </c>
      <c r="H230" s="10" t="s">
        <v>122</v>
      </c>
      <c r="I230" s="12"/>
      <c r="J230" s="13">
        <v>0.08</v>
      </c>
      <c r="K230" s="12"/>
      <c r="L230" s="12"/>
      <c r="M230" s="12"/>
      <c r="N230" s="12"/>
      <c r="O230" s="13">
        <v>0.15</v>
      </c>
      <c r="P230" s="13">
        <v>0.23</v>
      </c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5"/>
    </row>
    <row r="231" ht="22.5" customHeight="1">
      <c r="A231" s="16">
        <v>510.0</v>
      </c>
      <c r="B231" s="10" t="s">
        <v>804</v>
      </c>
      <c r="C231" s="10" t="s">
        <v>137</v>
      </c>
      <c r="D231" s="17">
        <v>1.0</v>
      </c>
      <c r="E231" s="10" t="s">
        <v>147</v>
      </c>
      <c r="F231" s="10" t="s">
        <v>805</v>
      </c>
      <c r="G231" s="10" t="s">
        <v>806</v>
      </c>
      <c r="H231" s="10" t="s">
        <v>122</v>
      </c>
      <c r="I231" s="12"/>
      <c r="J231" s="13">
        <v>0.08</v>
      </c>
      <c r="K231" s="12"/>
      <c r="L231" s="12"/>
      <c r="M231" s="12"/>
      <c r="N231" s="12"/>
      <c r="O231" s="13">
        <v>0.17</v>
      </c>
      <c r="P231" s="13">
        <v>0.34</v>
      </c>
      <c r="Q231" s="12"/>
      <c r="R231" s="12"/>
      <c r="S231" s="13">
        <v>0.01</v>
      </c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5"/>
    </row>
    <row r="232" ht="22.5" customHeight="1">
      <c r="A232" s="16">
        <v>453.0</v>
      </c>
      <c r="B232" s="10" t="s">
        <v>807</v>
      </c>
      <c r="C232" s="10" t="s">
        <v>137</v>
      </c>
      <c r="D232" s="17">
        <v>1.0</v>
      </c>
      <c r="E232" s="10" t="s">
        <v>147</v>
      </c>
      <c r="F232" s="10" t="s">
        <v>808</v>
      </c>
      <c r="G232" s="10" t="s">
        <v>809</v>
      </c>
      <c r="H232" s="10" t="s">
        <v>122</v>
      </c>
      <c r="I232" s="12"/>
      <c r="J232" s="13">
        <v>0.08</v>
      </c>
      <c r="K232" s="12"/>
      <c r="L232" s="12"/>
      <c r="M232" s="12"/>
      <c r="N232" s="12"/>
      <c r="O232" s="13">
        <v>0.2</v>
      </c>
      <c r="P232" s="13">
        <v>0.12</v>
      </c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5"/>
    </row>
    <row r="233" ht="22.5" customHeight="1">
      <c r="A233" s="16">
        <v>439.0</v>
      </c>
      <c r="B233" s="10" t="s">
        <v>810</v>
      </c>
      <c r="C233" s="10" t="s">
        <v>137</v>
      </c>
      <c r="D233" s="17">
        <v>1.0</v>
      </c>
      <c r="E233" s="10" t="s">
        <v>147</v>
      </c>
      <c r="F233" s="10" t="s">
        <v>811</v>
      </c>
      <c r="G233" s="10" t="s">
        <v>812</v>
      </c>
      <c r="H233" s="10" t="s">
        <v>122</v>
      </c>
      <c r="I233" s="12"/>
      <c r="J233" s="13">
        <v>0.09</v>
      </c>
      <c r="K233" s="12"/>
      <c r="L233" s="12"/>
      <c r="M233" s="12"/>
      <c r="N233" s="12"/>
      <c r="O233" s="13">
        <v>0.12</v>
      </c>
      <c r="P233" s="13">
        <v>0.24</v>
      </c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5"/>
    </row>
    <row r="234" ht="22.5" customHeight="1">
      <c r="A234" s="16">
        <v>21.0</v>
      </c>
      <c r="B234" s="10" t="s">
        <v>813</v>
      </c>
      <c r="C234" s="10" t="s">
        <v>137</v>
      </c>
      <c r="D234" s="17">
        <v>1.0</v>
      </c>
      <c r="E234" s="10" t="s">
        <v>147</v>
      </c>
      <c r="F234" s="10" t="s">
        <v>814</v>
      </c>
      <c r="G234" s="10" t="s">
        <v>815</v>
      </c>
      <c r="H234" s="10" t="s">
        <v>122</v>
      </c>
      <c r="I234" s="12"/>
      <c r="J234" s="13">
        <v>0.17</v>
      </c>
      <c r="K234" s="12"/>
      <c r="L234" s="12"/>
      <c r="M234" s="12"/>
      <c r="N234" s="12"/>
      <c r="O234" s="13">
        <v>0.06</v>
      </c>
      <c r="P234" s="13">
        <v>0.18</v>
      </c>
      <c r="Q234" s="12"/>
      <c r="R234" s="12"/>
      <c r="S234" s="13">
        <v>0.02</v>
      </c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5"/>
    </row>
    <row r="235" ht="22.5" customHeight="1">
      <c r="A235" s="16">
        <v>22.0</v>
      </c>
      <c r="B235" s="10" t="s">
        <v>816</v>
      </c>
      <c r="C235" s="10" t="s">
        <v>137</v>
      </c>
      <c r="D235" s="17">
        <v>1.0</v>
      </c>
      <c r="E235" s="10" t="s">
        <v>147</v>
      </c>
      <c r="F235" s="10" t="s">
        <v>817</v>
      </c>
      <c r="G235" s="10" t="s">
        <v>289</v>
      </c>
      <c r="H235" s="10" t="s">
        <v>122</v>
      </c>
      <c r="I235" s="12"/>
      <c r="J235" s="13">
        <v>0.23</v>
      </c>
      <c r="K235" s="12"/>
      <c r="L235" s="12"/>
      <c r="M235" s="12"/>
      <c r="N235" s="12"/>
      <c r="O235" s="13">
        <v>0.03</v>
      </c>
      <c r="P235" s="13">
        <v>0.2</v>
      </c>
      <c r="Q235" s="13">
        <v>0.04</v>
      </c>
      <c r="R235" s="12"/>
      <c r="S235" s="12"/>
      <c r="T235" s="12"/>
      <c r="U235" s="12"/>
      <c r="V235" s="12"/>
      <c r="W235" s="12"/>
      <c r="X235" s="12"/>
      <c r="Y235" s="12"/>
      <c r="Z235" s="13">
        <v>0.03</v>
      </c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5"/>
    </row>
    <row r="236" ht="22.5" customHeight="1">
      <c r="A236" s="16">
        <v>673.0</v>
      </c>
      <c r="B236" s="10" t="s">
        <v>818</v>
      </c>
      <c r="C236" s="10" t="s">
        <v>137</v>
      </c>
      <c r="D236" s="17">
        <v>1.0</v>
      </c>
      <c r="E236" s="10" t="s">
        <v>147</v>
      </c>
      <c r="F236" s="10" t="s">
        <v>819</v>
      </c>
      <c r="G236" s="10" t="s">
        <v>820</v>
      </c>
      <c r="H236" s="10" t="s">
        <v>122</v>
      </c>
      <c r="I236" s="12"/>
      <c r="J236" s="13">
        <v>0.0</v>
      </c>
      <c r="K236" s="12"/>
      <c r="L236" s="12"/>
      <c r="M236" s="12"/>
      <c r="N236" s="12"/>
      <c r="O236" s="13">
        <v>0.01</v>
      </c>
      <c r="P236" s="13">
        <v>0.0</v>
      </c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5"/>
    </row>
    <row r="237" ht="22.5" customHeight="1">
      <c r="A237" s="16">
        <v>588.0</v>
      </c>
      <c r="B237" s="10" t="s">
        <v>821</v>
      </c>
      <c r="C237" s="10" t="s">
        <v>137</v>
      </c>
      <c r="D237" s="17">
        <v>1.0</v>
      </c>
      <c r="E237" s="10" t="s">
        <v>147</v>
      </c>
      <c r="F237" s="10" t="s">
        <v>822</v>
      </c>
      <c r="G237" s="10" t="s">
        <v>823</v>
      </c>
      <c r="H237" s="10" t="s">
        <v>122</v>
      </c>
      <c r="I237" s="12"/>
      <c r="J237" s="13">
        <v>0.1</v>
      </c>
      <c r="K237" s="12"/>
      <c r="L237" s="12"/>
      <c r="M237" s="12"/>
      <c r="N237" s="12"/>
      <c r="O237" s="13">
        <v>0.11</v>
      </c>
      <c r="P237" s="13">
        <v>0.29</v>
      </c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5"/>
    </row>
    <row r="238" ht="22.5" customHeight="1">
      <c r="A238" s="16">
        <v>641.0</v>
      </c>
      <c r="B238" s="10" t="s">
        <v>824</v>
      </c>
      <c r="C238" s="10" t="s">
        <v>137</v>
      </c>
      <c r="D238" s="17">
        <v>1.0</v>
      </c>
      <c r="E238" s="10" t="s">
        <v>147</v>
      </c>
      <c r="F238" s="10" t="s">
        <v>825</v>
      </c>
      <c r="G238" s="10" t="s">
        <v>826</v>
      </c>
      <c r="H238" s="10" t="s">
        <v>122</v>
      </c>
      <c r="I238" s="12"/>
      <c r="J238" s="13">
        <v>0.1</v>
      </c>
      <c r="K238" s="12"/>
      <c r="L238" s="12"/>
      <c r="M238" s="12"/>
      <c r="N238" s="12"/>
      <c r="O238" s="13">
        <v>0.24</v>
      </c>
      <c r="P238" s="13">
        <v>0.14</v>
      </c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5"/>
    </row>
    <row r="239" ht="22.5" customHeight="1">
      <c r="A239" s="16">
        <v>542.0</v>
      </c>
      <c r="B239" s="10" t="s">
        <v>827</v>
      </c>
      <c r="C239" s="10" t="s">
        <v>137</v>
      </c>
      <c r="D239" s="17">
        <v>1.0</v>
      </c>
      <c r="E239" s="10" t="s">
        <v>147</v>
      </c>
      <c r="F239" s="10" t="s">
        <v>828</v>
      </c>
      <c r="G239" s="10" t="s">
        <v>829</v>
      </c>
      <c r="H239" s="10" t="s">
        <v>122</v>
      </c>
      <c r="I239" s="12"/>
      <c r="J239" s="13">
        <v>0.1</v>
      </c>
      <c r="K239" s="12"/>
      <c r="L239" s="12"/>
      <c r="M239" s="12"/>
      <c r="N239" s="12"/>
      <c r="O239" s="13">
        <v>0.25</v>
      </c>
      <c r="P239" s="13">
        <v>0.08</v>
      </c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5"/>
    </row>
    <row r="240" ht="22.5" customHeight="1">
      <c r="A240" s="16">
        <v>589.0</v>
      </c>
      <c r="B240" s="10" t="s">
        <v>830</v>
      </c>
      <c r="C240" s="10" t="s">
        <v>137</v>
      </c>
      <c r="D240" s="17">
        <v>1.0</v>
      </c>
      <c r="E240" s="10" t="s">
        <v>147</v>
      </c>
      <c r="F240" s="10" t="s">
        <v>831</v>
      </c>
      <c r="G240" s="10" t="s">
        <v>832</v>
      </c>
      <c r="H240" s="10" t="s">
        <v>122</v>
      </c>
      <c r="I240" s="12"/>
      <c r="J240" s="13">
        <v>0.1</v>
      </c>
      <c r="K240" s="12"/>
      <c r="L240" s="12"/>
      <c r="M240" s="12"/>
      <c r="N240" s="12"/>
      <c r="O240" s="13">
        <v>0.06</v>
      </c>
      <c r="P240" s="13">
        <v>0.16</v>
      </c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5"/>
    </row>
    <row r="241" ht="22.5" customHeight="1">
      <c r="A241" s="16">
        <v>668.0</v>
      </c>
      <c r="B241" s="10" t="s">
        <v>833</v>
      </c>
      <c r="C241" s="10" t="s">
        <v>137</v>
      </c>
      <c r="D241" s="17">
        <v>1.0</v>
      </c>
      <c r="E241" s="10" t="s">
        <v>147</v>
      </c>
      <c r="F241" s="10" t="s">
        <v>834</v>
      </c>
      <c r="G241" s="10" t="s">
        <v>835</v>
      </c>
      <c r="H241" s="10" t="s">
        <v>122</v>
      </c>
      <c r="I241" s="12"/>
      <c r="J241" s="13">
        <v>0.1</v>
      </c>
      <c r="K241" s="12"/>
      <c r="L241" s="12"/>
      <c r="M241" s="12"/>
      <c r="N241" s="12"/>
      <c r="O241" s="13">
        <v>0.06</v>
      </c>
      <c r="P241" s="13">
        <v>0.06</v>
      </c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5"/>
    </row>
    <row r="242" ht="22.5" customHeight="1">
      <c r="A242" s="16">
        <v>569.0</v>
      </c>
      <c r="B242" s="10" t="s">
        <v>836</v>
      </c>
      <c r="C242" s="10" t="s">
        <v>137</v>
      </c>
      <c r="D242" s="17">
        <v>1.0</v>
      </c>
      <c r="E242" s="10" t="s">
        <v>147</v>
      </c>
      <c r="F242" s="10" t="s">
        <v>837</v>
      </c>
      <c r="G242" s="10" t="s">
        <v>838</v>
      </c>
      <c r="H242" s="10" t="s">
        <v>122</v>
      </c>
      <c r="I242" s="12"/>
      <c r="J242" s="13">
        <v>0.1</v>
      </c>
      <c r="K242" s="12"/>
      <c r="L242" s="12"/>
      <c r="M242" s="12"/>
      <c r="N242" s="12"/>
      <c r="O242" s="13">
        <v>0.09</v>
      </c>
      <c r="P242" s="13">
        <v>0.18</v>
      </c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5"/>
    </row>
    <row r="243" ht="22.5" customHeight="1">
      <c r="A243" s="16">
        <v>544.0</v>
      </c>
      <c r="B243" s="10" t="s">
        <v>839</v>
      </c>
      <c r="C243" s="10" t="s">
        <v>137</v>
      </c>
      <c r="D243" s="17">
        <v>1.0</v>
      </c>
      <c r="E243" s="10" t="s">
        <v>147</v>
      </c>
      <c r="F243" s="10" t="s">
        <v>840</v>
      </c>
      <c r="G243" s="10" t="s">
        <v>841</v>
      </c>
      <c r="H243" s="10" t="s">
        <v>122</v>
      </c>
      <c r="I243" s="12"/>
      <c r="J243" s="13">
        <v>0.11</v>
      </c>
      <c r="K243" s="12"/>
      <c r="L243" s="12"/>
      <c r="M243" s="12"/>
      <c r="N243" s="12"/>
      <c r="O243" s="13">
        <v>0.24</v>
      </c>
      <c r="P243" s="13">
        <v>0.09</v>
      </c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5"/>
    </row>
    <row r="244" ht="22.5" customHeight="1">
      <c r="A244" s="16">
        <v>646.0</v>
      </c>
      <c r="B244" s="10" t="s">
        <v>842</v>
      </c>
      <c r="C244" s="10" t="s">
        <v>137</v>
      </c>
      <c r="D244" s="17">
        <v>1.0</v>
      </c>
      <c r="E244" s="10" t="s">
        <v>147</v>
      </c>
      <c r="F244" s="10" t="s">
        <v>843</v>
      </c>
      <c r="G244" s="10" t="s">
        <v>844</v>
      </c>
      <c r="H244" s="10" t="s">
        <v>122</v>
      </c>
      <c r="I244" s="12"/>
      <c r="J244" s="13">
        <v>0.11</v>
      </c>
      <c r="K244" s="12"/>
      <c r="L244" s="12"/>
      <c r="M244" s="12"/>
      <c r="N244" s="12"/>
      <c r="O244" s="13">
        <v>0.25</v>
      </c>
      <c r="P244" s="13">
        <v>0.09</v>
      </c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5"/>
    </row>
    <row r="245" ht="22.5" customHeight="1">
      <c r="A245" s="16">
        <v>660.0</v>
      </c>
      <c r="B245" s="10" t="s">
        <v>845</v>
      </c>
      <c r="C245" s="10" t="s">
        <v>137</v>
      </c>
      <c r="D245" s="17">
        <v>1.0</v>
      </c>
      <c r="E245" s="10" t="s">
        <v>147</v>
      </c>
      <c r="F245" s="10" t="s">
        <v>846</v>
      </c>
      <c r="G245" s="10" t="s">
        <v>847</v>
      </c>
      <c r="H245" s="10" t="s">
        <v>122</v>
      </c>
      <c r="I245" s="12"/>
      <c r="J245" s="13">
        <v>0.11</v>
      </c>
      <c r="K245" s="12"/>
      <c r="L245" s="12"/>
      <c r="M245" s="12"/>
      <c r="N245" s="12"/>
      <c r="O245" s="13">
        <v>0.09</v>
      </c>
      <c r="P245" s="13">
        <v>0.18</v>
      </c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5"/>
    </row>
    <row r="246" ht="22.5" customHeight="1">
      <c r="A246" s="16">
        <v>587.0</v>
      </c>
      <c r="B246" s="10" t="s">
        <v>848</v>
      </c>
      <c r="C246" s="10" t="s">
        <v>137</v>
      </c>
      <c r="D246" s="17">
        <v>1.0</v>
      </c>
      <c r="E246" s="10" t="s">
        <v>147</v>
      </c>
      <c r="F246" s="10" t="s">
        <v>849</v>
      </c>
      <c r="G246" s="10" t="s">
        <v>850</v>
      </c>
      <c r="H246" s="10" t="s">
        <v>122</v>
      </c>
      <c r="I246" s="12"/>
      <c r="J246" s="13">
        <v>0.12</v>
      </c>
      <c r="K246" s="12"/>
      <c r="L246" s="12"/>
      <c r="M246" s="12"/>
      <c r="N246" s="12"/>
      <c r="O246" s="13">
        <v>0.25</v>
      </c>
      <c r="P246" s="13">
        <v>0.09</v>
      </c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5"/>
    </row>
    <row r="247" ht="22.5" customHeight="1">
      <c r="A247" s="16">
        <v>659.0</v>
      </c>
      <c r="B247" s="10" t="s">
        <v>851</v>
      </c>
      <c r="C247" s="10" t="s">
        <v>137</v>
      </c>
      <c r="D247" s="17">
        <v>1.0</v>
      </c>
      <c r="E247" s="10" t="s">
        <v>147</v>
      </c>
      <c r="F247" s="10" t="s">
        <v>852</v>
      </c>
      <c r="G247" s="10" t="s">
        <v>853</v>
      </c>
      <c r="H247" s="10" t="s">
        <v>122</v>
      </c>
      <c r="I247" s="12"/>
      <c r="J247" s="13">
        <v>0.13</v>
      </c>
      <c r="K247" s="12"/>
      <c r="L247" s="12"/>
      <c r="M247" s="12"/>
      <c r="N247" s="12"/>
      <c r="O247" s="13">
        <v>0.16</v>
      </c>
      <c r="P247" s="13">
        <v>0.1</v>
      </c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5"/>
    </row>
    <row r="248" ht="22.5" customHeight="1">
      <c r="A248" s="16">
        <v>314.0</v>
      </c>
      <c r="B248" s="10" t="s">
        <v>854</v>
      </c>
      <c r="C248" s="10" t="s">
        <v>137</v>
      </c>
      <c r="D248" s="17">
        <v>1.0</v>
      </c>
      <c r="E248" s="10" t="s">
        <v>147</v>
      </c>
      <c r="F248" s="10" t="s">
        <v>855</v>
      </c>
      <c r="G248" s="10" t="s">
        <v>856</v>
      </c>
      <c r="H248" s="10" t="s">
        <v>122</v>
      </c>
      <c r="I248" s="12"/>
      <c r="J248" s="13">
        <v>0.13</v>
      </c>
      <c r="K248" s="12"/>
      <c r="L248" s="12"/>
      <c r="M248" s="12"/>
      <c r="N248" s="12"/>
      <c r="O248" s="13">
        <v>0.26</v>
      </c>
      <c r="P248" s="13">
        <v>0.06</v>
      </c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5"/>
    </row>
    <row r="249" ht="22.5" customHeight="1">
      <c r="A249" s="16">
        <v>540.0</v>
      </c>
      <c r="B249" s="10" t="s">
        <v>854</v>
      </c>
      <c r="C249" s="10" t="s">
        <v>137</v>
      </c>
      <c r="D249" s="17">
        <v>1.0</v>
      </c>
      <c r="E249" s="10" t="s">
        <v>147</v>
      </c>
      <c r="F249" s="10" t="s">
        <v>857</v>
      </c>
      <c r="G249" s="10" t="s">
        <v>858</v>
      </c>
      <c r="H249" s="10" t="s">
        <v>122</v>
      </c>
      <c r="I249" s="12"/>
      <c r="J249" s="13">
        <v>0.13</v>
      </c>
      <c r="K249" s="12"/>
      <c r="L249" s="12"/>
      <c r="M249" s="12"/>
      <c r="N249" s="12"/>
      <c r="O249" s="13">
        <v>0.26</v>
      </c>
      <c r="P249" s="13">
        <v>0.06</v>
      </c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5"/>
    </row>
    <row r="250" ht="22.5" customHeight="1">
      <c r="A250" s="16">
        <v>489.0</v>
      </c>
      <c r="B250" s="10" t="s">
        <v>859</v>
      </c>
      <c r="C250" s="10" t="s">
        <v>137</v>
      </c>
      <c r="D250" s="17">
        <v>1.0</v>
      </c>
      <c r="E250" s="10" t="s">
        <v>147</v>
      </c>
      <c r="F250" s="10" t="s">
        <v>860</v>
      </c>
      <c r="G250" s="10" t="s">
        <v>861</v>
      </c>
      <c r="H250" s="10" t="s">
        <v>122</v>
      </c>
      <c r="I250" s="12"/>
      <c r="J250" s="13">
        <v>0.13</v>
      </c>
      <c r="K250" s="12"/>
      <c r="L250" s="12"/>
      <c r="M250" s="12"/>
      <c r="N250" s="12"/>
      <c r="O250" s="13">
        <v>0.36</v>
      </c>
      <c r="P250" s="13">
        <v>0.1</v>
      </c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5"/>
    </row>
    <row r="251" ht="22.5" customHeight="1">
      <c r="A251" s="16">
        <v>601.0</v>
      </c>
      <c r="B251" s="10" t="s">
        <v>862</v>
      </c>
      <c r="C251" s="10" t="s">
        <v>137</v>
      </c>
      <c r="D251" s="17">
        <v>1.0</v>
      </c>
      <c r="E251" s="10" t="s">
        <v>147</v>
      </c>
      <c r="F251" s="10" t="s">
        <v>863</v>
      </c>
      <c r="G251" s="10" t="s">
        <v>864</v>
      </c>
      <c r="H251" s="10" t="s">
        <v>122</v>
      </c>
      <c r="I251" s="12"/>
      <c r="J251" s="13">
        <v>0.13</v>
      </c>
      <c r="K251" s="12"/>
      <c r="L251" s="12"/>
      <c r="M251" s="12"/>
      <c r="N251" s="12"/>
      <c r="O251" s="13">
        <v>0.06</v>
      </c>
      <c r="P251" s="13">
        <v>0.06</v>
      </c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5"/>
    </row>
    <row r="252" ht="22.5" customHeight="1">
      <c r="A252" s="16">
        <v>590.0</v>
      </c>
      <c r="B252" s="10" t="s">
        <v>865</v>
      </c>
      <c r="C252" s="10" t="s">
        <v>137</v>
      </c>
      <c r="D252" s="17">
        <v>1.0</v>
      </c>
      <c r="E252" s="10" t="s">
        <v>147</v>
      </c>
      <c r="F252" s="10" t="s">
        <v>866</v>
      </c>
      <c r="G252" s="10" t="s">
        <v>867</v>
      </c>
      <c r="H252" s="10" t="s">
        <v>122</v>
      </c>
      <c r="I252" s="12"/>
      <c r="J252" s="13">
        <v>0.15</v>
      </c>
      <c r="K252" s="12"/>
      <c r="L252" s="12"/>
      <c r="M252" s="12"/>
      <c r="N252" s="12"/>
      <c r="O252" s="13">
        <v>0.12</v>
      </c>
      <c r="P252" s="13">
        <v>0.2</v>
      </c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5"/>
    </row>
    <row r="253" ht="22.5" customHeight="1">
      <c r="A253" s="16">
        <v>623.0</v>
      </c>
      <c r="B253" s="10" t="s">
        <v>868</v>
      </c>
      <c r="C253" s="10" t="s">
        <v>137</v>
      </c>
      <c r="D253" s="17">
        <v>1.0</v>
      </c>
      <c r="E253" s="10" t="s">
        <v>147</v>
      </c>
      <c r="F253" s="10" t="s">
        <v>869</v>
      </c>
      <c r="G253" s="10" t="s">
        <v>870</v>
      </c>
      <c r="H253" s="10" t="s">
        <v>122</v>
      </c>
      <c r="I253" s="12"/>
      <c r="J253" s="13">
        <v>0.15</v>
      </c>
      <c r="K253" s="12"/>
      <c r="L253" s="12"/>
      <c r="M253" s="12"/>
      <c r="N253" s="12"/>
      <c r="O253" s="13">
        <v>0.2</v>
      </c>
      <c r="P253" s="13">
        <v>0.02</v>
      </c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5"/>
    </row>
    <row r="254" ht="22.5" customHeight="1">
      <c r="A254" s="16">
        <v>602.0</v>
      </c>
      <c r="B254" s="10" t="s">
        <v>871</v>
      </c>
      <c r="C254" s="10" t="s">
        <v>137</v>
      </c>
      <c r="D254" s="17">
        <v>1.0</v>
      </c>
      <c r="E254" s="10" t="s">
        <v>147</v>
      </c>
      <c r="F254" s="10" t="s">
        <v>872</v>
      </c>
      <c r="G254" s="10" t="s">
        <v>873</v>
      </c>
      <c r="H254" s="10" t="s">
        <v>122</v>
      </c>
      <c r="I254" s="12"/>
      <c r="J254" s="13">
        <v>0.15</v>
      </c>
      <c r="K254" s="12"/>
      <c r="L254" s="12"/>
      <c r="M254" s="12"/>
      <c r="N254" s="12"/>
      <c r="O254" s="13">
        <v>0.21</v>
      </c>
      <c r="P254" s="13">
        <v>0.01</v>
      </c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5"/>
    </row>
    <row r="255" ht="22.5" customHeight="1">
      <c r="A255" s="16">
        <v>635.0</v>
      </c>
      <c r="B255" s="10" t="s">
        <v>874</v>
      </c>
      <c r="C255" s="10" t="s">
        <v>137</v>
      </c>
      <c r="D255" s="17">
        <v>1.0</v>
      </c>
      <c r="E255" s="10" t="s">
        <v>147</v>
      </c>
      <c r="F255" s="10" t="s">
        <v>875</v>
      </c>
      <c r="G255" s="10" t="s">
        <v>876</v>
      </c>
      <c r="H255" s="10" t="s">
        <v>122</v>
      </c>
      <c r="I255" s="12"/>
      <c r="J255" s="13">
        <v>0.15</v>
      </c>
      <c r="K255" s="12"/>
      <c r="L255" s="12"/>
      <c r="M255" s="12"/>
      <c r="N255" s="12"/>
      <c r="O255" s="13">
        <v>0.09</v>
      </c>
      <c r="P255" s="13">
        <v>0.2</v>
      </c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5"/>
    </row>
    <row r="256" ht="22.5" customHeight="1">
      <c r="A256" s="16">
        <v>658.0</v>
      </c>
      <c r="B256" s="10" t="s">
        <v>877</v>
      </c>
      <c r="C256" s="10" t="s">
        <v>137</v>
      </c>
      <c r="D256" s="17">
        <v>1.0</v>
      </c>
      <c r="E256" s="10" t="s">
        <v>147</v>
      </c>
      <c r="F256" s="10" t="s">
        <v>878</v>
      </c>
      <c r="G256" s="10" t="s">
        <v>879</v>
      </c>
      <c r="H256" s="10" t="s">
        <v>122</v>
      </c>
      <c r="I256" s="12"/>
      <c r="J256" s="13">
        <v>0.16</v>
      </c>
      <c r="K256" s="12"/>
      <c r="L256" s="12"/>
      <c r="M256" s="12"/>
      <c r="N256" s="12"/>
      <c r="O256" s="13">
        <v>0.21</v>
      </c>
      <c r="P256" s="13">
        <v>0.05</v>
      </c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5"/>
    </row>
    <row r="257" ht="22.5" customHeight="1">
      <c r="A257" s="16">
        <v>429.0</v>
      </c>
      <c r="B257" s="10" t="s">
        <v>880</v>
      </c>
      <c r="C257" s="10" t="s">
        <v>137</v>
      </c>
      <c r="D257" s="17">
        <v>1.0</v>
      </c>
      <c r="E257" s="10" t="s">
        <v>147</v>
      </c>
      <c r="F257" s="10" t="s">
        <v>881</v>
      </c>
      <c r="G257" s="10" t="s">
        <v>882</v>
      </c>
      <c r="H257" s="10" t="s">
        <v>122</v>
      </c>
      <c r="I257" s="12"/>
      <c r="J257" s="13">
        <v>0.18</v>
      </c>
      <c r="K257" s="12"/>
      <c r="L257" s="12"/>
      <c r="M257" s="12"/>
      <c r="N257" s="12"/>
      <c r="O257" s="13">
        <v>0.18</v>
      </c>
      <c r="P257" s="13">
        <v>0.18</v>
      </c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5"/>
    </row>
    <row r="258" ht="22.5" customHeight="1">
      <c r="A258" s="16">
        <v>649.0</v>
      </c>
      <c r="B258" s="10" t="s">
        <v>883</v>
      </c>
      <c r="C258" s="10" t="s">
        <v>137</v>
      </c>
      <c r="D258" s="17">
        <v>1.0</v>
      </c>
      <c r="E258" s="10" t="s">
        <v>147</v>
      </c>
      <c r="F258" s="10" t="s">
        <v>884</v>
      </c>
      <c r="G258" s="10" t="s">
        <v>885</v>
      </c>
      <c r="H258" s="10" t="s">
        <v>122</v>
      </c>
      <c r="I258" s="12"/>
      <c r="J258" s="13">
        <v>0.18</v>
      </c>
      <c r="K258" s="12"/>
      <c r="L258" s="12"/>
      <c r="M258" s="12"/>
      <c r="N258" s="12"/>
      <c r="O258" s="13">
        <v>0.02</v>
      </c>
      <c r="P258" s="13">
        <v>0.0</v>
      </c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5"/>
    </row>
    <row r="259" ht="22.5" customHeight="1">
      <c r="A259" s="16">
        <v>414.0</v>
      </c>
      <c r="B259" s="10" t="s">
        <v>886</v>
      </c>
      <c r="C259" s="10" t="s">
        <v>137</v>
      </c>
      <c r="D259" s="17">
        <v>1.0</v>
      </c>
      <c r="E259" s="10" t="s">
        <v>147</v>
      </c>
      <c r="F259" s="10" t="s">
        <v>887</v>
      </c>
      <c r="G259" s="10" t="s">
        <v>888</v>
      </c>
      <c r="H259" s="10" t="s">
        <v>122</v>
      </c>
      <c r="I259" s="12"/>
      <c r="J259" s="13">
        <v>0.18</v>
      </c>
      <c r="K259" s="12"/>
      <c r="L259" s="12"/>
      <c r="M259" s="12"/>
      <c r="N259" s="12"/>
      <c r="O259" s="13">
        <v>0.09</v>
      </c>
      <c r="P259" s="13">
        <v>0.29</v>
      </c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5"/>
    </row>
    <row r="260" ht="22.5" customHeight="1">
      <c r="A260" s="16">
        <v>674.0</v>
      </c>
      <c r="B260" s="10" t="s">
        <v>889</v>
      </c>
      <c r="C260" s="10" t="s">
        <v>137</v>
      </c>
      <c r="D260" s="17">
        <v>1.0</v>
      </c>
      <c r="E260" s="10" t="s">
        <v>147</v>
      </c>
      <c r="F260" s="10" t="s">
        <v>890</v>
      </c>
      <c r="G260" s="10" t="s">
        <v>891</v>
      </c>
      <c r="H260" s="10" t="s">
        <v>122</v>
      </c>
      <c r="I260" s="12"/>
      <c r="J260" s="13">
        <v>0.19</v>
      </c>
      <c r="K260" s="12"/>
      <c r="L260" s="12"/>
      <c r="M260" s="12"/>
      <c r="N260" s="12"/>
      <c r="O260" s="13">
        <v>0.25</v>
      </c>
      <c r="P260" s="13">
        <v>0.06</v>
      </c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5"/>
    </row>
    <row r="261" ht="22.5" customHeight="1">
      <c r="A261" s="16">
        <v>566.0</v>
      </c>
      <c r="B261" s="10" t="s">
        <v>892</v>
      </c>
      <c r="C261" s="10" t="s">
        <v>137</v>
      </c>
      <c r="D261" s="17">
        <v>1.0</v>
      </c>
      <c r="E261" s="10" t="s">
        <v>147</v>
      </c>
      <c r="F261" s="10" t="s">
        <v>893</v>
      </c>
      <c r="G261" s="10" t="s">
        <v>894</v>
      </c>
      <c r="H261" s="10" t="s">
        <v>122</v>
      </c>
      <c r="I261" s="12"/>
      <c r="J261" s="13">
        <v>0.19</v>
      </c>
      <c r="K261" s="12"/>
      <c r="L261" s="12"/>
      <c r="M261" s="12"/>
      <c r="N261" s="12"/>
      <c r="O261" s="13">
        <v>0.04</v>
      </c>
      <c r="P261" s="13">
        <v>0.1</v>
      </c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5"/>
    </row>
    <row r="262" ht="22.5" customHeight="1">
      <c r="A262" s="16">
        <v>586.0</v>
      </c>
      <c r="B262" s="10" t="s">
        <v>895</v>
      </c>
      <c r="C262" s="10" t="s">
        <v>137</v>
      </c>
      <c r="D262" s="17">
        <v>1.0</v>
      </c>
      <c r="E262" s="10" t="s">
        <v>147</v>
      </c>
      <c r="F262" s="10" t="s">
        <v>896</v>
      </c>
      <c r="G262" s="10" t="s">
        <v>897</v>
      </c>
      <c r="H262" s="10" t="s">
        <v>122</v>
      </c>
      <c r="I262" s="12"/>
      <c r="J262" s="13">
        <v>0.19</v>
      </c>
      <c r="K262" s="12"/>
      <c r="L262" s="12"/>
      <c r="M262" s="12"/>
      <c r="N262" s="12"/>
      <c r="O262" s="13">
        <v>0.04</v>
      </c>
      <c r="P262" s="13">
        <v>0.18</v>
      </c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5"/>
    </row>
    <row r="263" ht="22.5" customHeight="1">
      <c r="A263" s="16">
        <v>596.0</v>
      </c>
      <c r="B263" s="10" t="s">
        <v>898</v>
      </c>
      <c r="C263" s="10" t="s">
        <v>137</v>
      </c>
      <c r="D263" s="17">
        <v>1.0</v>
      </c>
      <c r="E263" s="10" t="s">
        <v>147</v>
      </c>
      <c r="F263" s="10" t="s">
        <v>899</v>
      </c>
      <c r="G263" s="10" t="s">
        <v>900</v>
      </c>
      <c r="H263" s="10" t="s">
        <v>122</v>
      </c>
      <c r="I263" s="12"/>
      <c r="J263" s="13">
        <v>0.2</v>
      </c>
      <c r="K263" s="12"/>
      <c r="L263" s="12"/>
      <c r="M263" s="12"/>
      <c r="N263" s="12"/>
      <c r="O263" s="13">
        <v>0.03</v>
      </c>
      <c r="P263" s="13">
        <v>0.14</v>
      </c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5"/>
    </row>
    <row r="264" ht="22.5" customHeight="1">
      <c r="A264" s="16">
        <v>413.0</v>
      </c>
      <c r="B264" s="10" t="s">
        <v>901</v>
      </c>
      <c r="C264" s="10" t="s">
        <v>137</v>
      </c>
      <c r="D264" s="17">
        <v>1.0</v>
      </c>
      <c r="E264" s="10" t="s">
        <v>147</v>
      </c>
      <c r="F264" s="10" t="s">
        <v>902</v>
      </c>
      <c r="G264" s="10" t="s">
        <v>903</v>
      </c>
      <c r="H264" s="10" t="s">
        <v>122</v>
      </c>
      <c r="I264" s="12"/>
      <c r="J264" s="13">
        <v>0.2</v>
      </c>
      <c r="K264" s="12"/>
      <c r="L264" s="12"/>
      <c r="M264" s="12"/>
      <c r="N264" s="12"/>
      <c r="O264" s="13">
        <v>0.04</v>
      </c>
      <c r="P264" s="13">
        <v>0.18</v>
      </c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5"/>
    </row>
    <row r="265" ht="22.5" customHeight="1">
      <c r="A265" s="16">
        <v>555.0</v>
      </c>
      <c r="B265" s="10" t="s">
        <v>904</v>
      </c>
      <c r="C265" s="10" t="s">
        <v>137</v>
      </c>
      <c r="D265" s="17">
        <v>1.0</v>
      </c>
      <c r="E265" s="10" t="s">
        <v>147</v>
      </c>
      <c r="F265" s="10" t="s">
        <v>905</v>
      </c>
      <c r="G265" s="10" t="s">
        <v>906</v>
      </c>
      <c r="H265" s="10" t="s">
        <v>122</v>
      </c>
      <c r="I265" s="12"/>
      <c r="J265" s="13">
        <v>0.21</v>
      </c>
      <c r="K265" s="12"/>
      <c r="L265" s="12"/>
      <c r="M265" s="12"/>
      <c r="N265" s="12"/>
      <c r="O265" s="13">
        <v>0.04</v>
      </c>
      <c r="P265" s="13">
        <v>0.11</v>
      </c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5"/>
    </row>
    <row r="266" ht="22.5" customHeight="1">
      <c r="A266" s="16">
        <v>654.0</v>
      </c>
      <c r="B266" s="10" t="s">
        <v>907</v>
      </c>
      <c r="C266" s="10" t="s">
        <v>137</v>
      </c>
      <c r="D266" s="17">
        <v>1.0</v>
      </c>
      <c r="E266" s="10" t="s">
        <v>147</v>
      </c>
      <c r="F266" s="10" t="s">
        <v>908</v>
      </c>
      <c r="G266" s="10" t="s">
        <v>909</v>
      </c>
      <c r="H266" s="10" t="s">
        <v>122</v>
      </c>
      <c r="I266" s="12"/>
      <c r="J266" s="13">
        <v>0.21</v>
      </c>
      <c r="K266" s="12"/>
      <c r="L266" s="12"/>
      <c r="M266" s="12"/>
      <c r="N266" s="12"/>
      <c r="O266" s="13">
        <v>0.07</v>
      </c>
      <c r="P266" s="13">
        <v>0.08</v>
      </c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5"/>
    </row>
    <row r="267" ht="22.5" customHeight="1">
      <c r="A267" s="16">
        <v>664.0</v>
      </c>
      <c r="B267" s="10" t="s">
        <v>910</v>
      </c>
      <c r="C267" s="10" t="s">
        <v>137</v>
      </c>
      <c r="D267" s="17">
        <v>1.0</v>
      </c>
      <c r="E267" s="10" t="s">
        <v>147</v>
      </c>
      <c r="F267" s="10" t="s">
        <v>911</v>
      </c>
      <c r="G267" s="10" t="s">
        <v>912</v>
      </c>
      <c r="H267" s="10" t="s">
        <v>122</v>
      </c>
      <c r="I267" s="12"/>
      <c r="J267" s="13">
        <v>0.22</v>
      </c>
      <c r="K267" s="12"/>
      <c r="L267" s="12"/>
      <c r="M267" s="12"/>
      <c r="N267" s="12"/>
      <c r="O267" s="13">
        <v>0.0</v>
      </c>
      <c r="P267" s="13">
        <v>0.19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5"/>
    </row>
    <row r="268" ht="22.5" customHeight="1">
      <c r="A268" s="16">
        <v>560.0</v>
      </c>
      <c r="B268" s="10" t="s">
        <v>913</v>
      </c>
      <c r="C268" s="10" t="s">
        <v>137</v>
      </c>
      <c r="D268" s="17">
        <v>1.0</v>
      </c>
      <c r="E268" s="10" t="s">
        <v>147</v>
      </c>
      <c r="F268" s="10" t="s">
        <v>914</v>
      </c>
      <c r="G268" s="10" t="s">
        <v>915</v>
      </c>
      <c r="H268" s="10" t="s">
        <v>122</v>
      </c>
      <c r="I268" s="12"/>
      <c r="J268" s="13">
        <v>0.22</v>
      </c>
      <c r="K268" s="12"/>
      <c r="L268" s="12"/>
      <c r="M268" s="12"/>
      <c r="N268" s="12"/>
      <c r="O268" s="13">
        <v>0.03</v>
      </c>
      <c r="P268" s="13">
        <v>0.0</v>
      </c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5"/>
    </row>
    <row r="269" ht="22.5" customHeight="1">
      <c r="A269" s="16">
        <v>645.0</v>
      </c>
      <c r="B269" s="10" t="s">
        <v>916</v>
      </c>
      <c r="C269" s="10" t="s">
        <v>137</v>
      </c>
      <c r="D269" s="17">
        <v>1.0</v>
      </c>
      <c r="E269" s="10" t="s">
        <v>147</v>
      </c>
      <c r="F269" s="10" t="s">
        <v>917</v>
      </c>
      <c r="G269" s="10" t="s">
        <v>918</v>
      </c>
      <c r="H269" s="10" t="s">
        <v>122</v>
      </c>
      <c r="I269" s="12"/>
      <c r="J269" s="13">
        <v>0.22</v>
      </c>
      <c r="K269" s="12"/>
      <c r="L269" s="12"/>
      <c r="M269" s="12"/>
      <c r="N269" s="12"/>
      <c r="O269" s="13">
        <v>0.03</v>
      </c>
      <c r="P269" s="13">
        <v>0.03</v>
      </c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5"/>
    </row>
    <row r="270" ht="22.5" customHeight="1">
      <c r="A270" s="16">
        <v>662.0</v>
      </c>
      <c r="B270" s="10" t="s">
        <v>919</v>
      </c>
      <c r="C270" s="10" t="s">
        <v>137</v>
      </c>
      <c r="D270" s="17">
        <v>1.0</v>
      </c>
      <c r="E270" s="10" t="s">
        <v>147</v>
      </c>
      <c r="F270" s="10" t="s">
        <v>920</v>
      </c>
      <c r="G270" s="10" t="s">
        <v>921</v>
      </c>
      <c r="H270" s="10" t="s">
        <v>122</v>
      </c>
      <c r="I270" s="12"/>
      <c r="J270" s="13">
        <v>0.22</v>
      </c>
      <c r="K270" s="12"/>
      <c r="L270" s="12"/>
      <c r="M270" s="12"/>
      <c r="N270" s="12"/>
      <c r="O270" s="13">
        <v>0.06</v>
      </c>
      <c r="P270" s="13">
        <v>0.03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5"/>
    </row>
    <row r="271" ht="22.5" customHeight="1">
      <c r="A271" s="16">
        <v>605.0</v>
      </c>
      <c r="B271" s="10" t="s">
        <v>922</v>
      </c>
      <c r="C271" s="10" t="s">
        <v>137</v>
      </c>
      <c r="D271" s="17">
        <v>1.0</v>
      </c>
      <c r="E271" s="10" t="s">
        <v>147</v>
      </c>
      <c r="F271" s="10" t="s">
        <v>923</v>
      </c>
      <c r="G271" s="10" t="s">
        <v>924</v>
      </c>
      <c r="H271" s="10" t="s">
        <v>122</v>
      </c>
      <c r="I271" s="12"/>
      <c r="J271" s="13">
        <v>0.22</v>
      </c>
      <c r="K271" s="12"/>
      <c r="L271" s="12"/>
      <c r="M271" s="12"/>
      <c r="N271" s="12"/>
      <c r="O271" s="13">
        <v>0.0</v>
      </c>
      <c r="P271" s="13">
        <v>0.07</v>
      </c>
      <c r="Q271" s="12"/>
      <c r="R271" s="12"/>
      <c r="S271" s="13">
        <v>0.12</v>
      </c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5"/>
    </row>
    <row r="272" ht="22.5" customHeight="1">
      <c r="A272" s="16">
        <v>639.0</v>
      </c>
      <c r="B272" s="10" t="s">
        <v>925</v>
      </c>
      <c r="C272" s="10" t="s">
        <v>137</v>
      </c>
      <c r="D272" s="17">
        <v>1.0</v>
      </c>
      <c r="E272" s="10" t="s">
        <v>147</v>
      </c>
      <c r="F272" s="10" t="s">
        <v>926</v>
      </c>
      <c r="G272" s="10" t="s">
        <v>927</v>
      </c>
      <c r="H272" s="10" t="s">
        <v>122</v>
      </c>
      <c r="I272" s="12"/>
      <c r="J272" s="13">
        <v>0.22</v>
      </c>
      <c r="K272" s="12"/>
      <c r="L272" s="12"/>
      <c r="M272" s="12"/>
      <c r="N272" s="12"/>
      <c r="O272" s="13">
        <v>0.08</v>
      </c>
      <c r="P272" s="13">
        <v>0.1</v>
      </c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5"/>
    </row>
    <row r="273" ht="22.5" customHeight="1">
      <c r="A273" s="16">
        <v>535.0</v>
      </c>
      <c r="B273" s="10" t="s">
        <v>928</v>
      </c>
      <c r="C273" s="10" t="s">
        <v>137</v>
      </c>
      <c r="D273" s="17">
        <v>1.0</v>
      </c>
      <c r="E273" s="10" t="s">
        <v>147</v>
      </c>
      <c r="F273" s="10" t="s">
        <v>929</v>
      </c>
      <c r="G273" s="10" t="s">
        <v>930</v>
      </c>
      <c r="H273" s="10" t="s">
        <v>122</v>
      </c>
      <c r="I273" s="12"/>
      <c r="J273" s="13">
        <v>0.22</v>
      </c>
      <c r="K273" s="12"/>
      <c r="L273" s="12"/>
      <c r="M273" s="12"/>
      <c r="N273" s="12"/>
      <c r="O273" s="13">
        <v>0.09</v>
      </c>
      <c r="P273" s="13">
        <v>0.0</v>
      </c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5"/>
    </row>
    <row r="274" ht="22.5" customHeight="1">
      <c r="A274" s="16">
        <v>669.0</v>
      </c>
      <c r="B274" s="10" t="s">
        <v>931</v>
      </c>
      <c r="C274" s="10" t="s">
        <v>137</v>
      </c>
      <c r="D274" s="17">
        <v>1.0</v>
      </c>
      <c r="E274" s="10" t="s">
        <v>147</v>
      </c>
      <c r="F274" s="10" t="s">
        <v>932</v>
      </c>
      <c r="G274" s="10" t="s">
        <v>933</v>
      </c>
      <c r="H274" s="10" t="s">
        <v>122</v>
      </c>
      <c r="I274" s="12"/>
      <c r="J274" s="13">
        <v>0.23</v>
      </c>
      <c r="K274" s="12"/>
      <c r="L274" s="12"/>
      <c r="M274" s="12"/>
      <c r="N274" s="12"/>
      <c r="O274" s="13">
        <v>0.01</v>
      </c>
      <c r="P274" s="13">
        <v>0.18</v>
      </c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5"/>
    </row>
    <row r="275" ht="22.5" customHeight="1">
      <c r="A275" s="16">
        <v>651.0</v>
      </c>
      <c r="B275" s="10" t="s">
        <v>934</v>
      </c>
      <c r="C275" s="10" t="s">
        <v>137</v>
      </c>
      <c r="D275" s="17">
        <v>1.0</v>
      </c>
      <c r="E275" s="10" t="s">
        <v>147</v>
      </c>
      <c r="F275" s="10" t="s">
        <v>935</v>
      </c>
      <c r="G275" s="10" t="s">
        <v>936</v>
      </c>
      <c r="H275" s="10" t="s">
        <v>122</v>
      </c>
      <c r="I275" s="12"/>
      <c r="J275" s="13">
        <v>0.23</v>
      </c>
      <c r="K275" s="12"/>
      <c r="L275" s="12"/>
      <c r="M275" s="12"/>
      <c r="N275" s="12"/>
      <c r="O275" s="13">
        <v>0.04</v>
      </c>
      <c r="P275" s="13">
        <v>0.16</v>
      </c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5"/>
    </row>
    <row r="276" ht="22.5" customHeight="1">
      <c r="A276" s="16">
        <v>593.0</v>
      </c>
      <c r="B276" s="10" t="s">
        <v>937</v>
      </c>
      <c r="C276" s="10" t="s">
        <v>137</v>
      </c>
      <c r="D276" s="17">
        <v>1.0</v>
      </c>
      <c r="E276" s="10" t="s">
        <v>147</v>
      </c>
      <c r="F276" s="10" t="s">
        <v>938</v>
      </c>
      <c r="G276" s="10" t="s">
        <v>939</v>
      </c>
      <c r="H276" s="10" t="s">
        <v>122</v>
      </c>
      <c r="I276" s="12"/>
      <c r="J276" s="13">
        <v>0.23</v>
      </c>
      <c r="K276" s="12"/>
      <c r="L276" s="12"/>
      <c r="M276" s="12"/>
      <c r="N276" s="12"/>
      <c r="O276" s="13">
        <v>0.04</v>
      </c>
      <c r="P276" s="13">
        <v>0.09</v>
      </c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5"/>
    </row>
    <row r="277" ht="22.5" customHeight="1">
      <c r="A277" s="16">
        <v>420.0</v>
      </c>
      <c r="B277" s="10" t="s">
        <v>940</v>
      </c>
      <c r="C277" s="10" t="s">
        <v>137</v>
      </c>
      <c r="D277" s="17">
        <v>1.0</v>
      </c>
      <c r="E277" s="10" t="s">
        <v>147</v>
      </c>
      <c r="F277" s="10" t="s">
        <v>941</v>
      </c>
      <c r="G277" s="10" t="s">
        <v>942</v>
      </c>
      <c r="H277" s="10" t="s">
        <v>122</v>
      </c>
      <c r="I277" s="12"/>
      <c r="J277" s="13">
        <v>0.23</v>
      </c>
      <c r="K277" s="12"/>
      <c r="L277" s="12"/>
      <c r="M277" s="12"/>
      <c r="N277" s="12"/>
      <c r="O277" s="13">
        <v>0.05</v>
      </c>
      <c r="P277" s="13">
        <v>0.1</v>
      </c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5"/>
    </row>
    <row r="278" ht="22.5" customHeight="1">
      <c r="A278" s="16">
        <v>554.0</v>
      </c>
      <c r="B278" s="10" t="s">
        <v>943</v>
      </c>
      <c r="C278" s="10" t="s">
        <v>137</v>
      </c>
      <c r="D278" s="17">
        <v>1.0</v>
      </c>
      <c r="E278" s="10" t="s">
        <v>147</v>
      </c>
      <c r="F278" s="10" t="s">
        <v>944</v>
      </c>
      <c r="G278" s="10" t="s">
        <v>945</v>
      </c>
      <c r="H278" s="10" t="s">
        <v>122</v>
      </c>
      <c r="I278" s="12"/>
      <c r="J278" s="13">
        <v>0.23</v>
      </c>
      <c r="K278" s="12"/>
      <c r="L278" s="12"/>
      <c r="M278" s="12"/>
      <c r="N278" s="12"/>
      <c r="O278" s="13">
        <v>0.09</v>
      </c>
      <c r="P278" s="13">
        <v>0.11</v>
      </c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5"/>
    </row>
    <row r="279" ht="22.5" customHeight="1">
      <c r="A279" s="16">
        <v>650.0</v>
      </c>
      <c r="B279" s="10" t="s">
        <v>946</v>
      </c>
      <c r="C279" s="10" t="s">
        <v>137</v>
      </c>
      <c r="D279" s="17">
        <v>1.0</v>
      </c>
      <c r="E279" s="10" t="s">
        <v>147</v>
      </c>
      <c r="F279" s="10" t="s">
        <v>947</v>
      </c>
      <c r="G279" s="10" t="s">
        <v>948</v>
      </c>
      <c r="H279" s="10" t="s">
        <v>122</v>
      </c>
      <c r="I279" s="12"/>
      <c r="J279" s="13">
        <v>0.24</v>
      </c>
      <c r="K279" s="12"/>
      <c r="L279" s="12"/>
      <c r="M279" s="12"/>
      <c r="N279" s="12"/>
      <c r="O279" s="13">
        <v>0.02</v>
      </c>
      <c r="P279" s="13">
        <v>0.09</v>
      </c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5"/>
    </row>
    <row r="280" ht="22.5" customHeight="1">
      <c r="A280" s="16">
        <v>585.0</v>
      </c>
      <c r="B280" s="10" t="s">
        <v>949</v>
      </c>
      <c r="C280" s="10" t="s">
        <v>137</v>
      </c>
      <c r="D280" s="17">
        <v>1.0</v>
      </c>
      <c r="E280" s="10" t="s">
        <v>147</v>
      </c>
      <c r="F280" s="10" t="s">
        <v>950</v>
      </c>
      <c r="G280" s="10" t="s">
        <v>951</v>
      </c>
      <c r="H280" s="10" t="s">
        <v>122</v>
      </c>
      <c r="I280" s="12"/>
      <c r="J280" s="13">
        <v>0.24</v>
      </c>
      <c r="K280" s="12"/>
      <c r="L280" s="12"/>
      <c r="M280" s="12"/>
      <c r="N280" s="12"/>
      <c r="O280" s="13">
        <v>0.04</v>
      </c>
      <c r="P280" s="13">
        <v>0.02</v>
      </c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5"/>
    </row>
    <row r="281" ht="22.5" customHeight="1">
      <c r="A281" s="16">
        <v>965.0</v>
      </c>
      <c r="B281" s="10" t="s">
        <v>952</v>
      </c>
      <c r="C281" s="10" t="s">
        <v>137</v>
      </c>
      <c r="D281" s="17">
        <v>1.0</v>
      </c>
      <c r="E281" s="10" t="s">
        <v>147</v>
      </c>
      <c r="F281" s="10" t="s">
        <v>953</v>
      </c>
      <c r="G281" s="10" t="s">
        <v>954</v>
      </c>
      <c r="H281" s="10" t="s">
        <v>122</v>
      </c>
      <c r="I281" s="12"/>
      <c r="J281" s="13">
        <v>0.24</v>
      </c>
      <c r="K281" s="12"/>
      <c r="L281" s="12"/>
      <c r="M281" s="12"/>
      <c r="N281" s="12"/>
      <c r="O281" s="13">
        <v>0.04</v>
      </c>
      <c r="P281" s="13">
        <v>0.1</v>
      </c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5"/>
    </row>
    <row r="282" ht="22.5" customHeight="1">
      <c r="A282" s="16">
        <v>616.0</v>
      </c>
      <c r="B282" s="10" t="s">
        <v>955</v>
      </c>
      <c r="C282" s="10" t="s">
        <v>137</v>
      </c>
      <c r="D282" s="17">
        <v>1.0</v>
      </c>
      <c r="E282" s="10" t="s">
        <v>147</v>
      </c>
      <c r="F282" s="10" t="s">
        <v>956</v>
      </c>
      <c r="G282" s="10" t="s">
        <v>957</v>
      </c>
      <c r="H282" s="10" t="s">
        <v>122</v>
      </c>
      <c r="I282" s="12"/>
      <c r="J282" s="13">
        <v>0.24</v>
      </c>
      <c r="K282" s="12"/>
      <c r="L282" s="12"/>
      <c r="M282" s="12"/>
      <c r="N282" s="12"/>
      <c r="O282" s="13">
        <v>0.06</v>
      </c>
      <c r="P282" s="13">
        <v>0.07</v>
      </c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5"/>
    </row>
    <row r="283" ht="22.5" customHeight="1">
      <c r="A283" s="16">
        <v>591.0</v>
      </c>
      <c r="B283" s="10" t="s">
        <v>958</v>
      </c>
      <c r="C283" s="10" t="s">
        <v>137</v>
      </c>
      <c r="D283" s="17">
        <v>1.0</v>
      </c>
      <c r="E283" s="10" t="s">
        <v>147</v>
      </c>
      <c r="F283" s="10" t="s">
        <v>959</v>
      </c>
      <c r="G283" s="10" t="s">
        <v>960</v>
      </c>
      <c r="H283" s="10" t="s">
        <v>122</v>
      </c>
      <c r="I283" s="12"/>
      <c r="J283" s="13">
        <v>0.24</v>
      </c>
      <c r="K283" s="12"/>
      <c r="L283" s="12"/>
      <c r="M283" s="12"/>
      <c r="N283" s="12"/>
      <c r="O283" s="13">
        <v>0.0</v>
      </c>
      <c r="P283" s="13">
        <v>0.09</v>
      </c>
      <c r="Q283" s="12"/>
      <c r="R283" s="12"/>
      <c r="S283" s="13">
        <v>0.12</v>
      </c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5"/>
    </row>
    <row r="284" ht="22.5" customHeight="1">
      <c r="A284" s="16">
        <v>614.0</v>
      </c>
      <c r="B284" s="10" t="s">
        <v>961</v>
      </c>
      <c r="C284" s="10" t="s">
        <v>137</v>
      </c>
      <c r="D284" s="17">
        <v>1.0</v>
      </c>
      <c r="E284" s="10" t="s">
        <v>147</v>
      </c>
      <c r="F284" s="10" t="s">
        <v>962</v>
      </c>
      <c r="G284" s="10" t="s">
        <v>963</v>
      </c>
      <c r="H284" s="10" t="s">
        <v>122</v>
      </c>
      <c r="I284" s="12"/>
      <c r="J284" s="13">
        <v>0.24</v>
      </c>
      <c r="K284" s="12"/>
      <c r="L284" s="12"/>
      <c r="M284" s="12"/>
      <c r="N284" s="12"/>
      <c r="O284" s="13">
        <v>0.09</v>
      </c>
      <c r="P284" s="13">
        <v>0.0</v>
      </c>
      <c r="Q284" s="12"/>
      <c r="R284" s="12"/>
      <c r="S284" s="13">
        <v>0.07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5"/>
    </row>
    <row r="285" ht="22.5" customHeight="1">
      <c r="A285" s="16">
        <v>629.0</v>
      </c>
      <c r="B285" s="10" t="s">
        <v>964</v>
      </c>
      <c r="C285" s="10" t="s">
        <v>137</v>
      </c>
      <c r="D285" s="17">
        <v>1.0</v>
      </c>
      <c r="E285" s="10" t="s">
        <v>147</v>
      </c>
      <c r="F285" s="10" t="s">
        <v>965</v>
      </c>
      <c r="G285" s="10" t="s">
        <v>966</v>
      </c>
      <c r="H285" s="10" t="s">
        <v>122</v>
      </c>
      <c r="I285" s="12"/>
      <c r="J285" s="13">
        <v>0.25</v>
      </c>
      <c r="K285" s="12"/>
      <c r="L285" s="12"/>
      <c r="M285" s="12"/>
      <c r="N285" s="12"/>
      <c r="O285" s="13">
        <v>0.0</v>
      </c>
      <c r="P285" s="13">
        <v>0.08</v>
      </c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5"/>
    </row>
    <row r="286" ht="22.5" customHeight="1">
      <c r="A286" s="16">
        <v>412.0</v>
      </c>
      <c r="B286" s="10" t="s">
        <v>967</v>
      </c>
      <c r="C286" s="10" t="s">
        <v>137</v>
      </c>
      <c r="D286" s="17">
        <v>1.0</v>
      </c>
      <c r="E286" s="10" t="s">
        <v>147</v>
      </c>
      <c r="F286" s="10" t="s">
        <v>968</v>
      </c>
      <c r="G286" s="10" t="s">
        <v>969</v>
      </c>
      <c r="H286" s="10" t="s">
        <v>122</v>
      </c>
      <c r="I286" s="12"/>
      <c r="J286" s="13">
        <v>0.25</v>
      </c>
      <c r="K286" s="12"/>
      <c r="L286" s="12"/>
      <c r="M286" s="12"/>
      <c r="N286" s="12"/>
      <c r="O286" s="13">
        <v>0.13</v>
      </c>
      <c r="P286" s="13">
        <v>0.12</v>
      </c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5"/>
    </row>
    <row r="287" ht="22.5" customHeight="1">
      <c r="A287" s="16">
        <v>628.0</v>
      </c>
      <c r="B287" s="10" t="s">
        <v>970</v>
      </c>
      <c r="C287" s="10" t="s">
        <v>137</v>
      </c>
      <c r="D287" s="17">
        <v>1.0</v>
      </c>
      <c r="E287" s="10" t="s">
        <v>147</v>
      </c>
      <c r="F287" s="10" t="s">
        <v>971</v>
      </c>
      <c r="G287" s="10" t="s">
        <v>972</v>
      </c>
      <c r="H287" s="10" t="s">
        <v>122</v>
      </c>
      <c r="I287" s="12"/>
      <c r="J287" s="13">
        <v>0.25</v>
      </c>
      <c r="K287" s="12"/>
      <c r="L287" s="12"/>
      <c r="M287" s="12"/>
      <c r="N287" s="12"/>
      <c r="O287" s="13">
        <v>0.04</v>
      </c>
      <c r="P287" s="13">
        <v>0.14</v>
      </c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5"/>
    </row>
    <row r="288" ht="22.5" customHeight="1">
      <c r="A288" s="16">
        <v>677.0</v>
      </c>
      <c r="B288" s="10" t="s">
        <v>973</v>
      </c>
      <c r="C288" s="10" t="s">
        <v>137</v>
      </c>
      <c r="D288" s="17">
        <v>1.0</v>
      </c>
      <c r="E288" s="10" t="s">
        <v>147</v>
      </c>
      <c r="F288" s="10" t="s">
        <v>974</v>
      </c>
      <c r="G288" s="10" t="s">
        <v>975</v>
      </c>
      <c r="H288" s="10" t="s">
        <v>122</v>
      </c>
      <c r="I288" s="12"/>
      <c r="J288" s="13">
        <v>0.25</v>
      </c>
      <c r="K288" s="12"/>
      <c r="L288" s="12"/>
      <c r="M288" s="12"/>
      <c r="N288" s="12"/>
      <c r="O288" s="13">
        <v>0.06</v>
      </c>
      <c r="P288" s="13">
        <v>0.0</v>
      </c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5"/>
    </row>
    <row r="289" ht="22.5" customHeight="1">
      <c r="A289" s="16">
        <v>568.0</v>
      </c>
      <c r="B289" s="10" t="s">
        <v>976</v>
      </c>
      <c r="C289" s="10" t="s">
        <v>137</v>
      </c>
      <c r="D289" s="17">
        <v>1.0</v>
      </c>
      <c r="E289" s="10" t="s">
        <v>147</v>
      </c>
      <c r="F289" s="10" t="s">
        <v>977</v>
      </c>
      <c r="G289" s="10" t="s">
        <v>978</v>
      </c>
      <c r="H289" s="10" t="s">
        <v>122</v>
      </c>
      <c r="I289" s="12"/>
      <c r="J289" s="13">
        <v>0.25</v>
      </c>
      <c r="K289" s="12"/>
      <c r="L289" s="12"/>
      <c r="M289" s="12"/>
      <c r="N289" s="12"/>
      <c r="O289" s="13">
        <v>0.06</v>
      </c>
      <c r="P289" s="13">
        <v>0.13</v>
      </c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5"/>
    </row>
    <row r="290" ht="22.5" customHeight="1">
      <c r="A290" s="16">
        <v>644.0</v>
      </c>
      <c r="B290" s="10" t="s">
        <v>979</v>
      </c>
      <c r="C290" s="10" t="s">
        <v>137</v>
      </c>
      <c r="D290" s="17">
        <v>1.0</v>
      </c>
      <c r="E290" s="10" t="s">
        <v>147</v>
      </c>
      <c r="F290" s="10" t="s">
        <v>980</v>
      </c>
      <c r="G290" s="10" t="s">
        <v>981</v>
      </c>
      <c r="H290" s="10" t="s">
        <v>122</v>
      </c>
      <c r="I290" s="12"/>
      <c r="J290" s="13">
        <v>0.25</v>
      </c>
      <c r="K290" s="12"/>
      <c r="L290" s="12"/>
      <c r="M290" s="12"/>
      <c r="N290" s="12"/>
      <c r="O290" s="13">
        <v>0.08</v>
      </c>
      <c r="P290" s="13">
        <v>0.16</v>
      </c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5"/>
    </row>
    <row r="291" ht="22.5" customHeight="1">
      <c r="A291" s="16">
        <v>647.0</v>
      </c>
      <c r="B291" s="10" t="s">
        <v>979</v>
      </c>
      <c r="C291" s="10" t="s">
        <v>137</v>
      </c>
      <c r="D291" s="17">
        <v>1.0</v>
      </c>
      <c r="E291" s="10" t="s">
        <v>147</v>
      </c>
      <c r="F291" s="10" t="s">
        <v>982</v>
      </c>
      <c r="G291" s="10" t="s">
        <v>983</v>
      </c>
      <c r="H291" s="10" t="s">
        <v>122</v>
      </c>
      <c r="I291" s="12"/>
      <c r="J291" s="13">
        <v>0.25</v>
      </c>
      <c r="K291" s="12"/>
      <c r="L291" s="12"/>
      <c r="M291" s="12"/>
      <c r="N291" s="12"/>
      <c r="O291" s="13">
        <v>0.08</v>
      </c>
      <c r="P291" s="13">
        <v>0.16</v>
      </c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5"/>
    </row>
    <row r="292" ht="22.5" customHeight="1">
      <c r="A292" s="16">
        <v>594.0</v>
      </c>
      <c r="B292" s="10" t="s">
        <v>984</v>
      </c>
      <c r="C292" s="10" t="s">
        <v>137</v>
      </c>
      <c r="D292" s="17">
        <v>1.0</v>
      </c>
      <c r="E292" s="10" t="s">
        <v>147</v>
      </c>
      <c r="F292" s="10" t="s">
        <v>985</v>
      </c>
      <c r="G292" s="10" t="s">
        <v>986</v>
      </c>
      <c r="H292" s="10" t="s">
        <v>122</v>
      </c>
      <c r="I292" s="12"/>
      <c r="J292" s="13">
        <v>0.26</v>
      </c>
      <c r="K292" s="12"/>
      <c r="L292" s="12"/>
      <c r="M292" s="12"/>
      <c r="N292" s="12"/>
      <c r="O292" s="13">
        <v>0.11</v>
      </c>
      <c r="P292" s="13">
        <v>0.06</v>
      </c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5"/>
    </row>
    <row r="293" ht="22.5" customHeight="1">
      <c r="A293" s="16">
        <v>582.0</v>
      </c>
      <c r="B293" s="10" t="s">
        <v>987</v>
      </c>
      <c r="C293" s="10" t="s">
        <v>137</v>
      </c>
      <c r="D293" s="17">
        <v>1.0</v>
      </c>
      <c r="E293" s="10" t="s">
        <v>147</v>
      </c>
      <c r="F293" s="10" t="s">
        <v>988</v>
      </c>
      <c r="G293" s="10" t="s">
        <v>989</v>
      </c>
      <c r="H293" s="10" t="s">
        <v>122</v>
      </c>
      <c r="I293" s="12"/>
      <c r="J293" s="13">
        <v>0.26</v>
      </c>
      <c r="K293" s="12"/>
      <c r="L293" s="12"/>
      <c r="M293" s="12"/>
      <c r="N293" s="12"/>
      <c r="O293" s="13">
        <v>0.0</v>
      </c>
      <c r="P293" s="13">
        <v>0.2</v>
      </c>
      <c r="Q293" s="12"/>
      <c r="R293" s="12"/>
      <c r="S293" s="13">
        <v>0.04</v>
      </c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5"/>
    </row>
    <row r="294" ht="22.5" customHeight="1">
      <c r="A294" s="16">
        <v>627.0</v>
      </c>
      <c r="B294" s="10" t="s">
        <v>990</v>
      </c>
      <c r="C294" s="10" t="s">
        <v>137</v>
      </c>
      <c r="D294" s="17">
        <v>1.0</v>
      </c>
      <c r="E294" s="10" t="s">
        <v>147</v>
      </c>
      <c r="F294" s="10" t="s">
        <v>991</v>
      </c>
      <c r="G294" s="10" t="s">
        <v>992</v>
      </c>
      <c r="H294" s="10" t="s">
        <v>122</v>
      </c>
      <c r="I294" s="12"/>
      <c r="J294" s="13">
        <v>0.26</v>
      </c>
      <c r="K294" s="12"/>
      <c r="L294" s="12"/>
      <c r="M294" s="12"/>
      <c r="N294" s="12"/>
      <c r="O294" s="13">
        <v>0.02</v>
      </c>
      <c r="P294" s="13">
        <v>0.09</v>
      </c>
      <c r="Q294" s="13">
        <v>0.02</v>
      </c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5"/>
    </row>
    <row r="295" ht="22.5" customHeight="1">
      <c r="A295" s="16">
        <v>431.0</v>
      </c>
      <c r="B295" s="10" t="s">
        <v>993</v>
      </c>
      <c r="C295" s="10" t="s">
        <v>137</v>
      </c>
      <c r="D295" s="17">
        <v>1.0</v>
      </c>
      <c r="E295" s="10" t="s">
        <v>147</v>
      </c>
      <c r="F295" s="10" t="s">
        <v>994</v>
      </c>
      <c r="G295" s="10" t="s">
        <v>995</v>
      </c>
      <c r="H295" s="10" t="s">
        <v>122</v>
      </c>
      <c r="I295" s="12"/>
      <c r="J295" s="13">
        <v>0.26</v>
      </c>
      <c r="K295" s="12"/>
      <c r="L295" s="12"/>
      <c r="M295" s="12"/>
      <c r="N295" s="12"/>
      <c r="O295" s="13">
        <v>0.06</v>
      </c>
      <c r="P295" s="13">
        <v>0.02</v>
      </c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5"/>
    </row>
    <row r="296" ht="22.5" customHeight="1">
      <c r="A296" s="16">
        <v>546.0</v>
      </c>
      <c r="B296" s="10" t="s">
        <v>993</v>
      </c>
      <c r="C296" s="10" t="s">
        <v>137</v>
      </c>
      <c r="D296" s="17">
        <v>1.0</v>
      </c>
      <c r="E296" s="10" t="s">
        <v>147</v>
      </c>
      <c r="F296" s="10" t="s">
        <v>996</v>
      </c>
      <c r="G296" s="10" t="s">
        <v>997</v>
      </c>
      <c r="H296" s="10" t="s">
        <v>122</v>
      </c>
      <c r="I296" s="12"/>
      <c r="J296" s="13">
        <v>0.26</v>
      </c>
      <c r="K296" s="12"/>
      <c r="L296" s="12"/>
      <c r="M296" s="12"/>
      <c r="N296" s="12"/>
      <c r="O296" s="13">
        <v>0.06</v>
      </c>
      <c r="P296" s="13">
        <v>0.02</v>
      </c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5"/>
    </row>
    <row r="297" ht="22.5" customHeight="1">
      <c r="A297" s="16">
        <v>682.0</v>
      </c>
      <c r="B297" s="10" t="s">
        <v>998</v>
      </c>
      <c r="C297" s="10" t="s">
        <v>137</v>
      </c>
      <c r="D297" s="17">
        <v>1.0</v>
      </c>
      <c r="E297" s="10" t="s">
        <v>147</v>
      </c>
      <c r="F297" s="10" t="s">
        <v>999</v>
      </c>
      <c r="G297" s="10" t="s">
        <v>1000</v>
      </c>
      <c r="H297" s="10" t="s">
        <v>122</v>
      </c>
      <c r="I297" s="12"/>
      <c r="J297" s="13">
        <v>0.26</v>
      </c>
      <c r="K297" s="12"/>
      <c r="L297" s="12"/>
      <c r="M297" s="12"/>
      <c r="N297" s="12"/>
      <c r="O297" s="13">
        <v>0.07</v>
      </c>
      <c r="P297" s="13">
        <v>0.0</v>
      </c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5"/>
    </row>
    <row r="298" ht="22.5" customHeight="1">
      <c r="A298" s="16">
        <v>625.0</v>
      </c>
      <c r="B298" s="10" t="s">
        <v>1001</v>
      </c>
      <c r="C298" s="10" t="s">
        <v>137</v>
      </c>
      <c r="D298" s="17">
        <v>1.0</v>
      </c>
      <c r="E298" s="10" t="s">
        <v>147</v>
      </c>
      <c r="F298" s="10" t="s">
        <v>1002</v>
      </c>
      <c r="G298" s="10" t="s">
        <v>1003</v>
      </c>
      <c r="H298" s="10" t="s">
        <v>122</v>
      </c>
      <c r="I298" s="12"/>
      <c r="J298" s="13">
        <v>0.27</v>
      </c>
      <c r="K298" s="12"/>
      <c r="L298" s="12"/>
      <c r="M298" s="12"/>
      <c r="N298" s="12"/>
      <c r="O298" s="13">
        <v>0.0</v>
      </c>
      <c r="P298" s="13">
        <v>0.18</v>
      </c>
      <c r="Q298" s="12"/>
      <c r="R298" s="12"/>
      <c r="S298" s="13">
        <v>0.05</v>
      </c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5"/>
    </row>
    <row r="299" ht="22.5" customHeight="1">
      <c r="A299" s="16">
        <v>672.0</v>
      </c>
      <c r="B299" s="10" t="s">
        <v>1004</v>
      </c>
      <c r="C299" s="10" t="s">
        <v>137</v>
      </c>
      <c r="D299" s="17">
        <v>1.0</v>
      </c>
      <c r="E299" s="10" t="s">
        <v>147</v>
      </c>
      <c r="F299" s="10" t="s">
        <v>1005</v>
      </c>
      <c r="G299" s="10" t="s">
        <v>1006</v>
      </c>
      <c r="H299" s="10" t="s">
        <v>122</v>
      </c>
      <c r="I299" s="12"/>
      <c r="J299" s="13">
        <v>0.27</v>
      </c>
      <c r="K299" s="12"/>
      <c r="L299" s="12"/>
      <c r="M299" s="12"/>
      <c r="N299" s="12"/>
      <c r="O299" s="13">
        <v>0.2</v>
      </c>
      <c r="P299" s="13">
        <v>0.0</v>
      </c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5"/>
    </row>
    <row r="300" ht="22.5" customHeight="1">
      <c r="A300" s="16">
        <v>539.0</v>
      </c>
      <c r="B300" s="10" t="s">
        <v>1007</v>
      </c>
      <c r="C300" s="10" t="s">
        <v>137</v>
      </c>
      <c r="D300" s="17">
        <v>1.0</v>
      </c>
      <c r="E300" s="10" t="s">
        <v>147</v>
      </c>
      <c r="F300" s="10" t="s">
        <v>1008</v>
      </c>
      <c r="G300" s="10" t="s">
        <v>1009</v>
      </c>
      <c r="H300" s="10" t="s">
        <v>122</v>
      </c>
      <c r="I300" s="12"/>
      <c r="J300" s="13">
        <v>0.27</v>
      </c>
      <c r="K300" s="12"/>
      <c r="L300" s="12"/>
      <c r="M300" s="12"/>
      <c r="N300" s="12"/>
      <c r="O300" s="13">
        <v>0.05</v>
      </c>
      <c r="P300" s="13">
        <v>0.11</v>
      </c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5"/>
    </row>
    <row r="301" ht="22.5" customHeight="1">
      <c r="A301" s="16">
        <v>610.0</v>
      </c>
      <c r="B301" s="10" t="s">
        <v>1010</v>
      </c>
      <c r="C301" s="10" t="s">
        <v>137</v>
      </c>
      <c r="D301" s="17">
        <v>1.0</v>
      </c>
      <c r="E301" s="10" t="s">
        <v>147</v>
      </c>
      <c r="F301" s="10" t="s">
        <v>1011</v>
      </c>
      <c r="G301" s="10" t="s">
        <v>1012</v>
      </c>
      <c r="H301" s="10" t="s">
        <v>122</v>
      </c>
      <c r="I301" s="12"/>
      <c r="J301" s="13">
        <v>0.27</v>
      </c>
      <c r="K301" s="12"/>
      <c r="L301" s="12"/>
      <c r="M301" s="12"/>
      <c r="N301" s="12"/>
      <c r="O301" s="13">
        <v>0.08</v>
      </c>
      <c r="P301" s="13">
        <v>0.09</v>
      </c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5"/>
    </row>
    <row r="302" ht="22.5" customHeight="1">
      <c r="A302" s="16">
        <v>621.0</v>
      </c>
      <c r="B302" s="10" t="s">
        <v>1013</v>
      </c>
      <c r="C302" s="10" t="s">
        <v>137</v>
      </c>
      <c r="D302" s="17">
        <v>1.0</v>
      </c>
      <c r="E302" s="10" t="s">
        <v>147</v>
      </c>
      <c r="F302" s="10" t="s">
        <v>1014</v>
      </c>
      <c r="G302" s="10" t="s">
        <v>1015</v>
      </c>
      <c r="H302" s="10" t="s">
        <v>122</v>
      </c>
      <c r="I302" s="12"/>
      <c r="J302" s="13">
        <v>0.28</v>
      </c>
      <c r="K302" s="12"/>
      <c r="L302" s="12"/>
      <c r="M302" s="12"/>
      <c r="N302" s="12"/>
      <c r="O302" s="13">
        <v>0.0</v>
      </c>
      <c r="P302" s="13">
        <v>0.24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5"/>
    </row>
    <row r="303" ht="22.5" customHeight="1">
      <c r="A303" s="16">
        <v>600.0</v>
      </c>
      <c r="B303" s="10" t="s">
        <v>1016</v>
      </c>
      <c r="C303" s="10" t="s">
        <v>137</v>
      </c>
      <c r="D303" s="17">
        <v>1.0</v>
      </c>
      <c r="E303" s="10" t="s">
        <v>147</v>
      </c>
      <c r="F303" s="10" t="s">
        <v>1017</v>
      </c>
      <c r="G303" s="10" t="s">
        <v>1018</v>
      </c>
      <c r="H303" s="10" t="s">
        <v>122</v>
      </c>
      <c r="I303" s="12"/>
      <c r="J303" s="13">
        <v>0.28</v>
      </c>
      <c r="K303" s="12"/>
      <c r="L303" s="12"/>
      <c r="M303" s="12"/>
      <c r="N303" s="12"/>
      <c r="O303" s="13">
        <v>0.14</v>
      </c>
      <c r="P303" s="13">
        <v>0.06</v>
      </c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5"/>
    </row>
    <row r="304" ht="22.5" customHeight="1">
      <c r="A304" s="16">
        <v>657.0</v>
      </c>
      <c r="B304" s="10" t="s">
        <v>1019</v>
      </c>
      <c r="C304" s="10" t="s">
        <v>137</v>
      </c>
      <c r="D304" s="17">
        <v>1.0</v>
      </c>
      <c r="E304" s="10" t="s">
        <v>147</v>
      </c>
      <c r="F304" s="10" t="s">
        <v>1020</v>
      </c>
      <c r="G304" s="10" t="s">
        <v>1021</v>
      </c>
      <c r="H304" s="10" t="s">
        <v>122</v>
      </c>
      <c r="I304" s="12"/>
      <c r="J304" s="13">
        <v>0.28</v>
      </c>
      <c r="K304" s="12"/>
      <c r="L304" s="12"/>
      <c r="M304" s="12"/>
      <c r="N304" s="12"/>
      <c r="O304" s="13">
        <v>0.04</v>
      </c>
      <c r="P304" s="13">
        <v>0.09</v>
      </c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5"/>
    </row>
    <row r="305" ht="22.5" customHeight="1">
      <c r="A305" s="16">
        <v>592.0</v>
      </c>
      <c r="B305" s="10" t="s">
        <v>1022</v>
      </c>
      <c r="C305" s="10" t="s">
        <v>137</v>
      </c>
      <c r="D305" s="17">
        <v>1.0</v>
      </c>
      <c r="E305" s="10" t="s">
        <v>147</v>
      </c>
      <c r="F305" s="10" t="s">
        <v>1023</v>
      </c>
      <c r="G305" s="10" t="s">
        <v>1024</v>
      </c>
      <c r="H305" s="10" t="s">
        <v>122</v>
      </c>
      <c r="I305" s="12"/>
      <c r="J305" s="13">
        <v>0.28</v>
      </c>
      <c r="K305" s="12"/>
      <c r="L305" s="12"/>
      <c r="M305" s="12"/>
      <c r="N305" s="12"/>
      <c r="O305" s="13">
        <v>0.05</v>
      </c>
      <c r="P305" s="13">
        <v>0.0</v>
      </c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5"/>
    </row>
    <row r="306" ht="22.5" customHeight="1">
      <c r="A306" s="16">
        <v>548.0</v>
      </c>
      <c r="B306" s="10" t="s">
        <v>1025</v>
      </c>
      <c r="C306" s="10" t="s">
        <v>137</v>
      </c>
      <c r="D306" s="17">
        <v>1.0</v>
      </c>
      <c r="E306" s="10" t="s">
        <v>147</v>
      </c>
      <c r="F306" s="10" t="s">
        <v>1026</v>
      </c>
      <c r="G306" s="10" t="s">
        <v>1027</v>
      </c>
      <c r="H306" s="10" t="s">
        <v>122</v>
      </c>
      <c r="I306" s="12"/>
      <c r="J306" s="13">
        <v>0.28</v>
      </c>
      <c r="K306" s="12"/>
      <c r="L306" s="12"/>
      <c r="M306" s="12"/>
      <c r="N306" s="12"/>
      <c r="O306" s="13">
        <v>0.05</v>
      </c>
      <c r="P306" s="13">
        <v>0.15</v>
      </c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5"/>
    </row>
    <row r="307" ht="22.5" customHeight="1">
      <c r="A307" s="16">
        <v>609.0</v>
      </c>
      <c r="B307" s="10" t="s">
        <v>1028</v>
      </c>
      <c r="C307" s="10" t="s">
        <v>137</v>
      </c>
      <c r="D307" s="17">
        <v>1.0</v>
      </c>
      <c r="E307" s="10" t="s">
        <v>147</v>
      </c>
      <c r="F307" s="10" t="s">
        <v>1029</v>
      </c>
      <c r="G307" s="10" t="s">
        <v>1030</v>
      </c>
      <c r="H307" s="10" t="s">
        <v>122</v>
      </c>
      <c r="I307" s="12"/>
      <c r="J307" s="13">
        <v>0.28</v>
      </c>
      <c r="K307" s="12"/>
      <c r="L307" s="12"/>
      <c r="M307" s="12"/>
      <c r="N307" s="12"/>
      <c r="O307" s="13">
        <v>0.05</v>
      </c>
      <c r="P307" s="13">
        <v>0.09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5"/>
    </row>
    <row r="308" ht="22.5" customHeight="1">
      <c r="A308" s="16">
        <v>608.0</v>
      </c>
      <c r="B308" s="10" t="s">
        <v>1031</v>
      </c>
      <c r="C308" s="10" t="s">
        <v>137</v>
      </c>
      <c r="D308" s="17">
        <v>1.0</v>
      </c>
      <c r="E308" s="10" t="s">
        <v>147</v>
      </c>
      <c r="F308" s="10" t="s">
        <v>1032</v>
      </c>
      <c r="G308" s="10" t="s">
        <v>1033</v>
      </c>
      <c r="H308" s="10" t="s">
        <v>122</v>
      </c>
      <c r="I308" s="12"/>
      <c r="J308" s="13">
        <v>0.29</v>
      </c>
      <c r="K308" s="12"/>
      <c r="L308" s="12"/>
      <c r="M308" s="12"/>
      <c r="N308" s="12"/>
      <c r="O308" s="13">
        <v>0.1</v>
      </c>
      <c r="P308" s="13">
        <v>0.06</v>
      </c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5"/>
    </row>
    <row r="309" ht="22.5" customHeight="1">
      <c r="A309" s="16">
        <v>428.0</v>
      </c>
      <c r="B309" s="10" t="s">
        <v>1034</v>
      </c>
      <c r="C309" s="10" t="s">
        <v>137</v>
      </c>
      <c r="D309" s="17">
        <v>1.0</v>
      </c>
      <c r="E309" s="10" t="s">
        <v>147</v>
      </c>
      <c r="F309" s="10" t="s">
        <v>1035</v>
      </c>
      <c r="G309" s="10" t="s">
        <v>1036</v>
      </c>
      <c r="H309" s="10" t="s">
        <v>122</v>
      </c>
      <c r="I309" s="12"/>
      <c r="J309" s="13">
        <v>0.29</v>
      </c>
      <c r="K309" s="12"/>
      <c r="L309" s="12"/>
      <c r="M309" s="12"/>
      <c r="N309" s="12"/>
      <c r="O309" s="13">
        <v>0.15</v>
      </c>
      <c r="P309" s="13">
        <v>0.05</v>
      </c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5"/>
    </row>
    <row r="310" ht="22.5" customHeight="1">
      <c r="A310" s="16">
        <v>607.0</v>
      </c>
      <c r="B310" s="10" t="s">
        <v>1037</v>
      </c>
      <c r="C310" s="10" t="s">
        <v>137</v>
      </c>
      <c r="D310" s="17">
        <v>1.0</v>
      </c>
      <c r="E310" s="10" t="s">
        <v>147</v>
      </c>
      <c r="F310" s="10" t="s">
        <v>1038</v>
      </c>
      <c r="G310" s="10" t="s">
        <v>1039</v>
      </c>
      <c r="H310" s="10" t="s">
        <v>122</v>
      </c>
      <c r="I310" s="12"/>
      <c r="J310" s="13">
        <v>0.29</v>
      </c>
      <c r="K310" s="12"/>
      <c r="L310" s="12"/>
      <c r="M310" s="12"/>
      <c r="N310" s="12"/>
      <c r="O310" s="13">
        <v>0.01</v>
      </c>
      <c r="P310" s="13">
        <v>0.11</v>
      </c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5"/>
    </row>
    <row r="311" ht="22.5" customHeight="1">
      <c r="A311" s="16">
        <v>683.0</v>
      </c>
      <c r="B311" s="10" t="s">
        <v>1040</v>
      </c>
      <c r="C311" s="10" t="s">
        <v>137</v>
      </c>
      <c r="D311" s="17">
        <v>1.0</v>
      </c>
      <c r="E311" s="10" t="s">
        <v>147</v>
      </c>
      <c r="F311" s="10" t="s">
        <v>1041</v>
      </c>
      <c r="G311" s="10" t="s">
        <v>1042</v>
      </c>
      <c r="H311" s="10" t="s">
        <v>122</v>
      </c>
      <c r="I311" s="12"/>
      <c r="J311" s="13">
        <v>0.29</v>
      </c>
      <c r="K311" s="12"/>
      <c r="L311" s="12"/>
      <c r="M311" s="12"/>
      <c r="N311" s="12"/>
      <c r="O311" s="13">
        <v>0.06</v>
      </c>
      <c r="P311" s="13">
        <v>0.12</v>
      </c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5"/>
    </row>
    <row r="312" ht="22.5" customHeight="1">
      <c r="A312" s="16">
        <v>840.0</v>
      </c>
      <c r="B312" s="10" t="s">
        <v>1043</v>
      </c>
      <c r="C312" s="10" t="s">
        <v>137</v>
      </c>
      <c r="D312" s="17">
        <v>1.0</v>
      </c>
      <c r="E312" s="10" t="s">
        <v>147</v>
      </c>
      <c r="F312" s="10" t="s">
        <v>1044</v>
      </c>
      <c r="G312" s="10" t="s">
        <v>1045</v>
      </c>
      <c r="H312" s="10" t="s">
        <v>122</v>
      </c>
      <c r="I312" s="12"/>
      <c r="J312" s="13">
        <v>0.3</v>
      </c>
      <c r="K312" s="12"/>
      <c r="L312" s="12"/>
      <c r="M312" s="12"/>
      <c r="N312" s="12"/>
      <c r="O312" s="13">
        <v>0.0</v>
      </c>
      <c r="P312" s="13">
        <v>0.2</v>
      </c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5"/>
    </row>
    <row r="313" ht="22.5" customHeight="1">
      <c r="A313" s="16">
        <v>598.0</v>
      </c>
      <c r="B313" s="10" t="s">
        <v>1046</v>
      </c>
      <c r="C313" s="10" t="s">
        <v>137</v>
      </c>
      <c r="D313" s="17">
        <v>1.0</v>
      </c>
      <c r="E313" s="10" t="s">
        <v>147</v>
      </c>
      <c r="F313" s="10" t="s">
        <v>1047</v>
      </c>
      <c r="G313" s="10" t="s">
        <v>1048</v>
      </c>
      <c r="H313" s="10" t="s">
        <v>122</v>
      </c>
      <c r="I313" s="12"/>
      <c r="J313" s="13">
        <v>0.3</v>
      </c>
      <c r="K313" s="12"/>
      <c r="L313" s="12"/>
      <c r="M313" s="12"/>
      <c r="N313" s="12"/>
      <c r="O313" s="13">
        <v>0.11</v>
      </c>
      <c r="P313" s="13">
        <v>0.06</v>
      </c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5"/>
    </row>
    <row r="314" ht="22.5" customHeight="1">
      <c r="A314" s="16">
        <v>465.0</v>
      </c>
      <c r="B314" s="10" t="s">
        <v>1049</v>
      </c>
      <c r="C314" s="10" t="s">
        <v>137</v>
      </c>
      <c r="D314" s="17">
        <v>1.0</v>
      </c>
      <c r="E314" s="10" t="s">
        <v>147</v>
      </c>
      <c r="F314" s="10" t="s">
        <v>1050</v>
      </c>
      <c r="G314" s="10" t="s">
        <v>1051</v>
      </c>
      <c r="H314" s="10" t="s">
        <v>122</v>
      </c>
      <c r="I314" s="12"/>
      <c r="J314" s="13">
        <v>0.3</v>
      </c>
      <c r="K314" s="12"/>
      <c r="L314" s="12"/>
      <c r="M314" s="12"/>
      <c r="N314" s="12"/>
      <c r="O314" s="13">
        <v>0.08</v>
      </c>
      <c r="P314" s="13">
        <v>0.0</v>
      </c>
      <c r="Q314" s="13">
        <v>0.04</v>
      </c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5"/>
    </row>
    <row r="315" ht="22.5" customHeight="1">
      <c r="A315" s="16">
        <v>676.0</v>
      </c>
      <c r="B315" s="10" t="s">
        <v>1052</v>
      </c>
      <c r="C315" s="10" t="s">
        <v>137</v>
      </c>
      <c r="D315" s="17">
        <v>1.0</v>
      </c>
      <c r="E315" s="10" t="s">
        <v>147</v>
      </c>
      <c r="F315" s="10" t="s">
        <v>1053</v>
      </c>
      <c r="G315" s="10" t="s">
        <v>1054</v>
      </c>
      <c r="H315" s="10" t="s">
        <v>122</v>
      </c>
      <c r="I315" s="12"/>
      <c r="J315" s="13">
        <v>0.3</v>
      </c>
      <c r="K315" s="12"/>
      <c r="L315" s="12"/>
      <c r="M315" s="12"/>
      <c r="N315" s="12"/>
      <c r="O315" s="13">
        <v>0.09</v>
      </c>
      <c r="P315" s="13">
        <v>0.0</v>
      </c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5"/>
    </row>
    <row r="316" ht="22.5" customHeight="1">
      <c r="A316" s="16">
        <v>671.0</v>
      </c>
      <c r="B316" s="10" t="s">
        <v>1055</v>
      </c>
      <c r="C316" s="10" t="s">
        <v>137</v>
      </c>
      <c r="D316" s="17">
        <v>1.0</v>
      </c>
      <c r="E316" s="10" t="s">
        <v>147</v>
      </c>
      <c r="F316" s="10" t="s">
        <v>1056</v>
      </c>
      <c r="G316" s="10" t="s">
        <v>1057</v>
      </c>
      <c r="H316" s="10" t="s">
        <v>122</v>
      </c>
      <c r="I316" s="12"/>
      <c r="J316" s="13">
        <v>0.31</v>
      </c>
      <c r="K316" s="12"/>
      <c r="L316" s="12"/>
      <c r="M316" s="12"/>
      <c r="N316" s="12"/>
      <c r="O316" s="13">
        <v>0.05</v>
      </c>
      <c r="P316" s="13">
        <v>0.0</v>
      </c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5"/>
    </row>
    <row r="317" ht="22.5" customHeight="1">
      <c r="A317" s="16">
        <v>597.0</v>
      </c>
      <c r="B317" s="10" t="s">
        <v>1058</v>
      </c>
      <c r="C317" s="10" t="s">
        <v>137</v>
      </c>
      <c r="D317" s="17">
        <v>1.0</v>
      </c>
      <c r="E317" s="10" t="s">
        <v>147</v>
      </c>
      <c r="F317" s="10" t="s">
        <v>1059</v>
      </c>
      <c r="G317" s="10" t="s">
        <v>1060</v>
      </c>
      <c r="H317" s="10" t="s">
        <v>122</v>
      </c>
      <c r="I317" s="12"/>
      <c r="J317" s="13">
        <v>0.31</v>
      </c>
      <c r="K317" s="12"/>
      <c r="L317" s="12"/>
      <c r="M317" s="12"/>
      <c r="N317" s="12"/>
      <c r="O317" s="13">
        <v>0.06</v>
      </c>
      <c r="P317" s="13">
        <v>0.07</v>
      </c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5"/>
    </row>
    <row r="318" ht="22.5" customHeight="1">
      <c r="A318" s="16">
        <v>581.0</v>
      </c>
      <c r="B318" s="10" t="s">
        <v>1061</v>
      </c>
      <c r="C318" s="10" t="s">
        <v>137</v>
      </c>
      <c r="D318" s="17">
        <v>1.0</v>
      </c>
      <c r="E318" s="10" t="s">
        <v>147</v>
      </c>
      <c r="F318" s="10" t="s">
        <v>1062</v>
      </c>
      <c r="G318" s="10" t="s">
        <v>1063</v>
      </c>
      <c r="H318" s="10" t="s">
        <v>122</v>
      </c>
      <c r="I318" s="12"/>
      <c r="J318" s="13">
        <v>0.31</v>
      </c>
      <c r="K318" s="12"/>
      <c r="L318" s="12"/>
      <c r="M318" s="12"/>
      <c r="N318" s="12"/>
      <c r="O318" s="13">
        <v>0.0</v>
      </c>
      <c r="P318" s="13">
        <v>0.07</v>
      </c>
      <c r="Q318" s="12"/>
      <c r="R318" s="12"/>
      <c r="S318" s="13">
        <v>0.09</v>
      </c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5"/>
    </row>
    <row r="319" ht="22.5" customHeight="1">
      <c r="A319" s="16">
        <v>1080.0</v>
      </c>
      <c r="B319" s="10" t="s">
        <v>1064</v>
      </c>
      <c r="C319" s="10" t="s">
        <v>137</v>
      </c>
      <c r="D319" s="17">
        <v>1.0</v>
      </c>
      <c r="E319" s="10" t="s">
        <v>147</v>
      </c>
      <c r="F319" s="10" t="s">
        <v>1065</v>
      </c>
      <c r="G319" s="10" t="s">
        <v>1066</v>
      </c>
      <c r="H319" s="10" t="s">
        <v>122</v>
      </c>
      <c r="I319" s="12"/>
      <c r="J319" s="14">
        <v>0.32</v>
      </c>
      <c r="K319" s="12"/>
      <c r="L319" s="12"/>
      <c r="M319" s="12"/>
      <c r="N319" s="12"/>
      <c r="O319" s="14">
        <v>0.0</v>
      </c>
      <c r="P319" s="14">
        <v>0.09</v>
      </c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5"/>
    </row>
    <row r="320" ht="22.5" customHeight="1">
      <c r="A320" s="16">
        <v>599.0</v>
      </c>
      <c r="B320" s="10" t="s">
        <v>1067</v>
      </c>
      <c r="C320" s="10" t="s">
        <v>137</v>
      </c>
      <c r="D320" s="17">
        <v>1.0</v>
      </c>
      <c r="E320" s="10" t="s">
        <v>147</v>
      </c>
      <c r="F320" s="10" t="s">
        <v>1068</v>
      </c>
      <c r="G320" s="10" t="s">
        <v>1069</v>
      </c>
      <c r="H320" s="10" t="s">
        <v>122</v>
      </c>
      <c r="I320" s="12"/>
      <c r="J320" s="13">
        <v>0.33</v>
      </c>
      <c r="K320" s="12"/>
      <c r="L320" s="12"/>
      <c r="M320" s="12"/>
      <c r="N320" s="12"/>
      <c r="O320" s="13">
        <v>0.06</v>
      </c>
      <c r="P320" s="13">
        <v>0.06</v>
      </c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5"/>
    </row>
    <row r="321" ht="22.5" customHeight="1">
      <c r="A321" s="16">
        <v>666.0</v>
      </c>
      <c r="B321" s="10" t="s">
        <v>1070</v>
      </c>
      <c r="C321" s="10" t="s">
        <v>137</v>
      </c>
      <c r="D321" s="17">
        <v>1.0</v>
      </c>
      <c r="E321" s="10" t="s">
        <v>147</v>
      </c>
      <c r="F321" s="10" t="s">
        <v>1071</v>
      </c>
      <c r="G321" s="10" t="s">
        <v>1072</v>
      </c>
      <c r="H321" s="10" t="s">
        <v>122</v>
      </c>
      <c r="I321" s="12"/>
      <c r="J321" s="13">
        <v>0.04</v>
      </c>
      <c r="K321" s="12"/>
      <c r="L321" s="12"/>
      <c r="M321" s="12"/>
      <c r="N321" s="12"/>
      <c r="O321" s="13">
        <v>0.09</v>
      </c>
      <c r="P321" s="13">
        <v>0.0</v>
      </c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5"/>
    </row>
    <row r="322" ht="22.5" customHeight="1">
      <c r="A322" s="16">
        <v>622.0</v>
      </c>
      <c r="B322" s="10" t="s">
        <v>1073</v>
      </c>
      <c r="C322" s="10" t="s">
        <v>137</v>
      </c>
      <c r="D322" s="17">
        <v>1.0</v>
      </c>
      <c r="E322" s="10" t="s">
        <v>147</v>
      </c>
      <c r="F322" s="10" t="s">
        <v>1074</v>
      </c>
      <c r="G322" s="10" t="s">
        <v>1075</v>
      </c>
      <c r="H322" s="10" t="s">
        <v>122</v>
      </c>
      <c r="I322" s="12"/>
      <c r="J322" s="13">
        <v>0.05</v>
      </c>
      <c r="K322" s="12"/>
      <c r="L322" s="12"/>
      <c r="M322" s="12"/>
      <c r="N322" s="12"/>
      <c r="O322" s="13">
        <v>0.08</v>
      </c>
      <c r="P322" s="13">
        <v>0.29</v>
      </c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5"/>
    </row>
    <row r="323" ht="22.5" customHeight="1">
      <c r="A323" s="16">
        <v>603.0</v>
      </c>
      <c r="B323" s="10" t="s">
        <v>1076</v>
      </c>
      <c r="C323" s="10" t="s">
        <v>137</v>
      </c>
      <c r="D323" s="17">
        <v>1.0</v>
      </c>
      <c r="E323" s="10" t="s">
        <v>147</v>
      </c>
      <c r="F323" s="10" t="s">
        <v>1077</v>
      </c>
      <c r="G323" s="10" t="s">
        <v>1078</v>
      </c>
      <c r="H323" s="10" t="s">
        <v>122</v>
      </c>
      <c r="I323" s="12"/>
      <c r="J323" s="13">
        <v>0.06</v>
      </c>
      <c r="K323" s="12"/>
      <c r="L323" s="12"/>
      <c r="M323" s="12"/>
      <c r="N323" s="12"/>
      <c r="O323" s="13">
        <v>0.06</v>
      </c>
      <c r="P323" s="13">
        <v>0.33</v>
      </c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5"/>
    </row>
    <row r="324" ht="22.5" customHeight="1">
      <c r="A324" s="16">
        <v>661.0</v>
      </c>
      <c r="B324" s="10" t="s">
        <v>1079</v>
      </c>
      <c r="C324" s="10" t="s">
        <v>137</v>
      </c>
      <c r="D324" s="17">
        <v>1.0</v>
      </c>
      <c r="E324" s="10" t="s">
        <v>147</v>
      </c>
      <c r="F324" s="10" t="s">
        <v>1080</v>
      </c>
      <c r="G324" s="10" t="s">
        <v>1081</v>
      </c>
      <c r="H324" s="10" t="s">
        <v>122</v>
      </c>
      <c r="I324" s="12"/>
      <c r="J324" s="13">
        <v>0.07</v>
      </c>
      <c r="K324" s="12"/>
      <c r="L324" s="12"/>
      <c r="M324" s="12"/>
      <c r="N324" s="12"/>
      <c r="O324" s="13">
        <v>0.08</v>
      </c>
      <c r="P324" s="13">
        <v>0.3</v>
      </c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5"/>
    </row>
    <row r="325" ht="22.5" customHeight="1">
      <c r="A325" s="16">
        <v>551.0</v>
      </c>
      <c r="B325" s="10" t="s">
        <v>1082</v>
      </c>
      <c r="C325" s="10" t="s">
        <v>137</v>
      </c>
      <c r="D325" s="17">
        <v>1.0</v>
      </c>
      <c r="E325" s="10" t="s">
        <v>147</v>
      </c>
      <c r="F325" s="10" t="s">
        <v>1083</v>
      </c>
      <c r="G325" s="10" t="s">
        <v>1084</v>
      </c>
      <c r="H325" s="10" t="s">
        <v>122</v>
      </c>
      <c r="I325" s="12"/>
      <c r="J325" s="13">
        <v>0.08</v>
      </c>
      <c r="K325" s="12"/>
      <c r="L325" s="12"/>
      <c r="M325" s="12"/>
      <c r="N325" s="12"/>
      <c r="O325" s="13">
        <v>0.06</v>
      </c>
      <c r="P325" s="13">
        <v>0.24</v>
      </c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5"/>
    </row>
    <row r="326" ht="22.5" customHeight="1">
      <c r="A326" s="16">
        <v>164.0</v>
      </c>
      <c r="B326" s="10" t="s">
        <v>1085</v>
      </c>
      <c r="C326" s="10" t="s">
        <v>137</v>
      </c>
      <c r="D326" s="17">
        <v>1.0</v>
      </c>
      <c r="E326" s="10" t="s">
        <v>147</v>
      </c>
      <c r="F326" s="10" t="s">
        <v>1086</v>
      </c>
      <c r="G326" s="10" t="s">
        <v>1087</v>
      </c>
      <c r="H326" s="10" t="s">
        <v>122</v>
      </c>
      <c r="I326" s="12"/>
      <c r="J326" s="13">
        <v>0.46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5"/>
    </row>
    <row r="327" ht="22.5" customHeight="1">
      <c r="A327" s="16">
        <v>188.0</v>
      </c>
      <c r="B327" s="10" t="s">
        <v>1088</v>
      </c>
      <c r="C327" s="10" t="s">
        <v>137</v>
      </c>
      <c r="D327" s="17">
        <v>1.0</v>
      </c>
      <c r="E327" s="10" t="s">
        <v>147</v>
      </c>
      <c r="F327" s="10" t="s">
        <v>1089</v>
      </c>
      <c r="G327" s="10" t="s">
        <v>1090</v>
      </c>
      <c r="H327" s="10" t="s">
        <v>122</v>
      </c>
      <c r="I327" s="12"/>
      <c r="J327" s="13">
        <v>0.4</v>
      </c>
      <c r="K327" s="12"/>
      <c r="L327" s="12"/>
      <c r="M327" s="12"/>
      <c r="N327" s="12"/>
      <c r="O327" s="12"/>
      <c r="P327" s="12"/>
      <c r="Q327" s="12"/>
      <c r="R327" s="12"/>
      <c r="S327" s="13">
        <v>0.06</v>
      </c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5"/>
    </row>
    <row r="328" ht="22.5" customHeight="1">
      <c r="A328" s="16">
        <v>178.0</v>
      </c>
      <c r="B328" s="10" t="s">
        <v>1091</v>
      </c>
      <c r="C328" s="10" t="s">
        <v>339</v>
      </c>
      <c r="D328" s="17">
        <v>1.0</v>
      </c>
      <c r="E328" s="10" t="s">
        <v>9</v>
      </c>
      <c r="F328" s="10" t="s">
        <v>1092</v>
      </c>
      <c r="G328" s="10" t="s">
        <v>1093</v>
      </c>
      <c r="H328" s="10" t="s">
        <v>122</v>
      </c>
      <c r="I328" s="12"/>
      <c r="J328" s="12"/>
      <c r="K328" s="12"/>
      <c r="L328" s="12"/>
      <c r="M328" s="12"/>
      <c r="N328" s="12"/>
      <c r="O328" s="13">
        <v>0.52</v>
      </c>
      <c r="P328" s="13">
        <v>0.34</v>
      </c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5"/>
    </row>
    <row r="329" ht="22.5" customHeight="1">
      <c r="A329" s="16">
        <v>354.0</v>
      </c>
      <c r="B329" s="10" t="s">
        <v>1094</v>
      </c>
      <c r="C329" s="11"/>
      <c r="D329" s="17">
        <v>1.0</v>
      </c>
      <c r="E329" s="10" t="s">
        <v>147</v>
      </c>
      <c r="F329" s="10" t="s">
        <v>1095</v>
      </c>
      <c r="G329" s="10" t="s">
        <v>1096</v>
      </c>
      <c r="H329" s="10" t="s">
        <v>15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5"/>
    </row>
    <row r="330" ht="22.5" customHeight="1">
      <c r="A330" s="16">
        <v>65.0</v>
      </c>
      <c r="B330" s="10" t="s">
        <v>1097</v>
      </c>
      <c r="C330" s="10" t="s">
        <v>137</v>
      </c>
      <c r="D330" s="17">
        <v>1.0</v>
      </c>
      <c r="E330" s="10" t="s">
        <v>147</v>
      </c>
      <c r="F330" s="10" t="s">
        <v>1098</v>
      </c>
      <c r="G330" s="10" t="s">
        <v>1099</v>
      </c>
      <c r="H330" s="10" t="s">
        <v>122</v>
      </c>
      <c r="I330" s="12"/>
      <c r="J330" s="12"/>
      <c r="K330" s="12"/>
      <c r="L330" s="12"/>
      <c r="M330" s="12"/>
      <c r="N330" s="12"/>
      <c r="O330" s="12"/>
      <c r="P330" s="12"/>
      <c r="Q330" s="13">
        <v>0.18</v>
      </c>
      <c r="R330" s="13">
        <v>0.18</v>
      </c>
      <c r="S330" s="13">
        <v>0.04</v>
      </c>
      <c r="T330" s="12"/>
      <c r="U330" s="12"/>
      <c r="V330" s="12"/>
      <c r="W330" s="12"/>
      <c r="X330" s="12"/>
      <c r="Y330" s="12"/>
      <c r="Z330" s="13">
        <v>0.14</v>
      </c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5"/>
    </row>
    <row r="331" ht="22.5" customHeight="1">
      <c r="A331" s="16">
        <v>62.0</v>
      </c>
      <c r="B331" s="10" t="s">
        <v>1100</v>
      </c>
      <c r="C331" s="10" t="s">
        <v>137</v>
      </c>
      <c r="D331" s="17">
        <v>1.0</v>
      </c>
      <c r="E331" s="10" t="s">
        <v>147</v>
      </c>
      <c r="F331" s="10" t="s">
        <v>1101</v>
      </c>
      <c r="G331" s="10" t="s">
        <v>1102</v>
      </c>
      <c r="H331" s="10" t="s">
        <v>122</v>
      </c>
      <c r="I331" s="12"/>
      <c r="J331" s="12"/>
      <c r="K331" s="12"/>
      <c r="L331" s="12"/>
      <c r="M331" s="12"/>
      <c r="N331" s="12"/>
      <c r="O331" s="12"/>
      <c r="P331" s="12"/>
      <c r="Q331" s="13">
        <v>0.1</v>
      </c>
      <c r="R331" s="13">
        <v>0.01</v>
      </c>
      <c r="S331" s="13">
        <v>0.01</v>
      </c>
      <c r="T331" s="12"/>
      <c r="U331" s="12"/>
      <c r="V331" s="12"/>
      <c r="W331" s="12"/>
      <c r="X331" s="12"/>
      <c r="Y331" s="12"/>
      <c r="Z331" s="13">
        <v>0.2</v>
      </c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5"/>
    </row>
    <row r="332" ht="22.5" customHeight="1">
      <c r="A332" s="16">
        <v>452.0</v>
      </c>
      <c r="B332" s="10" t="s">
        <v>1103</v>
      </c>
      <c r="C332" s="10" t="s">
        <v>137</v>
      </c>
      <c r="D332" s="17">
        <v>1.0</v>
      </c>
      <c r="E332" s="10" t="s">
        <v>147</v>
      </c>
      <c r="F332" s="10" t="s">
        <v>1104</v>
      </c>
      <c r="G332" s="10" t="s">
        <v>1105</v>
      </c>
      <c r="H332" s="10" t="s">
        <v>15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5"/>
    </row>
    <row r="333" ht="22.5" customHeight="1">
      <c r="A333" s="16">
        <v>563.0</v>
      </c>
      <c r="B333" s="10" t="s">
        <v>1106</v>
      </c>
      <c r="C333" s="10" t="s">
        <v>137</v>
      </c>
      <c r="D333" s="17">
        <v>1.0</v>
      </c>
      <c r="E333" s="10" t="s">
        <v>147</v>
      </c>
      <c r="F333" s="10" t="s">
        <v>1107</v>
      </c>
      <c r="G333" s="10" t="s">
        <v>1108</v>
      </c>
      <c r="H333" s="10" t="s">
        <v>122</v>
      </c>
      <c r="I333" s="12"/>
      <c r="J333" s="12"/>
      <c r="K333" s="12"/>
      <c r="L333" s="12"/>
      <c r="M333" s="12"/>
      <c r="N333" s="12"/>
      <c r="O333" s="12"/>
      <c r="P333" s="12"/>
      <c r="Q333" s="13">
        <v>0.28</v>
      </c>
      <c r="R333" s="13">
        <v>0.06</v>
      </c>
      <c r="S333" s="13">
        <v>0.01</v>
      </c>
      <c r="T333" s="12"/>
      <c r="U333" s="12"/>
      <c r="V333" s="12"/>
      <c r="W333" s="12"/>
      <c r="X333" s="12"/>
      <c r="Y333" s="12"/>
      <c r="Z333" s="13">
        <v>0.18</v>
      </c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5"/>
    </row>
    <row r="334" ht="22.5" customHeight="1">
      <c r="A334" s="16">
        <v>140.0</v>
      </c>
      <c r="B334" s="10" t="s">
        <v>1109</v>
      </c>
      <c r="C334" s="10" t="s">
        <v>137</v>
      </c>
      <c r="D334" s="17">
        <v>1.0</v>
      </c>
      <c r="E334" s="10" t="s">
        <v>147</v>
      </c>
      <c r="F334" s="10" t="s">
        <v>1110</v>
      </c>
      <c r="G334" s="10" t="s">
        <v>1111</v>
      </c>
      <c r="H334" s="10" t="s">
        <v>122</v>
      </c>
      <c r="I334" s="12"/>
      <c r="J334" s="12"/>
      <c r="K334" s="12"/>
      <c r="L334" s="12"/>
      <c r="M334" s="12"/>
      <c r="N334" s="12"/>
      <c r="O334" s="12"/>
      <c r="P334" s="12"/>
      <c r="Q334" s="13">
        <v>0.17</v>
      </c>
      <c r="R334" s="13">
        <v>0.17</v>
      </c>
      <c r="S334" s="13">
        <v>0.04</v>
      </c>
      <c r="T334" s="12"/>
      <c r="U334" s="12"/>
      <c r="V334" s="12"/>
      <c r="W334" s="12"/>
      <c r="X334" s="12"/>
      <c r="Y334" s="12"/>
      <c r="Z334" s="13">
        <v>0.12</v>
      </c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5"/>
    </row>
    <row r="335" ht="22.5" customHeight="1">
      <c r="A335" s="16">
        <v>365.0</v>
      </c>
      <c r="B335" s="10" t="s">
        <v>1112</v>
      </c>
      <c r="C335" s="10" t="s">
        <v>137</v>
      </c>
      <c r="D335" s="17">
        <v>1.0</v>
      </c>
      <c r="E335" s="10" t="s">
        <v>147</v>
      </c>
      <c r="F335" s="10" t="s">
        <v>1113</v>
      </c>
      <c r="G335" s="10" t="s">
        <v>1114</v>
      </c>
      <c r="H335" s="10" t="s">
        <v>15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5"/>
    </row>
    <row r="336" ht="22.5" customHeight="1">
      <c r="A336" s="16">
        <v>574.0</v>
      </c>
      <c r="B336" s="10" t="s">
        <v>1115</v>
      </c>
      <c r="C336" s="10" t="s">
        <v>137</v>
      </c>
      <c r="D336" s="17">
        <v>1.0</v>
      </c>
      <c r="E336" s="10" t="s">
        <v>147</v>
      </c>
      <c r="F336" s="10" t="s">
        <v>1116</v>
      </c>
      <c r="G336" s="10" t="s">
        <v>1117</v>
      </c>
      <c r="H336" s="10" t="s">
        <v>15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5"/>
    </row>
    <row r="337" ht="22.5" customHeight="1">
      <c r="A337" s="16">
        <v>679.0</v>
      </c>
      <c r="B337" s="10" t="s">
        <v>1118</v>
      </c>
      <c r="C337" s="10" t="s">
        <v>137</v>
      </c>
      <c r="D337" s="17">
        <v>1.0</v>
      </c>
      <c r="E337" s="10" t="s">
        <v>147</v>
      </c>
      <c r="F337" s="10" t="s">
        <v>1119</v>
      </c>
      <c r="G337" s="10" t="s">
        <v>1120</v>
      </c>
      <c r="H337" s="10" t="s">
        <v>122</v>
      </c>
      <c r="I337" s="12"/>
      <c r="J337" s="12"/>
      <c r="K337" s="12"/>
      <c r="L337" s="12"/>
      <c r="M337" s="12"/>
      <c r="N337" s="12"/>
      <c r="O337" s="13">
        <v>0.1</v>
      </c>
      <c r="P337" s="12"/>
      <c r="Q337" s="13">
        <v>0.14</v>
      </c>
      <c r="R337" s="13">
        <v>0.02</v>
      </c>
      <c r="S337" s="13">
        <v>0.05</v>
      </c>
      <c r="T337" s="12"/>
      <c r="U337" s="12"/>
      <c r="V337" s="12"/>
      <c r="W337" s="12"/>
      <c r="X337" s="12"/>
      <c r="Y337" s="12"/>
      <c r="Z337" s="13">
        <v>0.02</v>
      </c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5"/>
    </row>
    <row r="338" ht="22.5" customHeight="1">
      <c r="A338" s="16">
        <v>575.0</v>
      </c>
      <c r="B338" s="10" t="s">
        <v>1121</v>
      </c>
      <c r="C338" s="10" t="s">
        <v>137</v>
      </c>
      <c r="D338" s="17">
        <v>1.0</v>
      </c>
      <c r="E338" s="10" t="s">
        <v>147</v>
      </c>
      <c r="F338" s="10" t="s">
        <v>1122</v>
      </c>
      <c r="G338" s="10" t="s">
        <v>1123</v>
      </c>
      <c r="H338" s="10" t="s">
        <v>15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5"/>
    </row>
    <row r="339" ht="22.5" customHeight="1">
      <c r="A339" s="16">
        <v>302.0</v>
      </c>
      <c r="B339" s="10" t="s">
        <v>1124</v>
      </c>
      <c r="C339" s="10" t="s">
        <v>1125</v>
      </c>
      <c r="D339" s="17">
        <v>1.0</v>
      </c>
      <c r="E339" s="10" t="s">
        <v>147</v>
      </c>
      <c r="F339" s="10" t="s">
        <v>1126</v>
      </c>
      <c r="G339" s="10" t="s">
        <v>1127</v>
      </c>
      <c r="H339" s="10" t="s">
        <v>15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5"/>
    </row>
    <row r="340" ht="22.5" customHeight="1">
      <c r="A340" s="16">
        <v>208.0</v>
      </c>
      <c r="B340" s="10" t="s">
        <v>1128</v>
      </c>
      <c r="C340" s="10" t="s">
        <v>137</v>
      </c>
      <c r="D340" s="17">
        <v>1.0</v>
      </c>
      <c r="E340" s="10" t="s">
        <v>147</v>
      </c>
      <c r="F340" s="10" t="s">
        <v>1129</v>
      </c>
      <c r="G340" s="10" t="s">
        <v>1130</v>
      </c>
      <c r="H340" s="10" t="s">
        <v>122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3">
        <v>0.16</v>
      </c>
      <c r="S340" s="13">
        <v>0.08</v>
      </c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5"/>
    </row>
    <row r="341" ht="22.5" customHeight="1">
      <c r="A341" s="16">
        <v>803.0</v>
      </c>
      <c r="B341" s="10" t="s">
        <v>1131</v>
      </c>
      <c r="C341" s="10" t="s">
        <v>137</v>
      </c>
      <c r="D341" s="17">
        <v>1.0</v>
      </c>
      <c r="E341" s="10" t="s">
        <v>147</v>
      </c>
      <c r="F341" s="10" t="s">
        <v>1132</v>
      </c>
      <c r="G341" s="10" t="s">
        <v>1133</v>
      </c>
      <c r="H341" s="10" t="s">
        <v>122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3">
        <v>0.16</v>
      </c>
      <c r="S341" s="13">
        <v>0.08</v>
      </c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5"/>
    </row>
    <row r="342" ht="22.5" customHeight="1">
      <c r="A342" s="16">
        <v>804.0</v>
      </c>
      <c r="B342" s="10" t="s">
        <v>1134</v>
      </c>
      <c r="C342" s="10" t="s">
        <v>137</v>
      </c>
      <c r="D342" s="17">
        <v>1.0</v>
      </c>
      <c r="E342" s="10" t="s">
        <v>147</v>
      </c>
      <c r="F342" s="10" t="s">
        <v>1135</v>
      </c>
      <c r="G342" s="10" t="s">
        <v>1136</v>
      </c>
      <c r="H342" s="10" t="s">
        <v>15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5"/>
    </row>
    <row r="343" ht="22.5" customHeight="1">
      <c r="A343" s="16">
        <v>604.0</v>
      </c>
      <c r="B343" s="10" t="s">
        <v>1137</v>
      </c>
      <c r="C343" s="10" t="s">
        <v>137</v>
      </c>
      <c r="D343" s="17">
        <v>1.0</v>
      </c>
      <c r="E343" s="10" t="s">
        <v>147</v>
      </c>
      <c r="F343" s="10" t="s">
        <v>1138</v>
      </c>
      <c r="G343" s="10" t="s">
        <v>1139</v>
      </c>
      <c r="H343" s="10" t="s">
        <v>122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3">
        <v>0.28</v>
      </c>
      <c r="S343" s="13">
        <v>0.01</v>
      </c>
      <c r="T343" s="12"/>
      <c r="U343" s="12"/>
      <c r="V343" s="12"/>
      <c r="W343" s="12"/>
      <c r="X343" s="12"/>
      <c r="Y343" s="12"/>
      <c r="Z343" s="13">
        <v>0.3</v>
      </c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5"/>
    </row>
    <row r="344" ht="22.5" customHeight="1">
      <c r="A344" s="16">
        <v>558.0</v>
      </c>
      <c r="B344" s="10" t="s">
        <v>1140</v>
      </c>
      <c r="C344" s="10" t="s">
        <v>137</v>
      </c>
      <c r="D344" s="17">
        <v>1.0</v>
      </c>
      <c r="E344" s="10" t="s">
        <v>147</v>
      </c>
      <c r="F344" s="10" t="s">
        <v>1141</v>
      </c>
      <c r="G344" s="10" t="s">
        <v>1142</v>
      </c>
      <c r="H344" s="10" t="s">
        <v>122</v>
      </c>
      <c r="I344" s="12"/>
      <c r="J344" s="12"/>
      <c r="K344" s="12"/>
      <c r="L344" s="12"/>
      <c r="M344" s="12"/>
      <c r="N344" s="12"/>
      <c r="O344" s="12"/>
      <c r="P344" s="12"/>
      <c r="Q344" s="12"/>
      <c r="R344" s="13">
        <v>0.28</v>
      </c>
      <c r="S344" s="13">
        <v>0.01</v>
      </c>
      <c r="T344" s="12"/>
      <c r="U344" s="12"/>
      <c r="V344" s="12"/>
      <c r="W344" s="12"/>
      <c r="X344" s="12"/>
      <c r="Y344" s="12"/>
      <c r="Z344" s="13">
        <v>0.3</v>
      </c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5"/>
    </row>
    <row r="345" ht="22.5" customHeight="1">
      <c r="A345" s="16">
        <v>579.0</v>
      </c>
      <c r="B345" s="10" t="s">
        <v>1143</v>
      </c>
      <c r="C345" s="10" t="s">
        <v>137</v>
      </c>
      <c r="D345" s="17">
        <v>1.0</v>
      </c>
      <c r="E345" s="10" t="s">
        <v>147</v>
      </c>
      <c r="F345" s="10" t="s">
        <v>1144</v>
      </c>
      <c r="G345" s="10" t="s">
        <v>1145</v>
      </c>
      <c r="H345" s="10" t="s">
        <v>15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5"/>
    </row>
    <row r="346" ht="22.5" customHeight="1">
      <c r="A346" s="16">
        <v>61.0</v>
      </c>
      <c r="B346" s="10" t="s">
        <v>1146</v>
      </c>
      <c r="C346" s="10" t="s">
        <v>137</v>
      </c>
      <c r="D346" s="17">
        <v>1.0</v>
      </c>
      <c r="E346" s="10" t="s">
        <v>147</v>
      </c>
      <c r="F346" s="10" t="s">
        <v>1147</v>
      </c>
      <c r="G346" s="10" t="s">
        <v>1148</v>
      </c>
      <c r="H346" s="10" t="s">
        <v>15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5"/>
    </row>
    <row r="347" ht="22.5" customHeight="1">
      <c r="A347" s="16">
        <v>611.0</v>
      </c>
      <c r="B347" s="10" t="s">
        <v>1149</v>
      </c>
      <c r="C347" s="10" t="s">
        <v>137</v>
      </c>
      <c r="D347" s="17">
        <v>1.0</v>
      </c>
      <c r="E347" s="10" t="s">
        <v>147</v>
      </c>
      <c r="F347" s="10" t="s">
        <v>1150</v>
      </c>
      <c r="G347" s="10" t="s">
        <v>1151</v>
      </c>
      <c r="H347" s="10" t="s">
        <v>15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5"/>
    </row>
    <row r="348" ht="22.5" customHeight="1">
      <c r="A348" s="16">
        <v>57.0</v>
      </c>
      <c r="B348" s="10" t="s">
        <v>1152</v>
      </c>
      <c r="C348" s="10" t="s">
        <v>1153</v>
      </c>
      <c r="D348" s="17">
        <v>1.0</v>
      </c>
      <c r="E348" s="10" t="s">
        <v>15</v>
      </c>
      <c r="F348" s="10" t="s">
        <v>1154</v>
      </c>
      <c r="G348" s="10" t="s">
        <v>1155</v>
      </c>
      <c r="H348" s="10" t="s">
        <v>122</v>
      </c>
      <c r="I348" s="12"/>
      <c r="J348" s="12"/>
      <c r="K348" s="12"/>
      <c r="L348" s="12"/>
      <c r="M348" s="12"/>
      <c r="N348" s="12"/>
      <c r="O348" s="12"/>
      <c r="P348" s="12"/>
      <c r="Q348" s="13">
        <v>0.03</v>
      </c>
      <c r="R348" s="13">
        <v>0.9</v>
      </c>
      <c r="S348" s="12"/>
      <c r="T348" s="12"/>
      <c r="U348" s="12"/>
      <c r="V348" s="12"/>
      <c r="W348" s="12"/>
      <c r="X348" s="12"/>
      <c r="Y348" s="12"/>
      <c r="Z348" s="13">
        <v>0.05</v>
      </c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5"/>
    </row>
    <row r="349" ht="22.5" customHeight="1">
      <c r="A349" s="16">
        <v>56.0</v>
      </c>
      <c r="B349" s="10" t="s">
        <v>1156</v>
      </c>
      <c r="C349" s="11"/>
      <c r="D349" s="17">
        <v>1.0</v>
      </c>
      <c r="E349" s="11"/>
      <c r="F349" s="10" t="s">
        <v>1157</v>
      </c>
      <c r="G349" s="10" t="s">
        <v>1158</v>
      </c>
      <c r="H349" s="10" t="s">
        <v>15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5"/>
    </row>
    <row r="350" ht="22.5" customHeight="1">
      <c r="A350" s="16">
        <v>55.0</v>
      </c>
      <c r="B350" s="10" t="s">
        <v>1159</v>
      </c>
      <c r="C350" s="11"/>
      <c r="D350" s="17">
        <v>1.0</v>
      </c>
      <c r="E350" s="11"/>
      <c r="F350" s="10" t="s">
        <v>1160</v>
      </c>
      <c r="G350" s="10" t="s">
        <v>1161</v>
      </c>
      <c r="H350" s="10" t="s">
        <v>15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5"/>
    </row>
    <row r="351" ht="22.5" customHeight="1">
      <c r="A351" s="16">
        <v>349.0</v>
      </c>
      <c r="B351" s="10" t="s">
        <v>1162</v>
      </c>
      <c r="C351" s="10" t="s">
        <v>339</v>
      </c>
      <c r="D351" s="17">
        <v>1.0</v>
      </c>
      <c r="E351" s="11"/>
      <c r="F351" s="10" t="s">
        <v>1163</v>
      </c>
      <c r="G351" s="10" t="s">
        <v>1164</v>
      </c>
      <c r="H351" s="10" t="s">
        <v>122</v>
      </c>
      <c r="I351" s="12"/>
      <c r="J351" s="12"/>
      <c r="K351" s="12"/>
      <c r="L351" s="12"/>
      <c r="M351" s="12"/>
      <c r="N351" s="12"/>
      <c r="O351" s="12"/>
      <c r="P351" s="13">
        <v>0.3</v>
      </c>
      <c r="Q351" s="12"/>
      <c r="R351" s="13">
        <v>0.1</v>
      </c>
      <c r="S351" s="13">
        <v>0.17</v>
      </c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5"/>
    </row>
    <row r="352" ht="22.5" customHeight="1">
      <c r="A352" s="16">
        <v>349.0</v>
      </c>
      <c r="B352" s="10" t="s">
        <v>1162</v>
      </c>
      <c r="C352" s="10" t="s">
        <v>245</v>
      </c>
      <c r="D352" s="17">
        <v>2.0</v>
      </c>
      <c r="E352" s="11"/>
      <c r="F352" s="10" t="s">
        <v>1165</v>
      </c>
      <c r="G352" s="10" t="s">
        <v>1166</v>
      </c>
      <c r="H352" s="10" t="s">
        <v>122</v>
      </c>
      <c r="I352" s="12"/>
      <c r="J352" s="12"/>
      <c r="K352" s="12"/>
      <c r="L352" s="12"/>
      <c r="M352" s="12"/>
      <c r="N352" s="12"/>
      <c r="O352" s="12"/>
      <c r="P352" s="13">
        <v>0.3</v>
      </c>
      <c r="Q352" s="12"/>
      <c r="R352" s="13">
        <v>0.1</v>
      </c>
      <c r="S352" s="13">
        <v>0.17</v>
      </c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5"/>
    </row>
    <row r="353" ht="22.5" customHeight="1">
      <c r="A353" s="16">
        <v>53.0</v>
      </c>
      <c r="B353" s="10" t="s">
        <v>1167</v>
      </c>
      <c r="C353" s="10" t="s">
        <v>137</v>
      </c>
      <c r="D353" s="17">
        <v>1.0</v>
      </c>
      <c r="E353" s="11"/>
      <c r="F353" s="10" t="s">
        <v>1168</v>
      </c>
      <c r="G353" s="10" t="s">
        <v>1169</v>
      </c>
      <c r="H353" s="10" t="s">
        <v>15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5"/>
    </row>
    <row r="354" ht="22.5" customHeight="1">
      <c r="A354" s="16">
        <v>294.0</v>
      </c>
      <c r="B354" s="10" t="s">
        <v>1170</v>
      </c>
      <c r="C354" s="10" t="s">
        <v>137</v>
      </c>
      <c r="D354" s="17">
        <v>1.0</v>
      </c>
      <c r="E354" s="11"/>
      <c r="F354" s="10" t="s">
        <v>1171</v>
      </c>
      <c r="G354" s="10" t="s">
        <v>1172</v>
      </c>
      <c r="H354" s="10" t="s">
        <v>15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5"/>
    </row>
    <row r="355" ht="22.5" customHeight="1">
      <c r="A355" s="16">
        <v>403.0</v>
      </c>
      <c r="B355" s="10" t="s">
        <v>1173</v>
      </c>
      <c r="C355" s="10" t="s">
        <v>137</v>
      </c>
      <c r="D355" s="17">
        <v>1.0</v>
      </c>
      <c r="E355" s="11"/>
      <c r="F355" s="10" t="s">
        <v>1174</v>
      </c>
      <c r="G355" s="10" t="s">
        <v>1175</v>
      </c>
      <c r="H355" s="10" t="s">
        <v>15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5"/>
    </row>
    <row r="356" ht="22.5" customHeight="1">
      <c r="A356" s="16">
        <v>684.0</v>
      </c>
      <c r="B356" s="10" t="s">
        <v>1176</v>
      </c>
      <c r="C356" s="10" t="s">
        <v>137</v>
      </c>
      <c r="D356" s="17">
        <v>1.0</v>
      </c>
      <c r="E356" s="11"/>
      <c r="F356" s="10" t="s">
        <v>1177</v>
      </c>
      <c r="G356" s="10" t="s">
        <v>1178</v>
      </c>
      <c r="H356" s="10" t="s">
        <v>15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5"/>
    </row>
    <row r="357" ht="22.5" customHeight="1">
      <c r="A357" s="16">
        <v>637.0</v>
      </c>
      <c r="B357" s="10" t="s">
        <v>1179</v>
      </c>
      <c r="C357" s="10" t="s">
        <v>137</v>
      </c>
      <c r="D357" s="17">
        <v>1.0</v>
      </c>
      <c r="E357" s="11"/>
      <c r="F357" s="10" t="s">
        <v>1180</v>
      </c>
      <c r="G357" s="10" t="s">
        <v>1181</v>
      </c>
      <c r="H357" s="10" t="s">
        <v>15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5"/>
    </row>
    <row r="358" ht="22.5" customHeight="1">
      <c r="A358" s="16">
        <v>47.0</v>
      </c>
      <c r="B358" s="10" t="s">
        <v>1182</v>
      </c>
      <c r="C358" s="10" t="s">
        <v>137</v>
      </c>
      <c r="D358" s="17">
        <v>1.0</v>
      </c>
      <c r="E358" s="11"/>
      <c r="F358" s="10" t="s">
        <v>1183</v>
      </c>
      <c r="G358" s="10" t="s">
        <v>1184</v>
      </c>
      <c r="H358" s="10" t="s">
        <v>15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5"/>
    </row>
    <row r="359" ht="22.5" customHeight="1">
      <c r="A359" s="16">
        <v>470.0</v>
      </c>
      <c r="B359" s="10" t="s">
        <v>1185</v>
      </c>
      <c r="C359" s="11"/>
      <c r="D359" s="17">
        <v>1.0</v>
      </c>
      <c r="E359" s="11"/>
      <c r="F359" s="10" t="s">
        <v>1186</v>
      </c>
      <c r="G359" s="10" t="s">
        <v>1187</v>
      </c>
      <c r="H359" s="10" t="s">
        <v>15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5"/>
    </row>
    <row r="360" ht="22.5" customHeight="1">
      <c r="A360" s="16">
        <v>295.0</v>
      </c>
      <c r="B360" s="10" t="s">
        <v>1188</v>
      </c>
      <c r="C360" s="10" t="s">
        <v>137</v>
      </c>
      <c r="D360" s="17">
        <v>1.0</v>
      </c>
      <c r="E360" s="11"/>
      <c r="F360" s="10" t="s">
        <v>1189</v>
      </c>
      <c r="G360" s="10" t="s">
        <v>1190</v>
      </c>
      <c r="H360" s="10" t="s">
        <v>15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5"/>
    </row>
    <row r="361" ht="22.5" customHeight="1">
      <c r="A361" s="16">
        <v>229.0</v>
      </c>
      <c r="B361" s="10" t="s">
        <v>1191</v>
      </c>
      <c r="C361" s="10" t="s">
        <v>137</v>
      </c>
      <c r="D361" s="17">
        <v>1.0</v>
      </c>
      <c r="E361" s="11"/>
      <c r="F361" s="10" t="s">
        <v>1192</v>
      </c>
      <c r="G361" s="10" t="s">
        <v>1193</v>
      </c>
      <c r="H361" s="10" t="s">
        <v>15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5"/>
    </row>
    <row r="362" ht="22.5" customHeight="1">
      <c r="A362" s="16">
        <v>230.0</v>
      </c>
      <c r="B362" s="10" t="s">
        <v>1194</v>
      </c>
      <c r="C362" s="10" t="s">
        <v>137</v>
      </c>
      <c r="D362" s="17">
        <v>1.0</v>
      </c>
      <c r="E362" s="11"/>
      <c r="F362" s="10" t="s">
        <v>1195</v>
      </c>
      <c r="G362" s="10" t="s">
        <v>1196</v>
      </c>
      <c r="H362" s="10" t="s">
        <v>15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5"/>
    </row>
    <row r="363" ht="22.5" customHeight="1">
      <c r="A363" s="16">
        <v>613.0</v>
      </c>
      <c r="B363" s="10" t="s">
        <v>1197</v>
      </c>
      <c r="C363" s="10" t="s">
        <v>137</v>
      </c>
      <c r="D363" s="17">
        <v>1.0</v>
      </c>
      <c r="E363" s="11"/>
      <c r="F363" s="10" t="s">
        <v>1198</v>
      </c>
      <c r="G363" s="10" t="s">
        <v>1199</v>
      </c>
      <c r="H363" s="10" t="s">
        <v>15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5"/>
    </row>
    <row r="364" ht="22.5" customHeight="1">
      <c r="A364" s="16">
        <v>51.0</v>
      </c>
      <c r="B364" s="10" t="s">
        <v>1200</v>
      </c>
      <c r="C364" s="10" t="s">
        <v>137</v>
      </c>
      <c r="D364" s="17">
        <v>1.0</v>
      </c>
      <c r="E364" s="11"/>
      <c r="F364" s="10" t="s">
        <v>1201</v>
      </c>
      <c r="G364" s="10" t="s">
        <v>1202</v>
      </c>
      <c r="H364" s="10" t="s">
        <v>15</v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5"/>
    </row>
    <row r="365" ht="22.5" customHeight="1">
      <c r="A365" s="16">
        <v>287.0</v>
      </c>
      <c r="B365" s="10" t="s">
        <v>1203</v>
      </c>
      <c r="C365" s="10" t="s">
        <v>137</v>
      </c>
      <c r="D365" s="17">
        <v>1.0</v>
      </c>
      <c r="E365" s="11"/>
      <c r="F365" s="10" t="s">
        <v>1204</v>
      </c>
      <c r="G365" s="10" t="s">
        <v>1205</v>
      </c>
      <c r="H365" s="10" t="s">
        <v>15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5"/>
    </row>
    <row r="366" ht="22.5" customHeight="1">
      <c r="A366" s="16">
        <v>50.0</v>
      </c>
      <c r="B366" s="10" t="s">
        <v>1206</v>
      </c>
      <c r="C366" s="10" t="s">
        <v>137</v>
      </c>
      <c r="D366" s="17">
        <v>1.0</v>
      </c>
      <c r="E366" s="11"/>
      <c r="F366" s="10" t="s">
        <v>1207</v>
      </c>
      <c r="G366" s="10" t="s">
        <v>1208</v>
      </c>
      <c r="H366" s="10" t="s">
        <v>15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5"/>
    </row>
    <row r="367" ht="22.5" customHeight="1">
      <c r="A367" s="16">
        <v>636.0</v>
      </c>
      <c r="B367" s="10" t="s">
        <v>1209</v>
      </c>
      <c r="C367" s="10" t="s">
        <v>137</v>
      </c>
      <c r="D367" s="17">
        <v>1.0</v>
      </c>
      <c r="E367" s="11"/>
      <c r="F367" s="10" t="s">
        <v>1210</v>
      </c>
      <c r="G367" s="10" t="s">
        <v>1211</v>
      </c>
      <c r="H367" s="10" t="s">
        <v>15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5"/>
    </row>
    <row r="368" ht="22.5" customHeight="1">
      <c r="A368" s="16">
        <v>534.0</v>
      </c>
      <c r="B368" s="10" t="s">
        <v>1212</v>
      </c>
      <c r="C368" s="10" t="s">
        <v>137</v>
      </c>
      <c r="D368" s="17">
        <v>1.0</v>
      </c>
      <c r="E368" s="11"/>
      <c r="F368" s="10" t="s">
        <v>1213</v>
      </c>
      <c r="G368" s="10" t="s">
        <v>1214</v>
      </c>
      <c r="H368" s="10" t="s">
        <v>15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5"/>
    </row>
    <row r="369" ht="22.5" customHeight="1">
      <c r="A369" s="16">
        <v>685.0</v>
      </c>
      <c r="B369" s="10" t="s">
        <v>1215</v>
      </c>
      <c r="C369" s="10" t="s">
        <v>137</v>
      </c>
      <c r="D369" s="17">
        <v>1.0</v>
      </c>
      <c r="E369" s="11"/>
      <c r="F369" s="10" t="s">
        <v>1216</v>
      </c>
      <c r="G369" s="10" t="s">
        <v>1217</v>
      </c>
      <c r="H369" s="10" t="s">
        <v>15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5"/>
    </row>
    <row r="370" ht="22.5" customHeight="1">
      <c r="A370" s="16">
        <v>366.0</v>
      </c>
      <c r="B370" s="10" t="s">
        <v>1218</v>
      </c>
      <c r="C370" s="10" t="s">
        <v>137</v>
      </c>
      <c r="D370" s="17">
        <v>1.0</v>
      </c>
      <c r="E370" s="11"/>
      <c r="F370" s="10" t="s">
        <v>1219</v>
      </c>
      <c r="G370" s="10" t="s">
        <v>1220</v>
      </c>
      <c r="H370" s="10" t="s">
        <v>15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5"/>
    </row>
    <row r="371" ht="22.5" customHeight="1">
      <c r="A371" s="16">
        <v>638.0</v>
      </c>
      <c r="B371" s="10" t="s">
        <v>1221</v>
      </c>
      <c r="C371" s="10" t="s">
        <v>137</v>
      </c>
      <c r="D371" s="17">
        <v>1.0</v>
      </c>
      <c r="E371" s="11"/>
      <c r="F371" s="10" t="s">
        <v>1222</v>
      </c>
      <c r="G371" s="10" t="s">
        <v>1223</v>
      </c>
      <c r="H371" s="10" t="s">
        <v>15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5"/>
    </row>
    <row r="372" ht="22.5" customHeight="1">
      <c r="A372" s="16">
        <v>421.0</v>
      </c>
      <c r="B372" s="10" t="s">
        <v>1224</v>
      </c>
      <c r="C372" s="10" t="s">
        <v>137</v>
      </c>
      <c r="D372" s="17">
        <v>1.0</v>
      </c>
      <c r="E372" s="11"/>
      <c r="F372" s="10" t="s">
        <v>1225</v>
      </c>
      <c r="G372" s="10" t="s">
        <v>1226</v>
      </c>
      <c r="H372" s="10" t="s">
        <v>15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5"/>
    </row>
    <row r="373" ht="22.5" customHeight="1">
      <c r="A373" s="16">
        <v>49.0</v>
      </c>
      <c r="B373" s="10" t="s">
        <v>1227</v>
      </c>
      <c r="C373" s="10" t="s">
        <v>137</v>
      </c>
      <c r="D373" s="17">
        <v>1.0</v>
      </c>
      <c r="E373" s="11"/>
      <c r="F373" s="10" t="s">
        <v>1228</v>
      </c>
      <c r="G373" s="10" t="s">
        <v>1229</v>
      </c>
      <c r="H373" s="10" t="s">
        <v>15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5"/>
    </row>
    <row r="374" ht="22.5" customHeight="1">
      <c r="A374" s="16">
        <v>368.0</v>
      </c>
      <c r="B374" s="10" t="s">
        <v>1230</v>
      </c>
      <c r="C374" s="10" t="s">
        <v>137</v>
      </c>
      <c r="D374" s="17">
        <v>1.0</v>
      </c>
      <c r="E374" s="11"/>
      <c r="F374" s="10" t="s">
        <v>1231</v>
      </c>
      <c r="G374" s="10" t="s">
        <v>1232</v>
      </c>
      <c r="H374" s="10" t="s">
        <v>15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5"/>
    </row>
    <row r="375" ht="22.5" customHeight="1">
      <c r="A375" s="16">
        <v>155.0</v>
      </c>
      <c r="B375" s="10" t="s">
        <v>1233</v>
      </c>
      <c r="C375" s="10" t="s">
        <v>137</v>
      </c>
      <c r="D375" s="17">
        <v>1.0</v>
      </c>
      <c r="E375" s="10" t="s">
        <v>147</v>
      </c>
      <c r="F375" s="10" t="s">
        <v>1234</v>
      </c>
      <c r="G375" s="10" t="s">
        <v>1235</v>
      </c>
      <c r="H375" s="10" t="s">
        <v>122</v>
      </c>
      <c r="I375" s="13">
        <v>0.05</v>
      </c>
      <c r="J375" s="12"/>
      <c r="K375" s="12"/>
      <c r="L375" s="12"/>
      <c r="M375" s="12"/>
      <c r="N375" s="12"/>
      <c r="O375" s="13">
        <v>0.2</v>
      </c>
      <c r="P375" s="12"/>
      <c r="Q375" s="13">
        <v>0.23</v>
      </c>
      <c r="R375" s="14">
        <v>0.015</v>
      </c>
      <c r="S375" s="14">
        <v>0.01</v>
      </c>
      <c r="T375" s="12"/>
      <c r="U375" s="12"/>
      <c r="V375" s="12"/>
      <c r="W375" s="12"/>
      <c r="X375" s="12"/>
      <c r="Y375" s="12"/>
      <c r="Z375" s="13">
        <v>0.21</v>
      </c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5"/>
    </row>
    <row r="376" ht="22.5" customHeight="1">
      <c r="A376" s="16">
        <v>31.0</v>
      </c>
      <c r="B376" s="10" t="s">
        <v>1236</v>
      </c>
      <c r="C376" s="10" t="s">
        <v>1237</v>
      </c>
      <c r="D376" s="17">
        <v>1.0</v>
      </c>
      <c r="E376" s="10" t="s">
        <v>15</v>
      </c>
      <c r="F376" s="10" t="s">
        <v>1238</v>
      </c>
      <c r="G376" s="10" t="s">
        <v>1239</v>
      </c>
      <c r="H376" s="10" t="s">
        <v>122</v>
      </c>
      <c r="I376" s="12"/>
      <c r="J376" s="12"/>
      <c r="K376" s="12"/>
      <c r="L376" s="12"/>
      <c r="M376" s="12"/>
      <c r="N376" s="12"/>
      <c r="O376" s="13">
        <v>0.28</v>
      </c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5"/>
    </row>
    <row r="377" ht="22.5" customHeight="1">
      <c r="A377" s="16">
        <v>832.0</v>
      </c>
      <c r="B377" s="10" t="s">
        <v>1240</v>
      </c>
      <c r="C377" s="10" t="s">
        <v>1241</v>
      </c>
      <c r="D377" s="17">
        <v>1.0</v>
      </c>
      <c r="E377" s="10" t="s">
        <v>15</v>
      </c>
      <c r="F377" s="10" t="s">
        <v>1242</v>
      </c>
      <c r="G377" s="10" t="s">
        <v>1243</v>
      </c>
      <c r="H377" s="10" t="s">
        <v>122</v>
      </c>
      <c r="I377" s="12"/>
      <c r="J377" s="12"/>
      <c r="K377" s="12"/>
      <c r="L377" s="12"/>
      <c r="M377" s="12"/>
      <c r="N377" s="12"/>
      <c r="O377" s="13">
        <v>0.24</v>
      </c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5"/>
    </row>
    <row r="378" ht="22.5" customHeight="1">
      <c r="A378" s="16">
        <v>290.0</v>
      </c>
      <c r="B378" s="10" t="s">
        <v>1244</v>
      </c>
      <c r="C378" s="10" t="s">
        <v>1241</v>
      </c>
      <c r="D378" s="17">
        <v>1.0</v>
      </c>
      <c r="E378" s="10" t="s">
        <v>15</v>
      </c>
      <c r="F378" s="10" t="s">
        <v>1245</v>
      </c>
      <c r="G378" s="10" t="s">
        <v>1246</v>
      </c>
      <c r="H378" s="10" t="s">
        <v>122</v>
      </c>
      <c r="I378" s="12"/>
      <c r="J378" s="12"/>
      <c r="K378" s="12"/>
      <c r="L378" s="12"/>
      <c r="M378" s="12"/>
      <c r="N378" s="12"/>
      <c r="O378" s="13">
        <v>0.26</v>
      </c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5"/>
    </row>
    <row r="379" ht="22.5" customHeight="1">
      <c r="A379" s="16">
        <v>34.0</v>
      </c>
      <c r="B379" s="10" t="s">
        <v>1247</v>
      </c>
      <c r="C379" s="10" t="s">
        <v>1241</v>
      </c>
      <c r="D379" s="17">
        <v>1.0</v>
      </c>
      <c r="E379" s="10" t="s">
        <v>15</v>
      </c>
      <c r="F379" s="10" t="s">
        <v>1248</v>
      </c>
      <c r="G379" s="10" t="s">
        <v>1249</v>
      </c>
      <c r="H379" s="10" t="s">
        <v>122</v>
      </c>
      <c r="I379" s="12"/>
      <c r="J379" s="12"/>
      <c r="K379" s="12"/>
      <c r="L379" s="12"/>
      <c r="M379" s="12"/>
      <c r="N379" s="12"/>
      <c r="O379" s="13">
        <v>0.28</v>
      </c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5"/>
    </row>
    <row r="380" ht="22.5" customHeight="1">
      <c r="A380" s="16">
        <v>681.0</v>
      </c>
      <c r="B380" s="10" t="s">
        <v>1250</v>
      </c>
      <c r="C380" s="11"/>
      <c r="D380" s="17">
        <v>1.0</v>
      </c>
      <c r="E380" s="10" t="s">
        <v>15</v>
      </c>
      <c r="F380" s="10" t="s">
        <v>1251</v>
      </c>
      <c r="G380" s="10" t="s">
        <v>1252</v>
      </c>
      <c r="H380" s="10" t="s">
        <v>122</v>
      </c>
      <c r="I380" s="12"/>
      <c r="J380" s="12"/>
      <c r="K380" s="12"/>
      <c r="L380" s="12"/>
      <c r="M380" s="12"/>
      <c r="N380" s="12"/>
      <c r="O380" s="13">
        <v>0.3</v>
      </c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5"/>
    </row>
    <row r="381" ht="22.5" customHeight="1">
      <c r="A381" s="16">
        <v>32.0</v>
      </c>
      <c r="B381" s="10" t="s">
        <v>1253</v>
      </c>
      <c r="C381" s="10" t="s">
        <v>240</v>
      </c>
      <c r="D381" s="17">
        <v>1.0</v>
      </c>
      <c r="E381" s="10" t="s">
        <v>147</v>
      </c>
      <c r="F381" s="10" t="s">
        <v>1254</v>
      </c>
      <c r="G381" s="10" t="s">
        <v>1255</v>
      </c>
      <c r="H381" s="10" t="s">
        <v>122</v>
      </c>
      <c r="I381" s="12"/>
      <c r="J381" s="13">
        <v>0.21</v>
      </c>
      <c r="K381" s="13">
        <v>0.21</v>
      </c>
      <c r="L381" s="12"/>
      <c r="M381" s="12"/>
      <c r="N381" s="12"/>
      <c r="O381" s="12"/>
      <c r="P381" s="12"/>
      <c r="Q381" s="12"/>
      <c r="R381" s="12"/>
      <c r="S381" s="13">
        <v>0.24</v>
      </c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5"/>
    </row>
    <row r="382" ht="22.5" customHeight="1">
      <c r="A382" s="16">
        <v>32.0</v>
      </c>
      <c r="B382" s="10" t="s">
        <v>1253</v>
      </c>
      <c r="C382" s="10" t="s">
        <v>339</v>
      </c>
      <c r="D382" s="17">
        <v>2.0</v>
      </c>
      <c r="E382" s="10" t="s">
        <v>147</v>
      </c>
      <c r="F382" s="10" t="s">
        <v>1256</v>
      </c>
      <c r="G382" s="10" t="s">
        <v>1257</v>
      </c>
      <c r="H382" s="10" t="s">
        <v>122</v>
      </c>
      <c r="I382" s="12"/>
      <c r="J382" s="13">
        <v>0.21</v>
      </c>
      <c r="K382" s="13">
        <v>0.21</v>
      </c>
      <c r="L382" s="12"/>
      <c r="M382" s="12"/>
      <c r="N382" s="12"/>
      <c r="O382" s="12"/>
      <c r="P382" s="12"/>
      <c r="Q382" s="12"/>
      <c r="R382" s="12"/>
      <c r="S382" s="13">
        <v>0.24</v>
      </c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5"/>
    </row>
    <row r="383" ht="22.5" customHeight="1">
      <c r="A383" s="16">
        <v>32.0</v>
      </c>
      <c r="B383" s="10" t="s">
        <v>1253</v>
      </c>
      <c r="C383" s="10" t="s">
        <v>251</v>
      </c>
      <c r="D383" s="17">
        <v>3.0</v>
      </c>
      <c r="E383" s="10" t="s">
        <v>147</v>
      </c>
      <c r="F383" s="10" t="s">
        <v>1258</v>
      </c>
      <c r="G383" s="10" t="s">
        <v>1259</v>
      </c>
      <c r="H383" s="10" t="s">
        <v>122</v>
      </c>
      <c r="I383" s="12"/>
      <c r="J383" s="13">
        <v>0.21</v>
      </c>
      <c r="K383" s="13">
        <v>0.21</v>
      </c>
      <c r="L383" s="12"/>
      <c r="M383" s="12"/>
      <c r="N383" s="12"/>
      <c r="O383" s="12"/>
      <c r="P383" s="12"/>
      <c r="Q383" s="12"/>
      <c r="R383" s="12"/>
      <c r="S383" s="13">
        <v>0.24</v>
      </c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5"/>
    </row>
    <row r="384" ht="22.5" customHeight="1">
      <c r="A384" s="16">
        <v>32.0</v>
      </c>
      <c r="B384" s="10" t="s">
        <v>1253</v>
      </c>
      <c r="C384" s="10" t="s">
        <v>137</v>
      </c>
      <c r="D384" s="17">
        <v>4.0</v>
      </c>
      <c r="E384" s="10" t="s">
        <v>147</v>
      </c>
      <c r="F384" s="10" t="s">
        <v>1260</v>
      </c>
      <c r="G384" s="10" t="s">
        <v>1261</v>
      </c>
      <c r="H384" s="10" t="s">
        <v>122</v>
      </c>
      <c r="I384" s="12"/>
      <c r="J384" s="13">
        <v>0.21</v>
      </c>
      <c r="K384" s="13">
        <v>0.21</v>
      </c>
      <c r="L384" s="12"/>
      <c r="M384" s="12"/>
      <c r="N384" s="12"/>
      <c r="O384" s="12"/>
      <c r="P384" s="12"/>
      <c r="Q384" s="12"/>
      <c r="R384" s="12"/>
      <c r="S384" s="13">
        <v>0.24</v>
      </c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5"/>
    </row>
    <row r="385" ht="22.5" customHeight="1">
      <c r="A385" s="16">
        <v>40.0</v>
      </c>
      <c r="B385" s="10" t="s">
        <v>1262</v>
      </c>
      <c r="C385" s="11"/>
      <c r="D385" s="17">
        <v>1.0</v>
      </c>
      <c r="E385" s="10" t="s">
        <v>15</v>
      </c>
      <c r="F385" s="10" t="s">
        <v>1263</v>
      </c>
      <c r="G385" s="10" t="s">
        <v>1264</v>
      </c>
      <c r="H385" s="10" t="s">
        <v>15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5"/>
    </row>
    <row r="386" ht="22.5" customHeight="1">
      <c r="A386" s="16">
        <v>171.0</v>
      </c>
      <c r="B386" s="10" t="s">
        <v>1265</v>
      </c>
      <c r="C386" s="10" t="s">
        <v>173</v>
      </c>
      <c r="D386" s="17">
        <v>1.0</v>
      </c>
      <c r="E386" s="10" t="s">
        <v>15</v>
      </c>
      <c r="F386" s="10" t="s">
        <v>1266</v>
      </c>
      <c r="G386" s="10" t="s">
        <v>1267</v>
      </c>
      <c r="H386" s="10" t="s">
        <v>15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5"/>
    </row>
    <row r="387" ht="22.5" customHeight="1">
      <c r="A387" s="16">
        <v>274.0</v>
      </c>
      <c r="B387" s="10" t="s">
        <v>1268</v>
      </c>
      <c r="C387" s="10" t="s">
        <v>1269</v>
      </c>
      <c r="D387" s="17">
        <v>1.0</v>
      </c>
      <c r="E387" s="10" t="s">
        <v>15</v>
      </c>
      <c r="F387" s="10" t="s">
        <v>1270</v>
      </c>
      <c r="G387" s="10" t="s">
        <v>1271</v>
      </c>
      <c r="H387" s="10" t="s">
        <v>122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3">
        <v>0.36</v>
      </c>
      <c r="S387" s="12"/>
      <c r="T387" s="12"/>
      <c r="U387" s="12"/>
      <c r="V387" s="12"/>
      <c r="W387" s="12"/>
      <c r="X387" s="12"/>
      <c r="Y387" s="12"/>
      <c r="Z387" s="13">
        <v>0.4</v>
      </c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5"/>
    </row>
    <row r="388" ht="22.5" customHeight="1">
      <c r="A388" s="16">
        <v>37.0</v>
      </c>
      <c r="B388" s="10" t="s">
        <v>1272</v>
      </c>
      <c r="C388" s="11"/>
      <c r="D388" s="17">
        <v>1.0</v>
      </c>
      <c r="E388" s="10" t="s">
        <v>15</v>
      </c>
      <c r="F388" s="10" t="s">
        <v>1273</v>
      </c>
      <c r="G388" s="10" t="s">
        <v>1274</v>
      </c>
      <c r="H388" s="10" t="s">
        <v>15</v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5"/>
    </row>
    <row r="389" ht="22.5" customHeight="1">
      <c r="A389" s="16">
        <v>35.0</v>
      </c>
      <c r="B389" s="10" t="s">
        <v>1275</v>
      </c>
      <c r="C389" s="10" t="s">
        <v>137</v>
      </c>
      <c r="D389" s="17">
        <v>1.0</v>
      </c>
      <c r="E389" s="10" t="s">
        <v>147</v>
      </c>
      <c r="F389" s="10" t="s">
        <v>1276</v>
      </c>
      <c r="G389" s="10" t="s">
        <v>1277</v>
      </c>
      <c r="H389" s="10" t="s">
        <v>122</v>
      </c>
      <c r="I389" s="12"/>
      <c r="J389" s="12"/>
      <c r="K389" s="12"/>
      <c r="L389" s="12"/>
      <c r="M389" s="12"/>
      <c r="N389" s="12"/>
      <c r="O389" s="13">
        <v>0.05</v>
      </c>
      <c r="P389" s="12"/>
      <c r="Q389" s="12"/>
      <c r="R389" s="13">
        <v>0.3</v>
      </c>
      <c r="S389" s="12"/>
      <c r="T389" s="12"/>
      <c r="U389" s="12"/>
      <c r="V389" s="12"/>
      <c r="W389" s="12"/>
      <c r="X389" s="12"/>
      <c r="Y389" s="12"/>
      <c r="Z389" s="13">
        <v>0.3</v>
      </c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5"/>
    </row>
    <row r="390" ht="22.5" customHeight="1">
      <c r="A390" s="16">
        <v>5.0</v>
      </c>
      <c r="B390" s="10" t="s">
        <v>1278</v>
      </c>
      <c r="C390" s="10" t="s">
        <v>1279</v>
      </c>
      <c r="D390" s="17">
        <v>1.0</v>
      </c>
      <c r="E390" s="10" t="s">
        <v>15</v>
      </c>
      <c r="F390" s="10" t="s">
        <v>1280</v>
      </c>
      <c r="G390" s="10" t="s">
        <v>1281</v>
      </c>
      <c r="H390" s="10" t="s">
        <v>122</v>
      </c>
      <c r="I390" s="12"/>
      <c r="J390" s="12"/>
      <c r="K390" s="12"/>
      <c r="L390" s="12"/>
      <c r="M390" s="12"/>
      <c r="N390" s="12"/>
      <c r="O390" s="12"/>
      <c r="P390" s="12"/>
      <c r="Q390" s="13">
        <v>0.26</v>
      </c>
      <c r="R390" s="12"/>
      <c r="S390" s="13">
        <v>0.13</v>
      </c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5"/>
    </row>
    <row r="391" ht="22.5" customHeight="1">
      <c r="A391" s="16">
        <v>5.0</v>
      </c>
      <c r="B391" s="10" t="s">
        <v>1278</v>
      </c>
      <c r="C391" s="10" t="s">
        <v>1282</v>
      </c>
      <c r="D391" s="17">
        <v>2.0</v>
      </c>
      <c r="E391" s="10" t="s">
        <v>15</v>
      </c>
      <c r="F391" s="10" t="s">
        <v>1283</v>
      </c>
      <c r="G391" s="10" t="s">
        <v>1284</v>
      </c>
      <c r="H391" s="10" t="s">
        <v>122</v>
      </c>
      <c r="I391" s="12"/>
      <c r="J391" s="12"/>
      <c r="K391" s="12"/>
      <c r="L391" s="12"/>
      <c r="M391" s="12"/>
      <c r="N391" s="12"/>
      <c r="O391" s="12"/>
      <c r="P391" s="12"/>
      <c r="Q391" s="13">
        <v>0.26</v>
      </c>
      <c r="R391" s="12"/>
      <c r="S391" s="13">
        <v>0.13</v>
      </c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5"/>
    </row>
    <row r="392" ht="22.5" customHeight="1">
      <c r="A392" s="16">
        <v>505.0</v>
      </c>
      <c r="B392" s="10" t="s">
        <v>1285</v>
      </c>
      <c r="C392" s="11"/>
      <c r="D392" s="17">
        <v>1.0</v>
      </c>
      <c r="E392" s="10" t="s">
        <v>15</v>
      </c>
      <c r="F392" s="10" t="s">
        <v>1286</v>
      </c>
      <c r="G392" s="10" t="s">
        <v>1287</v>
      </c>
      <c r="H392" s="10" t="s">
        <v>15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5"/>
    </row>
    <row r="393" ht="22.5" customHeight="1">
      <c r="A393" s="16">
        <v>831.0</v>
      </c>
      <c r="B393" s="10" t="s">
        <v>1288</v>
      </c>
      <c r="C393" s="11"/>
      <c r="D393" s="17">
        <v>1.0</v>
      </c>
      <c r="E393" s="10" t="s">
        <v>15</v>
      </c>
      <c r="F393" s="10" t="s">
        <v>1289</v>
      </c>
      <c r="G393" s="10" t="s">
        <v>1290</v>
      </c>
      <c r="H393" s="10" t="s">
        <v>15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5"/>
    </row>
    <row r="394" ht="22.5" customHeight="1">
      <c r="A394" s="16">
        <v>30.0</v>
      </c>
      <c r="B394" s="10" t="s">
        <v>1291</v>
      </c>
      <c r="C394" s="11"/>
      <c r="D394" s="17">
        <v>1.0</v>
      </c>
      <c r="E394" s="10" t="s">
        <v>15</v>
      </c>
      <c r="F394" s="10" t="s">
        <v>1292</v>
      </c>
      <c r="G394" s="10" t="s">
        <v>1293</v>
      </c>
      <c r="H394" s="10" t="s">
        <v>15</v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3">
        <v>0.22</v>
      </c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5"/>
    </row>
    <row r="395" ht="22.5" customHeight="1">
      <c r="A395" s="16">
        <v>173.0</v>
      </c>
      <c r="B395" s="10" t="s">
        <v>1294</v>
      </c>
      <c r="C395" s="11"/>
      <c r="D395" s="17">
        <v>1.0</v>
      </c>
      <c r="E395" s="10" t="s">
        <v>15</v>
      </c>
      <c r="F395" s="10" t="s">
        <v>1295</v>
      </c>
      <c r="G395" s="10" t="s">
        <v>1296</v>
      </c>
      <c r="H395" s="10" t="s">
        <v>15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3">
        <v>0.25</v>
      </c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5"/>
    </row>
    <row r="396" ht="22.5" customHeight="1">
      <c r="A396" s="16">
        <v>28.0</v>
      </c>
      <c r="B396" s="10" t="s">
        <v>1297</v>
      </c>
      <c r="C396" s="11"/>
      <c r="D396" s="17">
        <v>1.0</v>
      </c>
      <c r="E396" s="10" t="s">
        <v>15</v>
      </c>
      <c r="F396" s="10" t="s">
        <v>1298</v>
      </c>
      <c r="G396" s="10" t="s">
        <v>1299</v>
      </c>
      <c r="H396" s="10" t="s">
        <v>15</v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5"/>
    </row>
    <row r="397" ht="22.5" customHeight="1">
      <c r="A397" s="16">
        <v>425.0</v>
      </c>
      <c r="B397" s="10" t="s">
        <v>1300</v>
      </c>
      <c r="C397" s="11"/>
      <c r="D397" s="17">
        <v>1.0</v>
      </c>
      <c r="E397" s="10" t="s">
        <v>15</v>
      </c>
      <c r="F397" s="10" t="s">
        <v>1301</v>
      </c>
      <c r="G397" s="10" t="s">
        <v>1302</v>
      </c>
      <c r="H397" s="10" t="s">
        <v>15</v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5"/>
    </row>
    <row r="398" ht="22.5" customHeight="1">
      <c r="A398" s="16">
        <v>197.0</v>
      </c>
      <c r="B398" s="10" t="s">
        <v>1303</v>
      </c>
      <c r="C398" s="10" t="s">
        <v>339</v>
      </c>
      <c r="D398" s="17">
        <v>1.0</v>
      </c>
      <c r="E398" s="10" t="s">
        <v>9</v>
      </c>
      <c r="F398" s="10" t="s">
        <v>1304</v>
      </c>
      <c r="G398" s="10" t="s">
        <v>1305</v>
      </c>
      <c r="H398" s="10" t="s">
        <v>122</v>
      </c>
      <c r="I398" s="12"/>
      <c r="J398" s="12"/>
      <c r="K398" s="12"/>
      <c r="L398" s="12"/>
      <c r="M398" s="12"/>
      <c r="N398" s="12"/>
      <c r="O398" s="12"/>
      <c r="P398" s="13">
        <v>0.52</v>
      </c>
      <c r="Q398" s="12"/>
      <c r="R398" s="12"/>
      <c r="S398" s="13">
        <v>0.18</v>
      </c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5"/>
    </row>
    <row r="399" ht="22.5" customHeight="1">
      <c r="A399" s="16">
        <v>167.0</v>
      </c>
      <c r="B399" s="10" t="s">
        <v>1303</v>
      </c>
      <c r="C399" s="10" t="s">
        <v>1306</v>
      </c>
      <c r="D399" s="17">
        <v>1.0</v>
      </c>
      <c r="E399" s="10" t="s">
        <v>147</v>
      </c>
      <c r="F399" s="10" t="s">
        <v>1307</v>
      </c>
      <c r="G399" s="10" t="s">
        <v>1308</v>
      </c>
      <c r="H399" s="10" t="s">
        <v>122</v>
      </c>
      <c r="I399" s="12"/>
      <c r="J399" s="12"/>
      <c r="K399" s="12"/>
      <c r="L399" s="12"/>
      <c r="M399" s="12"/>
      <c r="N399" s="12"/>
      <c r="O399" s="12"/>
      <c r="P399" s="13">
        <v>0.52</v>
      </c>
      <c r="Q399" s="12"/>
      <c r="R399" s="12"/>
      <c r="S399" s="13">
        <v>0.18</v>
      </c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5"/>
    </row>
    <row r="400" ht="22.5" customHeight="1">
      <c r="A400" s="16">
        <v>997.0</v>
      </c>
      <c r="B400" s="10" t="s">
        <v>1309</v>
      </c>
      <c r="C400" s="10" t="s">
        <v>137</v>
      </c>
      <c r="D400" s="17">
        <v>1.0</v>
      </c>
      <c r="E400" s="10" t="s">
        <v>15</v>
      </c>
      <c r="F400" s="10" t="s">
        <v>1310</v>
      </c>
      <c r="G400" s="10" t="s">
        <v>1311</v>
      </c>
      <c r="H400" s="10" t="s">
        <v>15</v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5"/>
    </row>
    <row r="401" ht="22.5" customHeight="1">
      <c r="A401" s="16">
        <v>21.0</v>
      </c>
      <c r="B401" s="10" t="s">
        <v>1312</v>
      </c>
      <c r="C401" s="11"/>
      <c r="D401" s="17">
        <v>1.0</v>
      </c>
      <c r="E401" s="10" t="s">
        <v>15</v>
      </c>
      <c r="F401" s="10" t="s">
        <v>1313</v>
      </c>
      <c r="G401" s="10" t="s">
        <v>815</v>
      </c>
      <c r="H401" s="10" t="s">
        <v>15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5"/>
    </row>
    <row r="402" ht="22.5" customHeight="1">
      <c r="A402" s="16">
        <v>227.0</v>
      </c>
      <c r="B402" s="10" t="s">
        <v>1314</v>
      </c>
      <c r="C402" s="11"/>
      <c r="D402" s="17">
        <v>1.0</v>
      </c>
      <c r="E402" s="10" t="s">
        <v>15</v>
      </c>
      <c r="F402" s="10" t="s">
        <v>1315</v>
      </c>
      <c r="G402" s="10" t="s">
        <v>1316</v>
      </c>
      <c r="H402" s="10" t="s">
        <v>15</v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5"/>
    </row>
    <row r="403" ht="22.5" customHeight="1">
      <c r="A403" s="16">
        <v>23.0</v>
      </c>
      <c r="B403" s="10" t="s">
        <v>1317</v>
      </c>
      <c r="C403" s="10" t="s">
        <v>1153</v>
      </c>
      <c r="D403" s="17">
        <v>1.0</v>
      </c>
      <c r="E403" s="10" t="s">
        <v>15</v>
      </c>
      <c r="F403" s="10" t="s">
        <v>1318</v>
      </c>
      <c r="G403" s="10" t="s">
        <v>1319</v>
      </c>
      <c r="H403" s="10" t="s">
        <v>122</v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>
        <v>0.35</v>
      </c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5"/>
    </row>
    <row r="404" ht="22.5" customHeight="1">
      <c r="A404" s="16">
        <v>323.0</v>
      </c>
      <c r="B404" s="10" t="s">
        <v>1320</v>
      </c>
      <c r="C404" s="11"/>
      <c r="D404" s="17">
        <v>1.0</v>
      </c>
      <c r="E404" s="10" t="s">
        <v>15</v>
      </c>
      <c r="F404" s="10" t="s">
        <v>1321</v>
      </c>
      <c r="G404" s="10" t="s">
        <v>1322</v>
      </c>
      <c r="H404" s="10" t="s">
        <v>15</v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5"/>
    </row>
    <row r="405" ht="22.5" customHeight="1">
      <c r="A405" s="16">
        <v>16.0</v>
      </c>
      <c r="B405" s="10" t="s">
        <v>1323</v>
      </c>
      <c r="C405" s="10" t="s">
        <v>1324</v>
      </c>
      <c r="D405" s="17">
        <v>1.0</v>
      </c>
      <c r="E405" s="10" t="s">
        <v>15</v>
      </c>
      <c r="F405" s="10" t="s">
        <v>1325</v>
      </c>
      <c r="G405" s="10" t="s">
        <v>1326</v>
      </c>
      <c r="H405" s="10" t="s">
        <v>122</v>
      </c>
      <c r="I405" s="12"/>
      <c r="J405" s="12"/>
      <c r="K405" s="12"/>
      <c r="L405" s="12"/>
      <c r="M405" s="12"/>
      <c r="N405" s="12"/>
      <c r="O405" s="12"/>
      <c r="P405" s="12"/>
      <c r="Q405" s="13">
        <v>0.13</v>
      </c>
      <c r="R405" s="12"/>
      <c r="S405" s="12"/>
      <c r="T405" s="13">
        <v>0.14</v>
      </c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5"/>
    </row>
    <row r="406" ht="22.5" customHeight="1">
      <c r="A406" s="16">
        <v>16.0</v>
      </c>
      <c r="B406" s="10" t="s">
        <v>1323</v>
      </c>
      <c r="C406" s="10" t="s">
        <v>323</v>
      </c>
      <c r="D406" s="17">
        <v>2.0</v>
      </c>
      <c r="E406" s="10" t="s">
        <v>9</v>
      </c>
      <c r="F406" s="10" t="s">
        <v>1327</v>
      </c>
      <c r="G406" s="10" t="s">
        <v>1328</v>
      </c>
      <c r="H406" s="10" t="s">
        <v>122</v>
      </c>
      <c r="I406" s="12"/>
      <c r="J406" s="12"/>
      <c r="K406" s="12"/>
      <c r="L406" s="12"/>
      <c r="M406" s="12"/>
      <c r="N406" s="12"/>
      <c r="O406" s="12"/>
      <c r="P406" s="12"/>
      <c r="Q406" s="13">
        <v>0.18</v>
      </c>
      <c r="R406" s="12"/>
      <c r="S406" s="12"/>
      <c r="T406" s="13">
        <v>0.12</v>
      </c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5"/>
    </row>
    <row r="407" ht="22.5" customHeight="1">
      <c r="A407" s="16">
        <v>12.0</v>
      </c>
      <c r="B407" s="10" t="s">
        <v>1329</v>
      </c>
      <c r="C407" s="10" t="s">
        <v>339</v>
      </c>
      <c r="D407" s="17">
        <v>1.0</v>
      </c>
      <c r="E407" s="10" t="s">
        <v>147</v>
      </c>
      <c r="F407" s="10" t="s">
        <v>1330</v>
      </c>
      <c r="G407" s="10" t="s">
        <v>1331</v>
      </c>
      <c r="H407" s="10" t="s">
        <v>122</v>
      </c>
      <c r="I407" s="12"/>
      <c r="J407" s="13">
        <v>0.46</v>
      </c>
      <c r="K407" s="12"/>
      <c r="L407" s="12"/>
      <c r="M407" s="12"/>
      <c r="N407" s="13">
        <v>0.46</v>
      </c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5"/>
    </row>
    <row r="408" ht="22.5" customHeight="1">
      <c r="A408" s="16">
        <v>12.0</v>
      </c>
      <c r="B408" s="10" t="s">
        <v>1329</v>
      </c>
      <c r="C408" s="10" t="s">
        <v>251</v>
      </c>
      <c r="D408" s="17">
        <v>2.0</v>
      </c>
      <c r="E408" s="10" t="s">
        <v>147</v>
      </c>
      <c r="F408" s="10" t="s">
        <v>1332</v>
      </c>
      <c r="G408" s="10" t="s">
        <v>1333</v>
      </c>
      <c r="H408" s="10" t="s">
        <v>122</v>
      </c>
      <c r="I408" s="12"/>
      <c r="J408" s="13">
        <v>0.46</v>
      </c>
      <c r="K408" s="12"/>
      <c r="L408" s="12"/>
      <c r="M408" s="12"/>
      <c r="N408" s="13">
        <v>0.46</v>
      </c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5"/>
    </row>
    <row r="409" ht="22.5" customHeight="1">
      <c r="A409" s="16">
        <v>12.0</v>
      </c>
      <c r="B409" s="10" t="s">
        <v>1329</v>
      </c>
      <c r="C409" s="10" t="s">
        <v>240</v>
      </c>
      <c r="D409" s="17">
        <v>3.0</v>
      </c>
      <c r="E409" s="10" t="s">
        <v>147</v>
      </c>
      <c r="F409" s="10" t="s">
        <v>1334</v>
      </c>
      <c r="G409" s="10" t="s">
        <v>1335</v>
      </c>
      <c r="H409" s="10" t="s">
        <v>122</v>
      </c>
      <c r="I409" s="12"/>
      <c r="J409" s="13">
        <v>0.46</v>
      </c>
      <c r="K409" s="12"/>
      <c r="L409" s="12"/>
      <c r="M409" s="12"/>
      <c r="N409" s="13">
        <v>0.46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5"/>
    </row>
    <row r="410" ht="22.5" customHeight="1">
      <c r="A410" s="16">
        <v>12.0</v>
      </c>
      <c r="B410" s="10" t="s">
        <v>1329</v>
      </c>
      <c r="C410" s="10" t="s">
        <v>251</v>
      </c>
      <c r="D410" s="17">
        <v>4.0</v>
      </c>
      <c r="E410" s="10" t="s">
        <v>147</v>
      </c>
      <c r="F410" s="10" t="s">
        <v>1332</v>
      </c>
      <c r="G410" s="10" t="s">
        <v>1336</v>
      </c>
      <c r="H410" s="10" t="s">
        <v>122</v>
      </c>
      <c r="I410" s="12"/>
      <c r="J410" s="13">
        <v>0.46</v>
      </c>
      <c r="K410" s="12"/>
      <c r="L410" s="12"/>
      <c r="M410" s="12"/>
      <c r="N410" s="13">
        <v>0.46</v>
      </c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5"/>
    </row>
    <row r="411" ht="22.5" customHeight="1">
      <c r="A411" s="16">
        <v>214.0</v>
      </c>
      <c r="B411" s="10" t="s">
        <v>1337</v>
      </c>
      <c r="C411" s="10" t="s">
        <v>1338</v>
      </c>
      <c r="D411" s="17">
        <v>1.0</v>
      </c>
      <c r="E411" s="10" t="s">
        <v>234</v>
      </c>
      <c r="F411" s="10" t="s">
        <v>1339</v>
      </c>
      <c r="G411" s="10" t="s">
        <v>1340</v>
      </c>
      <c r="H411" s="10" t="s">
        <v>122</v>
      </c>
      <c r="I411" s="13">
        <v>0.0</v>
      </c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5"/>
    </row>
    <row r="412" ht="22.5" customHeight="1">
      <c r="A412" s="16">
        <v>214.0</v>
      </c>
      <c r="B412" s="10" t="s">
        <v>1337</v>
      </c>
      <c r="C412" s="10" t="s">
        <v>1341</v>
      </c>
      <c r="D412" s="17">
        <v>2.0</v>
      </c>
      <c r="E412" s="10" t="s">
        <v>234</v>
      </c>
      <c r="F412" s="10" t="s">
        <v>1342</v>
      </c>
      <c r="G412" s="10" t="s">
        <v>1343</v>
      </c>
      <c r="H412" s="10" t="s">
        <v>15</v>
      </c>
      <c r="I412" s="13">
        <v>0.0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5"/>
    </row>
    <row r="413" ht="22.5" customHeight="1">
      <c r="A413" s="16">
        <v>160.0</v>
      </c>
      <c r="B413" s="10" t="s">
        <v>1344</v>
      </c>
      <c r="C413" s="10" t="s">
        <v>137</v>
      </c>
      <c r="D413" s="17">
        <v>1.0</v>
      </c>
      <c r="E413" s="10" t="s">
        <v>147</v>
      </c>
      <c r="F413" s="10" t="s">
        <v>1345</v>
      </c>
      <c r="G413" s="10" t="s">
        <v>1346</v>
      </c>
      <c r="H413" s="10" t="s">
        <v>122</v>
      </c>
      <c r="I413" s="12"/>
      <c r="J413" s="12"/>
      <c r="K413" s="12"/>
      <c r="L413" s="12"/>
      <c r="M413" s="12"/>
      <c r="N413" s="12"/>
      <c r="O413" s="12"/>
      <c r="P413" s="13">
        <v>0.03</v>
      </c>
      <c r="Q413" s="13">
        <v>0.27</v>
      </c>
      <c r="R413" s="13">
        <v>0.12</v>
      </c>
      <c r="S413" s="13">
        <v>0.04</v>
      </c>
      <c r="T413" s="12"/>
      <c r="U413" s="12"/>
      <c r="V413" s="12"/>
      <c r="W413" s="12"/>
      <c r="X413" s="12"/>
      <c r="Y413" s="12"/>
      <c r="Z413" s="13">
        <v>0.04</v>
      </c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5"/>
    </row>
    <row r="414" ht="22.5" customHeight="1">
      <c r="A414" s="18" t="s">
        <v>1347</v>
      </c>
      <c r="B414" s="19" t="s">
        <v>1348</v>
      </c>
      <c r="C414" s="19" t="s">
        <v>137</v>
      </c>
      <c r="D414" s="20">
        <v>1.0</v>
      </c>
      <c r="E414" s="19" t="s">
        <v>15</v>
      </c>
      <c r="F414" s="19" t="s">
        <v>1349</v>
      </c>
      <c r="G414" s="19" t="s">
        <v>1350</v>
      </c>
      <c r="H414" s="19" t="s">
        <v>122</v>
      </c>
      <c r="I414" s="21"/>
      <c r="J414" s="21"/>
      <c r="K414" s="21"/>
      <c r="L414" s="21"/>
      <c r="M414" s="21"/>
      <c r="N414" s="21"/>
      <c r="O414" s="22">
        <v>0.07</v>
      </c>
      <c r="P414" s="21"/>
      <c r="Q414" s="22">
        <v>0.17</v>
      </c>
      <c r="R414" s="22">
        <v>0.08</v>
      </c>
      <c r="S414" s="22">
        <v>0.06</v>
      </c>
      <c r="T414" s="22">
        <v>0.013</v>
      </c>
      <c r="U414" s="21"/>
      <c r="V414" s="22">
        <v>0.005</v>
      </c>
      <c r="W414" s="21"/>
      <c r="X414" s="21"/>
      <c r="Y414" s="21"/>
      <c r="Z414" s="22">
        <v>0.13</v>
      </c>
      <c r="AA414" s="22">
        <v>0.028</v>
      </c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2.13"/>
    <col customWidth="1" min="3" max="3" width="9.63"/>
    <col customWidth="1" min="4" max="4" width="11.38"/>
    <col customWidth="1" min="5" max="8" width="9.38"/>
    <col customWidth="1" min="9" max="11" width="14.0"/>
    <col customWidth="1" min="12" max="12" width="23.63"/>
  </cols>
  <sheetData>
    <row r="1" ht="21.0" customHeight="1">
      <c r="A1" s="24" t="s">
        <v>1351</v>
      </c>
      <c r="B1" s="24" t="s">
        <v>102</v>
      </c>
      <c r="C1" s="24" t="s">
        <v>1352</v>
      </c>
      <c r="D1" s="24" t="s">
        <v>1353</v>
      </c>
      <c r="E1" s="24" t="s">
        <v>17</v>
      </c>
      <c r="F1" s="24" t="s">
        <v>18</v>
      </c>
      <c r="G1" s="24" t="s">
        <v>19</v>
      </c>
      <c r="H1" s="24" t="s">
        <v>26</v>
      </c>
      <c r="I1" s="25" t="s">
        <v>1354</v>
      </c>
      <c r="J1" s="25" t="s">
        <v>1355</v>
      </c>
      <c r="K1" s="25" t="s">
        <v>1356</v>
      </c>
      <c r="L1" s="25" t="s">
        <v>1357</v>
      </c>
      <c r="M1" s="8"/>
      <c r="N1" s="8"/>
      <c r="O1" s="8"/>
      <c r="P1" s="8"/>
      <c r="Q1" s="8"/>
      <c r="R1" s="8"/>
      <c r="S1" s="8"/>
    </row>
    <row r="2" ht="22.5" customHeight="1">
      <c r="A2" s="26">
        <v>35837.0</v>
      </c>
      <c r="B2" s="6" t="s">
        <v>1097</v>
      </c>
      <c r="C2" s="26">
        <v>6.5081024E7</v>
      </c>
      <c r="D2" s="27">
        <v>45573.0</v>
      </c>
      <c r="E2" s="26">
        <v>18.79</v>
      </c>
      <c r="F2" s="26">
        <v>19.69</v>
      </c>
      <c r="G2" s="26">
        <v>3.03</v>
      </c>
      <c r="H2" s="26">
        <v>19.69</v>
      </c>
      <c r="I2" s="28" t="str">
        <f t="shared" ref="I2:J2" si="1">IF(E2&lt;14.4,"NO CUMPLE","CUMPLE")</f>
        <v>CUMPLE</v>
      </c>
      <c r="J2" s="28" t="str">
        <f t="shared" si="1"/>
        <v>CUMPLE</v>
      </c>
      <c r="K2" s="28" t="str">
        <f t="shared" ref="K2:K17" si="3">IF(G2&lt;2.4,"NO CUMPLE","CUMPLE")</f>
        <v>CUMPLE</v>
      </c>
      <c r="L2" s="28" t="str">
        <f t="shared" ref="L2:L17" si="4">IF(H2&lt;18-1.5,"Diferencia menor a 1.5%","CUMPLE")</f>
        <v>CUMPLE</v>
      </c>
      <c r="M2" s="8"/>
      <c r="N2" s="8"/>
      <c r="O2" s="8"/>
      <c r="P2" s="8"/>
      <c r="Q2" s="8"/>
      <c r="R2" s="8"/>
      <c r="S2" s="8"/>
    </row>
    <row r="3" ht="22.5" customHeight="1">
      <c r="A3" s="26">
        <v>35927.0</v>
      </c>
      <c r="B3" s="6" t="s">
        <v>1097</v>
      </c>
      <c r="C3" s="26">
        <v>6.5161024E7</v>
      </c>
      <c r="D3" s="27">
        <v>45581.0</v>
      </c>
      <c r="E3" s="26">
        <v>19.17</v>
      </c>
      <c r="F3" s="26">
        <v>15.57</v>
      </c>
      <c r="G3" s="26">
        <v>3.42</v>
      </c>
      <c r="H3" s="26">
        <v>23.3</v>
      </c>
      <c r="I3" s="28" t="str">
        <f t="shared" ref="I3:J3" si="2">IF(E3&lt;14.4,"NO CUMPLE","CUMPLE")</f>
        <v>CUMPLE</v>
      </c>
      <c r="J3" s="28" t="str">
        <f t="shared" si="2"/>
        <v>CUMPLE</v>
      </c>
      <c r="K3" s="28" t="str">
        <f t="shared" si="3"/>
        <v>CUMPLE</v>
      </c>
      <c r="L3" s="28" t="str">
        <f t="shared" si="4"/>
        <v>CUMPLE</v>
      </c>
      <c r="M3" s="8"/>
      <c r="N3" s="8"/>
      <c r="O3" s="8"/>
      <c r="P3" s="8"/>
      <c r="Q3" s="8"/>
      <c r="R3" s="8"/>
      <c r="S3" s="8"/>
    </row>
    <row r="4" ht="22.5" customHeight="1">
      <c r="A4" s="26">
        <v>35979.0</v>
      </c>
      <c r="B4" s="6" t="s">
        <v>1097</v>
      </c>
      <c r="C4" s="26">
        <v>6.5221024E7</v>
      </c>
      <c r="D4" s="27">
        <v>45587.0</v>
      </c>
      <c r="E4" s="26">
        <v>17.92</v>
      </c>
      <c r="F4" s="26">
        <v>24.46</v>
      </c>
      <c r="G4" s="26">
        <v>3.55</v>
      </c>
      <c r="H4" s="26">
        <v>19.2</v>
      </c>
      <c r="I4" s="28" t="str">
        <f t="shared" ref="I4:J4" si="5">IF(E4&lt;14.4,"NO CUMPLE","CUMPLE")</f>
        <v>CUMPLE</v>
      </c>
      <c r="J4" s="28" t="str">
        <f t="shared" si="5"/>
        <v>CUMPLE</v>
      </c>
      <c r="K4" s="28" t="str">
        <f t="shared" si="3"/>
        <v>CUMPLE</v>
      </c>
      <c r="L4" s="28" t="str">
        <f t="shared" si="4"/>
        <v>CUMPLE</v>
      </c>
      <c r="M4" s="8"/>
      <c r="N4" s="8"/>
      <c r="O4" s="8"/>
      <c r="P4" s="8"/>
      <c r="Q4" s="8"/>
      <c r="R4" s="8"/>
      <c r="S4" s="8"/>
    </row>
    <row r="5" ht="22.5" customHeight="1">
      <c r="A5" s="26">
        <v>36141.0</v>
      </c>
      <c r="B5" s="6" t="s">
        <v>1097</v>
      </c>
      <c r="C5" s="26">
        <v>6.5311024E7</v>
      </c>
      <c r="D5" s="27">
        <v>45596.0</v>
      </c>
      <c r="E5" s="26">
        <v>18.2</v>
      </c>
      <c r="F5" s="26">
        <v>19.6</v>
      </c>
      <c r="G5" s="26">
        <v>3.92</v>
      </c>
      <c r="H5" s="26">
        <v>17.71</v>
      </c>
      <c r="I5" s="28" t="str">
        <f t="shared" ref="I5:J5" si="6">IF(E5&lt;14.4,"NO CUMPLE","CUMPLE")</f>
        <v>CUMPLE</v>
      </c>
      <c r="J5" s="28" t="str">
        <f t="shared" si="6"/>
        <v>CUMPLE</v>
      </c>
      <c r="K5" s="28" t="str">
        <f t="shared" si="3"/>
        <v>CUMPLE</v>
      </c>
      <c r="L5" s="28" t="str">
        <f t="shared" si="4"/>
        <v>CUMPLE</v>
      </c>
      <c r="M5" s="8"/>
      <c r="N5" s="8"/>
      <c r="O5" s="8"/>
      <c r="P5" s="8"/>
      <c r="Q5" s="8"/>
      <c r="R5" s="8"/>
      <c r="S5" s="8"/>
    </row>
    <row r="6" ht="22.5" customHeight="1">
      <c r="A6" s="26">
        <v>36216.0</v>
      </c>
      <c r="B6" s="6" t="s">
        <v>1097</v>
      </c>
      <c r="C6" s="26">
        <v>6.5071124E7</v>
      </c>
      <c r="D6" s="27">
        <v>45603.0</v>
      </c>
      <c r="E6" s="26">
        <v>16.69</v>
      </c>
      <c r="F6" s="26">
        <v>18.95</v>
      </c>
      <c r="G6" s="26">
        <v>3.95</v>
      </c>
      <c r="H6" s="26">
        <v>28.46</v>
      </c>
      <c r="I6" s="28" t="str">
        <f t="shared" ref="I6:J6" si="7">IF(E6&lt;14.4,"NO CUMPLE","CUMPLE")</f>
        <v>CUMPLE</v>
      </c>
      <c r="J6" s="28" t="str">
        <f t="shared" si="7"/>
        <v>CUMPLE</v>
      </c>
      <c r="K6" s="28" t="str">
        <f t="shared" si="3"/>
        <v>CUMPLE</v>
      </c>
      <c r="L6" s="28" t="str">
        <f t="shared" si="4"/>
        <v>CUMPLE</v>
      </c>
      <c r="M6" s="8"/>
      <c r="N6" s="8"/>
      <c r="O6" s="8"/>
      <c r="P6" s="8"/>
      <c r="Q6" s="8"/>
      <c r="R6" s="8"/>
      <c r="S6" s="8"/>
    </row>
    <row r="7" ht="22.5" customHeight="1">
      <c r="A7" s="26">
        <v>36388.0</v>
      </c>
      <c r="B7" s="6" t="s">
        <v>1097</v>
      </c>
      <c r="C7" s="26">
        <v>6.5131124E7</v>
      </c>
      <c r="D7" s="27">
        <v>45609.0</v>
      </c>
      <c r="E7" s="26">
        <v>18.02</v>
      </c>
      <c r="F7" s="26">
        <v>18.87</v>
      </c>
      <c r="G7" s="26">
        <v>3.28</v>
      </c>
      <c r="H7" s="26">
        <v>22.69</v>
      </c>
      <c r="I7" s="28" t="str">
        <f t="shared" ref="I7:J7" si="8">IF(E7&lt;14.4,"NO CUMPLE","CUMPLE")</f>
        <v>CUMPLE</v>
      </c>
      <c r="J7" s="28" t="str">
        <f t="shared" si="8"/>
        <v>CUMPLE</v>
      </c>
      <c r="K7" s="28" t="str">
        <f t="shared" si="3"/>
        <v>CUMPLE</v>
      </c>
      <c r="L7" s="28" t="str">
        <f t="shared" si="4"/>
        <v>CUMPLE</v>
      </c>
      <c r="M7" s="8"/>
      <c r="N7" s="8"/>
      <c r="O7" s="8"/>
      <c r="P7" s="8"/>
      <c r="Q7" s="8"/>
      <c r="R7" s="8"/>
      <c r="S7" s="8"/>
    </row>
    <row r="8" ht="22.5" customHeight="1">
      <c r="A8" s="26">
        <v>36389.0</v>
      </c>
      <c r="B8" s="6" t="s">
        <v>1097</v>
      </c>
      <c r="C8" s="26">
        <v>6.5201124E7</v>
      </c>
      <c r="D8" s="27">
        <v>45616.0</v>
      </c>
      <c r="E8" s="26">
        <v>17.74</v>
      </c>
      <c r="F8" s="26">
        <v>18.86</v>
      </c>
      <c r="G8" s="26">
        <v>3.3</v>
      </c>
      <c r="H8" s="26">
        <v>20.93</v>
      </c>
      <c r="I8" s="28" t="str">
        <f t="shared" ref="I8:J8" si="9">IF(E8&lt;14.4,"NO CUMPLE","CUMPLE")</f>
        <v>CUMPLE</v>
      </c>
      <c r="J8" s="28" t="str">
        <f t="shared" si="9"/>
        <v>CUMPLE</v>
      </c>
      <c r="K8" s="28" t="str">
        <f t="shared" si="3"/>
        <v>CUMPLE</v>
      </c>
      <c r="L8" s="28" t="str">
        <f t="shared" si="4"/>
        <v>CUMPLE</v>
      </c>
      <c r="M8" s="8"/>
      <c r="N8" s="8"/>
      <c r="O8" s="8"/>
      <c r="P8" s="8"/>
      <c r="Q8" s="8"/>
      <c r="R8" s="8"/>
      <c r="S8" s="8"/>
    </row>
    <row r="9" ht="22.5" customHeight="1">
      <c r="A9" s="26">
        <v>36598.0</v>
      </c>
      <c r="B9" s="6" t="s">
        <v>1097</v>
      </c>
      <c r="C9" s="26">
        <v>6.5031224E7</v>
      </c>
      <c r="D9" s="29">
        <v>45625.0</v>
      </c>
      <c r="E9" s="26">
        <v>13.64</v>
      </c>
      <c r="F9" s="26">
        <v>19.39</v>
      </c>
      <c r="G9" s="26">
        <v>3.22</v>
      </c>
      <c r="H9" s="26">
        <v>24.18</v>
      </c>
      <c r="I9" s="28" t="str">
        <f t="shared" ref="I9:J9" si="10">IF(E9&lt;14.4,"NO CUMPLE","CUMPLE")</f>
        <v>NO CUMPLE</v>
      </c>
      <c r="J9" s="28" t="str">
        <f t="shared" si="10"/>
        <v>CUMPLE</v>
      </c>
      <c r="K9" s="28" t="str">
        <f t="shared" si="3"/>
        <v>CUMPLE</v>
      </c>
      <c r="L9" s="28" t="str">
        <f t="shared" si="4"/>
        <v>CUMPLE</v>
      </c>
      <c r="M9" s="8"/>
      <c r="N9" s="8"/>
      <c r="O9" s="8"/>
      <c r="P9" s="8"/>
      <c r="Q9" s="8"/>
      <c r="R9" s="8"/>
      <c r="S9" s="8"/>
    </row>
    <row r="10" ht="22.5" customHeight="1">
      <c r="A10" s="26">
        <v>36599.0</v>
      </c>
      <c r="B10" s="6" t="s">
        <v>1097</v>
      </c>
      <c r="C10" s="26">
        <v>6.5291124E7</v>
      </c>
      <c r="D10" s="27">
        <v>45625.0</v>
      </c>
      <c r="E10" s="26">
        <v>18.09</v>
      </c>
      <c r="F10" s="26">
        <v>18.13</v>
      </c>
      <c r="G10" s="26">
        <v>3.28</v>
      </c>
      <c r="H10" s="26">
        <v>23.78</v>
      </c>
      <c r="I10" s="28" t="str">
        <f t="shared" ref="I10:J10" si="11">IF(E10&lt;14.4,"NO CUMPLE","CUMPLE")</f>
        <v>CUMPLE</v>
      </c>
      <c r="J10" s="28" t="str">
        <f t="shared" si="11"/>
        <v>CUMPLE</v>
      </c>
      <c r="K10" s="28" t="str">
        <f t="shared" si="3"/>
        <v>CUMPLE</v>
      </c>
      <c r="L10" s="28" t="str">
        <f t="shared" si="4"/>
        <v>CUMPLE</v>
      </c>
      <c r="M10" s="8"/>
      <c r="N10" s="8"/>
      <c r="O10" s="8"/>
      <c r="P10" s="8"/>
      <c r="Q10" s="8"/>
      <c r="R10" s="8"/>
      <c r="S10" s="8"/>
    </row>
    <row r="11" ht="22.5" customHeight="1">
      <c r="A11" s="26">
        <v>37876.0</v>
      </c>
      <c r="B11" s="6" t="s">
        <v>1097</v>
      </c>
      <c r="C11" s="26">
        <v>6.5080525E7</v>
      </c>
      <c r="D11" s="27">
        <v>45877.0</v>
      </c>
      <c r="E11" s="26">
        <v>17.04</v>
      </c>
      <c r="F11" s="26">
        <v>19.46</v>
      </c>
      <c r="G11" s="26">
        <v>2.79</v>
      </c>
      <c r="H11" s="26">
        <v>16.3</v>
      </c>
      <c r="I11" s="28" t="str">
        <f t="shared" ref="I11:J11" si="12">IF(E11&lt;14.4,"NO CUMPLE","CUMPLE")</f>
        <v>CUMPLE</v>
      </c>
      <c r="J11" s="28" t="str">
        <f t="shared" si="12"/>
        <v>CUMPLE</v>
      </c>
      <c r="K11" s="28" t="str">
        <f t="shared" si="3"/>
        <v>CUMPLE</v>
      </c>
      <c r="L11" s="28" t="str">
        <f t="shared" si="4"/>
        <v>Diferencia menor a 1.5%</v>
      </c>
      <c r="M11" s="8"/>
      <c r="N11" s="8"/>
      <c r="O11" s="8"/>
      <c r="P11" s="8"/>
      <c r="Q11" s="8"/>
      <c r="R11" s="8"/>
      <c r="S11" s="8"/>
    </row>
    <row r="12" ht="22.5" customHeight="1">
      <c r="A12" s="26">
        <v>37877.0</v>
      </c>
      <c r="B12" s="6" t="s">
        <v>1097</v>
      </c>
      <c r="C12" s="26">
        <v>6.5270425E7</v>
      </c>
      <c r="D12" s="27">
        <v>45774.0</v>
      </c>
      <c r="E12" s="26">
        <v>15.93</v>
      </c>
      <c r="F12" s="26">
        <v>20.72</v>
      </c>
      <c r="G12" s="26">
        <v>2.93</v>
      </c>
      <c r="H12" s="26">
        <v>19.9</v>
      </c>
      <c r="I12" s="28" t="str">
        <f t="shared" ref="I12:J12" si="13">IF(E12&lt;14.4,"NO CUMPLE","CUMPLE")</f>
        <v>CUMPLE</v>
      </c>
      <c r="J12" s="28" t="str">
        <f t="shared" si="13"/>
        <v>CUMPLE</v>
      </c>
      <c r="K12" s="28" t="str">
        <f t="shared" si="3"/>
        <v>CUMPLE</v>
      </c>
      <c r="L12" s="28" t="str">
        <f t="shared" si="4"/>
        <v>CUMPLE</v>
      </c>
      <c r="M12" s="8"/>
      <c r="N12" s="8"/>
      <c r="O12" s="8"/>
      <c r="P12" s="8"/>
      <c r="Q12" s="8"/>
      <c r="R12" s="8"/>
      <c r="S12" s="8"/>
    </row>
    <row r="13" ht="22.5" customHeight="1">
      <c r="A13" s="26">
        <v>38378.0</v>
      </c>
      <c r="B13" s="6" t="s">
        <v>1097</v>
      </c>
      <c r="C13" s="26">
        <v>6.5060425E7</v>
      </c>
      <c r="D13" s="27">
        <v>45753.0</v>
      </c>
      <c r="E13" s="26">
        <v>14.76</v>
      </c>
      <c r="F13" s="26">
        <v>18.03</v>
      </c>
      <c r="G13" s="26">
        <v>3.22</v>
      </c>
      <c r="H13" s="26">
        <v>20.96</v>
      </c>
      <c r="I13" s="28" t="str">
        <f t="shared" ref="I13:J13" si="14">IF(E13&lt;14.4,"NO CUMPLE","CUMPLE")</f>
        <v>CUMPLE</v>
      </c>
      <c r="J13" s="28" t="str">
        <f t="shared" si="14"/>
        <v>CUMPLE</v>
      </c>
      <c r="K13" s="28" t="str">
        <f t="shared" si="3"/>
        <v>CUMPLE</v>
      </c>
      <c r="L13" s="28" t="str">
        <f t="shared" si="4"/>
        <v>CUMPLE</v>
      </c>
      <c r="M13" s="8"/>
      <c r="N13" s="8"/>
      <c r="O13" s="8"/>
      <c r="P13" s="8"/>
      <c r="Q13" s="8"/>
      <c r="R13" s="8"/>
      <c r="S13" s="8"/>
    </row>
    <row r="14" ht="22.5" customHeight="1">
      <c r="A14" s="26">
        <v>39156.0</v>
      </c>
      <c r="B14" s="6" t="s">
        <v>1097</v>
      </c>
      <c r="C14" s="26">
        <v>6.5120625E7</v>
      </c>
      <c r="D14" s="27">
        <v>45820.0</v>
      </c>
      <c r="E14" s="26">
        <v>16.77</v>
      </c>
      <c r="F14" s="26">
        <v>18.48</v>
      </c>
      <c r="G14" s="26">
        <v>3.29</v>
      </c>
      <c r="H14" s="26">
        <v>15.6</v>
      </c>
      <c r="I14" s="28" t="str">
        <f t="shared" ref="I14:J14" si="15">IF(E14&lt;14.4,"NO CUMPLE","CUMPLE")</f>
        <v>CUMPLE</v>
      </c>
      <c r="J14" s="28" t="str">
        <f t="shared" si="15"/>
        <v>CUMPLE</v>
      </c>
      <c r="K14" s="28" t="str">
        <f t="shared" si="3"/>
        <v>CUMPLE</v>
      </c>
      <c r="L14" s="28" t="str">
        <f t="shared" si="4"/>
        <v>Diferencia menor a 1.5%</v>
      </c>
      <c r="M14" s="8"/>
      <c r="N14" s="8"/>
      <c r="O14" s="8"/>
      <c r="P14" s="8"/>
      <c r="Q14" s="8"/>
      <c r="R14" s="8"/>
      <c r="S14" s="8"/>
    </row>
    <row r="15" ht="22.5" customHeight="1">
      <c r="A15" s="26">
        <v>39157.0</v>
      </c>
      <c r="B15" s="6" t="s">
        <v>1097</v>
      </c>
      <c r="C15" s="26">
        <v>6.5050825E7</v>
      </c>
      <c r="D15" s="27">
        <v>45874.0</v>
      </c>
      <c r="E15" s="26">
        <v>18.03</v>
      </c>
      <c r="F15" s="26">
        <v>18.39</v>
      </c>
      <c r="G15" s="26">
        <v>3.51</v>
      </c>
      <c r="H15" s="26">
        <v>20.18</v>
      </c>
      <c r="I15" s="28" t="str">
        <f t="shared" ref="I15:J15" si="16">IF(E15&lt;14.4,"NO CUMPLE","CUMPLE")</f>
        <v>CUMPLE</v>
      </c>
      <c r="J15" s="28" t="str">
        <f t="shared" si="16"/>
        <v>CUMPLE</v>
      </c>
      <c r="K15" s="28" t="str">
        <f t="shared" si="3"/>
        <v>CUMPLE</v>
      </c>
      <c r="L15" s="28" t="str">
        <f t="shared" si="4"/>
        <v>CUMPLE</v>
      </c>
      <c r="M15" s="8"/>
      <c r="N15" s="8"/>
      <c r="O15" s="8"/>
      <c r="P15" s="8"/>
      <c r="Q15" s="8"/>
      <c r="R15" s="8"/>
      <c r="S15" s="8"/>
    </row>
    <row r="16" ht="22.5" customHeight="1">
      <c r="A16" s="26">
        <v>39158.0</v>
      </c>
      <c r="B16" s="6" t="s">
        <v>1097</v>
      </c>
      <c r="C16" s="26">
        <v>6.5250925E7</v>
      </c>
      <c r="D16" s="27">
        <v>45925.0</v>
      </c>
      <c r="E16" s="26">
        <v>15.72</v>
      </c>
      <c r="F16" s="26">
        <v>15.59</v>
      </c>
      <c r="G16" s="26">
        <v>3.42</v>
      </c>
      <c r="H16" s="26">
        <v>23.14</v>
      </c>
      <c r="I16" s="28" t="str">
        <f t="shared" ref="I16:J16" si="17">IF(E16&lt;14.4,"NO CUMPLE","CUMPLE")</f>
        <v>CUMPLE</v>
      </c>
      <c r="J16" s="28" t="str">
        <f t="shared" si="17"/>
        <v>CUMPLE</v>
      </c>
      <c r="K16" s="28" t="str">
        <f t="shared" si="3"/>
        <v>CUMPLE</v>
      </c>
      <c r="L16" s="28" t="str">
        <f t="shared" si="4"/>
        <v>CUMPLE</v>
      </c>
      <c r="M16" s="8"/>
      <c r="N16" s="8"/>
      <c r="O16" s="8"/>
      <c r="P16" s="8"/>
      <c r="Q16" s="8"/>
      <c r="R16" s="8"/>
      <c r="S16" s="8"/>
    </row>
    <row r="17" ht="22.5" customHeight="1">
      <c r="A17" s="26">
        <v>39159.0</v>
      </c>
      <c r="B17" s="6" t="s">
        <v>1097</v>
      </c>
      <c r="C17" s="26">
        <v>6.5061025E7</v>
      </c>
      <c r="D17" s="27">
        <v>45936.0</v>
      </c>
      <c r="E17" s="26">
        <v>16.86</v>
      </c>
      <c r="F17" s="26">
        <v>17.08</v>
      </c>
      <c r="G17" s="26">
        <v>3.32</v>
      </c>
      <c r="H17" s="26">
        <v>22.97</v>
      </c>
      <c r="I17" s="28" t="str">
        <f t="shared" ref="I17:J17" si="18">IF(E17&lt;14.4,"NO CUMPLE","CUMPLE")</f>
        <v>CUMPLE</v>
      </c>
      <c r="J17" s="28" t="str">
        <f t="shared" si="18"/>
        <v>CUMPLE</v>
      </c>
      <c r="K17" s="28" t="str">
        <f t="shared" si="3"/>
        <v>CUMPLE</v>
      </c>
      <c r="L17" s="28" t="str">
        <f t="shared" si="4"/>
        <v>CUMPLE</v>
      </c>
      <c r="M17" s="8"/>
      <c r="N17" s="8"/>
      <c r="O17" s="8"/>
      <c r="P17" s="8"/>
      <c r="Q17" s="8"/>
      <c r="R17" s="8"/>
      <c r="S17" s="8"/>
    </row>
  </sheetData>
  <dataValidations>
    <dataValidation type="custom" allowBlank="1" showDropDown="1" sqref="D2:D1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4" t="s">
        <v>1358</v>
      </c>
      <c r="B1" s="24" t="s">
        <v>17</v>
      </c>
      <c r="C1" s="30" t="s">
        <v>1359</v>
      </c>
      <c r="D1" s="30" t="s">
        <v>1360</v>
      </c>
      <c r="E1" s="24" t="s">
        <v>18</v>
      </c>
      <c r="F1" s="30" t="s">
        <v>1361</v>
      </c>
      <c r="G1" s="30" t="s">
        <v>1362</v>
      </c>
      <c r="H1" s="24" t="s">
        <v>19</v>
      </c>
      <c r="I1" s="30" t="s">
        <v>1363</v>
      </c>
      <c r="J1" s="30" t="s">
        <v>1364</v>
      </c>
      <c r="K1" s="24" t="s">
        <v>26</v>
      </c>
      <c r="L1" s="31" t="s">
        <v>1365</v>
      </c>
      <c r="M1" s="25" t="s">
        <v>1354</v>
      </c>
      <c r="N1" s="25" t="s">
        <v>1355</v>
      </c>
      <c r="O1" s="25" t="s">
        <v>1356</v>
      </c>
      <c r="P1" s="25" t="s">
        <v>1357</v>
      </c>
    </row>
    <row r="2" ht="22.5" customHeight="1">
      <c r="A2" s="27">
        <v>45573.0</v>
      </c>
      <c r="B2" s="26">
        <v>18.79</v>
      </c>
      <c r="C2" s="6">
        <v>14.4</v>
      </c>
      <c r="D2" s="6">
        <v>17.6</v>
      </c>
      <c r="E2" s="26">
        <v>19.69</v>
      </c>
      <c r="F2" s="6">
        <v>14.4</v>
      </c>
      <c r="G2" s="6">
        <v>17.6</v>
      </c>
      <c r="H2" s="26">
        <v>3.03</v>
      </c>
      <c r="I2" s="6">
        <v>2.4</v>
      </c>
      <c r="J2" s="6">
        <v>3.6</v>
      </c>
      <c r="K2" s="26">
        <v>19.69</v>
      </c>
      <c r="L2" s="32">
        <v>16.5</v>
      </c>
      <c r="M2" s="28" t="str">
        <f>IF(B2&gt;17.6,"MEJOR","OK")</f>
        <v>MEJOR</v>
      </c>
      <c r="N2" s="28" t="str">
        <f t="shared" ref="N2:N17" si="1">IF(E2&lt;14.4,"NO CUMPLE","CUMPLE")</f>
        <v>CUMPLE</v>
      </c>
      <c r="O2" s="28" t="str">
        <f t="shared" ref="O2:O17" si="2">IF(H2&lt;2.4,"NO CUMPLE","CUMPLE")</f>
        <v>CUMPLE</v>
      </c>
      <c r="P2" s="28" t="str">
        <f t="shared" ref="P2:P17" si="3">IF(K2&lt;18-1.5,"Diferencia menor a 1.5%","CUMPLE")</f>
        <v>CUMPLE</v>
      </c>
    </row>
    <row r="3" ht="22.5" customHeight="1">
      <c r="A3" s="27">
        <v>45581.0</v>
      </c>
      <c r="B3" s="26">
        <v>19.17</v>
      </c>
      <c r="C3" s="6">
        <v>14.4</v>
      </c>
      <c r="D3" s="6">
        <v>17.6</v>
      </c>
      <c r="E3" s="26">
        <v>15.57</v>
      </c>
      <c r="F3" s="6">
        <v>14.4</v>
      </c>
      <c r="G3" s="6">
        <v>17.6</v>
      </c>
      <c r="H3" s="26">
        <v>3.42</v>
      </c>
      <c r="I3" s="6">
        <v>2.4</v>
      </c>
      <c r="J3" s="6">
        <v>3.6</v>
      </c>
      <c r="K3" s="26">
        <v>23.3</v>
      </c>
      <c r="L3" s="32">
        <v>16.5</v>
      </c>
      <c r="M3" s="28" t="str">
        <f t="shared" ref="M3:M17" si="4">IF(B3&lt;14.4,"NO CUMPLE","CUMPLE")</f>
        <v>CUMPLE</v>
      </c>
      <c r="N3" s="28" t="str">
        <f t="shared" si="1"/>
        <v>CUMPLE</v>
      </c>
      <c r="O3" s="28" t="str">
        <f t="shared" si="2"/>
        <v>CUMPLE</v>
      </c>
      <c r="P3" s="28" t="str">
        <f t="shared" si="3"/>
        <v>CUMPLE</v>
      </c>
    </row>
    <row r="4" ht="22.5" customHeight="1">
      <c r="A4" s="27">
        <v>45587.0</v>
      </c>
      <c r="B4" s="26">
        <v>17.92</v>
      </c>
      <c r="C4" s="6">
        <v>14.4</v>
      </c>
      <c r="D4" s="6">
        <v>17.6</v>
      </c>
      <c r="E4" s="26">
        <v>24.46</v>
      </c>
      <c r="F4" s="6">
        <v>14.4</v>
      </c>
      <c r="G4" s="6">
        <v>17.6</v>
      </c>
      <c r="H4" s="26">
        <v>3.55</v>
      </c>
      <c r="I4" s="6">
        <v>2.4</v>
      </c>
      <c r="J4" s="6">
        <v>3.6</v>
      </c>
      <c r="K4" s="26">
        <v>19.2</v>
      </c>
      <c r="L4" s="32">
        <v>16.5</v>
      </c>
      <c r="M4" s="28" t="str">
        <f t="shared" si="4"/>
        <v>CUMPLE</v>
      </c>
      <c r="N4" s="28" t="str">
        <f t="shared" si="1"/>
        <v>CUMPLE</v>
      </c>
      <c r="O4" s="28" t="str">
        <f t="shared" si="2"/>
        <v>CUMPLE</v>
      </c>
      <c r="P4" s="28" t="str">
        <f t="shared" si="3"/>
        <v>CUMPLE</v>
      </c>
    </row>
    <row r="5" ht="22.5" customHeight="1">
      <c r="A5" s="27">
        <v>45596.0</v>
      </c>
      <c r="B5" s="26">
        <v>18.2</v>
      </c>
      <c r="C5" s="6">
        <v>14.4</v>
      </c>
      <c r="D5" s="6">
        <v>17.6</v>
      </c>
      <c r="E5" s="26">
        <v>19.6</v>
      </c>
      <c r="F5" s="6">
        <v>14.4</v>
      </c>
      <c r="G5" s="6">
        <v>17.6</v>
      </c>
      <c r="H5" s="26">
        <v>3.92</v>
      </c>
      <c r="I5" s="6">
        <v>2.4</v>
      </c>
      <c r="J5" s="6">
        <v>3.6</v>
      </c>
      <c r="K5" s="26">
        <v>17.71</v>
      </c>
      <c r="L5" s="32">
        <v>16.5</v>
      </c>
      <c r="M5" s="28" t="str">
        <f t="shared" si="4"/>
        <v>CUMPLE</v>
      </c>
      <c r="N5" s="28" t="str">
        <f t="shared" si="1"/>
        <v>CUMPLE</v>
      </c>
      <c r="O5" s="28" t="str">
        <f t="shared" si="2"/>
        <v>CUMPLE</v>
      </c>
      <c r="P5" s="28" t="str">
        <f t="shared" si="3"/>
        <v>CUMPLE</v>
      </c>
    </row>
    <row r="6" ht="22.5" customHeight="1">
      <c r="A6" s="27">
        <v>45603.0</v>
      </c>
      <c r="B6" s="26">
        <v>16.69</v>
      </c>
      <c r="C6" s="6">
        <v>14.4</v>
      </c>
      <c r="D6" s="6">
        <v>17.6</v>
      </c>
      <c r="E6" s="26">
        <v>18.95</v>
      </c>
      <c r="F6" s="6">
        <v>14.4</v>
      </c>
      <c r="G6" s="6">
        <v>17.6</v>
      </c>
      <c r="H6" s="26">
        <v>3.95</v>
      </c>
      <c r="I6" s="6">
        <v>2.4</v>
      </c>
      <c r="J6" s="6">
        <v>3.6</v>
      </c>
      <c r="K6" s="26">
        <v>28.46</v>
      </c>
      <c r="L6" s="32">
        <v>16.5</v>
      </c>
      <c r="M6" s="28" t="str">
        <f t="shared" si="4"/>
        <v>CUMPLE</v>
      </c>
      <c r="N6" s="28" t="str">
        <f t="shared" si="1"/>
        <v>CUMPLE</v>
      </c>
      <c r="O6" s="28" t="str">
        <f t="shared" si="2"/>
        <v>CUMPLE</v>
      </c>
      <c r="P6" s="28" t="str">
        <f t="shared" si="3"/>
        <v>CUMPLE</v>
      </c>
    </row>
    <row r="7" ht="22.5" customHeight="1">
      <c r="A7" s="27">
        <v>45609.0</v>
      </c>
      <c r="B7" s="26">
        <v>18.02</v>
      </c>
      <c r="C7" s="6">
        <v>14.4</v>
      </c>
      <c r="D7" s="6">
        <v>17.6</v>
      </c>
      <c r="E7" s="26">
        <v>18.87</v>
      </c>
      <c r="F7" s="6">
        <v>14.4</v>
      </c>
      <c r="G7" s="6">
        <v>17.6</v>
      </c>
      <c r="H7" s="26">
        <v>3.28</v>
      </c>
      <c r="I7" s="6">
        <v>2.4</v>
      </c>
      <c r="J7" s="6">
        <v>3.6</v>
      </c>
      <c r="K7" s="26">
        <v>22.69</v>
      </c>
      <c r="L7" s="32">
        <v>16.5</v>
      </c>
      <c r="M7" s="28" t="str">
        <f t="shared" si="4"/>
        <v>CUMPLE</v>
      </c>
      <c r="N7" s="28" t="str">
        <f t="shared" si="1"/>
        <v>CUMPLE</v>
      </c>
      <c r="O7" s="28" t="str">
        <f t="shared" si="2"/>
        <v>CUMPLE</v>
      </c>
      <c r="P7" s="28" t="str">
        <f t="shared" si="3"/>
        <v>CUMPLE</v>
      </c>
    </row>
    <row r="8" ht="22.5" customHeight="1">
      <c r="A8" s="27">
        <v>45616.0</v>
      </c>
      <c r="B8" s="26">
        <v>17.74</v>
      </c>
      <c r="C8" s="6">
        <v>14.4</v>
      </c>
      <c r="D8" s="6">
        <v>17.6</v>
      </c>
      <c r="E8" s="26">
        <v>18.86</v>
      </c>
      <c r="F8" s="6">
        <v>14.4</v>
      </c>
      <c r="G8" s="6">
        <v>17.6</v>
      </c>
      <c r="H8" s="26">
        <v>3.3</v>
      </c>
      <c r="I8" s="6">
        <v>2.4</v>
      </c>
      <c r="J8" s="6">
        <v>3.6</v>
      </c>
      <c r="K8" s="26">
        <v>20.93</v>
      </c>
      <c r="L8" s="32">
        <v>16.5</v>
      </c>
      <c r="M8" s="28" t="str">
        <f t="shared" si="4"/>
        <v>CUMPLE</v>
      </c>
      <c r="N8" s="28" t="str">
        <f t="shared" si="1"/>
        <v>CUMPLE</v>
      </c>
      <c r="O8" s="28" t="str">
        <f t="shared" si="2"/>
        <v>CUMPLE</v>
      </c>
      <c r="P8" s="28" t="str">
        <f t="shared" si="3"/>
        <v>CUMPLE</v>
      </c>
    </row>
    <row r="9" ht="22.5" customHeight="1">
      <c r="A9" s="27">
        <v>45625.0</v>
      </c>
      <c r="B9" s="26">
        <v>18.09</v>
      </c>
      <c r="C9" s="6">
        <v>14.4</v>
      </c>
      <c r="D9" s="6">
        <v>17.6</v>
      </c>
      <c r="E9" s="26">
        <v>18.13</v>
      </c>
      <c r="F9" s="6">
        <v>14.4</v>
      </c>
      <c r="G9" s="6">
        <v>17.6</v>
      </c>
      <c r="H9" s="26">
        <v>3.28</v>
      </c>
      <c r="I9" s="6">
        <v>2.4</v>
      </c>
      <c r="J9" s="6">
        <v>3.6</v>
      </c>
      <c r="K9" s="26">
        <v>23.78</v>
      </c>
      <c r="L9" s="32">
        <v>16.5</v>
      </c>
      <c r="M9" s="28" t="str">
        <f t="shared" si="4"/>
        <v>CUMPLE</v>
      </c>
      <c r="N9" s="28" t="str">
        <f t="shared" si="1"/>
        <v>CUMPLE</v>
      </c>
      <c r="O9" s="28" t="str">
        <f t="shared" si="2"/>
        <v>CUMPLE</v>
      </c>
      <c r="P9" s="28" t="str">
        <f t="shared" si="3"/>
        <v>CUMPLE</v>
      </c>
    </row>
    <row r="10" ht="22.5" customHeight="1">
      <c r="A10" s="27">
        <v>45629.0</v>
      </c>
      <c r="B10" s="26">
        <v>13.64</v>
      </c>
      <c r="C10" s="6">
        <v>14.4</v>
      </c>
      <c r="D10" s="6">
        <v>17.6</v>
      </c>
      <c r="E10" s="26">
        <v>19.39</v>
      </c>
      <c r="F10" s="6">
        <v>14.4</v>
      </c>
      <c r="G10" s="6">
        <v>17.6</v>
      </c>
      <c r="H10" s="26">
        <v>3.22</v>
      </c>
      <c r="I10" s="6">
        <v>2.4</v>
      </c>
      <c r="J10" s="6">
        <v>3.6</v>
      </c>
      <c r="K10" s="26">
        <v>24.18</v>
      </c>
      <c r="L10" s="32">
        <v>16.5</v>
      </c>
      <c r="M10" s="28" t="str">
        <f t="shared" si="4"/>
        <v>NO CUMPLE</v>
      </c>
      <c r="N10" s="28" t="str">
        <f t="shared" si="1"/>
        <v>CUMPLE</v>
      </c>
      <c r="O10" s="28" t="str">
        <f t="shared" si="2"/>
        <v>CUMPLE</v>
      </c>
      <c r="P10" s="28" t="str">
        <f t="shared" si="3"/>
        <v>CUMPLE</v>
      </c>
    </row>
    <row r="11" ht="22.5" customHeight="1">
      <c r="A11" s="27">
        <v>45753.0</v>
      </c>
      <c r="B11" s="26">
        <v>14.76</v>
      </c>
      <c r="C11" s="6">
        <v>14.4</v>
      </c>
      <c r="D11" s="6">
        <v>17.6</v>
      </c>
      <c r="E11" s="26">
        <v>18.03</v>
      </c>
      <c r="F11" s="6">
        <v>14.4</v>
      </c>
      <c r="G11" s="6">
        <v>17.6</v>
      </c>
      <c r="H11" s="26">
        <v>3.22</v>
      </c>
      <c r="I11" s="6">
        <v>2.4</v>
      </c>
      <c r="J11" s="6">
        <v>3.6</v>
      </c>
      <c r="K11" s="26">
        <v>20.96</v>
      </c>
      <c r="L11" s="32">
        <v>16.5</v>
      </c>
      <c r="M11" s="28" t="str">
        <f t="shared" si="4"/>
        <v>CUMPLE</v>
      </c>
      <c r="N11" s="28" t="str">
        <f t="shared" si="1"/>
        <v>CUMPLE</v>
      </c>
      <c r="O11" s="28" t="str">
        <f t="shared" si="2"/>
        <v>CUMPLE</v>
      </c>
      <c r="P11" s="28" t="str">
        <f t="shared" si="3"/>
        <v>CUMPLE</v>
      </c>
    </row>
    <row r="12" ht="22.5" customHeight="1">
      <c r="A12" s="27">
        <v>45774.0</v>
      </c>
      <c r="B12" s="26">
        <v>15.93</v>
      </c>
      <c r="C12" s="6">
        <v>14.4</v>
      </c>
      <c r="D12" s="6">
        <v>17.6</v>
      </c>
      <c r="E12" s="26">
        <v>20.72</v>
      </c>
      <c r="F12" s="6">
        <v>14.4</v>
      </c>
      <c r="G12" s="6">
        <v>17.6</v>
      </c>
      <c r="H12" s="26">
        <v>2.93</v>
      </c>
      <c r="I12" s="6">
        <v>2.4</v>
      </c>
      <c r="J12" s="6">
        <v>3.6</v>
      </c>
      <c r="K12" s="26">
        <v>19.9</v>
      </c>
      <c r="L12" s="32">
        <v>16.5</v>
      </c>
      <c r="M12" s="28" t="str">
        <f t="shared" si="4"/>
        <v>CUMPLE</v>
      </c>
      <c r="N12" s="28" t="str">
        <f t="shared" si="1"/>
        <v>CUMPLE</v>
      </c>
      <c r="O12" s="28" t="str">
        <f t="shared" si="2"/>
        <v>CUMPLE</v>
      </c>
      <c r="P12" s="28" t="str">
        <f t="shared" si="3"/>
        <v>CUMPLE</v>
      </c>
    </row>
    <row r="13" ht="22.5" customHeight="1">
      <c r="A13" s="27">
        <v>45820.0</v>
      </c>
      <c r="B13" s="26">
        <v>16.77</v>
      </c>
      <c r="C13" s="6">
        <v>14.4</v>
      </c>
      <c r="D13" s="6">
        <v>17.6</v>
      </c>
      <c r="E13" s="26">
        <v>18.48</v>
      </c>
      <c r="F13" s="6">
        <v>14.4</v>
      </c>
      <c r="G13" s="6">
        <v>17.6</v>
      </c>
      <c r="H13" s="26">
        <v>3.29</v>
      </c>
      <c r="I13" s="6">
        <v>2.4</v>
      </c>
      <c r="J13" s="6">
        <v>3.6</v>
      </c>
      <c r="K13" s="26">
        <v>15.6</v>
      </c>
      <c r="L13" s="32">
        <v>16.5</v>
      </c>
      <c r="M13" s="28" t="str">
        <f t="shared" si="4"/>
        <v>CUMPLE</v>
      </c>
      <c r="N13" s="28" t="str">
        <f t="shared" si="1"/>
        <v>CUMPLE</v>
      </c>
      <c r="O13" s="28" t="str">
        <f t="shared" si="2"/>
        <v>CUMPLE</v>
      </c>
      <c r="P13" s="28" t="str">
        <f t="shared" si="3"/>
        <v>Diferencia menor a 1.5%</v>
      </c>
    </row>
    <row r="14" ht="22.5" customHeight="1">
      <c r="A14" s="27">
        <v>45874.0</v>
      </c>
      <c r="B14" s="26">
        <v>18.03</v>
      </c>
      <c r="C14" s="6">
        <v>14.4</v>
      </c>
      <c r="D14" s="6">
        <v>17.6</v>
      </c>
      <c r="E14" s="26">
        <v>18.39</v>
      </c>
      <c r="F14" s="6">
        <v>14.4</v>
      </c>
      <c r="G14" s="6">
        <v>17.6</v>
      </c>
      <c r="H14" s="26">
        <v>3.51</v>
      </c>
      <c r="I14" s="6">
        <v>2.4</v>
      </c>
      <c r="J14" s="6">
        <v>3.6</v>
      </c>
      <c r="K14" s="26">
        <v>20.18</v>
      </c>
      <c r="L14" s="32">
        <v>16.5</v>
      </c>
      <c r="M14" s="28" t="str">
        <f t="shared" si="4"/>
        <v>CUMPLE</v>
      </c>
      <c r="N14" s="28" t="str">
        <f t="shared" si="1"/>
        <v>CUMPLE</v>
      </c>
      <c r="O14" s="28" t="str">
        <f t="shared" si="2"/>
        <v>CUMPLE</v>
      </c>
      <c r="P14" s="28" t="str">
        <f t="shared" si="3"/>
        <v>CUMPLE</v>
      </c>
    </row>
    <row r="15" ht="22.5" customHeight="1">
      <c r="A15" s="27">
        <v>45877.0</v>
      </c>
      <c r="B15" s="26">
        <v>17.04</v>
      </c>
      <c r="C15" s="6">
        <v>14.4</v>
      </c>
      <c r="D15" s="6">
        <v>17.6</v>
      </c>
      <c r="E15" s="26">
        <v>19.46</v>
      </c>
      <c r="F15" s="6">
        <v>14.4</v>
      </c>
      <c r="G15" s="6">
        <v>17.6</v>
      </c>
      <c r="H15" s="26">
        <v>2.79</v>
      </c>
      <c r="I15" s="6">
        <v>2.4</v>
      </c>
      <c r="J15" s="6">
        <v>3.6</v>
      </c>
      <c r="K15" s="26">
        <v>16.3</v>
      </c>
      <c r="L15" s="32">
        <v>16.5</v>
      </c>
      <c r="M15" s="28" t="str">
        <f t="shared" si="4"/>
        <v>CUMPLE</v>
      </c>
      <c r="N15" s="28" t="str">
        <f t="shared" si="1"/>
        <v>CUMPLE</v>
      </c>
      <c r="O15" s="28" t="str">
        <f t="shared" si="2"/>
        <v>CUMPLE</v>
      </c>
      <c r="P15" s="28" t="str">
        <f t="shared" si="3"/>
        <v>Diferencia menor a 1.5%</v>
      </c>
    </row>
    <row r="16" ht="22.5" customHeight="1">
      <c r="A16" s="27">
        <v>45925.0</v>
      </c>
      <c r="B16" s="26">
        <v>15.72</v>
      </c>
      <c r="C16" s="6">
        <v>14.4</v>
      </c>
      <c r="D16" s="6">
        <v>17.6</v>
      </c>
      <c r="E16" s="26">
        <v>15.59</v>
      </c>
      <c r="F16" s="6">
        <v>14.4</v>
      </c>
      <c r="G16" s="6">
        <v>17.6</v>
      </c>
      <c r="H16" s="26">
        <v>3.42</v>
      </c>
      <c r="I16" s="6">
        <v>2.4</v>
      </c>
      <c r="J16" s="6">
        <v>3.6</v>
      </c>
      <c r="K16" s="26">
        <v>23.14</v>
      </c>
      <c r="L16" s="32">
        <v>16.5</v>
      </c>
      <c r="M16" s="28" t="str">
        <f t="shared" si="4"/>
        <v>CUMPLE</v>
      </c>
      <c r="N16" s="28" t="str">
        <f t="shared" si="1"/>
        <v>CUMPLE</v>
      </c>
      <c r="O16" s="28" t="str">
        <f t="shared" si="2"/>
        <v>CUMPLE</v>
      </c>
      <c r="P16" s="28" t="str">
        <f t="shared" si="3"/>
        <v>CUMPLE</v>
      </c>
    </row>
    <row r="17" ht="22.5" customHeight="1">
      <c r="A17" s="27">
        <v>45936.0</v>
      </c>
      <c r="B17" s="26">
        <v>16.86</v>
      </c>
      <c r="C17" s="6">
        <v>14.4</v>
      </c>
      <c r="D17" s="6">
        <v>17.6</v>
      </c>
      <c r="E17" s="26">
        <v>17.08</v>
      </c>
      <c r="F17" s="6">
        <v>14.4</v>
      </c>
      <c r="G17" s="6">
        <v>17.6</v>
      </c>
      <c r="H17" s="26">
        <v>3.32</v>
      </c>
      <c r="I17" s="6">
        <v>2.4</v>
      </c>
      <c r="J17" s="6">
        <v>3.6</v>
      </c>
      <c r="K17" s="26">
        <v>22.97</v>
      </c>
      <c r="L17" s="32">
        <v>16.5</v>
      </c>
      <c r="M17" s="28" t="str">
        <f t="shared" si="4"/>
        <v>CUMPLE</v>
      </c>
      <c r="N17" s="28" t="str">
        <f t="shared" si="1"/>
        <v>CUMPLE</v>
      </c>
      <c r="O17" s="28" t="str">
        <f t="shared" si="2"/>
        <v>CUMPLE</v>
      </c>
      <c r="P17" s="28" t="str">
        <f t="shared" si="3"/>
        <v>CUMPLE</v>
      </c>
    </row>
    <row r="18" ht="22.5" customHeight="1">
      <c r="A18" s="33"/>
      <c r="L18" s="34"/>
      <c r="M18" s="33"/>
      <c r="N18" s="33"/>
      <c r="O18" s="33"/>
      <c r="P18" s="33"/>
    </row>
    <row r="19">
      <c r="B19" s="35">
        <f>average(Table4[CaO])</f>
        <v>17.085625</v>
      </c>
      <c r="C19" s="36"/>
      <c r="D19" s="36"/>
      <c r="E19" s="35">
        <f>average(Table4[MgO])</f>
        <v>18.829375</v>
      </c>
      <c r="F19" s="36"/>
      <c r="G19" s="36"/>
      <c r="H19" s="35">
        <f>average(Table4[S])</f>
        <v>3.339375</v>
      </c>
      <c r="I19" s="36"/>
      <c r="J19" s="36"/>
      <c r="K19" s="35">
        <f>average(Table4[SiO2])</f>
        <v>21.186875</v>
      </c>
    </row>
    <row r="20">
      <c r="B20" s="37">
        <f>STDEV(Table4[CaO])</f>
        <v>1.487274773</v>
      </c>
      <c r="C20" s="37">
        <f>B20*2</f>
        <v>2.974549546</v>
      </c>
      <c r="E20" s="35">
        <f>stdev(Table4[MgO])</f>
        <v>2.048783277</v>
      </c>
      <c r="F20" s="37">
        <f>E20*2</f>
        <v>4.097566554</v>
      </c>
      <c r="G20" s="36"/>
      <c r="H20" s="35">
        <f>STDEV(Table4[S])</f>
        <v>0.3056679844</v>
      </c>
      <c r="I20" s="37">
        <f>H20*2</f>
        <v>0.6113359687</v>
      </c>
      <c r="J20" s="36"/>
      <c r="K20" s="35">
        <f>STDEV(Table4[SiO2])</f>
        <v>3.250224031</v>
      </c>
      <c r="L20" s="37">
        <f>K20*2</f>
        <v>6.500448061</v>
      </c>
    </row>
    <row r="21">
      <c r="B21" s="37">
        <f>B19-2*B20</f>
        <v>14.11107545</v>
      </c>
      <c r="E21" s="37">
        <f>E19-2*E20</f>
        <v>14.73180845</v>
      </c>
      <c r="F21" s="36"/>
      <c r="G21" s="36"/>
      <c r="H21" s="37">
        <f>H19-2*H20</f>
        <v>2.728039031</v>
      </c>
      <c r="I21" s="36"/>
      <c r="J21" s="36"/>
      <c r="K21" s="37">
        <f>K19-2*K20</f>
        <v>14.68642694</v>
      </c>
      <c r="L21" s="35"/>
    </row>
    <row r="22">
      <c r="B22" s="37">
        <f>100*B20/B19</f>
        <v>8.704830949</v>
      </c>
      <c r="E22" s="37">
        <f>100*E20/E19</f>
        <v>10.88078217</v>
      </c>
      <c r="F22" s="36"/>
      <c r="G22" s="36"/>
      <c r="H22" s="37">
        <f>100*H20/H19</f>
        <v>9.153448905</v>
      </c>
      <c r="I22" s="36"/>
      <c r="J22" s="36"/>
      <c r="K22" s="35"/>
      <c r="L22" s="35"/>
    </row>
    <row r="71">
      <c r="J71" s="37">
        <f>100*15/16</f>
        <v>93.75</v>
      </c>
    </row>
    <row r="72">
      <c r="J72" s="37">
        <f>100*14/16</f>
        <v>87.5</v>
      </c>
    </row>
  </sheetData>
  <drawing r:id="rId1"/>
  <tableParts count="2">
    <tablePart r:id="rId4"/>
    <tablePart r:id="rId5"/>
  </tableParts>
</worksheet>
</file>