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Z:\201_calferquim\203_areas\203.1_registros_ica\crecimiento\"/>
    </mc:Choice>
  </mc:AlternateContent>
  <xr:revisionPtr revIDLastSave="0" documentId="13_ncr:1_{638F0947-36E4-416F-95E5-D2589F0046C7}" xr6:coauthVersionLast="47" xr6:coauthVersionMax="47" xr10:uidLastSave="{00000000-0000-0000-0000-000000000000}"/>
  <bookViews>
    <workbookView xWindow="11670" yWindow="690" windowWidth="14490" windowHeight="11295" xr2:uid="{00000000-000D-0000-FFFF-FFFF00000000}"/>
  </bookViews>
  <sheets>
    <sheet name="1-CRECIMIENTO 30-10-10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" i="3" l="1"/>
  <c r="J36" i="3" s="1"/>
  <c r="I34" i="3"/>
  <c r="I36" i="3" s="1"/>
  <c r="J33" i="3"/>
  <c r="I33" i="3"/>
  <c r="E34" i="3"/>
  <c r="E36" i="3" s="1"/>
  <c r="E33" i="3"/>
  <c r="A28" i="3"/>
  <c r="D22" i="3" l="1"/>
  <c r="C22" i="3"/>
  <c r="J42" i="3"/>
  <c r="J44" i="3" s="1"/>
  <c r="I42" i="3"/>
  <c r="I44" i="3" s="1"/>
  <c r="H42" i="3"/>
  <c r="H44" i="3" s="1"/>
  <c r="G42" i="3"/>
  <c r="G44" i="3" s="1"/>
  <c r="F42" i="3"/>
  <c r="F44" i="3" s="1"/>
  <c r="E42" i="3"/>
  <c r="E44" i="3" s="1"/>
  <c r="M23" i="3" l="1"/>
  <c r="M28" i="3" s="1"/>
  <c r="S23" i="3"/>
  <c r="S28" i="3" s="1"/>
  <c r="L23" i="3"/>
  <c r="L28" i="3" s="1"/>
  <c r="L33" i="3" s="1"/>
  <c r="L35" i="3" s="1"/>
  <c r="L36" i="3" s="1"/>
  <c r="I23" i="3"/>
  <c r="I41" i="3" s="1"/>
  <c r="F23" i="3"/>
  <c r="F28" i="3" s="1"/>
  <c r="F41" i="3" s="1"/>
  <c r="E23" i="3"/>
  <c r="E41" i="3" s="1"/>
  <c r="H23" i="3"/>
  <c r="H41" i="3" s="1"/>
  <c r="R23" i="3"/>
  <c r="R28" i="3" s="1"/>
  <c r="Q23" i="3"/>
  <c r="Q28" i="3" s="1"/>
  <c r="P23" i="3"/>
  <c r="P28" i="3" s="1"/>
  <c r="O23" i="3"/>
  <c r="O28" i="3" s="1"/>
  <c r="N23" i="3"/>
  <c r="N28" i="3" s="1"/>
  <c r="K23" i="3"/>
  <c r="K28" i="3" s="1"/>
  <c r="K33" i="3" s="1"/>
  <c r="K35" i="3" s="1"/>
  <c r="K36" i="3" s="1"/>
  <c r="J23" i="3"/>
  <c r="J41" i="3" s="1"/>
  <c r="G23" i="3"/>
  <c r="G28" i="3" s="1"/>
  <c r="G41" i="3" s="1"/>
  <c r="P33" i="3" l="1"/>
  <c r="P35" i="3" s="1"/>
  <c r="P36" i="3" s="1"/>
  <c r="P29" i="3" s="1"/>
  <c r="P44" i="3"/>
  <c r="Q33" i="3"/>
  <c r="Q35" i="3" s="1"/>
  <c r="Q36" i="3" s="1"/>
  <c r="Q29" i="3" s="1"/>
  <c r="Q44" i="3"/>
  <c r="N33" i="3"/>
  <c r="N35" i="3" s="1"/>
  <c r="N36" i="3" s="1"/>
  <c r="N29" i="3" s="1"/>
  <c r="N44" i="3"/>
  <c r="R33" i="3"/>
  <c r="R35" i="3" s="1"/>
  <c r="R36" i="3" s="1"/>
  <c r="R27" i="3" s="1"/>
  <c r="R44" i="3"/>
  <c r="O33" i="3"/>
  <c r="O35" i="3" s="1"/>
  <c r="O36" i="3" s="1"/>
  <c r="O29" i="3" s="1"/>
  <c r="O44" i="3"/>
  <c r="S33" i="3"/>
  <c r="S35" i="3" s="1"/>
  <c r="S36" i="3" s="1"/>
  <c r="S27" i="3" s="1"/>
  <c r="S44" i="3"/>
  <c r="M33" i="3"/>
  <c r="M35" i="3" s="1"/>
  <c r="M36" i="3" s="1"/>
  <c r="M29" i="3" s="1"/>
  <c r="M44" i="3"/>
  <c r="K29" i="3"/>
  <c r="K27" i="3"/>
  <c r="R29" i="3"/>
  <c r="G34" i="3"/>
  <c r="H34" i="3"/>
  <c r="N27" i="3"/>
  <c r="F34" i="3"/>
  <c r="L29" i="3"/>
  <c r="L27" i="3"/>
  <c r="M27" i="3"/>
  <c r="P27" i="3" l="1"/>
  <c r="O27" i="3"/>
  <c r="Q27" i="3"/>
  <c r="S29" i="3"/>
  <c r="F29" i="3"/>
  <c r="F27" i="3"/>
  <c r="G27" i="3"/>
  <c r="G29" i="3"/>
  <c r="E29" i="3" l="1"/>
  <c r="E27" i="3"/>
  <c r="I29" i="3"/>
  <c r="I27" i="3"/>
  <c r="H27" i="3"/>
  <c r="H29" i="3" l="1"/>
  <c r="J27" i="3"/>
  <c r="J29" i="3"/>
</calcChain>
</file>

<file path=xl/sharedStrings.xml><?xml version="1.0" encoding="utf-8"?>
<sst xmlns="http://schemas.openxmlformats.org/spreadsheetml/2006/main" count="70" uniqueCount="69">
  <si>
    <t>MATERIA PRIMA</t>
  </si>
  <si>
    <t>Composición</t>
  </si>
  <si>
    <t>Kg/Ton</t>
  </si>
  <si>
    <t>SUMATORIA</t>
  </si>
  <si>
    <t>%/100 Kg</t>
  </si>
  <si>
    <t>Nitrógeno Total (N)</t>
  </si>
  <si>
    <t>Nitrógeno Amoniacal (N)</t>
  </si>
  <si>
    <t>Nitrógeno Nítrico (N)</t>
  </si>
  <si>
    <t>Nitrógeno Ureico (N)</t>
  </si>
  <si>
    <t>Boro (B)</t>
  </si>
  <si>
    <t>Hierro (Fe)</t>
  </si>
  <si>
    <t>Manganeso (Mn)</t>
  </si>
  <si>
    <t>Molibdeno (Mo)</t>
  </si>
  <si>
    <t>ADITIVOS E INERTES</t>
  </si>
  <si>
    <t>SULFATO DE MANGANESO</t>
  </si>
  <si>
    <t>E.D.T.A</t>
  </si>
  <si>
    <r>
      <t>Fósforo Asimilable (P</t>
    </r>
    <r>
      <rPr>
        <b/>
        <vertAlign val="subscript"/>
        <sz val="9"/>
        <color theme="1"/>
        <rFont val="Segoe UI"/>
        <family val="2"/>
      </rPr>
      <t>2</t>
    </r>
    <r>
      <rPr>
        <b/>
        <sz val="9"/>
        <color theme="1"/>
        <rFont val="Segoe UI"/>
        <family val="2"/>
      </rPr>
      <t>O</t>
    </r>
    <r>
      <rPr>
        <b/>
        <vertAlign val="subscript"/>
        <sz val="9"/>
        <color theme="1"/>
        <rFont val="Segoe UI"/>
        <family val="2"/>
      </rPr>
      <t>5</t>
    </r>
    <r>
      <rPr>
        <b/>
        <sz val="9"/>
        <color theme="1"/>
        <rFont val="Segoe UI"/>
        <family val="2"/>
      </rPr>
      <t>)</t>
    </r>
  </si>
  <si>
    <r>
      <t>Potasio Soluble (K</t>
    </r>
    <r>
      <rPr>
        <b/>
        <vertAlign val="subscript"/>
        <sz val="9"/>
        <color theme="1"/>
        <rFont val="Segoe UI"/>
        <family val="2"/>
      </rPr>
      <t>2</t>
    </r>
    <r>
      <rPr>
        <b/>
        <sz val="9"/>
        <color theme="1"/>
        <rFont val="Segoe UI"/>
        <family val="2"/>
      </rPr>
      <t>O)</t>
    </r>
  </si>
  <si>
    <t>Cobre (Cu)</t>
  </si>
  <si>
    <t>Zinc (Zn)</t>
  </si>
  <si>
    <t>SULFATO DE COBRE</t>
  </si>
  <si>
    <t xml:space="preserve">SULFATO DE ZINC </t>
  </si>
  <si>
    <t>35% Zn + 16% S</t>
  </si>
  <si>
    <t>25% Cu + 13% S</t>
  </si>
  <si>
    <t>31% Mn + 18% S</t>
  </si>
  <si>
    <t>ACIDO BORICO</t>
  </si>
  <si>
    <r>
      <t>NITRATO DE POTASIO (KNO</t>
    </r>
    <r>
      <rPr>
        <b/>
        <vertAlign val="subscript"/>
        <sz val="8"/>
        <color theme="1"/>
        <rFont val="Segoe UI"/>
        <family val="2"/>
      </rPr>
      <t>3</t>
    </r>
    <r>
      <rPr>
        <b/>
        <sz val="8"/>
        <color theme="1"/>
        <rFont val="Segoe UI"/>
        <family val="2"/>
      </rPr>
      <t xml:space="preserve">) </t>
    </r>
  </si>
  <si>
    <t>UREA</t>
  </si>
  <si>
    <t>46% N</t>
  </si>
  <si>
    <r>
      <t>12% N + 61%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 xml:space="preserve">5 </t>
    </r>
  </si>
  <si>
    <t>SULFATO DE AMONIO (SAM)</t>
  </si>
  <si>
    <t>21% N + 24% S</t>
  </si>
  <si>
    <t>FOSFATO DE AMONIO (MAP)</t>
  </si>
  <si>
    <t>TOTAL CALFERQUIM S.A.S</t>
  </si>
  <si>
    <t>Cobalto (Co)</t>
  </si>
  <si>
    <t>SULFATO DE COBALTO</t>
  </si>
  <si>
    <t xml:space="preserve"> </t>
  </si>
  <si>
    <t>17,5% B</t>
  </si>
  <si>
    <t>MOLIBDATO DE SODIO</t>
  </si>
  <si>
    <t>39% Mo</t>
  </si>
  <si>
    <t>SULFATO DE HIERRO</t>
  </si>
  <si>
    <t>20% Fe +12 % S</t>
  </si>
  <si>
    <t xml:space="preserve">DIÓXIDO SILICIO </t>
  </si>
  <si>
    <t>Magnesio (MgO)</t>
  </si>
  <si>
    <t>Azufre (S)</t>
  </si>
  <si>
    <t>Tolerancia Mínima NTC 1061:2020</t>
  </si>
  <si>
    <t>Tolerancia Máxima NTC 1061:2020</t>
  </si>
  <si>
    <t>CALFERQUIM S.A.S</t>
  </si>
  <si>
    <t>BALANCE DE MATERIAS PRIMAS</t>
  </si>
  <si>
    <t>ELEMENTOS SOLUBLES EN AGUA</t>
  </si>
  <si>
    <t>20% Co + 11% S</t>
  </si>
  <si>
    <t xml:space="preserve">1-CRECIMIENTO 30 - 10 - 10 </t>
  </si>
  <si>
    <t>RESULTADOS ANÁLISIS No. CC-34015</t>
  </si>
  <si>
    <t xml:space="preserve">SULFATO MAGNESIO  </t>
  </si>
  <si>
    <t>15% MgO + 12% S</t>
  </si>
  <si>
    <r>
      <t>0,7% N-NH</t>
    </r>
    <r>
      <rPr>
        <b/>
        <vertAlign val="subscript"/>
        <sz val="8"/>
        <color theme="1"/>
        <rFont val="Segoe UI"/>
        <family val="2"/>
      </rPr>
      <t>4</t>
    </r>
    <r>
      <rPr>
        <b/>
        <sz val="8"/>
        <color theme="1"/>
        <rFont val="Segoe UI"/>
        <family val="2"/>
      </rPr>
      <t>+12.9% N-NO</t>
    </r>
    <r>
      <rPr>
        <b/>
        <vertAlign val="subscript"/>
        <sz val="8"/>
        <color theme="1"/>
        <rFont val="Segoe UI"/>
        <family val="2"/>
      </rPr>
      <t>3</t>
    </r>
    <r>
      <rPr>
        <b/>
        <sz val="8"/>
        <color theme="1"/>
        <rFont val="Segoe UI"/>
        <family val="2"/>
      </rPr>
      <t>+3%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>5</t>
    </r>
    <r>
      <rPr>
        <b/>
        <sz val="8"/>
        <color theme="1"/>
        <rFont val="Segoe UI"/>
        <family val="2"/>
      </rPr>
      <t>+43%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</si>
  <si>
    <t>Tolerancia calculada</t>
  </si>
  <si>
    <t>Tolerancia permitida</t>
  </si>
  <si>
    <t xml:space="preserve">1) NTC 1061:2020 4.1 </t>
  </si>
  <si>
    <t xml:space="preserve">2) NTC 1061:2020 4.2.1 - 4.2.2 </t>
  </si>
  <si>
    <t>Cumple con contenidos mínimos de nuetrientes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</si>
  <si>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</si>
  <si>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2) 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</si>
  <si>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3-a) Micronutrientes:</t>
    </r>
    <r>
      <rPr>
        <sz val="11"/>
        <color rgb="FF000000"/>
        <rFont val="Segoe UI"/>
        <family val="2"/>
      </rPr>
      <t xml:space="preserve"> Unicamente micronutrientes</t>
    </r>
  </si>
  <si>
    <r>
      <t>3-b) Micronutrientes:</t>
    </r>
    <r>
      <rPr>
        <sz val="11"/>
        <color rgb="FF000000"/>
        <rFont val="Segoe UI"/>
        <family val="2"/>
      </rPr>
      <t xml:space="preserve"> Mezcla con NPK o secundarios</t>
    </r>
  </si>
  <si>
    <t>Resolución ICA 150 de 2003 - Anexo 11</t>
  </si>
  <si>
    <t>NA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</si>
  <si>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</t>
    </r>
  </si>
  <si>
    <r>
      <rPr>
        <b/>
        <u/>
        <sz val="11"/>
        <color rgb="FF000000"/>
        <rFont val="Segoe UI"/>
        <family val="2"/>
      </rPr>
      <t>2) 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</si>
</sst>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%"/>
    <numFmt numFmtId="166" formatCode="0.0"/>
    <numFmt numFmtId="167" formatCode="0.0%"/>
  </numFmts>
  <fonts count="2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b/>
      <sz val="8"/>
      <color theme="1"/>
      <name val="Segoe UI"/>
      <family val="2"/>
    </font>
    <font>
      <b/>
      <vertAlign val="subscript"/>
      <sz val="8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Arial"/>
      <family val="2"/>
    </font>
    <font>
      <b/>
      <vertAlign val="subscript"/>
      <sz val="9"/>
      <color theme="1"/>
      <name val="Segoe UI"/>
      <family val="2"/>
    </font>
    <font>
      <sz val="11"/>
      <color theme="1"/>
      <name val="Calibri"/>
      <family val="2"/>
      <scheme val="minor"/>
    </font>
    <font>
      <sz val="8"/>
      <color rgb="FFFF0000"/>
      <name val="Segoe UI"/>
      <family val="2"/>
    </font>
    <font>
      <b/>
      <sz val="14"/>
      <color theme="1"/>
      <name val="Segoe UI"/>
      <family val="2"/>
    </font>
    <font>
      <b/>
      <sz val="12"/>
      <color theme="1"/>
      <name val="Segoe UI"/>
      <family val="2"/>
    </font>
    <font>
      <b/>
      <sz val="18"/>
      <color theme="1"/>
      <name val="Arial"/>
      <family val="2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181">
    <xf numFmtId="0" fontId="0" fillId="0" borderId="0" xfId="0"/>
    <xf numFmtId="0" fontId="1" fillId="0" borderId="0" xfId="0" applyFont="1"/>
    <xf numFmtId="10" fontId="6" fillId="0" borderId="6" xfId="0" applyNumberFormat="1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/>
    </xf>
    <xf numFmtId="10" fontId="6" fillId="0" borderId="5" xfId="0" applyNumberFormat="1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10" fontId="6" fillId="0" borderId="9" xfId="0" applyNumberFormat="1" applyFont="1" applyBorder="1" applyAlignment="1">
      <alignment horizontal="center" vertical="center"/>
    </xf>
    <xf numFmtId="10" fontId="8" fillId="0" borderId="8" xfId="0" applyNumberFormat="1" applyFont="1" applyBorder="1"/>
    <xf numFmtId="10" fontId="6" fillId="0" borderId="9" xfId="0" applyNumberFormat="1" applyFont="1" applyBorder="1" applyAlignment="1">
      <alignment horizontal="center"/>
    </xf>
    <xf numFmtId="10" fontId="8" fillId="0" borderId="9" xfId="0" applyNumberFormat="1" applyFont="1" applyBorder="1"/>
    <xf numFmtId="10" fontId="8" fillId="0" borderId="12" xfId="0" applyNumberFormat="1" applyFont="1" applyBorder="1" applyAlignment="1">
      <alignment horizontal="center" vertical="center"/>
    </xf>
    <xf numFmtId="10" fontId="8" fillId="0" borderId="12" xfId="0" applyNumberFormat="1" applyFont="1" applyBorder="1"/>
    <xf numFmtId="10" fontId="8" fillId="0" borderId="7" xfId="0" applyNumberFormat="1" applyFont="1" applyBorder="1"/>
    <xf numFmtId="10" fontId="8" fillId="0" borderId="10" xfId="0" applyNumberFormat="1" applyFont="1" applyBorder="1"/>
    <xf numFmtId="10" fontId="8" fillId="0" borderId="6" xfId="0" applyNumberFormat="1" applyFont="1" applyBorder="1"/>
    <xf numFmtId="10" fontId="6" fillId="0" borderId="5" xfId="0" applyNumberFormat="1" applyFont="1" applyBorder="1" applyAlignment="1">
      <alignment horizontal="center"/>
    </xf>
    <xf numFmtId="10" fontId="8" fillId="0" borderId="5" xfId="0" applyNumberFormat="1" applyFont="1" applyBorder="1"/>
    <xf numFmtId="10" fontId="6" fillId="0" borderId="7" xfId="0" applyNumberFormat="1" applyFont="1" applyBorder="1" applyAlignment="1">
      <alignment horizontal="center" vertical="center"/>
    </xf>
    <xf numFmtId="10" fontId="6" fillId="0" borderId="7" xfId="0" applyNumberFormat="1" applyFont="1" applyBorder="1" applyAlignment="1">
      <alignment horizontal="center" vertical="center" wrapText="1"/>
    </xf>
    <xf numFmtId="10" fontId="6" fillId="0" borderId="6" xfId="0" applyNumberFormat="1" applyFont="1" applyBorder="1" applyAlignment="1">
      <alignment horizontal="center"/>
    </xf>
    <xf numFmtId="10" fontId="6" fillId="0" borderId="8" xfId="0" applyNumberFormat="1" applyFont="1" applyBorder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165" fontId="6" fillId="0" borderId="9" xfId="0" applyNumberFormat="1" applyFont="1" applyBorder="1" applyAlignment="1">
      <alignment horizontal="center"/>
    </xf>
    <xf numFmtId="10" fontId="8" fillId="0" borderId="18" xfId="0" applyNumberFormat="1" applyFont="1" applyBorder="1"/>
    <xf numFmtId="9" fontId="6" fillId="0" borderId="19" xfId="1" applyFont="1" applyFill="1" applyBorder="1" applyAlignment="1">
      <alignment horizontal="center" vertical="center" wrapText="1"/>
    </xf>
    <xf numFmtId="9" fontId="6" fillId="0" borderId="8" xfId="1" applyFont="1" applyFill="1" applyBorder="1" applyAlignment="1">
      <alignment horizontal="center" vertical="center" wrapText="1"/>
    </xf>
    <xf numFmtId="9" fontId="6" fillId="0" borderId="9" xfId="1" applyFont="1" applyFill="1" applyBorder="1" applyAlignment="1">
      <alignment horizontal="center" vertical="center" wrapText="1"/>
    </xf>
    <xf numFmtId="9" fontId="6" fillId="0" borderId="5" xfId="1" applyFont="1" applyFill="1" applyBorder="1" applyAlignment="1">
      <alignment horizontal="center" vertical="center" wrapText="1"/>
    </xf>
    <xf numFmtId="0" fontId="8" fillId="0" borderId="13" xfId="0" applyFont="1" applyBorder="1"/>
    <xf numFmtId="0" fontId="6" fillId="0" borderId="11" xfId="0" applyFont="1" applyBorder="1" applyAlignment="1">
      <alignment horizontal="center" vertical="center"/>
    </xf>
    <xf numFmtId="9" fontId="6" fillId="0" borderId="21" xfId="1" applyFont="1" applyFill="1" applyBorder="1" applyAlignment="1">
      <alignment horizontal="center" vertical="center" wrapText="1"/>
    </xf>
    <xf numFmtId="9" fontId="6" fillId="0" borderId="16" xfId="1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10" fontId="6" fillId="3" borderId="5" xfId="1" applyNumberFormat="1" applyFont="1" applyFill="1" applyBorder="1" applyAlignment="1">
      <alignment horizontal="center" vertical="center" wrapText="1"/>
    </xf>
    <xf numFmtId="10" fontId="6" fillId="3" borderId="5" xfId="0" applyNumberFormat="1" applyFont="1" applyFill="1" applyBorder="1" applyAlignment="1">
      <alignment horizontal="center" vertical="center"/>
    </xf>
    <xf numFmtId="10" fontId="10" fillId="3" borderId="1" xfId="0" applyNumberFormat="1" applyFont="1" applyFill="1" applyBorder="1" applyAlignment="1">
      <alignment horizontal="center" vertical="center"/>
    </xf>
    <xf numFmtId="10" fontId="6" fillId="3" borderId="19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0" fontId="10" fillId="3" borderId="25" xfId="0" applyNumberFormat="1" applyFont="1" applyFill="1" applyBorder="1" applyAlignment="1">
      <alignment horizontal="center" vertical="center"/>
    </xf>
    <xf numFmtId="165" fontId="6" fillId="3" borderId="5" xfId="0" applyNumberFormat="1" applyFont="1" applyFill="1" applyBorder="1" applyAlignment="1">
      <alignment horizontal="center"/>
    </xf>
    <xf numFmtId="165" fontId="10" fillId="3" borderId="25" xfId="0" applyNumberFormat="1" applyFont="1" applyFill="1" applyBorder="1" applyAlignment="1">
      <alignment horizontal="center" vertical="center"/>
    </xf>
    <xf numFmtId="165" fontId="6" fillId="3" borderId="9" xfId="0" applyNumberFormat="1" applyFont="1" applyFill="1" applyBorder="1" applyAlignment="1">
      <alignment horizontal="center"/>
    </xf>
    <xf numFmtId="10" fontId="10" fillId="3" borderId="2" xfId="0" applyNumberFormat="1" applyFont="1" applyFill="1" applyBorder="1" applyAlignment="1">
      <alignment horizontal="center" vertical="center"/>
    </xf>
    <xf numFmtId="165" fontId="10" fillId="3" borderId="2" xfId="0" applyNumberFormat="1" applyFont="1" applyFill="1" applyBorder="1" applyAlignment="1">
      <alignment horizontal="center" vertical="center"/>
    </xf>
    <xf numFmtId="10" fontId="10" fillId="3" borderId="3" xfId="0" applyNumberFormat="1" applyFont="1" applyFill="1" applyBorder="1" applyAlignment="1">
      <alignment horizontal="center" vertical="center"/>
    </xf>
    <xf numFmtId="166" fontId="6" fillId="6" borderId="23" xfId="0" applyNumberFormat="1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0" fontId="12" fillId="2" borderId="1" xfId="0" applyNumberFormat="1" applyFont="1" applyFill="1" applyBorder="1" applyAlignment="1">
      <alignment horizontal="center" vertical="center"/>
    </xf>
    <xf numFmtId="10" fontId="9" fillId="2" borderId="1" xfId="0" applyNumberFormat="1" applyFont="1" applyFill="1" applyBorder="1" applyAlignment="1">
      <alignment horizontal="center" vertical="center"/>
    </xf>
    <xf numFmtId="10" fontId="11" fillId="2" borderId="1" xfId="0" applyNumberFormat="1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10" fontId="6" fillId="3" borderId="5" xfId="0" applyNumberFormat="1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 vertical="center" wrapText="1"/>
    </xf>
    <xf numFmtId="10" fontId="6" fillId="0" borderId="16" xfId="0" applyNumberFormat="1" applyFont="1" applyBorder="1" applyAlignment="1">
      <alignment horizontal="center" vertical="center" wrapText="1"/>
    </xf>
    <xf numFmtId="10" fontId="6" fillId="0" borderId="20" xfId="0" applyNumberFormat="1" applyFont="1" applyBorder="1" applyAlignment="1">
      <alignment horizontal="center" vertical="center" wrapText="1"/>
    </xf>
    <xf numFmtId="10" fontId="6" fillId="3" borderId="20" xfId="0" applyNumberFormat="1" applyFont="1" applyFill="1" applyBorder="1" applyAlignment="1">
      <alignment horizontal="center" vertical="center" wrapText="1"/>
    </xf>
    <xf numFmtId="10" fontId="6" fillId="0" borderId="22" xfId="0" applyNumberFormat="1" applyFont="1" applyBorder="1" applyAlignment="1">
      <alignment horizontal="center" vertical="center" wrapText="1"/>
    </xf>
    <xf numFmtId="10" fontId="8" fillId="0" borderId="17" xfId="0" applyNumberFormat="1" applyFont="1" applyBorder="1"/>
    <xf numFmtId="10" fontId="6" fillId="3" borderId="9" xfId="0" applyNumberFormat="1" applyFont="1" applyFill="1" applyBorder="1" applyAlignment="1">
      <alignment horizontal="center"/>
    </xf>
    <xf numFmtId="10" fontId="6" fillId="3" borderId="5" xfId="0" applyNumberFormat="1" applyFont="1" applyFill="1" applyBorder="1" applyAlignment="1">
      <alignment horizontal="center" vertical="center" wrapText="1"/>
    </xf>
    <xf numFmtId="10" fontId="9" fillId="0" borderId="11" xfId="0" applyNumberFormat="1" applyFont="1" applyBorder="1"/>
    <xf numFmtId="10" fontId="6" fillId="3" borderId="6" xfId="0" applyNumberFormat="1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166" fontId="6" fillId="6" borderId="19" xfId="0" applyNumberFormat="1" applyFont="1" applyFill="1" applyBorder="1" applyAlignment="1">
      <alignment horizontal="center" vertical="center"/>
    </xf>
    <xf numFmtId="166" fontId="6" fillId="6" borderId="5" xfId="0" applyNumberFormat="1" applyFont="1" applyFill="1" applyBorder="1" applyAlignment="1">
      <alignment horizontal="center" vertical="center"/>
    </xf>
    <xf numFmtId="166" fontId="6" fillId="6" borderId="12" xfId="0" applyNumberFormat="1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65" fontId="6" fillId="3" borderId="5" xfId="0" applyNumberFormat="1" applyFont="1" applyFill="1" applyBorder="1" applyAlignment="1">
      <alignment horizontal="center" vertical="center"/>
    </xf>
    <xf numFmtId="2" fontId="6" fillId="6" borderId="19" xfId="0" applyNumberFormat="1" applyFont="1" applyFill="1" applyBorder="1" applyAlignment="1">
      <alignment horizontal="center" vertical="center"/>
    </xf>
    <xf numFmtId="2" fontId="6" fillId="6" borderId="5" xfId="0" applyNumberFormat="1" applyFont="1" applyFill="1" applyBorder="1" applyAlignment="1">
      <alignment horizontal="center" vertical="center"/>
    </xf>
    <xf numFmtId="2" fontId="6" fillId="6" borderId="12" xfId="0" applyNumberFormat="1" applyFont="1" applyFill="1" applyBorder="1" applyAlignment="1">
      <alignment horizontal="center" vertical="center"/>
    </xf>
    <xf numFmtId="164" fontId="8" fillId="5" borderId="11" xfId="0" applyNumberFormat="1" applyFont="1" applyFill="1" applyBorder="1" applyAlignment="1">
      <alignment horizontal="left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10" fontId="22" fillId="3" borderId="43" xfId="1" applyNumberFormat="1" applyFont="1" applyFill="1" applyBorder="1" applyAlignment="1">
      <alignment horizontal="center" vertical="center"/>
    </xf>
    <xf numFmtId="10" fontId="23" fillId="7" borderId="41" xfId="1" applyNumberFormat="1" applyFont="1" applyFill="1" applyBorder="1" applyAlignment="1">
      <alignment horizontal="center" vertical="center"/>
    </xf>
    <xf numFmtId="10" fontId="23" fillId="3" borderId="43" xfId="1" applyNumberFormat="1" applyFont="1" applyFill="1" applyBorder="1" applyAlignment="1">
      <alignment horizontal="center" vertical="center"/>
    </xf>
    <xf numFmtId="10" fontId="23" fillId="7" borderId="44" xfId="1" applyNumberFormat="1" applyFont="1" applyFill="1" applyBorder="1" applyAlignment="1">
      <alignment horizontal="center" vertical="center"/>
    </xf>
    <xf numFmtId="10" fontId="22" fillId="7" borderId="41" xfId="1" applyNumberFormat="1" applyFont="1" applyFill="1" applyBorder="1" applyAlignment="1">
      <alignment horizontal="center" vertical="center"/>
    </xf>
    <xf numFmtId="10" fontId="22" fillId="7" borderId="44" xfId="1" applyNumberFormat="1" applyFont="1" applyFill="1" applyBorder="1" applyAlignment="1">
      <alignment horizontal="center" vertical="center"/>
    </xf>
    <xf numFmtId="165" fontId="22" fillId="3" borderId="43" xfId="1" applyNumberFormat="1" applyFont="1" applyFill="1" applyBorder="1" applyAlignment="1">
      <alignment horizontal="center" vertical="center"/>
    </xf>
    <xf numFmtId="0" fontId="24" fillId="0" borderId="0" xfId="0" applyFont="1"/>
    <xf numFmtId="10" fontId="23" fillId="8" borderId="45" xfId="1" applyNumberFormat="1" applyFont="1" applyFill="1" applyBorder="1" applyAlignment="1">
      <alignment horizontal="center" vertical="center"/>
    </xf>
    <xf numFmtId="10" fontId="23" fillId="8" borderId="41" xfId="1" applyNumberFormat="1" applyFont="1" applyFill="1" applyBorder="1" applyAlignment="1">
      <alignment horizontal="center" vertical="center"/>
    </xf>
    <xf numFmtId="2" fontId="23" fillId="8" borderId="46" xfId="0" applyNumberFormat="1" applyFont="1" applyFill="1" applyBorder="1" applyAlignment="1">
      <alignment horizontal="center" vertical="center"/>
    </xf>
    <xf numFmtId="2" fontId="23" fillId="8" borderId="47" xfId="0" applyNumberFormat="1" applyFont="1" applyFill="1" applyBorder="1" applyAlignment="1">
      <alignment horizontal="center" vertical="center"/>
    </xf>
    <xf numFmtId="165" fontId="23" fillId="8" borderId="47" xfId="0" applyNumberFormat="1" applyFont="1" applyFill="1" applyBorder="1" applyAlignment="1">
      <alignment horizontal="center" vertical="center"/>
    </xf>
    <xf numFmtId="2" fontId="23" fillId="8" borderId="48" xfId="0" applyNumberFormat="1" applyFont="1" applyFill="1" applyBorder="1" applyAlignment="1">
      <alignment horizontal="center" vertical="center"/>
    </xf>
    <xf numFmtId="2" fontId="23" fillId="9" borderId="9" xfId="0" applyNumberFormat="1" applyFont="1" applyFill="1" applyBorder="1" applyAlignment="1">
      <alignment vertical="center"/>
    </xf>
    <xf numFmtId="165" fontId="23" fillId="9" borderId="9" xfId="0" applyNumberFormat="1" applyFont="1" applyFill="1" applyBorder="1" applyAlignment="1">
      <alignment vertical="center"/>
    </xf>
    <xf numFmtId="2" fontId="23" fillId="9" borderId="49" xfId="0" applyNumberFormat="1" applyFont="1" applyFill="1" applyBorder="1" applyAlignment="1">
      <alignment vertical="center"/>
    </xf>
    <xf numFmtId="10" fontId="23" fillId="8" borderId="50" xfId="1" applyNumberFormat="1" applyFont="1" applyFill="1" applyBorder="1" applyAlignment="1">
      <alignment horizontal="center" vertical="center"/>
    </xf>
    <xf numFmtId="10" fontId="23" fillId="8" borderId="51" xfId="1" applyNumberFormat="1" applyFont="1" applyFill="1" applyBorder="1" applyAlignment="1">
      <alignment horizontal="center" vertical="center"/>
    </xf>
    <xf numFmtId="165" fontId="22" fillId="7" borderId="41" xfId="1" applyNumberFormat="1" applyFont="1" applyFill="1" applyBorder="1" applyAlignment="1">
      <alignment horizontal="center" vertical="center"/>
    </xf>
    <xf numFmtId="165" fontId="22" fillId="7" borderId="44" xfId="1" applyNumberFormat="1" applyFont="1" applyFill="1" applyBorder="1" applyAlignment="1">
      <alignment horizontal="center" vertical="center"/>
    </xf>
    <xf numFmtId="0" fontId="25" fillId="0" borderId="0" xfId="0" applyFont="1"/>
    <xf numFmtId="165" fontId="25" fillId="0" borderId="0" xfId="0" applyNumberFormat="1" applyFont="1"/>
    <xf numFmtId="0" fontId="26" fillId="0" borderId="0" xfId="0" applyFont="1"/>
    <xf numFmtId="165" fontId="26" fillId="0" borderId="0" xfId="0" applyNumberFormat="1" applyFont="1"/>
    <xf numFmtId="10" fontId="22" fillId="8" borderId="52" xfId="1" applyNumberFormat="1" applyFont="1" applyFill="1" applyBorder="1" applyAlignment="1">
      <alignment horizontal="center" vertical="center"/>
    </xf>
    <xf numFmtId="165" fontId="22" fillId="8" borderId="52" xfId="1" applyNumberFormat="1" applyFont="1" applyFill="1" applyBorder="1" applyAlignment="1">
      <alignment horizontal="center" vertical="center"/>
    </xf>
    <xf numFmtId="10" fontId="22" fillId="8" borderId="53" xfId="1" applyNumberFormat="1" applyFont="1" applyFill="1" applyBorder="1" applyAlignment="1">
      <alignment horizontal="center" vertical="center"/>
    </xf>
    <xf numFmtId="2" fontId="22" fillId="9" borderId="54" xfId="0" applyNumberFormat="1" applyFont="1" applyFill="1" applyBorder="1" applyAlignment="1">
      <alignment vertical="center"/>
    </xf>
    <xf numFmtId="2" fontId="22" fillId="9" borderId="9" xfId="0" applyNumberFormat="1" applyFont="1" applyFill="1" applyBorder="1" applyAlignment="1">
      <alignment vertical="center"/>
    </xf>
    <xf numFmtId="2" fontId="22" fillId="9" borderId="49" xfId="0" applyNumberFormat="1" applyFont="1" applyFill="1" applyBorder="1" applyAlignment="1">
      <alignment vertical="center"/>
    </xf>
    <xf numFmtId="2" fontId="22" fillId="8" borderId="55" xfId="0" applyNumberFormat="1" applyFont="1" applyFill="1" applyBorder="1" applyAlignment="1">
      <alignment horizontal="center" vertical="center"/>
    </xf>
    <xf numFmtId="2" fontId="22" fillId="8" borderId="56" xfId="0" applyNumberFormat="1" applyFont="1" applyFill="1" applyBorder="1" applyAlignment="1">
      <alignment horizontal="center" vertical="center"/>
    </xf>
    <xf numFmtId="165" fontId="22" fillId="8" borderId="56" xfId="0" applyNumberFormat="1" applyFont="1" applyFill="1" applyBorder="1" applyAlignment="1">
      <alignment horizontal="center" vertical="center"/>
    </xf>
    <xf numFmtId="165" fontId="22" fillId="8" borderId="57" xfId="0" applyNumberFormat="1" applyFont="1" applyFill="1" applyBorder="1" applyAlignment="1">
      <alignment horizontal="center" vertical="center"/>
    </xf>
    <xf numFmtId="10" fontId="22" fillId="8" borderId="44" xfId="1" applyNumberFormat="1" applyFont="1" applyFill="1" applyBorder="1" applyAlignment="1">
      <alignment horizontal="center" vertical="center"/>
    </xf>
    <xf numFmtId="165" fontId="22" fillId="8" borderId="44" xfId="1" applyNumberFormat="1" applyFont="1" applyFill="1" applyBorder="1" applyAlignment="1">
      <alignment horizontal="center" vertical="center"/>
    </xf>
    <xf numFmtId="10" fontId="22" fillId="8" borderId="58" xfId="1" applyNumberFormat="1" applyFont="1" applyFill="1" applyBorder="1" applyAlignment="1">
      <alignment horizontal="center" vertical="center"/>
    </xf>
    <xf numFmtId="2" fontId="27" fillId="8" borderId="43" xfId="0" applyNumberFormat="1" applyFont="1" applyFill="1" applyBorder="1" applyAlignment="1">
      <alignment horizontal="center" vertical="center"/>
    </xf>
    <xf numFmtId="2" fontId="27" fillId="8" borderId="46" xfId="0" applyNumberFormat="1" applyFont="1" applyFill="1" applyBorder="1" applyAlignment="1">
      <alignment horizontal="center" vertical="center"/>
    </xf>
    <xf numFmtId="2" fontId="27" fillId="8" borderId="49" xfId="0" applyNumberFormat="1" applyFont="1" applyFill="1" applyBorder="1" applyAlignment="1">
      <alignment horizontal="center" vertical="center"/>
    </xf>
    <xf numFmtId="167" fontId="27" fillId="3" borderId="42" xfId="1" applyNumberFormat="1" applyFont="1" applyFill="1" applyBorder="1" applyAlignment="1">
      <alignment horizontal="center" vertical="center"/>
    </xf>
    <xf numFmtId="10" fontId="28" fillId="3" borderId="43" xfId="1" applyNumberFormat="1" applyFont="1" applyFill="1" applyBorder="1" applyAlignment="1">
      <alignment horizontal="center" vertical="center"/>
    </xf>
    <xf numFmtId="0" fontId="19" fillId="8" borderId="60" xfId="0" applyFont="1" applyFill="1" applyBorder="1" applyAlignment="1">
      <alignment horizontal="center" vertical="center" wrapText="1"/>
    </xf>
    <xf numFmtId="0" fontId="10" fillId="8" borderId="61" xfId="0" applyFont="1" applyFill="1" applyBorder="1" applyAlignment="1">
      <alignment horizontal="center" vertical="center"/>
    </xf>
    <xf numFmtId="0" fontId="10" fillId="8" borderId="63" xfId="0" applyFont="1" applyFill="1" applyBorder="1" applyAlignment="1">
      <alignment horizontal="center" vertical="center"/>
    </xf>
    <xf numFmtId="0" fontId="21" fillId="8" borderId="60" xfId="0" applyFont="1" applyFill="1" applyBorder="1" applyAlignment="1">
      <alignment horizontal="center" vertical="center" wrapText="1"/>
    </xf>
    <xf numFmtId="0" fontId="9" fillId="8" borderId="61" xfId="0" applyFont="1" applyFill="1" applyBorder="1" applyAlignment="1">
      <alignment horizontal="center" vertical="center"/>
    </xf>
    <xf numFmtId="0" fontId="9" fillId="8" borderId="63" xfId="0" applyFont="1" applyFill="1" applyBorder="1" applyAlignment="1">
      <alignment horizontal="center" vertical="center"/>
    </xf>
    <xf numFmtId="0" fontId="10" fillId="8" borderId="36" xfId="0" applyFont="1" applyFill="1" applyBorder="1" applyAlignment="1">
      <alignment horizontal="center" vertical="center"/>
    </xf>
    <xf numFmtId="0" fontId="10" fillId="8" borderId="37" xfId="0" applyFont="1" applyFill="1" applyBorder="1" applyAlignment="1">
      <alignment horizontal="center" vertical="center"/>
    </xf>
    <xf numFmtId="0" fontId="10" fillId="8" borderId="64" xfId="0" applyFont="1" applyFill="1" applyBorder="1" applyAlignment="1">
      <alignment horizontal="center" vertical="center"/>
    </xf>
    <xf numFmtId="0" fontId="10" fillId="8" borderId="31" xfId="0" applyFont="1" applyFill="1" applyBorder="1" applyAlignment="1">
      <alignment horizontal="center" vertical="center"/>
    </xf>
    <xf numFmtId="0" fontId="10" fillId="8" borderId="32" xfId="0" applyFont="1" applyFill="1" applyBorder="1" applyAlignment="1">
      <alignment horizontal="center" vertical="center"/>
    </xf>
    <xf numFmtId="0" fontId="10" fillId="8" borderId="3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10" fillId="8" borderId="34" xfId="0" applyFont="1" applyFill="1" applyBorder="1" applyAlignment="1">
      <alignment horizontal="center" vertical="center"/>
    </xf>
    <xf numFmtId="0" fontId="10" fillId="8" borderId="35" xfId="0" applyFont="1" applyFill="1" applyBorder="1" applyAlignment="1">
      <alignment horizontal="center" vertical="center"/>
    </xf>
    <xf numFmtId="0" fontId="10" fillId="8" borderId="59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7" fillId="3" borderId="38" xfId="0" applyFont="1" applyFill="1" applyBorder="1" applyAlignment="1">
      <alignment horizontal="center" vertical="center"/>
    </xf>
    <xf numFmtId="0" fontId="17" fillId="3" borderId="39" xfId="0" applyFont="1" applyFill="1" applyBorder="1" applyAlignment="1">
      <alignment horizontal="center" vertical="center"/>
    </xf>
    <xf numFmtId="0" fontId="17" fillId="3" borderId="40" xfId="0" applyFont="1" applyFill="1" applyBorder="1" applyAlignment="1">
      <alignment horizontal="center" vertical="center"/>
    </xf>
    <xf numFmtId="0" fontId="10" fillId="7" borderId="28" xfId="0" applyFont="1" applyFill="1" applyBorder="1" applyAlignment="1">
      <alignment horizontal="center" vertical="center"/>
    </xf>
    <xf numFmtId="0" fontId="10" fillId="7" borderId="29" xfId="0" applyFont="1" applyFill="1" applyBorder="1" applyAlignment="1">
      <alignment horizontal="center" vertical="center"/>
    </xf>
    <xf numFmtId="0" fontId="10" fillId="7" borderId="30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0" fillId="8" borderId="62" xfId="0" applyFont="1" applyFill="1" applyBorder="1" applyAlignment="1">
      <alignment horizontal="center" vertical="center"/>
    </xf>
    <xf numFmtId="0" fontId="20" fillId="8" borderId="60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FF00"/>
      <color rgb="FFFF0066"/>
      <color rgb="FFF48E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11B4-661A-4821-A38F-0ED087DAA5FD}">
  <dimension ref="A1:S46"/>
  <sheetViews>
    <sheetView tabSelected="1" topLeftCell="B1" zoomScale="80" zoomScaleNormal="80" workbookViewId="0">
      <selection activeCell="J29" sqref="J29"/>
    </sheetView>
  </sheetViews>
  <sheetFormatPr baseColWidth="10" defaultColWidth="11.42578125" defaultRowHeight="15" x14ac:dyDescent="0.25"/>
  <cols>
    <col min="1" max="1" width="27.28515625" customWidth="1"/>
    <col min="2" max="2" width="36" customWidth="1"/>
    <col min="3" max="3" width="7.5703125" customWidth="1"/>
    <col min="4" max="4" width="12.42578125" customWidth="1"/>
    <col min="5" max="5" width="22" customWidth="1"/>
    <col min="7" max="7" width="9.42578125" customWidth="1"/>
    <col min="8" max="8" width="8.7109375" customWidth="1"/>
    <col min="9" max="9" width="9.140625" customWidth="1"/>
    <col min="10" max="10" width="8.5703125" customWidth="1"/>
    <col min="11" max="11" width="9.140625" customWidth="1"/>
    <col min="12" max="12" width="7.42578125" customWidth="1"/>
    <col min="13" max="13" width="8" customWidth="1"/>
    <col min="14" max="14" width="8.85546875" customWidth="1"/>
    <col min="15" max="15" width="10.140625" customWidth="1"/>
    <col min="16" max="16" width="9.140625" bestFit="1" customWidth="1"/>
    <col min="17" max="17" width="9.7109375" customWidth="1"/>
    <col min="18" max="18" width="9.42578125" customWidth="1"/>
    <col min="19" max="19" width="7.7109375" customWidth="1"/>
  </cols>
  <sheetData>
    <row r="1" spans="1:19" ht="18" x14ac:dyDescent="0.25">
      <c r="A1" s="154" t="s">
        <v>48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</row>
    <row r="2" spans="1:19" ht="23.25" x14ac:dyDescent="0.35">
      <c r="A2" s="155" t="s">
        <v>51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</row>
    <row r="3" spans="1:19" ht="20.25" x14ac:dyDescent="0.3">
      <c r="A3" s="156" t="s">
        <v>47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</row>
    <row r="4" spans="1:19" ht="15.75" customHeight="1" thickBot="1" x14ac:dyDescent="0.35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</row>
    <row r="5" spans="1:19" ht="16.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74" t="s">
        <v>49</v>
      </c>
      <c r="L5" s="175"/>
      <c r="M5" s="175"/>
      <c r="N5" s="175"/>
      <c r="O5" s="175"/>
      <c r="P5" s="175"/>
      <c r="Q5" s="175"/>
      <c r="R5" s="175"/>
      <c r="S5" s="176"/>
    </row>
    <row r="6" spans="1:19" ht="38.25" thickBot="1" x14ac:dyDescent="0.3">
      <c r="A6" s="23" t="s">
        <v>0</v>
      </c>
      <c r="B6" s="76" t="s">
        <v>1</v>
      </c>
      <c r="C6" s="77" t="s">
        <v>2</v>
      </c>
      <c r="D6" s="78" t="s">
        <v>4</v>
      </c>
      <c r="E6" s="97" t="s">
        <v>5</v>
      </c>
      <c r="F6" s="97" t="s">
        <v>6</v>
      </c>
      <c r="G6" s="97" t="s">
        <v>7</v>
      </c>
      <c r="H6" s="97" t="s">
        <v>8</v>
      </c>
      <c r="I6" s="98" t="s">
        <v>16</v>
      </c>
      <c r="J6" s="98" t="s">
        <v>17</v>
      </c>
      <c r="K6" s="25" t="s">
        <v>43</v>
      </c>
      <c r="L6" s="25" t="s">
        <v>44</v>
      </c>
      <c r="M6" s="37" t="s">
        <v>9</v>
      </c>
      <c r="N6" s="37" t="s">
        <v>34</v>
      </c>
      <c r="O6" s="25" t="s">
        <v>18</v>
      </c>
      <c r="P6" s="25" t="s">
        <v>10</v>
      </c>
      <c r="Q6" s="25" t="s">
        <v>11</v>
      </c>
      <c r="R6" s="26" t="s">
        <v>12</v>
      </c>
      <c r="S6" s="24" t="s">
        <v>19</v>
      </c>
    </row>
    <row r="7" spans="1:19" ht="15.75" thickBot="1" x14ac:dyDescent="0.3">
      <c r="A7" s="73" t="s">
        <v>27</v>
      </c>
      <c r="B7" s="54" t="s">
        <v>28</v>
      </c>
      <c r="C7" s="80">
        <v>543.5</v>
      </c>
      <c r="D7" s="92">
        <v>54.35</v>
      </c>
      <c r="E7" s="42">
        <v>0.25001000000000001</v>
      </c>
      <c r="F7" s="29"/>
      <c r="G7" s="29"/>
      <c r="H7" s="42">
        <v>0.25001000000000001</v>
      </c>
      <c r="I7" s="29"/>
      <c r="J7" s="35"/>
      <c r="K7" s="29"/>
      <c r="L7" s="29"/>
      <c r="M7" s="29"/>
      <c r="N7" s="29"/>
      <c r="O7" s="29"/>
      <c r="P7" s="30"/>
      <c r="Q7" s="29"/>
      <c r="R7" s="30"/>
      <c r="S7" s="29"/>
    </row>
    <row r="8" spans="1:19" ht="15.75" thickBot="1" x14ac:dyDescent="0.3">
      <c r="A8" s="73" t="s">
        <v>32</v>
      </c>
      <c r="B8" s="63" t="s">
        <v>29</v>
      </c>
      <c r="C8" s="81">
        <v>152.5</v>
      </c>
      <c r="D8" s="93">
        <v>15.25</v>
      </c>
      <c r="E8" s="39">
        <v>1.83E-2</v>
      </c>
      <c r="F8" s="39">
        <v>1.83E-2</v>
      </c>
      <c r="G8" s="32"/>
      <c r="H8" s="32"/>
      <c r="I8" s="39">
        <v>9.3024999999999997E-2</v>
      </c>
      <c r="J8" s="36"/>
      <c r="K8" s="32"/>
      <c r="L8" s="32"/>
      <c r="M8" s="32"/>
      <c r="N8" s="32"/>
      <c r="O8" s="32"/>
      <c r="P8" s="31"/>
      <c r="Q8" s="32"/>
      <c r="R8" s="31"/>
      <c r="S8" s="32"/>
    </row>
    <row r="9" spans="1:19" ht="15.75" customHeight="1" thickBot="1" x14ac:dyDescent="0.3">
      <c r="A9" s="73" t="s">
        <v>30</v>
      </c>
      <c r="B9" s="63" t="s">
        <v>31</v>
      </c>
      <c r="C9" s="81">
        <v>0.3</v>
      </c>
      <c r="D9" s="93">
        <v>0.03</v>
      </c>
      <c r="E9" s="40">
        <v>6.3E-5</v>
      </c>
      <c r="F9" s="40">
        <v>6.3E-5</v>
      </c>
      <c r="G9" s="3"/>
      <c r="H9" s="3"/>
      <c r="I9" s="3"/>
      <c r="J9" s="65"/>
      <c r="K9" s="2"/>
      <c r="L9" s="72">
        <v>7.2000000000000002E-5</v>
      </c>
      <c r="M9" s="16"/>
      <c r="N9" s="16"/>
      <c r="O9" s="20"/>
      <c r="P9" s="21"/>
      <c r="Q9" s="20"/>
      <c r="R9" s="21"/>
      <c r="S9" s="20"/>
    </row>
    <row r="10" spans="1:19" ht="15.75" customHeight="1" thickBot="1" x14ac:dyDescent="0.3">
      <c r="A10" s="74" t="s">
        <v>26</v>
      </c>
      <c r="B10" s="55" t="s">
        <v>55</v>
      </c>
      <c r="C10" s="81">
        <v>232.6</v>
      </c>
      <c r="D10" s="93">
        <v>23.26</v>
      </c>
      <c r="E10" s="40">
        <v>3.1633599999999998E-2</v>
      </c>
      <c r="F10" s="40">
        <v>1.6282E-3</v>
      </c>
      <c r="G10" s="40">
        <v>3.0005400000000002E-2</v>
      </c>
      <c r="H10" s="3"/>
      <c r="I10" s="91">
        <v>6.9779999999999998E-3</v>
      </c>
      <c r="J10" s="66">
        <v>0.100018</v>
      </c>
      <c r="K10" s="2"/>
      <c r="L10" s="15"/>
      <c r="M10" s="17"/>
      <c r="N10" s="17"/>
      <c r="O10" s="15"/>
      <c r="P10" s="8"/>
      <c r="Q10" s="15"/>
      <c r="R10" s="8"/>
      <c r="S10" s="15"/>
    </row>
    <row r="11" spans="1:19" ht="15.75" customHeight="1" thickBot="1" x14ac:dyDescent="0.3">
      <c r="A11" s="73" t="s">
        <v>53</v>
      </c>
      <c r="B11" s="63" t="s">
        <v>54</v>
      </c>
      <c r="C11" s="81">
        <v>40</v>
      </c>
      <c r="D11" s="93">
        <v>4</v>
      </c>
      <c r="E11" s="3"/>
      <c r="F11" s="3"/>
      <c r="G11" s="3"/>
      <c r="H11" s="3"/>
      <c r="I11" s="3"/>
      <c r="J11" s="64"/>
      <c r="K11" s="70">
        <v>6.0159999999999996E-3</v>
      </c>
      <c r="L11" s="40">
        <v>4.888E-3</v>
      </c>
      <c r="M11" s="3"/>
      <c r="N11" s="3"/>
      <c r="O11" s="3"/>
      <c r="P11" s="7"/>
      <c r="Q11" s="3"/>
      <c r="R11" s="7"/>
      <c r="S11" s="3"/>
    </row>
    <row r="12" spans="1:19" ht="15.75" thickBot="1" x14ac:dyDescent="0.3">
      <c r="A12" s="75" t="s">
        <v>25</v>
      </c>
      <c r="B12" s="63" t="s">
        <v>37</v>
      </c>
      <c r="C12" s="81">
        <v>1.2</v>
      </c>
      <c r="D12" s="93">
        <v>0.12</v>
      </c>
      <c r="E12" s="3"/>
      <c r="F12" s="3"/>
      <c r="G12" s="3"/>
      <c r="H12" s="3"/>
      <c r="I12" s="3"/>
      <c r="J12" s="64"/>
      <c r="K12" s="4"/>
      <c r="L12" s="16"/>
      <c r="M12" s="62">
        <v>2.1000000000000001E-4</v>
      </c>
      <c r="N12" s="22"/>
      <c r="O12" s="22"/>
      <c r="P12" s="9"/>
      <c r="Q12" s="16"/>
      <c r="R12" s="27"/>
      <c r="S12" s="22"/>
    </row>
    <row r="13" spans="1:19" ht="15.75" thickBot="1" x14ac:dyDescent="0.3">
      <c r="A13" s="73" t="s">
        <v>35</v>
      </c>
      <c r="B13" s="63" t="s">
        <v>50</v>
      </c>
      <c r="C13" s="81">
        <v>0.2</v>
      </c>
      <c r="D13" s="93">
        <v>1.4999999999999999E-2</v>
      </c>
      <c r="E13" s="3"/>
      <c r="F13" s="3" t="s">
        <v>36</v>
      </c>
      <c r="G13" s="3"/>
      <c r="H13" s="3"/>
      <c r="I13" s="3"/>
      <c r="J13" s="64"/>
      <c r="K13" s="4"/>
      <c r="L13" s="62">
        <v>1.6500000000000001E-5</v>
      </c>
      <c r="M13" s="22"/>
      <c r="N13" s="47">
        <v>3.0000000000000001E-5</v>
      </c>
      <c r="O13" s="22"/>
      <c r="P13" s="9"/>
      <c r="Q13" s="16"/>
      <c r="R13" s="27"/>
      <c r="S13" s="22"/>
    </row>
    <row r="14" spans="1:19" ht="17.25" thickBot="1" x14ac:dyDescent="0.35">
      <c r="A14" s="73" t="s">
        <v>20</v>
      </c>
      <c r="B14" s="63" t="s">
        <v>23</v>
      </c>
      <c r="C14" s="81">
        <v>0.8</v>
      </c>
      <c r="D14" s="55">
        <v>0.08</v>
      </c>
      <c r="E14" s="3"/>
      <c r="F14" s="3"/>
      <c r="G14" s="3"/>
      <c r="H14" s="3"/>
      <c r="I14" s="3"/>
      <c r="J14" s="64"/>
      <c r="K14" s="71"/>
      <c r="L14" s="72">
        <v>1.0399999999999999E-4</v>
      </c>
      <c r="M14" s="16"/>
      <c r="N14" s="16"/>
      <c r="O14" s="62">
        <v>2.0000000000000001E-4</v>
      </c>
      <c r="P14" s="9"/>
      <c r="Q14" s="16"/>
      <c r="R14" s="9"/>
      <c r="S14" s="16"/>
    </row>
    <row r="15" spans="1:19" ht="15.75" thickBot="1" x14ac:dyDescent="0.3">
      <c r="A15" s="73" t="s">
        <v>40</v>
      </c>
      <c r="B15" s="63" t="s">
        <v>41</v>
      </c>
      <c r="C15" s="81">
        <v>2.5</v>
      </c>
      <c r="D15" s="93">
        <v>0.25</v>
      </c>
      <c r="E15" s="3"/>
      <c r="F15" s="3"/>
      <c r="G15" s="3"/>
      <c r="H15" s="3"/>
      <c r="I15" s="3"/>
      <c r="J15" s="64"/>
      <c r="K15" s="4"/>
      <c r="L15" s="62">
        <v>2.9999999999999997E-4</v>
      </c>
      <c r="M15" s="16"/>
      <c r="N15" s="16"/>
      <c r="O15" s="16"/>
      <c r="P15" s="69">
        <v>5.0000000000000001E-4</v>
      </c>
      <c r="Q15" s="16"/>
      <c r="R15" s="9"/>
      <c r="S15" s="16"/>
    </row>
    <row r="16" spans="1:19" ht="15.75" thickBot="1" x14ac:dyDescent="0.3">
      <c r="A16" s="73" t="s">
        <v>14</v>
      </c>
      <c r="B16" s="63" t="s">
        <v>24</v>
      </c>
      <c r="C16" s="81">
        <v>1.7</v>
      </c>
      <c r="D16" s="55">
        <v>0.17</v>
      </c>
      <c r="E16" s="3"/>
      <c r="F16" s="3"/>
      <c r="G16" s="3"/>
      <c r="H16" s="3"/>
      <c r="I16" s="3"/>
      <c r="J16" s="64"/>
      <c r="K16" s="4"/>
      <c r="L16" s="62">
        <v>3.0600000000000001E-4</v>
      </c>
      <c r="M16" s="16"/>
      <c r="N16" s="16"/>
      <c r="O16" s="22"/>
      <c r="P16" s="9"/>
      <c r="Q16" s="62">
        <v>5.2700000000000002E-4</v>
      </c>
      <c r="R16" s="27"/>
      <c r="S16" s="22"/>
    </row>
    <row r="17" spans="1:19" ht="15.75" thickBot="1" x14ac:dyDescent="0.3">
      <c r="A17" s="73" t="s">
        <v>38</v>
      </c>
      <c r="B17" s="63" t="s">
        <v>39</v>
      </c>
      <c r="C17" s="81">
        <v>0.13</v>
      </c>
      <c r="D17" s="93">
        <v>1.2999999999999999E-2</v>
      </c>
      <c r="E17" s="3"/>
      <c r="F17" s="3"/>
      <c r="G17" s="3"/>
      <c r="H17" s="3"/>
      <c r="I17" s="3"/>
      <c r="J17" s="64"/>
      <c r="K17" s="4"/>
      <c r="L17" s="16"/>
      <c r="M17" s="16"/>
      <c r="N17" s="16"/>
      <c r="O17" s="22"/>
      <c r="P17" s="9"/>
      <c r="Q17" s="16"/>
      <c r="R17" s="49">
        <v>5.0699999999999999E-5</v>
      </c>
      <c r="S17" s="22"/>
    </row>
    <row r="18" spans="1:19" ht="15.75" thickBot="1" x14ac:dyDescent="0.3">
      <c r="A18" s="75" t="s">
        <v>21</v>
      </c>
      <c r="B18" s="79" t="s">
        <v>22</v>
      </c>
      <c r="C18" s="82">
        <v>0.6</v>
      </c>
      <c r="D18" s="94">
        <v>0.06</v>
      </c>
      <c r="E18" s="3"/>
      <c r="F18" s="3"/>
      <c r="G18" s="3"/>
      <c r="H18" s="3"/>
      <c r="I18" s="3"/>
      <c r="J18" s="64"/>
      <c r="K18" s="4"/>
      <c r="L18" s="62">
        <v>9.6000000000000002E-5</v>
      </c>
      <c r="M18" s="16"/>
      <c r="N18" s="16"/>
      <c r="O18" s="22"/>
      <c r="P18" s="9"/>
      <c r="Q18" s="16"/>
      <c r="R18" s="27"/>
      <c r="S18" s="62">
        <v>2.1000000000000001E-4</v>
      </c>
    </row>
    <row r="19" spans="1:19" ht="15.75" thickBot="1" x14ac:dyDescent="0.3">
      <c r="A19" s="157" t="s">
        <v>13</v>
      </c>
      <c r="B19" s="158"/>
      <c r="C19" s="38"/>
      <c r="D19" s="34"/>
      <c r="E19" s="3"/>
      <c r="F19" s="3"/>
      <c r="G19" s="3"/>
      <c r="H19" s="3"/>
      <c r="I19" s="3"/>
      <c r="J19" s="64"/>
      <c r="K19" s="4"/>
      <c r="L19" s="17"/>
      <c r="M19" s="17"/>
      <c r="N19" s="17"/>
      <c r="O19" s="17"/>
      <c r="P19" s="10"/>
      <c r="Q19" s="17"/>
      <c r="R19" s="10"/>
      <c r="S19" s="17"/>
    </row>
    <row r="20" spans="1:19" x14ac:dyDescent="0.25">
      <c r="A20" s="56" t="s">
        <v>15</v>
      </c>
      <c r="B20" s="84"/>
      <c r="C20" s="53">
        <v>21.07</v>
      </c>
      <c r="D20" s="92">
        <v>2.1120000000000001</v>
      </c>
      <c r="E20" s="18"/>
      <c r="F20" s="18"/>
      <c r="G20" s="18"/>
      <c r="H20" s="18"/>
      <c r="I20" s="18"/>
      <c r="J20" s="67"/>
      <c r="K20" s="19"/>
      <c r="L20" s="13"/>
      <c r="M20" s="17"/>
      <c r="N20" s="17"/>
      <c r="O20" s="13"/>
      <c r="P20" s="14"/>
      <c r="Q20" s="13"/>
      <c r="R20" s="14"/>
      <c r="S20" s="13"/>
    </row>
    <row r="21" spans="1:19" ht="15.75" thickBot="1" x14ac:dyDescent="0.3">
      <c r="A21" s="57" t="s">
        <v>42</v>
      </c>
      <c r="B21" s="83"/>
      <c r="C21" s="81">
        <v>2.9</v>
      </c>
      <c r="D21" s="55">
        <v>0.28999999999999998</v>
      </c>
      <c r="E21" s="18"/>
      <c r="F21" s="18"/>
      <c r="G21" s="18"/>
      <c r="H21" s="18"/>
      <c r="I21" s="18"/>
      <c r="J21" s="67"/>
      <c r="K21" s="19"/>
      <c r="L21" s="13"/>
      <c r="M21" s="13"/>
      <c r="N21" s="13"/>
      <c r="O21" s="13"/>
      <c r="P21" s="14"/>
      <c r="Q21" s="13"/>
      <c r="R21" s="14"/>
      <c r="S21" s="13"/>
    </row>
    <row r="22" spans="1:19" ht="15.75" thickBot="1" x14ac:dyDescent="0.3">
      <c r="A22" s="177" t="s">
        <v>3</v>
      </c>
      <c r="B22" s="178"/>
      <c r="C22" s="96">
        <f>SUM(C7:C21)</f>
        <v>1000.0000000000001</v>
      </c>
      <c r="D22" s="95">
        <f>SUM(D7:D21)</f>
        <v>100.00000000000001</v>
      </c>
      <c r="E22" s="11"/>
      <c r="F22" s="11"/>
      <c r="G22" s="11"/>
      <c r="H22" s="11"/>
      <c r="I22" s="11"/>
      <c r="J22" s="68"/>
      <c r="K22" s="12"/>
      <c r="L22" s="12"/>
      <c r="M22" s="12"/>
      <c r="N22" s="12"/>
      <c r="O22" s="12"/>
      <c r="P22" s="14"/>
      <c r="Q22" s="12"/>
      <c r="R22" s="28"/>
      <c r="S22" s="12"/>
    </row>
    <row r="23" spans="1:19" ht="17.25" thickBot="1" x14ac:dyDescent="0.3">
      <c r="A23" s="162" t="s">
        <v>33</v>
      </c>
      <c r="B23" s="163"/>
      <c r="C23" s="163"/>
      <c r="D23" s="164"/>
      <c r="E23" s="41">
        <f>SUM(E7:E22)</f>
        <v>0.30000659999999996</v>
      </c>
      <c r="F23" s="41">
        <f>SUM(F7:F22)</f>
        <v>1.9991200000000001E-2</v>
      </c>
      <c r="G23" s="41">
        <f>SUM(G9:G22)</f>
        <v>3.0005400000000002E-2</v>
      </c>
      <c r="H23" s="41">
        <f>SUM(H7:H22)</f>
        <v>0.25001000000000001</v>
      </c>
      <c r="I23" s="41">
        <f>SUM(I7:I22)</f>
        <v>0.10000299999999999</v>
      </c>
      <c r="J23" s="41">
        <f>SUM(J9:J22)</f>
        <v>0.100018</v>
      </c>
      <c r="K23" s="41">
        <f>SUM(K9:K22)</f>
        <v>6.0159999999999996E-3</v>
      </c>
      <c r="L23" s="41">
        <f>SUM(L7:L22)</f>
        <v>5.7824999999999994E-3</v>
      </c>
      <c r="M23" s="46">
        <f>SUM(M9:M22)</f>
        <v>2.1000000000000001E-4</v>
      </c>
      <c r="N23" s="48">
        <f>SUM(N7:N22)</f>
        <v>3.0000000000000001E-5</v>
      </c>
      <c r="O23" s="52">
        <f>SUM(O9:O22)</f>
        <v>2.0000000000000001E-4</v>
      </c>
      <c r="P23" s="50">
        <f>SUM(P9:P22)</f>
        <v>5.0000000000000001E-4</v>
      </c>
      <c r="Q23" s="41">
        <f>SUM(Q9:Q22)</f>
        <v>5.2700000000000002E-4</v>
      </c>
      <c r="R23" s="51">
        <f>SUM(R9:R22)</f>
        <v>5.0699999999999999E-5</v>
      </c>
      <c r="S23" s="41">
        <f>SUM(S9:S22)</f>
        <v>2.1000000000000001E-4</v>
      </c>
    </row>
    <row r="24" spans="1:19" ht="15.75" thickBot="1" x14ac:dyDescent="0.3">
      <c r="A24" s="33"/>
      <c r="B24" s="5"/>
      <c r="C24" s="6"/>
      <c r="D24" s="6"/>
      <c r="E24" s="6"/>
      <c r="F24" s="6"/>
      <c r="G24" s="6"/>
      <c r="H24" s="6"/>
      <c r="I24" s="6"/>
      <c r="J24" s="43"/>
      <c r="K24" s="44"/>
      <c r="L24" s="43"/>
      <c r="M24" s="43"/>
      <c r="N24" s="43"/>
      <c r="O24" s="43"/>
      <c r="P24" s="43"/>
      <c r="Q24" s="43"/>
      <c r="R24" s="43"/>
      <c r="S24" s="45"/>
    </row>
    <row r="25" spans="1:19" ht="18" customHeight="1" thickBot="1" x14ac:dyDescent="0.3">
      <c r="A25" s="165" t="s">
        <v>52</v>
      </c>
      <c r="B25" s="166"/>
      <c r="C25" s="166"/>
      <c r="D25" s="167"/>
      <c r="E25" s="58">
        <v>0.29549999999999998</v>
      </c>
      <c r="F25" s="58">
        <v>0.02</v>
      </c>
      <c r="G25" s="58">
        <v>3.1399999999999997E-2</v>
      </c>
      <c r="H25" s="59">
        <v>0.24410000000000001</v>
      </c>
      <c r="I25" s="58">
        <v>0.1056</v>
      </c>
      <c r="J25" s="60">
        <v>0.1046</v>
      </c>
      <c r="K25" s="60">
        <v>6.1000000000000004E-3</v>
      </c>
      <c r="L25" s="60">
        <v>4.0000000000000001E-3</v>
      </c>
      <c r="M25" s="60">
        <v>2.0000000000000001E-4</v>
      </c>
      <c r="N25" s="61">
        <v>3.0000000000000001E-5</v>
      </c>
      <c r="O25" s="60">
        <v>1E-4</v>
      </c>
      <c r="P25" s="60">
        <v>2.9999999999999997E-4</v>
      </c>
      <c r="Q25" s="60">
        <v>5.0000000000000001E-4</v>
      </c>
      <c r="R25" s="61">
        <v>4.0000000000000003E-5</v>
      </c>
      <c r="S25" s="60">
        <v>1E-4</v>
      </c>
    </row>
    <row r="26" spans="1:19" ht="18" customHeight="1" thickBot="1" x14ac:dyDescent="0.3">
      <c r="A26" s="85"/>
      <c r="B26" s="85"/>
      <c r="C26" s="85"/>
      <c r="D26" s="85"/>
      <c r="E26" s="86"/>
      <c r="F26" s="86"/>
      <c r="G26" s="86"/>
      <c r="H26" s="87"/>
      <c r="I26" s="86"/>
      <c r="J26" s="88"/>
      <c r="K26" s="88"/>
      <c r="L26" s="88"/>
      <c r="M26" s="88"/>
      <c r="N26" s="89"/>
      <c r="O26" s="88"/>
      <c r="P26" s="88"/>
      <c r="Q26" s="88"/>
      <c r="R26" s="89"/>
      <c r="S26" s="88"/>
    </row>
    <row r="27" spans="1:19" ht="18" customHeight="1" thickBot="1" x14ac:dyDescent="0.3">
      <c r="A27" s="171" t="s">
        <v>45</v>
      </c>
      <c r="B27" s="172"/>
      <c r="C27" s="172"/>
      <c r="D27" s="173"/>
      <c r="E27" s="100">
        <f>IF(E36&lt;0.01%,ROUND(E28,5)-ROUND(E36,5),ROUND(E28,4)-ROUND(E36,4))</f>
        <v>0.29139999999999999</v>
      </c>
      <c r="F27" s="100">
        <f t="shared" ref="F27:J27" si="0">IF(F36&lt;0.01%,ROUND(F28,5)-ROUND(F36,5),ROUND(F28,4)-ROUND(F36,4))</f>
        <v>1.9990000000000001E-2</v>
      </c>
      <c r="G27" s="100">
        <f t="shared" si="0"/>
        <v>3.0009999999999998E-2</v>
      </c>
      <c r="H27" s="100">
        <f t="shared" si="0"/>
        <v>0.245</v>
      </c>
      <c r="I27" s="100">
        <f t="shared" si="0"/>
        <v>9.8199999999999996E-2</v>
      </c>
      <c r="J27" s="100">
        <f t="shared" si="0"/>
        <v>9.7900000000000001E-2</v>
      </c>
      <c r="K27" s="103">
        <f>IF(K36&lt;0.01%,ROUND(K28,5)-ROUND(K36,5),ROUND(K28,4)-ROUND(K36,4))</f>
        <v>3.0000000000000001E-3</v>
      </c>
      <c r="L27" s="103">
        <f>IF(L36&lt;0.01%,ROUND(L28,5)-ROUND(L36,5),ROUND(L28,4)-ROUND(L36,4))</f>
        <v>2.8999999999999998E-3</v>
      </c>
      <c r="M27" s="103">
        <f>IF(M36&lt;0.01%,ROUND(M28,5)-ROUND(M36,5),ROUND(M28,4)-ROUND(M36,4))</f>
        <v>1E-4</v>
      </c>
      <c r="N27" s="118">
        <f>IF(N36&lt;0.01%,ROUND(N28,5)-ROUND(N36,5),ROUND(N28,4)-ROUND(N36,4))</f>
        <v>1.9999999999999998E-5</v>
      </c>
      <c r="O27" s="103">
        <f t="shared" ref="O27:S27" si="1">IF(O36&lt;0.01%,ROUND(O28,5)-ROUND(O36,5),ROUND(O28,4)-ROUND(O36,4))</f>
        <v>1E-4</v>
      </c>
      <c r="P27" s="103">
        <f>IF(P36&lt;0.01%,ROUND(P28,5)-ROUND(P36,5),ROUND(P28,4)-ROUND(P36,4))</f>
        <v>2.0000000000000004E-4</v>
      </c>
      <c r="Q27" s="103">
        <f t="shared" si="1"/>
        <v>2.0000000000000004E-4</v>
      </c>
      <c r="R27" s="118">
        <f t="shared" si="1"/>
        <v>3.0000000000000001E-5</v>
      </c>
      <c r="S27" s="103">
        <f t="shared" si="1"/>
        <v>1E-4</v>
      </c>
    </row>
    <row r="28" spans="1:19" ht="18" thickBot="1" x14ac:dyDescent="0.3">
      <c r="A28" s="168" t="str">
        <f>_xlfn.CONCAT("SOLICITUD DE REGISTRO ICA ",A2)</f>
        <v xml:space="preserve">SOLICITUD DE REGISTRO ICA 1-CRECIMIENTO 30 - 10 - 10 </v>
      </c>
      <c r="B28" s="169"/>
      <c r="C28" s="169"/>
      <c r="D28" s="170"/>
      <c r="E28" s="140">
        <v>0.3</v>
      </c>
      <c r="F28" s="101">
        <f t="shared" ref="F28:S28" si="2">F23</f>
        <v>1.9991200000000001E-2</v>
      </c>
      <c r="G28" s="101">
        <f t="shared" si="2"/>
        <v>3.0005400000000002E-2</v>
      </c>
      <c r="H28" s="101">
        <v>0.245</v>
      </c>
      <c r="I28" s="141">
        <v>0.105</v>
      </c>
      <c r="J28" s="141">
        <v>0.105</v>
      </c>
      <c r="K28" s="99">
        <f t="shared" si="2"/>
        <v>6.0159999999999996E-3</v>
      </c>
      <c r="L28" s="99">
        <f t="shared" si="2"/>
        <v>5.7824999999999994E-3</v>
      </c>
      <c r="M28" s="99">
        <f t="shared" si="2"/>
        <v>2.1000000000000001E-4</v>
      </c>
      <c r="N28" s="105">
        <f t="shared" si="2"/>
        <v>3.0000000000000001E-5</v>
      </c>
      <c r="O28" s="99">
        <f t="shared" si="2"/>
        <v>2.0000000000000001E-4</v>
      </c>
      <c r="P28" s="99">
        <f t="shared" si="2"/>
        <v>5.0000000000000001E-4</v>
      </c>
      <c r="Q28" s="99">
        <f t="shared" si="2"/>
        <v>5.2700000000000002E-4</v>
      </c>
      <c r="R28" s="105">
        <f t="shared" si="2"/>
        <v>5.0699999999999999E-5</v>
      </c>
      <c r="S28" s="99">
        <f t="shared" si="2"/>
        <v>2.1000000000000001E-4</v>
      </c>
    </row>
    <row r="29" spans="1:19" ht="18" customHeight="1" thickBot="1" x14ac:dyDescent="0.3">
      <c r="A29" s="151" t="s">
        <v>46</v>
      </c>
      <c r="B29" s="152"/>
      <c r="C29" s="152"/>
      <c r="D29" s="153"/>
      <c r="E29" s="102">
        <f t="shared" ref="E29:J29" si="3">IF(E36&lt;0.01%,ROUND(E28,5)+ROUND(E36,5),ROUND(E28,4)+ROUND(E36,4))</f>
        <v>0.30859999999999999</v>
      </c>
      <c r="F29" s="102">
        <f t="shared" si="3"/>
        <v>1.9990000000000001E-2</v>
      </c>
      <c r="G29" s="102">
        <f t="shared" si="3"/>
        <v>3.0009999999999998E-2</v>
      </c>
      <c r="H29" s="102">
        <f t="shared" si="3"/>
        <v>0.245</v>
      </c>
      <c r="I29" s="102">
        <f t="shared" si="3"/>
        <v>0.1118</v>
      </c>
      <c r="J29" s="102">
        <f t="shared" si="3"/>
        <v>0.11209999999999999</v>
      </c>
      <c r="K29" s="104">
        <f>IF(K36&lt;0.01%,ROUND(K28,5)+ROUND(K36,5),ROUND(K28,4)+ROUND(K36,4))</f>
        <v>9.0000000000000011E-3</v>
      </c>
      <c r="L29" s="104">
        <f>IF(L36&lt;0.01%,ROUND(L28,5)+ROUND(L36,5),ROUND(L28,4)+ROUND(L36,4))</f>
        <v>8.6999999999999994E-3</v>
      </c>
      <c r="M29" s="104">
        <f>IF(M36&lt;0.01%,ROUND(M28,5)+ROUND(M36,5),ROUND(M28,4)+ROUND(M36,4))</f>
        <v>3.0000000000000003E-4</v>
      </c>
      <c r="N29" s="119">
        <f>IF(N36&lt;0.01%,ROUND(N28,5)+ROUND(N36,5),ROUND(N28,4)+ROUND(N36,4))</f>
        <v>4.0000000000000003E-5</v>
      </c>
      <c r="O29" s="104">
        <f t="shared" ref="O29:S29" si="4">IF(O36&lt;0.01%,ROUND(O28,5)+ROUND(O36,5),ROUND(O28,4)+ROUND(O36,4))</f>
        <v>3.0000000000000003E-4</v>
      </c>
      <c r="P29" s="104">
        <f t="shared" si="4"/>
        <v>7.9999999999999993E-4</v>
      </c>
      <c r="Q29" s="104">
        <f t="shared" si="4"/>
        <v>7.9999999999999993E-4</v>
      </c>
      <c r="R29" s="119">
        <f t="shared" si="4"/>
        <v>7.0000000000000007E-5</v>
      </c>
      <c r="S29" s="104">
        <f t="shared" si="4"/>
        <v>3.0000000000000003E-4</v>
      </c>
    </row>
    <row r="30" spans="1:19" x14ac:dyDescent="0.25">
      <c r="E30" s="120"/>
      <c r="F30" s="120"/>
      <c r="G30" s="121"/>
      <c r="H30" s="120"/>
      <c r="I30" s="120"/>
      <c r="J30" s="120"/>
      <c r="K30" s="122"/>
      <c r="L30" s="122"/>
      <c r="M30" s="122"/>
      <c r="N30" s="123"/>
      <c r="O30" s="122"/>
      <c r="P30" s="122"/>
      <c r="Q30" s="122"/>
      <c r="R30" s="123"/>
      <c r="S30" s="122"/>
    </row>
    <row r="31" spans="1:19" x14ac:dyDescent="0.25">
      <c r="E31" s="120"/>
      <c r="F31" s="120"/>
      <c r="G31" s="121"/>
      <c r="H31" s="120"/>
      <c r="I31" s="120"/>
      <c r="J31" s="120"/>
      <c r="K31" s="122"/>
      <c r="L31" s="122"/>
      <c r="M31" s="122"/>
      <c r="N31" s="123"/>
      <c r="O31" s="122"/>
      <c r="P31" s="122"/>
      <c r="Q31" s="122"/>
      <c r="R31" s="123"/>
      <c r="S31" s="122"/>
    </row>
    <row r="32" spans="1:19" ht="15.75" thickBot="1" x14ac:dyDescent="0.3">
      <c r="E32" s="120"/>
      <c r="F32" s="120"/>
      <c r="G32" s="121"/>
      <c r="H32" s="120"/>
      <c r="I32" s="120"/>
      <c r="J32" s="120"/>
      <c r="K32" s="122"/>
      <c r="L32" s="122"/>
      <c r="M32" s="122"/>
      <c r="N32" s="122"/>
      <c r="O32" s="122"/>
      <c r="P32" s="122"/>
      <c r="Q32" s="122"/>
      <c r="R32" s="122"/>
      <c r="S32" s="122"/>
    </row>
    <row r="33" spans="1:19" ht="16.5" x14ac:dyDescent="0.25">
      <c r="A33" s="159" t="s">
        <v>56</v>
      </c>
      <c r="B33" s="160"/>
      <c r="C33" s="160"/>
      <c r="D33" s="161"/>
      <c r="E33" s="107">
        <f>(-0.00006*100*100*E$28*E$28+0.0162*100*E$28+0.4241)/100</f>
        <v>8.5609999999999992E-3</v>
      </c>
      <c r="F33" s="107"/>
      <c r="G33" s="107"/>
      <c r="H33" s="107"/>
      <c r="I33" s="108">
        <f>(-0.00002*10000*I$28*I$28+0.0025*100*I$28+0.6575)/100</f>
        <v>6.8154499999999998E-3</v>
      </c>
      <c r="J33" s="108">
        <f>(-0.0005*10000*J$28*J$28+0.0547*100*J$28+0.191)/100</f>
        <v>7.1022499999999992E-3</v>
      </c>
      <c r="K33" s="124">
        <f>(0.5+0.125*100*K$28)/100</f>
        <v>5.7519999999999993E-3</v>
      </c>
      <c r="L33" s="124">
        <f>(0.3+0.075*100*L$28)/100</f>
        <v>3.4336875000000001E-3</v>
      </c>
      <c r="M33" s="124">
        <f>(0.005+0.25*100*M$28)/100</f>
        <v>1.025E-4</v>
      </c>
      <c r="N33" s="125">
        <f>(0.000125+0.375*100*N$28)/100</f>
        <v>1.2500000000000002E-5</v>
      </c>
      <c r="O33" s="125">
        <f>(0.015+0.3*100*O$28)/100</f>
        <v>2.0999999999999998E-4</v>
      </c>
      <c r="P33" s="125">
        <f>(0.015+0.3*100*P$28)/100</f>
        <v>2.9999999999999997E-4</v>
      </c>
      <c r="Q33" s="125">
        <f>(0.015+0.3*100*Q$28)/100</f>
        <v>3.0810000000000001E-4</v>
      </c>
      <c r="R33" s="125">
        <f>(0.000125+0.375*100*R$28)/100</f>
        <v>2.0262499999999998E-5</v>
      </c>
      <c r="S33" s="126">
        <f>(0.015+0.3*100*S$28)/100</f>
        <v>2.13E-4</v>
      </c>
    </row>
    <row r="34" spans="1:19" ht="16.5" customHeight="1" x14ac:dyDescent="0.25">
      <c r="A34" s="142" t="s">
        <v>67</v>
      </c>
      <c r="B34" s="143"/>
      <c r="C34" s="143"/>
      <c r="D34" s="144"/>
      <c r="E34" s="109" t="str">
        <f t="shared" ref="E34" si="5">IF(OR(E28&lt;0.04,E28&gt;0.32),"SI","NO")</f>
        <v>NO</v>
      </c>
      <c r="F34" s="110" t="str">
        <f t="shared" ref="F34:J34" si="6">IF(OR(F28&lt;0.04,F28&gt;0.32),"SI","NO")</f>
        <v>SI</v>
      </c>
      <c r="G34" s="111" t="str">
        <f t="shared" si="6"/>
        <v>SI</v>
      </c>
      <c r="H34" s="110" t="str">
        <f t="shared" si="6"/>
        <v>NO</v>
      </c>
      <c r="I34" s="110" t="str">
        <f t="shared" si="6"/>
        <v>NO</v>
      </c>
      <c r="J34" s="112" t="str">
        <f t="shared" si="6"/>
        <v>NO</v>
      </c>
      <c r="K34" s="127"/>
      <c r="L34" s="128"/>
      <c r="M34" s="128"/>
      <c r="N34" s="128"/>
      <c r="O34" s="128"/>
      <c r="P34" s="128"/>
      <c r="Q34" s="128"/>
      <c r="R34" s="128"/>
      <c r="S34" s="129"/>
    </row>
    <row r="35" spans="1:19" ht="17.25" customHeight="1" x14ac:dyDescent="0.25">
      <c r="A35" s="145" t="s">
        <v>68</v>
      </c>
      <c r="B35" s="146"/>
      <c r="C35" s="146"/>
      <c r="D35" s="147"/>
      <c r="E35" s="113"/>
      <c r="F35" s="113"/>
      <c r="G35" s="114"/>
      <c r="H35" s="113"/>
      <c r="I35" s="113"/>
      <c r="J35" s="115"/>
      <c r="K35" s="130" t="str">
        <f t="shared" ref="K35:R35" si="7">IF(K33&gt;K28/2,"SI","NO")</f>
        <v>SI</v>
      </c>
      <c r="L35" s="131" t="str">
        <f t="shared" si="7"/>
        <v>SI</v>
      </c>
      <c r="M35" s="131" t="str">
        <f t="shared" si="7"/>
        <v>NO</v>
      </c>
      <c r="N35" s="132" t="str">
        <f t="shared" si="7"/>
        <v>NO</v>
      </c>
      <c r="O35" s="131" t="str">
        <f t="shared" si="7"/>
        <v>SI</v>
      </c>
      <c r="P35" s="131" t="str">
        <f t="shared" si="7"/>
        <v>SI</v>
      </c>
      <c r="Q35" s="131" t="str">
        <f t="shared" si="7"/>
        <v>SI</v>
      </c>
      <c r="R35" s="132" t="str">
        <f t="shared" si="7"/>
        <v>NO</v>
      </c>
      <c r="S35" s="133" t="str">
        <f>IF(S33&gt;S28/2,"SI","NO")</f>
        <v>SI</v>
      </c>
    </row>
    <row r="36" spans="1:19" ht="17.25" thickBot="1" x14ac:dyDescent="0.3">
      <c r="A36" s="148" t="s">
        <v>57</v>
      </c>
      <c r="B36" s="149"/>
      <c r="C36" s="149"/>
      <c r="D36" s="150"/>
      <c r="E36" s="116">
        <f>IF(E34="NO",E33,IF(E28&lt;0.04,0.0049,0.0088))</f>
        <v>8.5609999999999992E-3</v>
      </c>
      <c r="F36" s="117"/>
      <c r="G36" s="117"/>
      <c r="H36" s="117"/>
      <c r="I36" s="117">
        <f>IF(I34="NO",I33,IF(I28&lt;0.04,0.0067,0.0076))</f>
        <v>6.8154499999999998E-3</v>
      </c>
      <c r="J36" s="117">
        <f>IF(J34="NO",J33,IF(J28&lt;0.04,0.0041,0.0144))</f>
        <v>7.1022499999999992E-3</v>
      </c>
      <c r="K36" s="134">
        <f t="shared" ref="K36:R36" si="8">IF(K35="SI",K28/2,K33)</f>
        <v>3.0079999999999998E-3</v>
      </c>
      <c r="L36" s="134">
        <f t="shared" si="8"/>
        <v>2.8912499999999997E-3</v>
      </c>
      <c r="M36" s="134">
        <f t="shared" si="8"/>
        <v>1.025E-4</v>
      </c>
      <c r="N36" s="135">
        <f t="shared" si="8"/>
        <v>1.2500000000000002E-5</v>
      </c>
      <c r="O36" s="135">
        <f t="shared" si="8"/>
        <v>1E-4</v>
      </c>
      <c r="P36" s="135">
        <f t="shared" si="8"/>
        <v>2.5000000000000001E-4</v>
      </c>
      <c r="Q36" s="135">
        <f t="shared" si="8"/>
        <v>2.6350000000000001E-4</v>
      </c>
      <c r="R36" s="135">
        <f t="shared" si="8"/>
        <v>2.0262499999999998E-5</v>
      </c>
      <c r="S36" s="136">
        <f>IF(S35="SI",S28/2,S33)</f>
        <v>1.05E-4</v>
      </c>
    </row>
    <row r="37" spans="1:19" x14ac:dyDescent="0.25">
      <c r="A37" s="106" t="s">
        <v>58</v>
      </c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</row>
    <row r="38" spans="1:19" x14ac:dyDescent="0.25">
      <c r="A38" s="106" t="s">
        <v>59</v>
      </c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</row>
    <row r="39" spans="1:19" ht="15.75" thickBot="1" x14ac:dyDescent="0.3"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</row>
    <row r="40" spans="1:19" ht="17.25" thickBot="1" x14ac:dyDescent="0.3">
      <c r="A40" s="159" t="s">
        <v>60</v>
      </c>
      <c r="B40" s="160"/>
      <c r="C40" s="160"/>
      <c r="D40" s="161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</row>
    <row r="41" spans="1:19" ht="16.5" x14ac:dyDescent="0.25">
      <c r="A41" s="142" t="s">
        <v>61</v>
      </c>
      <c r="B41" s="143"/>
      <c r="C41" s="143"/>
      <c r="D41" s="179"/>
      <c r="E41" s="107">
        <f>(-0.0005*100*100*E$28*E$28+0.0413*100*E$28+0.6533)/100</f>
        <v>1.4423000000000002E-2</v>
      </c>
      <c r="F41" s="107">
        <f>(-0.0005*100*100*F$28*F$28+0.0413*100*F$28+0.6533)/100</f>
        <v>7.3386541561279994E-3</v>
      </c>
      <c r="G41" s="108">
        <f>(-0.0005*10000*G$28*G$28+0.0413*100*G$28+0.6533)/100</f>
        <v>7.727206818542001E-3</v>
      </c>
      <c r="H41" s="108">
        <f>(-0.0005*10000*H$28*H$28+0.0413*100*H$28+0.6533)/100</f>
        <v>1.3650250000000001E-2</v>
      </c>
      <c r="I41" s="108">
        <f>(-0.0005*10000*I$28*I$28+0.0413*100*I$28+0.6533)/100</f>
        <v>1.0318249999999999E-2</v>
      </c>
      <c r="J41" s="108">
        <f>(-0.0007*10000*J$28*J$28+0.0769*100*J$28+0.3941)/100</f>
        <v>1.1243749999999999E-2</v>
      </c>
      <c r="K41" s="127"/>
      <c r="L41" s="129"/>
      <c r="M41" s="128"/>
      <c r="N41" s="128"/>
      <c r="O41" s="128"/>
      <c r="P41" s="128"/>
      <c r="Q41" s="128"/>
      <c r="R41" s="128"/>
      <c r="S41" s="129"/>
    </row>
    <row r="42" spans="1:19" ht="16.5" x14ac:dyDescent="0.25">
      <c r="A42" s="142" t="s">
        <v>62</v>
      </c>
      <c r="B42" s="143"/>
      <c r="C42" s="143"/>
      <c r="D42" s="179"/>
      <c r="E42" s="109" t="str">
        <f t="shared" ref="E42:J42" si="9">IF(OR(E37&lt;0.04,E37&gt;0.32),"SI","NO")</f>
        <v>SI</v>
      </c>
      <c r="F42" s="109" t="str">
        <f t="shared" si="9"/>
        <v>SI</v>
      </c>
      <c r="G42" s="110" t="str">
        <f t="shared" si="9"/>
        <v>SI</v>
      </c>
      <c r="H42" s="111" t="str">
        <f t="shared" si="9"/>
        <v>SI</v>
      </c>
      <c r="I42" s="110" t="str">
        <f t="shared" si="9"/>
        <v>SI</v>
      </c>
      <c r="J42" s="112" t="str">
        <f t="shared" si="9"/>
        <v>SI</v>
      </c>
      <c r="K42" s="137" t="s">
        <v>66</v>
      </c>
      <c r="L42" s="138" t="s">
        <v>66</v>
      </c>
      <c r="M42" s="128"/>
      <c r="N42" s="128"/>
      <c r="O42" s="128"/>
      <c r="P42" s="128"/>
      <c r="Q42" s="128"/>
      <c r="R42" s="128"/>
      <c r="S42" s="129"/>
    </row>
    <row r="43" spans="1:19" ht="16.5" x14ac:dyDescent="0.25">
      <c r="A43" s="180" t="s">
        <v>63</v>
      </c>
      <c r="B43" s="143"/>
      <c r="C43" s="143"/>
      <c r="D43" s="179"/>
      <c r="E43" s="113"/>
      <c r="F43" s="113"/>
      <c r="G43" s="113"/>
      <c r="H43" s="114"/>
      <c r="I43" s="113"/>
      <c r="J43" s="115"/>
      <c r="K43" s="127"/>
      <c r="L43" s="129"/>
      <c r="M43" s="109"/>
      <c r="N43" s="109"/>
      <c r="O43" s="109"/>
      <c r="P43" s="109"/>
      <c r="Q43" s="109"/>
      <c r="R43" s="109"/>
      <c r="S43" s="109"/>
    </row>
    <row r="44" spans="1:19" ht="17.25" thickBot="1" x14ac:dyDescent="0.3">
      <c r="A44" s="180" t="s">
        <v>64</v>
      </c>
      <c r="B44" s="143"/>
      <c r="C44" s="143"/>
      <c r="D44" s="179"/>
      <c r="E44" s="116">
        <f t="shared" ref="E44:I44" si="10">IF(E42="NO",E41,IF(E37&lt;0.04,0.0081,0.0146))</f>
        <v>8.0999999999999996E-3</v>
      </c>
      <c r="F44" s="116">
        <f t="shared" si="10"/>
        <v>8.0999999999999996E-3</v>
      </c>
      <c r="G44" s="117">
        <f t="shared" si="10"/>
        <v>8.0999999999999996E-3</v>
      </c>
      <c r="H44" s="117">
        <f t="shared" si="10"/>
        <v>8.0999999999999996E-3</v>
      </c>
      <c r="I44" s="117">
        <f t="shared" si="10"/>
        <v>8.0999999999999996E-3</v>
      </c>
      <c r="J44" s="117">
        <f>IF(J42="NO",J41,IF(J37&lt;0.04,0.0069,0.0214))</f>
        <v>6.8999999999999999E-3</v>
      </c>
      <c r="K44" s="127"/>
      <c r="L44" s="129"/>
      <c r="M44" s="137" t="str">
        <f>IF(M28&gt;=0.02%,"SI","NO")</f>
        <v>SI</v>
      </c>
      <c r="N44" s="139" t="str">
        <f>IF(N28=N23,"SI","NO")</f>
        <v>SI</v>
      </c>
      <c r="O44" s="139" t="str">
        <f>IF(O28&gt;=0.01%,"SI","NO")</f>
        <v>SI</v>
      </c>
      <c r="P44" s="139" t="str">
        <f>IF(P28&gt;=0.01%,"SI","NO")</f>
        <v>SI</v>
      </c>
      <c r="Q44" s="139" t="str">
        <f>IF(Q28&gt;=0.01%,"SI","NO")</f>
        <v>SI</v>
      </c>
      <c r="R44" s="139" t="str">
        <f>IF(R28&gt;=0.005%,"SI","NO")</f>
        <v>SI</v>
      </c>
      <c r="S44" s="139" t="str">
        <f>IF(S28&gt;=0.02%,"SI","NO")</f>
        <v>SI</v>
      </c>
    </row>
    <row r="46" spans="1:19" x14ac:dyDescent="0.25">
      <c r="A46" s="106" t="s">
        <v>65</v>
      </c>
    </row>
  </sheetData>
  <mergeCells count="20">
    <mergeCell ref="A40:D40"/>
    <mergeCell ref="A41:D41"/>
    <mergeCell ref="A42:D42"/>
    <mergeCell ref="A43:D43"/>
    <mergeCell ref="A44:D44"/>
    <mergeCell ref="A34:D34"/>
    <mergeCell ref="A35:D35"/>
    <mergeCell ref="A36:D36"/>
    <mergeCell ref="A29:D29"/>
    <mergeCell ref="A1:S1"/>
    <mergeCell ref="A2:S2"/>
    <mergeCell ref="A3:S3"/>
    <mergeCell ref="A19:B19"/>
    <mergeCell ref="A33:D33"/>
    <mergeCell ref="A23:D23"/>
    <mergeCell ref="A25:D25"/>
    <mergeCell ref="A28:D28"/>
    <mergeCell ref="A27:D27"/>
    <mergeCell ref="K5:S5"/>
    <mergeCell ref="A22:B22"/>
  </mergeCells>
  <pageMargins left="7.874015748031496E-2" right="0" top="1.7322834645669292" bottom="0.74803149606299213" header="0.31496062992125984" footer="0.31496062992125984"/>
  <pageSetup scale="63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1-CRECIMIENTO 30-10-10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DIRECCION TECNICA</cp:lastModifiedBy>
  <cp:lastPrinted>2024-05-20T19:23:43Z</cp:lastPrinted>
  <dcterms:created xsi:type="dcterms:W3CDTF">2021-10-20T23:05:00Z</dcterms:created>
  <dcterms:modified xsi:type="dcterms:W3CDTF">2024-09-20T14:20:10Z</dcterms:modified>
</cp:coreProperties>
</file>