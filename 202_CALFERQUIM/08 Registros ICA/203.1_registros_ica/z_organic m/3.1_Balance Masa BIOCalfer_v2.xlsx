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Z:\201_calferquim\203_areas\203.1_registros_ica\z_organic m\"/>
    </mc:Choice>
  </mc:AlternateContent>
  <xr:revisionPtr revIDLastSave="0" documentId="13_ncr:1_{FFDB5287-80AA-4BE7-B48C-9EAA0B224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O CALF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3" l="1"/>
  <c r="M31" i="3"/>
  <c r="D22" i="3"/>
  <c r="D21" i="3"/>
  <c r="D19" i="3"/>
  <c r="D18" i="3"/>
  <c r="D17" i="3"/>
  <c r="M17" i="3" s="1"/>
  <c r="D16" i="3"/>
  <c r="S16" i="3" s="1"/>
  <c r="D15" i="3"/>
  <c r="M15" i="3" s="1"/>
  <c r="D14" i="3"/>
  <c r="M14" i="3" s="1"/>
  <c r="D13" i="3"/>
  <c r="M13" i="3" s="1"/>
  <c r="D12" i="3"/>
  <c r="M12" i="3" s="1"/>
  <c r="D11" i="3"/>
  <c r="N11" i="3" s="1"/>
  <c r="D10" i="3"/>
  <c r="D9" i="3"/>
  <c r="J9" i="3" s="1"/>
  <c r="D8" i="3"/>
  <c r="I8" i="3" s="1"/>
  <c r="D7" i="3"/>
  <c r="I7" i="3" s="1"/>
  <c r="M10" i="3"/>
  <c r="L18" i="3"/>
  <c r="U19" i="3"/>
  <c r="M19" i="3"/>
  <c r="E19" i="3"/>
  <c r="E18" i="3"/>
  <c r="P13" i="3"/>
  <c r="R15" i="3" l="1"/>
  <c r="T17" i="3"/>
  <c r="O12" i="3"/>
  <c r="I19" i="3"/>
  <c r="Q19" i="3"/>
  <c r="H18" i="3"/>
  <c r="F18" i="3" s="1"/>
  <c r="J19" i="3"/>
  <c r="R19" i="3"/>
  <c r="Q14" i="3"/>
  <c r="K18" i="3"/>
  <c r="K19" i="3"/>
  <c r="G9" i="3"/>
  <c r="F9" i="3" s="1"/>
  <c r="L10" i="3"/>
  <c r="J8" i="3"/>
  <c r="J18" i="3"/>
  <c r="H19" i="3"/>
  <c r="F19" i="3" s="1"/>
  <c r="L19" i="3"/>
  <c r="H7" i="3"/>
  <c r="F7" i="3" s="1"/>
  <c r="U24" i="3" l="1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R30" i="3"/>
  <c r="R33" i="3" s="1"/>
  <c r="R35" i="3" s="1"/>
  <c r="R36" i="3" s="1"/>
  <c r="Q30" i="3"/>
  <c r="Q33" i="3" s="1"/>
  <c r="Q35" i="3" s="1"/>
  <c r="Q36" i="3" s="1"/>
  <c r="Q29" i="3" s="1"/>
  <c r="A30" i="3"/>
  <c r="R45" i="3" l="1"/>
  <c r="Q45" i="3"/>
  <c r="R31" i="3"/>
  <c r="R29" i="3"/>
  <c r="Q31" i="3"/>
  <c r="C23" i="3" l="1"/>
  <c r="D23" i="3"/>
  <c r="I30" i="3"/>
  <c r="I31" i="3" s="1"/>
  <c r="T30" i="3"/>
  <c r="K30" i="3"/>
  <c r="K31" i="3" s="1"/>
  <c r="E24" i="3"/>
  <c r="E30" i="3" s="1"/>
  <c r="E31" i="3" s="1"/>
  <c r="F30" i="3"/>
  <c r="F31" i="3" s="1"/>
  <c r="H30" i="3"/>
  <c r="H31" i="3" s="1"/>
  <c r="S30" i="3"/>
  <c r="P30" i="3"/>
  <c r="O30" i="3"/>
  <c r="O45" i="3" s="1"/>
  <c r="N30" i="3"/>
  <c r="N45" i="3" s="1"/>
  <c r="L30" i="3"/>
  <c r="L31" i="3" s="1"/>
  <c r="G30" i="3"/>
  <c r="G31" i="3" s="1"/>
  <c r="P33" i="3" l="1"/>
  <c r="P35" i="3" s="1"/>
  <c r="P36" i="3" s="1"/>
  <c r="P29" i="3" s="1"/>
  <c r="P45" i="3"/>
  <c r="O33" i="3"/>
  <c r="O35" i="3" s="1"/>
  <c r="O36" i="3" s="1"/>
  <c r="O31" i="3" s="1"/>
  <c r="S33" i="3"/>
  <c r="S35" i="3" s="1"/>
  <c r="S36" i="3" s="1"/>
  <c r="S31" i="3" s="1"/>
  <c r="S45" i="3"/>
  <c r="N33" i="3"/>
  <c r="N35" i="3" s="1"/>
  <c r="N36" i="3" s="1"/>
  <c r="N31" i="3" s="1"/>
  <c r="T33" i="3"/>
  <c r="T35" i="3" s="1"/>
  <c r="T36" i="3" s="1"/>
  <c r="T31" i="3" s="1"/>
  <c r="T45" i="3"/>
  <c r="P31" i="3"/>
  <c r="N29" i="3" l="1"/>
  <c r="S29" i="3"/>
  <c r="T29" i="3"/>
  <c r="O29" i="3"/>
</calcChain>
</file>

<file path=xl/sharedStrings.xml><?xml version="1.0" encoding="utf-8"?>
<sst xmlns="http://schemas.openxmlformats.org/spreadsheetml/2006/main" count="85" uniqueCount="76">
  <si>
    <t>MATERIA PRIMA</t>
  </si>
  <si>
    <t>Composición</t>
  </si>
  <si>
    <t>Kg/Ton</t>
  </si>
  <si>
    <t>SUMATORIA</t>
  </si>
  <si>
    <t>%/100 Kg</t>
  </si>
  <si>
    <t>Nitrógeno Total (N)</t>
  </si>
  <si>
    <t>Nitrógeno Nítrico (N)</t>
  </si>
  <si>
    <t>Boro (B)</t>
  </si>
  <si>
    <t>Hierro (Fe)</t>
  </si>
  <si>
    <t>Manganeso (Mn)</t>
  </si>
  <si>
    <t>Molibdeno (Mo)</t>
  </si>
  <si>
    <t>ADITIVOS E INERTES</t>
  </si>
  <si>
    <t>SULFATO DE MANGANESO</t>
  </si>
  <si>
    <r>
      <t>Potasio Soluble (K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O)</t>
    </r>
  </si>
  <si>
    <t>Cobre (Cu)</t>
  </si>
  <si>
    <t>Zinc (Zn)</t>
  </si>
  <si>
    <t>SULFATO DE COBRE</t>
  </si>
  <si>
    <t xml:space="preserve">SULFATO DE ZINC </t>
  </si>
  <si>
    <t>35% Zn + 16% S</t>
  </si>
  <si>
    <t>25% Cu + 13% S</t>
  </si>
  <si>
    <t>31% Mn + 18% S</t>
  </si>
  <si>
    <t>ACIDO BORICO</t>
  </si>
  <si>
    <r>
      <t>NITRATO DE POTASIO (KNO</t>
    </r>
    <r>
      <rPr>
        <b/>
        <vertAlign val="subscript"/>
        <sz val="8"/>
        <color theme="1"/>
        <rFont val="Segoe UI"/>
        <family val="2"/>
      </rPr>
      <t>3</t>
    </r>
    <r>
      <rPr>
        <b/>
        <sz val="8"/>
        <color theme="1"/>
        <rFont val="Segoe UI"/>
        <family val="2"/>
      </rPr>
      <t xml:space="preserve">) </t>
    </r>
  </si>
  <si>
    <t>TOTAL CALFERQUIM S.A.S</t>
  </si>
  <si>
    <t>Cobalto (Co)</t>
  </si>
  <si>
    <t xml:space="preserve"> 32% MgO + 26% S</t>
  </si>
  <si>
    <t>SULFATO DE COBALTO</t>
  </si>
  <si>
    <t>17,5% B</t>
  </si>
  <si>
    <t>MOLIBDATO DE SODIO</t>
  </si>
  <si>
    <t>39% Mo</t>
  </si>
  <si>
    <t>Magnesio (MgO)</t>
  </si>
  <si>
    <t>Azufre (S)</t>
  </si>
  <si>
    <t xml:space="preserve">SULFATO MAGNESIO ANHIDRO  </t>
  </si>
  <si>
    <t>Tolerancia Mínima NTC 1061:2020</t>
  </si>
  <si>
    <t>Tolerancia Máxima NTC 1061:2020</t>
  </si>
  <si>
    <t>CALFERQUIM S.A.S</t>
  </si>
  <si>
    <t>BALANCE DE MATERIAS PRIMAS</t>
  </si>
  <si>
    <t>20% Co + 11% S</t>
  </si>
  <si>
    <t>RESULTADOS ANÁLISIS No. CC-34020</t>
  </si>
  <si>
    <t>Carbono Orgánico Oxidable Total (C)</t>
  </si>
  <si>
    <t>Calcio (CaO)</t>
  </si>
  <si>
    <t>Sodio (Na)</t>
  </si>
  <si>
    <r>
      <t>33,20% C + 1,75% N Total + 3,78% K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 xml:space="preserve">O Total + 1,78% CaO + 1,14 MgO </t>
    </r>
  </si>
  <si>
    <r>
      <t>13.7% N + 46%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</si>
  <si>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r>
      <t>52%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 xml:space="preserve">5 </t>
    </r>
    <r>
      <rPr>
        <b/>
        <sz val="8"/>
        <color theme="1"/>
        <rFont val="Segoe UI"/>
        <family val="2"/>
      </rPr>
      <t>+ 34% K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</si>
  <si>
    <t>FOSFATO MONOPOTASICO (MKP)</t>
  </si>
  <si>
    <r>
      <t>28,40% C + 1,90% N Total + 0,66% P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0</t>
    </r>
    <r>
      <rPr>
        <b/>
        <vertAlign val="subscript"/>
        <sz val="8"/>
        <color theme="1"/>
        <rFont val="Arial"/>
        <family val="2"/>
      </rPr>
      <t>5</t>
    </r>
    <r>
      <rPr>
        <b/>
        <sz val="8"/>
        <color theme="1"/>
        <rFont val="Arial"/>
        <family val="2"/>
      </rPr>
      <t xml:space="preserve"> Total + 14,50% K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O Total + 3,02% CaO + 2,19 MgO + 2,27% S Total + 0,44% Na + 1,70 % SiO</t>
    </r>
    <r>
      <rPr>
        <b/>
        <vertAlign val="subscript"/>
        <sz val="8"/>
        <color theme="1"/>
        <rFont val="Arial"/>
        <family val="2"/>
      </rPr>
      <t xml:space="preserve">2 </t>
    </r>
    <r>
      <rPr>
        <b/>
        <sz val="8"/>
        <color theme="1"/>
        <rFont val="Arial"/>
        <family val="2"/>
      </rPr>
      <t xml:space="preserve">Total + 0,10% Fe + 0,0294% Mn </t>
    </r>
  </si>
  <si>
    <t>ALGAS MARINAS</t>
  </si>
  <si>
    <t>UREA FOSFATO</t>
  </si>
  <si>
    <r>
      <t>18% N + 44% P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O</t>
    </r>
    <r>
      <rPr>
        <b/>
        <vertAlign val="subscript"/>
        <sz val="8"/>
        <color theme="1"/>
        <rFont val="Segoe UI"/>
        <family val="2"/>
      </rPr>
      <t>5</t>
    </r>
  </si>
  <si>
    <t>30% Fe +18 % S</t>
  </si>
  <si>
    <t>ELEMENTOS TOTALES</t>
  </si>
  <si>
    <r>
      <t>Fósforo Total (P</t>
    </r>
    <r>
      <rPr>
        <b/>
        <vertAlign val="subscript"/>
        <sz val="9"/>
        <color theme="1"/>
        <rFont val="Segoe UI"/>
        <family val="2"/>
      </rPr>
      <t>2</t>
    </r>
    <r>
      <rPr>
        <b/>
        <sz val="9"/>
        <color theme="1"/>
        <rFont val="Segoe UI"/>
        <family val="2"/>
      </rPr>
      <t>O</t>
    </r>
    <r>
      <rPr>
        <b/>
        <vertAlign val="subscript"/>
        <sz val="9"/>
        <color theme="1"/>
        <rFont val="Segoe UI"/>
        <family val="2"/>
      </rPr>
      <t>5</t>
    </r>
    <r>
      <rPr>
        <b/>
        <sz val="9"/>
        <color theme="1"/>
        <rFont val="Segoe UI"/>
        <family val="2"/>
      </rPr>
      <t>)</t>
    </r>
  </si>
  <si>
    <t>DIÓXIDO SILICIO (PIROSIL PS 300)</t>
  </si>
  <si>
    <r>
      <t>98% SiO</t>
    </r>
    <r>
      <rPr>
        <b/>
        <vertAlign val="subscript"/>
        <sz val="8"/>
        <color theme="1"/>
        <rFont val="Arial"/>
        <family val="2"/>
      </rPr>
      <t>2</t>
    </r>
  </si>
  <si>
    <t>TOTALES</t>
  </si>
  <si>
    <t>SOLUBLES</t>
  </si>
  <si>
    <t>E.D.T.A</t>
  </si>
  <si>
    <t>No se garantizan estos elementos, por no estar dentro de los</t>
  </si>
  <si>
    <t>SULFATO FERROSO</t>
  </si>
  <si>
    <t>VINAZA (BIORGANIK)</t>
  </si>
  <si>
    <t>parametros mínimos garantizables. Resolución ICA 0150 / anexo 11</t>
  </si>
  <si>
    <t>Tolerancia calculada</t>
  </si>
  <si>
    <t>Tolerancia permitida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</si>
  <si>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</si>
  <si>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</si>
  <si>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</si>
  <si>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</si>
  <si>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</si>
  <si>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</si>
  <si>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</si>
  <si>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</si>
  <si>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</si>
  <si>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NA</t>
  </si>
  <si>
    <t>Nitrógeno Orgánico (N)</t>
  </si>
  <si>
    <t>BIOCalfer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</si>
</sst>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%"/>
    <numFmt numFmtId="165" formatCode="0.0"/>
    <numFmt numFmtId="166" formatCode="0.000000000%"/>
  </numFmts>
  <fonts count="3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vertAlign val="subscript"/>
      <sz val="9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b/>
      <sz val="8"/>
      <color theme="1"/>
      <name val="Arial"/>
      <family val="2"/>
    </font>
    <font>
      <b/>
      <vertAlign val="subscript"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8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5" tint="0.7999816888943144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63">
    <xf numFmtId="0" fontId="0" fillId="0" borderId="0" xfId="0"/>
    <xf numFmtId="0" fontId="1" fillId="0" borderId="0" xfId="0" applyFont="1"/>
    <xf numFmtId="10" fontId="6" fillId="0" borderId="5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6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8" xfId="0" applyFont="1" applyBorder="1"/>
    <xf numFmtId="0" fontId="5" fillId="4" borderId="14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65" fontId="6" fillId="6" borderId="12" xfId="0" applyNumberFormat="1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 wrapText="1"/>
    </xf>
    <xf numFmtId="0" fontId="0" fillId="9" borderId="0" xfId="0" applyFill="1"/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2" fontId="22" fillId="10" borderId="6" xfId="0" applyNumberFormat="1" applyFont="1" applyFill="1" applyBorder="1" applyAlignment="1">
      <alignment vertical="center"/>
    </xf>
    <xf numFmtId="0" fontId="23" fillId="0" borderId="0" xfId="0" applyFont="1"/>
    <xf numFmtId="2" fontId="22" fillId="10" borderId="54" xfId="0" applyNumberFormat="1" applyFont="1" applyFill="1" applyBorder="1" applyAlignment="1">
      <alignment vertical="center"/>
    </xf>
    <xf numFmtId="2" fontId="22" fillId="10" borderId="20" xfId="0" applyNumberFormat="1" applyFont="1" applyFill="1" applyBorder="1" applyAlignment="1">
      <alignment vertical="center"/>
    </xf>
    <xf numFmtId="10" fontId="24" fillId="3" borderId="46" xfId="1" applyNumberFormat="1" applyFont="1" applyFill="1" applyBorder="1" applyAlignment="1">
      <alignment horizontal="center" vertical="center"/>
    </xf>
    <xf numFmtId="10" fontId="24" fillId="3" borderId="18" xfId="1" applyNumberFormat="1" applyFont="1" applyFill="1" applyBorder="1" applyAlignment="1">
      <alignment horizontal="center" vertical="center"/>
    </xf>
    <xf numFmtId="10" fontId="24" fillId="7" borderId="28" xfId="1" applyNumberFormat="1" applyFont="1" applyFill="1" applyBorder="1" applyAlignment="1">
      <alignment horizontal="center" vertical="center"/>
    </xf>
    <xf numFmtId="10" fontId="24" fillId="7" borderId="23" xfId="1" applyNumberFormat="1" applyFont="1" applyFill="1" applyBorder="1" applyAlignment="1">
      <alignment horizontal="center" vertical="center"/>
    </xf>
    <xf numFmtId="10" fontId="25" fillId="7" borderId="28" xfId="1" applyNumberFormat="1" applyFont="1" applyFill="1" applyBorder="1" applyAlignment="1">
      <alignment horizontal="center" vertical="center"/>
    </xf>
    <xf numFmtId="10" fontId="25" fillId="7" borderId="23" xfId="1" applyNumberFormat="1" applyFont="1" applyFill="1" applyBorder="1" applyAlignment="1">
      <alignment horizontal="center" vertical="center"/>
    </xf>
    <xf numFmtId="2" fontId="26" fillId="8" borderId="25" xfId="0" applyNumberFormat="1" applyFont="1" applyFill="1" applyBorder="1" applyAlignment="1">
      <alignment horizontal="center" vertical="center"/>
    </xf>
    <xf numFmtId="2" fontId="27" fillId="10" borderId="6" xfId="0" applyNumberFormat="1" applyFont="1" applyFill="1" applyBorder="1" applyAlignment="1">
      <alignment vertical="center"/>
    </xf>
    <xf numFmtId="2" fontId="26" fillId="8" borderId="18" xfId="0" applyNumberFormat="1" applyFont="1" applyFill="1" applyBorder="1" applyAlignment="1">
      <alignment horizontal="center" vertical="center"/>
    </xf>
    <xf numFmtId="2" fontId="27" fillId="8" borderId="26" xfId="0" applyNumberFormat="1" applyFont="1" applyFill="1" applyBorder="1" applyAlignment="1">
      <alignment horizontal="center" vertical="center"/>
    </xf>
    <xf numFmtId="2" fontId="26" fillId="8" borderId="20" xfId="0" applyNumberFormat="1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10" fontId="4" fillId="3" borderId="4" xfId="1" applyNumberFormat="1" applyFont="1" applyFill="1" applyBorder="1" applyAlignment="1">
      <alignment horizontal="center" vertical="center"/>
    </xf>
    <xf numFmtId="164" fontId="4" fillId="3" borderId="4" xfId="1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10" fontId="24" fillId="2" borderId="28" xfId="0" applyNumberFormat="1" applyFont="1" applyFill="1" applyBorder="1" applyAlignment="1">
      <alignment horizontal="center" vertical="center"/>
    </xf>
    <xf numFmtId="10" fontId="28" fillId="2" borderId="28" xfId="0" applyNumberFormat="1" applyFont="1" applyFill="1" applyBorder="1" applyAlignment="1">
      <alignment horizontal="center" vertical="center"/>
    </xf>
    <xf numFmtId="10" fontId="28" fillId="2" borderId="29" xfId="0" applyNumberFormat="1" applyFont="1" applyFill="1" applyBorder="1" applyAlignment="1">
      <alignment horizontal="center" vertical="center"/>
    </xf>
    <xf numFmtId="10" fontId="28" fillId="2" borderId="30" xfId="0" applyNumberFormat="1" applyFont="1" applyFill="1" applyBorder="1" applyAlignment="1">
      <alignment horizontal="center" vertical="center"/>
    </xf>
    <xf numFmtId="164" fontId="28" fillId="2" borderId="28" xfId="0" applyNumberFormat="1" applyFont="1" applyFill="1" applyBorder="1" applyAlignment="1">
      <alignment horizontal="center" vertical="center"/>
    </xf>
    <xf numFmtId="10" fontId="24" fillId="2" borderId="23" xfId="0" applyNumberFormat="1" applyFont="1" applyFill="1" applyBorder="1" applyAlignment="1">
      <alignment horizontal="center" vertical="center"/>
    </xf>
    <xf numFmtId="10" fontId="28" fillId="2" borderId="23" xfId="0" applyNumberFormat="1" applyFont="1" applyFill="1" applyBorder="1" applyAlignment="1">
      <alignment horizontal="center" vertical="center"/>
    </xf>
    <xf numFmtId="10" fontId="28" fillId="2" borderId="24" xfId="0" applyNumberFormat="1" applyFont="1" applyFill="1" applyBorder="1" applyAlignment="1">
      <alignment horizontal="center" vertical="center"/>
    </xf>
    <xf numFmtId="10" fontId="28" fillId="2" borderId="31" xfId="0" applyNumberFormat="1" applyFont="1" applyFill="1" applyBorder="1" applyAlignment="1">
      <alignment horizontal="center" vertical="center"/>
    </xf>
    <xf numFmtId="164" fontId="28" fillId="2" borderId="23" xfId="0" applyNumberFormat="1" applyFont="1" applyFill="1" applyBorder="1" applyAlignment="1">
      <alignment horizontal="center" vertical="center"/>
    </xf>
    <xf numFmtId="164" fontId="24" fillId="7" borderId="28" xfId="1" applyNumberFormat="1" applyFont="1" applyFill="1" applyBorder="1" applyAlignment="1">
      <alignment horizontal="center" vertical="center"/>
    </xf>
    <xf numFmtId="164" fontId="24" fillId="3" borderId="18" xfId="1" applyNumberFormat="1" applyFont="1" applyFill="1" applyBorder="1" applyAlignment="1">
      <alignment horizontal="center" vertical="center"/>
    </xf>
    <xf numFmtId="164" fontId="24" fillId="7" borderId="23" xfId="1" applyNumberFormat="1" applyFont="1" applyFill="1" applyBorder="1" applyAlignment="1">
      <alignment horizontal="center" vertical="center"/>
    </xf>
    <xf numFmtId="0" fontId="30" fillId="0" borderId="0" xfId="0" applyFont="1"/>
    <xf numFmtId="164" fontId="30" fillId="0" borderId="0" xfId="0" applyNumberFormat="1" applyFont="1"/>
    <xf numFmtId="0" fontId="31" fillId="0" borderId="0" xfId="0" applyFont="1"/>
    <xf numFmtId="10" fontId="24" fillId="8" borderId="30" xfId="1" applyNumberFormat="1" applyFont="1" applyFill="1" applyBorder="1" applyAlignment="1">
      <alignment horizontal="center" vertical="center"/>
    </xf>
    <xf numFmtId="10" fontId="24" fillId="8" borderId="28" xfId="1" applyNumberFormat="1" applyFont="1" applyFill="1" applyBorder="1" applyAlignment="1">
      <alignment horizontal="center" vertical="center"/>
    </xf>
    <xf numFmtId="10" fontId="24" fillId="8" borderId="32" xfId="1" applyNumberFormat="1" applyFont="1" applyFill="1" applyBorder="1" applyAlignment="1">
      <alignment horizontal="center" vertical="center"/>
    </xf>
    <xf numFmtId="164" fontId="24" fillId="8" borderId="32" xfId="1" applyNumberFormat="1" applyFont="1" applyFill="1" applyBorder="1" applyAlignment="1">
      <alignment horizontal="center" vertical="center"/>
    </xf>
    <xf numFmtId="10" fontId="24" fillId="8" borderId="33" xfId="1" applyNumberFormat="1" applyFont="1" applyFill="1" applyBorder="1" applyAlignment="1">
      <alignment horizontal="center" vertical="center"/>
    </xf>
    <xf numFmtId="2" fontId="24" fillId="8" borderId="26" xfId="0" applyNumberFormat="1" applyFont="1" applyFill="1" applyBorder="1" applyAlignment="1">
      <alignment horizontal="center" vertical="center"/>
    </xf>
    <xf numFmtId="2" fontId="24" fillId="8" borderId="25" xfId="0" applyNumberFormat="1" applyFont="1" applyFill="1" applyBorder="1" applyAlignment="1">
      <alignment horizontal="center" vertical="center"/>
    </xf>
    <xf numFmtId="2" fontId="24" fillId="10" borderId="6" xfId="0" applyNumberFormat="1" applyFont="1" applyFill="1" applyBorder="1" applyAlignment="1">
      <alignment vertical="center"/>
    </xf>
    <xf numFmtId="2" fontId="24" fillId="10" borderId="20" xfId="0" applyNumberFormat="1" applyFont="1" applyFill="1" applyBorder="1" applyAlignment="1">
      <alignment vertical="center"/>
    </xf>
    <xf numFmtId="2" fontId="24" fillId="8" borderId="55" xfId="0" applyNumberFormat="1" applyFont="1" applyFill="1" applyBorder="1" applyAlignment="1">
      <alignment horizontal="center" vertical="center"/>
    </xf>
    <xf numFmtId="164" fontId="24" fillId="8" borderId="55" xfId="0" applyNumberFormat="1" applyFont="1" applyFill="1" applyBorder="1" applyAlignment="1">
      <alignment horizontal="center" vertical="center"/>
    </xf>
    <xf numFmtId="164" fontId="24" fillId="8" borderId="56" xfId="0" applyNumberFormat="1" applyFont="1" applyFill="1" applyBorder="1" applyAlignment="1">
      <alignment horizontal="center" vertical="center"/>
    </xf>
    <xf numFmtId="10" fontId="24" fillId="8" borderId="35" xfId="1" applyNumberFormat="1" applyFont="1" applyFill="1" applyBorder="1" applyAlignment="1">
      <alignment horizontal="center" vertical="center"/>
    </xf>
    <xf numFmtId="10" fontId="24" fillId="8" borderId="34" xfId="1" applyNumberFormat="1" applyFont="1" applyFill="1" applyBorder="1" applyAlignment="1">
      <alignment horizontal="center" vertical="center"/>
    </xf>
    <xf numFmtId="10" fontId="24" fillId="8" borderId="23" xfId="1" applyNumberFormat="1" applyFont="1" applyFill="1" applyBorder="1" applyAlignment="1">
      <alignment horizontal="center" vertical="center"/>
    </xf>
    <xf numFmtId="164" fontId="24" fillId="8" borderId="23" xfId="1" applyNumberFormat="1" applyFont="1" applyFill="1" applyBorder="1" applyAlignment="1">
      <alignment horizontal="center" vertical="center"/>
    </xf>
    <xf numFmtId="2" fontId="24" fillId="8" borderId="23" xfId="0" applyNumberFormat="1" applyFont="1" applyFill="1" applyBorder="1" applyAlignment="1">
      <alignment horizontal="center" vertical="center"/>
    </xf>
    <xf numFmtId="10" fontId="24" fillId="8" borderId="24" xfId="1" applyNumberFormat="1" applyFont="1" applyFill="1" applyBorder="1" applyAlignment="1">
      <alignment horizontal="center" vertical="center"/>
    </xf>
    <xf numFmtId="43" fontId="6" fillId="5" borderId="8" xfId="0" applyNumberFormat="1" applyFont="1" applyFill="1" applyBorder="1" applyAlignment="1">
      <alignment horizontal="left" vertical="center"/>
    </xf>
    <xf numFmtId="166" fontId="0" fillId="0" borderId="0" xfId="0" applyNumberFormat="1"/>
    <xf numFmtId="10" fontId="8" fillId="0" borderId="7" xfId="0" applyNumberFormat="1" applyFont="1" applyBorder="1" applyAlignment="1">
      <alignment horizontal="center" vertical="center"/>
    </xf>
    <xf numFmtId="9" fontId="6" fillId="0" borderId="5" xfId="1" applyFont="1" applyFill="1" applyBorder="1" applyAlignment="1">
      <alignment horizontal="center" vertical="center"/>
    </xf>
    <xf numFmtId="9" fontId="8" fillId="0" borderId="7" xfId="1" applyFont="1" applyFill="1" applyBorder="1" applyAlignment="1">
      <alignment horizontal="left" vertical="center"/>
    </xf>
    <xf numFmtId="10" fontId="8" fillId="0" borderId="57" xfId="0" applyNumberFormat="1" applyFont="1" applyBorder="1" applyAlignment="1">
      <alignment horizontal="center" vertical="center"/>
    </xf>
    <xf numFmtId="10" fontId="8" fillId="0" borderId="7" xfId="0" applyNumberFormat="1" applyFont="1" applyBorder="1"/>
    <xf numFmtId="10" fontId="6" fillId="0" borderId="19" xfId="0" applyNumberFormat="1" applyFont="1" applyBorder="1" applyAlignment="1">
      <alignment horizontal="center" vertical="center" wrapText="1"/>
    </xf>
    <xf numFmtId="10" fontId="8" fillId="0" borderId="13" xfId="0" applyNumberFormat="1" applyFont="1" applyBorder="1"/>
    <xf numFmtId="10" fontId="8" fillId="0" borderId="19" xfId="0" applyNumberFormat="1" applyFont="1" applyBorder="1"/>
    <xf numFmtId="10" fontId="6" fillId="0" borderId="19" xfId="0" applyNumberFormat="1" applyFont="1" applyBorder="1" applyAlignment="1">
      <alignment horizontal="center"/>
    </xf>
    <xf numFmtId="9" fontId="6" fillId="0" borderId="19" xfId="1" applyFont="1" applyFill="1" applyBorder="1" applyAlignment="1">
      <alignment horizontal="center" vertical="center" wrapText="1"/>
    </xf>
    <xf numFmtId="9" fontId="8" fillId="0" borderId="13" xfId="1" applyFont="1" applyFill="1" applyBorder="1"/>
    <xf numFmtId="10" fontId="6" fillId="0" borderId="19" xfId="0" applyNumberFormat="1" applyFont="1" applyBorder="1" applyAlignment="1">
      <alignment horizontal="center" vertical="center"/>
    </xf>
    <xf numFmtId="10" fontId="8" fillId="0" borderId="13" xfId="0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5" fontId="6" fillId="6" borderId="58" xfId="0" applyNumberFormat="1" applyFont="1" applyFill="1" applyBorder="1" applyAlignment="1">
      <alignment horizontal="center" vertical="center"/>
    </xf>
    <xf numFmtId="165" fontId="6" fillId="6" borderId="6" xfId="0" applyNumberFormat="1" applyFont="1" applyFill="1" applyBorder="1" applyAlignment="1">
      <alignment horizontal="center" vertical="center"/>
    </xf>
    <xf numFmtId="165" fontId="6" fillId="6" borderId="57" xfId="0" applyNumberFormat="1" applyFont="1" applyFill="1" applyBorder="1" applyAlignment="1">
      <alignment horizontal="center" vertical="center"/>
    </xf>
    <xf numFmtId="2" fontId="6" fillId="6" borderId="11" xfId="0" applyNumberFormat="1" applyFon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center" vertical="center"/>
    </xf>
    <xf numFmtId="2" fontId="6" fillId="6" borderId="7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3" borderId="43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4" fillId="3" borderId="45" xfId="0" applyFont="1" applyFill="1" applyBorder="1" applyAlignment="1">
      <alignment horizontal="center" vertical="center"/>
    </xf>
    <xf numFmtId="0" fontId="10" fillId="7" borderId="40" xfId="0" applyFont="1" applyFill="1" applyBorder="1" applyAlignment="1">
      <alignment horizontal="center" vertical="center"/>
    </xf>
    <xf numFmtId="0" fontId="10" fillId="7" borderId="41" xfId="0" applyFont="1" applyFill="1" applyBorder="1" applyAlignment="1">
      <alignment horizontal="center" vertical="center"/>
    </xf>
    <xf numFmtId="0" fontId="10" fillId="7" borderId="42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0" fontId="28" fillId="2" borderId="28" xfId="0" applyNumberFormat="1" applyFont="1" applyFill="1" applyBorder="1" applyAlignment="1">
      <alignment horizontal="center" vertical="center"/>
    </xf>
    <xf numFmtId="10" fontId="28" fillId="2" borderId="2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10" fontId="24" fillId="2" borderId="27" xfId="1" applyNumberFormat="1" applyFont="1" applyFill="1" applyBorder="1" applyAlignment="1">
      <alignment horizontal="center" vertical="center"/>
    </xf>
    <xf numFmtId="10" fontId="24" fillId="2" borderId="22" xfId="1" applyNumberFormat="1" applyFont="1" applyFill="1" applyBorder="1" applyAlignment="1">
      <alignment horizontal="center" vertical="center"/>
    </xf>
    <xf numFmtId="10" fontId="24" fillId="2" borderId="28" xfId="0" applyNumberFormat="1" applyFont="1" applyFill="1" applyBorder="1" applyAlignment="1">
      <alignment horizontal="center" vertical="center"/>
    </xf>
    <xf numFmtId="10" fontId="24" fillId="2" borderId="23" xfId="0" applyNumberFormat="1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8" borderId="48" xfId="0" applyFont="1" applyFill="1" applyBorder="1" applyAlignment="1">
      <alignment horizontal="center" vertical="center"/>
    </xf>
    <xf numFmtId="0" fontId="10" fillId="8" borderId="49" xfId="0" applyFont="1" applyFill="1" applyBorder="1" applyAlignment="1">
      <alignment horizontal="center" vertical="center"/>
    </xf>
    <xf numFmtId="0" fontId="10" fillId="8" borderId="36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0" fontId="10" fillId="8" borderId="50" xfId="0" applyFont="1" applyFill="1" applyBorder="1" applyAlignment="1">
      <alignment horizontal="center" vertical="center"/>
    </xf>
    <xf numFmtId="0" fontId="19" fillId="8" borderId="51" xfId="0" applyFont="1" applyFill="1" applyBorder="1" applyAlignment="1">
      <alignment horizontal="center" vertical="center" wrapText="1"/>
    </xf>
    <xf numFmtId="0" fontId="10" fillId="8" borderId="44" xfId="0" applyFont="1" applyFill="1" applyBorder="1" applyAlignment="1">
      <alignment horizontal="center" vertical="center"/>
    </xf>
    <xf numFmtId="0" fontId="10" fillId="8" borderId="52" xfId="0" applyFont="1" applyFill="1" applyBorder="1" applyAlignment="1">
      <alignment horizontal="center" vertical="center"/>
    </xf>
    <xf numFmtId="0" fontId="21" fillId="8" borderId="51" xfId="0" applyFont="1" applyFill="1" applyBorder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/>
    </xf>
    <xf numFmtId="0" fontId="9" fillId="8" borderId="52" xfId="0" applyFont="1" applyFill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53" xfId="0" applyFont="1" applyFill="1" applyBorder="1" applyAlignment="1">
      <alignment horizontal="center" vertical="center"/>
    </xf>
    <xf numFmtId="0" fontId="10" fillId="8" borderId="45" xfId="0" applyFont="1" applyFill="1" applyBorder="1" applyAlignment="1">
      <alignment horizontal="center" vertical="center"/>
    </xf>
    <xf numFmtId="0" fontId="20" fillId="8" borderId="51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">
    <dxf>
      <font>
        <b/>
        <i val="0"/>
        <color auto="1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U49"/>
  <sheetViews>
    <sheetView tabSelected="1" zoomScale="80" zoomScaleNormal="80" workbookViewId="0">
      <selection activeCell="T4" sqref="T1:T1048576"/>
    </sheetView>
  </sheetViews>
  <sheetFormatPr baseColWidth="10" defaultColWidth="11.42578125" defaultRowHeight="15" x14ac:dyDescent="0.25"/>
  <cols>
    <col min="1" max="1" width="35" bestFit="1" customWidth="1"/>
    <col min="2" max="2" width="32.7109375" bestFit="1" customWidth="1"/>
    <col min="3" max="3" width="8.140625" bestFit="1" customWidth="1"/>
    <col min="4" max="4" width="9.42578125" bestFit="1" customWidth="1"/>
    <col min="5" max="5" width="18" bestFit="1" customWidth="1"/>
    <col min="6" max="6" width="10.7109375" customWidth="1"/>
    <col min="7" max="7" width="10.42578125" customWidth="1"/>
    <col min="8" max="8" width="11.42578125" customWidth="1"/>
    <col min="9" max="9" width="9.140625" customWidth="1"/>
    <col min="10" max="10" width="9.140625" bestFit="1" customWidth="1"/>
    <col min="11" max="11" width="7.42578125" customWidth="1"/>
    <col min="12" max="12" width="10.42578125" customWidth="1"/>
    <col min="13" max="13" width="10.7109375" bestFit="1" customWidth="1"/>
    <col min="14" max="14" width="12.5703125" customWidth="1"/>
    <col min="15" max="15" width="8.85546875" customWidth="1"/>
    <col min="16" max="17" width="10.28515625" bestFit="1" customWidth="1"/>
    <col min="18" max="18" width="12.140625" customWidth="1"/>
    <col min="19" max="19" width="11.42578125" customWidth="1"/>
    <col min="20" max="20" width="9.42578125" customWidth="1"/>
    <col min="21" max="21" width="7.7109375" customWidth="1"/>
  </cols>
  <sheetData>
    <row r="1" spans="1:21" ht="18" x14ac:dyDescent="0.25">
      <c r="A1" s="131" t="s">
        <v>36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</row>
    <row r="2" spans="1:21" ht="23.25" x14ac:dyDescent="0.35">
      <c r="A2" s="132" t="s">
        <v>75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</row>
    <row r="3" spans="1:21" ht="20.25" x14ac:dyDescent="0.3">
      <c r="A3" s="133" t="s">
        <v>35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</row>
    <row r="4" spans="1:21" ht="21" thickBot="1" x14ac:dyDescent="0.3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16.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36" t="s">
        <v>51</v>
      </c>
      <c r="L5" s="137"/>
      <c r="M5" s="137"/>
      <c r="N5" s="137"/>
      <c r="O5" s="137"/>
      <c r="P5" s="137"/>
      <c r="Q5" s="137"/>
      <c r="R5" s="137"/>
      <c r="S5" s="137"/>
      <c r="T5" s="137"/>
      <c r="U5" s="138"/>
    </row>
    <row r="6" spans="1:21" ht="38.25" thickBot="1" x14ac:dyDescent="0.3">
      <c r="A6" s="7" t="s">
        <v>0</v>
      </c>
      <c r="B6" s="18" t="s">
        <v>1</v>
      </c>
      <c r="C6" s="19" t="s">
        <v>2</v>
      </c>
      <c r="D6" s="30" t="s">
        <v>4</v>
      </c>
      <c r="E6" s="48" t="s">
        <v>39</v>
      </c>
      <c r="F6" s="49" t="s">
        <v>5</v>
      </c>
      <c r="G6" s="50" t="s">
        <v>6</v>
      </c>
      <c r="H6" s="49" t="s">
        <v>74</v>
      </c>
      <c r="I6" s="32" t="s">
        <v>52</v>
      </c>
      <c r="J6" s="9" t="s">
        <v>13</v>
      </c>
      <c r="K6" s="32" t="s">
        <v>40</v>
      </c>
      <c r="L6" s="49" t="s">
        <v>30</v>
      </c>
      <c r="M6" s="49" t="s">
        <v>31</v>
      </c>
      <c r="N6" s="49" t="s">
        <v>7</v>
      </c>
      <c r="O6" s="49" t="s">
        <v>24</v>
      </c>
      <c r="P6" s="49" t="s">
        <v>14</v>
      </c>
      <c r="Q6" s="49" t="s">
        <v>8</v>
      </c>
      <c r="R6" s="49" t="s">
        <v>9</v>
      </c>
      <c r="S6" s="48" t="s">
        <v>10</v>
      </c>
      <c r="T6" s="49" t="s">
        <v>15</v>
      </c>
      <c r="U6" s="9" t="s">
        <v>41</v>
      </c>
    </row>
    <row r="7" spans="1:21" ht="15.75" thickBot="1" x14ac:dyDescent="0.3">
      <c r="A7" s="15" t="s">
        <v>48</v>
      </c>
      <c r="B7" s="12" t="s">
        <v>49</v>
      </c>
      <c r="C7" s="109">
        <v>82.1</v>
      </c>
      <c r="D7" s="112">
        <f>C7/10</f>
        <v>8.2099999999999991</v>
      </c>
      <c r="E7" s="107"/>
      <c r="F7" s="106">
        <f>SUM(G7:H7)</f>
        <v>1.4777999999999998E-2</v>
      </c>
      <c r="G7" s="106"/>
      <c r="H7" s="106">
        <f>$D7*18/10000</f>
        <v>1.4777999999999998E-2</v>
      </c>
      <c r="I7" s="106">
        <f>$D7*44/10000</f>
        <v>3.6123999999999996E-2</v>
      </c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</row>
    <row r="8" spans="1:21" ht="15.75" thickBot="1" x14ac:dyDescent="0.3">
      <c r="A8" s="15" t="s">
        <v>45</v>
      </c>
      <c r="B8" s="14" t="s">
        <v>44</v>
      </c>
      <c r="C8" s="110">
        <v>33.799999999999997</v>
      </c>
      <c r="D8" s="113">
        <f t="shared" ref="D8:D22" si="0">C8/10</f>
        <v>3.38</v>
      </c>
      <c r="E8" s="107"/>
      <c r="F8" s="106"/>
      <c r="G8" s="106"/>
      <c r="H8" s="106"/>
      <c r="I8" s="106">
        <f>$D8*52/10000</f>
        <v>1.7575999999999998E-2</v>
      </c>
      <c r="J8" s="106">
        <f>$D8*34/10000</f>
        <v>1.1492E-2</v>
      </c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</row>
    <row r="9" spans="1:21" ht="15.75" customHeight="1" thickBot="1" x14ac:dyDescent="0.3">
      <c r="A9" s="16" t="s">
        <v>22</v>
      </c>
      <c r="B9" s="13" t="s">
        <v>43</v>
      </c>
      <c r="C9" s="110">
        <v>188.4</v>
      </c>
      <c r="D9" s="113">
        <f t="shared" si="0"/>
        <v>18.84</v>
      </c>
      <c r="E9" s="107"/>
      <c r="F9" s="106">
        <f>SUM(G9:H9)</f>
        <v>2.5810800000000002E-2</v>
      </c>
      <c r="G9" s="106">
        <f>$D9*13.7/10000</f>
        <v>2.5810800000000002E-2</v>
      </c>
      <c r="H9" s="106"/>
      <c r="I9" s="106"/>
      <c r="J9" s="106">
        <f>$D9*46/10000</f>
        <v>8.6664000000000005E-2</v>
      </c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</row>
    <row r="10" spans="1:21" ht="15.75" customHeight="1" thickBot="1" x14ac:dyDescent="0.3">
      <c r="A10" s="15" t="s">
        <v>32</v>
      </c>
      <c r="B10" s="14" t="s">
        <v>25</v>
      </c>
      <c r="C10" s="110">
        <v>10.1</v>
      </c>
      <c r="D10" s="113">
        <f t="shared" si="0"/>
        <v>1.01</v>
      </c>
      <c r="E10" s="107"/>
      <c r="F10" s="106"/>
      <c r="G10" s="106"/>
      <c r="H10" s="106"/>
      <c r="I10" s="106"/>
      <c r="J10" s="106"/>
      <c r="K10" s="106"/>
      <c r="L10" s="106">
        <f>$D10*32/10000</f>
        <v>3.2320000000000001E-3</v>
      </c>
      <c r="M10" s="106">
        <f>$D10*26/10000</f>
        <v>2.6260000000000003E-3</v>
      </c>
      <c r="N10" s="106"/>
      <c r="O10" s="106"/>
      <c r="P10" s="106"/>
      <c r="Q10" s="106"/>
      <c r="R10" s="106"/>
      <c r="S10" s="106"/>
      <c r="T10" s="106"/>
      <c r="U10" s="106"/>
    </row>
    <row r="11" spans="1:21" ht="15.75" thickBot="1" x14ac:dyDescent="0.3">
      <c r="A11" s="17" t="s">
        <v>21</v>
      </c>
      <c r="B11" s="14" t="s">
        <v>27</v>
      </c>
      <c r="C11" s="110">
        <v>1.2</v>
      </c>
      <c r="D11" s="113">
        <f t="shared" si="0"/>
        <v>0.12</v>
      </c>
      <c r="E11" s="107"/>
      <c r="F11" s="106"/>
      <c r="G11" s="106"/>
      <c r="H11" s="106"/>
      <c r="I11" s="106"/>
      <c r="J11" s="106"/>
      <c r="K11" s="106"/>
      <c r="L11" s="106"/>
      <c r="M11" s="106"/>
      <c r="N11" s="108">
        <f>$D11*17.5/10000</f>
        <v>2.1000000000000001E-4</v>
      </c>
      <c r="O11" s="106"/>
      <c r="P11" s="106"/>
      <c r="Q11" s="106"/>
      <c r="R11" s="106"/>
      <c r="S11" s="106"/>
      <c r="T11" s="106"/>
      <c r="U11" s="106"/>
    </row>
    <row r="12" spans="1:21" ht="15.75" thickBot="1" x14ac:dyDescent="0.3">
      <c r="A12" s="15" t="s">
        <v>26</v>
      </c>
      <c r="B12" s="14" t="s">
        <v>37</v>
      </c>
      <c r="C12" s="110">
        <v>0.1</v>
      </c>
      <c r="D12" s="113">
        <f t="shared" si="0"/>
        <v>0.01</v>
      </c>
      <c r="E12" s="107"/>
      <c r="F12" s="106"/>
      <c r="G12" s="106"/>
      <c r="H12" s="106"/>
      <c r="I12" s="106"/>
      <c r="J12" s="106"/>
      <c r="K12" s="106"/>
      <c r="L12" s="106"/>
      <c r="M12" s="106">
        <f>$D12*11/10000</f>
        <v>1.1E-5</v>
      </c>
      <c r="N12" s="106"/>
      <c r="O12" s="106">
        <f>$D12*20/10000</f>
        <v>2.0000000000000002E-5</v>
      </c>
      <c r="P12" s="106"/>
      <c r="Q12" s="106"/>
      <c r="R12" s="106"/>
      <c r="S12" s="106"/>
      <c r="T12" s="106"/>
      <c r="U12" s="106"/>
    </row>
    <row r="13" spans="1:21" ht="15.75" thickBot="1" x14ac:dyDescent="0.3">
      <c r="A13" s="15" t="s">
        <v>16</v>
      </c>
      <c r="B13" s="14" t="s">
        <v>19</v>
      </c>
      <c r="C13" s="110">
        <v>0.4</v>
      </c>
      <c r="D13" s="113">
        <f t="shared" si="0"/>
        <v>0.04</v>
      </c>
      <c r="E13" s="107"/>
      <c r="F13" s="106"/>
      <c r="G13" s="106"/>
      <c r="H13" s="106"/>
      <c r="I13" s="106"/>
      <c r="J13" s="106"/>
      <c r="K13" s="106"/>
      <c r="L13" s="106"/>
      <c r="M13" s="106">
        <f>$D13*13/10000</f>
        <v>5.2000000000000004E-5</v>
      </c>
      <c r="N13" s="106"/>
      <c r="O13" s="106"/>
      <c r="P13" s="106">
        <f>$D13*25/10000</f>
        <v>1E-4</v>
      </c>
      <c r="Q13" s="106"/>
      <c r="R13" s="106"/>
      <c r="S13" s="106"/>
      <c r="T13" s="106"/>
      <c r="U13" s="106"/>
    </row>
    <row r="14" spans="1:21" ht="15.75" thickBot="1" x14ac:dyDescent="0.3">
      <c r="A14" s="15" t="s">
        <v>59</v>
      </c>
      <c r="B14" s="14" t="s">
        <v>50</v>
      </c>
      <c r="C14" s="110">
        <v>32.9</v>
      </c>
      <c r="D14" s="113">
        <f t="shared" si="0"/>
        <v>3.29</v>
      </c>
      <c r="E14" s="107"/>
      <c r="F14" s="106"/>
      <c r="G14" s="106"/>
      <c r="H14" s="106"/>
      <c r="I14" s="106"/>
      <c r="J14" s="106"/>
      <c r="K14" s="106"/>
      <c r="L14" s="106"/>
      <c r="M14" s="106">
        <f>$D14*18/10000</f>
        <v>5.9220000000000002E-3</v>
      </c>
      <c r="N14" s="106"/>
      <c r="O14" s="106"/>
      <c r="P14" s="106"/>
      <c r="Q14" s="106">
        <f>$D14*30/10000</f>
        <v>9.8700000000000003E-3</v>
      </c>
      <c r="R14" s="106"/>
      <c r="S14" s="106"/>
      <c r="T14" s="106"/>
      <c r="U14" s="106"/>
    </row>
    <row r="15" spans="1:21" ht="15.75" thickBot="1" x14ac:dyDescent="0.3">
      <c r="A15" s="15" t="s">
        <v>12</v>
      </c>
      <c r="B15" s="14" t="s">
        <v>20</v>
      </c>
      <c r="C15" s="110">
        <v>0.2</v>
      </c>
      <c r="D15" s="113">
        <f t="shared" si="0"/>
        <v>0.02</v>
      </c>
      <c r="E15" s="107"/>
      <c r="F15" s="106"/>
      <c r="G15" s="106"/>
      <c r="H15" s="106"/>
      <c r="I15" s="106"/>
      <c r="J15" s="106"/>
      <c r="K15" s="106"/>
      <c r="L15" s="106"/>
      <c r="M15" s="106">
        <f>$D15*18/10000</f>
        <v>3.6000000000000001E-5</v>
      </c>
      <c r="N15" s="106"/>
      <c r="O15" s="106"/>
      <c r="P15" s="106"/>
      <c r="Q15" s="106"/>
      <c r="R15" s="106">
        <f>$D15*31/10000</f>
        <v>6.2000000000000003E-5</v>
      </c>
      <c r="S15" s="106"/>
      <c r="T15" s="106"/>
      <c r="U15" s="106"/>
    </row>
    <row r="16" spans="1:21" ht="15.75" thickBot="1" x14ac:dyDescent="0.3">
      <c r="A16" s="15" t="s">
        <v>28</v>
      </c>
      <c r="B16" s="14" t="s">
        <v>29</v>
      </c>
      <c r="C16" s="110">
        <v>0.14000000000000001</v>
      </c>
      <c r="D16" s="113">
        <f t="shared" si="0"/>
        <v>1.4000000000000002E-2</v>
      </c>
      <c r="E16" s="107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8">
        <f>$D16*39/10000</f>
        <v>5.4600000000000006E-5</v>
      </c>
      <c r="T16" s="106"/>
      <c r="U16" s="106"/>
    </row>
    <row r="17" spans="1:21" ht="15.75" thickBot="1" x14ac:dyDescent="0.3">
      <c r="A17" s="17" t="s">
        <v>17</v>
      </c>
      <c r="B17" s="14" t="s">
        <v>18</v>
      </c>
      <c r="C17" s="110">
        <v>0.6</v>
      </c>
      <c r="D17" s="113">
        <f t="shared" si="0"/>
        <v>0.06</v>
      </c>
      <c r="E17" s="107"/>
      <c r="F17" s="106"/>
      <c r="G17" s="106"/>
      <c r="H17" s="106"/>
      <c r="I17" s="106"/>
      <c r="J17" s="106"/>
      <c r="K17" s="106"/>
      <c r="L17" s="106"/>
      <c r="M17" s="106">
        <f>$D17*16/10000</f>
        <v>9.6000000000000002E-5</v>
      </c>
      <c r="N17" s="106"/>
      <c r="O17" s="106"/>
      <c r="P17" s="106"/>
      <c r="Q17" s="106"/>
      <c r="R17" s="106"/>
      <c r="S17" s="106"/>
      <c r="T17" s="106">
        <f>$D17*35/10000</f>
        <v>2.1000000000000001E-4</v>
      </c>
      <c r="U17" s="106"/>
    </row>
    <row r="18" spans="1:21" ht="23.25" thickBot="1" x14ac:dyDescent="0.3">
      <c r="A18" s="17" t="s">
        <v>47</v>
      </c>
      <c r="B18" s="28" t="s">
        <v>42</v>
      </c>
      <c r="C18" s="110">
        <v>94</v>
      </c>
      <c r="D18" s="113">
        <f t="shared" si="0"/>
        <v>9.4</v>
      </c>
      <c r="E18" s="107">
        <f>D18*33.2/10000</f>
        <v>3.1208000000000003E-2</v>
      </c>
      <c r="F18" s="106">
        <f>SUM(G18:H18)</f>
        <v>1.645E-3</v>
      </c>
      <c r="G18" s="106"/>
      <c r="H18" s="106">
        <f>$D18*1.75/10000</f>
        <v>1.645E-3</v>
      </c>
      <c r="I18" s="106"/>
      <c r="J18" s="106">
        <f>$D18*3.78/10000</f>
        <v>3.5531999999999998E-3</v>
      </c>
      <c r="K18" s="106">
        <f>$D18*1.78/10000</f>
        <v>1.6731999999999999E-3</v>
      </c>
      <c r="L18" s="106">
        <f>$D18*1.14/10000</f>
        <v>1.0716E-3</v>
      </c>
      <c r="M18" s="106"/>
      <c r="N18" s="106"/>
      <c r="O18" s="106"/>
      <c r="P18" s="106"/>
      <c r="Q18" s="106"/>
      <c r="R18" s="106"/>
      <c r="S18" s="106"/>
      <c r="T18" s="106"/>
      <c r="U18" s="106"/>
    </row>
    <row r="19" spans="1:21" ht="57" thickBot="1" x14ac:dyDescent="0.3">
      <c r="A19" s="21" t="s">
        <v>60</v>
      </c>
      <c r="B19" s="22" t="s">
        <v>46</v>
      </c>
      <c r="C19" s="111">
        <v>425</v>
      </c>
      <c r="D19" s="114">
        <f t="shared" si="0"/>
        <v>42.5</v>
      </c>
      <c r="E19" s="107">
        <f>D19*28.4/10000</f>
        <v>0.1207</v>
      </c>
      <c r="F19" s="106">
        <f>SUM(G19:H19)</f>
        <v>8.0750000000000006E-3</v>
      </c>
      <c r="G19" s="106"/>
      <c r="H19" s="106">
        <f>$D19*1.9/10000</f>
        <v>8.0750000000000006E-3</v>
      </c>
      <c r="I19" s="106">
        <f>$D19*0.66/10000</f>
        <v>2.8050000000000002E-3</v>
      </c>
      <c r="J19" s="106">
        <f>$D19*14.5/10000</f>
        <v>6.1624999999999999E-2</v>
      </c>
      <c r="K19" s="106">
        <f>$D19*3.02/10000</f>
        <v>1.2834999999999999E-2</v>
      </c>
      <c r="L19" s="106">
        <f>$D19*2.19/10000</f>
        <v>9.3074999999999998E-3</v>
      </c>
      <c r="M19" s="106">
        <f>$D19*2.27/10000</f>
        <v>9.6474999999999998E-3</v>
      </c>
      <c r="N19" s="106"/>
      <c r="O19" s="106"/>
      <c r="P19" s="106"/>
      <c r="Q19" s="106">
        <f>$D19*0.1/10000</f>
        <v>4.2499999999999998E-4</v>
      </c>
      <c r="R19" s="106">
        <f>$D19*0.0294/10000</f>
        <v>1.2495E-4</v>
      </c>
      <c r="S19" s="106"/>
      <c r="T19" s="106"/>
      <c r="U19" s="106">
        <f>$D19*0.44/10000</f>
        <v>1.8699999999999999E-3</v>
      </c>
    </row>
    <row r="20" spans="1:21" ht="15.75" thickBot="1" x14ac:dyDescent="0.3">
      <c r="A20" s="134" t="s">
        <v>11</v>
      </c>
      <c r="B20" s="135"/>
      <c r="C20" s="10"/>
      <c r="D20" s="31"/>
      <c r="E20" s="106"/>
      <c r="F20" s="2"/>
      <c r="G20" s="2"/>
      <c r="H20" s="104"/>
      <c r="I20" s="6"/>
      <c r="J20" s="3"/>
      <c r="K20" s="102"/>
      <c r="L20" s="98"/>
      <c r="M20" s="100"/>
      <c r="N20" s="102"/>
      <c r="O20" s="100"/>
      <c r="P20" s="101"/>
      <c r="Q20" s="100"/>
      <c r="R20" s="98"/>
      <c r="S20" s="100"/>
      <c r="T20" s="100"/>
      <c r="U20" s="98"/>
    </row>
    <row r="21" spans="1:21" ht="15.75" thickBot="1" x14ac:dyDescent="0.3">
      <c r="A21" s="17" t="s">
        <v>57</v>
      </c>
      <c r="B21" s="25"/>
      <c r="C21" s="27">
        <v>10.6</v>
      </c>
      <c r="D21" s="114">
        <f t="shared" si="0"/>
        <v>1.06</v>
      </c>
      <c r="E21" s="94"/>
      <c r="F21" s="2"/>
      <c r="G21" s="2"/>
      <c r="H21" s="104"/>
      <c r="I21" s="6"/>
      <c r="J21" s="3"/>
      <c r="K21" s="102"/>
      <c r="L21" s="98"/>
      <c r="M21" s="100"/>
      <c r="N21" s="98"/>
      <c r="O21" s="100"/>
      <c r="P21" s="98"/>
      <c r="Q21" s="100"/>
      <c r="R21" s="98"/>
      <c r="S21" s="100"/>
      <c r="T21" s="100"/>
      <c r="U21" s="98"/>
    </row>
    <row r="22" spans="1:21" ht="15.75" thickBot="1" x14ac:dyDescent="0.3">
      <c r="A22" s="23" t="s">
        <v>53</v>
      </c>
      <c r="B22" s="24" t="s">
        <v>54</v>
      </c>
      <c r="C22" s="11">
        <v>120.5</v>
      </c>
      <c r="D22" s="114">
        <f t="shared" si="0"/>
        <v>12.05</v>
      </c>
      <c r="E22" s="94"/>
      <c r="F22" s="2"/>
      <c r="G22" s="2"/>
      <c r="H22" s="104"/>
      <c r="I22" s="6"/>
      <c r="J22" s="3"/>
      <c r="K22" s="102"/>
      <c r="L22" s="98"/>
      <c r="M22" s="100"/>
      <c r="N22" s="98"/>
      <c r="O22" s="100"/>
      <c r="P22" s="98"/>
      <c r="Q22" s="100"/>
      <c r="R22" s="98"/>
      <c r="S22" s="100"/>
      <c r="T22" s="100"/>
      <c r="U22" s="98"/>
    </row>
    <row r="23" spans="1:21" ht="15.75" thickBot="1" x14ac:dyDescent="0.3">
      <c r="A23" s="129" t="s">
        <v>3</v>
      </c>
      <c r="B23" s="130"/>
      <c r="C23" s="26">
        <f>SUM(C7:C22)</f>
        <v>1000.0400000000001</v>
      </c>
      <c r="D23" s="91">
        <f>SUM(D7:D22)</f>
        <v>100.004</v>
      </c>
      <c r="E23" s="95"/>
      <c r="F23" s="93"/>
      <c r="G23" s="93"/>
      <c r="H23" s="105"/>
      <c r="I23" s="96"/>
      <c r="J23" s="97"/>
      <c r="K23" s="103"/>
      <c r="L23" s="99"/>
      <c r="M23" s="99"/>
      <c r="N23" s="99"/>
      <c r="O23" s="99"/>
      <c r="P23" s="99"/>
      <c r="Q23" s="99"/>
      <c r="R23" s="99"/>
      <c r="S23" s="99"/>
      <c r="T23" s="99"/>
      <c r="U23" s="99"/>
    </row>
    <row r="24" spans="1:21" ht="17.25" thickBot="1" x14ac:dyDescent="0.3">
      <c r="A24" s="115" t="s">
        <v>23</v>
      </c>
      <c r="B24" s="116"/>
      <c r="C24" s="116"/>
      <c r="D24" s="116"/>
      <c r="E24" s="51">
        <f>SUM(E7:E23)</f>
        <v>0.15190800000000002</v>
      </c>
      <c r="F24" s="51">
        <f t="shared" ref="F24:U24" si="1">SUM(F7:F23)</f>
        <v>5.0308800000000001E-2</v>
      </c>
      <c r="G24" s="51">
        <f t="shared" si="1"/>
        <v>2.5810800000000002E-2</v>
      </c>
      <c r="H24" s="51">
        <f t="shared" si="1"/>
        <v>2.4497999999999999E-2</v>
      </c>
      <c r="I24" s="51">
        <f t="shared" si="1"/>
        <v>5.6505E-2</v>
      </c>
      <c r="J24" s="51">
        <f t="shared" si="1"/>
        <v>0.16333420000000001</v>
      </c>
      <c r="K24" s="51">
        <f t="shared" si="1"/>
        <v>1.4508199999999999E-2</v>
      </c>
      <c r="L24" s="51">
        <f t="shared" si="1"/>
        <v>1.3611100000000001E-2</v>
      </c>
      <c r="M24" s="51">
        <f t="shared" si="1"/>
        <v>1.8390500000000001E-2</v>
      </c>
      <c r="N24" s="51">
        <f t="shared" si="1"/>
        <v>2.1000000000000001E-4</v>
      </c>
      <c r="O24" s="52">
        <f t="shared" si="1"/>
        <v>2.0000000000000002E-5</v>
      </c>
      <c r="P24" s="51">
        <f t="shared" si="1"/>
        <v>1E-4</v>
      </c>
      <c r="Q24" s="51">
        <f t="shared" si="1"/>
        <v>1.0295E-2</v>
      </c>
      <c r="R24" s="51">
        <f t="shared" si="1"/>
        <v>1.8695000000000002E-4</v>
      </c>
      <c r="S24" s="52">
        <f t="shared" si="1"/>
        <v>5.4600000000000006E-5</v>
      </c>
      <c r="T24" s="51">
        <f t="shared" si="1"/>
        <v>2.1000000000000001E-4</v>
      </c>
      <c r="U24" s="51">
        <f t="shared" si="1"/>
        <v>1.8699999999999999E-3</v>
      </c>
    </row>
    <row r="25" spans="1:21" ht="15.75" thickBot="1" x14ac:dyDescent="0.3">
      <c r="A25" s="8"/>
      <c r="B25" s="4"/>
      <c r="C25" s="5"/>
      <c r="D25" s="5"/>
      <c r="E25" s="53"/>
      <c r="F25" s="53"/>
      <c r="G25" s="53"/>
      <c r="H25" s="53"/>
      <c r="I25" s="53"/>
      <c r="J25" s="54"/>
      <c r="K25" s="54"/>
      <c r="L25" s="55"/>
      <c r="M25" s="54"/>
      <c r="N25" s="54"/>
      <c r="O25" s="54"/>
      <c r="P25" s="54"/>
      <c r="Q25" s="54"/>
      <c r="R25" s="54"/>
      <c r="S25" s="54"/>
      <c r="T25" s="56"/>
      <c r="U25" s="56"/>
    </row>
    <row r="26" spans="1:21" ht="18" customHeight="1" thickBot="1" x14ac:dyDescent="0.3">
      <c r="A26" s="123" t="s">
        <v>38</v>
      </c>
      <c r="B26" s="124"/>
      <c r="C26" s="127" t="s">
        <v>55</v>
      </c>
      <c r="D26" s="128"/>
      <c r="E26" s="142">
        <v>0.15190000000000001</v>
      </c>
      <c r="F26" s="144">
        <v>5.0299999999999997E-2</v>
      </c>
      <c r="G26" s="144">
        <v>2.58E-2</v>
      </c>
      <c r="H26" s="139">
        <v>2.4500000000000001E-2</v>
      </c>
      <c r="I26" s="57">
        <v>5.6500000000000002E-2</v>
      </c>
      <c r="J26" s="59">
        <v>0.16389999999999999</v>
      </c>
      <c r="K26" s="60">
        <v>2.0199999999999999E-2</v>
      </c>
      <c r="L26" s="58">
        <v>1.3599999999999999E-2</v>
      </c>
      <c r="M26" s="58">
        <v>1.35E-2</v>
      </c>
      <c r="N26" s="61">
        <v>1.0000000000000001E-5</v>
      </c>
      <c r="O26" s="61">
        <v>1.0000000000000001E-5</v>
      </c>
      <c r="P26" s="58">
        <v>1E-4</v>
      </c>
      <c r="Q26" s="58">
        <v>1.03E-2</v>
      </c>
      <c r="R26" s="58">
        <v>2.0000000000000001E-4</v>
      </c>
      <c r="S26" s="61">
        <v>4.0000000000000003E-5</v>
      </c>
      <c r="T26" s="58">
        <v>1E-4</v>
      </c>
      <c r="U26" s="59">
        <v>6.1000000000000004E-3</v>
      </c>
    </row>
    <row r="27" spans="1:21" ht="18" customHeight="1" thickBot="1" x14ac:dyDescent="0.3">
      <c r="A27" s="125"/>
      <c r="B27" s="126"/>
      <c r="C27" s="127" t="s">
        <v>56</v>
      </c>
      <c r="D27" s="128"/>
      <c r="E27" s="143"/>
      <c r="F27" s="145"/>
      <c r="G27" s="145"/>
      <c r="H27" s="140"/>
      <c r="I27" s="62">
        <v>4.87E-2</v>
      </c>
      <c r="J27" s="64">
        <v>0.1583</v>
      </c>
      <c r="K27" s="65">
        <v>1.95E-2</v>
      </c>
      <c r="L27" s="63">
        <v>1.1299999999999999E-2</v>
      </c>
      <c r="M27" s="63">
        <v>8.6E-3</v>
      </c>
      <c r="N27" s="66">
        <v>1.0000000000000001E-5</v>
      </c>
      <c r="O27" s="66">
        <v>1.0000000000000001E-5</v>
      </c>
      <c r="P27" s="63">
        <v>1E-4</v>
      </c>
      <c r="Q27" s="63">
        <v>2.0000000000000001E-4</v>
      </c>
      <c r="R27" s="63">
        <v>1E-4</v>
      </c>
      <c r="S27" s="66">
        <v>5.0000000000000002E-5</v>
      </c>
      <c r="T27" s="63">
        <v>1E-4</v>
      </c>
      <c r="U27" s="64"/>
    </row>
    <row r="28" spans="1:21" ht="15.75" thickBot="1" x14ac:dyDescent="0.3">
      <c r="E28" s="70"/>
      <c r="F28" s="70"/>
      <c r="G28" s="71"/>
      <c r="H28" s="70"/>
      <c r="I28" s="70"/>
      <c r="J28" s="72"/>
      <c r="K28" s="70"/>
      <c r="L28" s="70"/>
      <c r="M28" s="70"/>
      <c r="N28" s="70"/>
      <c r="O28" s="71"/>
      <c r="P28" s="70"/>
      <c r="Q28" s="70"/>
      <c r="R28" s="70"/>
      <c r="S28" s="71"/>
      <c r="T28" s="70"/>
      <c r="U28" s="70"/>
    </row>
    <row r="29" spans="1:21" ht="18" customHeight="1" x14ac:dyDescent="0.25">
      <c r="A29" s="120" t="s">
        <v>33</v>
      </c>
      <c r="B29" s="121"/>
      <c r="C29" s="121"/>
      <c r="D29" s="122"/>
      <c r="E29" s="41"/>
      <c r="F29" s="41"/>
      <c r="G29" s="41"/>
      <c r="H29" s="41"/>
      <c r="I29" s="41"/>
      <c r="J29" s="41"/>
      <c r="K29" s="41"/>
      <c r="L29" s="41"/>
      <c r="M29" s="41"/>
      <c r="N29" s="39">
        <f t="shared" ref="N29:S29" si="2">IF(N36&lt;0.01%,ROUND(N30,5)-ROUND(N36,5),ROUND(N30,4)-ROUND(N36,4))</f>
        <v>1E-4</v>
      </c>
      <c r="O29" s="67">
        <f t="shared" si="2"/>
        <v>1.0000000000000001E-5</v>
      </c>
      <c r="P29" s="67">
        <f t="shared" si="2"/>
        <v>5.0000000000000002E-5</v>
      </c>
      <c r="Q29" s="39">
        <f t="shared" si="2"/>
        <v>1E-4</v>
      </c>
      <c r="R29" s="39">
        <f t="shared" si="2"/>
        <v>5.0000000000000002E-5</v>
      </c>
      <c r="S29" s="67">
        <f t="shared" si="2"/>
        <v>3.0000000000000001E-5</v>
      </c>
      <c r="T29" s="39">
        <f>IF(T36&lt;0.01%,ROUND(T30,5)-ROUND(T36,5),ROUND(T30,4)-ROUND(T36,4))</f>
        <v>1E-4</v>
      </c>
      <c r="U29" s="67"/>
    </row>
    <row r="30" spans="1:21" ht="24.95" customHeight="1" x14ac:dyDescent="0.25">
      <c r="A30" s="117" t="str">
        <f>_xlfn.CONCAT("SOLICITUD DE REGISTRO ICA: ",A2)</f>
        <v>SOLICITUD DE REGISTRO ICA: BIOCalfer</v>
      </c>
      <c r="B30" s="118"/>
      <c r="C30" s="118"/>
      <c r="D30" s="119"/>
      <c r="E30" s="37">
        <f t="shared" ref="E30:I30" si="3">E24</f>
        <v>0.15190800000000002</v>
      </c>
      <c r="F30" s="38">
        <f t="shared" si="3"/>
        <v>5.0308800000000001E-2</v>
      </c>
      <c r="G30" s="38">
        <f t="shared" si="3"/>
        <v>2.5810800000000002E-2</v>
      </c>
      <c r="H30" s="38">
        <f t="shared" si="3"/>
        <v>2.4497999999999999E-2</v>
      </c>
      <c r="I30" s="38">
        <f t="shared" si="3"/>
        <v>5.6505E-2</v>
      </c>
      <c r="J30" s="38">
        <v>0.16389999999999999</v>
      </c>
      <c r="K30" s="38">
        <f t="shared" ref="K30" si="4">K24</f>
        <v>1.4508199999999999E-2</v>
      </c>
      <c r="L30" s="38">
        <f t="shared" ref="L30:T30" si="5">L24</f>
        <v>1.3611100000000001E-2</v>
      </c>
      <c r="M30" s="38">
        <v>1.35E-2</v>
      </c>
      <c r="N30" s="38">
        <f t="shared" si="5"/>
        <v>2.1000000000000001E-4</v>
      </c>
      <c r="O30" s="68">
        <f t="shared" si="5"/>
        <v>2.0000000000000002E-5</v>
      </c>
      <c r="P30" s="68">
        <f t="shared" si="5"/>
        <v>1E-4</v>
      </c>
      <c r="Q30" s="38">
        <f>Q27</f>
        <v>2.0000000000000001E-4</v>
      </c>
      <c r="R30" s="38">
        <f>R27</f>
        <v>1E-4</v>
      </c>
      <c r="S30" s="68">
        <f t="shared" si="5"/>
        <v>5.4600000000000006E-5</v>
      </c>
      <c r="T30" s="38">
        <f t="shared" si="5"/>
        <v>2.1000000000000001E-4</v>
      </c>
      <c r="U30" s="38">
        <v>6.1000000000000004E-3</v>
      </c>
    </row>
    <row r="31" spans="1:21" ht="18" customHeight="1" thickBot="1" x14ac:dyDescent="0.3">
      <c r="A31" s="146" t="s">
        <v>34</v>
      </c>
      <c r="B31" s="147"/>
      <c r="C31" s="147"/>
      <c r="D31" s="148"/>
      <c r="E31" s="42">
        <f t="shared" ref="E31:S31" si="6">IF(E36&lt;0.01%,ROUND(E30,5)+ROUND(E36,5),ROUND(E30,4)+ROUND(E36,4))</f>
        <v>0.15190999999999999</v>
      </c>
      <c r="F31" s="42">
        <f t="shared" si="6"/>
        <v>5.0310000000000001E-2</v>
      </c>
      <c r="G31" s="42">
        <f t="shared" si="6"/>
        <v>2.581E-2</v>
      </c>
      <c r="H31" s="42">
        <f t="shared" si="6"/>
        <v>2.4500000000000001E-2</v>
      </c>
      <c r="I31" s="42">
        <f t="shared" si="6"/>
        <v>5.6509999999999998E-2</v>
      </c>
      <c r="J31" s="42">
        <f t="shared" si="6"/>
        <v>0.16389999999999999</v>
      </c>
      <c r="K31" s="42">
        <f t="shared" si="6"/>
        <v>1.451E-2</v>
      </c>
      <c r="L31" s="42">
        <f t="shared" si="6"/>
        <v>1.3610000000000001E-2</v>
      </c>
      <c r="M31" s="42">
        <f t="shared" si="6"/>
        <v>1.35E-2</v>
      </c>
      <c r="N31" s="40">
        <f t="shared" si="6"/>
        <v>3.0000000000000003E-4</v>
      </c>
      <c r="O31" s="69">
        <f t="shared" si="6"/>
        <v>3.0000000000000004E-5</v>
      </c>
      <c r="P31" s="69">
        <f t="shared" si="6"/>
        <v>1.5000000000000001E-4</v>
      </c>
      <c r="Q31" s="40">
        <f t="shared" si="6"/>
        <v>3.0000000000000003E-4</v>
      </c>
      <c r="R31" s="40">
        <f t="shared" si="6"/>
        <v>1.5000000000000001E-4</v>
      </c>
      <c r="S31" s="69">
        <f t="shared" si="6"/>
        <v>7.0000000000000007E-5</v>
      </c>
      <c r="T31" s="40">
        <f>IF(T36&lt;0.01%,ROUND(T30,5)+ROUND(T36,5),ROUND(T30,4)+ROUND(T36,4))</f>
        <v>3.0000000000000003E-4</v>
      </c>
      <c r="U31" s="69"/>
    </row>
    <row r="32" spans="1:21" ht="15.75" thickBot="1" x14ac:dyDescent="0.3">
      <c r="E32" s="70"/>
      <c r="F32" s="70"/>
      <c r="G32" s="71"/>
      <c r="H32" s="70"/>
      <c r="I32" s="70"/>
      <c r="J32" s="72"/>
      <c r="K32" s="70"/>
      <c r="L32" s="70"/>
      <c r="M32" s="70"/>
      <c r="N32" s="70"/>
      <c r="O32" s="71"/>
      <c r="P32" s="70"/>
      <c r="Q32" s="70"/>
      <c r="R32" s="70"/>
      <c r="S32" s="71"/>
      <c r="T32" s="70"/>
      <c r="U32" s="70"/>
    </row>
    <row r="33" spans="1:21" ht="16.5" x14ac:dyDescent="0.25">
      <c r="A33" s="149" t="s">
        <v>62</v>
      </c>
      <c r="B33" s="150"/>
      <c r="C33" s="150"/>
      <c r="D33" s="151"/>
      <c r="E33" s="73"/>
      <c r="F33" s="74"/>
      <c r="G33" s="74"/>
      <c r="H33" s="74"/>
      <c r="I33" s="74"/>
      <c r="J33" s="74"/>
      <c r="K33" s="75"/>
      <c r="L33" s="75"/>
      <c r="M33" s="75"/>
      <c r="N33" s="75">
        <f>(0.005+0.25*100*N$30)/100</f>
        <v>1.025E-4</v>
      </c>
      <c r="O33" s="76">
        <f>(0.000125+0.375*100*O$30)/100</f>
        <v>8.7500000000000009E-6</v>
      </c>
      <c r="P33" s="76">
        <f>(0.015+0.3*100*P$30)/100</f>
        <v>1.7999999999999998E-4</v>
      </c>
      <c r="Q33" s="76">
        <f>(0.015+0.3*100*Q$30)/100</f>
        <v>2.0999999999999998E-4</v>
      </c>
      <c r="R33" s="76">
        <f>(0.015+0.3*100*R$30)/100</f>
        <v>1.7999999999999998E-4</v>
      </c>
      <c r="S33" s="76">
        <f>(0.000125+0.375*100*S$30)/100</f>
        <v>2.1725000000000003E-5</v>
      </c>
      <c r="T33" s="77">
        <f>(0.015+0.3*100*T$30)/100</f>
        <v>2.13E-4</v>
      </c>
      <c r="U33" s="75"/>
    </row>
    <row r="34" spans="1:21" ht="16.5" customHeight="1" x14ac:dyDescent="0.25">
      <c r="A34" s="152" t="s">
        <v>64</v>
      </c>
      <c r="B34" s="153"/>
      <c r="C34" s="153"/>
      <c r="D34" s="154"/>
      <c r="E34" s="78"/>
      <c r="F34" s="79"/>
      <c r="G34" s="79"/>
      <c r="H34" s="79"/>
      <c r="I34" s="79"/>
      <c r="J34" s="79"/>
      <c r="K34" s="80"/>
      <c r="L34" s="80"/>
      <c r="M34" s="80"/>
      <c r="N34" s="80"/>
      <c r="O34" s="80"/>
      <c r="P34" s="80"/>
      <c r="Q34" s="80"/>
      <c r="R34" s="80"/>
      <c r="S34" s="80"/>
      <c r="T34" s="81"/>
      <c r="U34" s="80"/>
    </row>
    <row r="35" spans="1:21" ht="17.25" customHeight="1" x14ac:dyDescent="0.25">
      <c r="A35" s="155" t="s">
        <v>65</v>
      </c>
      <c r="B35" s="156"/>
      <c r="C35" s="156"/>
      <c r="D35" s="157"/>
      <c r="E35" s="80"/>
      <c r="F35" s="80"/>
      <c r="G35" s="80"/>
      <c r="H35" s="80"/>
      <c r="I35" s="80"/>
      <c r="J35" s="80"/>
      <c r="K35" s="82"/>
      <c r="L35" s="82"/>
      <c r="M35" s="82"/>
      <c r="N35" s="82" t="str">
        <f t="shared" ref="N35:S35" si="7">IF(N33&gt;N30/2,"SI","NO")</f>
        <v>NO</v>
      </c>
      <c r="O35" s="83" t="str">
        <f t="shared" si="7"/>
        <v>NO</v>
      </c>
      <c r="P35" s="82" t="str">
        <f t="shared" si="7"/>
        <v>SI</v>
      </c>
      <c r="Q35" s="82" t="str">
        <f t="shared" si="7"/>
        <v>SI</v>
      </c>
      <c r="R35" s="82" t="str">
        <f t="shared" si="7"/>
        <v>SI</v>
      </c>
      <c r="S35" s="83" t="str">
        <f t="shared" si="7"/>
        <v>NO</v>
      </c>
      <c r="T35" s="84" t="str">
        <f>IF(T33&gt;T30/2,"SI","NO")</f>
        <v>SI</v>
      </c>
      <c r="U35" s="82"/>
    </row>
    <row r="36" spans="1:21" ht="17.25" thickBot="1" x14ac:dyDescent="0.3">
      <c r="A36" s="158" t="s">
        <v>63</v>
      </c>
      <c r="B36" s="159"/>
      <c r="C36" s="159"/>
      <c r="D36" s="160"/>
      <c r="E36" s="85"/>
      <c r="F36" s="86"/>
      <c r="G36" s="86"/>
      <c r="H36" s="86"/>
      <c r="I36" s="86"/>
      <c r="J36" s="86"/>
      <c r="K36" s="87"/>
      <c r="L36" s="87"/>
      <c r="M36" s="87"/>
      <c r="N36" s="87">
        <f t="shared" ref="N36:S36" si="8">IF(N35="SI",N30/2,N33)</f>
        <v>1.025E-4</v>
      </c>
      <c r="O36" s="88">
        <f t="shared" si="8"/>
        <v>8.7500000000000009E-6</v>
      </c>
      <c r="P36" s="88">
        <f t="shared" si="8"/>
        <v>5.0000000000000002E-5</v>
      </c>
      <c r="Q36" s="88">
        <f t="shared" si="8"/>
        <v>1E-4</v>
      </c>
      <c r="R36" s="88">
        <f t="shared" si="8"/>
        <v>5.0000000000000002E-5</v>
      </c>
      <c r="S36" s="88">
        <f t="shared" si="8"/>
        <v>2.1725000000000003E-5</v>
      </c>
      <c r="T36" s="90">
        <f>IF(T35="SI",T30/2,T33)</f>
        <v>1.05E-4</v>
      </c>
      <c r="U36" s="89"/>
    </row>
    <row r="37" spans="1:21" x14ac:dyDescent="0.25">
      <c r="A37" s="34" t="s">
        <v>66</v>
      </c>
    </row>
    <row r="38" spans="1:21" x14ac:dyDescent="0.25">
      <c r="A38" s="34" t="s">
        <v>67</v>
      </c>
    </row>
    <row r="39" spans="1:21" x14ac:dyDescent="0.25">
      <c r="A39" s="34"/>
      <c r="E39" s="92"/>
    </row>
    <row r="40" spans="1:21" ht="15.75" thickBot="1" x14ac:dyDescent="0.3">
      <c r="A40" s="34"/>
    </row>
    <row r="41" spans="1:21" ht="16.5" x14ac:dyDescent="0.25">
      <c r="A41" s="149" t="s">
        <v>68</v>
      </c>
      <c r="B41" s="150"/>
      <c r="C41" s="150"/>
      <c r="D41" s="151"/>
    </row>
    <row r="42" spans="1:21" ht="16.5" x14ac:dyDescent="0.25">
      <c r="A42" s="152" t="s">
        <v>69</v>
      </c>
      <c r="B42" s="153"/>
      <c r="C42" s="153"/>
      <c r="D42" s="161"/>
      <c r="E42" s="45" t="s">
        <v>73</v>
      </c>
      <c r="F42" s="43" t="s">
        <v>73</v>
      </c>
      <c r="G42" s="43" t="s">
        <v>73</v>
      </c>
      <c r="H42" s="43" t="s">
        <v>73</v>
      </c>
      <c r="I42" s="43" t="s">
        <v>73</v>
      </c>
      <c r="J42" s="43" t="s">
        <v>73</v>
      </c>
      <c r="K42" s="35"/>
      <c r="L42" s="35"/>
      <c r="M42" s="36"/>
      <c r="N42" s="33"/>
      <c r="O42" s="33"/>
      <c r="P42" s="33"/>
      <c r="Q42" s="33"/>
      <c r="R42" s="33"/>
      <c r="S42" s="33"/>
      <c r="T42" s="36"/>
      <c r="U42" s="35"/>
    </row>
    <row r="43" spans="1:21" ht="16.5" x14ac:dyDescent="0.25">
      <c r="A43" s="152" t="s">
        <v>70</v>
      </c>
      <c r="B43" s="153"/>
      <c r="C43" s="153"/>
      <c r="D43" s="161"/>
      <c r="E43" s="35"/>
      <c r="F43" s="35"/>
      <c r="G43" s="33"/>
      <c r="H43" s="33"/>
      <c r="I43" s="33"/>
      <c r="J43" s="44"/>
      <c r="K43" s="43" t="s">
        <v>73</v>
      </c>
      <c r="L43" s="43" t="s">
        <v>73</v>
      </c>
      <c r="M43" s="43" t="s">
        <v>73</v>
      </c>
      <c r="N43" s="33"/>
      <c r="O43" s="33"/>
      <c r="P43" s="33"/>
      <c r="Q43" s="33"/>
      <c r="R43" s="33"/>
      <c r="S43" s="33"/>
      <c r="T43" s="36"/>
      <c r="U43" s="35"/>
    </row>
    <row r="44" spans="1:21" ht="16.5" x14ac:dyDescent="0.25">
      <c r="A44" s="162" t="s">
        <v>71</v>
      </c>
      <c r="B44" s="153"/>
      <c r="C44" s="153"/>
      <c r="D44" s="161"/>
      <c r="E44" s="35"/>
      <c r="F44" s="35"/>
      <c r="G44" s="33"/>
      <c r="H44" s="33"/>
      <c r="I44" s="33"/>
      <c r="J44" s="44"/>
      <c r="K44" s="35"/>
      <c r="L44" s="35"/>
      <c r="M44" s="36"/>
      <c r="N44" s="46"/>
      <c r="O44" s="46"/>
      <c r="P44" s="46"/>
      <c r="Q44" s="46"/>
      <c r="R44" s="46"/>
      <c r="S44" s="46"/>
      <c r="T44" s="46"/>
      <c r="U44" s="35"/>
    </row>
    <row r="45" spans="1:21" ht="16.5" x14ac:dyDescent="0.25">
      <c r="A45" s="162" t="s">
        <v>72</v>
      </c>
      <c r="B45" s="153"/>
      <c r="C45" s="153"/>
      <c r="D45" s="161"/>
      <c r="E45" s="35"/>
      <c r="F45" s="35"/>
      <c r="G45" s="33"/>
      <c r="H45" s="33"/>
      <c r="I45" s="33"/>
      <c r="J45" s="44"/>
      <c r="K45" s="35"/>
      <c r="L45" s="35"/>
      <c r="M45" s="36"/>
      <c r="N45" s="45" t="str">
        <f>IF(N30&gt;=0.02%,"SI","NO")</f>
        <v>SI</v>
      </c>
      <c r="O45" s="47" t="str">
        <f>IF(O30=O24,"SI","NO")</f>
        <v>SI</v>
      </c>
      <c r="P45" s="47" t="str">
        <f>IF(P30&gt;=0.01%,"SI","NO")</f>
        <v>SI</v>
      </c>
      <c r="Q45" s="47" t="str">
        <f>IF(Q30&gt;=0.01%,"SI","NO")</f>
        <v>SI</v>
      </c>
      <c r="R45" s="47" t="str">
        <f>IF(R30&gt;=0.01%,"SI","NO")</f>
        <v>SI</v>
      </c>
      <c r="S45" s="47" t="str">
        <f>IF(S30&gt;=0.005%,"SI","NO")</f>
        <v>SI</v>
      </c>
      <c r="T45" s="47" t="str">
        <f>IF(T30&gt;=0.02%,"SI","NO")</f>
        <v>SI</v>
      </c>
      <c r="U45" s="45" t="s">
        <v>73</v>
      </c>
    </row>
    <row r="46" spans="1:21" x14ac:dyDescent="0.25">
      <c r="A46" s="34"/>
    </row>
    <row r="48" spans="1:21" x14ac:dyDescent="0.25">
      <c r="A48" s="29"/>
      <c r="B48" s="141" t="s">
        <v>58</v>
      </c>
      <c r="C48" s="141"/>
      <c r="D48" s="141"/>
      <c r="E48" s="141"/>
      <c r="F48" s="141"/>
    </row>
    <row r="49" spans="1:6" x14ac:dyDescent="0.25">
      <c r="A49" s="29"/>
      <c r="B49" s="141" t="s">
        <v>61</v>
      </c>
      <c r="C49" s="141"/>
      <c r="D49" s="141"/>
      <c r="E49" s="141"/>
      <c r="F49" s="141"/>
    </row>
  </sheetData>
  <mergeCells count="28">
    <mergeCell ref="H26:H27"/>
    <mergeCell ref="B48:F48"/>
    <mergeCell ref="B49:F49"/>
    <mergeCell ref="E26:E27"/>
    <mergeCell ref="F26:F27"/>
    <mergeCell ref="A31:D31"/>
    <mergeCell ref="G26:G27"/>
    <mergeCell ref="A33:D33"/>
    <mergeCell ref="A34:D34"/>
    <mergeCell ref="A35:D35"/>
    <mergeCell ref="A36:D36"/>
    <mergeCell ref="A41:D41"/>
    <mergeCell ref="A42:D42"/>
    <mergeCell ref="A43:D43"/>
    <mergeCell ref="A44:D44"/>
    <mergeCell ref="A45:D45"/>
    <mergeCell ref="A23:B23"/>
    <mergeCell ref="A1:U1"/>
    <mergeCell ref="A2:U2"/>
    <mergeCell ref="A3:U3"/>
    <mergeCell ref="A20:B20"/>
    <mergeCell ref="K5:U5"/>
    <mergeCell ref="A24:D24"/>
    <mergeCell ref="A30:D30"/>
    <mergeCell ref="A29:D29"/>
    <mergeCell ref="A26:B27"/>
    <mergeCell ref="C26:D26"/>
    <mergeCell ref="C27:D27"/>
  </mergeCells>
  <conditionalFormatting sqref="E19:E20 E7:U19">
    <cfRule type="notContainsBlanks" dxfId="0" priority="1">
      <formula>LEN(TRIM(E7))&gt;0</formula>
    </cfRule>
  </conditionalFormatting>
  <pageMargins left="0" right="0" top="1.7322834645669292" bottom="0.74803149606299213" header="0.31496062992125984" footer="0.31496062992125984"/>
  <pageSetup scale="6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 CALFER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DIRECCION TECNICA</cp:lastModifiedBy>
  <cp:lastPrinted>2024-05-30T21:15:09Z</cp:lastPrinted>
  <dcterms:created xsi:type="dcterms:W3CDTF">2021-10-20T23:05:00Z</dcterms:created>
  <dcterms:modified xsi:type="dcterms:W3CDTF">2024-09-02T18:34:41Z</dcterms:modified>
</cp:coreProperties>
</file>