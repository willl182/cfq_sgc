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W:\1_calferquim\1.1_proyectos\1.102_registro-calfer-floracion\1.102.17_Envio\"/>
    </mc:Choice>
  </mc:AlternateContent>
  <xr:revisionPtr revIDLastSave="0" documentId="13_ncr:1_{F44187B1-5EFA-48FF-9261-BA20C9B11751}" xr6:coauthVersionLast="47" xr6:coauthVersionMax="47" xr10:uidLastSave="{00000000-0000-0000-0000-000000000000}"/>
  <bookViews>
    <workbookView xWindow="0" yWindow="0" windowWidth="9780" windowHeight="11520" xr2:uid="{00000000-000D-0000-FFFF-FFFF00000000}"/>
  </bookViews>
  <sheets>
    <sheet name="Calfer Floració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2" l="1"/>
  <c r="R23" i="2"/>
  <c r="Q23" i="2"/>
  <c r="P23" i="2"/>
  <c r="O23" i="2"/>
  <c r="N23" i="2"/>
  <c r="M23" i="2"/>
  <c r="L23" i="2"/>
  <c r="K23" i="2"/>
  <c r="J23" i="2"/>
  <c r="I23" i="2"/>
  <c r="H23" i="2"/>
  <c r="G23" i="2"/>
  <c r="E23" i="2"/>
  <c r="A28" i="2" l="1"/>
  <c r="I28" i="2"/>
  <c r="K28" i="2"/>
  <c r="K32" i="2" s="1"/>
  <c r="K34" i="2" s="1"/>
  <c r="K35" i="2" s="1"/>
  <c r="S28" i="2"/>
  <c r="R28" i="2"/>
  <c r="R43" i="2" s="1"/>
  <c r="Q28" i="2"/>
  <c r="P28" i="2"/>
  <c r="O28" i="2"/>
  <c r="N28" i="2"/>
  <c r="M28" i="2"/>
  <c r="L28" i="2"/>
  <c r="J28" i="2"/>
  <c r="J32" i="2" s="1"/>
  <c r="J34" i="2" s="1"/>
  <c r="J35" i="2" s="1"/>
  <c r="H28" i="2"/>
  <c r="G28" i="2"/>
  <c r="F23" i="2"/>
  <c r="F28" i="2" s="1"/>
  <c r="E28" i="2"/>
  <c r="D22" i="2"/>
  <c r="C22" i="2"/>
  <c r="E33" i="2" l="1"/>
  <c r="E40" i="2"/>
  <c r="G33" i="2"/>
  <c r="G35" i="2" s="1"/>
  <c r="G29" i="2" s="1"/>
  <c r="G40" i="2"/>
  <c r="M32" i="2"/>
  <c r="M34" i="2" s="1"/>
  <c r="M35" i="2" s="1"/>
  <c r="M27" i="2" s="1"/>
  <c r="M43" i="2"/>
  <c r="Q32" i="2"/>
  <c r="Q34" i="2" s="1"/>
  <c r="Q35" i="2" s="1"/>
  <c r="Q27" i="2" s="1"/>
  <c r="Q43" i="2"/>
  <c r="I33" i="2"/>
  <c r="I40" i="2"/>
  <c r="O32" i="2"/>
  <c r="O34" i="2" s="1"/>
  <c r="O35" i="2" s="1"/>
  <c r="O29" i="2" s="1"/>
  <c r="O43" i="2"/>
  <c r="S32" i="2"/>
  <c r="S34" i="2" s="1"/>
  <c r="S35" i="2" s="1"/>
  <c r="S27" i="2" s="1"/>
  <c r="S43" i="2"/>
  <c r="F33" i="2"/>
  <c r="F40" i="2"/>
  <c r="L32" i="2"/>
  <c r="L34" i="2" s="1"/>
  <c r="L35" i="2" s="1"/>
  <c r="L29" i="2" s="1"/>
  <c r="L43" i="2"/>
  <c r="P32" i="2"/>
  <c r="P34" i="2" s="1"/>
  <c r="P35" i="2" s="1"/>
  <c r="P27" i="2" s="1"/>
  <c r="P43" i="2"/>
  <c r="H33" i="2"/>
  <c r="H40" i="2"/>
  <c r="N32" i="2"/>
  <c r="N34" i="2" s="1"/>
  <c r="N35" i="2" s="1"/>
  <c r="N29" i="2" s="1"/>
  <c r="N43" i="2"/>
  <c r="J27" i="2"/>
  <c r="J29" i="2"/>
  <c r="M29" i="2"/>
  <c r="N27" i="2"/>
  <c r="K27" i="2"/>
  <c r="K29" i="2"/>
  <c r="S29" i="2"/>
  <c r="Q29" i="2"/>
  <c r="I32" i="2"/>
  <c r="I35" i="2" s="1"/>
  <c r="G27" i="2"/>
  <c r="G32" i="2"/>
  <c r="H32" i="2"/>
  <c r="H35" i="2" s="1"/>
  <c r="E32" i="2"/>
  <c r="E35" i="2" s="1"/>
  <c r="F32" i="2"/>
  <c r="F35" i="2" s="1"/>
  <c r="L27" i="2" l="1"/>
  <c r="O27" i="2"/>
  <c r="P29" i="2"/>
  <c r="I27" i="2"/>
  <c r="I29" i="2"/>
  <c r="F29" i="2"/>
  <c r="F27" i="2"/>
  <c r="E29" i="2"/>
  <c r="E27" i="2"/>
  <c r="H29" i="2"/>
  <c r="H27" i="2"/>
</calcChain>
</file>

<file path=xl/sharedStrings.xml><?xml version="1.0" encoding="utf-8"?>
<sst xmlns="http://schemas.openxmlformats.org/spreadsheetml/2006/main" count="71" uniqueCount="70">
  <si>
    <t>BALANCE DE MATERIAS PRIMAS</t>
  </si>
  <si>
    <t xml:space="preserve">CALFER FLORACIÓN 10 - 25 - 10 </t>
  </si>
  <si>
    <t>CALFERQUIM S.A.S</t>
  </si>
  <si>
    <t>ELEMENTOS SOLUBLES EN AGUA</t>
  </si>
  <si>
    <t>MATERIA PRIMA</t>
  </si>
  <si>
    <t>Composición</t>
  </si>
  <si>
    <t>Kg/Ton</t>
  </si>
  <si>
    <t>%/100 Kg</t>
  </si>
  <si>
    <t>Nitrógeno Total (N)</t>
  </si>
  <si>
    <t>Nitrógeno Amoniacal (N)</t>
  </si>
  <si>
    <t>Nitrógeno Nítrico (N)</t>
  </si>
  <si>
    <t>Magnesio (MgO)</t>
  </si>
  <si>
    <t>Azufre (S)</t>
  </si>
  <si>
    <t>Boro (B)</t>
  </si>
  <si>
    <t>Cobalto (Co)</t>
  </si>
  <si>
    <t>Cobre (Cu)</t>
  </si>
  <si>
    <t>Hierro (Fe)</t>
  </si>
  <si>
    <t>Manganeso (Mn)</t>
  </si>
  <si>
    <t>Molibdeno (Mo)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</si>
  <si>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</si>
  <si>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Zinc (Zn)</t>
  </si>
  <si>
    <t>FOSFATO DE AMONIO (MAP)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</si>
  <si>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</si>
  <si>
    <t>SULFATO DE AMONIO (SAM)</t>
  </si>
  <si>
    <t>21% N + 24% S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</si>
  <si>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</si>
  <si>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r>
      <t>0.7%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+12.9%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>+3%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+43%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</si>
  <si>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 xml:space="preserve">SULFATO MAGNESIO </t>
  </si>
  <si>
    <t xml:space="preserve"> 15% MgO + 12% S</t>
  </si>
  <si>
    <t>ACIDO BORICO</t>
  </si>
  <si>
    <t>17,5% B</t>
  </si>
  <si>
    <t>SULFATO DE COBALTO</t>
  </si>
  <si>
    <t xml:space="preserve">20% Co + 11% S </t>
  </si>
  <si>
    <t xml:space="preserve"> </t>
  </si>
  <si>
    <t>SULFATO DE COBRE</t>
  </si>
  <si>
    <t>25% Cu + 13% S</t>
  </si>
  <si>
    <t>SULFATO DE HIERRO</t>
  </si>
  <si>
    <t>20% Fe +12 % S</t>
  </si>
  <si>
    <t>SULFATO DE MANGANESO</t>
  </si>
  <si>
    <t>31% Mn + 18% S</t>
  </si>
  <si>
    <t>MOLIBDATO DE SODIO</t>
  </si>
  <si>
    <t>39% Mo</t>
  </si>
  <si>
    <t xml:space="preserve">DIÓXIDO SILICIO 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</si>
  <si>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</si>
  <si>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 xml:space="preserve">SULFATO DE ZINC </t>
  </si>
  <si>
    <t>35% Zn + 16% S</t>
  </si>
  <si>
    <t>ADITIVOS E INERTES</t>
  </si>
  <si>
    <t>E.D.T.A</t>
  </si>
  <si>
    <t>DEXTROSA MONOHIDRATADA</t>
  </si>
  <si>
    <t>SUMATORIA</t>
  </si>
  <si>
    <t>TOTAL CALFERQUIM S.A.S</t>
  </si>
  <si>
    <t>RESULTADOS ANÁLISIS No. CC-34013</t>
  </si>
  <si>
    <t>Tolerancia Mínima NTC 1061:2020</t>
  </si>
  <si>
    <t>Tolerancia Máxima NTC 1061:2020</t>
  </si>
  <si>
    <t>Tolerancia calculada</t>
  </si>
  <si>
    <t>Tolerancia permitida</t>
  </si>
  <si>
    <r>
      <t>Fósforo Asimilable (P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)</t>
    </r>
  </si>
  <si>
    <r>
      <t>Potasio Soluble (K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O)</t>
    </r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</si>
  <si>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</si>
  <si>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t xml:space="preserve">1) NTC 1061:2020 4.1 </t>
  </si>
  <si>
    <t xml:space="preserve">2) NTC 1061:2020 4.2.1 - 4.2.2 </t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</si>
  <si>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</si>
  <si>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>|</t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</si>
  <si>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</si>
  <si>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</si>
  <si>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</si>
  <si>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</si>
  <si>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</si>
  <si>
    <t>Resolucion ICA 150 de 2003. ANEXO 11</t>
  </si>
  <si>
    <t>Cumple con contenidos mínimos de nutrientes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</si>
</sst>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3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sz val="8"/>
      <color theme="1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u/>
      <sz val="11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10" fontId="7" fillId="0" borderId="10" xfId="0" applyNumberFormat="1" applyFont="1" applyBorder="1"/>
    <xf numFmtId="10" fontId="7" fillId="0" borderId="12" xfId="0" applyNumberFormat="1" applyFont="1" applyBorder="1"/>
    <xf numFmtId="0" fontId="4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10" fontId="5" fillId="3" borderId="5" xfId="0" applyNumberFormat="1" applyFont="1" applyFill="1" applyBorder="1" applyAlignment="1">
      <alignment horizontal="center"/>
    </xf>
    <xf numFmtId="10" fontId="5" fillId="3" borderId="9" xfId="0" applyNumberFormat="1" applyFont="1" applyFill="1" applyBorder="1" applyAlignment="1">
      <alignment horizontal="center"/>
    </xf>
    <xf numFmtId="2" fontId="5" fillId="6" borderId="5" xfId="0" applyNumberFormat="1" applyFont="1" applyFill="1" applyBorder="1" applyAlignment="1">
      <alignment horizontal="center" vertical="center"/>
    </xf>
    <xf numFmtId="2" fontId="5" fillId="6" borderId="12" xfId="0" applyNumberFormat="1" applyFont="1" applyFill="1" applyBorder="1" applyAlignment="1">
      <alignment horizontal="center" vertical="center"/>
    </xf>
    <xf numFmtId="166" fontId="5" fillId="6" borderId="12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10" fontId="5" fillId="3" borderId="5" xfId="1" applyNumberFormat="1" applyFont="1" applyFill="1" applyBorder="1" applyAlignment="1">
      <alignment horizontal="center" vertical="center" wrapText="1"/>
    </xf>
    <xf numFmtId="9" fontId="5" fillId="0" borderId="5" xfId="1" applyFont="1" applyFill="1" applyBorder="1" applyAlignment="1">
      <alignment horizontal="center" vertical="center" wrapText="1"/>
    </xf>
    <xf numFmtId="9" fontId="5" fillId="0" borderId="19" xfId="1" applyFont="1" applyFill="1" applyBorder="1" applyAlignment="1">
      <alignment horizontal="center" vertical="center" wrapText="1"/>
    </xf>
    <xf numFmtId="9" fontId="5" fillId="0" borderId="9" xfId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0" borderId="23" xfId="0" applyNumberFormat="1" applyFont="1" applyBorder="1" applyAlignment="1">
      <alignment horizontal="center" vertical="center" wrapText="1"/>
    </xf>
    <xf numFmtId="10" fontId="5" fillId="0" borderId="6" xfId="0" applyNumberFormat="1" applyFont="1" applyBorder="1" applyAlignment="1">
      <alignment horizontal="center" vertical="center" wrapText="1"/>
    </xf>
    <xf numFmtId="10" fontId="5" fillId="3" borderId="6" xfId="0" applyNumberFormat="1" applyFont="1" applyFill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10" fontId="5" fillId="0" borderId="6" xfId="0" applyNumberFormat="1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10" fontId="5" fillId="3" borderId="23" xfId="0" applyNumberFormat="1" applyFont="1" applyFill="1" applyBorder="1" applyAlignment="1">
      <alignment horizontal="center" vertical="center" wrapText="1"/>
    </xf>
    <xf numFmtId="10" fontId="7" fillId="0" borderId="6" xfId="0" applyNumberFormat="1" applyFont="1" applyBorder="1"/>
    <xf numFmtId="10" fontId="7" fillId="0" borderId="5" xfId="0" applyNumberFormat="1" applyFont="1" applyBorder="1"/>
    <xf numFmtId="10" fontId="7" fillId="0" borderId="8" xfId="0" applyNumberFormat="1" applyFont="1" applyBorder="1"/>
    <xf numFmtId="10" fontId="5" fillId="0" borderId="19" xfId="0" applyNumberFormat="1" applyFont="1" applyBorder="1" applyAlignment="1">
      <alignment horizontal="center" vertical="center" wrapText="1"/>
    </xf>
    <xf numFmtId="10" fontId="5" fillId="3" borderId="5" xfId="0" applyNumberFormat="1" applyFont="1" applyFill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0" fontId="8" fillId="0" borderId="11" xfId="0" applyNumberFormat="1" applyFont="1" applyBorder="1"/>
    <xf numFmtId="165" fontId="5" fillId="3" borderId="9" xfId="0" applyNumberFormat="1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 vertical="center"/>
    </xf>
    <xf numFmtId="166" fontId="5" fillId="6" borderId="12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0" fontId="7" fillId="0" borderId="9" xfId="0" applyNumberFormat="1" applyFont="1" applyBorder="1"/>
    <xf numFmtId="0" fontId="5" fillId="6" borderId="20" xfId="0" applyFont="1" applyFill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10" fontId="5" fillId="0" borderId="25" xfId="0" applyNumberFormat="1" applyFont="1" applyBorder="1" applyAlignment="1">
      <alignment horizontal="center" vertical="center" wrapText="1"/>
    </xf>
    <xf numFmtId="10" fontId="5" fillId="0" borderId="7" xfId="0" applyNumberFormat="1" applyFont="1" applyBorder="1" applyAlignment="1">
      <alignment horizontal="center" vertical="center" wrapText="1"/>
    </xf>
    <xf numFmtId="10" fontId="7" fillId="0" borderId="7" xfId="0" applyNumberFormat="1" applyFont="1" applyBorder="1"/>
    <xf numFmtId="10" fontId="7" fillId="0" borderId="12" xfId="0" applyNumberFormat="1" applyFont="1" applyBorder="1" applyAlignment="1">
      <alignment horizontal="center" vertical="center"/>
    </xf>
    <xf numFmtId="10" fontId="7" fillId="0" borderId="18" xfId="0" applyNumberFormat="1" applyFont="1" applyBorder="1"/>
    <xf numFmtId="10" fontId="7" fillId="0" borderId="26" xfId="0" applyNumberFormat="1" applyFont="1" applyBorder="1"/>
    <xf numFmtId="0" fontId="7" fillId="0" borderId="13" xfId="0" applyFont="1" applyBorder="1"/>
    <xf numFmtId="0" fontId="14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0" fontId="10" fillId="2" borderId="1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9" fontId="5" fillId="0" borderId="6" xfId="1" applyFont="1" applyFill="1" applyBorder="1" applyAlignment="1">
      <alignment horizontal="center" vertical="center" wrapText="1"/>
    </xf>
    <xf numFmtId="166" fontId="5" fillId="6" borderId="24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2" fontId="5" fillId="6" borderId="16" xfId="0" applyNumberFormat="1" applyFont="1" applyFill="1" applyBorder="1" applyAlignment="1">
      <alignment horizontal="center" vertical="center"/>
    </xf>
    <xf numFmtId="164" fontId="7" fillId="5" borderId="11" xfId="0" applyNumberFormat="1" applyFont="1" applyFill="1" applyBorder="1" applyAlignment="1">
      <alignment horizontal="left" vertical="center"/>
    </xf>
    <xf numFmtId="0" fontId="22" fillId="0" borderId="0" xfId="0" applyFont="1"/>
    <xf numFmtId="165" fontId="0" fillId="0" borderId="0" xfId="0" applyNumberFormat="1"/>
    <xf numFmtId="2" fontId="17" fillId="9" borderId="35" xfId="0" applyNumberFormat="1" applyFont="1" applyFill="1" applyBorder="1" applyAlignment="1">
      <alignment vertical="center"/>
    </xf>
    <xf numFmtId="2" fontId="17" fillId="9" borderId="9" xfId="0" applyNumberFormat="1" applyFont="1" applyFill="1" applyBorder="1" applyAlignment="1">
      <alignment vertical="center"/>
    </xf>
    <xf numFmtId="2" fontId="17" fillId="9" borderId="32" xfId="0" applyNumberFormat="1" applyFont="1" applyFill="1" applyBorder="1" applyAlignment="1">
      <alignment vertical="center"/>
    </xf>
    <xf numFmtId="2" fontId="17" fillId="8" borderId="39" xfId="0" applyNumberFormat="1" applyFont="1" applyFill="1" applyBorder="1" applyAlignment="1">
      <alignment horizontal="center" vertical="center"/>
    </xf>
    <xf numFmtId="2" fontId="17" fillId="8" borderId="40" xfId="0" applyNumberFormat="1" applyFont="1" applyFill="1" applyBorder="1" applyAlignment="1">
      <alignment horizontal="center" vertical="center"/>
    </xf>
    <xf numFmtId="165" fontId="17" fillId="8" borderId="40" xfId="0" applyNumberFormat="1" applyFont="1" applyFill="1" applyBorder="1" applyAlignment="1">
      <alignment horizontal="center" vertical="center"/>
    </xf>
    <xf numFmtId="165" fontId="17" fillId="8" borderId="41" xfId="0" applyNumberFormat="1" applyFont="1" applyFill="1" applyBorder="1" applyAlignment="1">
      <alignment horizontal="center" vertical="center"/>
    </xf>
    <xf numFmtId="10" fontId="23" fillId="7" borderId="29" xfId="1" applyNumberFormat="1" applyFont="1" applyFill="1" applyBorder="1" applyAlignment="1">
      <alignment horizontal="center" vertical="center"/>
    </xf>
    <xf numFmtId="10" fontId="23" fillId="3" borderId="53" xfId="1" applyNumberFormat="1" applyFont="1" applyFill="1" applyBorder="1" applyAlignment="1">
      <alignment horizontal="center" vertical="center"/>
    </xf>
    <xf numFmtId="10" fontId="23" fillId="3" borderId="28" xfId="1" applyNumberFormat="1" applyFont="1" applyFill="1" applyBorder="1" applyAlignment="1">
      <alignment horizontal="center" vertical="center"/>
    </xf>
    <xf numFmtId="10" fontId="23" fillId="7" borderId="30" xfId="1" applyNumberFormat="1" applyFont="1" applyFill="1" applyBorder="1" applyAlignment="1">
      <alignment horizontal="center" vertical="center"/>
    </xf>
    <xf numFmtId="0" fontId="24" fillId="0" borderId="0" xfId="0" applyFont="1"/>
    <xf numFmtId="165" fontId="24" fillId="0" borderId="0" xfId="0" applyNumberFormat="1" applyFont="1"/>
    <xf numFmtId="10" fontId="25" fillId="8" borderId="42" xfId="1" applyNumberFormat="1" applyFont="1" applyFill="1" applyBorder="1" applyAlignment="1">
      <alignment horizontal="center" vertical="center"/>
    </xf>
    <xf numFmtId="10" fontId="25" fillId="8" borderId="29" xfId="1" applyNumberFormat="1" applyFont="1" applyFill="1" applyBorder="1" applyAlignment="1">
      <alignment horizontal="center" vertical="center"/>
    </xf>
    <xf numFmtId="2" fontId="26" fillId="8" borderId="43" xfId="0" applyNumberFormat="1" applyFont="1" applyFill="1" applyBorder="1" applyAlignment="1">
      <alignment horizontal="center" vertical="center"/>
    </xf>
    <xf numFmtId="2" fontId="26" fillId="8" borderId="33" xfId="0" applyNumberFormat="1" applyFont="1" applyFill="1" applyBorder="1" applyAlignment="1">
      <alignment horizontal="center" vertical="center"/>
    </xf>
    <xf numFmtId="165" fontId="26" fillId="8" borderId="33" xfId="0" applyNumberFormat="1" applyFont="1" applyFill="1" applyBorder="1" applyAlignment="1">
      <alignment horizontal="center" vertical="center"/>
    </xf>
    <xf numFmtId="2" fontId="26" fillId="9" borderId="9" xfId="0" applyNumberFormat="1" applyFont="1" applyFill="1" applyBorder="1" applyAlignment="1">
      <alignment vertical="center"/>
    </xf>
    <xf numFmtId="165" fontId="26" fillId="9" borderId="9" xfId="0" applyNumberFormat="1" applyFont="1" applyFill="1" applyBorder="1" applyAlignment="1">
      <alignment vertical="center"/>
    </xf>
    <xf numFmtId="10" fontId="25" fillId="8" borderId="44" xfId="1" applyNumberFormat="1" applyFont="1" applyFill="1" applyBorder="1" applyAlignment="1">
      <alignment horizontal="center" vertical="center"/>
    </xf>
    <xf numFmtId="10" fontId="25" fillId="8" borderId="34" xfId="1" applyNumberFormat="1" applyFont="1" applyFill="1" applyBorder="1" applyAlignment="1">
      <alignment horizontal="center" vertical="center"/>
    </xf>
    <xf numFmtId="10" fontId="27" fillId="8" borderId="29" xfId="1" applyNumberFormat="1" applyFont="1" applyFill="1" applyBorder="1" applyAlignment="1">
      <alignment horizontal="center" vertical="center"/>
    </xf>
    <xf numFmtId="2" fontId="27" fillId="8" borderId="36" xfId="0" applyNumberFormat="1" applyFont="1" applyFill="1" applyBorder="1" applyAlignment="1">
      <alignment horizontal="center" vertical="center"/>
    </xf>
    <xf numFmtId="2" fontId="27" fillId="9" borderId="32" xfId="0" applyNumberFormat="1" applyFont="1" applyFill="1" applyBorder="1" applyAlignment="1">
      <alignment vertical="center"/>
    </xf>
    <xf numFmtId="10" fontId="27" fillId="8" borderId="34" xfId="1" applyNumberFormat="1" applyFont="1" applyFill="1" applyBorder="1" applyAlignment="1">
      <alignment horizontal="center" vertical="center"/>
    </xf>
    <xf numFmtId="10" fontId="28" fillId="7" borderId="29" xfId="1" applyNumberFormat="1" applyFont="1" applyFill="1" applyBorder="1" applyAlignment="1">
      <alignment horizontal="center" vertical="center"/>
    </xf>
    <xf numFmtId="165" fontId="11" fillId="7" borderId="29" xfId="1" applyNumberFormat="1" applyFont="1" applyFill="1" applyBorder="1" applyAlignment="1">
      <alignment horizontal="center" vertical="center"/>
    </xf>
    <xf numFmtId="10" fontId="28" fillId="3" borderId="28" xfId="1" applyNumberFormat="1" applyFont="1" applyFill="1" applyBorder="1" applyAlignment="1">
      <alignment horizontal="center" vertical="center"/>
    </xf>
    <xf numFmtId="165" fontId="28" fillId="3" borderId="28" xfId="1" applyNumberFormat="1" applyFont="1" applyFill="1" applyBorder="1" applyAlignment="1">
      <alignment horizontal="center" vertical="center"/>
    </xf>
    <xf numFmtId="10" fontId="28" fillId="7" borderId="30" xfId="1" applyNumberFormat="1" applyFont="1" applyFill="1" applyBorder="1" applyAlignment="1">
      <alignment horizontal="center" vertical="center"/>
    </xf>
    <xf numFmtId="165" fontId="11" fillId="7" borderId="30" xfId="1" applyNumberFormat="1" applyFont="1" applyFill="1" applyBorder="1" applyAlignment="1">
      <alignment horizontal="center" vertical="center"/>
    </xf>
    <xf numFmtId="10" fontId="11" fillId="8" borderId="37" xfId="1" applyNumberFormat="1" applyFont="1" applyFill="1" applyBorder="1" applyAlignment="1">
      <alignment horizontal="center" vertical="center"/>
    </xf>
    <xf numFmtId="165" fontId="11" fillId="8" borderId="37" xfId="1" applyNumberFormat="1" applyFont="1" applyFill="1" applyBorder="1" applyAlignment="1">
      <alignment horizontal="center" vertical="center"/>
    </xf>
    <xf numFmtId="10" fontId="11" fillId="8" borderId="38" xfId="1" applyNumberFormat="1" applyFont="1" applyFill="1" applyBorder="1" applyAlignment="1">
      <alignment horizontal="center" vertical="center"/>
    </xf>
    <xf numFmtId="10" fontId="11" fillId="8" borderId="30" xfId="1" applyNumberFormat="1" applyFont="1" applyFill="1" applyBorder="1" applyAlignment="1">
      <alignment horizontal="center" vertical="center"/>
    </xf>
    <xf numFmtId="165" fontId="11" fillId="8" borderId="30" xfId="1" applyNumberFormat="1" applyFont="1" applyFill="1" applyBorder="1" applyAlignment="1">
      <alignment horizontal="center" vertical="center"/>
    </xf>
    <xf numFmtId="2" fontId="11" fillId="8" borderId="30" xfId="0" applyNumberFormat="1" applyFont="1" applyFill="1" applyBorder="1" applyAlignment="1">
      <alignment horizontal="center" vertical="center"/>
    </xf>
    <xf numFmtId="10" fontId="11" fillId="8" borderId="31" xfId="1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29" fillId="0" borderId="0" xfId="0" applyFont="1"/>
    <xf numFmtId="2" fontId="30" fillId="8" borderId="43" xfId="0" applyNumberFormat="1" applyFont="1" applyFill="1" applyBorder="1" applyAlignment="1">
      <alignment horizontal="center" vertical="center"/>
    </xf>
    <xf numFmtId="2" fontId="30" fillId="8" borderId="33" xfId="0" applyNumberFormat="1" applyFont="1" applyFill="1" applyBorder="1" applyAlignment="1">
      <alignment horizontal="center" vertical="center"/>
    </xf>
    <xf numFmtId="2" fontId="30" fillId="8" borderId="32" xfId="0" applyNumberFormat="1" applyFont="1" applyFill="1" applyBorder="1" applyAlignment="1">
      <alignment horizontal="center" vertical="center"/>
    </xf>
    <xf numFmtId="2" fontId="30" fillId="8" borderId="28" xfId="0" applyNumberFormat="1" applyFont="1" applyFill="1" applyBorder="1" applyAlignment="1">
      <alignment horizontal="center" vertical="center"/>
    </xf>
    <xf numFmtId="2" fontId="26" fillId="9" borderId="28" xfId="0" applyNumberFormat="1" applyFont="1" applyFill="1" applyBorder="1" applyAlignment="1">
      <alignment vertical="center"/>
    </xf>
    <xf numFmtId="165" fontId="28" fillId="7" borderId="29" xfId="1" applyNumberFormat="1" applyFont="1" applyFill="1" applyBorder="1" applyAlignment="1">
      <alignment horizontal="center" vertical="center"/>
    </xf>
    <xf numFmtId="165" fontId="28" fillId="7" borderId="30" xfId="1" applyNumberFormat="1" applyFont="1" applyFill="1" applyBorder="1" applyAlignment="1">
      <alignment horizontal="center" vertical="center"/>
    </xf>
    <xf numFmtId="0" fontId="21" fillId="8" borderId="48" xfId="0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center" vertical="center"/>
    </xf>
    <xf numFmtId="0" fontId="9" fillId="8" borderId="54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8" borderId="46" xfId="0" applyFont="1" applyFill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18" fillId="8" borderId="4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7" borderId="28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horizontal="center" vertical="center"/>
    </xf>
    <xf numFmtId="0" fontId="9" fillId="8" borderId="50" xfId="0" applyFont="1" applyFill="1" applyBorder="1" applyAlignment="1">
      <alignment horizontal="center" vertical="center"/>
    </xf>
    <xf numFmtId="0" fontId="9" fillId="8" borderId="51" xfId="0" applyFont="1" applyFill="1" applyBorder="1" applyAlignment="1">
      <alignment horizontal="center" vertical="center"/>
    </xf>
    <xf numFmtId="0" fontId="9" fillId="8" borderId="52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9" fillId="8" borderId="48" xfId="0" applyFont="1" applyFill="1" applyBorder="1" applyAlignment="1">
      <alignment horizontal="center" vertical="center" wrapText="1"/>
    </xf>
    <xf numFmtId="0" fontId="20" fillId="8" borderId="27" xfId="0" applyFont="1" applyFill="1" applyBorder="1" applyAlignment="1">
      <alignment horizontal="center" vertical="center"/>
    </xf>
    <xf numFmtId="0" fontId="20" fillId="8" borderId="4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  <color rgb="FFFF0000"/>
      <color rgb="FFFE90F6"/>
      <color rgb="FFFC0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641-E0E2-474B-947C-B5D07184FDF5}">
  <dimension ref="A1:AA44"/>
  <sheetViews>
    <sheetView tabSelected="1" topLeftCell="A15" zoomScale="70" zoomScaleNormal="70" workbookViewId="0">
      <selection activeCell="E40" sqref="E40"/>
    </sheetView>
  </sheetViews>
  <sheetFormatPr defaultColWidth="11.42578125" defaultRowHeight="15" x14ac:dyDescent="0.25"/>
  <cols>
    <col min="1" max="1" width="31" customWidth="1"/>
    <col min="2" max="2" width="36.5703125" customWidth="1"/>
    <col min="3" max="3" width="7.7109375" customWidth="1"/>
    <col min="4" max="4" width="9.42578125" bestFit="1" customWidth="1"/>
    <col min="5" max="5" width="10" bestFit="1" customWidth="1"/>
    <col min="6" max="6" width="11.7109375" customWidth="1"/>
    <col min="7" max="7" width="13.85546875" customWidth="1"/>
    <col min="8" max="8" width="10.28515625" bestFit="1" customWidth="1"/>
    <col min="9" max="9" width="10" bestFit="1" customWidth="1"/>
    <col min="10" max="10" width="12.28515625" bestFit="1" customWidth="1"/>
    <col min="11" max="11" width="8.85546875" bestFit="1" customWidth="1"/>
    <col min="12" max="12" width="8.7109375" customWidth="1"/>
    <col min="13" max="14" width="9.28515625" bestFit="1" customWidth="1"/>
    <col min="15" max="15" width="8.85546875" customWidth="1"/>
    <col min="16" max="17" width="9.7109375" customWidth="1"/>
    <col min="18" max="18" width="8.85546875" bestFit="1" customWidth="1"/>
    <col min="19" max="19" width="8.7109375" customWidth="1"/>
  </cols>
  <sheetData>
    <row r="1" spans="1:27" ht="18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</row>
    <row r="2" spans="1:27" ht="23.25" x14ac:dyDescent="0.35">
      <c r="A2" s="142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</row>
    <row r="3" spans="1:27" ht="20.25" x14ac:dyDescent="0.3">
      <c r="A3" s="143" t="s">
        <v>2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"/>
      <c r="U3" s="1"/>
      <c r="V3" s="1"/>
      <c r="W3" s="1"/>
      <c r="X3" s="1"/>
      <c r="Y3" s="1"/>
      <c r="Z3" s="1"/>
      <c r="AA3" s="1"/>
    </row>
    <row r="4" spans="1:27" ht="15.75" thickBot="1" x14ac:dyDescent="0.3">
      <c r="A4" s="3"/>
      <c r="B4" s="3"/>
      <c r="C4" s="4"/>
      <c r="D4" s="4"/>
      <c r="E4" s="4"/>
      <c r="F4" s="4"/>
      <c r="G4" s="4"/>
      <c r="H4" s="4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7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51" t="s">
        <v>3</v>
      </c>
      <c r="K5" s="152"/>
      <c r="L5" s="152"/>
      <c r="M5" s="152"/>
      <c r="N5" s="152"/>
      <c r="O5" s="152"/>
      <c r="P5" s="152"/>
      <c r="Q5" s="152"/>
      <c r="R5" s="152"/>
      <c r="S5" s="153"/>
    </row>
    <row r="6" spans="1:27" ht="35.25" thickBot="1" x14ac:dyDescent="0.3">
      <c r="A6" s="7" t="s">
        <v>4</v>
      </c>
      <c r="B6" s="28" t="s">
        <v>5</v>
      </c>
      <c r="C6" s="8" t="s">
        <v>6</v>
      </c>
      <c r="D6" s="29" t="s">
        <v>7</v>
      </c>
      <c r="E6" s="2" t="s">
        <v>8</v>
      </c>
      <c r="F6" s="2" t="s">
        <v>9</v>
      </c>
      <c r="G6" s="2" t="s">
        <v>10</v>
      </c>
      <c r="H6" s="2" t="s">
        <v>56</v>
      </c>
      <c r="I6" s="2" t="s">
        <v>57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7" t="s">
        <v>18</v>
      </c>
      <c r="R6" s="27" t="s">
        <v>19</v>
      </c>
      <c r="S6" s="2" t="s">
        <v>20</v>
      </c>
    </row>
    <row r="7" spans="1:27" ht="15.75" thickBot="1" x14ac:dyDescent="0.3">
      <c r="A7" s="12" t="s">
        <v>21</v>
      </c>
      <c r="B7" s="14" t="s">
        <v>22</v>
      </c>
      <c r="C7" s="30">
        <v>398.4</v>
      </c>
      <c r="D7" s="23">
        <v>39.840000000000003</v>
      </c>
      <c r="E7" s="31">
        <v>4.7808000000000003E-2</v>
      </c>
      <c r="F7" s="31">
        <v>4.7808000000000003E-2</v>
      </c>
      <c r="G7" s="32"/>
      <c r="H7" s="31">
        <v>0.24302399999999999</v>
      </c>
      <c r="I7" s="33"/>
      <c r="J7" s="32"/>
      <c r="K7" s="32"/>
      <c r="L7" s="78"/>
      <c r="M7" s="78"/>
      <c r="N7" s="32"/>
      <c r="O7" s="34"/>
      <c r="P7" s="32"/>
      <c r="Q7" s="34"/>
      <c r="R7" s="32"/>
      <c r="S7" s="32"/>
    </row>
    <row r="8" spans="1:27" ht="15.75" thickBot="1" x14ac:dyDescent="0.3">
      <c r="A8" s="12" t="s">
        <v>23</v>
      </c>
      <c r="B8" s="14" t="s">
        <v>24</v>
      </c>
      <c r="C8" s="30">
        <v>97.9</v>
      </c>
      <c r="D8" s="23">
        <v>9.7899999999999991</v>
      </c>
      <c r="E8" s="9">
        <v>2.0559000000000001E-2</v>
      </c>
      <c r="F8" s="9">
        <v>2.0559000000000001E-2</v>
      </c>
      <c r="G8" s="35"/>
      <c r="H8" s="35"/>
      <c r="I8" s="36"/>
      <c r="J8" s="37"/>
      <c r="K8" s="38">
        <v>2.3496E-2</v>
      </c>
      <c r="L8" s="39"/>
      <c r="M8" s="39"/>
      <c r="N8" s="40"/>
      <c r="O8" s="41"/>
      <c r="P8" s="40"/>
      <c r="Q8" s="41"/>
      <c r="R8" s="40"/>
      <c r="S8" s="40"/>
    </row>
    <row r="9" spans="1:27" ht="15.75" thickBot="1" x14ac:dyDescent="0.3">
      <c r="A9" s="15" t="s">
        <v>25</v>
      </c>
      <c r="B9" s="16" t="s">
        <v>26</v>
      </c>
      <c r="C9" s="30">
        <v>232.6</v>
      </c>
      <c r="D9" s="23">
        <v>23.26</v>
      </c>
      <c r="E9" s="9">
        <v>3.1633599999999998E-2</v>
      </c>
      <c r="F9" s="9">
        <v>1.6282E-3</v>
      </c>
      <c r="G9" s="9">
        <v>3.0005400000000002E-2</v>
      </c>
      <c r="H9" s="9">
        <v>6.9779999999999998E-3</v>
      </c>
      <c r="I9" s="42">
        <v>0.100018</v>
      </c>
      <c r="J9" s="37"/>
      <c r="K9" s="43"/>
      <c r="L9" s="44"/>
      <c r="M9" s="44"/>
      <c r="N9" s="43"/>
      <c r="O9" s="45"/>
      <c r="P9" s="43"/>
      <c r="Q9" s="45"/>
      <c r="R9" s="43"/>
      <c r="S9" s="43"/>
    </row>
    <row r="10" spans="1:27" ht="15.75" thickBot="1" x14ac:dyDescent="0.3">
      <c r="A10" s="12" t="s">
        <v>27</v>
      </c>
      <c r="B10" s="14" t="s">
        <v>28</v>
      </c>
      <c r="C10" s="30">
        <v>66.900000000000006</v>
      </c>
      <c r="D10" s="23">
        <v>6.69</v>
      </c>
      <c r="E10" s="35"/>
      <c r="F10" s="35"/>
      <c r="G10" s="35"/>
      <c r="H10" s="35"/>
      <c r="I10" s="46"/>
      <c r="J10" s="47">
        <v>1.0035000000000001E-2</v>
      </c>
      <c r="K10" s="9">
        <v>8.0280000000000004E-3</v>
      </c>
      <c r="L10" s="35"/>
      <c r="M10" s="35"/>
      <c r="N10" s="35"/>
      <c r="O10" s="48"/>
      <c r="P10" s="35"/>
      <c r="Q10" s="48"/>
      <c r="R10" s="35"/>
      <c r="S10" s="35"/>
    </row>
    <row r="11" spans="1:27" ht="15.75" thickBot="1" x14ac:dyDescent="0.3">
      <c r="A11" s="19" t="s">
        <v>29</v>
      </c>
      <c r="B11" s="14" t="s">
        <v>30</v>
      </c>
      <c r="C11" s="30">
        <v>1.2</v>
      </c>
      <c r="D11" s="23">
        <v>0.12</v>
      </c>
      <c r="E11" s="35"/>
      <c r="F11" s="35"/>
      <c r="G11" s="35"/>
      <c r="H11" s="35"/>
      <c r="I11" s="46"/>
      <c r="J11" s="49"/>
      <c r="K11" s="39"/>
      <c r="L11" s="21">
        <v>2.1000000000000001E-4</v>
      </c>
      <c r="M11" s="50"/>
      <c r="N11" s="50"/>
      <c r="O11" s="51"/>
      <c r="P11" s="39"/>
      <c r="Q11" s="52"/>
      <c r="R11" s="50"/>
      <c r="S11" s="50"/>
    </row>
    <row r="12" spans="1:27" ht="15.75" thickBot="1" x14ac:dyDescent="0.3">
      <c r="A12" s="12" t="s">
        <v>31</v>
      </c>
      <c r="B12" s="14" t="s">
        <v>32</v>
      </c>
      <c r="C12" s="30">
        <v>0.1</v>
      </c>
      <c r="D12" s="23">
        <v>0.01</v>
      </c>
      <c r="E12" s="35"/>
      <c r="F12" s="35" t="s">
        <v>33</v>
      </c>
      <c r="G12" s="35"/>
      <c r="H12" s="35"/>
      <c r="I12" s="46"/>
      <c r="J12" s="49"/>
      <c r="K12" s="21">
        <v>1.1E-5</v>
      </c>
      <c r="L12" s="50"/>
      <c r="M12" s="18">
        <v>2.0000000000000002E-5</v>
      </c>
      <c r="N12" s="50"/>
      <c r="O12" s="51"/>
      <c r="P12" s="39"/>
      <c r="Q12" s="52"/>
      <c r="R12" s="50"/>
      <c r="S12" s="50"/>
    </row>
    <row r="13" spans="1:27" ht="17.25" thickBot="1" x14ac:dyDescent="0.35">
      <c r="A13" s="12" t="s">
        <v>34</v>
      </c>
      <c r="B13" s="14" t="s">
        <v>35</v>
      </c>
      <c r="C13" s="30">
        <v>0.8</v>
      </c>
      <c r="D13" s="16">
        <v>0.08</v>
      </c>
      <c r="E13" s="35"/>
      <c r="F13" s="35"/>
      <c r="G13" s="35"/>
      <c r="H13" s="35"/>
      <c r="I13" s="46"/>
      <c r="J13" s="53"/>
      <c r="K13" s="38">
        <v>1.0399999999999999E-4</v>
      </c>
      <c r="L13" s="39"/>
      <c r="M13" s="39"/>
      <c r="N13" s="21">
        <v>2.0000000000000001E-4</v>
      </c>
      <c r="O13" s="51"/>
      <c r="P13" s="39"/>
      <c r="Q13" s="51"/>
      <c r="R13" s="39"/>
      <c r="S13" s="39"/>
    </row>
    <row r="14" spans="1:27" ht="15.75" thickBot="1" x14ac:dyDescent="0.3">
      <c r="A14" s="12" t="s">
        <v>36</v>
      </c>
      <c r="B14" s="14" t="s">
        <v>37</v>
      </c>
      <c r="C14" s="30">
        <v>2.5</v>
      </c>
      <c r="D14" s="23">
        <v>0.25</v>
      </c>
      <c r="E14" s="35"/>
      <c r="F14" s="35"/>
      <c r="G14" s="35" t="s">
        <v>62</v>
      </c>
      <c r="H14" s="35"/>
      <c r="I14" s="46"/>
      <c r="J14" s="49"/>
      <c r="K14" s="21">
        <v>2.9999999999999997E-4</v>
      </c>
      <c r="L14" s="39"/>
      <c r="M14" s="39"/>
      <c r="N14" s="39"/>
      <c r="O14" s="22">
        <v>5.0000000000000001E-4</v>
      </c>
      <c r="P14" s="39"/>
      <c r="Q14" s="51"/>
      <c r="R14" s="39"/>
      <c r="S14" s="39"/>
    </row>
    <row r="15" spans="1:27" ht="15.75" thickBot="1" x14ac:dyDescent="0.3">
      <c r="A15" s="12" t="s">
        <v>38</v>
      </c>
      <c r="B15" s="14" t="s">
        <v>39</v>
      </c>
      <c r="C15" s="30">
        <v>1.7</v>
      </c>
      <c r="D15" s="16">
        <v>0.17</v>
      </c>
      <c r="E15" s="35"/>
      <c r="F15" s="35"/>
      <c r="G15" s="35"/>
      <c r="H15" s="35"/>
      <c r="I15" s="46"/>
      <c r="J15" s="49"/>
      <c r="K15" s="21">
        <v>3.0600000000000001E-4</v>
      </c>
      <c r="L15" s="39"/>
      <c r="M15" s="39"/>
      <c r="N15" s="50"/>
      <c r="O15" s="51"/>
      <c r="P15" s="21">
        <v>5.2700000000000002E-4</v>
      </c>
      <c r="Q15" s="52"/>
      <c r="R15" s="50"/>
      <c r="S15" s="50"/>
    </row>
    <row r="16" spans="1:27" ht="15.75" thickBot="1" x14ac:dyDescent="0.3">
      <c r="A16" s="12" t="s">
        <v>40</v>
      </c>
      <c r="B16" s="14" t="s">
        <v>41</v>
      </c>
      <c r="C16" s="30">
        <v>0.13</v>
      </c>
      <c r="D16" s="23">
        <v>1.2999999999999999E-2</v>
      </c>
      <c r="E16" s="35"/>
      <c r="F16" s="35"/>
      <c r="G16" s="35"/>
      <c r="H16" s="35"/>
      <c r="I16" s="46"/>
      <c r="J16" s="49"/>
      <c r="K16" s="39"/>
      <c r="L16" s="39"/>
      <c r="M16" s="39"/>
      <c r="N16" s="50"/>
      <c r="O16" s="51"/>
      <c r="P16" s="39"/>
      <c r="Q16" s="54">
        <v>5.0699999999999999E-5</v>
      </c>
      <c r="R16" s="50"/>
      <c r="S16" s="50"/>
    </row>
    <row r="17" spans="1:19" ht="15.75" thickBot="1" x14ac:dyDescent="0.3">
      <c r="A17" s="55" t="s">
        <v>42</v>
      </c>
      <c r="B17" s="26" t="s">
        <v>43</v>
      </c>
      <c r="C17" s="30">
        <v>6.5</v>
      </c>
      <c r="D17" s="16">
        <v>0.65</v>
      </c>
      <c r="E17" s="35"/>
      <c r="F17" s="35"/>
      <c r="G17" s="35"/>
      <c r="H17" s="35"/>
      <c r="I17" s="46"/>
      <c r="J17" s="49"/>
      <c r="K17" s="39"/>
      <c r="L17" s="39"/>
      <c r="M17" s="39"/>
      <c r="N17" s="50"/>
      <c r="O17" s="51"/>
      <c r="P17" s="39"/>
      <c r="Q17" s="52"/>
      <c r="R17" s="21">
        <v>6.2399999999999999E-3</v>
      </c>
      <c r="S17" s="50"/>
    </row>
    <row r="18" spans="1:19" ht="15.75" thickBot="1" x14ac:dyDescent="0.3">
      <c r="A18" s="19" t="s">
        <v>44</v>
      </c>
      <c r="B18" s="20" t="s">
        <v>45</v>
      </c>
      <c r="C18" s="56">
        <v>0.6</v>
      </c>
      <c r="D18" s="24">
        <v>0.06</v>
      </c>
      <c r="E18" s="35"/>
      <c r="F18" s="35"/>
      <c r="G18" s="35"/>
      <c r="H18" s="35"/>
      <c r="I18" s="46"/>
      <c r="J18" s="49"/>
      <c r="K18" s="21">
        <v>9.6000000000000002E-5</v>
      </c>
      <c r="L18" s="39"/>
      <c r="M18" s="39"/>
      <c r="N18" s="50"/>
      <c r="O18" s="51"/>
      <c r="P18" s="39"/>
      <c r="Q18" s="52"/>
      <c r="R18" s="50"/>
      <c r="S18" s="21">
        <v>2.1000000000000001E-4</v>
      </c>
    </row>
    <row r="19" spans="1:19" ht="15.75" thickBot="1" x14ac:dyDescent="0.3">
      <c r="A19" s="154" t="s">
        <v>46</v>
      </c>
      <c r="B19" s="155"/>
      <c r="C19" s="57"/>
      <c r="D19" s="58"/>
      <c r="E19" s="35"/>
      <c r="F19" s="35"/>
      <c r="G19" s="35"/>
      <c r="H19" s="35"/>
      <c r="I19" s="46"/>
      <c r="J19" s="49"/>
      <c r="K19" s="44"/>
      <c r="L19" s="44"/>
      <c r="M19" s="44"/>
      <c r="N19" s="44"/>
      <c r="O19" s="59"/>
      <c r="P19" s="44"/>
      <c r="Q19" s="59"/>
      <c r="R19" s="44"/>
      <c r="S19" s="44"/>
    </row>
    <row r="20" spans="1:19" ht="15.75" thickBot="1" x14ac:dyDescent="0.3">
      <c r="A20" s="60" t="s">
        <v>47</v>
      </c>
      <c r="B20" s="13"/>
      <c r="C20" s="79">
        <v>38.799999999999997</v>
      </c>
      <c r="D20" s="81">
        <v>3.88</v>
      </c>
      <c r="E20" s="61"/>
      <c r="F20" s="61"/>
      <c r="G20" s="61"/>
      <c r="H20" s="61"/>
      <c r="I20" s="62"/>
      <c r="J20" s="63"/>
      <c r="K20" s="64"/>
      <c r="L20" s="44"/>
      <c r="M20" s="44"/>
      <c r="N20" s="64"/>
      <c r="O20" s="5"/>
      <c r="P20" s="64"/>
      <c r="Q20" s="5"/>
      <c r="R20" s="64"/>
      <c r="S20" s="64"/>
    </row>
    <row r="21" spans="1:19" ht="15.75" thickBot="1" x14ac:dyDescent="0.3">
      <c r="A21" s="17" t="s">
        <v>48</v>
      </c>
      <c r="B21" s="20"/>
      <c r="C21" s="25">
        <v>151.9</v>
      </c>
      <c r="D21" s="24">
        <v>15.186999999999999</v>
      </c>
      <c r="E21" s="61"/>
      <c r="F21" s="61"/>
      <c r="G21" s="61"/>
      <c r="H21" s="61"/>
      <c r="I21" s="62"/>
      <c r="J21" s="63"/>
      <c r="K21" s="64"/>
      <c r="L21" s="44"/>
      <c r="M21" s="44"/>
      <c r="N21" s="64"/>
      <c r="O21" s="5"/>
      <c r="P21" s="64"/>
      <c r="Q21" s="5"/>
      <c r="R21" s="64"/>
      <c r="S21" s="64"/>
    </row>
    <row r="22" spans="1:19" ht="15.75" thickBot="1" x14ac:dyDescent="0.3">
      <c r="A22" s="156" t="s">
        <v>49</v>
      </c>
      <c r="B22" s="157"/>
      <c r="C22" s="80">
        <f>SUM(C7:C21)</f>
        <v>1000.03</v>
      </c>
      <c r="D22" s="82">
        <f>SUM(D7:D21)</f>
        <v>100.00000000000001</v>
      </c>
      <c r="E22" s="65"/>
      <c r="F22" s="65"/>
      <c r="G22" s="65"/>
      <c r="H22" s="65"/>
      <c r="I22" s="66"/>
      <c r="J22" s="6"/>
      <c r="K22" s="6"/>
      <c r="L22" s="6"/>
      <c r="M22" s="6"/>
      <c r="N22" s="6"/>
      <c r="O22" s="5"/>
      <c r="P22" s="6"/>
      <c r="Q22" s="67"/>
      <c r="R22" s="6"/>
      <c r="S22" s="6"/>
    </row>
    <row r="23" spans="1:19" ht="17.25" thickBot="1" x14ac:dyDescent="0.3">
      <c r="A23" s="158" t="s">
        <v>50</v>
      </c>
      <c r="B23" s="159"/>
      <c r="C23" s="159"/>
      <c r="D23" s="160"/>
      <c r="E23" s="11">
        <f>SUM(E7:E22)</f>
        <v>0.10000060000000001</v>
      </c>
      <c r="F23" s="11">
        <f>SUM(F7:F22)</f>
        <v>6.9995200000000007E-2</v>
      </c>
      <c r="G23" s="11">
        <f>SUM(G7:G22)</f>
        <v>3.0005400000000002E-2</v>
      </c>
      <c r="H23" s="11">
        <f t="shared" ref="H23:S23" si="0">SUM(H7:H22)</f>
        <v>0.250002</v>
      </c>
      <c r="I23" s="11">
        <f t="shared" si="0"/>
        <v>0.100018</v>
      </c>
      <c r="J23" s="11">
        <f t="shared" si="0"/>
        <v>1.0035000000000001E-2</v>
      </c>
      <c r="K23" s="11">
        <f t="shared" si="0"/>
        <v>3.2340999999999995E-2</v>
      </c>
      <c r="L23" s="11">
        <f t="shared" si="0"/>
        <v>2.1000000000000001E-4</v>
      </c>
      <c r="M23" s="124">
        <f t="shared" si="0"/>
        <v>2.0000000000000002E-5</v>
      </c>
      <c r="N23" s="11">
        <f t="shared" si="0"/>
        <v>2.0000000000000001E-4</v>
      </c>
      <c r="O23" s="11">
        <f t="shared" si="0"/>
        <v>5.0000000000000001E-4</v>
      </c>
      <c r="P23" s="11">
        <f t="shared" si="0"/>
        <v>5.2700000000000002E-4</v>
      </c>
      <c r="Q23" s="125">
        <f t="shared" si="0"/>
        <v>5.0699999999999999E-5</v>
      </c>
      <c r="R23" s="11">
        <f t="shared" si="0"/>
        <v>6.2399999999999999E-3</v>
      </c>
      <c r="S23" s="11">
        <f t="shared" si="0"/>
        <v>2.1000000000000001E-4</v>
      </c>
    </row>
    <row r="24" spans="1:19" ht="15.75" thickBot="1" x14ac:dyDescent="0.3">
      <c r="A24" s="68"/>
      <c r="B24" s="3"/>
      <c r="C24" s="4"/>
      <c r="D24" s="4"/>
      <c r="E24" s="4"/>
      <c r="F24" s="4"/>
      <c r="G24" s="4"/>
      <c r="H24" s="4"/>
      <c r="I24" s="10"/>
      <c r="J24" s="69"/>
      <c r="K24" s="10"/>
      <c r="L24" s="10"/>
      <c r="M24" s="10"/>
      <c r="N24" s="10"/>
      <c r="O24" s="10"/>
      <c r="P24" s="10"/>
      <c r="Q24" s="10"/>
      <c r="R24" s="10"/>
      <c r="S24" s="70"/>
    </row>
    <row r="25" spans="1:19" ht="21" thickBot="1" x14ac:dyDescent="0.3">
      <c r="A25" s="161" t="s">
        <v>51</v>
      </c>
      <c r="B25" s="162"/>
      <c r="C25" s="162"/>
      <c r="D25" s="163"/>
      <c r="E25" s="71">
        <v>9.2499999999999999E-2</v>
      </c>
      <c r="F25" s="71">
        <v>6.4799999999999996E-2</v>
      </c>
      <c r="G25" s="71">
        <v>2.7699999999999999E-2</v>
      </c>
      <c r="H25" s="71">
        <v>0.25580000000000003</v>
      </c>
      <c r="I25" s="72">
        <v>0.1103</v>
      </c>
      <c r="J25" s="72">
        <v>1.1599999999999999E-2</v>
      </c>
      <c r="K25" s="72">
        <v>3.3500000000000002E-2</v>
      </c>
      <c r="L25" s="72">
        <v>2.0000000000000001E-4</v>
      </c>
      <c r="M25" s="73">
        <v>2.0000000000000002E-5</v>
      </c>
      <c r="N25" s="72">
        <v>2.0000000000000001E-4</v>
      </c>
      <c r="O25" s="72">
        <v>2.9999999999999997E-4</v>
      </c>
      <c r="P25" s="72">
        <v>5.0000000000000001E-4</v>
      </c>
      <c r="Q25" s="73">
        <v>4.0000000000000003E-5</v>
      </c>
      <c r="R25" s="72">
        <v>6.1999999999999998E-3</v>
      </c>
      <c r="S25" s="72">
        <v>1E-4</v>
      </c>
    </row>
    <row r="26" spans="1:19" ht="18" thickBot="1" x14ac:dyDescent="0.3">
      <c r="A26" s="74"/>
      <c r="B26" s="74"/>
      <c r="C26" s="74"/>
      <c r="D26" s="74"/>
      <c r="E26" s="75"/>
      <c r="F26" s="75"/>
      <c r="G26" s="75"/>
      <c r="H26" s="75"/>
      <c r="I26" s="76"/>
      <c r="J26" s="76"/>
      <c r="K26" s="76"/>
      <c r="L26" s="76"/>
      <c r="M26" s="77"/>
      <c r="N26" s="76"/>
      <c r="O26" s="76"/>
      <c r="P26" s="76"/>
      <c r="Q26" s="77"/>
      <c r="R26" s="77"/>
      <c r="S26" s="76"/>
    </row>
    <row r="27" spans="1:19" ht="18" customHeight="1" x14ac:dyDescent="0.25">
      <c r="A27" s="144" t="s">
        <v>52</v>
      </c>
      <c r="B27" s="144"/>
      <c r="C27" s="144"/>
      <c r="D27" s="144"/>
      <c r="E27" s="92">
        <f t="shared" ref="E27:I27" si="1">IF(E35&lt;0.01%,ROUND(E28,5)-ROUND(E35,5),ROUND(E28,4)-ROUND(E35,4))</f>
        <v>8.9800000000000005E-2</v>
      </c>
      <c r="F27" s="92">
        <f t="shared" si="1"/>
        <v>6.0800000000000007E-2</v>
      </c>
      <c r="G27" s="92">
        <f t="shared" si="1"/>
        <v>2.1899999999999999E-2</v>
      </c>
      <c r="H27" s="92">
        <f t="shared" si="1"/>
        <v>0.23630000000000001</v>
      </c>
      <c r="I27" s="92">
        <f t="shared" si="1"/>
        <v>8.9100000000000013E-2</v>
      </c>
      <c r="J27" s="111">
        <f>IF(J35&lt;0.01%,ROUND(J28,5)-ROUND(J35,5),ROUND(J28,4)-ROUND(J35,4))</f>
        <v>5.0000000000000001E-3</v>
      </c>
      <c r="K27" s="111">
        <f>IF(K35&lt;0.01%,ROUND(K28,5)-ROUND(K35,5),ROUND(K28,4)-ROUND(K35,4))</f>
        <v>2.69E-2</v>
      </c>
      <c r="L27" s="111">
        <f>IF(L35&lt;0.01%,ROUND(L28,5)-ROUND(L35,5),ROUND(L28,4)-ROUND(L35,4))</f>
        <v>1E-4</v>
      </c>
      <c r="M27" s="132">
        <f>IF(M35&lt;0.01%,ROUND(M28,5)-ROUND(M35,5),ROUND(M28,4)-ROUND(M35,4))</f>
        <v>1.0000000000000001E-5</v>
      </c>
      <c r="N27" s="111">
        <f t="shared" ref="N27:S27" si="2">IF(N35&lt;0.01%,ROUND(N28,5)-ROUND(N35,5),ROUND(N28,4)-ROUND(N35,4))</f>
        <v>1E-4</v>
      </c>
      <c r="O27" s="132">
        <f>IF(O35&lt;0.01%,ROUND(O28,5)-ROUND(O35,5),ROUND(O28,4)-ROUND(O35,4))</f>
        <v>2.0000000000000004E-4</v>
      </c>
      <c r="P27" s="132">
        <f t="shared" si="2"/>
        <v>2.0000000000000004E-4</v>
      </c>
      <c r="Q27" s="132">
        <f t="shared" si="2"/>
        <v>3.0000000000000001E-5</v>
      </c>
      <c r="R27" s="112"/>
      <c r="S27" s="111">
        <f t="shared" si="2"/>
        <v>1E-4</v>
      </c>
    </row>
    <row r="28" spans="1:19" ht="21" customHeight="1" x14ac:dyDescent="0.25">
      <c r="A28" s="145" t="str">
        <f>_xlfn.CONCAT("SOLICITUD DE REGISTRO ICA: ",A2)</f>
        <v xml:space="preserve">SOLICITUD DE REGISTRO ICA: CALFER FLORACIÓN 10 - 25 - 10 </v>
      </c>
      <c r="B28" s="145"/>
      <c r="C28" s="145"/>
      <c r="D28" s="145"/>
      <c r="E28" s="93">
        <f t="shared" ref="E28:S28" si="3">E23</f>
        <v>0.10000060000000001</v>
      </c>
      <c r="F28" s="94">
        <f t="shared" si="3"/>
        <v>6.9995200000000007E-2</v>
      </c>
      <c r="G28" s="94">
        <f t="shared" si="3"/>
        <v>3.0005400000000002E-2</v>
      </c>
      <c r="H28" s="94">
        <f t="shared" si="3"/>
        <v>0.250002</v>
      </c>
      <c r="I28" s="94">
        <f t="shared" si="3"/>
        <v>0.100018</v>
      </c>
      <c r="J28" s="113">
        <f t="shared" si="3"/>
        <v>1.0035000000000001E-2</v>
      </c>
      <c r="K28" s="113">
        <f t="shared" si="3"/>
        <v>3.2340999999999995E-2</v>
      </c>
      <c r="L28" s="113">
        <f t="shared" si="3"/>
        <v>2.1000000000000001E-4</v>
      </c>
      <c r="M28" s="114">
        <f t="shared" si="3"/>
        <v>2.0000000000000002E-5</v>
      </c>
      <c r="N28" s="113">
        <f t="shared" si="3"/>
        <v>2.0000000000000001E-4</v>
      </c>
      <c r="O28" s="114">
        <f t="shared" si="3"/>
        <v>5.0000000000000001E-4</v>
      </c>
      <c r="P28" s="114">
        <f t="shared" si="3"/>
        <v>5.2700000000000002E-4</v>
      </c>
      <c r="Q28" s="114">
        <f t="shared" si="3"/>
        <v>5.0699999999999999E-5</v>
      </c>
      <c r="R28" s="113">
        <f t="shared" si="3"/>
        <v>6.2399999999999999E-3</v>
      </c>
      <c r="S28" s="113">
        <f t="shared" si="3"/>
        <v>2.1000000000000001E-4</v>
      </c>
    </row>
    <row r="29" spans="1:19" ht="18" customHeight="1" thickBot="1" x14ac:dyDescent="0.3">
      <c r="A29" s="150" t="s">
        <v>53</v>
      </c>
      <c r="B29" s="150"/>
      <c r="C29" s="150"/>
      <c r="D29" s="150"/>
      <c r="E29" s="95">
        <f t="shared" ref="E29:I29" si="4">IF(E35&lt;0.01%,ROUND(E28,5)+ROUND(E35,5),ROUND(E28,4)+ROUND(E35,4))</f>
        <v>0.11020000000000001</v>
      </c>
      <c r="F29" s="95">
        <f t="shared" si="4"/>
        <v>7.9200000000000007E-2</v>
      </c>
      <c r="G29" s="95">
        <f t="shared" si="4"/>
        <v>3.8099999999999995E-2</v>
      </c>
      <c r="H29" s="95">
        <f t="shared" si="4"/>
        <v>0.26369999999999999</v>
      </c>
      <c r="I29" s="95">
        <f t="shared" si="4"/>
        <v>0.1109</v>
      </c>
      <c r="J29" s="115">
        <f>IF(J35&lt;0.01%,ROUND(J28,5)+ROUND(J35,5),ROUND(J28,4)+ROUND(J35,4))</f>
        <v>1.4999999999999999E-2</v>
      </c>
      <c r="K29" s="115">
        <f>IF(K35&lt;0.01%,ROUND(K28,5)+ROUND(K35,5),ROUND(K28,4)+ROUND(K35,4))</f>
        <v>3.7700000000000004E-2</v>
      </c>
      <c r="L29" s="115">
        <f>IF(L35&lt;0.01%,ROUND(L28,5)+ROUND(L35,5),ROUND(L28,4)+ROUND(L35,4))</f>
        <v>3.0000000000000003E-4</v>
      </c>
      <c r="M29" s="133">
        <f>IF(M35&lt;0.01%,ROUND(M28,5)+ROUND(M35,5),ROUND(M28,4)+ROUND(M35,4))</f>
        <v>3.0000000000000004E-5</v>
      </c>
      <c r="N29" s="115">
        <f t="shared" ref="N29:S29" si="5">IF(N35&lt;0.01%,ROUND(N28,5)+ROUND(N35,5),ROUND(N28,4)+ROUND(N35,4))</f>
        <v>3.0000000000000003E-4</v>
      </c>
      <c r="O29" s="133">
        <f t="shared" si="5"/>
        <v>7.9999999999999993E-4</v>
      </c>
      <c r="P29" s="133">
        <f t="shared" si="5"/>
        <v>7.9999999999999993E-4</v>
      </c>
      <c r="Q29" s="133">
        <f t="shared" si="5"/>
        <v>7.0000000000000007E-5</v>
      </c>
      <c r="R29" s="116"/>
      <c r="S29" s="115">
        <f t="shared" si="5"/>
        <v>3.0000000000000003E-4</v>
      </c>
    </row>
    <row r="30" spans="1:19" x14ac:dyDescent="0.25">
      <c r="E30" s="96"/>
      <c r="F30" s="96"/>
      <c r="G30" s="97"/>
      <c r="H30" s="96"/>
      <c r="I30" s="96"/>
      <c r="M30" s="84"/>
      <c r="Q30" s="84"/>
    </row>
    <row r="31" spans="1:19" ht="15.75" thickBot="1" x14ac:dyDescent="0.3">
      <c r="E31" s="96"/>
      <c r="F31" s="96"/>
      <c r="G31" s="97"/>
      <c r="H31" s="96"/>
      <c r="I31" s="96"/>
    </row>
    <row r="32" spans="1:19" ht="16.5" x14ac:dyDescent="0.25">
      <c r="A32" s="137" t="s">
        <v>54</v>
      </c>
      <c r="B32" s="138"/>
      <c r="C32" s="138"/>
      <c r="D32" s="139"/>
      <c r="E32" s="98">
        <f>(-0.0005*100*100*E$28*E$28+0.0413*100*E$28+0.6533)/100</f>
        <v>1.0163018779982E-2</v>
      </c>
      <c r="F32" s="99">
        <f>(-0.0005*10000*F$28*F$28+0.0413*100*F$28+0.6533)/100</f>
        <v>9.1788353588480014E-3</v>
      </c>
      <c r="G32" s="99">
        <f>(-0.0005*10000*G$28*G$28+0.0413*100*G$28+0.6533)/100</f>
        <v>7.727206818542001E-3</v>
      </c>
      <c r="H32" s="99">
        <f>(-0.0005*10000*H$28*H$28+0.0413*100*H$28+0.6533)/100</f>
        <v>1.3733032599800001E-2</v>
      </c>
      <c r="I32" s="107">
        <f>(-0.0007*10000*I$28*I$28+0.0769*100*I$28+0.3941)/100</f>
        <v>1.093213217732E-2</v>
      </c>
      <c r="J32" s="117">
        <f>(0.5+0.125*100*J$28)/100</f>
        <v>6.2543749999999995E-3</v>
      </c>
      <c r="K32" s="117">
        <f>(0.3+0.075*100*K$28)/100</f>
        <v>5.4255749999999993E-3</v>
      </c>
      <c r="L32" s="117">
        <f>(0.005+0.25*100*L$28)/100</f>
        <v>1.025E-4</v>
      </c>
      <c r="M32" s="118">
        <f>(0.000125+0.375*100*M$28)/100</f>
        <v>8.7500000000000009E-6</v>
      </c>
      <c r="N32" s="118">
        <f>(0.015+0.3*100*N$28)/100</f>
        <v>2.0999999999999998E-4</v>
      </c>
      <c r="O32" s="118">
        <f>(0.015+0.3*100*O$28)/100</f>
        <v>2.9999999999999997E-4</v>
      </c>
      <c r="P32" s="118">
        <f>(0.015+0.3*100*P$28)/100</f>
        <v>3.0810000000000001E-4</v>
      </c>
      <c r="Q32" s="118">
        <f>(0.000125+0.375*100*Q$28)/100</f>
        <v>2.0262499999999998E-5</v>
      </c>
      <c r="R32" s="117"/>
      <c r="S32" s="119">
        <f>(0.015+0.3*100*S$28)/100</f>
        <v>2.13E-4</v>
      </c>
    </row>
    <row r="33" spans="1:19" ht="16.5" x14ac:dyDescent="0.25">
      <c r="A33" s="140" t="s">
        <v>58</v>
      </c>
      <c r="B33" s="135"/>
      <c r="C33" s="135"/>
      <c r="D33" s="146"/>
      <c r="E33" s="100" t="str">
        <f t="shared" ref="E33:I33" si="6">IF(OR(E28&lt;0.04,E28&gt;0.32),"SI","NO")</f>
        <v>NO</v>
      </c>
      <c r="F33" s="101" t="str">
        <f t="shared" si="6"/>
        <v>NO</v>
      </c>
      <c r="G33" s="102" t="str">
        <f t="shared" si="6"/>
        <v>SI</v>
      </c>
      <c r="H33" s="101" t="str">
        <f t="shared" si="6"/>
        <v>NO</v>
      </c>
      <c r="I33" s="108" t="str">
        <f t="shared" si="6"/>
        <v>NO</v>
      </c>
      <c r="J33" s="85"/>
      <c r="K33" s="86"/>
      <c r="L33" s="86"/>
      <c r="M33" s="86"/>
      <c r="N33" s="86"/>
      <c r="O33" s="86"/>
      <c r="P33" s="86"/>
      <c r="Q33" s="86"/>
      <c r="R33" s="86"/>
      <c r="S33" s="87"/>
    </row>
    <row r="34" spans="1:19" ht="16.5" x14ac:dyDescent="0.25">
      <c r="A34" s="164" t="s">
        <v>61</v>
      </c>
      <c r="B34" s="165"/>
      <c r="C34" s="165"/>
      <c r="D34" s="166"/>
      <c r="E34" s="103"/>
      <c r="F34" s="103"/>
      <c r="G34" s="104"/>
      <c r="H34" s="131"/>
      <c r="I34" s="109"/>
      <c r="J34" s="88" t="str">
        <f t="shared" ref="J34:Q34" si="7">IF(J32&gt;J28/2,"SI","NO")</f>
        <v>SI</v>
      </c>
      <c r="K34" s="89" t="str">
        <f t="shared" si="7"/>
        <v>NO</v>
      </c>
      <c r="L34" s="89" t="str">
        <f t="shared" si="7"/>
        <v>NO</v>
      </c>
      <c r="M34" s="90" t="str">
        <f t="shared" si="7"/>
        <v>NO</v>
      </c>
      <c r="N34" s="89" t="str">
        <f t="shared" si="7"/>
        <v>SI</v>
      </c>
      <c r="O34" s="89" t="str">
        <f t="shared" si="7"/>
        <v>SI</v>
      </c>
      <c r="P34" s="89" t="str">
        <f t="shared" si="7"/>
        <v>SI</v>
      </c>
      <c r="Q34" s="90" t="str">
        <f t="shared" si="7"/>
        <v>NO</v>
      </c>
      <c r="R34" s="89"/>
      <c r="S34" s="91" t="str">
        <f>IF(S32&gt;S28/2,"SI","NO")</f>
        <v>SI</v>
      </c>
    </row>
    <row r="35" spans="1:19" ht="17.25" thickBot="1" x14ac:dyDescent="0.3">
      <c r="A35" s="147" t="s">
        <v>55</v>
      </c>
      <c r="B35" s="148"/>
      <c r="C35" s="148"/>
      <c r="D35" s="149"/>
      <c r="E35" s="105">
        <f t="shared" ref="E35:I35" si="8">IF(E33="NO",E32,IF(E28&lt;0.04,0.0081,0.0146))</f>
        <v>1.0163018779982E-2</v>
      </c>
      <c r="F35" s="106">
        <f t="shared" si="8"/>
        <v>9.1788353588480014E-3</v>
      </c>
      <c r="G35" s="106">
        <f t="shared" si="8"/>
        <v>8.0999999999999996E-3</v>
      </c>
      <c r="H35" s="106">
        <f t="shared" si="8"/>
        <v>1.3733032599800001E-2</v>
      </c>
      <c r="I35" s="110">
        <f t="shared" si="8"/>
        <v>1.093213217732E-2</v>
      </c>
      <c r="J35" s="120">
        <f t="shared" ref="J35:Q35" si="9">IF(J34="SI",J28/2,J32)</f>
        <v>5.0175000000000003E-3</v>
      </c>
      <c r="K35" s="120">
        <f t="shared" si="9"/>
        <v>5.4255749999999993E-3</v>
      </c>
      <c r="L35" s="120">
        <f t="shared" si="9"/>
        <v>1.025E-4</v>
      </c>
      <c r="M35" s="121">
        <f t="shared" si="9"/>
        <v>8.7500000000000009E-6</v>
      </c>
      <c r="N35" s="121">
        <f t="shared" si="9"/>
        <v>1E-4</v>
      </c>
      <c r="O35" s="121">
        <f t="shared" si="9"/>
        <v>2.5000000000000001E-4</v>
      </c>
      <c r="P35" s="121">
        <f t="shared" si="9"/>
        <v>2.6350000000000001E-4</v>
      </c>
      <c r="Q35" s="121">
        <f t="shared" si="9"/>
        <v>2.0262499999999998E-5</v>
      </c>
      <c r="R35" s="122"/>
      <c r="S35" s="123">
        <f>IF(S34="SI",S28/2,S32)</f>
        <v>1.05E-4</v>
      </c>
    </row>
    <row r="36" spans="1:19" x14ac:dyDescent="0.25">
      <c r="A36" s="83" t="s">
        <v>59</v>
      </c>
    </row>
    <row r="37" spans="1:19" x14ac:dyDescent="0.25">
      <c r="A37" s="83" t="s">
        <v>60</v>
      </c>
    </row>
    <row r="38" spans="1:19" ht="15.75" thickBot="1" x14ac:dyDescent="0.3"/>
    <row r="39" spans="1:19" ht="16.5" x14ac:dyDescent="0.25">
      <c r="A39" s="137" t="s">
        <v>69</v>
      </c>
      <c r="B39" s="138"/>
      <c r="C39" s="138"/>
      <c r="D39" s="139"/>
    </row>
    <row r="40" spans="1:19" ht="16.5" x14ac:dyDescent="0.25">
      <c r="A40" s="140" t="s">
        <v>64</v>
      </c>
      <c r="B40" s="135"/>
      <c r="C40" s="135"/>
      <c r="D40" s="136"/>
      <c r="E40" s="128" t="str">
        <f>IF(E28&gt;=3%,"SI","NO")</f>
        <v>SI</v>
      </c>
      <c r="F40" s="127" t="str">
        <f t="shared" ref="F40:I40" si="10">IF(F28&gt;=3%,"SI","NO")</f>
        <v>SI</v>
      </c>
      <c r="G40" s="127" t="str">
        <f t="shared" si="10"/>
        <v>SI</v>
      </c>
      <c r="H40" s="127" t="str">
        <f t="shared" si="10"/>
        <v>SI</v>
      </c>
      <c r="I40" s="127" t="str">
        <f t="shared" si="10"/>
        <v>SI</v>
      </c>
      <c r="J40" s="85"/>
      <c r="K40" s="87"/>
      <c r="L40" s="86"/>
      <c r="M40" s="86"/>
      <c r="N40" s="86"/>
      <c r="O40" s="86"/>
      <c r="P40" s="86"/>
      <c r="Q40" s="86"/>
      <c r="R40" s="86"/>
      <c r="S40" s="87"/>
    </row>
    <row r="41" spans="1:19" ht="16.5" x14ac:dyDescent="0.25">
      <c r="A41" s="140" t="s">
        <v>63</v>
      </c>
      <c r="B41" s="135"/>
      <c r="C41" s="135"/>
      <c r="D41" s="136"/>
      <c r="E41" s="85"/>
      <c r="F41" s="86"/>
      <c r="G41" s="86"/>
      <c r="H41" s="86"/>
      <c r="I41" s="86"/>
      <c r="J41" s="130" t="s">
        <v>67</v>
      </c>
      <c r="K41" s="127" t="s">
        <v>67</v>
      </c>
      <c r="L41" s="86"/>
      <c r="M41" s="86"/>
      <c r="N41" s="86"/>
      <c r="O41" s="86"/>
      <c r="P41" s="86"/>
      <c r="Q41" s="86"/>
      <c r="R41" s="86"/>
      <c r="S41" s="87"/>
    </row>
    <row r="42" spans="1:19" ht="16.5" x14ac:dyDescent="0.25">
      <c r="A42" s="134" t="s">
        <v>65</v>
      </c>
      <c r="B42" s="135"/>
      <c r="C42" s="135"/>
      <c r="D42" s="136"/>
      <c r="E42" s="85"/>
      <c r="F42" s="86"/>
      <c r="G42" s="86"/>
      <c r="H42" s="86"/>
      <c r="I42" s="86"/>
      <c r="J42" s="85"/>
      <c r="K42" s="87"/>
      <c r="L42" s="100"/>
      <c r="M42" s="100"/>
      <c r="N42" s="100"/>
      <c r="O42" s="100"/>
      <c r="P42" s="100"/>
      <c r="Q42" s="100"/>
      <c r="R42" s="100"/>
      <c r="S42" s="100"/>
    </row>
    <row r="43" spans="1:19" ht="16.5" customHeight="1" x14ac:dyDescent="0.25">
      <c r="A43" s="134" t="s">
        <v>66</v>
      </c>
      <c r="B43" s="135"/>
      <c r="C43" s="135"/>
      <c r="D43" s="136"/>
      <c r="E43" s="85"/>
      <c r="F43" s="86"/>
      <c r="G43" s="86"/>
      <c r="H43" s="86"/>
      <c r="I43" s="86"/>
      <c r="J43" s="85"/>
      <c r="K43" s="87"/>
      <c r="L43" s="130" t="str">
        <f>IF(L28&gt;=0.02%,"SI",0)</f>
        <v>SI</v>
      </c>
      <c r="M43" s="129" t="str">
        <f>IF(M28&gt;=0.002%,"SI",0)</f>
        <v>SI</v>
      </c>
      <c r="N43" s="129" t="str">
        <f>IF(N28&gt;=0.01%,"SI",0)</f>
        <v>SI</v>
      </c>
      <c r="O43" s="129" t="str">
        <f>IF(O28&gt;=0.01%,"SI",0)</f>
        <v>SI</v>
      </c>
      <c r="P43" s="129" t="str">
        <f>IF(P28&gt;=0.01%,"SI",0)</f>
        <v>SI</v>
      </c>
      <c r="Q43" s="129" t="str">
        <f>IF(Q28&gt;=0.005%,"SI",0)</f>
        <v>SI</v>
      </c>
      <c r="R43" s="129" t="str">
        <f>IF(R28&gt;=0.01%,"SI",0)</f>
        <v>SI</v>
      </c>
      <c r="S43" s="129" t="str">
        <f>IF(S28&gt;=0.02%,"SI",0)</f>
        <v>SI</v>
      </c>
    </row>
    <row r="44" spans="1:19" x14ac:dyDescent="0.25">
      <c r="A44" s="126" t="s">
        <v>68</v>
      </c>
    </row>
  </sheetData>
  <mergeCells count="20">
    <mergeCell ref="A32:D32"/>
    <mergeCell ref="A33:D33"/>
    <mergeCell ref="A35:D35"/>
    <mergeCell ref="A29:D29"/>
    <mergeCell ref="J5:S5"/>
    <mergeCell ref="A19:B19"/>
    <mergeCell ref="A22:B22"/>
    <mergeCell ref="A23:D23"/>
    <mergeCell ref="A25:D25"/>
    <mergeCell ref="A34:D34"/>
    <mergeCell ref="A1:S1"/>
    <mergeCell ref="A2:S2"/>
    <mergeCell ref="A3:S3"/>
    <mergeCell ref="A27:D27"/>
    <mergeCell ref="A28:D28"/>
    <mergeCell ref="A43:D43"/>
    <mergeCell ref="A39:D39"/>
    <mergeCell ref="A40:D40"/>
    <mergeCell ref="A41:D41"/>
    <mergeCell ref="A42:D42"/>
  </mergeCells>
  <pageMargins left="0.19685039370078741" right="0" top="1.7322834645669292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Calfer Floración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</dc:creator>
  <cp:keywords/>
  <dc:description/>
  <cp:lastModifiedBy>Will Salas</cp:lastModifiedBy>
  <cp:revision/>
  <cp:lastPrinted>2024-06-19T20:06:46Z</cp:lastPrinted>
  <dcterms:created xsi:type="dcterms:W3CDTF">2021-10-20T23:05:00Z</dcterms:created>
  <dcterms:modified xsi:type="dcterms:W3CDTF">2024-06-19T21:39:00Z</dcterms:modified>
  <cp:category/>
  <cp:contentStatus/>
</cp:coreProperties>
</file>