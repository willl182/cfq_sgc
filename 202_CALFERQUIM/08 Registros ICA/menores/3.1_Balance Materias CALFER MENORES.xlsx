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W:\1_calferquim\1.1_proyectos\1.104_registro-calfer-menores\menores\"/>
    </mc:Choice>
  </mc:AlternateContent>
  <xr:revisionPtr revIDLastSave="0" documentId="13_ncr:1_{A3F4C236-70FC-474A-8B37-5682301E58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alfer Menor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4" i="3" l="1"/>
  <c r="N19" i="3"/>
  <c r="N24" i="3" s="1"/>
  <c r="M19" i="3"/>
  <c r="M24" i="3" s="1"/>
  <c r="M39" i="3" s="1"/>
  <c r="L19" i="3"/>
  <c r="L24" i="3" s="1"/>
  <c r="K19" i="3"/>
  <c r="K24" i="3" s="1"/>
  <c r="J19" i="3"/>
  <c r="J24" i="3" s="1"/>
  <c r="I19" i="3"/>
  <c r="I24" i="3" s="1"/>
  <c r="H19" i="3"/>
  <c r="H24" i="3" s="1"/>
  <c r="G19" i="3"/>
  <c r="G24" i="3" s="1"/>
  <c r="E19" i="3"/>
  <c r="E24" i="3" s="1"/>
  <c r="E28" i="3" s="1"/>
  <c r="E30" i="3" s="1"/>
  <c r="E31" i="3" s="1"/>
  <c r="F19" i="3"/>
  <c r="F24" i="3" s="1"/>
  <c r="F28" i="3" s="1"/>
  <c r="F30" i="3" s="1"/>
  <c r="F31" i="3" s="1"/>
  <c r="C18" i="3"/>
  <c r="D18" i="3"/>
  <c r="N28" i="3" l="1"/>
  <c r="N30" i="3" s="1"/>
  <c r="N31" i="3" s="1"/>
  <c r="N39" i="3"/>
  <c r="K28" i="3"/>
  <c r="K30" i="3" s="1"/>
  <c r="K31" i="3" s="1"/>
  <c r="K39" i="3"/>
  <c r="H28" i="3"/>
  <c r="H30" i="3" s="1"/>
  <c r="H31" i="3" s="1"/>
  <c r="H39" i="3"/>
  <c r="L28" i="3"/>
  <c r="L30" i="3" s="1"/>
  <c r="L31" i="3" s="1"/>
  <c r="L39" i="3"/>
  <c r="J28" i="3"/>
  <c r="J30" i="3" s="1"/>
  <c r="J31" i="3" s="1"/>
  <c r="J39" i="3"/>
  <c r="G28" i="3"/>
  <c r="G30" i="3" s="1"/>
  <c r="G31" i="3" s="1"/>
  <c r="G25" i="3" s="1"/>
  <c r="G39" i="3"/>
  <c r="I28" i="3"/>
  <c r="I30" i="3" s="1"/>
  <c r="I31" i="3" s="1"/>
  <c r="I25" i="3" s="1"/>
  <c r="I39" i="3"/>
  <c r="F25" i="3"/>
  <c r="F23" i="3"/>
  <c r="G23" i="3"/>
  <c r="E23" i="3"/>
  <c r="E25" i="3"/>
  <c r="I23" i="3"/>
  <c r="H23" i="3"/>
  <c r="H25" i="3"/>
  <c r="N23" i="3"/>
  <c r="N25" i="3"/>
  <c r="J25" i="3"/>
  <c r="J23" i="3"/>
  <c r="K23" i="3"/>
  <c r="K25" i="3"/>
  <c r="L23" i="3"/>
  <c r="L25" i="3"/>
</calcChain>
</file>

<file path=xl/sharedStrings.xml><?xml version="1.0" encoding="utf-8"?>
<sst xmlns="http://schemas.openxmlformats.org/spreadsheetml/2006/main" count="56" uniqueCount="55">
  <si>
    <t>MATERIA PRIMA</t>
  </si>
  <si>
    <t>Composición</t>
  </si>
  <si>
    <t>Kg/Ton</t>
  </si>
  <si>
    <t>SUMATORIA</t>
  </si>
  <si>
    <t>%/100 Kg</t>
  </si>
  <si>
    <t>Boro (B)</t>
  </si>
  <si>
    <t>Hierro (Fe)</t>
  </si>
  <si>
    <t>Manganeso (Mn)</t>
  </si>
  <si>
    <t>Molibdeno (Mo)</t>
  </si>
  <si>
    <t>ADITIVOS E INERTES</t>
  </si>
  <si>
    <t>SULFATO DE MANGANESO</t>
  </si>
  <si>
    <t>E.D.T.A</t>
  </si>
  <si>
    <t>Cobre (Cu)</t>
  </si>
  <si>
    <t>Zinc (Zn)</t>
  </si>
  <si>
    <t>SULFATO DE COBRE</t>
  </si>
  <si>
    <t xml:space="preserve">SULFATO DE ZINC </t>
  </si>
  <si>
    <t>35% Zn + 16% S</t>
  </si>
  <si>
    <t>25% Cu + 13% S</t>
  </si>
  <si>
    <t>31% Mn + 18% S</t>
  </si>
  <si>
    <t>ACIDO BORICO</t>
  </si>
  <si>
    <t>TOTAL CALFERQUIM S.A.S</t>
  </si>
  <si>
    <t>Cobalto (Co)</t>
  </si>
  <si>
    <t xml:space="preserve"> 32% MgO + 26% S</t>
  </si>
  <si>
    <t>SULFATO DE COBALTO</t>
  </si>
  <si>
    <t>17,5% B</t>
  </si>
  <si>
    <t>MOLIBDATO DE SODIO</t>
  </si>
  <si>
    <t>39% Mo</t>
  </si>
  <si>
    <t>SULFATO DE HIERRO</t>
  </si>
  <si>
    <t>20% Fe +12 % S</t>
  </si>
  <si>
    <r>
      <t>96% SiO</t>
    </r>
    <r>
      <rPr>
        <b/>
        <vertAlign val="subscript"/>
        <sz val="8"/>
        <color theme="1"/>
        <rFont val="Segoe UI"/>
        <family val="2"/>
      </rPr>
      <t>2</t>
    </r>
  </si>
  <si>
    <t xml:space="preserve">DIÓXIDO SILICIO </t>
  </si>
  <si>
    <r>
      <t>Silicio (SiO</t>
    </r>
    <r>
      <rPr>
        <b/>
        <vertAlign val="subscript"/>
        <sz val="8"/>
        <color theme="1"/>
        <rFont val="Segoe UI"/>
        <family val="2"/>
      </rPr>
      <t>2</t>
    </r>
    <r>
      <rPr>
        <b/>
        <sz val="8"/>
        <color theme="1"/>
        <rFont val="Segoe UI"/>
        <family val="2"/>
      </rPr>
      <t>)</t>
    </r>
  </si>
  <si>
    <t>Magnesio (MgO)</t>
  </si>
  <si>
    <t>Azufre (S)</t>
  </si>
  <si>
    <t xml:space="preserve">SULFATO MAGNESIO ANHIDRO  </t>
  </si>
  <si>
    <t>Tolerancia Mínima NTC 1061:2020</t>
  </si>
  <si>
    <t>Tolerancia Máxima NTC 1061:2020</t>
  </si>
  <si>
    <t>CALFERQUIM S.A.S</t>
  </si>
  <si>
    <t>BALANCE DE MATERIAS PRIMAS</t>
  </si>
  <si>
    <t>ELEMENTOS SOLUBLES EN AGUA</t>
  </si>
  <si>
    <t xml:space="preserve">CALFER MENORES </t>
  </si>
  <si>
    <t>RESULTADOS ANÁLISIS No. CC-34018</t>
  </si>
  <si>
    <t>20% Co + 11% S</t>
  </si>
  <si>
    <t>Tolerancia calculada</t>
  </si>
  <si>
    <t>Tolerancia permitida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</si>
  <si>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</t>
    </r>
  </si>
  <si>
    <r>
      <rPr>
        <b/>
        <u/>
        <sz val="11"/>
        <color rgb="FF000000"/>
        <rFont val="Segoe UI"/>
        <family val="2"/>
      </rPr>
      <t>2) 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50%?</t>
    </r>
  </si>
  <si>
    <t xml:space="preserve">1) NTC 1061:2020 4.1 </t>
  </si>
  <si>
    <t xml:space="preserve">2) NTC 1061:2020 4.2.1 - 4.2.2 </t>
  </si>
  <si>
    <t>Cumple con contenidos mínimos de nuetrientes</t>
  </si>
  <si>
    <r>
      <rPr>
        <b/>
        <u/>
        <sz val="11"/>
        <color rgb="FF000000"/>
        <rFont val="Segoe UI"/>
        <family val="2"/>
      </rPr>
      <t>1) 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</si>
  <si>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2) 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</si>
  <si>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3-a) Micronutrientes:</t>
    </r>
    <r>
      <rPr>
        <sz val="11"/>
        <color rgb="FF000000"/>
        <rFont val="Segoe UI"/>
        <family val="2"/>
      </rPr>
      <t xml:space="preserve"> Unicamente micronutrientes</t>
    </r>
  </si>
  <si>
    <r>
      <t>3-b) Micronutrientes:</t>
    </r>
    <r>
      <rPr>
        <sz val="11"/>
        <color rgb="FF000000"/>
        <rFont val="Segoe UI"/>
        <family val="2"/>
      </rPr>
      <t xml:space="preserve"> Mezcla con NPK o secundarios</t>
    </r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</si>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</sst>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0.000%"/>
    <numFmt numFmtId="166" formatCode="0.0"/>
    <numFmt numFmtId="167" formatCode="0.0%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Segoe UI"/>
      <family val="2"/>
    </font>
    <font>
      <b/>
      <sz val="9"/>
      <color theme="1"/>
      <name val="Segoe UI"/>
      <family val="2"/>
    </font>
    <font>
      <b/>
      <sz val="8"/>
      <color theme="1"/>
      <name val="Segoe UI"/>
      <family val="2"/>
    </font>
    <font>
      <b/>
      <vertAlign val="subscript"/>
      <sz val="8"/>
      <color theme="1"/>
      <name val="Segoe UI"/>
      <family val="2"/>
    </font>
    <font>
      <sz val="8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Segoe UI"/>
      <family val="2"/>
    </font>
    <font>
      <sz val="8"/>
      <color rgb="FFFF0000"/>
      <name val="Segoe UI"/>
      <family val="2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b/>
      <sz val="18"/>
      <color theme="1"/>
      <name val="Arial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0" fillId="0" borderId="0" applyFont="0" applyFill="0" applyBorder="0" applyAlignment="0" applyProtection="0"/>
  </cellStyleXfs>
  <cellXfs count="145">
    <xf numFmtId="0" fontId="0" fillId="0" borderId="0" xfId="0"/>
    <xf numFmtId="0" fontId="1" fillId="0" borderId="0" xfId="0" applyFont="1"/>
    <xf numFmtId="10" fontId="6" fillId="0" borderId="5" xfId="0" applyNumberFormat="1" applyFont="1" applyBorder="1" applyAlignment="1">
      <alignment horizontal="center" vertical="center"/>
    </xf>
    <xf numFmtId="10" fontId="6" fillId="0" borderId="5" xfId="0" applyNumberFormat="1" applyFont="1" applyBorder="1" applyAlignment="1">
      <alignment horizontal="center"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10" fontId="6" fillId="0" borderId="8" xfId="0" applyNumberFormat="1" applyFont="1" applyBorder="1" applyAlignment="1">
      <alignment horizontal="center" vertical="center"/>
    </xf>
    <xf numFmtId="10" fontId="6" fillId="0" borderId="8" xfId="0" applyNumberFormat="1" applyFont="1" applyBorder="1" applyAlignment="1">
      <alignment horizontal="center"/>
    </xf>
    <xf numFmtId="10" fontId="8" fillId="0" borderId="8" xfId="0" applyNumberFormat="1" applyFont="1" applyBorder="1"/>
    <xf numFmtId="10" fontId="8" fillId="0" borderId="11" xfId="0" applyNumberFormat="1" applyFont="1" applyBorder="1"/>
    <xf numFmtId="10" fontId="8" fillId="0" borderId="7" xfId="0" applyNumberFormat="1" applyFont="1" applyBorder="1"/>
    <xf numFmtId="10" fontId="8" fillId="0" borderId="9" xfId="0" applyNumberFormat="1" applyFont="1" applyBorder="1"/>
    <xf numFmtId="10" fontId="6" fillId="0" borderId="5" xfId="0" applyNumberFormat="1" applyFont="1" applyBorder="1" applyAlignment="1">
      <alignment horizontal="center"/>
    </xf>
    <xf numFmtId="10" fontId="8" fillId="0" borderId="5" xfId="0" applyNumberFormat="1" applyFont="1" applyBorder="1"/>
    <xf numFmtId="10" fontId="6" fillId="0" borderId="7" xfId="0" applyNumberFormat="1" applyFont="1" applyBorder="1" applyAlignment="1">
      <alignment horizontal="center" vertical="center" wrapText="1"/>
    </xf>
    <xf numFmtId="165" fontId="6" fillId="0" borderId="5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165" fontId="6" fillId="0" borderId="8" xfId="0" applyNumberFormat="1" applyFont="1" applyBorder="1" applyAlignment="1">
      <alignment horizontal="center"/>
    </xf>
    <xf numFmtId="10" fontId="8" fillId="0" borderId="16" xfId="0" applyNumberFormat="1" applyFont="1" applyBorder="1"/>
    <xf numFmtId="0" fontId="8" fillId="0" borderId="12" xfId="0" applyFont="1" applyBorder="1"/>
    <xf numFmtId="0" fontId="6" fillId="0" borderId="10" xfId="0" applyFont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10" fontId="6" fillId="3" borderId="5" xfId="0" applyNumberFormat="1" applyFont="1" applyFill="1" applyBorder="1" applyAlignment="1">
      <alignment horizontal="center" vertical="center"/>
    </xf>
    <xf numFmtId="10" fontId="10" fillId="3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/>
    </xf>
    <xf numFmtId="166" fontId="6" fillId="6" borderId="19" xfId="0" applyNumberFormat="1" applyFont="1" applyFill="1" applyBorder="1" applyAlignment="1">
      <alignment horizontal="center" vertical="center"/>
    </xf>
    <xf numFmtId="2" fontId="6" fillId="6" borderId="5" xfId="0" applyNumberFormat="1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2" fontId="6" fillId="6" borderId="11" xfId="0" applyNumberFormat="1" applyFont="1" applyFill="1" applyBorder="1" applyAlignment="1">
      <alignment horizontal="center" vertical="center"/>
    </xf>
    <xf numFmtId="0" fontId="6" fillId="6" borderId="1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10" fontId="11" fillId="2" borderId="1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10" fontId="6" fillId="3" borderId="5" xfId="0" applyNumberFormat="1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 vertical="center" wrapText="1"/>
    </xf>
    <xf numFmtId="10" fontId="6" fillId="3" borderId="8" xfId="0" applyNumberFormat="1" applyFont="1" applyFill="1" applyBorder="1" applyAlignment="1">
      <alignment horizontal="center"/>
    </xf>
    <xf numFmtId="10" fontId="6" fillId="3" borderId="5" xfId="0" applyNumberFormat="1" applyFont="1" applyFill="1" applyBorder="1" applyAlignment="1">
      <alignment horizontal="center" vertical="center" wrapText="1"/>
    </xf>
    <xf numFmtId="10" fontId="9" fillId="0" borderId="10" xfId="0" applyNumberFormat="1" applyFont="1" applyBorder="1"/>
    <xf numFmtId="10" fontId="6" fillId="3" borderId="6" xfId="0" applyNumberFormat="1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 wrapText="1"/>
    </xf>
    <xf numFmtId="166" fontId="6" fillId="6" borderId="5" xfId="0" applyNumberFormat="1" applyFont="1" applyFill="1" applyBorder="1" applyAlignment="1">
      <alignment horizontal="center" vertical="center"/>
    </xf>
    <xf numFmtId="166" fontId="6" fillId="6" borderId="11" xfId="0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0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2" fontId="6" fillId="6" borderId="17" xfId="0" applyNumberFormat="1" applyFont="1" applyFill="1" applyBorder="1" applyAlignment="1">
      <alignment horizontal="center" vertical="center"/>
    </xf>
    <xf numFmtId="164" fontId="8" fillId="5" borderId="10" xfId="0" applyNumberFormat="1" applyFont="1" applyFill="1" applyBorder="1" applyAlignment="1">
      <alignment horizontal="left" vertical="center"/>
    </xf>
    <xf numFmtId="166" fontId="6" fillId="5" borderId="1" xfId="0" applyNumberFormat="1" applyFont="1" applyFill="1" applyBorder="1" applyAlignment="1">
      <alignment horizontal="center" vertical="center"/>
    </xf>
    <xf numFmtId="10" fontId="21" fillId="7" borderId="26" xfId="1" applyNumberFormat="1" applyFont="1" applyFill="1" applyBorder="1" applyAlignment="1">
      <alignment horizontal="center" vertical="center"/>
    </xf>
    <xf numFmtId="10" fontId="21" fillId="3" borderId="27" xfId="1" applyNumberFormat="1" applyFont="1" applyFill="1" applyBorder="1" applyAlignment="1">
      <alignment horizontal="center" vertical="center"/>
    </xf>
    <xf numFmtId="165" fontId="21" fillId="3" borderId="27" xfId="1" applyNumberFormat="1" applyFont="1" applyFill="1" applyBorder="1" applyAlignment="1">
      <alignment horizontal="center" vertical="center"/>
    </xf>
    <xf numFmtId="10" fontId="21" fillId="7" borderId="28" xfId="1" applyNumberFormat="1" applyFont="1" applyFill="1" applyBorder="1" applyAlignment="1">
      <alignment horizontal="center" vertical="center"/>
    </xf>
    <xf numFmtId="165" fontId="0" fillId="0" borderId="0" xfId="0" applyNumberFormat="1"/>
    <xf numFmtId="2" fontId="19" fillId="9" borderId="8" xfId="0" applyNumberFormat="1" applyFont="1" applyFill="1" applyBorder="1" applyAlignment="1">
      <alignment vertical="center"/>
    </xf>
    <xf numFmtId="2" fontId="19" fillId="9" borderId="32" xfId="0" applyNumberFormat="1" applyFont="1" applyFill="1" applyBorder="1" applyAlignment="1">
      <alignment vertical="center"/>
    </xf>
    <xf numFmtId="0" fontId="22" fillId="0" borderId="0" xfId="0" applyFont="1"/>
    <xf numFmtId="167" fontId="21" fillId="3" borderId="27" xfId="1" applyNumberFormat="1" applyFont="1" applyFill="1" applyBorder="1" applyAlignment="1">
      <alignment horizontal="center" vertical="center"/>
    </xf>
    <xf numFmtId="2" fontId="23" fillId="8" borderId="50" xfId="0" applyNumberFormat="1" applyFont="1" applyFill="1" applyBorder="1" applyAlignment="1">
      <alignment horizontal="center" vertical="center"/>
    </xf>
    <xf numFmtId="2" fontId="24" fillId="8" borderId="50" xfId="0" applyNumberFormat="1" applyFont="1" applyFill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/>
    </xf>
    <xf numFmtId="165" fontId="21" fillId="7" borderId="26" xfId="1" applyNumberFormat="1" applyFont="1" applyFill="1" applyBorder="1" applyAlignment="1">
      <alignment horizontal="center" vertical="center"/>
    </xf>
    <xf numFmtId="167" fontId="21" fillId="7" borderId="26" xfId="1" applyNumberFormat="1" applyFont="1" applyFill="1" applyBorder="1" applyAlignment="1">
      <alignment horizontal="center" vertical="center"/>
    </xf>
    <xf numFmtId="165" fontId="21" fillId="7" borderId="28" xfId="1" applyNumberFormat="1" applyFont="1" applyFill="1" applyBorder="1" applyAlignment="1">
      <alignment horizontal="center" vertical="center"/>
    </xf>
    <xf numFmtId="167" fontId="21" fillId="7" borderId="28" xfId="1" applyNumberFormat="1" applyFont="1" applyFill="1" applyBorder="1" applyAlignment="1">
      <alignment horizontal="center" vertical="center"/>
    </xf>
    <xf numFmtId="10" fontId="21" fillId="8" borderId="29" xfId="1" applyNumberFormat="1" applyFont="1" applyFill="1" applyBorder="1" applyAlignment="1">
      <alignment horizontal="center" vertical="center"/>
    </xf>
    <xf numFmtId="165" fontId="21" fillId="8" borderId="29" xfId="1" applyNumberFormat="1" applyFont="1" applyFill="1" applyBorder="1" applyAlignment="1">
      <alignment horizontal="center" vertical="center"/>
    </xf>
    <xf numFmtId="10" fontId="21" fillId="8" borderId="30" xfId="1" applyNumberFormat="1" applyFont="1" applyFill="1" applyBorder="1" applyAlignment="1">
      <alignment horizontal="center" vertical="center"/>
    </xf>
    <xf numFmtId="2" fontId="21" fillId="9" borderId="31" xfId="0" applyNumberFormat="1" applyFont="1" applyFill="1" applyBorder="1" applyAlignment="1">
      <alignment vertical="center"/>
    </xf>
    <xf numFmtId="2" fontId="21" fillId="9" borderId="8" xfId="0" applyNumberFormat="1" applyFont="1" applyFill="1" applyBorder="1" applyAlignment="1">
      <alignment vertical="center"/>
    </xf>
    <xf numFmtId="10" fontId="21" fillId="9" borderId="8" xfId="0" applyNumberFormat="1" applyFont="1" applyFill="1" applyBorder="1" applyAlignment="1">
      <alignment vertical="center"/>
    </xf>
    <xf numFmtId="2" fontId="21" fillId="9" borderId="32" xfId="0" applyNumberFormat="1" applyFont="1" applyFill="1" applyBorder="1" applyAlignment="1">
      <alignment vertical="center"/>
    </xf>
    <xf numFmtId="2" fontId="21" fillId="8" borderId="33" xfId="0" applyNumberFormat="1" applyFont="1" applyFill="1" applyBorder="1" applyAlignment="1">
      <alignment horizontal="center" vertical="center"/>
    </xf>
    <xf numFmtId="2" fontId="21" fillId="8" borderId="34" xfId="0" applyNumberFormat="1" applyFont="1" applyFill="1" applyBorder="1" applyAlignment="1">
      <alignment horizontal="center" vertical="center"/>
    </xf>
    <xf numFmtId="165" fontId="21" fillId="8" borderId="34" xfId="0" applyNumberFormat="1" applyFont="1" applyFill="1" applyBorder="1" applyAlignment="1">
      <alignment horizontal="center" vertical="center"/>
    </xf>
    <xf numFmtId="10" fontId="21" fillId="8" borderId="34" xfId="0" applyNumberFormat="1" applyFont="1" applyFill="1" applyBorder="1" applyAlignment="1">
      <alignment horizontal="center" vertical="center"/>
    </xf>
    <xf numFmtId="165" fontId="21" fillId="8" borderId="35" xfId="0" applyNumberFormat="1" applyFont="1" applyFill="1" applyBorder="1" applyAlignment="1">
      <alignment horizontal="center" vertical="center"/>
    </xf>
    <xf numFmtId="10" fontId="21" fillId="8" borderId="28" xfId="1" applyNumberFormat="1" applyFont="1" applyFill="1" applyBorder="1" applyAlignment="1">
      <alignment horizontal="center" vertical="center"/>
    </xf>
    <xf numFmtId="165" fontId="21" fillId="8" borderId="28" xfId="1" applyNumberFormat="1" applyFont="1" applyFill="1" applyBorder="1" applyAlignment="1">
      <alignment horizontal="center" vertical="center"/>
    </xf>
    <xf numFmtId="2" fontId="21" fillId="8" borderId="28" xfId="0" applyNumberFormat="1" applyFont="1" applyFill="1" applyBorder="1" applyAlignment="1">
      <alignment horizontal="center" vertical="center"/>
    </xf>
    <xf numFmtId="10" fontId="21" fillId="8" borderId="36" xfId="1" applyNumberFormat="1" applyFont="1" applyFill="1" applyBorder="1" applyAlignment="1">
      <alignment horizontal="center" vertical="center"/>
    </xf>
    <xf numFmtId="2" fontId="19" fillId="9" borderId="18" xfId="0" applyNumberFormat="1" applyFont="1" applyFill="1" applyBorder="1" applyAlignment="1">
      <alignment vertical="center"/>
    </xf>
    <xf numFmtId="2" fontId="19" fillId="9" borderId="51" xfId="0" applyNumberFormat="1" applyFont="1" applyFill="1" applyBorder="1" applyAlignment="1">
      <alignment vertical="center"/>
    </xf>
    <xf numFmtId="2" fontId="19" fillId="9" borderId="52" xfId="0" applyNumberFormat="1" applyFont="1" applyFill="1" applyBorder="1" applyAlignment="1">
      <alignment vertical="center"/>
    </xf>
    <xf numFmtId="2" fontId="19" fillId="9" borderId="19" xfId="0" applyNumberFormat="1" applyFont="1" applyFill="1" applyBorder="1" applyAlignment="1">
      <alignment vertical="center"/>
    </xf>
    <xf numFmtId="2" fontId="23" fillId="8" borderId="53" xfId="0" applyNumberFormat="1" applyFont="1" applyFill="1" applyBorder="1" applyAlignment="1">
      <alignment horizontal="center" vertical="center"/>
    </xf>
    <xf numFmtId="2" fontId="19" fillId="9" borderId="54" xfId="0" applyNumberFormat="1" applyFont="1" applyFill="1" applyBorder="1" applyAlignment="1">
      <alignment vertical="center"/>
    </xf>
    <xf numFmtId="2" fontId="19" fillId="9" borderId="55" xfId="0" applyNumberFormat="1" applyFont="1" applyFill="1" applyBorder="1" applyAlignment="1">
      <alignment vertical="center"/>
    </xf>
    <xf numFmtId="2" fontId="24" fillId="8" borderId="56" xfId="0" applyNumberFormat="1" applyFont="1" applyFill="1" applyBorder="1" applyAlignment="1">
      <alignment horizontal="center" vertical="center"/>
    </xf>
    <xf numFmtId="2" fontId="19" fillId="9" borderId="15" xfId="0" applyNumberFormat="1" applyFont="1" applyFill="1" applyBorder="1" applyAlignment="1">
      <alignment vertical="center"/>
    </xf>
    <xf numFmtId="2" fontId="19" fillId="9" borderId="57" xfId="0" applyNumberFormat="1" applyFont="1" applyFill="1" applyBorder="1" applyAlignment="1">
      <alignment vertical="center"/>
    </xf>
    <xf numFmtId="2" fontId="23" fillId="8" borderId="28" xfId="0" applyNumberFormat="1" applyFont="1" applyFill="1" applyBorder="1" applyAlignment="1">
      <alignment horizontal="center" vertical="center"/>
    </xf>
    <xf numFmtId="2" fontId="23" fillId="8" borderId="57" xfId="0" applyNumberFormat="1" applyFont="1" applyFill="1" applyBorder="1" applyAlignment="1">
      <alignment horizontal="center" vertical="center"/>
    </xf>
    <xf numFmtId="2" fontId="23" fillId="8" borderId="58" xfId="0" applyNumberFormat="1" applyFont="1" applyFill="1" applyBorder="1" applyAlignment="1">
      <alignment horizontal="center" vertical="center"/>
    </xf>
    <xf numFmtId="0" fontId="10" fillId="8" borderId="41" xfId="0" applyFont="1" applyFill="1" applyBorder="1" applyAlignment="1">
      <alignment horizontal="center" vertical="center"/>
    </xf>
    <xf numFmtId="0" fontId="10" fillId="8" borderId="42" xfId="0" applyFont="1" applyFill="1" applyBorder="1" applyAlignment="1">
      <alignment horizontal="center" vertical="center"/>
    </xf>
    <xf numFmtId="0" fontId="10" fillId="8" borderId="43" xfId="0" applyFont="1" applyFill="1" applyBorder="1" applyAlignment="1">
      <alignment horizontal="center" vertical="center"/>
    </xf>
    <xf numFmtId="0" fontId="16" fillId="8" borderId="44" xfId="0" applyFont="1" applyFill="1" applyBorder="1" applyAlignment="1">
      <alignment horizontal="center" vertical="center" wrapText="1"/>
    </xf>
    <xf numFmtId="0" fontId="10" fillId="8" borderId="24" xfId="0" applyFont="1" applyFill="1" applyBorder="1" applyAlignment="1">
      <alignment horizontal="center" vertical="center"/>
    </xf>
    <xf numFmtId="0" fontId="10" fillId="8" borderId="49" xfId="0" applyFont="1" applyFill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 wrapText="1"/>
    </xf>
    <xf numFmtId="0" fontId="10" fillId="8" borderId="45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center" vertical="center" wrapText="1"/>
    </xf>
    <xf numFmtId="0" fontId="9" fillId="8" borderId="24" xfId="0" applyFont="1" applyFill="1" applyBorder="1" applyAlignment="1">
      <alignment horizontal="center" vertical="center"/>
    </xf>
    <xf numFmtId="0" fontId="9" fillId="8" borderId="45" xfId="0" applyFont="1" applyFill="1" applyBorder="1" applyAlignment="1">
      <alignment horizontal="center" vertical="center"/>
    </xf>
    <xf numFmtId="0" fontId="10" fillId="8" borderId="46" xfId="0" applyFont="1" applyFill="1" applyBorder="1" applyAlignment="1">
      <alignment horizontal="center" vertical="center"/>
    </xf>
    <xf numFmtId="0" fontId="10" fillId="8" borderId="47" xfId="0" applyFont="1" applyFill="1" applyBorder="1" applyAlignment="1">
      <alignment horizontal="center" vertical="center"/>
    </xf>
    <xf numFmtId="0" fontId="10" fillId="8" borderId="48" xfId="0" applyFont="1" applyFill="1" applyBorder="1" applyAlignment="1">
      <alignment horizontal="center" vertical="center"/>
    </xf>
    <xf numFmtId="0" fontId="10" fillId="8" borderId="39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4" fillId="3" borderId="27" xfId="0" applyFont="1" applyFill="1" applyBorder="1" applyAlignment="1">
      <alignment horizontal="center" vertical="center"/>
    </xf>
    <xf numFmtId="0" fontId="10" fillId="7" borderId="37" xfId="0" applyFont="1" applyFill="1" applyBorder="1" applyAlignment="1">
      <alignment horizontal="center" vertical="center"/>
    </xf>
    <xf numFmtId="0" fontId="10" fillId="7" borderId="23" xfId="0" applyFont="1" applyFill="1" applyBorder="1" applyAlignment="1">
      <alignment horizontal="center" vertical="center"/>
    </xf>
    <xf numFmtId="0" fontId="10" fillId="7" borderId="38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FF00"/>
      <color rgb="FFFF0066"/>
      <color rgb="FFF48E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C11B4-661A-4821-A38F-0ED087DAA5FD}">
  <dimension ref="A1:N39"/>
  <sheetViews>
    <sheetView tabSelected="1" zoomScale="80" zoomScaleNormal="80" workbookViewId="0">
      <selection activeCell="E36" sqref="E36:N39"/>
    </sheetView>
  </sheetViews>
  <sheetFormatPr defaultColWidth="11.42578125" defaultRowHeight="15" x14ac:dyDescent="0.25"/>
  <cols>
    <col min="1" max="1" width="25.28515625" customWidth="1"/>
    <col min="2" max="2" width="28.5703125" customWidth="1"/>
    <col min="3" max="3" width="7.5703125" customWidth="1"/>
    <col min="4" max="4" width="8" customWidth="1"/>
    <col min="5" max="5" width="9.140625" customWidth="1"/>
    <col min="6" max="6" width="10.140625" bestFit="1" customWidth="1"/>
    <col min="7" max="7" width="8" customWidth="1"/>
    <col min="8" max="8" width="9.140625" bestFit="1" customWidth="1"/>
    <col min="9" max="10" width="10.28515625" bestFit="1" customWidth="1"/>
    <col min="11" max="11" width="9.7109375" customWidth="1"/>
    <col min="12" max="13" width="9.42578125" customWidth="1"/>
    <col min="14" max="14" width="7.7109375" customWidth="1"/>
  </cols>
  <sheetData>
    <row r="1" spans="1:14" ht="18" x14ac:dyDescent="0.25">
      <c r="A1" s="125" t="s">
        <v>38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</row>
    <row r="2" spans="1:14" ht="23.25" x14ac:dyDescent="0.35">
      <c r="A2" s="126" t="s">
        <v>40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14" ht="20.25" x14ac:dyDescent="0.3">
      <c r="A3" s="127" t="s">
        <v>37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</row>
    <row r="4" spans="1:14" ht="15.75" customHeight="1" thickBot="1" x14ac:dyDescent="0.3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</row>
    <row r="5" spans="1:14" ht="16.5" thickBot="1" x14ac:dyDescent="0.3">
      <c r="A5" s="1"/>
      <c r="B5" s="1"/>
      <c r="C5" s="1"/>
      <c r="D5" s="1"/>
      <c r="E5" s="140" t="s">
        <v>39</v>
      </c>
      <c r="F5" s="141"/>
      <c r="G5" s="141"/>
      <c r="H5" s="141"/>
      <c r="I5" s="141"/>
      <c r="J5" s="141"/>
      <c r="K5" s="141"/>
      <c r="L5" s="141"/>
      <c r="M5" s="141"/>
      <c r="N5" s="142"/>
    </row>
    <row r="6" spans="1:14" ht="24.75" thickBot="1" x14ac:dyDescent="0.3">
      <c r="A6" s="16" t="s">
        <v>0</v>
      </c>
      <c r="B6" s="48" t="s">
        <v>1</v>
      </c>
      <c r="C6" s="49" t="s">
        <v>2</v>
      </c>
      <c r="D6" s="50" t="s">
        <v>4</v>
      </c>
      <c r="E6" s="18" t="s">
        <v>32</v>
      </c>
      <c r="F6" s="18" t="s">
        <v>33</v>
      </c>
      <c r="G6" s="24" t="s">
        <v>5</v>
      </c>
      <c r="H6" s="24" t="s">
        <v>21</v>
      </c>
      <c r="I6" s="18" t="s">
        <v>12</v>
      </c>
      <c r="J6" s="18" t="s">
        <v>6</v>
      </c>
      <c r="K6" s="18" t="s">
        <v>7</v>
      </c>
      <c r="L6" s="19" t="s">
        <v>8</v>
      </c>
      <c r="M6" s="19" t="s">
        <v>31</v>
      </c>
      <c r="N6" s="17" t="s">
        <v>13</v>
      </c>
    </row>
    <row r="7" spans="1:14" ht="15.75" customHeight="1" thickBot="1" x14ac:dyDescent="0.3">
      <c r="A7" s="46" t="s">
        <v>34</v>
      </c>
      <c r="B7" s="41" t="s">
        <v>22</v>
      </c>
      <c r="C7" s="52">
        <v>281.39999999999998</v>
      </c>
      <c r="D7" s="33">
        <v>28.14</v>
      </c>
      <c r="E7" s="43">
        <v>9.0048000000000003E-2</v>
      </c>
      <c r="F7" s="26">
        <v>7.3164000000000007E-2</v>
      </c>
      <c r="G7" s="2"/>
      <c r="H7" s="2"/>
      <c r="I7" s="2"/>
      <c r="J7" s="6"/>
      <c r="K7" s="2"/>
      <c r="L7" s="6"/>
      <c r="M7" s="2"/>
      <c r="N7" s="2"/>
    </row>
    <row r="8" spans="1:14" ht="15.75" thickBot="1" x14ac:dyDescent="0.3">
      <c r="A8" s="47" t="s">
        <v>19</v>
      </c>
      <c r="B8" s="41" t="s">
        <v>24</v>
      </c>
      <c r="C8" s="52">
        <v>57.2</v>
      </c>
      <c r="D8" s="33">
        <v>5.72</v>
      </c>
      <c r="E8" s="3"/>
      <c r="F8" s="12"/>
      <c r="G8" s="40">
        <v>1.001E-2</v>
      </c>
      <c r="H8" s="15"/>
      <c r="I8" s="15"/>
      <c r="J8" s="7"/>
      <c r="K8" s="12"/>
      <c r="L8" s="20"/>
      <c r="M8" s="15"/>
      <c r="N8" s="15"/>
    </row>
    <row r="9" spans="1:14" ht="15.75" thickBot="1" x14ac:dyDescent="0.3">
      <c r="A9" s="46" t="s">
        <v>23</v>
      </c>
      <c r="B9" s="41" t="s">
        <v>42</v>
      </c>
      <c r="C9" s="52">
        <v>0.3</v>
      </c>
      <c r="D9" s="33">
        <v>0.03</v>
      </c>
      <c r="E9" s="3"/>
      <c r="F9" s="40">
        <v>2.7500000000000001E-5</v>
      </c>
      <c r="G9" s="15"/>
      <c r="H9" s="31">
        <v>5.0000000000000002E-5</v>
      </c>
      <c r="I9" s="15"/>
      <c r="J9" s="7"/>
      <c r="K9" s="12"/>
      <c r="L9" s="20"/>
      <c r="M9" s="15"/>
      <c r="N9" s="15"/>
    </row>
    <row r="10" spans="1:14" ht="17.25" thickBot="1" x14ac:dyDescent="0.35">
      <c r="A10" s="46" t="s">
        <v>14</v>
      </c>
      <c r="B10" s="41" t="s">
        <v>17</v>
      </c>
      <c r="C10" s="52">
        <v>60</v>
      </c>
      <c r="D10" s="33">
        <v>6</v>
      </c>
      <c r="E10" s="44"/>
      <c r="F10" s="45">
        <v>7.7999999999999996E-3</v>
      </c>
      <c r="G10" s="12"/>
      <c r="H10" s="12"/>
      <c r="I10" s="40">
        <v>1.4999999999999999E-2</v>
      </c>
      <c r="J10" s="7"/>
      <c r="K10" s="12"/>
      <c r="L10" s="7"/>
      <c r="M10" s="12"/>
      <c r="N10" s="12"/>
    </row>
    <row r="11" spans="1:14" ht="15.75" thickBot="1" x14ac:dyDescent="0.3">
      <c r="A11" s="46" t="s">
        <v>27</v>
      </c>
      <c r="B11" s="41" t="s">
        <v>28</v>
      </c>
      <c r="C11" s="52">
        <v>200</v>
      </c>
      <c r="D11" s="33">
        <v>20</v>
      </c>
      <c r="E11" s="3"/>
      <c r="F11" s="40">
        <v>2.4E-2</v>
      </c>
      <c r="G11" s="12"/>
      <c r="H11" s="12"/>
      <c r="I11" s="12"/>
      <c r="J11" s="42">
        <v>0.04</v>
      </c>
      <c r="K11" s="12"/>
      <c r="L11" s="7"/>
      <c r="M11" s="12"/>
      <c r="N11" s="12"/>
    </row>
    <row r="12" spans="1:14" ht="15.75" thickBot="1" x14ac:dyDescent="0.3">
      <c r="A12" s="46" t="s">
        <v>10</v>
      </c>
      <c r="B12" s="41" t="s">
        <v>18</v>
      </c>
      <c r="C12" s="52">
        <v>129</v>
      </c>
      <c r="D12" s="33">
        <v>12.9</v>
      </c>
      <c r="E12" s="3"/>
      <c r="F12" s="40">
        <v>2.3220000000000001E-2</v>
      </c>
      <c r="G12" s="12"/>
      <c r="H12" s="12"/>
      <c r="I12" s="15"/>
      <c r="J12" s="7"/>
      <c r="K12" s="40">
        <v>3.9989999999999998E-2</v>
      </c>
      <c r="L12" s="20"/>
      <c r="M12" s="15"/>
      <c r="N12" s="15"/>
    </row>
    <row r="13" spans="1:14" ht="15.75" thickBot="1" x14ac:dyDescent="0.3">
      <c r="A13" s="46" t="s">
        <v>25</v>
      </c>
      <c r="B13" s="41" t="s">
        <v>26</v>
      </c>
      <c r="C13" s="52">
        <v>20.6</v>
      </c>
      <c r="D13" s="33">
        <v>2.06</v>
      </c>
      <c r="E13" s="3"/>
      <c r="F13" s="12"/>
      <c r="G13" s="12"/>
      <c r="H13" s="12"/>
      <c r="I13" s="15"/>
      <c r="J13" s="7"/>
      <c r="K13" s="12"/>
      <c r="L13" s="42">
        <v>8.0339999999999995E-3</v>
      </c>
      <c r="M13" s="15"/>
      <c r="N13" s="15"/>
    </row>
    <row r="14" spans="1:14" ht="15.75" thickBot="1" x14ac:dyDescent="0.3">
      <c r="A14" s="37" t="s">
        <v>30</v>
      </c>
      <c r="B14" s="54" t="s">
        <v>29</v>
      </c>
      <c r="C14" s="52">
        <v>4.7</v>
      </c>
      <c r="D14" s="34">
        <v>0.47</v>
      </c>
      <c r="E14" s="3"/>
      <c r="F14" s="12"/>
      <c r="G14" s="12"/>
      <c r="H14" s="12"/>
      <c r="I14" s="15"/>
      <c r="J14" s="7"/>
      <c r="K14" s="12"/>
      <c r="L14" s="20"/>
      <c r="M14" s="40">
        <v>4.5120000000000004E-3</v>
      </c>
      <c r="N14" s="15"/>
    </row>
    <row r="15" spans="1:14" ht="15.75" thickBot="1" x14ac:dyDescent="0.3">
      <c r="A15" s="47" t="s">
        <v>15</v>
      </c>
      <c r="B15" s="51" t="s">
        <v>16</v>
      </c>
      <c r="C15" s="53">
        <v>85.8</v>
      </c>
      <c r="D15" s="35">
        <v>8.58</v>
      </c>
      <c r="E15" s="3"/>
      <c r="F15" s="40">
        <v>1.3728000000000001E-2</v>
      </c>
      <c r="G15" s="12"/>
      <c r="H15" s="12"/>
      <c r="I15" s="15"/>
      <c r="J15" s="7"/>
      <c r="K15" s="12"/>
      <c r="L15" s="20"/>
      <c r="M15" s="15"/>
      <c r="N15" s="40">
        <v>3.0030000000000001E-2</v>
      </c>
    </row>
    <row r="16" spans="1:14" ht="15.75" thickBot="1" x14ac:dyDescent="0.3">
      <c r="A16" s="128" t="s">
        <v>9</v>
      </c>
      <c r="B16" s="129"/>
      <c r="C16" s="25"/>
      <c r="D16" s="23"/>
      <c r="E16" s="3"/>
      <c r="F16" s="13"/>
      <c r="G16" s="13"/>
      <c r="H16" s="13"/>
      <c r="I16" s="13"/>
      <c r="J16" s="8"/>
      <c r="K16" s="13"/>
      <c r="L16" s="8"/>
      <c r="M16" s="13"/>
      <c r="N16" s="13"/>
    </row>
    <row r="17" spans="1:14" ht="15.75" thickBot="1" x14ac:dyDescent="0.3">
      <c r="A17" s="36" t="s">
        <v>11</v>
      </c>
      <c r="B17" s="55"/>
      <c r="C17" s="32">
        <v>161</v>
      </c>
      <c r="D17" s="60">
        <v>16.100000000000001</v>
      </c>
      <c r="E17" s="14"/>
      <c r="F17" s="10"/>
      <c r="G17" s="13"/>
      <c r="H17" s="13"/>
      <c r="I17" s="10"/>
      <c r="J17" s="11"/>
      <c r="K17" s="10"/>
      <c r="L17" s="11"/>
      <c r="M17" s="10"/>
      <c r="N17" s="10"/>
    </row>
    <row r="18" spans="1:14" ht="15.75" thickBot="1" x14ac:dyDescent="0.3">
      <c r="A18" s="143" t="s">
        <v>3</v>
      </c>
      <c r="B18" s="144"/>
      <c r="C18" s="62">
        <f>SUM(C7:C17)</f>
        <v>1000</v>
      </c>
      <c r="D18" s="61">
        <f>SUM(D7:D17)</f>
        <v>100</v>
      </c>
      <c r="E18" s="9"/>
      <c r="F18" s="9"/>
      <c r="G18" s="9"/>
      <c r="H18" s="9"/>
      <c r="I18" s="9"/>
      <c r="J18" s="11"/>
      <c r="K18" s="9"/>
      <c r="L18" s="21"/>
      <c r="M18" s="9"/>
      <c r="N18" s="9"/>
    </row>
    <row r="19" spans="1:14" ht="17.25" thickBot="1" x14ac:dyDescent="0.3">
      <c r="A19" s="130" t="s">
        <v>20</v>
      </c>
      <c r="B19" s="131"/>
      <c r="C19" s="131"/>
      <c r="D19" s="132"/>
      <c r="E19" s="27">
        <f t="shared" ref="E19:N19" si="0">IF(SUM(E7:E18)&lt;0.01,ROUND(SUM(E7:E18),5),ROUND(SUM(E7:E18),4))</f>
        <v>0.09</v>
      </c>
      <c r="F19" s="27">
        <f t="shared" si="0"/>
        <v>0.1419</v>
      </c>
      <c r="G19" s="27">
        <f t="shared" si="0"/>
        <v>0.01</v>
      </c>
      <c r="H19" s="74">
        <f t="shared" si="0"/>
        <v>5.0000000000000002E-5</v>
      </c>
      <c r="I19" s="27">
        <f t="shared" si="0"/>
        <v>1.4999999999999999E-2</v>
      </c>
      <c r="J19" s="27">
        <f t="shared" si="0"/>
        <v>0.04</v>
      </c>
      <c r="K19" s="27">
        <f t="shared" si="0"/>
        <v>0.04</v>
      </c>
      <c r="L19" s="27">
        <f t="shared" si="0"/>
        <v>8.0300000000000007E-3</v>
      </c>
      <c r="M19" s="27">
        <f t="shared" si="0"/>
        <v>4.5100000000000001E-3</v>
      </c>
      <c r="N19" s="27">
        <f t="shared" si="0"/>
        <v>0.03</v>
      </c>
    </row>
    <row r="20" spans="1:14" ht="15.75" thickBot="1" x14ac:dyDescent="0.3">
      <c r="A20" s="22"/>
      <c r="B20" s="4"/>
      <c r="C20" s="5"/>
      <c r="D20" s="5"/>
      <c r="E20" s="29"/>
      <c r="F20" s="28"/>
      <c r="G20" s="28"/>
      <c r="H20" s="28"/>
      <c r="I20" s="28"/>
      <c r="J20" s="28"/>
      <c r="K20" s="28"/>
      <c r="L20" s="28"/>
      <c r="M20" s="28"/>
      <c r="N20" s="30"/>
    </row>
    <row r="21" spans="1:14" ht="18" customHeight="1" thickBot="1" x14ac:dyDescent="0.3">
      <c r="A21" s="133" t="s">
        <v>41</v>
      </c>
      <c r="B21" s="134"/>
      <c r="C21" s="134"/>
      <c r="D21" s="135"/>
      <c r="E21" s="38">
        <v>8.3000000000000004E-2</v>
      </c>
      <c r="F21" s="38">
        <v>0.15229999999999999</v>
      </c>
      <c r="G21" s="38">
        <v>0.01</v>
      </c>
      <c r="H21" s="39">
        <v>5.0000000000000002E-5</v>
      </c>
      <c r="I21" s="38">
        <v>1.4999999999999999E-2</v>
      </c>
      <c r="J21" s="38">
        <v>3.3000000000000002E-2</v>
      </c>
      <c r="K21" s="38">
        <v>3.7199999999999997E-2</v>
      </c>
      <c r="L21" s="38">
        <v>8.0000000000000002E-3</v>
      </c>
      <c r="M21" s="38">
        <v>4.4999999999999997E-3</v>
      </c>
      <c r="N21" s="38">
        <v>2.4E-2</v>
      </c>
    </row>
    <row r="22" spans="1:14" ht="18" customHeight="1" thickBot="1" x14ac:dyDescent="0.3">
      <c r="A22" s="56"/>
      <c r="B22" s="56"/>
      <c r="C22" s="56"/>
      <c r="D22" s="56"/>
      <c r="E22" s="57"/>
      <c r="F22" s="57"/>
      <c r="G22" s="57"/>
      <c r="H22" s="58"/>
      <c r="I22" s="57"/>
      <c r="J22" s="57"/>
      <c r="K22" s="57"/>
      <c r="L22" s="58"/>
      <c r="M22" s="58"/>
      <c r="N22" s="57"/>
    </row>
    <row r="23" spans="1:14" ht="18" customHeight="1" x14ac:dyDescent="0.25">
      <c r="A23" s="137" t="s">
        <v>35</v>
      </c>
      <c r="B23" s="138"/>
      <c r="C23" s="138"/>
      <c r="D23" s="139"/>
      <c r="E23" s="63">
        <f>IF(E31&lt;0.01%,ROUND(E24,5)-ROUND(E31,5),ROUND(E24,4)-ROUND(E31,4))</f>
        <v>7.3700000000000002E-2</v>
      </c>
      <c r="F23" s="63">
        <f>IF(F31&lt;0.01%,ROUND(F24,5)-ROUND(F31,5),ROUND(F24,4)-ROUND(F31,4))</f>
        <v>0.1283</v>
      </c>
      <c r="G23" s="63">
        <f>IF(G31&lt;0.01%,ROUND(G24,5)-ROUND(G31,5),ROUND(G24,4)-ROUND(G31,4))</f>
        <v>7.4000000000000003E-3</v>
      </c>
      <c r="H23" s="75">
        <f>IF(H31&lt;0.01%,ROUND(H24,5)-ROUND(H31,5),ROUND(H24,4)-ROUND(H31,4))</f>
        <v>3.0000000000000001E-5</v>
      </c>
      <c r="I23" s="76">
        <f t="shared" ref="I23:N23" si="1">IF(I31&lt;0.01%,ROUND(I24,5)-ROUND(I31,5),ROUND(I24,4)-ROUND(I31,4))</f>
        <v>1.03E-2</v>
      </c>
      <c r="J23" s="63">
        <f>IF(J31&lt;0.01%,ROUND(J24,5)-ROUND(J31,5),ROUND(J24,4)-ROUND(J31,4))</f>
        <v>2.7799999999999998E-2</v>
      </c>
      <c r="K23" s="63">
        <f t="shared" si="1"/>
        <v>2.7799999999999998E-2</v>
      </c>
      <c r="L23" s="63">
        <f t="shared" si="1"/>
        <v>5.0000000000000001E-3</v>
      </c>
      <c r="M23" s="75"/>
      <c r="N23" s="63">
        <f t="shared" si="1"/>
        <v>2.0799999999999999E-2</v>
      </c>
    </row>
    <row r="24" spans="1:14" ht="17.25" x14ac:dyDescent="0.25">
      <c r="A24" s="136" t="str">
        <f>_xlfn.CONCAT("SOLICITUD DE REGISTRO ICA: ",A2)</f>
        <v xml:space="preserve">SOLICITUD DE REGISTRO ICA: CALFER MENORES </v>
      </c>
      <c r="B24" s="136"/>
      <c r="C24" s="136"/>
      <c r="D24" s="136"/>
      <c r="E24" s="64">
        <f t="shared" ref="E24:N24" si="2">E19</f>
        <v>0.09</v>
      </c>
      <c r="F24" s="64">
        <f t="shared" si="2"/>
        <v>0.1419</v>
      </c>
      <c r="G24" s="64">
        <f t="shared" si="2"/>
        <v>0.01</v>
      </c>
      <c r="H24" s="65">
        <f t="shared" si="2"/>
        <v>5.0000000000000002E-5</v>
      </c>
      <c r="I24" s="71">
        <f t="shared" si="2"/>
        <v>1.4999999999999999E-2</v>
      </c>
      <c r="J24" s="64">
        <f t="shared" si="2"/>
        <v>0.04</v>
      </c>
      <c r="K24" s="64">
        <f t="shared" si="2"/>
        <v>0.04</v>
      </c>
      <c r="L24" s="64">
        <f t="shared" si="2"/>
        <v>8.0300000000000007E-3</v>
      </c>
      <c r="M24" s="64">
        <f t="shared" si="2"/>
        <v>4.5100000000000001E-3</v>
      </c>
      <c r="N24" s="64">
        <f t="shared" si="2"/>
        <v>0.03</v>
      </c>
    </row>
    <row r="25" spans="1:14" ht="18" customHeight="1" thickBot="1" x14ac:dyDescent="0.3">
      <c r="A25" s="122" t="s">
        <v>36</v>
      </c>
      <c r="B25" s="123"/>
      <c r="C25" s="123"/>
      <c r="D25" s="124"/>
      <c r="E25" s="66">
        <f>IF(E31&lt;0.01%,ROUND(E24,5)+ROUND(E31,5),ROUND(E24,4)+ROUND(E31,4))</f>
        <v>0.10629999999999999</v>
      </c>
      <c r="F25" s="66">
        <f>IF(F31&lt;0.01%,ROUND(F24,5)+ROUND(F31,5),ROUND(F24,4)+ROUND(F31,4))</f>
        <v>0.1555</v>
      </c>
      <c r="G25" s="66">
        <f>IF(G31&lt;0.01%,ROUND(G24,5)+ROUND(G31,5),ROUND(G24,4)+ROUND(G31,4))</f>
        <v>1.26E-2</v>
      </c>
      <c r="H25" s="77">
        <f>IF(H31&lt;0.01%,ROUND(H24,5)+ROUND(H31,5),ROUND(H24,4)+ROUND(H31,4))</f>
        <v>7.0000000000000007E-5</v>
      </c>
      <c r="I25" s="78">
        <f t="shared" ref="I25:N25" si="3">IF(I31&lt;0.01%,ROUND(I24,5)+ROUND(I31,5),ROUND(I24,4)+ROUND(I31,4))</f>
        <v>1.9699999999999999E-2</v>
      </c>
      <c r="J25" s="66">
        <f t="shared" si="3"/>
        <v>5.2200000000000003E-2</v>
      </c>
      <c r="K25" s="66">
        <f t="shared" si="3"/>
        <v>5.2200000000000003E-2</v>
      </c>
      <c r="L25" s="66">
        <f t="shared" si="3"/>
        <v>1.0999999999999999E-2</v>
      </c>
      <c r="M25" s="77"/>
      <c r="N25" s="66">
        <f t="shared" si="3"/>
        <v>3.9199999999999999E-2</v>
      </c>
    </row>
    <row r="26" spans="1:14" x14ac:dyDescent="0.25">
      <c r="H26" s="67"/>
      <c r="L26" s="67"/>
    </row>
    <row r="27" spans="1:14" ht="15.75" thickBot="1" x14ac:dyDescent="0.3"/>
    <row r="28" spans="1:14" ht="16.5" x14ac:dyDescent="0.25">
      <c r="A28" s="108" t="s">
        <v>43</v>
      </c>
      <c r="B28" s="109"/>
      <c r="C28" s="109"/>
      <c r="D28" s="110"/>
      <c r="E28" s="79">
        <f>(0.5+0.125*100*E$24)/100</f>
        <v>1.6250000000000001E-2</v>
      </c>
      <c r="F28" s="79">
        <f>(0.3+0.075*100*F$24)/100</f>
        <v>1.36425E-2</v>
      </c>
      <c r="G28" s="79">
        <f>(0.005+0.25*100*G$24)/100</f>
        <v>2.5500000000000002E-3</v>
      </c>
      <c r="H28" s="80">
        <f>(0.000125+0.375*100*H$24)/100</f>
        <v>2.0000000000000002E-5</v>
      </c>
      <c r="I28" s="79">
        <f>(0.015+0.3*100*I$24)/100</f>
        <v>4.6499999999999996E-3</v>
      </c>
      <c r="J28" s="79">
        <f>(0.015+0.3*100*J$24)/100</f>
        <v>1.2149999999999999E-2</v>
      </c>
      <c r="K28" s="79">
        <f>(0.015+0.3*100*K$24)/100</f>
        <v>1.2149999999999999E-2</v>
      </c>
      <c r="L28" s="80">
        <f>(0.000125+0.375*100*L$24)/100</f>
        <v>3.0125E-3</v>
      </c>
      <c r="M28" s="79"/>
      <c r="N28" s="81">
        <f>(0.015+0.3*100*N$24)/100</f>
        <v>9.1499999999999984E-3</v>
      </c>
    </row>
    <row r="29" spans="1:14" ht="16.5" customHeight="1" x14ac:dyDescent="0.25">
      <c r="A29" s="111" t="s">
        <v>45</v>
      </c>
      <c r="B29" s="112"/>
      <c r="C29" s="112"/>
      <c r="D29" s="115"/>
      <c r="E29" s="82"/>
      <c r="F29" s="83"/>
      <c r="G29" s="83"/>
      <c r="H29" s="83"/>
      <c r="I29" s="84"/>
      <c r="J29" s="84"/>
      <c r="K29" s="84"/>
      <c r="L29" s="83"/>
      <c r="M29" s="83"/>
      <c r="N29" s="85"/>
    </row>
    <row r="30" spans="1:14" ht="16.5" customHeight="1" x14ac:dyDescent="0.25">
      <c r="A30" s="116" t="s">
        <v>46</v>
      </c>
      <c r="B30" s="117"/>
      <c r="C30" s="117"/>
      <c r="D30" s="118"/>
      <c r="E30" s="86" t="str">
        <f t="shared" ref="E30:L30" si="4">IF(E28&gt;E24/2,"SI","NO")</f>
        <v>NO</v>
      </c>
      <c r="F30" s="87" t="str">
        <f t="shared" si="4"/>
        <v>NO</v>
      </c>
      <c r="G30" s="87" t="str">
        <f t="shared" si="4"/>
        <v>NO</v>
      </c>
      <c r="H30" s="88" t="str">
        <f t="shared" si="4"/>
        <v>NO</v>
      </c>
      <c r="I30" s="89" t="str">
        <f t="shared" si="4"/>
        <v>NO</v>
      </c>
      <c r="J30" s="89" t="str">
        <f t="shared" si="4"/>
        <v>NO</v>
      </c>
      <c r="K30" s="89" t="str">
        <f t="shared" si="4"/>
        <v>NO</v>
      </c>
      <c r="L30" s="88" t="str">
        <f t="shared" si="4"/>
        <v>NO</v>
      </c>
      <c r="M30" s="87"/>
      <c r="N30" s="90" t="str">
        <f>IF(N28&gt;N24/2,"SI","NO")</f>
        <v>NO</v>
      </c>
    </row>
    <row r="31" spans="1:14" ht="17.25" thickBot="1" x14ac:dyDescent="0.3">
      <c r="A31" s="119" t="s">
        <v>44</v>
      </c>
      <c r="B31" s="120"/>
      <c r="C31" s="120"/>
      <c r="D31" s="121"/>
      <c r="E31" s="91">
        <f t="shared" ref="E31:L31" si="5">IF(E30="SI",E24/2,E28)</f>
        <v>1.6250000000000001E-2</v>
      </c>
      <c r="F31" s="91">
        <f t="shared" si="5"/>
        <v>1.36425E-2</v>
      </c>
      <c r="G31" s="91">
        <f t="shared" si="5"/>
        <v>2.5500000000000002E-3</v>
      </c>
      <c r="H31" s="92">
        <f t="shared" si="5"/>
        <v>2.0000000000000002E-5</v>
      </c>
      <c r="I31" s="91">
        <f t="shared" si="5"/>
        <v>4.6499999999999996E-3</v>
      </c>
      <c r="J31" s="91">
        <f t="shared" si="5"/>
        <v>1.2149999999999999E-2</v>
      </c>
      <c r="K31" s="91">
        <f t="shared" si="5"/>
        <v>1.2149999999999999E-2</v>
      </c>
      <c r="L31" s="92">
        <f t="shared" si="5"/>
        <v>3.0125E-3</v>
      </c>
      <c r="M31" s="93"/>
      <c r="N31" s="94">
        <f>IF(N30="SI",N24/2,N28)</f>
        <v>9.1499999999999984E-3</v>
      </c>
    </row>
    <row r="32" spans="1:14" x14ac:dyDescent="0.25">
      <c r="A32" s="70" t="s">
        <v>47</v>
      </c>
    </row>
    <row r="33" spans="1:14" x14ac:dyDescent="0.25">
      <c r="A33" s="70" t="s">
        <v>48</v>
      </c>
    </row>
    <row r="34" spans="1:14" ht="15.75" thickBot="1" x14ac:dyDescent="0.3"/>
    <row r="35" spans="1:14" ht="17.25" thickBot="1" x14ac:dyDescent="0.3">
      <c r="A35" s="108" t="s">
        <v>49</v>
      </c>
      <c r="B35" s="109"/>
      <c r="C35" s="109"/>
      <c r="D35" s="110"/>
    </row>
    <row r="36" spans="1:14" ht="16.5" x14ac:dyDescent="0.25">
      <c r="A36" s="111" t="s">
        <v>50</v>
      </c>
      <c r="B36" s="112"/>
      <c r="C36" s="112"/>
      <c r="D36" s="113"/>
      <c r="E36" s="95"/>
      <c r="F36" s="96"/>
      <c r="G36" s="97"/>
      <c r="H36" s="97"/>
      <c r="I36" s="97"/>
      <c r="J36" s="97"/>
      <c r="K36" s="97"/>
      <c r="L36" s="97"/>
      <c r="M36" s="97"/>
      <c r="N36" s="98"/>
    </row>
    <row r="37" spans="1:14" ht="16.5" x14ac:dyDescent="0.25">
      <c r="A37" s="111" t="s">
        <v>51</v>
      </c>
      <c r="B37" s="112"/>
      <c r="C37" s="112"/>
      <c r="D37" s="113"/>
      <c r="E37" s="99" t="s">
        <v>54</v>
      </c>
      <c r="F37" s="72" t="s">
        <v>54</v>
      </c>
      <c r="G37" s="68"/>
      <c r="H37" s="68"/>
      <c r="I37" s="68"/>
      <c r="J37" s="68"/>
      <c r="K37" s="68"/>
      <c r="L37" s="68"/>
      <c r="M37" s="68"/>
      <c r="N37" s="100"/>
    </row>
    <row r="38" spans="1:14" ht="16.5" x14ac:dyDescent="0.25">
      <c r="A38" s="114" t="s">
        <v>52</v>
      </c>
      <c r="B38" s="112"/>
      <c r="C38" s="112"/>
      <c r="D38" s="113"/>
      <c r="E38" s="101"/>
      <c r="F38" s="69"/>
      <c r="G38" s="73"/>
      <c r="H38" s="73"/>
      <c r="I38" s="73"/>
      <c r="J38" s="73"/>
      <c r="K38" s="73"/>
      <c r="L38" s="73"/>
      <c r="M38" s="73"/>
      <c r="N38" s="102"/>
    </row>
    <row r="39" spans="1:14" ht="17.25" thickBot="1" x14ac:dyDescent="0.3">
      <c r="A39" s="114" t="s">
        <v>53</v>
      </c>
      <c r="B39" s="112"/>
      <c r="C39" s="112"/>
      <c r="D39" s="113"/>
      <c r="E39" s="103"/>
      <c r="F39" s="104"/>
      <c r="G39" s="105" t="str">
        <f>IF(G24&gt;=0.02%,"SI","NO")</f>
        <v>SI</v>
      </c>
      <c r="H39" s="106" t="str">
        <f>IF(H24=H19,"SI","NO")</f>
        <v>SI</v>
      </c>
      <c r="I39" s="106" t="str">
        <f>IF(I24&gt;=0.01%,"SI","NO")</f>
        <v>SI</v>
      </c>
      <c r="J39" s="106" t="str">
        <f>IF(J24&gt;=0.01%,"SI","NO")</f>
        <v>SI</v>
      </c>
      <c r="K39" s="106" t="str">
        <f>IF(K24&gt;=0.01%,"SI","NO")</f>
        <v>SI</v>
      </c>
      <c r="L39" s="106" t="str">
        <f>IF(L24&gt;=0.005%,"SI","NO")</f>
        <v>SI</v>
      </c>
      <c r="M39" s="106" t="str">
        <f>IF(M24&gt;=0.01%,"SI","NO")</f>
        <v>SI</v>
      </c>
      <c r="N39" s="107" t="str">
        <f>IF(N24&gt;=0.02%,"SI","NO")</f>
        <v>SI</v>
      </c>
    </row>
  </sheetData>
  <mergeCells count="20">
    <mergeCell ref="A29:D29"/>
    <mergeCell ref="A30:D30"/>
    <mergeCell ref="A31:D31"/>
    <mergeCell ref="A25:D25"/>
    <mergeCell ref="A1:N1"/>
    <mergeCell ref="A2:N2"/>
    <mergeCell ref="A3:N3"/>
    <mergeCell ref="A16:B16"/>
    <mergeCell ref="A28:D28"/>
    <mergeCell ref="A19:D19"/>
    <mergeCell ref="A21:D21"/>
    <mergeCell ref="A24:D24"/>
    <mergeCell ref="A23:D23"/>
    <mergeCell ref="E5:N5"/>
    <mergeCell ref="A18:B18"/>
    <mergeCell ref="A35:D35"/>
    <mergeCell ref="A36:D36"/>
    <mergeCell ref="A37:D37"/>
    <mergeCell ref="A38:D38"/>
    <mergeCell ref="A39:D39"/>
  </mergeCells>
  <pageMargins left="0.19685039370078741" right="0" top="1.7322834645669292" bottom="0.74803149606299213" header="0.31496062992125984" footer="0.31496062992125984"/>
  <pageSetup scale="85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Calfer Menores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Will Salas</cp:lastModifiedBy>
  <cp:lastPrinted>2024-05-22T15:16:04Z</cp:lastPrinted>
  <dcterms:created xsi:type="dcterms:W3CDTF">2021-10-20T23:05:00Z</dcterms:created>
  <dcterms:modified xsi:type="dcterms:W3CDTF">2024-06-24T15:11:54Z</dcterms:modified>
</cp:coreProperties>
</file>