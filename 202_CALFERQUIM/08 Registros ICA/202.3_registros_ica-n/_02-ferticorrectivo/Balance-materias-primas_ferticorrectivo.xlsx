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2_proyectos\202.3_registros_ica-n\_02-ferticorrectivo\"/>
    </mc:Choice>
  </mc:AlternateContent>
  <xr:revisionPtr revIDLastSave="0" documentId="13_ncr:1_{5F3FB1F6-7644-44C8-B5EF-C739E59EBD26}" xr6:coauthVersionLast="47" xr6:coauthVersionMax="47" xr10:uidLastSave="{00000000-0000-0000-0000-000000000000}"/>
  <bookViews>
    <workbookView xWindow="4845" yWindow="2130" windowWidth="14490" windowHeight="11295" firstSheet="2" activeTab="4" xr2:uid="{7A9F012D-6F37-47A5-AC75-9A96A3A822E5}"/>
  </bookViews>
  <sheets>
    <sheet name="minimos" sheetId="8" r:id="rId1"/>
    <sheet name="entrada (2)" sheetId="10" r:id="rId2"/>
    <sheet name="entrada" sheetId="1" r:id="rId3"/>
    <sheet name="balance materias primas" sheetId="9" r:id="rId4"/>
    <sheet name="salida" sheetId="11" r:id="rId5"/>
  </sheets>
  <definedNames>
    <definedName name="_xlnm.Print_Area" localSheetId="3">'balance materias primas'!$A$1:$J$38</definedName>
    <definedName name="_xlnm.Print_Area" localSheetId="4">salida!$A$1:$J$38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3" i="9" l="1"/>
  <c r="H36" i="11"/>
  <c r="D36" i="11"/>
  <c r="C36" i="11"/>
  <c r="B36" i="11"/>
  <c r="H35" i="11"/>
  <c r="D35" i="11"/>
  <c r="C35" i="11"/>
  <c r="B35" i="11"/>
  <c r="I33" i="9"/>
  <c r="E33" i="9"/>
  <c r="C16" i="1"/>
  <c r="D16" i="1"/>
  <c r="C17" i="1"/>
  <c r="D17" i="1"/>
  <c r="C18" i="1"/>
  <c r="C11" i="9" s="1"/>
  <c r="D18" i="1"/>
  <c r="C19" i="1"/>
  <c r="C12" i="9" s="1"/>
  <c r="D19" i="1"/>
  <c r="D7" i="1"/>
  <c r="D8" i="1"/>
  <c r="D9" i="1"/>
  <c r="D10" i="1"/>
  <c r="D6" i="1"/>
  <c r="D15" i="1" s="1"/>
  <c r="C15" i="1"/>
  <c r="I18" i="9"/>
  <c r="H18" i="9"/>
  <c r="G18" i="9"/>
  <c r="F18" i="9"/>
  <c r="E18" i="9"/>
  <c r="I7" i="9"/>
  <c r="E7" i="9"/>
  <c r="F7" i="9"/>
  <c r="G7" i="9"/>
  <c r="D10" i="9"/>
  <c r="C9" i="9"/>
  <c r="C10" i="9"/>
  <c r="B9" i="9"/>
  <c r="B10" i="9"/>
  <c r="B11" i="9"/>
  <c r="B12" i="9"/>
  <c r="N36" i="1"/>
  <c r="O36" i="1"/>
  <c r="M36" i="1"/>
  <c r="M35" i="1"/>
  <c r="D12" i="10" l="1"/>
  <c r="N16" i="10" l="1"/>
  <c r="V54" i="10"/>
  <c r="E54" i="10"/>
  <c r="B53" i="10"/>
  <c r="V52" i="10"/>
  <c r="E52" i="10"/>
  <c r="G50" i="10" a="1"/>
  <c r="G50" i="10" s="1"/>
  <c r="V47" i="10"/>
  <c r="V46" i="10"/>
  <c r="C20" i="10"/>
  <c r="X19" i="10"/>
  <c r="W19" i="10"/>
  <c r="V19" i="10"/>
  <c r="U19" i="10"/>
  <c r="T19" i="10"/>
  <c r="S19" i="10"/>
  <c r="R19" i="10"/>
  <c r="Q19" i="10"/>
  <c r="P19" i="10"/>
  <c r="N19" i="10"/>
  <c r="L19" i="10"/>
  <c r="K19" i="10"/>
  <c r="J19" i="10"/>
  <c r="I19" i="10"/>
  <c r="H19" i="10"/>
  <c r="G19" i="10"/>
  <c r="F19" i="10"/>
  <c r="E19" i="10"/>
  <c r="D19" i="10"/>
  <c r="X18" i="10"/>
  <c r="W18" i="10"/>
  <c r="U18" i="10"/>
  <c r="T18" i="10"/>
  <c r="S18" i="10"/>
  <c r="R18" i="10"/>
  <c r="Q18" i="10"/>
  <c r="P18" i="10"/>
  <c r="O18" i="10"/>
  <c r="M18" i="10"/>
  <c r="L18" i="10"/>
  <c r="K18" i="10"/>
  <c r="J18" i="10"/>
  <c r="I18" i="10"/>
  <c r="H18" i="10"/>
  <c r="G18" i="10"/>
  <c r="F18" i="10"/>
  <c r="E18" i="10"/>
  <c r="D18" i="10"/>
  <c r="X17" i="10"/>
  <c r="W17" i="10"/>
  <c r="U17" i="10"/>
  <c r="T17" i="10"/>
  <c r="S17" i="10"/>
  <c r="R17" i="10"/>
  <c r="Q17" i="10"/>
  <c r="P17" i="10"/>
  <c r="O17" i="10"/>
  <c r="N17" i="10"/>
  <c r="L17" i="10"/>
  <c r="J17" i="10"/>
  <c r="I17" i="10"/>
  <c r="H17" i="10"/>
  <c r="G17" i="10"/>
  <c r="F17" i="10"/>
  <c r="E17" i="10"/>
  <c r="X16" i="10"/>
  <c r="W16" i="10"/>
  <c r="V16" i="10"/>
  <c r="U16" i="10"/>
  <c r="T16" i="10"/>
  <c r="S16" i="10"/>
  <c r="R16" i="10"/>
  <c r="Q16" i="10"/>
  <c r="P16" i="10"/>
  <c r="O16" i="10"/>
  <c r="L16" i="10"/>
  <c r="K16" i="10"/>
  <c r="J16" i="10"/>
  <c r="I16" i="10"/>
  <c r="H16" i="10"/>
  <c r="G16" i="10"/>
  <c r="F16" i="10"/>
  <c r="E16" i="10"/>
  <c r="D16" i="10"/>
  <c r="X15" i="10"/>
  <c r="W15" i="10"/>
  <c r="V15" i="10"/>
  <c r="U15" i="10"/>
  <c r="T15" i="10"/>
  <c r="S15" i="10"/>
  <c r="R15" i="10"/>
  <c r="Q15" i="10"/>
  <c r="P15" i="10"/>
  <c r="O15" i="10"/>
  <c r="N15" i="10"/>
  <c r="L15" i="10"/>
  <c r="K15" i="10"/>
  <c r="J15" i="10"/>
  <c r="I15" i="10"/>
  <c r="H15" i="10"/>
  <c r="G15" i="10"/>
  <c r="F15" i="10"/>
  <c r="E15" i="10"/>
  <c r="D15" i="10"/>
  <c r="C11" i="10"/>
  <c r="M19" i="10"/>
  <c r="M16" i="10"/>
  <c r="M15" i="10"/>
  <c r="S21" i="10" l="1"/>
  <c r="S40" i="10" s="1"/>
  <c r="E21" i="10"/>
  <c r="E53" i="10" s="1"/>
  <c r="V17" i="10"/>
  <c r="V18" i="10"/>
  <c r="J21" i="10"/>
  <c r="J53" i="10" s="1"/>
  <c r="G21" i="10"/>
  <c r="G52" i="10" s="1"/>
  <c r="P21" i="10"/>
  <c r="P47" i="10" s="1"/>
  <c r="F21" i="10"/>
  <c r="F44" i="10" s="1"/>
  <c r="W21" i="10"/>
  <c r="W47" i="10" s="1"/>
  <c r="X21" i="10"/>
  <c r="X46" i="10" s="1"/>
  <c r="H21" i="10"/>
  <c r="H54" i="10" s="1"/>
  <c r="Q21" i="10"/>
  <c r="Q40" i="10" s="1"/>
  <c r="I21" i="10"/>
  <c r="I54" i="10" s="1"/>
  <c r="R21" i="10"/>
  <c r="R47" i="10" s="1"/>
  <c r="T21" i="10"/>
  <c r="T53" i="10" s="1"/>
  <c r="L21" i="10"/>
  <c r="L53" i="10" s="1"/>
  <c r="U21" i="10"/>
  <c r="U47" i="10" s="1"/>
  <c r="K17" i="10"/>
  <c r="K21" i="10" s="1"/>
  <c r="N18" i="10"/>
  <c r="N21" i="10" s="1"/>
  <c r="M17" i="10"/>
  <c r="M21" i="10" s="1"/>
  <c r="O19" i="10"/>
  <c r="O21" i="10" s="1"/>
  <c r="X19" i="1"/>
  <c r="V19" i="1"/>
  <c r="U19" i="1"/>
  <c r="T19" i="1"/>
  <c r="S19" i="1"/>
  <c r="R19" i="1"/>
  <c r="Q19" i="1"/>
  <c r="P19" i="1"/>
  <c r="L19" i="1"/>
  <c r="I12" i="9" s="1"/>
  <c r="K19" i="1"/>
  <c r="H12" i="9" s="1"/>
  <c r="J19" i="1"/>
  <c r="G12" i="9" s="1"/>
  <c r="I19" i="1"/>
  <c r="H19" i="1"/>
  <c r="G19" i="1"/>
  <c r="F12" i="9" s="1"/>
  <c r="X17" i="1"/>
  <c r="W17" i="1"/>
  <c r="U17" i="1"/>
  <c r="T17" i="1"/>
  <c r="S17" i="1"/>
  <c r="R17" i="1"/>
  <c r="Q17" i="1"/>
  <c r="P17" i="1"/>
  <c r="O17" i="1"/>
  <c r="J17" i="1"/>
  <c r="G10" i="9" s="1"/>
  <c r="I17" i="1"/>
  <c r="H17" i="1"/>
  <c r="G17" i="1"/>
  <c r="F10" i="9" s="1"/>
  <c r="X15" i="1"/>
  <c r="W15" i="1"/>
  <c r="U15" i="1"/>
  <c r="T15" i="1"/>
  <c r="S15" i="1"/>
  <c r="R15" i="1"/>
  <c r="Q15" i="1"/>
  <c r="P15" i="1"/>
  <c r="O15" i="1"/>
  <c r="L15" i="1"/>
  <c r="I8" i="9" s="1"/>
  <c r="J15" i="1"/>
  <c r="G8" i="9" s="1"/>
  <c r="I15" i="1"/>
  <c r="H15" i="1"/>
  <c r="G15" i="1"/>
  <c r="F8" i="9" s="1"/>
  <c r="X18" i="1"/>
  <c r="W18" i="1"/>
  <c r="U18" i="1"/>
  <c r="T18" i="1"/>
  <c r="S18" i="1"/>
  <c r="R18" i="1"/>
  <c r="Q18" i="1"/>
  <c r="P18" i="1"/>
  <c r="O18" i="1"/>
  <c r="J18" i="1"/>
  <c r="G11" i="9" s="1"/>
  <c r="I18" i="1"/>
  <c r="H18" i="1"/>
  <c r="G18" i="1"/>
  <c r="F11" i="9" s="1"/>
  <c r="E19" i="1"/>
  <c r="E17" i="1"/>
  <c r="E15" i="1"/>
  <c r="E18" i="1"/>
  <c r="X16" i="1"/>
  <c r="W16" i="1"/>
  <c r="U16" i="1"/>
  <c r="T16" i="1"/>
  <c r="S16" i="1"/>
  <c r="R16" i="1"/>
  <c r="Q16" i="1"/>
  <c r="P16" i="1"/>
  <c r="L16" i="1"/>
  <c r="I9" i="9" s="1"/>
  <c r="K16" i="1"/>
  <c r="H9" i="9" s="1"/>
  <c r="J16" i="1"/>
  <c r="G9" i="9" s="1"/>
  <c r="I16" i="1"/>
  <c r="H16" i="1"/>
  <c r="G16" i="1"/>
  <c r="F9" i="9" s="1"/>
  <c r="E16" i="1"/>
  <c r="F18" i="1" l="1"/>
  <c r="E11" i="9" s="1"/>
  <c r="F16" i="1"/>
  <c r="E9" i="9" s="1"/>
  <c r="F17" i="1"/>
  <c r="E10" i="9" s="1"/>
  <c r="F19" i="1"/>
  <c r="E12" i="9" s="1"/>
  <c r="Q47" i="10"/>
  <c r="T40" i="10"/>
  <c r="P46" i="10"/>
  <c r="P52" i="10"/>
  <c r="W53" i="10"/>
  <c r="W54" i="10"/>
  <c r="S53" i="10"/>
  <c r="S47" i="10"/>
  <c r="I53" i="10"/>
  <c r="S52" i="10"/>
  <c r="S54" i="10"/>
  <c r="Q45" i="10"/>
  <c r="W52" i="10"/>
  <c r="S45" i="10"/>
  <c r="J52" i="10"/>
  <c r="U40" i="10"/>
  <c r="W40" i="10"/>
  <c r="S46" i="10"/>
  <c r="U53" i="10"/>
  <c r="W46" i="10"/>
  <c r="G54" i="10"/>
  <c r="F54" i="10"/>
  <c r="I52" i="10"/>
  <c r="U52" i="10"/>
  <c r="Q54" i="10"/>
  <c r="U46" i="10"/>
  <c r="Q53" i="10"/>
  <c r="V21" i="10"/>
  <c r="V40" i="10" s="1"/>
  <c r="X47" i="10"/>
  <c r="X53" i="10"/>
  <c r="U54" i="10"/>
  <c r="X52" i="10"/>
  <c r="X54" i="10"/>
  <c r="J54" i="10"/>
  <c r="W45" i="10"/>
  <c r="R45" i="10"/>
  <c r="T45" i="10"/>
  <c r="P53" i="10"/>
  <c r="X45" i="10"/>
  <c r="P40" i="10"/>
  <c r="U45" i="10"/>
  <c r="P45" i="10"/>
  <c r="R52" i="10"/>
  <c r="P54" i="10"/>
  <c r="G53" i="10"/>
  <c r="R46" i="10"/>
  <c r="L44" i="10"/>
  <c r="F53" i="10"/>
  <c r="T52" i="10"/>
  <c r="F45" i="10"/>
  <c r="L52" i="10"/>
  <c r="T54" i="10"/>
  <c r="Q46" i="10"/>
  <c r="R53" i="10"/>
  <c r="F47" i="10"/>
  <c r="L54" i="10"/>
  <c r="T47" i="10"/>
  <c r="R40" i="10"/>
  <c r="F52" i="10"/>
  <c r="T46" i="10"/>
  <c r="F37" i="10"/>
  <c r="L37" i="10"/>
  <c r="Q52" i="10"/>
  <c r="R54" i="10"/>
  <c r="H52" i="10"/>
  <c r="L45" i="10"/>
  <c r="L47" i="10"/>
  <c r="H53" i="10"/>
  <c r="O45" i="10"/>
  <c r="O47" i="10" s="1"/>
  <c r="O40" i="10"/>
  <c r="O53" i="10"/>
  <c r="M45" i="10"/>
  <c r="M46" i="10" s="1"/>
  <c r="M53" i="10"/>
  <c r="M40" i="10"/>
  <c r="N45" i="10"/>
  <c r="N46" i="10" s="1"/>
  <c r="N40" i="10"/>
  <c r="N53" i="10"/>
  <c r="K53" i="10"/>
  <c r="K44" i="10"/>
  <c r="K45" i="10"/>
  <c r="K47" i="10" s="1"/>
  <c r="K37" i="10"/>
  <c r="P21" i="1"/>
  <c r="P23" i="1" s="1"/>
  <c r="Q21" i="1"/>
  <c r="Q35" i="1" s="1"/>
  <c r="F15" i="1"/>
  <c r="E8" i="9" s="1"/>
  <c r="G21" i="1"/>
  <c r="F16" i="9" s="1"/>
  <c r="R21" i="1"/>
  <c r="R23" i="1" s="1"/>
  <c r="H21" i="1"/>
  <c r="H23" i="1" s="1"/>
  <c r="S21" i="1"/>
  <c r="S23" i="1" s="1"/>
  <c r="I21" i="1"/>
  <c r="I23" i="1" s="1"/>
  <c r="T21" i="1"/>
  <c r="T23" i="1" s="1"/>
  <c r="J21" i="1"/>
  <c r="G16" i="9" s="1"/>
  <c r="U21" i="1"/>
  <c r="U23" i="1" s="1"/>
  <c r="X21" i="1"/>
  <c r="X23" i="1" s="1"/>
  <c r="D12" i="9"/>
  <c r="D11" i="9"/>
  <c r="D9" i="9"/>
  <c r="C17" i="9"/>
  <c r="D17" i="9"/>
  <c r="C18" i="9"/>
  <c r="D18" i="9"/>
  <c r="C19" i="9"/>
  <c r="D19" i="9"/>
  <c r="H19" i="9"/>
  <c r="H20" i="9"/>
  <c r="C22" i="9"/>
  <c r="D22" i="9"/>
  <c r="C23" i="9"/>
  <c r="D23" i="9"/>
  <c r="H23" i="9"/>
  <c r="C24" i="9"/>
  <c r="D24" i="9"/>
  <c r="H24" i="9"/>
  <c r="C25" i="9"/>
  <c r="D25" i="9"/>
  <c r="H25" i="9"/>
  <c r="C26" i="9"/>
  <c r="D26" i="9"/>
  <c r="C27" i="9"/>
  <c r="D27" i="9"/>
  <c r="C28" i="9"/>
  <c r="D28" i="9"/>
  <c r="C29" i="9"/>
  <c r="D29" i="9"/>
  <c r="H29" i="9"/>
  <c r="C30" i="9"/>
  <c r="D30" i="9"/>
  <c r="H30" i="9"/>
  <c r="C31" i="9"/>
  <c r="D31" i="9"/>
  <c r="H31" i="9"/>
  <c r="C32" i="9"/>
  <c r="D32" i="9"/>
  <c r="C33" i="9"/>
  <c r="D33" i="9"/>
  <c r="C34" i="9"/>
  <c r="D34" i="9"/>
  <c r="C35" i="9"/>
  <c r="D35" i="9"/>
  <c r="H35" i="9"/>
  <c r="C36" i="9"/>
  <c r="D36" i="9"/>
  <c r="H36" i="9"/>
  <c r="B19" i="9"/>
  <c r="B20" i="9"/>
  <c r="B23" i="9"/>
  <c r="B24" i="9"/>
  <c r="B25" i="9"/>
  <c r="B26" i="9"/>
  <c r="B27" i="9"/>
  <c r="B28" i="9"/>
  <c r="B29" i="9"/>
  <c r="B30" i="9"/>
  <c r="B31" i="9"/>
  <c r="B32" i="9"/>
  <c r="B34" i="9"/>
  <c r="B35" i="9"/>
  <c r="B36" i="9"/>
  <c r="B17" i="9"/>
  <c r="B18" i="9"/>
  <c r="C7" i="9"/>
  <c r="D7" i="9"/>
  <c r="C8" i="9"/>
  <c r="D16" i="9"/>
  <c r="B8" i="9"/>
  <c r="B16" i="9"/>
  <c r="B7" i="9"/>
  <c r="E43" i="1"/>
  <c r="E41" i="1"/>
  <c r="V43" i="1"/>
  <c r="V41" i="1"/>
  <c r="V36" i="1"/>
  <c r="V35" i="1"/>
  <c r="Q23" i="1" l="1"/>
  <c r="Q34" i="1"/>
  <c r="F21" i="1"/>
  <c r="Q29" i="1"/>
  <c r="O54" i="10"/>
  <c r="V53" i="10"/>
  <c r="O46" i="10"/>
  <c r="K52" i="10"/>
  <c r="K54" i="10"/>
  <c r="O52" i="10"/>
  <c r="N47" i="10"/>
  <c r="N52" i="10" s="1"/>
  <c r="M47" i="10"/>
  <c r="M54" i="10" s="1"/>
  <c r="Q36" i="1"/>
  <c r="Q43" i="1"/>
  <c r="Q41" i="1"/>
  <c r="Q42" i="1"/>
  <c r="B42" i="1"/>
  <c r="C20" i="1"/>
  <c r="L17" i="1"/>
  <c r="I10" i="9" s="1"/>
  <c r="N17" i="1"/>
  <c r="C11" i="1"/>
  <c r="E16" i="9" l="1"/>
  <c r="F26" i="1"/>
  <c r="M52" i="10"/>
  <c r="N54" i="10"/>
  <c r="V16" i="1"/>
  <c r="M18" i="1"/>
  <c r="N15" i="1"/>
  <c r="K15" i="1"/>
  <c r="H8" i="9" s="1"/>
  <c r="L18" i="1"/>
  <c r="K18" i="1"/>
  <c r="H11" i="9" s="1"/>
  <c r="V15" i="1"/>
  <c r="M15" i="1"/>
  <c r="V17" i="1"/>
  <c r="M17" i="1"/>
  <c r="K17" i="1"/>
  <c r="H10" i="9" s="1"/>
  <c r="V18" i="1"/>
  <c r="N18" i="1"/>
  <c r="M19" i="1"/>
  <c r="W19" i="1"/>
  <c r="O19" i="1"/>
  <c r="N19" i="1"/>
  <c r="O16" i="1"/>
  <c r="N16" i="1"/>
  <c r="M16" i="1"/>
  <c r="C16" i="9"/>
  <c r="D8" i="9"/>
  <c r="W21" i="1" l="1"/>
  <c r="W23" i="1" s="1"/>
  <c r="L21" i="1"/>
  <c r="I16" i="9" s="1"/>
  <c r="I11" i="9"/>
  <c r="H7" i="9"/>
  <c r="K21" i="1"/>
  <c r="K26" i="1" s="1"/>
  <c r="N29" i="1"/>
  <c r="M29" i="1"/>
  <c r="O29" i="1"/>
  <c r="E21" i="1"/>
  <c r="H16" i="9" l="1"/>
  <c r="M42" i="1"/>
  <c r="M34" i="1"/>
  <c r="E42" i="1"/>
  <c r="U29" i="1"/>
  <c r="U42" i="1"/>
  <c r="U35" i="1"/>
  <c r="U41" i="1"/>
  <c r="U43" i="1"/>
  <c r="U34" i="1"/>
  <c r="U36" i="1"/>
  <c r="J42" i="1"/>
  <c r="J41" i="1" s="1"/>
  <c r="R29" i="1"/>
  <c r="R43" i="1"/>
  <c r="R34" i="1"/>
  <c r="R41" i="1"/>
  <c r="R36" i="1"/>
  <c r="R42" i="1"/>
  <c r="R35" i="1"/>
  <c r="T29" i="1"/>
  <c r="T41" i="1"/>
  <c r="T36" i="1"/>
  <c r="T42" i="1"/>
  <c r="T35" i="1"/>
  <c r="T43" i="1"/>
  <c r="T34" i="1"/>
  <c r="N34" i="1"/>
  <c r="N35" i="1" s="1"/>
  <c r="N42" i="1"/>
  <c r="G42" i="1"/>
  <c r="G43" i="1" s="1"/>
  <c r="W29" i="1"/>
  <c r="W34" i="1"/>
  <c r="W42" i="1"/>
  <c r="V29" i="1"/>
  <c r="V42" i="1"/>
  <c r="O42" i="1"/>
  <c r="O34" i="1"/>
  <c r="O35" i="1" s="1"/>
  <c r="H43" i="1"/>
  <c r="H42" i="1"/>
  <c r="H41" i="1"/>
  <c r="P29" i="1"/>
  <c r="P42" i="1"/>
  <c r="P34" i="1"/>
  <c r="P36" i="1" s="1"/>
  <c r="X43" i="1"/>
  <c r="X42" i="1"/>
  <c r="X36" i="1"/>
  <c r="X35" i="1"/>
  <c r="X41" i="1"/>
  <c r="X34" i="1"/>
  <c r="K34" i="1"/>
  <c r="H27" i="9" s="1"/>
  <c r="S29" i="1"/>
  <c r="S34" i="1"/>
  <c r="S41" i="1"/>
  <c r="S36" i="1"/>
  <c r="S42" i="1"/>
  <c r="S35" i="1"/>
  <c r="S43" i="1"/>
  <c r="I43" i="1"/>
  <c r="I42" i="1"/>
  <c r="I41" i="1"/>
  <c r="L34" i="1"/>
  <c r="I27" i="9" s="1"/>
  <c r="K33" i="1"/>
  <c r="H26" i="9" s="1"/>
  <c r="H28" i="9" s="1"/>
  <c r="L26" i="1"/>
  <c r="L33" i="1"/>
  <c r="I26" i="9" s="1"/>
  <c r="I28" i="9" s="1"/>
  <c r="G41" i="1" l="1"/>
  <c r="J43" i="1"/>
  <c r="M41" i="1"/>
  <c r="M43" i="1"/>
  <c r="K36" i="1"/>
  <c r="K41" i="1" s="1"/>
  <c r="H32" i="9" s="1"/>
  <c r="P41" i="1"/>
  <c r="W36" i="1"/>
  <c r="W43" i="1" s="1"/>
  <c r="O41" i="1"/>
  <c r="P35" i="1"/>
  <c r="L36" i="1"/>
  <c r="L43" i="1" s="1"/>
  <c r="I34" i="9" s="1"/>
  <c r="F34" i="1"/>
  <c r="E27" i="9" s="1"/>
  <c r="W35" i="1"/>
  <c r="P43" i="1"/>
  <c r="F33" i="1"/>
  <c r="E26" i="9" s="1"/>
  <c r="E28" i="9" s="1"/>
  <c r="F36" i="1" l="1"/>
  <c r="F43" i="1" s="1"/>
  <c r="E34" i="9" s="1"/>
  <c r="O43" i="1"/>
  <c r="K43" i="1"/>
  <c r="H34" i="9" s="1"/>
  <c r="W41" i="1"/>
  <c r="L41" i="1"/>
  <c r="I32" i="9" s="1"/>
  <c r="N43" i="1"/>
  <c r="N41" i="1"/>
  <c r="F41" i="1" l="1"/>
  <c r="E32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<sst xmlns="http://schemas.openxmlformats.org/spreadsheetml/2006/main" count="327" uniqueCount="121">
  <si>
    <t>BALANCE DE MATERIAS PRIMAS</t>
  </si>
  <si>
    <t>N</t>
  </si>
  <si>
    <t>P</t>
  </si>
  <si>
    <t>K</t>
  </si>
  <si>
    <t>CaO</t>
  </si>
  <si>
    <t>MgO</t>
  </si>
  <si>
    <t>S</t>
  </si>
  <si>
    <t>SiO2</t>
  </si>
  <si>
    <t>Zn</t>
  </si>
  <si>
    <t>B</t>
  </si>
  <si>
    <t>Mo</t>
  </si>
  <si>
    <t>Mn</t>
  </si>
  <si>
    <t>Cu</t>
  </si>
  <si>
    <t>Fe</t>
  </si>
  <si>
    <t>Co</t>
  </si>
  <si>
    <t>Na</t>
  </si>
  <si>
    <t>C</t>
  </si>
  <si>
    <t>MATERIA PRIMA</t>
  </si>
  <si>
    <t>kg / Ton</t>
  </si>
  <si>
    <t>%/100 kg</t>
  </si>
  <si>
    <t>N-tot</t>
  </si>
  <si>
    <t>N-NH4</t>
  </si>
  <si>
    <t>N-NO3</t>
  </si>
  <si>
    <t>N-org</t>
  </si>
  <si>
    <t>N-ur</t>
  </si>
  <si>
    <t>SUMA</t>
  </si>
  <si>
    <t>TOTAL</t>
  </si>
  <si>
    <t>SILICATO MG</t>
  </si>
  <si>
    <t>CaO-tot</t>
  </si>
  <si>
    <t>S-tot</t>
  </si>
  <si>
    <t>Fe-sol</t>
  </si>
  <si>
    <t>Mn-sol</t>
  </si>
  <si>
    <t>SiO2-sol</t>
  </si>
  <si>
    <t>P-as</t>
  </si>
  <si>
    <t>Zn-tot</t>
  </si>
  <si>
    <t>SiO2-tot</t>
  </si>
  <si>
    <t>Mo-sol</t>
  </si>
  <si>
    <t>Cu-sol</t>
  </si>
  <si>
    <t>MgO-tot</t>
  </si>
  <si>
    <t>K-sol</t>
  </si>
  <si>
    <t>Tolerancia permitida</t>
  </si>
  <si>
    <t>CERTIFICADO DE ANALISIS</t>
  </si>
  <si>
    <r>
      <rPr>
        <b/>
        <u/>
        <sz val="11"/>
        <color rgb="FF000000"/>
        <rFont val="Segoe UI"/>
        <family val="2"/>
      </rPr>
      <t>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sola o en mezcla con micronutrientes)</t>
    </r>
  </si>
  <si>
    <r>
      <rPr>
        <b/>
        <u/>
        <sz val="11"/>
        <color rgb="FF000000"/>
        <rFont val="Segoe UI"/>
        <family val="2"/>
      </rPr>
      <t>Secundarios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UNICAMENTE con Ca, Mg, S)</t>
    </r>
  </si>
  <si>
    <r>
      <t>Micronutrientes:</t>
    </r>
    <r>
      <rPr>
        <sz val="11"/>
        <color rgb="FF000000"/>
        <rFont val="Segoe UI"/>
        <family val="2"/>
      </rPr>
      <t xml:space="preserve"> Unicamente micronutrientes</t>
    </r>
  </si>
  <si>
    <r>
      <t>Micronutrientes:</t>
    </r>
    <r>
      <rPr>
        <sz val="11"/>
        <color rgb="FF000000"/>
        <rFont val="Segoe UI"/>
        <family val="2"/>
      </rPr>
      <t xml:space="preserve"> Mezcla con NPK o secundarios</t>
    </r>
  </si>
  <si>
    <t>*1 Resolución ICA 150 de 2003 ANEXO 11</t>
  </si>
  <si>
    <t>*2 NTC 1061:2020 ALCANCE: no aplica para organicos</t>
  </si>
  <si>
    <t xml:space="preserve">*3 NTC 1061:2020 4.1 </t>
  </si>
  <si>
    <t xml:space="preserve">*4 NTC 1061:2020 4.2.1 - 4.2.2 </t>
  </si>
  <si>
    <r>
      <rPr>
        <b/>
        <u/>
        <sz val="11"/>
        <color rgb="FF000000"/>
        <rFont val="Segoe UI"/>
        <family val="2"/>
      </rPr>
      <t>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¿El contenido está fuera de rango [4%-32%]?*</t>
    </r>
    <r>
      <rPr>
        <vertAlign val="superscript"/>
        <sz val="11"/>
        <color rgb="FF000000"/>
        <rFont val="Segoe UI"/>
        <family val="2"/>
      </rPr>
      <t>3</t>
    </r>
  </si>
  <si>
    <r>
      <t>CONTENIDOS MINIMOS*</t>
    </r>
    <r>
      <rPr>
        <vertAlign val="superscript"/>
        <sz val="11"/>
        <color theme="1"/>
        <rFont val="Noto Sans"/>
        <family val="2"/>
      </rPr>
      <t>1</t>
    </r>
  </si>
  <si>
    <t>NA</t>
  </si>
  <si>
    <t>Elemento</t>
  </si>
  <si>
    <t>npk</t>
  </si>
  <si>
    <t>sec-solo</t>
  </si>
  <si>
    <t>micro-solo</t>
  </si>
  <si>
    <t>micro-mezcla</t>
  </si>
  <si>
    <r>
      <t>TOLERANCIAS*</t>
    </r>
    <r>
      <rPr>
        <vertAlign val="superscript"/>
        <sz val="11"/>
        <color theme="1"/>
        <rFont val="Noto Sans"/>
        <family val="2"/>
      </rPr>
      <t>2</t>
    </r>
  </si>
  <si>
    <t>Calculo</t>
  </si>
  <si>
    <r>
      <rPr>
        <b/>
        <u/>
        <sz val="11"/>
        <color rgb="FF000000"/>
        <rFont val="Segoe UI"/>
        <family val="2"/>
      </rPr>
      <t>Secundarios y menores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¿La tolerancia supera el 50% o 1.5pp?*</t>
    </r>
    <r>
      <rPr>
        <vertAlign val="superscript"/>
        <sz val="11"/>
        <color rgb="FF000000"/>
        <rFont val="Segoe UI"/>
        <family val="2"/>
      </rPr>
      <t>4</t>
    </r>
  </si>
  <si>
    <t>Nitrogeno Total N</t>
  </si>
  <si>
    <t>Nitrogeno amoniacal</t>
  </si>
  <si>
    <t>Nitrogeno nitrico</t>
  </si>
  <si>
    <t>Nitrogeno organico</t>
  </si>
  <si>
    <t>Nitrogeno ureico</t>
  </si>
  <si>
    <t>Calcio CaO</t>
  </si>
  <si>
    <t>Fosforo asimilable P2O5</t>
  </si>
  <si>
    <t>Potasio soluble K2O</t>
  </si>
  <si>
    <t>Magnesio MgO</t>
  </si>
  <si>
    <t>Azufre S</t>
  </si>
  <si>
    <t>Boro B</t>
  </si>
  <si>
    <t>Cobalto Co</t>
  </si>
  <si>
    <t>Cobre Cu</t>
  </si>
  <si>
    <t>Hierro Fe</t>
  </si>
  <si>
    <t>Manganeso Mn</t>
  </si>
  <si>
    <t>Molibdeno Mo</t>
  </si>
  <si>
    <t>Silicio SiO2</t>
  </si>
  <si>
    <t>Zinc Zn</t>
  </si>
  <si>
    <t>Sodio Na</t>
  </si>
  <si>
    <t>Carbono organico total oxidable C</t>
  </si>
  <si>
    <t>ADITIVOS</t>
  </si>
  <si>
    <t>FORMULACION:</t>
  </si>
  <si>
    <t>Tolerancia Mínima NTC</t>
  </si>
  <si>
    <t>Tolerancia Máxima NTC</t>
  </si>
  <si>
    <t>DOLOMITA</t>
  </si>
  <si>
    <t>CARBONATO CA</t>
  </si>
  <si>
    <t>ROCA FOSFORICA</t>
  </si>
  <si>
    <t>SULFATO CA</t>
  </si>
  <si>
    <t>CARBONATO CALCIO - AGROCALES</t>
  </si>
  <si>
    <t>DOLOMITA - BOLIV. MINERALES</t>
  </si>
  <si>
    <t>SULFATO CALCIO - SANTA ROSA</t>
  </si>
  <si>
    <t>GRADO</t>
  </si>
  <si>
    <t>ROCA FOSFORICA - CALDEA</t>
  </si>
  <si>
    <t>SILICATO MAGNESIO - DISTRIMEZCLAS</t>
  </si>
  <si>
    <t>SI</t>
  </si>
  <si>
    <t>NO</t>
  </si>
  <si>
    <t>UREA_NUTRICION PLANTAS_G</t>
  </si>
  <si>
    <t>MAP_PRECISAGRO_G</t>
  </si>
  <si>
    <t>NUCLEO 4_CALFERQUIM_G</t>
  </si>
  <si>
    <t>KCL_NUTRICION PLANTAS_G</t>
  </si>
  <si>
    <t>SAM_PRECISAGRO_G</t>
  </si>
  <si>
    <t>CALFERQUIM * 13-5-27</t>
  </si>
  <si>
    <r>
      <rPr>
        <b/>
        <u/>
        <sz val="11"/>
        <color rgb="FF000000"/>
        <rFont val="Segoe UI"/>
        <family val="2"/>
      </rPr>
      <t>1) 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sola o en mezcla con micronutrientes)</t>
    </r>
  </si>
  <si>
    <r>
      <rPr>
        <b/>
        <u/>
        <sz val="11"/>
        <color rgb="FF000000"/>
        <rFont val="Segoe UI"/>
        <family val="2"/>
      </rPr>
      <t>2) Secundarios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UNICAMENTE con Ca, Mg, S)</t>
    </r>
  </si>
  <si>
    <r>
      <t>3) Micronutrientes:</t>
    </r>
    <r>
      <rPr>
        <sz val="11"/>
        <color rgb="FF000000"/>
        <rFont val="Segoe UI"/>
        <family val="2"/>
      </rPr>
      <t xml:space="preserve"> Unicamente micronutrientes</t>
    </r>
  </si>
  <si>
    <r>
      <t>4) Micronutrientes:</t>
    </r>
    <r>
      <rPr>
        <sz val="11"/>
        <color rgb="FF000000"/>
        <rFont val="Segoe UI"/>
        <family val="2"/>
      </rPr>
      <t xml:space="preserve"> Mezcla con NPK o secundarios</t>
    </r>
  </si>
  <si>
    <t>1) NPK (Formula sola o en mezcla con micronutrientes)</t>
  </si>
  <si>
    <t>CUMPLE</t>
  </si>
  <si>
    <t>SOLICITUD DE REGISTRO ICA</t>
  </si>
  <si>
    <r>
      <rPr>
        <b/>
        <u/>
        <sz val="11"/>
        <color rgb="FF000000"/>
        <rFont val="Segoe UI"/>
        <family val="2"/>
      </rPr>
      <t>1) 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¿El contenido está fuera de rango [4%-32%]?*</t>
    </r>
    <r>
      <rPr>
        <vertAlign val="superscript"/>
        <sz val="11"/>
        <color rgb="FF000000"/>
        <rFont val="Segoe UI"/>
        <family val="2"/>
      </rPr>
      <t>3</t>
    </r>
  </si>
  <si>
    <r>
      <rPr>
        <b/>
        <u/>
        <sz val="11"/>
        <color rgb="FF000000"/>
        <rFont val="Segoe UI"/>
        <family val="2"/>
      </rPr>
      <t>2) Secundarios y menores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¿La tolerancia supera el 50% o 1.5pp?*</t>
    </r>
    <r>
      <rPr>
        <vertAlign val="superscript"/>
        <sz val="11"/>
        <color rgb="FF000000"/>
        <rFont val="Segoe UI"/>
        <family val="2"/>
      </rPr>
      <t>4</t>
    </r>
  </si>
  <si>
    <t/>
  </si>
  <si>
    <t>CONTENIDOS MINIMOS*1</t>
  </si>
  <si>
    <t>TOLERANCIAS*2</t>
  </si>
  <si>
    <t>1) NPK ¿El contenido está fuera de rango [4%-32%]?*3</t>
  </si>
  <si>
    <t>UREA - NUTRICION PLANTAS</t>
  </si>
  <si>
    <t>MAP - PRECISAGRO</t>
  </si>
  <si>
    <t>NUCLEO 4 - CALFERQUIM</t>
  </si>
  <si>
    <t>KCL - NUTRICION PLANTAS</t>
  </si>
  <si>
    <t>SAM - PRECISAGRO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</si>
</sst>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14" x14ac:knownFonts="1">
    <font>
      <sz val="11"/>
      <color theme="1"/>
      <name val="Noto Sans"/>
      <family val="2"/>
    </font>
    <font>
      <sz val="11"/>
      <color theme="1"/>
      <name val="Noto Sans"/>
      <family val="2"/>
    </font>
    <font>
      <b/>
      <sz val="11"/>
      <color rgb="FF000000"/>
      <name val="Segoe UI"/>
      <family val="2"/>
    </font>
    <font>
      <b/>
      <u/>
      <sz val="11"/>
      <color rgb="FF000000"/>
      <name val="Segoe UI"/>
      <family val="2"/>
    </font>
    <font>
      <sz val="11"/>
      <color rgb="FF000000"/>
      <name val="Segoe UI"/>
      <family val="2"/>
    </font>
    <font>
      <vertAlign val="superscript"/>
      <sz val="11"/>
      <color theme="1"/>
      <name val="Noto Sans"/>
      <family val="2"/>
    </font>
    <font>
      <vertAlign val="superscript"/>
      <sz val="11"/>
      <color rgb="FF000000"/>
      <name val="Segoe UI"/>
      <family val="2"/>
    </font>
    <font>
      <sz val="8"/>
      <color theme="1"/>
      <name val="Noto Sans"/>
      <family val="2"/>
    </font>
    <font>
      <b/>
      <sz val="11"/>
      <color theme="1"/>
      <name val="Noto Sans"/>
      <family val="2"/>
    </font>
    <font>
      <sz val="9"/>
      <color theme="1"/>
      <name val="Noto Sans"/>
      <family val="2"/>
    </font>
    <font>
      <b/>
      <sz val="20"/>
      <color theme="1"/>
      <name val="Noto Sans"/>
      <family val="2"/>
    </font>
    <font>
      <sz val="12"/>
      <color theme="1"/>
      <name val="Noto Sans"/>
      <family val="2"/>
    </font>
    <font>
      <b/>
      <sz val="18"/>
      <color theme="1"/>
      <name val="Noto Sans"/>
      <family val="2"/>
    </font>
    <font>
      <b/>
      <sz val="12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99FF66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9" fontId="0" fillId="0" borderId="0" xfId="0" applyNumberFormat="1"/>
    <xf numFmtId="0" fontId="0" fillId="0" borderId="5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0" fontId="0" fillId="0" borderId="0" xfId="1" applyNumberFormat="1" applyFont="1" applyAlignment="1">
      <alignment vertical="center"/>
    </xf>
    <xf numFmtId="10" fontId="0" fillId="0" borderId="0" xfId="0" applyNumberFormat="1"/>
    <xf numFmtId="165" fontId="0" fillId="0" borderId="0" xfId="0" applyNumberFormat="1"/>
    <xf numFmtId="10" fontId="0" fillId="0" borderId="0" xfId="0" applyNumberFormat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/>
    </xf>
    <xf numFmtId="164" fontId="0" fillId="3" borderId="11" xfId="0" applyNumberFormat="1" applyFill="1" applyBorder="1" applyAlignment="1">
      <alignment horizontal="center" vertical="center"/>
    </xf>
    <xf numFmtId="164" fontId="0" fillId="3" borderId="7" xfId="0" applyNumberFormat="1" applyFill="1" applyBorder="1" applyAlignment="1">
      <alignment horizontal="center" vertical="center"/>
    </xf>
    <xf numFmtId="164" fontId="0" fillId="3" borderId="7" xfId="1" applyNumberFormat="1" applyFont="1" applyFill="1" applyBorder="1" applyAlignment="1">
      <alignment horizontal="center" vertical="center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8" fillId="3" borderId="0" xfId="0" applyFont="1" applyFill="1"/>
    <xf numFmtId="0" fontId="0" fillId="3" borderId="0" xfId="0" applyFill="1" applyAlignment="1">
      <alignment horizontal="center" vertical="center"/>
    </xf>
    <xf numFmtId="0" fontId="8" fillId="3" borderId="13" xfId="0" applyFont="1" applyFill="1" applyBorder="1"/>
    <xf numFmtId="0" fontId="0" fillId="3" borderId="5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3" borderId="23" xfId="0" applyFill="1" applyBorder="1"/>
    <xf numFmtId="0" fontId="0" fillId="3" borderId="24" xfId="0" applyFill="1" applyBorder="1"/>
    <xf numFmtId="0" fontId="0" fillId="3" borderId="20" xfId="0" applyFill="1" applyBorder="1" applyAlignment="1">
      <alignment horizontal="center" vertical="center"/>
    </xf>
    <xf numFmtId="0" fontId="0" fillId="3" borderId="20" xfId="0" applyFill="1" applyBorder="1"/>
    <xf numFmtId="0" fontId="8" fillId="3" borderId="20" xfId="0" applyFont="1" applyFill="1" applyBorder="1"/>
    <xf numFmtId="0" fontId="8" fillId="3" borderId="24" xfId="0" applyFont="1" applyFill="1" applyBorder="1"/>
    <xf numFmtId="0" fontId="0" fillId="3" borderId="25" xfId="0" applyFill="1" applyBorder="1"/>
    <xf numFmtId="0" fontId="0" fillId="3" borderId="26" xfId="0" applyFill="1" applyBorder="1"/>
    <xf numFmtId="0" fontId="0" fillId="3" borderId="26" xfId="0" applyFill="1" applyBorder="1" applyAlignment="1">
      <alignment horizontal="center"/>
    </xf>
    <xf numFmtId="0" fontId="0" fillId="3" borderId="27" xfId="0" applyFill="1" applyBorder="1"/>
    <xf numFmtId="0" fontId="0" fillId="3" borderId="20" xfId="0" applyFill="1" applyBorder="1" applyAlignment="1">
      <alignment vertical="center"/>
    </xf>
    <xf numFmtId="0" fontId="0" fillId="3" borderId="4" xfId="0" applyFill="1" applyBorder="1"/>
    <xf numFmtId="0" fontId="0" fillId="3" borderId="28" xfId="0" applyFill="1" applyBorder="1"/>
    <xf numFmtId="0" fontId="0" fillId="3" borderId="29" xfId="0" applyFill="1" applyBorder="1"/>
    <xf numFmtId="0" fontId="10" fillId="3" borderId="9" xfId="0" applyFont="1" applyFill="1" applyBorder="1" applyAlignment="1">
      <alignment horizontal="center" vertical="center"/>
    </xf>
    <xf numFmtId="0" fontId="0" fillId="3" borderId="21" xfId="0" applyFill="1" applyBorder="1"/>
    <xf numFmtId="0" fontId="8" fillId="2" borderId="5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vertic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9" fillId="3" borderId="0" xfId="0" applyFont="1" applyFill="1" applyAlignment="1">
      <alignment horizontal="left"/>
    </xf>
    <xf numFmtId="0" fontId="8" fillId="3" borderId="10" xfId="0" applyFont="1" applyFill="1" applyBorder="1" applyAlignment="1">
      <alignment horizontal="left"/>
    </xf>
    <xf numFmtId="0" fontId="8" fillId="3" borderId="11" xfId="0" applyFont="1" applyFill="1" applyBorder="1" applyAlignment="1">
      <alignment horizontal="left"/>
    </xf>
    <xf numFmtId="0" fontId="8" fillId="3" borderId="8" xfId="0" applyFont="1" applyFill="1" applyBorder="1" applyAlignment="1">
      <alignment horizontal="left"/>
    </xf>
    <xf numFmtId="0" fontId="8" fillId="3" borderId="7" xfId="0" applyFont="1" applyFill="1" applyBorder="1" applyAlignment="1">
      <alignment horizontal="left"/>
    </xf>
    <xf numFmtId="0" fontId="8" fillId="3" borderId="12" xfId="0" applyFont="1" applyFill="1" applyBorder="1" applyAlignment="1">
      <alignment horizontal="left"/>
    </xf>
    <xf numFmtId="0" fontId="8" fillId="3" borderId="30" xfId="0" applyFont="1" applyFill="1" applyBorder="1" applyAlignment="1">
      <alignment horizontal="center"/>
    </xf>
    <xf numFmtId="0" fontId="8" fillId="3" borderId="31" xfId="0" applyFont="1" applyFill="1" applyBorder="1" applyAlignment="1">
      <alignment horizontal="center"/>
    </xf>
    <xf numFmtId="164" fontId="8" fillId="3" borderId="5" xfId="1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4" xfId="0" applyBorder="1"/>
    <xf numFmtId="0" fontId="0" fillId="0" borderId="32" xfId="0" applyBorder="1"/>
    <xf numFmtId="9" fontId="0" fillId="0" borderId="33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3" borderId="10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164" fontId="11" fillId="3" borderId="5" xfId="0" applyNumberFormat="1" applyFont="1" applyFill="1" applyBorder="1" applyAlignment="1">
      <alignment horizontal="center" vertical="center"/>
    </xf>
    <xf numFmtId="0" fontId="0" fillId="3" borderId="0" xfId="0" applyFill="1" applyBorder="1" applyAlignment="1">
      <alignment horizontal="left"/>
    </xf>
    <xf numFmtId="164" fontId="0" fillId="3" borderId="0" xfId="0" applyNumberFormat="1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164" fontId="11" fillId="3" borderId="0" xfId="1" applyNumberFormat="1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left"/>
    </xf>
    <xf numFmtId="0" fontId="12" fillId="3" borderId="0" xfId="0" applyFont="1" applyFill="1" applyAlignment="1">
      <alignment horizontal="left"/>
    </xf>
    <xf numFmtId="164" fontId="12" fillId="3" borderId="0" xfId="0" applyNumberFormat="1" applyFont="1" applyFill="1" applyAlignment="1">
      <alignment horizontal="center" vertical="center"/>
    </xf>
    <xf numFmtId="0" fontId="11" fillId="3" borderId="4" xfId="0" applyFont="1" applyFill="1" applyBorder="1"/>
    <xf numFmtId="0" fontId="11" fillId="3" borderId="15" xfId="0" applyFont="1" applyFill="1" applyBorder="1" applyAlignment="1">
      <alignment horizontal="center"/>
    </xf>
    <xf numFmtId="0" fontId="11" fillId="3" borderId="19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8" fillId="3" borderId="0" xfId="0" applyFont="1" applyFill="1" applyBorder="1" applyAlignment="1">
      <alignment horizontal="left"/>
    </xf>
    <xf numFmtId="164" fontId="0" fillId="3" borderId="12" xfId="0" applyNumberFormat="1" applyFill="1" applyBorder="1" applyAlignment="1">
      <alignment horizontal="center" vertical="center"/>
    </xf>
    <xf numFmtId="164" fontId="0" fillId="3" borderId="6" xfId="1" applyNumberFormat="1" applyFont="1" applyFill="1" applyBorder="1" applyAlignment="1">
      <alignment horizontal="center" vertical="center"/>
    </xf>
    <xf numFmtId="10" fontId="0" fillId="3" borderId="11" xfId="0" applyNumberFormat="1" applyFill="1" applyBorder="1" applyAlignment="1">
      <alignment horizontal="center" vertical="center"/>
    </xf>
    <xf numFmtId="10" fontId="0" fillId="3" borderId="11" xfId="1" applyNumberFormat="1" applyFont="1" applyFill="1" applyBorder="1" applyAlignment="1">
      <alignment horizontal="center"/>
    </xf>
    <xf numFmtId="10" fontId="0" fillId="3" borderId="11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0" fontId="0" fillId="3" borderId="7" xfId="0" applyNumberFormat="1" applyFill="1" applyBorder="1" applyAlignment="1">
      <alignment horizontal="center"/>
    </xf>
    <xf numFmtId="164" fontId="12" fillId="3" borderId="0" xfId="1" applyNumberFormat="1" applyFont="1" applyFill="1" applyAlignment="1">
      <alignment horizontal="center" vertical="center"/>
    </xf>
    <xf numFmtId="164" fontId="8" fillId="3" borderId="11" xfId="1" applyNumberFormat="1" applyFont="1" applyFill="1" applyBorder="1" applyAlignment="1">
      <alignment horizontal="center"/>
    </xf>
    <xf numFmtId="164" fontId="8" fillId="3" borderId="7" xfId="1" applyNumberFormat="1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 vertical="center"/>
    </xf>
    <xf numFmtId="164" fontId="13" fillId="3" borderId="5" xfId="0" applyNumberFormat="1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/>
    </xf>
    <xf numFmtId="164" fontId="8" fillId="3" borderId="7" xfId="1" applyNumberFormat="1" applyFont="1" applyFill="1" applyBorder="1" applyAlignment="1">
      <alignment horizontal="center" vertical="center"/>
    </xf>
    <xf numFmtId="164" fontId="8" fillId="3" borderId="6" xfId="1" applyNumberFormat="1" applyFont="1" applyFill="1" applyBorder="1" applyAlignment="1">
      <alignment horizontal="center" vertical="center"/>
    </xf>
    <xf numFmtId="164" fontId="8" fillId="3" borderId="10" xfId="1" applyNumberFormat="1" applyFont="1" applyFill="1" applyBorder="1" applyAlignment="1">
      <alignment horizontal="center"/>
    </xf>
    <xf numFmtId="164" fontId="8" fillId="3" borderId="8" xfId="1" applyNumberFormat="1" applyFont="1" applyFill="1" applyBorder="1" applyAlignment="1">
      <alignment horizontal="center"/>
    </xf>
    <xf numFmtId="164" fontId="0" fillId="3" borderId="6" xfId="0" applyNumberFormat="1" applyFill="1" applyBorder="1" applyAlignment="1">
      <alignment horizontal="center" vertical="center"/>
    </xf>
    <xf numFmtId="10" fontId="0" fillId="3" borderId="10" xfId="1" applyNumberFormat="1" applyFont="1" applyFill="1" applyBorder="1" applyAlignment="1">
      <alignment horizontal="center"/>
    </xf>
    <xf numFmtId="10" fontId="0" fillId="3" borderId="12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10" fontId="0" fillId="3" borderId="8" xfId="0" applyNumberFormat="1" applyFill="1" applyBorder="1" applyAlignment="1">
      <alignment horizontal="center"/>
    </xf>
    <xf numFmtId="10" fontId="0" fillId="3" borderId="6" xfId="0" applyNumberFormat="1" applyFill="1" applyBorder="1" applyAlignment="1">
      <alignment horizontal="center"/>
    </xf>
    <xf numFmtId="0" fontId="12" fillId="3" borderId="13" xfId="0" applyFont="1" applyFill="1" applyBorder="1" applyAlignment="1">
      <alignment horizontal="left"/>
    </xf>
    <xf numFmtId="0" fontId="12" fillId="3" borderId="5" xfId="0" applyFont="1" applyFill="1" applyBorder="1" applyAlignment="1">
      <alignment horizontal="left"/>
    </xf>
    <xf numFmtId="164" fontId="12" fillId="3" borderId="13" xfId="1" applyNumberFormat="1" applyFont="1" applyFill="1" applyBorder="1" applyAlignment="1">
      <alignment horizontal="center" vertical="center"/>
    </xf>
    <xf numFmtId="164" fontId="12" fillId="3" borderId="5" xfId="0" applyNumberFormat="1" applyFont="1" applyFill="1" applyBorder="1" applyAlignment="1">
      <alignment horizontal="center" vertical="center"/>
    </xf>
    <xf numFmtId="164" fontId="12" fillId="3" borderId="14" xfId="0" applyNumberFormat="1" applyFont="1" applyFill="1" applyBorder="1" applyAlignment="1">
      <alignment horizontal="center" vertical="center"/>
    </xf>
    <xf numFmtId="164" fontId="11" fillId="3" borderId="13" xfId="0" applyNumberFormat="1" applyFont="1" applyFill="1" applyBorder="1" applyAlignment="1">
      <alignment horizontal="center" vertical="center"/>
    </xf>
    <xf numFmtId="164" fontId="11" fillId="3" borderId="14" xfId="0" applyNumberFormat="1" applyFont="1" applyFill="1" applyBorder="1" applyAlignment="1">
      <alignment horizontal="center" vertical="center"/>
    </xf>
    <xf numFmtId="164" fontId="11" fillId="3" borderId="3" xfId="1" applyNumberFormat="1" applyFont="1" applyFill="1" applyBorder="1" applyAlignment="1">
      <alignment horizontal="center" vertical="center"/>
    </xf>
    <xf numFmtId="0" fontId="0" fillId="3" borderId="35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64" fontId="8" fillId="3" borderId="14" xfId="1" applyNumberFormat="1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0" fillId="3" borderId="37" xfId="0" applyFill="1" applyBorder="1" applyAlignment="1">
      <alignment horizontal="center"/>
    </xf>
    <xf numFmtId="0" fontId="11" fillId="3" borderId="8" xfId="0" applyFont="1" applyFill="1" applyBorder="1"/>
    <xf numFmtId="0" fontId="11" fillId="3" borderId="38" xfId="0" applyFont="1" applyFill="1" applyBorder="1" applyAlignment="1">
      <alignment horizontal="center"/>
    </xf>
    <xf numFmtId="0" fontId="11" fillId="3" borderId="39" xfId="0" applyFont="1" applyFill="1" applyBorder="1" applyAlignment="1">
      <alignment horizontal="center"/>
    </xf>
    <xf numFmtId="164" fontId="11" fillId="3" borderId="7" xfId="1" applyNumberFormat="1" applyFont="1" applyFill="1" applyBorder="1" applyAlignment="1">
      <alignment horizontal="center" vertical="center"/>
    </xf>
    <xf numFmtId="164" fontId="11" fillId="3" borderId="6" xfId="1" applyNumberFormat="1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204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center" textRotation="0" wrapText="0" indent="0" justifyLastLine="0" shrinkToFit="0" readingOrder="0"/>
      <border outline="0">
        <right style="thin">
          <color rgb="FFBFBFBF"/>
        </right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top style="medium">
          <color indexed="64"/>
        </top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top style="medium">
          <color indexed="64"/>
        </top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general" vertical="center" textRotation="0" wrapText="0" indent="0" justifyLastLine="0" shrinkToFit="0" readingOrder="0"/>
    </dxf>
    <dxf>
      <border outline="0">
        <left style="medium">
          <color rgb="FF000000"/>
        </left>
        <top style="medium">
          <color rgb="FF000000"/>
        </top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general" vertical="center" textRotation="0" wrapText="0" indent="0" justifyLastLine="0" shrinkToFit="0" readingOrder="0"/>
    </dxf>
    <dxf>
      <border outline="0">
        <left style="medium">
          <color rgb="FF000000"/>
        </left>
        <top style="medium">
          <color rgb="FF000000"/>
        </top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</dxfs>
  <tableStyles count="0" defaultTableStyle="TableStyleMedium2" defaultPivotStyle="PivotStyleLight16"/>
  <colors>
    <mruColors>
      <color rgb="FFBFBFBF"/>
      <color rgb="FF99FF66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2684928</xdr:colOff>
      <xdr:row>0</xdr:row>
      <xdr:rowOff>224116</xdr:rowOff>
    </xdr:from>
    <xdr:ext cx="1471435" cy="841289"/>
    <xdr:pic>
      <xdr:nvPicPr>
        <xdr:cNvPr id="2" name="Picture 1">
          <a:extLst>
            <a:ext uri="{FF2B5EF4-FFF2-40B4-BE49-F238E27FC236}">
              <a16:creationId xmlns:a16="http://schemas.microsoft.com/office/drawing/2014/main" id="{22A43026-A6FC-421B-A0DF-7319D21EA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3746" y="224116"/>
          <a:ext cx="1471435" cy="84128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2684929</xdr:colOff>
      <xdr:row>0</xdr:row>
      <xdr:rowOff>224117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A91DA1D4-EE87-49A9-8BAE-83B451C1E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5954" y="22411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C6415B-9029-4BCC-BD87-512B5AFD43EA}" name="Tabla13" displayName="Tabla13" ref="B5:X10" totalsRowShown="0" headerRowDxfId="153" dataDxfId="152" tableBorderDxfId="151">
  <autoFilter ref="B5:X10" xr:uid="{7A4871D2-8D07-49EE-AD4B-16462215FE60}"/>
  <sortState xmlns:xlrd2="http://schemas.microsoft.com/office/spreadsheetml/2017/richdata2" ref="B6:X10">
    <sortCondition ref="B5:B10"/>
  </sortState>
  <tableColumns count="23">
    <tableColumn id="1" xr3:uid="{FE16466D-C02E-42BC-8FED-2B1022C35FEE}" name="MATERIA PRIMA" dataDxfId="150"/>
    <tableColumn id="2" xr3:uid="{E4AD26E7-FAB8-409E-BB2B-35ED67C93DBF}" name="kg / Ton" dataDxfId="149"/>
    <tableColumn id="3" xr3:uid="{0D447FA6-5768-4824-936E-0419994BCD23}" name="%/100 kg" dataDxfId="148">
      <calculatedColumnFormula>C6/10</calculatedColumnFormula>
    </tableColumn>
    <tableColumn id="4" xr3:uid="{619560A2-2CC0-4E7C-BF21-3A65E35B7CDE}" name="C" dataDxfId="147"/>
    <tableColumn id="5" xr3:uid="{9B4825E7-5E3F-4072-878D-58F416D3500E}" name="N" dataDxfId="146"/>
    <tableColumn id="6" xr3:uid="{6A3B38B0-EC32-4D1D-9529-CF6479A32621}" name="N-NH4" dataDxfId="145"/>
    <tableColumn id="7" xr3:uid="{259F8910-59E2-4F46-9415-88E684CF5E6F}" name="N-NO3" dataDxfId="144"/>
    <tableColumn id="8" xr3:uid="{59A4F819-44C6-4761-A640-B9F28B3A1D5F}" name="N-org" dataDxfId="143"/>
    <tableColumn id="9" xr3:uid="{03C6BB3F-0268-4EA9-ADF0-7434608FBA6E}" name="N-ur" dataDxfId="142"/>
    <tableColumn id="10" xr3:uid="{6B3CD03E-196B-48BA-89C7-87814963950B}" name="P" dataDxfId="141"/>
    <tableColumn id="11" xr3:uid="{F0CF96D0-E2F7-4C33-8AEE-45A5CA4354E9}" name="K" dataDxfId="140"/>
    <tableColumn id="12" xr3:uid="{3D94852D-1D10-4623-A294-F92EA276BF1C}" name="CaO" dataDxfId="139"/>
    <tableColumn id="13" xr3:uid="{7605BED5-A648-46B1-9C1F-6DFF8B863ABB}" name="MgO" dataDxfId="138"/>
    <tableColumn id="14" xr3:uid="{A70B5317-B2BF-44DD-BD2E-510573964E04}" name="S" dataDxfId="137"/>
    <tableColumn id="15" xr3:uid="{CE96A841-8A09-4153-9937-C03829579426}" name="B" dataDxfId="136"/>
    <tableColumn id="16" xr3:uid="{931C0FD5-42DA-4A67-954E-10297B5D764F}" name="Co" dataDxfId="135"/>
    <tableColumn id="17" xr3:uid="{F3431B86-3A50-44F4-805D-4035C2091B27}" name="Cu" dataDxfId="134"/>
    <tableColumn id="18" xr3:uid="{3CE031D4-EB22-4C6C-92F9-A29DE779C25A}" name="Fe" dataDxfId="133"/>
    <tableColumn id="19" xr3:uid="{6651F57E-DEF6-4F31-98EB-7A19A729163E}" name="Mn" dataDxfId="132"/>
    <tableColumn id="20" xr3:uid="{C29D9192-C7BA-4E90-82A6-D39E76382AA2}" name="Mo" dataDxfId="131"/>
    <tableColumn id="21" xr3:uid="{7660A5EC-D9E4-4618-9D92-45EE30BBFB53}" name="SiO2" dataDxfId="130"/>
    <tableColumn id="22" xr3:uid="{29BF4812-58A7-4A89-BEC7-468E41DA1161}" name="Zn" dataDxfId="129"/>
    <tableColumn id="23" xr3:uid="{8B99F2DC-0814-4E72-B055-E38A2F8DB2AB}" name="Na" dataDxfId="12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09C089-344A-4D64-A135-918E51AB1957}" name="Tabla35" displayName="Tabla35" ref="B14:X19" totalsRowShown="0" headerRowDxfId="127" dataDxfId="126" tableBorderDxfId="125">
  <autoFilter ref="B14:X19" xr:uid="{4DD371C1-AC22-40A7-AC1A-839AD12BBCE9}"/>
  <sortState xmlns:xlrd2="http://schemas.microsoft.com/office/spreadsheetml/2017/richdata2" ref="B15:X19">
    <sortCondition ref="B14:B19"/>
  </sortState>
  <tableColumns count="23">
    <tableColumn id="1" xr3:uid="{BE01719C-A1FF-4084-8B98-CA01B80A888D}" name="MATERIA PRIMA" dataDxfId="124"/>
    <tableColumn id="2" xr3:uid="{5280BFCC-AD62-496A-AB70-4C0A7BD6F1D6}" name="kg / Ton" dataDxfId="123"/>
    <tableColumn id="3" xr3:uid="{8DFD989F-C7CC-41FF-A7B5-E9023F4D5EAE}" name="%/100 kg" dataDxfId="122">
      <calculatedColumnFormula>C15/10</calculatedColumnFormula>
    </tableColumn>
    <tableColumn id="4" xr3:uid="{22376DFE-9366-440C-B70D-33C6B1BB5828}" name="Carbono organico total oxidable C" dataDxfId="121">
      <calculatedColumnFormula>IF(E6="","",E6*$D6/$D$11)</calculatedColumnFormula>
    </tableColumn>
    <tableColumn id="5" xr3:uid="{245D14E7-1F00-442C-9896-973F2238C322}" name="Nitrogeno Total N" dataDxfId="120">
      <calculatedColumnFormula>IF(F6="","",SUM(G15:J15))</calculatedColumnFormula>
    </tableColumn>
    <tableColumn id="6" xr3:uid="{ACDAA8FE-E513-473E-B822-F0D876626075}" name="Nitrogeno amoniacal" dataDxfId="119">
      <calculatedColumnFormula>IF(G6="","",G6*$D6/$D$11)</calculatedColumnFormula>
    </tableColumn>
    <tableColumn id="7" xr3:uid="{C367BD94-EE42-4622-AF2B-26F2E62EBD29}" name="Nitrogeno nitrico" dataDxfId="118">
      <calculatedColumnFormula>IF(H6="","",H6*$D6/$D$11)</calculatedColumnFormula>
    </tableColumn>
    <tableColumn id="8" xr3:uid="{08945F5B-9E80-42E8-A3FB-351D21174174}" name="Nitrogeno organico" dataDxfId="117">
      <calculatedColumnFormula>IF(I6="","",I6*$D6/$D$11)</calculatedColumnFormula>
    </tableColumn>
    <tableColumn id="9" xr3:uid="{0370233D-0D75-487D-AFA2-BE95E3656431}" name="Nitrogeno ureico" dataDxfId="116">
      <calculatedColumnFormula>IF(J6="","",J6*$D6/$D$11)</calculatedColumnFormula>
    </tableColumn>
    <tableColumn id="10" xr3:uid="{9511485F-3665-4B46-A702-EE48E8D78B36}" name="Fosforo asimilable P2O5" dataDxfId="115">
      <calculatedColumnFormula>IF(K6="","",K6*$D6/$D$11)</calculatedColumnFormula>
    </tableColumn>
    <tableColumn id="11" xr3:uid="{B53F4D1B-229D-4108-887F-29D14475C937}" name="Potasio soluble K2O" dataDxfId="114">
      <calculatedColumnFormula>IF(L6="","",L6*$D6/$D$11)</calculatedColumnFormula>
    </tableColumn>
    <tableColumn id="12" xr3:uid="{01970912-EF55-43E4-A25F-B6C31B467819}" name="Calcio CaO" dataDxfId="113">
      <calculatedColumnFormula>IF(M6="","",M6*$D6/$D$11)</calculatedColumnFormula>
    </tableColumn>
    <tableColumn id="13" xr3:uid="{17D44072-3396-438F-96AC-9F7F45252BF3}" name="Magnesio MgO" dataDxfId="112">
      <calculatedColumnFormula>IF(N6="","",N6*$D6/$D$11)</calculatedColumnFormula>
    </tableColumn>
    <tableColumn id="14" xr3:uid="{18A74082-117D-4693-A457-96B79B34CD95}" name="Azufre S" dataDxfId="111">
      <calculatedColumnFormula>IF(O6="","",O6*$D6/$D$11)</calculatedColumnFormula>
    </tableColumn>
    <tableColumn id="15" xr3:uid="{34BB40FA-C40B-4537-A638-B4209D96A643}" name="Boro B" dataDxfId="110">
      <calculatedColumnFormula>IF(P6="","",P6*$D6/$D$11)</calculatedColumnFormula>
    </tableColumn>
    <tableColumn id="16" xr3:uid="{C0278A56-15C5-49F0-83CD-17A4053A3AC2}" name="Cobalto Co" dataDxfId="109">
      <calculatedColumnFormula>IF(Q6="","",Q6*$D6/$D$11)</calculatedColumnFormula>
    </tableColumn>
    <tableColumn id="17" xr3:uid="{24839AA8-89BF-472B-AABC-7D01A3DA99BF}" name="Cobre Cu" dataDxfId="108">
      <calculatedColumnFormula>IF(R6="","",R6*$D6/$D$11)</calculatedColumnFormula>
    </tableColumn>
    <tableColumn id="18" xr3:uid="{0907A053-73E7-4D55-8B75-7844B8B2C961}" name="Hierro Fe" dataDxfId="107">
      <calculatedColumnFormula>IF(S6="","",S6*$D6/$D$11)</calculatedColumnFormula>
    </tableColumn>
    <tableColumn id="19" xr3:uid="{A77BDDB0-F0DA-441A-9B61-7EE95E2DFE19}" name="Manganeso Mn" dataDxfId="106">
      <calculatedColumnFormula>IF(T6="","",T6*$D6/$D$11)</calculatedColumnFormula>
    </tableColumn>
    <tableColumn id="20" xr3:uid="{CACA4988-B808-4F8A-850F-625AC4F4F1C7}" name="Molibdeno Mo" dataDxfId="105">
      <calculatedColumnFormula>IF(U6="","",U6*$D6/$D$11)</calculatedColumnFormula>
    </tableColumn>
    <tableColumn id="21" xr3:uid="{6814FCBD-2563-4E98-8DEE-E4677A605D7C}" name="Silicio SiO2" dataDxfId="104">
      <calculatedColumnFormula>IF(V6="","",V6*$D6/$D$11)</calculatedColumnFormula>
    </tableColumn>
    <tableColumn id="22" xr3:uid="{3D0F0061-6CEC-4D4C-ADB4-5948A9DA1ED1}" name="Zinc Zn" dataDxfId="103">
      <calculatedColumnFormula>IF(W6="","",W6*$D6/$D$11)</calculatedColumnFormula>
    </tableColumn>
    <tableColumn id="23" xr3:uid="{4B729A7C-795D-4A85-9372-ED0B82920F6C}" name="Sodio Na" dataDxfId="102">
      <calculatedColumnFormula>IF(X6="","",X6*$D6/$D$11)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4871D2-8D07-49EE-AD4B-16462215FE60}" name="Tabla1" displayName="Tabla1" ref="B5:X10" totalsRowShown="0" headerRowDxfId="61" dataDxfId="60" tableBorderDxfId="59">
  <autoFilter ref="B5:X10" xr:uid="{7A4871D2-8D07-49EE-AD4B-16462215FE60}"/>
  <sortState xmlns:xlrd2="http://schemas.microsoft.com/office/spreadsheetml/2017/richdata2" ref="B6:X10">
    <sortCondition ref="B5:B10"/>
  </sortState>
  <tableColumns count="23">
    <tableColumn id="1" xr3:uid="{CB5A40A4-A802-418C-B1A1-43DD25EC4586}" name="MATERIA PRIMA" dataDxfId="58"/>
    <tableColumn id="2" xr3:uid="{3C39AAE8-6E59-4498-B8D8-1AD8CBE4FB6E}" name="kg / Ton" dataDxfId="57"/>
    <tableColumn id="3" xr3:uid="{194E5AD3-5078-407E-BE15-F60133B18E03}" name="%/100 kg" dataDxfId="56">
      <calculatedColumnFormula>Tabla1[[#This Row],[kg / Ton]]/10</calculatedColumnFormula>
    </tableColumn>
    <tableColumn id="4" xr3:uid="{DD106BFB-3779-4E61-88A3-DE0F3769AF64}" name="C" dataDxfId="55"/>
    <tableColumn id="5" xr3:uid="{A25E79BB-E72B-4040-88EE-AB6D91BB17FD}" name="N" dataDxfId="54"/>
    <tableColumn id="6" xr3:uid="{867AA088-E0C2-4889-A204-0191CB20AB18}" name="N-NH4" dataDxfId="53"/>
    <tableColumn id="7" xr3:uid="{7B717883-4D8C-4BBA-8DD5-31BD844C2735}" name="N-NO3" dataDxfId="52"/>
    <tableColumn id="8" xr3:uid="{39CB15B0-DF24-4D94-8CD4-BA797AEB6D24}" name="N-org" dataDxfId="51"/>
    <tableColumn id="9" xr3:uid="{A2CF33EC-D2D2-4403-8A81-53CC245054F6}" name="N-ur" dataDxfId="50"/>
    <tableColumn id="10" xr3:uid="{1481B044-8B25-4C0F-ABC2-C75450BE2366}" name="P" dataDxfId="49"/>
    <tableColumn id="11" xr3:uid="{49CE00DA-7EEC-49B3-A144-431FC59D11EA}" name="K" dataDxfId="48"/>
    <tableColumn id="12" xr3:uid="{AD61735A-2B87-4EA8-8949-6F6E1BFCFB51}" name="CaO" dataDxfId="47"/>
    <tableColumn id="13" xr3:uid="{4B8F4FE2-4FC2-4EB4-B3BA-06D1CF97E040}" name="MgO" dataDxfId="46"/>
    <tableColumn id="14" xr3:uid="{3E447D4C-0CC4-4F59-A765-EE6FC199956B}" name="S" dataDxfId="45"/>
    <tableColumn id="15" xr3:uid="{9DF1D102-448B-4C8F-B6F2-FF091E1FA359}" name="B" dataDxfId="44"/>
    <tableColumn id="16" xr3:uid="{F81FB734-7303-4E0F-8E14-57AA4C24A998}" name="Co" dataDxfId="43"/>
    <tableColumn id="17" xr3:uid="{7CED55D7-63C4-4DF5-9754-FEB353BB2A63}" name="Cu" dataDxfId="42"/>
    <tableColumn id="18" xr3:uid="{F0C31384-7C63-456B-A8D5-E022639D47FD}" name="Fe" dataDxfId="41"/>
    <tableColumn id="19" xr3:uid="{CC8D6B33-569C-40DC-8F73-26F61D07EDDA}" name="Mn" dataDxfId="40"/>
    <tableColumn id="20" xr3:uid="{5E1B23C7-80EA-4D8C-B66A-5DCE7424ED6B}" name="Mo" dataDxfId="39"/>
    <tableColumn id="21" xr3:uid="{F3E94185-4EF2-4032-B0BD-0954437A6B54}" name="SiO2" dataDxfId="38"/>
    <tableColumn id="22" xr3:uid="{B45273D2-E89B-42B9-9F3C-7D1D95CCC0A8}" name="Zn" dataDxfId="37"/>
    <tableColumn id="23" xr3:uid="{D78A9558-C941-48AB-BB68-2AFB36A00F71}" name="Na" dataDxfId="36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D371C1-AC22-40A7-AC1A-839AD12BBCE9}" name="Tabla3" displayName="Tabla3" ref="B14:X19" totalsRowShown="0" headerRowDxfId="35" dataDxfId="34" tableBorderDxfId="33">
  <autoFilter ref="B14:X19" xr:uid="{4DD371C1-AC22-40A7-AC1A-839AD12BBCE9}"/>
  <sortState xmlns:xlrd2="http://schemas.microsoft.com/office/spreadsheetml/2017/richdata2" ref="B15:X19">
    <sortCondition ref="B14:B19"/>
  </sortState>
  <tableColumns count="23">
    <tableColumn id="1" xr3:uid="{50E112B0-B29B-43F8-A0DB-D855F478ACEF}" name="MATERIA PRIMA" dataDxfId="32"/>
    <tableColumn id="2" xr3:uid="{473AC290-D61E-45BC-97C6-D6FC91CD67FA}" name="kg / Ton" dataDxfId="31">
      <calculatedColumnFormula>C6</calculatedColumnFormula>
    </tableColumn>
    <tableColumn id="3" xr3:uid="{8D20BD95-D74B-4DB3-8DB4-407B9B2E9B27}" name="%/100 kg" dataDxfId="30">
      <calculatedColumnFormula>D6</calculatedColumnFormula>
    </tableColumn>
    <tableColumn id="4" xr3:uid="{69256D7A-AE4C-406E-8864-5687E8BA3FC9}" name="Carbono organico total oxidable C" dataDxfId="29">
      <calculatedColumnFormula>IF(E6="","",E6*$D6/$D$11)</calculatedColumnFormula>
    </tableColumn>
    <tableColumn id="5" xr3:uid="{F64193B8-E971-46C2-9E47-C832381FF3F0}" name="Nitrogeno Total N" dataDxfId="28">
      <calculatedColumnFormula>IF(F6="","",SUM(G15:J15))</calculatedColumnFormula>
    </tableColumn>
    <tableColumn id="6" xr3:uid="{2F93B972-8FE3-4CFB-83EF-EA17748433FA}" name="Nitrogeno amoniacal" dataDxfId="27">
      <calculatedColumnFormula>IF(G6="","",G6*$D6/$D$11)</calculatedColumnFormula>
    </tableColumn>
    <tableColumn id="7" xr3:uid="{056FC5A3-A6F9-4CBB-BE6C-DA239185B165}" name="Nitrogeno nitrico" dataDxfId="26">
      <calculatedColumnFormula>IF(H6="","",H6*$D6/$D$11)</calculatedColumnFormula>
    </tableColumn>
    <tableColumn id="8" xr3:uid="{3DA02661-D30B-4A75-AE60-BE7EAB1C5D44}" name="Nitrogeno organico" dataDxfId="25">
      <calculatedColumnFormula>IF(I6="","",I6*$D6/$D$11)</calculatedColumnFormula>
    </tableColumn>
    <tableColumn id="9" xr3:uid="{D60D2F1E-5691-4801-B730-C9F4C46F5D1D}" name="Nitrogeno ureico" dataDxfId="24">
      <calculatedColumnFormula>IF(J6="","",J6*$D6/$D$11)</calculatedColumnFormula>
    </tableColumn>
    <tableColumn id="10" xr3:uid="{FC2F4D60-66FB-4F4C-8668-30D89A3E8F79}" name="Fosforo asimilable P2O5" dataDxfId="23">
      <calculatedColumnFormula>IF(K6="","",K6*$D6/$D$11)</calculatedColumnFormula>
    </tableColumn>
    <tableColumn id="11" xr3:uid="{8972FA9A-2561-46D0-8358-2F61D6675978}" name="Potasio soluble K2O" dataDxfId="22">
      <calculatedColumnFormula>IF(L6="","",L6*$D6/$D$11)</calculatedColumnFormula>
    </tableColumn>
    <tableColumn id="12" xr3:uid="{EB2F655B-CBEF-4570-BEB3-031213A78565}" name="Calcio CaO" dataDxfId="21">
      <calculatedColumnFormula>IF(M6="","",M6*$D6/$D$11)</calculatedColumnFormula>
    </tableColumn>
    <tableColumn id="13" xr3:uid="{4CDE0476-FD74-4CCE-AFD1-16F2FA50B7FA}" name="Magnesio MgO" dataDxfId="20">
      <calculatedColumnFormula>IF(N6="","",N6*$D6/$D$11)</calculatedColumnFormula>
    </tableColumn>
    <tableColumn id="14" xr3:uid="{2119CD73-F628-4720-8333-2E9B5518BC08}" name="Azufre S" dataDxfId="19">
      <calculatedColumnFormula>IF(O6="","",O6*$D6/$D$11)</calculatedColumnFormula>
    </tableColumn>
    <tableColumn id="15" xr3:uid="{1695EEF4-9ACB-483D-9474-12A09506A03F}" name="Boro B" dataDxfId="18">
      <calculatedColumnFormula>IF(P6="","",P6*$D6/$D$11)</calculatedColumnFormula>
    </tableColumn>
    <tableColumn id="16" xr3:uid="{6572A907-3065-4877-BFF4-8E526FC1C8A8}" name="Cobalto Co" dataDxfId="17">
      <calculatedColumnFormula>IF(Q6="","",Q6*$D6/$D$11)</calculatedColumnFormula>
    </tableColumn>
    <tableColumn id="17" xr3:uid="{4156BD90-6446-40D6-A69A-D44A2E73A643}" name="Cobre Cu" dataDxfId="16">
      <calculatedColumnFormula>IF(R6="","",R6*$D6/$D$11)</calculatedColumnFormula>
    </tableColumn>
    <tableColumn id="18" xr3:uid="{C8446AF2-81A8-4478-B4EC-4145BD4B6FFC}" name="Hierro Fe" dataDxfId="15">
      <calculatedColumnFormula>IF(S6="","",S6*$D6/$D$11)</calculatedColumnFormula>
    </tableColumn>
    <tableColumn id="19" xr3:uid="{2A71B305-FB09-44D7-9B99-5E0CFEECA4D4}" name="Manganeso Mn" dataDxfId="14">
      <calculatedColumnFormula>IF(T6="","",T6*$D6/$D$11)</calculatedColumnFormula>
    </tableColumn>
    <tableColumn id="20" xr3:uid="{70A6A880-3C75-439B-8EFB-732D5F6BF793}" name="Molibdeno Mo" dataDxfId="13">
      <calculatedColumnFormula>IF(U6="","",U6*$D6/$D$11)</calculatedColumnFormula>
    </tableColumn>
    <tableColumn id="21" xr3:uid="{678A11C5-8CE6-40E7-9FD3-9EDFB378A113}" name="Silicio SiO2" dataDxfId="12">
      <calculatedColumnFormula>IF(V6="","",V6*$D6/$D$11)</calculatedColumnFormula>
    </tableColumn>
    <tableColumn id="22" xr3:uid="{D6DDDC74-4F4C-4134-95E8-F937AFC1A665}" name="Zinc Zn" dataDxfId="11">
      <calculatedColumnFormula>IF(W6="","",W6*$D6/$D$11)</calculatedColumnFormula>
    </tableColumn>
    <tableColumn id="23" xr3:uid="{1A476C56-623F-46EA-B3BD-D454BFE68051}" name="Sodio Na" dataDxfId="10">
      <calculatedColumnFormula>IF(X6="","",X6*$D6/$D$11)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43FCC-809A-46C0-B59C-73AC834AE7E3}">
  <dimension ref="A1:P5"/>
  <sheetViews>
    <sheetView workbookViewId="0">
      <selection activeCell="H5" sqref="H5"/>
    </sheetView>
  </sheetViews>
  <sheetFormatPr baseColWidth="10" defaultColWidth="9" defaultRowHeight="19.5" x14ac:dyDescent="0.45"/>
  <sheetData>
    <row r="1" spans="1:16" ht="20.25" thickBot="1" x14ac:dyDescent="0.5">
      <c r="A1" t="s">
        <v>53</v>
      </c>
      <c r="B1" s="2" t="s">
        <v>20</v>
      </c>
      <c r="C1" s="2" t="s">
        <v>33</v>
      </c>
      <c r="D1" s="2" t="s">
        <v>39</v>
      </c>
      <c r="E1" s="2" t="s">
        <v>28</v>
      </c>
      <c r="F1" s="2" t="s">
        <v>38</v>
      </c>
      <c r="G1" s="2" t="s">
        <v>29</v>
      </c>
      <c r="H1" s="2" t="s">
        <v>9</v>
      </c>
      <c r="I1" s="2" t="s">
        <v>14</v>
      </c>
      <c r="J1" s="2" t="s">
        <v>37</v>
      </c>
      <c r="K1" s="2" t="s">
        <v>30</v>
      </c>
      <c r="L1" s="2" t="s">
        <v>31</v>
      </c>
      <c r="M1" s="2" t="s">
        <v>36</v>
      </c>
      <c r="N1" s="2" t="s">
        <v>35</v>
      </c>
      <c r="O1" s="2" t="s">
        <v>32</v>
      </c>
      <c r="P1" s="2" t="s">
        <v>34</v>
      </c>
    </row>
    <row r="2" spans="1:16" x14ac:dyDescent="0.45">
      <c r="A2" t="s">
        <v>54</v>
      </c>
      <c r="B2" s="1">
        <v>0.03</v>
      </c>
      <c r="C2" s="1">
        <v>0.03</v>
      </c>
      <c r="D2" s="1">
        <v>0.03</v>
      </c>
      <c r="E2" t="s">
        <v>52</v>
      </c>
      <c r="F2" t="s">
        <v>52</v>
      </c>
      <c r="G2" t="s">
        <v>52</v>
      </c>
      <c r="H2" t="s">
        <v>52</v>
      </c>
      <c r="I2" t="s">
        <v>52</v>
      </c>
      <c r="J2" t="s">
        <v>52</v>
      </c>
      <c r="K2" t="s">
        <v>52</v>
      </c>
      <c r="L2" t="s">
        <v>52</v>
      </c>
      <c r="M2" t="s">
        <v>52</v>
      </c>
      <c r="N2" t="s">
        <v>52</v>
      </c>
      <c r="O2" t="s">
        <v>52</v>
      </c>
      <c r="P2" t="s">
        <v>52</v>
      </c>
    </row>
    <row r="3" spans="1:16" x14ac:dyDescent="0.45">
      <c r="A3" t="s">
        <v>55</v>
      </c>
      <c r="B3" t="s">
        <v>52</v>
      </c>
      <c r="C3" t="s">
        <v>52</v>
      </c>
      <c r="D3" t="s">
        <v>52</v>
      </c>
      <c r="E3" s="1">
        <v>0.05</v>
      </c>
      <c r="F3" s="1">
        <v>0.05</v>
      </c>
      <c r="G3" s="1">
        <v>0.05</v>
      </c>
      <c r="H3" t="s">
        <v>52</v>
      </c>
      <c r="I3" t="s">
        <v>52</v>
      </c>
      <c r="J3" t="s">
        <v>52</v>
      </c>
      <c r="K3" t="s">
        <v>52</v>
      </c>
      <c r="L3" t="s">
        <v>52</v>
      </c>
      <c r="M3" t="s">
        <v>52</v>
      </c>
      <c r="N3" t="s">
        <v>52</v>
      </c>
      <c r="O3" t="s">
        <v>52</v>
      </c>
      <c r="P3" t="s">
        <v>52</v>
      </c>
    </row>
    <row r="4" spans="1:16" x14ac:dyDescent="0.45">
      <c r="A4" t="s">
        <v>56</v>
      </c>
      <c r="B4" t="s">
        <v>52</v>
      </c>
      <c r="C4" t="s">
        <v>52</v>
      </c>
      <c r="D4" t="s">
        <v>52</v>
      </c>
      <c r="E4" t="s">
        <v>52</v>
      </c>
      <c r="F4" t="s">
        <v>52</v>
      </c>
      <c r="G4" t="s">
        <v>52</v>
      </c>
      <c r="H4" s="14">
        <v>5.0000000000000001E-3</v>
      </c>
      <c r="I4" s="14">
        <v>2.0000000000000001E-4</v>
      </c>
      <c r="J4" s="14">
        <v>2E-3</v>
      </c>
      <c r="K4" s="14">
        <v>2E-3</v>
      </c>
      <c r="L4" s="14">
        <v>2E-3</v>
      </c>
      <c r="M4" s="14">
        <v>2.0000000000000001E-4</v>
      </c>
      <c r="N4" s="14">
        <v>2E-3</v>
      </c>
      <c r="O4" t="s">
        <v>52</v>
      </c>
      <c r="P4" s="14">
        <v>5.0000000000000001E-3</v>
      </c>
    </row>
    <row r="5" spans="1:16" x14ac:dyDescent="0.45">
      <c r="A5" t="s">
        <v>57</v>
      </c>
      <c r="B5" t="s">
        <v>52</v>
      </c>
      <c r="C5" t="s">
        <v>52</v>
      </c>
      <c r="D5" t="s">
        <v>52</v>
      </c>
      <c r="E5" t="s">
        <v>52</v>
      </c>
      <c r="F5" t="s">
        <v>52</v>
      </c>
      <c r="G5" t="s">
        <v>52</v>
      </c>
      <c r="H5" s="14">
        <v>2.0000000000000001E-4</v>
      </c>
      <c r="I5" s="15">
        <v>2.0000000000000002E-5</v>
      </c>
      <c r="J5" s="14">
        <v>1E-4</v>
      </c>
      <c r="K5" s="14">
        <v>1E-4</v>
      </c>
      <c r="L5" s="14">
        <v>1E-4</v>
      </c>
      <c r="M5" s="15">
        <v>5.0000000000000002E-5</v>
      </c>
      <c r="N5" s="14">
        <v>2.0000000000000001E-4</v>
      </c>
      <c r="O5" t="s">
        <v>52</v>
      </c>
      <c r="P5" s="14">
        <v>2.0000000000000001E-4</v>
      </c>
    </row>
  </sheetData>
  <sheetProtection algorithmName="SHA-512" hashValue="cvM2Q+v0gKzapu/UKbEdfGpZGhWnJdQqRymu/m9qsWNTDhYKBcbt6ah4aMoIqi51A2nMFWFJM0jIXQyKhLaaCw==" saltValue="ZQHoBTU7Ctp+rCf9KdIzjA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8153F-B96B-4FF4-BCCE-6176978EE98F}">
  <dimension ref="B5:AW54"/>
  <sheetViews>
    <sheetView zoomScale="55" zoomScaleNormal="55" workbookViewId="0">
      <selection activeCell="B15" sqref="B15:B19"/>
    </sheetView>
  </sheetViews>
  <sheetFormatPr baseColWidth="10" defaultColWidth="8.88671875" defaultRowHeight="19.5" x14ac:dyDescent="0.45"/>
  <cols>
    <col min="1" max="1" width="8.88671875" style="4"/>
    <col min="2" max="2" width="40.44140625" style="4" customWidth="1"/>
    <col min="3" max="3" width="10" style="3" customWidth="1"/>
    <col min="4" max="4" width="11" style="3" customWidth="1"/>
    <col min="5" max="10" width="7.33203125" style="4" hidden="1" customWidth="1"/>
    <col min="11" max="24" width="7.33203125" style="4" customWidth="1"/>
    <col min="26" max="48" width="5.44140625" style="4" customWidth="1"/>
    <col min="49" max="16384" width="8.88671875" style="4"/>
  </cols>
  <sheetData>
    <row r="5" spans="2:49" ht="20.25" thickBot="1" x14ac:dyDescent="0.5">
      <c r="B5" s="67" t="s">
        <v>17</v>
      </c>
      <c r="C5" s="8" t="s">
        <v>18</v>
      </c>
      <c r="D5" s="7" t="s">
        <v>19</v>
      </c>
      <c r="E5" s="62" t="s">
        <v>16</v>
      </c>
      <c r="F5" s="62" t="s">
        <v>1</v>
      </c>
      <c r="G5" s="62" t="s">
        <v>21</v>
      </c>
      <c r="H5" s="62" t="s">
        <v>22</v>
      </c>
      <c r="I5" s="62" t="s">
        <v>23</v>
      </c>
      <c r="J5" s="62" t="s">
        <v>24</v>
      </c>
      <c r="K5" s="62" t="s">
        <v>2</v>
      </c>
      <c r="L5" s="62" t="s">
        <v>3</v>
      </c>
      <c r="M5" s="62" t="s">
        <v>4</v>
      </c>
      <c r="N5" s="62" t="s">
        <v>5</v>
      </c>
      <c r="O5" s="62" t="s">
        <v>6</v>
      </c>
      <c r="P5" s="62" t="s">
        <v>9</v>
      </c>
      <c r="Q5" s="62" t="s">
        <v>14</v>
      </c>
      <c r="R5" s="62" t="s">
        <v>12</v>
      </c>
      <c r="S5" s="62" t="s">
        <v>13</v>
      </c>
      <c r="T5" s="62" t="s">
        <v>11</v>
      </c>
      <c r="U5" s="62" t="s">
        <v>10</v>
      </c>
      <c r="V5" s="62" t="s">
        <v>7</v>
      </c>
      <c r="W5" s="62" t="s">
        <v>8</v>
      </c>
      <c r="X5" s="62" t="s">
        <v>15</v>
      </c>
    </row>
    <row r="6" spans="2:49" x14ac:dyDescent="0.45">
      <c r="B6" s="66" t="s">
        <v>86</v>
      </c>
      <c r="C6" s="5">
        <v>60</v>
      </c>
      <c r="D6" s="62">
        <v>6</v>
      </c>
      <c r="E6" s="65"/>
      <c r="F6" s="65"/>
      <c r="G6" s="65"/>
      <c r="H6" s="65"/>
      <c r="I6" s="65"/>
      <c r="J6" s="65"/>
      <c r="K6" s="65"/>
      <c r="L6" s="65"/>
      <c r="M6" s="65">
        <v>0.44</v>
      </c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3"/>
    </row>
    <row r="7" spans="2:49" x14ac:dyDescent="0.45">
      <c r="B7" s="66" t="s">
        <v>85</v>
      </c>
      <c r="C7" s="5">
        <v>0</v>
      </c>
      <c r="D7" s="62"/>
      <c r="E7" s="65"/>
      <c r="F7" s="65"/>
      <c r="G7" s="65"/>
      <c r="H7" s="65"/>
      <c r="I7" s="65"/>
      <c r="J7" s="65"/>
      <c r="K7" s="65"/>
      <c r="L7" s="65"/>
      <c r="M7" s="65">
        <v>0.33</v>
      </c>
      <c r="N7" s="65">
        <v>0.14000000000000001</v>
      </c>
      <c r="O7" s="65"/>
      <c r="P7" s="65"/>
      <c r="Q7" s="65"/>
      <c r="R7" s="65"/>
      <c r="S7" s="65"/>
      <c r="T7" s="65"/>
      <c r="U7" s="65"/>
      <c r="V7" s="65"/>
      <c r="W7" s="65"/>
      <c r="X7" s="65"/>
      <c r="Y7" s="64"/>
      <c r="AW7" s="6"/>
    </row>
    <row r="8" spans="2:49" x14ac:dyDescent="0.45">
      <c r="B8" s="66" t="s">
        <v>87</v>
      </c>
      <c r="C8" s="5">
        <v>140</v>
      </c>
      <c r="D8" s="62">
        <v>14</v>
      </c>
      <c r="E8" s="65"/>
      <c r="F8" s="65"/>
      <c r="G8" s="65"/>
      <c r="H8" s="65"/>
      <c r="I8" s="65"/>
      <c r="J8" s="65"/>
      <c r="K8" s="65">
        <v>0.24</v>
      </c>
      <c r="L8" s="65"/>
      <c r="M8" s="65">
        <v>0.3</v>
      </c>
      <c r="N8" s="65"/>
      <c r="O8" s="65">
        <v>0.05</v>
      </c>
      <c r="P8" s="65"/>
      <c r="Q8" s="65"/>
      <c r="R8" s="65"/>
      <c r="S8" s="65"/>
      <c r="T8" s="65"/>
      <c r="U8" s="65"/>
      <c r="V8" s="65">
        <v>0.1096</v>
      </c>
      <c r="W8" s="65"/>
      <c r="X8" s="65"/>
      <c r="Y8" s="64"/>
      <c r="AW8" s="6"/>
    </row>
    <row r="9" spans="2:49" x14ac:dyDescent="0.45">
      <c r="B9" s="66" t="s">
        <v>27</v>
      </c>
      <c r="C9" s="5">
        <v>440</v>
      </c>
      <c r="D9" s="62">
        <v>44</v>
      </c>
      <c r="E9" s="65"/>
      <c r="F9" s="65"/>
      <c r="G9" s="65"/>
      <c r="H9" s="65"/>
      <c r="I9" s="65"/>
      <c r="J9" s="65"/>
      <c r="K9" s="65"/>
      <c r="L9" s="65"/>
      <c r="M9" s="65"/>
      <c r="N9" s="80">
        <v>0.39700000000000002</v>
      </c>
      <c r="O9" s="65"/>
      <c r="P9" s="65"/>
      <c r="Q9" s="65"/>
      <c r="R9" s="65"/>
      <c r="S9" s="65"/>
      <c r="T9" s="65"/>
      <c r="U9" s="65"/>
      <c r="V9" s="65">
        <v>0.41</v>
      </c>
      <c r="W9" s="65"/>
      <c r="X9" s="65"/>
      <c r="Y9" s="64"/>
      <c r="AW9" s="6"/>
    </row>
    <row r="10" spans="2:49" x14ac:dyDescent="0.45">
      <c r="B10" s="66" t="s">
        <v>88</v>
      </c>
      <c r="C10" s="5">
        <v>360</v>
      </c>
      <c r="D10" s="62">
        <v>36</v>
      </c>
      <c r="E10" s="65"/>
      <c r="F10" s="65"/>
      <c r="G10" s="65"/>
      <c r="H10" s="65"/>
      <c r="I10" s="65"/>
      <c r="J10" s="65"/>
      <c r="K10" s="65"/>
      <c r="L10" s="65"/>
      <c r="M10" s="65">
        <v>0.26</v>
      </c>
      <c r="N10" s="65"/>
      <c r="O10" s="65">
        <v>0.13</v>
      </c>
      <c r="P10" s="65"/>
      <c r="Q10" s="65"/>
      <c r="R10" s="65"/>
      <c r="S10" s="65"/>
      <c r="T10" s="65"/>
      <c r="U10" s="65"/>
      <c r="V10" s="65"/>
      <c r="W10" s="65"/>
      <c r="X10" s="65"/>
      <c r="Y10" s="64"/>
      <c r="AW10" s="6"/>
    </row>
    <row r="11" spans="2:49" x14ac:dyDescent="0.45">
      <c r="B11" s="4" t="s">
        <v>25</v>
      </c>
      <c r="C11" s="3">
        <f>SUM(C6:C10)</f>
        <v>1000</v>
      </c>
      <c r="D11" s="3">
        <v>100</v>
      </c>
      <c r="AW11" s="6"/>
    </row>
    <row r="12" spans="2:49" x14ac:dyDescent="0.45">
      <c r="B12" s="4" t="s">
        <v>26</v>
      </c>
      <c r="D12" s="3">
        <f>SUM(Tabla13[%/100 kg])</f>
        <v>100</v>
      </c>
      <c r="AW12" s="6"/>
    </row>
    <row r="13" spans="2:49" x14ac:dyDescent="0.45">
      <c r="AW13" s="6"/>
    </row>
    <row r="14" spans="2:49" ht="20.25" thickBot="1" x14ac:dyDescent="0.5">
      <c r="B14" s="67" t="s">
        <v>17</v>
      </c>
      <c r="C14" s="8" t="s">
        <v>18</v>
      </c>
      <c r="D14" s="7" t="s">
        <v>19</v>
      </c>
      <c r="E14" s="62" t="s">
        <v>80</v>
      </c>
      <c r="F14" s="62" t="s">
        <v>61</v>
      </c>
      <c r="G14" s="62" t="s">
        <v>62</v>
      </c>
      <c r="H14" s="62" t="s">
        <v>63</v>
      </c>
      <c r="I14" s="62" t="s">
        <v>64</v>
      </c>
      <c r="J14" s="62" t="s">
        <v>65</v>
      </c>
      <c r="K14" s="62" t="s">
        <v>67</v>
      </c>
      <c r="L14" s="62" t="s">
        <v>68</v>
      </c>
      <c r="M14" s="62" t="s">
        <v>66</v>
      </c>
      <c r="N14" s="62" t="s">
        <v>69</v>
      </c>
      <c r="O14" s="62" t="s">
        <v>70</v>
      </c>
      <c r="P14" s="62" t="s">
        <v>71</v>
      </c>
      <c r="Q14" s="62" t="s">
        <v>72</v>
      </c>
      <c r="R14" s="62" t="s">
        <v>73</v>
      </c>
      <c r="S14" s="62" t="s">
        <v>74</v>
      </c>
      <c r="T14" s="62" t="s">
        <v>75</v>
      </c>
      <c r="U14" s="62" t="s">
        <v>76</v>
      </c>
      <c r="V14" s="62" t="s">
        <v>77</v>
      </c>
      <c r="W14" s="62" t="s">
        <v>78</v>
      </c>
      <c r="X14" s="62" t="s">
        <v>79</v>
      </c>
    </row>
    <row r="15" spans="2:49" x14ac:dyDescent="0.45">
      <c r="B15" s="66" t="s">
        <v>89</v>
      </c>
      <c r="C15" s="5">
        <v>100</v>
      </c>
      <c r="D15" s="62">
        <f>C15/10</f>
        <v>10</v>
      </c>
      <c r="E15" s="65" t="str">
        <f>IF(E6="","",E6*$D6/$D$11)</f>
        <v/>
      </c>
      <c r="F15" s="65" t="str">
        <f>IF(F6="","",SUM(G15:J15))</f>
        <v/>
      </c>
      <c r="G15" s="65" t="str">
        <f t="shared" ref="G15:X19" si="0">IF(G6="","",G6*$D6/$D$11)</f>
        <v/>
      </c>
      <c r="H15" s="65" t="str">
        <f t="shared" si="0"/>
        <v/>
      </c>
      <c r="I15" s="65" t="str">
        <f t="shared" si="0"/>
        <v/>
      </c>
      <c r="J15" s="65" t="str">
        <f t="shared" si="0"/>
        <v/>
      </c>
      <c r="K15" s="65" t="str">
        <f t="shared" si="0"/>
        <v/>
      </c>
      <c r="L15" s="65" t="str">
        <f t="shared" si="0"/>
        <v/>
      </c>
      <c r="M15" s="65">
        <f t="shared" si="0"/>
        <v>2.64E-2</v>
      </c>
      <c r="N15" s="65" t="str">
        <f t="shared" si="0"/>
        <v/>
      </c>
      <c r="O15" s="65" t="str">
        <f t="shared" si="0"/>
        <v/>
      </c>
      <c r="P15" s="65" t="str">
        <f t="shared" si="0"/>
        <v/>
      </c>
      <c r="Q15" s="65" t="str">
        <f t="shared" si="0"/>
        <v/>
      </c>
      <c r="R15" s="65" t="str">
        <f t="shared" si="0"/>
        <v/>
      </c>
      <c r="S15" s="65" t="str">
        <f t="shared" si="0"/>
        <v/>
      </c>
      <c r="T15" s="65" t="str">
        <f t="shared" si="0"/>
        <v/>
      </c>
      <c r="U15" s="65" t="str">
        <f t="shared" si="0"/>
        <v/>
      </c>
      <c r="V15" s="65" t="str">
        <f t="shared" si="0"/>
        <v/>
      </c>
      <c r="W15" s="65" t="str">
        <f t="shared" si="0"/>
        <v/>
      </c>
      <c r="X15" s="65" t="str">
        <f t="shared" si="0"/>
        <v/>
      </c>
    </row>
    <row r="16" spans="2:49" x14ac:dyDescent="0.45">
      <c r="B16" s="66" t="s">
        <v>90</v>
      </c>
      <c r="C16" s="5">
        <v>100</v>
      </c>
      <c r="D16" s="62">
        <f>C16/10</f>
        <v>10</v>
      </c>
      <c r="E16" s="65" t="str">
        <f>IF(E7="","",E7*$D7/$D$11)</f>
        <v/>
      </c>
      <c r="F16" s="65" t="str">
        <f>IF(F7="","",SUM(G16:J16))</f>
        <v/>
      </c>
      <c r="G16" s="65" t="str">
        <f t="shared" si="0"/>
        <v/>
      </c>
      <c r="H16" s="65" t="str">
        <f t="shared" si="0"/>
        <v/>
      </c>
      <c r="I16" s="65" t="str">
        <f t="shared" si="0"/>
        <v/>
      </c>
      <c r="J16" s="65" t="str">
        <f t="shared" si="0"/>
        <v/>
      </c>
      <c r="K16" s="65" t="str">
        <f t="shared" si="0"/>
        <v/>
      </c>
      <c r="L16" s="65" t="str">
        <f t="shared" si="0"/>
        <v/>
      </c>
      <c r="M16" s="65">
        <f t="shared" si="0"/>
        <v>0</v>
      </c>
      <c r="N16" s="65">
        <f t="shared" si="0"/>
        <v>0</v>
      </c>
      <c r="O16" s="65" t="str">
        <f t="shared" si="0"/>
        <v/>
      </c>
      <c r="P16" s="65" t="str">
        <f t="shared" si="0"/>
        <v/>
      </c>
      <c r="Q16" s="65" t="str">
        <f t="shared" si="0"/>
        <v/>
      </c>
      <c r="R16" s="65" t="str">
        <f t="shared" si="0"/>
        <v/>
      </c>
      <c r="S16" s="65" t="str">
        <f t="shared" si="0"/>
        <v/>
      </c>
      <c r="T16" s="65" t="str">
        <f t="shared" si="0"/>
        <v/>
      </c>
      <c r="U16" s="65" t="str">
        <f t="shared" si="0"/>
        <v/>
      </c>
      <c r="V16" s="65" t="str">
        <f t="shared" si="0"/>
        <v/>
      </c>
      <c r="W16" s="65" t="str">
        <f t="shared" si="0"/>
        <v/>
      </c>
      <c r="X16" s="65" t="str">
        <f t="shared" si="0"/>
        <v/>
      </c>
    </row>
    <row r="17" spans="2:49" x14ac:dyDescent="0.45">
      <c r="B17" s="66" t="s">
        <v>93</v>
      </c>
      <c r="C17" s="5">
        <v>150</v>
      </c>
      <c r="D17" s="62">
        <v>13</v>
      </c>
      <c r="E17" s="65" t="str">
        <f>IF(E8="","",E8*$D8/$D$11)</f>
        <v/>
      </c>
      <c r="F17" s="65" t="str">
        <f>IF(F8="","",SUM(G17:J17))</f>
        <v/>
      </c>
      <c r="G17" s="65" t="str">
        <f t="shared" si="0"/>
        <v/>
      </c>
      <c r="H17" s="65" t="str">
        <f t="shared" si="0"/>
        <v/>
      </c>
      <c r="I17" s="65" t="str">
        <f t="shared" si="0"/>
        <v/>
      </c>
      <c r="J17" s="65" t="str">
        <f t="shared" si="0"/>
        <v/>
      </c>
      <c r="K17" s="65">
        <f t="shared" si="0"/>
        <v>3.3599999999999998E-2</v>
      </c>
      <c r="L17" s="65" t="str">
        <f t="shared" si="0"/>
        <v/>
      </c>
      <c r="M17" s="65">
        <f t="shared" si="0"/>
        <v>4.2000000000000003E-2</v>
      </c>
      <c r="N17" s="65" t="str">
        <f t="shared" si="0"/>
        <v/>
      </c>
      <c r="O17" s="65">
        <f t="shared" si="0"/>
        <v>7.000000000000001E-3</v>
      </c>
      <c r="P17" s="65" t="str">
        <f t="shared" si="0"/>
        <v/>
      </c>
      <c r="Q17" s="65" t="str">
        <f t="shared" si="0"/>
        <v/>
      </c>
      <c r="R17" s="65" t="str">
        <f t="shared" si="0"/>
        <v/>
      </c>
      <c r="S17" s="65" t="str">
        <f t="shared" si="0"/>
        <v/>
      </c>
      <c r="T17" s="65" t="str">
        <f t="shared" si="0"/>
        <v/>
      </c>
      <c r="U17" s="65" t="str">
        <f t="shared" si="0"/>
        <v/>
      </c>
      <c r="V17" s="65">
        <f t="shared" si="0"/>
        <v>1.5344E-2</v>
      </c>
      <c r="W17" s="65" t="str">
        <f t="shared" si="0"/>
        <v/>
      </c>
      <c r="X17" s="65" t="str">
        <f t="shared" si="0"/>
        <v/>
      </c>
    </row>
    <row r="18" spans="2:49" x14ac:dyDescent="0.45">
      <c r="B18" s="66" t="s">
        <v>94</v>
      </c>
      <c r="C18" s="5">
        <v>450</v>
      </c>
      <c r="D18" s="62">
        <f>C18/10</f>
        <v>45</v>
      </c>
      <c r="E18" s="65" t="str">
        <f>IF(E9="","",E9*$D9/$D$11)</f>
        <v/>
      </c>
      <c r="F18" s="65" t="str">
        <f>IF(F9="","",SUM(G18:J18))</f>
        <v/>
      </c>
      <c r="G18" s="65" t="str">
        <f t="shared" si="0"/>
        <v/>
      </c>
      <c r="H18" s="65" t="str">
        <f t="shared" si="0"/>
        <v/>
      </c>
      <c r="I18" s="65" t="str">
        <f t="shared" si="0"/>
        <v/>
      </c>
      <c r="J18" s="65" t="str">
        <f t="shared" si="0"/>
        <v/>
      </c>
      <c r="K18" s="65" t="str">
        <f t="shared" si="0"/>
        <v/>
      </c>
      <c r="L18" s="65" t="str">
        <f t="shared" si="0"/>
        <v/>
      </c>
      <c r="M18" s="65" t="str">
        <f t="shared" si="0"/>
        <v/>
      </c>
      <c r="N18" s="65">
        <f t="shared" si="0"/>
        <v>0.17468</v>
      </c>
      <c r="O18" s="65" t="str">
        <f t="shared" si="0"/>
        <v/>
      </c>
      <c r="P18" s="65" t="str">
        <f t="shared" si="0"/>
        <v/>
      </c>
      <c r="Q18" s="65" t="str">
        <f t="shared" si="0"/>
        <v/>
      </c>
      <c r="R18" s="65" t="str">
        <f t="shared" si="0"/>
        <v/>
      </c>
      <c r="S18" s="65" t="str">
        <f t="shared" si="0"/>
        <v/>
      </c>
      <c r="T18" s="65" t="str">
        <f t="shared" si="0"/>
        <v/>
      </c>
      <c r="U18" s="65" t="str">
        <f t="shared" si="0"/>
        <v/>
      </c>
      <c r="V18" s="65">
        <f t="shared" si="0"/>
        <v>0.1804</v>
      </c>
      <c r="W18" s="65" t="str">
        <f t="shared" si="0"/>
        <v/>
      </c>
      <c r="X18" s="65" t="str">
        <f t="shared" si="0"/>
        <v/>
      </c>
    </row>
    <row r="19" spans="2:49" x14ac:dyDescent="0.45">
      <c r="B19" s="66" t="s">
        <v>91</v>
      </c>
      <c r="C19" s="5">
        <v>200</v>
      </c>
      <c r="D19" s="62">
        <f>C19/10</f>
        <v>20</v>
      </c>
      <c r="E19" s="65" t="str">
        <f>IF(E10="","",E10*$D10/$D$11)</f>
        <v/>
      </c>
      <c r="F19" s="65" t="str">
        <f>IF(F10="","",SUM(G19:J19))</f>
        <v/>
      </c>
      <c r="G19" s="65" t="str">
        <f t="shared" si="0"/>
        <v/>
      </c>
      <c r="H19" s="65" t="str">
        <f t="shared" si="0"/>
        <v/>
      </c>
      <c r="I19" s="65" t="str">
        <f t="shared" si="0"/>
        <v/>
      </c>
      <c r="J19" s="65" t="str">
        <f t="shared" si="0"/>
        <v/>
      </c>
      <c r="K19" s="65" t="str">
        <f t="shared" si="0"/>
        <v/>
      </c>
      <c r="L19" s="65" t="str">
        <f t="shared" si="0"/>
        <v/>
      </c>
      <c r="M19" s="65">
        <f t="shared" si="0"/>
        <v>9.3599999999999989E-2</v>
      </c>
      <c r="N19" s="65" t="str">
        <f t="shared" si="0"/>
        <v/>
      </c>
      <c r="O19" s="65">
        <f t="shared" si="0"/>
        <v>4.6799999999999994E-2</v>
      </c>
      <c r="P19" s="65" t="str">
        <f t="shared" si="0"/>
        <v/>
      </c>
      <c r="Q19" s="65" t="str">
        <f t="shared" si="0"/>
        <v/>
      </c>
      <c r="R19" s="65" t="str">
        <f t="shared" si="0"/>
        <v/>
      </c>
      <c r="S19" s="65" t="str">
        <f t="shared" si="0"/>
        <v/>
      </c>
      <c r="T19" s="65" t="str">
        <f t="shared" si="0"/>
        <v/>
      </c>
      <c r="U19" s="65" t="str">
        <f t="shared" si="0"/>
        <v/>
      </c>
      <c r="V19" s="65" t="str">
        <f t="shared" si="0"/>
        <v/>
      </c>
      <c r="W19" s="65" t="str">
        <f t="shared" si="0"/>
        <v/>
      </c>
      <c r="X19" s="65" t="str">
        <f t="shared" si="0"/>
        <v/>
      </c>
    </row>
    <row r="20" spans="2:49" x14ac:dyDescent="0.45">
      <c r="B20" s="4" t="s">
        <v>25</v>
      </c>
      <c r="C20" s="3">
        <f>SUM(C15:C19)</f>
        <v>1000</v>
      </c>
      <c r="D20" s="3">
        <v>100</v>
      </c>
    </row>
    <row r="21" spans="2:49" x14ac:dyDescent="0.45">
      <c r="B21" s="4" t="s">
        <v>92</v>
      </c>
      <c r="E21" s="10">
        <f t="shared" ref="E21:X21" si="1">SUM(E15:E19)</f>
        <v>0</v>
      </c>
      <c r="F21" s="10">
        <f t="shared" si="1"/>
        <v>0</v>
      </c>
      <c r="G21" s="10">
        <f t="shared" si="1"/>
        <v>0</v>
      </c>
      <c r="H21" s="10">
        <f t="shared" si="1"/>
        <v>0</v>
      </c>
      <c r="I21" s="10">
        <f t="shared" si="1"/>
        <v>0</v>
      </c>
      <c r="J21" s="10">
        <f t="shared" si="1"/>
        <v>0</v>
      </c>
      <c r="K21" s="10">
        <f t="shared" si="1"/>
        <v>3.3599999999999998E-2</v>
      </c>
      <c r="L21" s="10">
        <f t="shared" si="1"/>
        <v>0</v>
      </c>
      <c r="M21" s="10">
        <f t="shared" si="1"/>
        <v>0.16199999999999998</v>
      </c>
      <c r="N21" s="10">
        <f t="shared" si="1"/>
        <v>0.17468</v>
      </c>
      <c r="O21" s="10">
        <f t="shared" si="1"/>
        <v>5.3799999999999994E-2</v>
      </c>
      <c r="P21" s="10">
        <f t="shared" si="1"/>
        <v>0</v>
      </c>
      <c r="Q21" s="10">
        <f t="shared" si="1"/>
        <v>0</v>
      </c>
      <c r="R21" s="10">
        <f t="shared" si="1"/>
        <v>0</v>
      </c>
      <c r="S21" s="10">
        <f t="shared" si="1"/>
        <v>0</v>
      </c>
      <c r="T21" s="10">
        <f t="shared" si="1"/>
        <v>0</v>
      </c>
      <c r="U21" s="10">
        <f t="shared" si="1"/>
        <v>0</v>
      </c>
      <c r="V21" s="10">
        <f t="shared" si="1"/>
        <v>0.195744</v>
      </c>
      <c r="W21" s="10">
        <f t="shared" si="1"/>
        <v>0</v>
      </c>
      <c r="X21" s="10">
        <f t="shared" si="1"/>
        <v>0</v>
      </c>
    </row>
    <row r="22" spans="2:49" x14ac:dyDescent="0.45">
      <c r="K22" s="10">
        <v>3.4000000000000002E-2</v>
      </c>
      <c r="M22" s="10">
        <v>0.18</v>
      </c>
      <c r="N22" s="10">
        <v>0.1787</v>
      </c>
      <c r="O22" s="10">
        <v>5.5E-2</v>
      </c>
      <c r="V22" s="10">
        <v>0.17449999999999999</v>
      </c>
    </row>
    <row r="23" spans="2:49" customFormat="1" x14ac:dyDescent="0.45">
      <c r="B23" s="4" t="s">
        <v>41</v>
      </c>
      <c r="C23" s="3"/>
      <c r="D23" s="3"/>
      <c r="E23" s="4"/>
      <c r="F23" s="4"/>
      <c r="G23" s="4"/>
      <c r="H23" s="4"/>
      <c r="I23" s="4"/>
      <c r="J23" s="4"/>
      <c r="K23" s="10"/>
      <c r="L23" s="4"/>
      <c r="M23" s="10"/>
      <c r="N23" s="10"/>
      <c r="O23" s="10"/>
      <c r="P23" s="4"/>
      <c r="Q23" s="4"/>
      <c r="R23" s="4"/>
      <c r="S23" s="4"/>
      <c r="T23" s="4"/>
      <c r="U23" s="4"/>
      <c r="V23" s="10"/>
      <c r="W23" s="4"/>
      <c r="X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</row>
    <row r="24" spans="2:49" customFormat="1" x14ac:dyDescent="0.45">
      <c r="B24" s="4"/>
      <c r="C24" s="3"/>
      <c r="D24" s="3"/>
      <c r="E24" s="4"/>
      <c r="F24" s="4"/>
      <c r="G24" s="4"/>
      <c r="H24" s="4"/>
      <c r="I24" s="4"/>
      <c r="J24" s="4"/>
      <c r="K24" s="10"/>
      <c r="L24" s="4"/>
      <c r="M24" s="10"/>
      <c r="N24" s="10"/>
      <c r="O24" s="10"/>
      <c r="P24" s="4"/>
      <c r="Q24" s="4"/>
      <c r="R24" s="4"/>
      <c r="S24" s="4"/>
      <c r="T24" s="4"/>
      <c r="U24" s="4"/>
      <c r="V24" s="10"/>
      <c r="W24" s="4"/>
      <c r="X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</row>
    <row r="25" spans="2:49" customFormat="1" x14ac:dyDescent="0.45">
      <c r="B25" s="4"/>
      <c r="C25" s="3"/>
      <c r="D25" s="3"/>
      <c r="E25" s="4"/>
      <c r="F25" s="4"/>
      <c r="G25" s="4"/>
      <c r="H25" s="4"/>
      <c r="I25" s="4"/>
      <c r="J25" s="4"/>
      <c r="K25" s="10"/>
      <c r="L25" s="4"/>
      <c r="M25" s="10"/>
      <c r="N25" s="10"/>
      <c r="O25" s="10"/>
      <c r="P25" s="4"/>
      <c r="Q25" s="4"/>
      <c r="R25" s="4"/>
      <c r="S25" s="4"/>
      <c r="T25" s="4"/>
      <c r="U25" s="4"/>
      <c r="V25" s="10"/>
      <c r="W25" s="4"/>
      <c r="X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</row>
    <row r="26" spans="2:49" customFormat="1" x14ac:dyDescent="0.45">
      <c r="B26" s="4"/>
      <c r="C26" s="3"/>
      <c r="D26" s="3"/>
      <c r="E26" s="4"/>
      <c r="F26" s="4"/>
      <c r="G26" s="4"/>
      <c r="H26" s="4"/>
      <c r="I26" s="4"/>
      <c r="J26" s="4"/>
      <c r="K26" s="10"/>
      <c r="L26" s="4"/>
      <c r="M26" s="10"/>
      <c r="N26" s="10"/>
      <c r="O26" s="10"/>
      <c r="P26" s="4"/>
      <c r="Q26" s="4"/>
      <c r="R26" s="4"/>
      <c r="S26" s="4"/>
      <c r="T26" s="4"/>
      <c r="U26" s="4"/>
      <c r="V26" s="10"/>
      <c r="W26" s="4"/>
      <c r="X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</row>
    <row r="27" spans="2:49" customFormat="1" x14ac:dyDescent="0.45">
      <c r="B27" s="4"/>
      <c r="C27" s="3"/>
      <c r="D27" s="3"/>
      <c r="E27" s="4"/>
      <c r="F27" s="4"/>
      <c r="G27" s="4"/>
      <c r="H27" s="4"/>
      <c r="I27" s="4"/>
      <c r="J27" s="4"/>
      <c r="K27" s="10"/>
      <c r="L27" s="4"/>
      <c r="M27" s="10"/>
      <c r="N27" s="10"/>
      <c r="O27" s="10"/>
      <c r="P27" s="4"/>
      <c r="Q27" s="4"/>
      <c r="R27" s="4"/>
      <c r="S27" s="4"/>
      <c r="T27" s="4"/>
      <c r="U27" s="4"/>
      <c r="V27" s="10"/>
      <c r="W27" s="4"/>
      <c r="X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</row>
    <row r="28" spans="2:49" customFormat="1" x14ac:dyDescent="0.45">
      <c r="B28" s="4"/>
      <c r="C28" s="3"/>
      <c r="D28" s="3"/>
      <c r="E28" s="4"/>
      <c r="F28" s="4"/>
      <c r="G28" s="4"/>
      <c r="H28" s="4"/>
      <c r="I28" s="4"/>
      <c r="J28" s="4"/>
      <c r="K28" s="10"/>
      <c r="L28" s="4"/>
      <c r="M28" s="10"/>
      <c r="N28" s="10"/>
      <c r="O28" s="10"/>
      <c r="P28" s="4"/>
      <c r="Q28" s="4"/>
      <c r="R28" s="4"/>
      <c r="S28" s="4"/>
      <c r="T28" s="4"/>
      <c r="U28" s="4"/>
      <c r="V28" s="10"/>
      <c r="W28" s="4"/>
      <c r="X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</row>
    <row r="29" spans="2:49" customFormat="1" x14ac:dyDescent="0.45">
      <c r="B29" s="4"/>
      <c r="C29" s="3"/>
      <c r="D29" s="3"/>
      <c r="E29" s="4"/>
      <c r="F29" s="4"/>
      <c r="G29" s="4"/>
      <c r="H29" s="4"/>
      <c r="I29" s="4"/>
      <c r="J29" s="4"/>
      <c r="K29" s="10"/>
      <c r="L29" s="4"/>
      <c r="M29" s="10"/>
      <c r="N29" s="10"/>
      <c r="O29" s="10"/>
      <c r="P29" s="4"/>
      <c r="Q29" s="4"/>
      <c r="R29" s="4"/>
      <c r="S29" s="4"/>
      <c r="T29" s="4"/>
      <c r="U29" s="4"/>
      <c r="V29" s="10"/>
      <c r="W29" s="4"/>
      <c r="X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</row>
    <row r="30" spans="2:49" customFormat="1" x14ac:dyDescent="0.45">
      <c r="B30" s="4"/>
      <c r="C30" s="3"/>
      <c r="D30" s="3"/>
      <c r="E30" s="4"/>
      <c r="F30" s="4"/>
      <c r="G30" s="4"/>
      <c r="H30" s="4"/>
      <c r="I30" s="4"/>
      <c r="J30" s="4"/>
      <c r="K30" s="10"/>
      <c r="L30" s="4"/>
      <c r="M30" s="10"/>
      <c r="N30" s="10"/>
      <c r="O30" s="10"/>
      <c r="P30" s="4"/>
      <c r="Q30" s="4"/>
      <c r="R30" s="4"/>
      <c r="S30" s="4"/>
      <c r="T30" s="4"/>
      <c r="U30" s="4"/>
      <c r="V30" s="10"/>
      <c r="W30" s="4"/>
      <c r="X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</row>
    <row r="31" spans="2:49" customFormat="1" x14ac:dyDescent="0.45">
      <c r="B31" s="4"/>
      <c r="C31" s="3"/>
      <c r="D31" s="3"/>
      <c r="E31" s="4"/>
      <c r="F31" s="4"/>
      <c r="G31" s="4"/>
      <c r="H31" s="4"/>
      <c r="I31" s="4"/>
      <c r="J31" s="4"/>
      <c r="K31" s="10"/>
      <c r="L31" s="4"/>
      <c r="M31" s="10"/>
      <c r="N31" s="10"/>
      <c r="O31" s="10"/>
      <c r="P31" s="4"/>
      <c r="Q31" s="4"/>
      <c r="R31" s="4"/>
      <c r="S31" s="4"/>
      <c r="T31" s="4"/>
      <c r="U31" s="4"/>
      <c r="V31" s="10"/>
      <c r="W31" s="4"/>
      <c r="X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</row>
    <row r="32" spans="2:49" customFormat="1" x14ac:dyDescent="0.45">
      <c r="B32" s="4"/>
      <c r="C32" s="3"/>
      <c r="D32" s="3"/>
      <c r="E32" s="4"/>
      <c r="F32" s="4"/>
      <c r="G32" s="4"/>
      <c r="H32" s="4"/>
      <c r="I32" s="4"/>
      <c r="J32" s="4"/>
      <c r="K32" s="10"/>
      <c r="L32" s="4"/>
      <c r="M32" s="10"/>
      <c r="N32" s="10"/>
      <c r="O32" s="10"/>
      <c r="P32" s="4"/>
      <c r="Q32" s="4"/>
      <c r="R32" s="4"/>
      <c r="S32" s="4"/>
      <c r="T32" s="4"/>
      <c r="U32" s="4"/>
      <c r="V32" s="10"/>
      <c r="W32" s="4"/>
      <c r="X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</row>
    <row r="33" spans="2:49" customFormat="1" x14ac:dyDescent="0.45">
      <c r="B33" s="4"/>
      <c r="C33" s="3"/>
      <c r="D33" s="3"/>
      <c r="E33" s="4"/>
      <c r="F33" s="4"/>
      <c r="G33" s="4"/>
      <c r="H33" s="4"/>
      <c r="I33" s="4"/>
      <c r="J33" s="4"/>
      <c r="K33" s="10"/>
      <c r="L33" s="4"/>
      <c r="M33" s="10"/>
      <c r="N33" s="10"/>
      <c r="O33" s="10"/>
      <c r="P33" s="4"/>
      <c r="Q33" s="4"/>
      <c r="R33" s="4"/>
      <c r="S33" s="4"/>
      <c r="T33" s="4"/>
      <c r="U33" s="4"/>
      <c r="V33" s="10"/>
      <c r="W33" s="4"/>
      <c r="X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</row>
    <row r="34" spans="2:49" customFormat="1" x14ac:dyDescent="0.45">
      <c r="B34" s="4"/>
      <c r="C34" s="3"/>
      <c r="D34" s="3"/>
      <c r="E34" s="4"/>
      <c r="F34" s="4"/>
      <c r="G34" s="4"/>
      <c r="H34" s="4"/>
      <c r="I34" s="4"/>
      <c r="J34" s="4"/>
      <c r="K34" s="10"/>
      <c r="L34" s="4"/>
      <c r="M34" s="10"/>
      <c r="N34" s="10"/>
      <c r="O34" s="10"/>
      <c r="P34" s="4"/>
      <c r="Q34" s="4"/>
      <c r="R34" s="4"/>
      <c r="S34" s="4"/>
      <c r="T34" s="4"/>
      <c r="U34" s="4"/>
      <c r="V34" s="10"/>
      <c r="W34" s="4"/>
      <c r="X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</row>
    <row r="36" spans="2:49" customFormat="1" ht="20.25" x14ac:dyDescent="0.45">
      <c r="B36" s="4" t="s">
        <v>51</v>
      </c>
      <c r="C36" s="3"/>
      <c r="D36" s="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</row>
    <row r="37" spans="2:49" customFormat="1" x14ac:dyDescent="0.45">
      <c r="B37" s="11" t="s">
        <v>42</v>
      </c>
      <c r="C37" s="3"/>
      <c r="D37" s="3"/>
      <c r="E37" s="9"/>
      <c r="F37" s="10" t="str">
        <f>IF(F21=0,"",IF(F21&lt;minimos!B2,"SI","NO"))</f>
        <v/>
      </c>
      <c r="G37" s="10"/>
      <c r="H37" s="10"/>
      <c r="I37" s="10"/>
      <c r="J37" s="10"/>
      <c r="K37" s="10" t="str">
        <f>IF(K21=0,"",IF(K21&lt;minimos!C2,"NO","SI"))</f>
        <v>SI</v>
      </c>
      <c r="L37" s="4" t="str">
        <f>IF(L21=0,"",IF(L21&lt;minimos!D2,"SI","NO"))</f>
        <v/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</row>
    <row r="38" spans="2:49" customFormat="1" x14ac:dyDescent="0.45">
      <c r="B38" s="11" t="s">
        <v>43</v>
      </c>
      <c r="C38" s="3"/>
      <c r="D38" s="3"/>
      <c r="E38" s="9"/>
      <c r="F38" s="9"/>
      <c r="G38" s="9"/>
      <c r="H38" s="9"/>
      <c r="I38" s="9"/>
      <c r="J38" s="9"/>
      <c r="K38" s="9"/>
      <c r="L38" s="9"/>
      <c r="M38" s="9" t="s">
        <v>52</v>
      </c>
      <c r="N38" s="9" t="s">
        <v>52</v>
      </c>
      <c r="O38" s="9" t="s">
        <v>52</v>
      </c>
      <c r="P38" s="9"/>
      <c r="Q38" s="9"/>
      <c r="R38" s="9"/>
      <c r="S38" s="9"/>
      <c r="T38" s="9"/>
      <c r="U38" s="9"/>
      <c r="V38" s="9"/>
      <c r="W38" s="9"/>
      <c r="X38" s="9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</row>
    <row r="39" spans="2:49" customFormat="1" x14ac:dyDescent="0.45">
      <c r="B39" s="4" t="s">
        <v>44</v>
      </c>
      <c r="C39" s="3"/>
      <c r="D39" s="3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</row>
    <row r="40" spans="2:49" customFormat="1" x14ac:dyDescent="0.45">
      <c r="B40" s="4" t="s">
        <v>45</v>
      </c>
      <c r="C40" s="3"/>
      <c r="D40" s="3"/>
      <c r="E40" s="9"/>
      <c r="F40" s="9"/>
      <c r="G40" s="9"/>
      <c r="H40" s="9"/>
      <c r="I40" s="9"/>
      <c r="J40" s="9"/>
      <c r="K40" s="9"/>
      <c r="L40" s="9"/>
      <c r="M40" s="10" t="str">
        <f>IF(M21=0,"",IF(M21&gt;minimos!E5,"SI","NO"))</f>
        <v>NO</v>
      </c>
      <c r="N40" s="10" t="str">
        <f>IF(N21=0,"",IF(N21&gt;minimos!F5,"SI","NO"))</f>
        <v>NO</v>
      </c>
      <c r="O40" s="10" t="str">
        <f>IF(O21=0,"",IF(O21&gt;minimos!G5,"SI","NO"))</f>
        <v>NO</v>
      </c>
      <c r="P40" s="10" t="str">
        <f>IF(P21=0,"",IF(P21&gt;minimos!H5,"SI","NO"))</f>
        <v/>
      </c>
      <c r="Q40" s="10" t="str">
        <f>IF(Q21=0,"",IF(Q21&gt;minimos!I5,"SI","NO"))</f>
        <v/>
      </c>
      <c r="R40" s="10" t="str">
        <f>IF(R21=0,"",IF(R21&gt;minimos!J5,"SI","NO"))</f>
        <v/>
      </c>
      <c r="S40" s="10" t="str">
        <f>IF(S21=0,"",IF(S21&gt;minimos!K5,"SI","NO"))</f>
        <v/>
      </c>
      <c r="T40" s="10" t="str">
        <f>IF(T21=0,"",IF(T21&gt;minimos!L5,"SI","NO"))</f>
        <v/>
      </c>
      <c r="U40" s="10" t="str">
        <f>IF(U21=0,"",IF(U21&gt;minimos!M5,"SI","NO"))</f>
        <v/>
      </c>
      <c r="V40" s="10" t="str">
        <f>IF(V21=0,"",IF(V21&gt;minimos!N5,"SI","NO"))</f>
        <v>SI</v>
      </c>
      <c r="W40" s="10" t="str">
        <f>IF(W21=0,"",IF(W21&gt;minimos!P5,"SI","NO"))</f>
        <v/>
      </c>
      <c r="X40" s="9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</row>
    <row r="41" spans="2:49" customFormat="1" x14ac:dyDescent="0.45">
      <c r="B41" s="12" t="s">
        <v>46</v>
      </c>
      <c r="C41" s="3"/>
      <c r="D41" s="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</row>
    <row r="42" spans="2:49" customFormat="1" x14ac:dyDescent="0.45">
      <c r="B42" s="12"/>
      <c r="C42" s="3"/>
      <c r="D42" s="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</row>
    <row r="43" spans="2:49" customFormat="1" ht="20.25" x14ac:dyDescent="0.45">
      <c r="B43" s="4" t="s">
        <v>58</v>
      </c>
      <c r="C43" s="3"/>
      <c r="D43" s="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</row>
    <row r="44" spans="2:49" customFormat="1" x14ac:dyDescent="0.45">
      <c r="B44" s="4" t="s">
        <v>59</v>
      </c>
      <c r="C44" s="3"/>
      <c r="D44" s="3"/>
      <c r="E44" s="9"/>
      <c r="F44" s="10" t="str">
        <f>IF(F21=0,"",((-0.0005*100*100*F$21*F$21+0.0413*100*F$21+0.6533)/100))</f>
        <v/>
      </c>
      <c r="G44" s="10"/>
      <c r="H44" s="10"/>
      <c r="I44" s="10"/>
      <c r="J44" s="10"/>
      <c r="K44" s="10">
        <f>IF(K21=0,"",((-0.0005*100*100*K$21*K$21+0.0413*100*K$21+0.6533)/100))</f>
        <v>7.8642320000000005E-3</v>
      </c>
      <c r="L44" s="13" t="str">
        <f>IF(L21=0,"",((-0.0007*10000*L$21*L$21+0.0769*100*L$21+0.3941)/100))</f>
        <v/>
      </c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</row>
    <row r="45" spans="2:49" customFormat="1" x14ac:dyDescent="0.45">
      <c r="B45" s="11" t="s">
        <v>50</v>
      </c>
      <c r="C45" s="3"/>
      <c r="D45" s="3"/>
      <c r="E45" s="10"/>
      <c r="F45" s="10" t="str">
        <f>IF(F21=0,"",IF(OR(F21&lt;4.001%,F21&gt;32.001%),"SI","NO"))</f>
        <v/>
      </c>
      <c r="G45" s="9"/>
      <c r="H45" s="9"/>
      <c r="I45" s="9"/>
      <c r="J45" s="9"/>
      <c r="K45" s="10" t="str">
        <f>IF(K21=0,"",IF(OR(K21&lt;4.001%,K21&gt;32.001%),"SI","NO"))</f>
        <v>SI</v>
      </c>
      <c r="L45" s="10" t="str">
        <f>IF(L21=0,"",IF(OR(L21&lt;4.001%,L21&gt;32.001%),"SI","NO"))</f>
        <v/>
      </c>
      <c r="M45" s="10">
        <f>IF(M21=0,"",((0.42+0.105*100*M$21)/100))</f>
        <v>2.121E-2</v>
      </c>
      <c r="N45" s="10">
        <f>IF(N21=0,"",((0.5+0.125*100*N$21)/100))</f>
        <v>2.6835000000000001E-2</v>
      </c>
      <c r="O45" s="10">
        <f>IF(O21=0,"",((0.3+0.075*100*O$21)/100))</f>
        <v>7.0350000000000005E-3</v>
      </c>
      <c r="P45" s="10" t="str">
        <f>IF(P21=0,"",((0.005+0.25*100*P$21)/100))</f>
        <v/>
      </c>
      <c r="Q45" s="10" t="str">
        <f>IF(Q21=0,"",((0.000125+0.375*100*Q$21)/100))</f>
        <v/>
      </c>
      <c r="R45" s="10" t="str">
        <f>IF(R21=0,"",((0.015+0.3*100*R$21)/100))</f>
        <v/>
      </c>
      <c r="S45" s="10" t="str">
        <f>IF(S21=0,"",((0.015+0.3*100*S$21)/100))</f>
        <v/>
      </c>
      <c r="T45" s="10" t="str">
        <f>IF(T21=0,"",((0.015+0.3*100*T$21)/100))</f>
        <v/>
      </c>
      <c r="U45" s="10" t="str">
        <f>IF(U21=0,"",((0.000125+0.375*100*U$21)/100))</f>
        <v/>
      </c>
      <c r="V45" s="10"/>
      <c r="W45" s="10" t="str">
        <f>IF(W21=0,"",((0.015+0.3*100*W$21)/100))</f>
        <v/>
      </c>
      <c r="X45" s="10" t="str">
        <f>IF(X21=0,"",((0.015+0.3*100*X$21)/100))</f>
        <v/>
      </c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</row>
    <row r="46" spans="2:49" customFormat="1" x14ac:dyDescent="0.45">
      <c r="B46" s="11" t="s">
        <v>60</v>
      </c>
      <c r="C46" s="3"/>
      <c r="D46" s="3"/>
      <c r="E46" s="4"/>
      <c r="F46" s="9"/>
      <c r="G46" s="9"/>
      <c r="H46" s="9"/>
      <c r="I46" s="9"/>
      <c r="J46" s="9"/>
      <c r="K46" s="9"/>
      <c r="L46" s="9"/>
      <c r="M46" s="4" t="str">
        <f t="shared" ref="M46:U46" si="2">IF(M21=0,"",IF(OR(M45&gt;M21/2,M45&gt;1.501%),"SI","NO"))</f>
        <v>SI</v>
      </c>
      <c r="N46" s="4" t="str">
        <f t="shared" si="2"/>
        <v>SI</v>
      </c>
      <c r="O46" s="4" t="str">
        <f t="shared" si="2"/>
        <v>NO</v>
      </c>
      <c r="P46" s="4" t="str">
        <f t="shared" si="2"/>
        <v/>
      </c>
      <c r="Q46" s="4" t="str">
        <f t="shared" si="2"/>
        <v/>
      </c>
      <c r="R46" s="4" t="str">
        <f t="shared" si="2"/>
        <v/>
      </c>
      <c r="S46" s="4" t="str">
        <f t="shared" si="2"/>
        <v/>
      </c>
      <c r="T46" s="4" t="str">
        <f t="shared" si="2"/>
        <v/>
      </c>
      <c r="U46" s="4" t="str">
        <f t="shared" si="2"/>
        <v/>
      </c>
      <c r="V46" s="4" t="str">
        <f>IF(V5="SiO2","",IF(V21=0,"",IF(OR(V45&gt;V21/2,V45&gt;1.501%),"SI","NO")))</f>
        <v/>
      </c>
      <c r="W46" s="4" t="str">
        <f>IF(W21=0,"",IF(OR(W45&gt;W21/2,W45&gt;1.501%),"SI","NO"))</f>
        <v/>
      </c>
      <c r="X46" s="4" t="str">
        <f>IF(X21=0,"",IF(OR(X45&gt;X21/2,X45&gt;1.501%),"SI","NO"))</f>
        <v/>
      </c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</row>
    <row r="47" spans="2:49" customFormat="1" x14ac:dyDescent="0.45">
      <c r="B47" s="4" t="s">
        <v>40</v>
      </c>
      <c r="C47" s="3"/>
      <c r="D47" s="3"/>
      <c r="E47" s="16"/>
      <c r="F47" s="10" t="str">
        <f>IF(F21=0,"",IF(F45="NO",F44,IF(F21&lt;4%,0.81%,1.46%)))</f>
        <v/>
      </c>
      <c r="G47" s="16"/>
      <c r="H47" s="16"/>
      <c r="I47" s="16"/>
      <c r="J47" s="16"/>
      <c r="K47" s="16">
        <f>IF(K21=0,"",IF(K45="NO",K44,IF(K21&lt;4%,0.81%,1.46%)))</f>
        <v>8.1000000000000013E-3</v>
      </c>
      <c r="L47" s="16" t="str">
        <f>IF(L21=0,"",IF(L45="NO",L44,IF(L21&lt;4%,0.69%,2.14%)))</f>
        <v/>
      </c>
      <c r="M47" s="16">
        <f t="shared" ref="M47:U47" si="3">IF(M21=0,"",IF(M45="NO",M44,1.5%))</f>
        <v>1.4999999999999999E-2</v>
      </c>
      <c r="N47" s="16">
        <f t="shared" si="3"/>
        <v>1.4999999999999999E-2</v>
      </c>
      <c r="O47" s="16">
        <f t="shared" si="3"/>
        <v>1.4999999999999999E-2</v>
      </c>
      <c r="P47" s="16" t="str">
        <f t="shared" si="3"/>
        <v/>
      </c>
      <c r="Q47" s="16" t="str">
        <f t="shared" si="3"/>
        <v/>
      </c>
      <c r="R47" s="16" t="str">
        <f t="shared" si="3"/>
        <v/>
      </c>
      <c r="S47" s="16" t="str">
        <f t="shared" si="3"/>
        <v/>
      </c>
      <c r="T47" s="16" t="str">
        <f t="shared" si="3"/>
        <v/>
      </c>
      <c r="U47" s="16" t="str">
        <f t="shared" si="3"/>
        <v/>
      </c>
      <c r="V47" s="16" t="str">
        <f>IF(V5="SiO2","",IF(V21=0,"",IF(V45="NO",V44,1.5%)))</f>
        <v/>
      </c>
      <c r="W47" s="16" t="str">
        <f>IF(W21=0,"",IF(W45="NO",W44,1.5%))</f>
        <v/>
      </c>
      <c r="X47" s="16" t="str">
        <f>IF(X21=0,"",IF(X45="NO",X44,1.5%))</f>
        <v/>
      </c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</row>
    <row r="48" spans="2:49" customFormat="1" x14ac:dyDescent="0.45">
      <c r="B48" s="12" t="s">
        <v>47</v>
      </c>
      <c r="C48" s="3"/>
      <c r="D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</row>
    <row r="49" spans="2:49" customFormat="1" ht="15" customHeight="1" x14ac:dyDescent="0.45">
      <c r="B49" s="12" t="s">
        <v>48</v>
      </c>
      <c r="C49" s="3"/>
      <c r="D49" s="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</row>
    <row r="50" spans="2:49" customFormat="1" ht="15" customHeight="1" x14ac:dyDescent="0.45">
      <c r="B50" s="12" t="s">
        <v>49</v>
      </c>
      <c r="C50" s="3"/>
      <c r="D50" s="3"/>
      <c r="E50" s="4"/>
      <c r="F50" s="4"/>
      <c r="G50" s="4" t="e" cm="1">
        <f t="array" ref="G50">indic</f>
        <v>#NAME?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</row>
    <row r="51" spans="2:49" customFormat="1" ht="15" customHeight="1" x14ac:dyDescent="0.45">
      <c r="B51" s="4"/>
      <c r="C51" s="3"/>
      <c r="D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</row>
    <row r="52" spans="2:49" customFormat="1" x14ac:dyDescent="0.45">
      <c r="B52" s="4" t="s">
        <v>83</v>
      </c>
      <c r="C52" s="3"/>
      <c r="D52" s="3"/>
      <c r="E52" s="10" t="str">
        <f>IF(E5="C","",IF(E21=0,"",E53-E47))</f>
        <v/>
      </c>
      <c r="F52" s="10" t="str">
        <f t="shared" ref="F52:U52" si="4">IF(F21=0,"",F53-F47)</f>
        <v/>
      </c>
      <c r="G52" s="10" t="str">
        <f t="shared" si="4"/>
        <v/>
      </c>
      <c r="H52" s="10" t="str">
        <f t="shared" si="4"/>
        <v/>
      </c>
      <c r="I52" s="10" t="str">
        <f t="shared" si="4"/>
        <v/>
      </c>
      <c r="J52" s="10" t="str">
        <f t="shared" si="4"/>
        <v/>
      </c>
      <c r="K52" s="10">
        <f t="shared" si="4"/>
        <v>2.5499999999999995E-2</v>
      </c>
      <c r="L52" s="10" t="str">
        <f t="shared" si="4"/>
        <v/>
      </c>
      <c r="M52" s="10">
        <f t="shared" si="4"/>
        <v>0.14699999999999996</v>
      </c>
      <c r="N52" s="10">
        <f t="shared" si="4"/>
        <v>0.15967999999999999</v>
      </c>
      <c r="O52" s="10">
        <f t="shared" si="4"/>
        <v>3.8799999999999994E-2</v>
      </c>
      <c r="P52" s="10" t="str">
        <f t="shared" si="4"/>
        <v/>
      </c>
      <c r="Q52" s="10" t="str">
        <f t="shared" si="4"/>
        <v/>
      </c>
      <c r="R52" s="10" t="str">
        <f t="shared" si="4"/>
        <v/>
      </c>
      <c r="S52" s="10" t="str">
        <f t="shared" si="4"/>
        <v/>
      </c>
      <c r="T52" s="10" t="str">
        <f t="shared" si="4"/>
        <v/>
      </c>
      <c r="U52" s="10" t="str">
        <f t="shared" si="4"/>
        <v/>
      </c>
      <c r="V52" s="10" t="str">
        <f>IF(V5="SiO2","",IF(V21=0,"",V53-V47))</f>
        <v/>
      </c>
      <c r="W52" s="10" t="str">
        <f>IF(W21=0,"",W53-W47)</f>
        <v/>
      </c>
      <c r="X52" s="10" t="str">
        <f>IF(X21=0,"",X53-X47)</f>
        <v/>
      </c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</row>
    <row r="53" spans="2:49" customFormat="1" x14ac:dyDescent="0.45">
      <c r="B53" s="4" t="str">
        <f>_xlfn.CONCAT("SOLICITUD DE REGISTRO ICA: ",B5)</f>
        <v>SOLICITUD DE REGISTRO ICA: MATERIA PRIMA</v>
      </c>
      <c r="C53" s="3"/>
      <c r="D53" s="3"/>
      <c r="E53" s="10" t="str">
        <f>IF(E21=0,"",E21)</f>
        <v/>
      </c>
      <c r="F53" s="10" t="str">
        <f>IF(F21=0,"",F21)</f>
        <v/>
      </c>
      <c r="G53" s="10" t="str">
        <f t="shared" ref="G53:X53" si="5">IF(G21=0,"",G21)</f>
        <v/>
      </c>
      <c r="H53" s="10" t="str">
        <f t="shared" si="5"/>
        <v/>
      </c>
      <c r="I53" s="10" t="str">
        <f t="shared" si="5"/>
        <v/>
      </c>
      <c r="J53" s="10" t="str">
        <f t="shared" si="5"/>
        <v/>
      </c>
      <c r="K53" s="10">
        <f t="shared" si="5"/>
        <v>3.3599999999999998E-2</v>
      </c>
      <c r="L53" s="10" t="str">
        <f t="shared" si="5"/>
        <v/>
      </c>
      <c r="M53" s="10">
        <f t="shared" si="5"/>
        <v>0.16199999999999998</v>
      </c>
      <c r="N53" s="10">
        <f t="shared" si="5"/>
        <v>0.17468</v>
      </c>
      <c r="O53" s="10">
        <f t="shared" si="5"/>
        <v>5.3799999999999994E-2</v>
      </c>
      <c r="P53" s="10" t="str">
        <f t="shared" si="5"/>
        <v/>
      </c>
      <c r="Q53" s="10" t="str">
        <f t="shared" si="5"/>
        <v/>
      </c>
      <c r="R53" s="10" t="str">
        <f t="shared" si="5"/>
        <v/>
      </c>
      <c r="S53" s="10" t="str">
        <f t="shared" si="5"/>
        <v/>
      </c>
      <c r="T53" s="10" t="str">
        <f t="shared" si="5"/>
        <v/>
      </c>
      <c r="U53" s="10" t="str">
        <f t="shared" si="5"/>
        <v/>
      </c>
      <c r="V53" s="10">
        <f t="shared" si="5"/>
        <v>0.195744</v>
      </c>
      <c r="W53" s="10" t="str">
        <f t="shared" si="5"/>
        <v/>
      </c>
      <c r="X53" s="10" t="str">
        <f t="shared" si="5"/>
        <v/>
      </c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</row>
    <row r="54" spans="2:49" customFormat="1" x14ac:dyDescent="0.45">
      <c r="B54" s="4" t="s">
        <v>84</v>
      </c>
      <c r="C54" s="3"/>
      <c r="D54" s="3"/>
      <c r="E54" s="10" t="str">
        <f>IF(E5="C","",IF(E21=0,"",E53+E47))</f>
        <v/>
      </c>
      <c r="F54" s="10" t="str">
        <f t="shared" ref="F54:U54" si="6">IF(F21=0,"",F53+F47)</f>
        <v/>
      </c>
      <c r="G54" s="10" t="str">
        <f t="shared" si="6"/>
        <v/>
      </c>
      <c r="H54" s="10" t="str">
        <f t="shared" si="6"/>
        <v/>
      </c>
      <c r="I54" s="10" t="str">
        <f t="shared" si="6"/>
        <v/>
      </c>
      <c r="J54" s="10" t="str">
        <f t="shared" si="6"/>
        <v/>
      </c>
      <c r="K54" s="10">
        <f t="shared" si="6"/>
        <v>4.1700000000000001E-2</v>
      </c>
      <c r="L54" s="10" t="str">
        <f t="shared" si="6"/>
        <v/>
      </c>
      <c r="M54" s="10">
        <f t="shared" si="6"/>
        <v>0.17699999999999999</v>
      </c>
      <c r="N54" s="10">
        <f t="shared" si="6"/>
        <v>0.18968000000000002</v>
      </c>
      <c r="O54" s="10">
        <f t="shared" si="6"/>
        <v>6.88E-2</v>
      </c>
      <c r="P54" s="10" t="str">
        <f t="shared" si="6"/>
        <v/>
      </c>
      <c r="Q54" s="10" t="str">
        <f t="shared" si="6"/>
        <v/>
      </c>
      <c r="R54" s="10" t="str">
        <f t="shared" si="6"/>
        <v/>
      </c>
      <c r="S54" s="10" t="str">
        <f t="shared" si="6"/>
        <v/>
      </c>
      <c r="T54" s="10" t="str">
        <f t="shared" si="6"/>
        <v/>
      </c>
      <c r="U54" s="10" t="str">
        <f t="shared" si="6"/>
        <v/>
      </c>
      <c r="V54" s="10" t="str">
        <f>IF(V5="SiO2","",IF(V21=0,"",V53+V47))</f>
        <v/>
      </c>
      <c r="W54" s="10" t="str">
        <f>IF(W21=0,"",W53+W47)</f>
        <v/>
      </c>
      <c r="X54" s="10" t="str">
        <f>IF(X21=0,"",X53+X47)</f>
        <v/>
      </c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</row>
  </sheetData>
  <conditionalFormatting sqref="E47:X47 K45:X45 E45:F45 E52:X54 E21:X21">
    <cfRule type="cellIs" dxfId="203" priority="34" operator="equal">
      <formula>0</formula>
    </cfRule>
    <cfRule type="containsBlanks" dxfId="202" priority="50">
      <formula>LEN(TRIM(E21))=0</formula>
    </cfRule>
  </conditionalFormatting>
  <conditionalFormatting sqref="F37:K37">
    <cfRule type="cellIs" dxfId="201" priority="41" operator="equal">
      <formula>0</formula>
    </cfRule>
    <cfRule type="containsBlanks" dxfId="200" priority="42">
      <formula>LEN(TRIM(F37))=0</formula>
    </cfRule>
  </conditionalFormatting>
  <conditionalFormatting sqref="F44:K44">
    <cfRule type="cellIs" dxfId="199" priority="45" operator="equal">
      <formula>0</formula>
    </cfRule>
    <cfRule type="containsBlanks" dxfId="198" priority="46">
      <formula>LEN(TRIM(F44))=0</formula>
    </cfRule>
  </conditionalFormatting>
  <conditionalFormatting sqref="F46:L46 M37:X37 M44:X44 E44 P38:X39 X40 E37:E40 E6:X10 E15:X19">
    <cfRule type="cellIs" dxfId="197" priority="38" operator="equal">
      <formula>0</formula>
    </cfRule>
    <cfRule type="containsBlanks" dxfId="196" priority="49">
      <formula>LEN(TRIM(E6))=0</formula>
    </cfRule>
  </conditionalFormatting>
  <conditionalFormatting sqref="F38:O39 F40:L40">
    <cfRule type="cellIs" dxfId="195" priority="43" operator="equal">
      <formula>0</formula>
    </cfRule>
    <cfRule type="containsBlanks" dxfId="194" priority="44">
      <formula>LEN(TRIM(F38))=0</formula>
    </cfRule>
  </conditionalFormatting>
  <conditionalFormatting sqref="P40:W40">
    <cfRule type="cellIs" dxfId="193" priority="47" operator="equal">
      <formula>0</formula>
    </cfRule>
    <cfRule type="containsBlanks" dxfId="192" priority="48">
      <formula>LEN(TRIM(P40))=0</formula>
    </cfRule>
  </conditionalFormatting>
  <conditionalFormatting sqref="G45:J45">
    <cfRule type="cellIs" dxfId="191" priority="39" operator="equal">
      <formula>0</formula>
    </cfRule>
    <cfRule type="containsBlanks" dxfId="190" priority="40">
      <formula>LEN(TRIM(G45))=0</formula>
    </cfRule>
  </conditionalFormatting>
  <conditionalFormatting sqref="E6:X10">
    <cfRule type="notContainsBlanks" dxfId="189" priority="36">
      <formula>LEN(TRIM(E6))&gt;0</formula>
    </cfRule>
  </conditionalFormatting>
  <conditionalFormatting sqref="E15:X19">
    <cfRule type="notContainsBlanks" dxfId="188" priority="35">
      <formula>LEN(TRIM(E15))&gt;0</formula>
    </cfRule>
  </conditionalFormatting>
  <conditionalFormatting sqref="E21:X21">
    <cfRule type="notContainsBlanks" dxfId="187" priority="37">
      <formula>LEN(TRIM(E21))&gt;0</formula>
    </cfRule>
  </conditionalFormatting>
  <conditionalFormatting sqref="E52:X54">
    <cfRule type="notContainsBlanks" dxfId="186" priority="33">
      <formula>LEN(TRIM(E52))&gt;0</formula>
    </cfRule>
  </conditionalFormatting>
  <conditionalFormatting sqref="M40:O40">
    <cfRule type="cellIs" dxfId="185" priority="31" operator="equal">
      <formula>0</formula>
    </cfRule>
    <cfRule type="containsBlanks" dxfId="184" priority="32">
      <formula>LEN(TRIM(M40))=0</formula>
    </cfRule>
  </conditionalFormatting>
  <conditionalFormatting sqref="K22">
    <cfRule type="cellIs" dxfId="183" priority="28" operator="equal">
      <formula>0</formula>
    </cfRule>
    <cfRule type="containsBlanks" dxfId="182" priority="30">
      <formula>LEN(TRIM(K22))=0</formula>
    </cfRule>
  </conditionalFormatting>
  <conditionalFormatting sqref="K22">
    <cfRule type="notContainsBlanks" dxfId="181" priority="29">
      <formula>LEN(TRIM(K22))&gt;0</formula>
    </cfRule>
  </conditionalFormatting>
  <conditionalFormatting sqref="M22">
    <cfRule type="cellIs" dxfId="180" priority="25" operator="equal">
      <formula>0</formula>
    </cfRule>
    <cfRule type="containsBlanks" dxfId="179" priority="27">
      <formula>LEN(TRIM(M22))=0</formula>
    </cfRule>
  </conditionalFormatting>
  <conditionalFormatting sqref="M22">
    <cfRule type="notContainsBlanks" dxfId="178" priority="26">
      <formula>LEN(TRIM(M22))&gt;0</formula>
    </cfRule>
  </conditionalFormatting>
  <conditionalFormatting sqref="N22">
    <cfRule type="cellIs" dxfId="177" priority="22" operator="equal">
      <formula>0</formula>
    </cfRule>
    <cfRule type="containsBlanks" dxfId="176" priority="24">
      <formula>LEN(TRIM(N22))=0</formula>
    </cfRule>
  </conditionalFormatting>
  <conditionalFormatting sqref="N22">
    <cfRule type="notContainsBlanks" dxfId="175" priority="23">
      <formula>LEN(TRIM(N22))&gt;0</formula>
    </cfRule>
  </conditionalFormatting>
  <conditionalFormatting sqref="O22">
    <cfRule type="cellIs" dxfId="174" priority="19" operator="equal">
      <formula>0</formula>
    </cfRule>
    <cfRule type="containsBlanks" dxfId="173" priority="21">
      <formula>LEN(TRIM(O22))=0</formula>
    </cfRule>
  </conditionalFormatting>
  <conditionalFormatting sqref="O22">
    <cfRule type="notContainsBlanks" dxfId="172" priority="20">
      <formula>LEN(TRIM(O22))&gt;0</formula>
    </cfRule>
  </conditionalFormatting>
  <conditionalFormatting sqref="V22">
    <cfRule type="cellIs" dxfId="171" priority="16" operator="equal">
      <formula>0</formula>
    </cfRule>
    <cfRule type="containsBlanks" dxfId="170" priority="18">
      <formula>LEN(TRIM(V22))=0</formula>
    </cfRule>
  </conditionalFormatting>
  <conditionalFormatting sqref="V22">
    <cfRule type="notContainsBlanks" dxfId="169" priority="17">
      <formula>LEN(TRIM(V22))&gt;0</formula>
    </cfRule>
  </conditionalFormatting>
  <conditionalFormatting sqref="K23:K34">
    <cfRule type="cellIs" dxfId="168" priority="13" operator="equal">
      <formula>0</formula>
    </cfRule>
    <cfRule type="containsBlanks" dxfId="167" priority="15">
      <formula>LEN(TRIM(K23))=0</formula>
    </cfRule>
  </conditionalFormatting>
  <conditionalFormatting sqref="K23:K34">
    <cfRule type="notContainsBlanks" dxfId="166" priority="14">
      <formula>LEN(TRIM(K23))&gt;0</formula>
    </cfRule>
  </conditionalFormatting>
  <conditionalFormatting sqref="M23:M34">
    <cfRule type="cellIs" dxfId="165" priority="10" operator="equal">
      <formula>0</formula>
    </cfRule>
    <cfRule type="containsBlanks" dxfId="164" priority="12">
      <formula>LEN(TRIM(M23))=0</formula>
    </cfRule>
  </conditionalFormatting>
  <conditionalFormatting sqref="M23:M34">
    <cfRule type="notContainsBlanks" dxfId="163" priority="11">
      <formula>LEN(TRIM(M23))&gt;0</formula>
    </cfRule>
  </conditionalFormatting>
  <conditionalFormatting sqref="N23:N34">
    <cfRule type="cellIs" dxfId="162" priority="7" operator="equal">
      <formula>0</formula>
    </cfRule>
    <cfRule type="containsBlanks" dxfId="161" priority="9">
      <formula>LEN(TRIM(N23))=0</formula>
    </cfRule>
  </conditionalFormatting>
  <conditionalFormatting sqref="N23:N34">
    <cfRule type="notContainsBlanks" dxfId="160" priority="8">
      <formula>LEN(TRIM(N23))&gt;0</formula>
    </cfRule>
  </conditionalFormatting>
  <conditionalFormatting sqref="O23:O34">
    <cfRule type="cellIs" dxfId="159" priority="4" operator="equal">
      <formula>0</formula>
    </cfRule>
    <cfRule type="containsBlanks" dxfId="158" priority="6">
      <formula>LEN(TRIM(O23))=0</formula>
    </cfRule>
  </conditionalFormatting>
  <conditionalFormatting sqref="O23:O34">
    <cfRule type="notContainsBlanks" dxfId="157" priority="5">
      <formula>LEN(TRIM(O23))&gt;0</formula>
    </cfRule>
  </conditionalFormatting>
  <conditionalFormatting sqref="V23:V34">
    <cfRule type="cellIs" dxfId="156" priority="1" operator="equal">
      <formula>0</formula>
    </cfRule>
    <cfRule type="containsBlanks" dxfId="155" priority="3">
      <formula>LEN(TRIM(V23))=0</formula>
    </cfRule>
  </conditionalFormatting>
  <conditionalFormatting sqref="V23:V34">
    <cfRule type="notContainsBlanks" dxfId="154" priority="2">
      <formula>LEN(TRIM(V23))&gt;0</formula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264A8-B5AB-45AA-8635-797FB21F9DEA}">
  <dimension ref="B5:AW43"/>
  <sheetViews>
    <sheetView topLeftCell="C1" zoomScale="70" zoomScaleNormal="70" workbookViewId="0">
      <selection activeCell="M49" sqref="M49"/>
    </sheetView>
  </sheetViews>
  <sheetFormatPr baseColWidth="10" defaultColWidth="8.88671875" defaultRowHeight="19.5" x14ac:dyDescent="0.45"/>
  <cols>
    <col min="1" max="1" width="8.88671875" style="4"/>
    <col min="2" max="2" width="55" style="4" bestFit="1" customWidth="1"/>
    <col min="3" max="3" width="10" style="3" customWidth="1"/>
    <col min="4" max="4" width="11" style="3" customWidth="1"/>
    <col min="5" max="24" width="7.33203125" style="4" customWidth="1"/>
    <col min="26" max="48" width="5.44140625" style="4" customWidth="1"/>
    <col min="49" max="16384" width="8.88671875" style="4"/>
  </cols>
  <sheetData>
    <row r="5" spans="2:49" ht="20.25" thickBot="1" x14ac:dyDescent="0.5">
      <c r="B5" s="67" t="s">
        <v>17</v>
      </c>
      <c r="C5" s="8" t="s">
        <v>18</v>
      </c>
      <c r="D5" s="7" t="s">
        <v>19</v>
      </c>
      <c r="E5" s="62" t="s">
        <v>16</v>
      </c>
      <c r="F5" s="62" t="s">
        <v>1</v>
      </c>
      <c r="G5" s="62" t="s">
        <v>21</v>
      </c>
      <c r="H5" s="62" t="s">
        <v>22</v>
      </c>
      <c r="I5" s="62" t="s">
        <v>23</v>
      </c>
      <c r="J5" s="62" t="s">
        <v>24</v>
      </c>
      <c r="K5" s="62" t="s">
        <v>2</v>
      </c>
      <c r="L5" s="62" t="s">
        <v>3</v>
      </c>
      <c r="M5" s="62" t="s">
        <v>4</v>
      </c>
      <c r="N5" s="62" t="s">
        <v>5</v>
      </c>
      <c r="O5" s="62" t="s">
        <v>6</v>
      </c>
      <c r="P5" s="62" t="s">
        <v>9</v>
      </c>
      <c r="Q5" s="62" t="s">
        <v>14</v>
      </c>
      <c r="R5" s="62" t="s">
        <v>12</v>
      </c>
      <c r="S5" s="62" t="s">
        <v>13</v>
      </c>
      <c r="T5" s="62" t="s">
        <v>11</v>
      </c>
      <c r="U5" s="62" t="s">
        <v>10</v>
      </c>
      <c r="V5" s="62" t="s">
        <v>7</v>
      </c>
      <c r="W5" s="62" t="s">
        <v>8</v>
      </c>
      <c r="X5" s="62" t="s">
        <v>15</v>
      </c>
    </row>
    <row r="6" spans="2:49" x14ac:dyDescent="0.45">
      <c r="B6" s="66" t="s">
        <v>97</v>
      </c>
      <c r="C6" s="5">
        <v>200</v>
      </c>
      <c r="D6" s="62">
        <f>Tabla1[[#This Row],[kg / Ton]]/10</f>
        <v>20</v>
      </c>
      <c r="E6" s="65"/>
      <c r="F6" s="65">
        <v>0.46</v>
      </c>
      <c r="G6" s="65"/>
      <c r="H6" s="65"/>
      <c r="I6" s="65"/>
      <c r="J6" s="65">
        <v>0.46</v>
      </c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3"/>
    </row>
    <row r="7" spans="2:49" x14ac:dyDescent="0.45">
      <c r="B7" s="66" t="s">
        <v>98</v>
      </c>
      <c r="C7" s="5">
        <v>100</v>
      </c>
      <c r="D7" s="62">
        <f>Tabla1[[#This Row],[kg / Ton]]/10</f>
        <v>10</v>
      </c>
      <c r="E7" s="65"/>
      <c r="F7" s="65">
        <v>0.1</v>
      </c>
      <c r="G7" s="65">
        <v>0.1</v>
      </c>
      <c r="H7" s="65"/>
      <c r="I7" s="65"/>
      <c r="J7" s="65"/>
      <c r="K7" s="65">
        <v>0.5</v>
      </c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4"/>
      <c r="AW7" s="6"/>
    </row>
    <row r="8" spans="2:49" x14ac:dyDescent="0.45">
      <c r="B8" s="66" t="s">
        <v>99</v>
      </c>
      <c r="C8" s="5">
        <v>100</v>
      </c>
      <c r="D8" s="62">
        <f>Tabla1[[#This Row],[kg / Ton]]/10</f>
        <v>10</v>
      </c>
      <c r="E8" s="65"/>
      <c r="F8" s="65"/>
      <c r="G8" s="65"/>
      <c r="H8" s="65"/>
      <c r="I8" s="65"/>
      <c r="J8" s="65"/>
      <c r="K8" s="65"/>
      <c r="L8" s="65"/>
      <c r="M8" s="65">
        <v>0.18</v>
      </c>
      <c r="N8" s="65">
        <v>0.18</v>
      </c>
      <c r="O8" s="65">
        <v>0.04</v>
      </c>
      <c r="P8" s="65"/>
      <c r="Q8" s="65"/>
      <c r="R8" s="65"/>
      <c r="S8" s="65"/>
      <c r="T8" s="65"/>
      <c r="U8" s="65"/>
      <c r="V8" s="65">
        <v>0.14000000000000001</v>
      </c>
      <c r="W8" s="65"/>
      <c r="X8" s="65"/>
      <c r="Y8" s="64"/>
      <c r="AW8" s="6"/>
    </row>
    <row r="9" spans="2:49" x14ac:dyDescent="0.45">
      <c r="B9" s="66" t="s">
        <v>100</v>
      </c>
      <c r="C9" s="5">
        <v>450</v>
      </c>
      <c r="D9" s="62">
        <f>Tabla1[[#This Row],[kg / Ton]]/10</f>
        <v>45</v>
      </c>
      <c r="E9" s="65"/>
      <c r="F9" s="65"/>
      <c r="G9" s="65"/>
      <c r="H9" s="65"/>
      <c r="I9" s="65"/>
      <c r="J9" s="65"/>
      <c r="K9" s="65"/>
      <c r="L9" s="65">
        <v>0.6</v>
      </c>
      <c r="M9" s="65"/>
      <c r="N9" s="80"/>
      <c r="O9" s="65"/>
      <c r="P9" s="65"/>
      <c r="Q9" s="65"/>
      <c r="R9" s="65"/>
      <c r="S9" s="65"/>
      <c r="T9" s="65"/>
      <c r="U9" s="65"/>
      <c r="V9" s="65"/>
      <c r="W9" s="65"/>
      <c r="X9" s="65"/>
      <c r="Y9" s="64"/>
      <c r="AW9" s="6"/>
    </row>
    <row r="10" spans="2:49" x14ac:dyDescent="0.45">
      <c r="B10" s="66" t="s">
        <v>101</v>
      </c>
      <c r="C10" s="5">
        <v>150</v>
      </c>
      <c r="D10" s="62">
        <f>Tabla1[[#This Row],[kg / Ton]]/10</f>
        <v>15</v>
      </c>
      <c r="E10" s="65"/>
      <c r="F10" s="65">
        <v>0.21</v>
      </c>
      <c r="G10" s="65">
        <v>0.21</v>
      </c>
      <c r="H10" s="65"/>
      <c r="I10" s="65"/>
      <c r="J10" s="65"/>
      <c r="K10" s="65"/>
      <c r="L10" s="65"/>
      <c r="M10" s="65"/>
      <c r="N10" s="65"/>
      <c r="O10" s="65">
        <v>0.24</v>
      </c>
      <c r="P10" s="65"/>
      <c r="Q10" s="65"/>
      <c r="R10" s="65"/>
      <c r="S10" s="65"/>
      <c r="T10" s="65"/>
      <c r="U10" s="65"/>
      <c r="V10" s="65"/>
      <c r="W10" s="65"/>
      <c r="X10" s="65"/>
      <c r="Y10" s="64"/>
      <c r="AW10" s="6"/>
    </row>
    <row r="11" spans="2:49" x14ac:dyDescent="0.45">
      <c r="B11" s="4" t="s">
        <v>25</v>
      </c>
      <c r="C11" s="3">
        <f>SUM(C6:C10)</f>
        <v>1000</v>
      </c>
      <c r="D11" s="3">
        <v>100</v>
      </c>
      <c r="AW11" s="6"/>
    </row>
    <row r="12" spans="2:49" x14ac:dyDescent="0.45">
      <c r="B12" s="4" t="s">
        <v>26</v>
      </c>
      <c r="AW12" s="6"/>
    </row>
    <row r="13" spans="2:49" x14ac:dyDescent="0.45">
      <c r="AW13" s="6"/>
    </row>
    <row r="14" spans="2:49" ht="20.25" thickBot="1" x14ac:dyDescent="0.5">
      <c r="B14" s="67" t="s">
        <v>17</v>
      </c>
      <c r="C14" s="8" t="s">
        <v>18</v>
      </c>
      <c r="D14" s="7" t="s">
        <v>19</v>
      </c>
      <c r="E14" s="62" t="s">
        <v>80</v>
      </c>
      <c r="F14" s="62" t="s">
        <v>61</v>
      </c>
      <c r="G14" s="62" t="s">
        <v>62</v>
      </c>
      <c r="H14" s="62" t="s">
        <v>63</v>
      </c>
      <c r="I14" s="62" t="s">
        <v>64</v>
      </c>
      <c r="J14" s="62" t="s">
        <v>65</v>
      </c>
      <c r="K14" s="62" t="s">
        <v>67</v>
      </c>
      <c r="L14" s="62" t="s">
        <v>68</v>
      </c>
      <c r="M14" s="62" t="s">
        <v>66</v>
      </c>
      <c r="N14" s="62" t="s">
        <v>69</v>
      </c>
      <c r="O14" s="62" t="s">
        <v>70</v>
      </c>
      <c r="P14" s="62" t="s">
        <v>71</v>
      </c>
      <c r="Q14" s="62" t="s">
        <v>72</v>
      </c>
      <c r="R14" s="62" t="s">
        <v>73</v>
      </c>
      <c r="S14" s="62" t="s">
        <v>74</v>
      </c>
      <c r="T14" s="62" t="s">
        <v>75</v>
      </c>
      <c r="U14" s="62" t="s">
        <v>76</v>
      </c>
      <c r="V14" s="62" t="s">
        <v>77</v>
      </c>
      <c r="W14" s="62" t="s">
        <v>78</v>
      </c>
      <c r="X14" s="62" t="s">
        <v>79</v>
      </c>
    </row>
    <row r="15" spans="2:49" x14ac:dyDescent="0.45">
      <c r="B15" s="66" t="s">
        <v>97</v>
      </c>
      <c r="C15" s="5">
        <f>C6</f>
        <v>200</v>
      </c>
      <c r="D15" s="62">
        <f>D6</f>
        <v>20</v>
      </c>
      <c r="E15" s="80" t="str">
        <f>IF(E6="","",E6*$D6/$D$11)</f>
        <v/>
      </c>
      <c r="F15" s="80">
        <f>IF(F6="","",SUM(G15:J15))</f>
        <v>9.2000000000000012E-2</v>
      </c>
      <c r="G15" s="80" t="str">
        <f t="shared" ref="G15:X15" si="0">IF(G6="","",G6*$D6/$D$11)</f>
        <v/>
      </c>
      <c r="H15" s="80" t="str">
        <f t="shared" si="0"/>
        <v/>
      </c>
      <c r="I15" s="80" t="str">
        <f t="shared" si="0"/>
        <v/>
      </c>
      <c r="J15" s="80">
        <f t="shared" si="0"/>
        <v>9.2000000000000012E-2</v>
      </c>
      <c r="K15" s="80" t="str">
        <f t="shared" si="0"/>
        <v/>
      </c>
      <c r="L15" s="80" t="str">
        <f t="shared" si="0"/>
        <v/>
      </c>
      <c r="M15" s="80" t="str">
        <f t="shared" si="0"/>
        <v/>
      </c>
      <c r="N15" s="80" t="str">
        <f t="shared" si="0"/>
        <v/>
      </c>
      <c r="O15" s="80" t="str">
        <f t="shared" si="0"/>
        <v/>
      </c>
      <c r="P15" s="80" t="str">
        <f t="shared" si="0"/>
        <v/>
      </c>
      <c r="Q15" s="80" t="str">
        <f t="shared" si="0"/>
        <v/>
      </c>
      <c r="R15" s="80" t="str">
        <f t="shared" si="0"/>
        <v/>
      </c>
      <c r="S15" s="80" t="str">
        <f t="shared" si="0"/>
        <v/>
      </c>
      <c r="T15" s="80" t="str">
        <f t="shared" si="0"/>
        <v/>
      </c>
      <c r="U15" s="80" t="str">
        <f t="shared" si="0"/>
        <v/>
      </c>
      <c r="V15" s="80" t="str">
        <f t="shared" si="0"/>
        <v/>
      </c>
      <c r="W15" s="80" t="str">
        <f t="shared" si="0"/>
        <v/>
      </c>
      <c r="X15" s="80" t="str">
        <f t="shared" si="0"/>
        <v/>
      </c>
    </row>
    <row r="16" spans="2:49" x14ac:dyDescent="0.45">
      <c r="B16" s="66" t="s">
        <v>98</v>
      </c>
      <c r="C16" s="5">
        <f t="shared" ref="C16:D16" si="1">C7</f>
        <v>100</v>
      </c>
      <c r="D16" s="62">
        <f t="shared" si="1"/>
        <v>10</v>
      </c>
      <c r="E16" s="80" t="str">
        <f>IF(E7="","",E7*$D7/$D$11)</f>
        <v/>
      </c>
      <c r="F16" s="80">
        <f>IF(F7="","",SUM(G16:J16))</f>
        <v>0.01</v>
      </c>
      <c r="G16" s="80">
        <f t="shared" ref="G16:X16" si="2">IF(G7="","",G7*$D7/$D$11)</f>
        <v>0.01</v>
      </c>
      <c r="H16" s="80" t="str">
        <f t="shared" si="2"/>
        <v/>
      </c>
      <c r="I16" s="80" t="str">
        <f t="shared" si="2"/>
        <v/>
      </c>
      <c r="J16" s="80" t="str">
        <f t="shared" si="2"/>
        <v/>
      </c>
      <c r="K16" s="80">
        <f t="shared" si="2"/>
        <v>0.05</v>
      </c>
      <c r="L16" s="80" t="str">
        <f t="shared" si="2"/>
        <v/>
      </c>
      <c r="M16" s="80" t="str">
        <f t="shared" si="2"/>
        <v/>
      </c>
      <c r="N16" s="80" t="str">
        <f t="shared" si="2"/>
        <v/>
      </c>
      <c r="O16" s="80" t="str">
        <f t="shared" si="2"/>
        <v/>
      </c>
      <c r="P16" s="80" t="str">
        <f t="shared" si="2"/>
        <v/>
      </c>
      <c r="Q16" s="80" t="str">
        <f t="shared" si="2"/>
        <v/>
      </c>
      <c r="R16" s="80" t="str">
        <f t="shared" si="2"/>
        <v/>
      </c>
      <c r="S16" s="80" t="str">
        <f t="shared" si="2"/>
        <v/>
      </c>
      <c r="T16" s="80" t="str">
        <f t="shared" si="2"/>
        <v/>
      </c>
      <c r="U16" s="80" t="str">
        <f t="shared" si="2"/>
        <v/>
      </c>
      <c r="V16" s="80" t="str">
        <f t="shared" si="2"/>
        <v/>
      </c>
      <c r="W16" s="80" t="str">
        <f t="shared" si="2"/>
        <v/>
      </c>
      <c r="X16" s="80" t="str">
        <f t="shared" si="2"/>
        <v/>
      </c>
    </row>
    <row r="17" spans="2:24" x14ac:dyDescent="0.45">
      <c r="B17" s="66" t="s">
        <v>99</v>
      </c>
      <c r="C17" s="5">
        <f t="shared" ref="C17:D17" si="3">C8</f>
        <v>100</v>
      </c>
      <c r="D17" s="62">
        <f t="shared" si="3"/>
        <v>10</v>
      </c>
      <c r="E17" s="80" t="str">
        <f>IF(E8="","",E8*$D8/$D$11)</f>
        <v/>
      </c>
      <c r="F17" s="80" t="str">
        <f>IF(F8="","",SUM(G17:J17))</f>
        <v/>
      </c>
      <c r="G17" s="80" t="str">
        <f t="shared" ref="G17:X17" si="4">IF(G8="","",G8*$D8/$D$11)</f>
        <v/>
      </c>
      <c r="H17" s="80" t="str">
        <f t="shared" si="4"/>
        <v/>
      </c>
      <c r="I17" s="80" t="str">
        <f t="shared" si="4"/>
        <v/>
      </c>
      <c r="J17" s="80" t="str">
        <f t="shared" si="4"/>
        <v/>
      </c>
      <c r="K17" s="80" t="str">
        <f t="shared" si="4"/>
        <v/>
      </c>
      <c r="L17" s="80" t="str">
        <f t="shared" si="4"/>
        <v/>
      </c>
      <c r="M17" s="80">
        <f t="shared" si="4"/>
        <v>1.7999999999999999E-2</v>
      </c>
      <c r="N17" s="80">
        <f t="shared" si="4"/>
        <v>1.7999999999999999E-2</v>
      </c>
      <c r="O17" s="80">
        <f t="shared" si="4"/>
        <v>4.0000000000000001E-3</v>
      </c>
      <c r="P17" s="80" t="str">
        <f t="shared" si="4"/>
        <v/>
      </c>
      <c r="Q17" s="80" t="str">
        <f t="shared" si="4"/>
        <v/>
      </c>
      <c r="R17" s="80" t="str">
        <f t="shared" si="4"/>
        <v/>
      </c>
      <c r="S17" s="80" t="str">
        <f t="shared" si="4"/>
        <v/>
      </c>
      <c r="T17" s="80" t="str">
        <f t="shared" si="4"/>
        <v/>
      </c>
      <c r="U17" s="80" t="str">
        <f t="shared" si="4"/>
        <v/>
      </c>
      <c r="V17" s="80">
        <f t="shared" si="4"/>
        <v>1.4000000000000002E-2</v>
      </c>
      <c r="W17" s="80" t="str">
        <f t="shared" si="4"/>
        <v/>
      </c>
      <c r="X17" s="80" t="str">
        <f t="shared" si="4"/>
        <v/>
      </c>
    </row>
    <row r="18" spans="2:24" x14ac:dyDescent="0.45">
      <c r="B18" s="66" t="s">
        <v>100</v>
      </c>
      <c r="C18" s="5">
        <f t="shared" ref="C18:D18" si="5">C9</f>
        <v>450</v>
      </c>
      <c r="D18" s="62">
        <f t="shared" si="5"/>
        <v>45</v>
      </c>
      <c r="E18" s="80" t="str">
        <f>IF(E9="","",E9*$D9/$D$11)</f>
        <v/>
      </c>
      <c r="F18" s="80" t="str">
        <f>IF(F9="","",SUM(G18:J18))</f>
        <v/>
      </c>
      <c r="G18" s="80" t="str">
        <f t="shared" ref="G18:X18" si="6">IF(G9="","",G9*$D9/$D$11)</f>
        <v/>
      </c>
      <c r="H18" s="80" t="str">
        <f t="shared" si="6"/>
        <v/>
      </c>
      <c r="I18" s="80" t="str">
        <f t="shared" si="6"/>
        <v/>
      </c>
      <c r="J18" s="80" t="str">
        <f t="shared" si="6"/>
        <v/>
      </c>
      <c r="K18" s="80" t="str">
        <f t="shared" si="6"/>
        <v/>
      </c>
      <c r="L18" s="80">
        <f t="shared" si="6"/>
        <v>0.27</v>
      </c>
      <c r="M18" s="80" t="str">
        <f t="shared" si="6"/>
        <v/>
      </c>
      <c r="N18" s="80" t="str">
        <f t="shared" si="6"/>
        <v/>
      </c>
      <c r="O18" s="80" t="str">
        <f t="shared" si="6"/>
        <v/>
      </c>
      <c r="P18" s="80" t="str">
        <f t="shared" si="6"/>
        <v/>
      </c>
      <c r="Q18" s="80" t="str">
        <f t="shared" si="6"/>
        <v/>
      </c>
      <c r="R18" s="80" t="str">
        <f t="shared" si="6"/>
        <v/>
      </c>
      <c r="S18" s="80" t="str">
        <f t="shared" si="6"/>
        <v/>
      </c>
      <c r="T18" s="80" t="str">
        <f t="shared" si="6"/>
        <v/>
      </c>
      <c r="U18" s="80" t="str">
        <f t="shared" si="6"/>
        <v/>
      </c>
      <c r="V18" s="80" t="str">
        <f t="shared" si="6"/>
        <v/>
      </c>
      <c r="W18" s="80" t="str">
        <f t="shared" si="6"/>
        <v/>
      </c>
      <c r="X18" s="80" t="str">
        <f t="shared" si="6"/>
        <v/>
      </c>
    </row>
    <row r="19" spans="2:24" x14ac:dyDescent="0.45">
      <c r="B19" s="66" t="s">
        <v>101</v>
      </c>
      <c r="C19" s="5">
        <f t="shared" ref="C19:D19" si="7">C10</f>
        <v>150</v>
      </c>
      <c r="D19" s="62">
        <f t="shared" si="7"/>
        <v>15</v>
      </c>
      <c r="E19" s="80" t="str">
        <f>IF(E10="","",E10*$D10/$D$11)</f>
        <v/>
      </c>
      <c r="F19" s="80">
        <f>IF(F10="","",SUM(G19:J19))</f>
        <v>3.15E-2</v>
      </c>
      <c r="G19" s="80">
        <f t="shared" ref="G19:X19" si="8">IF(G10="","",G10*$D10/$D$11)</f>
        <v>3.15E-2</v>
      </c>
      <c r="H19" s="80" t="str">
        <f t="shared" si="8"/>
        <v/>
      </c>
      <c r="I19" s="80" t="str">
        <f t="shared" si="8"/>
        <v/>
      </c>
      <c r="J19" s="80" t="str">
        <f t="shared" si="8"/>
        <v/>
      </c>
      <c r="K19" s="80" t="str">
        <f t="shared" si="8"/>
        <v/>
      </c>
      <c r="L19" s="80" t="str">
        <f t="shared" si="8"/>
        <v/>
      </c>
      <c r="M19" s="80" t="str">
        <f t="shared" si="8"/>
        <v/>
      </c>
      <c r="N19" s="80" t="str">
        <f t="shared" si="8"/>
        <v/>
      </c>
      <c r="O19" s="80">
        <f t="shared" si="8"/>
        <v>3.5999999999999997E-2</v>
      </c>
      <c r="P19" s="80" t="str">
        <f t="shared" si="8"/>
        <v/>
      </c>
      <c r="Q19" s="80" t="str">
        <f t="shared" si="8"/>
        <v/>
      </c>
      <c r="R19" s="80" t="str">
        <f t="shared" si="8"/>
        <v/>
      </c>
      <c r="S19" s="80" t="str">
        <f t="shared" si="8"/>
        <v/>
      </c>
      <c r="T19" s="80" t="str">
        <f t="shared" si="8"/>
        <v/>
      </c>
      <c r="U19" s="80" t="str">
        <f t="shared" si="8"/>
        <v/>
      </c>
      <c r="V19" s="80" t="str">
        <f t="shared" si="8"/>
        <v/>
      </c>
      <c r="W19" s="80" t="str">
        <f t="shared" si="8"/>
        <v/>
      </c>
      <c r="X19" s="80" t="str">
        <f t="shared" si="8"/>
        <v/>
      </c>
    </row>
    <row r="20" spans="2:24" x14ac:dyDescent="0.45">
      <c r="B20" s="4" t="s">
        <v>25</v>
      </c>
      <c r="C20" s="3">
        <f>SUM(C15:C19)</f>
        <v>1000</v>
      </c>
      <c r="D20" s="3">
        <v>100</v>
      </c>
    </row>
    <row r="21" spans="2:24" x14ac:dyDescent="0.45">
      <c r="B21" s="4" t="s">
        <v>92</v>
      </c>
      <c r="E21" s="10">
        <f t="shared" ref="E21:X23" si="9">SUM(E15:E19)</f>
        <v>0</v>
      </c>
      <c r="F21" s="10">
        <f t="shared" si="9"/>
        <v>0.13350000000000001</v>
      </c>
      <c r="G21" s="10">
        <f t="shared" si="9"/>
        <v>4.1500000000000002E-2</v>
      </c>
      <c r="H21" s="10">
        <f t="shared" si="9"/>
        <v>0</v>
      </c>
      <c r="I21" s="10">
        <f t="shared" si="9"/>
        <v>0</v>
      </c>
      <c r="J21" s="10">
        <f t="shared" si="9"/>
        <v>9.2000000000000012E-2</v>
      </c>
      <c r="K21" s="10">
        <f t="shared" si="9"/>
        <v>0.05</v>
      </c>
      <c r="L21" s="10">
        <f t="shared" si="9"/>
        <v>0.27</v>
      </c>
      <c r="M21" s="10"/>
      <c r="N21" s="10"/>
      <c r="O21" s="10"/>
      <c r="P21" s="10">
        <f t="shared" si="9"/>
        <v>0</v>
      </c>
      <c r="Q21" s="10">
        <f t="shared" si="9"/>
        <v>0</v>
      </c>
      <c r="R21" s="10">
        <f t="shared" si="9"/>
        <v>0</v>
      </c>
      <c r="S21" s="10">
        <f t="shared" si="9"/>
        <v>0</v>
      </c>
      <c r="T21" s="10">
        <f t="shared" si="9"/>
        <v>0</v>
      </c>
      <c r="U21" s="10">
        <f t="shared" si="9"/>
        <v>0</v>
      </c>
      <c r="V21" s="10"/>
      <c r="W21" s="10">
        <f t="shared" si="9"/>
        <v>0</v>
      </c>
      <c r="X21" s="10">
        <f t="shared" si="9"/>
        <v>0</v>
      </c>
    </row>
    <row r="22" spans="2:24" x14ac:dyDescent="0.45">
      <c r="K22" s="10"/>
      <c r="M22" s="10"/>
      <c r="N22" s="10"/>
      <c r="O22" s="10"/>
      <c r="V22" s="10"/>
    </row>
    <row r="23" spans="2:24" x14ac:dyDescent="0.45">
      <c r="B23" s="4" t="s">
        <v>41</v>
      </c>
      <c r="F23" s="10">
        <v>0.13389999999999999</v>
      </c>
      <c r="G23" s="10">
        <v>4.58E-2</v>
      </c>
      <c r="H23" s="10">
        <f t="shared" si="9"/>
        <v>0</v>
      </c>
      <c r="I23" s="10">
        <f t="shared" si="9"/>
        <v>0</v>
      </c>
      <c r="J23" s="10">
        <v>8.8099999999999998E-2</v>
      </c>
      <c r="K23" s="10">
        <v>5.2600000000000001E-2</v>
      </c>
      <c r="L23" s="10">
        <v>0.2752</v>
      </c>
      <c r="M23" s="10"/>
      <c r="N23" s="10"/>
      <c r="O23" s="10"/>
      <c r="P23" s="10">
        <f t="shared" si="9"/>
        <v>0</v>
      </c>
      <c r="Q23" s="10">
        <f t="shared" si="9"/>
        <v>0</v>
      </c>
      <c r="R23" s="10">
        <f t="shared" si="9"/>
        <v>0</v>
      </c>
      <c r="S23" s="10">
        <f t="shared" si="9"/>
        <v>0</v>
      </c>
      <c r="T23" s="10">
        <f t="shared" si="9"/>
        <v>0</v>
      </c>
      <c r="U23" s="10">
        <f t="shared" si="9"/>
        <v>0</v>
      </c>
      <c r="V23" s="10"/>
      <c r="W23" s="10">
        <f t="shared" si="9"/>
        <v>0</v>
      </c>
      <c r="X23" s="10">
        <f t="shared" si="9"/>
        <v>0</v>
      </c>
    </row>
    <row r="25" spans="2:24" ht="20.25" x14ac:dyDescent="0.45">
      <c r="B25" s="4" t="s">
        <v>51</v>
      </c>
    </row>
    <row r="26" spans="2:24" x14ac:dyDescent="0.45">
      <c r="B26" s="11" t="s">
        <v>103</v>
      </c>
      <c r="E26" s="9"/>
      <c r="F26" s="10" t="str">
        <f>IF(F21=0,"",IF(F21&lt;minimos!B2,"SI","NO"))</f>
        <v>NO</v>
      </c>
      <c r="G26" s="10"/>
      <c r="H26" s="10"/>
      <c r="I26" s="10"/>
      <c r="J26" s="10"/>
      <c r="K26" s="10" t="str">
        <f>IF(K21=0,"",IF(K21&lt;minimos!C2,"NO","SI"))</f>
        <v>SI</v>
      </c>
      <c r="L26" s="4" t="str">
        <f>IF(L21=0,"",IF(L21&lt;minimos!D2,"SI","NO"))</f>
        <v>NO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2:24" x14ac:dyDescent="0.45">
      <c r="B27" s="11" t="s">
        <v>104</v>
      </c>
      <c r="E27" s="9"/>
      <c r="F27" s="9"/>
      <c r="G27" s="9"/>
      <c r="H27" s="9"/>
      <c r="I27" s="9"/>
      <c r="J27" s="9"/>
      <c r="K27" s="9"/>
      <c r="L27" s="9"/>
      <c r="M27" s="9" t="s">
        <v>52</v>
      </c>
      <c r="N27" s="9" t="s">
        <v>52</v>
      </c>
      <c r="O27" s="9" t="s">
        <v>52</v>
      </c>
      <c r="P27" s="9"/>
      <c r="Q27" s="9"/>
      <c r="R27" s="9"/>
      <c r="S27" s="9"/>
      <c r="T27" s="9"/>
      <c r="U27" s="9"/>
      <c r="V27" s="9"/>
      <c r="W27" s="9"/>
      <c r="X27" s="9"/>
    </row>
    <row r="28" spans="2:24" x14ac:dyDescent="0.45">
      <c r="B28" s="4" t="s">
        <v>105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2:24" x14ac:dyDescent="0.45">
      <c r="B29" s="4" t="s">
        <v>106</v>
      </c>
      <c r="E29" s="9"/>
      <c r="F29" s="9"/>
      <c r="G29" s="9"/>
      <c r="H29" s="9"/>
      <c r="I29" s="9"/>
      <c r="J29" s="9"/>
      <c r="K29" s="9"/>
      <c r="L29" s="9"/>
      <c r="M29" s="10" t="str">
        <f>IF(M21=0,"",IF(M21&gt;minimos!E5,"SI","NO"))</f>
        <v/>
      </c>
      <c r="N29" s="10" t="str">
        <f>IF(N21=0,"",IF(N21&gt;minimos!F5,"SI","NO"))</f>
        <v/>
      </c>
      <c r="O29" s="10" t="str">
        <f>IF(O21=0,"",IF(O21&gt;minimos!G5,"SI","NO"))</f>
        <v/>
      </c>
      <c r="P29" s="10" t="str">
        <f>IF(P21=0,"",IF(P21&gt;minimos!H5,"SI","NO"))</f>
        <v/>
      </c>
      <c r="Q29" s="10" t="str">
        <f>IF(Q21=0,"",IF(Q21&gt;minimos!I5,"SI","NO"))</f>
        <v/>
      </c>
      <c r="R29" s="10" t="str">
        <f>IF(R21=0,"",IF(R21&gt;minimos!J5,"SI","NO"))</f>
        <v/>
      </c>
      <c r="S29" s="10" t="str">
        <f>IF(S21=0,"",IF(S21&gt;minimos!K5,"SI","NO"))</f>
        <v/>
      </c>
      <c r="T29" s="10" t="str">
        <f>IF(T21=0,"",IF(T21&gt;minimos!L5,"SI","NO"))</f>
        <v/>
      </c>
      <c r="U29" s="10" t="str">
        <f>IF(U21=0,"",IF(U21&gt;minimos!M5,"SI","NO"))</f>
        <v/>
      </c>
      <c r="V29" s="10" t="str">
        <f>IF(V21=0,"",IF(V21&gt;minimos!N5,"SI","NO"))</f>
        <v/>
      </c>
      <c r="W29" s="10" t="str">
        <f>IF(W21=0,"",IF(W21&gt;minimos!P5,"SI","NO"))</f>
        <v/>
      </c>
      <c r="X29" s="9"/>
    </row>
    <row r="30" spans="2:24" x14ac:dyDescent="0.45">
      <c r="B30" s="12" t="s">
        <v>46</v>
      </c>
    </row>
    <row r="31" spans="2:24" x14ac:dyDescent="0.45">
      <c r="B31" s="12"/>
    </row>
    <row r="32" spans="2:24" ht="20.25" x14ac:dyDescent="0.45">
      <c r="B32" s="4" t="s">
        <v>58</v>
      </c>
    </row>
    <row r="33" spans="2:24" x14ac:dyDescent="0.45">
      <c r="B33" s="4" t="s">
        <v>59</v>
      </c>
      <c r="E33" s="9"/>
      <c r="F33" s="10">
        <f>IF(F21=0,"",((-0.0005*100*100*F$21*F$21+0.0413*100*F$21+0.6533)/100))</f>
        <v>1.11554375E-2</v>
      </c>
      <c r="G33" s="10"/>
      <c r="H33" s="10"/>
      <c r="I33" s="10"/>
      <c r="J33" s="10"/>
      <c r="K33" s="10">
        <f>IF(K21=0,"",((-0.0005*100*100*K$21*K$21+0.0413*100*K$21+0.6533)/100))</f>
        <v>8.4730000000000014E-3</v>
      </c>
      <c r="L33" s="13">
        <f>IF(L21=0,"",((-0.0007*10000*L$21*L$21+0.0769*100*L$21+0.3941)/100))</f>
        <v>1.9600999999999997E-2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spans="2:24" x14ac:dyDescent="0.45">
      <c r="B34" s="11" t="s">
        <v>110</v>
      </c>
      <c r="E34" s="10"/>
      <c r="F34" s="10" t="str">
        <f>IF(F21=0,"",IF(OR(F21&lt;4.001%,F21&gt;32.001%),"SI","NO"))</f>
        <v>NO</v>
      </c>
      <c r="G34" s="9"/>
      <c r="H34" s="9"/>
      <c r="I34" s="9"/>
      <c r="J34" s="9"/>
      <c r="K34" s="10" t="str">
        <f>IF(K21=0,"",IF(OR(K21&lt;4.001%,K21&gt;32.001%),"SI","NO"))</f>
        <v>NO</v>
      </c>
      <c r="L34" s="10" t="str">
        <f>IF(L21=0,"",IF(OR(L21&lt;4.001%,L21&gt;32.001%),"SI","NO"))</f>
        <v>NO</v>
      </c>
      <c r="M34" s="10" t="str">
        <f>IF(M21=0,"",((0.42+0.105*100*M$21)/100))</f>
        <v/>
      </c>
      <c r="N34" s="10" t="str">
        <f>IF(N21=0,"",((0.5+0.125*100*N$21)/100))</f>
        <v/>
      </c>
      <c r="O34" s="10" t="str">
        <f>IF(O21=0,"",((0.3+0.075*100*O$21)/100))</f>
        <v/>
      </c>
      <c r="P34" s="10" t="str">
        <f>IF(P21=0,"",((0.005+0.25*100*P$21)/100))</f>
        <v/>
      </c>
      <c r="Q34" s="10" t="str">
        <f>IF(Q21=0,"",((0.000125+0.375*100*Q$21)/100))</f>
        <v/>
      </c>
      <c r="R34" s="10" t="str">
        <f>IF(R21=0,"",((0.015+0.3*100*R$21)/100))</f>
        <v/>
      </c>
      <c r="S34" s="10" t="str">
        <f>IF(S21=0,"",((0.015+0.3*100*S$21)/100))</f>
        <v/>
      </c>
      <c r="T34" s="10" t="str">
        <f>IF(T21=0,"",((0.015+0.3*100*T$21)/100))</f>
        <v/>
      </c>
      <c r="U34" s="10" t="str">
        <f>IF(U21=0,"",((0.000125+0.375*100*U$21)/100))</f>
        <v/>
      </c>
      <c r="V34" s="10"/>
      <c r="W34" s="10" t="str">
        <f>IF(W21=0,"",((0.015+0.3*100*W$21)/100))</f>
        <v/>
      </c>
      <c r="X34" s="10" t="str">
        <f>IF(X21=0,"",((0.015+0.3*100*X$21)/100))</f>
        <v/>
      </c>
    </row>
    <row r="35" spans="2:24" x14ac:dyDescent="0.45">
      <c r="B35" s="11" t="s">
        <v>111</v>
      </c>
      <c r="F35" s="9"/>
      <c r="G35" s="9"/>
      <c r="H35" s="9"/>
      <c r="I35" s="9"/>
      <c r="J35" s="9"/>
      <c r="K35" s="9"/>
      <c r="L35" s="9"/>
      <c r="M35" s="4" t="str">
        <f>IF(M21=0,"",IF((M34&gt;1.501%),"SI","NO"))</f>
        <v/>
      </c>
      <c r="N35" s="4" t="str">
        <f t="shared" ref="N35:U35" si="10">IF(N21=0,"",IF(OR(N34&gt;N21/2,N34&gt;1.501%),"SI","NO"))</f>
        <v/>
      </c>
      <c r="O35" s="4" t="str">
        <f t="shared" si="10"/>
        <v/>
      </c>
      <c r="P35" s="4" t="str">
        <f t="shared" si="10"/>
        <v/>
      </c>
      <c r="Q35" s="4" t="str">
        <f t="shared" si="10"/>
        <v/>
      </c>
      <c r="R35" s="4" t="str">
        <f t="shared" si="10"/>
        <v/>
      </c>
      <c r="S35" s="4" t="str">
        <f t="shared" si="10"/>
        <v/>
      </c>
      <c r="T35" s="4" t="str">
        <f t="shared" si="10"/>
        <v/>
      </c>
      <c r="U35" s="4" t="str">
        <f t="shared" si="10"/>
        <v/>
      </c>
      <c r="V35" s="4" t="str">
        <f>IF(V5="SiO2","",IF(V21=0,"",IF(OR(V34&gt;V21/2,V34&gt;1.501%),"SI","NO")))</f>
        <v/>
      </c>
      <c r="W35" s="4" t="str">
        <f>IF(W21=0,"",IF(OR(W34&gt;W21/2,W34&gt;1.501%),"SI","NO"))</f>
        <v/>
      </c>
      <c r="X35" s="4" t="str">
        <f>IF(X21=0,"",IF(OR(X34&gt;X21/2,X34&gt;1.501%),"SI","NO"))</f>
        <v/>
      </c>
    </row>
    <row r="36" spans="2:24" x14ac:dyDescent="0.45">
      <c r="B36" s="4" t="s">
        <v>40</v>
      </c>
      <c r="E36" s="16"/>
      <c r="F36" s="10">
        <f>IF(F21=0,"",IF(F34="NO",F33,IF(F21&lt;4%,0.81%,1.46%)))</f>
        <v>1.11554375E-2</v>
      </c>
      <c r="G36" s="16"/>
      <c r="H36" s="16"/>
      <c r="I36" s="16"/>
      <c r="J36" s="16"/>
      <c r="K36" s="16">
        <f>IF(K21=0,"",IF(K34="NO",K33,IF(K21&lt;4%,0.81%,1.46%)))</f>
        <v>8.4730000000000014E-3</v>
      </c>
      <c r="L36" s="16">
        <f>IF(L21=0,"",IF(L34="NO",L33,IF(L21&lt;4%,0.69%,2.14%)))</f>
        <v>1.9600999999999997E-2</v>
      </c>
      <c r="M36" s="16" t="str">
        <f>IF(M21=0,"",IF(M35="NO",M34,1.5%))</f>
        <v/>
      </c>
      <c r="N36" s="16" t="str">
        <f t="shared" ref="N36:O36" si="11">IF(N21=0,"",IF(N35="NO",N34,1.5%))</f>
        <v/>
      </c>
      <c r="O36" s="16" t="str">
        <f t="shared" si="11"/>
        <v/>
      </c>
      <c r="P36" s="16" t="str">
        <f t="shared" ref="P36:U36" si="12">IF(P21=0,"",IF(P34="NO",P33,1.5%))</f>
        <v/>
      </c>
      <c r="Q36" s="16" t="str">
        <f t="shared" si="12"/>
        <v/>
      </c>
      <c r="R36" s="16" t="str">
        <f t="shared" si="12"/>
        <v/>
      </c>
      <c r="S36" s="16" t="str">
        <f t="shared" si="12"/>
        <v/>
      </c>
      <c r="T36" s="16" t="str">
        <f t="shared" si="12"/>
        <v/>
      </c>
      <c r="U36" s="16" t="str">
        <f t="shared" si="12"/>
        <v/>
      </c>
      <c r="V36" s="16" t="str">
        <f>IF(V5="SiO2","",IF(V21=0,"",IF(V34="NO",V33,1.5%)))</f>
        <v/>
      </c>
      <c r="W36" s="16" t="str">
        <f>IF(W21=0,"",IF(W34="NO",W33,1.5%))</f>
        <v/>
      </c>
      <c r="X36" s="16" t="str">
        <f>IF(X21=0,"",IF(X34="NO",X33,1.5%))</f>
        <v/>
      </c>
    </row>
    <row r="37" spans="2:24" x14ac:dyDescent="0.45">
      <c r="B37" s="12" t="s">
        <v>47</v>
      </c>
    </row>
    <row r="38" spans="2:24" ht="15" customHeight="1" x14ac:dyDescent="0.45">
      <c r="B38" s="12" t="s">
        <v>48</v>
      </c>
    </row>
    <row r="39" spans="2:24" ht="15" customHeight="1" x14ac:dyDescent="0.45">
      <c r="B39" s="12" t="s">
        <v>49</v>
      </c>
    </row>
    <row r="40" spans="2:24" ht="15" customHeight="1" x14ac:dyDescent="0.45"/>
    <row r="41" spans="2:24" x14ac:dyDescent="0.45">
      <c r="B41" s="4" t="s">
        <v>83</v>
      </c>
      <c r="E41" s="10" t="str">
        <f>IF(E5="C","",IF(E21=0,"",E42-E36))</f>
        <v/>
      </c>
      <c r="F41" s="10">
        <f t="shared" ref="F41:U41" si="13">IF(F21=0,"",F42-F36)</f>
        <v>0.1188445625</v>
      </c>
      <c r="G41" s="10">
        <f t="shared" si="13"/>
        <v>4.1500000000000002E-2</v>
      </c>
      <c r="H41" s="10" t="str">
        <f t="shared" si="13"/>
        <v/>
      </c>
      <c r="I41" s="10" t="str">
        <f t="shared" si="13"/>
        <v/>
      </c>
      <c r="J41" s="10">
        <f t="shared" si="13"/>
        <v>9.2000000000000012E-2</v>
      </c>
      <c r="K41" s="10">
        <f t="shared" si="13"/>
        <v>4.1527000000000001E-2</v>
      </c>
      <c r="L41" s="10">
        <f t="shared" si="13"/>
        <v>0.25039900000000004</v>
      </c>
      <c r="M41" s="10" t="str">
        <f t="shared" si="13"/>
        <v/>
      </c>
      <c r="N41" s="10" t="str">
        <f t="shared" si="13"/>
        <v/>
      </c>
      <c r="O41" s="10" t="str">
        <f t="shared" si="13"/>
        <v/>
      </c>
      <c r="P41" s="10" t="str">
        <f t="shared" si="13"/>
        <v/>
      </c>
      <c r="Q41" s="10" t="str">
        <f t="shared" si="13"/>
        <v/>
      </c>
      <c r="R41" s="10" t="str">
        <f t="shared" si="13"/>
        <v/>
      </c>
      <c r="S41" s="10" t="str">
        <f t="shared" si="13"/>
        <v/>
      </c>
      <c r="T41" s="10" t="str">
        <f t="shared" si="13"/>
        <v/>
      </c>
      <c r="U41" s="10" t="str">
        <f t="shared" si="13"/>
        <v/>
      </c>
      <c r="V41" s="10" t="str">
        <f>IF(V5="SiO2","",IF(V21=0,"",V42-V36))</f>
        <v/>
      </c>
      <c r="W41" s="10" t="str">
        <f>IF(W21=0,"",W42-W36)</f>
        <v/>
      </c>
      <c r="X41" s="10" t="str">
        <f>IF(X21=0,"",X42-X36)</f>
        <v/>
      </c>
    </row>
    <row r="42" spans="2:24" x14ac:dyDescent="0.45">
      <c r="B42" s="4" t="str">
        <f>_xlfn.CONCAT("SOLICITUD DE REGISTRO ICA: ",B5)</f>
        <v>SOLICITUD DE REGISTRO ICA: MATERIA PRIMA</v>
      </c>
      <c r="E42" s="10" t="str">
        <f>IF(E21=0,"",E21)</f>
        <v/>
      </c>
      <c r="F42" s="10">
        <v>0.13</v>
      </c>
      <c r="G42" s="10">
        <f t="shared" ref="G42:X42" si="14">IF(G21=0,"",G21)</f>
        <v>4.1500000000000002E-2</v>
      </c>
      <c r="H42" s="10" t="str">
        <f t="shared" si="14"/>
        <v/>
      </c>
      <c r="I42" s="10" t="str">
        <f t="shared" si="14"/>
        <v/>
      </c>
      <c r="J42" s="10">
        <f t="shared" si="14"/>
        <v>9.2000000000000012E-2</v>
      </c>
      <c r="K42" s="10">
        <v>0.05</v>
      </c>
      <c r="L42" s="10">
        <v>0.27</v>
      </c>
      <c r="M42" s="10" t="str">
        <f t="shared" si="14"/>
        <v/>
      </c>
      <c r="N42" s="10" t="str">
        <f t="shared" si="14"/>
        <v/>
      </c>
      <c r="O42" s="10" t="str">
        <f t="shared" si="14"/>
        <v/>
      </c>
      <c r="P42" s="10" t="str">
        <f t="shared" si="14"/>
        <v/>
      </c>
      <c r="Q42" s="10" t="str">
        <f t="shared" si="14"/>
        <v/>
      </c>
      <c r="R42" s="10" t="str">
        <f t="shared" si="14"/>
        <v/>
      </c>
      <c r="S42" s="10" t="str">
        <f t="shared" si="14"/>
        <v/>
      </c>
      <c r="T42" s="10" t="str">
        <f t="shared" si="14"/>
        <v/>
      </c>
      <c r="U42" s="10" t="str">
        <f t="shared" si="14"/>
        <v/>
      </c>
      <c r="V42" s="10" t="str">
        <f t="shared" si="14"/>
        <v/>
      </c>
      <c r="W42" s="10" t="str">
        <f t="shared" si="14"/>
        <v/>
      </c>
      <c r="X42" s="10" t="str">
        <f t="shared" si="14"/>
        <v/>
      </c>
    </row>
    <row r="43" spans="2:24" x14ac:dyDescent="0.45">
      <c r="B43" s="4" t="s">
        <v>84</v>
      </c>
      <c r="E43" s="10" t="str">
        <f>IF(E5="C","",IF(E21=0,"",E42+E36))</f>
        <v/>
      </c>
      <c r="F43" s="10">
        <f t="shared" ref="F43:U43" si="15">IF(F21=0,"",F42+F36)</f>
        <v>0.14115543750000001</v>
      </c>
      <c r="G43" s="10">
        <f t="shared" si="15"/>
        <v>4.1500000000000002E-2</v>
      </c>
      <c r="H43" s="10" t="str">
        <f t="shared" si="15"/>
        <v/>
      </c>
      <c r="I43" s="10" t="str">
        <f t="shared" si="15"/>
        <v/>
      </c>
      <c r="J43" s="10">
        <f t="shared" si="15"/>
        <v>9.2000000000000012E-2</v>
      </c>
      <c r="K43" s="10">
        <f t="shared" si="15"/>
        <v>5.8473000000000004E-2</v>
      </c>
      <c r="L43" s="10">
        <f t="shared" si="15"/>
        <v>0.289601</v>
      </c>
      <c r="M43" s="10" t="str">
        <f t="shared" si="15"/>
        <v/>
      </c>
      <c r="N43" s="10" t="str">
        <f t="shared" si="15"/>
        <v/>
      </c>
      <c r="O43" s="10" t="str">
        <f t="shared" si="15"/>
        <v/>
      </c>
      <c r="P43" s="10" t="str">
        <f t="shared" si="15"/>
        <v/>
      </c>
      <c r="Q43" s="10" t="str">
        <f t="shared" si="15"/>
        <v/>
      </c>
      <c r="R43" s="10" t="str">
        <f t="shared" si="15"/>
        <v/>
      </c>
      <c r="S43" s="10" t="str">
        <f t="shared" si="15"/>
        <v/>
      </c>
      <c r="T43" s="10" t="str">
        <f t="shared" si="15"/>
        <v/>
      </c>
      <c r="U43" s="10" t="str">
        <f t="shared" si="15"/>
        <v/>
      </c>
      <c r="V43" s="10" t="str">
        <f>IF(V5="SiO2","",IF(V21=0,"",V42+V36))</f>
        <v/>
      </c>
      <c r="W43" s="10" t="str">
        <f>IF(W21=0,"",W42+W36)</f>
        <v/>
      </c>
      <c r="X43" s="10" t="str">
        <f>IF(X21=0,"",X42+X36)</f>
        <v/>
      </c>
    </row>
  </sheetData>
  <conditionalFormatting sqref="K34:X34 E34:F34 E41:X43 E21:X21 E36:X36">
    <cfRule type="cellIs" dxfId="101" priority="40" operator="equal">
      <formula>0</formula>
    </cfRule>
    <cfRule type="containsBlanks" dxfId="100" priority="137">
      <formula>LEN(TRIM(E21))=0</formula>
    </cfRule>
  </conditionalFormatting>
  <conditionalFormatting sqref="F26:K26">
    <cfRule type="cellIs" dxfId="99" priority="91" operator="equal">
      <formula>0</formula>
    </cfRule>
    <cfRule type="containsBlanks" dxfId="98" priority="92">
      <formula>LEN(TRIM(F26))=0</formula>
    </cfRule>
  </conditionalFormatting>
  <conditionalFormatting sqref="F33:K33">
    <cfRule type="cellIs" dxfId="97" priority="131" operator="equal">
      <formula>0</formula>
    </cfRule>
    <cfRule type="containsBlanks" dxfId="96" priority="132">
      <formula>LEN(TRIM(F33))=0</formula>
    </cfRule>
  </conditionalFormatting>
  <conditionalFormatting sqref="F35:L35 M26:X26 M33:X33 E33 P27:X28 X29 E26:E29 E15:X19">
    <cfRule type="cellIs" dxfId="95" priority="65" operator="equal">
      <formula>0</formula>
    </cfRule>
    <cfRule type="containsBlanks" dxfId="94" priority="136">
      <formula>LEN(TRIM(E15))=0</formula>
    </cfRule>
  </conditionalFormatting>
  <conditionalFormatting sqref="F27:O28 F29:L29">
    <cfRule type="cellIs" dxfId="93" priority="107" operator="equal">
      <formula>0</formula>
    </cfRule>
    <cfRule type="containsBlanks" dxfId="92" priority="108">
      <formula>LEN(TRIM(F27))=0</formula>
    </cfRule>
  </conditionalFormatting>
  <conditionalFormatting sqref="P29:W29">
    <cfRule type="cellIs" dxfId="91" priority="133" operator="equal">
      <formula>0</formula>
    </cfRule>
    <cfRule type="containsBlanks" dxfId="90" priority="134">
      <formula>LEN(TRIM(P29))=0</formula>
    </cfRule>
  </conditionalFormatting>
  <conditionalFormatting sqref="G34:J34">
    <cfRule type="cellIs" dxfId="89" priority="71" operator="equal">
      <formula>0</formula>
    </cfRule>
    <cfRule type="containsBlanks" dxfId="88" priority="72">
      <formula>LEN(TRIM(G34))=0</formula>
    </cfRule>
  </conditionalFormatting>
  <conditionalFormatting sqref="E15:X19">
    <cfRule type="notContainsBlanks" dxfId="87" priority="41">
      <formula>LEN(TRIM(E15))&gt;0</formula>
    </cfRule>
  </conditionalFormatting>
  <conditionalFormatting sqref="E21:X21">
    <cfRule type="notContainsBlanks" dxfId="86" priority="59">
      <formula>LEN(TRIM(E21))&gt;0</formula>
    </cfRule>
  </conditionalFormatting>
  <conditionalFormatting sqref="E41:X43">
    <cfRule type="notContainsBlanks" dxfId="85" priority="39">
      <formula>LEN(TRIM(E41))&gt;0</formula>
    </cfRule>
  </conditionalFormatting>
  <conditionalFormatting sqref="M29:O29">
    <cfRule type="cellIs" dxfId="84" priority="37" operator="equal">
      <formula>0</formula>
    </cfRule>
    <cfRule type="containsBlanks" dxfId="83" priority="38">
      <formula>LEN(TRIM(M29))=0</formula>
    </cfRule>
  </conditionalFormatting>
  <conditionalFormatting sqref="K22">
    <cfRule type="cellIs" dxfId="82" priority="34" operator="equal">
      <formula>0</formula>
    </cfRule>
    <cfRule type="containsBlanks" dxfId="81" priority="36">
      <formula>LEN(TRIM(K22))=0</formula>
    </cfRule>
  </conditionalFormatting>
  <conditionalFormatting sqref="K22">
    <cfRule type="notContainsBlanks" dxfId="80" priority="35">
      <formula>LEN(TRIM(K22))&gt;0</formula>
    </cfRule>
  </conditionalFormatting>
  <conditionalFormatting sqref="M22">
    <cfRule type="cellIs" dxfId="79" priority="31" operator="equal">
      <formula>0</formula>
    </cfRule>
    <cfRule type="containsBlanks" dxfId="78" priority="33">
      <formula>LEN(TRIM(M22))=0</formula>
    </cfRule>
  </conditionalFormatting>
  <conditionalFormatting sqref="M22">
    <cfRule type="notContainsBlanks" dxfId="77" priority="32">
      <formula>LEN(TRIM(M22))&gt;0</formula>
    </cfRule>
  </conditionalFormatting>
  <conditionalFormatting sqref="N22">
    <cfRule type="cellIs" dxfId="76" priority="28" operator="equal">
      <formula>0</formula>
    </cfRule>
    <cfRule type="containsBlanks" dxfId="75" priority="30">
      <formula>LEN(TRIM(N22))=0</formula>
    </cfRule>
  </conditionalFormatting>
  <conditionalFormatting sqref="N22">
    <cfRule type="notContainsBlanks" dxfId="74" priority="29">
      <formula>LEN(TRIM(N22))&gt;0</formula>
    </cfRule>
  </conditionalFormatting>
  <conditionalFormatting sqref="O22">
    <cfRule type="cellIs" dxfId="73" priority="25" operator="equal">
      <formula>0</formula>
    </cfRule>
    <cfRule type="containsBlanks" dxfId="72" priority="27">
      <formula>LEN(TRIM(O22))=0</formula>
    </cfRule>
  </conditionalFormatting>
  <conditionalFormatting sqref="O22">
    <cfRule type="notContainsBlanks" dxfId="71" priority="26">
      <formula>LEN(TRIM(O22))&gt;0</formula>
    </cfRule>
  </conditionalFormatting>
  <conditionalFormatting sqref="V22">
    <cfRule type="cellIs" dxfId="70" priority="22" operator="equal">
      <formula>0</formula>
    </cfRule>
    <cfRule type="containsBlanks" dxfId="69" priority="24">
      <formula>LEN(TRIM(V22))=0</formula>
    </cfRule>
  </conditionalFormatting>
  <conditionalFormatting sqref="V22">
    <cfRule type="notContainsBlanks" dxfId="68" priority="23">
      <formula>LEN(TRIM(V22))&gt;0</formula>
    </cfRule>
  </conditionalFormatting>
  <conditionalFormatting sqref="E6:X10">
    <cfRule type="cellIs" dxfId="67" priority="5" operator="equal">
      <formula>0</formula>
    </cfRule>
    <cfRule type="containsBlanks" dxfId="66" priority="6">
      <formula>LEN(TRIM(E6))=0</formula>
    </cfRule>
  </conditionalFormatting>
  <conditionalFormatting sqref="E6:X10">
    <cfRule type="notContainsBlanks" dxfId="65" priority="4">
      <formula>LEN(TRIM(E6))&gt;0</formula>
    </cfRule>
  </conditionalFormatting>
  <conditionalFormatting sqref="F23:X23">
    <cfRule type="cellIs" dxfId="64" priority="1" operator="equal">
      <formula>0</formula>
    </cfRule>
    <cfRule type="containsBlanks" dxfId="63" priority="3">
      <formula>LEN(TRIM(F23))=0</formula>
    </cfRule>
  </conditionalFormatting>
  <conditionalFormatting sqref="F23:X23">
    <cfRule type="notContainsBlanks" dxfId="62" priority="2">
      <formula>LEN(TRIM(F23))&gt;0</formula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96BED-9E2B-42AD-A1BF-BBED69F534F2}">
  <sheetPr>
    <pageSetUpPr fitToPage="1"/>
  </sheetPr>
  <dimension ref="A1:J38"/>
  <sheetViews>
    <sheetView zoomScale="55" zoomScaleNormal="55" workbookViewId="0">
      <selection activeCell="B8" sqref="B8:I34"/>
    </sheetView>
  </sheetViews>
  <sheetFormatPr baseColWidth="10" defaultColWidth="8.88671875" defaultRowHeight="19.5" x14ac:dyDescent="0.45"/>
  <cols>
    <col min="1" max="1" width="6.77734375" style="17" customWidth="1"/>
    <col min="2" max="2" width="54.77734375" style="17" bestFit="1" customWidth="1"/>
    <col min="3" max="3" width="10.88671875" style="18" customWidth="1"/>
    <col min="4" max="4" width="8.88671875" style="18"/>
    <col min="5" max="5" width="11.21875" style="18" customWidth="1"/>
    <col min="6" max="6" width="12.5546875" style="18" customWidth="1"/>
    <col min="7" max="7" width="14.33203125" style="18" customWidth="1"/>
    <col min="8" max="9" width="11.33203125" style="18" customWidth="1"/>
    <col min="10" max="16384" width="8.88671875" style="17"/>
  </cols>
  <sheetData>
    <row r="1" spans="1:10" ht="20.25" thickBot="1" x14ac:dyDescent="0.5">
      <c r="A1" s="47"/>
      <c r="B1" s="31"/>
      <c r="C1" s="30"/>
      <c r="D1" s="30"/>
      <c r="E1" s="30"/>
      <c r="F1" s="30"/>
      <c r="G1" s="30"/>
      <c r="H1" s="30"/>
      <c r="I1" s="30"/>
      <c r="J1" s="32"/>
    </row>
    <row r="2" spans="1:10" ht="30" x14ac:dyDescent="0.45">
      <c r="A2" s="42"/>
      <c r="C2" s="127" t="s">
        <v>0</v>
      </c>
      <c r="D2" s="128"/>
      <c r="E2" s="128"/>
      <c r="F2" s="128"/>
      <c r="G2" s="128"/>
      <c r="H2" s="128"/>
      <c r="I2" s="129"/>
      <c r="J2" s="33"/>
    </row>
    <row r="3" spans="1:10" ht="30.75" thickBot="1" x14ac:dyDescent="0.5">
      <c r="A3" s="42"/>
      <c r="C3" s="130"/>
      <c r="D3" s="131"/>
      <c r="E3" s="131"/>
      <c r="F3" s="131"/>
      <c r="G3" s="131"/>
      <c r="H3" s="131"/>
      <c r="I3" s="132"/>
      <c r="J3" s="33"/>
    </row>
    <row r="4" spans="1:10" ht="20.25" thickBot="1" x14ac:dyDescent="0.5">
      <c r="A4" s="34"/>
      <c r="B4" s="26"/>
      <c r="C4" s="26"/>
      <c r="D4" s="26"/>
      <c r="E4" s="26"/>
      <c r="F4" s="26"/>
      <c r="G4" s="26"/>
      <c r="H4" s="26"/>
      <c r="I4" s="26"/>
      <c r="J4" s="33"/>
    </row>
    <row r="5" spans="1:10" ht="34.5" thickBot="1" x14ac:dyDescent="0.5">
      <c r="A5" s="34"/>
      <c r="B5" s="46" t="s">
        <v>82</v>
      </c>
      <c r="C5" s="133" t="s">
        <v>102</v>
      </c>
      <c r="D5" s="134"/>
      <c r="E5" s="134"/>
      <c r="F5" s="134"/>
      <c r="G5" s="134"/>
      <c r="H5" s="134"/>
      <c r="I5" s="134"/>
      <c r="J5" s="33"/>
    </row>
    <row r="6" spans="1:10" ht="20.25" thickBot="1" x14ac:dyDescent="0.5">
      <c r="A6" s="35"/>
      <c r="J6" s="33"/>
    </row>
    <row r="7" spans="1:10" s="25" customFormat="1" ht="59.25" thickBot="1" x14ac:dyDescent="0.5">
      <c r="A7" s="36"/>
      <c r="B7" s="50" t="str">
        <f>IF(OR(entrada!B14=0,entrada!B14=""),"",entrada!B14)</f>
        <v>MATERIA PRIMA</v>
      </c>
      <c r="C7" s="50" t="str">
        <f>IF(OR(entrada!C14=0,entrada!C14=""),"",entrada!C14)</f>
        <v>kg / Ton</v>
      </c>
      <c r="D7" s="50" t="str">
        <f>IF(OR(entrada!D14=0,entrada!D14=""),"",entrada!D14)</f>
        <v>%/100 kg</v>
      </c>
      <c r="E7" s="48" t="str">
        <f>IF(OR(entrada!F14=0,entrada!F14=""),"",entrada!F14)</f>
        <v>Nitrogeno Total N</v>
      </c>
      <c r="F7" s="48" t="str">
        <f>IF(OR(entrada!G14=0,entrada!G14=""),"",entrada!G14)</f>
        <v>Nitrogeno amoniacal</v>
      </c>
      <c r="G7" s="48" t="str">
        <f>IF(OR(entrada!J14=0,entrada!J14=""),"",entrada!J14)</f>
        <v>Nitrogeno ureico</v>
      </c>
      <c r="H7" s="48" t="str">
        <f>IF(OR(entrada!K14=0,entrada!K14=""),"",entrada!K14)</f>
        <v>Fosforo asimilable P2O5</v>
      </c>
      <c r="I7" s="49" t="str">
        <f>IF(OR(entrada!L14=0,entrada!L14=""),"",entrada!L14)</f>
        <v>Potasio soluble K2O</v>
      </c>
      <c r="J7" s="37"/>
    </row>
    <row r="8" spans="1:10" ht="20.25" x14ac:dyDescent="0.45">
      <c r="A8" s="35"/>
      <c r="B8" s="85" t="str">
        <f>IF(OR(entrada!B15=0,entrada!B15=""),"",entrada!B15)</f>
        <v>UREA_NUTRICION PLANTAS_G</v>
      </c>
      <c r="C8" s="86">
        <f>IF(OR(entrada!C15=0,entrada!C15=""),"",entrada!C15)</f>
        <v>200</v>
      </c>
      <c r="D8" s="87">
        <f>IF(OR(entrada!D15=0,entrada!D15=""),"",entrada!D15)</f>
        <v>20</v>
      </c>
      <c r="E8" s="81">
        <f>IF(OR(entrada!F15=0,entrada!F15=""),"",entrada!F15)</f>
        <v>9.2000000000000012E-2</v>
      </c>
      <c r="F8" s="81" t="str">
        <f>IF(OR(entrada!G15=0,entrada!G15=""),"",entrada!G15)</f>
        <v/>
      </c>
      <c r="G8" s="81">
        <f>IF(OR(entrada!J15=0,entrada!J15=""),"",entrada!J15)</f>
        <v>9.2000000000000012E-2</v>
      </c>
      <c r="H8" s="81" t="str">
        <f>IF(OR(entrada!K15=0,entrada!K15=""),"",entrada!K15)</f>
        <v/>
      </c>
      <c r="I8" s="122" t="str">
        <f>IF(OR(entrada!L15=0,entrada!L15=""),"",entrada!L15)</f>
        <v/>
      </c>
      <c r="J8" s="33"/>
    </row>
    <row r="9" spans="1:10" ht="20.25" x14ac:dyDescent="0.45">
      <c r="A9" s="35"/>
      <c r="B9" s="85" t="str">
        <f>IF(OR(entrada!B16=0,entrada!B16=""),"",entrada!B16)</f>
        <v>MAP_PRECISAGRO_G</v>
      </c>
      <c r="C9" s="86">
        <f>IF(OR(entrada!C16=0,entrada!C16=""),"",entrada!C16)</f>
        <v>100</v>
      </c>
      <c r="D9" s="87">
        <f>IF(OR(entrada!D16=0,entrada!D16=""),"",entrada!D16)</f>
        <v>10</v>
      </c>
      <c r="E9" s="81">
        <f>IF(OR(entrada!F16=0,entrada!F16=""),"",entrada!F16)</f>
        <v>0.01</v>
      </c>
      <c r="F9" s="81">
        <f>IF(OR(entrada!G16=0,entrada!G16=""),"",entrada!G16)</f>
        <v>0.01</v>
      </c>
      <c r="G9" s="81" t="str">
        <f>IF(OR(entrada!J16=0,entrada!J16=""),"",entrada!J16)</f>
        <v/>
      </c>
      <c r="H9" s="81">
        <f>IF(OR(entrada!K16=0,entrada!K16=""),"",entrada!K16)</f>
        <v>0.05</v>
      </c>
      <c r="I9" s="122" t="str">
        <f>IF(OR(entrada!L16=0,entrada!L16=""),"",entrada!L16)</f>
        <v/>
      </c>
      <c r="J9" s="33"/>
    </row>
    <row r="10" spans="1:10" ht="20.25" x14ac:dyDescent="0.45">
      <c r="A10" s="35"/>
      <c r="B10" s="85" t="str">
        <f>IF(OR(entrada!B17=0,entrada!B17=""),"",entrada!B17)</f>
        <v>NUCLEO 4_CALFERQUIM_G</v>
      </c>
      <c r="C10" s="86">
        <f>IF(OR(entrada!C17=0,entrada!C17=""),"",entrada!C17)</f>
        <v>100</v>
      </c>
      <c r="D10" s="87">
        <f>IF(OR(entrada!D17=0,entrada!D17=""),"",entrada!D17)</f>
        <v>10</v>
      </c>
      <c r="E10" s="81" t="str">
        <f>IF(OR(entrada!F17=0,entrada!F17=""),"",entrada!F17)</f>
        <v/>
      </c>
      <c r="F10" s="81" t="str">
        <f>IF(OR(entrada!G17=0,entrada!G17=""),"",entrada!G17)</f>
        <v/>
      </c>
      <c r="G10" s="81" t="str">
        <f>IF(OR(entrada!J17=0,entrada!J17=""),"",entrada!J17)</f>
        <v/>
      </c>
      <c r="H10" s="81" t="str">
        <f>IF(OR(entrada!K17=0,entrada!K17=""),"",entrada!K17)</f>
        <v/>
      </c>
      <c r="I10" s="122" t="str">
        <f>IF(OR(entrada!L17=0,entrada!L17=""),"",entrada!L17)</f>
        <v/>
      </c>
      <c r="J10" s="33"/>
    </row>
    <row r="11" spans="1:10" ht="20.25" x14ac:dyDescent="0.45">
      <c r="A11" s="35"/>
      <c r="B11" s="85" t="str">
        <f>IF(OR(entrada!B18=0,entrada!B18=""),"",entrada!B18)</f>
        <v>KCL_NUTRICION PLANTAS_G</v>
      </c>
      <c r="C11" s="86">
        <f>IF(OR(entrada!C18=0,entrada!C18=""),"",entrada!C18)</f>
        <v>450</v>
      </c>
      <c r="D11" s="87">
        <f>IF(OR(entrada!D18=0,entrada!D18=""),"",entrada!D18)</f>
        <v>45</v>
      </c>
      <c r="E11" s="81" t="str">
        <f>IF(OR(entrada!F18=0,entrada!F18=""),"",entrada!F18)</f>
        <v/>
      </c>
      <c r="F11" s="81" t="str">
        <f>IF(OR(entrada!G18=0,entrada!G18=""),"",entrada!G18)</f>
        <v/>
      </c>
      <c r="G11" s="81" t="str">
        <f>IF(OR(entrada!J18=0,entrada!J18=""),"",entrada!J18)</f>
        <v/>
      </c>
      <c r="H11" s="81" t="str">
        <f>IF(OR(entrada!K18=0,entrada!K18=""),"",entrada!K18)</f>
        <v/>
      </c>
      <c r="I11" s="122">
        <f>IF(OR(entrada!L18=0,entrada!L18=""),"",entrada!L18)</f>
        <v>0.27</v>
      </c>
      <c r="J11" s="33"/>
    </row>
    <row r="12" spans="1:10" ht="20.25" x14ac:dyDescent="0.45">
      <c r="A12" s="35"/>
      <c r="B12" s="85" t="str">
        <f>IF(OR(entrada!B19=0,entrada!B19=""),"",entrada!B19)</f>
        <v>SAM_PRECISAGRO_G</v>
      </c>
      <c r="C12" s="86">
        <f>IF(OR(entrada!C19=0,entrada!C19=""),"",entrada!C19)</f>
        <v>150</v>
      </c>
      <c r="D12" s="87">
        <f>IF(OR(entrada!D19=0,entrada!D19=""),"",entrada!D19)</f>
        <v>15</v>
      </c>
      <c r="E12" s="81">
        <f>IF(OR(entrada!F19=0,entrada!F19=""),"",entrada!F19)</f>
        <v>3.15E-2</v>
      </c>
      <c r="F12" s="81">
        <f>IF(OR(entrada!G19=0,entrada!G19=""),"",entrada!G19)</f>
        <v>3.15E-2</v>
      </c>
      <c r="G12" s="81" t="str">
        <f>IF(OR(entrada!J19=0,entrada!J19=""),"",entrada!J19)</f>
        <v/>
      </c>
      <c r="H12" s="81" t="str">
        <f>IF(OR(entrada!K19=0,entrada!K19=""),"",entrada!K19)</f>
        <v/>
      </c>
      <c r="I12" s="122" t="str">
        <f>IF(OR(entrada!L19=0,entrada!L19=""),"",entrada!L19)</f>
        <v/>
      </c>
      <c r="J12" s="33"/>
    </row>
    <row r="13" spans="1:10" x14ac:dyDescent="0.45">
      <c r="A13" s="35"/>
      <c r="B13" s="44" t="s">
        <v>81</v>
      </c>
      <c r="C13" s="22"/>
      <c r="D13" s="22"/>
      <c r="E13" s="22"/>
      <c r="F13" s="22"/>
      <c r="G13" s="22"/>
      <c r="H13" s="22"/>
      <c r="I13" s="123"/>
      <c r="J13" s="33"/>
    </row>
    <row r="14" spans="1:10" x14ac:dyDescent="0.45">
      <c r="A14" s="35"/>
      <c r="B14" s="45"/>
      <c r="C14" s="52"/>
      <c r="D14" s="24"/>
      <c r="E14" s="88"/>
      <c r="F14" s="88"/>
      <c r="G14" s="88"/>
      <c r="H14" s="88"/>
      <c r="I14" s="124"/>
      <c r="J14" s="33"/>
    </row>
    <row r="15" spans="1:10" ht="20.25" thickBot="1" x14ac:dyDescent="0.5">
      <c r="A15" s="35"/>
      <c r="B15" s="43"/>
      <c r="C15" s="51"/>
      <c r="D15" s="23"/>
      <c r="E15" s="89"/>
      <c r="F15" s="89"/>
      <c r="G15" s="89"/>
      <c r="H15" s="89"/>
      <c r="I15" s="125"/>
      <c r="J15" s="33"/>
    </row>
    <row r="16" spans="1:10" ht="20.25" thickBot="1" x14ac:dyDescent="0.5">
      <c r="A16" s="35"/>
      <c r="B16" s="27" t="str">
        <f>IF(OR(entrada!B21=0,entrada!B21=""),"",entrada!B21)</f>
        <v>GRADO</v>
      </c>
      <c r="C16" s="59">
        <f>IF(OR(entrada!C20=0,entrada!C20=""),"",entrada!C20)</f>
        <v>1000</v>
      </c>
      <c r="D16" s="60">
        <f>IF(OR(entrada!D20=0,entrada!D20=""),"",entrada!D20)</f>
        <v>100</v>
      </c>
      <c r="E16" s="61">
        <f>IF(OR(entrada!F21=0,entrada!F21=""),"",entrada!F21)</f>
        <v>0.13350000000000001</v>
      </c>
      <c r="F16" s="61">
        <f>IF(OR(entrada!G21=0,entrada!G21=""),"",entrada!G21)</f>
        <v>4.1500000000000002E-2</v>
      </c>
      <c r="G16" s="61">
        <f>IF(OR(entrada!J21=0,entrada!J21=""),"",entrada!J21)</f>
        <v>9.2000000000000012E-2</v>
      </c>
      <c r="H16" s="61">
        <f>IF(OR(entrada!K21=0,entrada!K21=""),"",entrada!K21)</f>
        <v>0.05</v>
      </c>
      <c r="I16" s="126">
        <f>IF(OR(entrada!L21=0,entrada!L21=""),"",entrada!L21)</f>
        <v>0.27</v>
      </c>
      <c r="J16" s="33"/>
    </row>
    <row r="17" spans="1:10" ht="20.25" thickBot="1" x14ac:dyDescent="0.5">
      <c r="A17" s="35"/>
      <c r="B17" s="17" t="str">
        <f>IF(OR(entrada!B22=0,entrada!B22=""),"",entrada!B22)</f>
        <v/>
      </c>
      <c r="C17" s="18" t="str">
        <f>IF(OR(entrada!C22=0,entrada!C22=""),"",entrada!C22)</f>
        <v/>
      </c>
      <c r="D17" s="18" t="str">
        <f>IF(OR(entrada!D22=0,entrada!D22=""),"",entrada!D22)</f>
        <v/>
      </c>
      <c r="J17" s="33"/>
    </row>
    <row r="18" spans="1:10" ht="21" thickBot="1" x14ac:dyDescent="0.5">
      <c r="A18" s="35"/>
      <c r="B18" s="27" t="str">
        <f>IF(OR(entrada!B23=0,entrada!B23=""),"",entrada!B23)</f>
        <v>CERTIFICADO DE ANALISIS</v>
      </c>
      <c r="C18" s="28" t="str">
        <f>IF(OR(entrada!C23=0,entrada!C23=""),"",entrada!C23)</f>
        <v/>
      </c>
      <c r="D18" s="29" t="str">
        <f>IF(OR(entrada!D23=0,entrada!D23=""),"",entrada!D23)</f>
        <v/>
      </c>
      <c r="E18" s="120">
        <f>entrada!F23</f>
        <v>0.13389999999999999</v>
      </c>
      <c r="F18" s="76">
        <f>entrada!G23</f>
        <v>4.58E-2</v>
      </c>
      <c r="G18" s="76">
        <f>entrada!J23</f>
        <v>8.8099999999999998E-2</v>
      </c>
      <c r="H18" s="76">
        <f>entrada!K23</f>
        <v>5.2600000000000001E-2</v>
      </c>
      <c r="I18" s="121">
        <f>entrada!L23</f>
        <v>0.2752</v>
      </c>
      <c r="J18" s="33"/>
    </row>
    <row r="19" spans="1:10" ht="20.25" thickBot="1" x14ac:dyDescent="0.5">
      <c r="A19" s="35"/>
      <c r="B19" s="17" t="str">
        <f>IF(OR(entrada!B24=0,entrada!B24=""),"",entrada!B24)</f>
        <v/>
      </c>
      <c r="C19" s="18" t="str">
        <f>IF(OR(entrada!C24=0,entrada!C24=""),"",entrada!C24)</f>
        <v/>
      </c>
      <c r="D19" s="18" t="str">
        <f>IF(OR(entrada!D24=0,entrada!D24=""),"",entrada!D24)</f>
        <v/>
      </c>
      <c r="H19" s="18" t="str">
        <f>IF(OR(entrada!K24=0,entrada!K24=""),"",entrada!K24)</f>
        <v/>
      </c>
      <c r="J19" s="33"/>
    </row>
    <row r="20" spans="1:10" ht="20.25" thickBot="1" x14ac:dyDescent="0.5">
      <c r="A20" s="35"/>
      <c r="B20" s="54" t="str">
        <f>IF(OR(entrada!B25=0,entrada!B25=""),"",entrada!B25)</f>
        <v>CONTENIDOS MINIMOS*1</v>
      </c>
      <c r="C20" s="55"/>
      <c r="D20" s="58"/>
      <c r="E20" s="90"/>
      <c r="F20" s="90"/>
      <c r="G20" s="90"/>
      <c r="H20" s="26" t="str">
        <f>IF(OR(entrada!K25=0,entrada!K25=""),"",entrada!K25)</f>
        <v/>
      </c>
      <c r="I20" s="26"/>
      <c r="J20" s="33"/>
    </row>
    <row r="21" spans="1:10" x14ac:dyDescent="0.45">
      <c r="A21" s="35"/>
      <c r="B21" s="68" t="s">
        <v>107</v>
      </c>
      <c r="C21" s="69"/>
      <c r="D21" s="70"/>
      <c r="E21" s="19">
        <v>0.03</v>
      </c>
      <c r="F21" s="97"/>
      <c r="G21" s="97"/>
      <c r="H21" s="19">
        <v>0.03</v>
      </c>
      <c r="I21" s="91">
        <v>0.03</v>
      </c>
      <c r="J21" s="33"/>
    </row>
    <row r="22" spans="1:10" ht="20.25" thickBot="1" x14ac:dyDescent="0.5">
      <c r="A22" s="35"/>
      <c r="B22" s="73" t="s">
        <v>108</v>
      </c>
      <c r="C22" s="74" t="str">
        <f>IF(OR(entrada!C29=0,entrada!C29=""),"",entrada!C29)</f>
        <v/>
      </c>
      <c r="D22" s="75" t="str">
        <f>IF(OR(entrada!D29=0,entrada!D29=""),"",entrada!D29)</f>
        <v/>
      </c>
      <c r="E22" s="96" t="s">
        <v>95</v>
      </c>
      <c r="F22" s="96"/>
      <c r="G22" s="96"/>
      <c r="H22" s="21" t="s">
        <v>95</v>
      </c>
      <c r="I22" s="92" t="s">
        <v>95</v>
      </c>
      <c r="J22" s="33"/>
    </row>
    <row r="23" spans="1:10" x14ac:dyDescent="0.45">
      <c r="A23" s="35"/>
      <c r="B23" s="53" t="str">
        <f>IF(OR(entrada!B30=0,entrada!B30=""),"",entrada!B30)</f>
        <v>*1 Resolución ICA 150 de 2003 ANEXO 11</v>
      </c>
      <c r="C23" s="53" t="str">
        <f>IF(OR(entrada!C30=0,entrada!C30=""),"",entrada!C30)</f>
        <v/>
      </c>
      <c r="D23" s="53" t="str">
        <f>IF(OR(entrada!D30=0,entrada!D30=""),"",entrada!D30)</f>
        <v/>
      </c>
      <c r="E23" s="53"/>
      <c r="F23" s="53"/>
      <c r="G23" s="53"/>
      <c r="H23" s="26" t="str">
        <f>IF(OR(entrada!K30=0,entrada!K30=""),"",entrada!K30)</f>
        <v/>
      </c>
      <c r="I23" s="26"/>
      <c r="J23" s="33"/>
    </row>
    <row r="24" spans="1:10" ht="20.25" thickBot="1" x14ac:dyDescent="0.5">
      <c r="A24" s="35"/>
      <c r="B24" s="17" t="str">
        <f>IF(OR(entrada!B31=0,entrada!B31=""),"",entrada!B31)</f>
        <v/>
      </c>
      <c r="C24" s="18" t="str">
        <f>IF(OR(entrada!C31=0,entrada!C31=""),"",entrada!C31)</f>
        <v/>
      </c>
      <c r="D24" s="18" t="str">
        <f>IF(OR(entrada!D31=0,entrada!D31=""),"",entrada!D31)</f>
        <v/>
      </c>
      <c r="H24" s="18" t="str">
        <f>IF(OR(entrada!K31=0,entrada!K31=""),"",entrada!K31)</f>
        <v/>
      </c>
      <c r="J24" s="33"/>
    </row>
    <row r="25" spans="1:10" ht="20.25" thickBot="1" x14ac:dyDescent="0.5">
      <c r="A25" s="35"/>
      <c r="B25" s="54" t="str">
        <f>IF(OR(entrada!B32=0,entrada!B32=""),"",entrada!B32)</f>
        <v>TOLERANCIAS*2</v>
      </c>
      <c r="C25" s="55" t="str">
        <f>IF(OR(entrada!C32=0,entrada!C32=""),"",entrada!C32)</f>
        <v/>
      </c>
      <c r="D25" s="58" t="str">
        <f>IF(OR(entrada!D32=0,entrada!D32=""),"",entrada!D32)</f>
        <v/>
      </c>
      <c r="E25" s="90"/>
      <c r="F25" s="90"/>
      <c r="G25" s="90"/>
      <c r="H25" s="26" t="str">
        <f>IF(OR(entrada!K32=0,entrada!K32=""),"",entrada!K32)</f>
        <v/>
      </c>
      <c r="I25" s="26"/>
      <c r="J25" s="33"/>
    </row>
    <row r="26" spans="1:10" x14ac:dyDescent="0.45">
      <c r="A26" s="35"/>
      <c r="B26" s="68" t="str">
        <f>IF(OR(entrada!B33=0,entrada!B33=""),"",entrada!B33)</f>
        <v>Calculo</v>
      </c>
      <c r="C26" s="69" t="str">
        <f>IF(OR(entrada!C33=0,entrada!C33=""),"",entrada!C33)</f>
        <v/>
      </c>
      <c r="D26" s="70" t="str">
        <f>IF(OR(entrada!D33=0,entrada!D33=""),"",entrada!D33)</f>
        <v/>
      </c>
      <c r="E26" s="110">
        <f>entrada!F33</f>
        <v>1.11554375E-2</v>
      </c>
      <c r="F26" s="95"/>
      <c r="G26" s="95"/>
      <c r="H26" s="93">
        <f>entrada!K33</f>
        <v>8.4730000000000014E-3</v>
      </c>
      <c r="I26" s="111">
        <f>entrada!L33</f>
        <v>1.9600999999999997E-2</v>
      </c>
      <c r="J26" s="33"/>
    </row>
    <row r="27" spans="1:10" x14ac:dyDescent="0.45">
      <c r="A27" s="35"/>
      <c r="B27" s="71" t="str">
        <f>IF(OR(entrada!B34=0,entrada!B34=""),"",entrada!B34)</f>
        <v>1) NPK ¿El contenido está fuera de rango [4%-32%]?*3</v>
      </c>
      <c r="C27" s="77" t="str">
        <f>IF(OR(entrada!C34=0,entrada!C34=""),"",entrada!C34)</f>
        <v/>
      </c>
      <c r="D27" s="72" t="str">
        <f>IF(OR(entrada!D34=0,entrada!D34=""),"",entrada!D34)</f>
        <v/>
      </c>
      <c r="E27" s="112" t="str">
        <f>entrada!F34</f>
        <v>NO</v>
      </c>
      <c r="F27" s="89"/>
      <c r="G27" s="89"/>
      <c r="H27" s="78" t="str">
        <f>entrada!K34</f>
        <v>NO</v>
      </c>
      <c r="I27" s="79" t="str">
        <f>entrada!L34</f>
        <v>NO</v>
      </c>
      <c r="J27" s="33"/>
    </row>
    <row r="28" spans="1:10" ht="20.25" thickBot="1" x14ac:dyDescent="0.5">
      <c r="A28" s="35"/>
      <c r="B28" s="73" t="str">
        <f>IF(OR(entrada!B36=0,entrada!B36=""),"",entrada!B36)</f>
        <v>Tolerancia permitida</v>
      </c>
      <c r="C28" s="74" t="str">
        <f>IF(OR(entrada!C36=0,entrada!C36=""),"",entrada!C36)</f>
        <v/>
      </c>
      <c r="D28" s="75" t="str">
        <f>IF(OR(entrada!D36=0,entrada!D36=""),"",entrada!D36)</f>
        <v/>
      </c>
      <c r="E28" s="113">
        <f>E26</f>
        <v>1.11554375E-2</v>
      </c>
      <c r="F28" s="96"/>
      <c r="G28" s="96"/>
      <c r="H28" s="98">
        <f>H26</f>
        <v>8.4730000000000014E-3</v>
      </c>
      <c r="I28" s="114">
        <f>I26</f>
        <v>1.9600999999999997E-2</v>
      </c>
      <c r="J28" s="33"/>
    </row>
    <row r="29" spans="1:10" x14ac:dyDescent="0.45">
      <c r="A29" s="35"/>
      <c r="B29" s="53" t="str">
        <f>IF(OR(entrada!B37=0,entrada!B37=""),"",entrada!B37)</f>
        <v>*2 NTC 1061:2020 ALCANCE: no aplica para organicos</v>
      </c>
      <c r="C29" s="53" t="str">
        <f>IF(OR(entrada!C37=0,entrada!C37=""),"",entrada!C37)</f>
        <v/>
      </c>
      <c r="D29" s="53" t="str">
        <f>IF(OR(entrada!D37=0,entrada!D37=""),"",entrada!D37)</f>
        <v/>
      </c>
      <c r="E29" s="53"/>
      <c r="F29" s="53"/>
      <c r="G29" s="53"/>
      <c r="H29" s="26" t="str">
        <f>IF(OR(entrada!K37=0,entrada!K37=""),"",entrada!K37)</f>
        <v/>
      </c>
      <c r="I29" s="26"/>
      <c r="J29" s="33"/>
    </row>
    <row r="30" spans="1:10" x14ac:dyDescent="0.45">
      <c r="A30" s="35"/>
      <c r="B30" s="53" t="str">
        <f>IF(OR(entrada!B38=0,entrada!B38=""),"",entrada!B38)</f>
        <v xml:space="preserve">*3 NTC 1061:2020 4.1 </v>
      </c>
      <c r="C30" s="53" t="str">
        <f>IF(OR(entrada!C38=0,entrada!C38=""),"",entrada!C38)</f>
        <v/>
      </c>
      <c r="D30" s="53" t="str">
        <f>IF(OR(entrada!D38=0,entrada!D38=""),"",entrada!D38)</f>
        <v/>
      </c>
      <c r="E30" s="53"/>
      <c r="F30" s="53"/>
      <c r="G30" s="53"/>
      <c r="H30" s="26" t="str">
        <f>IF(OR(entrada!K38=0,entrada!K38=""),"",entrada!K38)</f>
        <v/>
      </c>
      <c r="I30" s="26"/>
      <c r="J30" s="33"/>
    </row>
    <row r="31" spans="1:10" ht="20.25" thickBot="1" x14ac:dyDescent="0.5">
      <c r="A31" s="35"/>
      <c r="B31" s="17" t="str">
        <f>IF(OR(entrada!B40=0,entrada!B40=""),"",entrada!B40)</f>
        <v/>
      </c>
      <c r="C31" s="18" t="str">
        <f>IF(OR(entrada!C40=0,entrada!C40=""),"",entrada!C40)</f>
        <v/>
      </c>
      <c r="D31" s="18" t="str">
        <f>IF(OR(entrada!D40=0,entrada!D40=""),"",entrada!D40)</f>
        <v/>
      </c>
      <c r="H31" s="26" t="str">
        <f>IF(OR(entrada!K40=0,entrada!K40=""),"",entrada!K40)</f>
        <v/>
      </c>
      <c r="I31" s="26"/>
      <c r="J31" s="33"/>
    </row>
    <row r="32" spans="1:10" ht="20.25" thickBot="1" x14ac:dyDescent="0.5">
      <c r="A32" s="35"/>
      <c r="B32" s="54" t="str">
        <f>IF(OR(entrada!B41=0,entrada!B41=""),"",entrada!B41)</f>
        <v>Tolerancia Mínima NTC</v>
      </c>
      <c r="C32" s="55" t="str">
        <f>IF(OR(entrada!C41=0,entrada!C41=""),"",entrada!C41)</f>
        <v/>
      </c>
      <c r="D32" s="55" t="str">
        <f>IF(OR(entrada!D41=0,entrada!D41=""),"",entrada!D41)</f>
        <v/>
      </c>
      <c r="E32" s="107">
        <f>entrada!F41</f>
        <v>0.1188445625</v>
      </c>
      <c r="F32" s="55"/>
      <c r="G32" s="55"/>
      <c r="H32" s="19">
        <f>entrada!K41</f>
        <v>4.1527000000000001E-2</v>
      </c>
      <c r="I32" s="91">
        <f>entrada!L41</f>
        <v>0.25039900000000004</v>
      </c>
      <c r="J32" s="33"/>
    </row>
    <row r="33" spans="1:10" ht="30.75" thickBot="1" x14ac:dyDescent="0.7">
      <c r="A33" s="35"/>
      <c r="B33" s="115" t="s">
        <v>109</v>
      </c>
      <c r="C33" s="116" t="str">
        <f>IF(OR(entrada!C42=0,entrada!C42=""),"",entrada!C42)</f>
        <v/>
      </c>
      <c r="D33" s="116" t="str">
        <f>IF(OR(entrada!D42=0,entrada!D42=""),"",entrada!D42)</f>
        <v/>
      </c>
      <c r="E33" s="117">
        <f>entrada!F42</f>
        <v>0.13</v>
      </c>
      <c r="F33" s="116"/>
      <c r="G33" s="116"/>
      <c r="H33" s="118">
        <f>entrada!K42</f>
        <v>0.05</v>
      </c>
      <c r="I33" s="119">
        <f>entrada!L42</f>
        <v>0.27</v>
      </c>
      <c r="J33" s="33"/>
    </row>
    <row r="34" spans="1:10" ht="20.25" thickBot="1" x14ac:dyDescent="0.5">
      <c r="A34" s="35"/>
      <c r="B34" s="56" t="str">
        <f>IF(OR(entrada!B43=0,entrada!B43=""),"",entrada!B43)</f>
        <v>Tolerancia Máxima NTC</v>
      </c>
      <c r="C34" s="57" t="str">
        <f>IF(OR(entrada!C43=0,entrada!C43=""),"",entrada!C43)</f>
        <v/>
      </c>
      <c r="D34" s="57" t="str">
        <f>IF(OR(entrada!D43=0,entrada!D43=""),"",entrada!D43)</f>
        <v/>
      </c>
      <c r="E34" s="108">
        <f>entrada!F43</f>
        <v>0.14115543750000001</v>
      </c>
      <c r="F34" s="57"/>
      <c r="G34" s="57"/>
      <c r="H34" s="20">
        <f>entrada!K43</f>
        <v>5.8473000000000004E-2</v>
      </c>
      <c r="I34" s="109">
        <f>entrada!L43</f>
        <v>0.289601</v>
      </c>
      <c r="J34" s="33"/>
    </row>
    <row r="35" spans="1:10" x14ac:dyDescent="0.45">
      <c r="A35" s="35"/>
      <c r="B35" s="17" t="str">
        <f>IF(OR(entrada!B44=0,entrada!B44=""),"",entrada!B44)</f>
        <v/>
      </c>
      <c r="C35" s="18" t="str">
        <f>IF(OR(entrada!C44=0,entrada!C44=""),"",entrada!C44)</f>
        <v/>
      </c>
      <c r="D35" s="18" t="str">
        <f>IF(OR(entrada!D44=0,entrada!D44=""),"",entrada!D44)</f>
        <v/>
      </c>
      <c r="H35" s="18" t="str">
        <f>IF(OR(entrada!K44=0,entrada!K44=""),"",entrada!K44)</f>
        <v/>
      </c>
      <c r="J35" s="33"/>
    </row>
    <row r="36" spans="1:10" x14ac:dyDescent="0.45">
      <c r="A36" s="35"/>
      <c r="B36" s="17" t="str">
        <f>IF(OR(entrada!B47=0,entrada!B47=""),"",entrada!B47)</f>
        <v/>
      </c>
      <c r="C36" s="18" t="str">
        <f>IF(OR(entrada!C47=0,entrada!C47=""),"",entrada!C47)</f>
        <v/>
      </c>
      <c r="D36" s="18" t="str">
        <f>IF(OR(entrada!D47=0,entrada!D47=""),"",entrada!D47)</f>
        <v/>
      </c>
      <c r="H36" s="18" t="str">
        <f>IF(OR(entrada!K47=0,entrada!K47=""),"",entrada!K47)</f>
        <v/>
      </c>
      <c r="J36" s="33"/>
    </row>
    <row r="37" spans="1:10" x14ac:dyDescent="0.45">
      <c r="A37" s="35"/>
      <c r="J37" s="33"/>
    </row>
    <row r="38" spans="1:10" x14ac:dyDescent="0.45">
      <c r="A38" s="38"/>
      <c r="B38" s="39"/>
      <c r="C38" s="40"/>
      <c r="D38" s="40"/>
      <c r="E38" s="40"/>
      <c r="F38" s="40"/>
      <c r="G38" s="40"/>
      <c r="H38" s="40"/>
      <c r="I38" s="40"/>
      <c r="J38" s="41"/>
    </row>
  </sheetData>
  <mergeCells count="3">
    <mergeCell ref="C2:I2"/>
    <mergeCell ref="C3:I3"/>
    <mergeCell ref="C5:I5"/>
  </mergeCells>
  <conditionalFormatting sqref="B13:B15 B8:D12 B16:D16">
    <cfRule type="notContainsBlanks" dxfId="9" priority="45">
      <formula>LEN(TRIM(B8))&gt;0</formula>
    </cfRule>
  </conditionalFormatting>
  <conditionalFormatting sqref="E8:I12">
    <cfRule type="containsBlanks" dxfId="8" priority="11">
      <formula>LEN(TRIM(E8))=0</formula>
    </cfRule>
    <cfRule type="notContainsBlanks" dxfId="7" priority="12">
      <formula>LEN(TRIM(E8))&gt;0</formula>
    </cfRule>
  </conditionalFormatting>
  <conditionalFormatting sqref="E21:I22 E26:I28">
    <cfRule type="containsBlanks" dxfId="6" priority="3">
      <formula>LEN(TRIM(E21))=0</formula>
    </cfRule>
  </conditionalFormatting>
  <conditionalFormatting sqref="E32:I34">
    <cfRule type="containsBlanks" dxfId="5" priority="1">
      <formula>LEN(TRIM(E32))=0</formula>
    </cfRule>
  </conditionalFormatting>
  <pageMargins left="0.7" right="0.7" top="0.75" bottom="0.75" header="0.3" footer="0.3"/>
  <pageSetup scale="43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097E9-B3F1-4D1D-9652-D3A7D1C15D09}">
  <sheetPr>
    <pageSetUpPr fitToPage="1"/>
  </sheetPr>
  <dimension ref="A1:J38"/>
  <sheetViews>
    <sheetView tabSelected="1" zoomScale="55" zoomScaleNormal="55" workbookViewId="0">
      <selection activeCell="E32" sqref="E32:I34"/>
    </sheetView>
  </sheetViews>
  <sheetFormatPr baseColWidth="10" defaultColWidth="8.88671875" defaultRowHeight="19.5" x14ac:dyDescent="0.45"/>
  <cols>
    <col min="1" max="1" width="6.77734375" style="17" customWidth="1"/>
    <col min="2" max="2" width="54.77734375" style="17" bestFit="1" customWidth="1"/>
    <col min="3" max="3" width="10.88671875" style="18" customWidth="1"/>
    <col min="4" max="4" width="12.109375" style="18" customWidth="1"/>
    <col min="5" max="5" width="11.21875" style="18" customWidth="1"/>
    <col min="6" max="6" width="12.5546875" style="18" customWidth="1"/>
    <col min="7" max="7" width="14.33203125" style="18" customWidth="1"/>
    <col min="8" max="9" width="11.33203125" style="18" customWidth="1"/>
    <col min="10" max="16384" width="8.88671875" style="17"/>
  </cols>
  <sheetData>
    <row r="1" spans="1:10" ht="20.25" thickBot="1" x14ac:dyDescent="0.5">
      <c r="A1" s="47"/>
      <c r="B1" s="31"/>
      <c r="C1" s="30"/>
      <c r="D1" s="30"/>
      <c r="E1" s="30"/>
      <c r="F1" s="30"/>
      <c r="G1" s="30"/>
      <c r="H1" s="30"/>
      <c r="I1" s="30"/>
      <c r="J1" s="32"/>
    </row>
    <row r="2" spans="1:10" ht="30" customHeight="1" x14ac:dyDescent="0.45">
      <c r="A2" s="42"/>
      <c r="C2" s="127" t="s">
        <v>0</v>
      </c>
      <c r="D2" s="128"/>
      <c r="E2" s="128"/>
      <c r="F2" s="128"/>
      <c r="G2" s="128"/>
      <c r="H2" s="128"/>
      <c r="I2" s="129"/>
      <c r="J2" s="33"/>
    </row>
    <row r="3" spans="1:10" ht="30" customHeight="1" x14ac:dyDescent="0.45">
      <c r="A3" s="42"/>
      <c r="C3" s="135"/>
      <c r="D3" s="136"/>
      <c r="E3" s="136"/>
      <c r="F3" s="136"/>
      <c r="G3" s="136"/>
      <c r="H3" s="136"/>
      <c r="I3" s="144"/>
      <c r="J3" s="33"/>
    </row>
    <row r="4" spans="1:10" ht="20.25" thickBot="1" x14ac:dyDescent="0.5">
      <c r="A4" s="34"/>
      <c r="B4" s="26"/>
      <c r="C4" s="135"/>
      <c r="D4" s="136"/>
      <c r="E4" s="136"/>
      <c r="F4" s="136"/>
      <c r="G4" s="136"/>
      <c r="H4" s="136"/>
      <c r="I4" s="144"/>
      <c r="J4" s="33"/>
    </row>
    <row r="5" spans="1:10" ht="34.5" thickBot="1" x14ac:dyDescent="0.5">
      <c r="A5" s="34"/>
      <c r="B5" s="143" t="s">
        <v>82</v>
      </c>
      <c r="C5" s="145" t="s">
        <v>102</v>
      </c>
      <c r="D5" s="146"/>
      <c r="E5" s="146"/>
      <c r="F5" s="146"/>
      <c r="G5" s="146"/>
      <c r="H5" s="146"/>
      <c r="I5" s="147"/>
      <c r="J5" s="33"/>
    </row>
    <row r="6" spans="1:10" ht="20.25" thickBot="1" x14ac:dyDescent="0.5">
      <c r="A6" s="35"/>
      <c r="J6" s="33"/>
    </row>
    <row r="7" spans="1:10" s="25" customFormat="1" ht="59.25" thickBot="1" x14ac:dyDescent="0.5">
      <c r="A7" s="36"/>
      <c r="B7" s="50" t="s">
        <v>17</v>
      </c>
      <c r="C7" s="102" t="s">
        <v>18</v>
      </c>
      <c r="D7" s="102" t="s">
        <v>19</v>
      </c>
      <c r="E7" s="48" t="s">
        <v>61</v>
      </c>
      <c r="F7" s="48" t="s">
        <v>62</v>
      </c>
      <c r="G7" s="48" t="s">
        <v>65</v>
      </c>
      <c r="H7" s="48" t="s">
        <v>67</v>
      </c>
      <c r="I7" s="49" t="s">
        <v>68</v>
      </c>
      <c r="J7" s="37"/>
    </row>
    <row r="8" spans="1:10" ht="20.25" x14ac:dyDescent="0.45">
      <c r="A8" s="35"/>
      <c r="B8" s="85" t="s">
        <v>116</v>
      </c>
      <c r="C8" s="86">
        <v>200</v>
      </c>
      <c r="D8" s="87">
        <v>20</v>
      </c>
      <c r="E8" s="81">
        <v>9.2000000000000012E-2</v>
      </c>
      <c r="F8" s="81" t="s">
        <v>112</v>
      </c>
      <c r="G8" s="81">
        <v>9.2000000000000012E-2</v>
      </c>
      <c r="H8" s="81" t="s">
        <v>112</v>
      </c>
      <c r="I8" s="122" t="s">
        <v>112</v>
      </c>
      <c r="J8" s="33"/>
    </row>
    <row r="9" spans="1:10" ht="20.25" x14ac:dyDescent="0.45">
      <c r="A9" s="35"/>
      <c r="B9" s="85" t="s">
        <v>117</v>
      </c>
      <c r="C9" s="86">
        <v>100</v>
      </c>
      <c r="D9" s="87">
        <v>10</v>
      </c>
      <c r="E9" s="81">
        <v>0.01</v>
      </c>
      <c r="F9" s="81">
        <v>0.01</v>
      </c>
      <c r="G9" s="81" t="s">
        <v>112</v>
      </c>
      <c r="H9" s="81">
        <v>0.05</v>
      </c>
      <c r="I9" s="122" t="s">
        <v>112</v>
      </c>
      <c r="J9" s="33"/>
    </row>
    <row r="10" spans="1:10" ht="20.25" x14ac:dyDescent="0.45">
      <c r="A10" s="35"/>
      <c r="B10" s="85" t="s">
        <v>118</v>
      </c>
      <c r="C10" s="86">
        <v>100</v>
      </c>
      <c r="D10" s="87">
        <v>10</v>
      </c>
      <c r="E10" s="81" t="s">
        <v>112</v>
      </c>
      <c r="F10" s="81" t="s">
        <v>112</v>
      </c>
      <c r="G10" s="81" t="s">
        <v>112</v>
      </c>
      <c r="H10" s="81" t="s">
        <v>112</v>
      </c>
      <c r="I10" s="122" t="s">
        <v>112</v>
      </c>
      <c r="J10" s="33"/>
    </row>
    <row r="11" spans="1:10" ht="20.25" x14ac:dyDescent="0.45">
      <c r="A11" s="35"/>
      <c r="B11" s="85" t="s">
        <v>119</v>
      </c>
      <c r="C11" s="86">
        <v>450</v>
      </c>
      <c r="D11" s="87">
        <v>45</v>
      </c>
      <c r="E11" s="81" t="s">
        <v>112</v>
      </c>
      <c r="F11" s="81" t="s">
        <v>112</v>
      </c>
      <c r="G11" s="81" t="s">
        <v>112</v>
      </c>
      <c r="H11" s="81" t="s">
        <v>112</v>
      </c>
      <c r="I11" s="122">
        <v>0.27</v>
      </c>
      <c r="J11" s="33"/>
    </row>
    <row r="12" spans="1:10" ht="21" thickBot="1" x14ac:dyDescent="0.5">
      <c r="A12" s="35"/>
      <c r="B12" s="138" t="s">
        <v>120</v>
      </c>
      <c r="C12" s="139">
        <v>150</v>
      </c>
      <c r="D12" s="140">
        <v>15</v>
      </c>
      <c r="E12" s="141">
        <v>3.15E-2</v>
      </c>
      <c r="F12" s="141">
        <v>3.15E-2</v>
      </c>
      <c r="G12" s="141" t="s">
        <v>112</v>
      </c>
      <c r="H12" s="141" t="s">
        <v>112</v>
      </c>
      <c r="I12" s="142" t="s">
        <v>112</v>
      </c>
      <c r="J12" s="33"/>
    </row>
    <row r="13" spans="1:10" x14ac:dyDescent="0.45">
      <c r="A13" s="35"/>
      <c r="B13" s="45" t="s">
        <v>81</v>
      </c>
      <c r="C13" s="137"/>
      <c r="D13" s="137"/>
      <c r="E13" s="137"/>
      <c r="F13" s="137"/>
      <c r="G13" s="137"/>
      <c r="H13" s="137"/>
      <c r="I13" s="137"/>
      <c r="J13" s="33"/>
    </row>
    <row r="14" spans="1:10" x14ac:dyDescent="0.45">
      <c r="A14" s="35"/>
      <c r="B14" s="45"/>
      <c r="C14" s="52"/>
      <c r="D14" s="24"/>
      <c r="E14" s="88"/>
      <c r="F14" s="88"/>
      <c r="G14" s="88"/>
      <c r="H14" s="88"/>
      <c r="I14" s="88"/>
      <c r="J14" s="33"/>
    </row>
    <row r="15" spans="1:10" ht="20.25" thickBot="1" x14ac:dyDescent="0.5">
      <c r="A15" s="35"/>
      <c r="B15" s="43"/>
      <c r="C15" s="51"/>
      <c r="D15" s="23"/>
      <c r="E15" s="89"/>
      <c r="F15" s="89"/>
      <c r="G15" s="89"/>
      <c r="H15" s="89"/>
      <c r="I15" s="89"/>
      <c r="J15" s="33"/>
    </row>
    <row r="16" spans="1:10" ht="20.25" thickBot="1" x14ac:dyDescent="0.5">
      <c r="A16" s="35"/>
      <c r="B16" s="27" t="s">
        <v>92</v>
      </c>
      <c r="C16" s="59">
        <v>1000</v>
      </c>
      <c r="D16" s="60">
        <v>100</v>
      </c>
      <c r="E16" s="61">
        <v>0.13350000000000001</v>
      </c>
      <c r="F16" s="61">
        <v>4.1500000000000002E-2</v>
      </c>
      <c r="G16" s="61">
        <v>9.2000000000000012E-2</v>
      </c>
      <c r="H16" s="61">
        <v>0.05</v>
      </c>
      <c r="I16" s="61">
        <v>0.27</v>
      </c>
      <c r="J16" s="33"/>
    </row>
    <row r="17" spans="1:10" ht="20.25" thickBot="1" x14ac:dyDescent="0.5">
      <c r="A17" s="35"/>
      <c r="B17" s="17" t="s">
        <v>112</v>
      </c>
      <c r="C17" s="18" t="s">
        <v>112</v>
      </c>
      <c r="D17" s="18" t="s">
        <v>112</v>
      </c>
      <c r="J17" s="33"/>
    </row>
    <row r="18" spans="1:10" ht="21" thickBot="1" x14ac:dyDescent="0.5">
      <c r="A18" s="35"/>
      <c r="B18" s="27" t="s">
        <v>41</v>
      </c>
      <c r="C18" s="28" t="s">
        <v>112</v>
      </c>
      <c r="D18" s="29" t="s">
        <v>112</v>
      </c>
      <c r="E18" s="103">
        <v>0.13389999999999999</v>
      </c>
      <c r="F18" s="103">
        <v>4.58E-2</v>
      </c>
      <c r="G18" s="103">
        <v>8.8099999999999998E-2</v>
      </c>
      <c r="H18" s="103">
        <v>5.2600000000000001E-2</v>
      </c>
      <c r="I18" s="103">
        <v>0.2752</v>
      </c>
      <c r="J18" s="33"/>
    </row>
    <row r="19" spans="1:10" ht="20.25" thickBot="1" x14ac:dyDescent="0.5">
      <c r="A19" s="35"/>
      <c r="B19" s="17" t="s">
        <v>112</v>
      </c>
      <c r="C19" s="18" t="s">
        <v>112</v>
      </c>
      <c r="D19" s="18" t="s">
        <v>112</v>
      </c>
      <c r="H19" s="18" t="s">
        <v>112</v>
      </c>
      <c r="J19" s="33"/>
    </row>
    <row r="20" spans="1:10" ht="20.25" thickBot="1" x14ac:dyDescent="0.5">
      <c r="A20" s="35"/>
      <c r="B20" s="54" t="s">
        <v>113</v>
      </c>
      <c r="C20" s="55"/>
      <c r="D20" s="58"/>
      <c r="E20" s="90"/>
      <c r="F20" s="90"/>
      <c r="G20" s="90"/>
      <c r="H20" s="26" t="s">
        <v>112</v>
      </c>
      <c r="I20" s="26"/>
      <c r="J20" s="33"/>
    </row>
    <row r="21" spans="1:10" x14ac:dyDescent="0.45">
      <c r="A21" s="35"/>
      <c r="B21" s="68" t="s">
        <v>107</v>
      </c>
      <c r="C21" s="69"/>
      <c r="D21" s="70"/>
      <c r="E21" s="19">
        <v>0.03</v>
      </c>
      <c r="F21" s="97"/>
      <c r="G21" s="97"/>
      <c r="H21" s="19">
        <v>0.03</v>
      </c>
      <c r="I21" s="91">
        <v>0.03</v>
      </c>
      <c r="J21" s="33"/>
    </row>
    <row r="22" spans="1:10" ht="20.25" thickBot="1" x14ac:dyDescent="0.5">
      <c r="A22" s="35"/>
      <c r="B22" s="73" t="s">
        <v>108</v>
      </c>
      <c r="C22" s="74" t="s">
        <v>112</v>
      </c>
      <c r="D22" s="75" t="s">
        <v>112</v>
      </c>
      <c r="E22" s="104" t="s">
        <v>95</v>
      </c>
      <c r="F22" s="96"/>
      <c r="G22" s="96"/>
      <c r="H22" s="105" t="s">
        <v>95</v>
      </c>
      <c r="I22" s="106" t="s">
        <v>95</v>
      </c>
      <c r="J22" s="33"/>
    </row>
    <row r="23" spans="1:10" x14ac:dyDescent="0.45">
      <c r="A23" s="35"/>
      <c r="B23" s="53" t="s">
        <v>46</v>
      </c>
      <c r="C23" s="53" t="s">
        <v>112</v>
      </c>
      <c r="D23" s="53" t="s">
        <v>112</v>
      </c>
      <c r="E23" s="53"/>
      <c r="F23" s="53"/>
      <c r="G23" s="53"/>
      <c r="H23" s="26" t="s">
        <v>112</v>
      </c>
      <c r="I23" s="26"/>
      <c r="J23" s="33"/>
    </row>
    <row r="24" spans="1:10" ht="20.25" thickBot="1" x14ac:dyDescent="0.5">
      <c r="A24" s="35"/>
      <c r="B24" s="17" t="s">
        <v>112</v>
      </c>
      <c r="C24" s="18" t="s">
        <v>112</v>
      </c>
      <c r="D24" s="18" t="s">
        <v>112</v>
      </c>
      <c r="H24" s="18" t="s">
        <v>112</v>
      </c>
      <c r="J24" s="33"/>
    </row>
    <row r="25" spans="1:10" ht="20.25" thickBot="1" x14ac:dyDescent="0.5">
      <c r="A25" s="35"/>
      <c r="B25" s="54" t="s">
        <v>114</v>
      </c>
      <c r="C25" s="55" t="s">
        <v>112</v>
      </c>
      <c r="D25" s="58" t="s">
        <v>112</v>
      </c>
      <c r="E25" s="90"/>
      <c r="F25" s="90"/>
      <c r="G25" s="90"/>
      <c r="H25" s="26" t="s">
        <v>112</v>
      </c>
      <c r="I25" s="26"/>
      <c r="J25" s="33"/>
    </row>
    <row r="26" spans="1:10" x14ac:dyDescent="0.45">
      <c r="A26" s="35"/>
      <c r="B26" s="68" t="s">
        <v>59</v>
      </c>
      <c r="C26" s="69" t="s">
        <v>112</v>
      </c>
      <c r="D26" s="70" t="s">
        <v>112</v>
      </c>
      <c r="E26" s="94">
        <v>1.11554375E-2</v>
      </c>
      <c r="F26" s="95"/>
      <c r="G26" s="95"/>
      <c r="H26" s="93">
        <v>8.4730000000000014E-3</v>
      </c>
      <c r="I26" s="93">
        <v>1.9600999999999997E-2</v>
      </c>
      <c r="J26" s="33"/>
    </row>
    <row r="27" spans="1:10" x14ac:dyDescent="0.45">
      <c r="A27" s="35"/>
      <c r="B27" s="71" t="s">
        <v>115</v>
      </c>
      <c r="C27" s="77" t="s">
        <v>112</v>
      </c>
      <c r="D27" s="72" t="s">
        <v>112</v>
      </c>
      <c r="E27" s="89" t="s">
        <v>96</v>
      </c>
      <c r="F27" s="89"/>
      <c r="G27" s="89"/>
      <c r="H27" s="78" t="s">
        <v>96</v>
      </c>
      <c r="I27" s="78" t="s">
        <v>96</v>
      </c>
      <c r="J27" s="33"/>
    </row>
    <row r="28" spans="1:10" ht="20.25" thickBot="1" x14ac:dyDescent="0.5">
      <c r="A28" s="35"/>
      <c r="B28" s="73" t="s">
        <v>40</v>
      </c>
      <c r="C28" s="74" t="s">
        <v>112</v>
      </c>
      <c r="D28" s="75" t="s">
        <v>112</v>
      </c>
      <c r="E28" s="98">
        <v>1.11554375E-2</v>
      </c>
      <c r="F28" s="96"/>
      <c r="G28" s="96"/>
      <c r="H28" s="98">
        <v>8.4730000000000014E-3</v>
      </c>
      <c r="I28" s="98">
        <v>1.9600999999999997E-2</v>
      </c>
      <c r="J28" s="33"/>
    </row>
    <row r="29" spans="1:10" x14ac:dyDescent="0.45">
      <c r="A29" s="35"/>
      <c r="B29" s="53" t="s">
        <v>47</v>
      </c>
      <c r="C29" s="53" t="s">
        <v>112</v>
      </c>
      <c r="D29" s="53" t="s">
        <v>112</v>
      </c>
      <c r="E29" s="53"/>
      <c r="F29" s="53"/>
      <c r="G29" s="53"/>
      <c r="H29" s="26" t="s">
        <v>112</v>
      </c>
      <c r="I29" s="26"/>
      <c r="J29" s="33"/>
    </row>
    <row r="30" spans="1:10" x14ac:dyDescent="0.45">
      <c r="A30" s="35"/>
      <c r="B30" s="53" t="s">
        <v>48</v>
      </c>
      <c r="C30" s="53" t="s">
        <v>112</v>
      </c>
      <c r="D30" s="53" t="s">
        <v>112</v>
      </c>
      <c r="E30" s="53"/>
      <c r="F30" s="53"/>
      <c r="G30" s="53"/>
      <c r="H30" s="26" t="s">
        <v>112</v>
      </c>
      <c r="I30" s="26"/>
      <c r="J30" s="33"/>
    </row>
    <row r="31" spans="1:10" ht="20.25" thickBot="1" x14ac:dyDescent="0.5">
      <c r="A31" s="35"/>
      <c r="B31" s="17" t="s">
        <v>112</v>
      </c>
      <c r="C31" s="18" t="s">
        <v>112</v>
      </c>
      <c r="D31" s="18" t="s">
        <v>112</v>
      </c>
      <c r="H31" s="26" t="s">
        <v>112</v>
      </c>
      <c r="I31" s="26"/>
      <c r="J31" s="33"/>
    </row>
    <row r="32" spans="1:10" x14ac:dyDescent="0.45">
      <c r="A32" s="35"/>
      <c r="B32" s="54" t="s">
        <v>83</v>
      </c>
      <c r="C32" s="55" t="s">
        <v>112</v>
      </c>
      <c r="D32" s="55" t="s">
        <v>112</v>
      </c>
      <c r="E32" s="100">
        <v>0.1188445625</v>
      </c>
      <c r="F32" s="55"/>
      <c r="G32" s="55"/>
      <c r="H32" s="19">
        <v>4.1527000000000001E-2</v>
      </c>
      <c r="I32" s="19">
        <v>0.25039900000000004</v>
      </c>
      <c r="J32" s="33"/>
    </row>
    <row r="33" spans="1:10" ht="30" x14ac:dyDescent="0.65">
      <c r="A33" s="35"/>
      <c r="B33" s="82" t="s">
        <v>109</v>
      </c>
      <c r="C33" s="83" t="s">
        <v>112</v>
      </c>
      <c r="D33" s="83" t="s">
        <v>112</v>
      </c>
      <c r="E33" s="99">
        <v>0.13</v>
      </c>
      <c r="F33" s="83"/>
      <c r="G33" s="83"/>
      <c r="H33" s="84">
        <v>0.05</v>
      </c>
      <c r="I33" s="84">
        <v>0.27</v>
      </c>
      <c r="J33" s="33"/>
    </row>
    <row r="34" spans="1:10" ht="20.25" thickBot="1" x14ac:dyDescent="0.5">
      <c r="A34" s="35"/>
      <c r="B34" s="56" t="s">
        <v>84</v>
      </c>
      <c r="C34" s="57" t="s">
        <v>112</v>
      </c>
      <c r="D34" s="57" t="s">
        <v>112</v>
      </c>
      <c r="E34" s="101">
        <v>0.14115543750000001</v>
      </c>
      <c r="F34" s="57"/>
      <c r="G34" s="57"/>
      <c r="H34" s="20">
        <v>5.8473000000000004E-2</v>
      </c>
      <c r="I34" s="20">
        <v>0.289601</v>
      </c>
      <c r="J34" s="33"/>
    </row>
    <row r="35" spans="1:10" x14ac:dyDescent="0.45">
      <c r="A35" s="35"/>
      <c r="B35" s="17" t="str">
        <f>IF(OR(entrada!B44=0,entrada!B44=""),"",entrada!B44)</f>
        <v/>
      </c>
      <c r="C35" s="18" t="str">
        <f>IF(OR(entrada!C44=0,entrada!C44=""),"",entrada!C44)</f>
        <v/>
      </c>
      <c r="D35" s="18" t="str">
        <f>IF(OR(entrada!D44=0,entrada!D44=""),"",entrada!D44)</f>
        <v/>
      </c>
      <c r="H35" s="18" t="str">
        <f>IF(OR(entrada!K44=0,entrada!K44=""),"",entrada!K44)</f>
        <v/>
      </c>
      <c r="J35" s="33"/>
    </row>
    <row r="36" spans="1:10" x14ac:dyDescent="0.45">
      <c r="A36" s="35"/>
      <c r="B36" s="17" t="str">
        <f>IF(OR(entrada!B47=0,entrada!B47=""),"",entrada!B47)</f>
        <v/>
      </c>
      <c r="C36" s="18" t="str">
        <f>IF(OR(entrada!C47=0,entrada!C47=""),"",entrada!C47)</f>
        <v/>
      </c>
      <c r="D36" s="18" t="str">
        <f>IF(OR(entrada!D47=0,entrada!D47=""),"",entrada!D47)</f>
        <v/>
      </c>
      <c r="H36" s="18" t="str">
        <f>IF(OR(entrada!K47=0,entrada!K47=""),"",entrada!K47)</f>
        <v/>
      </c>
      <c r="J36" s="33"/>
    </row>
    <row r="37" spans="1:10" x14ac:dyDescent="0.45">
      <c r="A37" s="35"/>
      <c r="J37" s="33"/>
    </row>
    <row r="38" spans="1:10" x14ac:dyDescent="0.45">
      <c r="A38" s="38"/>
      <c r="B38" s="39"/>
      <c r="C38" s="40"/>
      <c r="D38" s="40"/>
      <c r="E38" s="40"/>
      <c r="F38" s="40"/>
      <c r="G38" s="40"/>
      <c r="H38" s="40"/>
      <c r="I38" s="40"/>
      <c r="J38" s="41"/>
    </row>
  </sheetData>
  <mergeCells count="2">
    <mergeCell ref="C5:I5"/>
    <mergeCell ref="C2:I4"/>
  </mergeCells>
  <conditionalFormatting sqref="B13:B15 B8:D12 B16:D16">
    <cfRule type="notContainsBlanks" dxfId="4" priority="5">
      <formula>LEN(TRIM(B8))&gt;0</formula>
    </cfRule>
  </conditionalFormatting>
  <conditionalFormatting sqref="E8:I12">
    <cfRule type="containsBlanks" dxfId="3" priority="3">
      <formula>LEN(TRIM(E8))=0</formula>
    </cfRule>
    <cfRule type="notContainsBlanks" dxfId="2" priority="4">
      <formula>LEN(TRIM(E8))&gt;0</formula>
    </cfRule>
  </conditionalFormatting>
  <conditionalFormatting sqref="E21:I22 E26:I28">
    <cfRule type="containsBlanks" dxfId="1" priority="2">
      <formula>LEN(TRIM(E21))=0</formula>
    </cfRule>
  </conditionalFormatting>
  <conditionalFormatting sqref="E32:I34">
    <cfRule type="containsBlanks" dxfId="0" priority="1">
      <formula>LEN(TRIM(E32))=0</formula>
    </cfRule>
  </conditionalFormatting>
  <pageMargins left="0.7" right="0.7" top="0.75" bottom="0.75" header="0.3" footer="0.3"/>
  <pageSetup scale="4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minimos</vt:lpstr>
      <vt:lpstr>entrada (2)</vt:lpstr>
      <vt:lpstr>entrada</vt:lpstr>
      <vt:lpstr>balance materias primas</vt:lpstr>
      <vt:lpstr>salida</vt:lpstr>
      <vt:lpstr>'balance materias primas'!Área_de_impresión</vt:lpstr>
      <vt:lpstr>salida!Área_de_impresión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cp:lastPrinted>2024-07-22T21:41:32Z</cp:lastPrinted>
  <dcterms:created xsi:type="dcterms:W3CDTF">2024-07-19T14:39:17Z</dcterms:created>
  <dcterms:modified xsi:type="dcterms:W3CDTF">2025-03-29T17:02:34Z</dcterms:modified>
</cp:coreProperties>
</file>