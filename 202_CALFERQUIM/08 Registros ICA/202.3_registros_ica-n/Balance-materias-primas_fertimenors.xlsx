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"/>
    </mc:Choice>
  </mc:AlternateContent>
  <xr:revisionPtr revIDLastSave="0" documentId="13_ncr:1_{23A15DA3-1548-4BDB-9770-9CA42C206078}" xr6:coauthVersionLast="47" xr6:coauthVersionMax="47" xr10:uidLastSave="{00000000-0000-0000-0000-000000000000}"/>
  <bookViews>
    <workbookView xWindow="14310" yWindow="45" windowWidth="14490" windowHeight="11295" firstSheet="1" activeTab="2" xr2:uid="{7A9F012D-6F37-47A5-AC75-9A96A3A822E5}"/>
  </bookViews>
  <sheets>
    <sheet name="tolerancias" sheetId="8" state="hidden" r:id="rId1"/>
    <sheet name="entrada" sheetId="1" r:id="rId2"/>
    <sheet name="balance materias primas" sheetId="9" r:id="rId3"/>
    <sheet name="salida" sheetId="10" r:id="rId4"/>
  </sheets>
  <definedNames>
    <definedName name="_xlnm.Print_Area" localSheetId="2">'balance materias primas'!$A$1:$Z$45</definedName>
    <definedName name="_xlnm.Print_Area" localSheetId="3">salida!$A$1:$N$44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7" i="1" l="1"/>
  <c r="W27" i="1"/>
  <c r="V27" i="1"/>
  <c r="U27" i="1"/>
  <c r="T27" i="1"/>
  <c r="S27" i="1"/>
  <c r="R27" i="1"/>
  <c r="Q27" i="1"/>
  <c r="Q42" i="1" s="1"/>
  <c r="P27" i="1"/>
  <c r="M27" i="1"/>
  <c r="L27" i="1"/>
  <c r="K27" i="1"/>
  <c r="J27" i="1"/>
  <c r="I27" i="1"/>
  <c r="H27" i="1"/>
  <c r="G27" i="1"/>
  <c r="F27" i="1"/>
  <c r="M40" i="1"/>
  <c r="M41" i="1" s="1"/>
  <c r="F32" i="10" s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H21" i="1"/>
  <c r="I21" i="1"/>
  <c r="J21" i="1"/>
  <c r="K21" i="1"/>
  <c r="L21" i="1"/>
  <c r="M21" i="1"/>
  <c r="N21" i="1"/>
  <c r="N27" i="1" s="1"/>
  <c r="O21" i="1"/>
  <c r="O27" i="1" s="1"/>
  <c r="P21" i="1"/>
  <c r="Q21" i="1"/>
  <c r="R21" i="1"/>
  <c r="S21" i="1"/>
  <c r="T21" i="1"/>
  <c r="U21" i="1"/>
  <c r="V21" i="1"/>
  <c r="W21" i="1"/>
  <c r="X21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G25" i="1"/>
  <c r="G24" i="1"/>
  <c r="G23" i="1"/>
  <c r="G22" i="1"/>
  <c r="G21" i="1"/>
  <c r="G20" i="1"/>
  <c r="G19" i="1"/>
  <c r="G18" i="1"/>
  <c r="E19" i="1"/>
  <c r="E20" i="1"/>
  <c r="E21" i="1"/>
  <c r="E22" i="1"/>
  <c r="E23" i="1"/>
  <c r="E24" i="1"/>
  <c r="E25" i="1"/>
  <c r="E18" i="1"/>
  <c r="F23" i="1"/>
  <c r="F24" i="1"/>
  <c r="F25" i="1"/>
  <c r="F19" i="1"/>
  <c r="F20" i="1"/>
  <c r="F21" i="1"/>
  <c r="F22" i="1"/>
  <c r="F18" i="1"/>
  <c r="C26" i="1"/>
  <c r="D23" i="1"/>
  <c r="D24" i="1"/>
  <c r="D20" i="1"/>
  <c r="D25" i="1"/>
  <c r="D22" i="1"/>
  <c r="D21" i="1"/>
  <c r="D18" i="1"/>
  <c r="D26" i="1" s="1"/>
  <c r="D18" i="10" s="1"/>
  <c r="D19" i="1"/>
  <c r="D6" i="1"/>
  <c r="D9" i="1"/>
  <c r="D10" i="1"/>
  <c r="D13" i="1"/>
  <c r="D8" i="1"/>
  <c r="D12" i="1"/>
  <c r="D11" i="1"/>
  <c r="D7" i="1"/>
  <c r="M42" i="10"/>
  <c r="L42" i="10"/>
  <c r="K42" i="10"/>
  <c r="J42" i="10"/>
  <c r="I42" i="10"/>
  <c r="H42" i="10"/>
  <c r="G42" i="10"/>
  <c r="F42" i="10"/>
  <c r="E42" i="10"/>
  <c r="D42" i="10"/>
  <c r="C42" i="10"/>
  <c r="B42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D40" i="10"/>
  <c r="C40" i="10"/>
  <c r="B40" i="10"/>
  <c r="D39" i="10"/>
  <c r="C39" i="10"/>
  <c r="D38" i="10"/>
  <c r="C38" i="10"/>
  <c r="B38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D33" i="10"/>
  <c r="C33" i="10"/>
  <c r="B33" i="10"/>
  <c r="E32" i="10"/>
  <c r="D32" i="10"/>
  <c r="C32" i="10"/>
  <c r="B32" i="10"/>
  <c r="L31" i="10"/>
  <c r="D31" i="10"/>
  <c r="C31" i="10"/>
  <c r="B31" i="10"/>
  <c r="M30" i="10"/>
  <c r="L30" i="10"/>
  <c r="K30" i="10"/>
  <c r="J30" i="10"/>
  <c r="I30" i="10"/>
  <c r="H30" i="10"/>
  <c r="G30" i="10"/>
  <c r="F30" i="10"/>
  <c r="D30" i="10"/>
  <c r="C30" i="10"/>
  <c r="B30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H26" i="10"/>
  <c r="G26" i="10"/>
  <c r="F26" i="10"/>
  <c r="E26" i="10"/>
  <c r="D26" i="10"/>
  <c r="C26" i="10"/>
  <c r="B26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M23" i="10"/>
  <c r="L23" i="10"/>
  <c r="K23" i="10"/>
  <c r="J23" i="10"/>
  <c r="I23" i="10"/>
  <c r="H23" i="10"/>
  <c r="G23" i="10"/>
  <c r="F23" i="10"/>
  <c r="D23" i="10"/>
  <c r="C23" i="10"/>
  <c r="B23" i="10"/>
  <c r="M22" i="10"/>
  <c r="L22" i="10"/>
  <c r="K22" i="10"/>
  <c r="J22" i="10"/>
  <c r="I22" i="10"/>
  <c r="H22" i="10"/>
  <c r="G22" i="10"/>
  <c r="F22" i="10"/>
  <c r="E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D19" i="10"/>
  <c r="C19" i="10"/>
  <c r="B19" i="10"/>
  <c r="B18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C20" i="9"/>
  <c r="D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42" i="9"/>
  <c r="E43" i="9"/>
  <c r="C21" i="9"/>
  <c r="D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C22" i="9"/>
  <c r="D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C24" i="9"/>
  <c r="D24" i="9"/>
  <c r="M24" i="9"/>
  <c r="N24" i="9"/>
  <c r="O24" i="9"/>
  <c r="P24" i="9"/>
  <c r="Q24" i="9"/>
  <c r="R24" i="9"/>
  <c r="S24" i="9"/>
  <c r="T24" i="9"/>
  <c r="U24" i="9"/>
  <c r="V24" i="9"/>
  <c r="W24" i="9"/>
  <c r="X24" i="9"/>
  <c r="C25" i="9"/>
  <c r="D25" i="9"/>
  <c r="F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C26" i="9"/>
  <c r="D26" i="9"/>
  <c r="F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C27" i="9"/>
  <c r="D27" i="9"/>
  <c r="F27" i="9"/>
  <c r="K27" i="9"/>
  <c r="L27" i="9"/>
  <c r="M27" i="9"/>
  <c r="N27" i="9"/>
  <c r="O27" i="9"/>
  <c r="X27" i="9"/>
  <c r="C28" i="9"/>
  <c r="D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C29" i="9"/>
  <c r="D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C30" i="9"/>
  <c r="D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C31" i="9"/>
  <c r="D31" i="9"/>
  <c r="G31" i="9"/>
  <c r="H31" i="9"/>
  <c r="I31" i="9"/>
  <c r="J31" i="9"/>
  <c r="M31" i="9"/>
  <c r="N31" i="9"/>
  <c r="O31" i="9"/>
  <c r="P31" i="9"/>
  <c r="Q31" i="9"/>
  <c r="R31" i="9"/>
  <c r="S31" i="9"/>
  <c r="T31" i="9"/>
  <c r="U31" i="9"/>
  <c r="V31" i="9"/>
  <c r="W31" i="9"/>
  <c r="X31" i="9"/>
  <c r="C32" i="9"/>
  <c r="D32" i="9"/>
  <c r="I32" i="9"/>
  <c r="V32" i="9"/>
  <c r="C33" i="9"/>
  <c r="D33" i="9"/>
  <c r="F33" i="9"/>
  <c r="K33" i="9"/>
  <c r="L33" i="9"/>
  <c r="C34" i="9"/>
  <c r="D34" i="9"/>
  <c r="G34" i="9"/>
  <c r="H34" i="9"/>
  <c r="I34" i="9"/>
  <c r="J34" i="9"/>
  <c r="C35" i="9"/>
  <c r="D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C36" i="9"/>
  <c r="D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C37" i="9"/>
  <c r="D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C38" i="9"/>
  <c r="D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C39" i="9"/>
  <c r="D39" i="9"/>
  <c r="C40" i="9"/>
  <c r="D40" i="9"/>
  <c r="C41" i="9"/>
  <c r="D41" i="9"/>
  <c r="C42" i="9"/>
  <c r="D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C43" i="9"/>
  <c r="D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1" i="9"/>
  <c r="B42" i="9"/>
  <c r="B43" i="9"/>
  <c r="B20" i="9"/>
  <c r="B21" i="9"/>
  <c r="C8" i="9"/>
  <c r="D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E8" i="9"/>
  <c r="C9" i="9"/>
  <c r="C10" i="9"/>
  <c r="C11" i="9"/>
  <c r="C12" i="9"/>
  <c r="C13" i="9"/>
  <c r="C14" i="9"/>
  <c r="C15" i="9"/>
  <c r="B9" i="9"/>
  <c r="B10" i="9"/>
  <c r="B11" i="9"/>
  <c r="B12" i="9"/>
  <c r="B13" i="9"/>
  <c r="B14" i="9"/>
  <c r="B15" i="9"/>
  <c r="B19" i="9"/>
  <c r="B8" i="9"/>
  <c r="E49" i="1"/>
  <c r="E41" i="9" s="1"/>
  <c r="E47" i="1"/>
  <c r="E39" i="9" s="1"/>
  <c r="V49" i="1"/>
  <c r="V47" i="1"/>
  <c r="V39" i="9" s="1"/>
  <c r="Q48" i="1"/>
  <c r="J39" i="10" s="1"/>
  <c r="V42" i="1"/>
  <c r="V41" i="1"/>
  <c r="L32" i="10" s="1"/>
  <c r="Q40" i="1"/>
  <c r="Q41" i="1"/>
  <c r="J32" i="10" s="1"/>
  <c r="Q47" i="1" l="1"/>
  <c r="J38" i="10" s="1"/>
  <c r="Q19" i="9"/>
  <c r="J18" i="10"/>
  <c r="Q35" i="1"/>
  <c r="Q49" i="1"/>
  <c r="J40" i="10" s="1"/>
  <c r="M42" i="1"/>
  <c r="M34" i="9" s="1"/>
  <c r="M48" i="1"/>
  <c r="M40" i="9" s="1"/>
  <c r="M19" i="9"/>
  <c r="F18" i="10"/>
  <c r="D19" i="9"/>
  <c r="Q39" i="9"/>
  <c r="V33" i="9"/>
  <c r="Q41" i="9"/>
  <c r="L38" i="10"/>
  <c r="J33" i="10"/>
  <c r="Q34" i="9"/>
  <c r="F31" i="10"/>
  <c r="J31" i="10"/>
  <c r="Q32" i="9"/>
  <c r="V34" i="9"/>
  <c r="L33" i="10"/>
  <c r="J26" i="10"/>
  <c r="Q27" i="9"/>
  <c r="Q40" i="9"/>
  <c r="L40" i="10"/>
  <c r="V41" i="9"/>
  <c r="Q33" i="9"/>
  <c r="F39" i="10"/>
  <c r="M33" i="9"/>
  <c r="M32" i="9"/>
  <c r="F33" i="10"/>
  <c r="M47" i="1"/>
  <c r="B48" i="1"/>
  <c r="J15" i="9"/>
  <c r="H14" i="9"/>
  <c r="C14" i="1"/>
  <c r="M49" i="1" l="1"/>
  <c r="D10" i="10"/>
  <c r="D10" i="9"/>
  <c r="D11" i="10"/>
  <c r="D11" i="9"/>
  <c r="D15" i="10"/>
  <c r="D15" i="9"/>
  <c r="D14" i="10"/>
  <c r="D14" i="9"/>
  <c r="D12" i="10"/>
  <c r="D12" i="9"/>
  <c r="C19" i="9"/>
  <c r="C18" i="10"/>
  <c r="D9" i="10"/>
  <c r="D9" i="9"/>
  <c r="D13" i="10"/>
  <c r="D13" i="9"/>
  <c r="B39" i="10"/>
  <c r="B40" i="9"/>
  <c r="F38" i="10"/>
  <c r="M39" i="9"/>
  <c r="G11" i="9"/>
  <c r="H11" i="9"/>
  <c r="G15" i="9"/>
  <c r="H15" i="9"/>
  <c r="H13" i="9"/>
  <c r="E10" i="9"/>
  <c r="I10" i="9"/>
  <c r="G14" i="9"/>
  <c r="I15" i="9"/>
  <c r="E14" i="9"/>
  <c r="I14" i="9"/>
  <c r="J9" i="9"/>
  <c r="I12" i="9"/>
  <c r="J12" i="9"/>
  <c r="J14" i="9"/>
  <c r="G12" i="9"/>
  <c r="X12" i="9"/>
  <c r="T15" i="9"/>
  <c r="K14" i="9"/>
  <c r="S14" i="9"/>
  <c r="X15" i="9"/>
  <c r="U15" i="9"/>
  <c r="E15" i="9"/>
  <c r="K15" i="9"/>
  <c r="S15" i="9"/>
  <c r="E12" i="9"/>
  <c r="U12" i="9"/>
  <c r="K13" i="9"/>
  <c r="T10" i="9"/>
  <c r="T13" i="9"/>
  <c r="T14" i="9"/>
  <c r="X14" i="9"/>
  <c r="S13" i="9"/>
  <c r="K9" i="9"/>
  <c r="S9" i="9"/>
  <c r="U14" i="9"/>
  <c r="K12" i="9"/>
  <c r="T12" i="9"/>
  <c r="F40" i="10" l="1"/>
  <c r="M41" i="9"/>
  <c r="H10" i="9"/>
  <c r="X10" i="9"/>
  <c r="U9" i="9"/>
  <c r="G9" i="9"/>
  <c r="S12" i="9"/>
  <c r="X13" i="9"/>
  <c r="K11" i="9"/>
  <c r="U11" i="9"/>
  <c r="T11" i="9"/>
  <c r="K10" i="9"/>
  <c r="I13" i="9"/>
  <c r="X9" i="9"/>
  <c r="G10" i="9"/>
  <c r="U10" i="9"/>
  <c r="H9" i="9"/>
  <c r="S11" i="9"/>
  <c r="E9" i="9"/>
  <c r="J13" i="9"/>
  <c r="G13" i="9"/>
  <c r="J11" i="9"/>
  <c r="H12" i="9"/>
  <c r="U13" i="9"/>
  <c r="E11" i="9"/>
  <c r="X11" i="9"/>
  <c r="S10" i="9"/>
  <c r="T9" i="9"/>
  <c r="I9" i="9"/>
  <c r="E13" i="9"/>
  <c r="J10" i="9"/>
  <c r="E9" i="10"/>
  <c r="L9" i="9"/>
  <c r="H15" i="10"/>
  <c r="O15" i="9"/>
  <c r="L15" i="10"/>
  <c r="V15" i="9"/>
  <c r="M11" i="10"/>
  <c r="W11" i="9"/>
  <c r="G10" i="10"/>
  <c r="N10" i="9"/>
  <c r="L14" i="10"/>
  <c r="V14" i="9"/>
  <c r="L13" i="10"/>
  <c r="V13" i="9"/>
  <c r="I11" i="9"/>
  <c r="I12" i="10"/>
  <c r="P12" i="9"/>
  <c r="H12" i="10"/>
  <c r="O12" i="9"/>
  <c r="G12" i="10"/>
  <c r="N12" i="9"/>
  <c r="H9" i="10"/>
  <c r="O9" i="9"/>
  <c r="E14" i="10"/>
  <c r="L14" i="9"/>
  <c r="E13" i="10"/>
  <c r="L13" i="9"/>
  <c r="E10" i="10"/>
  <c r="L10" i="9"/>
  <c r="M13" i="10"/>
  <c r="W13" i="9"/>
  <c r="J12" i="10"/>
  <c r="Q12" i="9"/>
  <c r="E15" i="10"/>
  <c r="L15" i="9"/>
  <c r="L10" i="10"/>
  <c r="V10" i="9"/>
  <c r="R10" i="9"/>
  <c r="K10" i="10"/>
  <c r="Q13" i="9"/>
  <c r="J13" i="10"/>
  <c r="L9" i="10"/>
  <c r="V9" i="9"/>
  <c r="L12" i="10"/>
  <c r="V12" i="9"/>
  <c r="K9" i="10"/>
  <c r="R9" i="9"/>
  <c r="Q11" i="9"/>
  <c r="J11" i="10"/>
  <c r="I11" i="10"/>
  <c r="P11" i="9"/>
  <c r="I15" i="10"/>
  <c r="P15" i="9"/>
  <c r="M14" i="10"/>
  <c r="W14" i="9"/>
  <c r="G14" i="10"/>
  <c r="N14" i="9"/>
  <c r="M10" i="10"/>
  <c r="W10" i="9"/>
  <c r="M15" i="10"/>
  <c r="W15" i="9"/>
  <c r="J10" i="10"/>
  <c r="Q10" i="9"/>
  <c r="Q9" i="9"/>
  <c r="J9" i="10"/>
  <c r="K13" i="10"/>
  <c r="R13" i="9"/>
  <c r="N11" i="9"/>
  <c r="G11" i="10"/>
  <c r="E12" i="10"/>
  <c r="L12" i="9"/>
  <c r="M10" i="9"/>
  <c r="F10" i="10"/>
  <c r="M12" i="10"/>
  <c r="W12" i="9"/>
  <c r="J14" i="10"/>
  <c r="Q14" i="9"/>
  <c r="F13" i="10"/>
  <c r="M13" i="9"/>
  <c r="M9" i="10"/>
  <c r="W9" i="9"/>
  <c r="I9" i="10"/>
  <c r="P9" i="9"/>
  <c r="F12" i="10"/>
  <c r="M12" i="9"/>
  <c r="K15" i="10"/>
  <c r="R15" i="9"/>
  <c r="Q15" i="9"/>
  <c r="J15" i="10"/>
  <c r="R12" i="9"/>
  <c r="K12" i="10"/>
  <c r="M14" i="9"/>
  <c r="F14" i="10"/>
  <c r="H13" i="10"/>
  <c r="O13" i="9"/>
  <c r="I14" i="10"/>
  <c r="P14" i="9"/>
  <c r="I13" i="10"/>
  <c r="P13" i="9"/>
  <c r="I10" i="10"/>
  <c r="P10" i="9"/>
  <c r="N9" i="9"/>
  <c r="G9" i="10"/>
  <c r="M9" i="9"/>
  <c r="F9" i="10"/>
  <c r="G13" i="10"/>
  <c r="N13" i="9"/>
  <c r="R11" i="9"/>
  <c r="K11" i="10"/>
  <c r="N15" i="9"/>
  <c r="G15" i="10"/>
  <c r="M11" i="9"/>
  <c r="F11" i="10"/>
  <c r="F15" i="10"/>
  <c r="M15" i="9"/>
  <c r="E11" i="10"/>
  <c r="L11" i="9"/>
  <c r="H11" i="10"/>
  <c r="O11" i="9"/>
  <c r="R14" i="9"/>
  <c r="K14" i="10"/>
  <c r="H14" i="10"/>
  <c r="O14" i="9"/>
  <c r="H10" i="10"/>
  <c r="O10" i="9"/>
  <c r="L11" i="10"/>
  <c r="V11" i="9"/>
  <c r="F15" i="9"/>
  <c r="F14" i="9"/>
  <c r="I19" i="9"/>
  <c r="H19" i="9"/>
  <c r="E27" i="1"/>
  <c r="S19" i="9"/>
  <c r="T19" i="9"/>
  <c r="F12" i="9"/>
  <c r="K19" i="9"/>
  <c r="J19" i="9"/>
  <c r="X19" i="9"/>
  <c r="U19" i="9"/>
  <c r="G19" i="9"/>
  <c r="F9" i="9" l="1"/>
  <c r="F13" i="9"/>
  <c r="F11" i="9"/>
  <c r="F10" i="9"/>
  <c r="R19" i="9"/>
  <c r="K18" i="10"/>
  <c r="G18" i="10"/>
  <c r="N19" i="9"/>
  <c r="M18" i="10"/>
  <c r="W19" i="9"/>
  <c r="L18" i="10"/>
  <c r="V19" i="9"/>
  <c r="H18" i="10"/>
  <c r="O19" i="9"/>
  <c r="I18" i="10"/>
  <c r="P19" i="9"/>
  <c r="E48" i="1"/>
  <c r="E40" i="9" s="1"/>
  <c r="E19" i="9"/>
  <c r="E18" i="10"/>
  <c r="L19" i="9"/>
  <c r="U35" i="1"/>
  <c r="U27" i="9" s="1"/>
  <c r="U48" i="1"/>
  <c r="U40" i="9" s="1"/>
  <c r="U41" i="1"/>
  <c r="U33" i="9" s="1"/>
  <c r="U47" i="1"/>
  <c r="U39" i="9" s="1"/>
  <c r="U49" i="1"/>
  <c r="U41" i="9" s="1"/>
  <c r="U40" i="1"/>
  <c r="U32" i="9" s="1"/>
  <c r="U42" i="1"/>
  <c r="U34" i="9" s="1"/>
  <c r="J48" i="1"/>
  <c r="J49" i="1"/>
  <c r="J47" i="1"/>
  <c r="R35" i="1"/>
  <c r="R40" i="1"/>
  <c r="R41" i="1" s="1"/>
  <c r="R48" i="1"/>
  <c r="T35" i="1"/>
  <c r="T27" i="9" s="1"/>
  <c r="T47" i="1"/>
  <c r="T39" i="9" s="1"/>
  <c r="T42" i="1"/>
  <c r="T34" i="9" s="1"/>
  <c r="T48" i="1"/>
  <c r="T40" i="9" s="1"/>
  <c r="T41" i="1"/>
  <c r="T33" i="9" s="1"/>
  <c r="T49" i="1"/>
  <c r="T41" i="9" s="1"/>
  <c r="T40" i="1"/>
  <c r="T32" i="9" s="1"/>
  <c r="N40" i="1"/>
  <c r="N41" i="1" s="1"/>
  <c r="N48" i="1"/>
  <c r="G47" i="1"/>
  <c r="G48" i="1"/>
  <c r="G49" i="1"/>
  <c r="W35" i="1"/>
  <c r="W40" i="1"/>
  <c r="W48" i="1"/>
  <c r="V35" i="1"/>
  <c r="V48" i="1"/>
  <c r="O48" i="1"/>
  <c r="O40" i="1"/>
  <c r="O41" i="1" s="1"/>
  <c r="H49" i="1"/>
  <c r="H48" i="1"/>
  <c r="H47" i="1"/>
  <c r="P35" i="1"/>
  <c r="P48" i="1"/>
  <c r="P40" i="1"/>
  <c r="P42" i="1" s="1"/>
  <c r="X49" i="1"/>
  <c r="X41" i="9" s="1"/>
  <c r="X48" i="1"/>
  <c r="X40" i="9" s="1"/>
  <c r="X42" i="1"/>
  <c r="X34" i="9" s="1"/>
  <c r="X41" i="1"/>
  <c r="X33" i="9" s="1"/>
  <c r="X47" i="1"/>
  <c r="X39" i="9" s="1"/>
  <c r="X40" i="1"/>
  <c r="X32" i="9" s="1"/>
  <c r="K47" i="1"/>
  <c r="K39" i="9" s="1"/>
  <c r="K40" i="1"/>
  <c r="K32" i="9" s="1"/>
  <c r="K49" i="1"/>
  <c r="K41" i="9" s="1"/>
  <c r="K42" i="1"/>
  <c r="K34" i="9" s="1"/>
  <c r="K48" i="1"/>
  <c r="K40" i="9" s="1"/>
  <c r="S35" i="1"/>
  <c r="S27" i="9" s="1"/>
  <c r="S40" i="1"/>
  <c r="S32" i="9" s="1"/>
  <c r="S47" i="1"/>
  <c r="S39" i="9" s="1"/>
  <c r="S42" i="1"/>
  <c r="S34" i="9" s="1"/>
  <c r="S48" i="1"/>
  <c r="S40" i="9" s="1"/>
  <c r="S41" i="1"/>
  <c r="S33" i="9" s="1"/>
  <c r="S49" i="1"/>
  <c r="S41" i="9" s="1"/>
  <c r="I49" i="1"/>
  <c r="I48" i="1"/>
  <c r="I47" i="1"/>
  <c r="L48" i="1"/>
  <c r="L40" i="1"/>
  <c r="K39" i="1"/>
  <c r="K31" i="9" s="1"/>
  <c r="K32" i="1"/>
  <c r="K24" i="9" s="1"/>
  <c r="L32" i="1"/>
  <c r="L39" i="1"/>
  <c r="F19" i="9"/>
  <c r="R42" i="1" l="1"/>
  <c r="K33" i="10" s="1"/>
  <c r="L31" i="9"/>
  <c r="E30" i="10"/>
  <c r="P47" i="1"/>
  <c r="I39" i="10"/>
  <c r="P40" i="9"/>
  <c r="W42" i="1"/>
  <c r="W49" i="1" s="1"/>
  <c r="W32" i="9"/>
  <c r="M31" i="10"/>
  <c r="K39" i="10"/>
  <c r="R40" i="9"/>
  <c r="E23" i="10"/>
  <c r="L24" i="9"/>
  <c r="L39" i="10"/>
  <c r="V40" i="9"/>
  <c r="G39" i="10"/>
  <c r="N40" i="9"/>
  <c r="O42" i="1"/>
  <c r="O47" i="1" s="1"/>
  <c r="H31" i="10"/>
  <c r="O32" i="9"/>
  <c r="N33" i="9"/>
  <c r="G32" i="10"/>
  <c r="L32" i="9"/>
  <c r="E31" i="10"/>
  <c r="H32" i="10"/>
  <c r="O33" i="9"/>
  <c r="E39" i="10"/>
  <c r="L40" i="9"/>
  <c r="I33" i="10"/>
  <c r="P34" i="9"/>
  <c r="W27" i="9"/>
  <c r="M26" i="10"/>
  <c r="R34" i="9"/>
  <c r="K26" i="10"/>
  <c r="R27" i="9"/>
  <c r="P27" i="9"/>
  <c r="I26" i="10"/>
  <c r="L26" i="10"/>
  <c r="V27" i="9"/>
  <c r="P41" i="1"/>
  <c r="P32" i="9"/>
  <c r="I31" i="10"/>
  <c r="H39" i="10"/>
  <c r="O40" i="9"/>
  <c r="W40" i="9"/>
  <c r="M39" i="10"/>
  <c r="N42" i="1"/>
  <c r="N32" i="9"/>
  <c r="G31" i="10"/>
  <c r="R33" i="9"/>
  <c r="K32" i="10"/>
  <c r="R32" i="9"/>
  <c r="K31" i="10"/>
  <c r="L42" i="1"/>
  <c r="L49" i="1" s="1"/>
  <c r="F40" i="1"/>
  <c r="F32" i="9" s="1"/>
  <c r="F47" i="1"/>
  <c r="F39" i="9" s="1"/>
  <c r="F48" i="1"/>
  <c r="F40" i="9" s="1"/>
  <c r="F49" i="1"/>
  <c r="F41" i="9" s="1"/>
  <c r="F42" i="1"/>
  <c r="F34" i="9" s="1"/>
  <c r="W41" i="1"/>
  <c r="P49" i="1"/>
  <c r="F39" i="1"/>
  <c r="F31" i="9" s="1"/>
  <c r="F32" i="1"/>
  <c r="F24" i="9" s="1"/>
  <c r="O49" i="1" l="1"/>
  <c r="H40" i="10" s="1"/>
  <c r="R49" i="1"/>
  <c r="R47" i="1"/>
  <c r="W47" i="1"/>
  <c r="W39" i="9" s="1"/>
  <c r="H38" i="10"/>
  <c r="O39" i="9"/>
  <c r="P39" i="9"/>
  <c r="I38" i="10"/>
  <c r="M33" i="10"/>
  <c r="W34" i="9"/>
  <c r="I40" i="10"/>
  <c r="P41" i="9"/>
  <c r="M32" i="10"/>
  <c r="W33" i="9"/>
  <c r="N34" i="9"/>
  <c r="G33" i="10"/>
  <c r="H33" i="10"/>
  <c r="O34" i="9"/>
  <c r="L41" i="9"/>
  <c r="E40" i="10"/>
  <c r="M40" i="10"/>
  <c r="W41" i="9"/>
  <c r="L47" i="1"/>
  <c r="E33" i="10"/>
  <c r="L34" i="9"/>
  <c r="N49" i="1"/>
  <c r="I32" i="10"/>
  <c r="P33" i="9"/>
  <c r="N47" i="1"/>
  <c r="O41" i="9" l="1"/>
  <c r="R41" i="9"/>
  <c r="K40" i="10"/>
  <c r="K38" i="10"/>
  <c r="R39" i="9"/>
  <c r="M38" i="10"/>
  <c r="N41" i="9"/>
  <c r="G40" i="10"/>
  <c r="G38" i="10"/>
  <c r="N39" i="9"/>
  <c r="E38" i="10"/>
  <c r="L39" i="9"/>
</calcChain>
</file>

<file path=xl/sharedStrings.xml><?xml version="1.0" encoding="utf-8"?>
<sst xmlns="http://schemas.openxmlformats.org/spreadsheetml/2006/main" count="159" uniqueCount="96">
  <si>
    <t>CODIGO:</t>
  </si>
  <si>
    <t>##</t>
  </si>
  <si>
    <t>BALANCE DE MATERIAS PRIMAS</t>
  </si>
  <si>
    <t>SISTEMA DE GESTION INTEGRAL</t>
  </si>
  <si>
    <t>N</t>
  </si>
  <si>
    <t>P</t>
  </si>
  <si>
    <t>K</t>
  </si>
  <si>
    <t>CaO</t>
  </si>
  <si>
    <t>MgO</t>
  </si>
  <si>
    <t>S</t>
  </si>
  <si>
    <t>SiO2</t>
  </si>
  <si>
    <t>Zn</t>
  </si>
  <si>
    <t>B</t>
  </si>
  <si>
    <t>Mo</t>
  </si>
  <si>
    <t>Mn</t>
  </si>
  <si>
    <t>Cu</t>
  </si>
  <si>
    <t>Fe</t>
  </si>
  <si>
    <t>KIESERITA</t>
  </si>
  <si>
    <t>Co</t>
  </si>
  <si>
    <t>Na</t>
  </si>
  <si>
    <t>C</t>
  </si>
  <si>
    <t>MATERIA PRIMA</t>
  </si>
  <si>
    <t>kg / Ton</t>
  </si>
  <si>
    <t>%/100 kg</t>
  </si>
  <si>
    <t>N-tot</t>
  </si>
  <si>
    <t>N-NH4</t>
  </si>
  <si>
    <t>N-NO3</t>
  </si>
  <si>
    <t>N-org</t>
  </si>
  <si>
    <t>N-ur</t>
  </si>
  <si>
    <t>SUMA</t>
  </si>
  <si>
    <t>TOTAL</t>
  </si>
  <si>
    <t>SILICATO MG</t>
  </si>
  <si>
    <t>CaO-tot</t>
  </si>
  <si>
    <t>S-tot</t>
  </si>
  <si>
    <t>Fe-sol</t>
  </si>
  <si>
    <t>Mn-sol</t>
  </si>
  <si>
    <t>SiO2-sol</t>
  </si>
  <si>
    <t>P-as</t>
  </si>
  <si>
    <t>Zn-tot</t>
  </si>
  <si>
    <t>SiO2-tot</t>
  </si>
  <si>
    <t>Mo-sol</t>
  </si>
  <si>
    <t>Cu-sol</t>
  </si>
  <si>
    <t>MgO-tot</t>
  </si>
  <si>
    <t>K-sol</t>
  </si>
  <si>
    <t>Tolerancia permitida</t>
  </si>
  <si>
    <t>CERTIFICADO DE ANALISIS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</si>
  <si>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</si>
  <si>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</si>
  <si>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Micronutrientes:</t>
    </r>
    <r>
      <rPr>
        <sz val="11"/>
        <color rgb="FF000000"/>
        <rFont val="Segoe UI"/>
        <family val="2"/>
      </rPr>
      <t xml:space="preserve"> Unicamente micronutrientes</t>
    </r>
  </si>
  <si>
    <r>
      <t>Micronutrientes:</t>
    </r>
    <r>
      <rPr>
        <sz val="11"/>
        <color rgb="FF000000"/>
        <rFont val="Segoe UI"/>
        <family val="2"/>
      </rPr>
      <t xml:space="preserve"> Mezcla con NPK o secundarios</t>
    </r>
  </si>
  <si>
    <t>*1 Resolución ICA 150 de 2003 ANEXO 11</t>
  </si>
  <si>
    <t>*2 NTC 1061:2020 ALCANCE: no aplica para organicos</t>
  </si>
  <si>
    <t xml:space="preserve">*3 NTC 1061:2020 4.1 </t>
  </si>
  <si>
    <t xml:space="preserve">*4 NTC 1061:2020 4.2.1 - 4.2.2 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</si>
  <si>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[4%-32%]?*</t>
    </r>
    <r>
      <rPr>
        <vertAlign val="superscript"/>
        <sz val="11"/>
        <color rgb="FF000000"/>
        <rFont val="Segoe UI"/>
        <family val="2"/>
      </rPr>
      <t>3</t>
    </r>
  </si>
  <si>
    <r>
      <t>CONTENIDOS MINIMOS*</t>
    </r>
    <r>
      <rPr>
        <vertAlign val="superscript"/>
        <sz val="11"/>
        <color theme="1"/>
        <rFont val="Noto Sans"/>
        <family val="2"/>
      </rPr>
      <t>1</t>
    </r>
  </si>
  <si>
    <t>NA</t>
  </si>
  <si>
    <t>Elemento</t>
  </si>
  <si>
    <t>npk</t>
  </si>
  <si>
    <t>sec-solo</t>
  </si>
  <si>
    <t>micro-solo</t>
  </si>
  <si>
    <t>micro-mezcla</t>
  </si>
  <si>
    <r>
      <t>TOLERANCIAS*</t>
    </r>
    <r>
      <rPr>
        <vertAlign val="superscript"/>
        <sz val="11"/>
        <color theme="1"/>
        <rFont val="Noto Sans"/>
        <family val="2"/>
      </rPr>
      <t>2</t>
    </r>
  </si>
  <si>
    <t>Calculo</t>
  </si>
  <si>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 o 1.5pp?*</t>
    </r>
    <r>
      <rPr>
        <vertAlign val="superscript"/>
        <sz val="11"/>
        <color rgb="FF000000"/>
        <rFont val="Segoe UI"/>
        <family val="2"/>
      </rPr>
      <t>4</t>
    </r>
  </si>
  <si>
    <t>Nitrogeno Total N</t>
  </si>
  <si>
    <t>Nitrogeno amoniacal</t>
  </si>
  <si>
    <t>Nitrogeno nitrico</t>
  </si>
  <si>
    <t>Nitrogeno organico</t>
  </si>
  <si>
    <t>Nitrogeno ureico</t>
  </si>
  <si>
    <t>Calcio CaO</t>
  </si>
  <si>
    <t>Fosforo asimilable P2O5</t>
  </si>
  <si>
    <t>Potasio soluble K2O</t>
  </si>
  <si>
    <t>Magnesio MgO</t>
  </si>
  <si>
    <t>Azufre S</t>
  </si>
  <si>
    <t>Boro B</t>
  </si>
  <si>
    <t>Cobalto Co</t>
  </si>
  <si>
    <t>Cobre Cu</t>
  </si>
  <si>
    <t>Hierro Fe</t>
  </si>
  <si>
    <t>Manganeso Mn</t>
  </si>
  <si>
    <t>Molibdeno Mo</t>
  </si>
  <si>
    <t>Silicio SiO2</t>
  </si>
  <si>
    <t>Zinc Zn</t>
  </si>
  <si>
    <t>Sodio Na</t>
  </si>
  <si>
    <t>Carbono organico total oxidable C</t>
  </si>
  <si>
    <t>ADITIVOS</t>
  </si>
  <si>
    <t>FORMULACION:</t>
  </si>
  <si>
    <t>BZINC-15</t>
  </si>
  <si>
    <t>Tolerancia Mínima NTC</t>
  </si>
  <si>
    <t>Tolerancia Máxima NTC</t>
  </si>
  <si>
    <t>DOLOMITA</t>
  </si>
  <si>
    <t>SULFATO CA</t>
  </si>
  <si>
    <t>SULFATO ZINC 35%</t>
  </si>
  <si>
    <t>SULFATO COBRE</t>
  </si>
  <si>
    <t>ULEXITA CALCINADA</t>
  </si>
  <si>
    <t>ROCA FOSFORICA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</si>
</sst>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1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vertAlign val="superscript"/>
      <sz val="11"/>
      <color theme="1"/>
      <name val="Noto Sans"/>
      <family val="2"/>
    </font>
    <font>
      <vertAlign val="superscript"/>
      <sz val="11"/>
      <color rgb="FF000000"/>
      <name val="Segoe UI"/>
      <family val="2"/>
    </font>
    <font>
      <sz val="8"/>
      <color theme="1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2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0" borderId="0" xfId="0" applyNumberForma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1" applyNumberFormat="1" applyFon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0" fillId="3" borderId="16" xfId="1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12" xfId="1" applyNumberFormat="1" applyFon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0" fillId="3" borderId="25" xfId="0" applyFill="1" applyBorder="1" applyAlignment="1">
      <alignment horizontal="center"/>
    </xf>
    <xf numFmtId="164" fontId="0" fillId="3" borderId="4" xfId="1" applyNumberFormat="1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3" borderId="0" xfId="0" applyFont="1" applyFill="1"/>
    <xf numFmtId="0" fontId="8" fillId="0" borderId="0" xfId="0" applyFont="1"/>
    <xf numFmtId="0" fontId="0" fillId="3" borderId="0" xfId="0" applyFill="1" applyAlignment="1">
      <alignment horizontal="center" vertical="center"/>
    </xf>
    <xf numFmtId="164" fontId="0" fillId="3" borderId="17" xfId="1" applyNumberFormat="1" applyFont="1" applyFill="1" applyBorder="1" applyAlignment="1">
      <alignment horizontal="center" vertical="center"/>
    </xf>
    <xf numFmtId="164" fontId="0" fillId="3" borderId="8" xfId="1" applyNumberFormat="1" applyFont="1" applyFill="1" applyBorder="1" applyAlignment="1">
      <alignment horizontal="center" vertical="center"/>
    </xf>
    <xf numFmtId="10" fontId="0" fillId="3" borderId="12" xfId="0" applyNumberFormat="1" applyFill="1" applyBorder="1" applyAlignment="1">
      <alignment horizontal="center" vertical="center"/>
    </xf>
    <xf numFmtId="164" fontId="0" fillId="3" borderId="11" xfId="1" applyNumberFormat="1" applyFont="1" applyFill="1" applyBorder="1" applyAlignment="1">
      <alignment horizontal="center" vertical="center"/>
    </xf>
    <xf numFmtId="0" fontId="8" fillId="3" borderId="18" xfId="0" applyFont="1" applyFill="1" applyBorder="1"/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0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28" xfId="0" applyFill="1" applyBorder="1" applyAlignment="1">
      <alignment horizontal="center" vertical="center"/>
    </xf>
    <xf numFmtId="0" fontId="0" fillId="3" borderId="28" xfId="0" applyFill="1" applyBorder="1"/>
    <xf numFmtId="0" fontId="8" fillId="3" borderId="28" xfId="0" applyFont="1" applyFill="1" applyBorder="1"/>
    <xf numFmtId="0" fontId="8" fillId="3" borderId="33" xfId="0" applyFont="1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5" xfId="0" applyFill="1" applyBorder="1" applyAlignment="1">
      <alignment horizontal="center"/>
    </xf>
    <xf numFmtId="0" fontId="0" fillId="3" borderId="36" xfId="0" applyFill="1" applyBorder="1"/>
    <xf numFmtId="0" fontId="0" fillId="3" borderId="28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9" xfId="0" applyFill="1" applyBorder="1"/>
    <xf numFmtId="0" fontId="0" fillId="3" borderId="38" xfId="0" applyFill="1" applyBorder="1"/>
    <xf numFmtId="0" fontId="0" fillId="3" borderId="39" xfId="0" applyFill="1" applyBorder="1"/>
    <xf numFmtId="164" fontId="8" fillId="3" borderId="12" xfId="1" applyNumberFormat="1" applyFont="1" applyFill="1" applyBorder="1" applyAlignment="1">
      <alignment horizontal="center" vertical="center"/>
    </xf>
    <xf numFmtId="164" fontId="8" fillId="3" borderId="11" xfId="1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0" fillId="3" borderId="29" xfId="0" applyFill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0" fillId="3" borderId="15" xfId="0" applyFill="1" applyBorder="1"/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8" fillId="2" borderId="14" xfId="0" applyFont="1" applyFill="1" applyBorder="1" applyAlignment="1">
      <alignment vertical="center"/>
    </xf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8" fillId="2" borderId="18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8" fillId="3" borderId="46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42" xfId="0" applyFont="1" applyFill="1" applyBorder="1"/>
    <xf numFmtId="0" fontId="0" fillId="3" borderId="2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9" fillId="3" borderId="0" xfId="0" applyFont="1" applyFill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25" xfId="0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/>
    </xf>
    <xf numFmtId="0" fontId="8" fillId="3" borderId="48" xfId="0" applyFont="1" applyFill="1" applyBorder="1" applyAlignment="1">
      <alignment horizontal="center"/>
    </xf>
    <xf numFmtId="164" fontId="8" fillId="3" borderId="1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9" fontId="0" fillId="0" borderId="49" xfId="0" applyNumberForma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9" fillId="3" borderId="0" xfId="0" applyFont="1" applyFill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0" fillId="3" borderId="2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5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24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99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152399</xdr:colOff>
      <xdr:row>1</xdr:row>
      <xdr:rowOff>0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22A43026-A6FC-421B-A0DF-7319D21E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7113" y="204107"/>
          <a:ext cx="1099458" cy="6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125184</xdr:colOff>
      <xdr:row>1</xdr:row>
      <xdr:rowOff>27214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33A6D56C-0C08-43F1-AA11-5FB345B4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898" y="231321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922EC-E575-4DEC-A4B7-62954F5EB51F}" name="Tabla1" displayName="Tabla1" ref="B5:X13" totalsRowShown="0" headerRowDxfId="94" dataDxfId="92" headerRowBorderDxfId="93" tableBorderDxfId="91">
  <autoFilter ref="B5:X13" xr:uid="{D7F922EC-E575-4DEC-A4B7-62954F5EB51F}"/>
  <sortState xmlns:xlrd2="http://schemas.microsoft.com/office/spreadsheetml/2017/richdata2" ref="B6:X13">
    <sortCondition ref="B5:B13"/>
  </sortState>
  <tableColumns count="23">
    <tableColumn id="1" xr3:uid="{BE012838-826C-49DF-AB2A-BB3E9CD3E4B2}" name="MATERIA PRIMA" dataDxfId="90"/>
    <tableColumn id="2" xr3:uid="{5D9842BD-CF66-4A48-AD08-2DCE47C28783}" name="kg / Ton" dataDxfId="89"/>
    <tableColumn id="3" xr3:uid="{438AD96E-ECF4-434E-875E-385E508FCCD2}" name="%/100 kg" dataDxfId="88">
      <calculatedColumnFormula>C6/10</calculatedColumnFormula>
    </tableColumn>
    <tableColumn id="4" xr3:uid="{39391104-671B-4DD2-B93A-011190933F66}" name="C" dataDxfId="87" dataCellStyle="Porcentaje"/>
    <tableColumn id="5" xr3:uid="{C4D6F5A6-EBBD-4E83-B8B1-2EE0BCAE061C}" name="N" dataDxfId="86" dataCellStyle="Porcentaje"/>
    <tableColumn id="6" xr3:uid="{490C887A-8FA2-4C6B-B2D6-EEFA3885F896}" name="N-NH4" dataDxfId="85" dataCellStyle="Porcentaje"/>
    <tableColumn id="7" xr3:uid="{3E29C983-3613-445B-AADD-9B6F9BDFCC17}" name="N-NO3" dataDxfId="84" dataCellStyle="Porcentaje"/>
    <tableColumn id="8" xr3:uid="{EB401A01-4C7F-4D41-84D2-15E5A779BFC4}" name="N-org" dataDxfId="83" dataCellStyle="Porcentaje"/>
    <tableColumn id="9" xr3:uid="{21B3C28E-048E-4628-8476-F98BFF85A371}" name="N-ur" dataDxfId="82" dataCellStyle="Porcentaje"/>
    <tableColumn id="10" xr3:uid="{BD725900-AEB9-46FA-ADBA-163D357057CD}" name="P" dataDxfId="81" dataCellStyle="Porcentaje"/>
    <tableColumn id="11" xr3:uid="{065A47F4-2BB2-406D-8517-B262FEE87E5E}" name="K" dataDxfId="80" dataCellStyle="Porcentaje"/>
    <tableColumn id="12" xr3:uid="{E46AEECB-4D13-4EBC-9623-64BBB15FAE56}" name="CaO" dataDxfId="79" dataCellStyle="Porcentaje"/>
    <tableColumn id="13" xr3:uid="{E3FED6DC-D4F1-4025-9353-FF61B5217320}" name="MgO" dataDxfId="78" dataCellStyle="Porcentaje"/>
    <tableColumn id="14" xr3:uid="{024173EE-E4D9-4251-9C0E-888606523A59}" name="S" dataDxfId="77" dataCellStyle="Porcentaje"/>
    <tableColumn id="15" xr3:uid="{5FE75A02-891C-4D1D-8BD7-257BD7A0EEF0}" name="B" dataDxfId="76" dataCellStyle="Porcentaje"/>
    <tableColumn id="16" xr3:uid="{7F0A00F1-E7AC-4BEA-90B8-81EB4CD4DE12}" name="Co" dataDxfId="75" dataCellStyle="Porcentaje"/>
    <tableColumn id="17" xr3:uid="{DDD0AB9A-E813-461D-9BF3-9E4B82F5048E}" name="Cu" dataDxfId="74" dataCellStyle="Porcentaje"/>
    <tableColumn id="18" xr3:uid="{423D115F-5739-4C00-95C5-A2A3A2420775}" name="Fe" dataDxfId="73" dataCellStyle="Porcentaje"/>
    <tableColumn id="19" xr3:uid="{7C5462A0-7206-492F-81C5-F2905DC9D27C}" name="Mn" dataDxfId="72" dataCellStyle="Porcentaje"/>
    <tableColumn id="20" xr3:uid="{15245D26-964C-46BC-933E-B5DA52077271}" name="Mo" dataDxfId="71" dataCellStyle="Porcentaje"/>
    <tableColumn id="21" xr3:uid="{46D94F10-53CA-4C08-8ED1-67808BDEEAC7}" name="SiO2" dataDxfId="70" dataCellStyle="Porcentaje"/>
    <tableColumn id="22" xr3:uid="{B3844BEC-625B-4CEF-8114-C8D1EC0DC3D0}" name="Zn" dataDxfId="69" dataCellStyle="Porcentaje"/>
    <tableColumn id="23" xr3:uid="{07C17061-36FC-4E3C-BCF2-F12901701D8B}" name="Na" dataDxfId="68" dataCellStyle="Porcentaj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900D1E-86C5-4E02-8BE5-47223A5237BD}" name="Tabla2" displayName="Tabla2" ref="B17:X25" totalsRowShown="0" headerRowDxfId="67" dataDxfId="65" headerRowBorderDxfId="66" tableBorderDxfId="64" dataCellStyle="Porcentaje">
  <autoFilter ref="B17:X25" xr:uid="{5B900D1E-86C5-4E02-8BE5-47223A5237BD}"/>
  <sortState xmlns:xlrd2="http://schemas.microsoft.com/office/spreadsheetml/2017/richdata2" ref="B18:X25">
    <sortCondition ref="B17:B25"/>
  </sortState>
  <tableColumns count="23">
    <tableColumn id="1" xr3:uid="{38109C1E-B1FD-4A16-8C23-B9266F100F91}" name="MATERIA PRIMA" dataDxfId="63"/>
    <tableColumn id="2" xr3:uid="{92B3C474-9975-4999-B109-82A29746AE3B}" name="kg / Ton" dataDxfId="62"/>
    <tableColumn id="3" xr3:uid="{E3DB5AAB-26B2-47B1-8FA7-73874E019EC3}" name="%/100 kg" dataDxfId="61">
      <calculatedColumnFormula>C18/10</calculatedColumnFormula>
    </tableColumn>
    <tableColumn id="4" xr3:uid="{5C01CECC-0512-44D8-AC41-C0770599BF52}" name="Carbono organico total oxidable C" dataDxfId="60" dataCellStyle="Porcentaje">
      <calculatedColumnFormula>IF(E7="","",E7*$D7/$D$14)</calculatedColumnFormula>
    </tableColumn>
    <tableColumn id="5" xr3:uid="{034294A0-D514-4AAE-86F8-44CFD47D014F}" name="Nitrogeno Total N" dataDxfId="59" dataCellStyle="Porcentaje">
      <calculatedColumnFormula>IF(F7="","",SUM(G18:J18))</calculatedColumnFormula>
    </tableColumn>
    <tableColumn id="6" xr3:uid="{05F59868-7E15-4B93-9EE8-6CE58EF51A0C}" name="Nitrogeno amoniacal" dataDxfId="58" dataCellStyle="Porcentaje">
      <calculatedColumnFormula>IF(G7="","",G7*$D7/$D$14)</calculatedColumnFormula>
    </tableColumn>
    <tableColumn id="7" xr3:uid="{2CEB679D-FAC0-4DF4-B5D9-AC8B2CCBC49B}" name="Nitrogeno nitrico" dataDxfId="57" dataCellStyle="Porcentaje">
      <calculatedColumnFormula>IF(H7="","",H7*$D7/$D$14)</calculatedColumnFormula>
    </tableColumn>
    <tableColumn id="8" xr3:uid="{E426F988-AA4F-4B24-A7A2-A04CFAC93B7E}" name="Nitrogeno organico" dataDxfId="56" dataCellStyle="Porcentaje">
      <calculatedColumnFormula>IF(I7="","",I7*$D7/$D$14)</calculatedColumnFormula>
    </tableColumn>
    <tableColumn id="9" xr3:uid="{FCF15391-C0AB-46E2-9A44-AC4B1801E715}" name="Nitrogeno ureico" dataDxfId="55" dataCellStyle="Porcentaje">
      <calculatedColumnFormula>IF(J7="","",J7*$D7/$D$14)</calculatedColumnFormula>
    </tableColumn>
    <tableColumn id="10" xr3:uid="{875433DF-A66E-405B-ADAA-6AFD7B8959E5}" name="Fosforo asimilable P2O5" dataDxfId="54" dataCellStyle="Porcentaje">
      <calculatedColumnFormula>IF(K7="","",K7*$D7/$D$14)</calculatedColumnFormula>
    </tableColumn>
    <tableColumn id="11" xr3:uid="{09089C90-E1A2-49FC-AC74-BE98F6939070}" name="Potasio soluble K2O" dataDxfId="53" dataCellStyle="Porcentaje">
      <calculatedColumnFormula>IF(L7="","",L7*$D7/$D$14)</calculatedColumnFormula>
    </tableColumn>
    <tableColumn id="12" xr3:uid="{9624094D-71B9-4AA7-AC49-CAA398211179}" name="Calcio CaO" dataDxfId="52" dataCellStyle="Porcentaje">
      <calculatedColumnFormula>IF(M7="","",M7*$D7/$D$14)</calculatedColumnFormula>
    </tableColumn>
    <tableColumn id="13" xr3:uid="{6C903E04-B516-45B2-90CF-4628368FDCA7}" name="Magnesio MgO" dataDxfId="51" dataCellStyle="Porcentaje">
      <calculatedColumnFormula>IF(N7="","",N7*$D7/$D$14)</calculatedColumnFormula>
    </tableColumn>
    <tableColumn id="14" xr3:uid="{1CAAEF36-9874-4DC8-861A-F1555C05129B}" name="Azufre S" dataDxfId="50" dataCellStyle="Porcentaje">
      <calculatedColumnFormula>IF(O7="","",O7*$D7/$D$14)</calculatedColumnFormula>
    </tableColumn>
    <tableColumn id="15" xr3:uid="{8703B717-BDD3-41A2-B5D3-AD0CA672DD92}" name="Boro B" dataDxfId="49" dataCellStyle="Porcentaje">
      <calculatedColumnFormula>IF(P7="","",P7*$D7/$D$14)</calculatedColumnFormula>
    </tableColumn>
    <tableColumn id="16" xr3:uid="{C437C181-2E66-47A3-929D-534569D93F33}" name="Cobalto Co" dataDxfId="48" dataCellStyle="Porcentaje">
      <calculatedColumnFormula>IF(Q7="","",Q7*$D7/$D$14)</calculatedColumnFormula>
    </tableColumn>
    <tableColumn id="17" xr3:uid="{0AB927A5-EB9B-4466-9793-71EA72F1F4FF}" name="Cobre Cu" dataDxfId="47" dataCellStyle="Porcentaje">
      <calculatedColumnFormula>IF(R7="","",R7*$D7/$D$14)</calculatedColumnFormula>
    </tableColumn>
    <tableColumn id="18" xr3:uid="{38C0E120-B1CD-40CE-A7A0-1D3511F75917}" name="Hierro Fe" dataDxfId="46" dataCellStyle="Porcentaje">
      <calculatedColumnFormula>IF(S7="","",S7*$D7/$D$14)</calculatedColumnFormula>
    </tableColumn>
    <tableColumn id="19" xr3:uid="{361EEDCB-A17F-45AC-9AD3-0FFBB7DC40B6}" name="Manganeso Mn" dataDxfId="45" dataCellStyle="Porcentaje">
      <calculatedColumnFormula>IF(T7="","",T7*$D7/$D$14)</calculatedColumnFormula>
    </tableColumn>
    <tableColumn id="20" xr3:uid="{FC96FA7A-965C-44A9-B2B8-3490E2314123}" name="Molibdeno Mo" dataDxfId="44" dataCellStyle="Porcentaje">
      <calculatedColumnFormula>IF(U7="","",U7*$D7/$D$14)</calculatedColumnFormula>
    </tableColumn>
    <tableColumn id="21" xr3:uid="{CCF4EFB1-AE48-4092-B4CB-03EF8F4C0A4D}" name="Silicio SiO2" dataDxfId="43" dataCellStyle="Porcentaje">
      <calculatedColumnFormula>IF(V7="","",V7*$D7/$D$14)</calculatedColumnFormula>
    </tableColumn>
    <tableColumn id="22" xr3:uid="{05901C6A-122A-4EA5-8706-6DF3F9901AC3}" name="Zinc Zn" dataDxfId="42" dataCellStyle="Porcentaje">
      <calculatedColumnFormula>IF(W7="","",W7*$D7/$D$14)</calculatedColumnFormula>
    </tableColumn>
    <tableColumn id="23" xr3:uid="{777475EA-D964-42BE-A53E-86AB4FB51868}" name="Sodio Na" dataDxfId="41" dataCellStyle="Porcentaje">
      <calculatedColumnFormula>IF(X7="","",X7*$D7/$D$14)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FCC-809A-46C0-B59C-73AC834AE7E3}">
  <dimension ref="A1:P5"/>
  <sheetViews>
    <sheetView workbookViewId="0">
      <selection activeCell="C18" sqref="C18"/>
    </sheetView>
  </sheetViews>
  <sheetFormatPr baseColWidth="10" defaultColWidth="9" defaultRowHeight="16.5" x14ac:dyDescent="0.3"/>
  <sheetData>
    <row r="1" spans="1:16" ht="17.25" thickBot="1" x14ac:dyDescent="0.35">
      <c r="A1" t="s">
        <v>57</v>
      </c>
      <c r="B1" s="2" t="s">
        <v>24</v>
      </c>
      <c r="C1" s="2" t="s">
        <v>37</v>
      </c>
      <c r="D1" s="2" t="s">
        <v>43</v>
      </c>
      <c r="E1" s="2" t="s">
        <v>32</v>
      </c>
      <c r="F1" s="2" t="s">
        <v>42</v>
      </c>
      <c r="G1" s="2" t="s">
        <v>33</v>
      </c>
      <c r="H1" s="2" t="s">
        <v>12</v>
      </c>
      <c r="I1" s="2" t="s">
        <v>18</v>
      </c>
      <c r="J1" s="2" t="s">
        <v>41</v>
      </c>
      <c r="K1" s="2" t="s">
        <v>34</v>
      </c>
      <c r="L1" s="2" t="s">
        <v>35</v>
      </c>
      <c r="M1" s="2" t="s">
        <v>40</v>
      </c>
      <c r="N1" s="2" t="s">
        <v>39</v>
      </c>
      <c r="O1" s="2" t="s">
        <v>36</v>
      </c>
      <c r="P1" s="2" t="s">
        <v>38</v>
      </c>
    </row>
    <row r="2" spans="1:16" x14ac:dyDescent="0.3">
      <c r="A2" t="s">
        <v>58</v>
      </c>
      <c r="B2" s="1">
        <v>0.03</v>
      </c>
      <c r="C2" s="1">
        <v>0.03</v>
      </c>
      <c r="D2" s="1">
        <v>0.03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56</v>
      </c>
      <c r="P2" t="s">
        <v>56</v>
      </c>
    </row>
    <row r="3" spans="1:16" x14ac:dyDescent="0.3">
      <c r="A3" t="s">
        <v>59</v>
      </c>
      <c r="B3" t="s">
        <v>56</v>
      </c>
      <c r="C3" t="s">
        <v>56</v>
      </c>
      <c r="D3" t="s">
        <v>56</v>
      </c>
      <c r="E3" s="1">
        <v>0.05</v>
      </c>
      <c r="F3" s="1">
        <v>0.05</v>
      </c>
      <c r="G3" s="1">
        <v>0.05</v>
      </c>
      <c r="H3" t="s">
        <v>56</v>
      </c>
      <c r="I3" t="s">
        <v>56</v>
      </c>
      <c r="J3" t="s">
        <v>56</v>
      </c>
      <c r="K3" t="s">
        <v>56</v>
      </c>
      <c r="L3" t="s">
        <v>56</v>
      </c>
      <c r="M3" t="s">
        <v>56</v>
      </c>
      <c r="N3" t="s">
        <v>56</v>
      </c>
      <c r="O3" t="s">
        <v>56</v>
      </c>
      <c r="P3" t="s">
        <v>56</v>
      </c>
    </row>
    <row r="4" spans="1:16" x14ac:dyDescent="0.3">
      <c r="A4" t="s">
        <v>60</v>
      </c>
      <c r="B4" t="s">
        <v>56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  <c r="H4" s="13">
        <v>5.0000000000000001E-3</v>
      </c>
      <c r="I4" s="13">
        <v>2.0000000000000001E-4</v>
      </c>
      <c r="J4" s="13">
        <v>2E-3</v>
      </c>
      <c r="K4" s="13">
        <v>2E-3</v>
      </c>
      <c r="L4" s="13">
        <v>2E-3</v>
      </c>
      <c r="M4" s="13">
        <v>2.0000000000000001E-4</v>
      </c>
      <c r="N4" s="13">
        <v>2E-3</v>
      </c>
      <c r="O4" t="s">
        <v>56</v>
      </c>
      <c r="P4" s="13">
        <v>5.0000000000000001E-3</v>
      </c>
    </row>
    <row r="5" spans="1:16" x14ac:dyDescent="0.3">
      <c r="A5" t="s">
        <v>61</v>
      </c>
      <c r="B5" t="s">
        <v>56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s="13">
        <v>2.0000000000000001E-4</v>
      </c>
      <c r="I5" s="14">
        <v>2.0000000000000002E-5</v>
      </c>
      <c r="J5" s="13">
        <v>1E-4</v>
      </c>
      <c r="K5" s="13">
        <v>1E-4</v>
      </c>
      <c r="L5" s="13">
        <v>1E-4</v>
      </c>
      <c r="M5" s="14">
        <v>5.0000000000000002E-5</v>
      </c>
      <c r="N5" s="13">
        <v>2.0000000000000001E-4</v>
      </c>
      <c r="O5" t="s">
        <v>56</v>
      </c>
      <c r="P5" s="13">
        <v>2.0000000000000001E-4</v>
      </c>
    </row>
  </sheetData>
  <sheetProtection algorithmName="SHA-512" hashValue="cvM2Q+v0gKzapu/UKbEdfGpZGhWnJdQqRymu/m9qsWNTDhYKBcbt6ah4aMoIqi51A2nMFWFJM0jIXQyKhLaaCw==" saltValue="ZQHoBTU7Ctp+rCf9KdIzj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4A8-B5AB-45AA-8635-797FB21F9DEA}">
  <dimension ref="B5:AW49"/>
  <sheetViews>
    <sheetView zoomScale="70" zoomScaleNormal="70" workbookViewId="0">
      <pane xSplit="2" ySplit="5" topLeftCell="K6" activePane="bottomRight" state="frozen"/>
      <selection pane="topRight" activeCell="C1" sqref="C1"/>
      <selection pane="bottomLeft" activeCell="A6" sqref="A6"/>
      <selection pane="bottomRight" activeCell="O7" sqref="O7"/>
    </sheetView>
  </sheetViews>
  <sheetFormatPr baseColWidth="10" defaultColWidth="8.875" defaultRowHeight="16.5" x14ac:dyDescent="0.3"/>
  <cols>
    <col min="1" max="1" width="8.875" style="4"/>
    <col min="2" max="2" width="28.75" style="4" customWidth="1"/>
    <col min="3" max="3" width="10" style="3" customWidth="1"/>
    <col min="4" max="4" width="11" style="3" customWidth="1"/>
    <col min="5" max="10" width="7.75" style="4" hidden="1" customWidth="1"/>
    <col min="11" max="24" width="7.75" style="4" customWidth="1"/>
    <col min="26" max="48" width="5.5" style="4" customWidth="1"/>
    <col min="49" max="16384" width="8.875" style="4"/>
  </cols>
  <sheetData>
    <row r="5" spans="2:49" ht="17.25" thickBot="1" x14ac:dyDescent="0.35">
      <c r="B5" s="119" t="s">
        <v>21</v>
      </c>
      <c r="C5" s="120" t="s">
        <v>22</v>
      </c>
      <c r="D5" s="7" t="s">
        <v>23</v>
      </c>
      <c r="E5" s="120" t="s">
        <v>20</v>
      </c>
      <c r="F5" s="120" t="s">
        <v>4</v>
      </c>
      <c r="G5" s="120" t="s">
        <v>25</v>
      </c>
      <c r="H5" s="120" t="s">
        <v>26</v>
      </c>
      <c r="I5" s="120" t="s">
        <v>27</v>
      </c>
      <c r="J5" s="120" t="s">
        <v>28</v>
      </c>
      <c r="K5" s="120" t="s">
        <v>5</v>
      </c>
      <c r="L5" s="120" t="s">
        <v>6</v>
      </c>
      <c r="M5" s="120" t="s">
        <v>7</v>
      </c>
      <c r="N5" s="120" t="s">
        <v>8</v>
      </c>
      <c r="O5" s="120" t="s">
        <v>9</v>
      </c>
      <c r="P5" s="120" t="s">
        <v>12</v>
      </c>
      <c r="Q5" s="120" t="s">
        <v>18</v>
      </c>
      <c r="R5" s="120" t="s">
        <v>15</v>
      </c>
      <c r="S5" s="120" t="s">
        <v>16</v>
      </c>
      <c r="T5" s="120" t="s">
        <v>14</v>
      </c>
      <c r="U5" s="120" t="s">
        <v>13</v>
      </c>
      <c r="V5" s="120" t="s">
        <v>10</v>
      </c>
      <c r="W5" s="120" t="s">
        <v>11</v>
      </c>
      <c r="X5" s="120" t="s">
        <v>19</v>
      </c>
    </row>
    <row r="6" spans="2:49" x14ac:dyDescent="0.3">
      <c r="B6" s="118" t="s">
        <v>90</v>
      </c>
      <c r="C6" s="5">
        <v>60</v>
      </c>
      <c r="D6" s="5">
        <f t="shared" ref="D6:D13" si="0">C6/10</f>
        <v>6</v>
      </c>
      <c r="E6" s="121"/>
      <c r="F6" s="121"/>
      <c r="G6" s="121"/>
      <c r="H6" s="121"/>
      <c r="I6" s="121"/>
      <c r="J6" s="121"/>
      <c r="K6" s="121"/>
      <c r="L6" s="121"/>
      <c r="M6" s="121">
        <v>0.35</v>
      </c>
      <c r="N6" s="121">
        <v>0.15</v>
      </c>
      <c r="O6" s="121"/>
      <c r="P6" s="121"/>
      <c r="Q6" s="121"/>
      <c r="R6" s="121"/>
      <c r="S6" s="121"/>
      <c r="T6" s="121"/>
      <c r="U6" s="121"/>
      <c r="V6" s="121"/>
      <c r="W6" s="121"/>
      <c r="X6" s="121"/>
    </row>
    <row r="7" spans="2:49" x14ac:dyDescent="0.3">
      <c r="B7" s="118" t="s">
        <v>17</v>
      </c>
      <c r="C7" s="5">
        <v>50</v>
      </c>
      <c r="D7" s="5">
        <f t="shared" si="0"/>
        <v>5</v>
      </c>
      <c r="E7" s="121"/>
      <c r="F7" s="121"/>
      <c r="G7" s="121"/>
      <c r="H7" s="121"/>
      <c r="I7" s="121"/>
      <c r="J7" s="121"/>
      <c r="K7" s="121"/>
      <c r="L7" s="121"/>
      <c r="M7" s="121"/>
      <c r="N7" s="121">
        <v>0.25</v>
      </c>
      <c r="O7" s="121">
        <v>0.2</v>
      </c>
      <c r="P7" s="121"/>
      <c r="Q7" s="121"/>
      <c r="R7" s="121"/>
      <c r="S7" s="121"/>
      <c r="T7" s="121"/>
      <c r="U7" s="121"/>
      <c r="V7" s="121"/>
      <c r="W7" s="121"/>
      <c r="X7" s="121"/>
      <c r="AW7" s="6"/>
    </row>
    <row r="8" spans="2:49" x14ac:dyDescent="0.3">
      <c r="B8" s="118" t="s">
        <v>95</v>
      </c>
      <c r="C8" s="5">
        <v>260</v>
      </c>
      <c r="D8" s="5">
        <f t="shared" si="0"/>
        <v>26</v>
      </c>
      <c r="E8" s="121"/>
      <c r="F8" s="121"/>
      <c r="G8" s="121"/>
      <c r="H8" s="121"/>
      <c r="I8" s="121"/>
      <c r="J8" s="121"/>
      <c r="K8" s="121"/>
      <c r="L8" s="121">
        <v>0.28000000000000003</v>
      </c>
      <c r="M8" s="121">
        <v>0.4</v>
      </c>
      <c r="N8" s="121"/>
      <c r="O8" s="121"/>
      <c r="P8" s="121"/>
      <c r="Q8" s="121"/>
      <c r="R8" s="121"/>
      <c r="S8" s="121"/>
      <c r="T8" s="121"/>
      <c r="U8" s="121"/>
      <c r="V8" s="121">
        <v>0.1096</v>
      </c>
      <c r="W8" s="121"/>
      <c r="X8" s="121"/>
      <c r="AW8" s="6"/>
    </row>
    <row r="9" spans="2:49" x14ac:dyDescent="0.3">
      <c r="B9" s="118" t="s">
        <v>31</v>
      </c>
      <c r="C9" s="5">
        <v>150</v>
      </c>
      <c r="D9" s="5">
        <f t="shared" si="0"/>
        <v>15</v>
      </c>
      <c r="E9" s="121"/>
      <c r="F9" s="121"/>
      <c r="G9" s="121"/>
      <c r="H9" s="121"/>
      <c r="I9" s="121"/>
      <c r="J9" s="121"/>
      <c r="K9" s="121"/>
      <c r="L9" s="121"/>
      <c r="M9" s="121"/>
      <c r="N9" s="121">
        <v>0.3</v>
      </c>
      <c r="O9" s="121"/>
      <c r="P9" s="121"/>
      <c r="Q9" s="121"/>
      <c r="R9" s="121"/>
      <c r="S9" s="121"/>
      <c r="T9" s="121"/>
      <c r="U9" s="121"/>
      <c r="V9" s="121">
        <v>0.31</v>
      </c>
      <c r="W9" s="121"/>
      <c r="X9" s="121"/>
      <c r="AW9" s="6"/>
    </row>
    <row r="10" spans="2:49" x14ac:dyDescent="0.3">
      <c r="B10" s="118" t="s">
        <v>91</v>
      </c>
      <c r="C10" s="5">
        <v>280</v>
      </c>
      <c r="D10" s="5">
        <f t="shared" si="0"/>
        <v>28</v>
      </c>
      <c r="E10" s="121"/>
      <c r="F10" s="121"/>
      <c r="G10" s="121"/>
      <c r="H10" s="121"/>
      <c r="I10" s="121"/>
      <c r="J10" s="121"/>
      <c r="K10" s="121"/>
      <c r="L10" s="121"/>
      <c r="M10" s="121">
        <v>0.26</v>
      </c>
      <c r="N10" s="121"/>
      <c r="O10" s="121">
        <v>0.13</v>
      </c>
      <c r="P10" s="121"/>
      <c r="Q10" s="121"/>
      <c r="R10" s="121"/>
      <c r="S10" s="121"/>
      <c r="T10" s="121"/>
      <c r="U10" s="121"/>
      <c r="V10" s="121"/>
      <c r="W10" s="121"/>
      <c r="X10" s="121"/>
      <c r="AW10" s="6"/>
    </row>
    <row r="11" spans="2:49" x14ac:dyDescent="0.3">
      <c r="B11" s="118" t="s">
        <v>93</v>
      </c>
      <c r="C11" s="5">
        <v>20</v>
      </c>
      <c r="D11" s="5">
        <f t="shared" si="0"/>
        <v>2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>
        <v>0.12</v>
      </c>
      <c r="P11" s="121"/>
      <c r="Q11" s="121"/>
      <c r="R11" s="121">
        <v>0.25</v>
      </c>
      <c r="S11" s="121"/>
      <c r="T11" s="121"/>
      <c r="U11" s="121"/>
      <c r="V11" s="121"/>
      <c r="W11" s="121"/>
      <c r="X11" s="121"/>
      <c r="AW11" s="6"/>
    </row>
    <row r="12" spans="2:49" x14ac:dyDescent="0.3">
      <c r="B12" s="118" t="s">
        <v>92</v>
      </c>
      <c r="C12" s="5">
        <v>80</v>
      </c>
      <c r="D12" s="5">
        <f t="shared" si="0"/>
        <v>8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>
        <v>0.18</v>
      </c>
      <c r="P12" s="121"/>
      <c r="Q12" s="121"/>
      <c r="R12" s="121"/>
      <c r="S12" s="121"/>
      <c r="T12" s="121"/>
      <c r="U12" s="121"/>
      <c r="V12" s="121"/>
      <c r="W12" s="121">
        <v>0.35</v>
      </c>
      <c r="X12" s="121"/>
      <c r="AW12" s="6"/>
    </row>
    <row r="13" spans="2:49" ht="17.25" thickBot="1" x14ac:dyDescent="0.35">
      <c r="B13" s="119" t="s">
        <v>94</v>
      </c>
      <c r="C13" s="7">
        <v>100</v>
      </c>
      <c r="D13" s="5">
        <f t="shared" si="0"/>
        <v>10</v>
      </c>
      <c r="E13" s="121"/>
      <c r="F13" s="121"/>
      <c r="G13" s="121"/>
      <c r="H13" s="121"/>
      <c r="I13" s="121"/>
      <c r="J13" s="121"/>
      <c r="K13" s="121"/>
      <c r="L13" s="121"/>
      <c r="M13" s="121">
        <v>0.13</v>
      </c>
      <c r="N13" s="121"/>
      <c r="O13" s="121"/>
      <c r="P13" s="121">
        <v>0.14000000000000001</v>
      </c>
      <c r="Q13" s="121"/>
      <c r="R13" s="121"/>
      <c r="S13" s="121"/>
      <c r="T13" s="121"/>
      <c r="U13" s="121"/>
      <c r="V13" s="121">
        <v>1.49E-2</v>
      </c>
      <c r="W13" s="121"/>
      <c r="X13" s="121"/>
      <c r="AW13" s="6"/>
    </row>
    <row r="14" spans="2:49" x14ac:dyDescent="0.3">
      <c r="B14" s="4" t="s">
        <v>29</v>
      </c>
      <c r="C14" s="3">
        <f>SUM(C6:C13)</f>
        <v>1000</v>
      </c>
      <c r="D14" s="3">
        <v>100</v>
      </c>
      <c r="AW14" s="6"/>
    </row>
    <row r="15" spans="2:49" x14ac:dyDescent="0.3">
      <c r="B15" s="4" t="s">
        <v>30</v>
      </c>
      <c r="AW15" s="6"/>
    </row>
    <row r="16" spans="2:49" x14ac:dyDescent="0.3">
      <c r="AW16" s="6"/>
    </row>
    <row r="17" spans="2:24" ht="17.25" thickBot="1" x14ac:dyDescent="0.35">
      <c r="B17" s="119" t="s">
        <v>21</v>
      </c>
      <c r="C17" s="120" t="s">
        <v>22</v>
      </c>
      <c r="D17" s="7" t="s">
        <v>23</v>
      </c>
      <c r="E17" s="120" t="s">
        <v>84</v>
      </c>
      <c r="F17" s="120" t="s">
        <v>65</v>
      </c>
      <c r="G17" s="120" t="s">
        <v>66</v>
      </c>
      <c r="H17" s="120" t="s">
        <v>67</v>
      </c>
      <c r="I17" s="120" t="s">
        <v>68</v>
      </c>
      <c r="J17" s="120" t="s">
        <v>69</v>
      </c>
      <c r="K17" s="120" t="s">
        <v>71</v>
      </c>
      <c r="L17" s="120" t="s">
        <v>72</v>
      </c>
      <c r="M17" s="120" t="s">
        <v>70</v>
      </c>
      <c r="N17" s="120" t="s">
        <v>73</v>
      </c>
      <c r="O17" s="120" t="s">
        <v>74</v>
      </c>
      <c r="P17" s="120" t="s">
        <v>75</v>
      </c>
      <c r="Q17" s="120" t="s">
        <v>76</v>
      </c>
      <c r="R17" s="120" t="s">
        <v>77</v>
      </c>
      <c r="S17" s="120" t="s">
        <v>78</v>
      </c>
      <c r="T17" s="120" t="s">
        <v>79</v>
      </c>
      <c r="U17" s="120" t="s">
        <v>80</v>
      </c>
      <c r="V17" s="120" t="s">
        <v>81</v>
      </c>
      <c r="W17" s="120" t="s">
        <v>82</v>
      </c>
      <c r="X17" s="120" t="s">
        <v>83</v>
      </c>
    </row>
    <row r="18" spans="2:24" x14ac:dyDescent="0.3">
      <c r="B18" s="118" t="s">
        <v>90</v>
      </c>
      <c r="C18" s="5">
        <v>60</v>
      </c>
      <c r="D18" s="5">
        <f t="shared" ref="D18:D25" si="1">C18/10</f>
        <v>6</v>
      </c>
      <c r="E18" s="121" t="str">
        <f t="shared" ref="E18:G25" si="2">IF(E7="","",E7*$D7/$D$14)</f>
        <v/>
      </c>
      <c r="F18" s="121" t="str">
        <f>IF(F7="","",SUM(G18:J18))</f>
        <v/>
      </c>
      <c r="G18" s="121" t="str">
        <f t="shared" si="2"/>
        <v/>
      </c>
      <c r="H18" s="121" t="str">
        <f t="shared" ref="H18:X18" si="3">IF(H7="","",H7*$D7/$D$14)</f>
        <v/>
      </c>
      <c r="I18" s="121" t="str">
        <f t="shared" si="3"/>
        <v/>
      </c>
      <c r="J18" s="121" t="str">
        <f t="shared" si="3"/>
        <v/>
      </c>
      <c r="K18" s="121" t="str">
        <f t="shared" si="3"/>
        <v/>
      </c>
      <c r="L18" s="121" t="str">
        <f t="shared" si="3"/>
        <v/>
      </c>
      <c r="M18" s="121" t="str">
        <f t="shared" si="3"/>
        <v/>
      </c>
      <c r="N18" s="121">
        <f t="shared" si="3"/>
        <v>1.2500000000000001E-2</v>
      </c>
      <c r="O18" s="121">
        <f t="shared" si="3"/>
        <v>0.01</v>
      </c>
      <c r="P18" s="121" t="str">
        <f t="shared" si="3"/>
        <v/>
      </c>
      <c r="Q18" s="121" t="str">
        <f t="shared" si="3"/>
        <v/>
      </c>
      <c r="R18" s="121" t="str">
        <f t="shared" si="3"/>
        <v/>
      </c>
      <c r="S18" s="121" t="str">
        <f t="shared" si="3"/>
        <v/>
      </c>
      <c r="T18" s="121" t="str">
        <f t="shared" si="3"/>
        <v/>
      </c>
      <c r="U18" s="121" t="str">
        <f t="shared" si="3"/>
        <v/>
      </c>
      <c r="V18" s="121" t="str">
        <f t="shared" si="3"/>
        <v/>
      </c>
      <c r="W18" s="121" t="str">
        <f t="shared" si="3"/>
        <v/>
      </c>
      <c r="X18" s="121" t="str">
        <f t="shared" si="3"/>
        <v/>
      </c>
    </row>
    <row r="19" spans="2:24" x14ac:dyDescent="0.3">
      <c r="B19" s="118" t="s">
        <v>17</v>
      </c>
      <c r="C19" s="5">
        <v>50</v>
      </c>
      <c r="D19" s="5">
        <f t="shared" si="1"/>
        <v>5</v>
      </c>
      <c r="E19" s="121" t="str">
        <f t="shared" si="2"/>
        <v/>
      </c>
      <c r="F19" s="121" t="str">
        <f t="shared" ref="F19:F25" si="4">IF(F8="","",SUM(G19:J19))</f>
        <v/>
      </c>
      <c r="G19" s="121" t="str">
        <f t="shared" si="2"/>
        <v/>
      </c>
      <c r="H19" s="121" t="str">
        <f t="shared" ref="H19:X19" si="5">IF(H8="","",H8*$D8/$D$14)</f>
        <v/>
      </c>
      <c r="I19" s="121" t="str">
        <f t="shared" si="5"/>
        <v/>
      </c>
      <c r="J19" s="121" t="str">
        <f t="shared" si="5"/>
        <v/>
      </c>
      <c r="K19" s="121" t="str">
        <f t="shared" si="5"/>
        <v/>
      </c>
      <c r="L19" s="121">
        <f t="shared" si="5"/>
        <v>7.2800000000000017E-2</v>
      </c>
      <c r="M19" s="121">
        <f t="shared" si="5"/>
        <v>0.10400000000000001</v>
      </c>
      <c r="N19" s="121" t="str">
        <f t="shared" si="5"/>
        <v/>
      </c>
      <c r="O19" s="121" t="str">
        <f t="shared" si="5"/>
        <v/>
      </c>
      <c r="P19" s="121" t="str">
        <f t="shared" si="5"/>
        <v/>
      </c>
      <c r="Q19" s="121" t="str">
        <f t="shared" si="5"/>
        <v/>
      </c>
      <c r="R19" s="121" t="str">
        <f t="shared" si="5"/>
        <v/>
      </c>
      <c r="S19" s="121" t="str">
        <f t="shared" si="5"/>
        <v/>
      </c>
      <c r="T19" s="121" t="str">
        <f t="shared" si="5"/>
        <v/>
      </c>
      <c r="U19" s="121" t="str">
        <f t="shared" si="5"/>
        <v/>
      </c>
      <c r="V19" s="121">
        <f t="shared" si="5"/>
        <v>2.8496E-2</v>
      </c>
      <c r="W19" s="121" t="str">
        <f t="shared" si="5"/>
        <v/>
      </c>
      <c r="X19" s="121" t="str">
        <f t="shared" si="5"/>
        <v/>
      </c>
    </row>
    <row r="20" spans="2:24" x14ac:dyDescent="0.3">
      <c r="B20" s="118" t="s">
        <v>95</v>
      </c>
      <c r="C20" s="5">
        <v>260</v>
      </c>
      <c r="D20" s="5">
        <f t="shared" si="1"/>
        <v>26</v>
      </c>
      <c r="E20" s="121" t="str">
        <f t="shared" si="2"/>
        <v/>
      </c>
      <c r="F20" s="121" t="str">
        <f t="shared" si="4"/>
        <v/>
      </c>
      <c r="G20" s="121" t="str">
        <f t="shared" si="2"/>
        <v/>
      </c>
      <c r="H20" s="121" t="str">
        <f t="shared" ref="H20:X20" si="6">IF(H9="","",H9*$D9/$D$14)</f>
        <v/>
      </c>
      <c r="I20" s="121" t="str">
        <f t="shared" si="6"/>
        <v/>
      </c>
      <c r="J20" s="121" t="str">
        <f t="shared" si="6"/>
        <v/>
      </c>
      <c r="K20" s="121" t="str">
        <f t="shared" si="6"/>
        <v/>
      </c>
      <c r="L20" s="121" t="str">
        <f t="shared" si="6"/>
        <v/>
      </c>
      <c r="M20" s="121" t="str">
        <f t="shared" si="6"/>
        <v/>
      </c>
      <c r="N20" s="121">
        <f t="shared" si="6"/>
        <v>4.4999999999999998E-2</v>
      </c>
      <c r="O20" s="121" t="str">
        <f t="shared" si="6"/>
        <v/>
      </c>
      <c r="P20" s="121" t="str">
        <f t="shared" si="6"/>
        <v/>
      </c>
      <c r="Q20" s="121" t="str">
        <f t="shared" si="6"/>
        <v/>
      </c>
      <c r="R20" s="121" t="str">
        <f t="shared" si="6"/>
        <v/>
      </c>
      <c r="S20" s="121" t="str">
        <f t="shared" si="6"/>
        <v/>
      </c>
      <c r="T20" s="121" t="str">
        <f t="shared" si="6"/>
        <v/>
      </c>
      <c r="U20" s="121" t="str">
        <f t="shared" si="6"/>
        <v/>
      </c>
      <c r="V20" s="121">
        <f t="shared" si="6"/>
        <v>4.6500000000000007E-2</v>
      </c>
      <c r="W20" s="121" t="str">
        <f t="shared" si="6"/>
        <v/>
      </c>
      <c r="X20" s="121" t="str">
        <f t="shared" si="6"/>
        <v/>
      </c>
    </row>
    <row r="21" spans="2:24" x14ac:dyDescent="0.3">
      <c r="B21" s="118" t="s">
        <v>31</v>
      </c>
      <c r="C21" s="5">
        <v>150</v>
      </c>
      <c r="D21" s="5">
        <f t="shared" si="1"/>
        <v>15</v>
      </c>
      <c r="E21" s="121" t="str">
        <f t="shared" si="2"/>
        <v/>
      </c>
      <c r="F21" s="121" t="str">
        <f t="shared" si="4"/>
        <v/>
      </c>
      <c r="G21" s="121" t="str">
        <f t="shared" si="2"/>
        <v/>
      </c>
      <c r="H21" s="121" t="str">
        <f t="shared" ref="H21:X21" si="7">IF(H10="","",H10*$D10/$D$14)</f>
        <v/>
      </c>
      <c r="I21" s="121" t="str">
        <f t="shared" si="7"/>
        <v/>
      </c>
      <c r="J21" s="121" t="str">
        <f t="shared" si="7"/>
        <v/>
      </c>
      <c r="K21" s="121" t="str">
        <f t="shared" si="7"/>
        <v/>
      </c>
      <c r="L21" s="121" t="str">
        <f t="shared" si="7"/>
        <v/>
      </c>
      <c r="M21" s="121">
        <f t="shared" si="7"/>
        <v>7.2800000000000004E-2</v>
      </c>
      <c r="N21" s="121" t="str">
        <f t="shared" si="7"/>
        <v/>
      </c>
      <c r="O21" s="121">
        <f t="shared" si="7"/>
        <v>3.6400000000000002E-2</v>
      </c>
      <c r="P21" s="121" t="str">
        <f t="shared" si="7"/>
        <v/>
      </c>
      <c r="Q21" s="121" t="str">
        <f t="shared" si="7"/>
        <v/>
      </c>
      <c r="R21" s="121" t="str">
        <f t="shared" si="7"/>
        <v/>
      </c>
      <c r="S21" s="121" t="str">
        <f t="shared" si="7"/>
        <v/>
      </c>
      <c r="T21" s="121" t="str">
        <f t="shared" si="7"/>
        <v/>
      </c>
      <c r="U21" s="121" t="str">
        <f t="shared" si="7"/>
        <v/>
      </c>
      <c r="V21" s="121" t="str">
        <f t="shared" si="7"/>
        <v/>
      </c>
      <c r="W21" s="121" t="str">
        <f t="shared" si="7"/>
        <v/>
      </c>
      <c r="X21" s="121" t="str">
        <f t="shared" si="7"/>
        <v/>
      </c>
    </row>
    <row r="22" spans="2:24" x14ac:dyDescent="0.3">
      <c r="B22" s="118" t="s">
        <v>91</v>
      </c>
      <c r="C22" s="5">
        <v>280</v>
      </c>
      <c r="D22" s="5">
        <f t="shared" si="1"/>
        <v>28</v>
      </c>
      <c r="E22" s="121" t="str">
        <f t="shared" si="2"/>
        <v/>
      </c>
      <c r="F22" s="121" t="str">
        <f t="shared" si="4"/>
        <v/>
      </c>
      <c r="G22" s="121" t="str">
        <f t="shared" si="2"/>
        <v/>
      </c>
      <c r="H22" s="121" t="str">
        <f t="shared" ref="H22:X22" si="8">IF(H11="","",H11*$D11/$D$14)</f>
        <v/>
      </c>
      <c r="I22" s="121" t="str">
        <f t="shared" si="8"/>
        <v/>
      </c>
      <c r="J22" s="121" t="str">
        <f t="shared" si="8"/>
        <v/>
      </c>
      <c r="K22" s="121" t="str">
        <f t="shared" si="8"/>
        <v/>
      </c>
      <c r="L22" s="121" t="str">
        <f t="shared" si="8"/>
        <v/>
      </c>
      <c r="M22" s="121" t="str">
        <f t="shared" si="8"/>
        <v/>
      </c>
      <c r="N22" s="121" t="str">
        <f t="shared" si="8"/>
        <v/>
      </c>
      <c r="O22" s="121">
        <f t="shared" si="8"/>
        <v>2.3999999999999998E-3</v>
      </c>
      <c r="P22" s="121" t="str">
        <f t="shared" si="8"/>
        <v/>
      </c>
      <c r="Q22" s="121" t="str">
        <f t="shared" si="8"/>
        <v/>
      </c>
      <c r="R22" s="121">
        <f t="shared" si="8"/>
        <v>5.0000000000000001E-3</v>
      </c>
      <c r="S22" s="121" t="str">
        <f t="shared" si="8"/>
        <v/>
      </c>
      <c r="T22" s="121" t="str">
        <f t="shared" si="8"/>
        <v/>
      </c>
      <c r="U22" s="121" t="str">
        <f t="shared" si="8"/>
        <v/>
      </c>
      <c r="V22" s="121" t="str">
        <f t="shared" si="8"/>
        <v/>
      </c>
      <c r="W22" s="121" t="str">
        <f t="shared" si="8"/>
        <v/>
      </c>
      <c r="X22" s="121" t="str">
        <f t="shared" si="8"/>
        <v/>
      </c>
    </row>
    <row r="23" spans="2:24" x14ac:dyDescent="0.3">
      <c r="B23" s="118" t="s">
        <v>93</v>
      </c>
      <c r="C23" s="5">
        <v>20</v>
      </c>
      <c r="D23" s="5">
        <f t="shared" si="1"/>
        <v>2</v>
      </c>
      <c r="E23" s="121" t="str">
        <f t="shared" si="2"/>
        <v/>
      </c>
      <c r="F23" s="121" t="str">
        <f>IF(F12="","",SUM(G23:J23))</f>
        <v/>
      </c>
      <c r="G23" s="121" t="str">
        <f t="shared" si="2"/>
        <v/>
      </c>
      <c r="H23" s="121" t="str">
        <f t="shared" ref="H23:X23" si="9">IF(H12="","",H12*$D12/$D$14)</f>
        <v/>
      </c>
      <c r="I23" s="121" t="str">
        <f t="shared" si="9"/>
        <v/>
      </c>
      <c r="J23" s="121" t="str">
        <f t="shared" si="9"/>
        <v/>
      </c>
      <c r="K23" s="121" t="str">
        <f t="shared" si="9"/>
        <v/>
      </c>
      <c r="L23" s="121" t="str">
        <f t="shared" si="9"/>
        <v/>
      </c>
      <c r="M23" s="121" t="str">
        <f t="shared" si="9"/>
        <v/>
      </c>
      <c r="N23" s="121" t="str">
        <f t="shared" si="9"/>
        <v/>
      </c>
      <c r="O23" s="121">
        <f t="shared" si="9"/>
        <v>1.44E-2</v>
      </c>
      <c r="P23" s="121" t="str">
        <f t="shared" si="9"/>
        <v/>
      </c>
      <c r="Q23" s="121" t="str">
        <f t="shared" si="9"/>
        <v/>
      </c>
      <c r="R23" s="121" t="str">
        <f t="shared" si="9"/>
        <v/>
      </c>
      <c r="S23" s="121" t="str">
        <f t="shared" si="9"/>
        <v/>
      </c>
      <c r="T23" s="121" t="str">
        <f t="shared" si="9"/>
        <v/>
      </c>
      <c r="U23" s="121" t="str">
        <f t="shared" si="9"/>
        <v/>
      </c>
      <c r="V23" s="121" t="str">
        <f t="shared" si="9"/>
        <v/>
      </c>
      <c r="W23" s="121">
        <f t="shared" si="9"/>
        <v>2.7999999999999997E-2</v>
      </c>
      <c r="X23" s="121" t="str">
        <f t="shared" si="9"/>
        <v/>
      </c>
    </row>
    <row r="24" spans="2:24" x14ac:dyDescent="0.3">
      <c r="B24" s="118" t="s">
        <v>92</v>
      </c>
      <c r="C24" s="5">
        <v>80</v>
      </c>
      <c r="D24" s="5">
        <f t="shared" si="1"/>
        <v>8</v>
      </c>
      <c r="E24" s="121" t="str">
        <f t="shared" si="2"/>
        <v/>
      </c>
      <c r="F24" s="121" t="str">
        <f t="shared" si="4"/>
        <v/>
      </c>
      <c r="G24" s="121" t="str">
        <f t="shared" si="2"/>
        <v/>
      </c>
      <c r="H24" s="121" t="str">
        <f t="shared" ref="H24:X24" si="10">IF(H13="","",H13*$D13/$D$14)</f>
        <v/>
      </c>
      <c r="I24" s="121" t="str">
        <f t="shared" si="10"/>
        <v/>
      </c>
      <c r="J24" s="121" t="str">
        <f t="shared" si="10"/>
        <v/>
      </c>
      <c r="K24" s="121" t="str">
        <f t="shared" si="10"/>
        <v/>
      </c>
      <c r="L24" s="121" t="str">
        <f t="shared" si="10"/>
        <v/>
      </c>
      <c r="M24" s="121">
        <f t="shared" si="10"/>
        <v>1.3000000000000001E-2</v>
      </c>
      <c r="N24" s="121" t="str">
        <f t="shared" si="10"/>
        <v/>
      </c>
      <c r="O24" s="121" t="str">
        <f t="shared" si="10"/>
        <v/>
      </c>
      <c r="P24" s="121">
        <f t="shared" si="10"/>
        <v>1.4000000000000002E-2</v>
      </c>
      <c r="Q24" s="121" t="str">
        <f t="shared" si="10"/>
        <v/>
      </c>
      <c r="R24" s="121" t="str">
        <f t="shared" si="10"/>
        <v/>
      </c>
      <c r="S24" s="121" t="str">
        <f t="shared" si="10"/>
        <v/>
      </c>
      <c r="T24" s="121" t="str">
        <f t="shared" si="10"/>
        <v/>
      </c>
      <c r="U24" s="121" t="str">
        <f t="shared" si="10"/>
        <v/>
      </c>
      <c r="V24" s="121">
        <f t="shared" si="10"/>
        <v>1.49E-3</v>
      </c>
      <c r="W24" s="121" t="str">
        <f t="shared" si="10"/>
        <v/>
      </c>
      <c r="X24" s="121" t="str">
        <f t="shared" si="10"/>
        <v/>
      </c>
    </row>
    <row r="25" spans="2:24" ht="17.25" thickBot="1" x14ac:dyDescent="0.35">
      <c r="B25" s="119" t="s">
        <v>94</v>
      </c>
      <c r="C25" s="7">
        <v>100</v>
      </c>
      <c r="D25" s="5">
        <f t="shared" si="1"/>
        <v>10</v>
      </c>
      <c r="E25" s="121" t="str">
        <f t="shared" si="2"/>
        <v/>
      </c>
      <c r="F25" s="121" t="str">
        <f t="shared" si="4"/>
        <v/>
      </c>
      <c r="G25" s="121" t="str">
        <f t="shared" si="2"/>
        <v/>
      </c>
      <c r="H25" s="121" t="str">
        <f t="shared" ref="H25:X25" si="11">IF(H14="","",H14*$D14/$D$14)</f>
        <v/>
      </c>
      <c r="I25" s="121" t="str">
        <f t="shared" si="11"/>
        <v/>
      </c>
      <c r="J25" s="121" t="str">
        <f t="shared" si="11"/>
        <v/>
      </c>
      <c r="K25" s="121" t="str">
        <f t="shared" si="11"/>
        <v/>
      </c>
      <c r="L25" s="121" t="str">
        <f t="shared" si="11"/>
        <v/>
      </c>
      <c r="M25" s="121" t="str">
        <f t="shared" si="11"/>
        <v/>
      </c>
      <c r="N25" s="121" t="str">
        <f t="shared" si="11"/>
        <v/>
      </c>
      <c r="O25" s="121" t="str">
        <f t="shared" si="11"/>
        <v/>
      </c>
      <c r="P25" s="121" t="str">
        <f t="shared" si="11"/>
        <v/>
      </c>
      <c r="Q25" s="121" t="str">
        <f t="shared" si="11"/>
        <v/>
      </c>
      <c r="R25" s="121" t="str">
        <f t="shared" si="11"/>
        <v/>
      </c>
      <c r="S25" s="121" t="str">
        <f t="shared" si="11"/>
        <v/>
      </c>
      <c r="T25" s="121" t="str">
        <f t="shared" si="11"/>
        <v/>
      </c>
      <c r="U25" s="121" t="str">
        <f t="shared" si="11"/>
        <v/>
      </c>
      <c r="V25" s="121" t="str">
        <f t="shared" si="11"/>
        <v/>
      </c>
      <c r="W25" s="121" t="str">
        <f t="shared" si="11"/>
        <v/>
      </c>
      <c r="X25" s="121" t="str">
        <f t="shared" si="11"/>
        <v/>
      </c>
    </row>
    <row r="26" spans="2:24" x14ac:dyDescent="0.3">
      <c r="B26" s="4" t="s">
        <v>29</v>
      </c>
      <c r="C26" s="3">
        <f>SUM(C18:C25)</f>
        <v>1000</v>
      </c>
      <c r="D26" s="3">
        <f>SUM(D18:D25)</f>
        <v>100</v>
      </c>
    </row>
    <row r="27" spans="2:24" x14ac:dyDescent="0.3">
      <c r="B27" s="4" t="s">
        <v>30</v>
      </c>
      <c r="E27" s="9">
        <f>SUM(E18:E24)</f>
        <v>0</v>
      </c>
      <c r="F27" s="9">
        <f t="shared" ref="F27:X27" si="12">SUM(F18:F24)</f>
        <v>0</v>
      </c>
      <c r="G27" s="9">
        <f t="shared" si="12"/>
        <v>0</v>
      </c>
      <c r="H27" s="9">
        <f t="shared" si="12"/>
        <v>0</v>
      </c>
      <c r="I27" s="9">
        <f t="shared" si="12"/>
        <v>0</v>
      </c>
      <c r="J27" s="9">
        <f t="shared" si="12"/>
        <v>0</v>
      </c>
      <c r="K27" s="9">
        <f t="shared" si="12"/>
        <v>0</v>
      </c>
      <c r="L27" s="9">
        <f t="shared" si="12"/>
        <v>7.2800000000000017E-2</v>
      </c>
      <c r="M27" s="9">
        <f t="shared" si="12"/>
        <v>0.18980000000000002</v>
      </c>
      <c r="N27" s="9">
        <f t="shared" si="12"/>
        <v>5.7499999999999996E-2</v>
      </c>
      <c r="O27" s="9">
        <f t="shared" si="12"/>
        <v>6.3200000000000006E-2</v>
      </c>
      <c r="P27" s="9">
        <f t="shared" si="12"/>
        <v>1.4000000000000002E-2</v>
      </c>
      <c r="Q27" s="9">
        <f t="shared" si="12"/>
        <v>0</v>
      </c>
      <c r="R27" s="9">
        <f t="shared" si="12"/>
        <v>5.0000000000000001E-3</v>
      </c>
      <c r="S27" s="9">
        <f t="shared" si="12"/>
        <v>0</v>
      </c>
      <c r="T27" s="9">
        <f t="shared" si="12"/>
        <v>0</v>
      </c>
      <c r="U27" s="9">
        <f t="shared" si="12"/>
        <v>0</v>
      </c>
      <c r="V27" s="9">
        <f t="shared" si="12"/>
        <v>7.6486000000000012E-2</v>
      </c>
      <c r="W27" s="9">
        <f t="shared" si="12"/>
        <v>2.7999999999999997E-2</v>
      </c>
      <c r="X27" s="9">
        <f t="shared" si="12"/>
        <v>0</v>
      </c>
    </row>
    <row r="29" spans="2:24" x14ac:dyDescent="0.3">
      <c r="B29" s="4" t="s">
        <v>45</v>
      </c>
    </row>
    <row r="31" spans="2:24" ht="18" x14ac:dyDescent="0.3">
      <c r="B31" s="4" t="s">
        <v>55</v>
      </c>
    </row>
    <row r="32" spans="2:24" x14ac:dyDescent="0.3">
      <c r="B32" s="10" t="s">
        <v>46</v>
      </c>
      <c r="E32" s="8"/>
      <c r="F32" s="9" t="str">
        <f>IF(F27=0,"",IF(F27&lt;tolerancias!B2,"SI","NO"))</f>
        <v/>
      </c>
      <c r="G32" s="9"/>
      <c r="H32" s="9"/>
      <c r="I32" s="9"/>
      <c r="J32" s="9"/>
      <c r="K32" s="9" t="str">
        <f>IF(K27=0,"",IF(K27&lt;tolerancias!C2,"SI","NO"))</f>
        <v/>
      </c>
      <c r="L32" s="4" t="str">
        <f>IF(L27=0,"",IF(L27&lt;tolerancias!D2,"SI","NO"))</f>
        <v>NO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2:24" x14ac:dyDescent="0.3">
      <c r="B33" s="10" t="s">
        <v>47</v>
      </c>
      <c r="E33" s="8"/>
      <c r="F33" s="8"/>
      <c r="G33" s="8"/>
      <c r="H33" s="8"/>
      <c r="I33" s="8"/>
      <c r="J33" s="8"/>
      <c r="K33" s="8"/>
      <c r="L33" s="8"/>
      <c r="M33" s="8" t="s">
        <v>56</v>
      </c>
      <c r="N33" s="8" t="s">
        <v>56</v>
      </c>
      <c r="O33" s="8" t="s">
        <v>56</v>
      </c>
      <c r="P33" s="8"/>
      <c r="Q33" s="8"/>
      <c r="R33" s="8"/>
      <c r="S33" s="8"/>
      <c r="T33" s="8"/>
      <c r="U33" s="8"/>
      <c r="V33" s="8"/>
      <c r="W33" s="8"/>
      <c r="X33" s="8"/>
    </row>
    <row r="34" spans="2:24" x14ac:dyDescent="0.3">
      <c r="B34" s="4" t="s">
        <v>48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2:24" x14ac:dyDescent="0.3">
      <c r="B35" s="4" t="s">
        <v>49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" t="str">
        <f>IF(P27=0,"",IF(P27&gt;tolerancias!H5,"SI","NO"))</f>
        <v>SI</v>
      </c>
      <c r="Q35" s="9" t="str">
        <f>IF(Q27=0,"",IF(Q27&gt;tolerancias!I5,"SI","NO"))</f>
        <v/>
      </c>
      <c r="R35" s="9" t="str">
        <f>IF(R27=0,"",IF(R27&gt;tolerancias!J5,"SI","NO"))</f>
        <v>SI</v>
      </c>
      <c r="S35" s="9" t="str">
        <f>IF(S27=0,"",IF(S27&gt;tolerancias!K5,"SI","NO"))</f>
        <v/>
      </c>
      <c r="T35" s="9" t="str">
        <f>IF(T27=0,"",IF(T27&gt;tolerancias!L5,"SI","NO"))</f>
        <v/>
      </c>
      <c r="U35" s="9" t="str">
        <f>IF(U27=0,"",IF(U27&gt;tolerancias!M5,"SI","NO"))</f>
        <v/>
      </c>
      <c r="V35" s="9" t="str">
        <f>IF(V27=0,"",IF(V27&gt;tolerancias!N5,"SI","NO"))</f>
        <v>SI</v>
      </c>
      <c r="W35" s="9" t="str">
        <f>IF(W27=0,"",IF(W27&gt;tolerancias!P5,"SI","NO"))</f>
        <v>SI</v>
      </c>
      <c r="X35" s="8"/>
    </row>
    <row r="36" spans="2:24" x14ac:dyDescent="0.3">
      <c r="B36" s="11" t="s">
        <v>50</v>
      </c>
    </row>
    <row r="37" spans="2:24" x14ac:dyDescent="0.3">
      <c r="B37" s="11"/>
    </row>
    <row r="38" spans="2:24" ht="18" x14ac:dyDescent="0.3">
      <c r="B38" s="4" t="s">
        <v>62</v>
      </c>
    </row>
    <row r="39" spans="2:24" x14ac:dyDescent="0.3">
      <c r="B39" s="4" t="s">
        <v>63</v>
      </c>
      <c r="E39" s="8"/>
      <c r="F39" s="9" t="str">
        <f>IF(F27=0,"",((-0.0005*100*100*F$27*F$27+0.0413*100*F$27+0.6533)/100))</f>
        <v/>
      </c>
      <c r="G39" s="9"/>
      <c r="H39" s="9"/>
      <c r="I39" s="9"/>
      <c r="J39" s="9"/>
      <c r="K39" s="9" t="str">
        <f>IF(K27=0,"",((-0.0005*100*100*K$27*K$27+0.0413*100*K$27+0.6533)/100))</f>
        <v/>
      </c>
      <c r="L39" s="12">
        <f>IF(L27=0,"",((-0.0007*10000*L$27*L$27+0.0769*100*L$27+0.3941)/100))</f>
        <v>9.168331200000001E-3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2:24" ht="17.25" x14ac:dyDescent="0.3">
      <c r="B40" s="10" t="s">
        <v>54</v>
      </c>
      <c r="E40" s="9"/>
      <c r="F40" s="9" t="str">
        <f>IF(F27=0,"",IF(OR(F27&lt;4.001%,F27&gt;32.001%),"SI","NO"))</f>
        <v/>
      </c>
      <c r="G40" s="8"/>
      <c r="H40" s="8"/>
      <c r="I40" s="8"/>
      <c r="J40" s="8"/>
      <c r="K40" s="9" t="str">
        <f>IF(K27=0,"",IF(OR(K27&lt;4.001%,K27&gt;32.001%),"SI","NO"))</f>
        <v/>
      </c>
      <c r="L40" s="9" t="str">
        <f>IF(L27=0,"",IF(OR(L27&lt;4.001%,L27&gt;32.001%),"SI","NO"))</f>
        <v>NO</v>
      </c>
      <c r="M40" s="9">
        <f>IF(M27=0,"",((0.42+0.105*100*M$27)/100))</f>
        <v>2.4129000000000005E-2</v>
      </c>
      <c r="N40" s="9">
        <f>IF(N27=0,"",((0.5+0.125*100*N$27)/100))</f>
        <v>1.21875E-2</v>
      </c>
      <c r="O40" s="9">
        <f>IF(O27=0,"",((0.3+0.075*100*O$27)/100))</f>
        <v>7.7400000000000004E-3</v>
      </c>
      <c r="P40" s="9">
        <f>IF(P27=0,"",((0.005+0.25*100*P$27)/100))</f>
        <v>3.5500000000000002E-3</v>
      </c>
      <c r="Q40" s="9" t="str">
        <f>IF(Q27=0,"",((0.000125+0.375*100*Q$27)/100))</f>
        <v/>
      </c>
      <c r="R40" s="9">
        <f>IF(R27=0,"",((0.015+0.3*100*R$27)/100))</f>
        <v>1.6499999999999998E-3</v>
      </c>
      <c r="S40" s="9" t="str">
        <f>IF(S27=0,"",((0.015+0.3*100*S$27)/100))</f>
        <v/>
      </c>
      <c r="T40" s="9" t="str">
        <f>IF(T27=0,"",((0.015+0.3*100*T$27)/100))</f>
        <v/>
      </c>
      <c r="U40" s="9" t="str">
        <f>IF(U27=0,"",((0.000125+0.375*100*U$27)/100))</f>
        <v/>
      </c>
      <c r="V40" s="9"/>
      <c r="W40" s="9">
        <f>IF(W27=0,"",((0.015+0.3*100*W$27)/100))</f>
        <v>8.5499999999999986E-3</v>
      </c>
      <c r="X40" s="9" t="str">
        <f>IF(X27=0,"",((0.015+0.3*100*X$27)/100))</f>
        <v/>
      </c>
    </row>
    <row r="41" spans="2:24" ht="17.25" x14ac:dyDescent="0.3">
      <c r="B41" s="10" t="s">
        <v>64</v>
      </c>
      <c r="F41" s="8"/>
      <c r="G41" s="8"/>
      <c r="H41" s="8"/>
      <c r="I41" s="8"/>
      <c r="J41" s="8"/>
      <c r="K41" s="8"/>
      <c r="L41" s="8"/>
      <c r="M41" s="4" t="str">
        <f t="shared" ref="M41:U41" si="13">IF(M27=0,"",IF(OR(M40&gt;M27/2,M40&gt;1.501%),"SI","NO"))</f>
        <v>SI</v>
      </c>
      <c r="N41" s="4" t="str">
        <f t="shared" si="13"/>
        <v>NO</v>
      </c>
      <c r="O41" s="4" t="str">
        <f t="shared" si="13"/>
        <v>NO</v>
      </c>
      <c r="P41" s="4" t="str">
        <f t="shared" si="13"/>
        <v>NO</v>
      </c>
      <c r="Q41" s="4" t="str">
        <f t="shared" si="13"/>
        <v/>
      </c>
      <c r="R41" s="4" t="str">
        <f t="shared" si="13"/>
        <v>NO</v>
      </c>
      <c r="S41" s="4" t="str">
        <f t="shared" si="13"/>
        <v/>
      </c>
      <c r="T41" s="4" t="str">
        <f t="shared" si="13"/>
        <v/>
      </c>
      <c r="U41" s="4" t="str">
        <f t="shared" si="13"/>
        <v/>
      </c>
      <c r="V41" s="4" t="str">
        <f>IF(V5="SiO2","",IF(V27=0,"",IF(OR(V40&gt;V27/2,V40&gt;1.501%),"SI","NO")))</f>
        <v/>
      </c>
      <c r="W41" s="4" t="str">
        <f>IF(W27=0,"",IF(OR(W40&gt;W27/2,W40&gt;1.501%),"SI","NO"))</f>
        <v>NO</v>
      </c>
      <c r="X41" s="4" t="str">
        <f>IF(X27=0,"",IF(OR(X40&gt;X27/2,X40&gt;1.501%),"SI","NO"))</f>
        <v/>
      </c>
    </row>
    <row r="42" spans="2:24" x14ac:dyDescent="0.3">
      <c r="B42" s="4" t="s">
        <v>44</v>
      </c>
      <c r="E42" s="15"/>
      <c r="F42" s="9" t="str">
        <f>IF(F27=0,"",IF(F40="NO",F39,IF(F27&lt;4%,0.81%,1.46%)))</f>
        <v/>
      </c>
      <c r="G42" s="15"/>
      <c r="H42" s="15"/>
      <c r="I42" s="15"/>
      <c r="J42" s="15"/>
      <c r="K42" s="15" t="str">
        <f>IF(K27=0,"",IF(K40="NO",K39,IF(K27&lt;4%,0.81%,1.46%)))</f>
        <v/>
      </c>
      <c r="L42" s="15">
        <f>IF(L27=0,"",IF(L40="NO",L39,IF(L27&lt;4%,0.69%,2.14%)))</f>
        <v>9.168331200000001E-3</v>
      </c>
      <c r="M42" s="15">
        <f t="shared" ref="M42:U42" si="14">IF(M27=0,"",IF(M40="NO",M39,1.5%))</f>
        <v>1.4999999999999999E-2</v>
      </c>
      <c r="N42" s="15">
        <f t="shared" si="14"/>
        <v>1.4999999999999999E-2</v>
      </c>
      <c r="O42" s="15">
        <f t="shared" si="14"/>
        <v>1.4999999999999999E-2</v>
      </c>
      <c r="P42" s="15">
        <f t="shared" si="14"/>
        <v>1.4999999999999999E-2</v>
      </c>
      <c r="Q42" s="15" t="str">
        <f t="shared" si="14"/>
        <v/>
      </c>
      <c r="R42" s="15">
        <f t="shared" si="14"/>
        <v>1.4999999999999999E-2</v>
      </c>
      <c r="S42" s="15" t="str">
        <f t="shared" si="14"/>
        <v/>
      </c>
      <c r="T42" s="15" t="str">
        <f t="shared" si="14"/>
        <v/>
      </c>
      <c r="U42" s="15" t="str">
        <f t="shared" si="14"/>
        <v/>
      </c>
      <c r="V42" s="15" t="str">
        <f>IF(V5="SiO2","",IF(V27=0,"",IF(V40="NO",V39,1.5%)))</f>
        <v/>
      </c>
      <c r="W42" s="15">
        <f>IF(W27=0,"",IF(W40="NO",W39,1.5%))</f>
        <v>1.4999999999999999E-2</v>
      </c>
      <c r="X42" s="15" t="str">
        <f>IF(X27=0,"",IF(X40="NO",X39,1.5%))</f>
        <v/>
      </c>
    </row>
    <row r="43" spans="2:24" x14ac:dyDescent="0.3">
      <c r="B43" s="11" t="s">
        <v>51</v>
      </c>
    </row>
    <row r="44" spans="2:24" ht="15" customHeight="1" x14ac:dyDescent="0.3">
      <c r="B44" s="11" t="s">
        <v>52</v>
      </c>
    </row>
    <row r="45" spans="2:24" ht="15" customHeight="1" x14ac:dyDescent="0.3">
      <c r="B45" s="11" t="s">
        <v>53</v>
      </c>
    </row>
    <row r="46" spans="2:24" ht="15" customHeight="1" x14ac:dyDescent="0.3"/>
    <row r="47" spans="2:24" x14ac:dyDescent="0.3">
      <c r="B47" s="4" t="s">
        <v>88</v>
      </c>
      <c r="E47" s="9" t="str">
        <f>IF(E5="C","",IF(E27=0,"",E48-E42))</f>
        <v/>
      </c>
      <c r="F47" s="9" t="str">
        <f t="shared" ref="F47:U47" si="15">IF(F27=0,"",F48-F42)</f>
        <v/>
      </c>
      <c r="G47" s="9" t="str">
        <f t="shared" si="15"/>
        <v/>
      </c>
      <c r="H47" s="9" t="str">
        <f t="shared" si="15"/>
        <v/>
      </c>
      <c r="I47" s="9" t="str">
        <f t="shared" si="15"/>
        <v/>
      </c>
      <c r="J47" s="9" t="str">
        <f t="shared" si="15"/>
        <v/>
      </c>
      <c r="K47" s="9" t="str">
        <f t="shared" si="15"/>
        <v/>
      </c>
      <c r="L47" s="9">
        <f t="shared" si="15"/>
        <v>6.3631668800000013E-2</v>
      </c>
      <c r="M47" s="9">
        <f t="shared" si="15"/>
        <v>0.17480000000000001</v>
      </c>
      <c r="N47" s="9">
        <f t="shared" si="15"/>
        <v>4.2499999999999996E-2</v>
      </c>
      <c r="O47" s="9">
        <f t="shared" si="15"/>
        <v>4.8200000000000007E-2</v>
      </c>
      <c r="P47" s="9">
        <f t="shared" si="15"/>
        <v>-9.9999999999999742E-4</v>
      </c>
      <c r="Q47" s="9" t="str">
        <f t="shared" si="15"/>
        <v/>
      </c>
      <c r="R47" s="9">
        <f t="shared" si="15"/>
        <v>-9.9999999999999985E-3</v>
      </c>
      <c r="S47" s="9" t="str">
        <f t="shared" si="15"/>
        <v/>
      </c>
      <c r="T47" s="9" t="str">
        <f t="shared" si="15"/>
        <v/>
      </c>
      <c r="U47" s="9" t="str">
        <f t="shared" si="15"/>
        <v/>
      </c>
      <c r="V47" s="9" t="str">
        <f>IF(V5="SiO2","",IF(V27=0,"",V48-V42))</f>
        <v/>
      </c>
      <c r="W47" s="9">
        <f>IF(W27=0,"",W48-W42)</f>
        <v>1.2999999999999998E-2</v>
      </c>
      <c r="X47" s="9" t="str">
        <f>IF(X27=0,"",X48-X42)</f>
        <v/>
      </c>
    </row>
    <row r="48" spans="2:24" x14ac:dyDescent="0.3">
      <c r="B48" s="4" t="str">
        <f>_xlfn.CONCAT("SOLICITUD DE REGISTRO ICA: ",B5)</f>
        <v>SOLICITUD DE REGISTRO ICA: MATERIA PRIMA</v>
      </c>
      <c r="E48" s="9" t="str">
        <f>IF(E27=0,"",E27)</f>
        <v/>
      </c>
      <c r="F48" s="9" t="str">
        <f>IF(F27=0,"",F27)</f>
        <v/>
      </c>
      <c r="G48" s="9" t="str">
        <f t="shared" ref="G48:X48" si="16">IF(G27=0,"",G27)</f>
        <v/>
      </c>
      <c r="H48" s="9" t="str">
        <f t="shared" si="16"/>
        <v/>
      </c>
      <c r="I48" s="9" t="str">
        <f t="shared" si="16"/>
        <v/>
      </c>
      <c r="J48" s="9" t="str">
        <f t="shared" si="16"/>
        <v/>
      </c>
      <c r="K48" s="9" t="str">
        <f t="shared" si="16"/>
        <v/>
      </c>
      <c r="L48" s="9">
        <f t="shared" si="16"/>
        <v>7.2800000000000017E-2</v>
      </c>
      <c r="M48" s="9">
        <f t="shared" si="16"/>
        <v>0.18980000000000002</v>
      </c>
      <c r="N48" s="9">
        <f t="shared" si="16"/>
        <v>5.7499999999999996E-2</v>
      </c>
      <c r="O48" s="9">
        <f t="shared" si="16"/>
        <v>6.3200000000000006E-2</v>
      </c>
      <c r="P48" s="9">
        <f t="shared" si="16"/>
        <v>1.4000000000000002E-2</v>
      </c>
      <c r="Q48" s="9" t="str">
        <f t="shared" si="16"/>
        <v/>
      </c>
      <c r="R48" s="9">
        <f t="shared" si="16"/>
        <v>5.0000000000000001E-3</v>
      </c>
      <c r="S48" s="9" t="str">
        <f t="shared" si="16"/>
        <v/>
      </c>
      <c r="T48" s="9" t="str">
        <f t="shared" si="16"/>
        <v/>
      </c>
      <c r="U48" s="9" t="str">
        <f t="shared" si="16"/>
        <v/>
      </c>
      <c r="V48" s="9">
        <f t="shared" si="16"/>
        <v>7.6486000000000012E-2</v>
      </c>
      <c r="W48" s="9">
        <f t="shared" si="16"/>
        <v>2.7999999999999997E-2</v>
      </c>
      <c r="X48" s="9" t="str">
        <f t="shared" si="16"/>
        <v/>
      </c>
    </row>
    <row r="49" spans="2:24" x14ac:dyDescent="0.3">
      <c r="B49" s="4" t="s">
        <v>89</v>
      </c>
      <c r="E49" s="9" t="str">
        <f>IF(E5="C","",IF(E27=0,"",E48+E42))</f>
        <v/>
      </c>
      <c r="F49" s="9" t="str">
        <f t="shared" ref="F49:U49" si="17">IF(F27=0,"",F48+F42)</f>
        <v/>
      </c>
      <c r="G49" s="9" t="str">
        <f t="shared" si="17"/>
        <v/>
      </c>
      <c r="H49" s="9" t="str">
        <f t="shared" si="17"/>
        <v/>
      </c>
      <c r="I49" s="9" t="str">
        <f t="shared" si="17"/>
        <v/>
      </c>
      <c r="J49" s="9" t="str">
        <f t="shared" si="17"/>
        <v/>
      </c>
      <c r="K49" s="9" t="str">
        <f t="shared" si="17"/>
        <v/>
      </c>
      <c r="L49" s="9">
        <f t="shared" si="17"/>
        <v>8.1968331200000022E-2</v>
      </c>
      <c r="M49" s="9">
        <f t="shared" si="17"/>
        <v>0.20480000000000004</v>
      </c>
      <c r="N49" s="9">
        <f t="shared" si="17"/>
        <v>7.2499999999999995E-2</v>
      </c>
      <c r="O49" s="9">
        <f t="shared" si="17"/>
        <v>7.8200000000000006E-2</v>
      </c>
      <c r="P49" s="9">
        <f t="shared" si="17"/>
        <v>2.9000000000000001E-2</v>
      </c>
      <c r="Q49" s="9" t="str">
        <f t="shared" si="17"/>
        <v/>
      </c>
      <c r="R49" s="9">
        <f t="shared" si="17"/>
        <v>0.02</v>
      </c>
      <c r="S49" s="9" t="str">
        <f t="shared" si="17"/>
        <v/>
      </c>
      <c r="T49" s="9" t="str">
        <f t="shared" si="17"/>
        <v/>
      </c>
      <c r="U49" s="9" t="str">
        <f t="shared" si="17"/>
        <v/>
      </c>
      <c r="V49" s="9" t="str">
        <f>IF(V5="SiO2","",IF(V27=0,"",V48+V42))</f>
        <v/>
      </c>
      <c r="W49" s="9">
        <f>IF(W27=0,"",W48+W42)</f>
        <v>4.2999999999999997E-2</v>
      </c>
      <c r="X49" s="9" t="str">
        <f>IF(X27=0,"",X48+X42)</f>
        <v/>
      </c>
    </row>
  </sheetData>
  <conditionalFormatting sqref="E42:X42 E47:X49 K40:X40 E40:F40">
    <cfRule type="cellIs" dxfId="123" priority="41" operator="equal">
      <formula>0</formula>
    </cfRule>
    <cfRule type="containsBlanks" dxfId="122" priority="42">
      <formula>LEN(TRIM(E40))=0</formula>
    </cfRule>
  </conditionalFormatting>
  <conditionalFormatting sqref="F32:K32">
    <cfRule type="cellIs" dxfId="121" priority="73" operator="equal">
      <formula>0</formula>
    </cfRule>
    <cfRule type="containsBlanks" dxfId="120" priority="74">
      <formula>LEN(TRIM(F32))=0</formula>
    </cfRule>
  </conditionalFormatting>
  <conditionalFormatting sqref="F39:K39">
    <cfRule type="cellIs" dxfId="119" priority="113" operator="equal">
      <formula>0</formula>
    </cfRule>
    <cfRule type="containsBlanks" dxfId="118" priority="114">
      <formula>LEN(TRIM(F39))=0</formula>
    </cfRule>
  </conditionalFormatting>
  <conditionalFormatting sqref="F41:L41 M32:X32 M39:X39 E39 P33:X34 X35 E32:E35">
    <cfRule type="cellIs" dxfId="117" priority="47" operator="equal">
      <formula>0</formula>
    </cfRule>
    <cfRule type="containsBlanks" dxfId="116" priority="48">
      <formula>LEN(TRIM(E32))=0</formula>
    </cfRule>
  </conditionalFormatting>
  <conditionalFormatting sqref="F33:O35">
    <cfRule type="cellIs" dxfId="115" priority="89" operator="equal">
      <formula>0</formula>
    </cfRule>
    <cfRule type="containsBlanks" dxfId="114" priority="90">
      <formula>LEN(TRIM(F33))=0</formula>
    </cfRule>
  </conditionalFormatting>
  <conditionalFormatting sqref="P35:W35">
    <cfRule type="cellIs" dxfId="113" priority="115" operator="equal">
      <formula>0</formula>
    </cfRule>
    <cfRule type="containsBlanks" dxfId="112" priority="116">
      <formula>LEN(TRIM(P35))=0</formula>
    </cfRule>
  </conditionalFormatting>
  <conditionalFormatting sqref="G40:J40">
    <cfRule type="cellIs" dxfId="111" priority="53" operator="equal">
      <formula>0</formula>
    </cfRule>
    <cfRule type="containsBlanks" dxfId="110" priority="54">
      <formula>LEN(TRIM(G40))=0</formula>
    </cfRule>
  </conditionalFormatting>
  <conditionalFormatting sqref="E6:X10">
    <cfRule type="cellIs" dxfId="109" priority="23" operator="equal">
      <formula>0</formula>
    </cfRule>
    <cfRule type="containsBlanks" dxfId="108" priority="24">
      <formula>LEN(TRIM(E6))=0</formula>
    </cfRule>
  </conditionalFormatting>
  <conditionalFormatting sqref="E6:X10">
    <cfRule type="notContainsBlanks" dxfId="107" priority="22">
      <formula>LEN(TRIM(E6))&gt;0</formula>
    </cfRule>
  </conditionalFormatting>
  <conditionalFormatting sqref="E11:X13">
    <cfRule type="cellIs" dxfId="106" priority="20" operator="equal">
      <formula>0</formula>
    </cfRule>
    <cfRule type="containsBlanks" dxfId="105" priority="21">
      <formula>LEN(TRIM(E11))=0</formula>
    </cfRule>
  </conditionalFormatting>
  <conditionalFormatting sqref="E11:X13">
    <cfRule type="notContainsBlanks" dxfId="104" priority="19">
      <formula>LEN(TRIM(E11))&gt;0</formula>
    </cfRule>
  </conditionalFormatting>
  <conditionalFormatting sqref="E18:F25">
    <cfRule type="cellIs" dxfId="103" priority="17" operator="equal">
      <formula>0</formula>
    </cfRule>
    <cfRule type="containsBlanks" dxfId="102" priority="18">
      <formula>LEN(TRIM(E18))=0</formula>
    </cfRule>
  </conditionalFormatting>
  <conditionalFormatting sqref="E18:F25">
    <cfRule type="notContainsBlanks" dxfId="101" priority="16">
      <formula>LEN(TRIM(E18))&gt;0</formula>
    </cfRule>
  </conditionalFormatting>
  <conditionalFormatting sqref="E27:X27">
    <cfRule type="cellIs" dxfId="100" priority="4" operator="equal">
      <formula>0</formula>
    </cfRule>
    <cfRule type="containsBlanks" dxfId="99" priority="6">
      <formula>LEN(TRIM(E27))=0</formula>
    </cfRule>
  </conditionalFormatting>
  <conditionalFormatting sqref="E27:X27">
    <cfRule type="notContainsBlanks" dxfId="98" priority="5">
      <formula>LEN(TRIM(E27))&gt;0</formula>
    </cfRule>
  </conditionalFormatting>
  <conditionalFormatting sqref="G18:X25">
    <cfRule type="cellIs" dxfId="97" priority="2" operator="equal">
      <formula>0</formula>
    </cfRule>
    <cfRule type="containsBlanks" dxfId="96" priority="3">
      <formula>LEN(TRIM(G18))=0</formula>
    </cfRule>
  </conditionalFormatting>
  <conditionalFormatting sqref="G18:X25">
    <cfRule type="notContainsBlanks" dxfId="95" priority="1">
      <formula>LEN(TRIM(G18))&gt;0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6BED-9E2B-42AD-A1BF-BBED69F534F2}">
  <sheetPr>
    <pageSetUpPr fitToPage="1"/>
  </sheetPr>
  <dimension ref="A1:Z50"/>
  <sheetViews>
    <sheetView tabSelected="1" topLeftCell="I1" zoomScale="70" zoomScaleNormal="70" workbookViewId="0">
      <selection activeCell="V25" sqref="V25"/>
    </sheetView>
  </sheetViews>
  <sheetFormatPr baseColWidth="10" defaultColWidth="8.875" defaultRowHeight="16.5" x14ac:dyDescent="0.3"/>
  <cols>
    <col min="1" max="1" width="6.75" style="17" customWidth="1"/>
    <col min="2" max="2" width="54.75" style="17" bestFit="1" customWidth="1"/>
    <col min="3" max="4" width="8.875" style="18"/>
    <col min="5" max="5" width="16.625" style="18" customWidth="1"/>
    <col min="6" max="6" width="12" style="18" customWidth="1"/>
    <col min="7" max="7" width="13" style="18" customWidth="1"/>
    <col min="8" max="8" width="10.25" style="18" customWidth="1"/>
    <col min="9" max="9" width="11" style="18" customWidth="1"/>
    <col min="10" max="10" width="11.25" style="18" customWidth="1"/>
    <col min="11" max="11" width="11.375" style="18" customWidth="1"/>
    <col min="12" max="12" width="9.25" style="18" customWidth="1"/>
    <col min="13" max="13" width="7.875" style="18" customWidth="1"/>
    <col min="14" max="14" width="10.5" style="18" customWidth="1"/>
    <col min="15" max="15" width="8.875" style="18" customWidth="1"/>
    <col min="16" max="16" width="6.375" style="18" customWidth="1"/>
    <col min="17" max="17" width="8.75" style="18" customWidth="1"/>
    <col min="18" max="18" width="9.125" style="18" customWidth="1"/>
    <col min="19" max="19" width="8.125" style="18" bestFit="1" customWidth="1"/>
    <col min="20" max="20" width="13.375" style="18" customWidth="1"/>
    <col min="21" max="21" width="11.625" style="18" customWidth="1"/>
    <col min="22" max="22" width="8.875" style="18" customWidth="1"/>
    <col min="23" max="23" width="7.875" style="18" customWidth="1"/>
    <col min="24" max="24" width="7.875" style="18" bestFit="1" customWidth="1"/>
    <col min="26" max="16384" width="8.875" style="17"/>
  </cols>
  <sheetData>
    <row r="1" spans="1:26" x14ac:dyDescent="0.3">
      <c r="A1" s="69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Z1" s="47"/>
    </row>
    <row r="2" spans="1:26" x14ac:dyDescent="0.3">
      <c r="A2" s="57"/>
      <c r="C2" s="91"/>
      <c r="D2" s="92"/>
      <c r="E2" s="61"/>
      <c r="F2" s="61" t="s">
        <v>2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  <c r="S2" s="125" t="s">
        <v>1</v>
      </c>
      <c r="T2" s="126"/>
      <c r="Z2" s="48"/>
    </row>
    <row r="3" spans="1:26" x14ac:dyDescent="0.3">
      <c r="A3" s="57"/>
      <c r="C3" s="93"/>
      <c r="D3" s="94"/>
      <c r="E3" s="58"/>
      <c r="F3" s="58" t="s">
        <v>3</v>
      </c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60"/>
      <c r="S3" s="127" t="s">
        <v>1</v>
      </c>
      <c r="T3" s="128"/>
      <c r="Z3" s="48"/>
    </row>
    <row r="4" spans="1:26" x14ac:dyDescent="0.3">
      <c r="A4" s="57"/>
      <c r="C4" s="95"/>
      <c r="D4" s="96"/>
      <c r="E4" s="114"/>
      <c r="F4" s="114" t="s">
        <v>0</v>
      </c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90"/>
      <c r="S4" s="59"/>
      <c r="T4" s="59"/>
      <c r="Z4" s="48"/>
    </row>
    <row r="5" spans="1:26" ht="17.25" thickBot="1" x14ac:dyDescent="0.35">
      <c r="A5" s="49"/>
      <c r="B5" s="34"/>
      <c r="C5" s="34"/>
      <c r="D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Z5" s="48"/>
    </row>
    <row r="6" spans="1:26" ht="30.75" thickBot="1" x14ac:dyDescent="0.35">
      <c r="A6" s="49"/>
      <c r="B6" s="68" t="s">
        <v>86</v>
      </c>
      <c r="C6" s="122" t="s">
        <v>87</v>
      </c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4"/>
      <c r="Z6" s="48"/>
    </row>
    <row r="7" spans="1:26" ht="17.25" thickBot="1" x14ac:dyDescent="0.35">
      <c r="A7" s="50"/>
      <c r="Z7" s="48"/>
    </row>
    <row r="8" spans="1:26" s="32" customFormat="1" ht="50.25" thickBot="1" x14ac:dyDescent="0.35">
      <c r="A8" s="51"/>
      <c r="B8" s="75" t="str">
        <f>IF(OR(entrada!B17=0,entrada!B17=""),"",entrada!B17)</f>
        <v>MATERIA PRIMA</v>
      </c>
      <c r="C8" s="75" t="str">
        <f>IF(OR(entrada!C17=0,entrada!C17=""),"",entrada!C17)</f>
        <v>kg / Ton</v>
      </c>
      <c r="D8" s="75" t="str">
        <f>IF(OR(entrada!D17=0,entrada!D17=""),"",entrada!D17)</f>
        <v>%/100 kg</v>
      </c>
      <c r="E8" s="70" t="str">
        <f>IF(OR(entrada!E17=0,entrada!E17=""),"",entrada!E17)</f>
        <v>Carbono organico total oxidable C</v>
      </c>
      <c r="F8" s="70" t="str">
        <f>IF(OR(entrada!F17=0,entrada!F17=""),"",entrada!F17)</f>
        <v>Nitrogeno Total N</v>
      </c>
      <c r="G8" s="70" t="str">
        <f>IF(OR(entrada!G17=0,entrada!G17=""),"",entrada!G17)</f>
        <v>Nitrogeno amoniacal</v>
      </c>
      <c r="H8" s="70" t="str">
        <f>IF(OR(entrada!H17=0,entrada!H17=""),"",entrada!H17)</f>
        <v>Nitrogeno nitrico</v>
      </c>
      <c r="I8" s="70" t="str">
        <f>IF(OR(entrada!I17=0,entrada!I17=""),"",entrada!I17)</f>
        <v>Nitrogeno organico</v>
      </c>
      <c r="J8" s="70" t="str">
        <f>IF(OR(entrada!J17=0,entrada!J17=""),"",entrada!J17)</f>
        <v>Nitrogeno ureico</v>
      </c>
      <c r="K8" s="70" t="str">
        <f>IF(OR(entrada!K17=0,entrada!K17=""),"",entrada!K17)</f>
        <v>Fosforo asimilable P2O5</v>
      </c>
      <c r="L8" s="70" t="str">
        <f>IF(OR(entrada!L17=0,entrada!L17=""),"",entrada!L17)</f>
        <v>Potasio soluble K2O</v>
      </c>
      <c r="M8" s="70" t="str">
        <f>IF(OR(entrada!M17=0,entrada!M17=""),"",entrada!M17)</f>
        <v>Calcio CaO</v>
      </c>
      <c r="N8" s="70" t="str">
        <f>IF(OR(entrada!N17=0,entrada!N17=""),"",entrada!N17)</f>
        <v>Magnesio MgO</v>
      </c>
      <c r="O8" s="70" t="str">
        <f>IF(OR(entrada!O17=0,entrada!O17=""),"",entrada!O17)</f>
        <v>Azufre S</v>
      </c>
      <c r="P8" s="70" t="str">
        <f>IF(OR(entrada!P17=0,entrada!P17=""),"",entrada!P17)</f>
        <v>Boro B</v>
      </c>
      <c r="Q8" s="70" t="str">
        <f>IF(OR(entrada!Q17=0,entrada!Q17=""),"",entrada!Q17)</f>
        <v>Cobalto Co</v>
      </c>
      <c r="R8" s="70" t="str">
        <f>IF(OR(entrada!R17=0,entrada!R17=""),"",entrada!R17)</f>
        <v>Cobre Cu</v>
      </c>
      <c r="S8" s="70" t="str">
        <f>IF(OR(entrada!S17=0,entrada!S17=""),"",entrada!S17)</f>
        <v>Hierro Fe</v>
      </c>
      <c r="T8" s="70" t="str">
        <f>IF(OR(entrada!T17=0,entrada!T17=""),"",entrada!T17)</f>
        <v>Manganeso Mn</v>
      </c>
      <c r="U8" s="70" t="str">
        <f>IF(OR(entrada!U17=0,entrada!U17=""),"",entrada!U17)</f>
        <v>Molibdeno Mo</v>
      </c>
      <c r="V8" s="70" t="str">
        <f>IF(OR(entrada!V17=0,entrada!V17=""),"",entrada!V17)</f>
        <v>Silicio SiO2</v>
      </c>
      <c r="W8" s="70" t="str">
        <f>IF(OR(entrada!W17=0,entrada!W17=""),"",entrada!W17)</f>
        <v>Zinc Zn</v>
      </c>
      <c r="X8" s="71" t="str">
        <f>IF(OR(entrada!X17=0,entrada!X17=""),"",entrada!X17)</f>
        <v>Sodio Na</v>
      </c>
      <c r="Z8" s="52"/>
    </row>
    <row r="9" spans="1:26" x14ac:dyDescent="0.3">
      <c r="A9" s="50"/>
      <c r="B9" s="63" t="str">
        <f>IF(OR(entrada!B18=0,entrada!B18=""),"",entrada!B18)</f>
        <v>DOLOMITA</v>
      </c>
      <c r="C9" s="93">
        <f>IF(OR(entrada!C18=0,entrada!C18=""),"",entrada!C18)</f>
        <v>60</v>
      </c>
      <c r="D9" s="29">
        <f>IF(OR(entrada!D18=0,entrada!D18=""),"",entrada!D18)</f>
        <v>6</v>
      </c>
      <c r="E9" s="19" t="str">
        <f>IF(OR(entrada!E18=0,entrada!E18=""),"",entrada!E18)</f>
        <v/>
      </c>
      <c r="F9" s="19" t="str">
        <f>IF(OR(entrada!F18=0,entrada!F18=""),"",entrada!F18)</f>
        <v/>
      </c>
      <c r="G9" s="19" t="str">
        <f>IF(OR(entrada!G18=0,entrada!G18=""),"",entrada!G18)</f>
        <v/>
      </c>
      <c r="H9" s="19" t="str">
        <f>IF(OR(entrada!H18=0,entrada!H18=""),"",entrada!H18)</f>
        <v/>
      </c>
      <c r="I9" s="19" t="str">
        <f>IF(OR(entrada!I18=0,entrada!I18=""),"",entrada!I18)</f>
        <v/>
      </c>
      <c r="J9" s="19" t="str">
        <f>IF(OR(entrada!J18=0,entrada!J18=""),"",entrada!J18)</f>
        <v/>
      </c>
      <c r="K9" s="19" t="str">
        <f>IF(OR(entrada!K18=0,entrada!K18=""),"",entrada!K18)</f>
        <v/>
      </c>
      <c r="L9" s="19" t="str">
        <f>IF(OR(entrada!L18=0,entrada!L18=""),"",entrada!L18)</f>
        <v/>
      </c>
      <c r="M9" s="19" t="str">
        <f>IF(OR(entrada!M18=0,entrada!M18=""),"",entrada!M18)</f>
        <v/>
      </c>
      <c r="N9" s="19">
        <f>IF(OR(entrada!N18=0,entrada!N18=""),"",entrada!N18)</f>
        <v>1.2500000000000001E-2</v>
      </c>
      <c r="O9" s="19">
        <f>IF(OR(entrada!O18=0,entrada!O18=""),"",entrada!O18)</f>
        <v>0.01</v>
      </c>
      <c r="P9" s="19" t="str">
        <f>IF(OR(entrada!P18=0,entrada!P18=""),"",entrada!P18)</f>
        <v/>
      </c>
      <c r="Q9" s="19" t="str">
        <f>IF(OR(entrada!Q18=0,entrada!Q18=""),"",entrada!Q18)</f>
        <v/>
      </c>
      <c r="R9" s="19" t="str">
        <f>IF(OR(entrada!R18=0,entrada!R18=""),"",entrada!R18)</f>
        <v/>
      </c>
      <c r="S9" s="19" t="str">
        <f>IF(OR(entrada!S18=0,entrada!S18=""),"",entrada!S18)</f>
        <v/>
      </c>
      <c r="T9" s="19" t="str">
        <f>IF(OR(entrada!T18=0,entrada!T18=""),"",entrada!T18)</f>
        <v/>
      </c>
      <c r="U9" s="19" t="str">
        <f>IF(OR(entrada!U18=0,entrada!U18=""),"",entrada!U18)</f>
        <v/>
      </c>
      <c r="V9" s="19" t="str">
        <f>IF(OR(entrada!V18=0,entrada!V18=""),"",entrada!V18)</f>
        <v/>
      </c>
      <c r="W9" s="19" t="str">
        <f>IF(OR(entrada!W18=0,entrada!W18=""),"",entrada!W18)</f>
        <v/>
      </c>
      <c r="X9" s="19" t="str">
        <f>IF(OR(entrada!X18=0,entrada!X18=""),"",entrada!X18)</f>
        <v/>
      </c>
      <c r="Z9" s="48"/>
    </row>
    <row r="10" spans="1:26" x14ac:dyDescent="0.3">
      <c r="A10" s="50"/>
      <c r="B10" s="63" t="str">
        <f>IF(OR(entrada!B19=0,entrada!B19=""),"",entrada!B19)</f>
        <v>KIESERITA</v>
      </c>
      <c r="C10" s="93">
        <f>IF(OR(entrada!C19=0,entrada!C19=""),"",entrada!C19)</f>
        <v>50</v>
      </c>
      <c r="D10" s="29">
        <f>IF(OR(entrada!D19=0,entrada!D19=""),"",entrada!D19)</f>
        <v>5</v>
      </c>
      <c r="E10" s="19" t="str">
        <f>IF(OR(entrada!E19=0,entrada!E19=""),"",entrada!E19)</f>
        <v/>
      </c>
      <c r="F10" s="19" t="str">
        <f>IF(OR(entrada!F19=0,entrada!F19=""),"",entrada!F19)</f>
        <v/>
      </c>
      <c r="G10" s="19" t="str">
        <f>IF(OR(entrada!G19=0,entrada!G19=""),"",entrada!G19)</f>
        <v/>
      </c>
      <c r="H10" s="19" t="str">
        <f>IF(OR(entrada!H19=0,entrada!H19=""),"",entrada!H19)</f>
        <v/>
      </c>
      <c r="I10" s="19" t="str">
        <f>IF(OR(entrada!I19=0,entrada!I19=""),"",entrada!I19)</f>
        <v/>
      </c>
      <c r="J10" s="19" t="str">
        <f>IF(OR(entrada!J19=0,entrada!J19=""),"",entrada!J19)</f>
        <v/>
      </c>
      <c r="K10" s="19" t="str">
        <f>IF(OR(entrada!K19=0,entrada!K19=""),"",entrada!K19)</f>
        <v/>
      </c>
      <c r="L10" s="19">
        <f>IF(OR(entrada!L19=0,entrada!L19=""),"",entrada!L19)</f>
        <v>7.2800000000000017E-2</v>
      </c>
      <c r="M10" s="19">
        <f>IF(OR(entrada!M19=0,entrada!M19=""),"",entrada!M19)</f>
        <v>0.10400000000000001</v>
      </c>
      <c r="N10" s="19" t="str">
        <f>IF(OR(entrada!N19=0,entrada!N19=""),"",entrada!N19)</f>
        <v/>
      </c>
      <c r="O10" s="19" t="str">
        <f>IF(OR(entrada!O19=0,entrada!O19=""),"",entrada!O19)</f>
        <v/>
      </c>
      <c r="P10" s="19" t="str">
        <f>IF(OR(entrada!P19=0,entrada!P19=""),"",entrada!P19)</f>
        <v/>
      </c>
      <c r="Q10" s="19" t="str">
        <f>IF(OR(entrada!Q19=0,entrada!Q19=""),"",entrada!Q19)</f>
        <v/>
      </c>
      <c r="R10" s="19" t="str">
        <f>IF(OR(entrada!R19=0,entrada!R19=""),"",entrada!R19)</f>
        <v/>
      </c>
      <c r="S10" s="19" t="str">
        <f>IF(OR(entrada!S19=0,entrada!S19=""),"",entrada!S19)</f>
        <v/>
      </c>
      <c r="T10" s="19" t="str">
        <f>IF(OR(entrada!T19=0,entrada!T19=""),"",entrada!T19)</f>
        <v/>
      </c>
      <c r="U10" s="19" t="str">
        <f>IF(OR(entrada!U19=0,entrada!U19=""),"",entrada!U19)</f>
        <v/>
      </c>
      <c r="V10" s="19">
        <f>IF(OR(entrada!V19=0,entrada!V19=""),"",entrada!V19)</f>
        <v>2.8496E-2</v>
      </c>
      <c r="W10" s="19" t="str">
        <f>IF(OR(entrada!W19=0,entrada!W19=""),"",entrada!W19)</f>
        <v/>
      </c>
      <c r="X10" s="19" t="str">
        <f>IF(OR(entrada!X19=0,entrada!X19=""),"",entrada!X19)</f>
        <v/>
      </c>
      <c r="Z10" s="48"/>
    </row>
    <row r="11" spans="1:26" x14ac:dyDescent="0.3">
      <c r="A11" s="50"/>
      <c r="B11" s="63" t="str">
        <f>IF(OR(entrada!B20=0,entrada!B20=""),"",entrada!B20)</f>
        <v>ROCA FOSFORICA</v>
      </c>
      <c r="C11" s="93">
        <f>IF(OR(entrada!C20=0,entrada!C20=""),"",entrada!C20)</f>
        <v>260</v>
      </c>
      <c r="D11" s="29">
        <f>IF(OR(entrada!D20=0,entrada!D20=""),"",entrada!D20)</f>
        <v>26</v>
      </c>
      <c r="E11" s="19" t="str">
        <f>IF(OR(entrada!E20=0,entrada!E20=""),"",entrada!E20)</f>
        <v/>
      </c>
      <c r="F11" s="19" t="str">
        <f>IF(OR(entrada!F20=0,entrada!F20=""),"",entrada!F20)</f>
        <v/>
      </c>
      <c r="G11" s="19" t="str">
        <f>IF(OR(entrada!G20=0,entrada!G20=""),"",entrada!G20)</f>
        <v/>
      </c>
      <c r="H11" s="19" t="str">
        <f>IF(OR(entrada!H20=0,entrada!H20=""),"",entrada!H20)</f>
        <v/>
      </c>
      <c r="I11" s="19" t="str">
        <f>IF(OR(entrada!I20=0,entrada!I20=""),"",entrada!I20)</f>
        <v/>
      </c>
      <c r="J11" s="19" t="str">
        <f>IF(OR(entrada!J20=0,entrada!J20=""),"",entrada!J20)</f>
        <v/>
      </c>
      <c r="K11" s="19" t="str">
        <f>IF(OR(entrada!K20=0,entrada!K20=""),"",entrada!K20)</f>
        <v/>
      </c>
      <c r="L11" s="19" t="str">
        <f>IF(OR(entrada!L20=0,entrada!L20=""),"",entrada!L20)</f>
        <v/>
      </c>
      <c r="M11" s="19" t="str">
        <f>IF(OR(entrada!M20=0,entrada!M20=""),"",entrada!M20)</f>
        <v/>
      </c>
      <c r="N11" s="19">
        <f>IF(OR(entrada!N20=0,entrada!N20=""),"",entrada!N20)</f>
        <v>4.4999999999999998E-2</v>
      </c>
      <c r="O11" s="19" t="str">
        <f>IF(OR(entrada!O20=0,entrada!O20=""),"",entrada!O20)</f>
        <v/>
      </c>
      <c r="P11" s="19" t="str">
        <f>IF(OR(entrada!P20=0,entrada!P20=""),"",entrada!P20)</f>
        <v/>
      </c>
      <c r="Q11" s="19" t="str">
        <f>IF(OR(entrada!Q20=0,entrada!Q20=""),"",entrada!Q20)</f>
        <v/>
      </c>
      <c r="R11" s="19" t="str">
        <f>IF(OR(entrada!R20=0,entrada!R20=""),"",entrada!R20)</f>
        <v/>
      </c>
      <c r="S11" s="19" t="str">
        <f>IF(OR(entrada!S20=0,entrada!S20=""),"",entrada!S20)</f>
        <v/>
      </c>
      <c r="T11" s="19" t="str">
        <f>IF(OR(entrada!T20=0,entrada!T20=""),"",entrada!T20)</f>
        <v/>
      </c>
      <c r="U11" s="19" t="str">
        <f>IF(OR(entrada!U20=0,entrada!U20=""),"",entrada!U20)</f>
        <v/>
      </c>
      <c r="V11" s="19">
        <f>IF(OR(entrada!V20=0,entrada!V20=""),"",entrada!V20)</f>
        <v>4.6500000000000007E-2</v>
      </c>
      <c r="W11" s="19" t="str">
        <f>IF(OR(entrada!W20=0,entrada!W20=""),"",entrada!W20)</f>
        <v/>
      </c>
      <c r="X11" s="19" t="str">
        <f>IF(OR(entrada!X20=0,entrada!X20=""),"",entrada!X20)</f>
        <v/>
      </c>
      <c r="Z11" s="48"/>
    </row>
    <row r="12" spans="1:26" x14ac:dyDescent="0.3">
      <c r="A12" s="50"/>
      <c r="B12" s="63" t="str">
        <f>IF(OR(entrada!B21=0,entrada!B21=""),"",entrada!B21)</f>
        <v>SILICATO MG</v>
      </c>
      <c r="C12" s="93">
        <f>IF(OR(entrada!C21=0,entrada!C21=""),"",entrada!C21)</f>
        <v>150</v>
      </c>
      <c r="D12" s="29">
        <f>IF(OR(entrada!D21=0,entrada!D21=""),"",entrada!D21)</f>
        <v>15</v>
      </c>
      <c r="E12" s="19" t="str">
        <f>IF(OR(entrada!E21=0,entrada!E21=""),"",entrada!E21)</f>
        <v/>
      </c>
      <c r="F12" s="19" t="str">
        <f>IF(OR(entrada!F21=0,entrada!F21=""),"",entrada!F21)</f>
        <v/>
      </c>
      <c r="G12" s="19" t="str">
        <f>IF(OR(entrada!G21=0,entrada!G21=""),"",entrada!G21)</f>
        <v/>
      </c>
      <c r="H12" s="19" t="str">
        <f>IF(OR(entrada!H21=0,entrada!H21=""),"",entrada!H21)</f>
        <v/>
      </c>
      <c r="I12" s="19" t="str">
        <f>IF(OR(entrada!I21=0,entrada!I21=""),"",entrada!I21)</f>
        <v/>
      </c>
      <c r="J12" s="19" t="str">
        <f>IF(OR(entrada!J21=0,entrada!J21=""),"",entrada!J21)</f>
        <v/>
      </c>
      <c r="K12" s="19" t="str">
        <f>IF(OR(entrada!K21=0,entrada!K21=""),"",entrada!K21)</f>
        <v/>
      </c>
      <c r="L12" s="19" t="str">
        <f>IF(OR(entrada!L21=0,entrada!L21=""),"",entrada!L21)</f>
        <v/>
      </c>
      <c r="M12" s="19">
        <f>IF(OR(entrada!M21=0,entrada!M21=""),"",entrada!M21)</f>
        <v>7.2800000000000004E-2</v>
      </c>
      <c r="N12" s="19" t="str">
        <f>IF(OR(entrada!N21=0,entrada!N21=""),"",entrada!N21)</f>
        <v/>
      </c>
      <c r="O12" s="19">
        <f>IF(OR(entrada!O21=0,entrada!O21=""),"",entrada!O21)</f>
        <v>3.6400000000000002E-2</v>
      </c>
      <c r="P12" s="19" t="str">
        <f>IF(OR(entrada!P21=0,entrada!P21=""),"",entrada!P21)</f>
        <v/>
      </c>
      <c r="Q12" s="19" t="str">
        <f>IF(OR(entrada!Q21=0,entrada!Q21=""),"",entrada!Q21)</f>
        <v/>
      </c>
      <c r="R12" s="19" t="str">
        <f>IF(OR(entrada!R21=0,entrada!R21=""),"",entrada!R21)</f>
        <v/>
      </c>
      <c r="S12" s="19" t="str">
        <f>IF(OR(entrada!S21=0,entrada!S21=""),"",entrada!S21)</f>
        <v/>
      </c>
      <c r="T12" s="19" t="str">
        <f>IF(OR(entrada!T21=0,entrada!T21=""),"",entrada!T21)</f>
        <v/>
      </c>
      <c r="U12" s="19" t="str">
        <f>IF(OR(entrada!U21=0,entrada!U21=""),"",entrada!U21)</f>
        <v/>
      </c>
      <c r="V12" s="19" t="str">
        <f>IF(OR(entrada!V21=0,entrada!V21=""),"",entrada!V21)</f>
        <v/>
      </c>
      <c r="W12" s="19" t="str">
        <f>IF(OR(entrada!W21=0,entrada!W21=""),"",entrada!W21)</f>
        <v/>
      </c>
      <c r="X12" s="19" t="str">
        <f>IF(OR(entrada!X21=0,entrada!X21=""),"",entrada!X21)</f>
        <v/>
      </c>
      <c r="Z12" s="48"/>
    </row>
    <row r="13" spans="1:26" x14ac:dyDescent="0.3">
      <c r="A13" s="50"/>
      <c r="B13" s="63" t="str">
        <f>IF(OR(entrada!B22=0,entrada!B22=""),"",entrada!B22)</f>
        <v>SULFATO CA</v>
      </c>
      <c r="C13" s="93">
        <f>IF(OR(entrada!C22=0,entrada!C22=""),"",entrada!C22)</f>
        <v>280</v>
      </c>
      <c r="D13" s="29">
        <f>IF(OR(entrada!D22=0,entrada!D22=""),"",entrada!D22)</f>
        <v>28</v>
      </c>
      <c r="E13" s="19" t="str">
        <f>IF(OR(entrada!E22=0,entrada!E22=""),"",entrada!E22)</f>
        <v/>
      </c>
      <c r="F13" s="19" t="str">
        <f>IF(OR(entrada!F22=0,entrada!F22=""),"",entrada!F22)</f>
        <v/>
      </c>
      <c r="G13" s="19" t="str">
        <f>IF(OR(entrada!G22=0,entrada!G22=""),"",entrada!G22)</f>
        <v/>
      </c>
      <c r="H13" s="19" t="str">
        <f>IF(OR(entrada!H22=0,entrada!H22=""),"",entrada!H22)</f>
        <v/>
      </c>
      <c r="I13" s="19" t="str">
        <f>IF(OR(entrada!I22=0,entrada!I22=""),"",entrada!I22)</f>
        <v/>
      </c>
      <c r="J13" s="19" t="str">
        <f>IF(OR(entrada!J22=0,entrada!J22=""),"",entrada!J22)</f>
        <v/>
      </c>
      <c r="K13" s="19" t="str">
        <f>IF(OR(entrada!K22=0,entrada!K22=""),"",entrada!K22)</f>
        <v/>
      </c>
      <c r="L13" s="19" t="str">
        <f>IF(OR(entrada!L22=0,entrada!L22=""),"",entrada!L22)</f>
        <v/>
      </c>
      <c r="M13" s="19" t="str">
        <f>IF(OR(entrada!M22=0,entrada!M22=""),"",entrada!M22)</f>
        <v/>
      </c>
      <c r="N13" s="19" t="str">
        <f>IF(OR(entrada!N22=0,entrada!N22=""),"",entrada!N22)</f>
        <v/>
      </c>
      <c r="O13" s="19">
        <f>IF(OR(entrada!O22=0,entrada!O22=""),"",entrada!O22)</f>
        <v>2.3999999999999998E-3</v>
      </c>
      <c r="P13" s="19" t="str">
        <f>IF(OR(entrada!P22=0,entrada!P22=""),"",entrada!P22)</f>
        <v/>
      </c>
      <c r="Q13" s="19" t="str">
        <f>IF(OR(entrada!Q22=0,entrada!Q22=""),"",entrada!Q22)</f>
        <v/>
      </c>
      <c r="R13" s="19">
        <f>IF(OR(entrada!R22=0,entrada!R22=""),"",entrada!R22)</f>
        <v>5.0000000000000001E-3</v>
      </c>
      <c r="S13" s="19" t="str">
        <f>IF(OR(entrada!S22=0,entrada!S22=""),"",entrada!S22)</f>
        <v/>
      </c>
      <c r="T13" s="19" t="str">
        <f>IF(OR(entrada!T22=0,entrada!T22=""),"",entrada!T22)</f>
        <v/>
      </c>
      <c r="U13" s="19" t="str">
        <f>IF(OR(entrada!U22=0,entrada!U22=""),"",entrada!U22)</f>
        <v/>
      </c>
      <c r="V13" s="19" t="str">
        <f>IF(OR(entrada!V22=0,entrada!V22=""),"",entrada!V22)</f>
        <v/>
      </c>
      <c r="W13" s="19" t="str">
        <f>IF(OR(entrada!W22=0,entrada!W22=""),"",entrada!W22)</f>
        <v/>
      </c>
      <c r="X13" s="19" t="str">
        <f>IF(OR(entrada!X22=0,entrada!X22=""),"",entrada!X22)</f>
        <v/>
      </c>
      <c r="Z13" s="48"/>
    </row>
    <row r="14" spans="1:26" x14ac:dyDescent="0.3">
      <c r="A14" s="50"/>
      <c r="B14" s="63" t="str">
        <f>IF(OR(entrada!B23=0,entrada!B23=""),"",entrada!B23)</f>
        <v>SULFATO COBRE</v>
      </c>
      <c r="C14" s="93">
        <f>IF(OR(entrada!C23=0,entrada!C23=""),"",entrada!C23)</f>
        <v>20</v>
      </c>
      <c r="D14" s="29">
        <f>IF(OR(entrada!D23=0,entrada!D23=""),"",entrada!D23)</f>
        <v>2</v>
      </c>
      <c r="E14" s="19" t="str">
        <f>IF(OR(entrada!E23=0,entrada!E23=""),"",entrada!E23)</f>
        <v/>
      </c>
      <c r="F14" s="19" t="str">
        <f>IF(OR(entrada!F23=0,entrada!F23=""),"",entrada!F23)</f>
        <v/>
      </c>
      <c r="G14" s="19" t="str">
        <f>IF(OR(entrada!G23=0,entrada!G23=""),"",entrada!G23)</f>
        <v/>
      </c>
      <c r="H14" s="19" t="str">
        <f>IF(OR(entrada!H23=0,entrada!H23=""),"",entrada!H23)</f>
        <v/>
      </c>
      <c r="I14" s="19" t="str">
        <f>IF(OR(entrada!I23=0,entrada!I23=""),"",entrada!I23)</f>
        <v/>
      </c>
      <c r="J14" s="19" t="str">
        <f>IF(OR(entrada!J23=0,entrada!J23=""),"",entrada!J23)</f>
        <v/>
      </c>
      <c r="K14" s="19" t="str">
        <f>IF(OR(entrada!K23=0,entrada!K23=""),"",entrada!K23)</f>
        <v/>
      </c>
      <c r="L14" s="19" t="str">
        <f>IF(OR(entrada!L23=0,entrada!L23=""),"",entrada!L23)</f>
        <v/>
      </c>
      <c r="M14" s="19" t="str">
        <f>IF(OR(entrada!M23=0,entrada!M23=""),"",entrada!M23)</f>
        <v/>
      </c>
      <c r="N14" s="19" t="str">
        <f>IF(OR(entrada!N23=0,entrada!N23=""),"",entrada!N23)</f>
        <v/>
      </c>
      <c r="O14" s="19">
        <f>IF(OR(entrada!O23=0,entrada!O23=""),"",entrada!O23)</f>
        <v>1.44E-2</v>
      </c>
      <c r="P14" s="19" t="str">
        <f>IF(OR(entrada!P23=0,entrada!P23=""),"",entrada!P23)</f>
        <v/>
      </c>
      <c r="Q14" s="19" t="str">
        <f>IF(OR(entrada!Q23=0,entrada!Q23=""),"",entrada!Q23)</f>
        <v/>
      </c>
      <c r="R14" s="19" t="str">
        <f>IF(OR(entrada!R23=0,entrada!R23=""),"",entrada!R23)</f>
        <v/>
      </c>
      <c r="S14" s="19" t="str">
        <f>IF(OR(entrada!S23=0,entrada!S23=""),"",entrada!S23)</f>
        <v/>
      </c>
      <c r="T14" s="19" t="str">
        <f>IF(OR(entrada!T23=0,entrada!T23=""),"",entrada!T23)</f>
        <v/>
      </c>
      <c r="U14" s="19" t="str">
        <f>IF(OR(entrada!U23=0,entrada!U23=""),"",entrada!U23)</f>
        <v/>
      </c>
      <c r="V14" s="19" t="str">
        <f>IF(OR(entrada!V23=0,entrada!V23=""),"",entrada!V23)</f>
        <v/>
      </c>
      <c r="W14" s="19">
        <f>IF(OR(entrada!W23=0,entrada!W23=""),"",entrada!W23)</f>
        <v>2.7999999999999997E-2</v>
      </c>
      <c r="X14" s="19" t="str">
        <f>IF(OR(entrada!X23=0,entrada!X23=""),"",entrada!X23)</f>
        <v/>
      </c>
      <c r="Z14" s="48"/>
    </row>
    <row r="15" spans="1:26" x14ac:dyDescent="0.3">
      <c r="A15" s="50"/>
      <c r="B15" s="63" t="str">
        <f>IF(OR(entrada!B24=0,entrada!B24=""),"",entrada!B24)</f>
        <v>SULFATO ZINC 35%</v>
      </c>
      <c r="C15" s="93">
        <f>IF(OR(entrada!C24=0,entrada!C24=""),"",entrada!C24)</f>
        <v>80</v>
      </c>
      <c r="D15" s="30">
        <f>IF(OR(entrada!D24=0,entrada!D24=""),"",entrada!D24)</f>
        <v>8</v>
      </c>
      <c r="E15" s="19" t="str">
        <f>IF(OR(entrada!E24=0,entrada!E24=""),"",entrada!E24)</f>
        <v/>
      </c>
      <c r="F15" s="19" t="str">
        <f>IF(OR(entrada!F24=0,entrada!F24=""),"",entrada!F24)</f>
        <v/>
      </c>
      <c r="G15" s="19" t="str">
        <f>IF(OR(entrada!G24=0,entrada!G24=""),"",entrada!G24)</f>
        <v/>
      </c>
      <c r="H15" s="19" t="str">
        <f>IF(OR(entrada!H24=0,entrada!H24=""),"",entrada!H24)</f>
        <v/>
      </c>
      <c r="I15" s="19" t="str">
        <f>IF(OR(entrada!I24=0,entrada!I24=""),"",entrada!I24)</f>
        <v/>
      </c>
      <c r="J15" s="19" t="str">
        <f>IF(OR(entrada!J24=0,entrada!J24=""),"",entrada!J24)</f>
        <v/>
      </c>
      <c r="K15" s="19" t="str">
        <f>IF(OR(entrada!K24=0,entrada!K24=""),"",entrada!K24)</f>
        <v/>
      </c>
      <c r="L15" s="19" t="str">
        <f>IF(OR(entrada!L24=0,entrada!L24=""),"",entrada!L24)</f>
        <v/>
      </c>
      <c r="M15" s="19">
        <f>IF(OR(entrada!M24=0,entrada!M24=""),"",entrada!M24)</f>
        <v>1.3000000000000001E-2</v>
      </c>
      <c r="N15" s="19" t="str">
        <f>IF(OR(entrada!N24=0,entrada!N24=""),"",entrada!N24)</f>
        <v/>
      </c>
      <c r="O15" s="19" t="str">
        <f>IF(OR(entrada!O24=0,entrada!O24=""),"",entrada!O24)</f>
        <v/>
      </c>
      <c r="P15" s="19">
        <f>IF(OR(entrada!P24=0,entrada!P24=""),"",entrada!P24)</f>
        <v>1.4000000000000002E-2</v>
      </c>
      <c r="Q15" s="19" t="str">
        <f>IF(OR(entrada!Q24=0,entrada!Q24=""),"",entrada!Q24)</f>
        <v/>
      </c>
      <c r="R15" s="19" t="str">
        <f>IF(OR(entrada!R24=0,entrada!R24=""),"",entrada!R24)</f>
        <v/>
      </c>
      <c r="S15" s="19" t="str">
        <f>IF(OR(entrada!S24=0,entrada!S24=""),"",entrada!S24)</f>
        <v/>
      </c>
      <c r="T15" s="19" t="str">
        <f>IF(OR(entrada!T24=0,entrada!T24=""),"",entrada!T24)</f>
        <v/>
      </c>
      <c r="U15" s="19" t="str">
        <f>IF(OR(entrada!U24=0,entrada!U24=""),"",entrada!U24)</f>
        <v/>
      </c>
      <c r="V15" s="19">
        <f>IF(OR(entrada!V24=0,entrada!V24=""),"",entrada!V24)</f>
        <v>1.49E-3</v>
      </c>
      <c r="W15" s="19" t="str">
        <f>IF(OR(entrada!W24=0,entrada!W24=""),"",entrada!W24)</f>
        <v/>
      </c>
      <c r="X15" s="19" t="str">
        <f>IF(OR(entrada!X24=0,entrada!X24=""),"",entrada!X24)</f>
        <v/>
      </c>
      <c r="Z15" s="48"/>
    </row>
    <row r="16" spans="1:26" x14ac:dyDescent="0.3">
      <c r="A16" s="50"/>
      <c r="B16" s="64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Z16" s="48"/>
    </row>
    <row r="17" spans="1:26" x14ac:dyDescent="0.3">
      <c r="A17" s="50"/>
      <c r="B17" s="65"/>
      <c r="C17" s="95"/>
      <c r="D17" s="31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Z17" s="48"/>
    </row>
    <row r="18" spans="1:26" ht="17.25" thickBot="1" x14ac:dyDescent="0.35">
      <c r="A18" s="50"/>
      <c r="B18" s="63"/>
      <c r="C18" s="93"/>
      <c r="D18" s="2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Z18" s="48"/>
    </row>
    <row r="19" spans="1:26" ht="17.25" thickBot="1" x14ac:dyDescent="0.35">
      <c r="A19" s="50"/>
      <c r="B19" s="39" t="str">
        <f>IF(OR(entrada!B27=0,entrada!B27=""),"",entrada!B27)</f>
        <v>TOTAL</v>
      </c>
      <c r="C19" s="115">
        <f>IF(OR(entrada!C26=0,entrada!C26=""),"",entrada!C26)</f>
        <v>1000</v>
      </c>
      <c r="D19" s="116">
        <f>IF(OR(entrada!D26=0,entrada!D26=""),"",entrada!D26)</f>
        <v>100</v>
      </c>
      <c r="E19" s="117" t="str">
        <f>IF(OR(entrada!E27=0,entrada!E27=""),"",entrada!E27)</f>
        <v/>
      </c>
      <c r="F19" s="117" t="str">
        <f>IF(OR(entrada!F27=0,entrada!F27=""),"",entrada!F27)</f>
        <v/>
      </c>
      <c r="G19" s="117" t="str">
        <f>IF(OR(entrada!G27=0,entrada!G27=""),"",entrada!G27)</f>
        <v/>
      </c>
      <c r="H19" s="117" t="str">
        <f>IF(OR(entrada!H27=0,entrada!H27=""),"",entrada!H27)</f>
        <v/>
      </c>
      <c r="I19" s="117" t="str">
        <f>IF(OR(entrada!I27=0,entrada!I27=""),"",entrada!I27)</f>
        <v/>
      </c>
      <c r="J19" s="117" t="str">
        <f>IF(OR(entrada!J27=0,entrada!J27=""),"",entrada!J27)</f>
        <v/>
      </c>
      <c r="K19" s="117" t="str">
        <f>IF(OR(entrada!K27=0,entrada!K27=""),"",entrada!K27)</f>
        <v/>
      </c>
      <c r="L19" s="117">
        <f>IF(OR(entrada!L27=0,entrada!L27=""),"",entrada!L27)</f>
        <v>7.2800000000000017E-2</v>
      </c>
      <c r="M19" s="117">
        <f>IF(OR(entrada!M27=0,entrada!M27=""),"",entrada!M27)</f>
        <v>0.18980000000000002</v>
      </c>
      <c r="N19" s="117">
        <f>IF(OR(entrada!N27=0,entrada!N27=""),"",entrada!N27)</f>
        <v>5.7499999999999996E-2</v>
      </c>
      <c r="O19" s="117">
        <f>IF(OR(entrada!O27=0,entrada!O27=""),"",entrada!O27)</f>
        <v>6.3200000000000006E-2</v>
      </c>
      <c r="P19" s="117">
        <f>IF(OR(entrada!P27=0,entrada!P27=""),"",entrada!P27)</f>
        <v>1.4000000000000002E-2</v>
      </c>
      <c r="Q19" s="117" t="str">
        <f>IF(OR(entrada!Q27=0,entrada!Q27=""),"",entrada!Q27)</f>
        <v/>
      </c>
      <c r="R19" s="117">
        <f>IF(OR(entrada!R27=0,entrada!R27=""),"",entrada!R27)</f>
        <v>5.0000000000000001E-3</v>
      </c>
      <c r="S19" s="117" t="str">
        <f>IF(OR(entrada!S27=0,entrada!S27=""),"",entrada!S27)</f>
        <v/>
      </c>
      <c r="T19" s="117" t="str">
        <f>IF(OR(entrada!T27=0,entrada!T27=""),"",entrada!T27)</f>
        <v/>
      </c>
      <c r="U19" s="117" t="str">
        <f>IF(OR(entrada!U27=0,entrada!U27=""),"",entrada!U27)</f>
        <v/>
      </c>
      <c r="V19" s="117">
        <f>IF(OR(entrada!V27=0,entrada!V27=""),"",entrada!V27)</f>
        <v>7.6486000000000012E-2</v>
      </c>
      <c r="W19" s="117">
        <f>IF(OR(entrada!W27=0,entrada!W27=""),"",entrada!W27)</f>
        <v>2.7999999999999997E-2</v>
      </c>
      <c r="X19" s="117" t="str">
        <f>IF(OR(entrada!X27=0,entrada!X27=""),"",entrada!X27)</f>
        <v/>
      </c>
      <c r="Z19" s="48"/>
    </row>
    <row r="20" spans="1:26" ht="17.25" thickBot="1" x14ac:dyDescent="0.35">
      <c r="A20" s="50"/>
      <c r="B20" s="17" t="str">
        <f>IF(OR(entrada!B28=0,entrada!B28=""),"",entrada!B28)</f>
        <v/>
      </c>
      <c r="C20" s="18" t="str">
        <f>IF(OR(entrada!C28=0,entrada!C28=""),"",entrada!C28)</f>
        <v/>
      </c>
      <c r="D20" s="18" t="str">
        <f>IF(OR(entrada!D28=0,entrada!D28=""),"",entrada!D28)</f>
        <v/>
      </c>
      <c r="Z20" s="48"/>
    </row>
    <row r="21" spans="1:26" ht="17.25" thickBot="1" x14ac:dyDescent="0.35">
      <c r="A21" s="50"/>
      <c r="B21" s="39" t="str">
        <f>IF(OR(entrada!B29=0,entrada!B29=""),"",entrada!B29)</f>
        <v>CERTIFICADO DE ANALISIS</v>
      </c>
      <c r="C21" s="40" t="str">
        <f>IF(OR(entrada!C29=0,entrada!C29=""),"",entrada!C29)</f>
        <v/>
      </c>
      <c r="D21" s="43" t="str">
        <f>IF(OR(entrada!D29=0,entrada!D29=""),"",entrada!D29)</f>
        <v/>
      </c>
      <c r="E21" s="41" t="str">
        <f>IF(OR(entrada!E29=0,entrada!E29=""),"",entrada!E29)</f>
        <v/>
      </c>
      <c r="F21" s="41" t="str">
        <f>IF(OR(entrada!F29=0,entrada!F29=""),"",entrada!F29)</f>
        <v/>
      </c>
      <c r="G21" s="41" t="str">
        <f>IF(OR(entrada!G29=0,entrada!G29=""),"",entrada!G29)</f>
        <v/>
      </c>
      <c r="H21" s="41" t="str">
        <f>IF(OR(entrada!H29=0,entrada!H29=""),"",entrada!H29)</f>
        <v/>
      </c>
      <c r="I21" s="41" t="str">
        <f>IF(OR(entrada!I29=0,entrada!I29=""),"",entrada!I29)</f>
        <v/>
      </c>
      <c r="J21" s="41" t="str">
        <f>IF(OR(entrada!J29=0,entrada!J29=""),"",entrada!J29)</f>
        <v/>
      </c>
      <c r="K21" s="41" t="str">
        <f>IF(OR(entrada!K29=0,entrada!K29=""),"",entrada!K29)</f>
        <v/>
      </c>
      <c r="L21" s="41" t="str">
        <f>IF(OR(entrada!L29=0,entrada!L29=""),"",entrada!L29)</f>
        <v/>
      </c>
      <c r="M21" s="41" t="str">
        <f>IF(OR(entrada!M29=0,entrada!M29=""),"",entrada!M29)</f>
        <v/>
      </c>
      <c r="N21" s="41" t="str">
        <f>IF(OR(entrada!N29=0,entrada!N29=""),"",entrada!N29)</f>
        <v/>
      </c>
      <c r="O21" s="41" t="str">
        <f>IF(OR(entrada!O29=0,entrada!O29=""),"",entrada!O29)</f>
        <v/>
      </c>
      <c r="P21" s="41" t="str">
        <f>IF(OR(entrada!P29=0,entrada!P29=""),"",entrada!P29)</f>
        <v/>
      </c>
      <c r="Q21" s="41" t="str">
        <f>IF(OR(entrada!Q29=0,entrada!Q29=""),"",entrada!Q29)</f>
        <v/>
      </c>
      <c r="R21" s="41" t="str">
        <f>IF(OR(entrada!R29=0,entrada!R29=""),"",entrada!R29)</f>
        <v/>
      </c>
      <c r="S21" s="41" t="str">
        <f>IF(OR(entrada!S29=0,entrada!S29=""),"",entrada!S29)</f>
        <v/>
      </c>
      <c r="T21" s="41" t="str">
        <f>IF(OR(entrada!T29=0,entrada!T29=""),"",entrada!T29)</f>
        <v/>
      </c>
      <c r="U21" s="41" t="str">
        <f>IF(OR(entrada!U29=0,entrada!U29=""),"",entrada!U29)</f>
        <v/>
      </c>
      <c r="V21" s="41" t="str">
        <f>IF(OR(entrada!V29=0,entrada!V29=""),"",entrada!V29)</f>
        <v/>
      </c>
      <c r="W21" s="41" t="str">
        <f>IF(OR(entrada!W29=0,entrada!W29=""),"",entrada!W29)</f>
        <v/>
      </c>
      <c r="X21" s="41" t="str">
        <f>IF(OR(entrada!X29=0,entrada!X29=""),"",entrada!X29)</f>
        <v/>
      </c>
      <c r="Z21" s="48"/>
    </row>
    <row r="22" spans="1:26" ht="17.25" thickBot="1" x14ac:dyDescent="0.35">
      <c r="A22" s="50"/>
      <c r="B22" s="17" t="str">
        <f>IF(OR(entrada!B30=0,entrada!B30=""),"",entrada!B30)</f>
        <v/>
      </c>
      <c r="C22" s="18" t="str">
        <f>IF(OR(entrada!C30=0,entrada!C30=""),"",entrada!C30)</f>
        <v/>
      </c>
      <c r="D22" s="18" t="str">
        <f>IF(OR(entrada!D30=0,entrada!D30=""),"",entrada!D30)</f>
        <v/>
      </c>
      <c r="E22" s="18" t="str">
        <f>IF(OR(entrada!E30=0,entrada!E30=""),"",entrada!E30)</f>
        <v/>
      </c>
      <c r="F22" s="18" t="str">
        <f>IF(OR(entrada!F30=0,entrada!F30=""),"",entrada!F30)</f>
        <v/>
      </c>
      <c r="G22" s="18" t="str">
        <f>IF(OR(entrada!G30=0,entrada!G30=""),"",entrada!G30)</f>
        <v/>
      </c>
      <c r="H22" s="18" t="str">
        <f>IF(OR(entrada!H30=0,entrada!H30=""),"",entrada!H30)</f>
        <v/>
      </c>
      <c r="I22" s="18" t="str">
        <f>IF(OR(entrada!I30=0,entrada!I30=""),"",entrada!I30)</f>
        <v/>
      </c>
      <c r="J22" s="18" t="str">
        <f>IF(OR(entrada!J30=0,entrada!J30=""),"",entrada!J30)</f>
        <v/>
      </c>
      <c r="K22" s="18" t="str">
        <f>IF(OR(entrada!K30=0,entrada!K30=""),"",entrada!K30)</f>
        <v/>
      </c>
      <c r="L22" s="18" t="str">
        <f>IF(OR(entrada!L30=0,entrada!L30=""),"",entrada!L30)</f>
        <v/>
      </c>
      <c r="M22" s="18" t="str">
        <f>IF(OR(entrada!M30=0,entrada!M30=""),"",entrada!M30)</f>
        <v/>
      </c>
      <c r="N22" s="18" t="str">
        <f>IF(OR(entrada!N30=0,entrada!N30=""),"",entrada!N30)</f>
        <v/>
      </c>
      <c r="O22" s="18" t="str">
        <f>IF(OR(entrada!O30=0,entrada!O30=""),"",entrada!O30)</f>
        <v/>
      </c>
      <c r="P22" s="18" t="str">
        <f>IF(OR(entrada!P30=0,entrada!P30=""),"",entrada!P30)</f>
        <v/>
      </c>
      <c r="Q22" s="18" t="str">
        <f>IF(OR(entrada!Q30=0,entrada!Q30=""),"",entrada!Q30)</f>
        <v/>
      </c>
      <c r="R22" s="18" t="str">
        <f>IF(OR(entrada!R30=0,entrada!R30=""),"",entrada!R30)</f>
        <v/>
      </c>
      <c r="S22" s="18" t="str">
        <f>IF(OR(entrada!S30=0,entrada!S30=""),"",entrada!S30)</f>
        <v/>
      </c>
      <c r="T22" s="18" t="str">
        <f>IF(OR(entrada!T30=0,entrada!T30=""),"",entrada!T30)</f>
        <v/>
      </c>
      <c r="U22" s="18" t="str">
        <f>IF(OR(entrada!U30=0,entrada!U30=""),"",entrada!U30)</f>
        <v/>
      </c>
      <c r="V22" s="18" t="str">
        <f>IF(OR(entrada!V30=0,entrada!V30=""),"",entrada!V30)</f>
        <v/>
      </c>
      <c r="W22" s="18" t="str">
        <f>IF(OR(entrada!W30=0,entrada!W30=""),"",entrada!W30)</f>
        <v/>
      </c>
      <c r="X22" s="18" t="str">
        <f>IF(OR(entrada!X30=0,entrada!X30=""),"",entrada!X30)</f>
        <v/>
      </c>
      <c r="Z22" s="48"/>
    </row>
    <row r="23" spans="1:26" ht="17.25" thickBot="1" x14ac:dyDescent="0.35">
      <c r="A23" s="50"/>
      <c r="B23" s="98" t="str">
        <f>IF(OR(entrada!B31=0,entrada!B31=""),"",entrada!B31)</f>
        <v>CONTENIDOS MINIMOS*1</v>
      </c>
      <c r="C23" s="99"/>
      <c r="D23" s="104"/>
      <c r="E23" s="34" t="str">
        <f>IF(OR(entrada!E31=0,entrada!E31=""),"",entrada!E31)</f>
        <v/>
      </c>
      <c r="F23" s="34" t="str">
        <f>IF(OR(entrada!F31=0,entrada!F31=""),"",entrada!F31)</f>
        <v/>
      </c>
      <c r="G23" s="34" t="str">
        <f>IF(OR(entrada!G31=0,entrada!G31=""),"",entrada!G31)</f>
        <v/>
      </c>
      <c r="H23" s="34" t="str">
        <f>IF(OR(entrada!H31=0,entrada!H31=""),"",entrada!H31)</f>
        <v/>
      </c>
      <c r="I23" s="34" t="str">
        <f>IF(OR(entrada!I31=0,entrada!I31=""),"",entrada!I31)</f>
        <v/>
      </c>
      <c r="J23" s="34" t="str">
        <f>IF(OR(entrada!J31=0,entrada!J31=""),"",entrada!J31)</f>
        <v/>
      </c>
      <c r="K23" s="34" t="str">
        <f>IF(OR(entrada!K31=0,entrada!K31=""),"",entrada!K31)</f>
        <v/>
      </c>
      <c r="L23" s="34" t="str">
        <f>IF(OR(entrada!L31=0,entrada!L31=""),"",entrada!L31)</f>
        <v/>
      </c>
      <c r="M23" s="34" t="str">
        <f>IF(OR(entrada!M31=0,entrada!M31=""),"",entrada!M31)</f>
        <v/>
      </c>
      <c r="N23" s="34" t="str">
        <f>IF(OR(entrada!N31=0,entrada!N31=""),"",entrada!N31)</f>
        <v/>
      </c>
      <c r="O23" s="34" t="str">
        <f>IF(OR(entrada!O31=0,entrada!O31=""),"",entrada!O31)</f>
        <v/>
      </c>
      <c r="P23" s="34" t="str">
        <f>IF(OR(entrada!P31=0,entrada!P31=""),"",entrada!P31)</f>
        <v/>
      </c>
      <c r="Q23" s="34" t="str">
        <f>IF(OR(entrada!Q31=0,entrada!Q31=""),"",entrada!Q31)</f>
        <v/>
      </c>
      <c r="R23" s="34" t="str">
        <f>IF(OR(entrada!R31=0,entrada!R31=""),"",entrada!R31)</f>
        <v/>
      </c>
      <c r="S23" s="34" t="str">
        <f>IF(OR(entrada!S31=0,entrada!S31=""),"",entrada!S31)</f>
        <v/>
      </c>
      <c r="T23" s="34" t="str">
        <f>IF(OR(entrada!T31=0,entrada!T31=""),"",entrada!T31)</f>
        <v/>
      </c>
      <c r="U23" s="34" t="str">
        <f>IF(OR(entrada!U31=0,entrada!U31=""),"",entrada!U31)</f>
        <v/>
      </c>
      <c r="V23" s="34" t="str">
        <f>IF(OR(entrada!V31=0,entrada!V31=""),"",entrada!V31)</f>
        <v/>
      </c>
      <c r="W23" s="34" t="str">
        <f>IF(OR(entrada!W31=0,entrada!W31=""),"",entrada!W31)</f>
        <v/>
      </c>
      <c r="X23" s="34" t="str">
        <f>IF(OR(entrada!X31=0,entrada!X31=""),"",entrada!X31)</f>
        <v/>
      </c>
      <c r="Z23" s="48"/>
    </row>
    <row r="24" spans="1:26" x14ac:dyDescent="0.3">
      <c r="A24" s="50"/>
      <c r="B24" s="105" t="str">
        <f>IF(OR(entrada!B32=0,entrada!B32=""),"",entrada!B32)</f>
        <v>NPK (Formula sola o en mezcla con micronutrientes)</v>
      </c>
      <c r="C24" s="106" t="str">
        <f>IF(OR(entrada!C32=0,entrada!C32=""),"",entrada!C32)</f>
        <v/>
      </c>
      <c r="D24" s="107" t="str">
        <f>IF(OR(entrada!D32=0,entrada!D32=""),"",entrada!D32)</f>
        <v/>
      </c>
      <c r="E24" s="20" t="str">
        <f>IF(OR(entrada!E32=0,entrada!E32=""),"",entrada!E32)</f>
        <v/>
      </c>
      <c r="F24" s="20" t="str">
        <f>IF(OR(entrada!F32=0,entrada!F32=""),"",entrada!F32)</f>
        <v/>
      </c>
      <c r="G24" s="20"/>
      <c r="H24" s="20"/>
      <c r="I24" s="20"/>
      <c r="J24" s="20"/>
      <c r="K24" s="20" t="str">
        <f>IF(OR(entrada!K32=0,entrada!K32=""),"",entrada!K32)</f>
        <v/>
      </c>
      <c r="L24" s="21" t="str">
        <f>IF(OR(entrada!L32=0,entrada!L32=""),"",entrada!L32)</f>
        <v>NO</v>
      </c>
      <c r="M24" s="21" t="str">
        <f>IF(OR(entrada!M32=0,entrada!M32=""),"",entrada!M32)</f>
        <v/>
      </c>
      <c r="N24" s="21" t="str">
        <f>IF(OR(entrada!N32=0,entrada!N32=""),"",entrada!N32)</f>
        <v/>
      </c>
      <c r="O24" s="21" t="str">
        <f>IF(OR(entrada!O32=0,entrada!O32=""),"",entrada!O32)</f>
        <v/>
      </c>
      <c r="P24" s="21" t="str">
        <f>IF(OR(entrada!P32=0,entrada!P32=""),"",entrada!P32)</f>
        <v/>
      </c>
      <c r="Q24" s="21" t="str">
        <f>IF(OR(entrada!Q32=0,entrada!Q32=""),"",entrada!Q32)</f>
        <v/>
      </c>
      <c r="R24" s="21" t="str">
        <f>IF(OR(entrada!R32=0,entrada!R32=""),"",entrada!R32)</f>
        <v/>
      </c>
      <c r="S24" s="21" t="str">
        <f>IF(OR(entrada!S32=0,entrada!S32=""),"",entrada!S32)</f>
        <v/>
      </c>
      <c r="T24" s="21" t="str">
        <f>IF(OR(entrada!T32=0,entrada!T32=""),"",entrada!T32)</f>
        <v/>
      </c>
      <c r="U24" s="21" t="str">
        <f>IF(OR(entrada!U32=0,entrada!U32=""),"",entrada!U32)</f>
        <v/>
      </c>
      <c r="V24" s="21" t="str">
        <f>IF(OR(entrada!V32=0,entrada!V32=""),"",entrada!V32)</f>
        <v/>
      </c>
      <c r="W24" s="21" t="str">
        <f>IF(OR(entrada!W32=0,entrada!W32=""),"",entrada!W32)</f>
        <v/>
      </c>
      <c r="X24" s="21" t="str">
        <f>IF(OR(entrada!X32=0,entrada!X32=""),"",entrada!X32)</f>
        <v/>
      </c>
      <c r="Z24" s="48"/>
    </row>
    <row r="25" spans="1:26" x14ac:dyDescent="0.3">
      <c r="A25" s="50"/>
      <c r="B25" s="108" t="str">
        <f>IF(OR(entrada!B33=0,entrada!B33=""),"",entrada!B33)</f>
        <v>Secundarios (Formula UNICAMENTE con Ca, Mg, S)</v>
      </c>
      <c r="C25" s="109" t="str">
        <f>IF(OR(entrada!C33=0,entrada!C33=""),"",entrada!C33)</f>
        <v/>
      </c>
      <c r="D25" s="110" t="str">
        <f>IF(OR(entrada!D33=0,entrada!D33=""),"",entrada!D33)</f>
        <v/>
      </c>
      <c r="E25" s="19" t="str">
        <f>IF(OR(entrada!E33=0,entrada!E33=""),"",entrada!E33)</f>
        <v/>
      </c>
      <c r="F25" s="19" t="str">
        <f>IF(OR(entrada!F33=0,entrada!F33=""),"",entrada!F33)</f>
        <v/>
      </c>
      <c r="G25" s="19"/>
      <c r="H25" s="19"/>
      <c r="I25" s="19"/>
      <c r="J25" s="19"/>
      <c r="K25" s="19" t="str">
        <f>IF(OR(entrada!K33=0,entrada!K33=""),"",entrada!K33)</f>
        <v/>
      </c>
      <c r="L25" s="19" t="str">
        <f>IF(OR(entrada!L33=0,entrada!L33=""),"",entrada!L33)</f>
        <v/>
      </c>
      <c r="M25" s="19" t="str">
        <f>IF(OR(entrada!M33=0,entrada!M33=""),"",entrada!M33)</f>
        <v>NA</v>
      </c>
      <c r="N25" s="19" t="str">
        <f>IF(OR(entrada!N33=0,entrada!N33=""),"",entrada!N33)</f>
        <v>NA</v>
      </c>
      <c r="O25" s="19" t="str">
        <f>IF(OR(entrada!O33=0,entrada!O33=""),"",entrada!O33)</f>
        <v>NA</v>
      </c>
      <c r="P25" s="19" t="str">
        <f>IF(OR(entrada!P33=0,entrada!P33=""),"",entrada!P33)</f>
        <v/>
      </c>
      <c r="Q25" s="19" t="str">
        <f>IF(OR(entrada!Q33=0,entrada!Q33=""),"",entrada!Q33)</f>
        <v/>
      </c>
      <c r="R25" s="19" t="str">
        <f>IF(OR(entrada!R33=0,entrada!R33=""),"",entrada!R33)</f>
        <v/>
      </c>
      <c r="S25" s="19" t="str">
        <f>IF(OR(entrada!S33=0,entrada!S33=""),"",entrada!S33)</f>
        <v/>
      </c>
      <c r="T25" s="19" t="str">
        <f>IF(OR(entrada!T33=0,entrada!T33=""),"",entrada!T33)</f>
        <v/>
      </c>
      <c r="U25" s="19" t="str">
        <f>IF(OR(entrada!U33=0,entrada!U33=""),"",entrada!U33)</f>
        <v/>
      </c>
      <c r="V25" s="19" t="str">
        <f>IF(OR(entrada!V33=0,entrada!V33=""),"",entrada!V33)</f>
        <v/>
      </c>
      <c r="W25" s="19" t="str">
        <f>IF(OR(entrada!W33=0,entrada!W33=""),"",entrada!W33)</f>
        <v/>
      </c>
      <c r="X25" s="19" t="str">
        <f>IF(OR(entrada!X33=0,entrada!X33=""),"",entrada!X33)</f>
        <v/>
      </c>
      <c r="Z25" s="48"/>
    </row>
    <row r="26" spans="1:26" x14ac:dyDescent="0.3">
      <c r="A26" s="50"/>
      <c r="B26" s="108" t="str">
        <f>IF(OR(entrada!B34=0,entrada!B34=""),"",entrada!B34)</f>
        <v>Micronutrientes: Unicamente micronutrientes</v>
      </c>
      <c r="C26" s="109" t="str">
        <f>IF(OR(entrada!C34=0,entrada!C34=""),"",entrada!C34)</f>
        <v/>
      </c>
      <c r="D26" s="110" t="str">
        <f>IF(OR(entrada!D34=0,entrada!D34=""),"",entrada!D34)</f>
        <v/>
      </c>
      <c r="E26" s="19" t="str">
        <f>IF(OR(entrada!E34=0,entrada!E34=""),"",entrada!E34)</f>
        <v/>
      </c>
      <c r="F26" s="19" t="str">
        <f>IF(OR(entrada!F34=0,entrada!F34=""),"",entrada!F34)</f>
        <v/>
      </c>
      <c r="G26" s="19"/>
      <c r="H26" s="19"/>
      <c r="I26" s="19"/>
      <c r="J26" s="19"/>
      <c r="K26" s="19" t="str">
        <f>IF(OR(entrada!K34=0,entrada!K34=""),"",entrada!K34)</f>
        <v/>
      </c>
      <c r="L26" s="19" t="str">
        <f>IF(OR(entrada!L34=0,entrada!L34=""),"",entrada!L34)</f>
        <v/>
      </c>
      <c r="M26" s="19" t="str">
        <f>IF(OR(entrada!M34=0,entrada!M34=""),"",entrada!M34)</f>
        <v/>
      </c>
      <c r="N26" s="19" t="str">
        <f>IF(OR(entrada!N34=0,entrada!N34=""),"",entrada!N34)</f>
        <v/>
      </c>
      <c r="O26" s="19" t="str">
        <f>IF(OR(entrada!O34=0,entrada!O34=""),"",entrada!O34)</f>
        <v/>
      </c>
      <c r="P26" s="19" t="str">
        <f>IF(OR(entrada!P34=0,entrada!P34=""),"",entrada!P34)</f>
        <v/>
      </c>
      <c r="Q26" s="19" t="str">
        <f>IF(OR(entrada!Q34=0,entrada!Q34=""),"",entrada!Q34)</f>
        <v/>
      </c>
      <c r="R26" s="19" t="str">
        <f>IF(OR(entrada!R34=0,entrada!R34=""),"",entrada!R34)</f>
        <v/>
      </c>
      <c r="S26" s="19" t="str">
        <f>IF(OR(entrada!S34=0,entrada!S34=""),"",entrada!S34)</f>
        <v/>
      </c>
      <c r="T26" s="19" t="str">
        <f>IF(OR(entrada!T34=0,entrada!T34=""),"",entrada!T34)</f>
        <v/>
      </c>
      <c r="U26" s="19" t="str">
        <f>IF(OR(entrada!U34=0,entrada!U34=""),"",entrada!U34)</f>
        <v/>
      </c>
      <c r="V26" s="19" t="str">
        <f>IF(OR(entrada!V34=0,entrada!V34=""),"",entrada!V34)</f>
        <v/>
      </c>
      <c r="W26" s="19" t="str">
        <f>IF(OR(entrada!W34=0,entrada!W34=""),"",entrada!W34)</f>
        <v/>
      </c>
      <c r="X26" s="19" t="str">
        <f>IF(OR(entrada!X34=0,entrada!X34=""),"",entrada!X34)</f>
        <v/>
      </c>
      <c r="Z26" s="48"/>
    </row>
    <row r="27" spans="1:26" ht="17.25" thickBot="1" x14ac:dyDescent="0.35">
      <c r="A27" s="50"/>
      <c r="B27" s="111" t="str">
        <f>IF(OR(entrada!B35=0,entrada!B35=""),"",entrada!B35)</f>
        <v>Micronutrientes: Mezcla con NPK o secundarios</v>
      </c>
      <c r="C27" s="112" t="str">
        <f>IF(OR(entrada!C35=0,entrada!C35=""),"",entrada!C35)</f>
        <v/>
      </c>
      <c r="D27" s="113" t="str">
        <f>IF(OR(entrada!D35=0,entrada!D35=""),"",entrada!D35)</f>
        <v/>
      </c>
      <c r="E27" s="24" t="str">
        <f>IF(OR(entrada!E35=0,entrada!E35=""),"",entrada!E35)</f>
        <v/>
      </c>
      <c r="F27" s="24" t="str">
        <f>IF(OR(entrada!F35=0,entrada!F35=""),"",entrada!F35)</f>
        <v/>
      </c>
      <c r="G27" s="24"/>
      <c r="H27" s="24"/>
      <c r="I27" s="24"/>
      <c r="J27" s="24"/>
      <c r="K27" s="24" t="str">
        <f>IF(OR(entrada!K35=0,entrada!K35=""),"",entrada!K35)</f>
        <v/>
      </c>
      <c r="L27" s="24" t="str">
        <f>IF(OR(entrada!L35=0,entrada!L35=""),"",entrada!L35)</f>
        <v/>
      </c>
      <c r="M27" s="24" t="str">
        <f>IF(OR(entrada!M35=0,entrada!M35=""),"",entrada!M35)</f>
        <v/>
      </c>
      <c r="N27" s="24" t="str">
        <f>IF(OR(entrada!N35=0,entrada!N35=""),"",entrada!N35)</f>
        <v/>
      </c>
      <c r="O27" s="24" t="str">
        <f>IF(OR(entrada!O35=0,entrada!O35=""),"",entrada!O35)</f>
        <v/>
      </c>
      <c r="P27" s="23" t="str">
        <f>IF(OR(entrada!P35=0,entrada!P35=""),"",entrada!P35)</f>
        <v>SI</v>
      </c>
      <c r="Q27" s="23" t="str">
        <f>IF(OR(entrada!Q35=0,entrada!Q35=""),"",entrada!Q35)</f>
        <v/>
      </c>
      <c r="R27" s="23" t="str">
        <f>IF(OR(entrada!R35=0,entrada!R35=""),"",entrada!R35)</f>
        <v>SI</v>
      </c>
      <c r="S27" s="23" t="str">
        <f>IF(OR(entrada!S35=0,entrada!S35=""),"",entrada!S35)</f>
        <v/>
      </c>
      <c r="T27" s="23" t="str">
        <f>IF(OR(entrada!T35=0,entrada!T35=""),"",entrada!T35)</f>
        <v/>
      </c>
      <c r="U27" s="23" t="str">
        <f>IF(OR(entrada!U35=0,entrada!U35=""),"",entrada!U35)</f>
        <v/>
      </c>
      <c r="V27" s="23" t="str">
        <f>IF(OR(entrada!V35=0,entrada!V35=""),"",entrada!V35)</f>
        <v>SI</v>
      </c>
      <c r="W27" s="23" t="str">
        <f>IF(OR(entrada!W35=0,entrada!W35=""),"",entrada!W35)</f>
        <v>SI</v>
      </c>
      <c r="X27" s="24" t="str">
        <f>IF(OR(entrada!X35=0,entrada!X35=""),"",entrada!X35)</f>
        <v/>
      </c>
      <c r="Z27" s="48"/>
    </row>
    <row r="28" spans="1:26" x14ac:dyDescent="0.3">
      <c r="A28" s="50"/>
      <c r="B28" s="97" t="str">
        <f>IF(OR(entrada!B36=0,entrada!B36=""),"",entrada!B36)</f>
        <v>*1 Resolución ICA 150 de 2003 ANEXO 11</v>
      </c>
      <c r="C28" s="97" t="str">
        <f>IF(OR(entrada!C36=0,entrada!C36=""),"",entrada!C36)</f>
        <v/>
      </c>
      <c r="D28" s="97" t="str">
        <f>IF(OR(entrada!D36=0,entrada!D36=""),"",entrada!D36)</f>
        <v/>
      </c>
      <c r="E28" s="34" t="str">
        <f>IF(OR(entrada!E36=0,entrada!E36=""),"",entrada!E36)</f>
        <v/>
      </c>
      <c r="F28" s="34" t="str">
        <f>IF(OR(entrada!F36=0,entrada!F36=""),"",entrada!F36)</f>
        <v/>
      </c>
      <c r="G28" s="34" t="str">
        <f>IF(OR(entrada!G36=0,entrada!G36=""),"",entrada!G36)</f>
        <v/>
      </c>
      <c r="H28" s="34" t="str">
        <f>IF(OR(entrada!H36=0,entrada!H36=""),"",entrada!H36)</f>
        <v/>
      </c>
      <c r="I28" s="34" t="str">
        <f>IF(OR(entrada!I36=0,entrada!I36=""),"",entrada!I36)</f>
        <v/>
      </c>
      <c r="J28" s="34" t="str">
        <f>IF(OR(entrada!J36=0,entrada!J36=""),"",entrada!J36)</f>
        <v/>
      </c>
      <c r="K28" s="34" t="str">
        <f>IF(OR(entrada!K36=0,entrada!K36=""),"",entrada!K36)</f>
        <v/>
      </c>
      <c r="L28" s="34" t="str">
        <f>IF(OR(entrada!L36=0,entrada!L36=""),"",entrada!L36)</f>
        <v/>
      </c>
      <c r="M28" s="34" t="str">
        <f>IF(OR(entrada!M36=0,entrada!M36=""),"",entrada!M36)</f>
        <v/>
      </c>
      <c r="N28" s="34" t="str">
        <f>IF(OR(entrada!N36=0,entrada!N36=""),"",entrada!N36)</f>
        <v/>
      </c>
      <c r="O28" s="34" t="str">
        <f>IF(OR(entrada!O36=0,entrada!O36=""),"",entrada!O36)</f>
        <v/>
      </c>
      <c r="P28" s="34" t="str">
        <f>IF(OR(entrada!P36=0,entrada!P36=""),"",entrada!P36)</f>
        <v/>
      </c>
      <c r="Q28" s="34" t="str">
        <f>IF(OR(entrada!Q36=0,entrada!Q36=""),"",entrada!Q36)</f>
        <v/>
      </c>
      <c r="R28" s="34" t="str">
        <f>IF(OR(entrada!R36=0,entrada!R36=""),"",entrada!R36)</f>
        <v/>
      </c>
      <c r="S28" s="34" t="str">
        <f>IF(OR(entrada!S36=0,entrada!S36=""),"",entrada!S36)</f>
        <v/>
      </c>
      <c r="T28" s="34" t="str">
        <f>IF(OR(entrada!T36=0,entrada!T36=""),"",entrada!T36)</f>
        <v/>
      </c>
      <c r="U28" s="34" t="str">
        <f>IF(OR(entrada!U36=0,entrada!U36=""),"",entrada!U36)</f>
        <v/>
      </c>
      <c r="V28" s="34" t="str">
        <f>IF(OR(entrada!V36=0,entrada!V36=""),"",entrada!V36)</f>
        <v/>
      </c>
      <c r="W28" s="34" t="str">
        <f>IF(OR(entrada!W36=0,entrada!W36=""),"",entrada!W36)</f>
        <v/>
      </c>
      <c r="X28" s="34" t="str">
        <f>IF(OR(entrada!X36=0,entrada!X36=""),"",entrada!X36)</f>
        <v/>
      </c>
      <c r="Z28" s="48"/>
    </row>
    <row r="29" spans="1:26" ht="17.25" thickBot="1" x14ac:dyDescent="0.35">
      <c r="A29" s="50"/>
      <c r="B29" s="17" t="str">
        <f>IF(OR(entrada!B37=0,entrada!B37=""),"",entrada!B37)</f>
        <v/>
      </c>
      <c r="C29" s="18" t="str">
        <f>IF(OR(entrada!C37=0,entrada!C37=""),"",entrada!C37)</f>
        <v/>
      </c>
      <c r="D29" s="18" t="str">
        <f>IF(OR(entrada!D37=0,entrada!D37=""),"",entrada!D37)</f>
        <v/>
      </c>
      <c r="E29" s="18" t="str">
        <f>IF(OR(entrada!E37=0,entrada!E37=""),"",entrada!E37)</f>
        <v/>
      </c>
      <c r="F29" s="18" t="str">
        <f>IF(OR(entrada!F37=0,entrada!F37=""),"",entrada!F37)</f>
        <v/>
      </c>
      <c r="G29" s="18" t="str">
        <f>IF(OR(entrada!G37=0,entrada!G37=""),"",entrada!G37)</f>
        <v/>
      </c>
      <c r="H29" s="18" t="str">
        <f>IF(OR(entrada!H37=0,entrada!H37=""),"",entrada!H37)</f>
        <v/>
      </c>
      <c r="I29" s="18" t="str">
        <f>IF(OR(entrada!I37=0,entrada!I37=""),"",entrada!I37)</f>
        <v/>
      </c>
      <c r="J29" s="18" t="str">
        <f>IF(OR(entrada!J37=0,entrada!J37=""),"",entrada!J37)</f>
        <v/>
      </c>
      <c r="K29" s="18" t="str">
        <f>IF(OR(entrada!K37=0,entrada!K37=""),"",entrada!K37)</f>
        <v/>
      </c>
      <c r="L29" s="18" t="str">
        <f>IF(OR(entrada!L37=0,entrada!L37=""),"",entrada!L37)</f>
        <v/>
      </c>
      <c r="M29" s="18" t="str">
        <f>IF(OR(entrada!M37=0,entrada!M37=""),"",entrada!M37)</f>
        <v/>
      </c>
      <c r="N29" s="18" t="str">
        <f>IF(OR(entrada!N37=0,entrada!N37=""),"",entrada!N37)</f>
        <v/>
      </c>
      <c r="O29" s="18" t="str">
        <f>IF(OR(entrada!O37=0,entrada!O37=""),"",entrada!O37)</f>
        <v/>
      </c>
      <c r="P29" s="18" t="str">
        <f>IF(OR(entrada!P37=0,entrada!P37=""),"",entrada!P37)</f>
        <v/>
      </c>
      <c r="Q29" s="18" t="str">
        <f>IF(OR(entrada!Q37=0,entrada!Q37=""),"",entrada!Q37)</f>
        <v/>
      </c>
      <c r="R29" s="18" t="str">
        <f>IF(OR(entrada!R37=0,entrada!R37=""),"",entrada!R37)</f>
        <v/>
      </c>
      <c r="S29" s="18" t="str">
        <f>IF(OR(entrada!S37=0,entrada!S37=""),"",entrada!S37)</f>
        <v/>
      </c>
      <c r="T29" s="18" t="str">
        <f>IF(OR(entrada!T37=0,entrada!T37=""),"",entrada!T37)</f>
        <v/>
      </c>
      <c r="U29" s="18" t="str">
        <f>IF(OR(entrada!U37=0,entrada!U37=""),"",entrada!U37)</f>
        <v/>
      </c>
      <c r="V29" s="18" t="str">
        <f>IF(OR(entrada!V37=0,entrada!V37=""),"",entrada!V37)</f>
        <v/>
      </c>
      <c r="W29" s="18" t="str">
        <f>IF(OR(entrada!W37=0,entrada!W37=""),"",entrada!W37)</f>
        <v/>
      </c>
      <c r="X29" s="18" t="str">
        <f>IF(OR(entrada!X37=0,entrada!X37=""),"",entrada!X37)</f>
        <v/>
      </c>
      <c r="Z29" s="48"/>
    </row>
    <row r="30" spans="1:26" ht="17.25" thickBot="1" x14ac:dyDescent="0.35">
      <c r="A30" s="50"/>
      <c r="B30" s="98" t="str">
        <f>IF(OR(entrada!B38=0,entrada!B38=""),"",entrada!B38)</f>
        <v>TOLERANCIAS*2</v>
      </c>
      <c r="C30" s="99" t="str">
        <f>IF(OR(entrada!C38=0,entrada!C38=""),"",entrada!C38)</f>
        <v/>
      </c>
      <c r="D30" s="104" t="str">
        <f>IF(OR(entrada!D38=0,entrada!D38=""),"",entrada!D38)</f>
        <v/>
      </c>
      <c r="E30" s="34" t="str">
        <f>IF(OR(entrada!E38=0,entrada!E38=""),"",entrada!E38)</f>
        <v/>
      </c>
      <c r="F30" s="34" t="str">
        <f>IF(OR(entrada!F38=0,entrada!F38=""),"",entrada!F38)</f>
        <v/>
      </c>
      <c r="G30" s="34" t="str">
        <f>IF(OR(entrada!G38=0,entrada!G38=""),"",entrada!G38)</f>
        <v/>
      </c>
      <c r="H30" s="34" t="str">
        <f>IF(OR(entrada!H38=0,entrada!H38=""),"",entrada!H38)</f>
        <v/>
      </c>
      <c r="I30" s="34" t="str">
        <f>IF(OR(entrada!I38=0,entrada!I38=""),"",entrada!I38)</f>
        <v/>
      </c>
      <c r="J30" s="34" t="str">
        <f>IF(OR(entrada!J38=0,entrada!J38=""),"",entrada!J38)</f>
        <v/>
      </c>
      <c r="K30" s="34" t="str">
        <f>IF(OR(entrada!K38=0,entrada!K38=""),"",entrada!K38)</f>
        <v/>
      </c>
      <c r="L30" s="34" t="str">
        <f>IF(OR(entrada!L38=0,entrada!L38=""),"",entrada!L38)</f>
        <v/>
      </c>
      <c r="M30" s="34" t="str">
        <f>IF(OR(entrada!M38=0,entrada!M38=""),"",entrada!M38)</f>
        <v/>
      </c>
      <c r="N30" s="34" t="str">
        <f>IF(OR(entrada!N38=0,entrada!N38=""),"",entrada!N38)</f>
        <v/>
      </c>
      <c r="O30" s="34" t="str">
        <f>IF(OR(entrada!O38=0,entrada!O38=""),"",entrada!O38)</f>
        <v/>
      </c>
      <c r="P30" s="34" t="str">
        <f>IF(OR(entrada!P38=0,entrada!P38=""),"",entrada!P38)</f>
        <v/>
      </c>
      <c r="Q30" s="34" t="str">
        <f>IF(OR(entrada!Q38=0,entrada!Q38=""),"",entrada!Q38)</f>
        <v/>
      </c>
      <c r="R30" s="34" t="str">
        <f>IF(OR(entrada!R38=0,entrada!R38=""),"",entrada!R38)</f>
        <v/>
      </c>
      <c r="S30" s="34" t="str">
        <f>IF(OR(entrada!S38=0,entrada!S38=""),"",entrada!S38)</f>
        <v/>
      </c>
      <c r="T30" s="34" t="str">
        <f>IF(OR(entrada!T38=0,entrada!T38=""),"",entrada!T38)</f>
        <v/>
      </c>
      <c r="U30" s="34" t="str">
        <f>IF(OR(entrada!U38=0,entrada!U38=""),"",entrada!U38)</f>
        <v/>
      </c>
      <c r="V30" s="34" t="str">
        <f>IF(OR(entrada!V38=0,entrada!V38=""),"",entrada!V38)</f>
        <v/>
      </c>
      <c r="W30" s="34" t="str">
        <f>IF(OR(entrada!W38=0,entrada!W38=""),"",entrada!W38)</f>
        <v/>
      </c>
      <c r="X30" s="34" t="str">
        <f>IF(OR(entrada!X38=0,entrada!X38=""),"",entrada!X38)</f>
        <v/>
      </c>
      <c r="Z30" s="48"/>
    </row>
    <row r="31" spans="1:26" x14ac:dyDescent="0.3">
      <c r="A31" s="50"/>
      <c r="B31" s="105" t="str">
        <f>IF(OR(entrada!B39=0,entrada!B39=""),"",entrada!B39)</f>
        <v>Calculo</v>
      </c>
      <c r="C31" s="106" t="str">
        <f>IF(OR(entrada!C39=0,entrada!C39=""),"",entrada!C39)</f>
        <v/>
      </c>
      <c r="D31" s="107" t="str">
        <f>IF(OR(entrada!D39=0,entrada!D39=""),"",entrada!D39)</f>
        <v/>
      </c>
      <c r="E31" s="20" t="str">
        <f>IF(OR(entrada!E39=0,entrada!E39=""),"",entrada!E39)</f>
        <v/>
      </c>
      <c r="F31" s="20" t="str">
        <f>IF(OR(entrada!F39=0,entrada!F39=""),"",entrada!F39)</f>
        <v/>
      </c>
      <c r="G31" s="20" t="str">
        <f>IF(OR(entrada!G39=0,entrada!G39=""),"",entrada!G39)</f>
        <v/>
      </c>
      <c r="H31" s="20" t="str">
        <f>IF(OR(entrada!H39=0,entrada!H39=""),"",entrada!H39)</f>
        <v/>
      </c>
      <c r="I31" s="20" t="str">
        <f>IF(OR(entrada!I39=0,entrada!I39=""),"",entrada!I39)</f>
        <v/>
      </c>
      <c r="J31" s="20" t="str">
        <f>IF(OR(entrada!J39=0,entrada!J39=""),"",entrada!J39)</f>
        <v/>
      </c>
      <c r="K31" s="20" t="str">
        <f>IF(OR(entrada!K39=0,entrada!K39=""),"",entrada!K39)</f>
        <v/>
      </c>
      <c r="L31" s="21">
        <f>IF(OR(entrada!L39=0,entrada!L39=""),"",entrada!L39)</f>
        <v>9.168331200000001E-3</v>
      </c>
      <c r="M31" s="21" t="str">
        <f>IF(OR(entrada!M39=0,entrada!M39=""),"",entrada!M39)</f>
        <v/>
      </c>
      <c r="N31" s="21" t="str">
        <f>IF(OR(entrada!N39=0,entrada!N39=""),"",entrada!N39)</f>
        <v/>
      </c>
      <c r="O31" s="21" t="str">
        <f>IF(OR(entrada!O39=0,entrada!O39=""),"",entrada!O39)</f>
        <v/>
      </c>
      <c r="P31" s="21" t="str">
        <f>IF(OR(entrada!P39=0,entrada!P39=""),"",entrada!P39)</f>
        <v/>
      </c>
      <c r="Q31" s="21" t="str">
        <f>IF(OR(entrada!Q39=0,entrada!Q39=""),"",entrada!Q39)</f>
        <v/>
      </c>
      <c r="R31" s="21" t="str">
        <f>IF(OR(entrada!R39=0,entrada!R39=""),"",entrada!R39)</f>
        <v/>
      </c>
      <c r="S31" s="21" t="str">
        <f>IF(OR(entrada!S39=0,entrada!S39=""),"",entrada!S39)</f>
        <v/>
      </c>
      <c r="T31" s="21" t="str">
        <f>IF(OR(entrada!T39=0,entrada!T39=""),"",entrada!T39)</f>
        <v/>
      </c>
      <c r="U31" s="21" t="str">
        <f>IF(OR(entrada!U39=0,entrada!U39=""),"",entrada!U39)</f>
        <v/>
      </c>
      <c r="V31" s="21" t="str">
        <f>IF(OR(entrada!V39=0,entrada!V39=""),"",entrada!V39)</f>
        <v/>
      </c>
      <c r="W31" s="21" t="str">
        <f>IF(OR(entrada!W39=0,entrada!W39=""),"",entrada!W39)</f>
        <v/>
      </c>
      <c r="X31" s="21" t="str">
        <f>IF(OR(entrada!X39=0,entrada!X39=""),"",entrada!X39)</f>
        <v/>
      </c>
      <c r="Z31" s="48"/>
    </row>
    <row r="32" spans="1:26" x14ac:dyDescent="0.3">
      <c r="A32" s="50"/>
      <c r="B32" s="108" t="str">
        <f>IF(OR(entrada!B40=0,entrada!B40=""),"",entrada!B40)</f>
        <v>NPK ¿El contenido está fuera de rango [4%-32%]?*3</v>
      </c>
      <c r="C32" s="109" t="str">
        <f>IF(OR(entrada!C40=0,entrada!C40=""),"",entrada!C40)</f>
        <v/>
      </c>
      <c r="D32" s="110" t="str">
        <f>IF(OR(entrada!D40=0,entrada!D40=""),"",entrada!D40)</f>
        <v/>
      </c>
      <c r="E32" s="19" t="str">
        <f>IF(OR(entrada!E40=0,entrada!E40=""),"",entrada!E40)</f>
        <v/>
      </c>
      <c r="F32" s="19" t="str">
        <f>IF(OR(entrada!F40=0,entrada!F40=""),"",entrada!F40)</f>
        <v/>
      </c>
      <c r="G32" s="19"/>
      <c r="H32" s="19"/>
      <c r="I32" s="19" t="str">
        <f>IF(OR(entrada!I40=0,entrada!I40=""),"",entrada!I40)</f>
        <v/>
      </c>
      <c r="J32" s="19"/>
      <c r="K32" s="22" t="str">
        <f>IF(OR(entrada!K40=0,entrada!K40=""),"",entrada!K40)</f>
        <v/>
      </c>
      <c r="L32" s="19" t="str">
        <f>IF(OR(entrada!L40=0,entrada!L40=""),"",entrada!L40)</f>
        <v>NO</v>
      </c>
      <c r="M32" s="19">
        <f>IF(OR(entrada!M40=0,entrada!M40=""),"",entrada!M40)</f>
        <v>2.4129000000000005E-2</v>
      </c>
      <c r="N32" s="19">
        <f>IF(OR(entrada!N40=0,entrada!N40=""),"",entrada!N40)</f>
        <v>1.21875E-2</v>
      </c>
      <c r="O32" s="19">
        <f>IF(OR(entrada!O40=0,entrada!O40=""),"",entrada!O40)</f>
        <v>7.7400000000000004E-3</v>
      </c>
      <c r="P32" s="19">
        <f>IF(OR(entrada!P40=0,entrada!P40=""),"",entrada!P40)</f>
        <v>3.5500000000000002E-3</v>
      </c>
      <c r="Q32" s="22" t="str">
        <f>IF(OR(entrada!Q40=0,entrada!Q40=""),"",entrada!Q40)</f>
        <v/>
      </c>
      <c r="R32" s="22">
        <f>IF(OR(entrada!R40=0,entrada!R40=""),"",entrada!R40)</f>
        <v>1.6499999999999998E-3</v>
      </c>
      <c r="S32" s="22" t="str">
        <f>IF(OR(entrada!S40=0,entrada!S40=""),"",entrada!S40)</f>
        <v/>
      </c>
      <c r="T32" s="22" t="str">
        <f>IF(OR(entrada!T40=0,entrada!T40=""),"",entrada!T40)</f>
        <v/>
      </c>
      <c r="U32" s="22" t="str">
        <f>IF(OR(entrada!U40=0,entrada!U40=""),"",entrada!U40)</f>
        <v/>
      </c>
      <c r="V32" s="22" t="str">
        <f>IF(OR(entrada!V40=0,entrada!V40=""),"",entrada!V40)</f>
        <v/>
      </c>
      <c r="W32" s="19">
        <f>IF(OR(entrada!W40=0,entrada!W40=""),"",entrada!W40)</f>
        <v>8.5499999999999986E-3</v>
      </c>
      <c r="X32" s="22" t="str">
        <f>IF(OR(entrada!X40=0,entrada!X40=""),"",entrada!X40)</f>
        <v/>
      </c>
      <c r="Z32" s="48"/>
    </row>
    <row r="33" spans="1:26" x14ac:dyDescent="0.3">
      <c r="A33" s="50"/>
      <c r="B33" s="108" t="str">
        <f>IF(OR(entrada!B41=0,entrada!B41=""),"",entrada!B41)</f>
        <v>Secundarios y menores ¿La tolerancia supera el 50% o 1.5pp?*4</v>
      </c>
      <c r="C33" s="109" t="str">
        <f>IF(OR(entrada!C41=0,entrada!C41=""),"",entrada!C41)</f>
        <v/>
      </c>
      <c r="D33" s="110" t="str">
        <f>IF(OR(entrada!D41=0,entrada!D41=""),"",entrada!D41)</f>
        <v/>
      </c>
      <c r="E33" s="19" t="str">
        <f>IF(OR(entrada!E41=0,entrada!E41=""),"",entrada!E41)</f>
        <v/>
      </c>
      <c r="F33" s="19" t="str">
        <f>IF(OR(entrada!F41=0,entrada!F41=""),"",entrada!F41)</f>
        <v/>
      </c>
      <c r="G33" s="19"/>
      <c r="H33" s="19"/>
      <c r="I33" s="19"/>
      <c r="J33" s="19"/>
      <c r="K33" s="19" t="str">
        <f>IF(OR(entrada!K41=0,entrada!K41=""),"",entrada!K41)</f>
        <v/>
      </c>
      <c r="L33" s="19" t="str">
        <f>IF(OR(entrada!L41=0,entrada!L41=""),"",entrada!L41)</f>
        <v/>
      </c>
      <c r="M33" s="19" t="str">
        <f>IF(OR(entrada!M41=0,entrada!M41=""),"",entrada!M41)</f>
        <v>SI</v>
      </c>
      <c r="N33" s="19" t="str">
        <f>IF(OR(entrada!N41=0,entrada!N41=""),"",entrada!N41)</f>
        <v>NO</v>
      </c>
      <c r="O33" s="19" t="str">
        <f>IF(OR(entrada!O41=0,entrada!O41=""),"",entrada!O41)</f>
        <v>NO</v>
      </c>
      <c r="P33" s="19" t="str">
        <f>IF(OR(entrada!P41=0,entrada!P41=""),"",entrada!P41)</f>
        <v>NO</v>
      </c>
      <c r="Q33" s="19" t="str">
        <f>IF(OR(entrada!Q41=0,entrada!Q41=""),"",entrada!Q41)</f>
        <v/>
      </c>
      <c r="R33" s="19" t="str">
        <f>IF(OR(entrada!R41=0,entrada!R41=""),"",entrada!R41)</f>
        <v>NO</v>
      </c>
      <c r="S33" s="19" t="str">
        <f>IF(OR(entrada!S41=0,entrada!S41=""),"",entrada!S41)</f>
        <v/>
      </c>
      <c r="T33" s="19" t="str">
        <f>IF(OR(entrada!T41=0,entrada!T41=""),"",entrada!T41)</f>
        <v/>
      </c>
      <c r="U33" s="19" t="str">
        <f>IF(OR(entrada!U41=0,entrada!U41=""),"",entrada!U41)</f>
        <v/>
      </c>
      <c r="V33" s="19" t="str">
        <f>IF(OR(entrada!V41=0,entrada!V41=""),"",entrada!V41)</f>
        <v/>
      </c>
      <c r="W33" s="19" t="str">
        <f>IF(OR(entrada!W41=0,entrada!W41=""),"",entrada!W41)</f>
        <v>NO</v>
      </c>
      <c r="X33" s="19" t="str">
        <f>IF(OR(entrada!X41=0,entrada!X41=""),"",entrada!X41)</f>
        <v/>
      </c>
      <c r="Z33" s="48"/>
    </row>
    <row r="34" spans="1:26" ht="17.25" thickBot="1" x14ac:dyDescent="0.35">
      <c r="A34" s="50"/>
      <c r="B34" s="111" t="str">
        <f>IF(OR(entrada!B42=0,entrada!B42=""),"",entrada!B42)</f>
        <v>Tolerancia permitida</v>
      </c>
      <c r="C34" s="112" t="str">
        <f>IF(OR(entrada!C42=0,entrada!C42=""),"",entrada!C42)</f>
        <v/>
      </c>
      <c r="D34" s="113" t="str">
        <f>IF(OR(entrada!D42=0,entrada!D42=""),"",entrada!D42)</f>
        <v/>
      </c>
      <c r="E34" s="37" t="str">
        <f>IF(OR(entrada!E42=0,entrada!E42=""),"",entrada!E42)</f>
        <v/>
      </c>
      <c r="F34" s="37" t="str">
        <f>IF(OR(entrada!F42=0,entrada!F42=""),"",entrada!F42)</f>
        <v/>
      </c>
      <c r="G34" s="37" t="str">
        <f>IF(OR(entrada!G42=0,entrada!G42=""),"",entrada!G42)</f>
        <v/>
      </c>
      <c r="H34" s="37" t="str">
        <f>IF(OR(entrada!H42=0,entrada!H42=""),"",entrada!H42)</f>
        <v/>
      </c>
      <c r="I34" s="37" t="str">
        <f>IF(OR(entrada!I42=0,entrada!I42=""),"",entrada!I42)</f>
        <v/>
      </c>
      <c r="J34" s="37" t="str">
        <f>IF(OR(entrada!J42=0,entrada!J42=""),"",entrada!J42)</f>
        <v/>
      </c>
      <c r="K34" s="37" t="str">
        <f>IF(OR(entrada!K42=0,entrada!K42=""),"",entrada!K42)</f>
        <v/>
      </c>
      <c r="L34" s="24">
        <f>IF(OR(entrada!L42=0,entrada!L42=""),"",entrada!L42)</f>
        <v>9.168331200000001E-3</v>
      </c>
      <c r="M34" s="24">
        <f>IF(OR(entrada!M42=0,entrada!M42=""),"",entrada!M42)</f>
        <v>1.4999999999999999E-2</v>
      </c>
      <c r="N34" s="24">
        <f>IF(OR(entrada!N42=0,entrada!N42=""),"",entrada!N42)</f>
        <v>1.4999999999999999E-2</v>
      </c>
      <c r="O34" s="24">
        <f>IF(OR(entrada!O42=0,entrada!O42=""),"",entrada!O42)</f>
        <v>1.4999999999999999E-2</v>
      </c>
      <c r="P34" s="24">
        <f>IF(OR(entrada!P42=0,entrada!P42=""),"",entrada!P42)</f>
        <v>1.4999999999999999E-2</v>
      </c>
      <c r="Q34" s="37" t="str">
        <f>IF(OR(entrada!Q42=0,entrada!Q42=""),"",entrada!Q42)</f>
        <v/>
      </c>
      <c r="R34" s="37">
        <f>IF(OR(entrada!R42=0,entrada!R42=""),"",entrada!R42)</f>
        <v>1.4999999999999999E-2</v>
      </c>
      <c r="S34" s="37" t="str">
        <f>IF(OR(entrada!S42=0,entrada!S42=""),"",entrada!S42)</f>
        <v/>
      </c>
      <c r="T34" s="37" t="str">
        <f>IF(OR(entrada!T42=0,entrada!T42=""),"",entrada!T42)</f>
        <v/>
      </c>
      <c r="U34" s="37" t="str">
        <f>IF(OR(entrada!U42=0,entrada!U42=""),"",entrada!U42)</f>
        <v/>
      </c>
      <c r="V34" s="37" t="str">
        <f>IF(OR(entrada!V42=0,entrada!V42=""),"",entrada!V42)</f>
        <v/>
      </c>
      <c r="W34" s="24">
        <f>IF(OR(entrada!W42=0,entrada!W42=""),"",entrada!W42)</f>
        <v>1.4999999999999999E-2</v>
      </c>
      <c r="X34" s="37" t="str">
        <f>IF(OR(entrada!X42=0,entrada!X42=""),"",entrada!X42)</f>
        <v/>
      </c>
      <c r="Z34" s="48"/>
    </row>
    <row r="35" spans="1:26" x14ac:dyDescent="0.3">
      <c r="A35" s="50"/>
      <c r="B35" s="97" t="str">
        <f>IF(OR(entrada!B43=0,entrada!B43=""),"",entrada!B43)</f>
        <v>*2 NTC 1061:2020 ALCANCE: no aplica para organicos</v>
      </c>
      <c r="C35" s="97" t="str">
        <f>IF(OR(entrada!C43=0,entrada!C43=""),"",entrada!C43)</f>
        <v/>
      </c>
      <c r="D35" s="97" t="str">
        <f>IF(OR(entrada!D43=0,entrada!D43=""),"",entrada!D43)</f>
        <v/>
      </c>
      <c r="E35" s="34" t="str">
        <f>IF(OR(entrada!E43=0,entrada!E43=""),"",entrada!E43)</f>
        <v/>
      </c>
      <c r="F35" s="34" t="str">
        <f>IF(OR(entrada!F43=0,entrada!F43=""),"",entrada!F43)</f>
        <v/>
      </c>
      <c r="G35" s="34" t="str">
        <f>IF(OR(entrada!G43=0,entrada!G43=""),"",entrada!G43)</f>
        <v/>
      </c>
      <c r="H35" s="34" t="str">
        <f>IF(OR(entrada!H43=0,entrada!H43=""),"",entrada!H43)</f>
        <v/>
      </c>
      <c r="I35" s="34" t="str">
        <f>IF(OR(entrada!I43=0,entrada!I43=""),"",entrada!I43)</f>
        <v/>
      </c>
      <c r="J35" s="34" t="str">
        <f>IF(OR(entrada!J43=0,entrada!J43=""),"",entrada!J43)</f>
        <v/>
      </c>
      <c r="K35" s="34" t="str">
        <f>IF(OR(entrada!K43=0,entrada!K43=""),"",entrada!K43)</f>
        <v/>
      </c>
      <c r="L35" s="34" t="str">
        <f>IF(OR(entrada!L43=0,entrada!L43=""),"",entrada!L43)</f>
        <v/>
      </c>
      <c r="M35" s="34" t="str">
        <f>IF(OR(entrada!M43=0,entrada!M43=""),"",entrada!M43)</f>
        <v/>
      </c>
      <c r="N35" s="34" t="str">
        <f>IF(OR(entrada!N43=0,entrada!N43=""),"",entrada!N43)</f>
        <v/>
      </c>
      <c r="O35" s="34" t="str">
        <f>IF(OR(entrada!O43=0,entrada!O43=""),"",entrada!O43)</f>
        <v/>
      </c>
      <c r="P35" s="34" t="str">
        <f>IF(OR(entrada!P43=0,entrada!P43=""),"",entrada!P43)</f>
        <v/>
      </c>
      <c r="Q35" s="34" t="str">
        <f>IF(OR(entrada!Q43=0,entrada!Q43=""),"",entrada!Q43)</f>
        <v/>
      </c>
      <c r="R35" s="34" t="str">
        <f>IF(OR(entrada!R43=0,entrada!R43=""),"",entrada!R43)</f>
        <v/>
      </c>
      <c r="S35" s="34" t="str">
        <f>IF(OR(entrada!S43=0,entrada!S43=""),"",entrada!S43)</f>
        <v/>
      </c>
      <c r="T35" s="34" t="str">
        <f>IF(OR(entrada!T43=0,entrada!T43=""),"",entrada!T43)</f>
        <v/>
      </c>
      <c r="U35" s="34" t="str">
        <f>IF(OR(entrada!U43=0,entrada!U43=""),"",entrada!U43)</f>
        <v/>
      </c>
      <c r="V35" s="34" t="str">
        <f>IF(OR(entrada!V43=0,entrada!V43=""),"",entrada!V43)</f>
        <v/>
      </c>
      <c r="W35" s="34" t="str">
        <f>IF(OR(entrada!W43=0,entrada!W43=""),"",entrada!W43)</f>
        <v/>
      </c>
      <c r="X35" s="34" t="str">
        <f>IF(OR(entrada!X43=0,entrada!X43=""),"",entrada!X43)</f>
        <v/>
      </c>
      <c r="Z35" s="48"/>
    </row>
    <row r="36" spans="1:26" x14ac:dyDescent="0.3">
      <c r="A36" s="50"/>
      <c r="B36" s="97" t="str">
        <f>IF(OR(entrada!B44=0,entrada!B44=""),"",entrada!B44)</f>
        <v xml:space="preserve">*3 NTC 1061:2020 4.1 </v>
      </c>
      <c r="C36" s="97" t="str">
        <f>IF(OR(entrada!C44=0,entrada!C44=""),"",entrada!C44)</f>
        <v/>
      </c>
      <c r="D36" s="97" t="str">
        <f>IF(OR(entrada!D44=0,entrada!D44=""),"",entrada!D44)</f>
        <v/>
      </c>
      <c r="E36" s="34" t="str">
        <f>IF(OR(entrada!E44=0,entrada!E44=""),"",entrada!E44)</f>
        <v/>
      </c>
      <c r="F36" s="34" t="str">
        <f>IF(OR(entrada!F44=0,entrada!F44=""),"",entrada!F44)</f>
        <v/>
      </c>
      <c r="G36" s="34" t="str">
        <f>IF(OR(entrada!G44=0,entrada!G44=""),"",entrada!G44)</f>
        <v/>
      </c>
      <c r="H36" s="34" t="str">
        <f>IF(OR(entrada!H44=0,entrada!H44=""),"",entrada!H44)</f>
        <v/>
      </c>
      <c r="I36" s="34" t="str">
        <f>IF(OR(entrada!I44=0,entrada!I44=""),"",entrada!I44)</f>
        <v/>
      </c>
      <c r="J36" s="34" t="str">
        <f>IF(OR(entrada!J44=0,entrada!J44=""),"",entrada!J44)</f>
        <v/>
      </c>
      <c r="K36" s="34" t="str">
        <f>IF(OR(entrada!K44=0,entrada!K44=""),"",entrada!K44)</f>
        <v/>
      </c>
      <c r="L36" s="34" t="str">
        <f>IF(OR(entrada!L44=0,entrada!L44=""),"",entrada!L44)</f>
        <v/>
      </c>
      <c r="M36" s="34" t="str">
        <f>IF(OR(entrada!M44=0,entrada!M44=""),"",entrada!M44)</f>
        <v/>
      </c>
      <c r="N36" s="34" t="str">
        <f>IF(OR(entrada!N44=0,entrada!N44=""),"",entrada!N44)</f>
        <v/>
      </c>
      <c r="O36" s="34" t="str">
        <f>IF(OR(entrada!O44=0,entrada!O44=""),"",entrada!O44)</f>
        <v/>
      </c>
      <c r="P36" s="34" t="str">
        <f>IF(OR(entrada!P44=0,entrada!P44=""),"",entrada!P44)</f>
        <v/>
      </c>
      <c r="Q36" s="34" t="str">
        <f>IF(OR(entrada!Q44=0,entrada!Q44=""),"",entrada!Q44)</f>
        <v/>
      </c>
      <c r="R36" s="34" t="str">
        <f>IF(OR(entrada!R44=0,entrada!R44=""),"",entrada!R44)</f>
        <v/>
      </c>
      <c r="S36" s="34" t="str">
        <f>IF(OR(entrada!S44=0,entrada!S44=""),"",entrada!S44)</f>
        <v/>
      </c>
      <c r="T36" s="34" t="str">
        <f>IF(OR(entrada!T44=0,entrada!T44=""),"",entrada!T44)</f>
        <v/>
      </c>
      <c r="U36" s="34" t="str">
        <f>IF(OR(entrada!U44=0,entrada!U44=""),"",entrada!U44)</f>
        <v/>
      </c>
      <c r="V36" s="34" t="str">
        <f>IF(OR(entrada!V44=0,entrada!V44=""),"",entrada!V44)</f>
        <v/>
      </c>
      <c r="W36" s="34" t="str">
        <f>IF(OR(entrada!W44=0,entrada!W44=""),"",entrada!W44)</f>
        <v/>
      </c>
      <c r="X36" s="34" t="str">
        <f>IF(OR(entrada!X44=0,entrada!X44=""),"",entrada!X44)</f>
        <v/>
      </c>
      <c r="Z36" s="48"/>
    </row>
    <row r="37" spans="1:26" x14ac:dyDescent="0.3">
      <c r="A37" s="50"/>
      <c r="B37" s="97" t="str">
        <f>IF(OR(entrada!B45=0,entrada!B45=""),"",entrada!B45)</f>
        <v xml:space="preserve">*4 NTC 1061:2020 4.2.1 - 4.2.2 </v>
      </c>
      <c r="C37" s="97" t="str">
        <f>IF(OR(entrada!C45=0,entrada!C45=""),"",entrada!C45)</f>
        <v/>
      </c>
      <c r="D37" s="97" t="str">
        <f>IF(OR(entrada!D45=0,entrada!D45=""),"",entrada!D45)</f>
        <v/>
      </c>
      <c r="E37" s="34" t="str">
        <f>IF(OR(entrada!E45=0,entrada!E45=""),"",entrada!E45)</f>
        <v/>
      </c>
      <c r="F37" s="34" t="str">
        <f>IF(OR(entrada!F45=0,entrada!F45=""),"",entrada!F45)</f>
        <v/>
      </c>
      <c r="G37" s="34" t="str">
        <f>IF(OR(entrada!G45=0,entrada!G45=""),"",entrada!G45)</f>
        <v/>
      </c>
      <c r="H37" s="34" t="str">
        <f>IF(OR(entrada!H45=0,entrada!H45=""),"",entrada!H45)</f>
        <v/>
      </c>
      <c r="I37" s="34" t="str">
        <f>IF(OR(entrada!I45=0,entrada!I45=""),"",entrada!I45)</f>
        <v/>
      </c>
      <c r="J37" s="34" t="str">
        <f>IF(OR(entrada!J45=0,entrada!J45=""),"",entrada!J45)</f>
        <v/>
      </c>
      <c r="K37" s="34" t="str">
        <f>IF(OR(entrada!K45=0,entrada!K45=""),"",entrada!K45)</f>
        <v/>
      </c>
      <c r="L37" s="34" t="str">
        <f>IF(OR(entrada!L45=0,entrada!L45=""),"",entrada!L45)</f>
        <v/>
      </c>
      <c r="M37" s="34" t="str">
        <f>IF(OR(entrada!M45=0,entrada!M45=""),"",entrada!M45)</f>
        <v/>
      </c>
      <c r="N37" s="34" t="str">
        <f>IF(OR(entrada!N45=0,entrada!N45=""),"",entrada!N45)</f>
        <v/>
      </c>
      <c r="O37" s="34" t="str">
        <f>IF(OR(entrada!O45=0,entrada!O45=""),"",entrada!O45)</f>
        <v/>
      </c>
      <c r="P37" s="34" t="str">
        <f>IF(OR(entrada!P45=0,entrada!P45=""),"",entrada!P45)</f>
        <v/>
      </c>
      <c r="Q37" s="34" t="str">
        <f>IF(OR(entrada!Q45=0,entrada!Q45=""),"",entrada!Q45)</f>
        <v/>
      </c>
      <c r="R37" s="34" t="str">
        <f>IF(OR(entrada!R45=0,entrada!R45=""),"",entrada!R45)</f>
        <v/>
      </c>
      <c r="S37" s="34" t="str">
        <f>IF(OR(entrada!S45=0,entrada!S45=""),"",entrada!S45)</f>
        <v/>
      </c>
      <c r="T37" s="34" t="str">
        <f>IF(OR(entrada!T45=0,entrada!T45=""),"",entrada!T45)</f>
        <v/>
      </c>
      <c r="U37" s="34" t="str">
        <f>IF(OR(entrada!U45=0,entrada!U45=""),"",entrada!U45)</f>
        <v/>
      </c>
      <c r="V37" s="34" t="str">
        <f>IF(OR(entrada!V45=0,entrada!V45=""),"",entrada!V45)</f>
        <v/>
      </c>
      <c r="W37" s="34" t="str">
        <f>IF(OR(entrada!W45=0,entrada!W45=""),"",entrada!W45)</f>
        <v/>
      </c>
      <c r="X37" s="34" t="str">
        <f>IF(OR(entrada!X45=0,entrada!X45=""),"",entrada!X45)</f>
        <v/>
      </c>
      <c r="Z37" s="48"/>
    </row>
    <row r="38" spans="1:26" ht="17.25" thickBot="1" x14ac:dyDescent="0.35">
      <c r="A38" s="50"/>
      <c r="B38" s="17" t="str">
        <f>IF(OR(entrada!B46=0,entrada!B46=""),"",entrada!B46)</f>
        <v/>
      </c>
      <c r="C38" s="18" t="str">
        <f>IF(OR(entrada!C46=0,entrada!C46=""),"",entrada!C46)</f>
        <v/>
      </c>
      <c r="D38" s="18" t="str">
        <f>IF(OR(entrada!D46=0,entrada!D46=""),"",entrada!D46)</f>
        <v/>
      </c>
      <c r="E38" s="34" t="str">
        <f>IF(OR(entrada!E46=0,entrada!E46=""),"",entrada!E46)</f>
        <v/>
      </c>
      <c r="F38" s="34" t="str">
        <f>IF(OR(entrada!F46=0,entrada!F46=""),"",entrada!F46)</f>
        <v/>
      </c>
      <c r="G38" s="34" t="str">
        <f>IF(OR(entrada!G46=0,entrada!G46=""),"",entrada!G46)</f>
        <v/>
      </c>
      <c r="H38" s="34" t="str">
        <f>IF(OR(entrada!H46=0,entrada!H46=""),"",entrada!H46)</f>
        <v/>
      </c>
      <c r="I38" s="34" t="str">
        <f>IF(OR(entrada!I46=0,entrada!I46=""),"",entrada!I46)</f>
        <v/>
      </c>
      <c r="J38" s="34" t="str">
        <f>IF(OR(entrada!J46=0,entrada!J46=""),"",entrada!J46)</f>
        <v/>
      </c>
      <c r="K38" s="34" t="str">
        <f>IF(OR(entrada!K46=0,entrada!K46=""),"",entrada!K46)</f>
        <v/>
      </c>
      <c r="L38" s="34" t="str">
        <f>IF(OR(entrada!L46=0,entrada!L46=""),"",entrada!L46)</f>
        <v/>
      </c>
      <c r="M38" s="34" t="str">
        <f>IF(OR(entrada!M46=0,entrada!M46=""),"",entrada!M46)</f>
        <v/>
      </c>
      <c r="N38" s="34" t="str">
        <f>IF(OR(entrada!N46=0,entrada!N46=""),"",entrada!N46)</f>
        <v/>
      </c>
      <c r="O38" s="34" t="str">
        <f>IF(OR(entrada!O46=0,entrada!O46=""),"",entrada!O46)</f>
        <v/>
      </c>
      <c r="P38" s="34" t="str">
        <f>IF(OR(entrada!P46=0,entrada!P46=""),"",entrada!P46)</f>
        <v/>
      </c>
      <c r="Q38" s="34" t="str">
        <f>IF(OR(entrada!Q46=0,entrada!Q46=""),"",entrada!Q46)</f>
        <v/>
      </c>
      <c r="R38" s="34" t="str">
        <f>IF(OR(entrada!R46=0,entrada!R46=""),"",entrada!R46)</f>
        <v/>
      </c>
      <c r="S38" s="34" t="str">
        <f>IF(OR(entrada!S46=0,entrada!S46=""),"",entrada!S46)</f>
        <v/>
      </c>
      <c r="T38" s="34" t="str">
        <f>IF(OR(entrada!T46=0,entrada!T46=""),"",entrada!T46)</f>
        <v/>
      </c>
      <c r="U38" s="34" t="str">
        <f>IF(OR(entrada!U46=0,entrada!U46=""),"",entrada!U46)</f>
        <v/>
      </c>
      <c r="V38" s="34" t="str">
        <f>IF(OR(entrada!V46=0,entrada!V46=""),"",entrada!V46)</f>
        <v/>
      </c>
      <c r="W38" s="34" t="str">
        <f>IF(OR(entrada!W46=0,entrada!W46=""),"",entrada!W46)</f>
        <v/>
      </c>
      <c r="X38" s="34" t="str">
        <f>IF(OR(entrada!X46=0,entrada!X46=""),"",entrada!X46)</f>
        <v/>
      </c>
      <c r="Z38" s="48"/>
    </row>
    <row r="39" spans="1:26" x14ac:dyDescent="0.3">
      <c r="A39" s="50"/>
      <c r="B39" s="98" t="str">
        <f>IF(OR(entrada!B47=0,entrada!B47=""),"",entrada!B47)</f>
        <v>Tolerancia Mínima NTC</v>
      </c>
      <c r="C39" s="99" t="str">
        <f>IF(OR(entrada!C47=0,entrada!C47=""),"",entrada!C47)</f>
        <v/>
      </c>
      <c r="D39" s="99" t="str">
        <f>IF(OR(entrada!D47=0,entrada!D47=""),"",entrada!D47)</f>
        <v/>
      </c>
      <c r="E39" s="20" t="str">
        <f>IF(OR(entrada!E47=0,entrada!E47=""),"",entrada!E47)</f>
        <v/>
      </c>
      <c r="F39" s="20" t="str">
        <f>IF(OR(entrada!F47=0,entrada!F47=""),"",entrada!F47)</f>
        <v/>
      </c>
      <c r="G39" s="20"/>
      <c r="H39" s="20"/>
      <c r="I39" s="20"/>
      <c r="J39" s="20"/>
      <c r="K39" s="20" t="str">
        <f>IF(OR(entrada!K47=0,entrada!K47=""),"",entrada!K47)</f>
        <v/>
      </c>
      <c r="L39" s="21">
        <f>IF(OR(entrada!L47=0,entrada!L47=""),"",entrada!L47)</f>
        <v>6.3631668800000013E-2</v>
      </c>
      <c r="M39" s="21">
        <f>IF(OR(entrada!M47=0,entrada!M47=""),"",entrada!M47)</f>
        <v>0.17480000000000001</v>
      </c>
      <c r="N39" s="21">
        <f>IF(OR(entrada!N47=0,entrada!N47=""),"",entrada!N47)</f>
        <v>4.2499999999999996E-2</v>
      </c>
      <c r="O39" s="21">
        <f>IF(OR(entrada!O47=0,entrada!O47=""),"",entrada!O47)</f>
        <v>4.8200000000000007E-2</v>
      </c>
      <c r="P39" s="21">
        <f>IF(OR(entrada!P47=0,entrada!P47=""),"",entrada!P47)</f>
        <v>-9.9999999999999742E-4</v>
      </c>
      <c r="Q39" s="20" t="str">
        <f>IF(OR(entrada!Q47=0,entrada!Q47=""),"",entrada!Q47)</f>
        <v/>
      </c>
      <c r="R39" s="20">
        <f>IF(OR(entrada!R47=0,entrada!R47=""),"",entrada!R47)</f>
        <v>-9.9999999999999985E-3</v>
      </c>
      <c r="S39" s="20" t="str">
        <f>IF(OR(entrada!S47=0,entrada!S47=""),"",entrada!S47)</f>
        <v/>
      </c>
      <c r="T39" s="20" t="str">
        <f>IF(OR(entrada!T47=0,entrada!T47=""),"",entrada!T47)</f>
        <v/>
      </c>
      <c r="U39" s="20" t="str">
        <f>IF(OR(entrada!U47=0,entrada!U47=""),"",entrada!U47)</f>
        <v/>
      </c>
      <c r="V39" s="20" t="str">
        <f>IF(OR(entrada!V47=0,entrada!V47=""),"",entrada!V47)</f>
        <v/>
      </c>
      <c r="W39" s="21">
        <f>IF(OR(entrada!W47=0,entrada!W47=""),"",entrada!W47)</f>
        <v>1.2999999999999998E-2</v>
      </c>
      <c r="X39" s="20" t="str">
        <f>IF(OR(entrada!X47=0,entrada!X47=""),"",entrada!X47)</f>
        <v/>
      </c>
      <c r="Z39" s="48"/>
    </row>
    <row r="40" spans="1:26" x14ac:dyDescent="0.3">
      <c r="A40" s="50"/>
      <c r="B40" s="100" t="str">
        <f>IF(OR(entrada!B48=0,entrada!B48=""),"",entrada!B48)</f>
        <v>SOLICITUD DE REGISTRO ICA: MATERIA PRIMA</v>
      </c>
      <c r="C40" s="101" t="str">
        <f>IF(OR(entrada!C48=0,entrada!C48=""),"",entrada!C48)</f>
        <v/>
      </c>
      <c r="D40" s="101" t="str">
        <f>IF(OR(entrada!D48=0,entrada!D48=""),"",entrada!D48)</f>
        <v/>
      </c>
      <c r="E40" s="22" t="str">
        <f>IF(OR(entrada!E48=0,entrada!E48=""),"",entrada!E48)</f>
        <v/>
      </c>
      <c r="F40" s="22" t="str">
        <f>IF(OR(entrada!F48=0,entrada!F48=""),"",entrada!F48)</f>
        <v/>
      </c>
      <c r="G40" s="22"/>
      <c r="H40" s="22"/>
      <c r="I40" s="22"/>
      <c r="J40" s="22"/>
      <c r="K40" s="22" t="str">
        <f>IF(OR(entrada!K48=0,entrada!K48=""),"",entrada!K48)</f>
        <v/>
      </c>
      <c r="L40" s="19">
        <f>IF(OR(entrada!L48=0,entrada!L48=""),"",entrada!L48)</f>
        <v>7.2800000000000017E-2</v>
      </c>
      <c r="M40" s="19">
        <f>IF(OR(entrada!M48=0,entrada!M48=""),"",entrada!M48)</f>
        <v>0.18980000000000002</v>
      </c>
      <c r="N40" s="19">
        <f>IF(OR(entrada!N48=0,entrada!N48=""),"",entrada!N48)</f>
        <v>5.7499999999999996E-2</v>
      </c>
      <c r="O40" s="19">
        <f>IF(OR(entrada!O48=0,entrada!O48=""),"",entrada!O48)</f>
        <v>6.3200000000000006E-2</v>
      </c>
      <c r="P40" s="19">
        <f>IF(OR(entrada!P48=0,entrada!P48=""),"",entrada!P48)</f>
        <v>1.4000000000000002E-2</v>
      </c>
      <c r="Q40" s="22" t="str">
        <f>IF(OR(entrada!Q48=0,entrada!Q48=""),"",entrada!Q48)</f>
        <v/>
      </c>
      <c r="R40" s="22">
        <f>IF(OR(entrada!R48=0,entrada!R48=""),"",entrada!R48)</f>
        <v>5.0000000000000001E-3</v>
      </c>
      <c r="S40" s="22" t="str">
        <f>IF(OR(entrada!S48=0,entrada!S48=""),"",entrada!S48)</f>
        <v/>
      </c>
      <c r="T40" s="22" t="str">
        <f>IF(OR(entrada!T48=0,entrada!T48=""),"",entrada!T48)</f>
        <v/>
      </c>
      <c r="U40" s="22" t="str">
        <f>IF(OR(entrada!U48=0,entrada!U48=""),"",entrada!U48)</f>
        <v/>
      </c>
      <c r="V40" s="22">
        <f>IF(OR(entrada!V48=0,entrada!V48=""),"",entrada!V48)</f>
        <v>7.6486000000000012E-2</v>
      </c>
      <c r="W40" s="19">
        <f>IF(OR(entrada!W48=0,entrada!W48=""),"",entrada!W48)</f>
        <v>2.7999999999999997E-2</v>
      </c>
      <c r="X40" s="22" t="str">
        <f>IF(OR(entrada!X48=0,entrada!X48=""),"",entrada!X48)</f>
        <v/>
      </c>
      <c r="Z40" s="48"/>
    </row>
    <row r="41" spans="1:26" ht="17.25" thickBot="1" x14ac:dyDescent="0.35">
      <c r="A41" s="50"/>
      <c r="B41" s="102" t="str">
        <f>IF(OR(entrada!B49=0,entrada!B49=""),"",entrada!B49)</f>
        <v>Tolerancia Máxima NTC</v>
      </c>
      <c r="C41" s="103" t="str">
        <f>IF(OR(entrada!C49=0,entrada!C49=""),"",entrada!C49)</f>
        <v/>
      </c>
      <c r="D41" s="103" t="str">
        <f>IF(OR(entrada!D49=0,entrada!D49=""),"",entrada!D49)</f>
        <v/>
      </c>
      <c r="E41" s="23" t="str">
        <f>IF(OR(entrada!E49=0,entrada!E49=""),"",entrada!E49)</f>
        <v/>
      </c>
      <c r="F41" s="23" t="str">
        <f>IF(OR(entrada!F49=0,entrada!F49=""),"",entrada!F49)</f>
        <v/>
      </c>
      <c r="G41" s="23"/>
      <c r="H41" s="23"/>
      <c r="I41" s="23"/>
      <c r="J41" s="23"/>
      <c r="K41" s="23" t="str">
        <f>IF(OR(entrada!K49=0,entrada!K49=""),"",entrada!K49)</f>
        <v/>
      </c>
      <c r="L41" s="24">
        <f>IF(OR(entrada!L49=0,entrada!L49=""),"",entrada!L49)</f>
        <v>8.1968331200000022E-2</v>
      </c>
      <c r="M41" s="24">
        <f>IF(OR(entrada!M49=0,entrada!M49=""),"",entrada!M49)</f>
        <v>0.20480000000000004</v>
      </c>
      <c r="N41" s="24">
        <f>IF(OR(entrada!N49=0,entrada!N49=""),"",entrada!N49)</f>
        <v>7.2499999999999995E-2</v>
      </c>
      <c r="O41" s="24">
        <f>IF(OR(entrada!O49=0,entrada!O49=""),"",entrada!O49)</f>
        <v>7.8200000000000006E-2</v>
      </c>
      <c r="P41" s="24">
        <f>IF(OR(entrada!P49=0,entrada!P49=""),"",entrada!P49)</f>
        <v>2.9000000000000001E-2</v>
      </c>
      <c r="Q41" s="23" t="str">
        <f>IF(OR(entrada!Q49=0,entrada!Q49=""),"",entrada!Q49)</f>
        <v/>
      </c>
      <c r="R41" s="23">
        <f>IF(OR(entrada!R49=0,entrada!R49=""),"",entrada!R49)</f>
        <v>0.02</v>
      </c>
      <c r="S41" s="23" t="str">
        <f>IF(OR(entrada!S49=0,entrada!S49=""),"",entrada!S49)</f>
        <v/>
      </c>
      <c r="T41" s="23" t="str">
        <f>IF(OR(entrada!T49=0,entrada!T49=""),"",entrada!T49)</f>
        <v/>
      </c>
      <c r="U41" s="23" t="str">
        <f>IF(OR(entrada!U49=0,entrada!U49=""),"",entrada!U49)</f>
        <v/>
      </c>
      <c r="V41" s="23" t="str">
        <f>IF(OR(entrada!V49=0,entrada!V49=""),"",entrada!V49)</f>
        <v/>
      </c>
      <c r="W41" s="24">
        <f>IF(OR(entrada!W49=0,entrada!W49=""),"",entrada!W49)</f>
        <v>4.2999999999999997E-2</v>
      </c>
      <c r="X41" s="23" t="str">
        <f>IF(OR(entrada!X49=0,entrada!X49=""),"",entrada!X49)</f>
        <v/>
      </c>
      <c r="Z41" s="48"/>
    </row>
    <row r="42" spans="1:26" x14ac:dyDescent="0.3">
      <c r="A42" s="50"/>
      <c r="B42" s="17" t="str">
        <f>IF(OR(entrada!B50=0,entrada!B50=""),"",entrada!B50)</f>
        <v/>
      </c>
      <c r="C42" s="18" t="str">
        <f>IF(OR(entrada!C50=0,entrada!C50=""),"",entrada!C50)</f>
        <v/>
      </c>
      <c r="D42" s="18" t="str">
        <f>IF(OR(entrada!D50=0,entrada!D50=""),"",entrada!D50)</f>
        <v/>
      </c>
      <c r="E42" s="18" t="str">
        <f>IF(OR(entrada!E50=0,entrada!E50=""),"",entrada!E50)</f>
        <v/>
      </c>
      <c r="F42" s="18" t="str">
        <f>IF(OR(entrada!F50=0,entrada!F50=""),"",entrada!F50)</f>
        <v/>
      </c>
      <c r="G42" s="18" t="str">
        <f>IF(OR(entrada!G50=0,entrada!G50=""),"",entrada!G50)</f>
        <v/>
      </c>
      <c r="H42" s="18" t="str">
        <f>IF(OR(entrada!H50=0,entrada!H50=""),"",entrada!H50)</f>
        <v/>
      </c>
      <c r="I42" s="18" t="str">
        <f>IF(OR(entrada!I50=0,entrada!I50=""),"",entrada!I50)</f>
        <v/>
      </c>
      <c r="J42" s="18" t="str">
        <f>IF(OR(entrada!J50=0,entrada!J50=""),"",entrada!J50)</f>
        <v/>
      </c>
      <c r="K42" s="18" t="str">
        <f>IF(OR(entrada!K50=0,entrada!K50=""),"",entrada!K50)</f>
        <v/>
      </c>
      <c r="L42" s="18" t="str">
        <f>IF(OR(entrada!L50=0,entrada!L50=""),"",entrada!L50)</f>
        <v/>
      </c>
      <c r="M42" s="18" t="str">
        <f>IF(OR(entrada!M50=0,entrada!M50=""),"",entrada!M50)</f>
        <v/>
      </c>
      <c r="N42" s="18" t="str">
        <f>IF(OR(entrada!N50=0,entrada!N50=""),"",entrada!N50)</f>
        <v/>
      </c>
      <c r="O42" s="18" t="str">
        <f>IF(OR(entrada!O50=0,entrada!O50=""),"",entrada!O50)</f>
        <v/>
      </c>
      <c r="P42" s="18" t="str">
        <f>IF(OR(entrada!P50=0,entrada!P50=""),"",entrada!P50)</f>
        <v/>
      </c>
      <c r="Q42" s="18" t="str">
        <f>IF(OR(entrada!Q50=0,entrada!Q50=""),"",entrada!Q50)</f>
        <v/>
      </c>
      <c r="R42" s="18" t="str">
        <f>IF(OR(entrada!R50=0,entrada!R50=""),"",entrada!R50)</f>
        <v/>
      </c>
      <c r="S42" s="18" t="str">
        <f>IF(OR(entrada!S50=0,entrada!S50=""),"",entrada!S50)</f>
        <v/>
      </c>
      <c r="T42" s="18" t="str">
        <f>IF(OR(entrada!T50=0,entrada!T50=""),"",entrada!T50)</f>
        <v/>
      </c>
      <c r="U42" s="18" t="str">
        <f>IF(OR(entrada!U50=0,entrada!U50=""),"",entrada!U50)</f>
        <v/>
      </c>
      <c r="V42" s="18" t="str">
        <f>IF(OR(entrada!V50=0,entrada!V50=""),"",entrada!V50)</f>
        <v/>
      </c>
      <c r="W42" s="18" t="str">
        <f>IF(OR(entrada!W50=0,entrada!W50=""),"",entrada!W50)</f>
        <v/>
      </c>
      <c r="X42" s="18" t="str">
        <f>IF(OR(entrada!X50=0,entrada!X50=""),"",entrada!X50)</f>
        <v/>
      </c>
      <c r="Z42" s="48"/>
    </row>
    <row r="43" spans="1:26" x14ac:dyDescent="0.3">
      <c r="A43" s="50"/>
      <c r="B43" s="17" t="str">
        <f>IF(OR(entrada!B53=0,entrada!B53=""),"",entrada!B53)</f>
        <v/>
      </c>
      <c r="C43" s="18" t="str">
        <f>IF(OR(entrada!C53=0,entrada!C53=""),"",entrada!C53)</f>
        <v/>
      </c>
      <c r="D43" s="18" t="str">
        <f>IF(OR(entrada!D53=0,entrada!D53=""),"",entrada!D53)</f>
        <v/>
      </c>
      <c r="E43" s="18" t="str">
        <f>IF(OR(entrada!E53=0,entrada!E53=""),"",entrada!E53)</f>
        <v/>
      </c>
      <c r="F43" s="18" t="str">
        <f>IF(OR(entrada!F53=0,entrada!F53=""),"",entrada!F53)</f>
        <v/>
      </c>
      <c r="G43" s="18" t="str">
        <f>IF(OR(entrada!G53=0,entrada!G53=""),"",entrada!G53)</f>
        <v/>
      </c>
      <c r="H43" s="18" t="str">
        <f>IF(OR(entrada!H53=0,entrada!H53=""),"",entrada!H53)</f>
        <v/>
      </c>
      <c r="I43" s="18" t="str">
        <f>IF(OR(entrada!I53=0,entrada!I53=""),"",entrada!I53)</f>
        <v/>
      </c>
      <c r="J43" s="18" t="str">
        <f>IF(OR(entrada!J53=0,entrada!J53=""),"",entrada!J53)</f>
        <v/>
      </c>
      <c r="K43" s="18" t="str">
        <f>IF(OR(entrada!K53=0,entrada!K53=""),"",entrada!K53)</f>
        <v/>
      </c>
      <c r="L43" s="18" t="str">
        <f>IF(OR(entrada!L53=0,entrada!L53=""),"",entrada!L53)</f>
        <v/>
      </c>
      <c r="M43" s="18" t="str">
        <f>IF(OR(entrada!M53=0,entrada!M53=""),"",entrada!M53)</f>
        <v/>
      </c>
      <c r="N43" s="18" t="str">
        <f>IF(OR(entrada!N53=0,entrada!N53=""),"",entrada!N53)</f>
        <v/>
      </c>
      <c r="O43" s="18" t="str">
        <f>IF(OR(entrada!O53=0,entrada!O53=""),"",entrada!O53)</f>
        <v/>
      </c>
      <c r="P43" s="18" t="str">
        <f>IF(OR(entrada!P53=0,entrada!P53=""),"",entrada!P53)</f>
        <v/>
      </c>
      <c r="Q43" s="18" t="str">
        <f>IF(OR(entrada!Q53=0,entrada!Q53=""),"",entrada!Q53)</f>
        <v/>
      </c>
      <c r="R43" s="18" t="str">
        <f>IF(OR(entrada!R53=0,entrada!R53=""),"",entrada!R53)</f>
        <v/>
      </c>
      <c r="S43" s="18" t="str">
        <f>IF(OR(entrada!S53=0,entrada!S53=""),"",entrada!S53)</f>
        <v/>
      </c>
      <c r="T43" s="18" t="str">
        <f>IF(OR(entrada!T53=0,entrada!T53=""),"",entrada!T53)</f>
        <v/>
      </c>
      <c r="U43" s="18" t="str">
        <f>IF(OR(entrada!U53=0,entrada!U53=""),"",entrada!U53)</f>
        <v/>
      </c>
      <c r="V43" s="18" t="str">
        <f>IF(OR(entrada!V53=0,entrada!V53=""),"",entrada!V53)</f>
        <v/>
      </c>
      <c r="W43" s="18" t="str">
        <f>IF(OR(entrada!W53=0,entrada!W53=""),"",entrada!W53)</f>
        <v/>
      </c>
      <c r="X43" s="18" t="str">
        <f>IF(OR(entrada!X53=0,entrada!X53=""),"",entrada!X53)</f>
        <v/>
      </c>
      <c r="Z43" s="48"/>
    </row>
    <row r="44" spans="1:26" x14ac:dyDescent="0.3">
      <c r="A44" s="50"/>
      <c r="Z44" s="48"/>
    </row>
    <row r="45" spans="1:26" x14ac:dyDescent="0.3">
      <c r="A45" s="53"/>
      <c r="B45" s="54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Z45" s="56"/>
    </row>
    <row r="50" spans="7:7" x14ac:dyDescent="0.3">
      <c r="G50" s="44"/>
    </row>
  </sheetData>
  <mergeCells count="3">
    <mergeCell ref="C6:Q6"/>
    <mergeCell ref="S2:T2"/>
    <mergeCell ref="S3:T3"/>
  </mergeCells>
  <conditionalFormatting sqref="B16:B18">
    <cfRule type="notContainsBlanks" dxfId="40" priority="42">
      <formula>LEN(TRIM(B16))&gt;0</formula>
    </cfRule>
  </conditionalFormatting>
  <conditionalFormatting sqref="B9:D15">
    <cfRule type="notContainsBlanks" dxfId="39" priority="35">
      <formula>LEN(TRIM(B9))&gt;0</formula>
    </cfRule>
  </conditionalFormatting>
  <conditionalFormatting sqref="B19:D19">
    <cfRule type="notContainsBlanks" dxfId="38" priority="43">
      <formula>LEN(TRIM(B19))&gt;0</formula>
    </cfRule>
  </conditionalFormatting>
  <conditionalFormatting sqref="F9:X15 F17:X18">
    <cfRule type="containsBlanks" dxfId="37" priority="8">
      <formula>LEN(TRIM(F9))=0</formula>
    </cfRule>
    <cfRule type="notContainsBlanks" dxfId="36" priority="9">
      <formula>LEN(TRIM(F9))&gt;0</formula>
    </cfRule>
  </conditionalFormatting>
  <conditionalFormatting sqref="E9:E15 E17:E18">
    <cfRule type="containsBlanks" dxfId="35" priority="1">
      <formula>LEN(TRIM(E9))=0</formula>
    </cfRule>
    <cfRule type="notContainsBlanks" dxfId="34" priority="2">
      <formula>LEN(TRIM(E9))&gt;0</formula>
    </cfRule>
  </conditionalFormatting>
  <pageMargins left="0.7" right="0.7" top="0.75" bottom="0.75" header="0.3" footer="0.3"/>
  <pageSetup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E6C5-143D-47CC-A583-2D14C74DD524}">
  <sheetPr>
    <pageSetUpPr fitToPage="1"/>
  </sheetPr>
  <dimension ref="A1:AN155"/>
  <sheetViews>
    <sheetView zoomScale="70" zoomScaleNormal="70" workbookViewId="0">
      <selection activeCell="D15" sqref="D15"/>
    </sheetView>
  </sheetViews>
  <sheetFormatPr baseColWidth="10" defaultColWidth="9" defaultRowHeight="16.5" x14ac:dyDescent="0.3"/>
  <cols>
    <col min="1" max="1" width="6.75" style="17" customWidth="1"/>
    <col min="2" max="2" width="36.125" customWidth="1"/>
    <col min="3" max="4" width="8.875" style="16"/>
    <col min="5" max="5" width="9.25" style="16" customWidth="1"/>
    <col min="6" max="6" width="7.875" style="16" customWidth="1"/>
    <col min="7" max="7" width="10.5" style="16" customWidth="1"/>
    <col min="8" max="8" width="7.375" style="16" bestFit="1" customWidth="1"/>
    <col min="9" max="9" width="6.375" style="16" bestFit="1" customWidth="1"/>
    <col min="10" max="10" width="9.125" style="16" customWidth="1"/>
    <col min="11" max="11" width="8" style="16" bestFit="1" customWidth="1"/>
    <col min="12" max="12" width="7.625" style="16" customWidth="1"/>
    <col min="13" max="13" width="7.5" style="16" customWidth="1"/>
    <col min="14" max="40" width="8.875" style="17"/>
  </cols>
  <sheetData>
    <row r="1" spans="1:40" s="17" customFormat="1" x14ac:dyDescent="0.3">
      <c r="A1" s="69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7"/>
    </row>
    <row r="2" spans="1:40" s="17" customFormat="1" x14ac:dyDescent="0.3">
      <c r="A2" s="57"/>
      <c r="C2" s="146"/>
      <c r="D2" s="147"/>
      <c r="E2" s="61" t="s">
        <v>2</v>
      </c>
      <c r="F2" s="61"/>
      <c r="G2" s="61"/>
      <c r="H2" s="61"/>
      <c r="I2" s="61"/>
      <c r="J2" s="61"/>
      <c r="K2" s="62"/>
      <c r="L2" s="125" t="s">
        <v>1</v>
      </c>
      <c r="M2" s="126"/>
      <c r="N2" s="48"/>
    </row>
    <row r="3" spans="1:40" s="17" customFormat="1" x14ac:dyDescent="0.3">
      <c r="A3" s="57"/>
      <c r="C3" s="148"/>
      <c r="D3" s="149"/>
      <c r="E3" s="58" t="s">
        <v>3</v>
      </c>
      <c r="F3" s="58"/>
      <c r="G3" s="58"/>
      <c r="H3" s="58"/>
      <c r="I3" s="58"/>
      <c r="J3" s="58"/>
      <c r="K3" s="60"/>
      <c r="L3" s="127" t="s">
        <v>1</v>
      </c>
      <c r="M3" s="128"/>
      <c r="N3" s="48"/>
    </row>
    <row r="4" spans="1:40" s="17" customFormat="1" x14ac:dyDescent="0.3">
      <c r="A4" s="57"/>
      <c r="C4" s="150"/>
      <c r="D4" s="151"/>
      <c r="E4" s="152"/>
      <c r="F4" s="152"/>
      <c r="G4" s="152"/>
      <c r="H4" s="152"/>
      <c r="I4" s="152"/>
      <c r="J4" s="152"/>
      <c r="K4" s="126"/>
      <c r="L4" s="59"/>
      <c r="M4" s="59"/>
      <c r="N4" s="48"/>
    </row>
    <row r="5" spans="1:40" s="17" customFormat="1" ht="17.25" thickBot="1" x14ac:dyDescent="0.35">
      <c r="A5" s="49"/>
      <c r="B5" s="34"/>
      <c r="C5" s="34"/>
      <c r="D5" s="34"/>
      <c r="E5" s="34"/>
      <c r="F5" s="34"/>
      <c r="G5" s="34"/>
      <c r="H5" s="34"/>
      <c r="I5" s="34"/>
      <c r="J5" s="34"/>
      <c r="K5" s="18"/>
      <c r="L5" s="18"/>
      <c r="M5" s="18"/>
      <c r="N5" s="48"/>
    </row>
    <row r="6" spans="1:40" s="17" customFormat="1" ht="30.75" thickBot="1" x14ac:dyDescent="0.35">
      <c r="A6" s="49"/>
      <c r="B6" s="68" t="s">
        <v>86</v>
      </c>
      <c r="C6" s="123" t="s">
        <v>87</v>
      </c>
      <c r="D6" s="123"/>
      <c r="E6" s="123"/>
      <c r="F6" s="123"/>
      <c r="G6" s="123"/>
      <c r="H6" s="123"/>
      <c r="I6" s="123"/>
      <c r="J6" s="124"/>
      <c r="K6" s="18"/>
      <c r="L6" s="18"/>
      <c r="M6" s="18"/>
      <c r="N6" s="48"/>
    </row>
    <row r="7" spans="1:40" s="17" customFormat="1" ht="17.25" thickBot="1" x14ac:dyDescent="0.35">
      <c r="A7" s="50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48"/>
    </row>
    <row r="8" spans="1:40" s="33" customFormat="1" ht="50.25" thickBot="1" x14ac:dyDescent="0.35">
      <c r="A8" s="51"/>
      <c r="B8" s="75" t="str">
        <f>IF(OR(entrada!B17=0,entrada!B17=""),"",entrada!B17)</f>
        <v>MATERIA PRIMA</v>
      </c>
      <c r="C8" s="79" t="str">
        <f>IF(OR(entrada!C17=0,entrada!C17=""),"",entrada!C17)</f>
        <v>kg / Ton</v>
      </c>
      <c r="D8" s="80" t="str">
        <f>IF(OR(entrada!D17=0,entrada!D17=""),"",entrada!D17)</f>
        <v>%/100 kg</v>
      </c>
      <c r="E8" s="70" t="str">
        <f>IF(OR(entrada!L17=0,entrada!L17=""),"",entrada!L17)</f>
        <v>Potasio soluble K2O</v>
      </c>
      <c r="F8" s="70" t="str">
        <f>IF(OR(entrada!M17=0,entrada!M17=""),"",entrada!M17)</f>
        <v>Calcio CaO</v>
      </c>
      <c r="G8" s="70" t="str">
        <f>IF(OR(entrada!N17=0,entrada!N17=""),"",entrada!N17)</f>
        <v>Magnesio MgO</v>
      </c>
      <c r="H8" s="70" t="str">
        <f>IF(OR(entrada!O17=0,entrada!O17=""),"",entrada!O17)</f>
        <v>Azufre S</v>
      </c>
      <c r="I8" s="70" t="str">
        <f>IF(OR(entrada!P17=0,entrada!P17=""),"",entrada!P17)</f>
        <v>Boro B</v>
      </c>
      <c r="J8" s="70" t="str">
        <f>IF(OR(entrada!Q17=0,entrada!Q17=""),"",entrada!Q17)</f>
        <v>Cobalto Co</v>
      </c>
      <c r="K8" s="70" t="str">
        <f>IF(OR(entrada!R17=0,entrada!R17=""),"",entrada!R17)</f>
        <v>Cobre Cu</v>
      </c>
      <c r="L8" s="70" t="str">
        <f>IF(OR(entrada!V17=0,entrada!V17=""),"",entrada!V17)</f>
        <v>Silicio SiO2</v>
      </c>
      <c r="M8" s="71" t="str">
        <f>IF(OR(entrada!W17=0,entrada!W17=""),"",entrada!W17)</f>
        <v>Zinc Zn</v>
      </c>
      <c r="N8" s="5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</row>
    <row r="9" spans="1:40" x14ac:dyDescent="0.3">
      <c r="A9" s="50"/>
      <c r="B9" s="76" t="str">
        <f>IF(OR(entrada!B18=0,entrada!B18=""),"",entrada!B18)</f>
        <v>DOLOMITA</v>
      </c>
      <c r="C9" s="81">
        <f>IF(OR(entrada!C18=0,entrada!C18=""),"",entrada!C18)</f>
        <v>60</v>
      </c>
      <c r="D9" s="82">
        <f>IF(OR(entrada!D18=0,entrada!D18=""),"",entrada!D18)</f>
        <v>6</v>
      </c>
      <c r="E9" s="21" t="str">
        <f>IF(OR(entrada!L18=0,entrada!L18=""),"",entrada!L18)</f>
        <v/>
      </c>
      <c r="F9" s="21" t="str">
        <f>IF(OR(entrada!M18=0,entrada!M18=""),"",entrada!M18)</f>
        <v/>
      </c>
      <c r="G9" s="21">
        <f>IF(OR(entrada!N18=0,entrada!N18=""),"",entrada!N18)</f>
        <v>1.2500000000000001E-2</v>
      </c>
      <c r="H9" s="21">
        <f>IF(OR(entrada!O18=0,entrada!O18=""),"",entrada!O18)</f>
        <v>0.01</v>
      </c>
      <c r="I9" s="21" t="str">
        <f>IF(OR(entrada!P18=0,entrada!P18=""),"",entrada!P18)</f>
        <v/>
      </c>
      <c r="J9" s="21" t="str">
        <f>IF(OR(entrada!Q18=0,entrada!Q18=""),"",entrada!Q18)</f>
        <v/>
      </c>
      <c r="K9" s="21" t="str">
        <f>IF(OR(entrada!R18=0,entrada!R18=""),"",entrada!R18)</f>
        <v/>
      </c>
      <c r="L9" s="21" t="str">
        <f>IF(OR(entrada!V18=0,entrada!V18=""),"",entrada!V18)</f>
        <v/>
      </c>
      <c r="M9" s="35" t="str">
        <f>IF(OR(entrada!W18=0,entrada!W18=""),"",entrada!W18)</f>
        <v/>
      </c>
      <c r="N9" s="48"/>
    </row>
    <row r="10" spans="1:40" x14ac:dyDescent="0.3">
      <c r="A10" s="50"/>
      <c r="B10" s="77" t="str">
        <f>IF(OR(entrada!B19=0,entrada!B19=""),"",entrada!B19)</f>
        <v>KIESERITA</v>
      </c>
      <c r="C10" s="83">
        <f>IF(OR(entrada!C19=0,entrada!C19=""),"",entrada!C19)</f>
        <v>50</v>
      </c>
      <c r="D10" s="84">
        <f>IF(OR(entrada!D19=0,entrada!D19=""),"",entrada!D19)</f>
        <v>5</v>
      </c>
      <c r="E10" s="19">
        <f>IF(OR(entrada!L19=0,entrada!L19=""),"",entrada!L19)</f>
        <v>7.2800000000000017E-2</v>
      </c>
      <c r="F10" s="19">
        <f>IF(OR(entrada!M19=0,entrada!M19=""),"",entrada!M19)</f>
        <v>0.10400000000000001</v>
      </c>
      <c r="G10" s="19" t="str">
        <f>IF(OR(entrada!N19=0,entrada!N19=""),"",entrada!N19)</f>
        <v/>
      </c>
      <c r="H10" s="19" t="str">
        <f>IF(OR(entrada!O19=0,entrada!O19=""),"",entrada!O19)</f>
        <v/>
      </c>
      <c r="I10" s="19" t="str">
        <f>IF(OR(entrada!P19=0,entrada!P19=""),"",entrada!P19)</f>
        <v/>
      </c>
      <c r="J10" s="19" t="str">
        <f>IF(OR(entrada!Q19=0,entrada!Q19=""),"",entrada!Q19)</f>
        <v/>
      </c>
      <c r="K10" s="19" t="str">
        <f>IF(OR(entrada!R19=0,entrada!R19=""),"",entrada!R19)</f>
        <v/>
      </c>
      <c r="L10" s="19">
        <f>IF(OR(entrada!V19=0,entrada!V19=""),"",entrada!V19)</f>
        <v>2.8496E-2</v>
      </c>
      <c r="M10" s="36" t="str">
        <f>IF(OR(entrada!W19=0,entrada!W19=""),"",entrada!W19)</f>
        <v/>
      </c>
      <c r="N10" s="48"/>
    </row>
    <row r="11" spans="1:40" x14ac:dyDescent="0.3">
      <c r="A11" s="50"/>
      <c r="B11" s="77" t="str">
        <f>IF(OR(entrada!B20=0,entrada!B20=""),"",entrada!B20)</f>
        <v>ROCA FOSFORICA</v>
      </c>
      <c r="C11" s="83">
        <f>IF(OR(entrada!C20=0,entrada!C20=""),"",entrada!C20)</f>
        <v>260</v>
      </c>
      <c r="D11" s="84">
        <f>IF(OR(entrada!D20=0,entrada!D20=""),"",entrada!D20)</f>
        <v>26</v>
      </c>
      <c r="E11" s="19" t="str">
        <f>IF(OR(entrada!L20=0,entrada!L20=""),"",entrada!L20)</f>
        <v/>
      </c>
      <c r="F11" s="19" t="str">
        <f>IF(OR(entrada!M20=0,entrada!M20=""),"",entrada!M20)</f>
        <v/>
      </c>
      <c r="G11" s="19">
        <f>IF(OR(entrada!N20=0,entrada!N20=""),"",entrada!N20)</f>
        <v>4.4999999999999998E-2</v>
      </c>
      <c r="H11" s="19" t="str">
        <f>IF(OR(entrada!O20=0,entrada!O20=""),"",entrada!O20)</f>
        <v/>
      </c>
      <c r="I11" s="19" t="str">
        <f>IF(OR(entrada!P20=0,entrada!P20=""),"",entrada!P20)</f>
        <v/>
      </c>
      <c r="J11" s="19" t="str">
        <f>IF(OR(entrada!Q20=0,entrada!Q20=""),"",entrada!Q20)</f>
        <v/>
      </c>
      <c r="K11" s="19" t="str">
        <f>IF(OR(entrada!R20=0,entrada!R20=""),"",entrada!R20)</f>
        <v/>
      </c>
      <c r="L11" s="19">
        <f>IF(OR(entrada!V20=0,entrada!V20=""),"",entrada!V20)</f>
        <v>4.6500000000000007E-2</v>
      </c>
      <c r="M11" s="36" t="str">
        <f>IF(OR(entrada!W20=0,entrada!W20=""),"",entrada!W20)</f>
        <v/>
      </c>
      <c r="N11" s="48"/>
    </row>
    <row r="12" spans="1:40" x14ac:dyDescent="0.3">
      <c r="A12" s="50"/>
      <c r="B12" s="77" t="str">
        <f>IF(OR(entrada!B21=0,entrada!B21=""),"",entrada!B21)</f>
        <v>SILICATO MG</v>
      </c>
      <c r="C12" s="83">
        <f>IF(OR(entrada!C21=0,entrada!C21=""),"",entrada!C21)</f>
        <v>150</v>
      </c>
      <c r="D12" s="84">
        <f>IF(OR(entrada!D21=0,entrada!D21=""),"",entrada!D21)</f>
        <v>15</v>
      </c>
      <c r="E12" s="19" t="str">
        <f>IF(OR(entrada!L21=0,entrada!L21=""),"",entrada!L21)</f>
        <v/>
      </c>
      <c r="F12" s="19">
        <f>IF(OR(entrada!M21=0,entrada!M21=""),"",entrada!M21)</f>
        <v>7.2800000000000004E-2</v>
      </c>
      <c r="G12" s="19" t="str">
        <f>IF(OR(entrada!N21=0,entrada!N21=""),"",entrada!N21)</f>
        <v/>
      </c>
      <c r="H12" s="19">
        <f>IF(OR(entrada!O21=0,entrada!O21=""),"",entrada!O21)</f>
        <v>3.6400000000000002E-2</v>
      </c>
      <c r="I12" s="19" t="str">
        <f>IF(OR(entrada!P21=0,entrada!P21=""),"",entrada!P21)</f>
        <v/>
      </c>
      <c r="J12" s="19" t="str">
        <f>IF(OR(entrada!Q21=0,entrada!Q21=""),"",entrada!Q21)</f>
        <v/>
      </c>
      <c r="K12" s="19" t="str">
        <f>IF(OR(entrada!R21=0,entrada!R21=""),"",entrada!R21)</f>
        <v/>
      </c>
      <c r="L12" s="19" t="str">
        <f>IF(OR(entrada!V21=0,entrada!V21=""),"",entrada!V21)</f>
        <v/>
      </c>
      <c r="M12" s="36" t="str">
        <f>IF(OR(entrada!W21=0,entrada!W21=""),"",entrada!W21)</f>
        <v/>
      </c>
      <c r="N12" s="48"/>
    </row>
    <row r="13" spans="1:40" x14ac:dyDescent="0.3">
      <c r="A13" s="50"/>
      <c r="B13" s="77" t="str">
        <f>IF(OR(entrada!B22=0,entrada!B22=""),"",entrada!B22)</f>
        <v>SULFATO CA</v>
      </c>
      <c r="C13" s="83">
        <f>IF(OR(entrada!C22=0,entrada!C22=""),"",entrada!C22)</f>
        <v>280</v>
      </c>
      <c r="D13" s="84">
        <f>IF(OR(entrada!D22=0,entrada!D22=""),"",entrada!D22)</f>
        <v>28</v>
      </c>
      <c r="E13" s="19" t="str">
        <f>IF(OR(entrada!L22=0,entrada!L22=""),"",entrada!L22)</f>
        <v/>
      </c>
      <c r="F13" s="19" t="str">
        <f>IF(OR(entrada!M22=0,entrada!M22=""),"",entrada!M22)</f>
        <v/>
      </c>
      <c r="G13" s="19" t="str">
        <f>IF(OR(entrada!N22=0,entrada!N22=""),"",entrada!N22)</f>
        <v/>
      </c>
      <c r="H13" s="19">
        <f>IF(OR(entrada!O22=0,entrada!O22=""),"",entrada!O22)</f>
        <v>2.3999999999999998E-3</v>
      </c>
      <c r="I13" s="19" t="str">
        <f>IF(OR(entrada!P22=0,entrada!P22=""),"",entrada!P22)</f>
        <v/>
      </c>
      <c r="J13" s="19" t="str">
        <f>IF(OR(entrada!Q22=0,entrada!Q22=""),"",entrada!Q22)</f>
        <v/>
      </c>
      <c r="K13" s="19">
        <f>IF(OR(entrada!R22=0,entrada!R22=""),"",entrada!R22)</f>
        <v>5.0000000000000001E-3</v>
      </c>
      <c r="L13" s="19" t="str">
        <f>IF(OR(entrada!V22=0,entrada!V22=""),"",entrada!V22)</f>
        <v/>
      </c>
      <c r="M13" s="36" t="str">
        <f>IF(OR(entrada!W22=0,entrada!W22=""),"",entrada!W22)</f>
        <v/>
      </c>
      <c r="N13" s="48"/>
    </row>
    <row r="14" spans="1:40" x14ac:dyDescent="0.3">
      <c r="A14" s="50"/>
      <c r="B14" s="77" t="str">
        <f>IF(OR(entrada!B23=0,entrada!B23=""),"",entrada!B23)</f>
        <v>SULFATO COBRE</v>
      </c>
      <c r="C14" s="83">
        <f>IF(OR(entrada!C23=0,entrada!C23=""),"",entrada!C23)</f>
        <v>20</v>
      </c>
      <c r="D14" s="84">
        <f>IF(OR(entrada!D23=0,entrada!D23=""),"",entrada!D23)</f>
        <v>2</v>
      </c>
      <c r="E14" s="19" t="str">
        <f>IF(OR(entrada!L23=0,entrada!L23=""),"",entrada!L23)</f>
        <v/>
      </c>
      <c r="F14" s="19" t="str">
        <f>IF(OR(entrada!M23=0,entrada!M23=""),"",entrada!M23)</f>
        <v/>
      </c>
      <c r="G14" s="19" t="str">
        <f>IF(OR(entrada!N23=0,entrada!N23=""),"",entrada!N23)</f>
        <v/>
      </c>
      <c r="H14" s="19">
        <f>IF(OR(entrada!O23=0,entrada!O23=""),"",entrada!O23)</f>
        <v>1.44E-2</v>
      </c>
      <c r="I14" s="19" t="str">
        <f>IF(OR(entrada!P23=0,entrada!P23=""),"",entrada!P23)</f>
        <v/>
      </c>
      <c r="J14" s="19" t="str">
        <f>IF(OR(entrada!Q23=0,entrada!Q23=""),"",entrada!Q23)</f>
        <v/>
      </c>
      <c r="K14" s="19" t="str">
        <f>IF(OR(entrada!R23=0,entrada!R23=""),"",entrada!R23)</f>
        <v/>
      </c>
      <c r="L14" s="19" t="str">
        <f>IF(OR(entrada!V23=0,entrada!V23=""),"",entrada!V23)</f>
        <v/>
      </c>
      <c r="M14" s="36">
        <f>IF(OR(entrada!W23=0,entrada!W23=""),"",entrada!W23)</f>
        <v>2.7999999999999997E-2</v>
      </c>
      <c r="N14" s="48"/>
    </row>
    <row r="15" spans="1:40" ht="17.25" thickBot="1" x14ac:dyDescent="0.35">
      <c r="A15" s="50"/>
      <c r="B15" s="78" t="str">
        <f>IF(OR(entrada!B24=0,entrada!B24=""),"",entrada!B24)</f>
        <v>SULFATO ZINC 35%</v>
      </c>
      <c r="C15" s="85">
        <f>IF(OR(entrada!C24=0,entrada!C24=""),"",entrada!C24)</f>
        <v>80</v>
      </c>
      <c r="D15" s="86">
        <f>IF(OR(entrada!D24=0,entrada!D24=""),"",entrada!D24)</f>
        <v>8</v>
      </c>
      <c r="E15" s="24" t="str">
        <f>IF(OR(entrada!L24=0,entrada!L24=""),"",entrada!L24)</f>
        <v/>
      </c>
      <c r="F15" s="24">
        <f>IF(OR(entrada!M24=0,entrada!M24=""),"",entrada!M24)</f>
        <v>1.3000000000000001E-2</v>
      </c>
      <c r="G15" s="24" t="str">
        <f>IF(OR(entrada!N24=0,entrada!N24=""),"",entrada!N24)</f>
        <v/>
      </c>
      <c r="H15" s="24" t="str">
        <f>IF(OR(entrada!O24=0,entrada!O24=""),"",entrada!O24)</f>
        <v/>
      </c>
      <c r="I15" s="24">
        <f>IF(OR(entrada!P24=0,entrada!P24=""),"",entrada!P24)</f>
        <v>1.4000000000000002E-2</v>
      </c>
      <c r="J15" s="24" t="str">
        <f>IF(OR(entrada!Q24=0,entrada!Q24=""),"",entrada!Q24)</f>
        <v/>
      </c>
      <c r="K15" s="24" t="str">
        <f>IF(OR(entrada!R24=0,entrada!R24=""),"",entrada!R24)</f>
        <v/>
      </c>
      <c r="L15" s="24">
        <f>IF(OR(entrada!V24=0,entrada!V24=""),"",entrada!V24)</f>
        <v>1.49E-3</v>
      </c>
      <c r="M15" s="38" t="str">
        <f>IF(OR(entrada!W24=0,entrada!W24=""),"",entrada!W24)</f>
        <v/>
      </c>
      <c r="N15" s="48"/>
    </row>
    <row r="16" spans="1:40" ht="17.25" thickBot="1" x14ac:dyDescent="0.35">
      <c r="A16" s="50"/>
      <c r="B16" s="72" t="s">
        <v>85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  <c r="N16" s="48"/>
    </row>
    <row r="17" spans="1:14" x14ac:dyDescent="0.3">
      <c r="A17" s="50"/>
      <c r="B17" s="76"/>
      <c r="C17" s="81"/>
      <c r="D17" s="82"/>
      <c r="E17" s="73"/>
      <c r="F17" s="73"/>
      <c r="G17" s="73"/>
      <c r="H17" s="73"/>
      <c r="I17" s="73"/>
      <c r="J17" s="73"/>
      <c r="K17" s="73"/>
      <c r="L17" s="73"/>
      <c r="M17" s="74"/>
      <c r="N17" s="48"/>
    </row>
    <row r="18" spans="1:14" ht="17.25" thickBot="1" x14ac:dyDescent="0.35">
      <c r="A18" s="50"/>
      <c r="B18" s="89" t="str">
        <f>IF(OR(entrada!B27=0,entrada!B27=""),"",entrada!B27)</f>
        <v>TOTAL</v>
      </c>
      <c r="C18" s="88">
        <f>IF(OR(entrada!C26=0,entrada!C26=""),"",entrada!C26)</f>
        <v>1000</v>
      </c>
      <c r="D18" s="87">
        <f>IF(OR(entrada!D26=0,entrada!D26=""),"",entrada!D26)</f>
        <v>100</v>
      </c>
      <c r="E18" s="66">
        <f>IF(OR(entrada!L27=0,entrada!L27=""),"",entrada!L27)</f>
        <v>7.2800000000000017E-2</v>
      </c>
      <c r="F18" s="66">
        <f>IF(OR(entrada!M27=0,entrada!M27=""),"",entrada!M27)</f>
        <v>0.18980000000000002</v>
      </c>
      <c r="G18" s="66">
        <f>IF(OR(entrada!N27=0,entrada!N27=""),"",entrada!N27)</f>
        <v>5.7499999999999996E-2</v>
      </c>
      <c r="H18" s="66">
        <f>IF(OR(entrada!O27=0,entrada!O27=""),"",entrada!O27)</f>
        <v>6.3200000000000006E-2</v>
      </c>
      <c r="I18" s="66">
        <f>IF(OR(entrada!P27=0,entrada!P27=""),"",entrada!P27)</f>
        <v>1.4000000000000002E-2</v>
      </c>
      <c r="J18" s="66" t="str">
        <f>IF(OR(entrada!Q27=0,entrada!Q27=""),"",entrada!Q27)</f>
        <v/>
      </c>
      <c r="K18" s="66">
        <f>IF(OR(entrada!R27=0,entrada!R27=""),"",entrada!R27)</f>
        <v>5.0000000000000001E-3</v>
      </c>
      <c r="L18" s="66">
        <f>IF(OR(entrada!V27=0,entrada!V27=""),"",entrada!V27)</f>
        <v>7.6486000000000012E-2</v>
      </c>
      <c r="M18" s="67">
        <f>IF(OR(entrada!W27=0,entrada!W27=""),"",entrada!W27)</f>
        <v>2.7999999999999997E-2</v>
      </c>
      <c r="N18" s="48"/>
    </row>
    <row r="19" spans="1:14" ht="17.25" thickBot="1" x14ac:dyDescent="0.35">
      <c r="A19" s="50"/>
      <c r="B19" s="17" t="str">
        <f>IF(OR(entrada!B28=0,entrada!B28=""),"",entrada!B28)</f>
        <v/>
      </c>
      <c r="C19" s="18" t="str">
        <f>IF(OR(entrada!C28=0,entrada!C28=""),"",entrada!C28)</f>
        <v/>
      </c>
      <c r="D19" s="18" t="str">
        <f>IF(OR(entrada!D28=0,entrada!D28=""),"",entrada!D28)</f>
        <v/>
      </c>
      <c r="E19" s="18"/>
      <c r="F19" s="18"/>
      <c r="G19" s="18"/>
      <c r="H19" s="18"/>
      <c r="I19" s="18"/>
      <c r="J19" s="18"/>
      <c r="K19" s="18"/>
      <c r="L19" s="18"/>
      <c r="M19" s="18"/>
      <c r="N19" s="48"/>
    </row>
    <row r="20" spans="1:14" ht="17.25" thickBot="1" x14ac:dyDescent="0.35">
      <c r="A20" s="50"/>
      <c r="B20" s="39" t="str">
        <f>IF(OR(entrada!B29=0,entrada!B29=""),"",entrada!B29)</f>
        <v>CERTIFICADO DE ANALISIS</v>
      </c>
      <c r="C20" s="40" t="str">
        <f>IF(OR(entrada!C29=0,entrada!C29=""),"",entrada!C29)</f>
        <v/>
      </c>
      <c r="D20" s="40" t="str">
        <f>IF(OR(entrada!D29=0,entrada!D29=""),"",entrada!D29)</f>
        <v/>
      </c>
      <c r="E20" s="41" t="str">
        <f>IF(OR(entrada!L29=0,entrada!L29=""),"",entrada!L29)</f>
        <v/>
      </c>
      <c r="F20" s="41" t="str">
        <f>IF(OR(entrada!M29=0,entrada!M29=""),"",entrada!M29)</f>
        <v/>
      </c>
      <c r="G20" s="41" t="str">
        <f>IF(OR(entrada!N29=0,entrada!N29=""),"",entrada!N29)</f>
        <v/>
      </c>
      <c r="H20" s="41" t="str">
        <f>IF(OR(entrada!O29=0,entrada!O29=""),"",entrada!O29)</f>
        <v/>
      </c>
      <c r="I20" s="41" t="str">
        <f>IF(OR(entrada!P29=0,entrada!P29=""),"",entrada!P29)</f>
        <v/>
      </c>
      <c r="J20" s="41" t="str">
        <f>IF(OR(entrada!Q29=0,entrada!Q29=""),"",entrada!Q29)</f>
        <v/>
      </c>
      <c r="K20" s="41" t="str">
        <f>IF(OR(entrada!R29=0,entrada!R29=""),"",entrada!R29)</f>
        <v/>
      </c>
      <c r="L20" s="41" t="str">
        <f>IF(OR(entrada!V29=0,entrada!V29=""),"",entrada!V29)</f>
        <v/>
      </c>
      <c r="M20" s="42" t="str">
        <f>IF(OR(entrada!W29=0,entrada!W29=""),"",entrada!W29)</f>
        <v/>
      </c>
      <c r="N20" s="48"/>
    </row>
    <row r="21" spans="1:14" ht="17.25" thickBot="1" x14ac:dyDescent="0.35">
      <c r="A21" s="50"/>
      <c r="B21" s="17" t="str">
        <f>IF(OR(entrada!B30=0,entrada!B30=""),"",entrada!B30)</f>
        <v/>
      </c>
      <c r="C21" s="18" t="str">
        <f>IF(OR(entrada!C30=0,entrada!C30=""),"",entrada!C30)</f>
        <v/>
      </c>
      <c r="D21" s="18" t="str">
        <f>IF(OR(entrada!D30=0,entrada!D30=""),"",entrada!D30)</f>
        <v/>
      </c>
      <c r="E21" s="18" t="str">
        <f>IF(OR(entrada!L30=0,entrada!L30=""),"",entrada!L30)</f>
        <v/>
      </c>
      <c r="F21" s="18" t="str">
        <f>IF(OR(entrada!M30=0,entrada!M30=""),"",entrada!M30)</f>
        <v/>
      </c>
      <c r="G21" s="18" t="str">
        <f>IF(OR(entrada!N30=0,entrada!N30=""),"",entrada!N30)</f>
        <v/>
      </c>
      <c r="H21" s="18" t="str">
        <f>IF(OR(entrada!O30=0,entrada!O30=""),"",entrada!O30)</f>
        <v/>
      </c>
      <c r="I21" s="18" t="str">
        <f>IF(OR(entrada!P30=0,entrada!P30=""),"",entrada!P30)</f>
        <v/>
      </c>
      <c r="J21" s="18" t="str">
        <f>IF(OR(entrada!Q30=0,entrada!Q30=""),"",entrada!Q30)</f>
        <v/>
      </c>
      <c r="K21" s="18" t="str">
        <f>IF(OR(entrada!R30=0,entrada!R30=""),"",entrada!R30)</f>
        <v/>
      </c>
      <c r="L21" s="18" t="str">
        <f>IF(OR(entrada!V30=0,entrada!V30=""),"",entrada!V30)</f>
        <v/>
      </c>
      <c r="M21" s="18" t="str">
        <f>IF(OR(entrada!W30=0,entrada!W30=""),"",entrada!W30)</f>
        <v/>
      </c>
      <c r="N21" s="48"/>
    </row>
    <row r="22" spans="1:14" ht="17.25" thickBot="1" x14ac:dyDescent="0.35">
      <c r="A22" s="50"/>
      <c r="B22" s="130" t="str">
        <f>IF(OR(entrada!B31=0,entrada!B31=""),"",entrada!B31)</f>
        <v>CONTENIDOS MINIMOS*1</v>
      </c>
      <c r="C22" s="131"/>
      <c r="D22" s="145"/>
      <c r="E22" s="34" t="str">
        <f>IF(OR(entrada!L31=0,entrada!L31=""),"",entrada!L31)</f>
        <v/>
      </c>
      <c r="F22" s="34" t="str">
        <f>IF(OR(entrada!M31=0,entrada!M31=""),"",entrada!M31)</f>
        <v/>
      </c>
      <c r="G22" s="34" t="str">
        <f>IF(OR(entrada!N31=0,entrada!N31=""),"",entrada!N31)</f>
        <v/>
      </c>
      <c r="H22" s="34" t="str">
        <f>IF(OR(entrada!O31=0,entrada!O31=""),"",entrada!O31)</f>
        <v/>
      </c>
      <c r="I22" s="34" t="str">
        <f>IF(OR(entrada!P31=0,entrada!P31=""),"",entrada!P31)</f>
        <v/>
      </c>
      <c r="J22" s="34" t="str">
        <f>IF(OR(entrada!Q31=0,entrada!Q31=""),"",entrada!Q31)</f>
        <v/>
      </c>
      <c r="K22" s="34" t="str">
        <f>IF(OR(entrada!R31=0,entrada!R31=""),"",entrada!R31)</f>
        <v/>
      </c>
      <c r="L22" s="34" t="str">
        <f>IF(OR(entrada!V31=0,entrada!V31=""),"",entrada!V31)</f>
        <v/>
      </c>
      <c r="M22" s="34" t="str">
        <f>IF(OR(entrada!W31=0,entrada!W31=""),"",entrada!W31)</f>
        <v/>
      </c>
      <c r="N22" s="48"/>
    </row>
    <row r="23" spans="1:14" x14ac:dyDescent="0.3">
      <c r="A23" s="50"/>
      <c r="B23" s="136" t="str">
        <f>IF(OR(entrada!B32=0,entrada!B32=""),"",entrada!B32)</f>
        <v>NPK (Formula sola o en mezcla con micronutrientes)</v>
      </c>
      <c r="C23" s="137" t="str">
        <f>IF(OR(entrada!C32=0,entrada!C32=""),"",entrada!C32)</f>
        <v/>
      </c>
      <c r="D23" s="138" t="str">
        <f>IF(OR(entrada!D32=0,entrada!D32=""),"",entrada!D32)</f>
        <v/>
      </c>
      <c r="E23" s="21" t="str">
        <f>IF(OR(entrada!L32=0,entrada!L32=""),"",entrada!L32)</f>
        <v>NO</v>
      </c>
      <c r="F23" s="21" t="str">
        <f>IF(OR(entrada!M32=0,entrada!M32=""),"",entrada!M32)</f>
        <v/>
      </c>
      <c r="G23" s="21" t="str">
        <f>IF(OR(entrada!N32=0,entrada!N32=""),"",entrada!N32)</f>
        <v/>
      </c>
      <c r="H23" s="21" t="str">
        <f>IF(OR(entrada!O32=0,entrada!O32=""),"",entrada!O32)</f>
        <v/>
      </c>
      <c r="I23" s="21" t="str">
        <f>IF(OR(entrada!P32=0,entrada!P32=""),"",entrada!P32)</f>
        <v/>
      </c>
      <c r="J23" s="21" t="str">
        <f>IF(OR(entrada!Q32=0,entrada!Q32=""),"",entrada!Q32)</f>
        <v/>
      </c>
      <c r="K23" s="21" t="str">
        <f>IF(OR(entrada!R32=0,entrada!R32=""),"",entrada!R32)</f>
        <v/>
      </c>
      <c r="L23" s="21" t="str">
        <f>IF(OR(entrada!V32=0,entrada!V32=""),"",entrada!V32)</f>
        <v/>
      </c>
      <c r="M23" s="35" t="str">
        <f>IF(OR(entrada!W32=0,entrada!W32=""),"",entrada!W32)</f>
        <v/>
      </c>
      <c r="N23" s="48"/>
    </row>
    <row r="24" spans="1:14" x14ac:dyDescent="0.3">
      <c r="A24" s="50"/>
      <c r="B24" s="139" t="str">
        <f>IF(OR(entrada!B33=0,entrada!B33=""),"",entrada!B33)</f>
        <v>Secundarios (Formula UNICAMENTE con Ca, Mg, S)</v>
      </c>
      <c r="C24" s="140" t="str">
        <f>IF(OR(entrada!C33=0,entrada!C33=""),"",entrada!C33)</f>
        <v/>
      </c>
      <c r="D24" s="141" t="str">
        <f>IF(OR(entrada!D33=0,entrada!D33=""),"",entrada!D33)</f>
        <v/>
      </c>
      <c r="E24" s="19" t="str">
        <f>IF(OR(entrada!L33=0,entrada!L33=""),"",entrada!L33)</f>
        <v/>
      </c>
      <c r="F24" s="19" t="str">
        <f>IF(OR(entrada!M33=0,entrada!M33=""),"",entrada!M33)</f>
        <v>NA</v>
      </c>
      <c r="G24" s="19" t="str">
        <f>IF(OR(entrada!N33=0,entrada!N33=""),"",entrada!N33)</f>
        <v>NA</v>
      </c>
      <c r="H24" s="19" t="str">
        <f>IF(OR(entrada!O33=0,entrada!O33=""),"",entrada!O33)</f>
        <v>NA</v>
      </c>
      <c r="I24" s="19" t="str">
        <f>IF(OR(entrada!P33=0,entrada!P33=""),"",entrada!P33)</f>
        <v/>
      </c>
      <c r="J24" s="19" t="str">
        <f>IF(OR(entrada!Q33=0,entrada!Q33=""),"",entrada!Q33)</f>
        <v/>
      </c>
      <c r="K24" s="19" t="str">
        <f>IF(OR(entrada!R33=0,entrada!R33=""),"",entrada!R33)</f>
        <v/>
      </c>
      <c r="L24" s="19" t="str">
        <f>IF(OR(entrada!V33=0,entrada!V33=""),"",entrada!V33)</f>
        <v/>
      </c>
      <c r="M24" s="36" t="str">
        <f>IF(OR(entrada!W33=0,entrada!W33=""),"",entrada!W33)</f>
        <v/>
      </c>
      <c r="N24" s="48"/>
    </row>
    <row r="25" spans="1:14" x14ac:dyDescent="0.3">
      <c r="A25" s="50"/>
      <c r="B25" s="139" t="str">
        <f>IF(OR(entrada!B34=0,entrada!B34=""),"",entrada!B34)</f>
        <v>Micronutrientes: Unicamente micronutrientes</v>
      </c>
      <c r="C25" s="140" t="str">
        <f>IF(OR(entrada!C34=0,entrada!C34=""),"",entrada!C34)</f>
        <v/>
      </c>
      <c r="D25" s="141" t="str">
        <f>IF(OR(entrada!D34=0,entrada!D34=""),"",entrada!D34)</f>
        <v/>
      </c>
      <c r="E25" s="19" t="str">
        <f>IF(OR(entrada!L34=0,entrada!L34=""),"",entrada!L34)</f>
        <v/>
      </c>
      <c r="F25" s="19" t="str">
        <f>IF(OR(entrada!M34=0,entrada!M34=""),"",entrada!M34)</f>
        <v/>
      </c>
      <c r="G25" s="19" t="str">
        <f>IF(OR(entrada!N34=0,entrada!N34=""),"",entrada!N34)</f>
        <v/>
      </c>
      <c r="H25" s="19" t="str">
        <f>IF(OR(entrada!O34=0,entrada!O34=""),"",entrada!O34)</f>
        <v/>
      </c>
      <c r="I25" s="19" t="str">
        <f>IF(OR(entrada!P34=0,entrada!P34=""),"",entrada!P34)</f>
        <v/>
      </c>
      <c r="J25" s="19" t="str">
        <f>IF(OR(entrada!Q34=0,entrada!Q34=""),"",entrada!Q34)</f>
        <v/>
      </c>
      <c r="K25" s="19" t="str">
        <f>IF(OR(entrada!R34=0,entrada!R34=""),"",entrada!R34)</f>
        <v/>
      </c>
      <c r="L25" s="19" t="str">
        <f>IF(OR(entrada!V34=0,entrada!V34=""),"",entrada!V34)</f>
        <v/>
      </c>
      <c r="M25" s="36" t="str">
        <f>IF(OR(entrada!W34=0,entrada!W34=""),"",entrada!W34)</f>
        <v/>
      </c>
      <c r="N25" s="48"/>
    </row>
    <row r="26" spans="1:14" ht="17.25" thickBot="1" x14ac:dyDescent="0.35">
      <c r="A26" s="50"/>
      <c r="B26" s="142" t="str">
        <f>IF(OR(entrada!B35=0,entrada!B35=""),"",entrada!B35)</f>
        <v>Micronutrientes: Mezcla con NPK o secundarios</v>
      </c>
      <c r="C26" s="143" t="str">
        <f>IF(OR(entrada!C35=0,entrada!C35=""),"",entrada!C35)</f>
        <v/>
      </c>
      <c r="D26" s="144" t="str">
        <f>IF(OR(entrada!D35=0,entrada!D35=""),"",entrada!D35)</f>
        <v/>
      </c>
      <c r="E26" s="24" t="str">
        <f>IF(OR(entrada!L35=0,entrada!L35=""),"",entrada!L35)</f>
        <v/>
      </c>
      <c r="F26" s="24" t="str">
        <f>IF(OR(entrada!M35=0,entrada!M35=""),"",entrada!M35)</f>
        <v/>
      </c>
      <c r="G26" s="24" t="str">
        <f>IF(OR(entrada!N35=0,entrada!N35=""),"",entrada!N35)</f>
        <v/>
      </c>
      <c r="H26" s="24" t="str">
        <f>IF(OR(entrada!O35=0,entrada!O35=""),"",entrada!O35)</f>
        <v/>
      </c>
      <c r="I26" s="23" t="str">
        <f>IF(OR(entrada!P35=0,entrada!P35=""),"",entrada!P35)</f>
        <v>SI</v>
      </c>
      <c r="J26" s="23" t="str">
        <f>IF(OR(entrada!Q35=0,entrada!Q35=""),"",entrada!Q35)</f>
        <v/>
      </c>
      <c r="K26" s="23" t="str">
        <f>IF(OR(entrada!R35=0,entrada!R35=""),"",entrada!R35)</f>
        <v>SI</v>
      </c>
      <c r="L26" s="23" t="str">
        <f>IF(OR(entrada!V35=0,entrada!V35=""),"",entrada!V35)</f>
        <v>SI</v>
      </c>
      <c r="M26" s="25" t="str">
        <f>IF(OR(entrada!W35=0,entrada!W35=""),"",entrada!W35)</f>
        <v>SI</v>
      </c>
      <c r="N26" s="48"/>
    </row>
    <row r="27" spans="1:14" s="17" customFormat="1" x14ac:dyDescent="0.3">
      <c r="A27" s="50"/>
      <c r="B27" s="129" t="str">
        <f>IF(OR(entrada!B36=0,entrada!B36=""),"",entrada!B36)</f>
        <v>*1 Resolución ICA 150 de 2003 ANEXO 11</v>
      </c>
      <c r="C27" s="129" t="str">
        <f>IF(OR(entrada!C36=0,entrada!C36=""),"",entrada!C36)</f>
        <v/>
      </c>
      <c r="D27" s="129" t="str">
        <f>IF(OR(entrada!D36=0,entrada!D36=""),"",entrada!D36)</f>
        <v/>
      </c>
      <c r="E27" s="34" t="str">
        <f>IF(OR(entrada!L36=0,entrada!L36=""),"",entrada!L36)</f>
        <v/>
      </c>
      <c r="F27" s="34" t="str">
        <f>IF(OR(entrada!M36=0,entrada!M36=""),"",entrada!M36)</f>
        <v/>
      </c>
      <c r="G27" s="34" t="str">
        <f>IF(OR(entrada!N36=0,entrada!N36=""),"",entrada!N36)</f>
        <v/>
      </c>
      <c r="H27" s="34" t="str">
        <f>IF(OR(entrada!O36=0,entrada!O36=""),"",entrada!O36)</f>
        <v/>
      </c>
      <c r="I27" s="34" t="str">
        <f>IF(OR(entrada!P36=0,entrada!P36=""),"",entrada!P36)</f>
        <v/>
      </c>
      <c r="J27" s="34" t="str">
        <f>IF(OR(entrada!Q36=0,entrada!Q36=""),"",entrada!Q36)</f>
        <v/>
      </c>
      <c r="K27" s="34" t="str">
        <f>IF(OR(entrada!R36=0,entrada!R36=""),"",entrada!R36)</f>
        <v/>
      </c>
      <c r="L27" s="34" t="str">
        <f>IF(OR(entrada!V36=0,entrada!V36=""),"",entrada!V36)</f>
        <v/>
      </c>
      <c r="M27" s="34" t="str">
        <f>IF(OR(entrada!W36=0,entrada!W36=""),"",entrada!W36)</f>
        <v/>
      </c>
      <c r="N27" s="48"/>
    </row>
    <row r="28" spans="1:14" s="17" customFormat="1" ht="17.25" thickBot="1" x14ac:dyDescent="0.35">
      <c r="A28" s="50"/>
      <c r="B28" s="17" t="str">
        <f>IF(OR(entrada!B37=0,entrada!B37=""),"",entrada!B37)</f>
        <v/>
      </c>
      <c r="C28" s="18" t="str">
        <f>IF(OR(entrada!C37=0,entrada!C37=""),"",entrada!C37)</f>
        <v/>
      </c>
      <c r="D28" s="18" t="str">
        <f>IF(OR(entrada!D37=0,entrada!D37=""),"",entrada!D37)</f>
        <v/>
      </c>
      <c r="E28" s="18" t="str">
        <f>IF(OR(entrada!L37=0,entrada!L37=""),"",entrada!L37)</f>
        <v/>
      </c>
      <c r="F28" s="18" t="str">
        <f>IF(OR(entrada!M37=0,entrada!M37=""),"",entrada!M37)</f>
        <v/>
      </c>
      <c r="G28" s="18" t="str">
        <f>IF(OR(entrada!N37=0,entrada!N37=""),"",entrada!N37)</f>
        <v/>
      </c>
      <c r="H28" s="18" t="str">
        <f>IF(OR(entrada!O37=0,entrada!O37=""),"",entrada!O37)</f>
        <v/>
      </c>
      <c r="I28" s="18" t="str">
        <f>IF(OR(entrada!P37=0,entrada!P37=""),"",entrada!P37)</f>
        <v/>
      </c>
      <c r="J28" s="18" t="str">
        <f>IF(OR(entrada!Q37=0,entrada!Q37=""),"",entrada!Q37)</f>
        <v/>
      </c>
      <c r="K28" s="18" t="str">
        <f>IF(OR(entrada!R37=0,entrada!R37=""),"",entrada!R37)</f>
        <v/>
      </c>
      <c r="L28" s="18" t="str">
        <f>IF(OR(entrada!V37=0,entrada!V37=""),"",entrada!V37)</f>
        <v/>
      </c>
      <c r="M28" s="18" t="str">
        <f>IF(OR(entrada!W37=0,entrada!W37=""),"",entrada!W37)</f>
        <v/>
      </c>
      <c r="N28" s="48"/>
    </row>
    <row r="29" spans="1:14" s="17" customFormat="1" ht="17.25" thickBot="1" x14ac:dyDescent="0.35">
      <c r="A29" s="50"/>
      <c r="B29" s="130" t="str">
        <f>IF(OR(entrada!B38=0,entrada!B38=""),"",entrada!B38)</f>
        <v>TOLERANCIAS*2</v>
      </c>
      <c r="C29" s="131" t="str">
        <f>IF(OR(entrada!C38=0,entrada!C38=""),"",entrada!C38)</f>
        <v/>
      </c>
      <c r="D29" s="145" t="str">
        <f>IF(OR(entrada!D38=0,entrada!D38=""),"",entrada!D38)</f>
        <v/>
      </c>
      <c r="E29" s="34" t="str">
        <f>IF(OR(entrada!L38=0,entrada!L38=""),"",entrada!L38)</f>
        <v/>
      </c>
      <c r="F29" s="34" t="str">
        <f>IF(OR(entrada!M38=0,entrada!M38=""),"",entrada!M38)</f>
        <v/>
      </c>
      <c r="G29" s="34" t="str">
        <f>IF(OR(entrada!N38=0,entrada!N38=""),"",entrada!N38)</f>
        <v/>
      </c>
      <c r="H29" s="34" t="str">
        <f>IF(OR(entrada!O38=0,entrada!O38=""),"",entrada!O38)</f>
        <v/>
      </c>
      <c r="I29" s="34" t="str">
        <f>IF(OR(entrada!P38=0,entrada!P38=""),"",entrada!P38)</f>
        <v/>
      </c>
      <c r="J29" s="34" t="str">
        <f>IF(OR(entrada!Q38=0,entrada!Q38=""),"",entrada!Q38)</f>
        <v/>
      </c>
      <c r="K29" s="34" t="str">
        <f>IF(OR(entrada!R38=0,entrada!R38=""),"",entrada!R38)</f>
        <v/>
      </c>
      <c r="L29" s="34" t="str">
        <f>IF(OR(entrada!V38=0,entrada!V38=""),"",entrada!V38)</f>
        <v/>
      </c>
      <c r="M29" s="34" t="str">
        <f>IF(OR(entrada!W38=0,entrada!W38=""),"",entrada!W38)</f>
        <v/>
      </c>
      <c r="N29" s="48"/>
    </row>
    <row r="30" spans="1:14" s="17" customFormat="1" x14ac:dyDescent="0.3">
      <c r="A30" s="50"/>
      <c r="B30" s="136" t="str">
        <f>IF(OR(entrada!B39=0,entrada!B39=""),"",entrada!B39)</f>
        <v>Calculo</v>
      </c>
      <c r="C30" s="137" t="str">
        <f>IF(OR(entrada!C39=0,entrada!C39=""),"",entrada!C39)</f>
        <v/>
      </c>
      <c r="D30" s="138" t="str">
        <f>IF(OR(entrada!D39=0,entrada!D39=""),"",entrada!D39)</f>
        <v/>
      </c>
      <c r="E30" s="21">
        <f>IF(OR(entrada!L39=0,entrada!L39=""),"",entrada!L39)</f>
        <v>9.168331200000001E-3</v>
      </c>
      <c r="F30" s="21" t="str">
        <f>IF(OR(entrada!M39=0,entrada!M39=""),"",entrada!M39)</f>
        <v/>
      </c>
      <c r="G30" s="21" t="str">
        <f>IF(OR(entrada!N39=0,entrada!N39=""),"",entrada!N39)</f>
        <v/>
      </c>
      <c r="H30" s="21" t="str">
        <f>IF(OR(entrada!O39=0,entrada!O39=""),"",entrada!O39)</f>
        <v/>
      </c>
      <c r="I30" s="21" t="str">
        <f>IF(OR(entrada!P39=0,entrada!P39=""),"",entrada!P39)</f>
        <v/>
      </c>
      <c r="J30" s="21" t="str">
        <f>IF(OR(entrada!Q39=0,entrada!Q39=""),"",entrada!Q39)</f>
        <v/>
      </c>
      <c r="K30" s="21" t="str">
        <f>IF(OR(entrada!R39=0,entrada!R39=""),"",entrada!R39)</f>
        <v/>
      </c>
      <c r="L30" s="21" t="str">
        <f>IF(OR(entrada!V39=0,entrada!V39=""),"",entrada!V39)</f>
        <v/>
      </c>
      <c r="M30" s="35" t="str">
        <f>IF(OR(entrada!W39=0,entrada!W39=""),"",entrada!W39)</f>
        <v/>
      </c>
      <c r="N30" s="48"/>
    </row>
    <row r="31" spans="1:14" s="17" customFormat="1" x14ac:dyDescent="0.3">
      <c r="A31" s="50"/>
      <c r="B31" s="139" t="str">
        <f>IF(OR(entrada!B40=0,entrada!B40=""),"",entrada!B40)</f>
        <v>NPK ¿El contenido está fuera de rango [4%-32%]?*3</v>
      </c>
      <c r="C31" s="140" t="str">
        <f>IF(OR(entrada!C40=0,entrada!C40=""),"",entrada!C40)</f>
        <v/>
      </c>
      <c r="D31" s="141" t="str">
        <f>IF(OR(entrada!D40=0,entrada!D40=""),"",entrada!D40)</f>
        <v/>
      </c>
      <c r="E31" s="19" t="str">
        <f>IF(OR(entrada!L40=0,entrada!L40=""),"",entrada!L40)</f>
        <v>NO</v>
      </c>
      <c r="F31" s="19">
        <f>IF(OR(entrada!M40=0,entrada!M40=""),"",entrada!M40)</f>
        <v>2.4129000000000005E-2</v>
      </c>
      <c r="G31" s="19">
        <f>IF(OR(entrada!N40=0,entrada!N40=""),"",entrada!N40)</f>
        <v>1.21875E-2</v>
      </c>
      <c r="H31" s="19">
        <f>IF(OR(entrada!O40=0,entrada!O40=""),"",entrada!O40)</f>
        <v>7.7400000000000004E-3</v>
      </c>
      <c r="I31" s="19">
        <f>IF(OR(entrada!P40=0,entrada!P40=""),"",entrada!P40)</f>
        <v>3.5500000000000002E-3</v>
      </c>
      <c r="J31" s="22" t="str">
        <f>IF(OR(entrada!Q40=0,entrada!Q40=""),"",entrada!Q40)</f>
        <v/>
      </c>
      <c r="K31" s="22">
        <f>IF(OR(entrada!R40=0,entrada!R40=""),"",entrada!R40)</f>
        <v>1.6499999999999998E-3</v>
      </c>
      <c r="L31" s="22" t="str">
        <f>IF(OR(entrada!V40=0,entrada!V40=""),"",entrada!V40)</f>
        <v/>
      </c>
      <c r="M31" s="36">
        <f>IF(OR(entrada!W40=0,entrada!W40=""),"",entrada!W40)</f>
        <v>8.5499999999999986E-3</v>
      </c>
      <c r="N31" s="48"/>
    </row>
    <row r="32" spans="1:14" s="17" customFormat="1" x14ac:dyDescent="0.3">
      <c r="A32" s="50"/>
      <c r="B32" s="139" t="str">
        <f>IF(OR(entrada!B41=0,entrada!B41=""),"",entrada!B41)</f>
        <v>Secundarios y menores ¿La tolerancia supera el 50% o 1.5pp?*4</v>
      </c>
      <c r="C32" s="140" t="str">
        <f>IF(OR(entrada!C41=0,entrada!C41=""),"",entrada!C41)</f>
        <v/>
      </c>
      <c r="D32" s="141" t="str">
        <f>IF(OR(entrada!D41=0,entrada!D41=""),"",entrada!D41)</f>
        <v/>
      </c>
      <c r="E32" s="19" t="str">
        <f>IF(OR(entrada!L41=0,entrada!L41=""),"",entrada!L41)</f>
        <v/>
      </c>
      <c r="F32" s="19" t="str">
        <f>IF(OR(entrada!M41=0,entrada!M41=""),"",entrada!M41)</f>
        <v>SI</v>
      </c>
      <c r="G32" s="19" t="str">
        <f>IF(OR(entrada!N41=0,entrada!N41=""),"",entrada!N41)</f>
        <v>NO</v>
      </c>
      <c r="H32" s="19" t="str">
        <f>IF(OR(entrada!O41=0,entrada!O41=""),"",entrada!O41)</f>
        <v>NO</v>
      </c>
      <c r="I32" s="19" t="str">
        <f>IF(OR(entrada!P41=0,entrada!P41=""),"",entrada!P41)</f>
        <v>NO</v>
      </c>
      <c r="J32" s="19" t="str">
        <f>IF(OR(entrada!Q41=0,entrada!Q41=""),"",entrada!Q41)</f>
        <v/>
      </c>
      <c r="K32" s="19" t="str">
        <f>IF(OR(entrada!R41=0,entrada!R41=""),"",entrada!R41)</f>
        <v>NO</v>
      </c>
      <c r="L32" s="19" t="str">
        <f>IF(OR(entrada!V41=0,entrada!V41=""),"",entrada!V41)</f>
        <v/>
      </c>
      <c r="M32" s="36" t="str">
        <f>IF(OR(entrada!W41=0,entrada!W41=""),"",entrada!W41)</f>
        <v>NO</v>
      </c>
      <c r="N32" s="48"/>
    </row>
    <row r="33" spans="1:14" s="17" customFormat="1" ht="17.25" thickBot="1" x14ac:dyDescent="0.35">
      <c r="A33" s="50"/>
      <c r="B33" s="142" t="str">
        <f>IF(OR(entrada!B42=0,entrada!B42=""),"",entrada!B42)</f>
        <v>Tolerancia permitida</v>
      </c>
      <c r="C33" s="143" t="str">
        <f>IF(OR(entrada!C42=0,entrada!C42=""),"",entrada!C42)</f>
        <v/>
      </c>
      <c r="D33" s="144" t="str">
        <f>IF(OR(entrada!D42=0,entrada!D42=""),"",entrada!D42)</f>
        <v/>
      </c>
      <c r="E33" s="24">
        <f>IF(OR(entrada!L42=0,entrada!L42=""),"",entrada!L42)</f>
        <v>9.168331200000001E-3</v>
      </c>
      <c r="F33" s="24">
        <f>IF(OR(entrada!M42=0,entrada!M42=""),"",entrada!M42)</f>
        <v>1.4999999999999999E-2</v>
      </c>
      <c r="G33" s="24">
        <f>IF(OR(entrada!N42=0,entrada!N42=""),"",entrada!N42)</f>
        <v>1.4999999999999999E-2</v>
      </c>
      <c r="H33" s="24">
        <f>IF(OR(entrada!O42=0,entrada!O42=""),"",entrada!O42)</f>
        <v>1.4999999999999999E-2</v>
      </c>
      <c r="I33" s="24">
        <f>IF(OR(entrada!P42=0,entrada!P42=""),"",entrada!P42)</f>
        <v>1.4999999999999999E-2</v>
      </c>
      <c r="J33" s="37" t="str">
        <f>IF(OR(entrada!Q42=0,entrada!Q42=""),"",entrada!Q42)</f>
        <v/>
      </c>
      <c r="K33" s="37">
        <f>IF(OR(entrada!R42=0,entrada!R42=""),"",entrada!R42)</f>
        <v>1.4999999999999999E-2</v>
      </c>
      <c r="L33" s="37" t="str">
        <f>IF(OR(entrada!V42=0,entrada!V42=""),"",entrada!V42)</f>
        <v/>
      </c>
      <c r="M33" s="38">
        <f>IF(OR(entrada!W42=0,entrada!W42=""),"",entrada!W42)</f>
        <v>1.4999999999999999E-2</v>
      </c>
      <c r="N33" s="48"/>
    </row>
    <row r="34" spans="1:14" s="17" customFormat="1" x14ac:dyDescent="0.3">
      <c r="A34" s="50"/>
      <c r="B34" s="129" t="str">
        <f>IF(OR(entrada!B43=0,entrada!B43=""),"",entrada!B43)</f>
        <v>*2 NTC 1061:2020 ALCANCE: no aplica para organicos</v>
      </c>
      <c r="C34" s="129" t="str">
        <f>IF(OR(entrada!C43=0,entrada!C43=""),"",entrada!C43)</f>
        <v/>
      </c>
      <c r="D34" s="129" t="str">
        <f>IF(OR(entrada!D43=0,entrada!D43=""),"",entrada!D43)</f>
        <v/>
      </c>
      <c r="E34" s="34" t="str">
        <f>IF(OR(entrada!L43=0,entrada!L43=""),"",entrada!L43)</f>
        <v/>
      </c>
      <c r="F34" s="34" t="str">
        <f>IF(OR(entrada!M43=0,entrada!M43=""),"",entrada!M43)</f>
        <v/>
      </c>
      <c r="G34" s="34" t="str">
        <f>IF(OR(entrada!N43=0,entrada!N43=""),"",entrada!N43)</f>
        <v/>
      </c>
      <c r="H34" s="34" t="str">
        <f>IF(OR(entrada!O43=0,entrada!O43=""),"",entrada!O43)</f>
        <v/>
      </c>
      <c r="I34" s="34" t="str">
        <f>IF(OR(entrada!P43=0,entrada!P43=""),"",entrada!P43)</f>
        <v/>
      </c>
      <c r="J34" s="34" t="str">
        <f>IF(OR(entrada!Q43=0,entrada!Q43=""),"",entrada!Q43)</f>
        <v/>
      </c>
      <c r="K34" s="34" t="str">
        <f>IF(OR(entrada!R43=0,entrada!R43=""),"",entrada!R43)</f>
        <v/>
      </c>
      <c r="L34" s="34" t="str">
        <f>IF(OR(entrada!V43=0,entrada!V43=""),"",entrada!V43)</f>
        <v/>
      </c>
      <c r="M34" s="34" t="str">
        <f>IF(OR(entrada!W43=0,entrada!W43=""),"",entrada!W43)</f>
        <v/>
      </c>
      <c r="N34" s="48"/>
    </row>
    <row r="35" spans="1:14" s="17" customFormat="1" x14ac:dyDescent="0.3">
      <c r="A35" s="50"/>
      <c r="B35" s="129" t="str">
        <f>IF(OR(entrada!B44=0,entrada!B44=""),"",entrada!B44)</f>
        <v xml:space="preserve">*3 NTC 1061:2020 4.1 </v>
      </c>
      <c r="C35" s="129" t="str">
        <f>IF(OR(entrada!C44=0,entrada!C44=""),"",entrada!C44)</f>
        <v/>
      </c>
      <c r="D35" s="129" t="str">
        <f>IF(OR(entrada!D44=0,entrada!D44=""),"",entrada!D44)</f>
        <v/>
      </c>
      <c r="E35" s="34" t="str">
        <f>IF(OR(entrada!L44=0,entrada!L44=""),"",entrada!L44)</f>
        <v/>
      </c>
      <c r="F35" s="34" t="str">
        <f>IF(OR(entrada!M44=0,entrada!M44=""),"",entrada!M44)</f>
        <v/>
      </c>
      <c r="G35" s="34" t="str">
        <f>IF(OR(entrada!N44=0,entrada!N44=""),"",entrada!N44)</f>
        <v/>
      </c>
      <c r="H35" s="34" t="str">
        <f>IF(OR(entrada!O44=0,entrada!O44=""),"",entrada!O44)</f>
        <v/>
      </c>
      <c r="I35" s="34" t="str">
        <f>IF(OR(entrada!P44=0,entrada!P44=""),"",entrada!P44)</f>
        <v/>
      </c>
      <c r="J35" s="34" t="str">
        <f>IF(OR(entrada!Q44=0,entrada!Q44=""),"",entrada!Q44)</f>
        <v/>
      </c>
      <c r="K35" s="34" t="str">
        <f>IF(OR(entrada!R44=0,entrada!R44=""),"",entrada!R44)</f>
        <v/>
      </c>
      <c r="L35" s="34" t="str">
        <f>IF(OR(entrada!V44=0,entrada!V44=""),"",entrada!V44)</f>
        <v/>
      </c>
      <c r="M35" s="34" t="str">
        <f>IF(OR(entrada!W44=0,entrada!W44=""),"",entrada!W44)</f>
        <v/>
      </c>
      <c r="N35" s="48"/>
    </row>
    <row r="36" spans="1:14" s="17" customFormat="1" x14ac:dyDescent="0.3">
      <c r="A36" s="50"/>
      <c r="B36" s="129" t="str">
        <f>IF(OR(entrada!B45=0,entrada!B45=""),"",entrada!B45)</f>
        <v xml:space="preserve">*4 NTC 1061:2020 4.2.1 - 4.2.2 </v>
      </c>
      <c r="C36" s="129" t="str">
        <f>IF(OR(entrada!C45=0,entrada!C45=""),"",entrada!C45)</f>
        <v/>
      </c>
      <c r="D36" s="129" t="str">
        <f>IF(OR(entrada!D45=0,entrada!D45=""),"",entrada!D45)</f>
        <v/>
      </c>
      <c r="E36" s="34" t="str">
        <f>IF(OR(entrada!L45=0,entrada!L45=""),"",entrada!L45)</f>
        <v/>
      </c>
      <c r="F36" s="34" t="str">
        <f>IF(OR(entrada!M45=0,entrada!M45=""),"",entrada!M45)</f>
        <v/>
      </c>
      <c r="G36" s="34" t="str">
        <f>IF(OR(entrada!N45=0,entrada!N45=""),"",entrada!N45)</f>
        <v/>
      </c>
      <c r="H36" s="34" t="str">
        <f>IF(OR(entrada!O45=0,entrada!O45=""),"",entrada!O45)</f>
        <v/>
      </c>
      <c r="I36" s="34" t="str">
        <f>IF(OR(entrada!P45=0,entrada!P45=""),"",entrada!P45)</f>
        <v/>
      </c>
      <c r="J36" s="34" t="str">
        <f>IF(OR(entrada!Q45=0,entrada!Q45=""),"",entrada!Q45)</f>
        <v/>
      </c>
      <c r="K36" s="34" t="str">
        <f>IF(OR(entrada!R45=0,entrada!R45=""),"",entrada!R45)</f>
        <v/>
      </c>
      <c r="L36" s="34" t="str">
        <f>IF(OR(entrada!V45=0,entrada!V45=""),"",entrada!V45)</f>
        <v/>
      </c>
      <c r="M36" s="34" t="str">
        <f>IF(OR(entrada!W45=0,entrada!W45=""),"",entrada!W45)</f>
        <v/>
      </c>
      <c r="N36" s="48"/>
    </row>
    <row r="37" spans="1:14" ht="17.25" thickBot="1" x14ac:dyDescent="0.35">
      <c r="A37" s="50"/>
      <c r="B37" s="17" t="str">
        <f>IF(OR(entrada!B46=0,entrada!B46=""),"",entrada!B46)</f>
        <v/>
      </c>
      <c r="C37" s="18" t="str">
        <f>IF(OR(entrada!C46=0,entrada!C46=""),"",entrada!C46)</f>
        <v/>
      </c>
      <c r="D37" s="18" t="str">
        <f>IF(OR(entrada!D46=0,entrada!D46=""),"",entrada!D46)</f>
        <v/>
      </c>
      <c r="E37" s="34" t="str">
        <f>IF(OR(entrada!L46=0,entrada!L46=""),"",entrada!L46)</f>
        <v/>
      </c>
      <c r="F37" s="34" t="str">
        <f>IF(OR(entrada!M46=0,entrada!M46=""),"",entrada!M46)</f>
        <v/>
      </c>
      <c r="G37" s="34" t="str">
        <f>IF(OR(entrada!N46=0,entrada!N46=""),"",entrada!N46)</f>
        <v/>
      </c>
      <c r="H37" s="34" t="str">
        <f>IF(OR(entrada!O46=0,entrada!O46=""),"",entrada!O46)</f>
        <v/>
      </c>
      <c r="I37" s="34" t="str">
        <f>IF(OR(entrada!P46=0,entrada!P46=""),"",entrada!P46)</f>
        <v/>
      </c>
      <c r="J37" s="34" t="str">
        <f>IF(OR(entrada!Q46=0,entrada!Q46=""),"",entrada!Q46)</f>
        <v/>
      </c>
      <c r="K37" s="34" t="str">
        <f>IF(OR(entrada!R46=0,entrada!R46=""),"",entrada!R46)</f>
        <v/>
      </c>
      <c r="L37" s="34" t="str">
        <f>IF(OR(entrada!V46=0,entrada!V46=""),"",entrada!V46)</f>
        <v/>
      </c>
      <c r="M37" s="34" t="str">
        <f>IF(OR(entrada!W46=0,entrada!W46=""),"",entrada!W46)</f>
        <v/>
      </c>
      <c r="N37" s="48"/>
    </row>
    <row r="38" spans="1:14" x14ac:dyDescent="0.3">
      <c r="A38" s="50"/>
      <c r="B38" s="130" t="str">
        <f>IF(OR(entrada!B47=0,entrada!B47=""),"",entrada!B47)</f>
        <v>Tolerancia Mínima NTC</v>
      </c>
      <c r="C38" s="131" t="str">
        <f>IF(OR(entrada!C47=0,entrada!C47=""),"",entrada!C47)</f>
        <v/>
      </c>
      <c r="D38" s="131" t="str">
        <f>IF(OR(entrada!D47=0,entrada!D47=""),"",entrada!D47)</f>
        <v/>
      </c>
      <c r="E38" s="21">
        <f>IF(OR(entrada!L47=0,entrada!L47=""),"",entrada!L47)</f>
        <v>6.3631668800000013E-2</v>
      </c>
      <c r="F38" s="21">
        <f>IF(OR(entrada!M47=0,entrada!M47=""),"",entrada!M47)</f>
        <v>0.17480000000000001</v>
      </c>
      <c r="G38" s="21">
        <f>IF(OR(entrada!N47=0,entrada!N47=""),"",entrada!N47)</f>
        <v>4.2499999999999996E-2</v>
      </c>
      <c r="H38" s="21">
        <f>IF(OR(entrada!O47=0,entrada!O47=""),"",entrada!O47)</f>
        <v>4.8200000000000007E-2</v>
      </c>
      <c r="I38" s="21">
        <f>IF(OR(entrada!P47=0,entrada!P47=""),"",entrada!P47)</f>
        <v>-9.9999999999999742E-4</v>
      </c>
      <c r="J38" s="20" t="str">
        <f>IF(OR(entrada!Q47=0,entrada!Q47=""),"",entrada!Q47)</f>
        <v/>
      </c>
      <c r="K38" s="20">
        <f>IF(OR(entrada!R47=0,entrada!R47=""),"",entrada!R47)</f>
        <v>-9.9999999999999985E-3</v>
      </c>
      <c r="L38" s="20" t="str">
        <f>IF(OR(entrada!V47=0,entrada!V47=""),"",entrada!V47)</f>
        <v/>
      </c>
      <c r="M38" s="35">
        <f>IF(OR(entrada!W47=0,entrada!W47=""),"",entrada!W47)</f>
        <v>1.2999999999999998E-2</v>
      </c>
      <c r="N38" s="48"/>
    </row>
    <row r="39" spans="1:14" x14ac:dyDescent="0.3">
      <c r="A39" s="50"/>
      <c r="B39" s="132" t="str">
        <f>IF(OR(entrada!B48=0,entrada!B48=""),"",entrada!B48)</f>
        <v>SOLICITUD DE REGISTRO ICA: MATERIA PRIMA</v>
      </c>
      <c r="C39" s="133" t="str">
        <f>IF(OR(entrada!C48=0,entrada!C48=""),"",entrada!C48)</f>
        <v/>
      </c>
      <c r="D39" s="133" t="str">
        <f>IF(OR(entrada!D48=0,entrada!D48=""),"",entrada!D48)</f>
        <v/>
      </c>
      <c r="E39" s="19">
        <f>IF(OR(entrada!L48=0,entrada!L48=""),"",entrada!L48)</f>
        <v>7.2800000000000017E-2</v>
      </c>
      <c r="F39" s="19">
        <f>IF(OR(entrada!M48=0,entrada!M48=""),"",entrada!M48)</f>
        <v>0.18980000000000002</v>
      </c>
      <c r="G39" s="19">
        <f>IF(OR(entrada!N48=0,entrada!N48=""),"",entrada!N48)</f>
        <v>5.7499999999999996E-2</v>
      </c>
      <c r="H39" s="19">
        <f>IF(OR(entrada!O48=0,entrada!O48=""),"",entrada!O48)</f>
        <v>6.3200000000000006E-2</v>
      </c>
      <c r="I39" s="19">
        <f>IF(OR(entrada!P48=0,entrada!P48=""),"",entrada!P48)</f>
        <v>1.4000000000000002E-2</v>
      </c>
      <c r="J39" s="22" t="str">
        <f>IF(OR(entrada!Q48=0,entrada!Q48=""),"",entrada!Q48)</f>
        <v/>
      </c>
      <c r="K39" s="22">
        <f>IF(OR(entrada!R48=0,entrada!R48=""),"",entrada!R48)</f>
        <v>5.0000000000000001E-3</v>
      </c>
      <c r="L39" s="22">
        <f>IF(OR(entrada!V48=0,entrada!V48=""),"",entrada!V48)</f>
        <v>7.6486000000000012E-2</v>
      </c>
      <c r="M39" s="36">
        <f>IF(OR(entrada!W48=0,entrada!W48=""),"",entrada!W48)</f>
        <v>2.7999999999999997E-2</v>
      </c>
      <c r="N39" s="48"/>
    </row>
    <row r="40" spans="1:14" ht="17.25" thickBot="1" x14ac:dyDescent="0.35">
      <c r="A40" s="50"/>
      <c r="B40" s="134" t="str">
        <f>IF(OR(entrada!B49=0,entrada!B49=""),"",entrada!B49)</f>
        <v>Tolerancia Máxima NTC</v>
      </c>
      <c r="C40" s="135" t="str">
        <f>IF(OR(entrada!C49=0,entrada!C49=""),"",entrada!C49)</f>
        <v/>
      </c>
      <c r="D40" s="135" t="str">
        <f>IF(OR(entrada!D49=0,entrada!D49=""),"",entrada!D49)</f>
        <v/>
      </c>
      <c r="E40" s="24">
        <f>IF(OR(entrada!L49=0,entrada!L49=""),"",entrada!L49)</f>
        <v>8.1968331200000022E-2</v>
      </c>
      <c r="F40" s="24">
        <f>IF(OR(entrada!M49=0,entrada!M49=""),"",entrada!M49)</f>
        <v>0.20480000000000004</v>
      </c>
      <c r="G40" s="24">
        <f>IF(OR(entrada!N49=0,entrada!N49=""),"",entrada!N49)</f>
        <v>7.2499999999999995E-2</v>
      </c>
      <c r="H40" s="24">
        <f>IF(OR(entrada!O49=0,entrada!O49=""),"",entrada!O49)</f>
        <v>7.8200000000000006E-2</v>
      </c>
      <c r="I40" s="24">
        <f>IF(OR(entrada!P49=0,entrada!P49=""),"",entrada!P49)</f>
        <v>2.9000000000000001E-2</v>
      </c>
      <c r="J40" s="23" t="str">
        <f>IF(OR(entrada!Q49=0,entrada!Q49=""),"",entrada!Q49)</f>
        <v/>
      </c>
      <c r="K40" s="23">
        <f>IF(OR(entrada!R49=0,entrada!R49=""),"",entrada!R49)</f>
        <v>0.02</v>
      </c>
      <c r="L40" s="23" t="str">
        <f>IF(OR(entrada!V49=0,entrada!V49=""),"",entrada!V49)</f>
        <v/>
      </c>
      <c r="M40" s="38">
        <f>IF(OR(entrada!W49=0,entrada!W49=""),"",entrada!W49)</f>
        <v>4.2999999999999997E-2</v>
      </c>
      <c r="N40" s="48"/>
    </row>
    <row r="41" spans="1:14" s="17" customFormat="1" x14ac:dyDescent="0.3">
      <c r="A41" s="50"/>
      <c r="B41" s="17" t="str">
        <f>IF(OR(entrada!B50=0,entrada!B50=""),"",entrada!B50)</f>
        <v/>
      </c>
      <c r="C41" s="18" t="str">
        <f>IF(OR(entrada!C50=0,entrada!C50=""),"",entrada!C50)</f>
        <v/>
      </c>
      <c r="D41" s="18" t="str">
        <f>IF(OR(entrada!D50=0,entrada!D50=""),"",entrada!D50)</f>
        <v/>
      </c>
      <c r="E41" s="18" t="str">
        <f>IF(OR(entrada!L50=0,entrada!L50=""),"",entrada!L50)</f>
        <v/>
      </c>
      <c r="F41" s="18" t="str">
        <f>IF(OR(entrada!M50=0,entrada!M50=""),"",entrada!M50)</f>
        <v/>
      </c>
      <c r="G41" s="18" t="str">
        <f>IF(OR(entrada!N50=0,entrada!N50=""),"",entrada!N50)</f>
        <v/>
      </c>
      <c r="H41" s="18" t="str">
        <f>IF(OR(entrada!O50=0,entrada!O50=""),"",entrada!O50)</f>
        <v/>
      </c>
      <c r="I41" s="18" t="str">
        <f>IF(OR(entrada!P50=0,entrada!P50=""),"",entrada!P50)</f>
        <v/>
      </c>
      <c r="J41" s="18" t="str">
        <f>IF(OR(entrada!Q50=0,entrada!Q50=""),"",entrada!Q50)</f>
        <v/>
      </c>
      <c r="K41" s="18" t="str">
        <f>IF(OR(entrada!R50=0,entrada!R50=""),"",entrada!R50)</f>
        <v/>
      </c>
      <c r="L41" s="18" t="str">
        <f>IF(OR(entrada!V50=0,entrada!V50=""),"",entrada!V50)</f>
        <v/>
      </c>
      <c r="M41" s="18" t="str">
        <f>IF(OR(entrada!W50=0,entrada!W50=""),"",entrada!W50)</f>
        <v/>
      </c>
      <c r="N41" s="48"/>
    </row>
    <row r="42" spans="1:14" s="17" customFormat="1" x14ac:dyDescent="0.3">
      <c r="A42" s="50"/>
      <c r="B42" s="17" t="str">
        <f>IF(OR(entrada!B53=0,entrada!B53=""),"",entrada!B53)</f>
        <v/>
      </c>
      <c r="C42" s="18" t="str">
        <f>IF(OR(entrada!C53=0,entrada!C53=""),"",entrada!C53)</f>
        <v/>
      </c>
      <c r="D42" s="18" t="str">
        <f>IF(OR(entrada!D53=0,entrada!D53=""),"",entrada!D53)</f>
        <v/>
      </c>
      <c r="E42" s="18" t="str">
        <f>IF(OR(entrada!L53=0,entrada!L53=""),"",entrada!L53)</f>
        <v/>
      </c>
      <c r="F42" s="18" t="str">
        <f>IF(OR(entrada!M53=0,entrada!M53=""),"",entrada!M53)</f>
        <v/>
      </c>
      <c r="G42" s="18" t="str">
        <f>IF(OR(entrada!N53=0,entrada!N53=""),"",entrada!N53)</f>
        <v/>
      </c>
      <c r="H42" s="18" t="str">
        <f>IF(OR(entrada!O53=0,entrada!O53=""),"",entrada!O53)</f>
        <v/>
      </c>
      <c r="I42" s="18" t="str">
        <f>IF(OR(entrada!P53=0,entrada!P53=""),"",entrada!P53)</f>
        <v/>
      </c>
      <c r="J42" s="18" t="str">
        <f>IF(OR(entrada!Q53=0,entrada!Q53=""),"",entrada!Q53)</f>
        <v/>
      </c>
      <c r="K42" s="18" t="str">
        <f>IF(OR(entrada!R53=0,entrada!R53=""),"",entrada!R53)</f>
        <v/>
      </c>
      <c r="L42" s="18" t="str">
        <f>IF(OR(entrada!V53=0,entrada!V53=""),"",entrada!V53)</f>
        <v/>
      </c>
      <c r="M42" s="18" t="str">
        <f>IF(OR(entrada!W53=0,entrada!W53=""),"",entrada!W53)</f>
        <v/>
      </c>
      <c r="N42" s="48"/>
    </row>
    <row r="43" spans="1:14" s="17" customFormat="1" x14ac:dyDescent="0.3">
      <c r="A43" s="50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48"/>
    </row>
    <row r="44" spans="1:14" s="17" customFormat="1" x14ac:dyDescent="0.3">
      <c r="A44" s="53"/>
      <c r="B44" s="54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6"/>
    </row>
    <row r="45" spans="1:14" s="17" customFormat="1" x14ac:dyDescent="0.3"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4" s="17" customFormat="1" x14ac:dyDescent="0.3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4" s="17" customFormat="1" x14ac:dyDescent="0.3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4" s="17" customFormat="1" x14ac:dyDescent="0.3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3:13" s="17" customFormat="1" x14ac:dyDescent="0.3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3:13" s="17" customFormat="1" x14ac:dyDescent="0.3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3:13" s="17" customFormat="1" x14ac:dyDescent="0.3"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3:13" s="17" customFormat="1" x14ac:dyDescent="0.3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3:13" s="17" customFormat="1" x14ac:dyDescent="0.3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3:13" s="17" customFormat="1" x14ac:dyDescent="0.3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3:13" s="17" customFormat="1" x14ac:dyDescent="0.3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3:13" s="17" customFormat="1" x14ac:dyDescent="0.3"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3:13" s="17" customFormat="1" x14ac:dyDescent="0.3"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3:13" s="17" customFormat="1" x14ac:dyDescent="0.3"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3:13" s="17" customFormat="1" x14ac:dyDescent="0.3"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3:13" s="17" customFormat="1" x14ac:dyDescent="0.3"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3:13" s="17" customFormat="1" x14ac:dyDescent="0.3"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3:13" s="17" customFormat="1" x14ac:dyDescent="0.3"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3:13" s="17" customFormat="1" x14ac:dyDescent="0.3"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3:13" s="17" customFormat="1" x14ac:dyDescent="0.3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3:13" s="17" customFormat="1" x14ac:dyDescent="0.3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3:13" s="17" customFormat="1" x14ac:dyDescent="0.3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3:13" s="17" customFormat="1" x14ac:dyDescent="0.3"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3:13" s="17" customFormat="1" x14ac:dyDescent="0.3"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3:13" s="17" customFormat="1" x14ac:dyDescent="0.3"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3:13" s="17" customFormat="1" x14ac:dyDescent="0.3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3:13" s="17" customFormat="1" x14ac:dyDescent="0.3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3:13" s="17" customFormat="1" x14ac:dyDescent="0.3"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3:13" s="17" customFormat="1" x14ac:dyDescent="0.3"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3:13" s="17" customFormat="1" x14ac:dyDescent="0.3"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3:13" s="17" customFormat="1" x14ac:dyDescent="0.3"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3:13" s="17" customFormat="1" x14ac:dyDescent="0.3"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3:13" s="17" customFormat="1" x14ac:dyDescent="0.3"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3:13" s="17" customFormat="1" x14ac:dyDescent="0.3"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3:13" s="17" customFormat="1" x14ac:dyDescent="0.3"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3:13" s="17" customFormat="1" x14ac:dyDescent="0.3"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3:13" s="17" customFormat="1" x14ac:dyDescent="0.3"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3:13" s="17" customFormat="1" x14ac:dyDescent="0.3"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3:13" s="17" customFormat="1" x14ac:dyDescent="0.3"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3:13" s="17" customFormat="1" x14ac:dyDescent="0.3"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3:13" s="17" customFormat="1" x14ac:dyDescent="0.3"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3:13" s="17" customFormat="1" x14ac:dyDescent="0.3"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3:13" s="17" customFormat="1" x14ac:dyDescent="0.3"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3:13" s="17" customFormat="1" x14ac:dyDescent="0.3"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3:13" s="17" customFormat="1" x14ac:dyDescent="0.3"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3:13" s="17" customFormat="1" x14ac:dyDescent="0.3"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3:13" s="17" customFormat="1" x14ac:dyDescent="0.3"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3:13" s="17" customFormat="1" x14ac:dyDescent="0.3"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3:13" s="17" customFormat="1" x14ac:dyDescent="0.3"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3:13" s="17" customFormat="1" x14ac:dyDescent="0.3"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3:13" s="17" customFormat="1" x14ac:dyDescent="0.3"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3:13" s="17" customFormat="1" x14ac:dyDescent="0.3"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3:13" s="17" customFormat="1" x14ac:dyDescent="0.3"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3:13" s="17" customFormat="1" x14ac:dyDescent="0.3"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3:13" s="17" customFormat="1" x14ac:dyDescent="0.3"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3:13" s="17" customFormat="1" x14ac:dyDescent="0.3"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3:13" s="17" customFormat="1" x14ac:dyDescent="0.3"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3:13" s="17" customFormat="1" x14ac:dyDescent="0.3"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3:13" s="17" customFormat="1" x14ac:dyDescent="0.3"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3:13" s="17" customFormat="1" x14ac:dyDescent="0.3"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3:13" s="17" customFormat="1" x14ac:dyDescent="0.3"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3:13" s="17" customFormat="1" x14ac:dyDescent="0.3"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3:13" s="17" customFormat="1" x14ac:dyDescent="0.3"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3:13" s="17" customFormat="1" x14ac:dyDescent="0.3"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3:13" s="17" customFormat="1" x14ac:dyDescent="0.3"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3:13" s="17" customFormat="1" x14ac:dyDescent="0.3"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3:13" s="17" customFormat="1" x14ac:dyDescent="0.3"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3:13" s="17" customFormat="1" x14ac:dyDescent="0.3"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3:13" s="17" customFormat="1" x14ac:dyDescent="0.3"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3:13" s="17" customFormat="1" x14ac:dyDescent="0.3"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3:13" s="17" customFormat="1" x14ac:dyDescent="0.3"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3:13" s="17" customFormat="1" x14ac:dyDescent="0.3"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3:13" s="17" customFormat="1" x14ac:dyDescent="0.3"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3:13" s="17" customFormat="1" x14ac:dyDescent="0.3"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3:13" s="17" customFormat="1" x14ac:dyDescent="0.3"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3:13" s="17" customFormat="1" x14ac:dyDescent="0.3"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3:13" s="17" customFormat="1" x14ac:dyDescent="0.3"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3:13" s="17" customFormat="1" x14ac:dyDescent="0.3"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3:13" s="17" customFormat="1" x14ac:dyDescent="0.3"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3:13" s="17" customFormat="1" x14ac:dyDescent="0.3"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3:13" s="17" customFormat="1" x14ac:dyDescent="0.3"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3:13" s="17" customFormat="1" x14ac:dyDescent="0.3"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3:13" s="17" customFormat="1" x14ac:dyDescent="0.3"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3:13" s="17" customFormat="1" x14ac:dyDescent="0.3"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3:13" s="17" customFormat="1" x14ac:dyDescent="0.3"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3:13" s="17" customFormat="1" x14ac:dyDescent="0.3"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3:13" s="17" customFormat="1" x14ac:dyDescent="0.3"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3:13" s="17" customFormat="1" x14ac:dyDescent="0.3"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3:13" s="17" customFormat="1" x14ac:dyDescent="0.3"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3:13" s="17" customFormat="1" x14ac:dyDescent="0.3"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3:13" s="17" customFormat="1" x14ac:dyDescent="0.3"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3:13" s="17" customFormat="1" x14ac:dyDescent="0.3"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3:13" s="17" customFormat="1" x14ac:dyDescent="0.3"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3:13" s="17" customFormat="1" x14ac:dyDescent="0.3"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3:13" s="17" customFormat="1" x14ac:dyDescent="0.3"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3:13" s="17" customFormat="1" x14ac:dyDescent="0.3"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3:13" s="17" customFormat="1" x14ac:dyDescent="0.3"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3:13" s="17" customFormat="1" x14ac:dyDescent="0.3"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3:13" s="17" customFormat="1" x14ac:dyDescent="0.3"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3:13" s="17" customFormat="1" x14ac:dyDescent="0.3"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3:13" s="17" customFormat="1" x14ac:dyDescent="0.3"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3:13" s="17" customFormat="1" x14ac:dyDescent="0.3"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3:13" s="17" customFormat="1" x14ac:dyDescent="0.3"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3:13" s="17" customFormat="1" x14ac:dyDescent="0.3"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3:13" s="17" customFormat="1" x14ac:dyDescent="0.3"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3:13" s="17" customFormat="1" x14ac:dyDescent="0.3"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3:13" s="17" customFormat="1" x14ac:dyDescent="0.3"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3:13" s="17" customFormat="1" x14ac:dyDescent="0.3"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3:13" s="17" customFormat="1" x14ac:dyDescent="0.3"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3:13" s="17" customFormat="1" x14ac:dyDescent="0.3"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3:13" s="17" customFormat="1" x14ac:dyDescent="0.3"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</sheetData>
  <mergeCells count="22">
    <mergeCell ref="B29:D29"/>
    <mergeCell ref="C2:D4"/>
    <mergeCell ref="L2:M2"/>
    <mergeCell ref="L3:M3"/>
    <mergeCell ref="E4:K4"/>
    <mergeCell ref="C6:J6"/>
    <mergeCell ref="B22:D22"/>
    <mergeCell ref="B23:D23"/>
    <mergeCell ref="B24:D24"/>
    <mergeCell ref="B25:D25"/>
    <mergeCell ref="B26:D26"/>
    <mergeCell ref="B27:D27"/>
    <mergeCell ref="B36:D36"/>
    <mergeCell ref="B38:D38"/>
    <mergeCell ref="B39:D39"/>
    <mergeCell ref="B40:D40"/>
    <mergeCell ref="B30:D30"/>
    <mergeCell ref="B31:D31"/>
    <mergeCell ref="B32:D32"/>
    <mergeCell ref="B33:D33"/>
    <mergeCell ref="B34:D34"/>
    <mergeCell ref="B35:D35"/>
  </mergeCells>
  <conditionalFormatting sqref="B9:M15 B16:B17">
    <cfRule type="notContainsBlanks" dxfId="33" priority="34">
      <formula>LEN(TRIM(B9))&gt;0</formula>
    </cfRule>
  </conditionalFormatting>
  <conditionalFormatting sqref="B18:M18 F32:L32">
    <cfRule type="notContainsBlanks" dxfId="32" priority="35">
      <formula>LEN(TRIM(B18))&gt;0</formula>
    </cfRule>
  </conditionalFormatting>
  <conditionalFormatting sqref="C17:D17">
    <cfRule type="notContainsBlanks" dxfId="31" priority="2">
      <formula>LEN(TRIM(C17))&gt;0</formula>
    </cfRule>
  </conditionalFormatting>
  <conditionalFormatting sqref="E15">
    <cfRule type="notContainsBlanks" dxfId="30" priority="26">
      <formula>LEN(TRIM(E15))&gt;0</formula>
    </cfRule>
  </conditionalFormatting>
  <conditionalFormatting sqref="E23">
    <cfRule type="notContainsBlanks" dxfId="29" priority="31">
      <formula>LEN(TRIM(E23))&gt;0</formula>
    </cfRule>
  </conditionalFormatting>
  <conditionalFormatting sqref="E23:E24">
    <cfRule type="cellIs" dxfId="28" priority="32" operator="equal">
      <formula>0</formula>
    </cfRule>
    <cfRule type="containsBlanks" dxfId="27" priority="33">
      <formula>LEN(TRIM(E23))=0</formula>
    </cfRule>
  </conditionalFormatting>
  <conditionalFormatting sqref="E30:E31">
    <cfRule type="notContainsBlanks" dxfId="26" priority="23">
      <formula>LEN(TRIM(E30))&gt;0</formula>
    </cfRule>
    <cfRule type="cellIs" dxfId="25" priority="24" operator="equal">
      <formula>0</formula>
    </cfRule>
    <cfRule type="containsBlanks" dxfId="24" priority="25">
      <formula>LEN(TRIM(E30))=0</formula>
    </cfRule>
  </conditionalFormatting>
  <conditionalFormatting sqref="E33:I33">
    <cfRule type="notContainsBlanks" dxfId="23" priority="17">
      <formula>LEN(TRIM(E33))&gt;0</formula>
    </cfRule>
    <cfRule type="cellIs" dxfId="22" priority="18" operator="equal">
      <formula>0</formula>
    </cfRule>
    <cfRule type="containsBlanks" dxfId="21" priority="19">
      <formula>LEN(TRIM(E33))=0</formula>
    </cfRule>
  </conditionalFormatting>
  <conditionalFormatting sqref="E38:I40">
    <cfRule type="notContainsBlanks" dxfId="20" priority="8">
      <formula>LEN(TRIM(E38))&gt;0</formula>
    </cfRule>
    <cfRule type="cellIs" dxfId="19" priority="9" operator="equal">
      <formula>0</formula>
    </cfRule>
    <cfRule type="containsBlanks" dxfId="18" priority="10">
      <formula>LEN(TRIM(E38))=0</formula>
    </cfRule>
  </conditionalFormatting>
  <conditionalFormatting sqref="E18:M18 E32:L32 E9:M15 F23:M23 I24:M25 E25:H26 F30:M30">
    <cfRule type="cellIs" dxfId="17" priority="68" operator="equal">
      <formula>0</formula>
    </cfRule>
    <cfRule type="containsBlanks" dxfId="16" priority="69">
      <formula>LEN(TRIM(E9))=0</formula>
    </cfRule>
  </conditionalFormatting>
  <conditionalFormatting sqref="F24:H24">
    <cfRule type="notContainsBlanks" dxfId="15" priority="28">
      <formula>LEN(TRIM(F24))&gt;0</formula>
    </cfRule>
    <cfRule type="cellIs" dxfId="14" priority="29" operator="equal">
      <formula>0</formula>
    </cfRule>
    <cfRule type="containsBlanks" dxfId="13" priority="30">
      <formula>LEN(TRIM(F24))=0</formula>
    </cfRule>
  </conditionalFormatting>
  <conditionalFormatting sqref="F31:I31">
    <cfRule type="notContainsBlanks" dxfId="12" priority="20">
      <formula>LEN(TRIM(F31))&gt;0</formula>
    </cfRule>
    <cfRule type="cellIs" dxfId="11" priority="21" operator="equal">
      <formula>0</formula>
    </cfRule>
    <cfRule type="containsBlanks" dxfId="10" priority="22">
      <formula>LEN(TRIM(F31))=0</formula>
    </cfRule>
  </conditionalFormatting>
  <conditionalFormatting sqref="I26:M26 J31:L31 J33:L33">
    <cfRule type="cellIs" dxfId="9" priority="46" operator="equal">
      <formula>0</formula>
    </cfRule>
    <cfRule type="containsBlanks" dxfId="8" priority="47">
      <formula>LEN(TRIM(I26))=0</formula>
    </cfRule>
  </conditionalFormatting>
  <conditionalFormatting sqref="J38:L40">
    <cfRule type="cellIs" dxfId="7" priority="3" operator="equal">
      <formula>0</formula>
    </cfRule>
    <cfRule type="containsBlanks" dxfId="6" priority="4">
      <formula>LEN(TRIM(J38))=0</formula>
    </cfRule>
  </conditionalFormatting>
  <conditionalFormatting sqref="M31:M33">
    <cfRule type="notContainsBlanks" dxfId="5" priority="11">
      <formula>LEN(TRIM(M31))&gt;0</formula>
    </cfRule>
    <cfRule type="cellIs" dxfId="4" priority="12" operator="equal">
      <formula>0</formula>
    </cfRule>
    <cfRule type="containsBlanks" dxfId="3" priority="13">
      <formula>LEN(TRIM(M31))=0</formula>
    </cfRule>
  </conditionalFormatting>
  <conditionalFormatting sqref="M38:M40">
    <cfRule type="notContainsBlanks" dxfId="2" priority="5">
      <formula>LEN(TRIM(M38))&gt;0</formula>
    </cfRule>
    <cfRule type="cellIs" dxfId="1" priority="6" operator="equal">
      <formula>0</formula>
    </cfRule>
    <cfRule type="containsBlanks" dxfId="0" priority="7">
      <formula>LEN(TRIM(M38))=0</formula>
    </cfRule>
  </conditionalFormatting>
  <pageMargins left="0.7" right="0.7" top="0.75" bottom="0.75" header="0.3" footer="0.3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tolerancias</vt:lpstr>
      <vt:lpstr>entrada</vt:lpstr>
      <vt:lpstr>balance materias primas</vt:lpstr>
      <vt:lpstr>salida</vt:lpstr>
      <vt:lpstr>'balance materias primas'!Área_de_impresión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Salas</dc:creator>
  <cp:lastModifiedBy>DIRECCION TECNICA</cp:lastModifiedBy>
  <cp:lastPrinted>2024-07-22T21:41:32Z</cp:lastPrinted>
  <dcterms:created xsi:type="dcterms:W3CDTF">2024-07-19T14:39:17Z</dcterms:created>
  <dcterms:modified xsi:type="dcterms:W3CDTF">2024-09-25T20:06:06Z</dcterms:modified>
</cp:coreProperties>
</file>