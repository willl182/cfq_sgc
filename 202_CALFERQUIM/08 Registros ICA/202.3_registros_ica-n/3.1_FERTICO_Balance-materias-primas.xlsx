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"/>
    </mc:Choice>
  </mc:AlternateContent>
  <xr:revisionPtr revIDLastSave="0" documentId="13_ncr:1_{FDE5873D-7917-4394-8F28-8831E025D80C}" xr6:coauthVersionLast="47" xr6:coauthVersionMax="47" xr10:uidLastSave="{00000000-0000-0000-0000-000000000000}"/>
  <bookViews>
    <workbookView xWindow="-120" yWindow="-120" windowWidth="29040" windowHeight="16440" firstSheet="1" activeTab="4" xr2:uid="{7A9F012D-6F37-47A5-AC75-9A96A3A822E5}"/>
  </bookViews>
  <sheets>
    <sheet name="tolerancias" sheetId="8" state="hidden" r:id="rId1"/>
    <sheet name="sulafto_calcioP" sheetId="14" r:id="rId2"/>
    <sheet name="camasi" sheetId="1" r:id="rId3"/>
    <sheet name="nucleo_mg" sheetId="15" r:id="rId4"/>
    <sheet name="calferzinc-p" sheetId="16" r:id="rId5"/>
    <sheet name="Hoja3 (2)" sheetId="17" r:id="rId6"/>
    <sheet name="Hoja3" sheetId="13" r:id="rId7"/>
    <sheet name="balance materias primas" sheetId="9" r:id="rId8"/>
    <sheet name="Hoja1" sheetId="11" r:id="rId9"/>
    <sheet name="Hoja2" sheetId="12" r:id="rId10"/>
    <sheet name="Hoja4" sheetId="18" r:id="rId11"/>
    <sheet name="salida" sheetId="10" state="hidden" r:id="rId12"/>
  </sheets>
  <externalReferences>
    <externalReference r:id="rId13"/>
  </externalReferences>
  <definedNames>
    <definedName name="_xlnm.Print_Area" localSheetId="7">'balance materias primas'!$A$1:$Z$45</definedName>
    <definedName name="_xlnm.Print_Area" localSheetId="9">Hoja2!$A$1:$M$34</definedName>
    <definedName name="_xlnm.Print_Area" localSheetId="11">salida!$A$1:$N$44</definedName>
    <definedName name="CID">'[1]Lista de Materias Primas'!$D:$D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" i="17" l="1"/>
  <c r="V18" i="17" s="1"/>
  <c r="V19" i="17"/>
  <c r="U19" i="17"/>
  <c r="T19" i="17"/>
  <c r="P19" i="17"/>
  <c r="O19" i="17"/>
  <c r="U18" i="17"/>
  <c r="T18" i="17"/>
  <c r="P18" i="17"/>
  <c r="O18" i="17"/>
  <c r="J18" i="17"/>
  <c r="I18" i="17"/>
  <c r="D18" i="17"/>
  <c r="C18" i="17"/>
  <c r="H16" i="17"/>
  <c r="K15" i="17"/>
  <c r="J15" i="17"/>
  <c r="I15" i="17"/>
  <c r="H15" i="17"/>
  <c r="H14" i="17"/>
  <c r="H18" i="17" s="1"/>
  <c r="V14" i="13"/>
  <c r="V16" i="13"/>
  <c r="V19" i="13"/>
  <c r="U19" i="13"/>
  <c r="T19" i="13"/>
  <c r="U18" i="13"/>
  <c r="T18" i="13"/>
  <c r="V48" i="16"/>
  <c r="Q48" i="16"/>
  <c r="E48" i="16"/>
  <c r="V47" i="16"/>
  <c r="Q47" i="16"/>
  <c r="O47" i="16"/>
  <c r="N47" i="16"/>
  <c r="M47" i="16"/>
  <c r="B47" i="16"/>
  <c r="V46" i="16"/>
  <c r="Q46" i="16"/>
  <c r="E46" i="16"/>
  <c r="V41" i="16"/>
  <c r="Q41" i="16"/>
  <c r="V40" i="16"/>
  <c r="Q40" i="16"/>
  <c r="Q39" i="16"/>
  <c r="M39" i="16"/>
  <c r="M38" i="16" s="1"/>
  <c r="Q34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E25" i="16" s="1"/>
  <c r="E47" i="16" s="1"/>
  <c r="D21" i="16"/>
  <c r="C21" i="16"/>
  <c r="B21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X17" i="16"/>
  <c r="X25" i="16" s="1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I25" i="16" s="1"/>
  <c r="H17" i="16"/>
  <c r="H25" i="16" s="1"/>
  <c r="G17" i="16"/>
  <c r="G25" i="16" s="1"/>
  <c r="F17" i="16"/>
  <c r="F25" i="16" s="1"/>
  <c r="E17" i="16"/>
  <c r="D17" i="16"/>
  <c r="C17" i="16"/>
  <c r="B17" i="16"/>
  <c r="C13" i="16"/>
  <c r="P19" i="13"/>
  <c r="O19" i="13"/>
  <c r="P18" i="13"/>
  <c r="O18" i="13"/>
  <c r="B18" i="15"/>
  <c r="C18" i="15"/>
  <c r="D18" i="15"/>
  <c r="B19" i="15"/>
  <c r="C19" i="15"/>
  <c r="D19" i="15"/>
  <c r="B20" i="15"/>
  <c r="C20" i="15"/>
  <c r="D20" i="15"/>
  <c r="B21" i="15"/>
  <c r="C21" i="15"/>
  <c r="D21" i="15"/>
  <c r="B22" i="15"/>
  <c r="C22" i="15"/>
  <c r="D22" i="15"/>
  <c r="V48" i="15"/>
  <c r="Q48" i="15"/>
  <c r="E48" i="15"/>
  <c r="V47" i="15"/>
  <c r="Q47" i="15"/>
  <c r="O47" i="15"/>
  <c r="N47" i="15"/>
  <c r="M47" i="15"/>
  <c r="B47" i="15"/>
  <c r="V46" i="15"/>
  <c r="Q46" i="15"/>
  <c r="E46" i="15"/>
  <c r="V41" i="15"/>
  <c r="Q41" i="15"/>
  <c r="V40" i="15"/>
  <c r="Q40" i="15"/>
  <c r="Q39" i="15"/>
  <c r="Q3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X20" i="15"/>
  <c r="X25" i="15" s="1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H25" i="15" s="1"/>
  <c r="G20" i="15"/>
  <c r="F20" i="15"/>
  <c r="E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X17" i="15"/>
  <c r="W17" i="15"/>
  <c r="V17" i="15"/>
  <c r="U17" i="15"/>
  <c r="T17" i="15"/>
  <c r="S17" i="15"/>
  <c r="R17" i="15"/>
  <c r="R25" i="15" s="1"/>
  <c r="Q17" i="15"/>
  <c r="P17" i="15"/>
  <c r="O17" i="15"/>
  <c r="N17" i="15"/>
  <c r="M17" i="15"/>
  <c r="L17" i="15"/>
  <c r="K17" i="15"/>
  <c r="J17" i="15"/>
  <c r="J25" i="15" s="1"/>
  <c r="I17" i="15"/>
  <c r="H17" i="15"/>
  <c r="G17" i="15"/>
  <c r="F17" i="15"/>
  <c r="F25" i="15" s="1"/>
  <c r="F48" i="15" s="1"/>
  <c r="E17" i="15"/>
  <c r="E25" i="15" s="1"/>
  <c r="E47" i="15" s="1"/>
  <c r="D17" i="15"/>
  <c r="C17" i="15"/>
  <c r="B17" i="15"/>
  <c r="C13" i="15"/>
  <c r="I15" i="13"/>
  <c r="J15" i="13"/>
  <c r="K15" i="13"/>
  <c r="H15" i="13"/>
  <c r="H14" i="13" s="1"/>
  <c r="H18" i="13" s="1"/>
  <c r="H16" i="13"/>
  <c r="I18" i="13"/>
  <c r="J18" i="13"/>
  <c r="N48" i="1"/>
  <c r="N46" i="1"/>
  <c r="B17" i="1"/>
  <c r="C17" i="1"/>
  <c r="D17" i="1"/>
  <c r="B18" i="1"/>
  <c r="C18" i="1"/>
  <c r="D18" i="1"/>
  <c r="B19" i="1"/>
  <c r="C19" i="1"/>
  <c r="D19" i="1"/>
  <c r="V48" i="14"/>
  <c r="Q48" i="14"/>
  <c r="E48" i="14"/>
  <c r="V47" i="14"/>
  <c r="Q47" i="14"/>
  <c r="O47" i="14"/>
  <c r="N47" i="14"/>
  <c r="M47" i="14"/>
  <c r="B47" i="14"/>
  <c r="V46" i="14"/>
  <c r="Q46" i="14"/>
  <c r="E46" i="14"/>
  <c r="V41" i="14"/>
  <c r="Q41" i="14"/>
  <c r="V40" i="14"/>
  <c r="Q40" i="14"/>
  <c r="Q39" i="14"/>
  <c r="Q3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X20" i="14"/>
  <c r="X25" i="14" s="1"/>
  <c r="W20" i="14"/>
  <c r="W25" i="14" s="1"/>
  <c r="V20" i="14"/>
  <c r="V25" i="14" s="1"/>
  <c r="V34" i="14" s="1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X19" i="14"/>
  <c r="W19" i="14"/>
  <c r="V19" i="14"/>
  <c r="U19" i="14"/>
  <c r="T19" i="14"/>
  <c r="S19" i="14"/>
  <c r="R19" i="14"/>
  <c r="Q19" i="14"/>
  <c r="P19" i="14"/>
  <c r="O19" i="14"/>
  <c r="N19" i="14"/>
  <c r="N25" i="14" s="1"/>
  <c r="M19" i="14"/>
  <c r="L19" i="14"/>
  <c r="K19" i="14"/>
  <c r="J19" i="14"/>
  <c r="J25" i="14" s="1"/>
  <c r="I19" i="14"/>
  <c r="H19" i="14"/>
  <c r="G19" i="14"/>
  <c r="G25" i="14" s="1"/>
  <c r="F19" i="14"/>
  <c r="F25" i="14" s="1"/>
  <c r="E19" i="14"/>
  <c r="E25" i="14" s="1"/>
  <c r="E47" i="14" s="1"/>
  <c r="D19" i="14"/>
  <c r="C19" i="14"/>
  <c r="B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X17" i="14"/>
  <c r="W17" i="14"/>
  <c r="V17" i="14"/>
  <c r="U17" i="14"/>
  <c r="U25" i="14" s="1"/>
  <c r="T17" i="14"/>
  <c r="T25" i="14" s="1"/>
  <c r="S17" i="14"/>
  <c r="S25" i="14" s="1"/>
  <c r="R17" i="14"/>
  <c r="R25" i="14" s="1"/>
  <c r="Q17" i="14"/>
  <c r="P17" i="14"/>
  <c r="P25" i="14" s="1"/>
  <c r="O17" i="14"/>
  <c r="N17" i="14"/>
  <c r="M17" i="14"/>
  <c r="L17" i="14"/>
  <c r="L25" i="14" s="1"/>
  <c r="K17" i="14"/>
  <c r="K25" i="14" s="1"/>
  <c r="J17" i="14"/>
  <c r="I17" i="14"/>
  <c r="I25" i="14" s="1"/>
  <c r="H17" i="14"/>
  <c r="H25" i="14" s="1"/>
  <c r="G17" i="14"/>
  <c r="F17" i="14"/>
  <c r="E17" i="14"/>
  <c r="D17" i="14"/>
  <c r="C17" i="14"/>
  <c r="C24" i="14" s="1"/>
  <c r="B17" i="14"/>
  <c r="C13" i="14"/>
  <c r="D18" i="13"/>
  <c r="C18" i="13"/>
  <c r="O47" i="1"/>
  <c r="M25" i="14" l="1"/>
  <c r="M39" i="14" s="1"/>
  <c r="M38" i="14" s="1"/>
  <c r="O25" i="14"/>
  <c r="O39" i="14" s="1"/>
  <c r="O38" i="14" s="1"/>
  <c r="V16" i="17"/>
  <c r="V18" i="13"/>
  <c r="M40" i="16"/>
  <c r="M41" i="16" s="1"/>
  <c r="U25" i="16"/>
  <c r="U48" i="16" s="1"/>
  <c r="P25" i="16"/>
  <c r="P46" i="16" s="1"/>
  <c r="V34" i="16"/>
  <c r="N39" i="16"/>
  <c r="N38" i="16" s="1"/>
  <c r="O25" i="16"/>
  <c r="O39" i="16" s="1"/>
  <c r="O38" i="16" s="1"/>
  <c r="W25" i="16"/>
  <c r="W34" i="16" s="1"/>
  <c r="J25" i="16"/>
  <c r="J47" i="16" s="1"/>
  <c r="R25" i="16"/>
  <c r="R48" i="16" s="1"/>
  <c r="S25" i="16"/>
  <c r="S47" i="16" s="1"/>
  <c r="T25" i="16"/>
  <c r="T46" i="16" s="1"/>
  <c r="K25" i="16"/>
  <c r="K38" i="16" s="1"/>
  <c r="L25" i="16"/>
  <c r="L39" i="16" s="1"/>
  <c r="C24" i="16"/>
  <c r="K47" i="16"/>
  <c r="K41" i="16"/>
  <c r="K39" i="16"/>
  <c r="K31" i="16"/>
  <c r="K46" i="16"/>
  <c r="X46" i="16"/>
  <c r="X39" i="16"/>
  <c r="X47" i="16"/>
  <c r="X40" i="16"/>
  <c r="X41" i="16"/>
  <c r="X48" i="16"/>
  <c r="W39" i="16"/>
  <c r="W40" i="16" s="1"/>
  <c r="H46" i="16"/>
  <c r="H47" i="16"/>
  <c r="H48" i="16"/>
  <c r="S34" i="16"/>
  <c r="S46" i="16"/>
  <c r="G48" i="16"/>
  <c r="G46" i="16"/>
  <c r="G47" i="16"/>
  <c r="I47" i="16"/>
  <c r="I46" i="16"/>
  <c r="I48" i="16"/>
  <c r="F48" i="16"/>
  <c r="F46" i="16"/>
  <c r="F41" i="16"/>
  <c r="F38" i="16"/>
  <c r="F39" i="16"/>
  <c r="F47" i="16"/>
  <c r="F31" i="16"/>
  <c r="U40" i="16"/>
  <c r="U47" i="16"/>
  <c r="U34" i="16"/>
  <c r="U46" i="16"/>
  <c r="U39" i="16"/>
  <c r="U41" i="16"/>
  <c r="P25" i="15"/>
  <c r="P40" i="15" s="1"/>
  <c r="M39" i="15"/>
  <c r="M38" i="15" s="1"/>
  <c r="N25" i="15"/>
  <c r="N39" i="15" s="1"/>
  <c r="N38" i="15" s="1"/>
  <c r="V25" i="15"/>
  <c r="V34" i="15" s="1"/>
  <c r="C24" i="15"/>
  <c r="K25" i="15"/>
  <c r="K39" i="15" s="1"/>
  <c r="S25" i="15"/>
  <c r="S47" i="15" s="1"/>
  <c r="L25" i="15"/>
  <c r="L47" i="15" s="1"/>
  <c r="T25" i="15"/>
  <c r="T41" i="15" s="1"/>
  <c r="U25" i="15"/>
  <c r="U40" i="15" s="1"/>
  <c r="I25" i="15"/>
  <c r="I47" i="15" s="1"/>
  <c r="G25" i="15"/>
  <c r="G48" i="15" s="1"/>
  <c r="O25" i="15"/>
  <c r="O39" i="15" s="1"/>
  <c r="O38" i="15" s="1"/>
  <c r="W25" i="15"/>
  <c r="W40" i="15" s="1"/>
  <c r="K47" i="15"/>
  <c r="K31" i="15"/>
  <c r="K41" i="15"/>
  <c r="K38" i="15"/>
  <c r="K46" i="15"/>
  <c r="K48" i="15"/>
  <c r="L38" i="15"/>
  <c r="L39" i="15"/>
  <c r="L48" i="15"/>
  <c r="L31" i="15"/>
  <c r="I48" i="15"/>
  <c r="I46" i="15"/>
  <c r="W48" i="15"/>
  <c r="W39" i="15"/>
  <c r="W46" i="15"/>
  <c r="W41" i="15"/>
  <c r="W34" i="15"/>
  <c r="W47" i="15"/>
  <c r="J47" i="15"/>
  <c r="J48" i="15"/>
  <c r="J46" i="15"/>
  <c r="R34" i="15"/>
  <c r="R47" i="15"/>
  <c r="R40" i="15"/>
  <c r="R46" i="15"/>
  <c r="R41" i="15"/>
  <c r="R39" i="15"/>
  <c r="R48" i="15"/>
  <c r="H48" i="15"/>
  <c r="H46" i="15"/>
  <c r="H47" i="15"/>
  <c r="P48" i="15"/>
  <c r="P46" i="15"/>
  <c r="P34" i="15"/>
  <c r="P39" i="15"/>
  <c r="P47" i="15"/>
  <c r="P41" i="15"/>
  <c r="X48" i="15"/>
  <c r="X46" i="15"/>
  <c r="X41" i="15"/>
  <c r="X47" i="15"/>
  <c r="X40" i="15"/>
  <c r="X39" i="15"/>
  <c r="F47" i="15"/>
  <c r="F39" i="15"/>
  <c r="F31" i="15"/>
  <c r="F38" i="15"/>
  <c r="F41" i="15"/>
  <c r="F46" i="15"/>
  <c r="X48" i="14"/>
  <c r="X46" i="14"/>
  <c r="X40" i="14"/>
  <c r="X39" i="14"/>
  <c r="X47" i="14"/>
  <c r="X41" i="14"/>
  <c r="L47" i="14"/>
  <c r="L41" i="14"/>
  <c r="L38" i="14"/>
  <c r="L39" i="14"/>
  <c r="L31" i="14"/>
  <c r="L48" i="14"/>
  <c r="L46" i="14"/>
  <c r="F47" i="14"/>
  <c r="F48" i="14"/>
  <c r="F46" i="14"/>
  <c r="F41" i="14"/>
  <c r="F38" i="14"/>
  <c r="F39" i="14"/>
  <c r="F31" i="14"/>
  <c r="I47" i="14"/>
  <c r="I48" i="14"/>
  <c r="I46" i="14"/>
  <c r="T34" i="14"/>
  <c r="T41" i="14"/>
  <c r="T39" i="14"/>
  <c r="T40" i="14"/>
  <c r="T48" i="14"/>
  <c r="T46" i="14"/>
  <c r="T47" i="14"/>
  <c r="N40" i="14"/>
  <c r="N41" i="14" s="1"/>
  <c r="N39" i="14"/>
  <c r="N38" i="14" s="1"/>
  <c r="W34" i="14"/>
  <c r="W39" i="14"/>
  <c r="W48" i="14"/>
  <c r="W46" i="14"/>
  <c r="W40" i="14"/>
  <c r="W47" i="14"/>
  <c r="W41" i="14"/>
  <c r="U39" i="14"/>
  <c r="U40" i="14"/>
  <c r="U47" i="14"/>
  <c r="U41" i="14"/>
  <c r="U48" i="14"/>
  <c r="U46" i="14"/>
  <c r="U34" i="14"/>
  <c r="G48" i="14"/>
  <c r="G46" i="14"/>
  <c r="G47" i="14"/>
  <c r="H46" i="14"/>
  <c r="H47" i="14"/>
  <c r="H48" i="14"/>
  <c r="P48" i="14"/>
  <c r="P46" i="14"/>
  <c r="P39" i="14"/>
  <c r="P34" i="14"/>
  <c r="P40" i="14"/>
  <c r="P47" i="14"/>
  <c r="P41" i="14"/>
  <c r="J46" i="14"/>
  <c r="J47" i="14"/>
  <c r="J48" i="14"/>
  <c r="R40" i="14"/>
  <c r="R47" i="14"/>
  <c r="R41" i="14"/>
  <c r="R39" i="14"/>
  <c r="R48" i="14"/>
  <c r="R46" i="14"/>
  <c r="R34" i="14"/>
  <c r="K47" i="14"/>
  <c r="K41" i="14"/>
  <c r="K38" i="14"/>
  <c r="K39" i="14"/>
  <c r="K31" i="14"/>
  <c r="K48" i="14"/>
  <c r="K46" i="14"/>
  <c r="S47" i="14"/>
  <c r="S41" i="14"/>
  <c r="S39" i="14"/>
  <c r="S48" i="14"/>
  <c r="S46" i="14"/>
  <c r="S34" i="14"/>
  <c r="S40" i="14"/>
  <c r="M40" i="14" l="1"/>
  <c r="M41" i="14" s="1"/>
  <c r="M48" i="14" s="1"/>
  <c r="M46" i="16"/>
  <c r="M48" i="16"/>
  <c r="R40" i="16"/>
  <c r="P39" i="16"/>
  <c r="T41" i="16"/>
  <c r="P48" i="16"/>
  <c r="P41" i="16"/>
  <c r="P40" i="16"/>
  <c r="P47" i="16"/>
  <c r="P34" i="16"/>
  <c r="S48" i="16"/>
  <c r="S39" i="16"/>
  <c r="S41" i="16"/>
  <c r="S40" i="16"/>
  <c r="T48" i="16"/>
  <c r="T39" i="16"/>
  <c r="W41" i="16"/>
  <c r="T40" i="16"/>
  <c r="L31" i="16"/>
  <c r="T34" i="16"/>
  <c r="T47" i="16"/>
  <c r="R34" i="16"/>
  <c r="O40" i="16"/>
  <c r="O41" i="16" s="1"/>
  <c r="O48" i="16" s="1"/>
  <c r="R41" i="16"/>
  <c r="L47" i="16"/>
  <c r="J46" i="16"/>
  <c r="L38" i="16"/>
  <c r="R39" i="16"/>
  <c r="R46" i="16"/>
  <c r="J48" i="16"/>
  <c r="L41" i="16"/>
  <c r="K48" i="16"/>
  <c r="R47" i="16"/>
  <c r="N40" i="16"/>
  <c r="N41" i="16" s="1"/>
  <c r="N40" i="15"/>
  <c r="N41" i="15" s="1"/>
  <c r="N46" i="15" s="1"/>
  <c r="S48" i="15"/>
  <c r="T39" i="15"/>
  <c r="T34" i="15"/>
  <c r="S39" i="15"/>
  <c r="S41" i="15"/>
  <c r="T47" i="15"/>
  <c r="S34" i="15"/>
  <c r="S40" i="15"/>
  <c r="T48" i="15"/>
  <c r="T40" i="15"/>
  <c r="T46" i="15"/>
  <c r="S46" i="15"/>
  <c r="U39" i="15"/>
  <c r="U41" i="15"/>
  <c r="L46" i="15"/>
  <c r="U47" i="15"/>
  <c r="G47" i="15"/>
  <c r="U46" i="15"/>
  <c r="G46" i="15"/>
  <c r="U34" i="15"/>
  <c r="U48" i="15"/>
  <c r="L41" i="15"/>
  <c r="M40" i="15"/>
  <c r="M41" i="15" s="1"/>
  <c r="O40" i="15"/>
  <c r="O41" i="15" s="1"/>
  <c r="O40" i="14"/>
  <c r="O41" i="14" s="1"/>
  <c r="M46" i="14" l="1"/>
  <c r="L46" i="16"/>
  <c r="W48" i="16"/>
  <c r="W46" i="16"/>
  <c r="L48" i="16"/>
  <c r="O46" i="16"/>
  <c r="N46" i="16"/>
  <c r="N48" i="16"/>
  <c r="N48" i="15"/>
  <c r="O48" i="15"/>
  <c r="O46" i="15"/>
  <c r="M48" i="15"/>
  <c r="M46" i="15"/>
  <c r="O48" i="14"/>
  <c r="O46" i="14"/>
  <c r="V47" i="1" l="1"/>
  <c r="N40" i="9"/>
  <c r="N47" i="1"/>
  <c r="M47" i="1"/>
  <c r="B11" i="12" l="1"/>
  <c r="B12" i="12" s="1"/>
  <c r="B13" i="12" s="1"/>
  <c r="B14" i="12" s="1"/>
  <c r="B15" i="12" s="1"/>
  <c r="B16" i="12" s="1"/>
  <c r="B17" i="12" s="1"/>
  <c r="B18" i="12" s="1"/>
  <c r="B19" i="12" s="1"/>
  <c r="B20" i="12" s="1"/>
  <c r="B21" i="12" l="1"/>
  <c r="E17" i="1" l="1"/>
  <c r="G17" i="1"/>
  <c r="F17" i="1" s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W17" i="1"/>
  <c r="X17" i="1"/>
  <c r="E18" i="1"/>
  <c r="F18" i="1"/>
  <c r="G18" i="1"/>
  <c r="H18" i="1"/>
  <c r="I18" i="1"/>
  <c r="J18" i="1"/>
  <c r="K18" i="1"/>
  <c r="L18" i="1"/>
  <c r="N18" i="1"/>
  <c r="O18" i="1"/>
  <c r="P18" i="1"/>
  <c r="Q18" i="1"/>
  <c r="R18" i="1"/>
  <c r="S18" i="1"/>
  <c r="T18" i="1"/>
  <c r="U18" i="1"/>
  <c r="W18" i="1"/>
  <c r="X18" i="1"/>
  <c r="E19" i="1"/>
  <c r="G19" i="1"/>
  <c r="H19" i="1"/>
  <c r="F19" i="1" s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E20" i="1"/>
  <c r="G20" i="1"/>
  <c r="F20" i="1" s="1"/>
  <c r="H20" i="1"/>
  <c r="I20" i="1"/>
  <c r="J20" i="1"/>
  <c r="K20" i="1"/>
  <c r="L20" i="1"/>
  <c r="M20" i="1"/>
  <c r="O20" i="1"/>
  <c r="P20" i="1"/>
  <c r="Q20" i="1"/>
  <c r="R20" i="1"/>
  <c r="S20" i="1"/>
  <c r="T20" i="1"/>
  <c r="U20" i="1"/>
  <c r="W20" i="1"/>
  <c r="X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E22" i="1"/>
  <c r="E23" i="1"/>
  <c r="F22" i="1"/>
  <c r="F23" i="1"/>
  <c r="G22" i="1"/>
  <c r="G23" i="1"/>
  <c r="H22" i="1"/>
  <c r="H23" i="1"/>
  <c r="I22" i="1"/>
  <c r="I23" i="1"/>
  <c r="J22" i="1"/>
  <c r="J23" i="1"/>
  <c r="K22" i="1"/>
  <c r="K23" i="1"/>
  <c r="L22" i="1"/>
  <c r="L23" i="1"/>
  <c r="M22" i="1"/>
  <c r="M23" i="1"/>
  <c r="N22" i="1"/>
  <c r="N23" i="1"/>
  <c r="O22" i="1"/>
  <c r="O23" i="1"/>
  <c r="P22" i="1"/>
  <c r="P23" i="1"/>
  <c r="Q22" i="1"/>
  <c r="Q23" i="1"/>
  <c r="R22" i="1"/>
  <c r="R23" i="1"/>
  <c r="S22" i="1"/>
  <c r="S23" i="1"/>
  <c r="T22" i="1"/>
  <c r="T23" i="1"/>
  <c r="U22" i="1"/>
  <c r="U23" i="1"/>
  <c r="V22" i="1"/>
  <c r="V23" i="1"/>
  <c r="W22" i="1"/>
  <c r="W23" i="1"/>
  <c r="X22" i="1"/>
  <c r="X23" i="1"/>
  <c r="N20" i="1"/>
  <c r="M18" i="1"/>
  <c r="M25" i="1" l="1"/>
  <c r="M39" i="1" s="1"/>
  <c r="M38" i="1" s="1"/>
  <c r="L25" i="1"/>
  <c r="O25" i="1"/>
  <c r="V20" i="1"/>
  <c r="N25" i="1"/>
  <c r="N39" i="1" s="1"/>
  <c r="N38" i="1" s="1"/>
  <c r="F40" i="9"/>
  <c r="G40" i="9"/>
  <c r="H40" i="9"/>
  <c r="I40" i="9"/>
  <c r="J40" i="9"/>
  <c r="K40" i="9"/>
  <c r="L40" i="9"/>
  <c r="M40" i="9"/>
  <c r="O40" i="9"/>
  <c r="P40" i="9"/>
  <c r="Q40" i="9"/>
  <c r="R40" i="9"/>
  <c r="S40" i="9"/>
  <c r="T40" i="9"/>
  <c r="U40" i="9"/>
  <c r="V40" i="9"/>
  <c r="W40" i="9"/>
  <c r="X40" i="9"/>
  <c r="E40" i="9"/>
  <c r="O39" i="1" l="1"/>
  <c r="O38" i="1" s="1"/>
  <c r="M42" i="10"/>
  <c r="L42" i="10"/>
  <c r="K42" i="10"/>
  <c r="J42" i="10"/>
  <c r="I42" i="10"/>
  <c r="H42" i="10"/>
  <c r="G42" i="10"/>
  <c r="F42" i="10"/>
  <c r="E42" i="10"/>
  <c r="D42" i="10"/>
  <c r="C42" i="10"/>
  <c r="B42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D40" i="10"/>
  <c r="C40" i="10"/>
  <c r="B40" i="10"/>
  <c r="D39" i="10"/>
  <c r="C39" i="10"/>
  <c r="D38" i="10"/>
  <c r="C38" i="10"/>
  <c r="B38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D33" i="10"/>
  <c r="C33" i="10"/>
  <c r="B33" i="10"/>
  <c r="E32" i="10"/>
  <c r="D32" i="10"/>
  <c r="C32" i="10"/>
  <c r="B32" i="10"/>
  <c r="L31" i="10"/>
  <c r="D31" i="10"/>
  <c r="C31" i="10"/>
  <c r="B31" i="10"/>
  <c r="M30" i="10"/>
  <c r="L30" i="10"/>
  <c r="K30" i="10"/>
  <c r="J30" i="10"/>
  <c r="I30" i="10"/>
  <c r="H30" i="10"/>
  <c r="G30" i="10"/>
  <c r="F30" i="10"/>
  <c r="D30" i="10"/>
  <c r="C30" i="10"/>
  <c r="B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H26" i="10"/>
  <c r="G26" i="10"/>
  <c r="F26" i="10"/>
  <c r="E26" i="10"/>
  <c r="D26" i="10"/>
  <c r="C26" i="10"/>
  <c r="B26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M23" i="10"/>
  <c r="L23" i="10"/>
  <c r="K23" i="10"/>
  <c r="J23" i="10"/>
  <c r="I23" i="10"/>
  <c r="H23" i="10"/>
  <c r="G23" i="10"/>
  <c r="F23" i="10"/>
  <c r="D23" i="10"/>
  <c r="C23" i="10"/>
  <c r="B23" i="10"/>
  <c r="M22" i="10"/>
  <c r="L22" i="10"/>
  <c r="K22" i="10"/>
  <c r="J22" i="10"/>
  <c r="I22" i="10"/>
  <c r="H22" i="10"/>
  <c r="G22" i="10"/>
  <c r="F22" i="10"/>
  <c r="E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D19" i="10"/>
  <c r="C19" i="10"/>
  <c r="B19" i="10"/>
  <c r="J18" i="10"/>
  <c r="F18" i="10"/>
  <c r="D18" i="10"/>
  <c r="B18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C20" i="9"/>
  <c r="D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42" i="9"/>
  <c r="E43" i="9"/>
  <c r="C21" i="9"/>
  <c r="D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C22" i="9"/>
  <c r="D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C24" i="9"/>
  <c r="D24" i="9"/>
  <c r="M24" i="9"/>
  <c r="N24" i="9"/>
  <c r="O24" i="9"/>
  <c r="P24" i="9"/>
  <c r="Q24" i="9"/>
  <c r="R24" i="9"/>
  <c r="S24" i="9"/>
  <c r="T24" i="9"/>
  <c r="U24" i="9"/>
  <c r="V24" i="9"/>
  <c r="W24" i="9"/>
  <c r="X24" i="9"/>
  <c r="C25" i="9"/>
  <c r="D25" i="9"/>
  <c r="F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C26" i="9"/>
  <c r="D26" i="9"/>
  <c r="F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C27" i="9"/>
  <c r="D27" i="9"/>
  <c r="F27" i="9"/>
  <c r="K27" i="9"/>
  <c r="L27" i="9"/>
  <c r="M27" i="9"/>
  <c r="N27" i="9"/>
  <c r="O27" i="9"/>
  <c r="X27" i="9"/>
  <c r="C28" i="9"/>
  <c r="D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C29" i="9"/>
  <c r="D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C30" i="9"/>
  <c r="D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C31" i="9"/>
  <c r="D31" i="9"/>
  <c r="G31" i="9"/>
  <c r="H31" i="9"/>
  <c r="I31" i="9"/>
  <c r="J31" i="9"/>
  <c r="M31" i="9"/>
  <c r="N31" i="9"/>
  <c r="O31" i="9"/>
  <c r="P31" i="9"/>
  <c r="Q31" i="9"/>
  <c r="R31" i="9"/>
  <c r="S31" i="9"/>
  <c r="T31" i="9"/>
  <c r="U31" i="9"/>
  <c r="V31" i="9"/>
  <c r="W31" i="9"/>
  <c r="X31" i="9"/>
  <c r="C32" i="9"/>
  <c r="D32" i="9"/>
  <c r="I32" i="9"/>
  <c r="V32" i="9"/>
  <c r="C33" i="9"/>
  <c r="D33" i="9"/>
  <c r="F33" i="9"/>
  <c r="K33" i="9"/>
  <c r="L33" i="9"/>
  <c r="C34" i="9"/>
  <c r="D34" i="9"/>
  <c r="G34" i="9"/>
  <c r="H34" i="9"/>
  <c r="I34" i="9"/>
  <c r="J34" i="9"/>
  <c r="C35" i="9"/>
  <c r="D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C36" i="9"/>
  <c r="D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C37" i="9"/>
  <c r="D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C38" i="9"/>
  <c r="D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C39" i="9"/>
  <c r="D39" i="9"/>
  <c r="C40" i="9"/>
  <c r="D40" i="9"/>
  <c r="C41" i="9"/>
  <c r="D41" i="9"/>
  <c r="C42" i="9"/>
  <c r="D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C43" i="9"/>
  <c r="D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1" i="9"/>
  <c r="B42" i="9"/>
  <c r="B43" i="9"/>
  <c r="B20" i="9"/>
  <c r="B21" i="9"/>
  <c r="C8" i="9"/>
  <c r="D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E8" i="9"/>
  <c r="C9" i="9"/>
  <c r="C10" i="9"/>
  <c r="C11" i="9"/>
  <c r="C12" i="9"/>
  <c r="C13" i="9"/>
  <c r="C14" i="9"/>
  <c r="C15" i="9"/>
  <c r="D19" i="9"/>
  <c r="M19" i="9"/>
  <c r="Q19" i="9"/>
  <c r="B9" i="9"/>
  <c r="B10" i="9"/>
  <c r="B11" i="9"/>
  <c r="B12" i="9"/>
  <c r="B13" i="9"/>
  <c r="B14" i="9"/>
  <c r="B15" i="9"/>
  <c r="B19" i="9"/>
  <c r="B8" i="9"/>
  <c r="E48" i="1"/>
  <c r="E41" i="9" s="1"/>
  <c r="E46" i="1"/>
  <c r="E39" i="9" s="1"/>
  <c r="V48" i="1"/>
  <c r="V46" i="1"/>
  <c r="V39" i="9" s="1"/>
  <c r="Q48" i="1"/>
  <c r="J40" i="10" s="1"/>
  <c r="Q47" i="1"/>
  <c r="J39" i="10" s="1"/>
  <c r="F39" i="10"/>
  <c r="Q46" i="1"/>
  <c r="J38" i="10" s="1"/>
  <c r="V41" i="1"/>
  <c r="Q41" i="1"/>
  <c r="V40" i="1"/>
  <c r="L32" i="10" s="1"/>
  <c r="Q39" i="1"/>
  <c r="M40" i="1"/>
  <c r="Q40" i="1"/>
  <c r="J32" i="10" s="1"/>
  <c r="Q34" i="1"/>
  <c r="F32" i="10" l="1"/>
  <c r="M41" i="1"/>
  <c r="M48" i="1" s="1"/>
  <c r="F40" i="10" s="1"/>
  <c r="Q39" i="9"/>
  <c r="V33" i="9"/>
  <c r="Q41" i="9"/>
  <c r="L38" i="10"/>
  <c r="J33" i="10"/>
  <c r="Q34" i="9"/>
  <c r="F31" i="10"/>
  <c r="J31" i="10"/>
  <c r="Q32" i="9"/>
  <c r="V34" i="9"/>
  <c r="L33" i="10"/>
  <c r="J26" i="10"/>
  <c r="Q27" i="9"/>
  <c r="L40" i="10"/>
  <c r="V41" i="9"/>
  <c r="Q33" i="9"/>
  <c r="M33" i="9"/>
  <c r="B47" i="1"/>
  <c r="C24" i="1"/>
  <c r="C13" i="1"/>
  <c r="M46" i="1" l="1"/>
  <c r="M39" i="9" s="1"/>
  <c r="F33" i="10"/>
  <c r="M34" i="9"/>
  <c r="M41" i="9"/>
  <c r="H14" i="9"/>
  <c r="J13" i="9"/>
  <c r="D10" i="10"/>
  <c r="D10" i="9"/>
  <c r="D11" i="10"/>
  <c r="D11" i="9"/>
  <c r="D15" i="10"/>
  <c r="D15" i="9"/>
  <c r="D14" i="10"/>
  <c r="D14" i="9"/>
  <c r="D12" i="10"/>
  <c r="D12" i="9"/>
  <c r="C19" i="9"/>
  <c r="C18" i="10"/>
  <c r="D9" i="10"/>
  <c r="D9" i="9"/>
  <c r="D13" i="10"/>
  <c r="D13" i="9"/>
  <c r="B39" i="10"/>
  <c r="B40" i="9"/>
  <c r="G13" i="9"/>
  <c r="G14" i="9"/>
  <c r="E14" i="9"/>
  <c r="I14" i="9"/>
  <c r="I13" i="9"/>
  <c r="G9" i="9"/>
  <c r="J14" i="9"/>
  <c r="G12" i="9"/>
  <c r="K14" i="9"/>
  <c r="S14" i="9"/>
  <c r="K11" i="9"/>
  <c r="E15" i="9"/>
  <c r="E11" i="9"/>
  <c r="T10" i="9"/>
  <c r="T14" i="9"/>
  <c r="X14" i="9"/>
  <c r="U10" i="9"/>
  <c r="U13" i="9"/>
  <c r="U14" i="9"/>
  <c r="X9" i="9"/>
  <c r="F38" i="10" l="1"/>
  <c r="S13" i="9"/>
  <c r="J12" i="9"/>
  <c r="T13" i="9"/>
  <c r="T12" i="9"/>
  <c r="H9" i="9"/>
  <c r="S11" i="9"/>
  <c r="X13" i="9"/>
  <c r="H10" i="9"/>
  <c r="X10" i="9"/>
  <c r="K13" i="9"/>
  <c r="J11" i="9"/>
  <c r="U9" i="9"/>
  <c r="T15" i="9"/>
  <c r="I12" i="9"/>
  <c r="S12" i="9"/>
  <c r="E12" i="9"/>
  <c r="I15" i="9"/>
  <c r="G11" i="9"/>
  <c r="H13" i="9"/>
  <c r="K12" i="9"/>
  <c r="K15" i="9"/>
  <c r="X12" i="9"/>
  <c r="J9" i="9"/>
  <c r="I10" i="9"/>
  <c r="G10" i="9"/>
  <c r="X15" i="9"/>
  <c r="G15" i="9"/>
  <c r="J15" i="9"/>
  <c r="U15" i="9"/>
  <c r="E10" i="9"/>
  <c r="H11" i="9"/>
  <c r="E9" i="9"/>
  <c r="S15" i="9"/>
  <c r="X11" i="9"/>
  <c r="S10" i="9"/>
  <c r="T9" i="9"/>
  <c r="I9" i="9"/>
  <c r="E13" i="9"/>
  <c r="H12" i="9"/>
  <c r="S9" i="9"/>
  <c r="K9" i="9"/>
  <c r="U12" i="9"/>
  <c r="U11" i="9"/>
  <c r="T11" i="9"/>
  <c r="K10" i="9"/>
  <c r="H15" i="9"/>
  <c r="J10" i="9"/>
  <c r="E9" i="10"/>
  <c r="L9" i="9"/>
  <c r="H15" i="10"/>
  <c r="O15" i="9"/>
  <c r="L15" i="10"/>
  <c r="V15" i="9"/>
  <c r="M11" i="10"/>
  <c r="W11" i="9"/>
  <c r="G10" i="10"/>
  <c r="N10" i="9"/>
  <c r="L14" i="10"/>
  <c r="V14" i="9"/>
  <c r="L13" i="10"/>
  <c r="V13" i="9"/>
  <c r="I11" i="9"/>
  <c r="I12" i="10"/>
  <c r="P12" i="9"/>
  <c r="H12" i="10"/>
  <c r="O12" i="9"/>
  <c r="G12" i="10"/>
  <c r="N12" i="9"/>
  <c r="H9" i="10"/>
  <c r="O9" i="9"/>
  <c r="E14" i="10"/>
  <c r="L14" i="9"/>
  <c r="E13" i="10"/>
  <c r="L13" i="9"/>
  <c r="E10" i="10"/>
  <c r="L10" i="9"/>
  <c r="M13" i="10"/>
  <c r="W13" i="9"/>
  <c r="J12" i="10"/>
  <c r="Q12" i="9"/>
  <c r="E15" i="10"/>
  <c r="L15" i="9"/>
  <c r="L10" i="10"/>
  <c r="V10" i="9"/>
  <c r="R10" i="9"/>
  <c r="K10" i="10"/>
  <c r="Q13" i="9"/>
  <c r="J13" i="10"/>
  <c r="L9" i="10"/>
  <c r="V9" i="9"/>
  <c r="L12" i="10"/>
  <c r="V12" i="9"/>
  <c r="K9" i="10"/>
  <c r="R9" i="9"/>
  <c r="Q11" i="9"/>
  <c r="J11" i="10"/>
  <c r="I11" i="10"/>
  <c r="P11" i="9"/>
  <c r="I15" i="10"/>
  <c r="P15" i="9"/>
  <c r="M14" i="10"/>
  <c r="W14" i="9"/>
  <c r="G14" i="10"/>
  <c r="N14" i="9"/>
  <c r="M10" i="10"/>
  <c r="W10" i="9"/>
  <c r="M15" i="10"/>
  <c r="W15" i="9"/>
  <c r="J10" i="10"/>
  <c r="Q10" i="9"/>
  <c r="Q9" i="9"/>
  <c r="J9" i="10"/>
  <c r="K13" i="10"/>
  <c r="R13" i="9"/>
  <c r="N11" i="9"/>
  <c r="G11" i="10"/>
  <c r="E12" i="10"/>
  <c r="L12" i="9"/>
  <c r="M10" i="9"/>
  <c r="F10" i="10"/>
  <c r="M12" i="10"/>
  <c r="W12" i="9"/>
  <c r="J14" i="10"/>
  <c r="Q14" i="9"/>
  <c r="F13" i="10"/>
  <c r="M13" i="9"/>
  <c r="M9" i="10"/>
  <c r="W9" i="9"/>
  <c r="I9" i="10"/>
  <c r="P9" i="9"/>
  <c r="F12" i="10"/>
  <c r="M12" i="9"/>
  <c r="K15" i="10"/>
  <c r="R15" i="9"/>
  <c r="Q15" i="9"/>
  <c r="J15" i="10"/>
  <c r="R12" i="9"/>
  <c r="K12" i="10"/>
  <c r="M14" i="9"/>
  <c r="F14" i="10"/>
  <c r="H13" i="10"/>
  <c r="O13" i="9"/>
  <c r="I14" i="10"/>
  <c r="P14" i="9"/>
  <c r="I13" i="10"/>
  <c r="P13" i="9"/>
  <c r="I10" i="10"/>
  <c r="P10" i="9"/>
  <c r="N9" i="9"/>
  <c r="G9" i="10"/>
  <c r="M9" i="9"/>
  <c r="F9" i="10"/>
  <c r="G13" i="10"/>
  <c r="N13" i="9"/>
  <c r="R11" i="9"/>
  <c r="K11" i="10"/>
  <c r="N15" i="9"/>
  <c r="G15" i="10"/>
  <c r="M11" i="9"/>
  <c r="F11" i="10"/>
  <c r="F15" i="10"/>
  <c r="M15" i="9"/>
  <c r="E11" i="10"/>
  <c r="L11" i="9"/>
  <c r="H11" i="10"/>
  <c r="O11" i="9"/>
  <c r="R14" i="9"/>
  <c r="K14" i="10"/>
  <c r="H14" i="10"/>
  <c r="O14" i="9"/>
  <c r="H10" i="10"/>
  <c r="O10" i="9"/>
  <c r="L11" i="10"/>
  <c r="V11" i="9"/>
  <c r="F10" i="9"/>
  <c r="F14" i="9"/>
  <c r="I25" i="1"/>
  <c r="I19" i="9" s="1"/>
  <c r="H25" i="1"/>
  <c r="H19" i="9" s="1"/>
  <c r="E25" i="1"/>
  <c r="S25" i="1"/>
  <c r="S19" i="9" s="1"/>
  <c r="T25" i="1"/>
  <c r="T19" i="9" s="1"/>
  <c r="K25" i="1"/>
  <c r="K19" i="9" s="1"/>
  <c r="V25" i="1"/>
  <c r="J25" i="1"/>
  <c r="J19" i="9" s="1"/>
  <c r="X25" i="1"/>
  <c r="X19" i="9" s="1"/>
  <c r="W25" i="1"/>
  <c r="R25" i="1"/>
  <c r="U25" i="1"/>
  <c r="U19" i="9" s="1"/>
  <c r="P25" i="1"/>
  <c r="G25" i="1"/>
  <c r="G19" i="9" s="1"/>
  <c r="F13" i="9" l="1"/>
  <c r="F9" i="9"/>
  <c r="F12" i="9"/>
  <c r="F15" i="9"/>
  <c r="F11" i="9"/>
  <c r="R19" i="9"/>
  <c r="K18" i="10"/>
  <c r="G18" i="10"/>
  <c r="N19" i="9"/>
  <c r="M18" i="10"/>
  <c r="W19" i="9"/>
  <c r="L18" i="10"/>
  <c r="V19" i="9"/>
  <c r="H18" i="10"/>
  <c r="O19" i="9"/>
  <c r="I18" i="10"/>
  <c r="P19" i="9"/>
  <c r="E47" i="1"/>
  <c r="E19" i="9"/>
  <c r="E18" i="10"/>
  <c r="L19" i="9"/>
  <c r="U34" i="1"/>
  <c r="U27" i="9" s="1"/>
  <c r="U47" i="1"/>
  <c r="U40" i="1"/>
  <c r="U33" i="9" s="1"/>
  <c r="U46" i="1"/>
  <c r="U39" i="9" s="1"/>
  <c r="U48" i="1"/>
  <c r="U41" i="9" s="1"/>
  <c r="U39" i="1"/>
  <c r="U32" i="9" s="1"/>
  <c r="U41" i="1"/>
  <c r="U34" i="9" s="1"/>
  <c r="J47" i="1"/>
  <c r="J48" i="1"/>
  <c r="J46" i="1"/>
  <c r="R34" i="1"/>
  <c r="R48" i="1"/>
  <c r="R39" i="1"/>
  <c r="R46" i="1"/>
  <c r="R41" i="1"/>
  <c r="R47" i="1"/>
  <c r="K39" i="10" s="1"/>
  <c r="R40" i="1"/>
  <c r="T34" i="1"/>
  <c r="T27" i="9" s="1"/>
  <c r="T46" i="1"/>
  <c r="T39" i="9" s="1"/>
  <c r="T41" i="1"/>
  <c r="T34" i="9" s="1"/>
  <c r="T47" i="1"/>
  <c r="T40" i="1"/>
  <c r="T33" i="9" s="1"/>
  <c r="T48" i="1"/>
  <c r="T41" i="9" s="1"/>
  <c r="T39" i="1"/>
  <c r="T32" i="9" s="1"/>
  <c r="N40" i="1"/>
  <c r="N41" i="1" s="1"/>
  <c r="G39" i="10"/>
  <c r="G46" i="1"/>
  <c r="G47" i="1"/>
  <c r="G48" i="1"/>
  <c r="W34" i="1"/>
  <c r="W39" i="1"/>
  <c r="W47" i="1"/>
  <c r="M39" i="10" s="1"/>
  <c r="V34" i="1"/>
  <c r="L39" i="10"/>
  <c r="H39" i="10"/>
  <c r="O40" i="1"/>
  <c r="O41" i="1" s="1"/>
  <c r="O46" i="1" s="1"/>
  <c r="H48" i="1"/>
  <c r="H47" i="1"/>
  <c r="H46" i="1"/>
  <c r="P34" i="1"/>
  <c r="P47" i="1"/>
  <c r="I39" i="10" s="1"/>
  <c r="P39" i="1"/>
  <c r="P41" i="1" s="1"/>
  <c r="X48" i="1"/>
  <c r="X41" i="9" s="1"/>
  <c r="X47" i="1"/>
  <c r="X41" i="1"/>
  <c r="X34" i="9" s="1"/>
  <c r="X40" i="1"/>
  <c r="X33" i="9" s="1"/>
  <c r="X46" i="1"/>
  <c r="X39" i="9" s="1"/>
  <c r="X39" i="1"/>
  <c r="X32" i="9" s="1"/>
  <c r="K39" i="1"/>
  <c r="K32" i="9" s="1"/>
  <c r="K47" i="1"/>
  <c r="S34" i="1"/>
  <c r="S27" i="9" s="1"/>
  <c r="S39" i="1"/>
  <c r="S32" i="9" s="1"/>
  <c r="S47" i="1"/>
  <c r="I48" i="1"/>
  <c r="I47" i="1"/>
  <c r="I46" i="1"/>
  <c r="L47" i="1"/>
  <c r="E39" i="10" s="1"/>
  <c r="L39" i="1"/>
  <c r="K38" i="1"/>
  <c r="K31" i="9" s="1"/>
  <c r="K31" i="1"/>
  <c r="K24" i="9" s="1"/>
  <c r="L31" i="1"/>
  <c r="L38" i="1"/>
  <c r="F25" i="1"/>
  <c r="F19" i="9" s="1"/>
  <c r="K41" i="1" l="1"/>
  <c r="K34" i="9" s="1"/>
  <c r="S41" i="1"/>
  <c r="S46" i="1" s="1"/>
  <c r="S39" i="9" s="1"/>
  <c r="S40" i="1"/>
  <c r="S33" i="9" s="1"/>
  <c r="L31" i="9"/>
  <c r="E30" i="10"/>
  <c r="P46" i="1"/>
  <c r="W41" i="1"/>
  <c r="W48" i="1" s="1"/>
  <c r="W32" i="9"/>
  <c r="M31" i="10"/>
  <c r="R41" i="9"/>
  <c r="K40" i="10"/>
  <c r="E23" i="10"/>
  <c r="L24" i="9"/>
  <c r="H31" i="10"/>
  <c r="N33" i="9"/>
  <c r="G32" i="10"/>
  <c r="L32" i="9"/>
  <c r="E31" i="10"/>
  <c r="H32" i="10"/>
  <c r="O33" i="9"/>
  <c r="I33" i="10"/>
  <c r="P34" i="9"/>
  <c r="W27" i="9"/>
  <c r="M26" i="10"/>
  <c r="R34" i="9"/>
  <c r="K33" i="10"/>
  <c r="K26" i="10"/>
  <c r="R27" i="9"/>
  <c r="P27" i="9"/>
  <c r="I26" i="10"/>
  <c r="L26" i="10"/>
  <c r="V27" i="9"/>
  <c r="K38" i="10"/>
  <c r="R39" i="9"/>
  <c r="P40" i="1"/>
  <c r="P32" i="9"/>
  <c r="I31" i="10"/>
  <c r="G31" i="10"/>
  <c r="R33" i="9"/>
  <c r="K32" i="10"/>
  <c r="R32" i="9"/>
  <c r="K31" i="10"/>
  <c r="L41" i="1"/>
  <c r="L48" i="1" s="1"/>
  <c r="F39" i="1"/>
  <c r="F32" i="9" s="1"/>
  <c r="F46" i="1"/>
  <c r="F39" i="9" s="1"/>
  <c r="F47" i="1"/>
  <c r="F48" i="1"/>
  <c r="F41" i="9" s="1"/>
  <c r="F41" i="1"/>
  <c r="F34" i="9" s="1"/>
  <c r="W40" i="1"/>
  <c r="P48" i="1"/>
  <c r="F38" i="1"/>
  <c r="F31" i="9" s="1"/>
  <c r="F31" i="1"/>
  <c r="F24" i="9" s="1"/>
  <c r="K48" i="1" l="1"/>
  <c r="K41" i="9" s="1"/>
  <c r="K46" i="1"/>
  <c r="K39" i="9" s="1"/>
  <c r="O48" i="1"/>
  <c r="O41" i="9" s="1"/>
  <c r="S34" i="9"/>
  <c r="S48" i="1"/>
  <c r="S41" i="9" s="1"/>
  <c r="W46" i="1"/>
  <c r="W39" i="9" s="1"/>
  <c r="H38" i="10"/>
  <c r="O39" i="9"/>
  <c r="P39" i="9"/>
  <c r="I38" i="10"/>
  <c r="M33" i="10"/>
  <c r="W34" i="9"/>
  <c r="I40" i="10"/>
  <c r="P41" i="9"/>
  <c r="M32" i="10"/>
  <c r="W33" i="9"/>
  <c r="N34" i="9"/>
  <c r="G33" i="10"/>
  <c r="H33" i="10"/>
  <c r="O34" i="9"/>
  <c r="L41" i="9"/>
  <c r="E40" i="10"/>
  <c r="M40" i="10"/>
  <c r="W41" i="9"/>
  <c r="L46" i="1"/>
  <c r="E33" i="10"/>
  <c r="L34" i="9"/>
  <c r="I32" i="10"/>
  <c r="P33" i="9"/>
  <c r="M38" i="10" l="1"/>
  <c r="H40" i="10"/>
  <c r="N41" i="9"/>
  <c r="G40" i="10"/>
  <c r="G38" i="10"/>
  <c r="N39" i="9"/>
  <c r="E38" i="10"/>
  <c r="L39" i="9"/>
</calcChain>
</file>

<file path=xl/sharedStrings.xml><?xml version="1.0" encoding="utf-8"?>
<sst xmlns="http://schemas.openxmlformats.org/spreadsheetml/2006/main" count="703" uniqueCount="195">
  <si>
    <t>CODIGO:</t>
  </si>
  <si>
    <t>##</t>
  </si>
  <si>
    <t>BALANCE DE MATERIAS PRIMAS</t>
  </si>
  <si>
    <t>SISTEMA DE GESTION INTEGRAL</t>
  </si>
  <si>
    <t>N</t>
  </si>
  <si>
    <t>P</t>
  </si>
  <si>
    <t>K</t>
  </si>
  <si>
    <t>CaO</t>
  </si>
  <si>
    <t>MgO</t>
  </si>
  <si>
    <t>S</t>
  </si>
  <si>
    <t>SiO2</t>
  </si>
  <si>
    <t>Zn</t>
  </si>
  <si>
    <t>B</t>
  </si>
  <si>
    <t>Mo</t>
  </si>
  <si>
    <t>Mn</t>
  </si>
  <si>
    <t>Cu</t>
  </si>
  <si>
    <t>Fe</t>
  </si>
  <si>
    <t>Co</t>
  </si>
  <si>
    <t>Na</t>
  </si>
  <si>
    <t>C</t>
  </si>
  <si>
    <t>MATERIA PRIMA</t>
  </si>
  <si>
    <t>kg / Ton</t>
  </si>
  <si>
    <t>%/100 kg</t>
  </si>
  <si>
    <t>N-tot</t>
  </si>
  <si>
    <t>N-NH4</t>
  </si>
  <si>
    <t>N-NO3</t>
  </si>
  <si>
    <t>N-org</t>
  </si>
  <si>
    <t>N-ur</t>
  </si>
  <si>
    <t>SUMA</t>
  </si>
  <si>
    <t>TOTAL</t>
  </si>
  <si>
    <t>CaO-tot</t>
  </si>
  <si>
    <t>S-tot</t>
  </si>
  <si>
    <t>Fe-sol</t>
  </si>
  <si>
    <t>Mn-sol</t>
  </si>
  <si>
    <t>SiO2-sol</t>
  </si>
  <si>
    <t>P-as</t>
  </si>
  <si>
    <t>Zn-tot</t>
  </si>
  <si>
    <t>SiO2-tot</t>
  </si>
  <si>
    <t>Mo-sol</t>
  </si>
  <si>
    <t>Cu-sol</t>
  </si>
  <si>
    <t>MgO-tot</t>
  </si>
  <si>
    <t>K-sol</t>
  </si>
  <si>
    <t>Tolerancia permitida</t>
  </si>
  <si>
    <t>CERTIFICADO DE ANALISIS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</si>
  <si>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</si>
  <si>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</si>
  <si>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Micronutrientes:</t>
    </r>
    <r>
      <rPr>
        <sz val="11"/>
        <color rgb="FF000000"/>
        <rFont val="Segoe UI"/>
        <family val="2"/>
      </rPr>
      <t xml:space="preserve"> Unicamente micronutrientes</t>
    </r>
  </si>
  <si>
    <r>
      <t>Micronutrientes:</t>
    </r>
    <r>
      <rPr>
        <sz val="11"/>
        <color rgb="FF000000"/>
        <rFont val="Segoe UI"/>
        <family val="2"/>
      </rPr>
      <t xml:space="preserve"> Mezcla con NPK o secundarios</t>
    </r>
  </si>
  <si>
    <t>*1 Resolución ICA 150 de 2003 ANEXO 11</t>
  </si>
  <si>
    <t>*2 NTC 1061:2020 ALCANCE: no aplica para organicos</t>
  </si>
  <si>
    <t xml:space="preserve">*3 NTC 1061:2020 4.1 </t>
  </si>
  <si>
    <t xml:space="preserve">*4 NTC 1061:2020 4.2.1 - 4.2.2 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</si>
  <si>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</si>
  <si>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t>CONTENIDOS MINIMOS*</t>
    </r>
    <r>
      <rPr>
        <vertAlign val="superscript"/>
        <sz val="11"/>
        <color theme="1"/>
        <rFont val="Noto Sans"/>
        <family val="2"/>
      </rPr>
      <t>1</t>
    </r>
  </si>
  <si>
    <t>NA</t>
  </si>
  <si>
    <t>Elemento</t>
  </si>
  <si>
    <t>npk</t>
  </si>
  <si>
    <t>sec-solo</t>
  </si>
  <si>
    <t>micro-solo</t>
  </si>
  <si>
    <t>micro-mezcla</t>
  </si>
  <si>
    <r>
      <t>TOLERANCIAS*</t>
    </r>
    <r>
      <rPr>
        <vertAlign val="superscript"/>
        <sz val="11"/>
        <color theme="1"/>
        <rFont val="Noto Sans"/>
        <family val="2"/>
      </rPr>
      <t>2</t>
    </r>
  </si>
  <si>
    <t>Calculo</t>
  </si>
  <si>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</si>
  <si>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>Nitrogeno Total N</t>
  </si>
  <si>
    <t>Nitrogeno amoniacal</t>
  </si>
  <si>
    <t>Nitrogeno nitrico</t>
  </si>
  <si>
    <t>Nitrogeno organico</t>
  </si>
  <si>
    <t>Nitrogeno ureico</t>
  </si>
  <si>
    <t>Calcio CaO</t>
  </si>
  <si>
    <t>Fosforo asimilable P2O5</t>
  </si>
  <si>
    <t>Potasio soluble K2O</t>
  </si>
  <si>
    <t>Magnesio MgO</t>
  </si>
  <si>
    <t>Azufre S</t>
  </si>
  <si>
    <t>Boro B</t>
  </si>
  <si>
    <t>Cobalto Co</t>
  </si>
  <si>
    <t>Cobre Cu</t>
  </si>
  <si>
    <t>Hierro Fe</t>
  </si>
  <si>
    <t>Manganeso Mn</t>
  </si>
  <si>
    <t>Molibdeno Mo</t>
  </si>
  <si>
    <t>Silicio SiO2</t>
  </si>
  <si>
    <t>Zinc Zn</t>
  </si>
  <si>
    <t>Sodio Na</t>
  </si>
  <si>
    <t>Carbono organico total oxidable C</t>
  </si>
  <si>
    <t>ADITIVOS</t>
  </si>
  <si>
    <t>FORMULACION:</t>
  </si>
  <si>
    <t>BZINC-15</t>
  </si>
  <si>
    <t>Tolerancia Mínima NTC</t>
  </si>
  <si>
    <t>Tolerancia Máxima NTC</t>
  </si>
  <si>
    <t>SOLICITUD REGISTRO</t>
  </si>
  <si>
    <t>FERTICORRECTIVO</t>
  </si>
  <si>
    <t>Operación</t>
  </si>
  <si>
    <t>Recursos/Materiales</t>
  </si>
  <si>
    <t>Maquinaria/equipos</t>
  </si>
  <si>
    <t>Duración</t>
  </si>
  <si>
    <t>Área Responsable</t>
  </si>
  <si>
    <t>Operarios</t>
  </si>
  <si>
    <t>HZ</t>
  </si>
  <si>
    <t>T°</t>
  </si>
  <si>
    <t>Alistamiento</t>
  </si>
  <si>
    <t>Estibas/montacarga</t>
  </si>
  <si>
    <t>12 min/ Tm</t>
  </si>
  <si>
    <t>Bodega</t>
  </si>
  <si>
    <t>-</t>
  </si>
  <si>
    <t>Vaciado 1</t>
  </si>
  <si>
    <t>Material de alistamiento</t>
  </si>
  <si>
    <t>Tolva 1</t>
  </si>
  <si>
    <t>10 min/ Tm</t>
  </si>
  <si>
    <t>Producción</t>
  </si>
  <si>
    <t>Mezclado</t>
  </si>
  <si>
    <t>Material vaciado</t>
  </si>
  <si>
    <t>Maquina mezcladora</t>
  </si>
  <si>
    <t>7 min/Tm</t>
  </si>
  <si>
    <t>Vaciado 2</t>
  </si>
  <si>
    <t>Material mezclado</t>
  </si>
  <si>
    <t>Tolva 2</t>
  </si>
  <si>
    <t>Granulación</t>
  </si>
  <si>
    <t>Material mezclado/Vinaza</t>
  </si>
  <si>
    <t>Olla granuladora</t>
  </si>
  <si>
    <t>Secado</t>
  </si>
  <si>
    <t>Material granulado</t>
  </si>
  <si>
    <t>Tubo secador</t>
  </si>
  <si>
    <t>T1: 100-110 °C</t>
  </si>
  <si>
    <t>Selección/Tamizado</t>
  </si>
  <si>
    <t>Material Granulado-Seco</t>
  </si>
  <si>
    <t>Tolva tamizadora</t>
  </si>
  <si>
    <t>T2: 90-100 °C</t>
  </si>
  <si>
    <t>Retorno de material molido</t>
  </si>
  <si>
    <t>Material molido</t>
  </si>
  <si>
    <t>Buggy-Palas</t>
  </si>
  <si>
    <t>Enfriado</t>
  </si>
  <si>
    <t>Material seleccionado</t>
  </si>
  <si>
    <t>Tubo enfriador</t>
  </si>
  <si>
    <t>Llenado a big bag</t>
  </si>
  <si>
    <t>Material terminado</t>
  </si>
  <si>
    <t>Big bag</t>
  </si>
  <si>
    <t>25 min/ Tm</t>
  </si>
  <si>
    <t>T3: 60-70 °C</t>
  </si>
  <si>
    <t>Almacenamiento big bag PT</t>
  </si>
  <si>
    <t>Big bag PT</t>
  </si>
  <si>
    <t>Montacargas</t>
  </si>
  <si>
    <t>5 min</t>
  </si>
  <si>
    <t>Producción/Bodega</t>
  </si>
  <si>
    <t>Paso</t>
  </si>
  <si>
    <t>VARIABLES DE PROCESO</t>
  </si>
  <si>
    <t>K2K</t>
  </si>
  <si>
    <t>Duración
(min, min/Tm)</t>
  </si>
  <si>
    <t>Frecuencia 
(Hz)</t>
  </si>
  <si>
    <t>Temperatura 
(°C)</t>
  </si>
  <si>
    <t>Aplica</t>
  </si>
  <si>
    <t>SI</t>
  </si>
  <si>
    <t>Alimentación Olla</t>
  </si>
  <si>
    <t>NO</t>
  </si>
  <si>
    <t>Banda trasportadora</t>
  </si>
  <si>
    <t>Extracción material particulado</t>
  </si>
  <si>
    <t>Extractores (3)</t>
  </si>
  <si>
    <t>N/A</t>
  </si>
  <si>
    <t>Observaciones del proceso</t>
  </si>
  <si>
    <t>El mezclado de las materias primas debe hacerse en orden. El mezclado en la tolva debe hacerse con la guillotina cerrada; una vez se carga el último saco, se da inicio al tiempo de mezclado.</t>
  </si>
  <si>
    <t>La velocidad de las bandas transportadores y la velocidad del tubo secador no pueden ser altas: el producto no granula, se libera polvillo, genera reprocesos.</t>
  </si>
  <si>
    <t>La temperatura del quemador no debe exceder los siguientes valore: &lt; 40 °C el quemador se ahoga / &gt; 130 °C el producto genera humo y polvillo.</t>
  </si>
  <si>
    <t xml:space="preserve">La guillotina debe revisarse ya que el producto pasa; </t>
  </si>
  <si>
    <t>~ 8-9</t>
  </si>
  <si>
    <t>Velocidad (nivel)</t>
  </si>
  <si>
    <t>Está pendiente regular la cantidad y la proporción del líquido.</t>
  </si>
  <si>
    <t>SULFATO CALCIO_ANIBAL ARANGO_P</t>
  </si>
  <si>
    <t>CARBONATO CALCIO_AGROCALES_P</t>
  </si>
  <si>
    <t>BENTONITA GRIS_HENRY CORONADO_P</t>
  </si>
  <si>
    <t>SILICATO MAGNESIO_JULIAN SALDARRIAGA_P</t>
  </si>
  <si>
    <t>KIESERITA_MANUCHAR_P</t>
  </si>
  <si>
    <t>Tolerancia Máxima</t>
  </si>
  <si>
    <t>Límite Inferior</t>
  </si>
  <si>
    <t>Límite Superior</t>
  </si>
  <si>
    <t>TOTAL BALANCE</t>
  </si>
  <si>
    <t>GRADO</t>
  </si>
  <si>
    <t>SULFATO CALCIO</t>
  </si>
  <si>
    <t>KIESERITA</t>
  </si>
  <si>
    <t>CARBONATO CALCIO</t>
  </si>
  <si>
    <t>BENTONITA GRIS</t>
  </si>
  <si>
    <t>CERTIFICADO LABORATORIO</t>
  </si>
  <si>
    <t>Sulfato de Calcio-P - Muestra 13-03-2025</t>
  </si>
  <si>
    <t>Dentro de rangos?</t>
  </si>
  <si>
    <t>BENTONITA GRIS_DIDIER HOYOS_P</t>
  </si>
  <si>
    <t>KIESERITA_MANUCHAR</t>
  </si>
  <si>
    <t>CARBONATO CALCIO_AGROCALES</t>
  </si>
  <si>
    <t>BENTONITA GRIS DIDIER HOYOS</t>
  </si>
  <si>
    <t>BENTONITA ROJA_HYM_P</t>
  </si>
  <si>
    <t>BENTONITA ROJA</t>
  </si>
  <si>
    <t>SILICATO MAGNESIO</t>
  </si>
  <si>
    <t/>
  </si>
  <si>
    <t>SULFATO ZINC_ATEQUIMICOS_P</t>
  </si>
  <si>
    <t>BENTONITA GRIS_FERTICAUCA_P</t>
  </si>
  <si>
    <t>Calferzinc P - Muestra 13-03-2025</t>
  </si>
  <si>
    <t>Nucleo Magnesio - Muestra 12-12-2024</t>
  </si>
  <si>
    <t>SULFATO ZINC</t>
  </si>
  <si>
    <t>CAMASI - Muestra 13-03-2025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</si>
</sst>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_-* #,##0.00_-;\-* #,##0.00_-;_-* &quot;-&quot;??_-;_-@_-"/>
  </numFmts>
  <fonts count="16" x14ac:knownFonts="1">
    <font>
      <sz val="11"/>
      <color theme="1"/>
      <name val="Noto Sans"/>
      <family val="2"/>
    </font>
    <font>
      <sz val="11"/>
      <color theme="1"/>
      <name val="Calibri"/>
      <family val="2"/>
      <scheme val="minor"/>
    </font>
    <font>
      <sz val="11"/>
      <color theme="1"/>
      <name val="Noto Sans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vertAlign val="superscript"/>
      <sz val="11"/>
      <color theme="1"/>
      <name val="Noto Sans"/>
      <family val="2"/>
    </font>
    <font>
      <vertAlign val="superscript"/>
      <sz val="11"/>
      <color rgb="FF000000"/>
      <name val="Segoe UI"/>
      <family val="2"/>
    </font>
    <font>
      <sz val="8"/>
      <color theme="1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20"/>
      <color theme="1"/>
      <name val="Noto Sans"/>
      <family val="2"/>
    </font>
    <font>
      <sz val="12"/>
      <color theme="1"/>
      <name val="Noto Sans"/>
      <family val="2"/>
    </font>
    <font>
      <sz val="12"/>
      <name val="Noto Sans"/>
      <family val="2"/>
    </font>
    <font>
      <b/>
      <sz val="11"/>
      <color theme="1" tint="0.249977111117893"/>
      <name val="Noto Sans"/>
      <family val="2"/>
    </font>
    <font>
      <sz val="11"/>
      <color theme="1" tint="0.249977111117893"/>
      <name val="Noto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AC9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</cellStyleXfs>
  <cellXfs count="235">
    <xf numFmtId="0" fontId="0" fillId="0" borderId="0" xfId="0"/>
    <xf numFmtId="9" fontId="0" fillId="0" borderId="0" xfId="0" applyNumberForma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1" applyNumberFormat="1" applyFon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0" fillId="3" borderId="16" xfId="1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12" xfId="1" applyNumberFormat="1" applyFon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164" fontId="0" fillId="3" borderId="4" xfId="1" applyNumberFormat="1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9" fillId="3" borderId="0" xfId="0" applyFont="1" applyFill="1"/>
    <xf numFmtId="0" fontId="9" fillId="0" borderId="0" xfId="0" applyFont="1"/>
    <xf numFmtId="0" fontId="0" fillId="3" borderId="0" xfId="0" applyFill="1" applyAlignment="1">
      <alignment horizontal="center" vertical="center"/>
    </xf>
    <xf numFmtId="164" fontId="0" fillId="3" borderId="17" xfId="1" applyNumberFormat="1" applyFont="1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horizontal="center" vertical="center"/>
    </xf>
    <xf numFmtId="10" fontId="0" fillId="3" borderId="12" xfId="0" applyNumberFormat="1" applyFill="1" applyBorder="1" applyAlignment="1">
      <alignment horizontal="center" vertical="center"/>
    </xf>
    <xf numFmtId="164" fontId="0" fillId="3" borderId="11" xfId="1" applyNumberFormat="1" applyFont="1" applyFill="1" applyBorder="1" applyAlignment="1">
      <alignment horizontal="center" vertical="center"/>
    </xf>
    <xf numFmtId="0" fontId="9" fillId="3" borderId="18" xfId="0" applyFont="1" applyFill="1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0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28" xfId="0" applyFill="1" applyBorder="1" applyAlignment="1">
      <alignment horizontal="center" vertical="center"/>
    </xf>
    <xf numFmtId="0" fontId="0" fillId="3" borderId="28" xfId="0" applyFill="1" applyBorder="1"/>
    <xf numFmtId="0" fontId="9" fillId="3" borderId="28" xfId="0" applyFont="1" applyFill="1" applyBorder="1"/>
    <xf numFmtId="0" fontId="9" fillId="3" borderId="33" xfId="0" applyFont="1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5" xfId="0" applyFill="1" applyBorder="1" applyAlignment="1">
      <alignment horizontal="center"/>
    </xf>
    <xf numFmtId="0" fontId="0" fillId="3" borderId="36" xfId="0" applyFill="1" applyBorder="1"/>
    <xf numFmtId="0" fontId="0" fillId="3" borderId="28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9" xfId="0" applyFill="1" applyBorder="1"/>
    <xf numFmtId="0" fontId="0" fillId="3" borderId="38" xfId="0" applyFill="1" applyBorder="1"/>
    <xf numFmtId="0" fontId="0" fillId="3" borderId="39" xfId="0" applyFill="1" applyBorder="1"/>
    <xf numFmtId="164" fontId="9" fillId="3" borderId="12" xfId="1" applyNumberFormat="1" applyFont="1" applyFill="1" applyBorder="1" applyAlignment="1">
      <alignment horizontal="center" vertical="center"/>
    </xf>
    <xf numFmtId="164" fontId="9" fillId="3" borderId="11" xfId="1" applyNumberFormat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0" fillId="3" borderId="29" xfId="0" applyFill="1" applyBorder="1"/>
    <xf numFmtId="0" fontId="9" fillId="2" borderId="10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0" fillId="3" borderId="15" xfId="0" applyFill="1" applyBorder="1"/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9" fillId="2" borderId="14" xfId="0" applyFont="1" applyFill="1" applyBorder="1" applyAlignment="1">
      <alignment vertical="center"/>
    </xf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9" fillId="2" borderId="18" xfId="0" applyFont="1" applyFill="1" applyBorder="1" applyAlignment="1">
      <alignment horizontal="center" vertical="center"/>
    </xf>
    <xf numFmtId="0" fontId="9" fillId="2" borderId="43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9" fillId="3" borderId="46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42" xfId="0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0" fillId="3" borderId="0" xfId="0" applyFont="1" applyFill="1" applyAlignment="1">
      <alignment horizontal="left"/>
    </xf>
    <xf numFmtId="0" fontId="9" fillId="3" borderId="15" xfId="0" applyFont="1" applyFill="1" applyBorder="1" applyAlignment="1">
      <alignment horizontal="left"/>
    </xf>
    <xf numFmtId="0" fontId="9" fillId="3" borderId="16" xfId="0" applyFont="1" applyFill="1" applyBorder="1" applyAlignment="1">
      <alignment horizontal="left"/>
    </xf>
    <xf numFmtId="0" fontId="9" fillId="3" borderId="17" xfId="0" applyFon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25" xfId="0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/>
    </xf>
    <xf numFmtId="0" fontId="9" fillId="3" borderId="48" xfId="0" applyFont="1" applyFill="1" applyBorder="1" applyAlignment="1">
      <alignment horizontal="center"/>
    </xf>
    <xf numFmtId="164" fontId="9" fillId="3" borderId="10" xfId="1" applyNumberFormat="1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/>
    </xf>
    <xf numFmtId="0" fontId="9" fillId="3" borderId="16" xfId="0" applyFont="1" applyFill="1" applyBorder="1" applyAlignment="1">
      <alignment horizontal="left"/>
    </xf>
    <xf numFmtId="0" fontId="9" fillId="3" borderId="9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7" xfId="0" applyFont="1" applyFill="1" applyBorder="1" applyAlignment="1">
      <alignment horizontal="left"/>
    </xf>
    <xf numFmtId="0" fontId="9" fillId="3" borderId="0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left"/>
    </xf>
    <xf numFmtId="0" fontId="9" fillId="3" borderId="11" xfId="0" applyFont="1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9" fontId="0" fillId="0" borderId="49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3" borderId="50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164" fontId="0" fillId="3" borderId="53" xfId="1" applyNumberFormat="1" applyFont="1" applyFill="1" applyBorder="1" applyAlignment="1">
      <alignment horizontal="center" vertical="center"/>
    </xf>
    <xf numFmtId="164" fontId="0" fillId="3" borderId="10" xfId="1" applyNumberFormat="1" applyFont="1" applyFill="1" applyBorder="1" applyAlignment="1">
      <alignment horizontal="center" vertical="center"/>
    </xf>
    <xf numFmtId="164" fontId="0" fillId="3" borderId="19" xfId="1" applyNumberFormat="1" applyFont="1" applyFill="1" applyBorder="1" applyAlignment="1">
      <alignment horizontal="center" vertical="center"/>
    </xf>
    <xf numFmtId="0" fontId="1" fillId="0" borderId="1" xfId="2" applyBorder="1" applyAlignment="1">
      <alignment horizontal="center"/>
    </xf>
    <xf numFmtId="0" fontId="1" fillId="0" borderId="1" xfId="2" applyBorder="1" applyAlignment="1">
      <alignment horizontal="center" vertical="center"/>
    </xf>
    <xf numFmtId="0" fontId="1" fillId="0" borderId="1" xfId="2" applyBorder="1" applyAlignment="1">
      <alignment horizontal="center" vertical="center" wrapText="1"/>
    </xf>
    <xf numFmtId="0" fontId="1" fillId="0" borderId="1" xfId="2" applyBorder="1"/>
    <xf numFmtId="0" fontId="1" fillId="0" borderId="1" xfId="2" applyFill="1" applyBorder="1" applyAlignment="1">
      <alignment horizontal="center" vertical="center"/>
    </xf>
    <xf numFmtId="0" fontId="1" fillId="0" borderId="1" xfId="3" applyNumberFormat="1" applyFont="1" applyBorder="1" applyAlignment="1">
      <alignment horizontal="center" vertical="center"/>
    </xf>
    <xf numFmtId="0" fontId="1" fillId="0" borderId="1" xfId="2" applyNumberFormat="1" applyBorder="1" applyAlignment="1">
      <alignment horizontal="center" vertical="center"/>
    </xf>
    <xf numFmtId="0" fontId="1" fillId="0" borderId="1" xfId="2" applyNumberFormat="1" applyBorder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vertical="center"/>
    </xf>
    <xf numFmtId="0" fontId="0" fillId="3" borderId="0" xfId="0" applyFill="1" applyBorder="1" applyAlignment="1">
      <alignment horizontal="center" vertical="center"/>
    </xf>
    <xf numFmtId="0" fontId="0" fillId="3" borderId="21" xfId="0" applyFill="1" applyBorder="1" applyAlignment="1"/>
    <xf numFmtId="0" fontId="0" fillId="3" borderId="22" xfId="0" applyFill="1" applyBorder="1" applyAlignment="1"/>
    <xf numFmtId="0" fontId="0" fillId="3" borderId="23" xfId="0" applyFill="1" applyBorder="1" applyAlignment="1"/>
    <xf numFmtId="0" fontId="12" fillId="3" borderId="40" xfId="0" applyFont="1" applyFill="1" applyBorder="1"/>
    <xf numFmtId="0" fontId="12" fillId="3" borderId="41" xfId="0" applyFont="1" applyFill="1" applyBorder="1"/>
    <xf numFmtId="0" fontId="12" fillId="3" borderId="42" xfId="0" applyFont="1" applyFill="1" applyBorder="1"/>
    <xf numFmtId="0" fontId="0" fillId="3" borderId="6" xfId="0" applyFill="1" applyBorder="1"/>
    <xf numFmtId="0" fontId="13" fillId="3" borderId="40" xfId="0" applyFont="1" applyFill="1" applyBorder="1"/>
    <xf numFmtId="0" fontId="13" fillId="3" borderId="41" xfId="0" applyFont="1" applyFill="1" applyBorder="1"/>
    <xf numFmtId="0" fontId="13" fillId="3" borderId="42" xfId="0" applyFont="1" applyFill="1" applyBorder="1"/>
    <xf numFmtId="0" fontId="13" fillId="3" borderId="40" xfId="0" applyFont="1" applyFill="1" applyBorder="1" applyAlignment="1">
      <alignment horizontal="center"/>
    </xf>
    <xf numFmtId="0" fontId="13" fillId="3" borderId="41" xfId="0" applyFont="1" applyFill="1" applyBorder="1" applyAlignment="1">
      <alignment horizontal="center"/>
    </xf>
    <xf numFmtId="0" fontId="13" fillId="3" borderId="42" xfId="0" applyFont="1" applyFill="1" applyBorder="1" applyAlignment="1">
      <alignment horizontal="center"/>
    </xf>
    <xf numFmtId="0" fontId="12" fillId="3" borderId="40" xfId="0" applyFont="1" applyFill="1" applyBorder="1" applyAlignment="1">
      <alignment horizontal="center"/>
    </xf>
    <xf numFmtId="0" fontId="12" fillId="3" borderId="41" xfId="0" applyFont="1" applyFill="1" applyBorder="1" applyAlignment="1">
      <alignment horizontal="center"/>
    </xf>
    <xf numFmtId="0" fontId="12" fillId="3" borderId="42" xfId="0" applyFont="1" applyFill="1" applyBorder="1" applyAlignment="1">
      <alignment horizontal="center"/>
    </xf>
    <xf numFmtId="0" fontId="9" fillId="4" borderId="14" xfId="0" applyFont="1" applyFill="1" applyBorder="1" applyAlignment="1">
      <alignment vertical="center"/>
    </xf>
    <xf numFmtId="0" fontId="9" fillId="4" borderId="14" xfId="0" applyFont="1" applyFill="1" applyBorder="1" applyAlignment="1">
      <alignment vertical="center" wrapText="1"/>
    </xf>
    <xf numFmtId="164" fontId="0" fillId="0" borderId="49" xfId="0" applyNumberFormat="1" applyBorder="1" applyAlignment="1">
      <alignment horizontal="center" vertical="center"/>
    </xf>
    <xf numFmtId="164" fontId="9" fillId="3" borderId="19" xfId="1" applyNumberFormat="1" applyFont="1" applyFill="1" applyBorder="1" applyAlignment="1">
      <alignment horizontal="center" vertical="center"/>
    </xf>
    <xf numFmtId="164" fontId="9" fillId="3" borderId="14" xfId="1" applyNumberFormat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164" fontId="0" fillId="0" borderId="0" xfId="1" applyNumberFormat="1" applyFont="1"/>
    <xf numFmtId="164" fontId="0" fillId="3" borderId="1" xfId="1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22" xfId="0" applyFill="1" applyBorder="1"/>
    <xf numFmtId="164" fontId="0" fillId="5" borderId="1" xfId="1" applyNumberFormat="1" applyFont="1" applyFill="1" applyBorder="1" applyAlignment="1">
      <alignment horizontal="center"/>
    </xf>
    <xf numFmtId="0" fontId="9" fillId="6" borderId="1" xfId="0" applyFont="1" applyFill="1" applyBorder="1"/>
    <xf numFmtId="164" fontId="15" fillId="3" borderId="0" xfId="1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0" fontId="14" fillId="3" borderId="0" xfId="0" applyFont="1" applyFill="1" applyBorder="1" applyAlignment="1">
      <alignment horizontal="left"/>
    </xf>
    <xf numFmtId="0" fontId="0" fillId="3" borderId="20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9" fillId="6" borderId="1" xfId="0" applyFont="1" applyFill="1" applyBorder="1" applyAlignment="1">
      <alignment horizontal="left"/>
    </xf>
    <xf numFmtId="0" fontId="9" fillId="6" borderId="20" xfId="0" applyFont="1" applyFill="1" applyBorder="1" applyAlignment="1">
      <alignment horizontal="left"/>
    </xf>
    <xf numFmtId="0" fontId="9" fillId="6" borderId="2" xfId="0" applyFont="1" applyFill="1" applyBorder="1" applyAlignment="1">
      <alignment horizontal="left"/>
    </xf>
    <xf numFmtId="0" fontId="9" fillId="6" borderId="21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22" xfId="0" applyFont="1" applyFill="1" applyBorder="1" applyAlignment="1">
      <alignment horizontal="center"/>
    </xf>
    <xf numFmtId="0" fontId="9" fillId="6" borderId="0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1" fillId="3" borderId="18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9" fillId="3" borderId="15" xfId="0" applyFont="1" applyFill="1" applyBorder="1" applyAlignment="1">
      <alignment horizontal="left"/>
    </xf>
    <xf numFmtId="0" fontId="9" fillId="3" borderId="16" xfId="0" applyFont="1" applyFill="1" applyBorder="1" applyAlignment="1">
      <alignment horizontal="left"/>
    </xf>
    <xf numFmtId="0" fontId="9" fillId="3" borderId="17" xfId="0" applyFont="1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5" xfId="0" applyFill="1" applyBorder="1" applyAlignment="1">
      <alignment horizontal="center" vertical="center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10" fillId="3" borderId="0" xfId="0" applyFont="1" applyFill="1" applyAlignment="1">
      <alignment horizontal="left"/>
    </xf>
    <xf numFmtId="0" fontId="9" fillId="3" borderId="9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9" fillId="3" borderId="13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</cellXfs>
  <cellStyles count="4">
    <cellStyle name="Millares 2" xfId="3" xr:uid="{FC868CA7-FAFC-41BF-A9F3-6B7A283C3085}"/>
    <cellStyle name="Normal" xfId="0" builtinId="0"/>
    <cellStyle name="Normal 2" xfId="2" xr:uid="{8E069D31-CC0B-4AD3-8293-445C8E0C56A2}"/>
    <cellStyle name="Porcentaje" xfId="1" builtinId="5"/>
  </cellStyles>
  <dxfs count="454"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auto="1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auto="1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auto="1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auto="1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top style="medium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rgb="FF000000"/>
        </lef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AAC985"/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152399</xdr:colOff>
      <xdr:row>1</xdr:row>
      <xdr:rowOff>0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22A43026-A6FC-421B-A0DF-7319D21E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113" y="204107"/>
          <a:ext cx="1099458" cy="6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534759</xdr:colOff>
      <xdr:row>1</xdr:row>
      <xdr:rowOff>17689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872E114D-6432-4388-A0B5-54D4025A8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8059" y="265339"/>
          <a:ext cx="1099458" cy="62861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125184</xdr:colOff>
      <xdr:row>1</xdr:row>
      <xdr:rowOff>27214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33A6D56C-0C08-43F1-AA11-5FB345B4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898" y="231321"/>
          <a:ext cx="1099458" cy="62861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_calferquim/203_areas/203.7_orden_produccion/2025/2025_Verificacion_Fertilizant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de Materias Primas"/>
      <sheetName val="Hoja2"/>
      <sheetName val="Registro"/>
      <sheetName val="62-281224_CAMASI GRIS"/>
      <sheetName val="65-281224_NUCLEO 4"/>
      <sheetName val="213-281224_FE SULFATO CALCIO"/>
      <sheetName val="65-271224_NUCLEO 4"/>
      <sheetName val="62-271224_CAMASI GRIS"/>
      <sheetName val="85-271224_MF 15-15-15"/>
      <sheetName val="83-271224_MF 18-18-18"/>
      <sheetName val="62-261224_CAMASI GRIS"/>
      <sheetName val="141-161124_SULFATO CALCIO P"/>
      <sheetName val="141-261224_SULFATO CALCIO P"/>
      <sheetName val="311-261224_FERTICORRECTIVO_og)"/>
      <sheetName val="311-261224_FERTICORRECTIVO_t"/>
      <sheetName val="311-261224_FERTICORRECTIVOx"/>
      <sheetName val="154-231224_FE MAGNE3"/>
      <sheetName val="65-231224_NUCLEO 4"/>
      <sheetName val="311-231224_FERTICORRECTIVO"/>
      <sheetName val="160-211224_SUELO CA"/>
      <sheetName val="85-211224_MF 15-15-15"/>
      <sheetName val="83-211224_MF 18-18-18"/>
      <sheetName val="137-011124_MF 10-20-20"/>
      <sheetName val="585-011124_MF 24N-4P-2K"/>
      <sheetName val="150-011124_CALFERZINC P"/>
      <sheetName val="Verificación de Formulación"/>
      <sheetName val="Verificación de Formulación (2)"/>
      <sheetName val="Hoja6 (2)"/>
      <sheetName val="gfs"/>
      <sheetName val="Hoja7"/>
      <sheetName val="Hoja3"/>
      <sheetName val="Hoja1"/>
      <sheetName val="641-011124_MF 10N-24P-14K"/>
      <sheetName val="65-011124_NUCLEO 4"/>
      <sheetName val="150-021124_CALFERZINC P"/>
      <sheetName val="65-021124_NUCLEO 4"/>
      <sheetName val="62-021124_CAMASI GRIS"/>
      <sheetName val="491-051124_CAMASI GRIS YARA"/>
      <sheetName val="81-051124_MF 31-8-8-2"/>
      <sheetName val="83-051124_MF 18-18-18"/>
      <sheetName val="82-051124_MF 25-4-24"/>
      <sheetName val="491-061124_CAMASI GRIS YARA"/>
      <sheetName val="642-061124_MF 27-3-12"/>
      <sheetName val="208-061124_NUCLEO MAGNESIO"/>
      <sheetName val="598-061124_MFE 30N-11P-6K"/>
      <sheetName val="546-081124_MF 26N-6P-6K"/>
      <sheetName val="544-081124_MF 11N-24P-9K-6Ca"/>
      <sheetName val="82-081124_MF 25-4-24"/>
      <sheetName val="491-081124_CAMASI GRIS YARA"/>
      <sheetName val="62-081124_CAMASI GRIS"/>
      <sheetName val="62-091124_CAMASI GRIS"/>
      <sheetName val="65-091124_NUCLEO 4"/>
      <sheetName val="628-091124_MFE 25N-4P-14K"/>
      <sheetName val="586-091124_MFE 19N-4K-18S"/>
      <sheetName val="85-121124_NUCLEO 4"/>
      <sheetName val="491-121124_CAMASI GRIS YARA"/>
      <sheetName val="62-121124_CAMASI GRIS"/>
      <sheetName val="85-121124_MF 15-15-15"/>
      <sheetName val="85-131124_MF 15-15-15"/>
      <sheetName val="84-131124_MF 17-6-18-2-1"/>
      <sheetName val="65-131124_NUCLEO 4"/>
      <sheetName val="208-131124_NUCLEO MAGNESIO"/>
      <sheetName val="208-141124_NUCLEO MAGNESIO"/>
      <sheetName val="141-141124_SULFATO CALCIO P"/>
      <sheetName val="84-141124_MF 17-6-18-2-1"/>
      <sheetName val="85-141124_MF 15-15-15"/>
      <sheetName val="85-151124_MF 15-15-15"/>
      <sheetName val="82-151124_MF 25-4-24"/>
      <sheetName val="188-151124_MICRON C-S"/>
      <sheetName val="155-151124_RAIFOS 20"/>
      <sheetName val="208-151124_NUCLEO MAGNESIO"/>
      <sheetName val="62-161124_CAMASI GRIS"/>
      <sheetName val="414-161124_MF 18-9-29"/>
      <sheetName val="640-161124_MFE 15-9-20"/>
      <sheetName val="517-151124_MF 16-16-16"/>
      <sheetName val="65-130125_NUCLEO 4"/>
      <sheetName val="65-130125_CAMASI GRIS"/>
      <sheetName val="65-050305_NUCLEO 4"/>
      <sheetName val="2025_MF 13 - 5 - 27"/>
      <sheetName val="2042025_25-4-24 dap-1"/>
      <sheetName val="2042025_25-4-24 dap-2"/>
      <sheetName val="84030425_MF 17-6-18-2-1"/>
      <sheetName val="62030425_CAMASI GRIS"/>
      <sheetName val="646040425_MFE 10-30-10"/>
      <sheetName val="646040425_1931-08-08"/>
      <sheetName val="40425_mf-10-30-10"/>
      <sheetName val="40425_mf-19-25-6"/>
      <sheetName val="62100425_CAMASI GRIS"/>
      <sheetName val="491100425_CAMASI YARA"/>
      <sheetName val="83100425_MF 18-18-18"/>
      <sheetName val="437100425_FOSFORITA NEIVA"/>
      <sheetName val="437100426_FOSFORITA NEIVA"/>
      <sheetName val="T18 MAP_MF 18-18-18"/>
      <sheetName val="_"/>
    </sheetNames>
    <sheetDataSet>
      <sheetData sheetId="0">
        <row r="1">
          <cell r="D1" t="str">
            <v>ID</v>
          </cell>
        </row>
        <row r="2">
          <cell r="D2" t="str">
            <v>BENTONITA GRIS_DIDIER HOYOS_P</v>
          </cell>
        </row>
        <row r="3">
          <cell r="D3" t="str">
            <v>BENTONITA GRIS_HENRY CORONADO_P</v>
          </cell>
        </row>
        <row r="4">
          <cell r="D4" t="str">
            <v>BENTONITA GRIS_FERTICAUCA_P</v>
          </cell>
        </row>
        <row r="5">
          <cell r="D5" t="str">
            <v>BENTONITA ROJA_MINERALES_P</v>
          </cell>
        </row>
        <row r="6">
          <cell r="D6" t="str">
            <v>BENTONITA ROJA_HYM_P</v>
          </cell>
        </row>
        <row r="7">
          <cell r="D7" t="str">
            <v>BORO G_CALFERQUIM_G</v>
          </cell>
        </row>
        <row r="8">
          <cell r="D8" t="str">
            <v>CAL DOLOMITA_BM_P</v>
          </cell>
        </row>
        <row r="9">
          <cell r="D9" t="str">
            <v>CALFERZINC P_CALFERQUIM_G</v>
          </cell>
        </row>
        <row r="10">
          <cell r="D10" t="str">
            <v>CARBONATO CALCIO_AGROCALES_P</v>
          </cell>
        </row>
        <row r="11">
          <cell r="D11" t="str">
            <v>CARBONATO CALCIO_HELVECIA_P</v>
          </cell>
        </row>
        <row r="12">
          <cell r="D12" t="str">
            <v>CARBONITRO_CALFERQUIM_L</v>
          </cell>
        </row>
        <row r="13">
          <cell r="D13" t="str">
            <v>DAP_NUTRICION PLANTAS_G</v>
          </cell>
        </row>
        <row r="14">
          <cell r="D14" t="str">
            <v>DAP_CALFERQUIM_G</v>
          </cell>
        </row>
        <row r="15">
          <cell r="D15" t="str">
            <v>DAP_DISAN_G</v>
          </cell>
        </row>
        <row r="16">
          <cell r="D16" t="str">
            <v>DAP_CIAMSA_G</v>
          </cell>
        </row>
        <row r="17">
          <cell r="D17" t="str">
            <v>DAP_EVOAGRO_G</v>
          </cell>
        </row>
        <row r="18">
          <cell r="D18" t="str">
            <v>FERTIMENORES_CALFERQUIM_P</v>
          </cell>
        </row>
        <row r="19">
          <cell r="D19" t="str">
            <v>KCL_SQM_G</v>
          </cell>
        </row>
        <row r="20">
          <cell r="D20" t="str">
            <v>KCL_NUTRICION PLANTAS_G</v>
          </cell>
        </row>
        <row r="21">
          <cell r="D21" t="str">
            <v>KCL_EVOAGRO_G</v>
          </cell>
        </row>
        <row r="22">
          <cell r="D22" t="str">
            <v>KCL STD_DISAN_P</v>
          </cell>
        </row>
        <row r="23">
          <cell r="D23" t="str">
            <v>KIESERITA_MANUCHAR_P</v>
          </cell>
        </row>
        <row r="24">
          <cell r="D24" t="str">
            <v>MAP_PRECISAGRO_P</v>
          </cell>
        </row>
        <row r="25">
          <cell r="D25" t="str">
            <v>MAP_NUTRICION PLANTAS_G</v>
          </cell>
        </row>
        <row r="26">
          <cell r="D26" t="str">
            <v>MAP_SQM_P</v>
          </cell>
        </row>
        <row r="27">
          <cell r="D27" t="str">
            <v>MAP_CIAMSA_G</v>
          </cell>
        </row>
        <row r="28">
          <cell r="D28" t="str">
            <v>MAP_PRECISAGRO_G</v>
          </cell>
        </row>
        <row r="29">
          <cell r="D29" t="str">
            <v>MAP_NITROFERT_G</v>
          </cell>
        </row>
        <row r="30">
          <cell r="D30" t="str">
            <v>MF 23-3-20_CALFERQUIM_G</v>
          </cell>
        </row>
        <row r="31">
          <cell r="D31" t="str">
            <v>MF-17-6-18-2_CALFERQUIM_G</v>
          </cell>
        </row>
        <row r="32">
          <cell r="D32" t="str">
            <v>MF-23-3-20-4Ca-3Si_CALFERQUIM_G</v>
          </cell>
        </row>
        <row r="33">
          <cell r="D33" t="str">
            <v>MICRON C_CALFERQUIM_G</v>
          </cell>
        </row>
        <row r="34">
          <cell r="D34" t="str">
            <v>MICRON CS_CALFERQUIM_G</v>
          </cell>
        </row>
        <row r="35">
          <cell r="D35" t="str">
            <v>MKP_PRECISAGRO_C</v>
          </cell>
        </row>
        <row r="36">
          <cell r="D36" t="str">
            <v>NUCLEO 4_CALFERQUIM_G</v>
          </cell>
        </row>
        <row r="37">
          <cell r="D37" t="str">
            <v>NUCLEO HIERRO_CAMPOFERT_G</v>
          </cell>
        </row>
        <row r="38">
          <cell r="D38" t="str">
            <v>OXIDO MAGNESIO_ATEQUIMICOS_P</v>
          </cell>
        </row>
        <row r="39">
          <cell r="D39" t="str">
            <v>PANTEKALI_PRECISAGRO_</v>
          </cell>
        </row>
        <row r="40">
          <cell r="D40" t="str">
            <v>PANTEKALI_DISAN_</v>
          </cell>
        </row>
        <row r="41">
          <cell r="D41" t="str">
            <v>RAIFOS20_CALFERQUIM_G</v>
          </cell>
        </row>
        <row r="42">
          <cell r="D42" t="str">
            <v>ROCA FOSFÓRICA_FOSFATOS HUILA_P</v>
          </cell>
        </row>
        <row r="43">
          <cell r="D43" t="str">
            <v>ROCA FOSFÓRICA_PRACO_P</v>
          </cell>
        </row>
        <row r="44">
          <cell r="D44" t="str">
            <v>SAM_NUTRICION PLANTAS_G</v>
          </cell>
        </row>
        <row r="45">
          <cell r="D45" t="str">
            <v>SAM_PRECISAGRO_G</v>
          </cell>
        </row>
        <row r="46">
          <cell r="D46" t="str">
            <v>SAM_EVOAGRO_g</v>
          </cell>
        </row>
        <row r="47">
          <cell r="D47" t="str">
            <v>SILICATO HIERRO_HYM_P</v>
          </cell>
        </row>
        <row r="48">
          <cell r="D48" t="str">
            <v>SILICATO MAGNESIO_JULIAN SALDARRIAGA_P</v>
          </cell>
        </row>
        <row r="49">
          <cell r="D49" t="str">
            <v>SILIMAGRAN_CALFERQUIM_G</v>
          </cell>
        </row>
        <row r="50">
          <cell r="D50" t="str">
            <v>SUELO CA_CALFERQUIM_G</v>
          </cell>
        </row>
        <row r="51">
          <cell r="D51" t="str">
            <v>SULFATO CALCIO_ANIBAL ARANGO_P</v>
          </cell>
        </row>
        <row r="52">
          <cell r="D52" t="str">
            <v>SULFATO CALCIO P_CALFERQUIM_G</v>
          </cell>
        </row>
        <row r="53">
          <cell r="D53" t="str">
            <v>SULFATO POTASIO_PRECISAGRO_C</v>
          </cell>
        </row>
        <row r="54">
          <cell r="D54" t="str">
            <v>SULFATO ZINC_ATEQUIMICOS_P</v>
          </cell>
        </row>
        <row r="55">
          <cell r="D55" t="str">
            <v>ULEXITA_ATEQUIMICO_P</v>
          </cell>
        </row>
        <row r="56">
          <cell r="D56" t="str">
            <v>ULEXITA_MANUCHAR_C</v>
          </cell>
        </row>
        <row r="57">
          <cell r="D57" t="str">
            <v>UREA_PRECISAGRO_G</v>
          </cell>
        </row>
        <row r="58">
          <cell r="D58" t="str">
            <v>UREA_EVOAGRO_G</v>
          </cell>
        </row>
        <row r="59">
          <cell r="D59" t="str">
            <v>UREA_NUTRICION PLANTAS_G</v>
          </cell>
        </row>
        <row r="60">
          <cell r="D60" t="str">
            <v>UREA_EVOAGRO_G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F6AD24-0643-4CF2-B793-8E4F6ECC1897}" name="Tabla14" displayName="Tabla14" ref="B5:X12" totalsRowShown="0" headerRowDxfId="415" dataDxfId="413" headerRowBorderDxfId="414" tableBorderDxfId="412">
  <autoFilter ref="B5:X12" xr:uid="{FF39D554-3487-483E-962C-7577EA8DB779}"/>
  <sortState xmlns:xlrd2="http://schemas.microsoft.com/office/spreadsheetml/2017/richdata2" ref="B6:X12">
    <sortCondition ref="B5:B12"/>
  </sortState>
  <tableColumns count="23">
    <tableColumn id="1" xr3:uid="{82C1B31C-7F98-4B14-B041-05F4B5014103}" name="MATERIA PRIMA" dataDxfId="411"/>
    <tableColumn id="2" xr3:uid="{8FD9B517-0A41-4972-B3B6-AF9C786C8BB5}" name="kg / Ton" dataDxfId="410"/>
    <tableColumn id="3" xr3:uid="{35C0D9D8-DF02-4515-84C3-4AE374F712EB}" name="%/100 kg" dataDxfId="409">
      <calculatedColumnFormula>C6/10</calculatedColumnFormula>
    </tableColumn>
    <tableColumn id="4" xr3:uid="{532533EF-5B31-4FD4-9219-C28E0829744E}" name="C" dataDxfId="408"/>
    <tableColumn id="5" xr3:uid="{C382A377-2435-4873-A3B3-C4AAA8EC39F3}" name="N" dataDxfId="407"/>
    <tableColumn id="6" xr3:uid="{5C289271-1335-4FE8-A2CA-D713E4CE3E29}" name="N-NH4" dataDxfId="406"/>
    <tableColumn id="7" xr3:uid="{FD9A98B6-66D0-4D04-AE46-0F2387A9D4EB}" name="N-NO3" dataDxfId="405"/>
    <tableColumn id="8" xr3:uid="{10D6D724-0966-426A-B5DE-8526A00FB8AA}" name="N-org" dataDxfId="404"/>
    <tableColumn id="9" xr3:uid="{C981BC9F-9847-4D98-84B2-286AD9678229}" name="N-ur" dataDxfId="403"/>
    <tableColumn id="10" xr3:uid="{AC343A09-7D74-4C6D-8568-C4C43B9C0E82}" name="P" dataDxfId="402"/>
    <tableColumn id="11" xr3:uid="{81C6189E-FC48-4BB2-9B6F-02B153A9677D}" name="K" dataDxfId="401"/>
    <tableColumn id="12" xr3:uid="{1F636B61-F906-42A6-9226-B430E429D3A2}" name="CaO" dataDxfId="400"/>
    <tableColumn id="13" xr3:uid="{3487A76C-06E5-4B2E-A8F6-7465AEE6C116}" name="MgO" dataDxfId="399"/>
    <tableColumn id="14" xr3:uid="{83BE7066-B0E7-428E-971B-5C9B6B5FA35F}" name="S" dataDxfId="398"/>
    <tableColumn id="15" xr3:uid="{6462784A-8825-41AB-A0BA-C8D5FA0E2F67}" name="B" dataDxfId="397"/>
    <tableColumn id="16" xr3:uid="{1B12A58A-FB27-48BA-847B-F1216553A50F}" name="Co" dataDxfId="396"/>
    <tableColumn id="17" xr3:uid="{E1FBCC1C-413D-4FF4-B19B-1BB1AE8A7CDD}" name="Cu" dataDxfId="395"/>
    <tableColumn id="18" xr3:uid="{CA19FD8D-53A4-4093-99B1-0BA876DA6AFA}" name="Fe" dataDxfId="394"/>
    <tableColumn id="19" xr3:uid="{EF3966AC-3EFD-440A-8E39-33EADE4D2865}" name="Mn" dataDxfId="393"/>
    <tableColumn id="20" xr3:uid="{88F2A13F-5955-4857-9DB9-AAD291E102DD}" name="Mo" dataDxfId="392"/>
    <tableColumn id="21" xr3:uid="{6080BCCC-0AC4-4199-BBB0-6AA260B27FFC}" name="SiO2" dataDxfId="391"/>
    <tableColumn id="22" xr3:uid="{1FEDE5D5-48B7-4341-86B9-2219EFEA5978}" name="Zn" dataDxfId="390"/>
    <tableColumn id="23" xr3:uid="{5FE194F8-4616-4C53-AF51-B5508B9897C4}" name="Na" dataDxfId="38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430DBE-9409-448F-9CBC-584DFDFC9F30}" name="Tabla25" displayName="Tabla25" ref="B16:X23" totalsRowShown="0" headerRowDxfId="388" dataDxfId="386" headerRowBorderDxfId="387" tableBorderDxfId="385" dataCellStyle="Porcentaje">
  <autoFilter ref="B16:X23" xr:uid="{83916B7A-C699-4DEA-93D8-69EC1A227646}"/>
  <sortState xmlns:xlrd2="http://schemas.microsoft.com/office/spreadsheetml/2017/richdata2" ref="B17:X23">
    <sortCondition ref="B16:B23"/>
  </sortState>
  <tableColumns count="23">
    <tableColumn id="1" xr3:uid="{8CA5BE9E-AC5E-4D8F-AB5A-A0800344C542}" name="MATERIA PRIMA" dataDxfId="384"/>
    <tableColumn id="2" xr3:uid="{5925991B-874C-4DD7-B35F-51A72A78F140}" name="kg / Ton" dataDxfId="383"/>
    <tableColumn id="3" xr3:uid="{12741A26-F7D8-4F8F-B6E8-3BABE85E259F}" name="%/100 kg" dataDxfId="382">
      <calculatedColumnFormula>C17/10</calculatedColumnFormula>
    </tableColumn>
    <tableColumn id="4" xr3:uid="{45D852B2-21A4-4950-9EDA-F2153E620CBD}" name="Carbono organico total oxidable C" dataDxfId="381" dataCellStyle="Porcentaje">
      <calculatedColumnFormula>IF(E6="","",E6*$D6/$D$13)</calculatedColumnFormula>
    </tableColumn>
    <tableColumn id="5" xr3:uid="{08635EB1-C1F9-4616-9C40-2FF33D021F26}" name="Nitrogeno Total N" dataDxfId="380" dataCellStyle="Porcentaje">
      <calculatedColumnFormula>IF(F6="","",SUM(G17:J17))</calculatedColumnFormula>
    </tableColumn>
    <tableColumn id="6" xr3:uid="{78365307-B550-4B6E-83CC-8ED150BB6E81}" name="Nitrogeno amoniacal" dataDxfId="379" dataCellStyle="Porcentaje">
      <calculatedColumnFormula>IF(G6="","",G6*$D6/$D$13)</calculatedColumnFormula>
    </tableColumn>
    <tableColumn id="7" xr3:uid="{4C2B630C-5744-45CC-A5B8-EAE1F6658E39}" name="Nitrogeno nitrico" dataDxfId="378" dataCellStyle="Porcentaje">
      <calculatedColumnFormula>IF(H6="","",H6*$D6/$D$13)</calculatedColumnFormula>
    </tableColumn>
    <tableColumn id="8" xr3:uid="{9C641583-EA21-4FE2-977E-0EEF2D332D34}" name="Nitrogeno organico" dataDxfId="377" dataCellStyle="Porcentaje">
      <calculatedColumnFormula>IF(I6="","",I6*$D6/$D$13)</calculatedColumnFormula>
    </tableColumn>
    <tableColumn id="9" xr3:uid="{0770D5DC-D91C-4D5C-B57E-AD8BC0258798}" name="Nitrogeno ureico" dataDxfId="376" dataCellStyle="Porcentaje">
      <calculatedColumnFormula>IF(J6="","",J6*$D6/$D$13)</calculatedColumnFormula>
    </tableColumn>
    <tableColumn id="10" xr3:uid="{3FE752BA-7C56-4BE6-8586-466CB59538F9}" name="Fosforo asimilable P2O5" dataDxfId="375" dataCellStyle="Porcentaje">
      <calculatedColumnFormula>IF(K6="","",K6*$D6/$D$13)</calculatedColumnFormula>
    </tableColumn>
    <tableColumn id="11" xr3:uid="{F2BF6EAE-E0C6-4A4B-8D9F-0E89E4C09FC9}" name="Potasio soluble K2O" dataDxfId="374" dataCellStyle="Porcentaje">
      <calculatedColumnFormula>IF(L6="","",L6*$D6/$D$13)</calculatedColumnFormula>
    </tableColumn>
    <tableColumn id="12" xr3:uid="{F05CF026-4FC4-4C8F-A0CC-82FA67DA7737}" name="Calcio CaO" dataDxfId="373" dataCellStyle="Porcentaje">
      <calculatedColumnFormula>IF(M6="","",M6*$D6/$D$13)</calculatedColumnFormula>
    </tableColumn>
    <tableColumn id="13" xr3:uid="{ABE42F44-D0F2-4FD3-A2EC-5C593ABFFA39}" name="Magnesio MgO" dataDxfId="372" dataCellStyle="Porcentaje">
      <calculatedColumnFormula>IF(N6="","",N6*$D6/$D$13)</calculatedColumnFormula>
    </tableColumn>
    <tableColumn id="14" xr3:uid="{200242FA-8975-4007-9F5A-4D5837A8A244}" name="Azufre S" dataDxfId="371" dataCellStyle="Porcentaje">
      <calculatedColumnFormula>IF(O6="","",O6*$D6/$D$13)</calculatedColumnFormula>
    </tableColumn>
    <tableColumn id="15" xr3:uid="{FD781D4A-8EDA-4D5A-80CC-CC5C1D1CD932}" name="Boro B" dataDxfId="370" dataCellStyle="Porcentaje">
      <calculatedColumnFormula>IF(P6="","",P6*$D6/$D$13)</calculatedColumnFormula>
    </tableColumn>
    <tableColumn id="16" xr3:uid="{58A013FB-318C-40A9-919A-61944932A468}" name="Cobalto Co" dataDxfId="369" dataCellStyle="Porcentaje">
      <calculatedColumnFormula>IF(Q6="","",Q6*$D6/$D$13)</calculatedColumnFormula>
    </tableColumn>
    <tableColumn id="17" xr3:uid="{755841AE-995B-4508-9A1F-3D04A123D5A0}" name="Cobre Cu" dataDxfId="368" dataCellStyle="Porcentaje">
      <calculatedColumnFormula>IF(R6="","",R6*$D6/$D$13)</calculatedColumnFormula>
    </tableColumn>
    <tableColumn id="18" xr3:uid="{4AE1A7AD-1DD1-4B82-A184-5C3A318211FE}" name="Hierro Fe" dataDxfId="367" dataCellStyle="Porcentaje">
      <calculatedColumnFormula>IF(S6="","",S6*$D6/$D$13)</calculatedColumnFormula>
    </tableColumn>
    <tableColumn id="19" xr3:uid="{47918C79-0FF6-468B-82AE-B39D9B5DF32D}" name="Manganeso Mn" dataDxfId="366" dataCellStyle="Porcentaje">
      <calculatedColumnFormula>IF(T6="","",T6*$D6/$D$13)</calculatedColumnFormula>
    </tableColumn>
    <tableColumn id="20" xr3:uid="{A74893CA-1E5E-4614-A0F9-887CF0BBAE01}" name="Molibdeno Mo" dataDxfId="365" dataCellStyle="Porcentaje">
      <calculatedColumnFormula>IF(U6="","",U6*$D6/$D$13)</calculatedColumnFormula>
    </tableColumn>
    <tableColumn id="21" xr3:uid="{D79B39FD-09C8-48DE-A188-76E715817E22}" name="Silicio SiO2" dataDxfId="364" dataCellStyle="Porcentaje">
      <calculatedColumnFormula>IF(V6="","",V6*$D6/$D$13)</calculatedColumnFormula>
    </tableColumn>
    <tableColumn id="22" xr3:uid="{2116E9FA-3849-4529-BA24-8BB77C4ACF9A}" name="Zinc Zn" dataDxfId="363" dataCellStyle="Porcentaje">
      <calculatedColumnFormula>IF(W6="","",W6*$D6/$D$13)</calculatedColumnFormula>
    </tableColumn>
    <tableColumn id="23" xr3:uid="{5708BFFC-E46C-4EE8-AC32-3D5F3EA274FA}" name="Sodio Na" dataDxfId="362" dataCellStyle="Porcentaje">
      <calculatedColumnFormula>IF(X6="","",X6*$D6/$D$13)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9D554-3487-483E-962C-7577EA8DB779}" name="Tabla1" displayName="Tabla1" ref="B5:X12" totalsRowShown="0" headerRowDxfId="323" dataDxfId="321" headerRowBorderDxfId="322" tableBorderDxfId="320">
  <autoFilter ref="B5:X12" xr:uid="{FF39D554-3487-483E-962C-7577EA8DB779}"/>
  <sortState xmlns:xlrd2="http://schemas.microsoft.com/office/spreadsheetml/2017/richdata2" ref="B6:X12">
    <sortCondition ref="B5:B12"/>
  </sortState>
  <tableColumns count="23">
    <tableColumn id="1" xr3:uid="{DCE54B70-7F10-410B-A074-50791848331B}" name="MATERIA PRIMA" dataDxfId="319"/>
    <tableColumn id="2" xr3:uid="{EECC5381-FB3C-4FE5-B4BC-5B004411BC19}" name="kg / Ton" dataDxfId="318"/>
    <tableColumn id="3" xr3:uid="{6A2C378D-6509-4B4B-8E8C-BFA55201AF1B}" name="%/100 kg" dataDxfId="317">
      <calculatedColumnFormula>C6/10</calculatedColumnFormula>
    </tableColumn>
    <tableColumn id="4" xr3:uid="{28FFC1DB-ECAB-4F89-97D2-0C54F374494A}" name="C" dataDxfId="316"/>
    <tableColumn id="5" xr3:uid="{69C6AB7D-C468-4B95-8B34-404A03C793A1}" name="N" dataDxfId="315"/>
    <tableColumn id="6" xr3:uid="{2147D274-E5CC-49B3-96D4-3617F4D7A3D3}" name="N-NH4" dataDxfId="314"/>
    <tableColumn id="7" xr3:uid="{FD52E23B-7DC0-476B-B026-9E29095227C1}" name="N-NO3" dataDxfId="313"/>
    <tableColumn id="8" xr3:uid="{A519F31A-1F84-4862-9404-49834B5F01D0}" name="N-org" dataDxfId="312"/>
    <tableColumn id="9" xr3:uid="{FB0215D7-AE0F-477B-B5D7-48B8C48756D0}" name="N-ur" dataDxfId="311"/>
    <tableColumn id="10" xr3:uid="{52DD6793-B477-49BE-A279-FF55813889EA}" name="P" dataDxfId="310"/>
    <tableColumn id="11" xr3:uid="{182BF1A4-BC3B-499F-8769-E00638AD9D24}" name="K" dataDxfId="309"/>
    <tableColumn id="12" xr3:uid="{D0B81BAD-D1B3-471F-B0E3-80D5710F4898}" name="CaO" dataDxfId="308"/>
    <tableColumn id="13" xr3:uid="{E1094718-6C8E-49FA-AE82-22D431A37D2E}" name="MgO" dataDxfId="307"/>
    <tableColumn id="14" xr3:uid="{B3C3CE9A-1CFC-48BA-85F0-03FA0DE77FC7}" name="S" dataDxfId="306"/>
    <tableColumn id="15" xr3:uid="{A75B0328-8B86-4818-B069-FAAC1B4912D9}" name="B" dataDxfId="305"/>
    <tableColumn id="16" xr3:uid="{5E1B2383-BD9A-4287-9853-006578DAF89C}" name="Co" dataDxfId="304"/>
    <tableColumn id="17" xr3:uid="{162511BF-BB1A-4F2D-ACC2-7EFB730F2B94}" name="Cu" dataDxfId="303"/>
    <tableColumn id="18" xr3:uid="{FF6EF9EF-7FD3-4916-BE3E-648AF66643C9}" name="Fe" dataDxfId="302"/>
    <tableColumn id="19" xr3:uid="{E79A41CA-1C8F-4E8D-9AFE-CB568AD3D7D4}" name="Mn" dataDxfId="301"/>
    <tableColumn id="20" xr3:uid="{840DC895-FDCD-4388-8B60-544349126DDD}" name="Mo" dataDxfId="300"/>
    <tableColumn id="21" xr3:uid="{A74C7B74-AB2D-484B-BAB1-657A85EA3E30}" name="SiO2" dataDxfId="299"/>
    <tableColumn id="22" xr3:uid="{D2128216-4E0E-4FAF-A67C-9007D2E5AF33}" name="Zn" dataDxfId="298"/>
    <tableColumn id="23" xr3:uid="{71311DD9-F26C-4EA6-86B7-883EEF47BF70}" name="Na" dataDxfId="29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16B7A-C699-4DEA-93D8-69EC1A227646}" name="Tabla2" displayName="Tabla2" ref="B16:X23" totalsRowShown="0" headerRowDxfId="296" dataDxfId="294" headerRowBorderDxfId="295" tableBorderDxfId="293" dataCellStyle="Porcentaje">
  <autoFilter ref="B16:X23" xr:uid="{83916B7A-C699-4DEA-93D8-69EC1A227646}"/>
  <sortState xmlns:xlrd2="http://schemas.microsoft.com/office/spreadsheetml/2017/richdata2" ref="B17:X23">
    <sortCondition ref="B16:B23"/>
  </sortState>
  <tableColumns count="23">
    <tableColumn id="1" xr3:uid="{6202E4D9-8299-4095-9F7D-1B36DEC810AB}" name="MATERIA PRIMA" dataDxfId="292"/>
    <tableColumn id="2" xr3:uid="{F1493463-B5C0-4B33-B514-859F0D4221CE}" name="kg / Ton" dataDxfId="291"/>
    <tableColumn id="3" xr3:uid="{FF349741-7723-494C-9F6B-DAE837C24220}" name="%/100 kg" dataDxfId="290">
      <calculatedColumnFormula>C17/10</calculatedColumnFormula>
    </tableColumn>
    <tableColumn id="4" xr3:uid="{A2B39F83-80EC-4182-A64A-09545D13C2FF}" name="Carbono organico total oxidable C" dataDxfId="289" dataCellStyle="Porcentaje">
      <calculatedColumnFormula>IF(E6="","",E6*$D6/$D$13)</calculatedColumnFormula>
    </tableColumn>
    <tableColumn id="5" xr3:uid="{F01721B5-7B10-449C-9007-A9ECD4D155AB}" name="Nitrogeno Total N" dataDxfId="288" dataCellStyle="Porcentaje">
      <calculatedColumnFormula>IF(F6="","",SUM(G17:J17))</calculatedColumnFormula>
    </tableColumn>
    <tableColumn id="6" xr3:uid="{6C9AADD1-76BA-4046-BF0C-97DFD4727578}" name="Nitrogeno amoniacal" dataDxfId="287" dataCellStyle="Porcentaje">
      <calculatedColumnFormula>IF(G6="","",G6*$D6/$D$13)</calculatedColumnFormula>
    </tableColumn>
    <tableColumn id="7" xr3:uid="{C0FB82A4-2DE0-47F3-A929-081703B534E2}" name="Nitrogeno nitrico" dataDxfId="286" dataCellStyle="Porcentaje">
      <calculatedColumnFormula>IF(H6="","",H6*$D6/$D$13)</calculatedColumnFormula>
    </tableColumn>
    <tableColumn id="8" xr3:uid="{A8ED32E7-B6C9-492E-A651-7D0774DE716A}" name="Nitrogeno organico" dataDxfId="285" dataCellStyle="Porcentaje">
      <calculatedColumnFormula>IF(I6="","",I6*$D6/$D$13)</calculatedColumnFormula>
    </tableColumn>
    <tableColumn id="9" xr3:uid="{B2736DA2-B8CE-4507-BDA5-64C99FA0C713}" name="Nitrogeno ureico" dataDxfId="284" dataCellStyle="Porcentaje">
      <calculatedColumnFormula>IF(J6="","",J6*$D6/$D$13)</calculatedColumnFormula>
    </tableColumn>
    <tableColumn id="10" xr3:uid="{DB6BB3F7-39EC-47F0-85F7-67F08049A417}" name="Fosforo asimilable P2O5" dataDxfId="283" dataCellStyle="Porcentaje">
      <calculatedColumnFormula>IF(K6="","",K6*$D6/$D$13)</calculatedColumnFormula>
    </tableColumn>
    <tableColumn id="11" xr3:uid="{71B87E14-9A07-44D3-AA0C-413E3C1B6256}" name="Potasio soluble K2O" dataDxfId="282" dataCellStyle="Porcentaje">
      <calculatedColumnFormula>IF(L6="","",L6*$D6/$D$13)</calculatedColumnFormula>
    </tableColumn>
    <tableColumn id="12" xr3:uid="{11351FBB-72B6-4DB7-90B3-C0B2D51001C2}" name="Calcio CaO" dataDxfId="281" dataCellStyle="Porcentaje">
      <calculatedColumnFormula>IF(M6="","",M6*$D6/$D$13)</calculatedColumnFormula>
    </tableColumn>
    <tableColumn id="13" xr3:uid="{B147721B-8011-43B4-9ACC-138FA25A962D}" name="Magnesio MgO" dataDxfId="280" dataCellStyle="Porcentaje">
      <calculatedColumnFormula>IF(N6="","",N6*$D6/$D$13)</calculatedColumnFormula>
    </tableColumn>
    <tableColumn id="14" xr3:uid="{EB8039E7-5752-4414-B443-4DFF946F4F96}" name="Azufre S" dataDxfId="279" dataCellStyle="Porcentaje">
      <calculatedColumnFormula>IF(O6="","",O6*$D6/$D$13)</calculatedColumnFormula>
    </tableColumn>
    <tableColumn id="15" xr3:uid="{913D8727-C446-4F92-813C-05AC7F00EE2E}" name="Boro B" dataDxfId="278" dataCellStyle="Porcentaje">
      <calculatedColumnFormula>IF(P6="","",P6*$D6/$D$13)</calculatedColumnFormula>
    </tableColumn>
    <tableColumn id="16" xr3:uid="{CCE5FCEB-9C56-4851-A1D4-BE5F4F8A8E0B}" name="Cobalto Co" dataDxfId="277" dataCellStyle="Porcentaje">
      <calculatedColumnFormula>IF(Q6="","",Q6*$D6/$D$13)</calculatedColumnFormula>
    </tableColumn>
    <tableColumn id="17" xr3:uid="{65C127E5-2609-47E6-90DA-BA0AC2E78FFA}" name="Cobre Cu" dataDxfId="276" dataCellStyle="Porcentaje">
      <calculatedColumnFormula>IF(R6="","",R6*$D6/$D$13)</calculatedColumnFormula>
    </tableColumn>
    <tableColumn id="18" xr3:uid="{84423529-4C91-46F8-92C4-41D7408F11DE}" name="Hierro Fe" dataDxfId="275" dataCellStyle="Porcentaje">
      <calculatedColumnFormula>IF(S6="","",S6*$D6/$D$13)</calculatedColumnFormula>
    </tableColumn>
    <tableColumn id="19" xr3:uid="{4E7F29A4-F53D-4F57-888A-A919730D3FD7}" name="Manganeso Mn" dataDxfId="274" dataCellStyle="Porcentaje">
      <calculatedColumnFormula>IF(T6="","",T6*$D6/$D$13)</calculatedColumnFormula>
    </tableColumn>
    <tableColumn id="20" xr3:uid="{D08B95D2-6931-4675-BA35-576E74617BCF}" name="Molibdeno Mo" dataDxfId="273" dataCellStyle="Porcentaje">
      <calculatedColumnFormula>IF(U6="","",U6*$D6/$D$13)</calculatedColumnFormula>
    </tableColumn>
    <tableColumn id="21" xr3:uid="{5E6859B3-4639-49B2-9F9E-D8FB6F536FFB}" name="Silicio SiO2" dataDxfId="272" dataCellStyle="Porcentaje">
      <calculatedColumnFormula>IF(V6="","",V6*$D6/$D$13)</calculatedColumnFormula>
    </tableColumn>
    <tableColumn id="22" xr3:uid="{8D970076-C839-4EA6-90D1-0CE8CC48BCB0}" name="Zinc Zn" dataDxfId="271" dataCellStyle="Porcentaje">
      <calculatedColumnFormula>IF(W6="","",W6*$D6/$D$13)</calculatedColumnFormula>
    </tableColumn>
    <tableColumn id="23" xr3:uid="{1EEA7FE7-967A-40D7-9640-9DD53AFDB7D9}" name="Sodio Na" dataDxfId="270" dataCellStyle="Porcentaje">
      <calculatedColumnFormula>IF(X6="","",X6*$D6/$D$13)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CC87D3-E85B-495C-AB75-33645E49D171}" name="Tabla16" displayName="Tabla16" ref="B5:X12" totalsRowShown="0" headerRowDxfId="231" dataDxfId="229" headerRowBorderDxfId="230" tableBorderDxfId="228">
  <autoFilter ref="B5:X12" xr:uid="{FF39D554-3487-483E-962C-7577EA8DB779}"/>
  <sortState xmlns:xlrd2="http://schemas.microsoft.com/office/spreadsheetml/2017/richdata2" ref="B6:X12">
    <sortCondition ref="B5:B12"/>
  </sortState>
  <tableColumns count="23">
    <tableColumn id="1" xr3:uid="{9013D02F-3262-46E6-B456-FF3C5888076E}" name="MATERIA PRIMA" dataDxfId="227"/>
    <tableColumn id="2" xr3:uid="{4B209FBA-A6D7-4F06-8F5C-40F44CF9940B}" name="kg / Ton" dataDxfId="226"/>
    <tableColumn id="3" xr3:uid="{4AB0CE16-8226-4EAF-AEE8-47C8E54E40ED}" name="%/100 kg" dataDxfId="225">
      <calculatedColumnFormula>C6/10</calculatedColumnFormula>
    </tableColumn>
    <tableColumn id="4" xr3:uid="{A69F2E5A-D306-4642-93BA-0D449556EF97}" name="C" dataDxfId="224"/>
    <tableColumn id="5" xr3:uid="{15ED70F4-9343-494E-A6CF-16A9F41A7444}" name="N" dataDxfId="223"/>
    <tableColumn id="6" xr3:uid="{C27C8C4B-53BE-402A-A675-7A7AC02438EC}" name="N-NH4" dataDxfId="222"/>
    <tableColumn id="7" xr3:uid="{878986EF-FF51-40A0-968F-F9C2DCA7EE97}" name="N-NO3" dataDxfId="221"/>
    <tableColumn id="8" xr3:uid="{3D6BF461-9CC5-4495-9775-BE80CEC64620}" name="N-org" dataDxfId="220"/>
    <tableColumn id="9" xr3:uid="{562AB8E4-D8B8-49E0-9983-83B7CA2B0141}" name="N-ur" dataDxfId="219"/>
    <tableColumn id="10" xr3:uid="{9AB9676F-E859-463E-8049-11660FDE3F9A}" name="P" dataDxfId="218"/>
    <tableColumn id="11" xr3:uid="{5F277E01-8408-4B3D-B88F-2FD443A2D6BC}" name="K" dataDxfId="217"/>
    <tableColumn id="12" xr3:uid="{2DADF70F-8E4F-4BA5-AECD-43CB7ADA1D20}" name="CaO" dataDxfId="216"/>
    <tableColumn id="13" xr3:uid="{81CED4B1-DC19-4C26-B99C-DE5D7B6EC2E1}" name="MgO" dataDxfId="215"/>
    <tableColumn id="14" xr3:uid="{049DA394-3BBC-4B5E-8FC9-5738D9772700}" name="S" dataDxfId="214"/>
    <tableColumn id="15" xr3:uid="{C218FAFE-E57F-4187-816E-823C623CACC8}" name="B" dataDxfId="213"/>
    <tableColumn id="16" xr3:uid="{9233DF45-6F2F-4F75-942A-873F7E4EE9BD}" name="Co" dataDxfId="212"/>
    <tableColumn id="17" xr3:uid="{8E5D8162-70EE-4F5E-AEF6-7BFEF304A93D}" name="Cu" dataDxfId="211"/>
    <tableColumn id="18" xr3:uid="{8EABA16A-8F83-46DD-BFC0-6A066A36FE09}" name="Fe" dataDxfId="210"/>
    <tableColumn id="19" xr3:uid="{FE687131-C2C5-42B6-80FA-B66E2536962C}" name="Mn" dataDxfId="209"/>
    <tableColumn id="20" xr3:uid="{6D51F99A-C67C-40DB-8022-000FDCBD9D1E}" name="Mo" dataDxfId="208"/>
    <tableColumn id="21" xr3:uid="{F38D6101-326B-4F9A-B774-ABC13A65FFA8}" name="SiO2" dataDxfId="207"/>
    <tableColumn id="22" xr3:uid="{FCEBCD17-6EF6-49EA-AB78-6F4217C99A5B}" name="Zn" dataDxfId="206"/>
    <tableColumn id="23" xr3:uid="{75E10FA2-6C8C-4B54-8F36-19B4F2520D29}" name="Na" dataDxfId="20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7C6141-E452-4111-8873-95B13503B1AA}" name="Tabla27" displayName="Tabla27" ref="B16:X23" totalsRowShown="0" headerRowDxfId="204" dataDxfId="202" headerRowBorderDxfId="203" tableBorderDxfId="201" dataCellStyle="Porcentaje">
  <autoFilter ref="B16:X23" xr:uid="{83916B7A-C699-4DEA-93D8-69EC1A227646}"/>
  <sortState xmlns:xlrd2="http://schemas.microsoft.com/office/spreadsheetml/2017/richdata2" ref="B17:X23">
    <sortCondition ref="B16:B23"/>
  </sortState>
  <tableColumns count="23">
    <tableColumn id="1" xr3:uid="{9EF4EC92-868C-43AB-8EE4-0FD81DD71B21}" name="MATERIA PRIMA" dataDxfId="200"/>
    <tableColumn id="2" xr3:uid="{B101F1A0-28E9-40F6-BD8C-1289F744B420}" name="kg / Ton" dataDxfId="199"/>
    <tableColumn id="3" xr3:uid="{12E76ABE-42F8-47D2-9C9C-F2362F26EF21}" name="%/100 kg" dataDxfId="198">
      <calculatedColumnFormula>C17/10</calculatedColumnFormula>
    </tableColumn>
    <tableColumn id="4" xr3:uid="{170D4E42-43A3-4A78-B704-E50C5B090B7D}" name="Carbono organico total oxidable C" dataDxfId="197" dataCellStyle="Porcentaje">
      <calculatedColumnFormula>IF(E6="","",E6*$D6/$D$13)</calculatedColumnFormula>
    </tableColumn>
    <tableColumn id="5" xr3:uid="{875ED02B-0C0B-4FC8-8F3E-002984A88B9B}" name="Nitrogeno Total N" dataDxfId="196" dataCellStyle="Porcentaje">
      <calculatedColumnFormula>IF(F6="","",SUM(G17:J17))</calculatedColumnFormula>
    </tableColumn>
    <tableColumn id="6" xr3:uid="{306C496F-021E-4081-93A4-EBBE7FF3263D}" name="Nitrogeno amoniacal" dataDxfId="195" dataCellStyle="Porcentaje">
      <calculatedColumnFormula>IF(G6="","",G6*$D6/$D$13)</calculatedColumnFormula>
    </tableColumn>
    <tableColumn id="7" xr3:uid="{1EF04472-3D77-4AD6-81DE-BCF7E041C2E2}" name="Nitrogeno nitrico" dataDxfId="194" dataCellStyle="Porcentaje">
      <calculatedColumnFormula>IF(H6="","",H6*$D6/$D$13)</calculatedColumnFormula>
    </tableColumn>
    <tableColumn id="8" xr3:uid="{16DA281B-F49C-4ADB-9014-29823F79EB9D}" name="Nitrogeno organico" dataDxfId="193" dataCellStyle="Porcentaje">
      <calculatedColumnFormula>IF(I6="","",I6*$D6/$D$13)</calculatedColumnFormula>
    </tableColumn>
    <tableColumn id="9" xr3:uid="{F8DFD309-E49E-46E3-A73A-6AA7AE34487C}" name="Nitrogeno ureico" dataDxfId="192" dataCellStyle="Porcentaje">
      <calculatedColumnFormula>IF(J6="","",J6*$D6/$D$13)</calculatedColumnFormula>
    </tableColumn>
    <tableColumn id="10" xr3:uid="{28155459-6B4A-429E-BEF4-E6F6562221B3}" name="Fosforo asimilable P2O5" dataDxfId="191" dataCellStyle="Porcentaje">
      <calculatedColumnFormula>IF(K6="","",K6*$D6/$D$13)</calculatedColumnFormula>
    </tableColumn>
    <tableColumn id="11" xr3:uid="{26E3748A-6207-45F6-A4FA-EF9B219AF346}" name="Potasio soluble K2O" dataDxfId="190" dataCellStyle="Porcentaje">
      <calculatedColumnFormula>IF(L6="","",L6*$D6/$D$13)</calculatedColumnFormula>
    </tableColumn>
    <tableColumn id="12" xr3:uid="{387466C4-957C-4B5E-B294-3D712466A04B}" name="Calcio CaO" dataDxfId="189" dataCellStyle="Porcentaje">
      <calculatedColumnFormula>IF(M6="","",M6*$D6/$D$13)</calculatedColumnFormula>
    </tableColumn>
    <tableColumn id="13" xr3:uid="{D3819922-C072-4339-8ED4-8E5404DD2A8E}" name="Magnesio MgO" dataDxfId="188" dataCellStyle="Porcentaje">
      <calculatedColumnFormula>IF(N6="","",N6*$D6/$D$13)</calculatedColumnFormula>
    </tableColumn>
    <tableColumn id="14" xr3:uid="{9274EA71-E27E-4CD4-A999-FA39E6E44395}" name="Azufre S" dataDxfId="187" dataCellStyle="Porcentaje">
      <calculatedColumnFormula>IF(O6="","",O6*$D6/$D$13)</calculatedColumnFormula>
    </tableColumn>
    <tableColumn id="15" xr3:uid="{D3310E69-353D-44D9-8FE6-CC45F7B20C6D}" name="Boro B" dataDxfId="186" dataCellStyle="Porcentaje">
      <calculatedColumnFormula>IF(P6="","",P6*$D6/$D$13)</calculatedColumnFormula>
    </tableColumn>
    <tableColumn id="16" xr3:uid="{C587A082-2128-486E-94D9-661D37C0F023}" name="Cobalto Co" dataDxfId="185" dataCellStyle="Porcentaje">
      <calculatedColumnFormula>IF(Q6="","",Q6*$D6/$D$13)</calculatedColumnFormula>
    </tableColumn>
    <tableColumn id="17" xr3:uid="{CED0828A-F100-4ED8-9BA0-8AF1DD31B14A}" name="Cobre Cu" dataDxfId="184" dataCellStyle="Porcentaje">
      <calculatedColumnFormula>IF(R6="","",R6*$D6/$D$13)</calculatedColumnFormula>
    </tableColumn>
    <tableColumn id="18" xr3:uid="{9E9BD1A1-F904-4724-971A-CD1E3EDACCAB}" name="Hierro Fe" dataDxfId="183" dataCellStyle="Porcentaje">
      <calculatedColumnFormula>IF(S6="","",S6*$D6/$D$13)</calculatedColumnFormula>
    </tableColumn>
    <tableColumn id="19" xr3:uid="{745E365E-F2B9-417D-B478-0AECA534AEC1}" name="Manganeso Mn" dataDxfId="182" dataCellStyle="Porcentaje">
      <calculatedColumnFormula>IF(T6="","",T6*$D6/$D$13)</calculatedColumnFormula>
    </tableColumn>
    <tableColumn id="20" xr3:uid="{A72053DF-07DA-4B96-A2F8-60BBA37DD68A}" name="Molibdeno Mo" dataDxfId="181" dataCellStyle="Porcentaje">
      <calculatedColumnFormula>IF(U6="","",U6*$D6/$D$13)</calculatedColumnFormula>
    </tableColumn>
    <tableColumn id="21" xr3:uid="{57E935B3-1975-46EE-9F4E-5EEFA3EEA4A7}" name="Silicio SiO2" dataDxfId="180" dataCellStyle="Porcentaje">
      <calculatedColumnFormula>IF(V6="","",V6*$D6/$D$13)</calculatedColumnFormula>
    </tableColumn>
    <tableColumn id="22" xr3:uid="{3AE1C1A0-4C09-4615-B83A-E8CB92BE37BE}" name="Zinc Zn" dataDxfId="179" dataCellStyle="Porcentaje">
      <calculatedColumnFormula>IF(W6="","",W6*$D6/$D$13)</calculatedColumnFormula>
    </tableColumn>
    <tableColumn id="23" xr3:uid="{A7BE016C-745C-4C7E-A284-BFFD7BA5F926}" name="Sodio Na" dataDxfId="178" dataCellStyle="Porcentaje">
      <calculatedColumnFormula>IF(X6="","",X6*$D6/$D$13)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53AC9D-5595-45E8-80EC-D7C1B8666667}" name="Tabla168" displayName="Tabla168" ref="B5:X12" totalsRowShown="0" headerRowDxfId="139" dataDxfId="137" headerRowBorderDxfId="138" tableBorderDxfId="136">
  <autoFilter ref="B5:X12" xr:uid="{FF39D554-3487-483E-962C-7577EA8DB779}"/>
  <sortState xmlns:xlrd2="http://schemas.microsoft.com/office/spreadsheetml/2017/richdata2" ref="B6:X12">
    <sortCondition ref="B5:B12"/>
  </sortState>
  <tableColumns count="23">
    <tableColumn id="1" xr3:uid="{64510644-9DEE-446B-9F96-16A7705B0BB5}" name="MATERIA PRIMA" dataDxfId="135"/>
    <tableColumn id="2" xr3:uid="{2387E655-8871-443D-A133-2CFF44835152}" name="kg / Ton" dataDxfId="134"/>
    <tableColumn id="3" xr3:uid="{1705790B-C020-42FA-8021-F6D90CB0A394}" name="%/100 kg" dataDxfId="133">
      <calculatedColumnFormula>C6/10</calculatedColumnFormula>
    </tableColumn>
    <tableColumn id="4" xr3:uid="{BCB11627-80E5-4206-8BDC-842635F28AF2}" name="C" dataDxfId="132"/>
    <tableColumn id="5" xr3:uid="{9FE0C560-015B-4E61-AD40-2E38237C1406}" name="N" dataDxfId="131"/>
    <tableColumn id="6" xr3:uid="{1D23D92D-4CDC-4C50-8AFC-A771248692FB}" name="N-NH4" dataDxfId="130"/>
    <tableColumn id="7" xr3:uid="{D137BB45-EAE4-4CEA-AAE9-96CE29D98AD3}" name="N-NO3" dataDxfId="129"/>
    <tableColumn id="8" xr3:uid="{161E6031-CC7B-4396-9897-738E1C2C1075}" name="N-org" dataDxfId="128"/>
    <tableColumn id="9" xr3:uid="{97028D0A-D97E-4621-B558-43C866B84E00}" name="N-ur" dataDxfId="127"/>
    <tableColumn id="10" xr3:uid="{FDC2BA68-E76B-4516-B6EF-F326A2DE8869}" name="P" dataDxfId="126"/>
    <tableColumn id="11" xr3:uid="{4515DD73-8F55-494A-9144-F25CCABD271D}" name="K" dataDxfId="125"/>
    <tableColumn id="12" xr3:uid="{31A69CA8-2CAB-496A-8D7B-9466073D64B3}" name="CaO" dataDxfId="124"/>
    <tableColumn id="13" xr3:uid="{FE2CC7F0-2B80-44BF-8FF1-9FB1C54D452E}" name="MgO" dataDxfId="123"/>
    <tableColumn id="14" xr3:uid="{789E3060-0FD2-4C53-B39C-CB1AE262CBD5}" name="S" dataDxfId="122"/>
    <tableColumn id="15" xr3:uid="{DEE4B235-83D3-4F09-8C3F-9C2E81E7AC50}" name="B" dataDxfId="121"/>
    <tableColumn id="16" xr3:uid="{B3EEF7FE-01A5-4094-BD81-9960E555C69E}" name="Co" dataDxfId="120"/>
    <tableColumn id="17" xr3:uid="{055DE75C-C510-4277-A43C-7A035E02CB4F}" name="Cu" dataDxfId="119"/>
    <tableColumn id="18" xr3:uid="{206600CB-0CB9-438C-BACA-937B3184CDFB}" name="Fe" dataDxfId="118"/>
    <tableColumn id="19" xr3:uid="{E1B22DA5-1E6A-412D-A6E6-B8774E7824EE}" name="Mn" dataDxfId="117"/>
    <tableColumn id="20" xr3:uid="{0F36010D-4524-4282-BC3B-0B0134AF5A37}" name="Mo" dataDxfId="116"/>
    <tableColumn id="21" xr3:uid="{EAC9570F-2377-4C31-B10E-532BFE53A9CD}" name="SiO2" dataDxfId="115"/>
    <tableColumn id="22" xr3:uid="{C61CE090-6878-438A-B1E1-9326EFE0C512}" name="Zn" dataDxfId="114"/>
    <tableColumn id="23" xr3:uid="{D707F559-CAD4-445B-B794-5932A6CB1E24}" name="Na" dataDxfId="11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E6FF07-7C3A-47CB-86DF-6CAFD303472B}" name="Tabla279" displayName="Tabla279" ref="B16:X23" totalsRowShown="0" headerRowDxfId="112" dataDxfId="110" headerRowBorderDxfId="111" tableBorderDxfId="109" dataCellStyle="Porcentaje">
  <autoFilter ref="B16:X23" xr:uid="{83916B7A-C699-4DEA-93D8-69EC1A227646}"/>
  <sortState xmlns:xlrd2="http://schemas.microsoft.com/office/spreadsheetml/2017/richdata2" ref="B17:X23">
    <sortCondition ref="B16:B23"/>
  </sortState>
  <tableColumns count="23">
    <tableColumn id="1" xr3:uid="{BE9C9D38-091B-4B02-AFD3-5C7C346EDE4E}" name="MATERIA PRIMA" dataDxfId="108"/>
    <tableColumn id="2" xr3:uid="{042DD06F-ECFE-4548-9AEA-29D95215FAFA}" name="kg / Ton" dataDxfId="107"/>
    <tableColumn id="3" xr3:uid="{EB047061-DC1A-4607-ABB2-EAB2E5FF9C45}" name="%/100 kg" dataDxfId="106">
      <calculatedColumnFormula>C17/10</calculatedColumnFormula>
    </tableColumn>
    <tableColumn id="4" xr3:uid="{8AAC21AB-9B19-451B-8B9F-A87E441858EA}" name="Carbono organico total oxidable C" dataDxfId="105" dataCellStyle="Porcentaje">
      <calculatedColumnFormula>IF(E6="","",E6*$D6/$D$13)</calculatedColumnFormula>
    </tableColumn>
    <tableColumn id="5" xr3:uid="{12EC0A33-1633-49E9-9E58-09D51789F6F9}" name="Nitrogeno Total N" dataDxfId="104" dataCellStyle="Porcentaje">
      <calculatedColumnFormula>IF(F6="","",SUM(G17:J17))</calculatedColumnFormula>
    </tableColumn>
    <tableColumn id="6" xr3:uid="{A17799A6-33AA-470B-ACB0-9D414F7BBBE7}" name="Nitrogeno amoniacal" dataDxfId="103" dataCellStyle="Porcentaje">
      <calculatedColumnFormula>IF(G6="","",G6*$D6/$D$13)</calculatedColumnFormula>
    </tableColumn>
    <tableColumn id="7" xr3:uid="{DC1A34EB-E45F-4D35-A99B-2C36AE159906}" name="Nitrogeno nitrico" dataDxfId="102" dataCellStyle="Porcentaje">
      <calculatedColumnFormula>IF(H6="","",H6*$D6/$D$13)</calculatedColumnFormula>
    </tableColumn>
    <tableColumn id="8" xr3:uid="{C656E6F1-4163-44C9-AF31-C4F497941761}" name="Nitrogeno organico" dataDxfId="101" dataCellStyle="Porcentaje">
      <calculatedColumnFormula>IF(I6="","",I6*$D6/$D$13)</calculatedColumnFormula>
    </tableColumn>
    <tableColumn id="9" xr3:uid="{0781EF95-D45F-4489-91E2-EEE20F7C6B96}" name="Nitrogeno ureico" dataDxfId="100" dataCellStyle="Porcentaje">
      <calculatedColumnFormula>IF(J6="","",J6*$D6/$D$13)</calculatedColumnFormula>
    </tableColumn>
    <tableColumn id="10" xr3:uid="{04CA2B74-5F40-4D20-8B01-EF061D40F187}" name="Fosforo asimilable P2O5" dataDxfId="99" dataCellStyle="Porcentaje">
      <calculatedColumnFormula>IF(K6="","",K6*$D6/$D$13)</calculatedColumnFormula>
    </tableColumn>
    <tableColumn id="11" xr3:uid="{696B94FC-B016-4862-8367-EDB3B3A76131}" name="Potasio soluble K2O" dataDxfId="98" dataCellStyle="Porcentaje">
      <calculatedColumnFormula>IF(L6="","",L6*$D6/$D$13)</calculatedColumnFormula>
    </tableColumn>
    <tableColumn id="12" xr3:uid="{C5718407-E9B9-4C9E-8CEC-097007E160A5}" name="Calcio CaO" dataDxfId="97" dataCellStyle="Porcentaje">
      <calculatedColumnFormula>IF(M6="","",M6*$D6/$D$13)</calculatedColumnFormula>
    </tableColumn>
    <tableColumn id="13" xr3:uid="{E6426DDF-0EC6-45DB-A233-E134DF654E5E}" name="Magnesio MgO" dataDxfId="96" dataCellStyle="Porcentaje">
      <calculatedColumnFormula>IF(N6="","",N6*$D6/$D$13)</calculatedColumnFormula>
    </tableColumn>
    <tableColumn id="14" xr3:uid="{EC8FC625-D88F-4A7F-B5CD-A27334E694C6}" name="Azufre S" dataDxfId="95" dataCellStyle="Porcentaje">
      <calculatedColumnFormula>IF(O6="","",O6*$D6/$D$13)</calculatedColumnFormula>
    </tableColumn>
    <tableColumn id="15" xr3:uid="{20880433-000B-4124-8BF1-02B2E28BCC22}" name="Boro B" dataDxfId="94" dataCellStyle="Porcentaje">
      <calculatedColumnFormula>IF(P6="","",P6*$D6/$D$13)</calculatedColumnFormula>
    </tableColumn>
    <tableColumn id="16" xr3:uid="{C6264C5C-9EF2-4921-A0E3-CA2F1731BDB1}" name="Cobalto Co" dataDxfId="93" dataCellStyle="Porcentaje">
      <calculatedColumnFormula>IF(Q6="","",Q6*$D6/$D$13)</calculatedColumnFormula>
    </tableColumn>
    <tableColumn id="17" xr3:uid="{E2D860BF-50A9-4A45-8275-AC3759A01D87}" name="Cobre Cu" dataDxfId="92" dataCellStyle="Porcentaje">
      <calculatedColumnFormula>IF(R6="","",R6*$D6/$D$13)</calculatedColumnFormula>
    </tableColumn>
    <tableColumn id="18" xr3:uid="{8F521090-B8C0-4D42-A78A-751C13D78909}" name="Hierro Fe" dataDxfId="91" dataCellStyle="Porcentaje">
      <calculatedColumnFormula>IF(S6="","",S6*$D6/$D$13)</calculatedColumnFormula>
    </tableColumn>
    <tableColumn id="19" xr3:uid="{8C52E67E-2E4F-483B-8351-F5F528747BCA}" name="Manganeso Mn" dataDxfId="90" dataCellStyle="Porcentaje">
      <calculatedColumnFormula>IF(T6="","",T6*$D6/$D$13)</calculatedColumnFormula>
    </tableColumn>
    <tableColumn id="20" xr3:uid="{7994EDB4-0EEB-4DC8-B316-5B2263C880A6}" name="Molibdeno Mo" dataDxfId="89" dataCellStyle="Porcentaje">
      <calculatedColumnFormula>IF(U6="","",U6*$D6/$D$13)</calculatedColumnFormula>
    </tableColumn>
    <tableColumn id="21" xr3:uid="{91CAD284-8AE1-4A5C-9BCB-F2458DDD22BF}" name="Silicio SiO2" dataDxfId="88" dataCellStyle="Porcentaje">
      <calculatedColumnFormula>IF(V6="","",V6*$D6/$D$13)</calculatedColumnFormula>
    </tableColumn>
    <tableColumn id="22" xr3:uid="{B55BB0FB-ACB4-4ECB-9A15-0B07D0E86E1F}" name="Zinc Zn" dataDxfId="87" dataCellStyle="Porcentaje">
      <calculatedColumnFormula>IF(W6="","",W6*$D6/$D$13)</calculatedColumnFormula>
    </tableColumn>
    <tableColumn id="23" xr3:uid="{6F1D9799-87E0-48E8-A195-98F88840AA87}" name="Sodio Na" dataDxfId="86" dataCellStyle="Porcentaje">
      <calculatedColumnFormula>IF(X6="","",X6*$D6/$D$13)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FCC-809A-46C0-B59C-73AC834AE7E3}">
  <dimension ref="A1:P5"/>
  <sheetViews>
    <sheetView workbookViewId="0">
      <selection activeCell="C18" sqref="C18"/>
    </sheetView>
  </sheetViews>
  <sheetFormatPr baseColWidth="10" defaultColWidth="9" defaultRowHeight="19.5" x14ac:dyDescent="0.45"/>
  <sheetData>
    <row r="1" spans="1:16" ht="20.25" thickBot="1" x14ac:dyDescent="0.5">
      <c r="A1" t="s">
        <v>55</v>
      </c>
      <c r="B1" s="2" t="s">
        <v>23</v>
      </c>
      <c r="C1" s="2" t="s">
        <v>35</v>
      </c>
      <c r="D1" s="2" t="s">
        <v>41</v>
      </c>
      <c r="E1" s="2" t="s">
        <v>30</v>
      </c>
      <c r="F1" s="2" t="s">
        <v>40</v>
      </c>
      <c r="G1" s="2" t="s">
        <v>31</v>
      </c>
      <c r="H1" s="2" t="s">
        <v>12</v>
      </c>
      <c r="I1" s="2" t="s">
        <v>17</v>
      </c>
      <c r="J1" s="2" t="s">
        <v>39</v>
      </c>
      <c r="K1" s="2" t="s">
        <v>32</v>
      </c>
      <c r="L1" s="2" t="s">
        <v>33</v>
      </c>
      <c r="M1" s="2" t="s">
        <v>38</v>
      </c>
      <c r="N1" s="2" t="s">
        <v>37</v>
      </c>
      <c r="O1" s="2" t="s">
        <v>34</v>
      </c>
      <c r="P1" s="2" t="s">
        <v>36</v>
      </c>
    </row>
    <row r="2" spans="1:16" x14ac:dyDescent="0.45">
      <c r="A2" t="s">
        <v>56</v>
      </c>
      <c r="B2" s="1">
        <v>0.03</v>
      </c>
      <c r="C2" s="1">
        <v>0.03</v>
      </c>
      <c r="D2" s="1">
        <v>0.03</v>
      </c>
      <c r="E2" t="s">
        <v>54</v>
      </c>
      <c r="F2" t="s">
        <v>54</v>
      </c>
      <c r="G2" t="s">
        <v>54</v>
      </c>
      <c r="H2" t="s">
        <v>54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</row>
    <row r="3" spans="1:16" x14ac:dyDescent="0.45">
      <c r="A3" t="s">
        <v>57</v>
      </c>
      <c r="B3" t="s">
        <v>54</v>
      </c>
      <c r="C3" t="s">
        <v>54</v>
      </c>
      <c r="D3" t="s">
        <v>54</v>
      </c>
      <c r="E3" s="1">
        <v>0.05</v>
      </c>
      <c r="F3" s="1">
        <v>0.05</v>
      </c>
      <c r="G3" s="1">
        <v>0.05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</row>
    <row r="4" spans="1:16" x14ac:dyDescent="0.45">
      <c r="A4" t="s">
        <v>58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s="14">
        <v>5.0000000000000001E-3</v>
      </c>
      <c r="I4" s="14">
        <v>2.0000000000000001E-4</v>
      </c>
      <c r="J4" s="14">
        <v>2E-3</v>
      </c>
      <c r="K4" s="14">
        <v>2E-3</v>
      </c>
      <c r="L4" s="14">
        <v>2E-3</v>
      </c>
      <c r="M4" s="14">
        <v>2.0000000000000001E-4</v>
      </c>
      <c r="N4" s="14">
        <v>2E-3</v>
      </c>
      <c r="O4" t="s">
        <v>54</v>
      </c>
      <c r="P4" s="14">
        <v>5.0000000000000001E-3</v>
      </c>
    </row>
    <row r="5" spans="1:16" x14ac:dyDescent="0.45">
      <c r="A5" t="s">
        <v>59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s="14">
        <v>2.0000000000000001E-4</v>
      </c>
      <c r="I5" s="15">
        <v>2.0000000000000002E-5</v>
      </c>
      <c r="J5" s="14">
        <v>1E-4</v>
      </c>
      <c r="K5" s="14">
        <v>1E-4</v>
      </c>
      <c r="L5" s="14">
        <v>1E-4</v>
      </c>
      <c r="M5" s="15">
        <v>5.0000000000000002E-5</v>
      </c>
      <c r="N5" s="14">
        <v>2.0000000000000001E-4</v>
      </c>
      <c r="O5" t="s">
        <v>54</v>
      </c>
      <c r="P5" s="14">
        <v>2.0000000000000001E-4</v>
      </c>
    </row>
  </sheetData>
  <sheetProtection algorithmName="SHA-512" hashValue="cvM2Q+v0gKzapu/UKbEdfGpZGhWnJdQqRymu/m9qsWNTDhYKBcbt6ah4aMoIqi51A2nMFWFJM0jIXQyKhLaaCw==" saltValue="ZQHoBTU7Ctp+rCf9KdIz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B2FE0-B445-4C1C-846E-9419660E698A}">
  <dimension ref="B5:AW48"/>
  <sheetViews>
    <sheetView topLeftCell="A16" zoomScale="85" zoomScaleNormal="85" workbookViewId="0">
      <selection activeCell="B42" sqref="B42:B44"/>
    </sheetView>
  </sheetViews>
  <sheetFormatPr baseColWidth="10" defaultColWidth="8.88671875" defaultRowHeight="19.5" x14ac:dyDescent="0.45"/>
  <cols>
    <col min="1" max="1" width="8.88671875" style="4"/>
    <col min="2" max="2" width="28.77734375" style="4" customWidth="1"/>
    <col min="3" max="3" width="10" style="3" customWidth="1"/>
    <col min="4" max="4" width="11" style="3" customWidth="1"/>
    <col min="5" max="24" width="7.33203125" style="4" customWidth="1"/>
    <col min="26" max="48" width="5.44140625" style="4" customWidth="1"/>
    <col min="49" max="16384" width="8.88671875" style="4"/>
  </cols>
  <sheetData>
    <row r="5" spans="2:49" ht="20.25" thickBot="1" x14ac:dyDescent="0.5">
      <c r="B5" s="126" t="s">
        <v>20</v>
      </c>
      <c r="C5" s="8" t="s">
        <v>21</v>
      </c>
      <c r="D5" s="7" t="s">
        <v>22</v>
      </c>
      <c r="E5" s="8" t="s">
        <v>19</v>
      </c>
      <c r="F5" s="8" t="s">
        <v>4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12</v>
      </c>
      <c r="Q5" s="8" t="s">
        <v>17</v>
      </c>
      <c r="R5" s="8" t="s">
        <v>15</v>
      </c>
      <c r="S5" s="8" t="s">
        <v>16</v>
      </c>
      <c r="T5" s="8" t="s">
        <v>14</v>
      </c>
      <c r="U5" s="8" t="s">
        <v>13</v>
      </c>
      <c r="V5" s="8" t="s">
        <v>10</v>
      </c>
      <c r="W5" s="8" t="s">
        <v>11</v>
      </c>
      <c r="X5" s="8" t="s">
        <v>18</v>
      </c>
      <c r="Y5" s="124"/>
    </row>
    <row r="6" spans="2:49" x14ac:dyDescent="0.45">
      <c r="B6" s="4" t="s">
        <v>164</v>
      </c>
      <c r="C6" s="5">
        <v>750</v>
      </c>
      <c r="D6" s="3">
        <v>75</v>
      </c>
      <c r="E6" s="129"/>
      <c r="F6" s="129"/>
      <c r="G6" s="129"/>
      <c r="H6" s="129"/>
      <c r="I6" s="129"/>
      <c r="J6" s="129"/>
      <c r="K6" s="129"/>
      <c r="L6" s="129"/>
      <c r="M6" s="129">
        <v>0.26</v>
      </c>
      <c r="N6" s="129">
        <v>0</v>
      </c>
      <c r="O6" s="129">
        <v>0.13</v>
      </c>
      <c r="P6" s="129"/>
      <c r="Q6" s="129"/>
      <c r="R6" s="129"/>
      <c r="S6" s="129"/>
      <c r="T6" s="129"/>
      <c r="U6" s="129"/>
      <c r="V6" s="129"/>
      <c r="W6" s="129"/>
      <c r="X6" s="129"/>
    </row>
    <row r="7" spans="2:49" x14ac:dyDescent="0.45">
      <c r="B7" s="4" t="s">
        <v>168</v>
      </c>
      <c r="C7" s="5">
        <v>50</v>
      </c>
      <c r="D7" s="3">
        <v>5</v>
      </c>
      <c r="E7" s="129"/>
      <c r="F7" s="129"/>
      <c r="G7" s="129"/>
      <c r="H7" s="129"/>
      <c r="I7" s="129"/>
      <c r="J7" s="129"/>
      <c r="K7" s="129"/>
      <c r="L7" s="129"/>
      <c r="M7" s="129">
        <v>0</v>
      </c>
      <c r="N7" s="129">
        <v>0.25</v>
      </c>
      <c r="O7" s="129">
        <v>0.2</v>
      </c>
      <c r="P7" s="129"/>
      <c r="Q7" s="129"/>
      <c r="R7" s="129"/>
      <c r="S7" s="129"/>
      <c r="T7" s="129"/>
      <c r="U7" s="129"/>
      <c r="V7" s="129"/>
      <c r="W7" s="129"/>
      <c r="X7" s="129"/>
      <c r="AW7" s="6"/>
    </row>
    <row r="8" spans="2:49" x14ac:dyDescent="0.45">
      <c r="B8" s="4" t="s">
        <v>165</v>
      </c>
      <c r="C8" s="5">
        <v>150</v>
      </c>
      <c r="D8" s="3">
        <v>15</v>
      </c>
      <c r="E8" s="129"/>
      <c r="F8" s="129"/>
      <c r="G8" s="129"/>
      <c r="H8" s="129"/>
      <c r="I8" s="129"/>
      <c r="J8" s="129"/>
      <c r="K8" s="129"/>
      <c r="L8" s="129"/>
      <c r="M8" s="129">
        <v>0.44</v>
      </c>
      <c r="N8" s="129">
        <v>0</v>
      </c>
      <c r="O8" s="129">
        <v>0</v>
      </c>
      <c r="P8" s="129"/>
      <c r="Q8" s="129"/>
      <c r="R8" s="129"/>
      <c r="S8" s="129"/>
      <c r="T8" s="129"/>
      <c r="U8" s="129"/>
      <c r="V8" s="129"/>
      <c r="W8" s="129"/>
      <c r="X8" s="129"/>
      <c r="AW8" s="6"/>
    </row>
    <row r="9" spans="2:49" x14ac:dyDescent="0.45">
      <c r="B9" s="4" t="s">
        <v>166</v>
      </c>
      <c r="C9" s="5">
        <v>50</v>
      </c>
      <c r="D9" s="3">
        <v>5</v>
      </c>
      <c r="E9" s="129"/>
      <c r="F9" s="129"/>
      <c r="G9" s="129"/>
      <c r="H9" s="129"/>
      <c r="I9" s="129"/>
      <c r="J9" s="129"/>
      <c r="K9" s="129"/>
      <c r="L9" s="129"/>
      <c r="M9" s="129">
        <v>6.2E-2</v>
      </c>
      <c r="N9" s="129">
        <v>0.04</v>
      </c>
      <c r="O9" s="129">
        <v>0</v>
      </c>
      <c r="P9" s="129"/>
      <c r="Q9" s="129"/>
      <c r="R9" s="129"/>
      <c r="S9" s="129"/>
      <c r="T9" s="129"/>
      <c r="U9" s="129"/>
      <c r="V9" s="129">
        <v>0.56899999999999995</v>
      </c>
      <c r="W9" s="129"/>
      <c r="X9" s="129"/>
      <c r="AW9" s="6"/>
    </row>
    <row r="10" spans="2:49" x14ac:dyDescent="0.45">
      <c r="C10" s="5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AW10" s="6"/>
    </row>
    <row r="11" spans="2:49" x14ac:dyDescent="0.45">
      <c r="B11" s="125"/>
      <c r="C11" s="5"/>
      <c r="D11" s="5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AW11" s="6"/>
    </row>
    <row r="12" spans="2:49" x14ac:dyDescent="0.45">
      <c r="B12" s="125"/>
      <c r="C12" s="5"/>
      <c r="D12" s="5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AW12" s="6"/>
    </row>
    <row r="13" spans="2:49" x14ac:dyDescent="0.45">
      <c r="B13" s="4" t="s">
        <v>28</v>
      </c>
      <c r="C13" s="3">
        <f>SUM(C6:C12)</f>
        <v>1000</v>
      </c>
      <c r="D13" s="3">
        <v>100</v>
      </c>
      <c r="AW13" s="6"/>
    </row>
    <row r="14" spans="2:49" x14ac:dyDescent="0.45">
      <c r="B14" s="4" t="s">
        <v>29</v>
      </c>
      <c r="AW14" s="6"/>
    </row>
    <row r="15" spans="2:49" x14ac:dyDescent="0.45">
      <c r="AW15" s="6"/>
    </row>
    <row r="16" spans="2:49" ht="20.25" thickBot="1" x14ac:dyDescent="0.5">
      <c r="B16" s="126" t="s">
        <v>20</v>
      </c>
      <c r="C16" s="8" t="s">
        <v>21</v>
      </c>
      <c r="D16" s="7" t="s">
        <v>22</v>
      </c>
      <c r="E16" s="8" t="s">
        <v>82</v>
      </c>
      <c r="F16" s="8" t="s">
        <v>63</v>
      </c>
      <c r="G16" s="8" t="s">
        <v>64</v>
      </c>
      <c r="H16" s="8" t="s">
        <v>65</v>
      </c>
      <c r="I16" s="8" t="s">
        <v>66</v>
      </c>
      <c r="J16" s="8" t="s">
        <v>67</v>
      </c>
      <c r="K16" s="8" t="s">
        <v>69</v>
      </c>
      <c r="L16" s="8" t="s">
        <v>70</v>
      </c>
      <c r="M16" s="8" t="s">
        <v>68</v>
      </c>
      <c r="N16" s="8" t="s">
        <v>71</v>
      </c>
      <c r="O16" s="8" t="s">
        <v>72</v>
      </c>
      <c r="P16" s="8" t="s">
        <v>73</v>
      </c>
      <c r="Q16" s="8" t="s">
        <v>74</v>
      </c>
      <c r="R16" s="8" t="s">
        <v>75</v>
      </c>
      <c r="S16" s="8" t="s">
        <v>76</v>
      </c>
      <c r="T16" s="8" t="s">
        <v>77</v>
      </c>
      <c r="U16" s="8" t="s">
        <v>78</v>
      </c>
      <c r="V16" s="8" t="s">
        <v>79</v>
      </c>
      <c r="W16" s="8" t="s">
        <v>80</v>
      </c>
      <c r="X16" s="8" t="s">
        <v>81</v>
      </c>
    </row>
    <row r="17" spans="2:24" x14ac:dyDescent="0.45">
      <c r="B17" s="4" t="str">
        <f>B6</f>
        <v>SULFATO CALCIO_ANIBAL ARANGO_P</v>
      </c>
      <c r="C17" s="4">
        <f t="shared" ref="C17:D17" si="0">C6</f>
        <v>750</v>
      </c>
      <c r="D17" s="4">
        <f t="shared" si="0"/>
        <v>75</v>
      </c>
      <c r="E17" s="129" t="str">
        <f t="shared" ref="E17:E23" si="1">IF(E6="","",E6*$D6/$D$13)</f>
        <v/>
      </c>
      <c r="F17" s="129" t="str">
        <f t="shared" ref="F17:F23" si="2">IF(F6="","",SUM(G17:J17))</f>
        <v/>
      </c>
      <c r="G17" s="129" t="str">
        <f t="shared" ref="G17:X23" si="3">IF(G6="","",G6*$D6/$D$13)</f>
        <v/>
      </c>
      <c r="H17" s="129" t="str">
        <f t="shared" si="3"/>
        <v/>
      </c>
      <c r="I17" s="129" t="str">
        <f t="shared" si="3"/>
        <v/>
      </c>
      <c r="J17" s="129" t="str">
        <f t="shared" si="3"/>
        <v/>
      </c>
      <c r="K17" s="129" t="str">
        <f t="shared" si="3"/>
        <v/>
      </c>
      <c r="L17" s="129" t="str">
        <f t="shared" si="3"/>
        <v/>
      </c>
      <c r="M17" s="174">
        <f t="shared" si="3"/>
        <v>0.19500000000000001</v>
      </c>
      <c r="N17" s="174">
        <f t="shared" si="3"/>
        <v>0</v>
      </c>
      <c r="O17" s="174">
        <f t="shared" si="3"/>
        <v>9.7500000000000003E-2</v>
      </c>
      <c r="P17" s="174" t="str">
        <f t="shared" si="3"/>
        <v/>
      </c>
      <c r="Q17" s="174" t="str">
        <f t="shared" si="3"/>
        <v/>
      </c>
      <c r="R17" s="174" t="str">
        <f t="shared" si="3"/>
        <v/>
      </c>
      <c r="S17" s="174" t="str">
        <f t="shared" si="3"/>
        <v/>
      </c>
      <c r="T17" s="174" t="str">
        <f t="shared" si="3"/>
        <v/>
      </c>
      <c r="U17" s="174" t="str">
        <f t="shared" si="3"/>
        <v/>
      </c>
      <c r="V17" s="174" t="str">
        <f t="shared" si="3"/>
        <v/>
      </c>
      <c r="W17" s="174" t="str">
        <f t="shared" si="3"/>
        <v/>
      </c>
      <c r="X17" s="174" t="str">
        <f t="shared" si="3"/>
        <v/>
      </c>
    </row>
    <row r="18" spans="2:24" x14ac:dyDescent="0.45">
      <c r="B18" s="4" t="str">
        <f t="shared" ref="B18:D20" si="4">B7</f>
        <v>KIESERITA_MANUCHAR_P</v>
      </c>
      <c r="C18" s="4">
        <f t="shared" si="4"/>
        <v>50</v>
      </c>
      <c r="D18" s="4">
        <f t="shared" si="4"/>
        <v>5</v>
      </c>
      <c r="E18" s="129" t="str">
        <f t="shared" si="1"/>
        <v/>
      </c>
      <c r="F18" s="129" t="str">
        <f t="shared" si="2"/>
        <v/>
      </c>
      <c r="G18" s="129" t="str">
        <f t="shared" si="3"/>
        <v/>
      </c>
      <c r="H18" s="129" t="str">
        <f t="shared" si="3"/>
        <v/>
      </c>
      <c r="I18" s="129" t="str">
        <f t="shared" si="3"/>
        <v/>
      </c>
      <c r="J18" s="129" t="str">
        <f t="shared" si="3"/>
        <v/>
      </c>
      <c r="K18" s="129" t="str">
        <f t="shared" si="3"/>
        <v/>
      </c>
      <c r="L18" s="129" t="str">
        <f t="shared" si="3"/>
        <v/>
      </c>
      <c r="M18" s="174">
        <f t="shared" si="3"/>
        <v>0</v>
      </c>
      <c r="N18" s="174">
        <f t="shared" si="3"/>
        <v>1.2500000000000001E-2</v>
      </c>
      <c r="O18" s="174">
        <f t="shared" si="3"/>
        <v>0.01</v>
      </c>
      <c r="P18" s="174" t="str">
        <f t="shared" si="3"/>
        <v/>
      </c>
      <c r="Q18" s="174" t="str">
        <f t="shared" si="3"/>
        <v/>
      </c>
      <c r="R18" s="174" t="str">
        <f t="shared" si="3"/>
        <v/>
      </c>
      <c r="S18" s="174" t="str">
        <f t="shared" si="3"/>
        <v/>
      </c>
      <c r="T18" s="174" t="str">
        <f t="shared" si="3"/>
        <v/>
      </c>
      <c r="U18" s="174" t="str">
        <f t="shared" si="3"/>
        <v/>
      </c>
      <c r="V18" s="174" t="str">
        <f t="shared" si="3"/>
        <v/>
      </c>
      <c r="W18" s="174" t="str">
        <f t="shared" si="3"/>
        <v/>
      </c>
      <c r="X18" s="174" t="str">
        <f t="shared" si="3"/>
        <v/>
      </c>
    </row>
    <row r="19" spans="2:24" x14ac:dyDescent="0.45">
      <c r="B19" s="4" t="str">
        <f t="shared" si="4"/>
        <v>CARBONATO CALCIO_AGROCALES_P</v>
      </c>
      <c r="C19" s="4">
        <f t="shared" si="4"/>
        <v>150</v>
      </c>
      <c r="D19" s="4">
        <f t="shared" si="4"/>
        <v>15</v>
      </c>
      <c r="E19" s="129" t="str">
        <f t="shared" si="1"/>
        <v/>
      </c>
      <c r="F19" s="129" t="str">
        <f t="shared" si="2"/>
        <v/>
      </c>
      <c r="G19" s="129" t="str">
        <f t="shared" si="3"/>
        <v/>
      </c>
      <c r="H19" s="129" t="str">
        <f t="shared" si="3"/>
        <v/>
      </c>
      <c r="I19" s="129" t="str">
        <f t="shared" si="3"/>
        <v/>
      </c>
      <c r="J19" s="129" t="str">
        <f t="shared" si="3"/>
        <v/>
      </c>
      <c r="K19" s="129" t="str">
        <f t="shared" si="3"/>
        <v/>
      </c>
      <c r="L19" s="129" t="str">
        <f t="shared" si="3"/>
        <v/>
      </c>
      <c r="M19" s="174">
        <f t="shared" si="3"/>
        <v>6.6000000000000003E-2</v>
      </c>
      <c r="N19" s="174">
        <f t="shared" si="3"/>
        <v>0</v>
      </c>
      <c r="O19" s="174">
        <f t="shared" si="3"/>
        <v>0</v>
      </c>
      <c r="P19" s="174" t="str">
        <f t="shared" si="3"/>
        <v/>
      </c>
      <c r="Q19" s="174" t="str">
        <f t="shared" si="3"/>
        <v/>
      </c>
      <c r="R19" s="174" t="str">
        <f t="shared" si="3"/>
        <v/>
      </c>
      <c r="S19" s="174" t="str">
        <f t="shared" si="3"/>
        <v/>
      </c>
      <c r="T19" s="174" t="str">
        <f t="shared" si="3"/>
        <v/>
      </c>
      <c r="U19" s="174" t="str">
        <f t="shared" si="3"/>
        <v/>
      </c>
      <c r="V19" s="174" t="str">
        <f t="shared" si="3"/>
        <v/>
      </c>
      <c r="W19" s="174" t="str">
        <f t="shared" si="3"/>
        <v/>
      </c>
      <c r="X19" s="174" t="str">
        <f t="shared" si="3"/>
        <v/>
      </c>
    </row>
    <row r="20" spans="2:24" x14ac:dyDescent="0.45">
      <c r="B20" s="4" t="str">
        <f t="shared" si="4"/>
        <v>BENTONITA GRIS_HENRY CORONADO_P</v>
      </c>
      <c r="C20" s="4">
        <f t="shared" si="4"/>
        <v>50</v>
      </c>
      <c r="D20" s="4">
        <f t="shared" si="4"/>
        <v>5</v>
      </c>
      <c r="E20" s="129" t="str">
        <f t="shared" si="1"/>
        <v/>
      </c>
      <c r="F20" s="129" t="str">
        <f t="shared" si="2"/>
        <v/>
      </c>
      <c r="G20" s="129" t="str">
        <f t="shared" si="3"/>
        <v/>
      </c>
      <c r="H20" s="129" t="str">
        <f t="shared" si="3"/>
        <v/>
      </c>
      <c r="I20" s="129" t="str">
        <f t="shared" si="3"/>
        <v/>
      </c>
      <c r="J20" s="129" t="str">
        <f t="shared" si="3"/>
        <v/>
      </c>
      <c r="K20" s="129" t="str">
        <f t="shared" si="3"/>
        <v/>
      </c>
      <c r="L20" s="129" t="str">
        <f t="shared" si="3"/>
        <v/>
      </c>
      <c r="M20" s="174">
        <f t="shared" si="3"/>
        <v>3.0999999999999999E-3</v>
      </c>
      <c r="N20" s="174">
        <f t="shared" si="3"/>
        <v>2E-3</v>
      </c>
      <c r="O20" s="174">
        <f t="shared" si="3"/>
        <v>0</v>
      </c>
      <c r="P20" s="174" t="str">
        <f t="shared" si="3"/>
        <v/>
      </c>
      <c r="Q20" s="174" t="str">
        <f t="shared" si="3"/>
        <v/>
      </c>
      <c r="R20" s="174" t="str">
        <f t="shared" si="3"/>
        <v/>
      </c>
      <c r="S20" s="174" t="str">
        <f t="shared" si="3"/>
        <v/>
      </c>
      <c r="T20" s="174" t="str">
        <f t="shared" si="3"/>
        <v/>
      </c>
      <c r="U20" s="174" t="str">
        <f t="shared" si="3"/>
        <v/>
      </c>
      <c r="V20" s="174">
        <f t="shared" si="3"/>
        <v>2.8449999999999996E-2</v>
      </c>
      <c r="W20" s="174" t="str">
        <f t="shared" si="3"/>
        <v/>
      </c>
      <c r="X20" s="174" t="str">
        <f t="shared" si="3"/>
        <v/>
      </c>
    </row>
    <row r="21" spans="2:24" x14ac:dyDescent="0.45">
      <c r="C21" s="4"/>
      <c r="D21" s="4"/>
      <c r="E21" s="129" t="str">
        <f t="shared" si="1"/>
        <v/>
      </c>
      <c r="F21" s="129" t="str">
        <f t="shared" si="2"/>
        <v/>
      </c>
      <c r="G21" s="129" t="str">
        <f t="shared" si="3"/>
        <v/>
      </c>
      <c r="H21" s="129" t="str">
        <f t="shared" si="3"/>
        <v/>
      </c>
      <c r="I21" s="129" t="str">
        <f t="shared" si="3"/>
        <v/>
      </c>
      <c r="J21" s="129" t="str">
        <f t="shared" si="3"/>
        <v/>
      </c>
      <c r="K21" s="129" t="str">
        <f t="shared" si="3"/>
        <v/>
      </c>
      <c r="L21" s="129" t="str">
        <f t="shared" si="3"/>
        <v/>
      </c>
      <c r="M21" s="174" t="str">
        <f t="shared" si="3"/>
        <v/>
      </c>
      <c r="N21" s="174" t="str">
        <f t="shared" si="3"/>
        <v/>
      </c>
      <c r="O21" s="174" t="str">
        <f t="shared" si="3"/>
        <v/>
      </c>
      <c r="P21" s="174" t="str">
        <f t="shared" si="3"/>
        <v/>
      </c>
      <c r="Q21" s="174" t="str">
        <f t="shared" si="3"/>
        <v/>
      </c>
      <c r="R21" s="174" t="str">
        <f t="shared" si="3"/>
        <v/>
      </c>
      <c r="S21" s="174" t="str">
        <f t="shared" si="3"/>
        <v/>
      </c>
      <c r="T21" s="174" t="str">
        <f t="shared" si="3"/>
        <v/>
      </c>
      <c r="U21" s="174" t="str">
        <f t="shared" si="3"/>
        <v/>
      </c>
      <c r="V21" s="174" t="str">
        <f t="shared" si="3"/>
        <v/>
      </c>
      <c r="W21" s="174" t="str">
        <f t="shared" si="3"/>
        <v/>
      </c>
      <c r="X21" s="174" t="str">
        <f t="shared" si="3"/>
        <v/>
      </c>
    </row>
    <row r="22" spans="2:24" x14ac:dyDescent="0.45">
      <c r="B22" s="125"/>
      <c r="C22" s="5"/>
      <c r="D22" s="5"/>
      <c r="E22" s="129" t="str">
        <f t="shared" si="1"/>
        <v/>
      </c>
      <c r="F22" s="129" t="str">
        <f t="shared" si="2"/>
        <v/>
      </c>
      <c r="G22" s="129" t="str">
        <f t="shared" si="3"/>
        <v/>
      </c>
      <c r="H22" s="129" t="str">
        <f t="shared" si="3"/>
        <v/>
      </c>
      <c r="I22" s="129" t="str">
        <f t="shared" si="3"/>
        <v/>
      </c>
      <c r="J22" s="129" t="str">
        <f t="shared" si="3"/>
        <v/>
      </c>
      <c r="K22" s="129" t="str">
        <f t="shared" si="3"/>
        <v/>
      </c>
      <c r="L22" s="129" t="str">
        <f t="shared" si="3"/>
        <v/>
      </c>
      <c r="M22" s="174" t="str">
        <f t="shared" si="3"/>
        <v/>
      </c>
      <c r="N22" s="174" t="str">
        <f t="shared" si="3"/>
        <v/>
      </c>
      <c r="O22" s="174" t="str">
        <f t="shared" si="3"/>
        <v/>
      </c>
      <c r="P22" s="174" t="str">
        <f t="shared" si="3"/>
        <v/>
      </c>
      <c r="Q22" s="174" t="str">
        <f t="shared" si="3"/>
        <v/>
      </c>
      <c r="R22" s="174" t="str">
        <f t="shared" si="3"/>
        <v/>
      </c>
      <c r="S22" s="174" t="str">
        <f t="shared" si="3"/>
        <v/>
      </c>
      <c r="T22" s="174" t="str">
        <f t="shared" si="3"/>
        <v/>
      </c>
      <c r="U22" s="174" t="str">
        <f t="shared" si="3"/>
        <v/>
      </c>
      <c r="V22" s="174" t="str">
        <f t="shared" si="3"/>
        <v/>
      </c>
      <c r="W22" s="174" t="str">
        <f t="shared" si="3"/>
        <v/>
      </c>
      <c r="X22" s="174" t="str">
        <f t="shared" si="3"/>
        <v/>
      </c>
    </row>
    <row r="23" spans="2:24" ht="20.25" thickBot="1" x14ac:dyDescent="0.5">
      <c r="B23" s="126"/>
      <c r="C23" s="7"/>
      <c r="D23" s="7"/>
      <c r="E23" s="129" t="str">
        <f t="shared" si="1"/>
        <v/>
      </c>
      <c r="F23" s="129" t="str">
        <f t="shared" si="2"/>
        <v/>
      </c>
      <c r="G23" s="129" t="str">
        <f t="shared" si="3"/>
        <v/>
      </c>
      <c r="H23" s="129" t="str">
        <f t="shared" si="3"/>
        <v/>
      </c>
      <c r="I23" s="129" t="str">
        <f t="shared" si="3"/>
        <v/>
      </c>
      <c r="J23" s="129" t="str">
        <f t="shared" si="3"/>
        <v/>
      </c>
      <c r="K23" s="129" t="str">
        <f t="shared" si="3"/>
        <v/>
      </c>
      <c r="L23" s="129" t="str">
        <f t="shared" si="3"/>
        <v/>
      </c>
      <c r="M23" s="174" t="str">
        <f t="shared" si="3"/>
        <v/>
      </c>
      <c r="N23" s="174" t="str">
        <f t="shared" si="3"/>
        <v/>
      </c>
      <c r="O23" s="174" t="str">
        <f t="shared" si="3"/>
        <v/>
      </c>
      <c r="P23" s="174" t="str">
        <f t="shared" si="3"/>
        <v/>
      </c>
      <c r="Q23" s="174" t="str">
        <f t="shared" si="3"/>
        <v/>
      </c>
      <c r="R23" s="174" t="str">
        <f t="shared" si="3"/>
        <v/>
      </c>
      <c r="S23" s="174" t="str">
        <f t="shared" si="3"/>
        <v/>
      </c>
      <c r="T23" s="174" t="str">
        <f t="shared" si="3"/>
        <v/>
      </c>
      <c r="U23" s="174" t="str">
        <f t="shared" si="3"/>
        <v/>
      </c>
      <c r="V23" s="174" t="str">
        <f t="shared" si="3"/>
        <v/>
      </c>
      <c r="W23" s="174" t="str">
        <f t="shared" si="3"/>
        <v/>
      </c>
      <c r="X23" s="174" t="str">
        <f t="shared" si="3"/>
        <v/>
      </c>
    </row>
    <row r="24" spans="2:24" x14ac:dyDescent="0.45">
      <c r="B24" s="4" t="s">
        <v>28</v>
      </c>
      <c r="C24" s="3">
        <f>SUM(C17:C23)</f>
        <v>1000</v>
      </c>
      <c r="D24" s="3">
        <v>100</v>
      </c>
    </row>
    <row r="25" spans="2:24" x14ac:dyDescent="0.45">
      <c r="B25" s="4" t="s">
        <v>29</v>
      </c>
      <c r="E25" s="10">
        <f t="shared" ref="E25:O25" si="5">SUM(E17:E23)</f>
        <v>0</v>
      </c>
      <c r="F25" s="10">
        <f t="shared" si="5"/>
        <v>0</v>
      </c>
      <c r="G25" s="10">
        <f t="shared" si="5"/>
        <v>0</v>
      </c>
      <c r="H25" s="10">
        <f t="shared" si="5"/>
        <v>0</v>
      </c>
      <c r="I25" s="10">
        <f t="shared" si="5"/>
        <v>0</v>
      </c>
      <c r="J25" s="10">
        <f t="shared" si="5"/>
        <v>0</v>
      </c>
      <c r="K25" s="10">
        <f t="shared" si="5"/>
        <v>0</v>
      </c>
      <c r="L25" s="10">
        <f t="shared" si="5"/>
        <v>0</v>
      </c>
      <c r="M25" s="10">
        <f t="shared" si="5"/>
        <v>0.2641</v>
      </c>
      <c r="N25" s="10">
        <f t="shared" si="5"/>
        <v>1.4500000000000001E-2</v>
      </c>
      <c r="O25" s="10">
        <f t="shared" si="5"/>
        <v>0.1075</v>
      </c>
      <c r="P25" s="10">
        <f>SUM(P17:P23)</f>
        <v>0</v>
      </c>
      <c r="Q25" s="10">
        <v>0</v>
      </c>
      <c r="R25" s="10">
        <f t="shared" ref="R25:X25" si="6">SUM(R17:R23)</f>
        <v>0</v>
      </c>
      <c r="S25" s="10">
        <f t="shared" si="6"/>
        <v>0</v>
      </c>
      <c r="T25" s="10">
        <f t="shared" si="6"/>
        <v>0</v>
      </c>
      <c r="U25" s="10">
        <f t="shared" si="6"/>
        <v>0</v>
      </c>
      <c r="V25" s="10">
        <f t="shared" si="6"/>
        <v>2.8449999999999996E-2</v>
      </c>
      <c r="W25" s="10">
        <f t="shared" si="6"/>
        <v>0</v>
      </c>
      <c r="X25" s="10">
        <f t="shared" si="6"/>
        <v>0</v>
      </c>
    </row>
    <row r="27" spans="2:24" x14ac:dyDescent="0.45">
      <c r="B27" s="4" t="s">
        <v>88</v>
      </c>
      <c r="E27" s="10"/>
      <c r="F27" s="10"/>
      <c r="G27" s="10"/>
      <c r="H27" s="10"/>
      <c r="I27" s="10"/>
      <c r="J27" s="10"/>
      <c r="K27" s="10"/>
      <c r="L27" s="10"/>
      <c r="M27" s="10">
        <v>0.23</v>
      </c>
      <c r="N27" s="10"/>
      <c r="O27" s="10">
        <v>0.12</v>
      </c>
      <c r="P27" s="10"/>
      <c r="Q27" s="10"/>
      <c r="R27" s="10"/>
      <c r="S27" s="10"/>
      <c r="T27" s="10"/>
      <c r="U27" s="10"/>
      <c r="V27" s="10">
        <v>0.245</v>
      </c>
      <c r="W27" s="10"/>
      <c r="X27" s="10"/>
    </row>
    <row r="28" spans="2:24" x14ac:dyDescent="0.45">
      <c r="B28" s="4" t="s">
        <v>43</v>
      </c>
      <c r="E28" s="10"/>
      <c r="F28" s="10"/>
      <c r="G28" s="10"/>
      <c r="H28" s="10"/>
      <c r="I28" s="10"/>
      <c r="J28" s="10"/>
      <c r="K28" s="10"/>
      <c r="L28" s="10"/>
      <c r="M28" s="10">
        <v>0.21060000000000001</v>
      </c>
      <c r="N28" s="10"/>
      <c r="O28" s="10">
        <v>0.15179999999999999</v>
      </c>
      <c r="P28" s="10"/>
      <c r="Q28" s="10"/>
      <c r="R28" s="10"/>
      <c r="S28" s="10"/>
      <c r="T28" s="10"/>
      <c r="U28" s="10"/>
      <c r="V28" s="10">
        <v>0.24909999999999999</v>
      </c>
      <c r="W28" s="10"/>
      <c r="X28" s="10"/>
    </row>
    <row r="30" spans="2:24" ht="20.25" x14ac:dyDescent="0.45">
      <c r="B30" s="4" t="s">
        <v>53</v>
      </c>
    </row>
    <row r="31" spans="2:24" x14ac:dyDescent="0.45">
      <c r="B31" s="11" t="s">
        <v>44</v>
      </c>
      <c r="E31" s="9"/>
      <c r="F31" s="10" t="str">
        <f>IF(F25=0,"",IF(F25&lt;tolerancias!B2,"SI","NO"))</f>
        <v/>
      </c>
      <c r="G31" s="10"/>
      <c r="H31" s="10"/>
      <c r="I31" s="10"/>
      <c r="J31" s="10"/>
      <c r="K31" s="10" t="str">
        <f>IF(K25=0,"",IF(K25&lt;tolerancias!C2,"SI","NO"))</f>
        <v/>
      </c>
      <c r="L31" s="4" t="str">
        <f>IF(L25=0,"",IF(L25&lt;tolerancias!D2,"SI","NO"))</f>
        <v/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2:24" x14ac:dyDescent="0.45">
      <c r="B32" s="11" t="s">
        <v>45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2:24" x14ac:dyDescent="0.45">
      <c r="B33" s="4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x14ac:dyDescent="0.45">
      <c r="B34" s="4" t="s">
        <v>47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 t="str">
        <f>IF(P25=0,"",IF(P25&gt;tolerancias!H5,"SI","NO"))</f>
        <v/>
      </c>
      <c r="Q34" s="10" t="str">
        <f>IF(Q25=0,"",IF(Q25&gt;tolerancias!I5,"SI","NO"))</f>
        <v/>
      </c>
      <c r="R34" s="10" t="str">
        <f>IF(R25=0,"",IF(R25&gt;tolerancias!J5,"SI","NO"))</f>
        <v/>
      </c>
      <c r="S34" s="10" t="str">
        <f>IF(S25=0,"",IF(S25&gt;tolerancias!K5,"SI","NO"))</f>
        <v/>
      </c>
      <c r="T34" s="10" t="str">
        <f>IF(T25=0,"",IF(T25&gt;tolerancias!L5,"SI","NO"))</f>
        <v/>
      </c>
      <c r="U34" s="10" t="str">
        <f>IF(U25=0,"",IF(U25&gt;tolerancias!M5,"SI","NO"))</f>
        <v/>
      </c>
      <c r="V34" s="10" t="str">
        <f>IF(V25=0,"",IF(V25&gt;tolerancias!N5,"SI","NO"))</f>
        <v>SI</v>
      </c>
      <c r="W34" s="10" t="str">
        <f>IF(W25=0,"",IF(W25&gt;tolerancias!P5,"SI","NO"))</f>
        <v/>
      </c>
      <c r="X34" s="9"/>
    </row>
    <row r="35" spans="2:24" x14ac:dyDescent="0.45">
      <c r="B35" s="12" t="s">
        <v>48</v>
      </c>
    </row>
    <row r="36" spans="2:24" x14ac:dyDescent="0.45">
      <c r="B36" s="12"/>
    </row>
    <row r="37" spans="2:24" ht="20.25" x14ac:dyDescent="0.45">
      <c r="B37" s="4" t="s">
        <v>60</v>
      </c>
    </row>
    <row r="38" spans="2:24" x14ac:dyDescent="0.45">
      <c r="B38" s="4" t="s">
        <v>61</v>
      </c>
      <c r="E38" s="9"/>
      <c r="F38" s="10" t="str">
        <f>IF(F25=0,"",((-0.0005*100*100*F$25*F$25+0.0413*100*F$25+0.6533)/100))</f>
        <v/>
      </c>
      <c r="G38" s="10"/>
      <c r="H38" s="10"/>
      <c r="I38" s="10"/>
      <c r="J38" s="10"/>
      <c r="K38" s="10" t="str">
        <f>IF(K25=0,"",((-0.0005*100*100*K$25*K$25+0.0413*100*K$25+0.6533)/100))</f>
        <v/>
      </c>
      <c r="L38" s="13" t="str">
        <f>IF(L25=0,"",((-0.0007*10000*L$25*L$25+0.0769*100*L$25+0.3941)/100))</f>
        <v/>
      </c>
      <c r="M38" s="9">
        <f>M39</f>
        <v>3.1930500000000001E-2</v>
      </c>
      <c r="N38" s="9">
        <f t="shared" ref="N38:O38" si="7">N39</f>
        <v>6.8125E-3</v>
      </c>
      <c r="O38" s="9">
        <f t="shared" si="7"/>
        <v>1.1062499999999999E-2</v>
      </c>
      <c r="P38" s="9"/>
      <c r="Q38" s="9"/>
      <c r="R38" s="9"/>
      <c r="S38" s="9"/>
      <c r="T38" s="9"/>
      <c r="U38" s="9"/>
      <c r="V38" s="9"/>
      <c r="W38" s="9"/>
      <c r="X38" s="9"/>
    </row>
    <row r="39" spans="2:24" x14ac:dyDescent="0.45">
      <c r="B39" s="11" t="s">
        <v>52</v>
      </c>
      <c r="E39" s="10"/>
      <c r="F39" s="10" t="str">
        <f>IF(F25=0,"",IF(OR(F25&lt;4.001%,F25&gt;32.001%),"SI","NO"))</f>
        <v/>
      </c>
      <c r="G39" s="9"/>
      <c r="H39" s="9"/>
      <c r="I39" s="9"/>
      <c r="J39" s="9"/>
      <c r="K39" s="10" t="str">
        <f>IF(K25=0,"",IF(OR(K25&lt;4.001%,K25&gt;32.001%),"SI","NO"))</f>
        <v/>
      </c>
      <c r="L39" s="10" t="str">
        <f>IF(L25=0,"",IF(OR(L25&lt;4.001%,L25&gt;32.001%),"SI","NO"))</f>
        <v/>
      </c>
      <c r="M39" s="10">
        <f>IF(M25=0,"",((0.42+0.105*100*M$25)/100))</f>
        <v>3.1930500000000001E-2</v>
      </c>
      <c r="N39" s="10">
        <f>IF(N25=0,"",((0.5+0.125*100*N$25)/100))</f>
        <v>6.8125E-3</v>
      </c>
      <c r="O39" s="10">
        <f>IF(O25=0,"",((0.3+0.075*100*O$25)/100))</f>
        <v>1.1062499999999999E-2</v>
      </c>
      <c r="P39" s="10" t="str">
        <f>IF(P25=0,"",((0.005+0.25*100*P$25)/100))</f>
        <v/>
      </c>
      <c r="Q39" s="10" t="str">
        <f>IF(Q25=0,"",((0.000125+0.375*100*Q$25)/100))</f>
        <v/>
      </c>
      <c r="R39" s="10" t="str">
        <f>IF(R25=0,"",((0.015+0.3*100*R$25)/100))</f>
        <v/>
      </c>
      <c r="S39" s="10" t="str">
        <f>IF(S25=0,"",((0.015+0.3*100*S$25)/100))</f>
        <v/>
      </c>
      <c r="T39" s="10" t="str">
        <f>IF(T25=0,"",((0.015+0.3*100*T$25)/100))</f>
        <v/>
      </c>
      <c r="U39" s="10" t="str">
        <f>IF(U25=0,"",((0.000125+0.375*100*U$25)/100))</f>
        <v/>
      </c>
      <c r="V39" s="10"/>
      <c r="W39" s="10" t="str">
        <f>IF(W25=0,"",((0.015+0.3*100*W$25)/100))</f>
        <v/>
      </c>
      <c r="X39" s="10" t="str">
        <f>IF(X25=0,"",((0.015+0.3*100*X$25)/100))</f>
        <v/>
      </c>
    </row>
    <row r="40" spans="2:24" x14ac:dyDescent="0.45">
      <c r="B40" s="11" t="s">
        <v>62</v>
      </c>
      <c r="F40" s="9"/>
      <c r="G40" s="9"/>
      <c r="H40" s="9"/>
      <c r="I40" s="9"/>
      <c r="J40" s="9"/>
      <c r="K40" s="9"/>
      <c r="L40" s="9"/>
      <c r="M40" s="4" t="str">
        <f>IF(M25=0,"",IF(OR(M39&gt;M25/2,M39&gt;1.501%),"SI","NO"))</f>
        <v>SI</v>
      </c>
      <c r="N40" s="4" t="str">
        <f>IF(N25=0,"",IF(OR(N39&gt;N25/2,N39&gt;1.501%),"SI","NO"))</f>
        <v>NO</v>
      </c>
      <c r="O40" s="4" t="str">
        <f>IF(O25=0,"",IF(OR(O39&gt;O25/2,O39&gt;1.501%),"SI","NO"))</f>
        <v>NO</v>
      </c>
      <c r="P40" s="4" t="str">
        <f t="shared" ref="P40:U40" si="8">IF(P25=0,"",IF(OR(P39&gt;P25/2,P39&gt;1.501%),"SI","NO"))</f>
        <v/>
      </c>
      <c r="Q40" s="4" t="str">
        <f t="shared" si="8"/>
        <v/>
      </c>
      <c r="R40" s="4" t="str">
        <f t="shared" si="8"/>
        <v/>
      </c>
      <c r="S40" s="4" t="str">
        <f t="shared" si="8"/>
        <v/>
      </c>
      <c r="T40" s="4" t="str">
        <f t="shared" si="8"/>
        <v/>
      </c>
      <c r="U40" s="4" t="str">
        <f t="shared" si="8"/>
        <v/>
      </c>
      <c r="V40" s="4" t="str">
        <f>IF(V5="SiO2","",IF(V25=0,"",IF(OR(V39&gt;V25/2,V39&gt;1.501%),"SI","NO")))</f>
        <v/>
      </c>
      <c r="W40" s="4" t="str">
        <f>IF(W25=0,"",IF(OR(W39&gt;W25/2,W39&gt;1.501%),"SI","NO"))</f>
        <v/>
      </c>
      <c r="X40" s="4" t="str">
        <f>IF(X25=0,"",IF(OR(X39&gt;X25/2,X39&gt;1.501%),"SI","NO"))</f>
        <v/>
      </c>
    </row>
    <row r="41" spans="2:24" x14ac:dyDescent="0.45">
      <c r="B41" s="4" t="s">
        <v>42</v>
      </c>
      <c r="E41" s="16"/>
      <c r="F41" s="10" t="str">
        <f>IF(F25=0,"",IF(F39="NO",F38,IF(F25&lt;4%,0.81%,1.46%)))</f>
        <v/>
      </c>
      <c r="G41" s="16"/>
      <c r="H41" s="16"/>
      <c r="I41" s="16"/>
      <c r="J41" s="16"/>
      <c r="K41" s="16" t="str">
        <f>IF(K25=0,"",IF(K39="NO",K38,IF(K25&lt;4%,0.81%,1.46%)))</f>
        <v/>
      </c>
      <c r="L41" s="16" t="str">
        <f>IF(L25=0,"",IF(L39="NO",L38,IF(L25&lt;4%,0.69%,2.14%)))</f>
        <v/>
      </c>
      <c r="M41" s="16">
        <f>IF(M25=0,"",IF(M40="NO",M39,1.5%))</f>
        <v>1.4999999999999999E-2</v>
      </c>
      <c r="N41" s="16">
        <f>IF(N25=0,"",IF(N40="NO",N39,1.5%))</f>
        <v>6.8125E-3</v>
      </c>
      <c r="O41" s="16">
        <f>IF(O25=0,"",IF(O40="NO",O39,1.5%))</f>
        <v>1.1062499999999999E-2</v>
      </c>
      <c r="P41" s="16" t="str">
        <f t="shared" ref="P41:U41" si="9">IF(P25=0,"",IF(P39="NO",P38,1.5%))</f>
        <v/>
      </c>
      <c r="Q41" s="16" t="str">
        <f t="shared" si="9"/>
        <v/>
      </c>
      <c r="R41" s="16" t="str">
        <f t="shared" si="9"/>
        <v/>
      </c>
      <c r="S41" s="16" t="str">
        <f t="shared" si="9"/>
        <v/>
      </c>
      <c r="T41" s="16" t="str">
        <f t="shared" si="9"/>
        <v/>
      </c>
      <c r="U41" s="16" t="str">
        <f t="shared" si="9"/>
        <v/>
      </c>
      <c r="V41" s="16" t="str">
        <f>IF(V5="SiO2","",IF(V25=0,"",IF(V39="NO",V38,1.5%)))</f>
        <v/>
      </c>
      <c r="W41" s="16" t="str">
        <f>IF(W25=0,"",IF(W39="NO",W38,1.5%))</f>
        <v/>
      </c>
      <c r="X41" s="16" t="str">
        <f>IF(X25=0,"",IF(X39="NO",X38,1.5%))</f>
        <v/>
      </c>
    </row>
    <row r="42" spans="2:24" x14ac:dyDescent="0.45">
      <c r="B42" s="12" t="s">
        <v>49</v>
      </c>
    </row>
    <row r="43" spans="2:24" ht="15" customHeight="1" x14ac:dyDescent="0.45">
      <c r="B43" s="12" t="s">
        <v>50</v>
      </c>
    </row>
    <row r="44" spans="2:24" ht="15" customHeight="1" x14ac:dyDescent="0.45">
      <c r="B44" s="12" t="s">
        <v>51</v>
      </c>
    </row>
    <row r="45" spans="2:24" ht="15" customHeight="1" x14ac:dyDescent="0.45"/>
    <row r="46" spans="2:24" x14ac:dyDescent="0.45">
      <c r="B46" s="4" t="s">
        <v>86</v>
      </c>
      <c r="E46" s="10" t="str">
        <f>IF(E5="C","",IF(E25=0,"",E47-E41))</f>
        <v/>
      </c>
      <c r="F46" s="10" t="str">
        <f t="shared" ref="F46:U46" si="10">IF(F25=0,"",F47-F41)</f>
        <v/>
      </c>
      <c r="G46" s="10" t="str">
        <f t="shared" si="10"/>
        <v/>
      </c>
      <c r="H46" s="10" t="str">
        <f t="shared" si="10"/>
        <v/>
      </c>
      <c r="I46" s="10" t="str">
        <f t="shared" si="10"/>
        <v/>
      </c>
      <c r="J46" s="10" t="str">
        <f t="shared" si="10"/>
        <v/>
      </c>
      <c r="K46" s="10" t="str">
        <f t="shared" si="10"/>
        <v/>
      </c>
      <c r="L46" s="10" t="str">
        <f t="shared" si="10"/>
        <v/>
      </c>
      <c r="M46" s="10">
        <f t="shared" si="10"/>
        <v>0.21500000000000002</v>
      </c>
      <c r="N46" s="10"/>
      <c r="O46" s="10">
        <f>IF(O25=0,"",O47-O41)</f>
        <v>0.10893749999999999</v>
      </c>
      <c r="P46" s="10" t="str">
        <f t="shared" si="10"/>
        <v/>
      </c>
      <c r="Q46" s="10" t="str">
        <f t="shared" si="10"/>
        <v/>
      </c>
      <c r="R46" s="10" t="str">
        <f t="shared" si="10"/>
        <v/>
      </c>
      <c r="S46" s="10" t="str">
        <f t="shared" si="10"/>
        <v/>
      </c>
      <c r="T46" s="10" t="str">
        <f t="shared" si="10"/>
        <v/>
      </c>
      <c r="U46" s="10" t="str">
        <f t="shared" si="10"/>
        <v/>
      </c>
      <c r="V46" s="10" t="str">
        <f>IF(V5="SiO2","",IF(V25=0,"",V47-V41))</f>
        <v/>
      </c>
      <c r="W46" s="10" t="str">
        <f>IF(W25=0,"",W47-W41)</f>
        <v/>
      </c>
      <c r="X46" s="10" t="str">
        <f>IF(X25=0,"",X47-X41)</f>
        <v/>
      </c>
    </row>
    <row r="47" spans="2:24" x14ac:dyDescent="0.45">
      <c r="B47" s="4" t="str">
        <f>_xlfn.CONCAT("SOLICITUD DE REGISTRO ICA: ",B5)</f>
        <v>SOLICITUD DE REGISTRO ICA: MATERIA PRIMA</v>
      </c>
      <c r="E47" s="10" t="str">
        <f t="shared" ref="E47:X47" si="11">IF(E25=0,"",E25)</f>
        <v/>
      </c>
      <c r="F47" s="10" t="str">
        <f t="shared" si="11"/>
        <v/>
      </c>
      <c r="G47" s="10" t="str">
        <f t="shared" si="11"/>
        <v/>
      </c>
      <c r="H47" s="10" t="str">
        <f t="shared" si="11"/>
        <v/>
      </c>
      <c r="I47" s="10" t="str">
        <f t="shared" si="11"/>
        <v/>
      </c>
      <c r="J47" s="10" t="str">
        <f t="shared" si="11"/>
        <v/>
      </c>
      <c r="K47" s="10" t="str">
        <f t="shared" si="11"/>
        <v/>
      </c>
      <c r="L47" s="10" t="str">
        <f t="shared" si="11"/>
        <v/>
      </c>
      <c r="M47" s="10">
        <f>M27</f>
        <v>0.23</v>
      </c>
      <c r="N47" s="10">
        <f t="shared" ref="N47" si="12">N27</f>
        <v>0</v>
      </c>
      <c r="O47" s="10">
        <f>O27</f>
        <v>0.12</v>
      </c>
      <c r="P47" s="10" t="str">
        <f t="shared" si="11"/>
        <v/>
      </c>
      <c r="Q47" s="10" t="str">
        <f t="shared" si="11"/>
        <v/>
      </c>
      <c r="R47" s="10" t="str">
        <f t="shared" si="11"/>
        <v/>
      </c>
      <c r="S47" s="10" t="str">
        <f t="shared" si="11"/>
        <v/>
      </c>
      <c r="T47" s="10" t="str">
        <f t="shared" si="11"/>
        <v/>
      </c>
      <c r="U47" s="10" t="str">
        <f t="shared" si="11"/>
        <v/>
      </c>
      <c r="V47" s="10">
        <f>V27</f>
        <v>0.245</v>
      </c>
      <c r="W47" s="10" t="str">
        <f t="shared" si="11"/>
        <v/>
      </c>
      <c r="X47" s="10" t="str">
        <f t="shared" si="11"/>
        <v/>
      </c>
    </row>
    <row r="48" spans="2:24" x14ac:dyDescent="0.45">
      <c r="B48" s="4" t="s">
        <v>87</v>
      </c>
      <c r="E48" s="10" t="str">
        <f>IF(E5="C","",IF(E25=0,"",E47+E41))</f>
        <v/>
      </c>
      <c r="F48" s="10" t="str">
        <f t="shared" ref="F48:U48" si="13">IF(F25=0,"",F47+F41)</f>
        <v/>
      </c>
      <c r="G48" s="10" t="str">
        <f t="shared" si="13"/>
        <v/>
      </c>
      <c r="H48" s="10" t="str">
        <f t="shared" si="13"/>
        <v/>
      </c>
      <c r="I48" s="10" t="str">
        <f t="shared" si="13"/>
        <v/>
      </c>
      <c r="J48" s="10" t="str">
        <f t="shared" si="13"/>
        <v/>
      </c>
      <c r="K48" s="10" t="str">
        <f t="shared" si="13"/>
        <v/>
      </c>
      <c r="L48" s="10" t="str">
        <f t="shared" si="13"/>
        <v/>
      </c>
      <c r="M48" s="10">
        <f t="shared" si="13"/>
        <v>0.245</v>
      </c>
      <c r="N48" s="10"/>
      <c r="O48" s="10">
        <f t="shared" si="13"/>
        <v>0.1310625</v>
      </c>
      <c r="P48" s="10" t="str">
        <f t="shared" si="13"/>
        <v/>
      </c>
      <c r="Q48" s="10" t="str">
        <f t="shared" si="13"/>
        <v/>
      </c>
      <c r="R48" s="10" t="str">
        <f t="shared" si="13"/>
        <v/>
      </c>
      <c r="S48" s="10" t="str">
        <f t="shared" si="13"/>
        <v/>
      </c>
      <c r="T48" s="10" t="str">
        <f t="shared" si="13"/>
        <v/>
      </c>
      <c r="U48" s="10" t="str">
        <f t="shared" si="13"/>
        <v/>
      </c>
      <c r="V48" s="10" t="str">
        <f>IF(V5="SiO2","",IF(V25=0,"",V47+V41))</f>
        <v/>
      </c>
      <c r="W48" s="10" t="str">
        <f>IF(W25=0,"",W47+W41)</f>
        <v/>
      </c>
      <c r="X48" s="10" t="str">
        <f>IF(X25=0,"",X47+X41)</f>
        <v/>
      </c>
    </row>
  </sheetData>
  <conditionalFormatting sqref="K39:X39 E39:F39 E41:X41 E46:X48">
    <cfRule type="cellIs" dxfId="453" priority="25" operator="equal">
      <formula>0</formula>
    </cfRule>
    <cfRule type="containsBlanks" dxfId="452" priority="26">
      <formula>LEN(TRIM(E39))=0</formula>
    </cfRule>
  </conditionalFormatting>
  <conditionalFormatting sqref="F31:K31">
    <cfRule type="cellIs" dxfId="451" priority="31" operator="equal">
      <formula>0</formula>
    </cfRule>
    <cfRule type="containsBlanks" dxfId="450" priority="32">
      <formula>LEN(TRIM(F31))=0</formula>
    </cfRule>
  </conditionalFormatting>
  <conditionalFormatting sqref="F38:K38">
    <cfRule type="cellIs" dxfId="449" priority="35" operator="equal">
      <formula>0</formula>
    </cfRule>
    <cfRule type="containsBlanks" dxfId="448" priority="36">
      <formula>LEN(TRIM(F38))=0</formula>
    </cfRule>
  </conditionalFormatting>
  <conditionalFormatting sqref="F40:L40 E18:X23 M31:X31 E38 P32:X33 X34 E31:E34 M38:X38">
    <cfRule type="cellIs" dxfId="447" priority="27" operator="equal">
      <formula>0</formula>
    </cfRule>
    <cfRule type="containsBlanks" dxfId="446" priority="28">
      <formula>LEN(TRIM(E18))=0</formula>
    </cfRule>
  </conditionalFormatting>
  <conditionalFormatting sqref="F32:O34">
    <cfRule type="cellIs" dxfId="445" priority="33" operator="equal">
      <formula>0</formula>
    </cfRule>
    <cfRule type="containsBlanks" dxfId="444" priority="34">
      <formula>LEN(TRIM(F32))=0</formula>
    </cfRule>
  </conditionalFormatting>
  <conditionalFormatting sqref="P34:W34">
    <cfRule type="cellIs" dxfId="443" priority="37" operator="equal">
      <formula>0</formula>
    </cfRule>
    <cfRule type="containsBlanks" dxfId="442" priority="38">
      <formula>LEN(TRIM(P34))=0</formula>
    </cfRule>
  </conditionalFormatting>
  <conditionalFormatting sqref="G39:J39">
    <cfRule type="cellIs" dxfId="441" priority="29" operator="equal">
      <formula>0</formula>
    </cfRule>
    <cfRule type="containsBlanks" dxfId="440" priority="30">
      <formula>LEN(TRIM(G39))=0</formula>
    </cfRule>
  </conditionalFormatting>
  <conditionalFormatting sqref="E11:X12">
    <cfRule type="cellIs" dxfId="439" priority="23" operator="equal">
      <formula>0</formula>
    </cfRule>
    <cfRule type="containsBlanks" dxfId="438" priority="24">
      <formula>LEN(TRIM(E11))=0</formula>
    </cfRule>
  </conditionalFormatting>
  <conditionalFormatting sqref="E11:X12">
    <cfRule type="notContainsBlanks" dxfId="437" priority="22">
      <formula>LEN(TRIM(E11))&gt;0</formula>
    </cfRule>
  </conditionalFormatting>
  <conditionalFormatting sqref="E18:X23">
    <cfRule type="cellIs" dxfId="436" priority="20" operator="equal">
      <formula>0</formula>
    </cfRule>
    <cfRule type="containsBlanks" dxfId="435" priority="21">
      <formula>LEN(TRIM(E18))=0</formula>
    </cfRule>
  </conditionalFormatting>
  <conditionalFormatting sqref="E18:X23">
    <cfRule type="notContainsBlanks" dxfId="434" priority="19">
      <formula>LEN(TRIM(E18))&gt;0</formula>
    </cfRule>
  </conditionalFormatting>
  <conditionalFormatting sqref="E17">
    <cfRule type="cellIs" dxfId="433" priority="17" operator="equal">
      <formula>0</formula>
    </cfRule>
    <cfRule type="containsBlanks" dxfId="432" priority="18">
      <formula>LEN(TRIM(E17))=0</formula>
    </cfRule>
  </conditionalFormatting>
  <conditionalFormatting sqref="E17">
    <cfRule type="notContainsBlanks" dxfId="431" priority="16">
      <formula>LEN(TRIM(E17))&gt;0</formula>
    </cfRule>
  </conditionalFormatting>
  <conditionalFormatting sqref="F17">
    <cfRule type="cellIs" dxfId="430" priority="14" operator="equal">
      <formula>0</formula>
    </cfRule>
    <cfRule type="containsBlanks" dxfId="429" priority="15">
      <formula>LEN(TRIM(F17))=0</formula>
    </cfRule>
  </conditionalFormatting>
  <conditionalFormatting sqref="F17">
    <cfRule type="notContainsBlanks" dxfId="428" priority="13">
      <formula>LEN(TRIM(F17))&gt;0</formula>
    </cfRule>
  </conditionalFormatting>
  <conditionalFormatting sqref="G17:X17">
    <cfRule type="cellIs" dxfId="427" priority="11" operator="equal">
      <formula>0</formula>
    </cfRule>
    <cfRule type="containsBlanks" dxfId="426" priority="12">
      <formula>LEN(TRIM(G17))=0</formula>
    </cfRule>
  </conditionalFormatting>
  <conditionalFormatting sqref="G17:X17">
    <cfRule type="notContainsBlanks" dxfId="425" priority="10">
      <formula>LEN(TRIM(G17))&gt;0</formula>
    </cfRule>
  </conditionalFormatting>
  <conditionalFormatting sqref="E25:X25">
    <cfRule type="cellIs" dxfId="424" priority="7" operator="equal">
      <formula>0</formula>
    </cfRule>
    <cfRule type="containsBlanks" dxfId="423" priority="9">
      <formula>LEN(TRIM(E25))=0</formula>
    </cfRule>
  </conditionalFormatting>
  <conditionalFormatting sqref="E25:X25">
    <cfRule type="notContainsBlanks" dxfId="422" priority="8">
      <formula>LEN(TRIM(E25))&gt;0</formula>
    </cfRule>
  </conditionalFormatting>
  <conditionalFormatting sqref="E27:X28">
    <cfRule type="cellIs" dxfId="421" priority="4" operator="equal">
      <formula>0</formula>
    </cfRule>
    <cfRule type="containsBlanks" dxfId="420" priority="6">
      <formula>LEN(TRIM(E27))=0</formula>
    </cfRule>
  </conditionalFormatting>
  <conditionalFormatting sqref="E27:X28">
    <cfRule type="notContainsBlanks" dxfId="419" priority="5">
      <formula>LEN(TRIM(E27))&gt;0</formula>
    </cfRule>
  </conditionalFormatting>
  <conditionalFormatting sqref="E6:X10">
    <cfRule type="cellIs" dxfId="418" priority="2" operator="equal">
      <formula>0</formula>
    </cfRule>
    <cfRule type="containsBlanks" dxfId="417" priority="3">
      <formula>LEN(TRIM(E6))=0</formula>
    </cfRule>
  </conditionalFormatting>
  <conditionalFormatting sqref="E6:X10">
    <cfRule type="notContainsBlanks" dxfId="416" priority="1">
      <formula>LEN(TRIM(E6))&gt;0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4A8-B5AB-45AA-8635-797FB21F9DEA}">
  <dimension ref="B5:AW48"/>
  <sheetViews>
    <sheetView zoomScale="70" zoomScaleNormal="70" workbookViewId="0">
      <selection activeCell="V17" sqref="V17:V19"/>
    </sheetView>
  </sheetViews>
  <sheetFormatPr baseColWidth="10" defaultColWidth="8.88671875" defaultRowHeight="19.5" x14ac:dyDescent="0.45"/>
  <cols>
    <col min="1" max="1" width="8.88671875" style="4"/>
    <col min="2" max="2" width="28.77734375" style="4" customWidth="1"/>
    <col min="3" max="3" width="10" style="3" customWidth="1"/>
    <col min="4" max="4" width="11" style="3" customWidth="1"/>
    <col min="5" max="24" width="7.33203125" style="4" customWidth="1"/>
    <col min="26" max="48" width="5.44140625" style="4" customWidth="1"/>
    <col min="49" max="16384" width="8.88671875" style="4"/>
  </cols>
  <sheetData>
    <row r="5" spans="2:49" ht="20.25" thickBot="1" x14ac:dyDescent="0.5">
      <c r="B5" s="126" t="s">
        <v>20</v>
      </c>
      <c r="C5" s="8" t="s">
        <v>21</v>
      </c>
      <c r="D5" s="7" t="s">
        <v>22</v>
      </c>
      <c r="E5" s="8" t="s">
        <v>19</v>
      </c>
      <c r="F5" s="8" t="s">
        <v>4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12</v>
      </c>
      <c r="Q5" s="8" t="s">
        <v>17</v>
      </c>
      <c r="R5" s="8" t="s">
        <v>15</v>
      </c>
      <c r="S5" s="8" t="s">
        <v>16</v>
      </c>
      <c r="T5" s="8" t="s">
        <v>14</v>
      </c>
      <c r="U5" s="8" t="s">
        <v>13</v>
      </c>
      <c r="V5" s="8" t="s">
        <v>10</v>
      </c>
      <c r="W5" s="8" t="s">
        <v>11</v>
      </c>
      <c r="X5" s="8" t="s">
        <v>18</v>
      </c>
      <c r="Y5" s="124"/>
    </row>
    <row r="6" spans="2:49" x14ac:dyDescent="0.45">
      <c r="B6" s="4" t="s">
        <v>168</v>
      </c>
      <c r="C6" s="5">
        <v>50</v>
      </c>
      <c r="D6" s="3">
        <v>5</v>
      </c>
      <c r="E6" s="129"/>
      <c r="F6" s="129"/>
      <c r="G6" s="129"/>
      <c r="H6" s="129"/>
      <c r="I6" s="129"/>
      <c r="J6" s="129"/>
      <c r="K6" s="129"/>
      <c r="L6" s="129"/>
      <c r="M6" s="129"/>
      <c r="N6" s="129">
        <v>0.25</v>
      </c>
      <c r="O6" s="129">
        <v>0.2</v>
      </c>
      <c r="P6" s="129"/>
      <c r="Q6" s="129"/>
      <c r="R6" s="129"/>
      <c r="S6" s="129"/>
      <c r="T6" s="129"/>
      <c r="U6" s="129"/>
      <c r="V6" s="129">
        <v>0</v>
      </c>
      <c r="W6" s="129"/>
      <c r="X6" s="129"/>
    </row>
    <row r="7" spans="2:49" x14ac:dyDescent="0.45">
      <c r="B7" s="4" t="s">
        <v>165</v>
      </c>
      <c r="C7" s="5">
        <v>350</v>
      </c>
      <c r="D7" s="3">
        <v>35</v>
      </c>
      <c r="E7" s="129"/>
      <c r="F7" s="129"/>
      <c r="G7" s="129"/>
      <c r="H7" s="129"/>
      <c r="I7" s="129"/>
      <c r="J7" s="129"/>
      <c r="K7" s="129"/>
      <c r="L7" s="129"/>
      <c r="M7" s="129">
        <v>0.44</v>
      </c>
      <c r="N7" s="129"/>
      <c r="O7" s="129"/>
      <c r="P7" s="129"/>
      <c r="Q7" s="129"/>
      <c r="R7" s="129"/>
      <c r="S7" s="129"/>
      <c r="T7" s="129"/>
      <c r="U7" s="129"/>
      <c r="V7" s="129">
        <v>0</v>
      </c>
      <c r="W7" s="129"/>
      <c r="X7" s="129"/>
      <c r="AW7" s="6"/>
    </row>
    <row r="8" spans="2:49" x14ac:dyDescent="0.45">
      <c r="B8" s="4" t="s">
        <v>181</v>
      </c>
      <c r="C8" s="5">
        <v>600</v>
      </c>
      <c r="D8" s="3">
        <v>60</v>
      </c>
      <c r="E8" s="129"/>
      <c r="F8" s="129"/>
      <c r="G8" s="129"/>
      <c r="H8" s="129"/>
      <c r="I8" s="129"/>
      <c r="J8" s="129"/>
      <c r="K8" s="129"/>
      <c r="L8" s="129"/>
      <c r="M8" s="129">
        <v>6.2E-2</v>
      </c>
      <c r="N8" s="129">
        <v>0.04</v>
      </c>
      <c r="O8" s="129"/>
      <c r="P8" s="129"/>
      <c r="Q8" s="129"/>
      <c r="R8" s="129"/>
      <c r="S8" s="129"/>
      <c r="T8" s="129"/>
      <c r="U8" s="129"/>
      <c r="V8" s="129">
        <v>0.56899999999999995</v>
      </c>
      <c r="W8" s="129"/>
      <c r="X8" s="129"/>
      <c r="AW8" s="6"/>
    </row>
    <row r="9" spans="2:49" x14ac:dyDescent="0.45">
      <c r="C9" s="5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AW9" s="6"/>
    </row>
    <row r="10" spans="2:49" x14ac:dyDescent="0.45">
      <c r="C10" s="5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AW10" s="6"/>
    </row>
    <row r="11" spans="2:49" x14ac:dyDescent="0.45">
      <c r="B11" s="125"/>
      <c r="C11" s="5"/>
      <c r="D11" s="5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AW11" s="6"/>
    </row>
    <row r="12" spans="2:49" x14ac:dyDescent="0.45">
      <c r="B12" s="125"/>
      <c r="C12" s="5"/>
      <c r="D12" s="5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AW12" s="6"/>
    </row>
    <row r="13" spans="2:49" x14ac:dyDescent="0.45">
      <c r="B13" s="4" t="s">
        <v>28</v>
      </c>
      <c r="C13" s="3">
        <f>SUM(C6:C12)</f>
        <v>1000</v>
      </c>
      <c r="D13" s="3">
        <v>100</v>
      </c>
      <c r="AW13" s="6"/>
    </row>
    <row r="14" spans="2:49" x14ac:dyDescent="0.45">
      <c r="B14" s="4" t="s">
        <v>29</v>
      </c>
      <c r="AW14" s="6"/>
    </row>
    <row r="15" spans="2:49" x14ac:dyDescent="0.45">
      <c r="AW15" s="6"/>
    </row>
    <row r="16" spans="2:49" ht="20.25" thickBot="1" x14ac:dyDescent="0.5">
      <c r="B16" s="126" t="s">
        <v>20</v>
      </c>
      <c r="C16" s="8" t="s">
        <v>21</v>
      </c>
      <c r="D16" s="7" t="s">
        <v>22</v>
      </c>
      <c r="E16" s="8" t="s">
        <v>82</v>
      </c>
      <c r="F16" s="8" t="s">
        <v>63</v>
      </c>
      <c r="G16" s="8" t="s">
        <v>64</v>
      </c>
      <c r="H16" s="8" t="s">
        <v>65</v>
      </c>
      <c r="I16" s="8" t="s">
        <v>66</v>
      </c>
      <c r="J16" s="8" t="s">
        <v>67</v>
      </c>
      <c r="K16" s="8" t="s">
        <v>69</v>
      </c>
      <c r="L16" s="8" t="s">
        <v>70</v>
      </c>
      <c r="M16" s="8" t="s">
        <v>68</v>
      </c>
      <c r="N16" s="8" t="s">
        <v>71</v>
      </c>
      <c r="O16" s="8" t="s">
        <v>72</v>
      </c>
      <c r="P16" s="8" t="s">
        <v>73</v>
      </c>
      <c r="Q16" s="8" t="s">
        <v>74</v>
      </c>
      <c r="R16" s="8" t="s">
        <v>75</v>
      </c>
      <c r="S16" s="8" t="s">
        <v>76</v>
      </c>
      <c r="T16" s="8" t="s">
        <v>77</v>
      </c>
      <c r="U16" s="8" t="s">
        <v>78</v>
      </c>
      <c r="V16" s="8" t="s">
        <v>79</v>
      </c>
      <c r="W16" s="8" t="s">
        <v>80</v>
      </c>
      <c r="X16" s="8" t="s">
        <v>81</v>
      </c>
    </row>
    <row r="17" spans="2:24" x14ac:dyDescent="0.45">
      <c r="B17" s="4" t="str">
        <f>B6</f>
        <v>KIESERITA_MANUCHAR_P</v>
      </c>
      <c r="C17" s="4">
        <f t="shared" ref="C17:D17" si="0">C6</f>
        <v>50</v>
      </c>
      <c r="D17" s="4">
        <f t="shared" si="0"/>
        <v>5</v>
      </c>
      <c r="E17" s="129" t="str">
        <f t="shared" ref="E17:E23" si="1">IF(E6="","",E6*$D6/$D$13)</f>
        <v/>
      </c>
      <c r="F17" s="129" t="str">
        <f t="shared" ref="F17:F23" si="2">IF(F6="","",SUM(G17:J17))</f>
        <v/>
      </c>
      <c r="G17" s="129" t="str">
        <f t="shared" ref="G17:G23" si="3">IF(G6="","",G6*$D6/$D$13)</f>
        <v/>
      </c>
      <c r="H17" s="129" t="str">
        <f t="shared" ref="H17:H23" si="4">IF(H6="","",H6*$D6/$D$13)</f>
        <v/>
      </c>
      <c r="I17" s="129" t="str">
        <f t="shared" ref="I17:I23" si="5">IF(I6="","",I6*$D6/$D$13)</f>
        <v/>
      </c>
      <c r="J17" s="129" t="str">
        <f t="shared" ref="J17:J23" si="6">IF(J6="","",J6*$D6/$D$13)</f>
        <v/>
      </c>
      <c r="K17" s="129" t="str">
        <f t="shared" ref="K17:K23" si="7">IF(K6="","",K6*$D6/$D$13)</f>
        <v/>
      </c>
      <c r="L17" s="129" t="str">
        <f t="shared" ref="L17:L23" si="8">IF(L6="","",L6*$D6/$D$13)</f>
        <v/>
      </c>
      <c r="M17" s="174" t="str">
        <f t="shared" ref="M17:M23" si="9">IF(M6="","",M6*$D6/$D$13)</f>
        <v/>
      </c>
      <c r="N17" s="174">
        <f t="shared" ref="N17:N23" si="10">IF(N6="","",N6*$D6/$D$13)</f>
        <v>1.2500000000000001E-2</v>
      </c>
      <c r="O17" s="174">
        <f t="shared" ref="O17:O23" si="11">IF(O6="","",O6*$D6/$D$13)</f>
        <v>0.01</v>
      </c>
      <c r="P17" s="174" t="str">
        <f t="shared" ref="P17:P23" si="12">IF(P6="","",P6*$D6/$D$13)</f>
        <v/>
      </c>
      <c r="Q17" s="174" t="str">
        <f t="shared" ref="Q17:Q23" si="13">IF(Q6="","",Q6*$D6/$D$13)</f>
        <v/>
      </c>
      <c r="R17" s="174" t="str">
        <f t="shared" ref="R17:R23" si="14">IF(R6="","",R6*$D6/$D$13)</f>
        <v/>
      </c>
      <c r="S17" s="174" t="str">
        <f t="shared" ref="S17:S23" si="15">IF(S6="","",S6*$D6/$D$13)</f>
        <v/>
      </c>
      <c r="T17" s="174" t="str">
        <f t="shared" ref="T17:T23" si="16">IF(T6="","",T6*$D6/$D$13)</f>
        <v/>
      </c>
      <c r="U17" s="174" t="str">
        <f t="shared" ref="U17:U23" si="17">IF(U6="","",U6*$D6/$D$13)</f>
        <v/>
      </c>
      <c r="V17" s="174"/>
      <c r="W17" s="174" t="str">
        <f t="shared" ref="W17:W23" si="18">IF(W6="","",W6*$D6/$D$13)</f>
        <v/>
      </c>
      <c r="X17" s="174" t="str">
        <f t="shared" ref="X17:X23" si="19">IF(X6="","",X6*$D6/$D$13)</f>
        <v/>
      </c>
    </row>
    <row r="18" spans="2:24" x14ac:dyDescent="0.45">
      <c r="B18" s="4" t="str">
        <f t="shared" ref="B18:D19" si="20">B7</f>
        <v>CARBONATO CALCIO_AGROCALES_P</v>
      </c>
      <c r="C18" s="4">
        <f t="shared" si="20"/>
        <v>350</v>
      </c>
      <c r="D18" s="4">
        <f t="shared" si="20"/>
        <v>35</v>
      </c>
      <c r="E18" s="129" t="str">
        <f t="shared" si="1"/>
        <v/>
      </c>
      <c r="F18" s="129" t="str">
        <f t="shared" si="2"/>
        <v/>
      </c>
      <c r="G18" s="129" t="str">
        <f t="shared" si="3"/>
        <v/>
      </c>
      <c r="H18" s="129" t="str">
        <f t="shared" si="4"/>
        <v/>
      </c>
      <c r="I18" s="129" t="str">
        <f t="shared" si="5"/>
        <v/>
      </c>
      <c r="J18" s="129" t="str">
        <f t="shared" si="6"/>
        <v/>
      </c>
      <c r="K18" s="129" t="str">
        <f t="shared" si="7"/>
        <v/>
      </c>
      <c r="L18" s="129" t="str">
        <f t="shared" si="8"/>
        <v/>
      </c>
      <c r="M18" s="174">
        <f t="shared" si="9"/>
        <v>0.154</v>
      </c>
      <c r="N18" s="174" t="str">
        <f t="shared" si="10"/>
        <v/>
      </c>
      <c r="O18" s="174" t="str">
        <f t="shared" si="11"/>
        <v/>
      </c>
      <c r="P18" s="174" t="str">
        <f t="shared" si="12"/>
        <v/>
      </c>
      <c r="Q18" s="174" t="str">
        <f t="shared" si="13"/>
        <v/>
      </c>
      <c r="R18" s="174" t="str">
        <f t="shared" si="14"/>
        <v/>
      </c>
      <c r="S18" s="174" t="str">
        <f t="shared" si="15"/>
        <v/>
      </c>
      <c r="T18" s="174" t="str">
        <f t="shared" si="16"/>
        <v/>
      </c>
      <c r="U18" s="174" t="str">
        <f t="shared" si="17"/>
        <v/>
      </c>
      <c r="V18" s="174"/>
      <c r="W18" s="174" t="str">
        <f t="shared" si="18"/>
        <v/>
      </c>
      <c r="X18" s="174" t="str">
        <f t="shared" si="19"/>
        <v/>
      </c>
    </row>
    <row r="19" spans="2:24" x14ac:dyDescent="0.45">
      <c r="B19" s="4" t="str">
        <f t="shared" si="20"/>
        <v>BENTONITA GRIS_DIDIER HOYOS_P</v>
      </c>
      <c r="C19" s="4">
        <f t="shared" si="20"/>
        <v>600</v>
      </c>
      <c r="D19" s="4">
        <f t="shared" si="20"/>
        <v>60</v>
      </c>
      <c r="E19" s="129" t="str">
        <f t="shared" si="1"/>
        <v/>
      </c>
      <c r="F19" s="129" t="str">
        <f t="shared" si="2"/>
        <v/>
      </c>
      <c r="G19" s="129" t="str">
        <f t="shared" si="3"/>
        <v/>
      </c>
      <c r="H19" s="129" t="str">
        <f t="shared" si="4"/>
        <v/>
      </c>
      <c r="I19" s="129" t="str">
        <f t="shared" si="5"/>
        <v/>
      </c>
      <c r="J19" s="129" t="str">
        <f t="shared" si="6"/>
        <v/>
      </c>
      <c r="K19" s="129" t="str">
        <f t="shared" si="7"/>
        <v/>
      </c>
      <c r="L19" s="129" t="str">
        <f t="shared" si="8"/>
        <v/>
      </c>
      <c r="M19" s="174">
        <f t="shared" si="9"/>
        <v>3.7199999999999997E-2</v>
      </c>
      <c r="N19" s="174">
        <f t="shared" si="10"/>
        <v>2.4E-2</v>
      </c>
      <c r="O19" s="174" t="str">
        <f t="shared" si="11"/>
        <v/>
      </c>
      <c r="P19" s="174" t="str">
        <f t="shared" si="12"/>
        <v/>
      </c>
      <c r="Q19" s="174" t="str">
        <f t="shared" si="13"/>
        <v/>
      </c>
      <c r="R19" s="174" t="str">
        <f t="shared" si="14"/>
        <v/>
      </c>
      <c r="S19" s="174" t="str">
        <f t="shared" si="15"/>
        <v/>
      </c>
      <c r="T19" s="174" t="str">
        <f t="shared" si="16"/>
        <v/>
      </c>
      <c r="U19" s="174" t="str">
        <f t="shared" si="17"/>
        <v/>
      </c>
      <c r="V19" s="174">
        <f t="shared" ref="V19:V23" si="21">IF(V8="","",V8*$D8/$D$13)</f>
        <v>0.34139999999999998</v>
      </c>
      <c r="W19" s="174" t="str">
        <f t="shared" si="18"/>
        <v/>
      </c>
      <c r="X19" s="174" t="str">
        <f t="shared" si="19"/>
        <v/>
      </c>
    </row>
    <row r="20" spans="2:24" x14ac:dyDescent="0.45">
      <c r="C20" s="4"/>
      <c r="D20" s="4"/>
      <c r="E20" s="129" t="str">
        <f t="shared" si="1"/>
        <v/>
      </c>
      <c r="F20" s="129" t="str">
        <f t="shared" si="2"/>
        <v/>
      </c>
      <c r="G20" s="129" t="str">
        <f t="shared" si="3"/>
        <v/>
      </c>
      <c r="H20" s="129" t="str">
        <f t="shared" si="4"/>
        <v/>
      </c>
      <c r="I20" s="129" t="str">
        <f t="shared" si="5"/>
        <v/>
      </c>
      <c r="J20" s="129" t="str">
        <f t="shared" si="6"/>
        <v/>
      </c>
      <c r="K20" s="129" t="str">
        <f t="shared" si="7"/>
        <v/>
      </c>
      <c r="L20" s="129" t="str">
        <f t="shared" si="8"/>
        <v/>
      </c>
      <c r="M20" s="174" t="str">
        <f t="shared" si="9"/>
        <v/>
      </c>
      <c r="N20" s="174" t="str">
        <f t="shared" si="10"/>
        <v/>
      </c>
      <c r="O20" s="174" t="str">
        <f t="shared" si="11"/>
        <v/>
      </c>
      <c r="P20" s="174" t="str">
        <f t="shared" si="12"/>
        <v/>
      </c>
      <c r="Q20" s="174" t="str">
        <f t="shared" si="13"/>
        <v/>
      </c>
      <c r="R20" s="174" t="str">
        <f t="shared" si="14"/>
        <v/>
      </c>
      <c r="S20" s="174" t="str">
        <f t="shared" si="15"/>
        <v/>
      </c>
      <c r="T20" s="174" t="str">
        <f t="shared" si="16"/>
        <v/>
      </c>
      <c r="U20" s="174" t="str">
        <f t="shared" si="17"/>
        <v/>
      </c>
      <c r="V20" s="174" t="str">
        <f t="shared" si="21"/>
        <v/>
      </c>
      <c r="W20" s="174" t="str">
        <f t="shared" si="18"/>
        <v/>
      </c>
      <c r="X20" s="174" t="str">
        <f t="shared" si="19"/>
        <v/>
      </c>
    </row>
    <row r="21" spans="2:24" x14ac:dyDescent="0.45">
      <c r="C21" s="4"/>
      <c r="D21" s="4"/>
      <c r="E21" s="129" t="str">
        <f t="shared" si="1"/>
        <v/>
      </c>
      <c r="F21" s="129" t="str">
        <f t="shared" si="2"/>
        <v/>
      </c>
      <c r="G21" s="129" t="str">
        <f t="shared" si="3"/>
        <v/>
      </c>
      <c r="H21" s="129" t="str">
        <f t="shared" si="4"/>
        <v/>
      </c>
      <c r="I21" s="129" t="str">
        <f t="shared" si="5"/>
        <v/>
      </c>
      <c r="J21" s="129" t="str">
        <f t="shared" si="6"/>
        <v/>
      </c>
      <c r="K21" s="129" t="str">
        <f t="shared" si="7"/>
        <v/>
      </c>
      <c r="L21" s="129" t="str">
        <f t="shared" si="8"/>
        <v/>
      </c>
      <c r="M21" s="174" t="str">
        <f t="shared" si="9"/>
        <v/>
      </c>
      <c r="N21" s="174" t="str">
        <f t="shared" si="10"/>
        <v/>
      </c>
      <c r="O21" s="174" t="str">
        <f t="shared" si="11"/>
        <v/>
      </c>
      <c r="P21" s="174" t="str">
        <f t="shared" si="12"/>
        <v/>
      </c>
      <c r="Q21" s="174" t="str">
        <f t="shared" si="13"/>
        <v/>
      </c>
      <c r="R21" s="174" t="str">
        <f t="shared" si="14"/>
        <v/>
      </c>
      <c r="S21" s="174" t="str">
        <f t="shared" si="15"/>
        <v/>
      </c>
      <c r="T21" s="174" t="str">
        <f t="shared" si="16"/>
        <v/>
      </c>
      <c r="U21" s="174" t="str">
        <f t="shared" si="17"/>
        <v/>
      </c>
      <c r="V21" s="174" t="str">
        <f t="shared" si="21"/>
        <v/>
      </c>
      <c r="W21" s="174" t="str">
        <f t="shared" si="18"/>
        <v/>
      </c>
      <c r="X21" s="174" t="str">
        <f t="shared" si="19"/>
        <v/>
      </c>
    </row>
    <row r="22" spans="2:24" x14ac:dyDescent="0.45">
      <c r="B22" s="125"/>
      <c r="C22" s="5"/>
      <c r="D22" s="5"/>
      <c r="E22" s="129" t="str">
        <f t="shared" si="1"/>
        <v/>
      </c>
      <c r="F22" s="129" t="str">
        <f t="shared" si="2"/>
        <v/>
      </c>
      <c r="G22" s="129" t="str">
        <f t="shared" si="3"/>
        <v/>
      </c>
      <c r="H22" s="129" t="str">
        <f t="shared" si="4"/>
        <v/>
      </c>
      <c r="I22" s="129" t="str">
        <f t="shared" si="5"/>
        <v/>
      </c>
      <c r="J22" s="129" t="str">
        <f t="shared" si="6"/>
        <v/>
      </c>
      <c r="K22" s="129" t="str">
        <f t="shared" si="7"/>
        <v/>
      </c>
      <c r="L22" s="129" t="str">
        <f t="shared" si="8"/>
        <v/>
      </c>
      <c r="M22" s="174" t="str">
        <f t="shared" si="9"/>
        <v/>
      </c>
      <c r="N22" s="174" t="str">
        <f t="shared" si="10"/>
        <v/>
      </c>
      <c r="O22" s="174" t="str">
        <f t="shared" si="11"/>
        <v/>
      </c>
      <c r="P22" s="174" t="str">
        <f t="shared" si="12"/>
        <v/>
      </c>
      <c r="Q22" s="174" t="str">
        <f t="shared" si="13"/>
        <v/>
      </c>
      <c r="R22" s="174" t="str">
        <f t="shared" si="14"/>
        <v/>
      </c>
      <c r="S22" s="174" t="str">
        <f t="shared" si="15"/>
        <v/>
      </c>
      <c r="T22" s="174" t="str">
        <f t="shared" si="16"/>
        <v/>
      </c>
      <c r="U22" s="174" t="str">
        <f t="shared" si="17"/>
        <v/>
      </c>
      <c r="V22" s="174" t="str">
        <f t="shared" si="21"/>
        <v/>
      </c>
      <c r="W22" s="174" t="str">
        <f t="shared" si="18"/>
        <v/>
      </c>
      <c r="X22" s="174" t="str">
        <f t="shared" si="19"/>
        <v/>
      </c>
    </row>
    <row r="23" spans="2:24" ht="20.25" thickBot="1" x14ac:dyDescent="0.5">
      <c r="B23" s="126"/>
      <c r="C23" s="7"/>
      <c r="D23" s="7"/>
      <c r="E23" s="129" t="str">
        <f t="shared" si="1"/>
        <v/>
      </c>
      <c r="F23" s="129" t="str">
        <f t="shared" si="2"/>
        <v/>
      </c>
      <c r="G23" s="129" t="str">
        <f t="shared" si="3"/>
        <v/>
      </c>
      <c r="H23" s="129" t="str">
        <f t="shared" si="4"/>
        <v/>
      </c>
      <c r="I23" s="129" t="str">
        <f t="shared" si="5"/>
        <v/>
      </c>
      <c r="J23" s="129" t="str">
        <f t="shared" si="6"/>
        <v/>
      </c>
      <c r="K23" s="129" t="str">
        <f t="shared" si="7"/>
        <v/>
      </c>
      <c r="L23" s="129" t="str">
        <f t="shared" si="8"/>
        <v/>
      </c>
      <c r="M23" s="174" t="str">
        <f t="shared" si="9"/>
        <v/>
      </c>
      <c r="N23" s="174" t="str">
        <f t="shared" si="10"/>
        <v/>
      </c>
      <c r="O23" s="174" t="str">
        <f t="shared" si="11"/>
        <v/>
      </c>
      <c r="P23" s="174" t="str">
        <f t="shared" si="12"/>
        <v/>
      </c>
      <c r="Q23" s="174" t="str">
        <f t="shared" si="13"/>
        <v/>
      </c>
      <c r="R23" s="174" t="str">
        <f t="shared" si="14"/>
        <v/>
      </c>
      <c r="S23" s="174" t="str">
        <f t="shared" si="15"/>
        <v/>
      </c>
      <c r="T23" s="174" t="str">
        <f t="shared" si="16"/>
        <v/>
      </c>
      <c r="U23" s="174" t="str">
        <f t="shared" si="17"/>
        <v/>
      </c>
      <c r="V23" s="174" t="str">
        <f t="shared" si="21"/>
        <v/>
      </c>
      <c r="W23" s="174" t="str">
        <f t="shared" si="18"/>
        <v/>
      </c>
      <c r="X23" s="174" t="str">
        <f t="shared" si="19"/>
        <v/>
      </c>
    </row>
    <row r="24" spans="2:24" x14ac:dyDescent="0.45">
      <c r="B24" s="4" t="s">
        <v>28</v>
      </c>
      <c r="C24" s="3">
        <f>SUM(C17:C23)</f>
        <v>1000</v>
      </c>
      <c r="D24" s="3">
        <v>100</v>
      </c>
    </row>
    <row r="25" spans="2:24" x14ac:dyDescent="0.45">
      <c r="B25" s="4" t="s">
        <v>29</v>
      </c>
      <c r="E25" s="10">
        <f t="shared" ref="E25:O25" si="22">SUM(E17:E23)</f>
        <v>0</v>
      </c>
      <c r="F25" s="10">
        <f t="shared" si="22"/>
        <v>0</v>
      </c>
      <c r="G25" s="10">
        <f t="shared" si="22"/>
        <v>0</v>
      </c>
      <c r="H25" s="10">
        <f t="shared" si="22"/>
        <v>0</v>
      </c>
      <c r="I25" s="10">
        <f t="shared" si="22"/>
        <v>0</v>
      </c>
      <c r="J25" s="10">
        <f t="shared" si="22"/>
        <v>0</v>
      </c>
      <c r="K25" s="10">
        <f t="shared" si="22"/>
        <v>0</v>
      </c>
      <c r="L25" s="10">
        <f t="shared" si="22"/>
        <v>0</v>
      </c>
      <c r="M25" s="10">
        <f t="shared" si="22"/>
        <v>0.19119999999999998</v>
      </c>
      <c r="N25" s="10">
        <f t="shared" si="22"/>
        <v>3.6500000000000005E-2</v>
      </c>
      <c r="O25" s="10">
        <f t="shared" si="22"/>
        <v>0.01</v>
      </c>
      <c r="P25" s="10">
        <f>SUM(P17:P23)</f>
        <v>0</v>
      </c>
      <c r="Q25" s="10">
        <v>0</v>
      </c>
      <c r="R25" s="10">
        <f t="shared" ref="R25:X25" si="23">SUM(R17:R23)</f>
        <v>0</v>
      </c>
      <c r="S25" s="10">
        <f t="shared" si="23"/>
        <v>0</v>
      </c>
      <c r="T25" s="10">
        <f t="shared" si="23"/>
        <v>0</v>
      </c>
      <c r="U25" s="10">
        <f t="shared" si="23"/>
        <v>0</v>
      </c>
      <c r="V25" s="10">
        <f t="shared" si="23"/>
        <v>0.34139999999999998</v>
      </c>
      <c r="W25" s="10">
        <f t="shared" si="23"/>
        <v>0</v>
      </c>
      <c r="X25" s="10">
        <f t="shared" si="23"/>
        <v>0</v>
      </c>
    </row>
    <row r="27" spans="2:24" x14ac:dyDescent="0.45">
      <c r="B27" s="4" t="s">
        <v>88</v>
      </c>
      <c r="E27" s="10"/>
      <c r="F27" s="10"/>
      <c r="G27" s="10"/>
      <c r="H27" s="10"/>
      <c r="I27" s="10"/>
      <c r="J27" s="10"/>
      <c r="K27" s="10"/>
      <c r="L27" s="10"/>
      <c r="M27" s="10">
        <v>0.19</v>
      </c>
      <c r="N27" s="10">
        <v>0.04</v>
      </c>
      <c r="O27" s="10">
        <v>0.01</v>
      </c>
      <c r="P27" s="10"/>
      <c r="Q27" s="10"/>
      <c r="R27" s="10"/>
      <c r="S27" s="10"/>
      <c r="T27" s="10"/>
      <c r="U27" s="10"/>
      <c r="V27" s="10">
        <v>0.34</v>
      </c>
      <c r="W27" s="10"/>
      <c r="X27" s="10"/>
    </row>
    <row r="28" spans="2:24" x14ac:dyDescent="0.45">
      <c r="B28" s="4" t="s">
        <v>43</v>
      </c>
      <c r="E28" s="10"/>
      <c r="F28" s="10"/>
      <c r="G28" s="10"/>
      <c r="H28" s="10"/>
      <c r="I28" s="10"/>
      <c r="J28" s="10"/>
      <c r="K28" s="10"/>
      <c r="L28" s="10"/>
      <c r="M28" s="10">
        <v>0.1225</v>
      </c>
      <c r="N28" s="10">
        <v>2.52E-2</v>
      </c>
      <c r="O28" s="10">
        <v>1.2800000000000001E-2</v>
      </c>
      <c r="P28" s="10"/>
      <c r="Q28" s="10"/>
      <c r="R28" s="10"/>
      <c r="S28" s="10"/>
      <c r="T28" s="10"/>
      <c r="U28" s="10"/>
      <c r="V28" s="10">
        <v>0.34920000000000001</v>
      </c>
      <c r="W28" s="10"/>
      <c r="X28" s="10"/>
    </row>
    <row r="30" spans="2:24" ht="20.25" x14ac:dyDescent="0.45">
      <c r="B30" s="4" t="s">
        <v>53</v>
      </c>
    </row>
    <row r="31" spans="2:24" x14ac:dyDescent="0.45">
      <c r="B31" s="11" t="s">
        <v>44</v>
      </c>
      <c r="E31" s="9"/>
      <c r="F31" s="10" t="str">
        <f>IF(F25=0,"",IF(F25&lt;tolerancias!B2,"SI","NO"))</f>
        <v/>
      </c>
      <c r="G31" s="10"/>
      <c r="H31" s="10"/>
      <c r="I31" s="10"/>
      <c r="J31" s="10"/>
      <c r="K31" s="10" t="str">
        <f>IF(K25=0,"",IF(K25&lt;tolerancias!C2,"SI","NO"))</f>
        <v/>
      </c>
      <c r="L31" s="4" t="str">
        <f>IF(L25=0,"",IF(L25&lt;tolerancias!D2,"SI","NO"))</f>
        <v/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2:24" x14ac:dyDescent="0.45">
      <c r="B32" s="11" t="s">
        <v>45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2:24" x14ac:dyDescent="0.45">
      <c r="B33" s="4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x14ac:dyDescent="0.45">
      <c r="B34" s="4" t="s">
        <v>47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 t="str">
        <f>IF(P25=0,"",IF(P25&gt;tolerancias!H5,"SI","NO"))</f>
        <v/>
      </c>
      <c r="Q34" s="10" t="str">
        <f>IF(Q25=0,"",IF(Q25&gt;tolerancias!I5,"SI","NO"))</f>
        <v/>
      </c>
      <c r="R34" s="10" t="str">
        <f>IF(R25=0,"",IF(R25&gt;tolerancias!J5,"SI","NO"))</f>
        <v/>
      </c>
      <c r="S34" s="10" t="str">
        <f>IF(S25=0,"",IF(S25&gt;tolerancias!K5,"SI","NO"))</f>
        <v/>
      </c>
      <c r="T34" s="10" t="str">
        <f>IF(T25=0,"",IF(T25&gt;tolerancias!L5,"SI","NO"))</f>
        <v/>
      </c>
      <c r="U34" s="10" t="str">
        <f>IF(U25=0,"",IF(U25&gt;tolerancias!M5,"SI","NO"))</f>
        <v/>
      </c>
      <c r="V34" s="10" t="str">
        <f>IF(V25=0,"",IF(V25&gt;tolerancias!N5,"SI","NO"))</f>
        <v>SI</v>
      </c>
      <c r="W34" s="10" t="str">
        <f>IF(W25=0,"",IF(W25&gt;tolerancias!P5,"SI","NO"))</f>
        <v/>
      </c>
      <c r="X34" s="9"/>
    </row>
    <row r="35" spans="2:24" x14ac:dyDescent="0.45">
      <c r="B35" s="12" t="s">
        <v>48</v>
      </c>
    </row>
    <row r="36" spans="2:24" x14ac:dyDescent="0.45">
      <c r="B36" s="12"/>
    </row>
    <row r="37" spans="2:24" ht="20.25" x14ac:dyDescent="0.45">
      <c r="B37" s="4" t="s">
        <v>60</v>
      </c>
    </row>
    <row r="38" spans="2:24" x14ac:dyDescent="0.45">
      <c r="B38" s="4" t="s">
        <v>61</v>
      </c>
      <c r="E38" s="9"/>
      <c r="F38" s="10" t="str">
        <f>IF(F25=0,"",((-0.0005*100*100*F$25*F$25+0.0413*100*F$25+0.6533)/100))</f>
        <v/>
      </c>
      <c r="G38" s="10"/>
      <c r="H38" s="10"/>
      <c r="I38" s="10"/>
      <c r="J38" s="10"/>
      <c r="K38" s="10" t="str">
        <f>IF(K25=0,"",((-0.0005*100*100*K$25*K$25+0.0413*100*K$25+0.6533)/100))</f>
        <v/>
      </c>
      <c r="L38" s="13" t="str">
        <f>IF(L25=0,"",((-0.0007*10000*L$25*L$25+0.0769*100*L$25+0.3941)/100))</f>
        <v/>
      </c>
      <c r="M38" s="9">
        <f>M39</f>
        <v>2.4275999999999995E-2</v>
      </c>
      <c r="N38" s="9">
        <f t="shared" ref="N38:O38" si="24">N39</f>
        <v>9.5624999999999998E-3</v>
      </c>
      <c r="O38" s="9">
        <f t="shared" si="24"/>
        <v>3.7499999999999999E-3</v>
      </c>
      <c r="P38" s="9"/>
      <c r="Q38" s="9"/>
      <c r="R38" s="9"/>
      <c r="S38" s="9"/>
      <c r="T38" s="9"/>
      <c r="U38" s="9"/>
      <c r="V38" s="9"/>
      <c r="W38" s="9"/>
      <c r="X38" s="9"/>
    </row>
    <row r="39" spans="2:24" x14ac:dyDescent="0.45">
      <c r="B39" s="11" t="s">
        <v>52</v>
      </c>
      <c r="E39" s="10"/>
      <c r="F39" s="10" t="str">
        <f>IF(F25=0,"",IF(OR(F25&lt;4.001%,F25&gt;32.001%),"SI","NO"))</f>
        <v/>
      </c>
      <c r="G39" s="9"/>
      <c r="H39" s="9"/>
      <c r="I39" s="9"/>
      <c r="J39" s="9"/>
      <c r="K39" s="10" t="str">
        <f>IF(K25=0,"",IF(OR(K25&lt;4.001%,K25&gt;32.001%),"SI","NO"))</f>
        <v/>
      </c>
      <c r="L39" s="10" t="str">
        <f>IF(L25=0,"",IF(OR(L25&lt;4.001%,L25&gt;32.001%),"SI","NO"))</f>
        <v/>
      </c>
      <c r="M39" s="10">
        <f>IF(M25=0,"",((0.42+0.105*100*M$25)/100))</f>
        <v>2.4275999999999995E-2</v>
      </c>
      <c r="N39" s="10">
        <f>IF(N25=0,"",((0.5+0.125*100*N$25)/100))</f>
        <v>9.5624999999999998E-3</v>
      </c>
      <c r="O39" s="10">
        <f>IF(O25=0,"",((0.3+0.075*100*O$25)/100))</f>
        <v>3.7499999999999999E-3</v>
      </c>
      <c r="P39" s="10" t="str">
        <f>IF(P25=0,"",((0.005+0.25*100*P$25)/100))</f>
        <v/>
      </c>
      <c r="Q39" s="10" t="str">
        <f>IF(Q25=0,"",((0.000125+0.375*100*Q$25)/100))</f>
        <v/>
      </c>
      <c r="R39" s="10" t="str">
        <f>IF(R25=0,"",((0.015+0.3*100*R$25)/100))</f>
        <v/>
      </c>
      <c r="S39" s="10" t="str">
        <f>IF(S25=0,"",((0.015+0.3*100*S$25)/100))</f>
        <v/>
      </c>
      <c r="T39" s="10" t="str">
        <f>IF(T25=0,"",((0.015+0.3*100*T$25)/100))</f>
        <v/>
      </c>
      <c r="U39" s="10" t="str">
        <f>IF(U25=0,"",((0.000125+0.375*100*U$25)/100))</f>
        <v/>
      </c>
      <c r="V39" s="10"/>
      <c r="W39" s="10" t="str">
        <f>IF(W25=0,"",((0.015+0.3*100*W$25)/100))</f>
        <v/>
      </c>
      <c r="X39" s="10" t="str">
        <f>IF(X25=0,"",((0.015+0.3*100*X$25)/100))</f>
        <v/>
      </c>
    </row>
    <row r="40" spans="2:24" x14ac:dyDescent="0.45">
      <c r="B40" s="11" t="s">
        <v>62</v>
      </c>
      <c r="F40" s="9"/>
      <c r="G40" s="9"/>
      <c r="H40" s="9"/>
      <c r="I40" s="9"/>
      <c r="J40" s="9"/>
      <c r="K40" s="9"/>
      <c r="L40" s="9"/>
      <c r="M40" s="4" t="str">
        <f>IF(M25=0,"",IF(OR(M39&gt;M25/2,M39&gt;1.501%),"SI","NO"))</f>
        <v>SI</v>
      </c>
      <c r="N40" s="4" t="str">
        <f>IF(N25=0,"",IF(OR(N39&gt;N25/2,N39&gt;1.501%),"SI","NO"))</f>
        <v>NO</v>
      </c>
      <c r="O40" s="4" t="str">
        <f>IF(O25=0,"",IF(OR(O39&gt;O25/2,O39&gt;1.501%),"SI","NO"))</f>
        <v>NO</v>
      </c>
      <c r="P40" s="4" t="str">
        <f t="shared" ref="P40:U40" si="25">IF(P25=0,"",IF(OR(P39&gt;P25/2,P39&gt;1.501%),"SI","NO"))</f>
        <v/>
      </c>
      <c r="Q40" s="4" t="str">
        <f t="shared" si="25"/>
        <v/>
      </c>
      <c r="R40" s="4" t="str">
        <f t="shared" si="25"/>
        <v/>
      </c>
      <c r="S40" s="4" t="str">
        <f t="shared" si="25"/>
        <v/>
      </c>
      <c r="T40" s="4" t="str">
        <f t="shared" si="25"/>
        <v/>
      </c>
      <c r="U40" s="4" t="str">
        <f t="shared" si="25"/>
        <v/>
      </c>
      <c r="V40" s="4" t="str">
        <f>IF(V5="SiO2","",IF(V25=0,"",IF(OR(V39&gt;V25/2,V39&gt;1.501%),"SI","NO")))</f>
        <v/>
      </c>
      <c r="W40" s="4" t="str">
        <f>IF(W25=0,"",IF(OR(W39&gt;W25/2,W39&gt;1.501%),"SI","NO"))</f>
        <v/>
      </c>
      <c r="X40" s="4" t="str">
        <f>IF(X25=0,"",IF(OR(X39&gt;X25/2,X39&gt;1.501%),"SI","NO"))</f>
        <v/>
      </c>
    </row>
    <row r="41" spans="2:24" x14ac:dyDescent="0.45">
      <c r="B41" s="4" t="s">
        <v>42</v>
      </c>
      <c r="E41" s="16"/>
      <c r="F41" s="10" t="str">
        <f>IF(F25=0,"",IF(F39="NO",F38,IF(F25&lt;4%,0.81%,1.46%)))</f>
        <v/>
      </c>
      <c r="G41" s="16"/>
      <c r="H41" s="16"/>
      <c r="I41" s="16"/>
      <c r="J41" s="16"/>
      <c r="K41" s="16" t="str">
        <f>IF(K25=0,"",IF(K39="NO",K38,IF(K25&lt;4%,0.81%,1.46%)))</f>
        <v/>
      </c>
      <c r="L41" s="16" t="str">
        <f>IF(L25=0,"",IF(L39="NO",L38,IF(L25&lt;4%,0.69%,2.14%)))</f>
        <v/>
      </c>
      <c r="M41" s="16">
        <f>IF(M25=0,"",IF(M40="NO",M39,1.5%))</f>
        <v>1.4999999999999999E-2</v>
      </c>
      <c r="N41" s="16">
        <f>IF(N25=0,"",IF(N40="NO",N39,1.5%))</f>
        <v>9.5624999999999998E-3</v>
      </c>
      <c r="O41" s="16">
        <f>IF(O25=0,"",IF(O40="NO",O39,1.5%))</f>
        <v>3.7499999999999999E-3</v>
      </c>
      <c r="P41" s="16" t="str">
        <f t="shared" ref="P41:U41" si="26">IF(P25=0,"",IF(P39="NO",P38,1.5%))</f>
        <v/>
      </c>
      <c r="Q41" s="16" t="str">
        <f t="shared" si="26"/>
        <v/>
      </c>
      <c r="R41" s="16" t="str">
        <f t="shared" si="26"/>
        <v/>
      </c>
      <c r="S41" s="16" t="str">
        <f t="shared" si="26"/>
        <v/>
      </c>
      <c r="T41" s="16" t="str">
        <f t="shared" si="26"/>
        <v/>
      </c>
      <c r="U41" s="16" t="str">
        <f t="shared" si="26"/>
        <v/>
      </c>
      <c r="V41" s="16" t="str">
        <f>IF(V5="SiO2","",IF(V25=0,"",IF(V39="NO",V38,1.5%)))</f>
        <v/>
      </c>
      <c r="W41" s="16" t="str">
        <f>IF(W25=0,"",IF(W39="NO",W38,1.5%))</f>
        <v/>
      </c>
      <c r="X41" s="16" t="str">
        <f>IF(X25=0,"",IF(X39="NO",X38,1.5%))</f>
        <v/>
      </c>
    </row>
    <row r="42" spans="2:24" x14ac:dyDescent="0.45">
      <c r="B42" s="12" t="s">
        <v>49</v>
      </c>
    </row>
    <row r="43" spans="2:24" ht="15" customHeight="1" x14ac:dyDescent="0.45">
      <c r="B43" s="12" t="s">
        <v>50</v>
      </c>
    </row>
    <row r="44" spans="2:24" ht="15" customHeight="1" x14ac:dyDescent="0.45">
      <c r="B44" s="12" t="s">
        <v>51</v>
      </c>
    </row>
    <row r="45" spans="2:24" ht="15" customHeight="1" x14ac:dyDescent="0.45"/>
    <row r="46" spans="2:24" x14ac:dyDescent="0.45">
      <c r="B46" s="4" t="s">
        <v>86</v>
      </c>
      <c r="E46" s="10" t="str">
        <f>IF(E5="C","",IF(E25=0,"",E47-E41))</f>
        <v/>
      </c>
      <c r="F46" s="10" t="str">
        <f t="shared" ref="F46:U46" si="27">IF(F25=0,"",F47-F41)</f>
        <v/>
      </c>
      <c r="G46" s="10" t="str">
        <f t="shared" si="27"/>
        <v/>
      </c>
      <c r="H46" s="10" t="str">
        <f t="shared" si="27"/>
        <v/>
      </c>
      <c r="I46" s="10" t="str">
        <f t="shared" si="27"/>
        <v/>
      </c>
      <c r="J46" s="10" t="str">
        <f t="shared" si="27"/>
        <v/>
      </c>
      <c r="K46" s="10" t="str">
        <f t="shared" si="27"/>
        <v/>
      </c>
      <c r="L46" s="10" t="str">
        <f t="shared" si="27"/>
        <v/>
      </c>
      <c r="M46" s="10">
        <f t="shared" si="27"/>
        <v>0.17499999999999999</v>
      </c>
      <c r="N46" s="10">
        <f t="shared" si="27"/>
        <v>3.0437499999999999E-2</v>
      </c>
      <c r="O46" s="10">
        <f>IF(O25=0,"",O47-O41)</f>
        <v>6.2500000000000003E-3</v>
      </c>
      <c r="P46" s="10" t="str">
        <f t="shared" si="27"/>
        <v/>
      </c>
      <c r="Q46" s="10" t="str">
        <f t="shared" si="27"/>
        <v/>
      </c>
      <c r="R46" s="10" t="str">
        <f t="shared" si="27"/>
        <v/>
      </c>
      <c r="S46" s="10" t="str">
        <f t="shared" si="27"/>
        <v/>
      </c>
      <c r="T46" s="10" t="str">
        <f t="shared" si="27"/>
        <v/>
      </c>
      <c r="U46" s="10" t="str">
        <f t="shared" si="27"/>
        <v/>
      </c>
      <c r="V46" s="10" t="str">
        <f>IF(V5="SiO2","",IF(V25=0,"",V47-V41))</f>
        <v/>
      </c>
      <c r="W46" s="10" t="str">
        <f>IF(W25=0,"",W47-W41)</f>
        <v/>
      </c>
      <c r="X46" s="10" t="str">
        <f>IF(X25=0,"",X47-X41)</f>
        <v/>
      </c>
    </row>
    <row r="47" spans="2:24" x14ac:dyDescent="0.45">
      <c r="B47" s="4" t="str">
        <f>_xlfn.CONCAT("SOLICITUD DE REGISTRO ICA: ",B5)</f>
        <v>SOLICITUD DE REGISTRO ICA: MATERIA PRIMA</v>
      </c>
      <c r="E47" s="10" t="str">
        <f t="shared" ref="E47:X47" si="28">IF(E25=0,"",E25)</f>
        <v/>
      </c>
      <c r="F47" s="10" t="str">
        <f t="shared" si="28"/>
        <v/>
      </c>
      <c r="G47" s="10" t="str">
        <f t="shared" si="28"/>
        <v/>
      </c>
      <c r="H47" s="10" t="str">
        <f t="shared" si="28"/>
        <v/>
      </c>
      <c r="I47" s="10" t="str">
        <f t="shared" si="28"/>
        <v/>
      </c>
      <c r="J47" s="10" t="str">
        <f t="shared" si="28"/>
        <v/>
      </c>
      <c r="K47" s="10" t="str">
        <f t="shared" si="28"/>
        <v/>
      </c>
      <c r="L47" s="10" t="str">
        <f t="shared" si="28"/>
        <v/>
      </c>
      <c r="M47" s="10">
        <f>M27</f>
        <v>0.19</v>
      </c>
      <c r="N47" s="10">
        <f t="shared" ref="N47" si="29">N27</f>
        <v>0.04</v>
      </c>
      <c r="O47" s="10">
        <f>O27</f>
        <v>0.01</v>
      </c>
      <c r="P47" s="10" t="str">
        <f t="shared" si="28"/>
        <v/>
      </c>
      <c r="Q47" s="10" t="str">
        <f t="shared" si="28"/>
        <v/>
      </c>
      <c r="R47" s="10" t="str">
        <f t="shared" si="28"/>
        <v/>
      </c>
      <c r="S47" s="10" t="str">
        <f t="shared" si="28"/>
        <v/>
      </c>
      <c r="T47" s="10" t="str">
        <f t="shared" si="28"/>
        <v/>
      </c>
      <c r="U47" s="10" t="str">
        <f t="shared" si="28"/>
        <v/>
      </c>
      <c r="V47" s="10">
        <f>V27</f>
        <v>0.34</v>
      </c>
      <c r="W47" s="10" t="str">
        <f t="shared" si="28"/>
        <v/>
      </c>
      <c r="X47" s="10" t="str">
        <f t="shared" si="28"/>
        <v/>
      </c>
    </row>
    <row r="48" spans="2:24" x14ac:dyDescent="0.45">
      <c r="B48" s="4" t="s">
        <v>87</v>
      </c>
      <c r="E48" s="10" t="str">
        <f>IF(E5="C","",IF(E25=0,"",E47+E41))</f>
        <v/>
      </c>
      <c r="F48" s="10" t="str">
        <f t="shared" ref="F48:U48" si="30">IF(F25=0,"",F47+F41)</f>
        <v/>
      </c>
      <c r="G48" s="10" t="str">
        <f t="shared" si="30"/>
        <v/>
      </c>
      <c r="H48" s="10" t="str">
        <f t="shared" si="30"/>
        <v/>
      </c>
      <c r="I48" s="10" t="str">
        <f t="shared" si="30"/>
        <v/>
      </c>
      <c r="J48" s="10" t="str">
        <f t="shared" si="30"/>
        <v/>
      </c>
      <c r="K48" s="10" t="str">
        <f t="shared" si="30"/>
        <v/>
      </c>
      <c r="L48" s="10" t="str">
        <f t="shared" si="30"/>
        <v/>
      </c>
      <c r="M48" s="10">
        <f t="shared" si="30"/>
        <v>0.20500000000000002</v>
      </c>
      <c r="N48" s="10">
        <f t="shared" si="30"/>
        <v>4.9562500000000002E-2</v>
      </c>
      <c r="O48" s="10">
        <f t="shared" si="30"/>
        <v>1.375E-2</v>
      </c>
      <c r="P48" s="10" t="str">
        <f t="shared" si="30"/>
        <v/>
      </c>
      <c r="Q48" s="10" t="str">
        <f t="shared" si="30"/>
        <v/>
      </c>
      <c r="R48" s="10" t="str">
        <f t="shared" si="30"/>
        <v/>
      </c>
      <c r="S48" s="10" t="str">
        <f t="shared" si="30"/>
        <v/>
      </c>
      <c r="T48" s="10" t="str">
        <f t="shared" si="30"/>
        <v/>
      </c>
      <c r="U48" s="10" t="str">
        <f t="shared" si="30"/>
        <v/>
      </c>
      <c r="V48" s="10" t="str">
        <f>IF(V5="SiO2","",IF(V25=0,"",V47+V41))</f>
        <v/>
      </c>
      <c r="W48" s="10" t="str">
        <f>IF(W25=0,"",W47+W41)</f>
        <v/>
      </c>
      <c r="X48" s="10" t="str">
        <f>IF(X25=0,"",X47+X41)</f>
        <v/>
      </c>
    </row>
  </sheetData>
  <conditionalFormatting sqref="K39:X39 E39:F39 E41:X41 E46:X48">
    <cfRule type="cellIs" dxfId="361" priority="41" operator="equal">
      <formula>0</formula>
    </cfRule>
    <cfRule type="containsBlanks" dxfId="360" priority="42">
      <formula>LEN(TRIM(E39))=0</formula>
    </cfRule>
  </conditionalFormatting>
  <conditionalFormatting sqref="F31:K31">
    <cfRule type="cellIs" dxfId="359" priority="73" operator="equal">
      <formula>0</formula>
    </cfRule>
    <cfRule type="containsBlanks" dxfId="358" priority="74">
      <formula>LEN(TRIM(F31))=0</formula>
    </cfRule>
  </conditionalFormatting>
  <conditionalFormatting sqref="F38:K38">
    <cfRule type="cellIs" dxfId="357" priority="113" operator="equal">
      <formula>0</formula>
    </cfRule>
    <cfRule type="containsBlanks" dxfId="356" priority="114">
      <formula>LEN(TRIM(F38))=0</formula>
    </cfRule>
  </conditionalFormatting>
  <conditionalFormatting sqref="F40:L40 E18:X23 M31:X31 E38 P32:X33 X34 E31:E34 M38:X38">
    <cfRule type="cellIs" dxfId="355" priority="47" operator="equal">
      <formula>0</formula>
    </cfRule>
    <cfRule type="containsBlanks" dxfId="354" priority="48">
      <formula>LEN(TRIM(E18))=0</formula>
    </cfRule>
  </conditionalFormatting>
  <conditionalFormatting sqref="F32:O34">
    <cfRule type="cellIs" dxfId="353" priority="89" operator="equal">
      <formula>0</formula>
    </cfRule>
    <cfRule type="containsBlanks" dxfId="352" priority="90">
      <formula>LEN(TRIM(F32))=0</formula>
    </cfRule>
  </conditionalFormatting>
  <conditionalFormatting sqref="P34:W34">
    <cfRule type="cellIs" dxfId="351" priority="115" operator="equal">
      <formula>0</formula>
    </cfRule>
    <cfRule type="containsBlanks" dxfId="350" priority="116">
      <formula>LEN(TRIM(P34))=0</formula>
    </cfRule>
  </conditionalFormatting>
  <conditionalFormatting sqref="G39:J39">
    <cfRule type="cellIs" dxfId="349" priority="53" operator="equal">
      <formula>0</formula>
    </cfRule>
    <cfRule type="containsBlanks" dxfId="348" priority="54">
      <formula>LEN(TRIM(G39))=0</formula>
    </cfRule>
  </conditionalFormatting>
  <conditionalFormatting sqref="E11:X12">
    <cfRule type="cellIs" dxfId="347" priority="23" operator="equal">
      <formula>0</formula>
    </cfRule>
    <cfRule type="containsBlanks" dxfId="346" priority="24">
      <formula>LEN(TRIM(E11))=0</formula>
    </cfRule>
  </conditionalFormatting>
  <conditionalFormatting sqref="E11:X12">
    <cfRule type="notContainsBlanks" dxfId="345" priority="22">
      <formula>LEN(TRIM(E11))&gt;0</formula>
    </cfRule>
  </conditionalFormatting>
  <conditionalFormatting sqref="E18:X23">
    <cfRule type="cellIs" dxfId="344" priority="20" operator="equal">
      <formula>0</formula>
    </cfRule>
    <cfRule type="containsBlanks" dxfId="343" priority="21">
      <formula>LEN(TRIM(E18))=0</formula>
    </cfRule>
  </conditionalFormatting>
  <conditionalFormatting sqref="E18:X23">
    <cfRule type="notContainsBlanks" dxfId="342" priority="19">
      <formula>LEN(TRIM(E18))&gt;0</formula>
    </cfRule>
  </conditionalFormatting>
  <conditionalFormatting sqref="E17">
    <cfRule type="cellIs" dxfId="341" priority="17" operator="equal">
      <formula>0</formula>
    </cfRule>
    <cfRule type="containsBlanks" dxfId="340" priority="18">
      <formula>LEN(TRIM(E17))=0</formula>
    </cfRule>
  </conditionalFormatting>
  <conditionalFormatting sqref="E17">
    <cfRule type="notContainsBlanks" dxfId="339" priority="16">
      <formula>LEN(TRIM(E17))&gt;0</formula>
    </cfRule>
  </conditionalFormatting>
  <conditionalFormatting sqref="F17">
    <cfRule type="cellIs" dxfId="338" priority="14" operator="equal">
      <formula>0</formula>
    </cfRule>
    <cfRule type="containsBlanks" dxfId="337" priority="15">
      <formula>LEN(TRIM(F17))=0</formula>
    </cfRule>
  </conditionalFormatting>
  <conditionalFormatting sqref="F17">
    <cfRule type="notContainsBlanks" dxfId="336" priority="13">
      <formula>LEN(TRIM(F17))&gt;0</formula>
    </cfRule>
  </conditionalFormatting>
  <conditionalFormatting sqref="G17:X17">
    <cfRule type="cellIs" dxfId="335" priority="11" operator="equal">
      <formula>0</formula>
    </cfRule>
    <cfRule type="containsBlanks" dxfId="334" priority="12">
      <formula>LEN(TRIM(G17))=0</formula>
    </cfRule>
  </conditionalFormatting>
  <conditionalFormatting sqref="G17:X17">
    <cfRule type="notContainsBlanks" dxfId="333" priority="10">
      <formula>LEN(TRIM(G17))&gt;0</formula>
    </cfRule>
  </conditionalFormatting>
  <conditionalFormatting sqref="E25:X25">
    <cfRule type="cellIs" dxfId="332" priority="7" operator="equal">
      <formula>0</formula>
    </cfRule>
    <cfRule type="containsBlanks" dxfId="331" priority="9">
      <formula>LEN(TRIM(E25))=0</formula>
    </cfRule>
  </conditionalFormatting>
  <conditionalFormatting sqref="E25:X25">
    <cfRule type="notContainsBlanks" dxfId="330" priority="8">
      <formula>LEN(TRIM(E25))&gt;0</formula>
    </cfRule>
  </conditionalFormatting>
  <conditionalFormatting sqref="E27:X28">
    <cfRule type="cellIs" dxfId="329" priority="4" operator="equal">
      <formula>0</formula>
    </cfRule>
    <cfRule type="containsBlanks" dxfId="328" priority="6">
      <formula>LEN(TRIM(E27))=0</formula>
    </cfRule>
  </conditionalFormatting>
  <conditionalFormatting sqref="E27:X28">
    <cfRule type="notContainsBlanks" dxfId="327" priority="5">
      <formula>LEN(TRIM(E27))&gt;0</formula>
    </cfRule>
  </conditionalFormatting>
  <conditionalFormatting sqref="E6:X10">
    <cfRule type="cellIs" dxfId="326" priority="2" operator="equal">
      <formula>0</formula>
    </cfRule>
    <cfRule type="containsBlanks" dxfId="325" priority="3">
      <formula>LEN(TRIM(E6))=0</formula>
    </cfRule>
  </conditionalFormatting>
  <conditionalFormatting sqref="E6:X10">
    <cfRule type="notContainsBlanks" dxfId="324" priority="1">
      <formula>LEN(TRIM(E6))&gt;0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6954-449F-4005-9DC6-C3999A1980EF}">
  <dimension ref="B5:AW48"/>
  <sheetViews>
    <sheetView topLeftCell="A10" zoomScale="70" zoomScaleNormal="70" workbookViewId="0">
      <selection activeCell="N46" sqref="N46:O48"/>
    </sheetView>
  </sheetViews>
  <sheetFormatPr baseColWidth="10" defaultColWidth="8.88671875" defaultRowHeight="19.5" x14ac:dyDescent="0.45"/>
  <cols>
    <col min="1" max="1" width="8.88671875" style="4"/>
    <col min="2" max="2" width="28.77734375" style="4" customWidth="1"/>
    <col min="3" max="3" width="10" style="3" customWidth="1"/>
    <col min="4" max="4" width="11" style="3" customWidth="1"/>
    <col min="5" max="24" width="7.33203125" style="4" customWidth="1"/>
    <col min="26" max="48" width="5.44140625" style="4" customWidth="1"/>
    <col min="49" max="16384" width="8.88671875" style="4"/>
  </cols>
  <sheetData>
    <row r="5" spans="2:49" ht="20.25" thickBot="1" x14ac:dyDescent="0.5">
      <c r="B5" s="126" t="s">
        <v>20</v>
      </c>
      <c r="C5" s="8" t="s">
        <v>21</v>
      </c>
      <c r="D5" s="7" t="s">
        <v>22</v>
      </c>
      <c r="E5" s="8" t="s">
        <v>19</v>
      </c>
      <c r="F5" s="8" t="s">
        <v>4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12</v>
      </c>
      <c r="Q5" s="8" t="s">
        <v>17</v>
      </c>
      <c r="R5" s="8" t="s">
        <v>15</v>
      </c>
      <c r="S5" s="8" t="s">
        <v>16</v>
      </c>
      <c r="T5" s="8" t="s">
        <v>14</v>
      </c>
      <c r="U5" s="8" t="s">
        <v>13</v>
      </c>
      <c r="V5" s="8" t="s">
        <v>10</v>
      </c>
      <c r="W5" s="8" t="s">
        <v>11</v>
      </c>
      <c r="X5" s="8" t="s">
        <v>18</v>
      </c>
      <c r="Y5" s="124"/>
    </row>
    <row r="6" spans="2:49" x14ac:dyDescent="0.45">
      <c r="B6" s="4" t="s">
        <v>164</v>
      </c>
      <c r="C6" s="5">
        <v>440</v>
      </c>
      <c r="D6" s="3">
        <v>44</v>
      </c>
      <c r="E6" s="129"/>
      <c r="F6" s="129"/>
      <c r="G6" s="129"/>
      <c r="H6" s="129"/>
      <c r="I6" s="129"/>
      <c r="J6" s="129"/>
      <c r="K6" s="129"/>
      <c r="L6" s="129"/>
      <c r="M6" s="129">
        <v>0.26</v>
      </c>
      <c r="N6" s="129"/>
      <c r="O6" s="129">
        <v>0.13</v>
      </c>
      <c r="P6" s="129"/>
      <c r="Q6" s="129"/>
      <c r="R6" s="129"/>
      <c r="S6" s="129"/>
      <c r="T6" s="129"/>
      <c r="U6" s="129"/>
      <c r="V6" s="129"/>
      <c r="W6" s="129"/>
      <c r="X6" s="129"/>
    </row>
    <row r="7" spans="2:49" x14ac:dyDescent="0.45">
      <c r="B7" s="4" t="s">
        <v>168</v>
      </c>
      <c r="C7" s="5">
        <v>180</v>
      </c>
      <c r="D7" s="3">
        <v>18</v>
      </c>
      <c r="E7" s="129"/>
      <c r="F7" s="129"/>
      <c r="G7" s="129"/>
      <c r="H7" s="129"/>
      <c r="I7" s="129"/>
      <c r="J7" s="129"/>
      <c r="K7" s="129"/>
      <c r="L7" s="129"/>
      <c r="M7" s="129"/>
      <c r="N7" s="129">
        <v>0.25</v>
      </c>
      <c r="O7" s="129">
        <v>0.2</v>
      </c>
      <c r="P7" s="129"/>
      <c r="Q7" s="129"/>
      <c r="R7" s="129"/>
      <c r="S7" s="129"/>
      <c r="T7" s="129"/>
      <c r="U7" s="129"/>
      <c r="V7" s="129"/>
      <c r="W7" s="129"/>
      <c r="X7" s="129"/>
      <c r="AW7" s="6"/>
    </row>
    <row r="8" spans="2:49" x14ac:dyDescent="0.45">
      <c r="B8" s="4" t="s">
        <v>185</v>
      </c>
      <c r="C8" s="5">
        <v>70</v>
      </c>
      <c r="D8" s="3">
        <v>7</v>
      </c>
      <c r="E8" s="129"/>
      <c r="F8" s="129"/>
      <c r="G8" s="129"/>
      <c r="H8" s="129"/>
      <c r="I8" s="129"/>
      <c r="J8" s="129"/>
      <c r="K8" s="129"/>
      <c r="L8" s="129"/>
      <c r="M8" s="129"/>
      <c r="N8" s="129">
        <v>6.0000000000000001E-3</v>
      </c>
      <c r="O8" s="129"/>
      <c r="P8" s="129"/>
      <c r="Q8" s="129"/>
      <c r="R8" s="129"/>
      <c r="S8" s="129"/>
      <c r="T8" s="129"/>
      <c r="U8" s="129"/>
      <c r="V8" s="129">
        <v>0.47</v>
      </c>
      <c r="W8" s="129"/>
      <c r="X8" s="129"/>
      <c r="AW8" s="6"/>
    </row>
    <row r="9" spans="2:49" x14ac:dyDescent="0.45">
      <c r="B9" s="4" t="s">
        <v>167</v>
      </c>
      <c r="C9" s="5">
        <v>310</v>
      </c>
      <c r="D9" s="3">
        <v>31</v>
      </c>
      <c r="E9" s="129"/>
      <c r="F9" s="129"/>
      <c r="G9" s="129"/>
      <c r="H9" s="129"/>
      <c r="I9" s="129"/>
      <c r="J9" s="129"/>
      <c r="K9" s="129"/>
      <c r="L9" s="129"/>
      <c r="M9" s="129"/>
      <c r="N9" s="129">
        <v>0.36</v>
      </c>
      <c r="O9" s="129"/>
      <c r="P9" s="129"/>
      <c r="Q9" s="129"/>
      <c r="R9" s="129"/>
      <c r="S9" s="129"/>
      <c r="T9" s="129"/>
      <c r="U9" s="129"/>
      <c r="V9" s="129">
        <v>0.39600000000000002</v>
      </c>
      <c r="W9" s="129"/>
      <c r="X9" s="129"/>
      <c r="AW9" s="6"/>
    </row>
    <row r="10" spans="2:49" x14ac:dyDescent="0.45">
      <c r="C10" s="5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AW10" s="6"/>
    </row>
    <row r="11" spans="2:49" x14ac:dyDescent="0.45">
      <c r="B11" s="125"/>
      <c r="C11" s="5"/>
      <c r="D11" s="5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AW11" s="6"/>
    </row>
    <row r="12" spans="2:49" x14ac:dyDescent="0.45">
      <c r="B12" s="125"/>
      <c r="C12" s="5"/>
      <c r="D12" s="5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AW12" s="6"/>
    </row>
    <row r="13" spans="2:49" x14ac:dyDescent="0.45">
      <c r="B13" s="4" t="s">
        <v>28</v>
      </c>
      <c r="C13" s="3">
        <f>SUM(C6:C12)</f>
        <v>1000</v>
      </c>
      <c r="D13" s="3">
        <v>100</v>
      </c>
      <c r="AW13" s="6"/>
    </row>
    <row r="14" spans="2:49" x14ac:dyDescent="0.45">
      <c r="B14" s="4" t="s">
        <v>29</v>
      </c>
      <c r="AW14" s="6"/>
    </row>
    <row r="15" spans="2:49" x14ac:dyDescent="0.45">
      <c r="AW15" s="6"/>
    </row>
    <row r="16" spans="2:49" ht="20.25" thickBot="1" x14ac:dyDescent="0.5">
      <c r="B16" s="126" t="s">
        <v>20</v>
      </c>
      <c r="C16" s="8" t="s">
        <v>21</v>
      </c>
      <c r="D16" s="7" t="s">
        <v>22</v>
      </c>
      <c r="E16" s="8" t="s">
        <v>82</v>
      </c>
      <c r="F16" s="8" t="s">
        <v>63</v>
      </c>
      <c r="G16" s="8" t="s">
        <v>64</v>
      </c>
      <c r="H16" s="8" t="s">
        <v>65</v>
      </c>
      <c r="I16" s="8" t="s">
        <v>66</v>
      </c>
      <c r="J16" s="8" t="s">
        <v>67</v>
      </c>
      <c r="K16" s="8" t="s">
        <v>69</v>
      </c>
      <c r="L16" s="8" t="s">
        <v>70</v>
      </c>
      <c r="M16" s="8" t="s">
        <v>68</v>
      </c>
      <c r="N16" s="8" t="s">
        <v>71</v>
      </c>
      <c r="O16" s="8" t="s">
        <v>72</v>
      </c>
      <c r="P16" s="8" t="s">
        <v>73</v>
      </c>
      <c r="Q16" s="8" t="s">
        <v>74</v>
      </c>
      <c r="R16" s="8" t="s">
        <v>75</v>
      </c>
      <c r="S16" s="8" t="s">
        <v>76</v>
      </c>
      <c r="T16" s="8" t="s">
        <v>77</v>
      </c>
      <c r="U16" s="8" t="s">
        <v>78</v>
      </c>
      <c r="V16" s="8" t="s">
        <v>79</v>
      </c>
      <c r="W16" s="8" t="s">
        <v>80</v>
      </c>
      <c r="X16" s="8" t="s">
        <v>81</v>
      </c>
    </row>
    <row r="17" spans="2:24" x14ac:dyDescent="0.45">
      <c r="B17" s="4" t="str">
        <f>B6</f>
        <v>SULFATO CALCIO_ANIBAL ARANGO_P</v>
      </c>
      <c r="C17" s="4">
        <f t="shared" ref="C17:D17" si="0">C6</f>
        <v>440</v>
      </c>
      <c r="D17" s="4">
        <f t="shared" si="0"/>
        <v>44</v>
      </c>
      <c r="E17" s="129" t="str">
        <f t="shared" ref="E17:E23" si="1">IF(E6="","",E6*$D6/$D$13)</f>
        <v/>
      </c>
      <c r="F17" s="129" t="str">
        <f t="shared" ref="F17:F23" si="2">IF(F6="","",SUM(G17:J17))</f>
        <v/>
      </c>
      <c r="G17" s="129" t="str">
        <f t="shared" ref="G17:X23" si="3">IF(G6="","",G6*$D6/$D$13)</f>
        <v/>
      </c>
      <c r="H17" s="129" t="str">
        <f t="shared" si="3"/>
        <v/>
      </c>
      <c r="I17" s="129" t="str">
        <f t="shared" si="3"/>
        <v/>
      </c>
      <c r="J17" s="129" t="str">
        <f t="shared" si="3"/>
        <v/>
      </c>
      <c r="K17" s="129" t="str">
        <f t="shared" si="3"/>
        <v/>
      </c>
      <c r="L17" s="129" t="str">
        <f t="shared" si="3"/>
        <v/>
      </c>
      <c r="M17" s="174">
        <f t="shared" si="3"/>
        <v>0.11440000000000002</v>
      </c>
      <c r="N17" s="174" t="str">
        <f t="shared" si="3"/>
        <v/>
      </c>
      <c r="O17" s="174">
        <f t="shared" si="3"/>
        <v>5.7200000000000008E-2</v>
      </c>
      <c r="P17" s="174" t="str">
        <f t="shared" si="3"/>
        <v/>
      </c>
      <c r="Q17" s="174" t="str">
        <f t="shared" si="3"/>
        <v/>
      </c>
      <c r="R17" s="174" t="str">
        <f t="shared" si="3"/>
        <v/>
      </c>
      <c r="S17" s="174" t="str">
        <f t="shared" si="3"/>
        <v/>
      </c>
      <c r="T17" s="174" t="str">
        <f t="shared" si="3"/>
        <v/>
      </c>
      <c r="U17" s="174" t="str">
        <f t="shared" si="3"/>
        <v/>
      </c>
      <c r="V17" s="174" t="str">
        <f t="shared" si="3"/>
        <v/>
      </c>
      <c r="W17" s="174" t="str">
        <f t="shared" si="3"/>
        <v/>
      </c>
      <c r="X17" s="174" t="str">
        <f t="shared" si="3"/>
        <v/>
      </c>
    </row>
    <row r="18" spans="2:24" x14ac:dyDescent="0.45">
      <c r="B18" s="4" t="str">
        <f t="shared" ref="B18:D18" si="4">B7</f>
        <v>KIESERITA_MANUCHAR_P</v>
      </c>
      <c r="C18" s="4">
        <f t="shared" si="4"/>
        <v>180</v>
      </c>
      <c r="D18" s="4">
        <f t="shared" si="4"/>
        <v>18</v>
      </c>
      <c r="E18" s="129" t="str">
        <f t="shared" si="1"/>
        <v/>
      </c>
      <c r="F18" s="129" t="str">
        <f t="shared" si="2"/>
        <v/>
      </c>
      <c r="G18" s="129" t="str">
        <f t="shared" si="3"/>
        <v/>
      </c>
      <c r="H18" s="129" t="str">
        <f t="shared" si="3"/>
        <v/>
      </c>
      <c r="I18" s="129" t="str">
        <f t="shared" si="3"/>
        <v/>
      </c>
      <c r="J18" s="129" t="str">
        <f t="shared" si="3"/>
        <v/>
      </c>
      <c r="K18" s="129" t="str">
        <f t="shared" si="3"/>
        <v/>
      </c>
      <c r="L18" s="129" t="str">
        <f t="shared" si="3"/>
        <v/>
      </c>
      <c r="M18" s="174" t="str">
        <f t="shared" si="3"/>
        <v/>
      </c>
      <c r="N18" s="174">
        <f t="shared" si="3"/>
        <v>4.4999999999999998E-2</v>
      </c>
      <c r="O18" s="174">
        <f t="shared" si="3"/>
        <v>3.6000000000000004E-2</v>
      </c>
      <c r="P18" s="174" t="str">
        <f t="shared" si="3"/>
        <v/>
      </c>
      <c r="Q18" s="174" t="str">
        <f t="shared" si="3"/>
        <v/>
      </c>
      <c r="R18" s="174" t="str">
        <f t="shared" si="3"/>
        <v/>
      </c>
      <c r="S18" s="174" t="str">
        <f t="shared" si="3"/>
        <v/>
      </c>
      <c r="T18" s="174" t="str">
        <f t="shared" si="3"/>
        <v/>
      </c>
      <c r="U18" s="174" t="str">
        <f t="shared" si="3"/>
        <v/>
      </c>
      <c r="V18" s="174" t="str">
        <f t="shared" si="3"/>
        <v/>
      </c>
      <c r="W18" s="174" t="str">
        <f t="shared" si="3"/>
        <v/>
      </c>
      <c r="X18" s="174" t="str">
        <f t="shared" si="3"/>
        <v/>
      </c>
    </row>
    <row r="19" spans="2:24" x14ac:dyDescent="0.45">
      <c r="B19" s="4" t="str">
        <f t="shared" ref="B19:D19" si="5">B8</f>
        <v>BENTONITA ROJA_HYM_P</v>
      </c>
      <c r="C19" s="4">
        <f t="shared" si="5"/>
        <v>70</v>
      </c>
      <c r="D19" s="4">
        <f t="shared" si="5"/>
        <v>7</v>
      </c>
      <c r="E19" s="129" t="str">
        <f t="shared" si="1"/>
        <v/>
      </c>
      <c r="F19" s="129" t="str">
        <f t="shared" si="2"/>
        <v/>
      </c>
      <c r="G19" s="129" t="str">
        <f t="shared" si="3"/>
        <v/>
      </c>
      <c r="H19" s="129" t="str">
        <f t="shared" si="3"/>
        <v/>
      </c>
      <c r="I19" s="129" t="str">
        <f t="shared" si="3"/>
        <v/>
      </c>
      <c r="J19" s="129" t="str">
        <f t="shared" si="3"/>
        <v/>
      </c>
      <c r="K19" s="129" t="str">
        <f t="shared" si="3"/>
        <v/>
      </c>
      <c r="L19" s="129" t="str">
        <f t="shared" si="3"/>
        <v/>
      </c>
      <c r="M19" s="174" t="str">
        <f t="shared" si="3"/>
        <v/>
      </c>
      <c r="N19" s="174">
        <f t="shared" si="3"/>
        <v>4.2000000000000002E-4</v>
      </c>
      <c r="O19" s="174" t="str">
        <f t="shared" si="3"/>
        <v/>
      </c>
      <c r="P19" s="174" t="str">
        <f t="shared" si="3"/>
        <v/>
      </c>
      <c r="Q19" s="174" t="str">
        <f t="shared" si="3"/>
        <v/>
      </c>
      <c r="R19" s="174" t="str">
        <f t="shared" si="3"/>
        <v/>
      </c>
      <c r="S19" s="174" t="str">
        <f t="shared" si="3"/>
        <v/>
      </c>
      <c r="T19" s="174" t="str">
        <f t="shared" si="3"/>
        <v/>
      </c>
      <c r="U19" s="174" t="str">
        <f t="shared" si="3"/>
        <v/>
      </c>
      <c r="V19" s="174">
        <f t="shared" si="3"/>
        <v>3.2899999999999999E-2</v>
      </c>
      <c r="W19" s="174" t="str">
        <f t="shared" si="3"/>
        <v/>
      </c>
      <c r="X19" s="174" t="str">
        <f t="shared" si="3"/>
        <v/>
      </c>
    </row>
    <row r="20" spans="2:24" x14ac:dyDescent="0.45">
      <c r="B20" s="4" t="str">
        <f t="shared" ref="B20:D20" si="6">B9</f>
        <v>SILICATO MAGNESIO_JULIAN SALDARRIAGA_P</v>
      </c>
      <c r="C20" s="4">
        <f t="shared" si="6"/>
        <v>310</v>
      </c>
      <c r="D20" s="4">
        <f t="shared" si="6"/>
        <v>31</v>
      </c>
      <c r="E20" s="129" t="str">
        <f t="shared" si="1"/>
        <v/>
      </c>
      <c r="F20" s="129" t="str">
        <f t="shared" si="2"/>
        <v/>
      </c>
      <c r="G20" s="129" t="str">
        <f t="shared" si="3"/>
        <v/>
      </c>
      <c r="H20" s="129" t="str">
        <f t="shared" si="3"/>
        <v/>
      </c>
      <c r="I20" s="129" t="str">
        <f t="shared" si="3"/>
        <v/>
      </c>
      <c r="J20" s="129" t="str">
        <f t="shared" si="3"/>
        <v/>
      </c>
      <c r="K20" s="129" t="str">
        <f t="shared" si="3"/>
        <v/>
      </c>
      <c r="L20" s="129" t="str">
        <f t="shared" si="3"/>
        <v/>
      </c>
      <c r="M20" s="174" t="str">
        <f t="shared" si="3"/>
        <v/>
      </c>
      <c r="N20" s="174">
        <f t="shared" si="3"/>
        <v>0.1116</v>
      </c>
      <c r="O20" s="174" t="str">
        <f t="shared" si="3"/>
        <v/>
      </c>
      <c r="P20" s="174" t="str">
        <f t="shared" si="3"/>
        <v/>
      </c>
      <c r="Q20" s="174" t="str">
        <f t="shared" si="3"/>
        <v/>
      </c>
      <c r="R20" s="174" t="str">
        <f t="shared" si="3"/>
        <v/>
      </c>
      <c r="S20" s="174" t="str">
        <f t="shared" si="3"/>
        <v/>
      </c>
      <c r="T20" s="174" t="str">
        <f t="shared" si="3"/>
        <v/>
      </c>
      <c r="U20" s="174" t="str">
        <f t="shared" si="3"/>
        <v/>
      </c>
      <c r="V20" s="174">
        <f t="shared" si="3"/>
        <v>0.12275999999999999</v>
      </c>
      <c r="W20" s="174" t="str">
        <f t="shared" si="3"/>
        <v/>
      </c>
      <c r="X20" s="174" t="str">
        <f t="shared" si="3"/>
        <v/>
      </c>
    </row>
    <row r="21" spans="2:24" x14ac:dyDescent="0.45">
      <c r="B21" s="4">
        <f t="shared" ref="B21:D21" si="7">B10</f>
        <v>0</v>
      </c>
      <c r="C21" s="4">
        <f t="shared" si="7"/>
        <v>0</v>
      </c>
      <c r="D21" s="4">
        <f t="shared" si="7"/>
        <v>0</v>
      </c>
      <c r="E21" s="129" t="str">
        <f t="shared" si="1"/>
        <v/>
      </c>
      <c r="F21" s="129" t="str">
        <f t="shared" si="2"/>
        <v/>
      </c>
      <c r="G21" s="129" t="str">
        <f t="shared" si="3"/>
        <v/>
      </c>
      <c r="H21" s="129" t="str">
        <f t="shared" si="3"/>
        <v/>
      </c>
      <c r="I21" s="129" t="str">
        <f t="shared" si="3"/>
        <v/>
      </c>
      <c r="J21" s="129" t="str">
        <f t="shared" si="3"/>
        <v/>
      </c>
      <c r="K21" s="129" t="str">
        <f t="shared" si="3"/>
        <v/>
      </c>
      <c r="L21" s="129" t="str">
        <f t="shared" si="3"/>
        <v/>
      </c>
      <c r="M21" s="174" t="str">
        <f t="shared" si="3"/>
        <v/>
      </c>
      <c r="N21" s="174" t="str">
        <f t="shared" si="3"/>
        <v/>
      </c>
      <c r="O21" s="174" t="str">
        <f t="shared" si="3"/>
        <v/>
      </c>
      <c r="P21" s="174" t="str">
        <f t="shared" si="3"/>
        <v/>
      </c>
      <c r="Q21" s="174" t="str">
        <f t="shared" si="3"/>
        <v/>
      </c>
      <c r="R21" s="174" t="str">
        <f t="shared" si="3"/>
        <v/>
      </c>
      <c r="S21" s="174" t="str">
        <f t="shared" si="3"/>
        <v/>
      </c>
      <c r="T21" s="174" t="str">
        <f t="shared" si="3"/>
        <v/>
      </c>
      <c r="U21" s="174" t="str">
        <f t="shared" si="3"/>
        <v/>
      </c>
      <c r="V21" s="174" t="str">
        <f t="shared" si="3"/>
        <v/>
      </c>
      <c r="W21" s="174" t="str">
        <f t="shared" si="3"/>
        <v/>
      </c>
      <c r="X21" s="174" t="str">
        <f t="shared" si="3"/>
        <v/>
      </c>
    </row>
    <row r="22" spans="2:24" x14ac:dyDescent="0.45">
      <c r="B22" s="4">
        <f t="shared" ref="B22:D22" si="8">B11</f>
        <v>0</v>
      </c>
      <c r="C22" s="4">
        <f t="shared" si="8"/>
        <v>0</v>
      </c>
      <c r="D22" s="4">
        <f t="shared" si="8"/>
        <v>0</v>
      </c>
      <c r="E22" s="129" t="str">
        <f t="shared" si="1"/>
        <v/>
      </c>
      <c r="F22" s="129" t="str">
        <f t="shared" si="2"/>
        <v/>
      </c>
      <c r="G22" s="129" t="str">
        <f t="shared" si="3"/>
        <v/>
      </c>
      <c r="H22" s="129" t="str">
        <f t="shared" si="3"/>
        <v/>
      </c>
      <c r="I22" s="129" t="str">
        <f t="shared" si="3"/>
        <v/>
      </c>
      <c r="J22" s="129" t="str">
        <f t="shared" si="3"/>
        <v/>
      </c>
      <c r="K22" s="129" t="str">
        <f t="shared" si="3"/>
        <v/>
      </c>
      <c r="L22" s="129" t="str">
        <f t="shared" si="3"/>
        <v/>
      </c>
      <c r="M22" s="174" t="str">
        <f t="shared" si="3"/>
        <v/>
      </c>
      <c r="N22" s="174" t="str">
        <f t="shared" si="3"/>
        <v/>
      </c>
      <c r="O22" s="174" t="str">
        <f t="shared" si="3"/>
        <v/>
      </c>
      <c r="P22" s="174" t="str">
        <f t="shared" si="3"/>
        <v/>
      </c>
      <c r="Q22" s="174" t="str">
        <f t="shared" si="3"/>
        <v/>
      </c>
      <c r="R22" s="174" t="str">
        <f t="shared" si="3"/>
        <v/>
      </c>
      <c r="S22" s="174" t="str">
        <f t="shared" si="3"/>
        <v/>
      </c>
      <c r="T22" s="174" t="str">
        <f t="shared" si="3"/>
        <v/>
      </c>
      <c r="U22" s="174" t="str">
        <f t="shared" si="3"/>
        <v/>
      </c>
      <c r="V22" s="174" t="str">
        <f t="shared" si="3"/>
        <v/>
      </c>
      <c r="W22" s="174" t="str">
        <f t="shared" si="3"/>
        <v/>
      </c>
      <c r="X22" s="174" t="str">
        <f t="shared" si="3"/>
        <v/>
      </c>
    </row>
    <row r="23" spans="2:24" ht="20.25" thickBot="1" x14ac:dyDescent="0.5">
      <c r="B23" s="126"/>
      <c r="C23" s="7"/>
      <c r="D23" s="7"/>
      <c r="E23" s="129" t="str">
        <f t="shared" si="1"/>
        <v/>
      </c>
      <c r="F23" s="129" t="str">
        <f t="shared" si="2"/>
        <v/>
      </c>
      <c r="G23" s="129" t="str">
        <f t="shared" si="3"/>
        <v/>
      </c>
      <c r="H23" s="129" t="str">
        <f t="shared" si="3"/>
        <v/>
      </c>
      <c r="I23" s="129" t="str">
        <f t="shared" si="3"/>
        <v/>
      </c>
      <c r="J23" s="129" t="str">
        <f t="shared" si="3"/>
        <v/>
      </c>
      <c r="K23" s="129" t="str">
        <f t="shared" si="3"/>
        <v/>
      </c>
      <c r="L23" s="129" t="str">
        <f t="shared" si="3"/>
        <v/>
      </c>
      <c r="M23" s="174" t="str">
        <f t="shared" si="3"/>
        <v/>
      </c>
      <c r="N23" s="174" t="str">
        <f t="shared" si="3"/>
        <v/>
      </c>
      <c r="O23" s="174" t="str">
        <f t="shared" si="3"/>
        <v/>
      </c>
      <c r="P23" s="174" t="str">
        <f t="shared" si="3"/>
        <v/>
      </c>
      <c r="Q23" s="174" t="str">
        <f t="shared" si="3"/>
        <v/>
      </c>
      <c r="R23" s="174" t="str">
        <f t="shared" si="3"/>
        <v/>
      </c>
      <c r="S23" s="174" t="str">
        <f t="shared" si="3"/>
        <v/>
      </c>
      <c r="T23" s="174" t="str">
        <f t="shared" si="3"/>
        <v/>
      </c>
      <c r="U23" s="174" t="str">
        <f t="shared" si="3"/>
        <v/>
      </c>
      <c r="V23" s="174" t="str">
        <f t="shared" si="3"/>
        <v/>
      </c>
      <c r="W23" s="174" t="str">
        <f t="shared" si="3"/>
        <v/>
      </c>
      <c r="X23" s="174" t="str">
        <f t="shared" si="3"/>
        <v/>
      </c>
    </row>
    <row r="24" spans="2:24" x14ac:dyDescent="0.45">
      <c r="B24" s="4" t="s">
        <v>28</v>
      </c>
      <c r="C24" s="3">
        <f>SUM(C17:C23)</f>
        <v>1000</v>
      </c>
      <c r="D24" s="3">
        <v>100</v>
      </c>
    </row>
    <row r="25" spans="2:24" x14ac:dyDescent="0.45">
      <c r="B25" s="4" t="s">
        <v>29</v>
      </c>
      <c r="E25" s="10">
        <f t="shared" ref="E25:O25" si="9">SUM(E17:E23)</f>
        <v>0</v>
      </c>
      <c r="F25" s="10">
        <f t="shared" si="9"/>
        <v>0</v>
      </c>
      <c r="G25" s="10">
        <f t="shared" si="9"/>
        <v>0</v>
      </c>
      <c r="H25" s="10">
        <f t="shared" si="9"/>
        <v>0</v>
      </c>
      <c r="I25" s="10">
        <f t="shared" si="9"/>
        <v>0</v>
      </c>
      <c r="J25" s="10">
        <f t="shared" si="9"/>
        <v>0</v>
      </c>
      <c r="K25" s="10">
        <f t="shared" si="9"/>
        <v>0</v>
      </c>
      <c r="L25" s="10">
        <f t="shared" si="9"/>
        <v>0</v>
      </c>
      <c r="M25" s="10"/>
      <c r="N25" s="10">
        <f t="shared" si="9"/>
        <v>0.15701999999999999</v>
      </c>
      <c r="O25" s="10">
        <f t="shared" si="9"/>
        <v>9.3200000000000005E-2</v>
      </c>
      <c r="P25" s="10">
        <f>SUM(P17:P23)</f>
        <v>0</v>
      </c>
      <c r="Q25" s="10">
        <v>0</v>
      </c>
      <c r="R25" s="10">
        <f t="shared" ref="R25:X25" si="10">SUM(R17:R23)</f>
        <v>0</v>
      </c>
      <c r="S25" s="10">
        <f t="shared" si="10"/>
        <v>0</v>
      </c>
      <c r="T25" s="10">
        <f t="shared" si="10"/>
        <v>0</v>
      </c>
      <c r="U25" s="10">
        <f t="shared" si="10"/>
        <v>0</v>
      </c>
      <c r="V25" s="10">
        <f t="shared" si="10"/>
        <v>0.15565999999999999</v>
      </c>
      <c r="W25" s="10">
        <f t="shared" si="10"/>
        <v>0</v>
      </c>
      <c r="X25" s="10">
        <f t="shared" si="10"/>
        <v>0</v>
      </c>
    </row>
    <row r="27" spans="2:24" x14ac:dyDescent="0.45">
      <c r="B27" s="4" t="s">
        <v>88</v>
      </c>
      <c r="E27" s="10"/>
      <c r="F27" s="10"/>
      <c r="G27" s="10"/>
      <c r="H27" s="10"/>
      <c r="I27" s="10"/>
      <c r="J27" s="10"/>
      <c r="K27" s="10"/>
      <c r="L27" s="10"/>
      <c r="M27" s="10"/>
      <c r="N27" s="10">
        <v>0.16</v>
      </c>
      <c r="O27" s="10">
        <v>0.08</v>
      </c>
      <c r="P27" s="10"/>
      <c r="Q27" s="10"/>
      <c r="R27" s="10"/>
      <c r="S27" s="10"/>
      <c r="T27" s="10"/>
      <c r="U27" s="10"/>
      <c r="V27" s="10">
        <v>0.3</v>
      </c>
      <c r="W27" s="10"/>
      <c r="X27" s="10"/>
    </row>
    <row r="28" spans="2:24" x14ac:dyDescent="0.45">
      <c r="B28" s="4" t="s">
        <v>43</v>
      </c>
      <c r="E28" s="10"/>
      <c r="F28" s="10"/>
      <c r="G28" s="10"/>
      <c r="H28" s="10"/>
      <c r="I28" s="10"/>
      <c r="J28" s="10"/>
      <c r="K28" s="10"/>
      <c r="L28" s="10"/>
      <c r="M28" s="10"/>
      <c r="N28" s="10">
        <v>0.16500000000000001</v>
      </c>
      <c r="O28" s="10">
        <v>5.96E-2</v>
      </c>
      <c r="P28" s="10"/>
      <c r="Q28" s="10"/>
      <c r="R28" s="10"/>
      <c r="S28" s="10"/>
      <c r="T28" s="10"/>
      <c r="U28" s="10"/>
      <c r="V28" s="10"/>
      <c r="W28" s="10"/>
      <c r="X28" s="10"/>
    </row>
    <row r="30" spans="2:24" ht="20.25" x14ac:dyDescent="0.45">
      <c r="B30" s="4" t="s">
        <v>53</v>
      </c>
    </row>
    <row r="31" spans="2:24" x14ac:dyDescent="0.45">
      <c r="B31" s="11" t="s">
        <v>44</v>
      </c>
      <c r="E31" s="9"/>
      <c r="F31" s="10" t="str">
        <f>IF(F25=0,"",IF(F25&lt;tolerancias!B2,"SI","NO"))</f>
        <v/>
      </c>
      <c r="G31" s="10"/>
      <c r="H31" s="10"/>
      <c r="I31" s="10"/>
      <c r="J31" s="10"/>
      <c r="K31" s="10" t="str">
        <f>IF(K25=0,"",IF(K25&lt;tolerancias!C2,"SI","NO"))</f>
        <v/>
      </c>
      <c r="L31" s="4" t="str">
        <f>IF(L25=0,"",IF(L25&lt;tolerancias!D2,"SI","NO"))</f>
        <v/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2:24" x14ac:dyDescent="0.45">
      <c r="B32" s="11" t="s">
        <v>45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2:24" x14ac:dyDescent="0.45">
      <c r="B33" s="4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x14ac:dyDescent="0.45">
      <c r="B34" s="4" t="s">
        <v>47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 t="str">
        <f>IF(P25=0,"",IF(P25&gt;tolerancias!H5,"SI","NO"))</f>
        <v/>
      </c>
      <c r="Q34" s="10" t="str">
        <f>IF(Q25=0,"",IF(Q25&gt;tolerancias!I5,"SI","NO"))</f>
        <v/>
      </c>
      <c r="R34" s="10" t="str">
        <f>IF(R25=0,"",IF(R25&gt;tolerancias!J5,"SI","NO"))</f>
        <v/>
      </c>
      <c r="S34" s="10" t="str">
        <f>IF(S25=0,"",IF(S25&gt;tolerancias!K5,"SI","NO"))</f>
        <v/>
      </c>
      <c r="T34" s="10" t="str">
        <f>IF(T25=0,"",IF(T25&gt;tolerancias!L5,"SI","NO"))</f>
        <v/>
      </c>
      <c r="U34" s="10" t="str">
        <f>IF(U25=0,"",IF(U25&gt;tolerancias!M5,"SI","NO"))</f>
        <v/>
      </c>
      <c r="V34" s="10" t="str">
        <f>IF(V25=0,"",IF(V25&gt;tolerancias!N5,"SI","NO"))</f>
        <v>SI</v>
      </c>
      <c r="W34" s="10" t="str">
        <f>IF(W25=0,"",IF(W25&gt;tolerancias!P5,"SI","NO"))</f>
        <v/>
      </c>
      <c r="X34" s="9"/>
    </row>
    <row r="35" spans="2:24" x14ac:dyDescent="0.45">
      <c r="B35" s="12" t="s">
        <v>48</v>
      </c>
    </row>
    <row r="36" spans="2:24" x14ac:dyDescent="0.45">
      <c r="B36" s="12"/>
    </row>
    <row r="37" spans="2:24" ht="20.25" x14ac:dyDescent="0.45">
      <c r="B37" s="4" t="s">
        <v>60</v>
      </c>
    </row>
    <row r="38" spans="2:24" x14ac:dyDescent="0.45">
      <c r="B38" s="4" t="s">
        <v>61</v>
      </c>
      <c r="E38" s="9"/>
      <c r="F38" s="10" t="str">
        <f>IF(F25=0,"",((-0.0005*100*100*F$25*F$25+0.0413*100*F$25+0.6533)/100))</f>
        <v/>
      </c>
      <c r="G38" s="10"/>
      <c r="H38" s="10"/>
      <c r="I38" s="10"/>
      <c r="J38" s="10"/>
      <c r="K38" s="10" t="str">
        <f>IF(K25=0,"",((-0.0005*100*100*K$25*K$25+0.0413*100*K$25+0.6533)/100))</f>
        <v/>
      </c>
      <c r="L38" s="13" t="str">
        <f>IF(L25=0,"",((-0.0007*10000*L$25*L$25+0.0769*100*L$25+0.3941)/100))</f>
        <v/>
      </c>
      <c r="M38" s="9" t="str">
        <f>M39</f>
        <v/>
      </c>
      <c r="N38" s="9">
        <f t="shared" ref="N38:O38" si="11">N39</f>
        <v>2.4627499999999997E-2</v>
      </c>
      <c r="O38" s="9">
        <f t="shared" si="11"/>
        <v>9.9900000000000006E-3</v>
      </c>
      <c r="P38" s="9"/>
      <c r="Q38" s="9"/>
      <c r="R38" s="9"/>
      <c r="S38" s="9"/>
      <c r="T38" s="9"/>
      <c r="U38" s="9"/>
      <c r="V38" s="9"/>
      <c r="W38" s="9"/>
      <c r="X38" s="9"/>
    </row>
    <row r="39" spans="2:24" x14ac:dyDescent="0.45">
      <c r="B39" s="11" t="s">
        <v>52</v>
      </c>
      <c r="E39" s="10"/>
      <c r="F39" s="10" t="str">
        <f>IF(F25=0,"",IF(OR(F25&lt;4.001%,F25&gt;32.001%),"SI","NO"))</f>
        <v/>
      </c>
      <c r="G39" s="9"/>
      <c r="H39" s="9"/>
      <c r="I39" s="9"/>
      <c r="J39" s="9"/>
      <c r="K39" s="10" t="str">
        <f>IF(K25=0,"",IF(OR(K25&lt;4.001%,K25&gt;32.001%),"SI","NO"))</f>
        <v/>
      </c>
      <c r="L39" s="10" t="str">
        <f>IF(L25=0,"",IF(OR(L25&lt;4.001%,L25&gt;32.001%),"SI","NO"))</f>
        <v/>
      </c>
      <c r="M39" s="10" t="str">
        <f>IF(M25=0,"",((0.42+0.105*100*M$25)/100))</f>
        <v/>
      </c>
      <c r="N39" s="10">
        <f>IF(N25=0,"",((0.5+0.125*100*N$25)/100))</f>
        <v>2.4627499999999997E-2</v>
      </c>
      <c r="O39" s="10">
        <f>IF(O25=0,"",((0.3+0.075*100*O$25)/100))</f>
        <v>9.9900000000000006E-3</v>
      </c>
      <c r="P39" s="10" t="str">
        <f>IF(P25=0,"",((0.005+0.25*100*P$25)/100))</f>
        <v/>
      </c>
      <c r="Q39" s="10" t="str">
        <f>IF(Q25=0,"",((0.000125+0.375*100*Q$25)/100))</f>
        <v/>
      </c>
      <c r="R39" s="10" t="str">
        <f>IF(R25=0,"",((0.015+0.3*100*R$25)/100))</f>
        <v/>
      </c>
      <c r="S39" s="10" t="str">
        <f>IF(S25=0,"",((0.015+0.3*100*S$25)/100))</f>
        <v/>
      </c>
      <c r="T39" s="10" t="str">
        <f>IF(T25=0,"",((0.015+0.3*100*T$25)/100))</f>
        <v/>
      </c>
      <c r="U39" s="10" t="str">
        <f>IF(U25=0,"",((0.000125+0.375*100*U$25)/100))</f>
        <v/>
      </c>
      <c r="V39" s="10"/>
      <c r="W39" s="10" t="str">
        <f>IF(W25=0,"",((0.015+0.3*100*W$25)/100))</f>
        <v/>
      </c>
      <c r="X39" s="10" t="str">
        <f>IF(X25=0,"",((0.015+0.3*100*X$25)/100))</f>
        <v/>
      </c>
    </row>
    <row r="40" spans="2:24" x14ac:dyDescent="0.45">
      <c r="B40" s="11" t="s">
        <v>62</v>
      </c>
      <c r="F40" s="9"/>
      <c r="G40" s="9"/>
      <c r="H40" s="9"/>
      <c r="I40" s="9"/>
      <c r="J40" s="9"/>
      <c r="K40" s="9"/>
      <c r="L40" s="9"/>
      <c r="M40" s="4" t="str">
        <f>IF(M25=0,"",IF(OR(M39&gt;M25/2,M39&gt;1.501%),"SI","NO"))</f>
        <v/>
      </c>
      <c r="N40" s="4" t="str">
        <f>IF(N25=0,"",IF(OR(N39&gt;N25/2,N39&gt;1.501%),"SI","NO"))</f>
        <v>SI</v>
      </c>
      <c r="O40" s="4" t="str">
        <f>IF(O25=0,"",IF(OR(O39&gt;O25/2,O39&gt;1.501%),"SI","NO"))</f>
        <v>NO</v>
      </c>
      <c r="P40" s="4" t="str">
        <f t="shared" ref="P40:U40" si="12">IF(P25=0,"",IF(OR(P39&gt;P25/2,P39&gt;1.501%),"SI","NO"))</f>
        <v/>
      </c>
      <c r="Q40" s="4" t="str">
        <f t="shared" si="12"/>
        <v/>
      </c>
      <c r="R40" s="4" t="str">
        <f t="shared" si="12"/>
        <v/>
      </c>
      <c r="S40" s="4" t="str">
        <f t="shared" si="12"/>
        <v/>
      </c>
      <c r="T40" s="4" t="str">
        <f t="shared" si="12"/>
        <v/>
      </c>
      <c r="U40" s="4" t="str">
        <f t="shared" si="12"/>
        <v/>
      </c>
      <c r="V40" s="4" t="str">
        <f>IF(V5="SiO2","",IF(V25=0,"",IF(OR(V39&gt;V25/2,V39&gt;1.501%),"SI","NO")))</f>
        <v/>
      </c>
      <c r="W40" s="4" t="str">
        <f>IF(W25=0,"",IF(OR(W39&gt;W25/2,W39&gt;1.501%),"SI","NO"))</f>
        <v/>
      </c>
      <c r="X40" s="4" t="str">
        <f>IF(X25=0,"",IF(OR(X39&gt;X25/2,X39&gt;1.501%),"SI","NO"))</f>
        <v/>
      </c>
    </row>
    <row r="41" spans="2:24" x14ac:dyDescent="0.45">
      <c r="B41" s="4" t="s">
        <v>42</v>
      </c>
      <c r="E41" s="16"/>
      <c r="F41" s="10" t="str">
        <f>IF(F25=0,"",IF(F39="NO",F38,IF(F25&lt;4%,0.81%,1.46%)))</f>
        <v/>
      </c>
      <c r="G41" s="16"/>
      <c r="H41" s="16"/>
      <c r="I41" s="16"/>
      <c r="J41" s="16"/>
      <c r="K41" s="16" t="str">
        <f>IF(K25=0,"",IF(K39="NO",K38,IF(K25&lt;4%,0.81%,1.46%)))</f>
        <v/>
      </c>
      <c r="L41" s="16" t="str">
        <f>IF(L25=0,"",IF(L39="NO",L38,IF(L25&lt;4%,0.69%,2.14%)))</f>
        <v/>
      </c>
      <c r="M41" s="16" t="str">
        <f>IF(M25=0,"",IF(M40="NO",M39,1.5%))</f>
        <v/>
      </c>
      <c r="N41" s="16">
        <f>IF(N25=0,"",IF(N40="NO",N39,1.5%))</f>
        <v>1.4999999999999999E-2</v>
      </c>
      <c r="O41" s="16">
        <f>IF(O25=0,"",IF(O40="NO",O39,1.5%))</f>
        <v>9.9900000000000006E-3</v>
      </c>
      <c r="P41" s="16" t="str">
        <f t="shared" ref="P41:U41" si="13">IF(P25=0,"",IF(P39="NO",P38,1.5%))</f>
        <v/>
      </c>
      <c r="Q41" s="16" t="str">
        <f t="shared" si="13"/>
        <v/>
      </c>
      <c r="R41" s="16" t="str">
        <f t="shared" si="13"/>
        <v/>
      </c>
      <c r="S41" s="16" t="str">
        <f t="shared" si="13"/>
        <v/>
      </c>
      <c r="T41" s="16" t="str">
        <f t="shared" si="13"/>
        <v/>
      </c>
      <c r="U41" s="16" t="str">
        <f t="shared" si="13"/>
        <v/>
      </c>
      <c r="V41" s="16" t="str">
        <f>IF(V5="SiO2","",IF(V25=0,"",IF(V39="NO",V38,1.5%)))</f>
        <v/>
      </c>
      <c r="W41" s="16" t="str">
        <f>IF(W25=0,"",IF(W39="NO",W38,1.5%))</f>
        <v/>
      </c>
      <c r="X41" s="16" t="str">
        <f>IF(X25=0,"",IF(X39="NO",X38,1.5%))</f>
        <v/>
      </c>
    </row>
    <row r="42" spans="2:24" x14ac:dyDescent="0.45">
      <c r="B42" s="12" t="s">
        <v>49</v>
      </c>
    </row>
    <row r="43" spans="2:24" ht="15" customHeight="1" x14ac:dyDescent="0.45">
      <c r="B43" s="12" t="s">
        <v>50</v>
      </c>
    </row>
    <row r="44" spans="2:24" ht="15" customHeight="1" x14ac:dyDescent="0.45">
      <c r="B44" s="12" t="s">
        <v>51</v>
      </c>
    </row>
    <row r="45" spans="2:24" ht="15" customHeight="1" x14ac:dyDescent="0.45"/>
    <row r="46" spans="2:24" x14ac:dyDescent="0.45">
      <c r="B46" s="4" t="s">
        <v>86</v>
      </c>
      <c r="E46" s="10" t="str">
        <f>IF(E5="C","",IF(E25=0,"",E47-E41))</f>
        <v/>
      </c>
      <c r="F46" s="10" t="str">
        <f t="shared" ref="F46:U46" si="14">IF(F25=0,"",F47-F41)</f>
        <v/>
      </c>
      <c r="G46" s="10" t="str">
        <f t="shared" si="14"/>
        <v/>
      </c>
      <c r="H46" s="10" t="str">
        <f t="shared" si="14"/>
        <v/>
      </c>
      <c r="I46" s="10" t="str">
        <f t="shared" si="14"/>
        <v/>
      </c>
      <c r="J46" s="10" t="str">
        <f t="shared" si="14"/>
        <v/>
      </c>
      <c r="K46" s="10" t="str">
        <f t="shared" si="14"/>
        <v/>
      </c>
      <c r="L46" s="10" t="str">
        <f t="shared" si="14"/>
        <v/>
      </c>
      <c r="M46" s="10" t="str">
        <f t="shared" si="14"/>
        <v/>
      </c>
      <c r="N46" s="10">
        <f t="shared" si="14"/>
        <v>0.14500000000000002</v>
      </c>
      <c r="O46" s="10">
        <f>IF(O25=0,"",O47-O41)</f>
        <v>7.0010000000000003E-2</v>
      </c>
      <c r="P46" s="10" t="str">
        <f t="shared" si="14"/>
        <v/>
      </c>
      <c r="Q46" s="10" t="str">
        <f t="shared" si="14"/>
        <v/>
      </c>
      <c r="R46" s="10" t="str">
        <f t="shared" si="14"/>
        <v/>
      </c>
      <c r="S46" s="10" t="str">
        <f t="shared" si="14"/>
        <v/>
      </c>
      <c r="T46" s="10" t="str">
        <f t="shared" si="14"/>
        <v/>
      </c>
      <c r="U46" s="10" t="str">
        <f t="shared" si="14"/>
        <v/>
      </c>
      <c r="V46" s="10" t="str">
        <f>IF(V5="SiO2","",IF(V25=0,"",V47-V41))</f>
        <v/>
      </c>
      <c r="W46" s="10" t="str">
        <f>IF(W25=0,"",W47-W41)</f>
        <v/>
      </c>
      <c r="X46" s="10" t="str">
        <f>IF(X25=0,"",X47-X41)</f>
        <v/>
      </c>
    </row>
    <row r="47" spans="2:24" x14ac:dyDescent="0.45">
      <c r="B47" s="4" t="str">
        <f>_xlfn.CONCAT("SOLICITUD DE REGISTRO ICA: ",B5)</f>
        <v>SOLICITUD DE REGISTRO ICA: MATERIA PRIMA</v>
      </c>
      <c r="E47" s="10" t="str">
        <f t="shared" ref="E47:X47" si="15">IF(E25=0,"",E25)</f>
        <v/>
      </c>
      <c r="F47" s="10" t="str">
        <f t="shared" si="15"/>
        <v/>
      </c>
      <c r="G47" s="10" t="str">
        <f t="shared" si="15"/>
        <v/>
      </c>
      <c r="H47" s="10" t="str">
        <f t="shared" si="15"/>
        <v/>
      </c>
      <c r="I47" s="10" t="str">
        <f t="shared" si="15"/>
        <v/>
      </c>
      <c r="J47" s="10" t="str">
        <f t="shared" si="15"/>
        <v/>
      </c>
      <c r="K47" s="10" t="str">
        <f t="shared" si="15"/>
        <v/>
      </c>
      <c r="L47" s="10" t="str">
        <f t="shared" si="15"/>
        <v/>
      </c>
      <c r="M47" s="10">
        <f>M27</f>
        <v>0</v>
      </c>
      <c r="N47" s="10">
        <f t="shared" ref="N47" si="16">N27</f>
        <v>0.16</v>
      </c>
      <c r="O47" s="10">
        <f>O27</f>
        <v>0.08</v>
      </c>
      <c r="P47" s="10" t="str">
        <f t="shared" si="15"/>
        <v/>
      </c>
      <c r="Q47" s="10" t="str">
        <f t="shared" si="15"/>
        <v/>
      </c>
      <c r="R47" s="10" t="str">
        <f t="shared" si="15"/>
        <v/>
      </c>
      <c r="S47" s="10" t="str">
        <f t="shared" si="15"/>
        <v/>
      </c>
      <c r="T47" s="10" t="str">
        <f t="shared" si="15"/>
        <v/>
      </c>
      <c r="U47" s="10" t="str">
        <f t="shared" si="15"/>
        <v/>
      </c>
      <c r="V47" s="10">
        <f>V27</f>
        <v>0.3</v>
      </c>
      <c r="W47" s="10" t="str">
        <f t="shared" si="15"/>
        <v/>
      </c>
      <c r="X47" s="10" t="str">
        <f t="shared" si="15"/>
        <v/>
      </c>
    </row>
    <row r="48" spans="2:24" x14ac:dyDescent="0.45">
      <c r="B48" s="4" t="s">
        <v>87</v>
      </c>
      <c r="E48" s="10" t="str">
        <f>IF(E5="C","",IF(E25=0,"",E47+E41))</f>
        <v/>
      </c>
      <c r="F48" s="10" t="str">
        <f t="shared" ref="F48:U48" si="17">IF(F25=0,"",F47+F41)</f>
        <v/>
      </c>
      <c r="G48" s="10" t="str">
        <f t="shared" si="17"/>
        <v/>
      </c>
      <c r="H48" s="10" t="str">
        <f t="shared" si="17"/>
        <v/>
      </c>
      <c r="I48" s="10" t="str">
        <f t="shared" si="17"/>
        <v/>
      </c>
      <c r="J48" s="10" t="str">
        <f t="shared" si="17"/>
        <v/>
      </c>
      <c r="K48" s="10" t="str">
        <f t="shared" si="17"/>
        <v/>
      </c>
      <c r="L48" s="10" t="str">
        <f t="shared" si="17"/>
        <v/>
      </c>
      <c r="M48" s="10" t="str">
        <f t="shared" si="17"/>
        <v/>
      </c>
      <c r="N48" s="10">
        <f t="shared" si="17"/>
        <v>0.17499999999999999</v>
      </c>
      <c r="O48" s="10">
        <f t="shared" si="17"/>
        <v>8.9990000000000001E-2</v>
      </c>
      <c r="P48" s="10" t="str">
        <f t="shared" si="17"/>
        <v/>
      </c>
      <c r="Q48" s="10" t="str">
        <f t="shared" si="17"/>
        <v/>
      </c>
      <c r="R48" s="10" t="str">
        <f t="shared" si="17"/>
        <v/>
      </c>
      <c r="S48" s="10" t="str">
        <f t="shared" si="17"/>
        <v/>
      </c>
      <c r="T48" s="10" t="str">
        <f t="shared" si="17"/>
        <v/>
      </c>
      <c r="U48" s="10" t="str">
        <f t="shared" si="17"/>
        <v/>
      </c>
      <c r="V48" s="10" t="str">
        <f>IF(V5="SiO2","",IF(V25=0,"",V47+V41))</f>
        <v/>
      </c>
      <c r="W48" s="10" t="str">
        <f>IF(W25=0,"",W47+W41)</f>
        <v/>
      </c>
      <c r="X48" s="10" t="str">
        <f>IF(X25=0,"",X47+X41)</f>
        <v/>
      </c>
    </row>
  </sheetData>
  <conditionalFormatting sqref="K39:X39 E39:F39 E41:X41 E46:X48">
    <cfRule type="cellIs" dxfId="269" priority="25" operator="equal">
      <formula>0</formula>
    </cfRule>
    <cfRule type="containsBlanks" dxfId="268" priority="26">
      <formula>LEN(TRIM(E39))=0</formula>
    </cfRule>
  </conditionalFormatting>
  <conditionalFormatting sqref="F31:K31">
    <cfRule type="cellIs" dxfId="267" priority="31" operator="equal">
      <formula>0</formula>
    </cfRule>
    <cfRule type="containsBlanks" dxfId="266" priority="32">
      <formula>LEN(TRIM(F31))=0</formula>
    </cfRule>
  </conditionalFormatting>
  <conditionalFormatting sqref="F38:K38">
    <cfRule type="cellIs" dxfId="265" priority="35" operator="equal">
      <formula>0</formula>
    </cfRule>
    <cfRule type="containsBlanks" dxfId="264" priority="36">
      <formula>LEN(TRIM(F38))=0</formula>
    </cfRule>
  </conditionalFormatting>
  <conditionalFormatting sqref="F40:L40 E18:X23 M31:X31 E38 P32:X33 X34 E31:E34 M38:X38">
    <cfRule type="cellIs" dxfId="263" priority="27" operator="equal">
      <formula>0</formula>
    </cfRule>
    <cfRule type="containsBlanks" dxfId="262" priority="28">
      <formula>LEN(TRIM(E18))=0</formula>
    </cfRule>
  </conditionalFormatting>
  <conditionalFormatting sqref="F32:O34">
    <cfRule type="cellIs" dxfId="261" priority="33" operator="equal">
      <formula>0</formula>
    </cfRule>
    <cfRule type="containsBlanks" dxfId="260" priority="34">
      <formula>LEN(TRIM(F32))=0</formula>
    </cfRule>
  </conditionalFormatting>
  <conditionalFormatting sqref="P34:W34">
    <cfRule type="cellIs" dxfId="259" priority="37" operator="equal">
      <formula>0</formula>
    </cfRule>
    <cfRule type="containsBlanks" dxfId="258" priority="38">
      <formula>LEN(TRIM(P34))=0</formula>
    </cfRule>
  </conditionalFormatting>
  <conditionalFormatting sqref="G39:J39">
    <cfRule type="cellIs" dxfId="257" priority="29" operator="equal">
      <formula>0</formula>
    </cfRule>
    <cfRule type="containsBlanks" dxfId="256" priority="30">
      <formula>LEN(TRIM(G39))=0</formula>
    </cfRule>
  </conditionalFormatting>
  <conditionalFormatting sqref="E11:X12">
    <cfRule type="cellIs" dxfId="255" priority="23" operator="equal">
      <formula>0</formula>
    </cfRule>
    <cfRule type="containsBlanks" dxfId="254" priority="24">
      <formula>LEN(TRIM(E11))=0</formula>
    </cfRule>
  </conditionalFormatting>
  <conditionalFormatting sqref="E11:X12">
    <cfRule type="notContainsBlanks" dxfId="253" priority="22">
      <formula>LEN(TRIM(E11))&gt;0</formula>
    </cfRule>
  </conditionalFormatting>
  <conditionalFormatting sqref="E18:X23">
    <cfRule type="cellIs" dxfId="252" priority="20" operator="equal">
      <formula>0</formula>
    </cfRule>
    <cfRule type="containsBlanks" dxfId="251" priority="21">
      <formula>LEN(TRIM(E18))=0</formula>
    </cfRule>
  </conditionalFormatting>
  <conditionalFormatting sqref="E18:X23">
    <cfRule type="notContainsBlanks" dxfId="250" priority="19">
      <formula>LEN(TRIM(E18))&gt;0</formula>
    </cfRule>
  </conditionalFormatting>
  <conditionalFormatting sqref="E17">
    <cfRule type="cellIs" dxfId="249" priority="17" operator="equal">
      <formula>0</formula>
    </cfRule>
    <cfRule type="containsBlanks" dxfId="248" priority="18">
      <formula>LEN(TRIM(E17))=0</formula>
    </cfRule>
  </conditionalFormatting>
  <conditionalFormatting sqref="E17">
    <cfRule type="notContainsBlanks" dxfId="247" priority="16">
      <formula>LEN(TRIM(E17))&gt;0</formula>
    </cfRule>
  </conditionalFormatting>
  <conditionalFormatting sqref="F17">
    <cfRule type="cellIs" dxfId="246" priority="14" operator="equal">
      <formula>0</formula>
    </cfRule>
    <cfRule type="containsBlanks" dxfId="245" priority="15">
      <formula>LEN(TRIM(F17))=0</formula>
    </cfRule>
  </conditionalFormatting>
  <conditionalFormatting sqref="F17">
    <cfRule type="notContainsBlanks" dxfId="244" priority="13">
      <formula>LEN(TRIM(F17))&gt;0</formula>
    </cfRule>
  </conditionalFormatting>
  <conditionalFormatting sqref="G17:X17">
    <cfRule type="cellIs" dxfId="243" priority="11" operator="equal">
      <formula>0</formula>
    </cfRule>
    <cfRule type="containsBlanks" dxfId="242" priority="12">
      <formula>LEN(TRIM(G17))=0</formula>
    </cfRule>
  </conditionalFormatting>
  <conditionalFormatting sqref="G17:X17">
    <cfRule type="notContainsBlanks" dxfId="241" priority="10">
      <formula>LEN(TRIM(G17))&gt;0</formula>
    </cfRule>
  </conditionalFormatting>
  <conditionalFormatting sqref="E25:X25">
    <cfRule type="cellIs" dxfId="240" priority="7" operator="equal">
      <formula>0</formula>
    </cfRule>
    <cfRule type="containsBlanks" dxfId="239" priority="9">
      <formula>LEN(TRIM(E25))=0</formula>
    </cfRule>
  </conditionalFormatting>
  <conditionalFormatting sqref="E25:X25">
    <cfRule type="notContainsBlanks" dxfId="238" priority="8">
      <formula>LEN(TRIM(E25))&gt;0</formula>
    </cfRule>
  </conditionalFormatting>
  <conditionalFormatting sqref="E27:X28">
    <cfRule type="cellIs" dxfId="237" priority="4" operator="equal">
      <formula>0</formula>
    </cfRule>
    <cfRule type="containsBlanks" dxfId="236" priority="6">
      <formula>LEN(TRIM(E27))=0</formula>
    </cfRule>
  </conditionalFormatting>
  <conditionalFormatting sqref="E27:X28">
    <cfRule type="notContainsBlanks" dxfId="235" priority="5">
      <formula>LEN(TRIM(E27))&gt;0</formula>
    </cfRule>
  </conditionalFormatting>
  <conditionalFormatting sqref="E6:X10">
    <cfRule type="cellIs" dxfId="234" priority="2" operator="equal">
      <formula>0</formula>
    </cfRule>
    <cfRule type="containsBlanks" dxfId="233" priority="3">
      <formula>LEN(TRIM(E6))=0</formula>
    </cfRule>
  </conditionalFormatting>
  <conditionalFormatting sqref="E6:X10">
    <cfRule type="notContainsBlanks" dxfId="232" priority="1">
      <formula>LEN(TRIM(E6))&gt;0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043B-DC95-4A39-9747-EA18FBDEE249}">
  <dimension ref="B5:AW48"/>
  <sheetViews>
    <sheetView tabSelected="1" topLeftCell="A10" zoomScale="70" zoomScaleNormal="70" workbookViewId="0">
      <selection activeCell="O27" sqref="O27"/>
    </sheetView>
  </sheetViews>
  <sheetFormatPr baseColWidth="10" defaultColWidth="8.88671875" defaultRowHeight="19.5" x14ac:dyDescent="0.45"/>
  <cols>
    <col min="1" max="1" width="8.88671875" style="4"/>
    <col min="2" max="2" width="28.77734375" style="4" customWidth="1"/>
    <col min="3" max="3" width="10" style="3" customWidth="1"/>
    <col min="4" max="4" width="11" style="3" customWidth="1"/>
    <col min="5" max="24" width="7.33203125" style="4" customWidth="1"/>
    <col min="26" max="48" width="5.44140625" style="4" customWidth="1"/>
    <col min="49" max="16384" width="8.88671875" style="4"/>
  </cols>
  <sheetData>
    <row r="5" spans="2:49" ht="20.25" thickBot="1" x14ac:dyDescent="0.5">
      <c r="B5" s="126" t="s">
        <v>20</v>
      </c>
      <c r="C5" s="8" t="s">
        <v>21</v>
      </c>
      <c r="D5" s="7" t="s">
        <v>22</v>
      </c>
      <c r="E5" s="8" t="s">
        <v>19</v>
      </c>
      <c r="F5" s="8" t="s">
        <v>4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12</v>
      </c>
      <c r="Q5" s="8" t="s">
        <v>17</v>
      </c>
      <c r="R5" s="8" t="s">
        <v>15</v>
      </c>
      <c r="S5" s="8" t="s">
        <v>16</v>
      </c>
      <c r="T5" s="8" t="s">
        <v>14</v>
      </c>
      <c r="U5" s="8" t="s">
        <v>13</v>
      </c>
      <c r="V5" s="8" t="s">
        <v>10</v>
      </c>
      <c r="W5" s="8" t="s">
        <v>11</v>
      </c>
      <c r="X5" s="8" t="s">
        <v>18</v>
      </c>
      <c r="Y5" s="124"/>
    </row>
    <row r="6" spans="2:49" x14ac:dyDescent="0.45">
      <c r="B6" s="4" t="s">
        <v>189</v>
      </c>
      <c r="C6" s="5">
        <v>675</v>
      </c>
      <c r="D6" s="3">
        <v>67.5</v>
      </c>
      <c r="E6" s="129"/>
      <c r="F6" s="129"/>
      <c r="G6" s="129"/>
      <c r="H6" s="129"/>
      <c r="I6" s="129"/>
      <c r="J6" s="129"/>
      <c r="K6" s="129"/>
      <c r="L6" s="129"/>
      <c r="M6" s="129">
        <v>0.26</v>
      </c>
      <c r="N6" s="129"/>
      <c r="O6" s="129">
        <v>0.13</v>
      </c>
      <c r="P6" s="129"/>
      <c r="Q6" s="129"/>
      <c r="R6" s="129"/>
      <c r="S6" s="129"/>
      <c r="T6" s="129"/>
      <c r="U6" s="129"/>
      <c r="V6" s="129"/>
      <c r="W6" s="129">
        <v>0.35</v>
      </c>
      <c r="X6" s="129"/>
    </row>
    <row r="7" spans="2:49" x14ac:dyDescent="0.45">
      <c r="B7" s="4" t="s">
        <v>165</v>
      </c>
      <c r="C7" s="5">
        <v>75</v>
      </c>
      <c r="D7" s="3">
        <v>7.5</v>
      </c>
      <c r="E7" s="129"/>
      <c r="F7" s="129"/>
      <c r="G7" s="129"/>
      <c r="H7" s="129"/>
      <c r="I7" s="129"/>
      <c r="J7" s="129"/>
      <c r="K7" s="129"/>
      <c r="L7" s="129"/>
      <c r="M7" s="129">
        <v>0.44</v>
      </c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AW7" s="6"/>
    </row>
    <row r="8" spans="2:49" x14ac:dyDescent="0.45">
      <c r="B8" s="4" t="s">
        <v>168</v>
      </c>
      <c r="C8" s="5">
        <v>50</v>
      </c>
      <c r="D8" s="3">
        <v>5</v>
      </c>
      <c r="E8" s="129"/>
      <c r="F8" s="129"/>
      <c r="G8" s="129"/>
      <c r="H8" s="129"/>
      <c r="I8" s="129"/>
      <c r="J8" s="129"/>
      <c r="K8" s="129"/>
      <c r="L8" s="129"/>
      <c r="M8" s="129"/>
      <c r="N8" s="129">
        <v>0.25</v>
      </c>
      <c r="O8" s="129">
        <v>0.2</v>
      </c>
      <c r="P8" s="129"/>
      <c r="Q8" s="129"/>
      <c r="R8" s="129"/>
      <c r="S8" s="129"/>
      <c r="T8" s="129"/>
      <c r="U8" s="129"/>
      <c r="V8" s="129"/>
      <c r="W8" s="129"/>
      <c r="X8" s="129"/>
      <c r="AW8" s="6"/>
    </row>
    <row r="9" spans="2:49" x14ac:dyDescent="0.45">
      <c r="B9" s="4" t="s">
        <v>190</v>
      </c>
      <c r="C9" s="5">
        <v>200</v>
      </c>
      <c r="D9" s="3">
        <v>20</v>
      </c>
      <c r="E9" s="129"/>
      <c r="F9" s="129"/>
      <c r="G9" s="129"/>
      <c r="H9" s="129"/>
      <c r="I9" s="129"/>
      <c r="J9" s="129"/>
      <c r="K9" s="129"/>
      <c r="L9" s="129">
        <v>2.4E-2</v>
      </c>
      <c r="M9" s="129">
        <v>6.2E-2</v>
      </c>
      <c r="N9" s="129">
        <v>0.04</v>
      </c>
      <c r="O9" s="129"/>
      <c r="P9" s="129"/>
      <c r="Q9" s="129"/>
      <c r="R9" s="129"/>
      <c r="S9" s="129"/>
      <c r="T9" s="129"/>
      <c r="U9" s="129"/>
      <c r="V9" s="129">
        <v>0.56899999999999995</v>
      </c>
      <c r="W9" s="129"/>
      <c r="X9" s="129"/>
      <c r="AW9" s="6"/>
    </row>
    <row r="10" spans="2:49" x14ac:dyDescent="0.45">
      <c r="C10" s="5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AW10" s="6"/>
    </row>
    <row r="11" spans="2:49" x14ac:dyDescent="0.45">
      <c r="B11" s="125"/>
      <c r="C11" s="5"/>
      <c r="D11" s="5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AW11" s="6"/>
    </row>
    <row r="12" spans="2:49" x14ac:dyDescent="0.45">
      <c r="B12" s="125"/>
      <c r="C12" s="5"/>
      <c r="D12" s="5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AW12" s="6"/>
    </row>
    <row r="13" spans="2:49" x14ac:dyDescent="0.45">
      <c r="B13" s="4" t="s">
        <v>28</v>
      </c>
      <c r="C13" s="3">
        <f>SUM(C6:C12)</f>
        <v>1000</v>
      </c>
      <c r="D13" s="3">
        <v>100</v>
      </c>
      <c r="AW13" s="6"/>
    </row>
    <row r="14" spans="2:49" x14ac:dyDescent="0.45">
      <c r="B14" s="4" t="s">
        <v>29</v>
      </c>
      <c r="AW14" s="6"/>
    </row>
    <row r="15" spans="2:49" x14ac:dyDescent="0.45">
      <c r="AW15" s="6"/>
    </row>
    <row r="16" spans="2:49" ht="20.25" thickBot="1" x14ac:dyDescent="0.5">
      <c r="B16" s="126" t="s">
        <v>20</v>
      </c>
      <c r="C16" s="8" t="s">
        <v>21</v>
      </c>
      <c r="D16" s="7" t="s">
        <v>22</v>
      </c>
      <c r="E16" s="8" t="s">
        <v>82</v>
      </c>
      <c r="F16" s="8" t="s">
        <v>63</v>
      </c>
      <c r="G16" s="8" t="s">
        <v>64</v>
      </c>
      <c r="H16" s="8" t="s">
        <v>65</v>
      </c>
      <c r="I16" s="8" t="s">
        <v>66</v>
      </c>
      <c r="J16" s="8" t="s">
        <v>67</v>
      </c>
      <c r="K16" s="8" t="s">
        <v>69</v>
      </c>
      <c r="L16" s="8" t="s">
        <v>70</v>
      </c>
      <c r="M16" s="8" t="s">
        <v>68</v>
      </c>
      <c r="N16" s="8" t="s">
        <v>71</v>
      </c>
      <c r="O16" s="8" t="s">
        <v>72</v>
      </c>
      <c r="P16" s="8" t="s">
        <v>73</v>
      </c>
      <c r="Q16" s="8" t="s">
        <v>74</v>
      </c>
      <c r="R16" s="8" t="s">
        <v>75</v>
      </c>
      <c r="S16" s="8" t="s">
        <v>76</v>
      </c>
      <c r="T16" s="8" t="s">
        <v>77</v>
      </c>
      <c r="U16" s="8" t="s">
        <v>78</v>
      </c>
      <c r="V16" s="8" t="s">
        <v>79</v>
      </c>
      <c r="W16" s="8" t="s">
        <v>80</v>
      </c>
      <c r="X16" s="8" t="s">
        <v>81</v>
      </c>
    </row>
    <row r="17" spans="2:24" x14ac:dyDescent="0.45">
      <c r="B17" s="4" t="str">
        <f>B6</f>
        <v>SULFATO ZINC_ATEQUIMICOS_P</v>
      </c>
      <c r="C17" s="4">
        <f t="shared" ref="C17:D17" si="0">C6</f>
        <v>675</v>
      </c>
      <c r="D17" s="4">
        <f t="shared" si="0"/>
        <v>67.5</v>
      </c>
      <c r="E17" s="129" t="str">
        <f t="shared" ref="E17:E23" si="1">IF(E6="","",E6*$D6/$D$13)</f>
        <v/>
      </c>
      <c r="F17" s="129" t="str">
        <f t="shared" ref="F17:F23" si="2">IF(F6="","",SUM(G17:J17))</f>
        <v/>
      </c>
      <c r="G17" s="129" t="str">
        <f t="shared" ref="G17:X23" si="3">IF(G6="","",G6*$D6/$D$13)</f>
        <v/>
      </c>
      <c r="H17" s="129" t="str">
        <f t="shared" si="3"/>
        <v/>
      </c>
      <c r="I17" s="129" t="str">
        <f t="shared" si="3"/>
        <v/>
      </c>
      <c r="J17" s="129" t="str">
        <f t="shared" si="3"/>
        <v/>
      </c>
      <c r="K17" s="129" t="str">
        <f t="shared" si="3"/>
        <v/>
      </c>
      <c r="L17" s="129" t="str">
        <f t="shared" si="3"/>
        <v/>
      </c>
      <c r="M17" s="174">
        <f t="shared" si="3"/>
        <v>0.17550000000000002</v>
      </c>
      <c r="N17" s="174" t="str">
        <f t="shared" si="3"/>
        <v/>
      </c>
      <c r="O17" s="174">
        <f t="shared" si="3"/>
        <v>8.7750000000000009E-2</v>
      </c>
      <c r="P17" s="174" t="str">
        <f t="shared" si="3"/>
        <v/>
      </c>
      <c r="Q17" s="174" t="str">
        <f t="shared" si="3"/>
        <v/>
      </c>
      <c r="R17" s="174" t="str">
        <f t="shared" si="3"/>
        <v/>
      </c>
      <c r="S17" s="174" t="str">
        <f t="shared" si="3"/>
        <v/>
      </c>
      <c r="T17" s="174" t="str">
        <f t="shared" si="3"/>
        <v/>
      </c>
      <c r="U17" s="174" t="str">
        <f t="shared" si="3"/>
        <v/>
      </c>
      <c r="V17" s="174" t="str">
        <f t="shared" si="3"/>
        <v/>
      </c>
      <c r="W17" s="174">
        <f t="shared" si="3"/>
        <v>0.23624999999999999</v>
      </c>
      <c r="X17" s="174" t="str">
        <f t="shared" si="3"/>
        <v/>
      </c>
    </row>
    <row r="18" spans="2:24" x14ac:dyDescent="0.45">
      <c r="B18" s="4" t="str">
        <f t="shared" ref="B18:D22" si="4">B7</f>
        <v>CARBONATO CALCIO_AGROCALES_P</v>
      </c>
      <c r="C18" s="4">
        <f t="shared" si="4"/>
        <v>75</v>
      </c>
      <c r="D18" s="4">
        <f t="shared" si="4"/>
        <v>7.5</v>
      </c>
      <c r="E18" s="129" t="str">
        <f t="shared" si="1"/>
        <v/>
      </c>
      <c r="F18" s="129" t="str">
        <f t="shared" si="2"/>
        <v/>
      </c>
      <c r="G18" s="129" t="str">
        <f t="shared" si="3"/>
        <v/>
      </c>
      <c r="H18" s="129" t="str">
        <f t="shared" si="3"/>
        <v/>
      </c>
      <c r="I18" s="129" t="str">
        <f t="shared" si="3"/>
        <v/>
      </c>
      <c r="J18" s="129" t="str">
        <f t="shared" si="3"/>
        <v/>
      </c>
      <c r="K18" s="129" t="str">
        <f t="shared" si="3"/>
        <v/>
      </c>
      <c r="L18" s="129" t="str">
        <f t="shared" si="3"/>
        <v/>
      </c>
      <c r="M18" s="174">
        <f t="shared" si="3"/>
        <v>3.3000000000000002E-2</v>
      </c>
      <c r="N18" s="174" t="str">
        <f t="shared" si="3"/>
        <v/>
      </c>
      <c r="O18" s="174" t="str">
        <f t="shared" si="3"/>
        <v/>
      </c>
      <c r="P18" s="174" t="str">
        <f t="shared" si="3"/>
        <v/>
      </c>
      <c r="Q18" s="174" t="str">
        <f t="shared" si="3"/>
        <v/>
      </c>
      <c r="R18" s="174" t="str">
        <f t="shared" si="3"/>
        <v/>
      </c>
      <c r="S18" s="174" t="str">
        <f t="shared" si="3"/>
        <v/>
      </c>
      <c r="T18" s="174" t="str">
        <f t="shared" si="3"/>
        <v/>
      </c>
      <c r="U18" s="174" t="str">
        <f t="shared" si="3"/>
        <v/>
      </c>
      <c r="V18" s="174" t="str">
        <f t="shared" si="3"/>
        <v/>
      </c>
      <c r="W18" s="174" t="str">
        <f t="shared" si="3"/>
        <v/>
      </c>
      <c r="X18" s="174" t="str">
        <f t="shared" si="3"/>
        <v/>
      </c>
    </row>
    <row r="19" spans="2:24" x14ac:dyDescent="0.45">
      <c r="B19" s="4" t="str">
        <f t="shared" si="4"/>
        <v>KIESERITA_MANUCHAR_P</v>
      </c>
      <c r="C19" s="4">
        <f t="shared" si="4"/>
        <v>50</v>
      </c>
      <c r="D19" s="4">
        <f t="shared" si="4"/>
        <v>5</v>
      </c>
      <c r="E19" s="129" t="str">
        <f t="shared" si="1"/>
        <v/>
      </c>
      <c r="F19" s="129" t="str">
        <f t="shared" si="2"/>
        <v/>
      </c>
      <c r="G19" s="129" t="str">
        <f t="shared" si="3"/>
        <v/>
      </c>
      <c r="H19" s="129" t="str">
        <f t="shared" si="3"/>
        <v/>
      </c>
      <c r="I19" s="129" t="str">
        <f t="shared" si="3"/>
        <v/>
      </c>
      <c r="J19" s="129" t="str">
        <f t="shared" si="3"/>
        <v/>
      </c>
      <c r="K19" s="129" t="str">
        <f t="shared" si="3"/>
        <v/>
      </c>
      <c r="L19" s="129" t="str">
        <f t="shared" si="3"/>
        <v/>
      </c>
      <c r="M19" s="174" t="str">
        <f t="shared" si="3"/>
        <v/>
      </c>
      <c r="N19" s="174">
        <f t="shared" si="3"/>
        <v>1.2500000000000001E-2</v>
      </c>
      <c r="O19" s="174">
        <f t="shared" si="3"/>
        <v>0.01</v>
      </c>
      <c r="P19" s="174" t="str">
        <f t="shared" si="3"/>
        <v/>
      </c>
      <c r="Q19" s="174" t="str">
        <f t="shared" si="3"/>
        <v/>
      </c>
      <c r="R19" s="174" t="str">
        <f t="shared" si="3"/>
        <v/>
      </c>
      <c r="S19" s="174" t="str">
        <f t="shared" si="3"/>
        <v/>
      </c>
      <c r="T19" s="174" t="str">
        <f t="shared" si="3"/>
        <v/>
      </c>
      <c r="U19" s="174" t="str">
        <f t="shared" si="3"/>
        <v/>
      </c>
      <c r="V19" s="174" t="str">
        <f t="shared" si="3"/>
        <v/>
      </c>
      <c r="W19" s="174" t="str">
        <f t="shared" si="3"/>
        <v/>
      </c>
      <c r="X19" s="174" t="str">
        <f t="shared" si="3"/>
        <v/>
      </c>
    </row>
    <row r="20" spans="2:24" x14ac:dyDescent="0.45">
      <c r="B20" s="4" t="str">
        <f t="shared" si="4"/>
        <v>BENTONITA GRIS_FERTICAUCA_P</v>
      </c>
      <c r="C20" s="4">
        <f t="shared" si="4"/>
        <v>200</v>
      </c>
      <c r="D20" s="4">
        <f t="shared" si="4"/>
        <v>20</v>
      </c>
      <c r="E20" s="129" t="str">
        <f t="shared" si="1"/>
        <v/>
      </c>
      <c r="F20" s="129" t="str">
        <f t="shared" si="2"/>
        <v/>
      </c>
      <c r="G20" s="129" t="str">
        <f t="shared" si="3"/>
        <v/>
      </c>
      <c r="H20" s="129" t="str">
        <f t="shared" si="3"/>
        <v/>
      </c>
      <c r="I20" s="129" t="str">
        <f t="shared" si="3"/>
        <v/>
      </c>
      <c r="J20" s="129" t="str">
        <f t="shared" si="3"/>
        <v/>
      </c>
      <c r="K20" s="129" t="str">
        <f t="shared" si="3"/>
        <v/>
      </c>
      <c r="L20" s="129">
        <f t="shared" si="3"/>
        <v>4.7999999999999996E-3</v>
      </c>
      <c r="M20" s="174">
        <f t="shared" si="3"/>
        <v>1.24E-2</v>
      </c>
      <c r="N20" s="174">
        <f t="shared" si="3"/>
        <v>8.0000000000000002E-3</v>
      </c>
      <c r="O20" s="174" t="str">
        <f t="shared" si="3"/>
        <v/>
      </c>
      <c r="P20" s="174" t="str">
        <f t="shared" si="3"/>
        <v/>
      </c>
      <c r="Q20" s="174" t="str">
        <f t="shared" si="3"/>
        <v/>
      </c>
      <c r="R20" s="174" t="str">
        <f t="shared" si="3"/>
        <v/>
      </c>
      <c r="S20" s="174" t="str">
        <f t="shared" si="3"/>
        <v/>
      </c>
      <c r="T20" s="174" t="str">
        <f t="shared" si="3"/>
        <v/>
      </c>
      <c r="U20" s="174" t="str">
        <f t="shared" si="3"/>
        <v/>
      </c>
      <c r="V20" s="174">
        <f t="shared" si="3"/>
        <v>0.11379999999999998</v>
      </c>
      <c r="W20" s="174" t="str">
        <f t="shared" si="3"/>
        <v/>
      </c>
      <c r="X20" s="174" t="str">
        <f t="shared" si="3"/>
        <v/>
      </c>
    </row>
    <row r="21" spans="2:24" x14ac:dyDescent="0.45">
      <c r="B21" s="4">
        <f t="shared" si="4"/>
        <v>0</v>
      </c>
      <c r="C21" s="4">
        <f t="shared" si="4"/>
        <v>0</v>
      </c>
      <c r="D21" s="4">
        <f t="shared" si="4"/>
        <v>0</v>
      </c>
      <c r="E21" s="129" t="str">
        <f t="shared" si="1"/>
        <v/>
      </c>
      <c r="F21" s="129" t="str">
        <f t="shared" si="2"/>
        <v/>
      </c>
      <c r="G21" s="129" t="str">
        <f t="shared" si="3"/>
        <v/>
      </c>
      <c r="H21" s="129" t="str">
        <f t="shared" si="3"/>
        <v/>
      </c>
      <c r="I21" s="129" t="str">
        <f t="shared" si="3"/>
        <v/>
      </c>
      <c r="J21" s="129" t="str">
        <f t="shared" si="3"/>
        <v/>
      </c>
      <c r="K21" s="129" t="str">
        <f t="shared" si="3"/>
        <v/>
      </c>
      <c r="L21" s="129" t="str">
        <f t="shared" si="3"/>
        <v/>
      </c>
      <c r="M21" s="174" t="str">
        <f t="shared" si="3"/>
        <v/>
      </c>
      <c r="N21" s="174" t="str">
        <f t="shared" si="3"/>
        <v/>
      </c>
      <c r="O21" s="174" t="str">
        <f t="shared" si="3"/>
        <v/>
      </c>
      <c r="P21" s="174" t="str">
        <f t="shared" si="3"/>
        <v/>
      </c>
      <c r="Q21" s="174" t="str">
        <f t="shared" si="3"/>
        <v/>
      </c>
      <c r="R21" s="174" t="str">
        <f t="shared" si="3"/>
        <v/>
      </c>
      <c r="S21" s="174" t="str">
        <f t="shared" si="3"/>
        <v/>
      </c>
      <c r="T21" s="174" t="str">
        <f t="shared" si="3"/>
        <v/>
      </c>
      <c r="U21" s="174" t="str">
        <f t="shared" si="3"/>
        <v/>
      </c>
      <c r="V21" s="174" t="str">
        <f t="shared" si="3"/>
        <v/>
      </c>
      <c r="W21" s="174" t="str">
        <f t="shared" si="3"/>
        <v/>
      </c>
      <c r="X21" s="174" t="str">
        <f t="shared" si="3"/>
        <v/>
      </c>
    </row>
    <row r="22" spans="2:24" x14ac:dyDescent="0.45">
      <c r="B22" s="4">
        <f t="shared" si="4"/>
        <v>0</v>
      </c>
      <c r="C22" s="4">
        <f t="shared" si="4"/>
        <v>0</v>
      </c>
      <c r="D22" s="4">
        <f t="shared" si="4"/>
        <v>0</v>
      </c>
      <c r="E22" s="129" t="str">
        <f t="shared" si="1"/>
        <v/>
      </c>
      <c r="F22" s="129" t="str">
        <f t="shared" si="2"/>
        <v/>
      </c>
      <c r="G22" s="129" t="str">
        <f t="shared" si="3"/>
        <v/>
      </c>
      <c r="H22" s="129" t="str">
        <f t="shared" si="3"/>
        <v/>
      </c>
      <c r="I22" s="129" t="str">
        <f t="shared" si="3"/>
        <v/>
      </c>
      <c r="J22" s="129" t="str">
        <f t="shared" si="3"/>
        <v/>
      </c>
      <c r="K22" s="129" t="str">
        <f t="shared" si="3"/>
        <v/>
      </c>
      <c r="L22" s="129" t="str">
        <f t="shared" si="3"/>
        <v/>
      </c>
      <c r="M22" s="174" t="str">
        <f t="shared" si="3"/>
        <v/>
      </c>
      <c r="N22" s="174" t="str">
        <f t="shared" si="3"/>
        <v/>
      </c>
      <c r="O22" s="174" t="str">
        <f t="shared" si="3"/>
        <v/>
      </c>
      <c r="P22" s="174" t="str">
        <f t="shared" si="3"/>
        <v/>
      </c>
      <c r="Q22" s="174" t="str">
        <f t="shared" si="3"/>
        <v/>
      </c>
      <c r="R22" s="174" t="str">
        <f t="shared" si="3"/>
        <v/>
      </c>
      <c r="S22" s="174" t="str">
        <f t="shared" si="3"/>
        <v/>
      </c>
      <c r="T22" s="174" t="str">
        <f t="shared" si="3"/>
        <v/>
      </c>
      <c r="U22" s="174" t="str">
        <f t="shared" si="3"/>
        <v/>
      </c>
      <c r="V22" s="174" t="str">
        <f t="shared" si="3"/>
        <v/>
      </c>
      <c r="W22" s="174" t="str">
        <f t="shared" si="3"/>
        <v/>
      </c>
      <c r="X22" s="174" t="str">
        <f t="shared" si="3"/>
        <v/>
      </c>
    </row>
    <row r="23" spans="2:24" ht="20.25" thickBot="1" x14ac:dyDescent="0.5">
      <c r="B23" s="126"/>
      <c r="C23" s="7"/>
      <c r="D23" s="7"/>
      <c r="E23" s="129" t="str">
        <f t="shared" si="1"/>
        <v/>
      </c>
      <c r="F23" s="129" t="str">
        <f t="shared" si="2"/>
        <v/>
      </c>
      <c r="G23" s="129" t="str">
        <f t="shared" si="3"/>
        <v/>
      </c>
      <c r="H23" s="129" t="str">
        <f t="shared" si="3"/>
        <v/>
      </c>
      <c r="I23" s="129" t="str">
        <f t="shared" si="3"/>
        <v/>
      </c>
      <c r="J23" s="129" t="str">
        <f t="shared" si="3"/>
        <v/>
      </c>
      <c r="K23" s="129" t="str">
        <f t="shared" si="3"/>
        <v/>
      </c>
      <c r="L23" s="129" t="str">
        <f t="shared" si="3"/>
        <v/>
      </c>
      <c r="M23" s="174" t="str">
        <f t="shared" si="3"/>
        <v/>
      </c>
      <c r="N23" s="174" t="str">
        <f t="shared" si="3"/>
        <v/>
      </c>
      <c r="O23" s="174" t="str">
        <f t="shared" si="3"/>
        <v/>
      </c>
      <c r="P23" s="174" t="str">
        <f t="shared" si="3"/>
        <v/>
      </c>
      <c r="Q23" s="174" t="str">
        <f t="shared" si="3"/>
        <v/>
      </c>
      <c r="R23" s="174" t="str">
        <f t="shared" si="3"/>
        <v/>
      </c>
      <c r="S23" s="174" t="str">
        <f t="shared" si="3"/>
        <v/>
      </c>
      <c r="T23" s="174" t="str">
        <f t="shared" si="3"/>
        <v/>
      </c>
      <c r="U23" s="174" t="str">
        <f t="shared" si="3"/>
        <v/>
      </c>
      <c r="V23" s="174" t="str">
        <f t="shared" si="3"/>
        <v/>
      </c>
      <c r="W23" s="174" t="str">
        <f t="shared" si="3"/>
        <v/>
      </c>
      <c r="X23" s="174" t="str">
        <f t="shared" si="3"/>
        <v/>
      </c>
    </row>
    <row r="24" spans="2:24" x14ac:dyDescent="0.45">
      <c r="B24" s="4" t="s">
        <v>28</v>
      </c>
      <c r="C24" s="3">
        <f>SUM(C17:C23)</f>
        <v>1000</v>
      </c>
      <c r="D24" s="3">
        <v>100</v>
      </c>
    </row>
    <row r="25" spans="2:24" x14ac:dyDescent="0.45">
      <c r="B25" s="4" t="s">
        <v>29</v>
      </c>
      <c r="E25" s="10">
        <f t="shared" ref="E25:O25" si="5">SUM(E17:E23)</f>
        <v>0</v>
      </c>
      <c r="F25" s="10">
        <f t="shared" si="5"/>
        <v>0</v>
      </c>
      <c r="G25" s="10">
        <f t="shared" si="5"/>
        <v>0</v>
      </c>
      <c r="H25" s="10">
        <f t="shared" si="5"/>
        <v>0</v>
      </c>
      <c r="I25" s="10">
        <f t="shared" si="5"/>
        <v>0</v>
      </c>
      <c r="J25" s="10">
        <f t="shared" si="5"/>
        <v>0</v>
      </c>
      <c r="K25" s="10">
        <f t="shared" si="5"/>
        <v>0</v>
      </c>
      <c r="L25" s="10">
        <f t="shared" si="5"/>
        <v>4.7999999999999996E-3</v>
      </c>
      <c r="M25" s="10"/>
      <c r="N25" s="10"/>
      <c r="O25" s="10">
        <f t="shared" si="5"/>
        <v>9.7750000000000004E-2</v>
      </c>
      <c r="P25" s="10">
        <f>SUM(P17:P23)</f>
        <v>0</v>
      </c>
      <c r="Q25" s="10">
        <v>0</v>
      </c>
      <c r="R25" s="10">
        <f t="shared" ref="R25:X25" si="6">SUM(R17:R23)</f>
        <v>0</v>
      </c>
      <c r="S25" s="10">
        <f t="shared" si="6"/>
        <v>0</v>
      </c>
      <c r="T25" s="10">
        <f t="shared" si="6"/>
        <v>0</v>
      </c>
      <c r="U25" s="10">
        <f t="shared" si="6"/>
        <v>0</v>
      </c>
      <c r="V25" s="10"/>
      <c r="W25" s="10">
        <f t="shared" si="6"/>
        <v>0.23624999999999999</v>
      </c>
      <c r="X25" s="10">
        <f t="shared" si="6"/>
        <v>0</v>
      </c>
    </row>
    <row r="27" spans="2:24" x14ac:dyDescent="0.45">
      <c r="B27" s="4" t="s">
        <v>88</v>
      </c>
      <c r="E27" s="10"/>
      <c r="F27" s="10"/>
      <c r="G27" s="10"/>
      <c r="H27" s="10"/>
      <c r="I27" s="10"/>
      <c r="J27" s="10"/>
      <c r="K27" s="10">
        <v>0.03</v>
      </c>
      <c r="L27" s="10"/>
      <c r="M27" s="10"/>
      <c r="N27" s="10"/>
      <c r="O27" s="10">
        <v>7.0000000000000007E-2</v>
      </c>
      <c r="P27" s="10"/>
      <c r="Q27" s="10"/>
      <c r="R27" s="10"/>
      <c r="S27" s="10"/>
      <c r="T27" s="10"/>
      <c r="U27" s="10"/>
      <c r="V27" s="10"/>
      <c r="W27" s="10">
        <v>0.21</v>
      </c>
      <c r="X27" s="10"/>
    </row>
    <row r="28" spans="2:24" x14ac:dyDescent="0.45">
      <c r="B28" s="4" t="s">
        <v>43</v>
      </c>
      <c r="E28" s="10"/>
      <c r="F28" s="10"/>
      <c r="G28" s="10"/>
      <c r="H28" s="10"/>
      <c r="I28" s="10"/>
      <c r="J28" s="10"/>
      <c r="K28" s="10">
        <v>2.3E-3</v>
      </c>
      <c r="L28" s="10"/>
      <c r="M28" s="10"/>
      <c r="N28" s="10"/>
      <c r="O28" s="10">
        <v>6.2899999999999998E-2</v>
      </c>
      <c r="P28" s="10"/>
      <c r="Q28" s="10"/>
      <c r="R28" s="10"/>
      <c r="S28" s="10"/>
      <c r="T28" s="10"/>
      <c r="U28" s="10"/>
      <c r="V28" s="10"/>
      <c r="W28" s="10">
        <v>0.12809999999999999</v>
      </c>
      <c r="X28" s="10"/>
    </row>
    <row r="30" spans="2:24" ht="20.25" x14ac:dyDescent="0.45">
      <c r="B30" s="4" t="s">
        <v>53</v>
      </c>
    </row>
    <row r="31" spans="2:24" x14ac:dyDescent="0.45">
      <c r="B31" s="11" t="s">
        <v>44</v>
      </c>
      <c r="E31" s="9"/>
      <c r="F31" s="10" t="str">
        <f>IF(F25=0,"",IF(F25&lt;tolerancias!B2,"SI","NO"))</f>
        <v/>
      </c>
      <c r="G31" s="10"/>
      <c r="H31" s="10"/>
      <c r="I31" s="10"/>
      <c r="J31" s="10"/>
      <c r="K31" s="10" t="str">
        <f>IF(K25=0,"",IF(K25&lt;tolerancias!C2,"SI","NO"))</f>
        <v/>
      </c>
      <c r="L31" s="4" t="str">
        <f>IF(L25=0,"",IF(L25&lt;tolerancias!D2,"SI","NO"))</f>
        <v>SI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2:24" x14ac:dyDescent="0.45">
      <c r="B32" s="11" t="s">
        <v>45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spans="2:24" x14ac:dyDescent="0.45">
      <c r="B33" s="4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x14ac:dyDescent="0.45">
      <c r="B34" s="4" t="s">
        <v>47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 t="str">
        <f>IF(P25=0,"",IF(P25&gt;tolerancias!H5,"SI","NO"))</f>
        <v/>
      </c>
      <c r="Q34" s="10" t="str">
        <f>IF(Q25=0,"",IF(Q25&gt;tolerancias!I5,"SI","NO"))</f>
        <v/>
      </c>
      <c r="R34" s="10" t="str">
        <f>IF(R25=0,"",IF(R25&gt;tolerancias!J5,"SI","NO"))</f>
        <v/>
      </c>
      <c r="S34" s="10" t="str">
        <f>IF(S25=0,"",IF(S25&gt;tolerancias!K5,"SI","NO"))</f>
        <v/>
      </c>
      <c r="T34" s="10" t="str">
        <f>IF(T25=0,"",IF(T25&gt;tolerancias!L5,"SI","NO"))</f>
        <v/>
      </c>
      <c r="U34" s="10" t="str">
        <f>IF(U25=0,"",IF(U25&gt;tolerancias!M5,"SI","NO"))</f>
        <v/>
      </c>
      <c r="V34" s="10" t="str">
        <f>IF(V25=0,"",IF(V25&gt;tolerancias!N5,"SI","NO"))</f>
        <v/>
      </c>
      <c r="W34" s="10" t="str">
        <f>IF(W25=0,"",IF(W25&gt;tolerancias!P5,"SI","NO"))</f>
        <v>SI</v>
      </c>
      <c r="X34" s="9"/>
    </row>
    <row r="35" spans="2:24" x14ac:dyDescent="0.45">
      <c r="B35" s="12" t="s">
        <v>48</v>
      </c>
    </row>
    <row r="36" spans="2:24" x14ac:dyDescent="0.45">
      <c r="B36" s="12"/>
    </row>
    <row r="37" spans="2:24" ht="20.25" x14ac:dyDescent="0.45">
      <c r="B37" s="4" t="s">
        <v>60</v>
      </c>
    </row>
    <row r="38" spans="2:24" x14ac:dyDescent="0.45">
      <c r="B38" s="4" t="s">
        <v>61</v>
      </c>
      <c r="E38" s="9"/>
      <c r="F38" s="10" t="str">
        <f>IF(F25=0,"",((-0.0005*100*100*F$25*F$25+0.0413*100*F$25+0.6533)/100))</f>
        <v/>
      </c>
      <c r="G38" s="10"/>
      <c r="H38" s="10"/>
      <c r="I38" s="10"/>
      <c r="J38" s="10"/>
      <c r="K38" s="10" t="str">
        <f>IF(K25=0,"",((-0.0005*100*100*K$25*K$25+0.0413*100*K$25+0.6533)/100))</f>
        <v/>
      </c>
      <c r="L38" s="13">
        <f>IF(L25=0,"",((-0.0007*10000*L$25*L$25+0.0769*100*L$25+0.3941)/100))</f>
        <v>4.3085072000000006E-3</v>
      </c>
      <c r="M38" s="9" t="str">
        <f>M39</f>
        <v/>
      </c>
      <c r="N38" s="9" t="str">
        <f t="shared" ref="N38:O38" si="7">N39</f>
        <v/>
      </c>
      <c r="O38" s="9">
        <f t="shared" si="7"/>
        <v>1.033125E-2</v>
      </c>
      <c r="P38" s="9"/>
      <c r="Q38" s="9"/>
      <c r="R38" s="9"/>
      <c r="S38" s="9"/>
      <c r="T38" s="9"/>
      <c r="U38" s="9"/>
      <c r="V38" s="9"/>
      <c r="W38" s="9"/>
      <c r="X38" s="9"/>
    </row>
    <row r="39" spans="2:24" x14ac:dyDescent="0.45">
      <c r="B39" s="11" t="s">
        <v>52</v>
      </c>
      <c r="E39" s="10"/>
      <c r="F39" s="10" t="str">
        <f>IF(F25=0,"",IF(OR(F25&lt;4.001%,F25&gt;32.001%),"SI","NO"))</f>
        <v/>
      </c>
      <c r="G39" s="9"/>
      <c r="H39" s="9"/>
      <c r="I39" s="9"/>
      <c r="J39" s="9"/>
      <c r="K39" s="10" t="str">
        <f>IF(K25=0,"",IF(OR(K25&lt;4.001%,K25&gt;32.001%),"SI","NO"))</f>
        <v/>
      </c>
      <c r="L39" s="10" t="str">
        <f>IF(L25=0,"",IF(OR(L25&lt;4.001%,L25&gt;32.001%),"SI","NO"))</f>
        <v>SI</v>
      </c>
      <c r="M39" s="10" t="str">
        <f>IF(M25=0,"",((0.42+0.105*100*M$25)/100))</f>
        <v/>
      </c>
      <c r="N39" s="10" t="str">
        <f>IF(N25=0,"",((0.5+0.125*100*N$25)/100))</f>
        <v/>
      </c>
      <c r="O39" s="10">
        <f>IF(O25=0,"",((0.3+0.075*100*O$25)/100))</f>
        <v>1.033125E-2</v>
      </c>
      <c r="P39" s="10" t="str">
        <f>IF(P25=0,"",((0.005+0.25*100*P$25)/100))</f>
        <v/>
      </c>
      <c r="Q39" s="10" t="str">
        <f>IF(Q25=0,"",((0.000125+0.375*100*Q$25)/100))</f>
        <v/>
      </c>
      <c r="R39" s="10" t="str">
        <f>IF(R25=0,"",((0.015+0.3*100*R$25)/100))</f>
        <v/>
      </c>
      <c r="S39" s="10" t="str">
        <f>IF(S25=0,"",((0.015+0.3*100*S$25)/100))</f>
        <v/>
      </c>
      <c r="T39" s="10" t="str">
        <f>IF(T25=0,"",((0.015+0.3*100*T$25)/100))</f>
        <v/>
      </c>
      <c r="U39" s="10" t="str">
        <f>IF(U25=0,"",((0.000125+0.375*100*U$25)/100))</f>
        <v/>
      </c>
      <c r="V39" s="10"/>
      <c r="W39" s="10">
        <f>IF(W25=0,"",((0.015+0.3*100*W$25)/100))</f>
        <v>7.1024999999999991E-2</v>
      </c>
      <c r="X39" s="10" t="str">
        <f>IF(X25=0,"",((0.015+0.3*100*X$25)/100))</f>
        <v/>
      </c>
    </row>
    <row r="40" spans="2:24" x14ac:dyDescent="0.45">
      <c r="B40" s="11" t="s">
        <v>62</v>
      </c>
      <c r="F40" s="9"/>
      <c r="G40" s="9"/>
      <c r="H40" s="9"/>
      <c r="I40" s="9"/>
      <c r="J40" s="9"/>
      <c r="K40" s="9"/>
      <c r="L40" s="9"/>
      <c r="M40" s="4" t="str">
        <f>IF(M25=0,"",IF(OR(M39&gt;M25/2,M39&gt;1.501%),"SI","NO"))</f>
        <v/>
      </c>
      <c r="N40" s="4" t="str">
        <f>IF(N25=0,"",IF(OR(N39&gt;N25/2,N39&gt;1.501%),"SI","NO"))</f>
        <v/>
      </c>
      <c r="O40" s="4" t="str">
        <f>IF(O25=0,"",IF(OR(O39&gt;O25/2,O39&gt;1.501%),"SI","NO"))</f>
        <v>NO</v>
      </c>
      <c r="P40" s="4" t="str">
        <f t="shared" ref="P40:U40" si="8">IF(P25=0,"",IF(OR(P39&gt;P25/2,P39&gt;1.501%),"SI","NO"))</f>
        <v/>
      </c>
      <c r="Q40" s="4" t="str">
        <f t="shared" si="8"/>
        <v/>
      </c>
      <c r="R40" s="4" t="str">
        <f t="shared" si="8"/>
        <v/>
      </c>
      <c r="S40" s="4" t="str">
        <f t="shared" si="8"/>
        <v/>
      </c>
      <c r="T40" s="4" t="str">
        <f t="shared" si="8"/>
        <v/>
      </c>
      <c r="U40" s="4" t="str">
        <f t="shared" si="8"/>
        <v/>
      </c>
      <c r="V40" s="4" t="str">
        <f>IF(V5="SiO2","",IF(V25=0,"",IF(OR(V39&gt;V25/2,V39&gt;1.501%),"SI","NO")))</f>
        <v/>
      </c>
      <c r="W40" s="4" t="str">
        <f>IF(W25=0,"",IF(OR(W39&gt;W25/2,W39&gt;1.501%),"SI","NO"))</f>
        <v>SI</v>
      </c>
      <c r="X40" s="4" t="str">
        <f>IF(X25=0,"",IF(OR(X39&gt;X25/2,X39&gt;1.501%),"SI","NO"))</f>
        <v/>
      </c>
    </row>
    <row r="41" spans="2:24" x14ac:dyDescent="0.45">
      <c r="B41" s="4" t="s">
        <v>42</v>
      </c>
      <c r="E41" s="16"/>
      <c r="F41" s="10" t="str">
        <f>IF(F25=0,"",IF(F39="NO",F38,IF(F25&lt;4%,0.81%,1.46%)))</f>
        <v/>
      </c>
      <c r="G41" s="16"/>
      <c r="H41" s="16"/>
      <c r="I41" s="16"/>
      <c r="J41" s="16"/>
      <c r="K41" s="16" t="str">
        <f>IF(K25=0,"",IF(K39="NO",K38,IF(K25&lt;4%,0.81%,1.46%)))</f>
        <v/>
      </c>
      <c r="L41" s="16">
        <f>IF(L25=0,"",IF(L39="NO",L38,IF(L25&lt;4%,0.69%,2.14%)))</f>
        <v>6.8999999999999999E-3</v>
      </c>
      <c r="M41" s="16" t="str">
        <f>IF(M25=0,"",IF(M40="NO",M39,1.5%))</f>
        <v/>
      </c>
      <c r="N41" s="16" t="str">
        <f>IF(N25=0,"",IF(N40="NO",N39,1.5%))</f>
        <v/>
      </c>
      <c r="O41" s="16">
        <f>IF(O25=0,"",IF(O40="NO",O39,1.5%))</f>
        <v>1.033125E-2</v>
      </c>
      <c r="P41" s="16" t="str">
        <f t="shared" ref="P41:U41" si="9">IF(P25=0,"",IF(P39="NO",P38,1.5%))</f>
        <v/>
      </c>
      <c r="Q41" s="16" t="str">
        <f t="shared" si="9"/>
        <v/>
      </c>
      <c r="R41" s="16" t="str">
        <f t="shared" si="9"/>
        <v/>
      </c>
      <c r="S41" s="16" t="str">
        <f t="shared" si="9"/>
        <v/>
      </c>
      <c r="T41" s="16" t="str">
        <f t="shared" si="9"/>
        <v/>
      </c>
      <c r="U41" s="16" t="str">
        <f t="shared" si="9"/>
        <v/>
      </c>
      <c r="V41" s="16" t="str">
        <f>IF(V5="SiO2","",IF(V25=0,"",IF(V39="NO",V38,1.5%)))</f>
        <v/>
      </c>
      <c r="W41" s="16">
        <f>IF(W25=0,"",IF(W39="NO",W38,1.5%))</f>
        <v>1.4999999999999999E-2</v>
      </c>
      <c r="X41" s="16" t="str">
        <f>IF(X25=0,"",IF(X39="NO",X38,1.5%))</f>
        <v/>
      </c>
    </row>
    <row r="42" spans="2:24" x14ac:dyDescent="0.45">
      <c r="B42" s="12" t="s">
        <v>49</v>
      </c>
    </row>
    <row r="43" spans="2:24" ht="15" customHeight="1" x14ac:dyDescent="0.45">
      <c r="B43" s="12" t="s">
        <v>50</v>
      </c>
    </row>
    <row r="44" spans="2:24" ht="15" customHeight="1" x14ac:dyDescent="0.45">
      <c r="B44" s="12" t="s">
        <v>51</v>
      </c>
    </row>
    <row r="45" spans="2:24" ht="15" customHeight="1" x14ac:dyDescent="0.45"/>
    <row r="46" spans="2:24" x14ac:dyDescent="0.45">
      <c r="B46" s="4" t="s">
        <v>86</v>
      </c>
      <c r="E46" s="10" t="str">
        <f>IF(E5="C","",IF(E25=0,"",E47-E41))</f>
        <v/>
      </c>
      <c r="F46" s="10" t="str">
        <f t="shared" ref="F46:U46" si="10">IF(F25=0,"",F47-F41)</f>
        <v/>
      </c>
      <c r="G46" s="10" t="str">
        <f t="shared" si="10"/>
        <v/>
      </c>
      <c r="H46" s="10" t="str">
        <f t="shared" si="10"/>
        <v/>
      </c>
      <c r="I46" s="10" t="str">
        <f t="shared" si="10"/>
        <v/>
      </c>
      <c r="J46" s="10" t="str">
        <f t="shared" si="10"/>
        <v/>
      </c>
      <c r="K46" s="10" t="str">
        <f t="shared" si="10"/>
        <v/>
      </c>
      <c r="L46" s="10">
        <f t="shared" si="10"/>
        <v>-2.1000000000000003E-3</v>
      </c>
      <c r="M46" s="10" t="str">
        <f t="shared" si="10"/>
        <v/>
      </c>
      <c r="N46" s="10" t="str">
        <f t="shared" si="10"/>
        <v/>
      </c>
      <c r="O46" s="10">
        <f>IF(O25=0,"",O47-O41)</f>
        <v>5.9668750000000007E-2</v>
      </c>
      <c r="P46" s="10" t="str">
        <f t="shared" si="10"/>
        <v/>
      </c>
      <c r="Q46" s="10" t="str">
        <f t="shared" si="10"/>
        <v/>
      </c>
      <c r="R46" s="10" t="str">
        <f t="shared" si="10"/>
        <v/>
      </c>
      <c r="S46" s="10" t="str">
        <f t="shared" si="10"/>
        <v/>
      </c>
      <c r="T46" s="10" t="str">
        <f t="shared" si="10"/>
        <v/>
      </c>
      <c r="U46" s="10" t="str">
        <f t="shared" si="10"/>
        <v/>
      </c>
      <c r="V46" s="10" t="str">
        <f>IF(V5="SiO2","",IF(V25=0,"",V47-V41))</f>
        <v/>
      </c>
      <c r="W46" s="10">
        <f>IF(W25=0,"",W47-W41)</f>
        <v>0.19500000000000001</v>
      </c>
      <c r="X46" s="10" t="str">
        <f>IF(X25=0,"",X47-X41)</f>
        <v/>
      </c>
    </row>
    <row r="47" spans="2:24" x14ac:dyDescent="0.45">
      <c r="B47" s="4" t="str">
        <f>_xlfn.CONCAT("SOLICITUD DE REGISTRO ICA: ",B5)</f>
        <v>SOLICITUD DE REGISTRO ICA: MATERIA PRIMA</v>
      </c>
      <c r="E47" s="10" t="str">
        <f t="shared" ref="E47:X47" si="11">IF(E25=0,"",E25)</f>
        <v/>
      </c>
      <c r="F47" s="10" t="str">
        <f t="shared" si="11"/>
        <v/>
      </c>
      <c r="G47" s="10" t="str">
        <f t="shared" si="11"/>
        <v/>
      </c>
      <c r="H47" s="10" t="str">
        <f t="shared" si="11"/>
        <v/>
      </c>
      <c r="I47" s="10" t="str">
        <f t="shared" si="11"/>
        <v/>
      </c>
      <c r="J47" s="10" t="str">
        <f t="shared" si="11"/>
        <v/>
      </c>
      <c r="K47" s="10" t="str">
        <f t="shared" si="11"/>
        <v/>
      </c>
      <c r="L47" s="10">
        <f t="shared" si="11"/>
        <v>4.7999999999999996E-3</v>
      </c>
      <c r="M47" s="10">
        <f>M27</f>
        <v>0</v>
      </c>
      <c r="N47" s="10">
        <f t="shared" ref="N47" si="12">N27</f>
        <v>0</v>
      </c>
      <c r="O47" s="10">
        <f>O27</f>
        <v>7.0000000000000007E-2</v>
      </c>
      <c r="P47" s="10" t="str">
        <f t="shared" si="11"/>
        <v/>
      </c>
      <c r="Q47" s="10" t="str">
        <f t="shared" si="11"/>
        <v/>
      </c>
      <c r="R47" s="10" t="str">
        <f t="shared" si="11"/>
        <v/>
      </c>
      <c r="S47" s="10" t="str">
        <f t="shared" si="11"/>
        <v/>
      </c>
      <c r="T47" s="10" t="str">
        <f t="shared" si="11"/>
        <v/>
      </c>
      <c r="U47" s="10" t="str">
        <f t="shared" si="11"/>
        <v/>
      </c>
      <c r="V47" s="10">
        <f>V27</f>
        <v>0</v>
      </c>
      <c r="W47" s="10">
        <v>0.21</v>
      </c>
      <c r="X47" s="10" t="str">
        <f t="shared" si="11"/>
        <v/>
      </c>
    </row>
    <row r="48" spans="2:24" x14ac:dyDescent="0.45">
      <c r="B48" s="4" t="s">
        <v>87</v>
      </c>
      <c r="E48" s="10" t="str">
        <f>IF(E5="C","",IF(E25=0,"",E47+E41))</f>
        <v/>
      </c>
      <c r="F48" s="10" t="str">
        <f t="shared" ref="F48:U48" si="13">IF(F25=0,"",F47+F41)</f>
        <v/>
      </c>
      <c r="G48" s="10" t="str">
        <f t="shared" si="13"/>
        <v/>
      </c>
      <c r="H48" s="10" t="str">
        <f t="shared" si="13"/>
        <v/>
      </c>
      <c r="I48" s="10" t="str">
        <f t="shared" si="13"/>
        <v/>
      </c>
      <c r="J48" s="10" t="str">
        <f t="shared" si="13"/>
        <v/>
      </c>
      <c r="K48" s="10" t="str">
        <f t="shared" si="13"/>
        <v/>
      </c>
      <c r="L48" s="10">
        <f t="shared" si="13"/>
        <v>1.1699999999999999E-2</v>
      </c>
      <c r="M48" s="10" t="str">
        <f t="shared" si="13"/>
        <v/>
      </c>
      <c r="N48" s="10" t="str">
        <f t="shared" si="13"/>
        <v/>
      </c>
      <c r="O48" s="10">
        <f t="shared" si="13"/>
        <v>8.0331250000000007E-2</v>
      </c>
      <c r="P48" s="10" t="str">
        <f t="shared" si="13"/>
        <v/>
      </c>
      <c r="Q48" s="10" t="str">
        <f t="shared" si="13"/>
        <v/>
      </c>
      <c r="R48" s="10" t="str">
        <f t="shared" si="13"/>
        <v/>
      </c>
      <c r="S48" s="10" t="str">
        <f t="shared" si="13"/>
        <v/>
      </c>
      <c r="T48" s="10" t="str">
        <f t="shared" si="13"/>
        <v/>
      </c>
      <c r="U48" s="10" t="str">
        <f t="shared" si="13"/>
        <v/>
      </c>
      <c r="V48" s="10" t="str">
        <f>IF(V5="SiO2","",IF(V25=0,"",V47+V41))</f>
        <v/>
      </c>
      <c r="W48" s="10">
        <f>IF(W25=0,"",W47+W41)</f>
        <v>0.22499999999999998</v>
      </c>
      <c r="X48" s="10" t="str">
        <f>IF(X25=0,"",X47+X41)</f>
        <v/>
      </c>
    </row>
  </sheetData>
  <conditionalFormatting sqref="K39:X39 E39:F39 E41:X41 E46:X48">
    <cfRule type="cellIs" dxfId="177" priority="25" operator="equal">
      <formula>0</formula>
    </cfRule>
    <cfRule type="containsBlanks" dxfId="176" priority="26">
      <formula>LEN(TRIM(E39))=0</formula>
    </cfRule>
  </conditionalFormatting>
  <conditionalFormatting sqref="F31:K31">
    <cfRule type="cellIs" dxfId="175" priority="31" operator="equal">
      <formula>0</formula>
    </cfRule>
    <cfRule type="containsBlanks" dxfId="174" priority="32">
      <formula>LEN(TRIM(F31))=0</formula>
    </cfRule>
  </conditionalFormatting>
  <conditionalFormatting sqref="F38:K38">
    <cfRule type="cellIs" dxfId="173" priority="35" operator="equal">
      <formula>0</formula>
    </cfRule>
    <cfRule type="containsBlanks" dxfId="172" priority="36">
      <formula>LEN(TRIM(F38))=0</formula>
    </cfRule>
  </conditionalFormatting>
  <conditionalFormatting sqref="F40:L40 E18:X23 M31:X31 E38 P32:X33 X34 E31:E34 M38:X38">
    <cfRule type="cellIs" dxfId="171" priority="27" operator="equal">
      <formula>0</formula>
    </cfRule>
    <cfRule type="containsBlanks" dxfId="170" priority="28">
      <formula>LEN(TRIM(E18))=0</formula>
    </cfRule>
  </conditionalFormatting>
  <conditionalFormatting sqref="F32:O34">
    <cfRule type="cellIs" dxfId="169" priority="33" operator="equal">
      <formula>0</formula>
    </cfRule>
    <cfRule type="containsBlanks" dxfId="168" priority="34">
      <formula>LEN(TRIM(F32))=0</formula>
    </cfRule>
  </conditionalFormatting>
  <conditionalFormatting sqref="P34:W34">
    <cfRule type="cellIs" dxfId="167" priority="37" operator="equal">
      <formula>0</formula>
    </cfRule>
    <cfRule type="containsBlanks" dxfId="166" priority="38">
      <formula>LEN(TRIM(P34))=0</formula>
    </cfRule>
  </conditionalFormatting>
  <conditionalFormatting sqref="G39:J39">
    <cfRule type="cellIs" dxfId="165" priority="29" operator="equal">
      <formula>0</formula>
    </cfRule>
    <cfRule type="containsBlanks" dxfId="164" priority="30">
      <formula>LEN(TRIM(G39))=0</formula>
    </cfRule>
  </conditionalFormatting>
  <conditionalFormatting sqref="E11:X12">
    <cfRule type="cellIs" dxfId="163" priority="23" operator="equal">
      <formula>0</formula>
    </cfRule>
    <cfRule type="containsBlanks" dxfId="162" priority="24">
      <formula>LEN(TRIM(E11))=0</formula>
    </cfRule>
  </conditionalFormatting>
  <conditionalFormatting sqref="E11:X12">
    <cfRule type="notContainsBlanks" dxfId="161" priority="22">
      <formula>LEN(TRIM(E11))&gt;0</formula>
    </cfRule>
  </conditionalFormatting>
  <conditionalFormatting sqref="E18:X23">
    <cfRule type="cellIs" dxfId="160" priority="20" operator="equal">
      <formula>0</formula>
    </cfRule>
    <cfRule type="containsBlanks" dxfId="159" priority="21">
      <formula>LEN(TRIM(E18))=0</formula>
    </cfRule>
  </conditionalFormatting>
  <conditionalFormatting sqref="E18:X23">
    <cfRule type="notContainsBlanks" dxfId="158" priority="19">
      <formula>LEN(TRIM(E18))&gt;0</formula>
    </cfRule>
  </conditionalFormatting>
  <conditionalFormatting sqref="E17">
    <cfRule type="cellIs" dxfId="157" priority="17" operator="equal">
      <formula>0</formula>
    </cfRule>
    <cfRule type="containsBlanks" dxfId="156" priority="18">
      <formula>LEN(TRIM(E17))=0</formula>
    </cfRule>
  </conditionalFormatting>
  <conditionalFormatting sqref="E17">
    <cfRule type="notContainsBlanks" dxfId="155" priority="16">
      <formula>LEN(TRIM(E17))&gt;0</formula>
    </cfRule>
  </conditionalFormatting>
  <conditionalFormatting sqref="F17">
    <cfRule type="cellIs" dxfId="154" priority="14" operator="equal">
      <formula>0</formula>
    </cfRule>
    <cfRule type="containsBlanks" dxfId="153" priority="15">
      <formula>LEN(TRIM(F17))=0</formula>
    </cfRule>
  </conditionalFormatting>
  <conditionalFormatting sqref="F17">
    <cfRule type="notContainsBlanks" dxfId="152" priority="13">
      <formula>LEN(TRIM(F17))&gt;0</formula>
    </cfRule>
  </conditionalFormatting>
  <conditionalFormatting sqref="G17:X17">
    <cfRule type="cellIs" dxfId="151" priority="11" operator="equal">
      <formula>0</formula>
    </cfRule>
    <cfRule type="containsBlanks" dxfId="150" priority="12">
      <formula>LEN(TRIM(G17))=0</formula>
    </cfRule>
  </conditionalFormatting>
  <conditionalFormatting sqref="G17:X17">
    <cfRule type="notContainsBlanks" dxfId="149" priority="10">
      <formula>LEN(TRIM(G17))&gt;0</formula>
    </cfRule>
  </conditionalFormatting>
  <conditionalFormatting sqref="E25:X25">
    <cfRule type="cellIs" dxfId="148" priority="7" operator="equal">
      <formula>0</formula>
    </cfRule>
    <cfRule type="containsBlanks" dxfId="147" priority="9">
      <formula>LEN(TRIM(E25))=0</formula>
    </cfRule>
  </conditionalFormatting>
  <conditionalFormatting sqref="E25:X25">
    <cfRule type="notContainsBlanks" dxfId="146" priority="8">
      <formula>LEN(TRIM(E25))&gt;0</formula>
    </cfRule>
  </conditionalFormatting>
  <conditionalFormatting sqref="E27:X28">
    <cfRule type="cellIs" dxfId="145" priority="4" operator="equal">
      <formula>0</formula>
    </cfRule>
    <cfRule type="containsBlanks" dxfId="144" priority="6">
      <formula>LEN(TRIM(E27))=0</formula>
    </cfRule>
  </conditionalFormatting>
  <conditionalFormatting sqref="E27:X28">
    <cfRule type="notContainsBlanks" dxfId="143" priority="5">
      <formula>LEN(TRIM(E27))&gt;0</formula>
    </cfRule>
  </conditionalFormatting>
  <conditionalFormatting sqref="E6:X10">
    <cfRule type="cellIs" dxfId="142" priority="2" operator="equal">
      <formula>0</formula>
    </cfRule>
    <cfRule type="containsBlanks" dxfId="141" priority="3">
      <formula>LEN(TRIM(E6))=0</formula>
    </cfRule>
  </conditionalFormatting>
  <conditionalFormatting sqref="E6:X10">
    <cfRule type="notContainsBlanks" dxfId="140" priority="1">
      <formula>LEN(TRIM(E6))&gt;0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B4A2-F34A-4DBB-BD84-CF87F1BC0E41}">
  <dimension ref="A1:V24"/>
  <sheetViews>
    <sheetView zoomScale="85" zoomScaleNormal="85" workbookViewId="0">
      <selection activeCell="F1" sqref="F1:K1"/>
    </sheetView>
  </sheetViews>
  <sheetFormatPr baseColWidth="10" defaultRowHeight="19.5" x14ac:dyDescent="0.45"/>
  <cols>
    <col min="1" max="1" width="32.5546875" bestFit="1" customWidth="1"/>
    <col min="6" max="6" width="18.33203125" bestFit="1" customWidth="1"/>
    <col min="13" max="13" width="18.33203125" bestFit="1" customWidth="1"/>
  </cols>
  <sheetData>
    <row r="1" spans="1:22" x14ac:dyDescent="0.45">
      <c r="A1" s="193" t="s">
        <v>179</v>
      </c>
      <c r="B1" s="194"/>
      <c r="C1" s="194"/>
      <c r="D1" s="195"/>
      <c r="F1" s="196" t="s">
        <v>194</v>
      </c>
      <c r="G1" s="197"/>
      <c r="H1" s="197"/>
      <c r="I1" s="197"/>
      <c r="J1" s="197"/>
      <c r="K1" s="197"/>
      <c r="M1" s="193" t="s">
        <v>192</v>
      </c>
      <c r="N1" s="194"/>
      <c r="O1" s="194"/>
      <c r="P1" s="195"/>
      <c r="R1" s="196" t="s">
        <v>191</v>
      </c>
      <c r="S1" s="197"/>
      <c r="T1" s="197"/>
      <c r="U1" s="197"/>
      <c r="V1" s="197"/>
    </row>
    <row r="2" spans="1:22" x14ac:dyDescent="0.45">
      <c r="A2" s="183" t="s">
        <v>20</v>
      </c>
      <c r="B2" s="32" t="s">
        <v>21</v>
      </c>
      <c r="C2" s="32" t="s">
        <v>8</v>
      </c>
      <c r="D2" s="32" t="s">
        <v>9</v>
      </c>
      <c r="F2" s="183" t="s">
        <v>20</v>
      </c>
      <c r="G2" s="32" t="s">
        <v>21</v>
      </c>
      <c r="H2" s="32" t="s">
        <v>7</v>
      </c>
      <c r="I2" s="32" t="s">
        <v>8</v>
      </c>
      <c r="J2" s="32" t="s">
        <v>9</v>
      </c>
      <c r="K2" s="30" t="s">
        <v>10</v>
      </c>
      <c r="M2" s="183" t="s">
        <v>20</v>
      </c>
      <c r="N2" s="32" t="s">
        <v>21</v>
      </c>
      <c r="O2" s="32" t="s">
        <v>8</v>
      </c>
      <c r="P2" s="32" t="s">
        <v>9</v>
      </c>
      <c r="R2" s="183" t="s">
        <v>20</v>
      </c>
      <c r="S2" s="32" t="s">
        <v>21</v>
      </c>
      <c r="T2" s="32" t="s">
        <v>11</v>
      </c>
      <c r="U2" s="32" t="s">
        <v>9</v>
      </c>
      <c r="V2" s="32" t="s">
        <v>5</v>
      </c>
    </row>
    <row r="3" spans="1:22" x14ac:dyDescent="0.45">
      <c r="A3" s="183" t="s">
        <v>174</v>
      </c>
      <c r="B3" s="32">
        <v>750</v>
      </c>
      <c r="C3" s="179">
        <v>0.19500000000000001</v>
      </c>
      <c r="D3" s="179">
        <v>9.7500000000000003E-2</v>
      </c>
      <c r="F3" s="183" t="s">
        <v>182</v>
      </c>
      <c r="G3" s="32">
        <v>750</v>
      </c>
      <c r="H3" s="182"/>
      <c r="I3" s="179">
        <v>0.25</v>
      </c>
      <c r="J3" s="179">
        <v>0.2</v>
      </c>
      <c r="K3" s="182"/>
      <c r="M3" s="183" t="s">
        <v>174</v>
      </c>
      <c r="N3" s="32">
        <v>440</v>
      </c>
      <c r="O3" s="182" t="s">
        <v>188</v>
      </c>
      <c r="P3" s="179">
        <v>5.7200000000000008E-2</v>
      </c>
      <c r="R3" s="183" t="s">
        <v>193</v>
      </c>
      <c r="S3" s="32">
        <v>675</v>
      </c>
      <c r="T3" s="179">
        <v>0.23624999999999999</v>
      </c>
      <c r="U3" s="179">
        <v>8.7750000000000009E-2</v>
      </c>
      <c r="V3" s="182"/>
    </row>
    <row r="4" spans="1:22" x14ac:dyDescent="0.45">
      <c r="A4" s="183" t="s">
        <v>175</v>
      </c>
      <c r="B4" s="32">
        <v>50</v>
      </c>
      <c r="C4" s="182"/>
      <c r="D4" s="179">
        <v>0.01</v>
      </c>
      <c r="F4" s="183" t="s">
        <v>183</v>
      </c>
      <c r="G4" s="32">
        <v>50</v>
      </c>
      <c r="H4" s="179">
        <v>0.44</v>
      </c>
      <c r="I4" s="182"/>
      <c r="J4" s="179">
        <v>0</v>
      </c>
      <c r="K4" s="182"/>
      <c r="M4" s="183" t="s">
        <v>175</v>
      </c>
      <c r="N4" s="32">
        <v>180</v>
      </c>
      <c r="O4" s="179">
        <v>4.4999999999999998E-2</v>
      </c>
      <c r="P4" s="179">
        <v>3.6000000000000004E-2</v>
      </c>
      <c r="R4" s="183" t="s">
        <v>176</v>
      </c>
      <c r="S4" s="32">
        <v>75</v>
      </c>
      <c r="T4" s="182" t="s">
        <v>188</v>
      </c>
      <c r="U4" s="182" t="s">
        <v>188</v>
      </c>
      <c r="V4" s="182"/>
    </row>
    <row r="5" spans="1:22" x14ac:dyDescent="0.45">
      <c r="A5" s="183" t="s">
        <v>176</v>
      </c>
      <c r="B5" s="32">
        <v>150</v>
      </c>
      <c r="C5" s="179">
        <v>6.6000000000000003E-2</v>
      </c>
      <c r="D5" s="182"/>
      <c r="F5" s="183" t="s">
        <v>184</v>
      </c>
      <c r="G5" s="32">
        <v>150</v>
      </c>
      <c r="H5" s="179">
        <v>6.2E-2</v>
      </c>
      <c r="I5" s="179">
        <v>0.04</v>
      </c>
      <c r="J5" s="182"/>
      <c r="K5" s="179">
        <v>0.56899999999999995</v>
      </c>
      <c r="M5" s="183" t="s">
        <v>186</v>
      </c>
      <c r="N5" s="32">
        <v>70</v>
      </c>
      <c r="O5" s="182"/>
      <c r="P5" s="182" t="s">
        <v>188</v>
      </c>
      <c r="R5" s="183" t="s">
        <v>175</v>
      </c>
      <c r="S5" s="32">
        <v>50</v>
      </c>
      <c r="T5" s="182" t="s">
        <v>188</v>
      </c>
      <c r="U5" s="179">
        <v>0.01</v>
      </c>
      <c r="V5" s="182"/>
    </row>
    <row r="6" spans="1:22" x14ac:dyDescent="0.45">
      <c r="A6" s="183" t="s">
        <v>177</v>
      </c>
      <c r="B6" s="32">
        <v>50</v>
      </c>
      <c r="C6" s="179">
        <v>3.0999999999999999E-3</v>
      </c>
      <c r="D6" s="182"/>
      <c r="F6" s="198"/>
      <c r="G6" s="199"/>
      <c r="H6" s="199"/>
      <c r="I6" s="199"/>
      <c r="J6" s="199"/>
      <c r="K6" s="199"/>
      <c r="M6" s="183" t="s">
        <v>187</v>
      </c>
      <c r="N6" s="32">
        <v>310</v>
      </c>
      <c r="O6" s="179">
        <v>0.1116</v>
      </c>
      <c r="P6" s="182" t="s">
        <v>188</v>
      </c>
      <c r="R6" s="183" t="s">
        <v>177</v>
      </c>
      <c r="S6" s="32">
        <v>200</v>
      </c>
      <c r="T6" s="182" t="s">
        <v>188</v>
      </c>
      <c r="U6" s="182" t="s">
        <v>188</v>
      </c>
      <c r="V6" s="182"/>
    </row>
    <row r="7" spans="1:22" x14ac:dyDescent="0.45">
      <c r="A7" s="187"/>
      <c r="B7" s="188"/>
      <c r="C7" s="188"/>
      <c r="D7" s="189"/>
      <c r="F7" s="200"/>
      <c r="G7" s="201"/>
      <c r="H7" s="201"/>
      <c r="I7" s="201"/>
      <c r="J7" s="201"/>
      <c r="K7" s="201"/>
      <c r="M7" s="187"/>
      <c r="N7" s="188"/>
      <c r="O7" s="188"/>
      <c r="P7" s="189"/>
      <c r="R7" s="198"/>
      <c r="S7" s="199"/>
      <c r="T7" s="199"/>
      <c r="U7" s="199"/>
      <c r="V7" s="199"/>
    </row>
    <row r="8" spans="1:22" x14ac:dyDescent="0.45">
      <c r="A8" s="191" t="s">
        <v>172</v>
      </c>
      <c r="B8" s="192"/>
      <c r="C8" s="179">
        <v>0.2641</v>
      </c>
      <c r="D8" s="179">
        <v>0.1075</v>
      </c>
      <c r="F8" s="191" t="s">
        <v>172</v>
      </c>
      <c r="G8" s="192"/>
      <c r="H8" s="179">
        <v>0.19120000000000001</v>
      </c>
      <c r="I8" s="179">
        <v>3.6499999999999998E-2</v>
      </c>
      <c r="J8" s="179">
        <v>0.01</v>
      </c>
      <c r="K8" s="179">
        <v>0.34139999999999998</v>
      </c>
      <c r="M8" s="191" t="s">
        <v>172</v>
      </c>
      <c r="N8" s="192"/>
      <c r="O8" s="179">
        <v>0.15701999999999999</v>
      </c>
      <c r="P8" s="179">
        <v>9.3200000000000005E-2</v>
      </c>
      <c r="R8" s="191" t="s">
        <v>172</v>
      </c>
      <c r="S8" s="192"/>
      <c r="T8" s="179">
        <v>0.15701999999999999</v>
      </c>
      <c r="U8" s="179">
        <v>9.3200000000000005E-2</v>
      </c>
      <c r="V8" s="182"/>
    </row>
    <row r="9" spans="1:22" x14ac:dyDescent="0.45">
      <c r="A9" s="191" t="s">
        <v>178</v>
      </c>
      <c r="B9" s="192"/>
      <c r="C9" s="179">
        <v>0.21060000000000001</v>
      </c>
      <c r="D9" s="179">
        <v>0.15179999999999999</v>
      </c>
      <c r="F9" s="191" t="s">
        <v>178</v>
      </c>
      <c r="G9" s="192"/>
      <c r="H9" s="179">
        <v>0.1225</v>
      </c>
      <c r="I9" s="179">
        <v>2.52E-2</v>
      </c>
      <c r="J9" s="179">
        <v>1.2800000000000001E-2</v>
      </c>
      <c r="K9" s="179">
        <v>0.34820000000000001</v>
      </c>
      <c r="M9" s="191" t="s">
        <v>178</v>
      </c>
      <c r="N9" s="192"/>
      <c r="O9" s="179">
        <v>0.16500000000000001</v>
      </c>
      <c r="P9" s="185">
        <v>5.96E-2</v>
      </c>
      <c r="R9" s="191" t="s">
        <v>178</v>
      </c>
      <c r="S9" s="192"/>
      <c r="T9" s="179">
        <v>0.12809999999999999</v>
      </c>
      <c r="U9" s="185">
        <v>6.2899999999999998E-2</v>
      </c>
      <c r="V9" s="185">
        <v>2.3E-3</v>
      </c>
    </row>
    <row r="10" spans="1:22" x14ac:dyDescent="0.45">
      <c r="A10" s="191" t="s">
        <v>173</v>
      </c>
      <c r="B10" s="192"/>
      <c r="C10" s="179">
        <v>0.26</v>
      </c>
      <c r="D10" s="179">
        <v>0.1</v>
      </c>
      <c r="F10" s="191" t="s">
        <v>173</v>
      </c>
      <c r="G10" s="192"/>
      <c r="H10" s="179">
        <v>0.16</v>
      </c>
      <c r="I10" s="179">
        <v>0.01</v>
      </c>
      <c r="J10" s="179">
        <v>0.01</v>
      </c>
      <c r="K10" s="179">
        <v>0.3</v>
      </c>
      <c r="M10" s="191" t="s">
        <v>173</v>
      </c>
      <c r="N10" s="192"/>
      <c r="O10" s="179">
        <v>0.16</v>
      </c>
      <c r="P10" s="179">
        <v>0.08</v>
      </c>
      <c r="R10" s="191" t="s">
        <v>173</v>
      </c>
      <c r="S10" s="192"/>
      <c r="T10" s="179">
        <v>0.21</v>
      </c>
      <c r="U10" s="179">
        <v>7.0000000000000007E-2</v>
      </c>
      <c r="V10" s="179">
        <v>0.03</v>
      </c>
    </row>
    <row r="11" spans="1:22" x14ac:dyDescent="0.45">
      <c r="A11" s="187"/>
      <c r="B11" s="188"/>
      <c r="C11" s="188"/>
      <c r="D11" s="189"/>
      <c r="F11" s="187"/>
      <c r="G11" s="188"/>
      <c r="H11" s="188"/>
      <c r="I11" s="189"/>
      <c r="M11" s="187"/>
      <c r="N11" s="188"/>
      <c r="O11" s="188"/>
      <c r="P11" s="189"/>
      <c r="R11" s="187"/>
      <c r="S11" s="188"/>
      <c r="T11" s="188"/>
      <c r="U11" s="189"/>
    </row>
    <row r="12" spans="1:22" x14ac:dyDescent="0.45">
      <c r="A12" s="191" t="s">
        <v>169</v>
      </c>
      <c r="B12" s="192"/>
      <c r="C12" s="179">
        <v>1.4999999999999999E-2</v>
      </c>
      <c r="D12" s="179">
        <v>1.1062499999999999E-2</v>
      </c>
      <c r="F12" s="191" t="s">
        <v>169</v>
      </c>
      <c r="G12" s="192"/>
      <c r="H12" s="179">
        <v>1.4999999999999999E-2</v>
      </c>
      <c r="I12" s="179">
        <v>9.5624999999999998E-3</v>
      </c>
      <c r="J12" s="179">
        <v>3.7499999999999999E-3</v>
      </c>
      <c r="K12" t="s">
        <v>54</v>
      </c>
      <c r="M12" s="191" t="s">
        <v>169</v>
      </c>
      <c r="N12" s="192"/>
      <c r="O12" s="179">
        <v>1.4999999999999999E-2</v>
      </c>
      <c r="P12" s="179">
        <v>9.9900000000000006E-3</v>
      </c>
      <c r="R12" s="191" t="s">
        <v>169</v>
      </c>
      <c r="S12" s="192"/>
      <c r="T12" s="179">
        <v>1.4999999999999999E-2</v>
      </c>
      <c r="U12" s="179">
        <v>1.033125E-2</v>
      </c>
      <c r="V12" s="182">
        <v>1.4999999999999999E-2</v>
      </c>
    </row>
    <row r="13" spans="1:22" x14ac:dyDescent="0.45">
      <c r="A13" s="181"/>
      <c r="B13" s="180"/>
      <c r="C13" s="180"/>
      <c r="D13" s="177"/>
      <c r="F13" s="181"/>
      <c r="G13" s="180"/>
      <c r="H13" s="180"/>
      <c r="I13" s="177"/>
      <c r="M13" s="181"/>
      <c r="N13" s="180"/>
      <c r="O13" s="180"/>
      <c r="P13" s="177"/>
      <c r="R13" s="181"/>
      <c r="S13" s="180"/>
      <c r="T13" s="180"/>
      <c r="U13" s="177"/>
    </row>
    <row r="14" spans="1:22" x14ac:dyDescent="0.45">
      <c r="A14" s="191" t="s">
        <v>170</v>
      </c>
      <c r="B14" s="192"/>
      <c r="C14" s="179">
        <v>0.245</v>
      </c>
      <c r="D14" s="179">
        <v>8.8937500000000003E-2</v>
      </c>
      <c r="F14" s="191" t="s">
        <v>170</v>
      </c>
      <c r="G14" s="192"/>
      <c r="H14" s="179">
        <f>H15-H12</f>
        <v>0.14500000000000002</v>
      </c>
      <c r="I14" s="179">
        <v>3.0437499999999999E-2</v>
      </c>
      <c r="J14" s="179">
        <v>6.2500000000000003E-3</v>
      </c>
      <c r="M14" s="191" t="s">
        <v>170</v>
      </c>
      <c r="N14" s="192"/>
      <c r="O14" s="179">
        <v>0.14500000000000002</v>
      </c>
      <c r="P14" s="179">
        <v>7.0010000000000003E-2</v>
      </c>
      <c r="R14" s="191" t="s">
        <v>170</v>
      </c>
      <c r="S14" s="192"/>
      <c r="T14" s="179">
        <v>0.19500000000000001</v>
      </c>
      <c r="U14" s="179">
        <v>5.9668750000000007E-2</v>
      </c>
      <c r="V14" s="179">
        <f>V15-V12</f>
        <v>1.4999999999999999E-2</v>
      </c>
    </row>
    <row r="15" spans="1:22" x14ac:dyDescent="0.45">
      <c r="A15" s="191" t="s">
        <v>173</v>
      </c>
      <c r="B15" s="192"/>
      <c r="C15" s="179">
        <v>0.26</v>
      </c>
      <c r="D15" s="179">
        <v>0.1</v>
      </c>
      <c r="F15" s="191" t="s">
        <v>173</v>
      </c>
      <c r="G15" s="192"/>
      <c r="H15" s="179">
        <f>H10</f>
        <v>0.16</v>
      </c>
      <c r="I15" s="179">
        <f t="shared" ref="I15:K15" si="0">I10</f>
        <v>0.01</v>
      </c>
      <c r="J15" s="179">
        <f t="shared" si="0"/>
        <v>0.01</v>
      </c>
      <c r="K15" s="179">
        <f t="shared" si="0"/>
        <v>0.3</v>
      </c>
      <c r="M15" s="191" t="s">
        <v>173</v>
      </c>
      <c r="N15" s="192"/>
      <c r="O15" s="179">
        <v>0.16</v>
      </c>
      <c r="P15" s="179">
        <v>0.08</v>
      </c>
      <c r="R15" s="191" t="s">
        <v>173</v>
      </c>
      <c r="S15" s="192"/>
      <c r="T15" s="179">
        <v>0.21</v>
      </c>
      <c r="U15" s="179">
        <v>7.0000000000000007E-2</v>
      </c>
      <c r="V15" s="179">
        <v>0.03</v>
      </c>
    </row>
    <row r="16" spans="1:22" x14ac:dyDescent="0.45">
      <c r="A16" s="191" t="s">
        <v>171</v>
      </c>
      <c r="B16" s="192"/>
      <c r="C16" s="179">
        <v>0.27500000000000002</v>
      </c>
      <c r="D16" s="179">
        <v>0.11106250000000001</v>
      </c>
      <c r="F16" s="191" t="s">
        <v>171</v>
      </c>
      <c r="G16" s="192"/>
      <c r="H16" s="179">
        <f>H15+H12</f>
        <v>0.17499999999999999</v>
      </c>
      <c r="I16" s="179">
        <v>4.9562500000000002E-2</v>
      </c>
      <c r="J16" s="179">
        <v>1.375E-2</v>
      </c>
      <c r="M16" s="191" t="s">
        <v>171</v>
      </c>
      <c r="N16" s="192"/>
      <c r="O16" s="179">
        <v>0.17499999999999999</v>
      </c>
      <c r="P16" s="179">
        <v>8.9990000000000001E-2</v>
      </c>
      <c r="R16" s="191" t="s">
        <v>171</v>
      </c>
      <c r="S16" s="192"/>
      <c r="T16" s="179">
        <v>0.22499999999999998</v>
      </c>
      <c r="U16" s="179">
        <v>8.0331250000000007E-2</v>
      </c>
      <c r="V16" s="179">
        <f>V15+V12</f>
        <v>4.4999999999999998E-2</v>
      </c>
    </row>
    <row r="17" spans="1:22" x14ac:dyDescent="0.45">
      <c r="A17" s="187"/>
      <c r="B17" s="188"/>
      <c r="C17" s="188"/>
      <c r="D17" s="189"/>
      <c r="F17" s="187"/>
      <c r="G17" s="188"/>
      <c r="H17" s="188"/>
      <c r="I17" s="189"/>
      <c r="M17" s="187"/>
      <c r="N17" s="188"/>
      <c r="O17" s="188"/>
      <c r="P17" s="189"/>
      <c r="R17" s="187"/>
      <c r="S17" s="188"/>
      <c r="T17" s="188"/>
      <c r="U17" s="189"/>
    </row>
    <row r="18" spans="1:22" x14ac:dyDescent="0.45">
      <c r="A18" s="190" t="s">
        <v>180</v>
      </c>
      <c r="B18" s="190"/>
      <c r="C18" s="179" t="str">
        <f>IF(C9&lt;C14,"NO",IF(C9&gt;C16,"NO","SI"))</f>
        <v>NO</v>
      </c>
      <c r="D18" s="179" t="str">
        <f>IF(D9&lt;D14,"NO",IF(D9&gt;D16,"NO","SI"))</f>
        <v>NO</v>
      </c>
      <c r="F18" s="190" t="s">
        <v>180</v>
      </c>
      <c r="G18" s="190"/>
      <c r="H18" s="179" t="str">
        <f>IF(H9&lt;H14,"NO",IF(I9&gt;H16,"NO","SI"))</f>
        <v>NO</v>
      </c>
      <c r="I18" s="179" t="str">
        <f>IF(I9&lt;I14,"NO",IF(J9&gt;I16,"NO","SI"))</f>
        <v>NO</v>
      </c>
      <c r="J18" s="179" t="str">
        <f>IF(K9&lt;J14,"NO",IF(K9&gt;J16,"NO","SI"))</f>
        <v>NO</v>
      </c>
      <c r="M18" s="190" t="s">
        <v>180</v>
      </c>
      <c r="N18" s="190"/>
      <c r="O18" s="179" t="str">
        <f>IF(O9&lt;O14,"NO",IF(O9&gt;O16,"NO","SI"))</f>
        <v>SI</v>
      </c>
      <c r="P18" s="179" t="str">
        <f>IF(P9&lt;P14,"NO",IF(P9&gt;P16,"NO","SI"))</f>
        <v>NO</v>
      </c>
      <c r="R18" s="190" t="s">
        <v>180</v>
      </c>
      <c r="S18" s="190"/>
      <c r="T18" s="179" t="str">
        <f>IF(T9&lt;T14,"NO",IF(T9&gt;T16,"NO","SI"))</f>
        <v>NO</v>
      </c>
      <c r="U18" s="179" t="str">
        <f>IF(U9&lt;U14,"NO",IF(U9&gt;U16,"NO","SI"))</f>
        <v>SI</v>
      </c>
      <c r="V18" s="179" t="str">
        <f>IF(V9&lt;V14,"NO",IF(V9&gt;V16,"NO","SI"))</f>
        <v>NO</v>
      </c>
    </row>
    <row r="19" spans="1:22" x14ac:dyDescent="0.45">
      <c r="A19" s="186" t="s">
        <v>178</v>
      </c>
      <c r="B19" s="186"/>
      <c r="C19" s="184">
        <v>0.21060000000000001</v>
      </c>
      <c r="D19" s="184">
        <v>0.15179999999999999</v>
      </c>
      <c r="F19" s="186" t="s">
        <v>178</v>
      </c>
      <c r="G19" s="186"/>
      <c r="H19" s="184">
        <v>0.1225</v>
      </c>
      <c r="I19" s="184">
        <v>0.01</v>
      </c>
      <c r="J19" s="184">
        <v>1.2800000000000001E-2</v>
      </c>
      <c r="K19" s="184">
        <v>0.34820000000000001</v>
      </c>
      <c r="M19" s="186" t="s">
        <v>178</v>
      </c>
      <c r="N19" s="186"/>
      <c r="O19" s="184">
        <f>O9</f>
        <v>0.16500000000000001</v>
      </c>
      <c r="P19" s="184">
        <f>P9</f>
        <v>5.96E-2</v>
      </c>
      <c r="R19" s="186" t="s">
        <v>178</v>
      </c>
      <c r="S19" s="186"/>
      <c r="T19" s="184">
        <f>T9</f>
        <v>0.12809999999999999</v>
      </c>
      <c r="U19" s="184">
        <f>U9</f>
        <v>6.2899999999999998E-2</v>
      </c>
      <c r="V19" s="184">
        <f>V9</f>
        <v>2.3E-3</v>
      </c>
    </row>
    <row r="24" spans="1:22" x14ac:dyDescent="0.45">
      <c r="C24" s="178"/>
      <c r="D24" s="178"/>
    </row>
  </sheetData>
  <mergeCells count="53">
    <mergeCell ref="A7:D7"/>
    <mergeCell ref="F7:K7"/>
    <mergeCell ref="M7:P7"/>
    <mergeCell ref="R7:V7"/>
    <mergeCell ref="A1:D1"/>
    <mergeCell ref="F1:K1"/>
    <mergeCell ref="M1:P1"/>
    <mergeCell ref="R1:V1"/>
    <mergeCell ref="F6:K6"/>
    <mergeCell ref="A8:B8"/>
    <mergeCell ref="F8:G8"/>
    <mergeCell ref="M8:N8"/>
    <mergeCell ref="R8:S8"/>
    <mergeCell ref="A9:B9"/>
    <mergeCell ref="F9:G9"/>
    <mergeCell ref="M9:N9"/>
    <mergeCell ref="R9:S9"/>
    <mergeCell ref="A10:B10"/>
    <mergeCell ref="F10:G10"/>
    <mergeCell ref="M10:N10"/>
    <mergeCell ref="R10:S10"/>
    <mergeCell ref="A11:D11"/>
    <mergeCell ref="F11:I11"/>
    <mergeCell ref="M11:P11"/>
    <mergeCell ref="R11:U11"/>
    <mergeCell ref="A12:B12"/>
    <mergeCell ref="F12:G12"/>
    <mergeCell ref="M12:N12"/>
    <mergeCell ref="R12:S12"/>
    <mergeCell ref="A14:B14"/>
    <mergeCell ref="F14:G14"/>
    <mergeCell ref="M14:N14"/>
    <mergeCell ref="R14:S14"/>
    <mergeCell ref="A15:B15"/>
    <mergeCell ref="F15:G15"/>
    <mergeCell ref="M15:N15"/>
    <mergeCell ref="R15:S15"/>
    <mergeCell ref="A16:B16"/>
    <mergeCell ref="F16:G16"/>
    <mergeCell ref="M16:N16"/>
    <mergeCell ref="R16:S16"/>
    <mergeCell ref="A19:B19"/>
    <mergeCell ref="F19:G19"/>
    <mergeCell ref="M19:N19"/>
    <mergeCell ref="R19:S19"/>
    <mergeCell ref="A17:D17"/>
    <mergeCell ref="F17:I17"/>
    <mergeCell ref="M17:P17"/>
    <mergeCell ref="R17:U17"/>
    <mergeCell ref="A18:B18"/>
    <mergeCell ref="F18:G18"/>
    <mergeCell ref="M18:N18"/>
    <mergeCell ref="R18:S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E7CC-4D6C-4759-A40F-46B68ED88D99}">
  <dimension ref="A1:V24"/>
  <sheetViews>
    <sheetView topLeftCell="C1" zoomScale="85" zoomScaleNormal="85" workbookViewId="0">
      <selection activeCell="S30" sqref="S30"/>
    </sheetView>
  </sheetViews>
  <sheetFormatPr baseColWidth="10" defaultRowHeight="19.5" x14ac:dyDescent="0.45"/>
  <cols>
    <col min="1" max="1" width="32.5546875" bestFit="1" customWidth="1"/>
    <col min="6" max="6" width="18.33203125" bestFit="1" customWidth="1"/>
    <col min="13" max="13" width="18.33203125" bestFit="1" customWidth="1"/>
  </cols>
  <sheetData>
    <row r="1" spans="1:22" x14ac:dyDescent="0.45">
      <c r="A1" s="193" t="s">
        <v>179</v>
      </c>
      <c r="B1" s="194"/>
      <c r="C1" s="194"/>
      <c r="D1" s="195"/>
      <c r="F1" s="196" t="s">
        <v>179</v>
      </c>
      <c r="G1" s="197"/>
      <c r="H1" s="197"/>
      <c r="I1" s="197"/>
      <c r="J1" s="197"/>
      <c r="K1" s="197"/>
      <c r="M1" s="193" t="s">
        <v>192</v>
      </c>
      <c r="N1" s="194"/>
      <c r="O1" s="194"/>
      <c r="P1" s="195"/>
      <c r="R1" s="196" t="s">
        <v>191</v>
      </c>
      <c r="S1" s="197"/>
      <c r="T1" s="197"/>
      <c r="U1" s="197"/>
      <c r="V1" s="197"/>
    </row>
    <row r="2" spans="1:22" x14ac:dyDescent="0.45">
      <c r="A2" s="183" t="s">
        <v>20</v>
      </c>
      <c r="B2" s="32" t="s">
        <v>21</v>
      </c>
      <c r="C2" s="32" t="s">
        <v>8</v>
      </c>
      <c r="D2" s="32" t="s">
        <v>9</v>
      </c>
      <c r="F2" s="183" t="s">
        <v>20</v>
      </c>
      <c r="G2" s="32" t="s">
        <v>21</v>
      </c>
      <c r="H2" s="32" t="s">
        <v>7</v>
      </c>
      <c r="I2" s="32" t="s">
        <v>8</v>
      </c>
      <c r="J2" s="32" t="s">
        <v>9</v>
      </c>
      <c r="K2" s="30" t="s">
        <v>10</v>
      </c>
      <c r="M2" s="183" t="s">
        <v>20</v>
      </c>
      <c r="N2" s="32" t="s">
        <v>21</v>
      </c>
      <c r="O2" s="32" t="s">
        <v>8</v>
      </c>
      <c r="P2" s="32" t="s">
        <v>9</v>
      </c>
      <c r="R2" s="183" t="s">
        <v>20</v>
      </c>
      <c r="S2" s="32" t="s">
        <v>21</v>
      </c>
      <c r="T2" s="32" t="s">
        <v>11</v>
      </c>
      <c r="U2" s="32" t="s">
        <v>9</v>
      </c>
      <c r="V2" s="32" t="s">
        <v>5</v>
      </c>
    </row>
    <row r="3" spans="1:22" x14ac:dyDescent="0.45">
      <c r="A3" s="183" t="s">
        <v>174</v>
      </c>
      <c r="B3" s="32">
        <v>750</v>
      </c>
      <c r="C3" s="179">
        <v>0.19500000000000001</v>
      </c>
      <c r="D3" s="179">
        <v>9.7500000000000003E-2</v>
      </c>
      <c r="F3" s="183" t="s">
        <v>182</v>
      </c>
      <c r="G3" s="32">
        <v>750</v>
      </c>
      <c r="H3" s="182"/>
      <c r="I3" s="179">
        <v>0.25</v>
      </c>
      <c r="J3" s="179">
        <v>0.2</v>
      </c>
      <c r="K3" s="182"/>
      <c r="M3" s="183" t="s">
        <v>174</v>
      </c>
      <c r="N3" s="32">
        <v>440</v>
      </c>
      <c r="O3" s="182" t="s">
        <v>188</v>
      </c>
      <c r="P3" s="179">
        <v>5.7200000000000008E-2</v>
      </c>
      <c r="R3" s="183" t="s">
        <v>193</v>
      </c>
      <c r="S3" s="32">
        <v>675</v>
      </c>
      <c r="T3" s="179">
        <v>0.23624999999999999</v>
      </c>
      <c r="U3" s="179">
        <v>8.7750000000000009E-2</v>
      </c>
      <c r="V3" s="182"/>
    </row>
    <row r="4" spans="1:22" x14ac:dyDescent="0.45">
      <c r="A4" s="183" t="s">
        <v>175</v>
      </c>
      <c r="B4" s="32">
        <v>50</v>
      </c>
      <c r="C4" s="182"/>
      <c r="D4" s="179">
        <v>0.01</v>
      </c>
      <c r="F4" s="183" t="s">
        <v>183</v>
      </c>
      <c r="G4" s="32">
        <v>50</v>
      </c>
      <c r="H4" s="179">
        <v>0.44</v>
      </c>
      <c r="I4" s="182"/>
      <c r="J4" s="179">
        <v>0</v>
      </c>
      <c r="K4" s="182"/>
      <c r="M4" s="183" t="s">
        <v>175</v>
      </c>
      <c r="N4" s="32">
        <v>180</v>
      </c>
      <c r="O4" s="179">
        <v>4.4999999999999998E-2</v>
      </c>
      <c r="P4" s="179">
        <v>3.6000000000000004E-2</v>
      </c>
      <c r="R4" s="183" t="s">
        <v>176</v>
      </c>
      <c r="S4" s="32">
        <v>75</v>
      </c>
      <c r="T4" s="182" t="s">
        <v>188</v>
      </c>
      <c r="U4" s="182" t="s">
        <v>188</v>
      </c>
      <c r="V4" s="182"/>
    </row>
    <row r="5" spans="1:22" x14ac:dyDescent="0.45">
      <c r="A5" s="183" t="s">
        <v>176</v>
      </c>
      <c r="B5" s="32">
        <v>150</v>
      </c>
      <c r="C5" s="179">
        <v>6.6000000000000003E-2</v>
      </c>
      <c r="D5" s="182"/>
      <c r="F5" s="183" t="s">
        <v>184</v>
      </c>
      <c r="G5" s="32">
        <v>150</v>
      </c>
      <c r="H5" s="179">
        <v>6.2E-2</v>
      </c>
      <c r="I5" s="179">
        <v>0.04</v>
      </c>
      <c r="J5" s="182"/>
      <c r="K5" s="179">
        <v>0.56899999999999995</v>
      </c>
      <c r="M5" s="183" t="s">
        <v>186</v>
      </c>
      <c r="N5" s="32">
        <v>70</v>
      </c>
      <c r="O5" s="182"/>
      <c r="P5" s="182" t="s">
        <v>188</v>
      </c>
      <c r="R5" s="183" t="s">
        <v>175</v>
      </c>
      <c r="S5" s="32">
        <v>50</v>
      </c>
      <c r="T5" s="182" t="s">
        <v>188</v>
      </c>
      <c r="U5" s="179">
        <v>0.01</v>
      </c>
      <c r="V5" s="182"/>
    </row>
    <row r="6" spans="1:22" x14ac:dyDescent="0.45">
      <c r="A6" s="183" t="s">
        <v>177</v>
      </c>
      <c r="B6" s="32">
        <v>50</v>
      </c>
      <c r="C6" s="179">
        <v>3.0999999999999999E-3</v>
      </c>
      <c r="D6" s="182"/>
      <c r="F6" s="198"/>
      <c r="G6" s="199"/>
      <c r="H6" s="199"/>
      <c r="I6" s="199"/>
      <c r="J6" s="199"/>
      <c r="K6" s="199"/>
      <c r="M6" s="183" t="s">
        <v>187</v>
      </c>
      <c r="N6" s="32">
        <v>310</v>
      </c>
      <c r="O6" s="179">
        <v>0.1116</v>
      </c>
      <c r="P6" s="182" t="s">
        <v>188</v>
      </c>
      <c r="R6" s="183" t="s">
        <v>177</v>
      </c>
      <c r="S6" s="32">
        <v>200</v>
      </c>
      <c r="T6" s="182" t="s">
        <v>188</v>
      </c>
      <c r="U6" s="182" t="s">
        <v>188</v>
      </c>
      <c r="V6" s="182"/>
    </row>
    <row r="7" spans="1:22" x14ac:dyDescent="0.45">
      <c r="A7" s="187"/>
      <c r="B7" s="188"/>
      <c r="C7" s="188"/>
      <c r="D7" s="189"/>
      <c r="F7" s="200"/>
      <c r="G7" s="201"/>
      <c r="H7" s="201"/>
      <c r="I7" s="201"/>
      <c r="J7" s="201"/>
      <c r="K7" s="201"/>
      <c r="M7" s="187"/>
      <c r="N7" s="188"/>
      <c r="O7" s="188"/>
      <c r="P7" s="189"/>
      <c r="R7" s="198"/>
      <c r="S7" s="199"/>
      <c r="T7" s="199"/>
      <c r="U7" s="199"/>
      <c r="V7" s="199"/>
    </row>
    <row r="8" spans="1:22" x14ac:dyDescent="0.45">
      <c r="A8" s="191" t="s">
        <v>172</v>
      </c>
      <c r="B8" s="192"/>
      <c r="C8" s="179">
        <v>0.2641</v>
      </c>
      <c r="D8" s="179">
        <v>0.1075</v>
      </c>
      <c r="F8" s="191" t="s">
        <v>172</v>
      </c>
      <c r="G8" s="192"/>
      <c r="H8" s="179">
        <v>0.19120000000000001</v>
      </c>
      <c r="I8" s="179">
        <v>3.6499999999999998E-2</v>
      </c>
      <c r="J8" s="179">
        <v>0.01</v>
      </c>
      <c r="K8" s="179">
        <v>0.34139999999999998</v>
      </c>
      <c r="M8" s="191" t="s">
        <v>172</v>
      </c>
      <c r="N8" s="192"/>
      <c r="O8" s="179">
        <v>0.15701999999999999</v>
      </c>
      <c r="P8" s="179">
        <v>9.3200000000000005E-2</v>
      </c>
      <c r="R8" s="191" t="s">
        <v>172</v>
      </c>
      <c r="S8" s="192"/>
      <c r="T8" s="179">
        <v>0.15701999999999999</v>
      </c>
      <c r="U8" s="179">
        <v>9.3200000000000005E-2</v>
      </c>
      <c r="V8" s="182"/>
    </row>
    <row r="9" spans="1:22" x14ac:dyDescent="0.45">
      <c r="A9" s="191" t="s">
        <v>178</v>
      </c>
      <c r="B9" s="192"/>
      <c r="C9" s="179">
        <v>0.21060000000000001</v>
      </c>
      <c r="D9" s="179">
        <v>0.15179999999999999</v>
      </c>
      <c r="F9" s="191" t="s">
        <v>178</v>
      </c>
      <c r="G9" s="192"/>
      <c r="H9" s="179">
        <v>0.1225</v>
      </c>
      <c r="I9" s="179">
        <v>2.52E-2</v>
      </c>
      <c r="J9" s="179">
        <v>1.2800000000000001E-2</v>
      </c>
      <c r="K9" s="179">
        <v>0.34820000000000001</v>
      </c>
      <c r="M9" s="191" t="s">
        <v>178</v>
      </c>
      <c r="N9" s="192"/>
      <c r="O9" s="179">
        <v>0.16500000000000001</v>
      </c>
      <c r="P9" s="185">
        <v>5.96E-2</v>
      </c>
      <c r="R9" s="191" t="s">
        <v>178</v>
      </c>
      <c r="S9" s="192"/>
      <c r="T9" s="179">
        <v>0.12809999999999999</v>
      </c>
      <c r="U9" s="185">
        <v>6.2899999999999998E-2</v>
      </c>
      <c r="V9" s="185">
        <v>2.3E-3</v>
      </c>
    </row>
    <row r="10" spans="1:22" x14ac:dyDescent="0.45">
      <c r="A10" s="191" t="s">
        <v>173</v>
      </c>
      <c r="B10" s="192"/>
      <c r="C10" s="179">
        <v>0.26</v>
      </c>
      <c r="D10" s="179">
        <v>0.1</v>
      </c>
      <c r="F10" s="191" t="s">
        <v>173</v>
      </c>
      <c r="G10" s="192"/>
      <c r="H10" s="179">
        <v>0.16</v>
      </c>
      <c r="I10" s="179">
        <v>0.01</v>
      </c>
      <c r="J10" s="179">
        <v>0.01</v>
      </c>
      <c r="K10" s="179">
        <v>0.3</v>
      </c>
      <c r="M10" s="191" t="s">
        <v>173</v>
      </c>
      <c r="N10" s="192"/>
      <c r="O10" s="179">
        <v>0.16</v>
      </c>
      <c r="P10" s="179">
        <v>0.08</v>
      </c>
      <c r="R10" s="191" t="s">
        <v>173</v>
      </c>
      <c r="S10" s="192"/>
      <c r="T10" s="179">
        <v>0.16</v>
      </c>
      <c r="U10" s="179">
        <v>0.08</v>
      </c>
      <c r="V10" s="182"/>
    </row>
    <row r="11" spans="1:22" x14ac:dyDescent="0.45">
      <c r="A11" s="187"/>
      <c r="B11" s="188"/>
      <c r="C11" s="188"/>
      <c r="D11" s="189"/>
      <c r="F11" s="187"/>
      <c r="G11" s="188"/>
      <c r="H11" s="188"/>
      <c r="I11" s="189"/>
      <c r="M11" s="187"/>
      <c r="N11" s="188"/>
      <c r="O11" s="188"/>
      <c r="P11" s="189"/>
      <c r="R11" s="187"/>
      <c r="S11" s="188"/>
      <c r="T11" s="188"/>
      <c r="U11" s="189"/>
    </row>
    <row r="12" spans="1:22" x14ac:dyDescent="0.45">
      <c r="A12" s="191" t="s">
        <v>169</v>
      </c>
      <c r="B12" s="192"/>
      <c r="C12" s="179">
        <v>1.4999999999999999E-2</v>
      </c>
      <c r="D12" s="179">
        <v>1.1062499999999999E-2</v>
      </c>
      <c r="F12" s="191" t="s">
        <v>169</v>
      </c>
      <c r="G12" s="192"/>
      <c r="H12" s="179">
        <v>1.4999999999999999E-2</v>
      </c>
      <c r="I12" s="179">
        <v>9.5624999999999998E-3</v>
      </c>
      <c r="J12" s="179">
        <v>3.7499999999999999E-3</v>
      </c>
      <c r="K12" t="s">
        <v>54</v>
      </c>
      <c r="M12" s="191" t="s">
        <v>169</v>
      </c>
      <c r="N12" s="192"/>
      <c r="O12" s="179">
        <v>1.4999999999999999E-2</v>
      </c>
      <c r="P12" s="179">
        <v>9.9900000000000006E-3</v>
      </c>
      <c r="R12" s="191" t="s">
        <v>169</v>
      </c>
      <c r="S12" s="192"/>
      <c r="T12" s="179">
        <v>1.4999999999999999E-2</v>
      </c>
      <c r="U12" s="179">
        <v>1.033125E-2</v>
      </c>
      <c r="V12" s="182">
        <v>1.4999999999999999E-2</v>
      </c>
    </row>
    <row r="13" spans="1:22" x14ac:dyDescent="0.45">
      <c r="A13" s="181"/>
      <c r="B13" s="180"/>
      <c r="C13" s="180"/>
      <c r="D13" s="177"/>
      <c r="F13" s="181"/>
      <c r="G13" s="180"/>
      <c r="H13" s="180"/>
      <c r="I13" s="177"/>
      <c r="M13" s="181"/>
      <c r="N13" s="180"/>
      <c r="O13" s="180"/>
      <c r="P13" s="177"/>
      <c r="R13" s="181"/>
      <c r="S13" s="180"/>
      <c r="T13" s="180"/>
      <c r="U13" s="177"/>
    </row>
    <row r="14" spans="1:22" x14ac:dyDescent="0.45">
      <c r="A14" s="191" t="s">
        <v>170</v>
      </c>
      <c r="B14" s="192"/>
      <c r="C14" s="179">
        <v>0.245</v>
      </c>
      <c r="D14" s="179">
        <v>8.8937500000000003E-2</v>
      </c>
      <c r="F14" s="191" t="s">
        <v>170</v>
      </c>
      <c r="G14" s="192"/>
      <c r="H14" s="179">
        <f>H15-H12</f>
        <v>0.14500000000000002</v>
      </c>
      <c r="I14" s="179">
        <v>3.0437499999999999E-2</v>
      </c>
      <c r="J14" s="179">
        <v>6.2500000000000003E-3</v>
      </c>
      <c r="M14" s="191" t="s">
        <v>170</v>
      </c>
      <c r="N14" s="192"/>
      <c r="O14" s="179">
        <v>0.14500000000000002</v>
      </c>
      <c r="P14" s="179">
        <v>7.0010000000000003E-2</v>
      </c>
      <c r="R14" s="191" t="s">
        <v>170</v>
      </c>
      <c r="S14" s="192"/>
      <c r="T14" s="179">
        <v>0.19500000000000001</v>
      </c>
      <c r="U14" s="179">
        <v>5.9668750000000007E-2</v>
      </c>
      <c r="V14" s="179">
        <f>V15-V12</f>
        <v>1.4999999999999999E-2</v>
      </c>
    </row>
    <row r="15" spans="1:22" x14ac:dyDescent="0.45">
      <c r="A15" s="191" t="s">
        <v>173</v>
      </c>
      <c r="B15" s="192"/>
      <c r="C15" s="179">
        <v>0.26</v>
      </c>
      <c r="D15" s="179">
        <v>0.1</v>
      </c>
      <c r="F15" s="191" t="s">
        <v>173</v>
      </c>
      <c r="G15" s="192"/>
      <c r="H15" s="179">
        <f>H10</f>
        <v>0.16</v>
      </c>
      <c r="I15" s="179">
        <f t="shared" ref="I15:K15" si="0">I10</f>
        <v>0.01</v>
      </c>
      <c r="J15" s="179">
        <f t="shared" si="0"/>
        <v>0.01</v>
      </c>
      <c r="K15" s="179">
        <f t="shared" si="0"/>
        <v>0.3</v>
      </c>
      <c r="M15" s="191" t="s">
        <v>173</v>
      </c>
      <c r="N15" s="192"/>
      <c r="O15" s="179">
        <v>0.16</v>
      </c>
      <c r="P15" s="179">
        <v>0.08</v>
      </c>
      <c r="R15" s="191" t="s">
        <v>173</v>
      </c>
      <c r="S15" s="192"/>
      <c r="T15" s="179">
        <v>0.21</v>
      </c>
      <c r="U15" s="179">
        <v>7.0000000000000007E-2</v>
      </c>
      <c r="V15" s="179">
        <v>0.03</v>
      </c>
    </row>
    <row r="16" spans="1:22" x14ac:dyDescent="0.45">
      <c r="A16" s="191" t="s">
        <v>171</v>
      </c>
      <c r="B16" s="192"/>
      <c r="C16" s="179">
        <v>0.27500000000000002</v>
      </c>
      <c r="D16" s="179">
        <v>0.11106250000000001</v>
      </c>
      <c r="F16" s="191" t="s">
        <v>171</v>
      </c>
      <c r="G16" s="192"/>
      <c r="H16" s="179">
        <f>H15+H12</f>
        <v>0.17499999999999999</v>
      </c>
      <c r="I16" s="179">
        <v>4.9562500000000002E-2</v>
      </c>
      <c r="J16" s="179">
        <v>1.375E-2</v>
      </c>
      <c r="M16" s="191" t="s">
        <v>171</v>
      </c>
      <c r="N16" s="192"/>
      <c r="O16" s="179">
        <v>0.17499999999999999</v>
      </c>
      <c r="P16" s="179">
        <v>8.9990000000000001E-2</v>
      </c>
      <c r="R16" s="191" t="s">
        <v>171</v>
      </c>
      <c r="S16" s="192"/>
      <c r="T16" s="179">
        <v>0.22499999999999998</v>
      </c>
      <c r="U16" s="179">
        <v>8.0331250000000007E-2</v>
      </c>
      <c r="V16" s="179">
        <f>V15+V12</f>
        <v>4.4999999999999998E-2</v>
      </c>
    </row>
    <row r="17" spans="1:22" x14ac:dyDescent="0.45">
      <c r="A17" s="187"/>
      <c r="B17" s="188"/>
      <c r="C17" s="188"/>
      <c r="D17" s="189"/>
      <c r="F17" s="187"/>
      <c r="G17" s="188"/>
      <c r="H17" s="188"/>
      <c r="I17" s="189"/>
      <c r="M17" s="187"/>
      <c r="N17" s="188"/>
      <c r="O17" s="188"/>
      <c r="P17" s="189"/>
      <c r="R17" s="187"/>
      <c r="S17" s="188"/>
      <c r="T17" s="188"/>
      <c r="U17" s="189"/>
    </row>
    <row r="18" spans="1:22" x14ac:dyDescent="0.45">
      <c r="A18" s="190" t="s">
        <v>180</v>
      </c>
      <c r="B18" s="190"/>
      <c r="C18" s="179" t="str">
        <f>IF(C9&lt;C14,"NO",IF(C9&gt;C16,"NO","SI"))</f>
        <v>NO</v>
      </c>
      <c r="D18" s="179" t="str">
        <f>IF(D9&lt;D14,"NO",IF(D9&gt;D16,"NO","SI"))</f>
        <v>NO</v>
      </c>
      <c r="F18" s="190" t="s">
        <v>180</v>
      </c>
      <c r="G18" s="190"/>
      <c r="H18" s="179" t="str">
        <f>IF(H9&lt;H14,"NO",IF(I9&gt;H16,"NO","SI"))</f>
        <v>NO</v>
      </c>
      <c r="I18" s="179" t="str">
        <f>IF(I9&lt;I14,"NO",IF(J9&gt;I16,"NO","SI"))</f>
        <v>NO</v>
      </c>
      <c r="J18" s="179" t="str">
        <f>IF(K9&lt;J14,"NO",IF(K9&gt;J16,"NO","SI"))</f>
        <v>NO</v>
      </c>
      <c r="M18" s="190" t="s">
        <v>180</v>
      </c>
      <c r="N18" s="190"/>
      <c r="O18" s="179" t="str">
        <f>IF(O9&lt;O14,"NO",IF(O9&gt;O16,"NO","SI"))</f>
        <v>SI</v>
      </c>
      <c r="P18" s="179" t="str">
        <f>IF(P9&lt;P14,"NO",IF(P9&gt;P16,"NO","SI"))</f>
        <v>NO</v>
      </c>
      <c r="R18" s="190" t="s">
        <v>180</v>
      </c>
      <c r="S18" s="190"/>
      <c r="T18" s="179" t="str">
        <f>IF(T9&lt;T14,"NO",IF(T9&gt;T16,"NO","SI"))</f>
        <v>NO</v>
      </c>
      <c r="U18" s="179" t="str">
        <f>IF(U9&lt;U14,"NO",IF(U9&gt;U16,"NO","SI"))</f>
        <v>SI</v>
      </c>
      <c r="V18" s="179" t="str">
        <f>IF(V9&lt;V14,"NO",IF(V9&gt;V16,"NO","SI"))</f>
        <v>NO</v>
      </c>
    </row>
    <row r="19" spans="1:22" x14ac:dyDescent="0.45">
      <c r="A19" s="186" t="s">
        <v>178</v>
      </c>
      <c r="B19" s="186"/>
      <c r="C19" s="184">
        <v>0.21060000000000001</v>
      </c>
      <c r="D19" s="184">
        <v>0.15179999999999999</v>
      </c>
      <c r="F19" s="186" t="s">
        <v>178</v>
      </c>
      <c r="G19" s="186"/>
      <c r="H19" s="184">
        <v>0.1225</v>
      </c>
      <c r="I19" s="184">
        <v>0.01</v>
      </c>
      <c r="J19" s="184">
        <v>1.2800000000000001E-2</v>
      </c>
      <c r="K19" s="184">
        <v>0.34820000000000001</v>
      </c>
      <c r="M19" s="186" t="s">
        <v>178</v>
      </c>
      <c r="N19" s="186"/>
      <c r="O19" s="184">
        <f>O9</f>
        <v>0.16500000000000001</v>
      </c>
      <c r="P19" s="184">
        <f>P9</f>
        <v>5.96E-2</v>
      </c>
      <c r="R19" s="186" t="s">
        <v>178</v>
      </c>
      <c r="S19" s="186"/>
      <c r="T19" s="184">
        <f>T9</f>
        <v>0.12809999999999999</v>
      </c>
      <c r="U19" s="184">
        <f>U9</f>
        <v>6.2899999999999998E-2</v>
      </c>
      <c r="V19" s="184">
        <f>V9</f>
        <v>2.3E-3</v>
      </c>
    </row>
    <row r="24" spans="1:22" x14ac:dyDescent="0.45">
      <c r="C24" s="178"/>
      <c r="D24" s="178"/>
    </row>
  </sheetData>
  <mergeCells count="53">
    <mergeCell ref="A1:D1"/>
    <mergeCell ref="A8:B8"/>
    <mergeCell ref="A9:B9"/>
    <mergeCell ref="A10:B10"/>
    <mergeCell ref="A14:B14"/>
    <mergeCell ref="A18:B18"/>
    <mergeCell ref="A19:B19"/>
    <mergeCell ref="A7:D7"/>
    <mergeCell ref="A11:D11"/>
    <mergeCell ref="A17:D17"/>
    <mergeCell ref="A15:B15"/>
    <mergeCell ref="F9:G9"/>
    <mergeCell ref="F10:G10"/>
    <mergeCell ref="F11:I11"/>
    <mergeCell ref="A16:B16"/>
    <mergeCell ref="A12:B12"/>
    <mergeCell ref="F19:G19"/>
    <mergeCell ref="F6:K6"/>
    <mergeCell ref="F7:K7"/>
    <mergeCell ref="M1:P1"/>
    <mergeCell ref="M7:P7"/>
    <mergeCell ref="M8:N8"/>
    <mergeCell ref="M9:N9"/>
    <mergeCell ref="M10:N10"/>
    <mergeCell ref="M11:P11"/>
    <mergeCell ref="F12:G12"/>
    <mergeCell ref="F14:G14"/>
    <mergeCell ref="F15:G15"/>
    <mergeCell ref="F16:G16"/>
    <mergeCell ref="F17:I17"/>
    <mergeCell ref="F18:G18"/>
    <mergeCell ref="F8:G8"/>
    <mergeCell ref="R17:U17"/>
    <mergeCell ref="R18:S18"/>
    <mergeCell ref="R19:S19"/>
    <mergeCell ref="M19:N19"/>
    <mergeCell ref="F1:K1"/>
    <mergeCell ref="R8:S8"/>
    <mergeCell ref="R9:S9"/>
    <mergeCell ref="R10:S10"/>
    <mergeCell ref="R11:U11"/>
    <mergeCell ref="R12:S12"/>
    <mergeCell ref="M12:N12"/>
    <mergeCell ref="M14:N14"/>
    <mergeCell ref="M15:N15"/>
    <mergeCell ref="M16:N16"/>
    <mergeCell ref="M17:P17"/>
    <mergeCell ref="M18:N18"/>
    <mergeCell ref="R1:V1"/>
    <mergeCell ref="R7:V7"/>
    <mergeCell ref="R14:S14"/>
    <mergeCell ref="R15:S15"/>
    <mergeCell ref="R16:S1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6BED-9E2B-42AD-A1BF-BBED69F534F2}">
  <sheetPr>
    <pageSetUpPr fitToPage="1"/>
  </sheetPr>
  <dimension ref="A1:Z50"/>
  <sheetViews>
    <sheetView topLeftCell="A7" zoomScale="70" zoomScaleNormal="70" workbookViewId="0">
      <selection activeCell="AC47" sqref="AC47"/>
    </sheetView>
  </sheetViews>
  <sheetFormatPr baseColWidth="10" defaultColWidth="8.88671875" defaultRowHeight="19.5" x14ac:dyDescent="0.45"/>
  <cols>
    <col min="1" max="1" width="6.77734375" style="18" customWidth="1"/>
    <col min="2" max="2" width="54.77734375" style="18" bestFit="1" customWidth="1"/>
    <col min="3" max="4" width="8.88671875" style="19"/>
    <col min="5" max="5" width="16.6640625" style="19" customWidth="1"/>
    <col min="6" max="6" width="12" style="19" customWidth="1"/>
    <col min="7" max="7" width="13" style="19" customWidth="1"/>
    <col min="8" max="8" width="10.21875" style="19" customWidth="1"/>
    <col min="9" max="9" width="11" style="19" customWidth="1"/>
    <col min="10" max="10" width="11.21875" style="19" customWidth="1"/>
    <col min="11" max="11" width="11.33203125" style="19" customWidth="1"/>
    <col min="12" max="12" width="9.21875" style="19" customWidth="1"/>
    <col min="13" max="13" width="7.88671875" style="19" customWidth="1"/>
    <col min="14" max="14" width="10.44140625" style="19" customWidth="1"/>
    <col min="15" max="15" width="8.88671875" style="19" customWidth="1"/>
    <col min="16" max="16" width="6.33203125" style="19" customWidth="1"/>
    <col min="17" max="17" width="8.77734375" style="19" customWidth="1"/>
    <col min="18" max="18" width="9.109375" style="19" customWidth="1"/>
    <col min="19" max="19" width="8.109375" style="19" bestFit="1" customWidth="1"/>
    <col min="20" max="20" width="13.33203125" style="19" customWidth="1"/>
    <col min="21" max="21" width="11.6640625" style="19" customWidth="1"/>
    <col min="22" max="22" width="8.88671875" style="19" customWidth="1"/>
    <col min="23" max="23" width="7.88671875" style="19" customWidth="1"/>
    <col min="24" max="24" width="7.88671875" style="19" bestFit="1" customWidth="1"/>
    <col min="26" max="16384" width="8.88671875" style="18"/>
  </cols>
  <sheetData>
    <row r="1" spans="1:26" x14ac:dyDescent="0.45">
      <c r="A1" s="70"/>
      <c r="B1" s="47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8"/>
    </row>
    <row r="2" spans="1:26" x14ac:dyDescent="0.45">
      <c r="A2" s="58"/>
      <c r="C2" s="92"/>
      <c r="D2" s="93"/>
      <c r="E2" s="62"/>
      <c r="F2" s="62" t="s">
        <v>2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  <c r="S2" s="205" t="s">
        <v>1</v>
      </c>
      <c r="T2" s="206"/>
      <c r="Z2" s="49"/>
    </row>
    <row r="3" spans="1:26" x14ac:dyDescent="0.45">
      <c r="A3" s="58"/>
      <c r="C3" s="94"/>
      <c r="D3" s="95"/>
      <c r="E3" s="59"/>
      <c r="F3" s="59" t="s">
        <v>3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61"/>
      <c r="S3" s="207" t="s">
        <v>1</v>
      </c>
      <c r="T3" s="208"/>
      <c r="Z3" s="49"/>
    </row>
    <row r="4" spans="1:26" x14ac:dyDescent="0.45">
      <c r="A4" s="58"/>
      <c r="C4" s="96"/>
      <c r="D4" s="97"/>
      <c r="E4" s="111"/>
      <c r="F4" s="111" t="s">
        <v>0</v>
      </c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91"/>
      <c r="S4" s="60"/>
      <c r="T4" s="60"/>
      <c r="Z4" s="49"/>
    </row>
    <row r="5" spans="1:26" ht="20.25" thickBot="1" x14ac:dyDescent="0.5">
      <c r="A5" s="50"/>
      <c r="B5" s="35"/>
      <c r="C5" s="35"/>
      <c r="D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Z5" s="49"/>
    </row>
    <row r="6" spans="1:26" ht="34.5" thickBot="1" x14ac:dyDescent="0.5">
      <c r="A6" s="50"/>
      <c r="B6" s="69" t="s">
        <v>84</v>
      </c>
      <c r="C6" s="202" t="s">
        <v>89</v>
      </c>
      <c r="D6" s="203"/>
      <c r="E6" s="203"/>
      <c r="F6" s="203"/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4"/>
      <c r="Z6" s="49"/>
    </row>
    <row r="7" spans="1:26" ht="20.25" thickBot="1" x14ac:dyDescent="0.5">
      <c r="A7" s="51"/>
      <c r="Z7" s="49"/>
    </row>
    <row r="8" spans="1:26" s="33" customFormat="1" ht="59.25" thickBot="1" x14ac:dyDescent="0.5">
      <c r="A8" s="52"/>
      <c r="B8" s="76" t="str">
        <f>IF(OR(camasi!B16=0,camasi!B16=""),"",camasi!B16)</f>
        <v>MATERIA PRIMA</v>
      </c>
      <c r="C8" s="76" t="str">
        <f>IF(OR(camasi!C16=0,camasi!C16=""),"",camasi!C16)</f>
        <v>kg / Ton</v>
      </c>
      <c r="D8" s="76" t="str">
        <f>IF(OR(camasi!D16=0,camasi!D16=""),"",camasi!D16)</f>
        <v>%/100 kg</v>
      </c>
      <c r="E8" s="71" t="str">
        <f>IF(OR(camasi!E16=0,camasi!E16=""),"",camasi!E16)</f>
        <v>Carbono organico total oxidable C</v>
      </c>
      <c r="F8" s="71" t="str">
        <f>IF(OR(camasi!F16=0,camasi!F16=""),"",camasi!F16)</f>
        <v>Nitrogeno Total N</v>
      </c>
      <c r="G8" s="71" t="str">
        <f>IF(OR(camasi!G16=0,camasi!G16=""),"",camasi!G16)</f>
        <v>Nitrogeno amoniacal</v>
      </c>
      <c r="H8" s="71" t="str">
        <f>IF(OR(camasi!H16=0,camasi!H16=""),"",camasi!H16)</f>
        <v>Nitrogeno nitrico</v>
      </c>
      <c r="I8" s="71" t="str">
        <f>IF(OR(camasi!I16=0,camasi!I16=""),"",camasi!I16)</f>
        <v>Nitrogeno organico</v>
      </c>
      <c r="J8" s="71" t="str">
        <f>IF(OR(camasi!J16=0,camasi!J16=""),"",camasi!J16)</f>
        <v>Nitrogeno ureico</v>
      </c>
      <c r="K8" s="71" t="str">
        <f>IF(OR(camasi!K16=0,camasi!K16=""),"",camasi!K16)</f>
        <v>Fosforo asimilable P2O5</v>
      </c>
      <c r="L8" s="71" t="str">
        <f>IF(OR(camasi!L16=0,camasi!L16=""),"",camasi!L16)</f>
        <v>Potasio soluble K2O</v>
      </c>
      <c r="M8" s="71" t="str">
        <f>IF(OR(camasi!M16=0,camasi!M16=""),"",camasi!M16)</f>
        <v>Calcio CaO</v>
      </c>
      <c r="N8" s="71" t="str">
        <f>IF(OR(camasi!N16=0,camasi!N16=""),"",camasi!N16)</f>
        <v>Magnesio MgO</v>
      </c>
      <c r="O8" s="71" t="str">
        <f>IF(OR(camasi!O16=0,camasi!O16=""),"",camasi!O16)</f>
        <v>Azufre S</v>
      </c>
      <c r="P8" s="71" t="str">
        <f>IF(OR(camasi!P16=0,camasi!P16=""),"",camasi!P16)</f>
        <v>Boro B</v>
      </c>
      <c r="Q8" s="71" t="str">
        <f>IF(OR(camasi!Q16=0,camasi!Q16=""),"",camasi!Q16)</f>
        <v>Cobalto Co</v>
      </c>
      <c r="R8" s="71" t="str">
        <f>IF(OR(camasi!R16=0,camasi!R16=""),"",camasi!R16)</f>
        <v>Cobre Cu</v>
      </c>
      <c r="S8" s="71" t="str">
        <f>IF(OR(camasi!S16=0,camasi!S16=""),"",camasi!S16)</f>
        <v>Hierro Fe</v>
      </c>
      <c r="T8" s="71" t="str">
        <f>IF(OR(camasi!T16=0,camasi!T16=""),"",camasi!T16)</f>
        <v>Manganeso Mn</v>
      </c>
      <c r="U8" s="71" t="str">
        <f>IF(OR(camasi!U16=0,camasi!U16=""),"",camasi!U16)</f>
        <v>Molibdeno Mo</v>
      </c>
      <c r="V8" s="71" t="str">
        <f>IF(OR(camasi!V16=0,camasi!V16=""),"",camasi!V16)</f>
        <v>Silicio SiO2</v>
      </c>
      <c r="W8" s="71" t="str">
        <f>IF(OR(camasi!W16=0,camasi!W16=""),"",camasi!W16)</f>
        <v>Zinc Zn</v>
      </c>
      <c r="X8" s="72" t="str">
        <f>IF(OR(camasi!X16=0,camasi!X16=""),"",camasi!X16)</f>
        <v>Sodio Na</v>
      </c>
      <c r="Z8" s="53"/>
    </row>
    <row r="9" spans="1:26" x14ac:dyDescent="0.45">
      <c r="A9" s="51"/>
      <c r="B9" s="73" t="str">
        <f>IF(OR(camasi!B17=0,camasi!B17=""),"",camasi!B17)</f>
        <v>KIESERITA_MANUCHAR_P</v>
      </c>
      <c r="C9" s="139">
        <f>IF(OR(camasi!C17=0,camasi!C17=""),"",camasi!C17)</f>
        <v>50</v>
      </c>
      <c r="D9" s="140">
        <f>IF(OR(camasi!D17=0,camasi!D17=""),"",camasi!D17)</f>
        <v>5</v>
      </c>
      <c r="E9" s="22" t="str">
        <f>IF(OR(camasi!E17=0,camasi!E17=""),"",camasi!E17)</f>
        <v/>
      </c>
      <c r="F9" s="22" t="str">
        <f>IF(OR(camasi!F17=0,camasi!F17=""),"",camasi!F17)</f>
        <v/>
      </c>
      <c r="G9" s="22" t="str">
        <f>IF(OR(camasi!G17=0,camasi!G17=""),"",camasi!G17)</f>
        <v/>
      </c>
      <c r="H9" s="22" t="str">
        <f>IF(OR(camasi!H17=0,camasi!H17=""),"",camasi!H17)</f>
        <v/>
      </c>
      <c r="I9" s="22" t="str">
        <f>IF(OR(camasi!I17=0,camasi!I17=""),"",camasi!I17)</f>
        <v/>
      </c>
      <c r="J9" s="22" t="str">
        <f>IF(OR(camasi!J17=0,camasi!J17=""),"",camasi!J17)</f>
        <v/>
      </c>
      <c r="K9" s="22" t="str">
        <f>IF(OR(camasi!K17=0,camasi!K17=""),"",camasi!K17)</f>
        <v/>
      </c>
      <c r="L9" s="22" t="str">
        <f>IF(OR(camasi!L17=0,camasi!L17=""),"",camasi!L17)</f>
        <v/>
      </c>
      <c r="M9" s="22" t="str">
        <f>IF(OR(camasi!M17=0,camasi!M17=""),"",camasi!M17)</f>
        <v/>
      </c>
      <c r="N9" s="22">
        <f>IF(OR(camasi!N17=0,camasi!N17=""),"",camasi!N17)</f>
        <v>1.2500000000000001E-2</v>
      </c>
      <c r="O9" s="22">
        <f>IF(OR(camasi!O17=0,camasi!O17=""),"",camasi!O17)</f>
        <v>0.01</v>
      </c>
      <c r="P9" s="22" t="str">
        <f>IF(OR(camasi!P17=0,camasi!P17=""),"",camasi!P17)</f>
        <v/>
      </c>
      <c r="Q9" s="22" t="str">
        <f>IF(OR(camasi!Q17=0,camasi!Q17=""),"",camasi!Q17)</f>
        <v/>
      </c>
      <c r="R9" s="22" t="str">
        <f>IF(OR(camasi!R17=0,camasi!R17=""),"",camasi!R17)</f>
        <v/>
      </c>
      <c r="S9" s="22" t="str">
        <f>IF(OR(camasi!S17=0,camasi!S17=""),"",camasi!S17)</f>
        <v/>
      </c>
      <c r="T9" s="22" t="str">
        <f>IF(OR(camasi!T17=0,camasi!T17=""),"",camasi!T17)</f>
        <v/>
      </c>
      <c r="U9" s="22" t="str">
        <f>IF(OR(camasi!U17=0,camasi!U17=""),"",camasi!U17)</f>
        <v/>
      </c>
      <c r="V9" s="22" t="str">
        <f>IF(OR(camasi!V17=0,camasi!V17=""),"",camasi!V17)</f>
        <v/>
      </c>
      <c r="W9" s="22" t="str">
        <f>IF(OR(camasi!W17=0,camasi!W17=""),"",camasi!W17)</f>
        <v/>
      </c>
      <c r="X9" s="36" t="str">
        <f>IF(OR(camasi!X17=0,camasi!X17=""),"",camasi!X17)</f>
        <v/>
      </c>
      <c r="Z9" s="49"/>
    </row>
    <row r="10" spans="1:26" x14ac:dyDescent="0.45">
      <c r="A10" s="51"/>
      <c r="B10" s="64" t="str">
        <f>IF(OR(camasi!B18=0,camasi!B18=""),"",camasi!B18)</f>
        <v>CARBONATO CALCIO_AGROCALES_P</v>
      </c>
      <c r="C10" s="127">
        <f>IF(OR(camasi!C18=0,camasi!C18=""),"",camasi!C18)</f>
        <v>350</v>
      </c>
      <c r="D10" s="30">
        <f>IF(OR(camasi!D18=0,camasi!D18=""),"",camasi!D18)</f>
        <v>35</v>
      </c>
      <c r="E10" s="20" t="str">
        <f>IF(OR(camasi!E18=0,camasi!E18=""),"",camasi!E18)</f>
        <v/>
      </c>
      <c r="F10" s="20" t="str">
        <f>IF(OR(camasi!F18=0,camasi!F18=""),"",camasi!F18)</f>
        <v/>
      </c>
      <c r="G10" s="20" t="str">
        <f>IF(OR(camasi!G18=0,camasi!G18=""),"",camasi!G18)</f>
        <v/>
      </c>
      <c r="H10" s="20" t="str">
        <f>IF(OR(camasi!H18=0,camasi!H18=""),"",camasi!H18)</f>
        <v/>
      </c>
      <c r="I10" s="20" t="str">
        <f>IF(OR(camasi!I18=0,camasi!I18=""),"",camasi!I18)</f>
        <v/>
      </c>
      <c r="J10" s="20" t="str">
        <f>IF(OR(camasi!J18=0,camasi!J18=""),"",camasi!J18)</f>
        <v/>
      </c>
      <c r="K10" s="20" t="str">
        <f>IF(OR(camasi!K18=0,camasi!K18=""),"",camasi!K18)</f>
        <v/>
      </c>
      <c r="L10" s="20" t="str">
        <f>IF(OR(camasi!L18=0,camasi!L18=""),"",camasi!L18)</f>
        <v/>
      </c>
      <c r="M10" s="20">
        <f>IF(OR(camasi!M18=0,camasi!M18=""),"",camasi!M18)</f>
        <v>0.154</v>
      </c>
      <c r="N10" s="20" t="str">
        <f>IF(OR(camasi!N18=0,camasi!N18=""),"",camasi!N18)</f>
        <v/>
      </c>
      <c r="O10" s="20" t="str">
        <f>IF(OR(camasi!O18=0,camasi!O18=""),"",camasi!O18)</f>
        <v/>
      </c>
      <c r="P10" s="20" t="str">
        <f>IF(OR(camasi!P18=0,camasi!P18=""),"",camasi!P18)</f>
        <v/>
      </c>
      <c r="Q10" s="20" t="str">
        <f>IF(OR(camasi!Q18=0,camasi!Q18=""),"",camasi!Q18)</f>
        <v/>
      </c>
      <c r="R10" s="20" t="str">
        <f>IF(OR(camasi!R18=0,camasi!R18=""),"",camasi!R18)</f>
        <v/>
      </c>
      <c r="S10" s="20" t="str">
        <f>IF(OR(camasi!S18=0,camasi!S18=""),"",camasi!S18)</f>
        <v/>
      </c>
      <c r="T10" s="20" t="str">
        <f>IF(OR(camasi!T18=0,camasi!T18=""),"",camasi!T18)</f>
        <v/>
      </c>
      <c r="U10" s="20" t="str">
        <f>IF(OR(camasi!U18=0,camasi!U18=""),"",camasi!U18)</f>
        <v/>
      </c>
      <c r="V10" s="20" t="str">
        <f>IF(OR(camasi!V18=0,camasi!V18=""),"",camasi!V18)</f>
        <v/>
      </c>
      <c r="W10" s="20" t="str">
        <f>IF(OR(camasi!W18=0,camasi!W18=""),"",camasi!W18)</f>
        <v/>
      </c>
      <c r="X10" s="37" t="str">
        <f>IF(OR(camasi!X18=0,camasi!X18=""),"",camasi!X18)</f>
        <v/>
      </c>
      <c r="Z10" s="49"/>
    </row>
    <row r="11" spans="1:26" x14ac:dyDescent="0.45">
      <c r="A11" s="51"/>
      <c r="B11" s="64" t="str">
        <f>IF(OR(camasi!B19=0,camasi!B19=""),"",camasi!B19)</f>
        <v>BENTONITA GRIS_DIDIER HOYOS_P</v>
      </c>
      <c r="C11" s="127">
        <f>IF(OR(camasi!C19=0,camasi!C19=""),"",camasi!C19)</f>
        <v>600</v>
      </c>
      <c r="D11" s="30">
        <f>IF(OR(camasi!D19=0,camasi!D19=""),"",camasi!D19)</f>
        <v>60</v>
      </c>
      <c r="E11" s="20" t="str">
        <f>IF(OR(camasi!E19=0,camasi!E19=""),"",camasi!E19)</f>
        <v/>
      </c>
      <c r="F11" s="20" t="str">
        <f>IF(OR(camasi!F19=0,camasi!F19=""),"",camasi!F19)</f>
        <v/>
      </c>
      <c r="G11" s="20" t="str">
        <f>IF(OR(camasi!G19=0,camasi!G19=""),"",camasi!G19)</f>
        <v/>
      </c>
      <c r="H11" s="20" t="str">
        <f>IF(OR(camasi!H19=0,camasi!H19=""),"",camasi!H19)</f>
        <v/>
      </c>
      <c r="I11" s="20" t="str">
        <f>IF(OR(camasi!I19=0,camasi!I19=""),"",camasi!I19)</f>
        <v/>
      </c>
      <c r="J11" s="20" t="str">
        <f>IF(OR(camasi!J19=0,camasi!J19=""),"",camasi!J19)</f>
        <v/>
      </c>
      <c r="K11" s="20" t="str">
        <f>IF(OR(camasi!K19=0,camasi!K19=""),"",camasi!K19)</f>
        <v/>
      </c>
      <c r="L11" s="20" t="str">
        <f>IF(OR(camasi!L19=0,camasi!L19=""),"",camasi!L19)</f>
        <v/>
      </c>
      <c r="M11" s="20">
        <f>IF(OR(camasi!M19=0,camasi!M19=""),"",camasi!M19)</f>
        <v>3.7199999999999997E-2</v>
      </c>
      <c r="N11" s="20">
        <f>IF(OR(camasi!N19=0,camasi!N19=""),"",camasi!N19)</f>
        <v>2.4E-2</v>
      </c>
      <c r="O11" s="20" t="str">
        <f>IF(OR(camasi!O19=0,camasi!O19=""),"",camasi!O19)</f>
        <v/>
      </c>
      <c r="P11" s="20" t="str">
        <f>IF(OR(camasi!P19=0,camasi!P19=""),"",camasi!P19)</f>
        <v/>
      </c>
      <c r="Q11" s="20" t="str">
        <f>IF(OR(camasi!Q19=0,camasi!Q19=""),"",camasi!Q19)</f>
        <v/>
      </c>
      <c r="R11" s="20" t="str">
        <f>IF(OR(camasi!R19=0,camasi!R19=""),"",camasi!R19)</f>
        <v/>
      </c>
      <c r="S11" s="20" t="str">
        <f>IF(OR(camasi!S19=0,camasi!S19=""),"",camasi!S19)</f>
        <v/>
      </c>
      <c r="T11" s="20" t="str">
        <f>IF(OR(camasi!T19=0,camasi!T19=""),"",camasi!T19)</f>
        <v/>
      </c>
      <c r="U11" s="20" t="str">
        <f>IF(OR(camasi!U19=0,camasi!U19=""),"",camasi!U19)</f>
        <v/>
      </c>
      <c r="V11" s="20">
        <f>IF(OR(camasi!V19=0,camasi!V19=""),"",camasi!V19)</f>
        <v>0.34139999999999998</v>
      </c>
      <c r="W11" s="20" t="str">
        <f>IF(OR(camasi!W19=0,camasi!W19=""),"",camasi!W19)</f>
        <v/>
      </c>
      <c r="X11" s="37" t="str">
        <f>IF(OR(camasi!X19=0,camasi!X19=""),"",camasi!X19)</f>
        <v/>
      </c>
      <c r="Z11" s="49"/>
    </row>
    <row r="12" spans="1:26" x14ac:dyDescent="0.45">
      <c r="A12" s="51"/>
      <c r="B12" s="64" t="str">
        <f>IF(OR(camasi!B20=0,camasi!B20=""),"",camasi!B20)</f>
        <v/>
      </c>
      <c r="C12" s="127" t="str">
        <f>IF(OR(camasi!C20=0,camasi!C20=""),"",camasi!C20)</f>
        <v/>
      </c>
      <c r="D12" s="30" t="str">
        <f>IF(OR(camasi!D20=0,camasi!D20=""),"",camasi!D20)</f>
        <v/>
      </c>
      <c r="E12" s="20" t="str">
        <f>IF(OR(camasi!E20=0,camasi!E20=""),"",camasi!E20)</f>
        <v/>
      </c>
      <c r="F12" s="20" t="str">
        <f>IF(OR(camasi!F20=0,camasi!F20=""),"",camasi!F20)</f>
        <v/>
      </c>
      <c r="G12" s="20" t="str">
        <f>IF(OR(camasi!G20=0,camasi!G20=""),"",camasi!G20)</f>
        <v/>
      </c>
      <c r="H12" s="20" t="str">
        <f>IF(OR(camasi!H20=0,camasi!H20=""),"",camasi!H20)</f>
        <v/>
      </c>
      <c r="I12" s="20" t="str">
        <f>IF(OR(camasi!I20=0,camasi!I20=""),"",camasi!I20)</f>
        <v/>
      </c>
      <c r="J12" s="20" t="str">
        <f>IF(OR(camasi!J20=0,camasi!J20=""),"",camasi!J20)</f>
        <v/>
      </c>
      <c r="K12" s="20" t="str">
        <f>IF(OR(camasi!K20=0,camasi!K20=""),"",camasi!K20)</f>
        <v/>
      </c>
      <c r="L12" s="20" t="str">
        <f>IF(OR(camasi!L20=0,camasi!L20=""),"",camasi!L20)</f>
        <v/>
      </c>
      <c r="M12" s="20" t="str">
        <f>IF(OR(camasi!M20=0,camasi!M20=""),"",camasi!M20)</f>
        <v/>
      </c>
      <c r="N12" s="20" t="str">
        <f>IF(OR(camasi!N20=0,camasi!N20=""),"",camasi!N20)</f>
        <v/>
      </c>
      <c r="O12" s="20" t="str">
        <f>IF(OR(camasi!O20=0,camasi!O20=""),"",camasi!O20)</f>
        <v/>
      </c>
      <c r="P12" s="20" t="str">
        <f>IF(OR(camasi!P20=0,camasi!P20=""),"",camasi!P20)</f>
        <v/>
      </c>
      <c r="Q12" s="20" t="str">
        <f>IF(OR(camasi!Q20=0,camasi!Q20=""),"",camasi!Q20)</f>
        <v/>
      </c>
      <c r="R12" s="20" t="str">
        <f>IF(OR(camasi!R20=0,camasi!R20=""),"",camasi!R20)</f>
        <v/>
      </c>
      <c r="S12" s="20" t="str">
        <f>IF(OR(camasi!S20=0,camasi!S20=""),"",camasi!S20)</f>
        <v/>
      </c>
      <c r="T12" s="20" t="str">
        <f>IF(OR(camasi!T20=0,camasi!T20=""),"",camasi!T20)</f>
        <v/>
      </c>
      <c r="U12" s="20" t="str">
        <f>IF(OR(camasi!U20=0,camasi!U20=""),"",camasi!U20)</f>
        <v/>
      </c>
      <c r="V12" s="20" t="str">
        <f>IF(OR(camasi!V20=0,camasi!V20=""),"",camasi!V20)</f>
        <v/>
      </c>
      <c r="W12" s="20" t="str">
        <f>IF(OR(camasi!W20=0,camasi!W20=""),"",camasi!W20)</f>
        <v/>
      </c>
      <c r="X12" s="37" t="str">
        <f>IF(OR(camasi!X20=0,camasi!X20=""),"",camasi!X20)</f>
        <v/>
      </c>
      <c r="Z12" s="49"/>
    </row>
    <row r="13" spans="1:26" x14ac:dyDescent="0.45">
      <c r="A13" s="51"/>
      <c r="B13" s="64" t="str">
        <f>IF(OR(camasi!B21=0,camasi!B21=""),"",camasi!B21)</f>
        <v/>
      </c>
      <c r="C13" s="127" t="str">
        <f>IF(OR(camasi!C21=0,camasi!C21=""),"",camasi!C21)</f>
        <v/>
      </c>
      <c r="D13" s="30" t="str">
        <f>IF(OR(camasi!D21=0,camasi!D21=""),"",camasi!D21)</f>
        <v/>
      </c>
      <c r="E13" s="20" t="str">
        <f>IF(OR(camasi!E21=0,camasi!E21=""),"",camasi!E21)</f>
        <v/>
      </c>
      <c r="F13" s="20" t="str">
        <f>IF(OR(camasi!F21=0,camasi!F21=""),"",camasi!F21)</f>
        <v/>
      </c>
      <c r="G13" s="20" t="str">
        <f>IF(OR(camasi!G21=0,camasi!G21=""),"",camasi!G21)</f>
        <v/>
      </c>
      <c r="H13" s="20" t="str">
        <f>IF(OR(camasi!H21=0,camasi!H21=""),"",camasi!H21)</f>
        <v/>
      </c>
      <c r="I13" s="20" t="str">
        <f>IF(OR(camasi!I21=0,camasi!I21=""),"",camasi!I21)</f>
        <v/>
      </c>
      <c r="J13" s="20" t="str">
        <f>IF(OR(camasi!J21=0,camasi!J21=""),"",camasi!J21)</f>
        <v/>
      </c>
      <c r="K13" s="20" t="str">
        <f>IF(OR(camasi!K21=0,camasi!K21=""),"",camasi!K21)</f>
        <v/>
      </c>
      <c r="L13" s="20" t="str">
        <f>IF(OR(camasi!L21=0,camasi!L21=""),"",camasi!L21)</f>
        <v/>
      </c>
      <c r="M13" s="20" t="str">
        <f>IF(OR(camasi!M21=0,camasi!M21=""),"",camasi!M21)</f>
        <v/>
      </c>
      <c r="N13" s="20" t="str">
        <f>IF(OR(camasi!N21=0,camasi!N21=""),"",camasi!N21)</f>
        <v/>
      </c>
      <c r="O13" s="20" t="str">
        <f>IF(OR(camasi!O21=0,camasi!O21=""),"",camasi!O21)</f>
        <v/>
      </c>
      <c r="P13" s="20" t="str">
        <f>IF(OR(camasi!P21=0,camasi!P21=""),"",camasi!P21)</f>
        <v/>
      </c>
      <c r="Q13" s="20" t="str">
        <f>IF(OR(camasi!Q21=0,camasi!Q21=""),"",camasi!Q21)</f>
        <v/>
      </c>
      <c r="R13" s="20" t="str">
        <f>IF(OR(camasi!R21=0,camasi!R21=""),"",camasi!R21)</f>
        <v/>
      </c>
      <c r="S13" s="20" t="str">
        <f>IF(OR(camasi!S21=0,camasi!S21=""),"",camasi!S21)</f>
        <v/>
      </c>
      <c r="T13" s="20" t="str">
        <f>IF(OR(camasi!T21=0,camasi!T21=""),"",camasi!T21)</f>
        <v/>
      </c>
      <c r="U13" s="20" t="str">
        <f>IF(OR(camasi!U21=0,camasi!U21=""),"",camasi!U21)</f>
        <v/>
      </c>
      <c r="V13" s="20" t="str">
        <f>IF(OR(camasi!V21=0,camasi!V21=""),"",camasi!V21)</f>
        <v/>
      </c>
      <c r="W13" s="20" t="str">
        <f>IF(OR(camasi!W21=0,camasi!W21=""),"",camasi!W21)</f>
        <v/>
      </c>
      <c r="X13" s="37" t="str">
        <f>IF(OR(camasi!X21=0,camasi!X21=""),"",camasi!X21)</f>
        <v/>
      </c>
      <c r="Z13" s="49"/>
    </row>
    <row r="14" spans="1:26" x14ac:dyDescent="0.45">
      <c r="A14" s="51"/>
      <c r="B14" s="64" t="str">
        <f>IF(OR(camasi!B22=0,camasi!B22=""),"",camasi!B22)</f>
        <v/>
      </c>
      <c r="C14" s="127" t="str">
        <f>IF(OR(camasi!C22=0,camasi!C22=""),"",camasi!C22)</f>
        <v/>
      </c>
      <c r="D14" s="30" t="str">
        <f>IF(OR(camasi!D22=0,camasi!D22=""),"",camasi!D22)</f>
        <v/>
      </c>
      <c r="E14" s="20" t="str">
        <f>IF(OR(camasi!E22=0,camasi!E22=""),"",camasi!E22)</f>
        <v/>
      </c>
      <c r="F14" s="20" t="str">
        <f>IF(OR(camasi!F22=0,camasi!F22=""),"",camasi!F22)</f>
        <v/>
      </c>
      <c r="G14" s="20" t="str">
        <f>IF(OR(camasi!G22=0,camasi!G22=""),"",camasi!G22)</f>
        <v/>
      </c>
      <c r="H14" s="20" t="str">
        <f>IF(OR(camasi!H22=0,camasi!H22=""),"",camasi!H22)</f>
        <v/>
      </c>
      <c r="I14" s="20" t="str">
        <f>IF(OR(camasi!I22=0,camasi!I22=""),"",camasi!I22)</f>
        <v/>
      </c>
      <c r="J14" s="20" t="str">
        <f>IF(OR(camasi!J22=0,camasi!J22=""),"",camasi!J22)</f>
        <v/>
      </c>
      <c r="K14" s="20" t="str">
        <f>IF(OR(camasi!K22=0,camasi!K22=""),"",camasi!K22)</f>
        <v/>
      </c>
      <c r="L14" s="20" t="str">
        <f>IF(OR(camasi!L22=0,camasi!L22=""),"",camasi!L22)</f>
        <v/>
      </c>
      <c r="M14" s="20" t="str">
        <f>IF(OR(camasi!M22=0,camasi!M22=""),"",camasi!M22)</f>
        <v/>
      </c>
      <c r="N14" s="20" t="str">
        <f>IF(OR(camasi!N22=0,camasi!N22=""),"",camasi!N22)</f>
        <v/>
      </c>
      <c r="O14" s="20" t="str">
        <f>IF(OR(camasi!O22=0,camasi!O22=""),"",camasi!O22)</f>
        <v/>
      </c>
      <c r="P14" s="20" t="str">
        <f>IF(OR(camasi!P22=0,camasi!P22=""),"",camasi!P22)</f>
        <v/>
      </c>
      <c r="Q14" s="20" t="str">
        <f>IF(OR(camasi!Q22=0,camasi!Q22=""),"",camasi!Q22)</f>
        <v/>
      </c>
      <c r="R14" s="20" t="str">
        <f>IF(OR(camasi!R22=0,camasi!R22=""),"",camasi!R22)</f>
        <v/>
      </c>
      <c r="S14" s="20" t="str">
        <f>IF(OR(camasi!S22=0,camasi!S22=""),"",camasi!S22)</f>
        <v/>
      </c>
      <c r="T14" s="20" t="str">
        <f>IF(OR(camasi!T22=0,camasi!T22=""),"",camasi!T22)</f>
        <v/>
      </c>
      <c r="U14" s="20" t="str">
        <f>IF(OR(camasi!U22=0,camasi!U22=""),"",camasi!U22)</f>
        <v/>
      </c>
      <c r="V14" s="20" t="str">
        <f>IF(OR(camasi!V22=0,camasi!V22=""),"",camasi!V22)</f>
        <v/>
      </c>
      <c r="W14" s="20" t="str">
        <f>IF(OR(camasi!W22=0,camasi!W22=""),"",camasi!W22)</f>
        <v/>
      </c>
      <c r="X14" s="37" t="str">
        <f>IF(OR(camasi!X22=0,camasi!X22=""),"",camasi!X22)</f>
        <v/>
      </c>
      <c r="Z14" s="49"/>
    </row>
    <row r="15" spans="1:26" x14ac:dyDescent="0.45">
      <c r="A15" s="51"/>
      <c r="B15" s="64" t="str">
        <f>IF(OR(camasi!B23=0,camasi!B23=""),"",camasi!B23)</f>
        <v/>
      </c>
      <c r="C15" s="127" t="str">
        <f>IF(OR(camasi!C23=0,camasi!C23=""),"",camasi!C23)</f>
        <v/>
      </c>
      <c r="D15" s="31" t="str">
        <f>IF(OR(camasi!D23=0,camasi!D23=""),"",camasi!D23)</f>
        <v/>
      </c>
      <c r="E15" s="20" t="str">
        <f>IF(OR(camasi!E23=0,camasi!E23=""),"",camasi!E23)</f>
        <v/>
      </c>
      <c r="F15" s="20" t="str">
        <f>IF(OR(camasi!F23=0,camasi!F23=""),"",camasi!F23)</f>
        <v/>
      </c>
      <c r="G15" s="20" t="str">
        <f>IF(OR(camasi!G23=0,camasi!G23=""),"",camasi!G23)</f>
        <v/>
      </c>
      <c r="H15" s="20" t="str">
        <f>IF(OR(camasi!H23=0,camasi!H23=""),"",camasi!H23)</f>
        <v/>
      </c>
      <c r="I15" s="20" t="str">
        <f>IF(OR(camasi!I23=0,camasi!I23=""),"",camasi!I23)</f>
        <v/>
      </c>
      <c r="J15" s="20" t="str">
        <f>IF(OR(camasi!J23=0,camasi!J23=""),"",camasi!J23)</f>
        <v/>
      </c>
      <c r="K15" s="20" t="str">
        <f>IF(OR(camasi!K23=0,camasi!K23=""),"",camasi!K23)</f>
        <v/>
      </c>
      <c r="L15" s="20" t="str">
        <f>IF(OR(camasi!L23=0,camasi!L23=""),"",camasi!L23)</f>
        <v/>
      </c>
      <c r="M15" s="20" t="str">
        <f>IF(OR(camasi!M23=0,camasi!M23=""),"",camasi!M23)</f>
        <v/>
      </c>
      <c r="N15" s="20" t="str">
        <f>IF(OR(camasi!N23=0,camasi!N23=""),"",camasi!N23)</f>
        <v/>
      </c>
      <c r="O15" s="20" t="str">
        <f>IF(OR(camasi!O23=0,camasi!O23=""),"",camasi!O23)</f>
        <v/>
      </c>
      <c r="P15" s="20" t="str">
        <f>IF(OR(camasi!P23=0,camasi!P23=""),"",camasi!P23)</f>
        <v/>
      </c>
      <c r="Q15" s="20" t="str">
        <f>IF(OR(camasi!Q23=0,camasi!Q23=""),"",camasi!Q23)</f>
        <v/>
      </c>
      <c r="R15" s="20" t="str">
        <f>IF(OR(camasi!R23=0,camasi!R23=""),"",camasi!R23)</f>
        <v/>
      </c>
      <c r="S15" s="20" t="str">
        <f>IF(OR(camasi!S23=0,camasi!S23=""),"",camasi!S23)</f>
        <v/>
      </c>
      <c r="T15" s="20" t="str">
        <f>IF(OR(camasi!T23=0,camasi!T23=""),"",camasi!T23)</f>
        <v/>
      </c>
      <c r="U15" s="20" t="str">
        <f>IF(OR(camasi!U23=0,camasi!U23=""),"",camasi!U23)</f>
        <v/>
      </c>
      <c r="V15" s="20" t="str">
        <f>IF(OR(camasi!V23=0,camasi!V23=""),"",camasi!V23)</f>
        <v/>
      </c>
      <c r="W15" s="20" t="str">
        <f>IF(OR(camasi!W23=0,camasi!W23=""),"",camasi!W23)</f>
        <v/>
      </c>
      <c r="X15" s="37" t="str">
        <f>IF(OR(camasi!X23=0,camasi!X23=""),"",camasi!X23)</f>
        <v/>
      </c>
      <c r="Z15" s="49"/>
    </row>
    <row r="16" spans="1:26" x14ac:dyDescent="0.45">
      <c r="A16" s="51"/>
      <c r="B16" s="65" t="s">
        <v>83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141"/>
      <c r="Z16" s="49"/>
    </row>
    <row r="17" spans="1:26" x14ac:dyDescent="0.45">
      <c r="A17" s="51"/>
      <c r="B17" s="66"/>
      <c r="C17" s="128"/>
      <c r="D17" s="32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142"/>
      <c r="Z17" s="49"/>
    </row>
    <row r="18" spans="1:26" ht="20.25" thickBot="1" x14ac:dyDescent="0.5">
      <c r="A18" s="51"/>
      <c r="B18" s="64"/>
      <c r="C18" s="127"/>
      <c r="D18" s="2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37"/>
      <c r="Z18" s="49"/>
    </row>
    <row r="19" spans="1:26" ht="20.25" thickBot="1" x14ac:dyDescent="0.5">
      <c r="A19" s="51"/>
      <c r="B19" s="40" t="str">
        <f>IF(OR(camasi!B25=0,camasi!B25=""),"",camasi!B25)</f>
        <v>TOTAL</v>
      </c>
      <c r="C19" s="112">
        <f>IF(OR(camasi!C24=0,camasi!C24=""),"",camasi!C24)</f>
        <v>1000</v>
      </c>
      <c r="D19" s="113">
        <f>IF(OR(camasi!D24=0,camasi!D24=""),"",camasi!D24)</f>
        <v>100</v>
      </c>
      <c r="E19" s="143" t="str">
        <f>IF(OR(camasi!E25=0,camasi!E25=""),"",camasi!E25)</f>
        <v/>
      </c>
      <c r="F19" s="143" t="str">
        <f>IF(OR(camasi!F25=0,camasi!F25=""),"",camasi!F25)</f>
        <v/>
      </c>
      <c r="G19" s="143" t="str">
        <f>IF(OR(camasi!G25=0,camasi!G25=""),"",camasi!G25)</f>
        <v/>
      </c>
      <c r="H19" s="143" t="str">
        <f>IF(OR(camasi!H25=0,camasi!H25=""),"",camasi!H25)</f>
        <v/>
      </c>
      <c r="I19" s="143" t="str">
        <f>IF(OR(camasi!I25=0,camasi!I25=""),"",camasi!I25)</f>
        <v/>
      </c>
      <c r="J19" s="143" t="str">
        <f>IF(OR(camasi!J25=0,camasi!J25=""),"",camasi!J25)</f>
        <v/>
      </c>
      <c r="K19" s="143" t="str">
        <f>IF(OR(camasi!K25=0,camasi!K25=""),"",camasi!K25)</f>
        <v/>
      </c>
      <c r="L19" s="114" t="str">
        <f>IF(OR(camasi!L25=0,camasi!L25=""),"",camasi!L25)</f>
        <v/>
      </c>
      <c r="M19" s="143">
        <f>IF(OR(camasi!M25=0,camasi!M25=""),"",camasi!M25)</f>
        <v>0.19119999999999998</v>
      </c>
      <c r="N19" s="114">
        <f>IF(OR(camasi!N25=0,camasi!N25=""),"",camasi!N25)</f>
        <v>3.6500000000000005E-2</v>
      </c>
      <c r="O19" s="114">
        <f>IF(OR(camasi!O25=0,camasi!O25=""),"",camasi!O25)</f>
        <v>0.01</v>
      </c>
      <c r="P19" s="114" t="str">
        <f>IF(OR(camasi!P25=0,camasi!P25=""),"",camasi!P25)</f>
        <v/>
      </c>
      <c r="Q19" s="143" t="str">
        <f>IF(OR(camasi!Q25=0,camasi!Q25=""),"",camasi!Q25)</f>
        <v/>
      </c>
      <c r="R19" s="143" t="str">
        <f>IF(OR(camasi!R25=0,camasi!R25=""),"",camasi!R25)</f>
        <v/>
      </c>
      <c r="S19" s="114" t="str">
        <f>IF(OR(camasi!S25=0,camasi!S25=""),"",camasi!S25)</f>
        <v/>
      </c>
      <c r="T19" s="143" t="str">
        <f>IF(OR(camasi!T25=0,camasi!T25=""),"",camasi!T25)</f>
        <v/>
      </c>
      <c r="U19" s="143" t="str">
        <f>IF(OR(camasi!U25=0,camasi!U25=""),"",camasi!U25)</f>
        <v/>
      </c>
      <c r="V19" s="114">
        <f>IF(OR(camasi!V25=0,camasi!V25=""),"",camasi!V25)</f>
        <v>0.34139999999999998</v>
      </c>
      <c r="W19" s="114" t="str">
        <f>IF(OR(camasi!W25=0,camasi!W25=""),"",camasi!W25)</f>
        <v/>
      </c>
      <c r="X19" s="144" t="str">
        <f>IF(OR(camasi!X25=0,camasi!X25=""),"",camasi!X25)</f>
        <v/>
      </c>
      <c r="Z19" s="49"/>
    </row>
    <row r="20" spans="1:26" ht="20.25" thickBot="1" x14ac:dyDescent="0.5">
      <c r="A20" s="51"/>
      <c r="B20" s="18" t="str">
        <f>IF(OR(camasi!B26=0,camasi!B26=""),"",camasi!B26)</f>
        <v/>
      </c>
      <c r="C20" s="19" t="str">
        <f>IF(OR(camasi!C26=0,camasi!C26=""),"",camasi!C26)</f>
        <v/>
      </c>
      <c r="D20" s="19" t="str">
        <f>IF(OR(camasi!D26=0,camasi!D26=""),"",camasi!D26)</f>
        <v/>
      </c>
      <c r="Z20" s="49"/>
    </row>
    <row r="21" spans="1:26" ht="20.25" thickBot="1" x14ac:dyDescent="0.5">
      <c r="A21" s="51"/>
      <c r="B21" s="40" t="str">
        <f>IF(OR(camasi!B28=0,camasi!B28=""),"",camasi!B28)</f>
        <v>CERTIFICADO DE ANALISIS</v>
      </c>
      <c r="C21" s="41" t="str">
        <f>IF(OR(camasi!C28=0,camasi!C28=""),"",camasi!C28)</f>
        <v/>
      </c>
      <c r="D21" s="44" t="str">
        <f>IF(OR(camasi!D28=0,camasi!D28=""),"",camasi!D28)</f>
        <v/>
      </c>
      <c r="E21" s="42" t="str">
        <f>IF(OR(camasi!E28=0,camasi!E28=""),"",camasi!E28)</f>
        <v/>
      </c>
      <c r="F21" s="42" t="str">
        <f>IF(OR(camasi!F28=0,camasi!F28=""),"",camasi!F28)</f>
        <v/>
      </c>
      <c r="G21" s="42" t="str">
        <f>IF(OR(camasi!G28=0,camasi!G28=""),"",camasi!G28)</f>
        <v/>
      </c>
      <c r="H21" s="42" t="str">
        <f>IF(OR(camasi!H28=0,camasi!H28=""),"",camasi!H28)</f>
        <v/>
      </c>
      <c r="I21" s="42" t="str">
        <f>IF(OR(camasi!I28=0,camasi!I28=""),"",camasi!I28)</f>
        <v/>
      </c>
      <c r="J21" s="42" t="str">
        <f>IF(OR(camasi!J28=0,camasi!J28=""),"",camasi!J28)</f>
        <v/>
      </c>
      <c r="K21" s="42" t="str">
        <f>IF(OR(camasi!K28=0,camasi!K28=""),"",camasi!K28)</f>
        <v/>
      </c>
      <c r="L21" s="42" t="str">
        <f>IF(OR(camasi!L28=0,camasi!L28=""),"",camasi!L28)</f>
        <v/>
      </c>
      <c r="M21" s="42">
        <f>IF(OR(camasi!M28=0,camasi!M28=""),"",camasi!M28)</f>
        <v>0.1225</v>
      </c>
      <c r="N21" s="42">
        <f>IF(OR(camasi!N28=0,camasi!N28=""),"",camasi!N28)</f>
        <v>2.52E-2</v>
      </c>
      <c r="O21" s="42">
        <f>IF(OR(camasi!O28=0,camasi!O28=""),"",camasi!O28)</f>
        <v>1.2800000000000001E-2</v>
      </c>
      <c r="P21" s="42" t="str">
        <f>IF(OR(camasi!P28=0,camasi!P28=""),"",camasi!P28)</f>
        <v/>
      </c>
      <c r="Q21" s="42" t="str">
        <f>IF(OR(camasi!Q28=0,camasi!Q28=""),"",camasi!Q28)</f>
        <v/>
      </c>
      <c r="R21" s="42" t="str">
        <f>IF(OR(camasi!R28=0,camasi!R28=""),"",camasi!R28)</f>
        <v/>
      </c>
      <c r="S21" s="42" t="str">
        <f>IF(OR(camasi!S28=0,camasi!S28=""),"",camasi!S28)</f>
        <v/>
      </c>
      <c r="T21" s="42" t="str">
        <f>IF(OR(camasi!T28=0,camasi!T28=""),"",camasi!T28)</f>
        <v/>
      </c>
      <c r="U21" s="42" t="str">
        <f>IF(OR(camasi!U28=0,camasi!U28=""),"",camasi!U28)</f>
        <v/>
      </c>
      <c r="V21" s="42">
        <f>IF(OR(camasi!V28=0,camasi!V28=""),"",camasi!V28)</f>
        <v>0.34920000000000001</v>
      </c>
      <c r="W21" s="42" t="str">
        <f>IF(OR(camasi!W28=0,camasi!W28=""),"",camasi!W28)</f>
        <v/>
      </c>
      <c r="X21" s="42" t="str">
        <f>IF(OR(camasi!X28=0,camasi!X28=""),"",camasi!X28)</f>
        <v/>
      </c>
      <c r="Z21" s="49"/>
    </row>
    <row r="22" spans="1:26" ht="20.25" thickBot="1" x14ac:dyDescent="0.5">
      <c r="A22" s="51"/>
      <c r="B22" s="18" t="str">
        <f>IF(OR(camasi!B29=0,camasi!B29=""),"",camasi!B29)</f>
        <v/>
      </c>
      <c r="C22" s="19" t="str">
        <f>IF(OR(camasi!C29=0,camasi!C29=""),"",camasi!C29)</f>
        <v/>
      </c>
      <c r="D22" s="19" t="str">
        <f>IF(OR(camasi!D29=0,camasi!D29=""),"",camasi!D29)</f>
        <v/>
      </c>
      <c r="E22" s="19" t="str">
        <f>IF(OR(camasi!E29=0,camasi!E29=""),"",camasi!E29)</f>
        <v/>
      </c>
      <c r="F22" s="19" t="str">
        <f>IF(OR(camasi!F29=0,camasi!F29=""),"",camasi!F29)</f>
        <v/>
      </c>
      <c r="G22" s="19" t="str">
        <f>IF(OR(camasi!G29=0,camasi!G29=""),"",camasi!G29)</f>
        <v/>
      </c>
      <c r="H22" s="19" t="str">
        <f>IF(OR(camasi!H29=0,camasi!H29=""),"",camasi!H29)</f>
        <v/>
      </c>
      <c r="I22" s="19" t="str">
        <f>IF(OR(camasi!I29=0,camasi!I29=""),"",camasi!I29)</f>
        <v/>
      </c>
      <c r="J22" s="19" t="str">
        <f>IF(OR(camasi!J29=0,camasi!J29=""),"",camasi!J29)</f>
        <v/>
      </c>
      <c r="K22" s="19" t="str">
        <f>IF(OR(camasi!K29=0,camasi!K29=""),"",camasi!K29)</f>
        <v/>
      </c>
      <c r="L22" s="19" t="str">
        <f>IF(OR(camasi!L29=0,camasi!L29=""),"",camasi!L29)</f>
        <v/>
      </c>
      <c r="M22" s="19" t="str">
        <f>IF(OR(camasi!M29=0,camasi!M29=""),"",camasi!M29)</f>
        <v/>
      </c>
      <c r="N22" s="19" t="str">
        <f>IF(OR(camasi!N29=0,camasi!N29=""),"",camasi!N29)</f>
        <v/>
      </c>
      <c r="O22" s="19" t="str">
        <f>IF(OR(camasi!O29=0,camasi!O29=""),"",camasi!O29)</f>
        <v/>
      </c>
      <c r="P22" s="19" t="str">
        <f>IF(OR(camasi!P29=0,camasi!P29=""),"",camasi!P29)</f>
        <v/>
      </c>
      <c r="Q22" s="19" t="str">
        <f>IF(OR(camasi!Q29=0,camasi!Q29=""),"",camasi!Q29)</f>
        <v/>
      </c>
      <c r="R22" s="19" t="str">
        <f>IF(OR(camasi!R29=0,camasi!R29=""),"",camasi!R29)</f>
        <v/>
      </c>
      <c r="S22" s="19" t="str">
        <f>IF(OR(camasi!S29=0,camasi!S29=""),"",camasi!S29)</f>
        <v/>
      </c>
      <c r="T22" s="19" t="str">
        <f>IF(OR(camasi!T29=0,camasi!T29=""),"",camasi!T29)</f>
        <v/>
      </c>
      <c r="U22" s="19" t="str">
        <f>IF(OR(camasi!U29=0,camasi!U29=""),"",camasi!U29)</f>
        <v/>
      </c>
      <c r="V22" s="19" t="str">
        <f>IF(OR(camasi!V29=0,camasi!V29=""),"",camasi!V29)</f>
        <v/>
      </c>
      <c r="W22" s="19" t="str">
        <f>IF(OR(camasi!W29=0,camasi!W29=""),"",camasi!W29)</f>
        <v/>
      </c>
      <c r="X22" s="19" t="str">
        <f>IF(OR(camasi!X29=0,camasi!X29=""),"",camasi!X29)</f>
        <v/>
      </c>
      <c r="Z22" s="49"/>
    </row>
    <row r="23" spans="1:26" ht="20.25" thickBot="1" x14ac:dyDescent="0.5">
      <c r="A23" s="51"/>
      <c r="B23" s="99" t="str">
        <f>IF(OR(camasi!B30=0,camasi!B30=""),"",camasi!B30)</f>
        <v>CONTENIDOS MINIMOS*1</v>
      </c>
      <c r="C23" s="100"/>
      <c r="D23" s="101"/>
      <c r="E23" s="35" t="str">
        <f>IF(OR(camasi!E30=0,camasi!E30=""),"",camasi!E30)</f>
        <v/>
      </c>
      <c r="F23" s="35" t="str">
        <f>IF(OR(camasi!F30=0,camasi!F30=""),"",camasi!F30)</f>
        <v/>
      </c>
      <c r="G23" s="35" t="str">
        <f>IF(OR(camasi!G30=0,camasi!G30=""),"",camasi!G30)</f>
        <v/>
      </c>
      <c r="H23" s="35" t="str">
        <f>IF(OR(camasi!H30=0,camasi!H30=""),"",camasi!H30)</f>
        <v/>
      </c>
      <c r="I23" s="35" t="str">
        <f>IF(OR(camasi!I30=0,camasi!I30=""),"",camasi!I30)</f>
        <v/>
      </c>
      <c r="J23" s="35" t="str">
        <f>IF(OR(camasi!J30=0,camasi!J30=""),"",camasi!J30)</f>
        <v/>
      </c>
      <c r="K23" s="35" t="str">
        <f>IF(OR(camasi!K30=0,camasi!K30=""),"",camasi!K30)</f>
        <v/>
      </c>
      <c r="L23" s="35" t="str">
        <f>IF(OR(camasi!L30=0,camasi!L30=""),"",camasi!L30)</f>
        <v/>
      </c>
      <c r="M23" s="35" t="str">
        <f>IF(OR(camasi!M30=0,camasi!M30=""),"",camasi!M30)</f>
        <v/>
      </c>
      <c r="N23" s="35" t="str">
        <f>IF(OR(camasi!N30=0,camasi!N30=""),"",camasi!N30)</f>
        <v/>
      </c>
      <c r="O23" s="35" t="str">
        <f>IF(OR(camasi!O30=0,camasi!O30=""),"",camasi!O30)</f>
        <v/>
      </c>
      <c r="P23" s="35" t="str">
        <f>IF(OR(camasi!P30=0,camasi!P30=""),"",camasi!P30)</f>
        <v/>
      </c>
      <c r="Q23" s="35" t="str">
        <f>IF(OR(camasi!Q30=0,camasi!Q30=""),"",camasi!Q30)</f>
        <v/>
      </c>
      <c r="R23" s="35" t="str">
        <f>IF(OR(camasi!R30=0,camasi!R30=""),"",camasi!R30)</f>
        <v/>
      </c>
      <c r="S23" s="35" t="str">
        <f>IF(OR(camasi!S30=0,camasi!S30=""),"",camasi!S30)</f>
        <v/>
      </c>
      <c r="T23" s="35" t="str">
        <f>IF(OR(camasi!T30=0,camasi!T30=""),"",camasi!T30)</f>
        <v/>
      </c>
      <c r="U23" s="35" t="str">
        <f>IF(OR(camasi!U30=0,camasi!U30=""),"",camasi!U30)</f>
        <v/>
      </c>
      <c r="V23" s="35" t="str">
        <f>IF(OR(camasi!V30=0,camasi!V30=""),"",camasi!V30)</f>
        <v/>
      </c>
      <c r="W23" s="35" t="str">
        <f>IF(OR(camasi!W30=0,camasi!W30=""),"",camasi!W30)</f>
        <v/>
      </c>
      <c r="X23" s="35" t="str">
        <f>IF(OR(camasi!X30=0,camasi!X30=""),"",camasi!X30)</f>
        <v/>
      </c>
      <c r="Z23" s="49"/>
    </row>
    <row r="24" spans="1:26" x14ac:dyDescent="0.45">
      <c r="A24" s="51"/>
      <c r="B24" s="102" t="str">
        <f>IF(OR(camasi!B31=0,camasi!B31=""),"",camasi!B31)</f>
        <v>NPK (Formula sola o en mezcla con micronutrientes)</v>
      </c>
      <c r="C24" s="103" t="str">
        <f>IF(OR(camasi!C31=0,camasi!C31=""),"",camasi!C31)</f>
        <v/>
      </c>
      <c r="D24" s="104" t="str">
        <f>IF(OR(camasi!D31=0,camasi!D31=""),"",camasi!D31)</f>
        <v/>
      </c>
      <c r="E24" s="130" t="str">
        <f>IF(OR(camasi!E31=0,camasi!E31=""),"",camasi!E31)</f>
        <v/>
      </c>
      <c r="F24" s="131" t="str">
        <f>IF(OR(camasi!F31=0,camasi!F31=""),"",camasi!F31)</f>
        <v/>
      </c>
      <c r="G24" s="131"/>
      <c r="H24" s="131"/>
      <c r="I24" s="131"/>
      <c r="J24" s="131"/>
      <c r="K24" s="131" t="str">
        <f>IF(OR(camasi!K31=0,camasi!K31=""),"",camasi!K31)</f>
        <v/>
      </c>
      <c r="L24" s="131" t="str">
        <f>IF(OR(camasi!L31=0,camasi!L31=""),"",camasi!L31)</f>
        <v/>
      </c>
      <c r="M24" s="131" t="str">
        <f>IF(OR(camasi!M31=0,camasi!M31=""),"",camasi!M31)</f>
        <v/>
      </c>
      <c r="N24" s="131" t="str">
        <f>IF(OR(camasi!N31=0,camasi!N31=""),"",camasi!N31)</f>
        <v/>
      </c>
      <c r="O24" s="131" t="str">
        <f>IF(OR(camasi!O31=0,camasi!O31=""),"",camasi!O31)</f>
        <v/>
      </c>
      <c r="P24" s="131" t="str">
        <f>IF(OR(camasi!P31=0,camasi!P31=""),"",camasi!P31)</f>
        <v/>
      </c>
      <c r="Q24" s="131" t="str">
        <f>IF(OR(camasi!Q31=0,camasi!Q31=""),"",camasi!Q31)</f>
        <v/>
      </c>
      <c r="R24" s="131" t="str">
        <f>IF(OR(camasi!R31=0,camasi!R31=""),"",camasi!R31)</f>
        <v/>
      </c>
      <c r="S24" s="131" t="str">
        <f>IF(OR(camasi!S31=0,camasi!S31=""),"",camasi!S31)</f>
        <v/>
      </c>
      <c r="T24" s="131" t="str">
        <f>IF(OR(camasi!T31=0,camasi!T31=""),"",camasi!T31)</f>
        <v/>
      </c>
      <c r="U24" s="131" t="str">
        <f>IF(OR(camasi!U31=0,camasi!U31=""),"",camasi!U31)</f>
        <v/>
      </c>
      <c r="V24" s="131" t="str">
        <f>IF(OR(camasi!V31=0,camasi!V31=""),"",camasi!V31)</f>
        <v/>
      </c>
      <c r="W24" s="131" t="str">
        <f>IF(OR(camasi!W31=0,camasi!W31=""),"",camasi!W31)</f>
        <v/>
      </c>
      <c r="X24" s="132" t="str">
        <f>IF(OR(camasi!X31=0,camasi!X31=""),"",camasi!X31)</f>
        <v/>
      </c>
      <c r="Z24" s="49"/>
    </row>
    <row r="25" spans="1:26" x14ac:dyDescent="0.45">
      <c r="A25" s="51"/>
      <c r="B25" s="105" t="str">
        <f>IF(OR(camasi!B32=0,camasi!B32=""),"",camasi!B32)</f>
        <v>Secundarios (Formula UNICAMENTE con Ca, Mg, S)</v>
      </c>
      <c r="C25" s="106" t="str">
        <f>IF(OR(camasi!C32=0,camasi!C32=""),"",camasi!C32)</f>
        <v/>
      </c>
      <c r="D25" s="107" t="str">
        <f>IF(OR(camasi!D32=0,camasi!D32=""),"",camasi!D32)</f>
        <v/>
      </c>
      <c r="E25" s="133" t="str">
        <f>IF(OR(camasi!E32=0,camasi!E32=""),"",camasi!E32)</f>
        <v/>
      </c>
      <c r="F25" s="134" t="str">
        <f>IF(OR(camasi!F32=0,camasi!F32=""),"",camasi!F32)</f>
        <v/>
      </c>
      <c r="G25" s="134"/>
      <c r="H25" s="134"/>
      <c r="I25" s="134"/>
      <c r="J25" s="134"/>
      <c r="K25" s="134" t="str">
        <f>IF(OR(camasi!K32=0,camasi!K32=""),"",camasi!K32)</f>
        <v/>
      </c>
      <c r="L25" s="134" t="str">
        <f>IF(OR(camasi!L32=0,camasi!L32=""),"",camasi!L32)</f>
        <v/>
      </c>
      <c r="M25" s="134" t="str">
        <f>IF(OR(camasi!M32=0,camasi!M32=""),"",camasi!M32)</f>
        <v/>
      </c>
      <c r="N25" s="134" t="str">
        <f>IF(OR(camasi!N32=0,camasi!N32=""),"",camasi!N32)</f>
        <v/>
      </c>
      <c r="O25" s="134" t="str">
        <f>IF(OR(camasi!O32=0,camasi!O32=""),"",camasi!O32)</f>
        <v/>
      </c>
      <c r="P25" s="134" t="str">
        <f>IF(OR(camasi!P32=0,camasi!P32=""),"",camasi!P32)</f>
        <v/>
      </c>
      <c r="Q25" s="134" t="str">
        <f>IF(OR(camasi!Q32=0,camasi!Q32=""),"",camasi!Q32)</f>
        <v/>
      </c>
      <c r="R25" s="134" t="str">
        <f>IF(OR(camasi!R32=0,camasi!R32=""),"",camasi!R32)</f>
        <v/>
      </c>
      <c r="S25" s="134" t="str">
        <f>IF(OR(camasi!S32=0,camasi!S32=""),"",camasi!S32)</f>
        <v/>
      </c>
      <c r="T25" s="134" t="str">
        <f>IF(OR(camasi!T32=0,camasi!T32=""),"",camasi!T32)</f>
        <v/>
      </c>
      <c r="U25" s="134" t="str">
        <f>IF(OR(camasi!U32=0,camasi!U32=""),"",camasi!U32)</f>
        <v/>
      </c>
      <c r="V25" s="134" t="str">
        <f>IF(OR(camasi!V32=0,camasi!V32=""),"",camasi!V32)</f>
        <v/>
      </c>
      <c r="W25" s="134" t="str">
        <f>IF(OR(camasi!W32=0,camasi!W32=""),"",camasi!W32)</f>
        <v/>
      </c>
      <c r="X25" s="135" t="str">
        <f>IF(OR(camasi!X32=0,camasi!X32=""),"",camasi!X32)</f>
        <v/>
      </c>
      <c r="Z25" s="49"/>
    </row>
    <row r="26" spans="1:26" x14ac:dyDescent="0.45">
      <c r="A26" s="51"/>
      <c r="B26" s="105" t="str">
        <f>IF(OR(camasi!B33=0,camasi!B33=""),"",camasi!B33)</f>
        <v>Micronutrientes: Unicamente micronutrientes</v>
      </c>
      <c r="C26" s="106" t="str">
        <f>IF(OR(camasi!C33=0,camasi!C33=""),"",camasi!C33)</f>
        <v/>
      </c>
      <c r="D26" s="107" t="str">
        <f>IF(OR(camasi!D33=0,camasi!D33=""),"",camasi!D33)</f>
        <v/>
      </c>
      <c r="E26" s="133" t="str">
        <f>IF(OR(camasi!E33=0,camasi!E33=""),"",camasi!E33)</f>
        <v/>
      </c>
      <c r="F26" s="134" t="str">
        <f>IF(OR(camasi!F33=0,camasi!F33=""),"",camasi!F33)</f>
        <v/>
      </c>
      <c r="G26" s="134"/>
      <c r="H26" s="134"/>
      <c r="I26" s="134"/>
      <c r="J26" s="134"/>
      <c r="K26" s="134" t="str">
        <f>IF(OR(camasi!K33=0,camasi!K33=""),"",camasi!K33)</f>
        <v/>
      </c>
      <c r="L26" s="134" t="str">
        <f>IF(OR(camasi!L33=0,camasi!L33=""),"",camasi!L33)</f>
        <v/>
      </c>
      <c r="M26" s="134" t="str">
        <f>IF(OR(camasi!M33=0,camasi!M33=""),"",camasi!M33)</f>
        <v/>
      </c>
      <c r="N26" s="134" t="str">
        <f>IF(OR(camasi!N33=0,camasi!N33=""),"",camasi!N33)</f>
        <v/>
      </c>
      <c r="O26" s="134" t="str">
        <f>IF(OR(camasi!O33=0,camasi!O33=""),"",camasi!O33)</f>
        <v/>
      </c>
      <c r="P26" s="134" t="str">
        <f>IF(OR(camasi!P33=0,camasi!P33=""),"",camasi!P33)</f>
        <v/>
      </c>
      <c r="Q26" s="134" t="str">
        <f>IF(OR(camasi!Q33=0,camasi!Q33=""),"",camasi!Q33)</f>
        <v/>
      </c>
      <c r="R26" s="134" t="str">
        <f>IF(OR(camasi!R33=0,camasi!R33=""),"",camasi!R33)</f>
        <v/>
      </c>
      <c r="S26" s="134" t="str">
        <f>IF(OR(camasi!S33=0,camasi!S33=""),"",camasi!S33)</f>
        <v/>
      </c>
      <c r="T26" s="134" t="str">
        <f>IF(OR(camasi!T33=0,camasi!T33=""),"",camasi!T33)</f>
        <v/>
      </c>
      <c r="U26" s="134" t="str">
        <f>IF(OR(camasi!U33=0,camasi!U33=""),"",camasi!U33)</f>
        <v/>
      </c>
      <c r="V26" s="134" t="str">
        <f>IF(OR(camasi!V33=0,camasi!V33=""),"",camasi!V33)</f>
        <v/>
      </c>
      <c r="W26" s="134" t="str">
        <f>IF(OR(camasi!W33=0,camasi!W33=""),"",camasi!W33)</f>
        <v/>
      </c>
      <c r="X26" s="135" t="str">
        <f>IF(OR(camasi!X33=0,camasi!X33=""),"",camasi!X33)</f>
        <v/>
      </c>
      <c r="Z26" s="49"/>
    </row>
    <row r="27" spans="1:26" ht="20.25" thickBot="1" x14ac:dyDescent="0.5">
      <c r="A27" s="51"/>
      <c r="B27" s="108" t="str">
        <f>IF(OR(camasi!B34=0,camasi!B34=""),"",camasi!B34)</f>
        <v>Micronutrientes: Mezcla con NPK o secundarios</v>
      </c>
      <c r="C27" s="109" t="str">
        <f>IF(OR(camasi!C34=0,camasi!C34=""),"",camasi!C34)</f>
        <v/>
      </c>
      <c r="D27" s="110" t="str">
        <f>IF(OR(camasi!D34=0,camasi!D34=""),"",camasi!D34)</f>
        <v/>
      </c>
      <c r="E27" s="136" t="str">
        <f>IF(OR(camasi!E34=0,camasi!E34=""),"",camasi!E34)</f>
        <v/>
      </c>
      <c r="F27" s="137" t="str">
        <f>IF(OR(camasi!F34=0,camasi!F34=""),"",camasi!F34)</f>
        <v/>
      </c>
      <c r="G27" s="137"/>
      <c r="H27" s="137"/>
      <c r="I27" s="137"/>
      <c r="J27" s="137"/>
      <c r="K27" s="137" t="str">
        <f>IF(OR(camasi!K34=0,camasi!K34=""),"",camasi!K34)</f>
        <v/>
      </c>
      <c r="L27" s="137" t="str">
        <f>IF(OR(camasi!L34=0,camasi!L34=""),"",camasi!L34)</f>
        <v/>
      </c>
      <c r="M27" s="137" t="str">
        <f>IF(OR(camasi!M34=0,camasi!M34=""),"",camasi!M34)</f>
        <v/>
      </c>
      <c r="N27" s="137" t="str">
        <f>IF(OR(camasi!N34=0,camasi!N34=""),"",camasi!N34)</f>
        <v/>
      </c>
      <c r="O27" s="137" t="str">
        <f>IF(OR(camasi!O34=0,camasi!O34=""),"",camasi!O34)</f>
        <v/>
      </c>
      <c r="P27" s="137" t="str">
        <f>IF(OR(camasi!P34=0,camasi!P34=""),"",camasi!P34)</f>
        <v/>
      </c>
      <c r="Q27" s="137" t="str">
        <f>IF(OR(camasi!Q34=0,camasi!Q34=""),"",camasi!Q34)</f>
        <v/>
      </c>
      <c r="R27" s="137" t="str">
        <f>IF(OR(camasi!R34=0,camasi!R34=""),"",camasi!R34)</f>
        <v/>
      </c>
      <c r="S27" s="137" t="str">
        <f>IF(OR(camasi!S34=0,camasi!S34=""),"",camasi!S34)</f>
        <v/>
      </c>
      <c r="T27" s="137" t="str">
        <f>IF(OR(camasi!T34=0,camasi!T34=""),"",camasi!T34)</f>
        <v/>
      </c>
      <c r="U27" s="137" t="str">
        <f>IF(OR(camasi!U34=0,camasi!U34=""),"",camasi!U34)</f>
        <v/>
      </c>
      <c r="V27" s="137" t="str">
        <f>IF(OR(camasi!V34=0,camasi!V34=""),"",camasi!V34)</f>
        <v>SI</v>
      </c>
      <c r="W27" s="137" t="str">
        <f>IF(OR(camasi!W34=0,camasi!W34=""),"",camasi!W34)</f>
        <v/>
      </c>
      <c r="X27" s="138" t="str">
        <f>IF(OR(camasi!X34=0,camasi!X34=""),"",camasi!X34)</f>
        <v/>
      </c>
      <c r="Z27" s="49"/>
    </row>
    <row r="28" spans="1:26" x14ac:dyDescent="0.45">
      <c r="A28" s="51"/>
      <c r="B28" s="98" t="str">
        <f>IF(OR(camasi!B35=0,camasi!B35=""),"",camasi!B35)</f>
        <v>*1 Resolución ICA 150 de 2003 ANEXO 11</v>
      </c>
      <c r="C28" s="98" t="str">
        <f>IF(OR(camasi!C35=0,camasi!C35=""),"",camasi!C35)</f>
        <v/>
      </c>
      <c r="D28" s="98" t="str">
        <f>IF(OR(camasi!D35=0,camasi!D35=""),"",camasi!D35)</f>
        <v/>
      </c>
      <c r="E28" s="35" t="str">
        <f>IF(OR(camasi!E35=0,camasi!E35=""),"",camasi!E35)</f>
        <v/>
      </c>
      <c r="F28" s="35" t="str">
        <f>IF(OR(camasi!F35=0,camasi!F35=""),"",camasi!F35)</f>
        <v/>
      </c>
      <c r="G28" s="35" t="str">
        <f>IF(OR(camasi!G35=0,camasi!G35=""),"",camasi!G35)</f>
        <v/>
      </c>
      <c r="H28" s="35" t="str">
        <f>IF(OR(camasi!H35=0,camasi!H35=""),"",camasi!H35)</f>
        <v/>
      </c>
      <c r="I28" s="35" t="str">
        <f>IF(OR(camasi!I35=0,camasi!I35=""),"",camasi!I35)</f>
        <v/>
      </c>
      <c r="J28" s="35" t="str">
        <f>IF(OR(camasi!J35=0,camasi!J35=""),"",camasi!J35)</f>
        <v/>
      </c>
      <c r="K28" s="35" t="str">
        <f>IF(OR(camasi!K35=0,camasi!K35=""),"",camasi!K35)</f>
        <v/>
      </c>
      <c r="L28" s="35" t="str">
        <f>IF(OR(camasi!L35=0,camasi!L35=""),"",camasi!L35)</f>
        <v/>
      </c>
      <c r="M28" s="35" t="str">
        <f>IF(OR(camasi!M35=0,camasi!M35=""),"",camasi!M35)</f>
        <v/>
      </c>
      <c r="N28" s="35" t="str">
        <f>IF(OR(camasi!N35=0,camasi!N35=""),"",camasi!N35)</f>
        <v/>
      </c>
      <c r="O28" s="35" t="str">
        <f>IF(OR(camasi!O35=0,camasi!O35=""),"",camasi!O35)</f>
        <v/>
      </c>
      <c r="P28" s="35" t="str">
        <f>IF(OR(camasi!P35=0,camasi!P35=""),"",camasi!P35)</f>
        <v/>
      </c>
      <c r="Q28" s="35" t="str">
        <f>IF(OR(camasi!Q35=0,camasi!Q35=""),"",camasi!Q35)</f>
        <v/>
      </c>
      <c r="R28" s="35" t="str">
        <f>IF(OR(camasi!R35=0,camasi!R35=""),"",camasi!R35)</f>
        <v/>
      </c>
      <c r="S28" s="35" t="str">
        <f>IF(OR(camasi!S35=0,camasi!S35=""),"",camasi!S35)</f>
        <v/>
      </c>
      <c r="T28" s="35" t="str">
        <f>IF(OR(camasi!T35=0,camasi!T35=""),"",camasi!T35)</f>
        <v/>
      </c>
      <c r="U28" s="35" t="str">
        <f>IF(OR(camasi!U35=0,camasi!U35=""),"",camasi!U35)</f>
        <v/>
      </c>
      <c r="V28" s="35" t="str">
        <f>IF(OR(camasi!V35=0,camasi!V35=""),"",camasi!V35)</f>
        <v/>
      </c>
      <c r="W28" s="35" t="str">
        <f>IF(OR(camasi!W35=0,camasi!W35=""),"",camasi!W35)</f>
        <v/>
      </c>
      <c r="X28" s="35" t="str">
        <f>IF(OR(camasi!X35=0,camasi!X35=""),"",camasi!X35)</f>
        <v/>
      </c>
      <c r="Z28" s="49"/>
    </row>
    <row r="29" spans="1:26" ht="20.25" thickBot="1" x14ac:dyDescent="0.5">
      <c r="A29" s="51"/>
      <c r="B29" s="18" t="str">
        <f>IF(OR(camasi!B36=0,camasi!B36=""),"",camasi!B36)</f>
        <v/>
      </c>
      <c r="C29" s="19" t="str">
        <f>IF(OR(camasi!C36=0,camasi!C36=""),"",camasi!C36)</f>
        <v/>
      </c>
      <c r="D29" s="19" t="str">
        <f>IF(OR(camasi!D36=0,camasi!D36=""),"",camasi!D36)</f>
        <v/>
      </c>
      <c r="E29" s="19" t="str">
        <f>IF(OR(camasi!E36=0,camasi!E36=""),"",camasi!E36)</f>
        <v/>
      </c>
      <c r="F29" s="19" t="str">
        <f>IF(OR(camasi!F36=0,camasi!F36=""),"",camasi!F36)</f>
        <v/>
      </c>
      <c r="G29" s="19" t="str">
        <f>IF(OR(camasi!G36=0,camasi!G36=""),"",camasi!G36)</f>
        <v/>
      </c>
      <c r="H29" s="19" t="str">
        <f>IF(OR(camasi!H36=0,camasi!H36=""),"",camasi!H36)</f>
        <v/>
      </c>
      <c r="I29" s="19" t="str">
        <f>IF(OR(camasi!I36=0,camasi!I36=""),"",camasi!I36)</f>
        <v/>
      </c>
      <c r="J29" s="19" t="str">
        <f>IF(OR(camasi!J36=0,camasi!J36=""),"",camasi!J36)</f>
        <v/>
      </c>
      <c r="K29" s="19" t="str">
        <f>IF(OR(camasi!K36=0,camasi!K36=""),"",camasi!K36)</f>
        <v/>
      </c>
      <c r="L29" s="19" t="str">
        <f>IF(OR(camasi!L36=0,camasi!L36=""),"",camasi!L36)</f>
        <v/>
      </c>
      <c r="M29" s="19" t="str">
        <f>IF(OR(camasi!M36=0,camasi!M36=""),"",camasi!M36)</f>
        <v/>
      </c>
      <c r="N29" s="19" t="str">
        <f>IF(OR(camasi!N36=0,camasi!N36=""),"",camasi!N36)</f>
        <v/>
      </c>
      <c r="O29" s="19" t="str">
        <f>IF(OR(camasi!O36=0,camasi!O36=""),"",camasi!O36)</f>
        <v/>
      </c>
      <c r="P29" s="19" t="str">
        <f>IF(OR(camasi!P36=0,camasi!P36=""),"",camasi!P36)</f>
        <v/>
      </c>
      <c r="Q29" s="19" t="str">
        <f>IF(OR(camasi!Q36=0,camasi!Q36=""),"",camasi!Q36)</f>
        <v/>
      </c>
      <c r="R29" s="19" t="str">
        <f>IF(OR(camasi!R36=0,camasi!R36=""),"",camasi!R36)</f>
        <v/>
      </c>
      <c r="S29" s="19" t="str">
        <f>IF(OR(camasi!S36=0,camasi!S36=""),"",camasi!S36)</f>
        <v/>
      </c>
      <c r="T29" s="19" t="str">
        <f>IF(OR(camasi!T36=0,camasi!T36=""),"",camasi!T36)</f>
        <v/>
      </c>
      <c r="U29" s="19" t="str">
        <f>IF(OR(camasi!U36=0,camasi!U36=""),"",camasi!U36)</f>
        <v/>
      </c>
      <c r="V29" s="19" t="str">
        <f>IF(OR(camasi!V36=0,camasi!V36=""),"",camasi!V36)</f>
        <v/>
      </c>
      <c r="W29" s="19" t="str">
        <f>IF(OR(camasi!W36=0,camasi!W36=""),"",camasi!W36)</f>
        <v/>
      </c>
      <c r="X29" s="19" t="str">
        <f>IF(OR(camasi!X36=0,camasi!X36=""),"",camasi!X36)</f>
        <v/>
      </c>
      <c r="Z29" s="49"/>
    </row>
    <row r="30" spans="1:26" ht="20.25" thickBot="1" x14ac:dyDescent="0.5">
      <c r="A30" s="51"/>
      <c r="B30" s="99" t="str">
        <f>IF(OR(camasi!B37=0,camasi!B37=""),"",camasi!B37)</f>
        <v>TOLERANCIAS*2</v>
      </c>
      <c r="C30" s="100" t="str">
        <f>IF(OR(camasi!C37=0,camasi!C37=""),"",camasi!C37)</f>
        <v/>
      </c>
      <c r="D30" s="101" t="str">
        <f>IF(OR(camasi!D37=0,camasi!D37=""),"",camasi!D37)</f>
        <v/>
      </c>
      <c r="E30" s="35" t="str">
        <f>IF(OR(camasi!E37=0,camasi!E37=""),"",camasi!E37)</f>
        <v/>
      </c>
      <c r="F30" s="35" t="str">
        <f>IF(OR(camasi!F37=0,camasi!F37=""),"",camasi!F37)</f>
        <v/>
      </c>
      <c r="G30" s="35" t="str">
        <f>IF(OR(camasi!G37=0,camasi!G37=""),"",camasi!G37)</f>
        <v/>
      </c>
      <c r="H30" s="35" t="str">
        <f>IF(OR(camasi!H37=0,camasi!H37=""),"",camasi!H37)</f>
        <v/>
      </c>
      <c r="I30" s="35" t="str">
        <f>IF(OR(camasi!I37=0,camasi!I37=""),"",camasi!I37)</f>
        <v/>
      </c>
      <c r="J30" s="35" t="str">
        <f>IF(OR(camasi!J37=0,camasi!J37=""),"",camasi!J37)</f>
        <v/>
      </c>
      <c r="K30" s="35" t="str">
        <f>IF(OR(camasi!K37=0,camasi!K37=""),"",camasi!K37)</f>
        <v/>
      </c>
      <c r="L30" s="35" t="str">
        <f>IF(OR(camasi!L37=0,camasi!L37=""),"",camasi!L37)</f>
        <v/>
      </c>
      <c r="M30" s="35" t="str">
        <f>IF(OR(camasi!M37=0,camasi!M37=""),"",camasi!M37)</f>
        <v/>
      </c>
      <c r="N30" s="35" t="str">
        <f>IF(OR(camasi!N37=0,camasi!N37=""),"",camasi!N37)</f>
        <v/>
      </c>
      <c r="O30" s="35" t="str">
        <f>IF(OR(camasi!O37=0,camasi!O37=""),"",camasi!O37)</f>
        <v/>
      </c>
      <c r="P30" s="35" t="str">
        <f>IF(OR(camasi!P37=0,camasi!P37=""),"",camasi!P37)</f>
        <v/>
      </c>
      <c r="Q30" s="35" t="str">
        <f>IF(OR(camasi!Q37=0,camasi!Q37=""),"",camasi!Q37)</f>
        <v/>
      </c>
      <c r="R30" s="35" t="str">
        <f>IF(OR(camasi!R37=0,camasi!R37=""),"",camasi!R37)</f>
        <v/>
      </c>
      <c r="S30" s="35" t="str">
        <f>IF(OR(camasi!S37=0,camasi!S37=""),"",camasi!S37)</f>
        <v/>
      </c>
      <c r="T30" s="35" t="str">
        <f>IF(OR(camasi!T37=0,camasi!T37=""),"",camasi!T37)</f>
        <v/>
      </c>
      <c r="U30" s="35" t="str">
        <f>IF(OR(camasi!U37=0,camasi!U37=""),"",camasi!U37)</f>
        <v/>
      </c>
      <c r="V30" s="35" t="str">
        <f>IF(OR(camasi!V37=0,camasi!V37=""),"",camasi!V37)</f>
        <v/>
      </c>
      <c r="W30" s="35" t="str">
        <f>IF(OR(camasi!W37=0,camasi!W37=""),"",camasi!W37)</f>
        <v/>
      </c>
      <c r="X30" s="35" t="str">
        <f>IF(OR(camasi!X37=0,camasi!X37=""),"",camasi!X37)</f>
        <v/>
      </c>
      <c r="Z30" s="49"/>
    </row>
    <row r="31" spans="1:26" x14ac:dyDescent="0.45">
      <c r="A31" s="51"/>
      <c r="B31" s="102" t="str">
        <f>IF(OR(camasi!B38=0,camasi!B38=""),"",camasi!B38)</f>
        <v>Calculo</v>
      </c>
      <c r="C31" s="103" t="str">
        <f>IF(OR(camasi!C38=0,camasi!C38=""),"",camasi!C38)</f>
        <v/>
      </c>
      <c r="D31" s="104" t="str">
        <f>IF(OR(camasi!D38=0,camasi!D38=""),"",camasi!D38)</f>
        <v/>
      </c>
      <c r="E31" s="130" t="str">
        <f>IF(OR(camasi!E38=0,camasi!E38=""),"",camasi!E38)</f>
        <v/>
      </c>
      <c r="F31" s="131" t="str">
        <f>IF(OR(camasi!F38=0,camasi!F38=""),"",camasi!F38)</f>
        <v/>
      </c>
      <c r="G31" s="131" t="str">
        <f>IF(OR(camasi!G38=0,camasi!G38=""),"",camasi!G38)</f>
        <v/>
      </c>
      <c r="H31" s="131" t="str">
        <f>IF(OR(camasi!H38=0,camasi!H38=""),"",camasi!H38)</f>
        <v/>
      </c>
      <c r="I31" s="131" t="str">
        <f>IF(OR(camasi!I38=0,camasi!I38=""),"",camasi!I38)</f>
        <v/>
      </c>
      <c r="J31" s="131" t="str">
        <f>IF(OR(camasi!J38=0,camasi!J38=""),"",camasi!J38)</f>
        <v/>
      </c>
      <c r="K31" s="131" t="str">
        <f>IF(OR(camasi!K38=0,camasi!K38=""),"",camasi!K38)</f>
        <v/>
      </c>
      <c r="L31" s="131" t="str">
        <f>IF(OR(camasi!L38=0,camasi!L38=""),"",camasi!L38)</f>
        <v/>
      </c>
      <c r="M31" s="131">
        <f>IF(OR(camasi!M38=0,camasi!M38=""),"",camasi!M38)</f>
        <v>2.4275999999999995E-2</v>
      </c>
      <c r="N31" s="131">
        <f>IF(OR(camasi!N38=0,camasi!N38=""),"",camasi!N38)</f>
        <v>9.5624999999999998E-3</v>
      </c>
      <c r="O31" s="131">
        <f>IF(OR(camasi!O38=0,camasi!O38=""),"",camasi!O38)</f>
        <v>3.7499999999999999E-3</v>
      </c>
      <c r="P31" s="131" t="str">
        <f>IF(OR(camasi!P38=0,camasi!P38=""),"",camasi!P38)</f>
        <v/>
      </c>
      <c r="Q31" s="131" t="str">
        <f>IF(OR(camasi!Q38=0,camasi!Q38=""),"",camasi!Q38)</f>
        <v/>
      </c>
      <c r="R31" s="131" t="str">
        <f>IF(OR(camasi!R38=0,camasi!R38=""),"",camasi!R38)</f>
        <v/>
      </c>
      <c r="S31" s="131" t="str">
        <f>IF(OR(camasi!S38=0,camasi!S38=""),"",camasi!S38)</f>
        <v/>
      </c>
      <c r="T31" s="131" t="str">
        <f>IF(OR(camasi!T38=0,camasi!T38=""),"",camasi!T38)</f>
        <v/>
      </c>
      <c r="U31" s="131" t="str">
        <f>IF(OR(camasi!U38=0,camasi!U38=""),"",camasi!U38)</f>
        <v/>
      </c>
      <c r="V31" s="131" t="str">
        <f>IF(OR(camasi!V38=0,camasi!V38=""),"",camasi!V38)</f>
        <v/>
      </c>
      <c r="W31" s="131" t="str">
        <f>IF(OR(camasi!W38=0,camasi!W38=""),"",camasi!W38)</f>
        <v/>
      </c>
      <c r="X31" s="132" t="str">
        <f>IF(OR(camasi!X38=0,camasi!X38=""),"",camasi!X38)</f>
        <v/>
      </c>
      <c r="Z31" s="49"/>
    </row>
    <row r="32" spans="1:26" x14ac:dyDescent="0.45">
      <c r="A32" s="51"/>
      <c r="B32" s="105" t="str">
        <f>IF(OR(camasi!B39=0,camasi!B39=""),"",camasi!B39)</f>
        <v>NPK ¿El contenido está fuera de rango [4%-32%]?*3</v>
      </c>
      <c r="C32" s="106" t="str">
        <f>IF(OR(camasi!C39=0,camasi!C39=""),"",camasi!C39)</f>
        <v/>
      </c>
      <c r="D32" s="107" t="str">
        <f>IF(OR(camasi!D39=0,camasi!D39=""),"",camasi!D39)</f>
        <v/>
      </c>
      <c r="E32" s="133" t="str">
        <f>IF(OR(camasi!E39=0,camasi!E39=""),"",camasi!E39)</f>
        <v/>
      </c>
      <c r="F32" s="134" t="str">
        <f>IF(OR(camasi!F39=0,camasi!F39=""),"",camasi!F39)</f>
        <v/>
      </c>
      <c r="G32" s="134"/>
      <c r="H32" s="134"/>
      <c r="I32" s="134" t="str">
        <f>IF(OR(camasi!I39=0,camasi!I39=""),"",camasi!I39)</f>
        <v/>
      </c>
      <c r="J32" s="134"/>
      <c r="K32" s="134" t="str">
        <f>IF(OR(camasi!K39=0,camasi!K39=""),"",camasi!K39)</f>
        <v/>
      </c>
      <c r="L32" s="134" t="str">
        <f>IF(OR(camasi!L39=0,camasi!L39=""),"",camasi!L39)</f>
        <v/>
      </c>
      <c r="M32" s="134"/>
      <c r="N32" s="134"/>
      <c r="O32" s="134"/>
      <c r="P32" s="134" t="str">
        <f>IF(OR(camasi!P39=0,camasi!P39=""),"",camasi!P39)</f>
        <v/>
      </c>
      <c r="Q32" s="134" t="str">
        <f>IF(OR(camasi!Q39=0,camasi!Q39=""),"",camasi!Q39)</f>
        <v/>
      </c>
      <c r="R32" s="134" t="str">
        <f>IF(OR(camasi!R39=0,camasi!R39=""),"",camasi!R39)</f>
        <v/>
      </c>
      <c r="S32" s="134" t="str">
        <f>IF(OR(camasi!S39=0,camasi!S39=""),"",camasi!S39)</f>
        <v/>
      </c>
      <c r="T32" s="134" t="str">
        <f>IF(OR(camasi!T39=0,camasi!T39=""),"",camasi!T39)</f>
        <v/>
      </c>
      <c r="U32" s="134" t="str">
        <f>IF(OR(camasi!U39=0,camasi!U39=""),"",camasi!U39)</f>
        <v/>
      </c>
      <c r="V32" s="134" t="str">
        <f>IF(OR(camasi!V39=0,camasi!V39=""),"",camasi!V39)</f>
        <v/>
      </c>
      <c r="W32" s="134" t="str">
        <f>IF(OR(camasi!W39=0,camasi!W39=""),"",camasi!W39)</f>
        <v/>
      </c>
      <c r="X32" s="135" t="str">
        <f>IF(OR(camasi!X39=0,camasi!X39=""),"",camasi!X39)</f>
        <v/>
      </c>
      <c r="Z32" s="49"/>
    </row>
    <row r="33" spans="1:26" x14ac:dyDescent="0.45">
      <c r="A33" s="51"/>
      <c r="B33" s="105" t="str">
        <f>IF(OR(camasi!B40=0,camasi!B40=""),"",camasi!B40)</f>
        <v>Secundarios y menores ¿La tolerancia supera el 50% o 1.5pp?*4</v>
      </c>
      <c r="C33" s="106" t="str">
        <f>IF(OR(camasi!C40=0,camasi!C40=""),"",camasi!C40)</f>
        <v/>
      </c>
      <c r="D33" s="107" t="str">
        <f>IF(OR(camasi!D40=0,camasi!D40=""),"",camasi!D40)</f>
        <v/>
      </c>
      <c r="E33" s="133" t="str">
        <f>IF(OR(camasi!E40=0,camasi!E40=""),"",camasi!E40)</f>
        <v/>
      </c>
      <c r="F33" s="134" t="str">
        <f>IF(OR(camasi!F40=0,camasi!F40=""),"",camasi!F40)</f>
        <v/>
      </c>
      <c r="G33" s="134"/>
      <c r="H33" s="134"/>
      <c r="I33" s="134"/>
      <c r="J33" s="134"/>
      <c r="K33" s="134" t="str">
        <f>IF(OR(camasi!K40=0,camasi!K40=""),"",camasi!K40)</f>
        <v/>
      </c>
      <c r="L33" s="134" t="str">
        <f>IF(OR(camasi!L40=0,camasi!L40=""),"",camasi!L40)</f>
        <v/>
      </c>
      <c r="M33" s="134" t="str">
        <f>IF(OR(camasi!M40=0,camasi!M40=""),"",camasi!M40)</f>
        <v>SI</v>
      </c>
      <c r="N33" s="134" t="str">
        <f>IF(OR(camasi!N40=0,camasi!N40=""),"",camasi!N40)</f>
        <v>NO</v>
      </c>
      <c r="O33" s="134" t="str">
        <f>IF(OR(camasi!O40=0,camasi!O40=""),"",camasi!O40)</f>
        <v>NO</v>
      </c>
      <c r="P33" s="134" t="str">
        <f>IF(OR(camasi!P40=0,camasi!P40=""),"",camasi!P40)</f>
        <v/>
      </c>
      <c r="Q33" s="134" t="str">
        <f>IF(OR(camasi!Q40=0,camasi!Q40=""),"",camasi!Q40)</f>
        <v/>
      </c>
      <c r="R33" s="134" t="str">
        <f>IF(OR(camasi!R40=0,camasi!R40=""),"",camasi!R40)</f>
        <v/>
      </c>
      <c r="S33" s="134" t="str">
        <f>IF(OR(camasi!S40=0,camasi!S40=""),"",camasi!S40)</f>
        <v/>
      </c>
      <c r="T33" s="134" t="str">
        <f>IF(OR(camasi!T40=0,camasi!T40=""),"",camasi!T40)</f>
        <v/>
      </c>
      <c r="U33" s="134" t="str">
        <f>IF(OR(camasi!U40=0,camasi!U40=""),"",camasi!U40)</f>
        <v/>
      </c>
      <c r="V33" s="134" t="str">
        <f>IF(OR(camasi!V40=0,camasi!V40=""),"",camasi!V40)</f>
        <v/>
      </c>
      <c r="W33" s="134" t="str">
        <f>IF(OR(camasi!W40=0,camasi!W40=""),"",camasi!W40)</f>
        <v/>
      </c>
      <c r="X33" s="135" t="str">
        <f>IF(OR(camasi!X40=0,camasi!X40=""),"",camasi!X40)</f>
        <v/>
      </c>
      <c r="Z33" s="49"/>
    </row>
    <row r="34" spans="1:26" ht="20.25" thickBot="1" x14ac:dyDescent="0.5">
      <c r="A34" s="51"/>
      <c r="B34" s="108" t="str">
        <f>IF(OR(camasi!B41=0,camasi!B41=""),"",camasi!B41)</f>
        <v>Tolerancia permitida</v>
      </c>
      <c r="C34" s="109" t="str">
        <f>IF(OR(camasi!C41=0,camasi!C41=""),"",camasi!C41)</f>
        <v/>
      </c>
      <c r="D34" s="110" t="str">
        <f>IF(OR(camasi!D41=0,camasi!D41=""),"",camasi!D41)</f>
        <v/>
      </c>
      <c r="E34" s="136" t="str">
        <f>IF(OR(camasi!E41=0,camasi!E41=""),"",camasi!E41)</f>
        <v/>
      </c>
      <c r="F34" s="137" t="str">
        <f>IF(OR(camasi!F41=0,camasi!F41=""),"",camasi!F41)</f>
        <v/>
      </c>
      <c r="G34" s="137" t="str">
        <f>IF(OR(camasi!G41=0,camasi!G41=""),"",camasi!G41)</f>
        <v/>
      </c>
      <c r="H34" s="137" t="str">
        <f>IF(OR(camasi!H41=0,camasi!H41=""),"",camasi!H41)</f>
        <v/>
      </c>
      <c r="I34" s="137" t="str">
        <f>IF(OR(camasi!I41=0,camasi!I41=""),"",camasi!I41)</f>
        <v/>
      </c>
      <c r="J34" s="137" t="str">
        <f>IF(OR(camasi!J41=0,camasi!J41=""),"",camasi!J41)</f>
        <v/>
      </c>
      <c r="K34" s="137" t="str">
        <f>IF(OR(camasi!K41=0,camasi!K41=""),"",camasi!K41)</f>
        <v/>
      </c>
      <c r="L34" s="137" t="str">
        <f>IF(OR(camasi!L41=0,camasi!L41=""),"",camasi!L41)</f>
        <v/>
      </c>
      <c r="M34" s="137">
        <f>IF(OR(camasi!M41=0,camasi!M41=""),"",camasi!M41)</f>
        <v>1.4999999999999999E-2</v>
      </c>
      <c r="N34" s="137">
        <f>IF(OR(camasi!N41=0,camasi!N41=""),"",camasi!N41)</f>
        <v>9.5624999999999998E-3</v>
      </c>
      <c r="O34" s="137">
        <f>IF(OR(camasi!O41=0,camasi!O41=""),"",camasi!O41)</f>
        <v>3.7499999999999999E-3</v>
      </c>
      <c r="P34" s="137" t="str">
        <f>IF(OR(camasi!P41=0,camasi!P41=""),"",camasi!P41)</f>
        <v/>
      </c>
      <c r="Q34" s="137" t="str">
        <f>IF(OR(camasi!Q41=0,camasi!Q41=""),"",camasi!Q41)</f>
        <v/>
      </c>
      <c r="R34" s="137" t="str">
        <f>IF(OR(camasi!R41=0,camasi!R41=""),"",camasi!R41)</f>
        <v/>
      </c>
      <c r="S34" s="137" t="str">
        <f>IF(OR(camasi!S41=0,camasi!S41=""),"",camasi!S41)</f>
        <v/>
      </c>
      <c r="T34" s="137" t="str">
        <f>IF(OR(camasi!T41=0,camasi!T41=""),"",camasi!T41)</f>
        <v/>
      </c>
      <c r="U34" s="137" t="str">
        <f>IF(OR(camasi!U41=0,camasi!U41=""),"",camasi!U41)</f>
        <v/>
      </c>
      <c r="V34" s="137" t="str">
        <f>IF(OR(camasi!V41=0,camasi!V41=""),"",camasi!V41)</f>
        <v/>
      </c>
      <c r="W34" s="137" t="str">
        <f>IF(OR(camasi!W41=0,camasi!W41=""),"",camasi!W41)</f>
        <v/>
      </c>
      <c r="X34" s="138" t="str">
        <f>IF(OR(camasi!X41=0,camasi!X41=""),"",camasi!X41)</f>
        <v/>
      </c>
      <c r="Z34" s="49"/>
    </row>
    <row r="35" spans="1:26" x14ac:dyDescent="0.45">
      <c r="A35" s="51"/>
      <c r="B35" s="98" t="str">
        <f>IF(OR(camasi!B42=0,camasi!B42=""),"",camasi!B42)</f>
        <v>*2 NTC 1061:2020 ALCANCE: no aplica para organicos</v>
      </c>
      <c r="C35" s="98" t="str">
        <f>IF(OR(camasi!C42=0,camasi!C42=""),"",camasi!C42)</f>
        <v/>
      </c>
      <c r="D35" s="98" t="str">
        <f>IF(OR(camasi!D42=0,camasi!D42=""),"",camasi!D42)</f>
        <v/>
      </c>
      <c r="E35" s="35" t="str">
        <f>IF(OR(camasi!E42=0,camasi!E42=""),"",camasi!E42)</f>
        <v/>
      </c>
      <c r="F35" s="35" t="str">
        <f>IF(OR(camasi!F42=0,camasi!F42=""),"",camasi!F42)</f>
        <v/>
      </c>
      <c r="G35" s="35" t="str">
        <f>IF(OR(camasi!G42=0,camasi!G42=""),"",camasi!G42)</f>
        <v/>
      </c>
      <c r="H35" s="35" t="str">
        <f>IF(OR(camasi!H42=0,camasi!H42=""),"",camasi!H42)</f>
        <v/>
      </c>
      <c r="I35" s="35" t="str">
        <f>IF(OR(camasi!I42=0,camasi!I42=""),"",camasi!I42)</f>
        <v/>
      </c>
      <c r="J35" s="35" t="str">
        <f>IF(OR(camasi!J42=0,camasi!J42=""),"",camasi!J42)</f>
        <v/>
      </c>
      <c r="K35" s="35" t="str">
        <f>IF(OR(camasi!K42=0,camasi!K42=""),"",camasi!K42)</f>
        <v/>
      </c>
      <c r="L35" s="35" t="str">
        <f>IF(OR(camasi!L42=0,camasi!L42=""),"",camasi!L42)</f>
        <v/>
      </c>
      <c r="M35" s="35" t="str">
        <f>IF(OR(camasi!M42=0,camasi!M42=""),"",camasi!M42)</f>
        <v/>
      </c>
      <c r="N35" s="35" t="str">
        <f>IF(OR(camasi!N42=0,camasi!N42=""),"",camasi!N42)</f>
        <v/>
      </c>
      <c r="O35" s="35" t="str">
        <f>IF(OR(camasi!O42=0,camasi!O42=""),"",camasi!O42)</f>
        <v/>
      </c>
      <c r="P35" s="35" t="str">
        <f>IF(OR(camasi!P42=0,camasi!P42=""),"",camasi!P42)</f>
        <v/>
      </c>
      <c r="Q35" s="35" t="str">
        <f>IF(OR(camasi!Q42=0,camasi!Q42=""),"",camasi!Q42)</f>
        <v/>
      </c>
      <c r="R35" s="35" t="str">
        <f>IF(OR(camasi!R42=0,camasi!R42=""),"",camasi!R42)</f>
        <v/>
      </c>
      <c r="S35" s="35" t="str">
        <f>IF(OR(camasi!S42=0,camasi!S42=""),"",camasi!S42)</f>
        <v/>
      </c>
      <c r="T35" s="35" t="str">
        <f>IF(OR(camasi!T42=0,camasi!T42=""),"",camasi!T42)</f>
        <v/>
      </c>
      <c r="U35" s="35" t="str">
        <f>IF(OR(camasi!U42=0,camasi!U42=""),"",camasi!U42)</f>
        <v/>
      </c>
      <c r="V35" s="35" t="str">
        <f>IF(OR(camasi!V42=0,camasi!V42=""),"",camasi!V42)</f>
        <v/>
      </c>
      <c r="W35" s="35" t="str">
        <f>IF(OR(camasi!W42=0,camasi!W42=""),"",camasi!W42)</f>
        <v/>
      </c>
      <c r="X35" s="35" t="str">
        <f>IF(OR(camasi!X42=0,camasi!X42=""),"",camasi!X42)</f>
        <v/>
      </c>
      <c r="Z35" s="49"/>
    </row>
    <row r="36" spans="1:26" x14ac:dyDescent="0.45">
      <c r="A36" s="51"/>
      <c r="B36" s="98" t="str">
        <f>IF(OR(camasi!B43=0,camasi!B43=""),"",camasi!B43)</f>
        <v xml:space="preserve">*3 NTC 1061:2020 4.1 </v>
      </c>
      <c r="C36" s="98" t="str">
        <f>IF(OR(camasi!C43=0,camasi!C43=""),"",camasi!C43)</f>
        <v/>
      </c>
      <c r="D36" s="98" t="str">
        <f>IF(OR(camasi!D43=0,camasi!D43=""),"",camasi!D43)</f>
        <v/>
      </c>
      <c r="E36" s="35" t="str">
        <f>IF(OR(camasi!E43=0,camasi!E43=""),"",camasi!E43)</f>
        <v/>
      </c>
      <c r="F36" s="35" t="str">
        <f>IF(OR(camasi!F43=0,camasi!F43=""),"",camasi!F43)</f>
        <v/>
      </c>
      <c r="G36" s="35" t="str">
        <f>IF(OR(camasi!G43=0,camasi!G43=""),"",camasi!G43)</f>
        <v/>
      </c>
      <c r="H36" s="35" t="str">
        <f>IF(OR(camasi!H43=0,camasi!H43=""),"",camasi!H43)</f>
        <v/>
      </c>
      <c r="I36" s="35" t="str">
        <f>IF(OR(camasi!I43=0,camasi!I43=""),"",camasi!I43)</f>
        <v/>
      </c>
      <c r="J36" s="35" t="str">
        <f>IF(OR(camasi!J43=0,camasi!J43=""),"",camasi!J43)</f>
        <v/>
      </c>
      <c r="K36" s="35" t="str">
        <f>IF(OR(camasi!K43=0,camasi!K43=""),"",camasi!K43)</f>
        <v/>
      </c>
      <c r="L36" s="35" t="str">
        <f>IF(OR(camasi!L43=0,camasi!L43=""),"",camasi!L43)</f>
        <v/>
      </c>
      <c r="M36" s="35" t="str">
        <f>IF(OR(camasi!M43=0,camasi!M43=""),"",camasi!M43)</f>
        <v/>
      </c>
      <c r="N36" s="35" t="str">
        <f>IF(OR(camasi!N43=0,camasi!N43=""),"",camasi!N43)</f>
        <v/>
      </c>
      <c r="O36" s="35" t="str">
        <f>IF(OR(camasi!O43=0,camasi!O43=""),"",camasi!O43)</f>
        <v/>
      </c>
      <c r="P36" s="35" t="str">
        <f>IF(OR(camasi!P43=0,camasi!P43=""),"",camasi!P43)</f>
        <v/>
      </c>
      <c r="Q36" s="35" t="str">
        <f>IF(OR(camasi!Q43=0,camasi!Q43=""),"",camasi!Q43)</f>
        <v/>
      </c>
      <c r="R36" s="35" t="str">
        <f>IF(OR(camasi!R43=0,camasi!R43=""),"",camasi!R43)</f>
        <v/>
      </c>
      <c r="S36" s="35" t="str">
        <f>IF(OR(camasi!S43=0,camasi!S43=""),"",camasi!S43)</f>
        <v/>
      </c>
      <c r="T36" s="35" t="str">
        <f>IF(OR(camasi!T43=0,camasi!T43=""),"",camasi!T43)</f>
        <v/>
      </c>
      <c r="U36" s="35" t="str">
        <f>IF(OR(camasi!U43=0,camasi!U43=""),"",camasi!U43)</f>
        <v/>
      </c>
      <c r="V36" s="35" t="str">
        <f>IF(OR(camasi!V43=0,camasi!V43=""),"",camasi!V43)</f>
        <v/>
      </c>
      <c r="W36" s="35" t="str">
        <f>IF(OR(camasi!W43=0,camasi!W43=""),"",camasi!W43)</f>
        <v/>
      </c>
      <c r="X36" s="35" t="str">
        <f>IF(OR(camasi!X43=0,camasi!X43=""),"",camasi!X43)</f>
        <v/>
      </c>
      <c r="Z36" s="49"/>
    </row>
    <row r="37" spans="1:26" x14ac:dyDescent="0.45">
      <c r="A37" s="51"/>
      <c r="B37" s="98" t="str">
        <f>IF(OR(camasi!B44=0,camasi!B44=""),"",camasi!B44)</f>
        <v xml:space="preserve">*4 NTC 1061:2020 4.2.1 - 4.2.2 </v>
      </c>
      <c r="C37" s="98" t="str">
        <f>IF(OR(camasi!C44=0,camasi!C44=""),"",camasi!C44)</f>
        <v/>
      </c>
      <c r="D37" s="98" t="str">
        <f>IF(OR(camasi!D44=0,camasi!D44=""),"",camasi!D44)</f>
        <v/>
      </c>
      <c r="E37" s="35" t="str">
        <f>IF(OR(camasi!E44=0,camasi!E44=""),"",camasi!E44)</f>
        <v/>
      </c>
      <c r="F37" s="35" t="str">
        <f>IF(OR(camasi!F44=0,camasi!F44=""),"",camasi!F44)</f>
        <v/>
      </c>
      <c r="G37" s="35" t="str">
        <f>IF(OR(camasi!G44=0,camasi!G44=""),"",camasi!G44)</f>
        <v/>
      </c>
      <c r="H37" s="35" t="str">
        <f>IF(OR(camasi!H44=0,camasi!H44=""),"",camasi!H44)</f>
        <v/>
      </c>
      <c r="I37" s="35" t="str">
        <f>IF(OR(camasi!I44=0,camasi!I44=""),"",camasi!I44)</f>
        <v/>
      </c>
      <c r="J37" s="35" t="str">
        <f>IF(OR(camasi!J44=0,camasi!J44=""),"",camasi!J44)</f>
        <v/>
      </c>
      <c r="K37" s="35" t="str">
        <f>IF(OR(camasi!K44=0,camasi!K44=""),"",camasi!K44)</f>
        <v/>
      </c>
      <c r="L37" s="35" t="str">
        <f>IF(OR(camasi!L44=0,camasi!L44=""),"",camasi!L44)</f>
        <v/>
      </c>
      <c r="M37" s="35" t="str">
        <f>IF(OR(camasi!M44=0,camasi!M44=""),"",camasi!M44)</f>
        <v/>
      </c>
      <c r="N37" s="35" t="str">
        <f>IF(OR(camasi!N44=0,camasi!N44=""),"",camasi!N44)</f>
        <v/>
      </c>
      <c r="O37" s="35" t="str">
        <f>IF(OR(camasi!O44=0,camasi!O44=""),"",camasi!O44)</f>
        <v/>
      </c>
      <c r="P37" s="35" t="str">
        <f>IF(OR(camasi!P44=0,camasi!P44=""),"",camasi!P44)</f>
        <v/>
      </c>
      <c r="Q37" s="35" t="str">
        <f>IF(OR(camasi!Q44=0,camasi!Q44=""),"",camasi!Q44)</f>
        <v/>
      </c>
      <c r="R37" s="35" t="str">
        <f>IF(OR(camasi!R44=0,camasi!R44=""),"",camasi!R44)</f>
        <v/>
      </c>
      <c r="S37" s="35" t="str">
        <f>IF(OR(camasi!S44=0,camasi!S44=""),"",camasi!S44)</f>
        <v/>
      </c>
      <c r="T37" s="35" t="str">
        <f>IF(OR(camasi!T44=0,camasi!T44=""),"",camasi!T44)</f>
        <v/>
      </c>
      <c r="U37" s="35" t="str">
        <f>IF(OR(camasi!U44=0,camasi!U44=""),"",camasi!U44)</f>
        <v/>
      </c>
      <c r="V37" s="35" t="str">
        <f>IF(OR(camasi!V44=0,camasi!V44=""),"",camasi!V44)</f>
        <v/>
      </c>
      <c r="W37" s="35" t="str">
        <f>IF(OR(camasi!W44=0,camasi!W44=""),"",camasi!W44)</f>
        <v/>
      </c>
      <c r="X37" s="35" t="str">
        <f>IF(OR(camasi!X44=0,camasi!X44=""),"",camasi!X44)</f>
        <v/>
      </c>
      <c r="Z37" s="49"/>
    </row>
    <row r="38" spans="1:26" ht="20.25" thickBot="1" x14ac:dyDescent="0.5">
      <c r="A38" s="51"/>
      <c r="B38" s="18" t="str">
        <f>IF(OR(camasi!B45=0,camasi!B45=""),"",camasi!B45)</f>
        <v/>
      </c>
      <c r="C38" s="19" t="str">
        <f>IF(OR(camasi!C45=0,camasi!C45=""),"",camasi!C45)</f>
        <v/>
      </c>
      <c r="D38" s="19" t="str">
        <f>IF(OR(camasi!D45=0,camasi!D45=""),"",camasi!D45)</f>
        <v/>
      </c>
      <c r="E38" s="35" t="str">
        <f>IF(OR(camasi!E45=0,camasi!E45=""),"",camasi!E45)</f>
        <v/>
      </c>
      <c r="F38" s="35" t="str">
        <f>IF(OR(camasi!F45=0,camasi!F45=""),"",camasi!F45)</f>
        <v/>
      </c>
      <c r="G38" s="35" t="str">
        <f>IF(OR(camasi!G45=0,camasi!G45=""),"",camasi!G45)</f>
        <v/>
      </c>
      <c r="H38" s="35" t="str">
        <f>IF(OR(camasi!H45=0,camasi!H45=""),"",camasi!H45)</f>
        <v/>
      </c>
      <c r="I38" s="35" t="str">
        <f>IF(OR(camasi!I45=0,camasi!I45=""),"",camasi!I45)</f>
        <v/>
      </c>
      <c r="J38" s="35" t="str">
        <f>IF(OR(camasi!J45=0,camasi!J45=""),"",camasi!J45)</f>
        <v/>
      </c>
      <c r="K38" s="35" t="str">
        <f>IF(OR(camasi!K45=0,camasi!K45=""),"",camasi!K45)</f>
        <v/>
      </c>
      <c r="L38" s="35" t="str">
        <f>IF(OR(camasi!L45=0,camasi!L45=""),"",camasi!L45)</f>
        <v/>
      </c>
      <c r="M38" s="35" t="str">
        <f>IF(OR(camasi!M45=0,camasi!M45=""),"",camasi!M45)</f>
        <v/>
      </c>
      <c r="N38" s="35" t="str">
        <f>IF(OR(camasi!N45=0,camasi!N45=""),"",camasi!N45)</f>
        <v/>
      </c>
      <c r="O38" s="35" t="str">
        <f>IF(OR(camasi!O45=0,camasi!O45=""),"",camasi!O45)</f>
        <v/>
      </c>
      <c r="P38" s="35" t="str">
        <f>IF(OR(camasi!P45=0,camasi!P45=""),"",camasi!P45)</f>
        <v/>
      </c>
      <c r="Q38" s="35" t="str">
        <f>IF(OR(camasi!Q45=0,camasi!Q45=""),"",camasi!Q45)</f>
        <v/>
      </c>
      <c r="R38" s="35" t="str">
        <f>IF(OR(camasi!R45=0,camasi!R45=""),"",camasi!R45)</f>
        <v/>
      </c>
      <c r="S38" s="35" t="str">
        <f>IF(OR(camasi!S45=0,camasi!S45=""),"",camasi!S45)</f>
        <v/>
      </c>
      <c r="T38" s="35" t="str">
        <f>IF(OR(camasi!T45=0,camasi!T45=""),"",camasi!T45)</f>
        <v/>
      </c>
      <c r="U38" s="35" t="str">
        <f>IF(OR(camasi!U45=0,camasi!U45=""),"",camasi!U45)</f>
        <v/>
      </c>
      <c r="V38" s="35" t="str">
        <f>IF(OR(camasi!V45=0,camasi!V45=""),"",camasi!V45)</f>
        <v/>
      </c>
      <c r="W38" s="35" t="str">
        <f>IF(OR(camasi!W45=0,camasi!W45=""),"",camasi!W45)</f>
        <v/>
      </c>
      <c r="X38" s="35" t="str">
        <f>IF(OR(camasi!X45=0,camasi!X45=""),"",camasi!X45)</f>
        <v/>
      </c>
      <c r="Z38" s="49"/>
    </row>
    <row r="39" spans="1:26" ht="20.25" thickBot="1" x14ac:dyDescent="0.5">
      <c r="A39" s="51"/>
      <c r="B39" s="115" t="str">
        <f>IF(OR(camasi!B46=0,camasi!B46=""),"",camasi!B46)</f>
        <v>Tolerancia Mínima NTC</v>
      </c>
      <c r="C39" s="116" t="str">
        <f>IF(OR(camasi!C46=0,camasi!C46=""),"",camasi!C46)</f>
        <v/>
      </c>
      <c r="D39" s="120" t="str">
        <f>IF(OR(camasi!D46=0,camasi!D46=""),"",camasi!D46)</f>
        <v/>
      </c>
      <c r="E39" s="130" t="str">
        <f>IF(OR(camasi!E46=0,camasi!E46=""),"",camasi!E46)</f>
        <v/>
      </c>
      <c r="F39" s="131" t="str">
        <f>IF(OR(camasi!F46=0,camasi!F46=""),"",camasi!F46)</f>
        <v/>
      </c>
      <c r="G39" s="131"/>
      <c r="H39" s="131"/>
      <c r="I39" s="131"/>
      <c r="J39" s="131"/>
      <c r="K39" s="131" t="str">
        <f>IF(OR(camasi!K46=0,camasi!K46=""),"",camasi!K46)</f>
        <v/>
      </c>
      <c r="L39" s="131" t="str">
        <f>IF(OR(camasi!L46=0,camasi!L46=""),"",camasi!L46)</f>
        <v/>
      </c>
      <c r="M39" s="130">
        <f>IF(OR(camasi!M46=0,camasi!M46=""),"",camasi!M46)</f>
        <v>0.17499999999999999</v>
      </c>
      <c r="N39" s="131">
        <f>IF(OR(camasi!N46=0,camasi!N46=""),"",camasi!N46)</f>
        <v>3.0437499999999999E-2</v>
      </c>
      <c r="O39" s="132">
        <f>IF(OR(camasi!O46=0,camasi!O46=""),"",camasi!O46)</f>
        <v>6.2500000000000003E-3</v>
      </c>
      <c r="P39" s="131" t="str">
        <f>IF(OR(camasi!P46=0,camasi!P46=""),"",camasi!P46)</f>
        <v/>
      </c>
      <c r="Q39" s="131" t="str">
        <f>IF(OR(camasi!Q46=0,camasi!Q46=""),"",camasi!Q46)</f>
        <v/>
      </c>
      <c r="R39" s="131" t="str">
        <f>IF(OR(camasi!R46=0,camasi!R46=""),"",camasi!R46)</f>
        <v/>
      </c>
      <c r="S39" s="131" t="str">
        <f>IF(OR(camasi!S46=0,camasi!S46=""),"",camasi!S46)</f>
        <v/>
      </c>
      <c r="T39" s="131" t="str">
        <f>IF(OR(camasi!T46=0,camasi!T46=""),"",camasi!T46)</f>
        <v/>
      </c>
      <c r="U39" s="131" t="str">
        <f>IF(OR(camasi!U46=0,camasi!U46=""),"",camasi!U46)</f>
        <v/>
      </c>
      <c r="V39" s="131" t="str">
        <f>IF(OR(camasi!V46=0,camasi!V46=""),"",camasi!V46)</f>
        <v/>
      </c>
      <c r="W39" s="131" t="str">
        <f>IF(OR(camasi!W46=0,camasi!W46=""),"",camasi!W46)</f>
        <v/>
      </c>
      <c r="X39" s="131" t="str">
        <f>IF(OR(camasi!X46=0,camasi!X46=""),"",camasi!X46)</f>
        <v/>
      </c>
      <c r="Z39" s="49"/>
    </row>
    <row r="40" spans="1:26" ht="20.25" thickBot="1" x14ac:dyDescent="0.5">
      <c r="A40" s="51"/>
      <c r="B40" s="117" t="str">
        <f>IF(OR(camasi!B47=0,camasi!B47=""),"",camasi!B47)</f>
        <v>SOLICITUD DE REGISTRO ICA: MATERIA PRIMA</v>
      </c>
      <c r="C40" s="121" t="str">
        <f>IF(OR(camasi!C47=0,camasi!C47=""),"",camasi!C47)</f>
        <v/>
      </c>
      <c r="D40" s="122" t="str">
        <f>IF(OR(camasi!D47=0,camasi!D47=""),"",camasi!D47)</f>
        <v/>
      </c>
      <c r="E40" s="133" t="str">
        <f>IF(camasi!E27="","",camasi!E27)</f>
        <v/>
      </c>
      <c r="F40" s="134" t="str">
        <f>IF(camasi!F27="","",camasi!F27)</f>
        <v/>
      </c>
      <c r="G40" s="134" t="str">
        <f>IF(camasi!G27="","",camasi!G27)</f>
        <v/>
      </c>
      <c r="H40" s="134" t="str">
        <f>IF(camasi!H27="","",camasi!H27)</f>
        <v/>
      </c>
      <c r="I40" s="134" t="str">
        <f>IF(camasi!I27="","",camasi!I27)</f>
        <v/>
      </c>
      <c r="J40" s="134" t="str">
        <f>IF(camasi!J27="","",camasi!J27)</f>
        <v/>
      </c>
      <c r="K40" s="134" t="str">
        <f>IF(camasi!K27="","",camasi!K27)</f>
        <v/>
      </c>
      <c r="L40" s="134" t="str">
        <f>IF(camasi!L27="","",camasi!L27)</f>
        <v/>
      </c>
      <c r="M40" s="176">
        <f>IF(camasi!M27="","",camasi!M27)</f>
        <v>0.19</v>
      </c>
      <c r="N40" s="175">
        <f>IF(camasi!N27="","",camasi!N27)</f>
        <v>0.04</v>
      </c>
      <c r="O40" s="175">
        <f>IF(camasi!O27="","",camasi!O27)</f>
        <v>0.01</v>
      </c>
      <c r="P40" s="134" t="str">
        <f>IF(camasi!P27="","",camasi!P27)</f>
        <v/>
      </c>
      <c r="Q40" s="134" t="str">
        <f>IF(camasi!Q27="","",camasi!Q27)</f>
        <v/>
      </c>
      <c r="R40" s="134" t="str">
        <f>IF(camasi!R27="","",camasi!R27)</f>
        <v/>
      </c>
      <c r="S40" s="134" t="str">
        <f>IF(camasi!S27="","",camasi!S27)</f>
        <v/>
      </c>
      <c r="T40" s="134" t="str">
        <f>IF(camasi!T27="","",camasi!T27)</f>
        <v/>
      </c>
      <c r="U40" s="134" t="str">
        <f>IF(camasi!U27="","",camasi!U27)</f>
        <v/>
      </c>
      <c r="V40" s="114">
        <f>IF(camasi!V27="","",camasi!V27)</f>
        <v>0.34</v>
      </c>
      <c r="W40" s="134" t="str">
        <f>IF(camasi!W27="","",camasi!W27)</f>
        <v/>
      </c>
      <c r="X40" s="134" t="str">
        <f>IF(camasi!X27="","",camasi!X27)</f>
        <v/>
      </c>
      <c r="Z40" s="49"/>
    </row>
    <row r="41" spans="1:26" ht="20.25" thickBot="1" x14ac:dyDescent="0.5">
      <c r="A41" s="51"/>
      <c r="B41" s="118" t="str">
        <f>IF(OR(camasi!B48=0,camasi!B48=""),"",camasi!B48)</f>
        <v>Tolerancia Máxima NTC</v>
      </c>
      <c r="C41" s="119" t="str">
        <f>IF(OR(camasi!C48=0,camasi!C48=""),"",camasi!C48)</f>
        <v/>
      </c>
      <c r="D41" s="123" t="str">
        <f>IF(OR(camasi!D48=0,camasi!D48=""),"",camasi!D48)</f>
        <v/>
      </c>
      <c r="E41" s="136" t="str">
        <f>IF(OR(camasi!E48=0,camasi!E48=""),"",camasi!E48)</f>
        <v/>
      </c>
      <c r="F41" s="137" t="str">
        <f>IF(OR(camasi!F48=0,camasi!F48=""),"",camasi!F48)</f>
        <v/>
      </c>
      <c r="G41" s="137"/>
      <c r="H41" s="137"/>
      <c r="I41" s="137"/>
      <c r="J41" s="137"/>
      <c r="K41" s="137" t="str">
        <f>IF(OR(camasi!K48=0,camasi!K48=""),"",camasi!K48)</f>
        <v/>
      </c>
      <c r="L41" s="137" t="str">
        <f>IF(OR(camasi!L48=0,camasi!L48=""),"",camasi!L48)</f>
        <v/>
      </c>
      <c r="M41" s="136">
        <f>IF(OR(camasi!M48=0,camasi!M48=""),"",camasi!M48)</f>
        <v>0.20500000000000002</v>
      </c>
      <c r="N41" s="137">
        <f>IF(OR(camasi!N48=0,camasi!N48=""),"",camasi!N48)</f>
        <v>4.9562500000000002E-2</v>
      </c>
      <c r="O41" s="138">
        <f>IF(OR(camasi!O48=0,camasi!O48=""),"",camasi!O48)</f>
        <v>1.375E-2</v>
      </c>
      <c r="P41" s="137" t="str">
        <f>IF(OR(camasi!P48=0,camasi!P48=""),"",camasi!P48)</f>
        <v/>
      </c>
      <c r="Q41" s="137" t="str">
        <f>IF(OR(camasi!Q48=0,camasi!Q48=""),"",camasi!Q48)</f>
        <v/>
      </c>
      <c r="R41" s="137" t="str">
        <f>IF(OR(camasi!R48=0,camasi!R48=""),"",camasi!R48)</f>
        <v/>
      </c>
      <c r="S41" s="137" t="str">
        <f>IF(OR(camasi!S48=0,camasi!S48=""),"",camasi!S48)</f>
        <v/>
      </c>
      <c r="T41" s="137" t="str">
        <f>IF(OR(camasi!T48=0,camasi!T48=""),"",camasi!T48)</f>
        <v/>
      </c>
      <c r="U41" s="137" t="str">
        <f>IF(OR(camasi!U48=0,camasi!U48=""),"",camasi!U48)</f>
        <v/>
      </c>
      <c r="V41" s="137" t="str">
        <f>IF(OR(camasi!V48=0,camasi!V48=""),"",camasi!V48)</f>
        <v/>
      </c>
      <c r="W41" s="137" t="str">
        <f>IF(OR(camasi!W48=0,camasi!W48=""),"",camasi!W48)</f>
        <v/>
      </c>
      <c r="X41" s="137" t="str">
        <f>IF(OR(camasi!X48=0,camasi!X48=""),"",camasi!X48)</f>
        <v/>
      </c>
      <c r="Z41" s="49"/>
    </row>
    <row r="42" spans="1:26" x14ac:dyDescent="0.45">
      <c r="A42" s="51"/>
      <c r="B42" s="18" t="str">
        <f>IF(OR(camasi!B49=0,camasi!B49=""),"",camasi!B49)</f>
        <v/>
      </c>
      <c r="C42" s="19" t="str">
        <f>IF(OR(camasi!C49=0,camasi!C49=""),"",camasi!C49)</f>
        <v/>
      </c>
      <c r="D42" s="19" t="str">
        <f>IF(OR(camasi!D49=0,camasi!D49=""),"",camasi!D49)</f>
        <v/>
      </c>
      <c r="E42" s="19" t="str">
        <f>IF(OR(camasi!E49=0,camasi!E49=""),"",camasi!E49)</f>
        <v/>
      </c>
      <c r="F42" s="19" t="str">
        <f>IF(OR(camasi!F49=0,camasi!F49=""),"",camasi!F49)</f>
        <v/>
      </c>
      <c r="G42" s="19" t="str">
        <f>IF(OR(camasi!G49=0,camasi!G49=""),"",camasi!G49)</f>
        <v/>
      </c>
      <c r="H42" s="19" t="str">
        <f>IF(OR(camasi!H49=0,camasi!H49=""),"",camasi!H49)</f>
        <v/>
      </c>
      <c r="I42" s="19" t="str">
        <f>IF(OR(camasi!I49=0,camasi!I49=""),"",camasi!I49)</f>
        <v/>
      </c>
      <c r="J42" s="19" t="str">
        <f>IF(OR(camasi!J49=0,camasi!J49=""),"",camasi!J49)</f>
        <v/>
      </c>
      <c r="K42" s="19" t="str">
        <f>IF(OR(camasi!K49=0,camasi!K49=""),"",camasi!K49)</f>
        <v/>
      </c>
      <c r="L42" s="19" t="str">
        <f>IF(OR(camasi!L49=0,camasi!L49=""),"",camasi!L49)</f>
        <v/>
      </c>
      <c r="M42" s="19" t="str">
        <f>IF(OR(camasi!M49=0,camasi!M49=""),"",camasi!M49)</f>
        <v/>
      </c>
      <c r="N42" s="19" t="str">
        <f>IF(OR(camasi!N49=0,camasi!N49=""),"",camasi!N49)</f>
        <v/>
      </c>
      <c r="O42" s="19" t="str">
        <f>IF(OR(camasi!O49=0,camasi!O49=""),"",camasi!O49)</f>
        <v/>
      </c>
      <c r="P42" s="19" t="str">
        <f>IF(OR(camasi!P49=0,camasi!P49=""),"",camasi!P49)</f>
        <v/>
      </c>
      <c r="Q42" s="19" t="str">
        <f>IF(OR(camasi!Q49=0,camasi!Q49=""),"",camasi!Q49)</f>
        <v/>
      </c>
      <c r="R42" s="19" t="str">
        <f>IF(OR(camasi!R49=0,camasi!R49=""),"",camasi!R49)</f>
        <v/>
      </c>
      <c r="S42" s="19" t="str">
        <f>IF(OR(camasi!S49=0,camasi!S49=""),"",camasi!S49)</f>
        <v/>
      </c>
      <c r="T42" s="19" t="str">
        <f>IF(OR(camasi!T49=0,camasi!T49=""),"",camasi!T49)</f>
        <v/>
      </c>
      <c r="U42" s="19" t="str">
        <f>IF(OR(camasi!U49=0,camasi!U49=""),"",camasi!U49)</f>
        <v/>
      </c>
      <c r="V42" s="19" t="str">
        <f>IF(OR(camasi!V49=0,camasi!V49=""),"",camasi!V49)</f>
        <v/>
      </c>
      <c r="W42" s="19" t="str">
        <f>IF(OR(camasi!W49=0,camasi!W49=""),"",camasi!W49)</f>
        <v/>
      </c>
      <c r="X42" s="19" t="str">
        <f>IF(OR(camasi!X49=0,camasi!X49=""),"",camasi!X49)</f>
        <v/>
      </c>
      <c r="Z42" s="49"/>
    </row>
    <row r="43" spans="1:26" x14ac:dyDescent="0.45">
      <c r="A43" s="51"/>
      <c r="B43" s="18" t="str">
        <f>IF(OR(camasi!B52=0,camasi!B52=""),"",camasi!B52)</f>
        <v/>
      </c>
      <c r="C43" s="19" t="str">
        <f>IF(OR(camasi!C52=0,camasi!C52=""),"",camasi!C52)</f>
        <v/>
      </c>
      <c r="D43" s="19" t="str">
        <f>IF(OR(camasi!D52=0,camasi!D52=""),"",camasi!D52)</f>
        <v/>
      </c>
      <c r="E43" s="19" t="str">
        <f>IF(OR(camasi!E52=0,camasi!E52=""),"",camasi!E52)</f>
        <v/>
      </c>
      <c r="F43" s="19" t="str">
        <f>IF(OR(camasi!F52=0,camasi!F52=""),"",camasi!F52)</f>
        <v/>
      </c>
      <c r="G43" s="19" t="str">
        <f>IF(OR(camasi!G52=0,camasi!G52=""),"",camasi!G52)</f>
        <v/>
      </c>
      <c r="H43" s="19" t="str">
        <f>IF(OR(camasi!H52=0,camasi!H52=""),"",camasi!H52)</f>
        <v/>
      </c>
      <c r="I43" s="19" t="str">
        <f>IF(OR(camasi!I52=0,camasi!I52=""),"",camasi!I52)</f>
        <v/>
      </c>
      <c r="J43" s="19" t="str">
        <f>IF(OR(camasi!J52=0,camasi!J52=""),"",camasi!J52)</f>
        <v/>
      </c>
      <c r="K43" s="19" t="str">
        <f>IF(OR(camasi!K52=0,camasi!K52=""),"",camasi!K52)</f>
        <v/>
      </c>
      <c r="L43" s="19" t="str">
        <f>IF(OR(camasi!L52=0,camasi!L52=""),"",camasi!L52)</f>
        <v/>
      </c>
      <c r="M43" s="19" t="str">
        <f>IF(OR(camasi!M52=0,camasi!M52=""),"",camasi!M52)</f>
        <v/>
      </c>
      <c r="N43" s="19" t="str">
        <f>IF(OR(camasi!N52=0,camasi!N52=""),"",camasi!N52)</f>
        <v/>
      </c>
      <c r="O43" s="19" t="str">
        <f>IF(OR(camasi!O52=0,camasi!O52=""),"",camasi!O52)</f>
        <v/>
      </c>
      <c r="P43" s="19" t="str">
        <f>IF(OR(camasi!P52=0,camasi!P52=""),"",camasi!P52)</f>
        <v/>
      </c>
      <c r="Q43" s="19" t="str">
        <f>IF(OR(camasi!Q52=0,camasi!Q52=""),"",camasi!Q52)</f>
        <v/>
      </c>
      <c r="R43" s="19" t="str">
        <f>IF(OR(camasi!R52=0,camasi!R52=""),"",camasi!R52)</f>
        <v/>
      </c>
      <c r="S43" s="19" t="str">
        <f>IF(OR(camasi!S52=0,camasi!S52=""),"",camasi!S52)</f>
        <v/>
      </c>
      <c r="T43" s="19" t="str">
        <f>IF(OR(camasi!T52=0,camasi!T52=""),"",camasi!T52)</f>
        <v/>
      </c>
      <c r="U43" s="19" t="str">
        <f>IF(OR(camasi!U52=0,camasi!U52=""),"",camasi!U52)</f>
        <v/>
      </c>
      <c r="V43" s="19" t="str">
        <f>IF(OR(camasi!V52=0,camasi!V52=""),"",camasi!V52)</f>
        <v/>
      </c>
      <c r="W43" s="19" t="str">
        <f>IF(OR(camasi!W52=0,camasi!W52=""),"",camasi!W52)</f>
        <v/>
      </c>
      <c r="X43" s="19" t="str">
        <f>IF(OR(camasi!X52=0,camasi!X52=""),"",camasi!X52)</f>
        <v/>
      </c>
      <c r="Z43" s="49"/>
    </row>
    <row r="44" spans="1:26" x14ac:dyDescent="0.45">
      <c r="A44" s="51"/>
      <c r="Z44" s="49"/>
    </row>
    <row r="45" spans="1:26" x14ac:dyDescent="0.45">
      <c r="A45" s="54"/>
      <c r="B45" s="55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Z45" s="57"/>
    </row>
    <row r="50" spans="7:7" x14ac:dyDescent="0.45">
      <c r="G50" s="45"/>
    </row>
  </sheetData>
  <mergeCells count="3">
    <mergeCell ref="C6:Q6"/>
    <mergeCell ref="S2:T2"/>
    <mergeCell ref="S3:T3"/>
  </mergeCells>
  <conditionalFormatting sqref="B16:B18">
    <cfRule type="notContainsBlanks" dxfId="85" priority="96">
      <formula>LEN(TRIM(B16))&gt;0</formula>
    </cfRule>
  </conditionalFormatting>
  <conditionalFormatting sqref="B9:D15">
    <cfRule type="notContainsBlanks" dxfId="84" priority="89">
      <formula>LEN(TRIM(B9))&gt;0</formula>
    </cfRule>
  </conditionalFormatting>
  <conditionalFormatting sqref="B19:D19">
    <cfRule type="notContainsBlanks" dxfId="83" priority="97">
      <formula>LEN(TRIM(B19))&gt;0</formula>
    </cfRule>
  </conditionalFormatting>
  <conditionalFormatting sqref="F9:X15 F17:X18">
    <cfRule type="containsBlanks" dxfId="82" priority="62">
      <formula>LEN(TRIM(F9))=0</formula>
    </cfRule>
    <cfRule type="notContainsBlanks" dxfId="81" priority="63">
      <formula>LEN(TRIM(F9))&gt;0</formula>
    </cfRule>
  </conditionalFormatting>
  <conditionalFormatting sqref="E9:E15 E17:E18">
    <cfRule type="containsBlanks" dxfId="80" priority="55">
      <formula>LEN(TRIM(E9))=0</formula>
    </cfRule>
    <cfRule type="notContainsBlanks" dxfId="79" priority="56">
      <formula>LEN(TRIM(E9))&gt;0</formula>
    </cfRule>
  </conditionalFormatting>
  <conditionalFormatting sqref="L19 N19:P19 S19 V19:W19">
    <cfRule type="notContainsBlanks" dxfId="78" priority="98">
      <formula>LEN(TRIM(L19))&gt;0</formula>
    </cfRule>
  </conditionalFormatting>
  <conditionalFormatting sqref="E39:K41 M41:O41 M39:O39">
    <cfRule type="cellIs" dxfId="77" priority="52" operator="equal">
      <formula>0</formula>
    </cfRule>
    <cfRule type="containsBlanks" dxfId="76" priority="53">
      <formula>LEN(TRIM(E39))=0</formula>
    </cfRule>
  </conditionalFormatting>
  <conditionalFormatting sqref="E31:X34">
    <cfRule type="cellIs" dxfId="75" priority="50" operator="equal">
      <formula>0</formula>
    </cfRule>
    <cfRule type="containsBlanks" dxfId="74" priority="51">
      <formula>LEN(TRIM(E31))=0</formula>
    </cfRule>
  </conditionalFormatting>
  <conditionalFormatting sqref="E24:X27">
    <cfRule type="cellIs" dxfId="73" priority="48" operator="equal">
      <formula>0</formula>
    </cfRule>
    <cfRule type="containsBlanks" dxfId="72" priority="49">
      <formula>LEN(TRIM(E24))=0</formula>
    </cfRule>
  </conditionalFormatting>
  <conditionalFormatting sqref="E39:K41 E24:X38 M41:O41 M39:O39">
    <cfRule type="notContainsBlanks" dxfId="71" priority="100">
      <formula>LEN(TRIM(E24))&gt;0</formula>
    </cfRule>
  </conditionalFormatting>
  <conditionalFormatting sqref="E19:K19">
    <cfRule type="containsBlanks" dxfId="70" priority="45">
      <formula>LEN(TRIM(E19))=0</formula>
    </cfRule>
    <cfRule type="notContainsBlanks" dxfId="69" priority="46">
      <formula>LEN(TRIM(E19))&gt;0</formula>
    </cfRule>
  </conditionalFormatting>
  <conditionalFormatting sqref="M19">
    <cfRule type="containsBlanks" dxfId="68" priority="43">
      <formula>LEN(TRIM(M19))=0</formula>
    </cfRule>
    <cfRule type="notContainsBlanks" dxfId="67" priority="44">
      <formula>LEN(TRIM(M19))&gt;0</formula>
    </cfRule>
  </conditionalFormatting>
  <conditionalFormatting sqref="Q19:R19">
    <cfRule type="containsBlanks" dxfId="66" priority="41">
      <formula>LEN(TRIM(Q19))=0</formula>
    </cfRule>
    <cfRule type="notContainsBlanks" dxfId="65" priority="42">
      <formula>LEN(TRIM(Q19))&gt;0</formula>
    </cfRule>
  </conditionalFormatting>
  <conditionalFormatting sqref="T19:U19">
    <cfRule type="containsBlanks" dxfId="64" priority="39">
      <formula>LEN(TRIM(T19))=0</formula>
    </cfRule>
    <cfRule type="notContainsBlanks" dxfId="63" priority="40">
      <formula>LEN(TRIM(T19))&gt;0</formula>
    </cfRule>
  </conditionalFormatting>
  <conditionalFormatting sqref="X19">
    <cfRule type="containsBlanks" dxfId="62" priority="37">
      <formula>LEN(TRIM(X19))=0</formula>
    </cfRule>
    <cfRule type="notContainsBlanks" dxfId="61" priority="38">
      <formula>LEN(TRIM(X19))&gt;0</formula>
    </cfRule>
  </conditionalFormatting>
  <conditionalFormatting sqref="M40:O40">
    <cfRule type="notContainsBlanks" dxfId="60" priority="33">
      <formula>LEN(TRIM(M40))&gt;0</formula>
    </cfRule>
  </conditionalFormatting>
  <conditionalFormatting sqref="M39:M41">
    <cfRule type="cellIs" dxfId="59" priority="35" operator="equal">
      <formula>0</formula>
    </cfRule>
    <cfRule type="containsBlanks" dxfId="58" priority="36">
      <formula>LEN(TRIM(M39))=0</formula>
    </cfRule>
  </conditionalFormatting>
  <conditionalFormatting sqref="M39:M41">
    <cfRule type="notContainsBlanks" dxfId="57" priority="34">
      <formula>LEN(TRIM(M39))&gt;0</formula>
    </cfRule>
  </conditionalFormatting>
  <conditionalFormatting sqref="X39:X41">
    <cfRule type="cellIs" dxfId="56" priority="19" operator="equal">
      <formula>0</formula>
    </cfRule>
    <cfRule type="containsBlanks" dxfId="55" priority="20">
      <formula>LEN(TRIM(X39))=0</formula>
    </cfRule>
  </conditionalFormatting>
  <conditionalFormatting sqref="X39:X41">
    <cfRule type="notContainsBlanks" dxfId="54" priority="18">
      <formula>LEN(TRIM(X39))&gt;0</formula>
    </cfRule>
  </conditionalFormatting>
  <conditionalFormatting sqref="V39 V41">
    <cfRule type="cellIs" dxfId="53" priority="12" operator="equal">
      <formula>0</formula>
    </cfRule>
    <cfRule type="containsBlanks" dxfId="52" priority="13">
      <formula>LEN(TRIM(V39))=0</formula>
    </cfRule>
  </conditionalFormatting>
  <conditionalFormatting sqref="V39 V41">
    <cfRule type="notContainsBlanks" dxfId="51" priority="11">
      <formula>LEN(TRIM(V39))&gt;0</formula>
    </cfRule>
  </conditionalFormatting>
  <conditionalFormatting sqref="V40">
    <cfRule type="notContainsBlanks" dxfId="50" priority="99">
      <formula>LEN(TRIM(V40))&gt;0</formula>
    </cfRule>
  </conditionalFormatting>
  <conditionalFormatting sqref="L39:L41">
    <cfRule type="cellIs" dxfId="49" priority="7" operator="equal">
      <formula>0</formula>
    </cfRule>
    <cfRule type="containsBlanks" dxfId="48" priority="8">
      <formula>LEN(TRIM(L39))=0</formula>
    </cfRule>
  </conditionalFormatting>
  <conditionalFormatting sqref="L39:L41">
    <cfRule type="notContainsBlanks" dxfId="47" priority="9">
      <formula>LEN(TRIM(L39))&gt;0</formula>
    </cfRule>
  </conditionalFormatting>
  <conditionalFormatting sqref="P39:U41">
    <cfRule type="cellIs" dxfId="46" priority="4" operator="equal">
      <formula>0</formula>
    </cfRule>
    <cfRule type="containsBlanks" dxfId="45" priority="5">
      <formula>LEN(TRIM(P39))=0</formula>
    </cfRule>
  </conditionalFormatting>
  <conditionalFormatting sqref="P39:U41">
    <cfRule type="notContainsBlanks" dxfId="44" priority="6">
      <formula>LEN(TRIM(P39))&gt;0</formula>
    </cfRule>
  </conditionalFormatting>
  <conditionalFormatting sqref="W39:W41">
    <cfRule type="cellIs" dxfId="43" priority="1" operator="equal">
      <formula>0</formula>
    </cfRule>
    <cfRule type="containsBlanks" dxfId="42" priority="2">
      <formula>LEN(TRIM(W39))=0</formula>
    </cfRule>
  </conditionalFormatting>
  <conditionalFormatting sqref="W39:W41">
    <cfRule type="notContainsBlanks" dxfId="41" priority="3">
      <formula>LEN(TRIM(W39))&gt;0</formula>
    </cfRule>
  </conditionalFormatting>
  <pageMargins left="0.7" right="0.7" top="0.75" bottom="0.75" header="0.3" footer="0.3"/>
  <pageSetup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1547-70C1-4B75-931A-00AB8610536C}">
  <dimension ref="B11:J23"/>
  <sheetViews>
    <sheetView workbookViewId="0">
      <selection activeCell="B12" sqref="B12:J23"/>
    </sheetView>
  </sheetViews>
  <sheetFormatPr baseColWidth="10" defaultRowHeight="19.5" x14ac:dyDescent="0.45"/>
  <cols>
    <col min="2" max="2" width="4.77734375" bestFit="1" customWidth="1"/>
    <col min="3" max="3" width="19.88671875" bestFit="1" customWidth="1"/>
    <col min="4" max="4" width="18.77734375" bestFit="1" customWidth="1"/>
    <col min="5" max="5" width="17.88671875" bestFit="1" customWidth="1"/>
    <col min="6" max="6" width="8.6640625" bestFit="1" customWidth="1"/>
    <col min="7" max="7" width="15.6640625" bestFit="1" customWidth="1"/>
    <col min="8" max="8" width="9.21875" bestFit="1" customWidth="1"/>
    <col min="9" max="9" width="3.21875" bestFit="1" customWidth="1"/>
    <col min="10" max="10" width="10.109375" bestFit="1" customWidth="1"/>
  </cols>
  <sheetData>
    <row r="11" spans="2:10" ht="20.25" thickBot="1" x14ac:dyDescent="0.5"/>
    <row r="12" spans="2:10" ht="20.25" thickBot="1" x14ac:dyDescent="0.5">
      <c r="B12" s="76" t="s">
        <v>142</v>
      </c>
      <c r="C12" s="76" t="s">
        <v>90</v>
      </c>
      <c r="D12" s="76" t="s">
        <v>91</v>
      </c>
      <c r="E12" s="76" t="s">
        <v>92</v>
      </c>
      <c r="F12" s="76" t="s">
        <v>93</v>
      </c>
      <c r="G12" s="76" t="s">
        <v>94</v>
      </c>
      <c r="H12" s="76" t="s">
        <v>95</v>
      </c>
      <c r="I12" s="76" t="s">
        <v>96</v>
      </c>
      <c r="J12" s="76" t="s">
        <v>97</v>
      </c>
    </row>
    <row r="13" spans="2:10" x14ac:dyDescent="0.45">
      <c r="B13" s="146">
        <v>1</v>
      </c>
      <c r="C13" s="146" t="s">
        <v>98</v>
      </c>
      <c r="D13" s="147"/>
      <c r="E13" s="147" t="s">
        <v>99</v>
      </c>
      <c r="F13" s="146" t="s">
        <v>100</v>
      </c>
      <c r="G13" s="146" t="s">
        <v>101</v>
      </c>
      <c r="H13" s="150">
        <v>4</v>
      </c>
      <c r="I13" s="146" t="s">
        <v>102</v>
      </c>
      <c r="J13" s="148"/>
    </row>
    <row r="14" spans="2:10" x14ac:dyDescent="0.45">
      <c r="B14" s="146">
        <v>2</v>
      </c>
      <c r="C14" s="146" t="s">
        <v>103</v>
      </c>
      <c r="D14" s="146" t="s">
        <v>104</v>
      </c>
      <c r="E14" s="146" t="s">
        <v>105</v>
      </c>
      <c r="F14" s="146" t="s">
        <v>106</v>
      </c>
      <c r="G14" s="146" t="s">
        <v>107</v>
      </c>
      <c r="H14" s="151">
        <v>2</v>
      </c>
      <c r="I14" s="146" t="s">
        <v>102</v>
      </c>
      <c r="J14" s="148"/>
    </row>
    <row r="15" spans="2:10" x14ac:dyDescent="0.45">
      <c r="B15" s="146">
        <v>3</v>
      </c>
      <c r="C15" s="146" t="s">
        <v>108</v>
      </c>
      <c r="D15" s="146" t="s">
        <v>109</v>
      </c>
      <c r="E15" s="146" t="s">
        <v>110</v>
      </c>
      <c r="F15" s="146" t="s">
        <v>111</v>
      </c>
      <c r="G15" s="146" t="s">
        <v>107</v>
      </c>
      <c r="H15" s="151" t="s">
        <v>102</v>
      </c>
      <c r="I15" s="146" t="s">
        <v>102</v>
      </c>
      <c r="J15" s="148"/>
    </row>
    <row r="16" spans="2:10" x14ac:dyDescent="0.45">
      <c r="B16" s="146">
        <v>4</v>
      </c>
      <c r="C16" s="146" t="s">
        <v>112</v>
      </c>
      <c r="D16" s="146" t="s">
        <v>113</v>
      </c>
      <c r="E16" s="146" t="s">
        <v>114</v>
      </c>
      <c r="F16" s="146" t="s">
        <v>102</v>
      </c>
      <c r="G16" s="146" t="s">
        <v>107</v>
      </c>
      <c r="H16" s="151" t="s">
        <v>102</v>
      </c>
      <c r="I16" s="146">
        <v>30</v>
      </c>
      <c r="J16" s="148"/>
    </row>
    <row r="17" spans="2:10" x14ac:dyDescent="0.45">
      <c r="B17" s="146">
        <v>5</v>
      </c>
      <c r="C17" s="146" t="s">
        <v>115</v>
      </c>
      <c r="D17" s="146" t="s">
        <v>116</v>
      </c>
      <c r="E17" s="146" t="s">
        <v>117</v>
      </c>
      <c r="F17" s="146" t="s">
        <v>102</v>
      </c>
      <c r="G17" s="146" t="s">
        <v>107</v>
      </c>
      <c r="H17" s="151">
        <v>1</v>
      </c>
      <c r="I17" s="146">
        <v>40</v>
      </c>
      <c r="J17" s="148"/>
    </row>
    <row r="18" spans="2:10" x14ac:dyDescent="0.45">
      <c r="B18" s="146">
        <v>6</v>
      </c>
      <c r="C18" s="146" t="s">
        <v>118</v>
      </c>
      <c r="D18" s="146" t="s">
        <v>119</v>
      </c>
      <c r="E18" s="146" t="s">
        <v>120</v>
      </c>
      <c r="F18" s="146" t="s">
        <v>102</v>
      </c>
      <c r="G18" s="146" t="s">
        <v>107</v>
      </c>
      <c r="H18" s="151" t="s">
        <v>102</v>
      </c>
      <c r="I18" s="146">
        <v>50</v>
      </c>
      <c r="J18" s="146" t="s">
        <v>121</v>
      </c>
    </row>
    <row r="19" spans="2:10" x14ac:dyDescent="0.45">
      <c r="B19" s="146">
        <v>7</v>
      </c>
      <c r="C19" s="146" t="s">
        <v>122</v>
      </c>
      <c r="D19" s="146" t="s">
        <v>123</v>
      </c>
      <c r="E19" s="146" t="s">
        <v>124</v>
      </c>
      <c r="F19" s="146" t="s">
        <v>102</v>
      </c>
      <c r="G19" s="146" t="s">
        <v>107</v>
      </c>
      <c r="H19" s="151" t="s">
        <v>102</v>
      </c>
      <c r="I19" s="146" t="s">
        <v>102</v>
      </c>
      <c r="J19" s="146" t="s">
        <v>125</v>
      </c>
    </row>
    <row r="20" spans="2:10" x14ac:dyDescent="0.45">
      <c r="B20" s="146">
        <v>8</v>
      </c>
      <c r="C20" s="146" t="s">
        <v>126</v>
      </c>
      <c r="D20" s="146" t="s">
        <v>127</v>
      </c>
      <c r="E20" s="146" t="s">
        <v>128</v>
      </c>
      <c r="F20" s="146" t="s">
        <v>102</v>
      </c>
      <c r="G20" s="146" t="s">
        <v>107</v>
      </c>
      <c r="H20" s="151">
        <v>2</v>
      </c>
      <c r="I20" s="146" t="s">
        <v>102</v>
      </c>
      <c r="J20" s="148"/>
    </row>
    <row r="21" spans="2:10" x14ac:dyDescent="0.45">
      <c r="B21" s="146">
        <v>9</v>
      </c>
      <c r="C21" s="146" t="s">
        <v>129</v>
      </c>
      <c r="D21" s="146" t="s">
        <v>130</v>
      </c>
      <c r="E21" s="146" t="s">
        <v>131</v>
      </c>
      <c r="F21" s="146" t="s">
        <v>102</v>
      </c>
      <c r="G21" s="146" t="s">
        <v>107</v>
      </c>
      <c r="H21" s="151" t="s">
        <v>102</v>
      </c>
      <c r="I21" s="146">
        <v>60</v>
      </c>
      <c r="J21" s="148"/>
    </row>
    <row r="22" spans="2:10" x14ac:dyDescent="0.45">
      <c r="B22" s="146">
        <v>10</v>
      </c>
      <c r="C22" s="146" t="s">
        <v>132</v>
      </c>
      <c r="D22" s="146" t="s">
        <v>133</v>
      </c>
      <c r="E22" s="146" t="s">
        <v>134</v>
      </c>
      <c r="F22" s="146" t="s">
        <v>135</v>
      </c>
      <c r="G22" s="146" t="s">
        <v>107</v>
      </c>
      <c r="H22" s="151">
        <v>1</v>
      </c>
      <c r="I22" s="146" t="s">
        <v>102</v>
      </c>
      <c r="J22" s="146" t="s">
        <v>136</v>
      </c>
    </row>
    <row r="23" spans="2:10" x14ac:dyDescent="0.45">
      <c r="B23" s="145">
        <v>11</v>
      </c>
      <c r="C23" s="145" t="s">
        <v>137</v>
      </c>
      <c r="D23" s="145" t="s">
        <v>138</v>
      </c>
      <c r="E23" s="145" t="s">
        <v>139</v>
      </c>
      <c r="F23" s="145" t="s">
        <v>140</v>
      </c>
      <c r="G23" s="145" t="s">
        <v>141</v>
      </c>
      <c r="H23" s="152">
        <v>1</v>
      </c>
      <c r="I23" s="149" t="s">
        <v>102</v>
      </c>
      <c r="J23" s="149" t="s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F4EE-6C74-4192-8D7A-4D5E55927CCD}">
  <dimension ref="A1:S37"/>
  <sheetViews>
    <sheetView zoomScaleNormal="100" workbookViewId="0">
      <selection activeCell="E28" sqref="E28"/>
    </sheetView>
  </sheetViews>
  <sheetFormatPr baseColWidth="10" defaultRowHeight="19.5" x14ac:dyDescent="0.45"/>
  <cols>
    <col min="1" max="1" width="2.6640625" style="18" customWidth="1"/>
    <col min="2" max="2" width="4.77734375" bestFit="1" customWidth="1"/>
    <col min="3" max="3" width="27.77734375" customWidth="1"/>
    <col min="4" max="4" width="6.109375" bestFit="1" customWidth="1"/>
    <col min="5" max="5" width="25.88671875" customWidth="1"/>
    <col min="6" max="6" width="20.44140625" customWidth="1"/>
    <col min="7" max="7" width="16.77734375" customWidth="1"/>
    <col min="8" max="8" width="19.6640625" customWidth="1"/>
    <col min="9" max="9" width="10" customWidth="1"/>
    <col min="10" max="11" width="11.109375" customWidth="1"/>
    <col min="12" max="12" width="12.109375" bestFit="1" customWidth="1"/>
    <col min="13" max="14" width="4.44140625" style="18" customWidth="1"/>
    <col min="15" max="15" width="7.77734375" style="18" customWidth="1"/>
    <col min="16" max="19" width="11.5546875" style="18"/>
  </cols>
  <sheetData>
    <row r="1" spans="1:14" x14ac:dyDescent="0.45">
      <c r="A1" s="153"/>
      <c r="B1" s="153"/>
      <c r="C1" s="47"/>
      <c r="D1" s="47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x14ac:dyDescent="0.45">
      <c r="A2" s="153"/>
      <c r="B2" s="154"/>
      <c r="C2" s="156"/>
      <c r="D2" s="209" t="s">
        <v>143</v>
      </c>
      <c r="E2" s="210"/>
      <c r="F2" s="210"/>
      <c r="G2" s="210"/>
      <c r="H2" s="210"/>
      <c r="I2" s="205" t="s">
        <v>1</v>
      </c>
      <c r="J2" s="206"/>
    </row>
    <row r="3" spans="1:14" x14ac:dyDescent="0.45">
      <c r="A3" s="153"/>
      <c r="B3" s="154"/>
      <c r="C3" s="157"/>
      <c r="D3" s="211" t="s">
        <v>3</v>
      </c>
      <c r="E3" s="212"/>
      <c r="F3" s="212"/>
      <c r="G3" s="212"/>
      <c r="H3" s="212"/>
      <c r="I3" s="205" t="s">
        <v>1</v>
      </c>
      <c r="J3" s="206"/>
    </row>
    <row r="4" spans="1:14" x14ac:dyDescent="0.45">
      <c r="A4" s="153"/>
      <c r="B4" s="154"/>
      <c r="C4" s="158"/>
      <c r="D4" s="187"/>
      <c r="E4" s="188"/>
      <c r="F4" s="188"/>
      <c r="G4" s="188"/>
      <c r="H4" s="188"/>
      <c r="I4" s="60"/>
      <c r="J4" s="60"/>
    </row>
    <row r="5" spans="1:14" ht="20.25" thickBot="1" x14ac:dyDescent="0.5">
      <c r="A5" s="153"/>
      <c r="B5" s="155"/>
      <c r="C5" s="35"/>
      <c r="D5" s="35"/>
      <c r="E5" s="35"/>
      <c r="F5" s="35"/>
      <c r="G5" s="35"/>
      <c r="H5" s="35"/>
      <c r="I5" s="35"/>
      <c r="J5" s="35"/>
      <c r="K5" s="35"/>
      <c r="L5" s="35"/>
      <c r="M5" s="19"/>
      <c r="N5" s="19"/>
    </row>
    <row r="6" spans="1:14" ht="34.5" thickBot="1" x14ac:dyDescent="0.5">
      <c r="A6" s="153"/>
      <c r="B6" s="155"/>
      <c r="C6" s="69" t="s">
        <v>84</v>
      </c>
      <c r="D6" s="202" t="s">
        <v>144</v>
      </c>
      <c r="E6" s="203"/>
      <c r="F6" s="203"/>
      <c r="G6" s="203"/>
      <c r="H6" s="203"/>
      <c r="I6" s="203"/>
      <c r="J6" s="203"/>
      <c r="K6" s="203"/>
      <c r="L6" s="204"/>
      <c r="M6" s="19"/>
      <c r="N6" s="19"/>
    </row>
    <row r="7" spans="1:14" x14ac:dyDescent="0.45">
      <c r="A7" s="153"/>
      <c r="B7" s="153"/>
      <c r="C7" s="18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ht="20.25" thickBot="1" x14ac:dyDescent="0.5"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spans="1:14" ht="39.75" thickBot="1" x14ac:dyDescent="0.5">
      <c r="B9" s="172" t="s">
        <v>142</v>
      </c>
      <c r="C9" s="172" t="s">
        <v>90</v>
      </c>
      <c r="D9" s="172" t="s">
        <v>148</v>
      </c>
      <c r="E9" s="172" t="s">
        <v>91</v>
      </c>
      <c r="F9" s="172" t="s">
        <v>92</v>
      </c>
      <c r="G9" s="173" t="s">
        <v>145</v>
      </c>
      <c r="H9" s="172" t="s">
        <v>94</v>
      </c>
      <c r="I9" s="172" t="s">
        <v>95</v>
      </c>
      <c r="J9" s="173" t="s">
        <v>146</v>
      </c>
      <c r="K9" s="173" t="s">
        <v>162</v>
      </c>
      <c r="L9" s="173" t="s">
        <v>147</v>
      </c>
    </row>
    <row r="10" spans="1:14" ht="20.25" x14ac:dyDescent="0.45">
      <c r="B10" s="159">
        <v>1</v>
      </c>
      <c r="C10" s="159" t="s">
        <v>98</v>
      </c>
      <c r="D10" s="169" t="s">
        <v>149</v>
      </c>
      <c r="E10" s="159" t="s">
        <v>155</v>
      </c>
      <c r="F10" s="159" t="s">
        <v>99</v>
      </c>
      <c r="G10" s="166"/>
      <c r="H10" s="163" t="s">
        <v>101</v>
      </c>
      <c r="I10" s="166"/>
      <c r="J10" s="166"/>
      <c r="K10" s="166"/>
      <c r="L10" s="166"/>
    </row>
    <row r="11" spans="1:14" ht="20.25" x14ac:dyDescent="0.45">
      <c r="B11" s="160">
        <f>B10+1</f>
        <v>2</v>
      </c>
      <c r="C11" s="160" t="s">
        <v>103</v>
      </c>
      <c r="D11" s="170" t="s">
        <v>149</v>
      </c>
      <c r="E11" s="160" t="s">
        <v>104</v>
      </c>
      <c r="F11" s="160" t="s">
        <v>105</v>
      </c>
      <c r="G11" s="167"/>
      <c r="H11" s="164" t="s">
        <v>107</v>
      </c>
      <c r="I11" s="167"/>
      <c r="J11" s="167"/>
      <c r="K11" s="167"/>
      <c r="L11" s="167"/>
    </row>
    <row r="12" spans="1:14" ht="20.25" x14ac:dyDescent="0.45">
      <c r="B12" s="160">
        <f t="shared" ref="B12:B19" si="0">B11+1</f>
        <v>3</v>
      </c>
      <c r="C12" s="160" t="s">
        <v>108</v>
      </c>
      <c r="D12" s="170" t="s">
        <v>149</v>
      </c>
      <c r="E12" s="160" t="s">
        <v>109</v>
      </c>
      <c r="F12" s="160" t="s">
        <v>110</v>
      </c>
      <c r="G12" s="167" t="s">
        <v>111</v>
      </c>
      <c r="H12" s="164" t="s">
        <v>107</v>
      </c>
      <c r="I12" s="167"/>
      <c r="J12" s="167"/>
      <c r="K12" s="167"/>
      <c r="L12" s="167"/>
    </row>
    <row r="13" spans="1:14" ht="20.25" x14ac:dyDescent="0.45">
      <c r="B13" s="160">
        <f t="shared" si="0"/>
        <v>4</v>
      </c>
      <c r="C13" s="160" t="s">
        <v>112</v>
      </c>
      <c r="D13" s="170" t="s">
        <v>149</v>
      </c>
      <c r="E13" s="160" t="s">
        <v>113</v>
      </c>
      <c r="F13" s="160" t="s">
        <v>114</v>
      </c>
      <c r="G13" s="167" t="s">
        <v>102</v>
      </c>
      <c r="H13" s="164" t="s">
        <v>107</v>
      </c>
      <c r="I13" s="167"/>
      <c r="J13" s="167">
        <v>8.5</v>
      </c>
      <c r="K13" s="167"/>
      <c r="L13" s="167"/>
    </row>
    <row r="14" spans="1:14" ht="20.25" x14ac:dyDescent="0.45">
      <c r="B14" s="160">
        <f t="shared" si="0"/>
        <v>5</v>
      </c>
      <c r="C14" s="160" t="s">
        <v>150</v>
      </c>
      <c r="D14" s="170" t="s">
        <v>149</v>
      </c>
      <c r="E14" s="160" t="s">
        <v>113</v>
      </c>
      <c r="F14" s="160" t="s">
        <v>152</v>
      </c>
      <c r="G14" s="167"/>
      <c r="H14" s="164" t="s">
        <v>107</v>
      </c>
      <c r="I14" s="167"/>
      <c r="J14" s="167"/>
      <c r="K14" s="167"/>
      <c r="L14" s="167"/>
    </row>
    <row r="15" spans="1:14" ht="20.25" x14ac:dyDescent="0.45">
      <c r="B15" s="160">
        <f t="shared" si="0"/>
        <v>6</v>
      </c>
      <c r="C15" s="160" t="s">
        <v>115</v>
      </c>
      <c r="D15" s="170" t="s">
        <v>149</v>
      </c>
      <c r="E15" s="160" t="s">
        <v>116</v>
      </c>
      <c r="F15" s="160" t="s">
        <v>117</v>
      </c>
      <c r="G15" s="167" t="s">
        <v>102</v>
      </c>
      <c r="H15" s="164" t="s">
        <v>107</v>
      </c>
      <c r="I15" s="167"/>
      <c r="J15" s="167">
        <v>20</v>
      </c>
      <c r="K15" s="167"/>
      <c r="L15" s="167"/>
    </row>
    <row r="16" spans="1:14" ht="20.25" x14ac:dyDescent="0.45">
      <c r="B16" s="160">
        <f t="shared" si="0"/>
        <v>7</v>
      </c>
      <c r="C16" s="160" t="s">
        <v>118</v>
      </c>
      <c r="D16" s="170" t="s">
        <v>149</v>
      </c>
      <c r="E16" s="160" t="s">
        <v>119</v>
      </c>
      <c r="F16" s="160" t="s">
        <v>120</v>
      </c>
      <c r="G16" s="167" t="s">
        <v>102</v>
      </c>
      <c r="H16" s="164" t="s">
        <v>107</v>
      </c>
      <c r="I16" s="167"/>
      <c r="J16" s="167">
        <v>28</v>
      </c>
      <c r="K16" s="167"/>
      <c r="L16" s="167">
        <v>100</v>
      </c>
    </row>
    <row r="17" spans="2:12" ht="20.25" x14ac:dyDescent="0.45">
      <c r="B17" s="160">
        <f t="shared" si="0"/>
        <v>8</v>
      </c>
      <c r="C17" s="160" t="s">
        <v>122</v>
      </c>
      <c r="D17" s="170" t="s">
        <v>149</v>
      </c>
      <c r="E17" s="160" t="s">
        <v>123</v>
      </c>
      <c r="F17" s="160" t="s">
        <v>124</v>
      </c>
      <c r="G17" s="167" t="s">
        <v>102</v>
      </c>
      <c r="H17" s="164" t="s">
        <v>107</v>
      </c>
      <c r="I17" s="167"/>
      <c r="J17" s="167"/>
      <c r="K17" s="167"/>
      <c r="L17" s="167"/>
    </row>
    <row r="18" spans="2:12" ht="20.25" x14ac:dyDescent="0.45">
      <c r="B18" s="160">
        <f t="shared" si="0"/>
        <v>9</v>
      </c>
      <c r="C18" s="160" t="s">
        <v>126</v>
      </c>
      <c r="D18" s="170" t="s">
        <v>149</v>
      </c>
      <c r="E18" s="160" t="s">
        <v>127</v>
      </c>
      <c r="F18" s="160" t="s">
        <v>128</v>
      </c>
      <c r="G18" s="167" t="s">
        <v>102</v>
      </c>
      <c r="H18" s="164" t="s">
        <v>107</v>
      </c>
      <c r="I18" s="167"/>
      <c r="J18" s="167"/>
      <c r="K18" s="167"/>
      <c r="L18" s="167"/>
    </row>
    <row r="19" spans="2:12" ht="20.25" x14ac:dyDescent="0.45">
      <c r="B19" s="160">
        <f t="shared" si="0"/>
        <v>10</v>
      </c>
      <c r="C19" s="160" t="s">
        <v>129</v>
      </c>
      <c r="D19" s="170" t="s">
        <v>151</v>
      </c>
      <c r="E19" s="160" t="s">
        <v>130</v>
      </c>
      <c r="F19" s="160" t="s">
        <v>131</v>
      </c>
      <c r="G19" s="167" t="s">
        <v>102</v>
      </c>
      <c r="H19" s="164" t="s">
        <v>107</v>
      </c>
      <c r="I19" s="167"/>
      <c r="J19" s="167" t="s">
        <v>161</v>
      </c>
      <c r="K19" s="167"/>
      <c r="L19" s="167"/>
    </row>
    <row r="20" spans="2:12" ht="20.25" x14ac:dyDescent="0.45">
      <c r="B20" s="160">
        <f>B19+1</f>
        <v>11</v>
      </c>
      <c r="C20" s="160" t="s">
        <v>132</v>
      </c>
      <c r="D20" s="170" t="s">
        <v>149</v>
      </c>
      <c r="E20" s="160" t="s">
        <v>133</v>
      </c>
      <c r="F20" s="160" t="s">
        <v>134</v>
      </c>
      <c r="G20" s="167" t="s">
        <v>135</v>
      </c>
      <c r="H20" s="164" t="s">
        <v>107</v>
      </c>
      <c r="I20" s="167"/>
      <c r="J20" s="167"/>
      <c r="K20" s="167"/>
      <c r="L20" s="167"/>
    </row>
    <row r="21" spans="2:12" ht="21" thickBot="1" x14ac:dyDescent="0.5">
      <c r="B21" s="161">
        <f>B20+1</f>
        <v>12</v>
      </c>
      <c r="C21" s="161" t="s">
        <v>137</v>
      </c>
      <c r="D21" s="171" t="s">
        <v>149</v>
      </c>
      <c r="E21" s="161" t="s">
        <v>138</v>
      </c>
      <c r="F21" s="161" t="s">
        <v>139</v>
      </c>
      <c r="G21" s="168" t="s">
        <v>140</v>
      </c>
      <c r="H21" s="165" t="s">
        <v>141</v>
      </c>
      <c r="I21" s="168"/>
      <c r="J21" s="168"/>
      <c r="K21" s="168"/>
      <c r="L21" s="168"/>
    </row>
    <row r="22" spans="2:12" ht="20.25" x14ac:dyDescent="0.45">
      <c r="B22" s="160"/>
      <c r="C22" s="160"/>
      <c r="D22" s="170"/>
      <c r="E22" s="160"/>
      <c r="F22" s="160"/>
      <c r="G22" s="167"/>
      <c r="H22" s="164"/>
      <c r="I22" s="167"/>
      <c r="J22" s="167"/>
      <c r="K22" s="167"/>
      <c r="L22" s="167"/>
    </row>
    <row r="23" spans="2:12" ht="20.25" x14ac:dyDescent="0.45">
      <c r="B23" s="160"/>
      <c r="C23" s="160" t="s">
        <v>153</v>
      </c>
      <c r="D23" s="170" t="s">
        <v>149</v>
      </c>
      <c r="E23" s="160" t="s">
        <v>155</v>
      </c>
      <c r="F23" s="160" t="s">
        <v>154</v>
      </c>
      <c r="G23" s="167"/>
      <c r="H23" s="164" t="s">
        <v>107</v>
      </c>
      <c r="I23" s="167"/>
      <c r="J23" s="167">
        <v>60</v>
      </c>
      <c r="K23" s="167"/>
      <c r="L23" s="167"/>
    </row>
    <row r="24" spans="2:12" ht="20.25" x14ac:dyDescent="0.45">
      <c r="B24" s="160"/>
      <c r="C24" s="160"/>
      <c r="D24" s="170"/>
      <c r="E24" s="160"/>
      <c r="F24" s="160"/>
      <c r="G24" s="167"/>
      <c r="H24" s="164"/>
      <c r="I24" s="167"/>
      <c r="J24" s="167"/>
      <c r="K24" s="167"/>
      <c r="L24" s="167"/>
    </row>
    <row r="25" spans="2:12" ht="21" thickBot="1" x14ac:dyDescent="0.5">
      <c r="B25" s="161"/>
      <c r="C25" s="161"/>
      <c r="D25" s="171"/>
      <c r="E25" s="161"/>
      <c r="F25" s="161"/>
      <c r="G25" s="168"/>
      <c r="H25" s="165"/>
      <c r="I25" s="168"/>
      <c r="J25" s="168"/>
      <c r="K25" s="168"/>
      <c r="L25" s="168"/>
    </row>
    <row r="26" spans="2:12" s="18" customFormat="1" x14ac:dyDescent="0.45"/>
    <row r="27" spans="2:12" s="18" customFormat="1" x14ac:dyDescent="0.45">
      <c r="C27" s="33" t="s">
        <v>156</v>
      </c>
      <c r="D27" s="33"/>
    </row>
    <row r="28" spans="2:12" s="18" customFormat="1" x14ac:dyDescent="0.45">
      <c r="C28" s="162" t="s">
        <v>159</v>
      </c>
      <c r="D28" s="162"/>
      <c r="E28" s="162"/>
      <c r="F28" s="162"/>
      <c r="G28" s="162"/>
      <c r="H28" s="162"/>
      <c r="I28" s="162"/>
      <c r="J28" s="162"/>
      <c r="K28" s="162"/>
      <c r="L28" s="162"/>
    </row>
    <row r="29" spans="2:12" s="18" customFormat="1" x14ac:dyDescent="0.45">
      <c r="C29" s="162" t="s">
        <v>158</v>
      </c>
      <c r="D29" s="162"/>
      <c r="E29" s="162"/>
      <c r="F29" s="162"/>
      <c r="G29" s="162"/>
      <c r="H29" s="162"/>
      <c r="I29" s="162"/>
      <c r="J29" s="162"/>
      <c r="K29" s="162"/>
      <c r="L29" s="162"/>
    </row>
    <row r="30" spans="2:12" s="18" customFormat="1" x14ac:dyDescent="0.45">
      <c r="C30" s="162" t="s">
        <v>157</v>
      </c>
      <c r="D30" s="162"/>
      <c r="E30" s="162"/>
      <c r="F30" s="162"/>
      <c r="G30" s="162"/>
      <c r="H30" s="162"/>
      <c r="I30" s="162"/>
      <c r="J30" s="162"/>
      <c r="K30" s="162"/>
      <c r="L30" s="162"/>
    </row>
    <row r="31" spans="2:12" s="18" customFormat="1" x14ac:dyDescent="0.45">
      <c r="C31" s="162" t="s">
        <v>160</v>
      </c>
      <c r="D31" s="162"/>
      <c r="E31" s="162"/>
      <c r="F31" s="162"/>
      <c r="G31" s="162"/>
      <c r="H31" s="162"/>
      <c r="I31" s="162"/>
      <c r="J31" s="162"/>
      <c r="K31" s="162"/>
      <c r="L31" s="162"/>
    </row>
    <row r="32" spans="2:12" s="18" customFormat="1" x14ac:dyDescent="0.45">
      <c r="C32" s="162" t="s">
        <v>163</v>
      </c>
      <c r="D32" s="162"/>
      <c r="E32" s="162"/>
      <c r="F32" s="162"/>
      <c r="G32" s="162"/>
      <c r="H32" s="162"/>
      <c r="I32" s="162"/>
      <c r="J32" s="162"/>
      <c r="K32" s="162"/>
      <c r="L32" s="162"/>
    </row>
    <row r="33" spans="3:12" s="18" customFormat="1" x14ac:dyDescent="0.45">
      <c r="C33" s="162"/>
      <c r="D33" s="162"/>
      <c r="E33" s="162"/>
      <c r="F33" s="162"/>
      <c r="G33" s="162"/>
      <c r="H33" s="162"/>
      <c r="I33" s="162"/>
      <c r="J33" s="162"/>
      <c r="K33" s="162"/>
      <c r="L33" s="162"/>
    </row>
    <row r="34" spans="3:12" s="18" customFormat="1" x14ac:dyDescent="0.45">
      <c r="C34" s="162"/>
      <c r="D34" s="162"/>
      <c r="E34" s="162"/>
      <c r="F34" s="162"/>
      <c r="G34" s="162"/>
      <c r="H34" s="162"/>
      <c r="I34" s="162"/>
      <c r="J34" s="162"/>
      <c r="K34" s="162"/>
      <c r="L34" s="162"/>
    </row>
    <row r="35" spans="3:12" s="18" customFormat="1" x14ac:dyDescent="0.45"/>
    <row r="36" spans="3:12" s="18" customFormat="1" x14ac:dyDescent="0.45"/>
    <row r="37" spans="3:12" s="18" customFormat="1" x14ac:dyDescent="0.45"/>
  </sheetData>
  <mergeCells count="6">
    <mergeCell ref="D6:L6"/>
    <mergeCell ref="D2:H2"/>
    <mergeCell ref="D3:H3"/>
    <mergeCell ref="D4:H4"/>
    <mergeCell ref="I2:J2"/>
    <mergeCell ref="I3:J3"/>
  </mergeCells>
  <conditionalFormatting sqref="C10:L20 B24:L24 B12:B20">
    <cfRule type="notContainsBlanks" dxfId="40" priority="12">
      <formula>LEN(TRIM(B10))&gt;0</formula>
    </cfRule>
  </conditionalFormatting>
  <conditionalFormatting sqref="B10:B11">
    <cfRule type="notContainsBlanks" dxfId="39" priority="11">
      <formula>LEN(TRIM(B10))&gt;0</formula>
    </cfRule>
  </conditionalFormatting>
  <conditionalFormatting sqref="C25:L25">
    <cfRule type="notContainsBlanks" dxfId="38" priority="8">
      <formula>LEN(TRIM(C25))&gt;0</formula>
    </cfRule>
  </conditionalFormatting>
  <conditionalFormatting sqref="B25">
    <cfRule type="notContainsBlanks" dxfId="37" priority="6">
      <formula>LEN(TRIM(B25))&gt;0</formula>
    </cfRule>
  </conditionalFormatting>
  <conditionalFormatting sqref="C21:L21">
    <cfRule type="notContainsBlanks" dxfId="36" priority="2">
      <formula>LEN(TRIM(C21))&gt;0</formula>
    </cfRule>
  </conditionalFormatting>
  <conditionalFormatting sqref="B22:L23">
    <cfRule type="notContainsBlanks" dxfId="35" priority="3">
      <formula>LEN(TRIM(B22))&gt;0</formula>
    </cfRule>
  </conditionalFormatting>
  <conditionalFormatting sqref="B21">
    <cfRule type="notContainsBlanks" dxfId="34" priority="1">
      <formula>LEN(TRIM(B21))&gt;0</formula>
    </cfRule>
  </conditionalFormatting>
  <pageMargins left="0.25" right="0.25" top="0.39166666666666666" bottom="0.45" header="0.3" footer="0.3"/>
  <pageSetup paperSize="9" scale="80" fitToWidth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40AB-727D-421D-88DD-5A311A292796}">
  <dimension ref="A1"/>
  <sheetViews>
    <sheetView workbookViewId="0">
      <selection activeCell="N13" sqref="N13"/>
    </sheetView>
  </sheetViews>
  <sheetFormatPr baseColWidth="10" defaultRowHeight="19.5" x14ac:dyDescent="0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E6C5-143D-47CC-A583-2D14C74DD524}">
  <sheetPr>
    <pageSetUpPr fitToPage="1"/>
  </sheetPr>
  <dimension ref="A1:AN155"/>
  <sheetViews>
    <sheetView zoomScale="70" zoomScaleNormal="70" workbookViewId="0">
      <selection activeCell="G35" sqref="G35"/>
    </sheetView>
  </sheetViews>
  <sheetFormatPr baseColWidth="10" defaultColWidth="9" defaultRowHeight="19.5" x14ac:dyDescent="0.45"/>
  <cols>
    <col min="1" max="1" width="6.77734375" style="18" customWidth="1"/>
    <col min="2" max="2" width="36.109375" customWidth="1"/>
    <col min="3" max="4" width="8.88671875" style="17"/>
    <col min="5" max="5" width="9.21875" style="17" customWidth="1"/>
    <col min="6" max="6" width="7.88671875" style="17" customWidth="1"/>
    <col min="7" max="7" width="10.44140625" style="17" customWidth="1"/>
    <col min="8" max="8" width="7.33203125" style="17" bestFit="1" customWidth="1"/>
    <col min="9" max="9" width="6.33203125" style="17" bestFit="1" customWidth="1"/>
    <col min="10" max="10" width="9.109375" style="17" customWidth="1"/>
    <col min="11" max="11" width="8" style="17" bestFit="1" customWidth="1"/>
    <col min="12" max="12" width="7.6640625" style="17" customWidth="1"/>
    <col min="13" max="13" width="7.44140625" style="17" customWidth="1"/>
    <col min="14" max="40" width="8.88671875" style="18"/>
  </cols>
  <sheetData>
    <row r="1" spans="1:40" s="18" customFormat="1" x14ac:dyDescent="0.45">
      <c r="A1" s="70"/>
      <c r="B1" s="47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8"/>
    </row>
    <row r="2" spans="1:40" s="18" customFormat="1" x14ac:dyDescent="0.45">
      <c r="A2" s="58"/>
      <c r="C2" s="198"/>
      <c r="D2" s="216"/>
      <c r="E2" s="62" t="s">
        <v>2</v>
      </c>
      <c r="F2" s="62"/>
      <c r="G2" s="62"/>
      <c r="H2" s="62"/>
      <c r="I2" s="62"/>
      <c r="J2" s="62"/>
      <c r="K2" s="63"/>
      <c r="L2" s="205" t="s">
        <v>1</v>
      </c>
      <c r="M2" s="206"/>
      <c r="N2" s="49"/>
    </row>
    <row r="3" spans="1:40" s="18" customFormat="1" x14ac:dyDescent="0.45">
      <c r="A3" s="58"/>
      <c r="C3" s="200"/>
      <c r="D3" s="217"/>
      <c r="E3" s="59" t="s">
        <v>3</v>
      </c>
      <c r="F3" s="59"/>
      <c r="G3" s="59"/>
      <c r="H3" s="59"/>
      <c r="I3" s="59"/>
      <c r="J3" s="59"/>
      <c r="K3" s="61"/>
      <c r="L3" s="207" t="s">
        <v>1</v>
      </c>
      <c r="M3" s="208"/>
      <c r="N3" s="49"/>
    </row>
    <row r="4" spans="1:40" s="18" customFormat="1" x14ac:dyDescent="0.45">
      <c r="A4" s="58"/>
      <c r="C4" s="218"/>
      <c r="D4" s="219"/>
      <c r="E4" s="220"/>
      <c r="F4" s="220"/>
      <c r="G4" s="220"/>
      <c r="H4" s="220"/>
      <c r="I4" s="220"/>
      <c r="J4" s="220"/>
      <c r="K4" s="206"/>
      <c r="L4" s="60"/>
      <c r="M4" s="60"/>
      <c r="N4" s="49"/>
    </row>
    <row r="5" spans="1:40" s="18" customFormat="1" ht="20.25" thickBot="1" x14ac:dyDescent="0.5">
      <c r="A5" s="50"/>
      <c r="B5" s="35"/>
      <c r="C5" s="35"/>
      <c r="D5" s="35"/>
      <c r="E5" s="35"/>
      <c r="F5" s="35"/>
      <c r="G5" s="35"/>
      <c r="H5" s="35"/>
      <c r="I5" s="35"/>
      <c r="J5" s="35"/>
      <c r="K5" s="19"/>
      <c r="L5" s="19"/>
      <c r="M5" s="19"/>
      <c r="N5" s="49"/>
    </row>
    <row r="6" spans="1:40" s="18" customFormat="1" ht="34.5" thickBot="1" x14ac:dyDescent="0.5">
      <c r="A6" s="50"/>
      <c r="B6" s="69" t="s">
        <v>84</v>
      </c>
      <c r="C6" s="203" t="s">
        <v>85</v>
      </c>
      <c r="D6" s="203"/>
      <c r="E6" s="203"/>
      <c r="F6" s="203"/>
      <c r="G6" s="203"/>
      <c r="H6" s="203"/>
      <c r="I6" s="203"/>
      <c r="J6" s="204"/>
      <c r="K6" s="19"/>
      <c r="L6" s="19"/>
      <c r="M6" s="19"/>
      <c r="N6" s="49"/>
    </row>
    <row r="7" spans="1:40" s="18" customFormat="1" ht="20.25" thickBot="1" x14ac:dyDescent="0.5">
      <c r="A7" s="51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49"/>
    </row>
    <row r="8" spans="1:40" s="34" customFormat="1" ht="59.25" thickBot="1" x14ac:dyDescent="0.5">
      <c r="A8" s="52"/>
      <c r="B8" s="76" t="str">
        <f>IF(OR(camasi!B16=0,camasi!B16=""),"",camasi!B16)</f>
        <v>MATERIA PRIMA</v>
      </c>
      <c r="C8" s="80" t="str">
        <f>IF(OR(camasi!C16=0,camasi!C16=""),"",camasi!C16)</f>
        <v>kg / Ton</v>
      </c>
      <c r="D8" s="81" t="str">
        <f>IF(OR(camasi!D16=0,camasi!D16=""),"",camasi!D16)</f>
        <v>%/100 kg</v>
      </c>
      <c r="E8" s="71" t="str">
        <f>IF(OR(camasi!L16=0,camasi!L16=""),"",camasi!L16)</f>
        <v>Potasio soluble K2O</v>
      </c>
      <c r="F8" s="71" t="str">
        <f>IF(OR(camasi!M16=0,camasi!M16=""),"",camasi!M16)</f>
        <v>Calcio CaO</v>
      </c>
      <c r="G8" s="71" t="str">
        <f>IF(OR(camasi!N16=0,camasi!N16=""),"",camasi!N16)</f>
        <v>Magnesio MgO</v>
      </c>
      <c r="H8" s="71" t="str">
        <f>IF(OR(camasi!O16=0,camasi!O16=""),"",camasi!O16)</f>
        <v>Azufre S</v>
      </c>
      <c r="I8" s="71" t="str">
        <f>IF(OR(camasi!P16=0,camasi!P16=""),"",camasi!P16)</f>
        <v>Boro B</v>
      </c>
      <c r="J8" s="71" t="str">
        <f>IF(OR(camasi!Q16=0,camasi!Q16=""),"",camasi!Q16)</f>
        <v>Cobalto Co</v>
      </c>
      <c r="K8" s="71" t="str">
        <f>IF(OR(camasi!R16=0,camasi!R16=""),"",camasi!R16)</f>
        <v>Cobre Cu</v>
      </c>
      <c r="L8" s="71" t="str">
        <f>IF(OR(camasi!V16=0,camasi!V16=""),"",camasi!V16)</f>
        <v>Silicio SiO2</v>
      </c>
      <c r="M8" s="72" t="str">
        <f>IF(OR(camasi!W16=0,camasi!W16=""),"",camasi!W16)</f>
        <v>Zinc Zn</v>
      </c>
      <c r="N8" s="5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</row>
    <row r="9" spans="1:40" x14ac:dyDescent="0.45">
      <c r="A9" s="51"/>
      <c r="B9" s="77" t="str">
        <f>IF(OR(camasi!B17=0,camasi!B17=""),"",camasi!B17)</f>
        <v>KIESERITA_MANUCHAR_P</v>
      </c>
      <c r="C9" s="82">
        <f>IF(OR(camasi!C17=0,camasi!C17=""),"",camasi!C17)</f>
        <v>50</v>
      </c>
      <c r="D9" s="83">
        <f>IF(OR(camasi!D17=0,camasi!D17=""),"",camasi!D17)</f>
        <v>5</v>
      </c>
      <c r="E9" s="22" t="str">
        <f>IF(OR(camasi!L17=0,camasi!L17=""),"",camasi!L17)</f>
        <v/>
      </c>
      <c r="F9" s="22" t="str">
        <f>IF(OR(camasi!M17=0,camasi!M17=""),"",camasi!M17)</f>
        <v/>
      </c>
      <c r="G9" s="22">
        <f>IF(OR(camasi!N17=0,camasi!N17=""),"",camasi!N17)</f>
        <v>1.2500000000000001E-2</v>
      </c>
      <c r="H9" s="22">
        <f>IF(OR(camasi!O17=0,camasi!O17=""),"",camasi!O17)</f>
        <v>0.01</v>
      </c>
      <c r="I9" s="22" t="str">
        <f>IF(OR(camasi!P17=0,camasi!P17=""),"",camasi!P17)</f>
        <v/>
      </c>
      <c r="J9" s="22" t="str">
        <f>IF(OR(camasi!Q17=0,camasi!Q17=""),"",camasi!Q17)</f>
        <v/>
      </c>
      <c r="K9" s="22" t="str">
        <f>IF(OR(camasi!R17=0,camasi!R17=""),"",camasi!R17)</f>
        <v/>
      </c>
      <c r="L9" s="22" t="str">
        <f>IF(OR(camasi!V17=0,camasi!V17=""),"",camasi!V17)</f>
        <v/>
      </c>
      <c r="M9" s="36" t="str">
        <f>IF(OR(camasi!W17=0,camasi!W17=""),"",camasi!W17)</f>
        <v/>
      </c>
      <c r="N9" s="49"/>
    </row>
    <row r="10" spans="1:40" x14ac:dyDescent="0.45">
      <c r="A10" s="51"/>
      <c r="B10" s="78" t="str">
        <f>IF(OR(camasi!B18=0,camasi!B18=""),"",camasi!B18)</f>
        <v>CARBONATO CALCIO_AGROCALES_P</v>
      </c>
      <c r="C10" s="84">
        <f>IF(OR(camasi!C18=0,camasi!C18=""),"",camasi!C18)</f>
        <v>350</v>
      </c>
      <c r="D10" s="85">
        <f>IF(OR(camasi!D18=0,camasi!D18=""),"",camasi!D18)</f>
        <v>35</v>
      </c>
      <c r="E10" s="20" t="str">
        <f>IF(OR(camasi!L18=0,camasi!L18=""),"",camasi!L18)</f>
        <v/>
      </c>
      <c r="F10" s="20">
        <f>IF(OR(camasi!M18=0,camasi!M18=""),"",camasi!M18)</f>
        <v>0.154</v>
      </c>
      <c r="G10" s="20" t="str">
        <f>IF(OR(camasi!N18=0,camasi!N18=""),"",camasi!N18)</f>
        <v/>
      </c>
      <c r="H10" s="20" t="str">
        <f>IF(OR(camasi!O18=0,camasi!O18=""),"",camasi!O18)</f>
        <v/>
      </c>
      <c r="I10" s="20" t="str">
        <f>IF(OR(camasi!P18=0,camasi!P18=""),"",camasi!P18)</f>
        <v/>
      </c>
      <c r="J10" s="20" t="str">
        <f>IF(OR(camasi!Q18=0,camasi!Q18=""),"",camasi!Q18)</f>
        <v/>
      </c>
      <c r="K10" s="20" t="str">
        <f>IF(OR(camasi!R18=0,camasi!R18=""),"",camasi!R18)</f>
        <v/>
      </c>
      <c r="L10" s="20" t="str">
        <f>IF(OR(camasi!V18=0,camasi!V18=""),"",camasi!V18)</f>
        <v/>
      </c>
      <c r="M10" s="37" t="str">
        <f>IF(OR(camasi!W18=0,camasi!W18=""),"",camasi!W18)</f>
        <v/>
      </c>
      <c r="N10" s="49"/>
    </row>
    <row r="11" spans="1:40" x14ac:dyDescent="0.45">
      <c r="A11" s="51"/>
      <c r="B11" s="78" t="str">
        <f>IF(OR(camasi!B19=0,camasi!B19=""),"",camasi!B19)</f>
        <v>BENTONITA GRIS_DIDIER HOYOS_P</v>
      </c>
      <c r="C11" s="84">
        <f>IF(OR(camasi!C19=0,camasi!C19=""),"",camasi!C19)</f>
        <v>600</v>
      </c>
      <c r="D11" s="85">
        <f>IF(OR(camasi!D19=0,camasi!D19=""),"",camasi!D19)</f>
        <v>60</v>
      </c>
      <c r="E11" s="20" t="str">
        <f>IF(OR(camasi!L19=0,camasi!L19=""),"",camasi!L19)</f>
        <v/>
      </c>
      <c r="F11" s="20">
        <f>IF(OR(camasi!M19=0,camasi!M19=""),"",camasi!M19)</f>
        <v>3.7199999999999997E-2</v>
      </c>
      <c r="G11" s="20">
        <f>IF(OR(camasi!N19=0,camasi!N19=""),"",camasi!N19)</f>
        <v>2.4E-2</v>
      </c>
      <c r="H11" s="20" t="str">
        <f>IF(OR(camasi!O19=0,camasi!O19=""),"",camasi!O19)</f>
        <v/>
      </c>
      <c r="I11" s="20" t="str">
        <f>IF(OR(camasi!P19=0,camasi!P19=""),"",camasi!P19)</f>
        <v/>
      </c>
      <c r="J11" s="20" t="str">
        <f>IF(OR(camasi!Q19=0,camasi!Q19=""),"",camasi!Q19)</f>
        <v/>
      </c>
      <c r="K11" s="20" t="str">
        <f>IF(OR(camasi!R19=0,camasi!R19=""),"",camasi!R19)</f>
        <v/>
      </c>
      <c r="L11" s="20">
        <f>IF(OR(camasi!V19=0,camasi!V19=""),"",camasi!V19)</f>
        <v>0.34139999999999998</v>
      </c>
      <c r="M11" s="37" t="str">
        <f>IF(OR(camasi!W19=0,camasi!W19=""),"",camasi!W19)</f>
        <v/>
      </c>
      <c r="N11" s="49"/>
    </row>
    <row r="12" spans="1:40" x14ac:dyDescent="0.45">
      <c r="A12" s="51"/>
      <c r="B12" s="78" t="str">
        <f>IF(OR(camasi!B20=0,camasi!B20=""),"",camasi!B20)</f>
        <v/>
      </c>
      <c r="C12" s="84" t="str">
        <f>IF(OR(camasi!C20=0,camasi!C20=""),"",camasi!C20)</f>
        <v/>
      </c>
      <c r="D12" s="85" t="str">
        <f>IF(OR(camasi!D20=0,camasi!D20=""),"",camasi!D20)</f>
        <v/>
      </c>
      <c r="E12" s="20" t="str">
        <f>IF(OR(camasi!L20=0,camasi!L20=""),"",camasi!L20)</f>
        <v/>
      </c>
      <c r="F12" s="20" t="str">
        <f>IF(OR(camasi!M20=0,camasi!M20=""),"",camasi!M20)</f>
        <v/>
      </c>
      <c r="G12" s="20" t="str">
        <f>IF(OR(camasi!N20=0,camasi!N20=""),"",camasi!N20)</f>
        <v/>
      </c>
      <c r="H12" s="20" t="str">
        <f>IF(OR(camasi!O20=0,camasi!O20=""),"",camasi!O20)</f>
        <v/>
      </c>
      <c r="I12" s="20" t="str">
        <f>IF(OR(camasi!P20=0,camasi!P20=""),"",camasi!P20)</f>
        <v/>
      </c>
      <c r="J12" s="20" t="str">
        <f>IF(OR(camasi!Q20=0,camasi!Q20=""),"",camasi!Q20)</f>
        <v/>
      </c>
      <c r="K12" s="20" t="str">
        <f>IF(OR(camasi!R20=0,camasi!R20=""),"",camasi!R20)</f>
        <v/>
      </c>
      <c r="L12" s="20" t="str">
        <f>IF(OR(camasi!V20=0,camasi!V20=""),"",camasi!V20)</f>
        <v/>
      </c>
      <c r="M12" s="37" t="str">
        <f>IF(OR(camasi!W20=0,camasi!W20=""),"",camasi!W20)</f>
        <v/>
      </c>
      <c r="N12" s="49"/>
    </row>
    <row r="13" spans="1:40" x14ac:dyDescent="0.45">
      <c r="A13" s="51"/>
      <c r="B13" s="78" t="str">
        <f>IF(OR(camasi!B21=0,camasi!B21=""),"",camasi!B21)</f>
        <v/>
      </c>
      <c r="C13" s="84" t="str">
        <f>IF(OR(camasi!C21=0,camasi!C21=""),"",camasi!C21)</f>
        <v/>
      </c>
      <c r="D13" s="85" t="str">
        <f>IF(OR(camasi!D21=0,camasi!D21=""),"",camasi!D21)</f>
        <v/>
      </c>
      <c r="E13" s="20" t="str">
        <f>IF(OR(camasi!L21=0,camasi!L21=""),"",camasi!L21)</f>
        <v/>
      </c>
      <c r="F13" s="20" t="str">
        <f>IF(OR(camasi!M21=0,camasi!M21=""),"",camasi!M21)</f>
        <v/>
      </c>
      <c r="G13" s="20" t="str">
        <f>IF(OR(camasi!N21=0,camasi!N21=""),"",camasi!N21)</f>
        <v/>
      </c>
      <c r="H13" s="20" t="str">
        <f>IF(OR(camasi!O21=0,camasi!O21=""),"",camasi!O21)</f>
        <v/>
      </c>
      <c r="I13" s="20" t="str">
        <f>IF(OR(camasi!P21=0,camasi!P21=""),"",camasi!P21)</f>
        <v/>
      </c>
      <c r="J13" s="20" t="str">
        <f>IF(OR(camasi!Q21=0,camasi!Q21=""),"",camasi!Q21)</f>
        <v/>
      </c>
      <c r="K13" s="20" t="str">
        <f>IF(OR(camasi!R21=0,camasi!R21=""),"",camasi!R21)</f>
        <v/>
      </c>
      <c r="L13" s="20" t="str">
        <f>IF(OR(camasi!V21=0,camasi!V21=""),"",camasi!V21)</f>
        <v/>
      </c>
      <c r="M13" s="37" t="str">
        <f>IF(OR(camasi!W21=0,camasi!W21=""),"",camasi!W21)</f>
        <v/>
      </c>
      <c r="N13" s="49"/>
    </row>
    <row r="14" spans="1:40" x14ac:dyDescent="0.45">
      <c r="A14" s="51"/>
      <c r="B14" s="78" t="str">
        <f>IF(OR(camasi!B22=0,camasi!B22=""),"",camasi!B22)</f>
        <v/>
      </c>
      <c r="C14" s="84" t="str">
        <f>IF(OR(camasi!C22=0,camasi!C22=""),"",camasi!C22)</f>
        <v/>
      </c>
      <c r="D14" s="85" t="str">
        <f>IF(OR(camasi!D22=0,camasi!D22=""),"",camasi!D22)</f>
        <v/>
      </c>
      <c r="E14" s="20" t="str">
        <f>IF(OR(camasi!L22=0,camasi!L22=""),"",camasi!L22)</f>
        <v/>
      </c>
      <c r="F14" s="20" t="str">
        <f>IF(OR(camasi!M22=0,camasi!M22=""),"",camasi!M22)</f>
        <v/>
      </c>
      <c r="G14" s="20" t="str">
        <f>IF(OR(camasi!N22=0,camasi!N22=""),"",camasi!N22)</f>
        <v/>
      </c>
      <c r="H14" s="20" t="str">
        <f>IF(OR(camasi!O22=0,camasi!O22=""),"",camasi!O22)</f>
        <v/>
      </c>
      <c r="I14" s="20" t="str">
        <f>IF(OR(camasi!P22=0,camasi!P22=""),"",camasi!P22)</f>
        <v/>
      </c>
      <c r="J14" s="20" t="str">
        <f>IF(OR(camasi!Q22=0,camasi!Q22=""),"",camasi!Q22)</f>
        <v/>
      </c>
      <c r="K14" s="20" t="str">
        <f>IF(OR(camasi!R22=0,camasi!R22=""),"",camasi!R22)</f>
        <v/>
      </c>
      <c r="L14" s="20" t="str">
        <f>IF(OR(camasi!V22=0,camasi!V22=""),"",camasi!V22)</f>
        <v/>
      </c>
      <c r="M14" s="37" t="str">
        <f>IF(OR(camasi!W22=0,camasi!W22=""),"",camasi!W22)</f>
        <v/>
      </c>
      <c r="N14" s="49"/>
    </row>
    <row r="15" spans="1:40" ht="20.25" thickBot="1" x14ac:dyDescent="0.5">
      <c r="A15" s="51"/>
      <c r="B15" s="79" t="str">
        <f>IF(OR(camasi!B23=0,camasi!B23=""),"",camasi!B23)</f>
        <v/>
      </c>
      <c r="C15" s="86" t="str">
        <f>IF(OR(camasi!C23=0,camasi!C23=""),"",camasi!C23)</f>
        <v/>
      </c>
      <c r="D15" s="87" t="str">
        <f>IF(OR(camasi!D23=0,camasi!D23=""),"",camasi!D23)</f>
        <v/>
      </c>
      <c r="E15" s="25" t="str">
        <f>IF(OR(camasi!L23=0,camasi!L23=""),"",camasi!L23)</f>
        <v/>
      </c>
      <c r="F15" s="25" t="str">
        <f>IF(OR(camasi!M23=0,camasi!M23=""),"",camasi!M23)</f>
        <v/>
      </c>
      <c r="G15" s="25" t="str">
        <f>IF(OR(camasi!N23=0,camasi!N23=""),"",camasi!N23)</f>
        <v/>
      </c>
      <c r="H15" s="25" t="str">
        <f>IF(OR(camasi!O23=0,camasi!O23=""),"",camasi!O23)</f>
        <v/>
      </c>
      <c r="I15" s="25" t="str">
        <f>IF(OR(camasi!P23=0,camasi!P23=""),"",camasi!P23)</f>
        <v/>
      </c>
      <c r="J15" s="25" t="str">
        <f>IF(OR(camasi!Q23=0,camasi!Q23=""),"",camasi!Q23)</f>
        <v/>
      </c>
      <c r="K15" s="25" t="str">
        <f>IF(OR(camasi!R23=0,camasi!R23=""),"",camasi!R23)</f>
        <v/>
      </c>
      <c r="L15" s="25" t="str">
        <f>IF(OR(camasi!V23=0,camasi!V23=""),"",camasi!V23)</f>
        <v/>
      </c>
      <c r="M15" s="39" t="str">
        <f>IF(OR(camasi!W23=0,camasi!W23=""),"",camasi!W23)</f>
        <v/>
      </c>
      <c r="N15" s="49"/>
    </row>
    <row r="16" spans="1:40" ht="20.25" thickBot="1" x14ac:dyDescent="0.5">
      <c r="A16" s="51"/>
      <c r="B16" s="73" t="s">
        <v>83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49"/>
    </row>
    <row r="17" spans="1:14" x14ac:dyDescent="0.45">
      <c r="A17" s="51"/>
      <c r="B17" s="77"/>
      <c r="C17" s="82"/>
      <c r="D17" s="83"/>
      <c r="E17" s="74"/>
      <c r="F17" s="74"/>
      <c r="G17" s="74"/>
      <c r="H17" s="74"/>
      <c r="I17" s="74"/>
      <c r="J17" s="74"/>
      <c r="K17" s="74"/>
      <c r="L17" s="74"/>
      <c r="M17" s="75"/>
      <c r="N17" s="49"/>
    </row>
    <row r="18" spans="1:14" ht="20.25" thickBot="1" x14ac:dyDescent="0.5">
      <c r="A18" s="51"/>
      <c r="B18" s="90" t="str">
        <f>IF(OR(camasi!B25=0,camasi!B25=""),"",camasi!B25)</f>
        <v>TOTAL</v>
      </c>
      <c r="C18" s="89">
        <f>IF(OR(camasi!C24=0,camasi!C24=""),"",camasi!C24)</f>
        <v>1000</v>
      </c>
      <c r="D18" s="88">
        <f>IF(OR(camasi!D24=0,camasi!D24=""),"",camasi!D24)</f>
        <v>100</v>
      </c>
      <c r="E18" s="67" t="str">
        <f>IF(OR(camasi!L25=0,camasi!L25=""),"",camasi!L25)</f>
        <v/>
      </c>
      <c r="F18" s="67">
        <f>IF(OR(camasi!M25=0,camasi!M25=""),"",camasi!M25)</f>
        <v>0.19119999999999998</v>
      </c>
      <c r="G18" s="67">
        <f>IF(OR(camasi!N25=0,camasi!N25=""),"",camasi!N25)</f>
        <v>3.6500000000000005E-2</v>
      </c>
      <c r="H18" s="67">
        <f>IF(OR(camasi!O25=0,camasi!O25=""),"",camasi!O25)</f>
        <v>0.01</v>
      </c>
      <c r="I18" s="67" t="str">
        <f>IF(OR(camasi!P25=0,camasi!P25=""),"",camasi!P25)</f>
        <v/>
      </c>
      <c r="J18" s="67" t="str">
        <f>IF(OR(camasi!Q25=0,camasi!Q25=""),"",camasi!Q25)</f>
        <v/>
      </c>
      <c r="K18" s="67" t="str">
        <f>IF(OR(camasi!R25=0,camasi!R25=""),"",camasi!R25)</f>
        <v/>
      </c>
      <c r="L18" s="67">
        <f>IF(OR(camasi!V25=0,camasi!V25=""),"",camasi!V25)</f>
        <v>0.34139999999999998</v>
      </c>
      <c r="M18" s="68" t="str">
        <f>IF(OR(camasi!W25=0,camasi!W25=""),"",camasi!W25)</f>
        <v/>
      </c>
      <c r="N18" s="49"/>
    </row>
    <row r="19" spans="1:14" ht="20.25" thickBot="1" x14ac:dyDescent="0.5">
      <c r="A19" s="51"/>
      <c r="B19" s="18" t="str">
        <f>IF(OR(camasi!B26=0,camasi!B26=""),"",camasi!B26)</f>
        <v/>
      </c>
      <c r="C19" s="19" t="str">
        <f>IF(OR(camasi!C26=0,camasi!C26=""),"",camasi!C26)</f>
        <v/>
      </c>
      <c r="D19" s="19" t="str">
        <f>IF(OR(camasi!D26=0,camasi!D26=""),"",camasi!D26)</f>
        <v/>
      </c>
      <c r="E19" s="19"/>
      <c r="F19" s="19"/>
      <c r="G19" s="19"/>
      <c r="H19" s="19"/>
      <c r="I19" s="19"/>
      <c r="J19" s="19"/>
      <c r="K19" s="19"/>
      <c r="L19" s="19"/>
      <c r="M19" s="19"/>
      <c r="N19" s="49"/>
    </row>
    <row r="20" spans="1:14" ht="20.25" thickBot="1" x14ac:dyDescent="0.5">
      <c r="A20" s="51"/>
      <c r="B20" s="40" t="str">
        <f>IF(OR(camasi!B28=0,camasi!B28=""),"",camasi!B28)</f>
        <v>CERTIFICADO DE ANALISIS</v>
      </c>
      <c r="C20" s="41" t="str">
        <f>IF(OR(camasi!C28=0,camasi!C28=""),"",camasi!C28)</f>
        <v/>
      </c>
      <c r="D20" s="41" t="str">
        <f>IF(OR(camasi!D28=0,camasi!D28=""),"",camasi!D28)</f>
        <v/>
      </c>
      <c r="E20" s="42" t="str">
        <f>IF(OR(camasi!L28=0,camasi!L28=""),"",camasi!L28)</f>
        <v/>
      </c>
      <c r="F20" s="42">
        <f>IF(OR(camasi!M28=0,camasi!M28=""),"",camasi!M28)</f>
        <v>0.1225</v>
      </c>
      <c r="G20" s="42">
        <f>IF(OR(camasi!N28=0,camasi!N28=""),"",camasi!N28)</f>
        <v>2.52E-2</v>
      </c>
      <c r="H20" s="42">
        <f>IF(OR(camasi!O28=0,camasi!O28=""),"",camasi!O28)</f>
        <v>1.2800000000000001E-2</v>
      </c>
      <c r="I20" s="42" t="str">
        <f>IF(OR(camasi!P28=0,camasi!P28=""),"",camasi!P28)</f>
        <v/>
      </c>
      <c r="J20" s="42" t="str">
        <f>IF(OR(camasi!Q28=0,camasi!Q28=""),"",camasi!Q28)</f>
        <v/>
      </c>
      <c r="K20" s="42" t="str">
        <f>IF(OR(camasi!R28=0,camasi!R28=""),"",camasi!R28)</f>
        <v/>
      </c>
      <c r="L20" s="42">
        <f>IF(OR(camasi!V28=0,camasi!V28=""),"",camasi!V28)</f>
        <v>0.34920000000000001</v>
      </c>
      <c r="M20" s="43" t="str">
        <f>IF(OR(camasi!W28=0,camasi!W28=""),"",camasi!W28)</f>
        <v/>
      </c>
      <c r="N20" s="49"/>
    </row>
    <row r="21" spans="1:14" ht="20.25" thickBot="1" x14ac:dyDescent="0.5">
      <c r="A21" s="51"/>
      <c r="B21" s="18" t="str">
        <f>IF(OR(camasi!B29=0,camasi!B29=""),"",camasi!B29)</f>
        <v/>
      </c>
      <c r="C21" s="19" t="str">
        <f>IF(OR(camasi!C29=0,camasi!C29=""),"",camasi!C29)</f>
        <v/>
      </c>
      <c r="D21" s="19" t="str">
        <f>IF(OR(camasi!D29=0,camasi!D29=""),"",camasi!D29)</f>
        <v/>
      </c>
      <c r="E21" s="19" t="str">
        <f>IF(OR(camasi!L29=0,camasi!L29=""),"",camasi!L29)</f>
        <v/>
      </c>
      <c r="F21" s="19" t="str">
        <f>IF(OR(camasi!M29=0,camasi!M29=""),"",camasi!M29)</f>
        <v/>
      </c>
      <c r="G21" s="19" t="str">
        <f>IF(OR(camasi!N29=0,camasi!N29=""),"",camasi!N29)</f>
        <v/>
      </c>
      <c r="H21" s="19" t="str">
        <f>IF(OR(camasi!O29=0,camasi!O29=""),"",camasi!O29)</f>
        <v/>
      </c>
      <c r="I21" s="19" t="str">
        <f>IF(OR(camasi!P29=0,camasi!P29=""),"",camasi!P29)</f>
        <v/>
      </c>
      <c r="J21" s="19" t="str">
        <f>IF(OR(camasi!Q29=0,camasi!Q29=""),"",camasi!Q29)</f>
        <v/>
      </c>
      <c r="K21" s="19" t="str">
        <f>IF(OR(camasi!R29=0,camasi!R29=""),"",camasi!R29)</f>
        <v/>
      </c>
      <c r="L21" s="19" t="str">
        <f>IF(OR(camasi!V29=0,camasi!V29=""),"",camasi!V29)</f>
        <v/>
      </c>
      <c r="M21" s="19" t="str">
        <f>IF(OR(camasi!W29=0,camasi!W29=""),"",camasi!W29)</f>
        <v/>
      </c>
      <c r="N21" s="49"/>
    </row>
    <row r="22" spans="1:14" ht="20.25" thickBot="1" x14ac:dyDescent="0.5">
      <c r="A22" s="51"/>
      <c r="B22" s="213" t="str">
        <f>IF(OR(camasi!B30=0,camasi!B30=""),"",camasi!B30)</f>
        <v>CONTENIDOS MINIMOS*1</v>
      </c>
      <c r="C22" s="214"/>
      <c r="D22" s="215"/>
      <c r="E22" s="35" t="str">
        <f>IF(OR(camasi!L30=0,camasi!L30=""),"",camasi!L30)</f>
        <v/>
      </c>
      <c r="F22" s="35" t="str">
        <f>IF(OR(camasi!M30=0,camasi!M30=""),"",camasi!M30)</f>
        <v/>
      </c>
      <c r="G22" s="35" t="str">
        <f>IF(OR(camasi!N30=0,camasi!N30=""),"",camasi!N30)</f>
        <v/>
      </c>
      <c r="H22" s="35" t="str">
        <f>IF(OR(camasi!O30=0,camasi!O30=""),"",camasi!O30)</f>
        <v/>
      </c>
      <c r="I22" s="35" t="str">
        <f>IF(OR(camasi!P30=0,camasi!P30=""),"",camasi!P30)</f>
        <v/>
      </c>
      <c r="J22" s="35" t="str">
        <f>IF(OR(camasi!Q30=0,camasi!Q30=""),"",camasi!Q30)</f>
        <v/>
      </c>
      <c r="K22" s="35" t="str">
        <f>IF(OR(camasi!R30=0,camasi!R30=""),"",camasi!R30)</f>
        <v/>
      </c>
      <c r="L22" s="35" t="str">
        <f>IF(OR(camasi!V30=0,camasi!V30=""),"",camasi!V30)</f>
        <v/>
      </c>
      <c r="M22" s="35" t="str">
        <f>IF(OR(camasi!W30=0,camasi!W30=""),"",camasi!W30)</f>
        <v/>
      </c>
      <c r="N22" s="49"/>
    </row>
    <row r="23" spans="1:14" x14ac:dyDescent="0.45">
      <c r="A23" s="51"/>
      <c r="B23" s="221" t="str">
        <f>IF(OR(camasi!B31=0,camasi!B31=""),"",camasi!B31)</f>
        <v>NPK (Formula sola o en mezcla con micronutrientes)</v>
      </c>
      <c r="C23" s="222" t="str">
        <f>IF(OR(camasi!C31=0,camasi!C31=""),"",camasi!C31)</f>
        <v/>
      </c>
      <c r="D23" s="223" t="str">
        <f>IF(OR(camasi!D31=0,camasi!D31=""),"",camasi!D31)</f>
        <v/>
      </c>
      <c r="E23" s="22" t="str">
        <f>IF(OR(camasi!L31=0,camasi!L31=""),"",camasi!L31)</f>
        <v/>
      </c>
      <c r="F23" s="22" t="str">
        <f>IF(OR(camasi!M31=0,camasi!M31=""),"",camasi!M31)</f>
        <v/>
      </c>
      <c r="G23" s="22" t="str">
        <f>IF(OR(camasi!N31=0,camasi!N31=""),"",camasi!N31)</f>
        <v/>
      </c>
      <c r="H23" s="22" t="str">
        <f>IF(OR(camasi!O31=0,camasi!O31=""),"",camasi!O31)</f>
        <v/>
      </c>
      <c r="I23" s="22" t="str">
        <f>IF(OR(camasi!P31=0,camasi!P31=""),"",camasi!P31)</f>
        <v/>
      </c>
      <c r="J23" s="22" t="str">
        <f>IF(OR(camasi!Q31=0,camasi!Q31=""),"",camasi!Q31)</f>
        <v/>
      </c>
      <c r="K23" s="22" t="str">
        <f>IF(OR(camasi!R31=0,camasi!R31=""),"",camasi!R31)</f>
        <v/>
      </c>
      <c r="L23" s="22" t="str">
        <f>IF(OR(camasi!V31=0,camasi!V31=""),"",camasi!V31)</f>
        <v/>
      </c>
      <c r="M23" s="36" t="str">
        <f>IF(OR(camasi!W31=0,camasi!W31=""),"",camasi!W31)</f>
        <v/>
      </c>
      <c r="N23" s="49"/>
    </row>
    <row r="24" spans="1:14" x14ac:dyDescent="0.45">
      <c r="A24" s="51"/>
      <c r="B24" s="224" t="str">
        <f>IF(OR(camasi!B32=0,camasi!B32=""),"",camasi!B32)</f>
        <v>Secundarios (Formula UNICAMENTE con Ca, Mg, S)</v>
      </c>
      <c r="C24" s="225" t="str">
        <f>IF(OR(camasi!C32=0,camasi!C32=""),"",camasi!C32)</f>
        <v/>
      </c>
      <c r="D24" s="226" t="str">
        <f>IF(OR(camasi!D32=0,camasi!D32=""),"",camasi!D32)</f>
        <v/>
      </c>
      <c r="E24" s="20" t="str">
        <f>IF(OR(camasi!L32=0,camasi!L32=""),"",camasi!L32)</f>
        <v/>
      </c>
      <c r="F24" s="20" t="str">
        <f>IF(OR(camasi!M32=0,camasi!M32=""),"",camasi!M32)</f>
        <v/>
      </c>
      <c r="G24" s="20" t="str">
        <f>IF(OR(camasi!N32=0,camasi!N32=""),"",camasi!N32)</f>
        <v/>
      </c>
      <c r="H24" s="20" t="str">
        <f>IF(OR(camasi!O32=0,camasi!O32=""),"",camasi!O32)</f>
        <v/>
      </c>
      <c r="I24" s="20" t="str">
        <f>IF(OR(camasi!P32=0,camasi!P32=""),"",camasi!P32)</f>
        <v/>
      </c>
      <c r="J24" s="20" t="str">
        <f>IF(OR(camasi!Q32=0,camasi!Q32=""),"",camasi!Q32)</f>
        <v/>
      </c>
      <c r="K24" s="20" t="str">
        <f>IF(OR(camasi!R32=0,camasi!R32=""),"",camasi!R32)</f>
        <v/>
      </c>
      <c r="L24" s="20" t="str">
        <f>IF(OR(camasi!V32=0,camasi!V32=""),"",camasi!V32)</f>
        <v/>
      </c>
      <c r="M24" s="37" t="str">
        <f>IF(OR(camasi!W32=0,camasi!W32=""),"",camasi!W32)</f>
        <v/>
      </c>
      <c r="N24" s="49"/>
    </row>
    <row r="25" spans="1:14" x14ac:dyDescent="0.45">
      <c r="A25" s="51"/>
      <c r="B25" s="224" t="str">
        <f>IF(OR(camasi!B33=0,camasi!B33=""),"",camasi!B33)</f>
        <v>Micronutrientes: Unicamente micronutrientes</v>
      </c>
      <c r="C25" s="225" t="str">
        <f>IF(OR(camasi!C33=0,camasi!C33=""),"",camasi!C33)</f>
        <v/>
      </c>
      <c r="D25" s="226" t="str">
        <f>IF(OR(camasi!D33=0,camasi!D33=""),"",camasi!D33)</f>
        <v/>
      </c>
      <c r="E25" s="20" t="str">
        <f>IF(OR(camasi!L33=0,camasi!L33=""),"",camasi!L33)</f>
        <v/>
      </c>
      <c r="F25" s="20" t="str">
        <f>IF(OR(camasi!M33=0,camasi!M33=""),"",camasi!M33)</f>
        <v/>
      </c>
      <c r="G25" s="20" t="str">
        <f>IF(OR(camasi!N33=0,camasi!N33=""),"",camasi!N33)</f>
        <v/>
      </c>
      <c r="H25" s="20" t="str">
        <f>IF(OR(camasi!O33=0,camasi!O33=""),"",camasi!O33)</f>
        <v/>
      </c>
      <c r="I25" s="20" t="str">
        <f>IF(OR(camasi!P33=0,camasi!P33=""),"",camasi!P33)</f>
        <v/>
      </c>
      <c r="J25" s="20" t="str">
        <f>IF(OR(camasi!Q33=0,camasi!Q33=""),"",camasi!Q33)</f>
        <v/>
      </c>
      <c r="K25" s="20" t="str">
        <f>IF(OR(camasi!R33=0,camasi!R33=""),"",camasi!R33)</f>
        <v/>
      </c>
      <c r="L25" s="20" t="str">
        <f>IF(OR(camasi!V33=0,camasi!V33=""),"",camasi!V33)</f>
        <v/>
      </c>
      <c r="M25" s="37" t="str">
        <f>IF(OR(camasi!W33=0,camasi!W33=""),"",camasi!W33)</f>
        <v/>
      </c>
      <c r="N25" s="49"/>
    </row>
    <row r="26" spans="1:14" ht="20.25" thickBot="1" x14ac:dyDescent="0.5">
      <c r="A26" s="51"/>
      <c r="B26" s="227" t="str">
        <f>IF(OR(camasi!B34=0,camasi!B34=""),"",camasi!B34)</f>
        <v>Micronutrientes: Mezcla con NPK o secundarios</v>
      </c>
      <c r="C26" s="228" t="str">
        <f>IF(OR(camasi!C34=0,camasi!C34=""),"",camasi!C34)</f>
        <v/>
      </c>
      <c r="D26" s="229" t="str">
        <f>IF(OR(camasi!D34=0,camasi!D34=""),"",camasi!D34)</f>
        <v/>
      </c>
      <c r="E26" s="25" t="str">
        <f>IF(OR(camasi!L34=0,camasi!L34=""),"",camasi!L34)</f>
        <v/>
      </c>
      <c r="F26" s="25" t="str">
        <f>IF(OR(camasi!M34=0,camasi!M34=""),"",camasi!M34)</f>
        <v/>
      </c>
      <c r="G26" s="25" t="str">
        <f>IF(OR(camasi!N34=0,camasi!N34=""),"",camasi!N34)</f>
        <v/>
      </c>
      <c r="H26" s="25" t="str">
        <f>IF(OR(camasi!O34=0,camasi!O34=""),"",camasi!O34)</f>
        <v/>
      </c>
      <c r="I26" s="24" t="str">
        <f>IF(OR(camasi!P34=0,camasi!P34=""),"",camasi!P34)</f>
        <v/>
      </c>
      <c r="J26" s="24" t="str">
        <f>IF(OR(camasi!Q34=0,camasi!Q34=""),"",camasi!Q34)</f>
        <v/>
      </c>
      <c r="K26" s="24" t="str">
        <f>IF(OR(camasi!R34=0,camasi!R34=""),"",camasi!R34)</f>
        <v/>
      </c>
      <c r="L26" s="24" t="str">
        <f>IF(OR(camasi!V34=0,camasi!V34=""),"",camasi!V34)</f>
        <v>SI</v>
      </c>
      <c r="M26" s="26" t="str">
        <f>IF(OR(camasi!W34=0,camasi!W34=""),"",camasi!W34)</f>
        <v/>
      </c>
      <c r="N26" s="49"/>
    </row>
    <row r="27" spans="1:14" s="18" customFormat="1" x14ac:dyDescent="0.45">
      <c r="A27" s="51"/>
      <c r="B27" s="230" t="str">
        <f>IF(OR(camasi!B35=0,camasi!B35=""),"",camasi!B35)</f>
        <v>*1 Resolución ICA 150 de 2003 ANEXO 11</v>
      </c>
      <c r="C27" s="230" t="str">
        <f>IF(OR(camasi!C35=0,camasi!C35=""),"",camasi!C35)</f>
        <v/>
      </c>
      <c r="D27" s="230" t="str">
        <f>IF(OR(camasi!D35=0,camasi!D35=""),"",camasi!D35)</f>
        <v/>
      </c>
      <c r="E27" s="35" t="str">
        <f>IF(OR(camasi!L35=0,camasi!L35=""),"",camasi!L35)</f>
        <v/>
      </c>
      <c r="F27" s="35" t="str">
        <f>IF(OR(camasi!M35=0,camasi!M35=""),"",camasi!M35)</f>
        <v/>
      </c>
      <c r="G27" s="35" t="str">
        <f>IF(OR(camasi!N35=0,camasi!N35=""),"",camasi!N35)</f>
        <v/>
      </c>
      <c r="H27" s="35" t="str">
        <f>IF(OR(camasi!O35=0,camasi!O35=""),"",camasi!O35)</f>
        <v/>
      </c>
      <c r="I27" s="35" t="str">
        <f>IF(OR(camasi!P35=0,camasi!P35=""),"",camasi!P35)</f>
        <v/>
      </c>
      <c r="J27" s="35" t="str">
        <f>IF(OR(camasi!Q35=0,camasi!Q35=""),"",camasi!Q35)</f>
        <v/>
      </c>
      <c r="K27" s="35" t="str">
        <f>IF(OR(camasi!R35=0,camasi!R35=""),"",camasi!R35)</f>
        <v/>
      </c>
      <c r="L27" s="35" t="str">
        <f>IF(OR(camasi!V35=0,camasi!V35=""),"",camasi!V35)</f>
        <v/>
      </c>
      <c r="M27" s="35" t="str">
        <f>IF(OR(camasi!W35=0,camasi!W35=""),"",camasi!W35)</f>
        <v/>
      </c>
      <c r="N27" s="49"/>
    </row>
    <row r="28" spans="1:14" s="18" customFormat="1" ht="20.25" thickBot="1" x14ac:dyDescent="0.5">
      <c r="A28" s="51"/>
      <c r="B28" s="18" t="str">
        <f>IF(OR(camasi!B36=0,camasi!B36=""),"",camasi!B36)</f>
        <v/>
      </c>
      <c r="C28" s="19" t="str">
        <f>IF(OR(camasi!C36=0,camasi!C36=""),"",camasi!C36)</f>
        <v/>
      </c>
      <c r="D28" s="19" t="str">
        <f>IF(OR(camasi!D36=0,camasi!D36=""),"",camasi!D36)</f>
        <v/>
      </c>
      <c r="E28" s="19" t="str">
        <f>IF(OR(camasi!L36=0,camasi!L36=""),"",camasi!L36)</f>
        <v/>
      </c>
      <c r="F28" s="19" t="str">
        <f>IF(OR(camasi!M36=0,camasi!M36=""),"",camasi!M36)</f>
        <v/>
      </c>
      <c r="G28" s="19" t="str">
        <f>IF(OR(camasi!N36=0,camasi!N36=""),"",camasi!N36)</f>
        <v/>
      </c>
      <c r="H28" s="19" t="str">
        <f>IF(OR(camasi!O36=0,camasi!O36=""),"",camasi!O36)</f>
        <v/>
      </c>
      <c r="I28" s="19" t="str">
        <f>IF(OR(camasi!P36=0,camasi!P36=""),"",camasi!P36)</f>
        <v/>
      </c>
      <c r="J28" s="19" t="str">
        <f>IF(OR(camasi!Q36=0,camasi!Q36=""),"",camasi!Q36)</f>
        <v/>
      </c>
      <c r="K28" s="19" t="str">
        <f>IF(OR(camasi!R36=0,camasi!R36=""),"",camasi!R36)</f>
        <v/>
      </c>
      <c r="L28" s="19" t="str">
        <f>IF(OR(camasi!V36=0,camasi!V36=""),"",camasi!V36)</f>
        <v/>
      </c>
      <c r="M28" s="19" t="str">
        <f>IF(OR(camasi!W36=0,camasi!W36=""),"",camasi!W36)</f>
        <v/>
      </c>
      <c r="N28" s="49"/>
    </row>
    <row r="29" spans="1:14" s="18" customFormat="1" ht="20.25" thickBot="1" x14ac:dyDescent="0.5">
      <c r="A29" s="51"/>
      <c r="B29" s="213" t="str">
        <f>IF(OR(camasi!B37=0,camasi!B37=""),"",camasi!B37)</f>
        <v>TOLERANCIAS*2</v>
      </c>
      <c r="C29" s="214" t="str">
        <f>IF(OR(camasi!C37=0,camasi!C37=""),"",camasi!C37)</f>
        <v/>
      </c>
      <c r="D29" s="215" t="str">
        <f>IF(OR(camasi!D37=0,camasi!D37=""),"",camasi!D37)</f>
        <v/>
      </c>
      <c r="E29" s="35" t="str">
        <f>IF(OR(camasi!L37=0,camasi!L37=""),"",camasi!L37)</f>
        <v/>
      </c>
      <c r="F29" s="35" t="str">
        <f>IF(OR(camasi!M37=0,camasi!M37=""),"",camasi!M37)</f>
        <v/>
      </c>
      <c r="G29" s="35" t="str">
        <f>IF(OR(camasi!N37=0,camasi!N37=""),"",camasi!N37)</f>
        <v/>
      </c>
      <c r="H29" s="35" t="str">
        <f>IF(OR(camasi!O37=0,camasi!O37=""),"",camasi!O37)</f>
        <v/>
      </c>
      <c r="I29" s="35" t="str">
        <f>IF(OR(camasi!P37=0,camasi!P37=""),"",camasi!P37)</f>
        <v/>
      </c>
      <c r="J29" s="35" t="str">
        <f>IF(OR(camasi!Q37=0,camasi!Q37=""),"",camasi!Q37)</f>
        <v/>
      </c>
      <c r="K29" s="35" t="str">
        <f>IF(OR(camasi!R37=0,camasi!R37=""),"",camasi!R37)</f>
        <v/>
      </c>
      <c r="L29" s="35" t="str">
        <f>IF(OR(camasi!V37=0,camasi!V37=""),"",camasi!V37)</f>
        <v/>
      </c>
      <c r="M29" s="35" t="str">
        <f>IF(OR(camasi!W37=0,camasi!W37=""),"",camasi!W37)</f>
        <v/>
      </c>
      <c r="N29" s="49"/>
    </row>
    <row r="30" spans="1:14" s="18" customFormat="1" x14ac:dyDescent="0.45">
      <c r="A30" s="51"/>
      <c r="B30" s="221" t="str">
        <f>IF(OR(camasi!B38=0,camasi!B38=""),"",camasi!B38)</f>
        <v>Calculo</v>
      </c>
      <c r="C30" s="222" t="str">
        <f>IF(OR(camasi!C38=0,camasi!C38=""),"",camasi!C38)</f>
        <v/>
      </c>
      <c r="D30" s="223" t="str">
        <f>IF(OR(camasi!D38=0,camasi!D38=""),"",camasi!D38)</f>
        <v/>
      </c>
      <c r="E30" s="22" t="str">
        <f>IF(OR(camasi!L38=0,camasi!L38=""),"",camasi!L38)</f>
        <v/>
      </c>
      <c r="F30" s="22">
        <f>IF(OR(camasi!M38=0,camasi!M38=""),"",camasi!M38)</f>
        <v>2.4275999999999995E-2</v>
      </c>
      <c r="G30" s="22">
        <f>IF(OR(camasi!N38=0,camasi!N38=""),"",camasi!N38)</f>
        <v>9.5624999999999998E-3</v>
      </c>
      <c r="H30" s="22">
        <f>IF(OR(camasi!O38=0,camasi!O38=""),"",camasi!O38)</f>
        <v>3.7499999999999999E-3</v>
      </c>
      <c r="I30" s="22" t="str">
        <f>IF(OR(camasi!P38=0,camasi!P38=""),"",camasi!P38)</f>
        <v/>
      </c>
      <c r="J30" s="22" t="str">
        <f>IF(OR(camasi!Q38=0,camasi!Q38=""),"",camasi!Q38)</f>
        <v/>
      </c>
      <c r="K30" s="22" t="str">
        <f>IF(OR(camasi!R38=0,camasi!R38=""),"",camasi!R38)</f>
        <v/>
      </c>
      <c r="L30" s="22" t="str">
        <f>IF(OR(camasi!V38=0,camasi!V38=""),"",camasi!V38)</f>
        <v/>
      </c>
      <c r="M30" s="36" t="str">
        <f>IF(OR(camasi!W38=0,camasi!W38=""),"",camasi!W38)</f>
        <v/>
      </c>
      <c r="N30" s="49"/>
    </row>
    <row r="31" spans="1:14" s="18" customFormat="1" x14ac:dyDescent="0.45">
      <c r="A31" s="51"/>
      <c r="B31" s="224" t="str">
        <f>IF(OR(camasi!B39=0,camasi!B39=""),"",camasi!B39)</f>
        <v>NPK ¿El contenido está fuera de rango [4%-32%]?*3</v>
      </c>
      <c r="C31" s="225" t="str">
        <f>IF(OR(camasi!C39=0,camasi!C39=""),"",camasi!C39)</f>
        <v/>
      </c>
      <c r="D31" s="226" t="str">
        <f>IF(OR(camasi!D39=0,camasi!D39=""),"",camasi!D39)</f>
        <v/>
      </c>
      <c r="E31" s="20" t="str">
        <f>IF(OR(camasi!L39=0,camasi!L39=""),"",camasi!L39)</f>
        <v/>
      </c>
      <c r="F31" s="20">
        <f>IF(OR(camasi!M39=0,camasi!M39=""),"",camasi!M39)</f>
        <v>2.4275999999999995E-2</v>
      </c>
      <c r="G31" s="20">
        <f>IF(OR(camasi!N39=0,camasi!N39=""),"",camasi!N39)</f>
        <v>9.5624999999999998E-3</v>
      </c>
      <c r="H31" s="20">
        <f>IF(OR(camasi!O39=0,camasi!O39=""),"",camasi!O39)</f>
        <v>3.7499999999999999E-3</v>
      </c>
      <c r="I31" s="20" t="str">
        <f>IF(OR(camasi!P39=0,camasi!P39=""),"",camasi!P39)</f>
        <v/>
      </c>
      <c r="J31" s="23" t="str">
        <f>IF(OR(camasi!Q39=0,camasi!Q39=""),"",camasi!Q39)</f>
        <v/>
      </c>
      <c r="K31" s="23" t="str">
        <f>IF(OR(camasi!R39=0,camasi!R39=""),"",camasi!R39)</f>
        <v/>
      </c>
      <c r="L31" s="23" t="str">
        <f>IF(OR(camasi!V39=0,camasi!V39=""),"",camasi!V39)</f>
        <v/>
      </c>
      <c r="M31" s="37" t="str">
        <f>IF(OR(camasi!W39=0,camasi!W39=""),"",camasi!W39)</f>
        <v/>
      </c>
      <c r="N31" s="49"/>
    </row>
    <row r="32" spans="1:14" s="18" customFormat="1" x14ac:dyDescent="0.45">
      <c r="A32" s="51"/>
      <c r="B32" s="224" t="str">
        <f>IF(OR(camasi!B40=0,camasi!B40=""),"",camasi!B40)</f>
        <v>Secundarios y menores ¿La tolerancia supera el 50% o 1.5pp?*4</v>
      </c>
      <c r="C32" s="225" t="str">
        <f>IF(OR(camasi!C40=0,camasi!C40=""),"",camasi!C40)</f>
        <v/>
      </c>
      <c r="D32" s="226" t="str">
        <f>IF(OR(camasi!D40=0,camasi!D40=""),"",camasi!D40)</f>
        <v/>
      </c>
      <c r="E32" s="20" t="str">
        <f>IF(OR(camasi!L40=0,camasi!L40=""),"",camasi!L40)</f>
        <v/>
      </c>
      <c r="F32" s="20" t="str">
        <f>IF(OR(camasi!M40=0,camasi!M40=""),"",camasi!M40)</f>
        <v>SI</v>
      </c>
      <c r="G32" s="20" t="str">
        <f>IF(OR(camasi!N40=0,camasi!N40=""),"",camasi!N40)</f>
        <v>NO</v>
      </c>
      <c r="H32" s="20" t="str">
        <f>IF(OR(camasi!O40=0,camasi!O40=""),"",camasi!O40)</f>
        <v>NO</v>
      </c>
      <c r="I32" s="20" t="str">
        <f>IF(OR(camasi!P40=0,camasi!P40=""),"",camasi!P40)</f>
        <v/>
      </c>
      <c r="J32" s="20" t="str">
        <f>IF(OR(camasi!Q40=0,camasi!Q40=""),"",camasi!Q40)</f>
        <v/>
      </c>
      <c r="K32" s="20" t="str">
        <f>IF(OR(camasi!R40=0,camasi!R40=""),"",camasi!R40)</f>
        <v/>
      </c>
      <c r="L32" s="20" t="str">
        <f>IF(OR(camasi!V40=0,camasi!V40=""),"",camasi!V40)</f>
        <v/>
      </c>
      <c r="M32" s="37" t="str">
        <f>IF(OR(camasi!W40=0,camasi!W40=""),"",camasi!W40)</f>
        <v/>
      </c>
      <c r="N32" s="49"/>
    </row>
    <row r="33" spans="1:14" s="18" customFormat="1" ht="20.25" thickBot="1" x14ac:dyDescent="0.5">
      <c r="A33" s="51"/>
      <c r="B33" s="227" t="str">
        <f>IF(OR(camasi!B41=0,camasi!B41=""),"",camasi!B41)</f>
        <v>Tolerancia permitida</v>
      </c>
      <c r="C33" s="228" t="str">
        <f>IF(OR(camasi!C41=0,camasi!C41=""),"",camasi!C41)</f>
        <v/>
      </c>
      <c r="D33" s="229" t="str">
        <f>IF(OR(camasi!D41=0,camasi!D41=""),"",camasi!D41)</f>
        <v/>
      </c>
      <c r="E33" s="25" t="str">
        <f>IF(OR(camasi!L41=0,camasi!L41=""),"",camasi!L41)</f>
        <v/>
      </c>
      <c r="F33" s="25">
        <f>IF(OR(camasi!M41=0,camasi!M41=""),"",camasi!M41)</f>
        <v>1.4999999999999999E-2</v>
      </c>
      <c r="G33" s="25">
        <f>IF(OR(camasi!N41=0,camasi!N41=""),"",camasi!N41)</f>
        <v>9.5624999999999998E-3</v>
      </c>
      <c r="H33" s="25">
        <f>IF(OR(camasi!O41=0,camasi!O41=""),"",camasi!O41)</f>
        <v>3.7499999999999999E-3</v>
      </c>
      <c r="I33" s="25" t="str">
        <f>IF(OR(camasi!P41=0,camasi!P41=""),"",camasi!P41)</f>
        <v/>
      </c>
      <c r="J33" s="38" t="str">
        <f>IF(OR(camasi!Q41=0,camasi!Q41=""),"",camasi!Q41)</f>
        <v/>
      </c>
      <c r="K33" s="38" t="str">
        <f>IF(OR(camasi!R41=0,camasi!R41=""),"",camasi!R41)</f>
        <v/>
      </c>
      <c r="L33" s="38" t="str">
        <f>IF(OR(camasi!V41=0,camasi!V41=""),"",camasi!V41)</f>
        <v/>
      </c>
      <c r="M33" s="39" t="str">
        <f>IF(OR(camasi!W41=0,camasi!W41=""),"",camasi!W41)</f>
        <v/>
      </c>
      <c r="N33" s="49"/>
    </row>
    <row r="34" spans="1:14" s="18" customFormat="1" x14ac:dyDescent="0.45">
      <c r="A34" s="51"/>
      <c r="B34" s="230" t="str">
        <f>IF(OR(camasi!B42=0,camasi!B42=""),"",camasi!B42)</f>
        <v>*2 NTC 1061:2020 ALCANCE: no aplica para organicos</v>
      </c>
      <c r="C34" s="230" t="str">
        <f>IF(OR(camasi!C42=0,camasi!C42=""),"",camasi!C42)</f>
        <v/>
      </c>
      <c r="D34" s="230" t="str">
        <f>IF(OR(camasi!D42=0,camasi!D42=""),"",camasi!D42)</f>
        <v/>
      </c>
      <c r="E34" s="35" t="str">
        <f>IF(OR(camasi!L42=0,camasi!L42=""),"",camasi!L42)</f>
        <v/>
      </c>
      <c r="F34" s="35" t="str">
        <f>IF(OR(camasi!M42=0,camasi!M42=""),"",camasi!M42)</f>
        <v/>
      </c>
      <c r="G34" s="35" t="str">
        <f>IF(OR(camasi!N42=0,camasi!N42=""),"",camasi!N42)</f>
        <v/>
      </c>
      <c r="H34" s="35" t="str">
        <f>IF(OR(camasi!O42=0,camasi!O42=""),"",camasi!O42)</f>
        <v/>
      </c>
      <c r="I34" s="35" t="str">
        <f>IF(OR(camasi!P42=0,camasi!P42=""),"",camasi!P42)</f>
        <v/>
      </c>
      <c r="J34" s="35" t="str">
        <f>IF(OR(camasi!Q42=0,camasi!Q42=""),"",camasi!Q42)</f>
        <v/>
      </c>
      <c r="K34" s="35" t="str">
        <f>IF(OR(camasi!R42=0,camasi!R42=""),"",camasi!R42)</f>
        <v/>
      </c>
      <c r="L34" s="35" t="str">
        <f>IF(OR(camasi!V42=0,camasi!V42=""),"",camasi!V42)</f>
        <v/>
      </c>
      <c r="M34" s="35" t="str">
        <f>IF(OR(camasi!W42=0,camasi!W42=""),"",camasi!W42)</f>
        <v/>
      </c>
      <c r="N34" s="49"/>
    </row>
    <row r="35" spans="1:14" s="18" customFormat="1" x14ac:dyDescent="0.45">
      <c r="A35" s="51"/>
      <c r="B35" s="230" t="str">
        <f>IF(OR(camasi!B43=0,camasi!B43=""),"",camasi!B43)</f>
        <v xml:space="preserve">*3 NTC 1061:2020 4.1 </v>
      </c>
      <c r="C35" s="230" t="str">
        <f>IF(OR(camasi!C43=0,camasi!C43=""),"",camasi!C43)</f>
        <v/>
      </c>
      <c r="D35" s="230" t="str">
        <f>IF(OR(camasi!D43=0,camasi!D43=""),"",camasi!D43)</f>
        <v/>
      </c>
      <c r="E35" s="35" t="str">
        <f>IF(OR(camasi!L43=0,camasi!L43=""),"",camasi!L43)</f>
        <v/>
      </c>
      <c r="F35" s="35" t="str">
        <f>IF(OR(camasi!M43=0,camasi!M43=""),"",camasi!M43)</f>
        <v/>
      </c>
      <c r="G35" s="35" t="str">
        <f>IF(OR(camasi!N43=0,camasi!N43=""),"",camasi!N43)</f>
        <v/>
      </c>
      <c r="H35" s="35" t="str">
        <f>IF(OR(camasi!O43=0,camasi!O43=""),"",camasi!O43)</f>
        <v/>
      </c>
      <c r="I35" s="35" t="str">
        <f>IF(OR(camasi!P43=0,camasi!P43=""),"",camasi!P43)</f>
        <v/>
      </c>
      <c r="J35" s="35" t="str">
        <f>IF(OR(camasi!Q43=0,camasi!Q43=""),"",camasi!Q43)</f>
        <v/>
      </c>
      <c r="K35" s="35" t="str">
        <f>IF(OR(camasi!R43=0,camasi!R43=""),"",camasi!R43)</f>
        <v/>
      </c>
      <c r="L35" s="35" t="str">
        <f>IF(OR(camasi!V43=0,camasi!V43=""),"",camasi!V43)</f>
        <v/>
      </c>
      <c r="M35" s="35" t="str">
        <f>IF(OR(camasi!W43=0,camasi!W43=""),"",camasi!W43)</f>
        <v/>
      </c>
      <c r="N35" s="49"/>
    </row>
    <row r="36" spans="1:14" s="18" customFormat="1" x14ac:dyDescent="0.45">
      <c r="A36" s="51"/>
      <c r="B36" s="230" t="str">
        <f>IF(OR(camasi!B44=0,camasi!B44=""),"",camasi!B44)</f>
        <v xml:space="preserve">*4 NTC 1061:2020 4.2.1 - 4.2.2 </v>
      </c>
      <c r="C36" s="230" t="str">
        <f>IF(OR(camasi!C44=0,camasi!C44=""),"",camasi!C44)</f>
        <v/>
      </c>
      <c r="D36" s="230" t="str">
        <f>IF(OR(camasi!D44=0,camasi!D44=""),"",camasi!D44)</f>
        <v/>
      </c>
      <c r="E36" s="35" t="str">
        <f>IF(OR(camasi!L44=0,camasi!L44=""),"",camasi!L44)</f>
        <v/>
      </c>
      <c r="F36" s="35" t="str">
        <f>IF(OR(camasi!M44=0,camasi!M44=""),"",camasi!M44)</f>
        <v/>
      </c>
      <c r="G36" s="35" t="str">
        <f>IF(OR(camasi!N44=0,camasi!N44=""),"",camasi!N44)</f>
        <v/>
      </c>
      <c r="H36" s="35" t="str">
        <f>IF(OR(camasi!O44=0,camasi!O44=""),"",camasi!O44)</f>
        <v/>
      </c>
      <c r="I36" s="35" t="str">
        <f>IF(OR(camasi!P44=0,camasi!P44=""),"",camasi!P44)</f>
        <v/>
      </c>
      <c r="J36" s="35" t="str">
        <f>IF(OR(camasi!Q44=0,camasi!Q44=""),"",camasi!Q44)</f>
        <v/>
      </c>
      <c r="K36" s="35" t="str">
        <f>IF(OR(camasi!R44=0,camasi!R44=""),"",camasi!R44)</f>
        <v/>
      </c>
      <c r="L36" s="35" t="str">
        <f>IF(OR(camasi!V44=0,camasi!V44=""),"",camasi!V44)</f>
        <v/>
      </c>
      <c r="M36" s="35" t="str">
        <f>IF(OR(camasi!W44=0,camasi!W44=""),"",camasi!W44)</f>
        <v/>
      </c>
      <c r="N36" s="49"/>
    </row>
    <row r="37" spans="1:14" ht="20.25" thickBot="1" x14ac:dyDescent="0.5">
      <c r="A37" s="51"/>
      <c r="B37" s="18" t="str">
        <f>IF(OR(camasi!B45=0,camasi!B45=""),"",camasi!B45)</f>
        <v/>
      </c>
      <c r="C37" s="19" t="str">
        <f>IF(OR(camasi!C45=0,camasi!C45=""),"",camasi!C45)</f>
        <v/>
      </c>
      <c r="D37" s="19" t="str">
        <f>IF(OR(camasi!D45=0,camasi!D45=""),"",camasi!D45)</f>
        <v/>
      </c>
      <c r="E37" s="35" t="str">
        <f>IF(OR(camasi!L45=0,camasi!L45=""),"",camasi!L45)</f>
        <v/>
      </c>
      <c r="F37" s="35" t="str">
        <f>IF(OR(camasi!M45=0,camasi!M45=""),"",camasi!M45)</f>
        <v/>
      </c>
      <c r="G37" s="35" t="str">
        <f>IF(OR(camasi!N45=0,camasi!N45=""),"",camasi!N45)</f>
        <v/>
      </c>
      <c r="H37" s="35" t="str">
        <f>IF(OR(camasi!O45=0,camasi!O45=""),"",camasi!O45)</f>
        <v/>
      </c>
      <c r="I37" s="35" t="str">
        <f>IF(OR(camasi!P45=0,camasi!P45=""),"",camasi!P45)</f>
        <v/>
      </c>
      <c r="J37" s="35" t="str">
        <f>IF(OR(camasi!Q45=0,camasi!Q45=""),"",camasi!Q45)</f>
        <v/>
      </c>
      <c r="K37" s="35" t="str">
        <f>IF(OR(camasi!R45=0,camasi!R45=""),"",camasi!R45)</f>
        <v/>
      </c>
      <c r="L37" s="35" t="str">
        <f>IF(OR(camasi!V45=0,camasi!V45=""),"",camasi!V45)</f>
        <v/>
      </c>
      <c r="M37" s="35" t="str">
        <f>IF(OR(camasi!W45=0,camasi!W45=""),"",camasi!W45)</f>
        <v/>
      </c>
      <c r="N37" s="49"/>
    </row>
    <row r="38" spans="1:14" x14ac:dyDescent="0.45">
      <c r="A38" s="51"/>
      <c r="B38" s="213" t="str">
        <f>IF(OR(camasi!B46=0,camasi!B46=""),"",camasi!B46)</f>
        <v>Tolerancia Mínima NTC</v>
      </c>
      <c r="C38" s="214" t="str">
        <f>IF(OR(camasi!C46=0,camasi!C46=""),"",camasi!C46)</f>
        <v/>
      </c>
      <c r="D38" s="214" t="str">
        <f>IF(OR(camasi!D46=0,camasi!D46=""),"",camasi!D46)</f>
        <v/>
      </c>
      <c r="E38" s="22" t="str">
        <f>IF(OR(camasi!L46=0,camasi!L46=""),"",camasi!L46)</f>
        <v/>
      </c>
      <c r="F38" s="22">
        <f>IF(OR(camasi!M46=0,camasi!M46=""),"",camasi!M46)</f>
        <v>0.17499999999999999</v>
      </c>
      <c r="G38" s="22">
        <f>IF(OR(camasi!N46=0,camasi!N46=""),"",camasi!N46)</f>
        <v>3.0437499999999999E-2</v>
      </c>
      <c r="H38" s="22">
        <f>IF(OR(camasi!O46=0,camasi!O46=""),"",camasi!O46)</f>
        <v>6.2500000000000003E-3</v>
      </c>
      <c r="I38" s="22" t="str">
        <f>IF(OR(camasi!P46=0,camasi!P46=""),"",camasi!P46)</f>
        <v/>
      </c>
      <c r="J38" s="21" t="str">
        <f>IF(OR(camasi!Q46=0,camasi!Q46=""),"",camasi!Q46)</f>
        <v/>
      </c>
      <c r="K38" s="21" t="str">
        <f>IF(OR(camasi!R46=0,camasi!R46=""),"",camasi!R46)</f>
        <v/>
      </c>
      <c r="L38" s="21" t="str">
        <f>IF(OR(camasi!V46=0,camasi!V46=""),"",camasi!V46)</f>
        <v/>
      </c>
      <c r="M38" s="36" t="str">
        <f>IF(OR(camasi!W46=0,camasi!W46=""),"",camasi!W46)</f>
        <v/>
      </c>
      <c r="N38" s="49"/>
    </row>
    <row r="39" spans="1:14" x14ac:dyDescent="0.45">
      <c r="A39" s="51"/>
      <c r="B39" s="231" t="str">
        <f>IF(OR(camasi!B47=0,camasi!B47=""),"",camasi!B47)</f>
        <v>SOLICITUD DE REGISTRO ICA: MATERIA PRIMA</v>
      </c>
      <c r="C39" s="232" t="str">
        <f>IF(OR(camasi!C47=0,camasi!C47=""),"",camasi!C47)</f>
        <v/>
      </c>
      <c r="D39" s="232" t="str">
        <f>IF(OR(camasi!D47=0,camasi!D47=""),"",camasi!D47)</f>
        <v/>
      </c>
      <c r="E39" s="20" t="str">
        <f>IF(OR(camasi!L47=0,camasi!L47=""),"",camasi!L47)</f>
        <v/>
      </c>
      <c r="F39" s="20">
        <f>IF(OR(camasi!M47=0,camasi!M47=""),"",camasi!M47)</f>
        <v>0.19</v>
      </c>
      <c r="G39" s="20">
        <f>IF(OR(camasi!N47=0,camasi!N47=""),"",camasi!N47)</f>
        <v>0.04</v>
      </c>
      <c r="H39" s="20">
        <f>IF(OR(camasi!O47=0,camasi!O47=""),"",camasi!O47)</f>
        <v>0.01</v>
      </c>
      <c r="I39" s="20" t="str">
        <f>IF(OR(camasi!P47=0,camasi!P47=""),"",camasi!P47)</f>
        <v/>
      </c>
      <c r="J39" s="23" t="str">
        <f>IF(OR(camasi!Q47=0,camasi!Q47=""),"",camasi!Q47)</f>
        <v/>
      </c>
      <c r="K39" s="23" t="str">
        <f>IF(OR(camasi!R47=0,camasi!R47=""),"",camasi!R47)</f>
        <v/>
      </c>
      <c r="L39" s="23">
        <f>IF(OR(camasi!V47=0,camasi!V47=""),"",camasi!V47)</f>
        <v>0.34</v>
      </c>
      <c r="M39" s="37" t="str">
        <f>IF(OR(camasi!W47=0,camasi!W47=""),"",camasi!W47)</f>
        <v/>
      </c>
      <c r="N39" s="49"/>
    </row>
    <row r="40" spans="1:14" ht="20.25" thickBot="1" x14ac:dyDescent="0.5">
      <c r="A40" s="51"/>
      <c r="B40" s="233" t="str">
        <f>IF(OR(camasi!B48=0,camasi!B48=""),"",camasi!B48)</f>
        <v>Tolerancia Máxima NTC</v>
      </c>
      <c r="C40" s="234" t="str">
        <f>IF(OR(camasi!C48=0,camasi!C48=""),"",camasi!C48)</f>
        <v/>
      </c>
      <c r="D40" s="234" t="str">
        <f>IF(OR(camasi!D48=0,camasi!D48=""),"",camasi!D48)</f>
        <v/>
      </c>
      <c r="E40" s="25" t="str">
        <f>IF(OR(camasi!L48=0,camasi!L48=""),"",camasi!L48)</f>
        <v/>
      </c>
      <c r="F40" s="25">
        <f>IF(OR(camasi!M48=0,camasi!M48=""),"",camasi!M48)</f>
        <v>0.20500000000000002</v>
      </c>
      <c r="G40" s="25">
        <f>IF(OR(camasi!N48=0,camasi!N48=""),"",camasi!N48)</f>
        <v>4.9562500000000002E-2</v>
      </c>
      <c r="H40" s="25">
        <f>IF(OR(camasi!O48=0,camasi!O48=""),"",camasi!O48)</f>
        <v>1.375E-2</v>
      </c>
      <c r="I40" s="25" t="str">
        <f>IF(OR(camasi!P48=0,camasi!P48=""),"",camasi!P48)</f>
        <v/>
      </c>
      <c r="J40" s="24" t="str">
        <f>IF(OR(camasi!Q48=0,camasi!Q48=""),"",camasi!Q48)</f>
        <v/>
      </c>
      <c r="K40" s="24" t="str">
        <f>IF(OR(camasi!R48=0,camasi!R48=""),"",camasi!R48)</f>
        <v/>
      </c>
      <c r="L40" s="24" t="str">
        <f>IF(OR(camasi!V48=0,camasi!V48=""),"",camasi!V48)</f>
        <v/>
      </c>
      <c r="M40" s="39" t="str">
        <f>IF(OR(camasi!W48=0,camasi!W48=""),"",camasi!W48)</f>
        <v/>
      </c>
      <c r="N40" s="49"/>
    </row>
    <row r="41" spans="1:14" s="18" customFormat="1" x14ac:dyDescent="0.45">
      <c r="A41" s="51"/>
      <c r="B41" s="18" t="str">
        <f>IF(OR(camasi!B49=0,camasi!B49=""),"",camasi!B49)</f>
        <v/>
      </c>
      <c r="C41" s="19" t="str">
        <f>IF(OR(camasi!C49=0,camasi!C49=""),"",camasi!C49)</f>
        <v/>
      </c>
      <c r="D41" s="19" t="str">
        <f>IF(OR(camasi!D49=0,camasi!D49=""),"",camasi!D49)</f>
        <v/>
      </c>
      <c r="E41" s="19" t="str">
        <f>IF(OR(camasi!L49=0,camasi!L49=""),"",camasi!L49)</f>
        <v/>
      </c>
      <c r="F41" s="19" t="str">
        <f>IF(OR(camasi!M49=0,camasi!M49=""),"",camasi!M49)</f>
        <v/>
      </c>
      <c r="G41" s="19" t="str">
        <f>IF(OR(camasi!N49=0,camasi!N49=""),"",camasi!N49)</f>
        <v/>
      </c>
      <c r="H41" s="19" t="str">
        <f>IF(OR(camasi!O49=0,camasi!O49=""),"",camasi!O49)</f>
        <v/>
      </c>
      <c r="I41" s="19" t="str">
        <f>IF(OR(camasi!P49=0,camasi!P49=""),"",camasi!P49)</f>
        <v/>
      </c>
      <c r="J41" s="19" t="str">
        <f>IF(OR(camasi!Q49=0,camasi!Q49=""),"",camasi!Q49)</f>
        <v/>
      </c>
      <c r="K41" s="19" t="str">
        <f>IF(OR(camasi!R49=0,camasi!R49=""),"",camasi!R49)</f>
        <v/>
      </c>
      <c r="L41" s="19" t="str">
        <f>IF(OR(camasi!V49=0,camasi!V49=""),"",camasi!V49)</f>
        <v/>
      </c>
      <c r="M41" s="19" t="str">
        <f>IF(OR(camasi!W49=0,camasi!W49=""),"",camasi!W49)</f>
        <v/>
      </c>
      <c r="N41" s="49"/>
    </row>
    <row r="42" spans="1:14" s="18" customFormat="1" x14ac:dyDescent="0.45">
      <c r="A42" s="51"/>
      <c r="B42" s="18" t="str">
        <f>IF(OR(camasi!B52=0,camasi!B52=""),"",camasi!B52)</f>
        <v/>
      </c>
      <c r="C42" s="19" t="str">
        <f>IF(OR(camasi!C52=0,camasi!C52=""),"",camasi!C52)</f>
        <v/>
      </c>
      <c r="D42" s="19" t="str">
        <f>IF(OR(camasi!D52=0,camasi!D52=""),"",camasi!D52)</f>
        <v/>
      </c>
      <c r="E42" s="19" t="str">
        <f>IF(OR(camasi!L52=0,camasi!L52=""),"",camasi!L52)</f>
        <v/>
      </c>
      <c r="F42" s="19" t="str">
        <f>IF(OR(camasi!M52=0,camasi!M52=""),"",camasi!M52)</f>
        <v/>
      </c>
      <c r="G42" s="19" t="str">
        <f>IF(OR(camasi!N52=0,camasi!N52=""),"",camasi!N52)</f>
        <v/>
      </c>
      <c r="H42" s="19" t="str">
        <f>IF(OR(camasi!O52=0,camasi!O52=""),"",camasi!O52)</f>
        <v/>
      </c>
      <c r="I42" s="19" t="str">
        <f>IF(OR(camasi!P52=0,camasi!P52=""),"",camasi!P52)</f>
        <v/>
      </c>
      <c r="J42" s="19" t="str">
        <f>IF(OR(camasi!Q52=0,camasi!Q52=""),"",camasi!Q52)</f>
        <v/>
      </c>
      <c r="K42" s="19" t="str">
        <f>IF(OR(camasi!R52=0,camasi!R52=""),"",camasi!R52)</f>
        <v/>
      </c>
      <c r="L42" s="19" t="str">
        <f>IF(OR(camasi!V52=0,camasi!V52=""),"",camasi!V52)</f>
        <v/>
      </c>
      <c r="M42" s="19" t="str">
        <f>IF(OR(camasi!W52=0,camasi!W52=""),"",camasi!W52)</f>
        <v/>
      </c>
      <c r="N42" s="49"/>
    </row>
    <row r="43" spans="1:14" s="18" customFormat="1" x14ac:dyDescent="0.45">
      <c r="A43" s="51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49"/>
    </row>
    <row r="44" spans="1:14" s="18" customFormat="1" x14ac:dyDescent="0.45">
      <c r="A44" s="54"/>
      <c r="B44" s="55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7"/>
    </row>
    <row r="45" spans="1:14" s="18" customFormat="1" x14ac:dyDescent="0.45"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4" s="18" customFormat="1" x14ac:dyDescent="0.45"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4" s="18" customFormat="1" x14ac:dyDescent="0.45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4" s="18" customFormat="1" x14ac:dyDescent="0.45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3:13" s="18" customFormat="1" x14ac:dyDescent="0.45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3:13" s="18" customFormat="1" x14ac:dyDescent="0.45"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3:13" s="18" customFormat="1" x14ac:dyDescent="0.45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3:13" s="18" customFormat="1" x14ac:dyDescent="0.45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3:13" s="18" customFormat="1" x14ac:dyDescent="0.45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3:13" s="18" customFormat="1" x14ac:dyDescent="0.45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3:13" s="18" customFormat="1" x14ac:dyDescent="0.45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3:13" s="18" customFormat="1" x14ac:dyDescent="0.45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3:13" s="18" customFormat="1" x14ac:dyDescent="0.45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3:13" s="18" customFormat="1" x14ac:dyDescent="0.45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3:13" s="18" customFormat="1" x14ac:dyDescent="0.45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3:13" s="18" customFormat="1" x14ac:dyDescent="0.45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3:13" s="18" customFormat="1" x14ac:dyDescent="0.45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3:13" s="18" customFormat="1" x14ac:dyDescent="0.45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3:13" s="18" customFormat="1" x14ac:dyDescent="0.45"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3:13" s="18" customFormat="1" x14ac:dyDescent="0.45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3:13" s="18" customFormat="1" x14ac:dyDescent="0.45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3:13" s="18" customFormat="1" x14ac:dyDescent="0.45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3:13" s="18" customFormat="1" x14ac:dyDescent="0.45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3:13" s="18" customFormat="1" x14ac:dyDescent="0.45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3:13" s="18" customFormat="1" x14ac:dyDescent="0.45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3:13" s="18" customFormat="1" x14ac:dyDescent="0.45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3:13" s="18" customFormat="1" x14ac:dyDescent="0.45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3:13" s="18" customFormat="1" x14ac:dyDescent="0.45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3:13" s="18" customFormat="1" x14ac:dyDescent="0.45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3:13" s="18" customFormat="1" x14ac:dyDescent="0.45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3:13" s="18" customFormat="1" x14ac:dyDescent="0.45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3:13" s="18" customFormat="1" x14ac:dyDescent="0.45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3:13" s="18" customFormat="1" x14ac:dyDescent="0.45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3:13" s="18" customFormat="1" x14ac:dyDescent="0.45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3:13" s="18" customFormat="1" x14ac:dyDescent="0.45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3:13" s="18" customFormat="1" x14ac:dyDescent="0.45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3:13" s="18" customFormat="1" x14ac:dyDescent="0.45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3:13" s="18" customFormat="1" x14ac:dyDescent="0.45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3:13" s="18" customFormat="1" x14ac:dyDescent="0.45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3:13" s="18" customFormat="1" x14ac:dyDescent="0.45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3:13" s="18" customFormat="1" x14ac:dyDescent="0.45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3:13" s="18" customFormat="1" x14ac:dyDescent="0.45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3:13" s="18" customFormat="1" x14ac:dyDescent="0.45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3:13" s="18" customFormat="1" x14ac:dyDescent="0.45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3:13" s="18" customFormat="1" x14ac:dyDescent="0.45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spans="3:13" s="18" customFormat="1" x14ac:dyDescent="0.45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3:13" s="18" customFormat="1" x14ac:dyDescent="0.45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spans="3:13" s="18" customFormat="1" x14ac:dyDescent="0.45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3:13" s="18" customFormat="1" x14ac:dyDescent="0.45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3:13" s="18" customFormat="1" x14ac:dyDescent="0.45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3:13" s="18" customFormat="1" x14ac:dyDescent="0.45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3:13" s="18" customFormat="1" x14ac:dyDescent="0.45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3:13" s="18" customFormat="1" x14ac:dyDescent="0.45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spans="3:13" s="18" customFormat="1" x14ac:dyDescent="0.45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3:13" s="18" customFormat="1" x14ac:dyDescent="0.45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spans="3:13" s="18" customFormat="1" x14ac:dyDescent="0.45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  <row r="101" spans="3:13" s="18" customFormat="1" x14ac:dyDescent="0.45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</row>
    <row r="102" spans="3:13" s="18" customFormat="1" x14ac:dyDescent="0.45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3:13" s="18" customFormat="1" x14ac:dyDescent="0.45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</row>
    <row r="104" spans="3:13" s="18" customFormat="1" x14ac:dyDescent="0.45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</row>
    <row r="105" spans="3:13" s="18" customFormat="1" x14ac:dyDescent="0.45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</row>
    <row r="106" spans="3:13" s="18" customFormat="1" x14ac:dyDescent="0.45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</row>
    <row r="107" spans="3:13" s="18" customFormat="1" x14ac:dyDescent="0.45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</row>
    <row r="108" spans="3:13" s="18" customFormat="1" x14ac:dyDescent="0.45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3:13" s="18" customFormat="1" x14ac:dyDescent="0.45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</row>
    <row r="110" spans="3:13" s="18" customFormat="1" x14ac:dyDescent="0.45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spans="3:13" s="18" customFormat="1" x14ac:dyDescent="0.45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</row>
    <row r="112" spans="3:13" s="18" customFormat="1" x14ac:dyDescent="0.45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3:13" s="18" customFormat="1" x14ac:dyDescent="0.45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</row>
    <row r="114" spans="3:13" s="18" customFormat="1" x14ac:dyDescent="0.45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3:13" s="18" customFormat="1" x14ac:dyDescent="0.45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</row>
    <row r="116" spans="3:13" s="18" customFormat="1" x14ac:dyDescent="0.45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spans="3:13" s="18" customFormat="1" x14ac:dyDescent="0.45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3:13" s="18" customFormat="1" x14ac:dyDescent="0.45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3:13" s="18" customFormat="1" x14ac:dyDescent="0.45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</row>
    <row r="120" spans="3:13" s="18" customFormat="1" x14ac:dyDescent="0.45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</row>
    <row r="121" spans="3:13" s="18" customFormat="1" x14ac:dyDescent="0.45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3:13" s="18" customFormat="1" x14ac:dyDescent="0.45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3:13" s="18" customFormat="1" x14ac:dyDescent="0.45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</row>
    <row r="124" spans="3:13" s="18" customFormat="1" x14ac:dyDescent="0.45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3:13" s="18" customFormat="1" x14ac:dyDescent="0.45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</row>
    <row r="126" spans="3:13" s="18" customFormat="1" x14ac:dyDescent="0.45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</row>
    <row r="127" spans="3:13" s="18" customFormat="1" x14ac:dyDescent="0.45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</row>
    <row r="128" spans="3:13" s="18" customFormat="1" x14ac:dyDescent="0.45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</row>
    <row r="129" spans="3:13" s="18" customFormat="1" x14ac:dyDescent="0.45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</row>
    <row r="130" spans="3:13" s="18" customFormat="1" x14ac:dyDescent="0.45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3:13" s="18" customFormat="1" x14ac:dyDescent="0.45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</row>
    <row r="132" spans="3:13" s="18" customFormat="1" x14ac:dyDescent="0.45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spans="3:13" s="18" customFormat="1" x14ac:dyDescent="0.45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</row>
    <row r="134" spans="3:13" s="18" customFormat="1" x14ac:dyDescent="0.45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</row>
    <row r="135" spans="3:13" s="18" customFormat="1" x14ac:dyDescent="0.45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</row>
    <row r="136" spans="3:13" s="18" customFormat="1" x14ac:dyDescent="0.45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</row>
    <row r="137" spans="3:13" s="18" customFormat="1" x14ac:dyDescent="0.45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</row>
    <row r="138" spans="3:13" s="18" customFormat="1" x14ac:dyDescent="0.45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</row>
    <row r="139" spans="3:13" s="18" customFormat="1" x14ac:dyDescent="0.45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</row>
    <row r="140" spans="3:13" s="18" customFormat="1" x14ac:dyDescent="0.45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</row>
    <row r="141" spans="3:13" s="18" customFormat="1" x14ac:dyDescent="0.45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</row>
    <row r="142" spans="3:13" s="18" customFormat="1" x14ac:dyDescent="0.45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</row>
    <row r="143" spans="3:13" s="18" customFormat="1" x14ac:dyDescent="0.45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</row>
    <row r="144" spans="3:13" s="18" customFormat="1" x14ac:dyDescent="0.45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5" spans="3:13" s="18" customFormat="1" x14ac:dyDescent="0.45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</row>
    <row r="146" spans="3:13" s="18" customFormat="1" x14ac:dyDescent="0.45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13" s="18" customFormat="1" x14ac:dyDescent="0.45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spans="3:13" s="18" customFormat="1" x14ac:dyDescent="0.45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3:13" s="18" customFormat="1" x14ac:dyDescent="0.45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</row>
    <row r="150" spans="3:13" s="18" customFormat="1" x14ac:dyDescent="0.45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</row>
    <row r="151" spans="3:13" s="18" customFormat="1" x14ac:dyDescent="0.45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</row>
    <row r="152" spans="3:13" s="18" customFormat="1" x14ac:dyDescent="0.45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3:13" s="18" customFormat="1" x14ac:dyDescent="0.45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</row>
    <row r="154" spans="3:13" s="18" customFormat="1" x14ac:dyDescent="0.45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3:13" s="18" customFormat="1" x14ac:dyDescent="0.45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</row>
  </sheetData>
  <mergeCells count="22">
    <mergeCell ref="B36:D36"/>
    <mergeCell ref="B38:D38"/>
    <mergeCell ref="B39:D39"/>
    <mergeCell ref="B40:D40"/>
    <mergeCell ref="B30:D30"/>
    <mergeCell ref="B31:D31"/>
    <mergeCell ref="B32:D32"/>
    <mergeCell ref="B33:D33"/>
    <mergeCell ref="B34:D34"/>
    <mergeCell ref="B35:D35"/>
    <mergeCell ref="B29:D29"/>
    <mergeCell ref="C2:D4"/>
    <mergeCell ref="L2:M2"/>
    <mergeCell ref="L3:M3"/>
    <mergeCell ref="E4:K4"/>
    <mergeCell ref="C6:J6"/>
    <mergeCell ref="B22:D22"/>
    <mergeCell ref="B23:D23"/>
    <mergeCell ref="B24:D24"/>
    <mergeCell ref="B25:D25"/>
    <mergeCell ref="B26:D26"/>
    <mergeCell ref="B27:D27"/>
  </mergeCells>
  <conditionalFormatting sqref="B9:M15 B16:B17">
    <cfRule type="notContainsBlanks" dxfId="33" priority="34">
      <formula>LEN(TRIM(B9))&gt;0</formula>
    </cfRule>
  </conditionalFormatting>
  <conditionalFormatting sqref="B18:M18 F32:L32">
    <cfRule type="notContainsBlanks" dxfId="32" priority="35">
      <formula>LEN(TRIM(B18))&gt;0</formula>
    </cfRule>
  </conditionalFormatting>
  <conditionalFormatting sqref="C17:D17">
    <cfRule type="notContainsBlanks" dxfId="31" priority="2">
      <formula>LEN(TRIM(C17))&gt;0</formula>
    </cfRule>
  </conditionalFormatting>
  <conditionalFormatting sqref="E15">
    <cfRule type="notContainsBlanks" dxfId="30" priority="26">
      <formula>LEN(TRIM(E15))&gt;0</formula>
    </cfRule>
  </conditionalFormatting>
  <conditionalFormatting sqref="E23">
    <cfRule type="notContainsBlanks" dxfId="29" priority="31">
      <formula>LEN(TRIM(E23))&gt;0</formula>
    </cfRule>
  </conditionalFormatting>
  <conditionalFormatting sqref="E23:E24">
    <cfRule type="cellIs" dxfId="28" priority="32" operator="equal">
      <formula>0</formula>
    </cfRule>
    <cfRule type="containsBlanks" dxfId="27" priority="33">
      <formula>LEN(TRIM(E23))=0</formula>
    </cfRule>
  </conditionalFormatting>
  <conditionalFormatting sqref="E30:E31">
    <cfRule type="notContainsBlanks" dxfId="26" priority="23">
      <formula>LEN(TRIM(E30))&gt;0</formula>
    </cfRule>
    <cfRule type="cellIs" dxfId="25" priority="24" operator="equal">
      <formula>0</formula>
    </cfRule>
    <cfRule type="containsBlanks" dxfId="24" priority="25">
      <formula>LEN(TRIM(E30))=0</formula>
    </cfRule>
  </conditionalFormatting>
  <conditionalFormatting sqref="E33:I33">
    <cfRule type="notContainsBlanks" dxfId="23" priority="17">
      <formula>LEN(TRIM(E33))&gt;0</formula>
    </cfRule>
    <cfRule type="cellIs" dxfId="22" priority="18" operator="equal">
      <formula>0</formula>
    </cfRule>
    <cfRule type="containsBlanks" dxfId="21" priority="19">
      <formula>LEN(TRIM(E33))=0</formula>
    </cfRule>
  </conditionalFormatting>
  <conditionalFormatting sqref="E38:I40">
    <cfRule type="notContainsBlanks" dxfId="20" priority="8">
      <formula>LEN(TRIM(E38))&gt;0</formula>
    </cfRule>
    <cfRule type="cellIs" dxfId="19" priority="9" operator="equal">
      <formula>0</formula>
    </cfRule>
    <cfRule type="containsBlanks" dxfId="18" priority="10">
      <formula>LEN(TRIM(E38))=0</formula>
    </cfRule>
  </conditionalFormatting>
  <conditionalFormatting sqref="E18:M18 E32:L32 E9:M15 F23:M23 I24:M25 E25:H26 F30:M30">
    <cfRule type="cellIs" dxfId="17" priority="68" operator="equal">
      <formula>0</formula>
    </cfRule>
    <cfRule type="containsBlanks" dxfId="16" priority="69">
      <formula>LEN(TRIM(E9))=0</formula>
    </cfRule>
  </conditionalFormatting>
  <conditionalFormatting sqref="F24:H24">
    <cfRule type="notContainsBlanks" dxfId="15" priority="28">
      <formula>LEN(TRIM(F24))&gt;0</formula>
    </cfRule>
    <cfRule type="cellIs" dxfId="14" priority="29" operator="equal">
      <formula>0</formula>
    </cfRule>
    <cfRule type="containsBlanks" dxfId="13" priority="30">
      <formula>LEN(TRIM(F24))=0</formula>
    </cfRule>
  </conditionalFormatting>
  <conditionalFormatting sqref="F31:I31">
    <cfRule type="notContainsBlanks" dxfId="12" priority="20">
      <formula>LEN(TRIM(F31))&gt;0</formula>
    </cfRule>
    <cfRule type="cellIs" dxfId="11" priority="21" operator="equal">
      <formula>0</formula>
    </cfRule>
    <cfRule type="containsBlanks" dxfId="10" priority="22">
      <formula>LEN(TRIM(F31))=0</formula>
    </cfRule>
  </conditionalFormatting>
  <conditionalFormatting sqref="I26:M26 J31:L31 J33:L33">
    <cfRule type="cellIs" dxfId="9" priority="46" operator="equal">
      <formula>0</formula>
    </cfRule>
    <cfRule type="containsBlanks" dxfId="8" priority="47">
      <formula>LEN(TRIM(I26))=0</formula>
    </cfRule>
  </conditionalFormatting>
  <conditionalFormatting sqref="J38:L40">
    <cfRule type="cellIs" dxfId="7" priority="3" operator="equal">
      <formula>0</formula>
    </cfRule>
    <cfRule type="containsBlanks" dxfId="6" priority="4">
      <formula>LEN(TRIM(J38))=0</formula>
    </cfRule>
  </conditionalFormatting>
  <conditionalFormatting sqref="M31:M33">
    <cfRule type="notContainsBlanks" dxfId="5" priority="11">
      <formula>LEN(TRIM(M31))&gt;0</formula>
    </cfRule>
    <cfRule type="cellIs" dxfId="4" priority="12" operator="equal">
      <formula>0</formula>
    </cfRule>
    <cfRule type="containsBlanks" dxfId="3" priority="13">
      <formula>LEN(TRIM(M31))=0</formula>
    </cfRule>
  </conditionalFormatting>
  <conditionalFormatting sqref="M38:M40">
    <cfRule type="notContainsBlanks" dxfId="2" priority="5">
      <formula>LEN(TRIM(M38))&gt;0</formula>
    </cfRule>
    <cfRule type="cellIs" dxfId="1" priority="6" operator="equal">
      <formula>0</formula>
    </cfRule>
    <cfRule type="containsBlanks" dxfId="0" priority="7">
      <formula>LEN(TRIM(M38))=0</formula>
    </cfRule>
  </conditionalFormatting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tolerancias</vt:lpstr>
      <vt:lpstr>sulafto_calcioP</vt:lpstr>
      <vt:lpstr>camasi</vt:lpstr>
      <vt:lpstr>nucleo_mg</vt:lpstr>
      <vt:lpstr>calferzinc-p</vt:lpstr>
      <vt:lpstr>Hoja3 (2)</vt:lpstr>
      <vt:lpstr>Hoja3</vt:lpstr>
      <vt:lpstr>balance materias primas</vt:lpstr>
      <vt:lpstr>Hoja1</vt:lpstr>
      <vt:lpstr>Hoja2</vt:lpstr>
      <vt:lpstr>Hoja4</vt:lpstr>
      <vt:lpstr>salida</vt:lpstr>
      <vt:lpstr>'balance materias primas'!Área_de_impresión</vt:lpstr>
      <vt:lpstr>Hoja2!Área_de_impresión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DIRECCION TECNICA</cp:lastModifiedBy>
  <cp:lastPrinted>2024-10-30T19:12:45Z</cp:lastPrinted>
  <dcterms:created xsi:type="dcterms:W3CDTF">2024-07-19T14:39:17Z</dcterms:created>
  <dcterms:modified xsi:type="dcterms:W3CDTF">2025-04-15T23:37:56Z</dcterms:modified>
</cp:coreProperties>
</file>