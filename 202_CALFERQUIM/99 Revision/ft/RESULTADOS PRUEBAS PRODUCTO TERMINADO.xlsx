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Escritorio\"/>
    </mc:Choice>
  </mc:AlternateContent>
  <xr:revisionPtr revIDLastSave="0" documentId="13_ncr:1_{B616629A-29C4-44DD-964D-E94B976A0609}" xr6:coauthVersionLast="47" xr6:coauthVersionMax="47" xr10:uidLastSave="{00000000-0000-0000-0000-000000000000}"/>
  <bookViews>
    <workbookView xWindow="-120" yWindow="-120" windowWidth="29040" windowHeight="15720" xr2:uid="{9554B439-30CD-4D93-B9D4-9F7CA76D51B7}"/>
    <workbookView xWindow="-120" yWindow="-120" windowWidth="29040" windowHeight="15720" firstSheet="1" activeTab="7" xr2:uid="{0A7E56F2-9B47-4AE6-8095-4AE15D1EE405}"/>
  </bookViews>
  <sheets>
    <sheet name="4 FEBRERO 2025" sheetId="3" r:id="rId1"/>
    <sheet name="5 FEBRERO 2025" sheetId="9" r:id="rId2"/>
    <sheet name="6 FEBRERO 2025" sheetId="1" r:id="rId3"/>
    <sheet name="7 FEBRERO 2025" sheetId="2" r:id="rId4"/>
    <sheet name="8 FEBRERO 2025" sheetId="4" r:id="rId5"/>
    <sheet name="10 FEBRERO 2025" sheetId="7" r:id="rId6"/>
    <sheet name="11 FEBRERO 2025" sheetId="8" r:id="rId7"/>
    <sheet name="12 FEBRERO 2025" sheetId="10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8" i="10" l="1"/>
  <c r="J10" i="10"/>
  <c r="J11" i="10" s="1"/>
  <c r="I10" i="10"/>
  <c r="I11" i="10" s="1"/>
  <c r="H10" i="10"/>
  <c r="H11" i="10" s="1"/>
  <c r="G10" i="10"/>
  <c r="G11" i="10" s="1"/>
  <c r="F10" i="10"/>
  <c r="F11" i="10" s="1"/>
  <c r="H5" i="10"/>
  <c r="F5" i="10"/>
  <c r="J4" i="10"/>
  <c r="J5" i="10" s="1"/>
  <c r="I4" i="10"/>
  <c r="I5" i="10" s="1"/>
  <c r="H4" i="10"/>
  <c r="G4" i="10"/>
  <c r="G5" i="10" s="1"/>
  <c r="F4" i="10"/>
  <c r="AB14" i="7"/>
  <c r="AA14" i="7"/>
  <c r="AA22" i="7"/>
  <c r="AB22" i="7" s="1"/>
  <c r="H17" i="7"/>
  <c r="H23" i="7"/>
  <c r="AB20" i="9"/>
  <c r="AA20" i="9"/>
  <c r="H23" i="9"/>
  <c r="J22" i="9"/>
  <c r="J23" i="9" s="1"/>
  <c r="I22" i="9"/>
  <c r="I23" i="9" s="1"/>
  <c r="H22" i="9"/>
  <c r="G22" i="9"/>
  <c r="G23" i="9" s="1"/>
  <c r="F22" i="9"/>
  <c r="F23" i="9" s="1"/>
  <c r="AB14" i="9"/>
  <c r="AA14" i="9"/>
  <c r="H17" i="9"/>
  <c r="J16" i="9"/>
  <c r="J17" i="9" s="1"/>
  <c r="I16" i="9"/>
  <c r="I17" i="9" s="1"/>
  <c r="H16" i="9"/>
  <c r="G16" i="9"/>
  <c r="G17" i="9" s="1"/>
  <c r="F16" i="9"/>
  <c r="F17" i="9" s="1"/>
  <c r="AB8" i="9"/>
  <c r="AA8" i="9"/>
  <c r="H11" i="9"/>
  <c r="J10" i="9"/>
  <c r="J11" i="9" s="1"/>
  <c r="I10" i="9"/>
  <c r="I11" i="9" s="1"/>
  <c r="H10" i="9"/>
  <c r="G10" i="9"/>
  <c r="G11" i="9" s="1"/>
  <c r="F10" i="9"/>
  <c r="F11" i="9" s="1"/>
  <c r="AB2" i="9"/>
  <c r="AA2" i="9"/>
  <c r="H5" i="9"/>
  <c r="F5" i="9"/>
  <c r="J4" i="9"/>
  <c r="J5" i="9" s="1"/>
  <c r="I4" i="9"/>
  <c r="I5" i="9" s="1"/>
  <c r="H4" i="9"/>
  <c r="G4" i="9"/>
  <c r="G5" i="9" s="1"/>
  <c r="F4" i="9"/>
  <c r="AA8" i="7"/>
  <c r="AB12" i="8"/>
  <c r="AA12" i="8"/>
  <c r="H15" i="8"/>
  <c r="J14" i="8"/>
  <c r="J15" i="8" s="1"/>
  <c r="I14" i="8"/>
  <c r="I15" i="8" s="1"/>
  <c r="H14" i="8"/>
  <c r="G14" i="8"/>
  <c r="G15" i="8" s="1"/>
  <c r="F14" i="8"/>
  <c r="F15" i="8" s="1"/>
  <c r="AA7" i="8"/>
  <c r="AB7" i="8" s="1"/>
  <c r="J9" i="8"/>
  <c r="J10" i="8" s="1"/>
  <c r="I9" i="8"/>
  <c r="I10" i="8" s="1"/>
  <c r="H9" i="8"/>
  <c r="H10" i="8" s="1"/>
  <c r="G9" i="8"/>
  <c r="G10" i="8" s="1"/>
  <c r="F9" i="8"/>
  <c r="F10" i="8" s="1"/>
  <c r="AA2" i="8"/>
  <c r="AB2" i="8" s="1"/>
  <c r="F10" i="7"/>
  <c r="F11" i="7" s="1"/>
  <c r="H5" i="8"/>
  <c r="J4" i="8"/>
  <c r="J5" i="8" s="1"/>
  <c r="I4" i="8"/>
  <c r="I5" i="8" s="1"/>
  <c r="H4" i="8"/>
  <c r="G4" i="8"/>
  <c r="G5" i="8" s="1"/>
  <c r="F4" i="8"/>
  <c r="F5" i="8" s="1"/>
  <c r="J22" i="7"/>
  <c r="J23" i="7" s="1"/>
  <c r="I22" i="7"/>
  <c r="I23" i="7" s="1"/>
  <c r="H22" i="7"/>
  <c r="G22" i="7"/>
  <c r="G23" i="7" s="1"/>
  <c r="F22" i="7"/>
  <c r="F23" i="7" s="1"/>
  <c r="J16" i="7"/>
  <c r="J17" i="7" s="1"/>
  <c r="I16" i="7"/>
  <c r="I17" i="7" s="1"/>
  <c r="H16" i="7"/>
  <c r="G16" i="7"/>
  <c r="G17" i="7" s="1"/>
  <c r="F16" i="7"/>
  <c r="F17" i="7" s="1"/>
  <c r="H44" i="4"/>
  <c r="G44" i="4"/>
  <c r="F44" i="4"/>
  <c r="J43" i="4"/>
  <c r="J44" i="4" s="1"/>
  <c r="I43" i="4"/>
  <c r="I44" i="4" s="1"/>
  <c r="H43" i="4"/>
  <c r="G43" i="4"/>
  <c r="F43" i="4"/>
  <c r="J37" i="4"/>
  <c r="J38" i="4" s="1"/>
  <c r="I37" i="4"/>
  <c r="I38" i="4" s="1"/>
  <c r="H37" i="4"/>
  <c r="H38" i="4" s="1"/>
  <c r="G37" i="4"/>
  <c r="G38" i="4" s="1"/>
  <c r="F37" i="4"/>
  <c r="F38" i="4" s="1"/>
  <c r="J10" i="7"/>
  <c r="J11" i="7" s="1"/>
  <c r="I10" i="7"/>
  <c r="I11" i="7" s="1"/>
  <c r="H10" i="7"/>
  <c r="H11" i="7" s="1"/>
  <c r="G10" i="7"/>
  <c r="G11" i="7" s="1"/>
  <c r="AB16" i="4"/>
  <c r="AA16" i="4"/>
  <c r="AB29" i="4"/>
  <c r="AA29" i="4"/>
  <c r="H32" i="4"/>
  <c r="J31" i="4"/>
  <c r="J32" i="4" s="1"/>
  <c r="I31" i="4"/>
  <c r="I32" i="4" s="1"/>
  <c r="H31" i="4"/>
  <c r="G31" i="4"/>
  <c r="G32" i="4" s="1"/>
  <c r="F31" i="4"/>
  <c r="F32" i="4" s="1"/>
  <c r="H19" i="4"/>
  <c r="AB23" i="4"/>
  <c r="AA23" i="4"/>
  <c r="H26" i="4"/>
  <c r="F26" i="4"/>
  <c r="J25" i="4"/>
  <c r="J26" i="4" s="1"/>
  <c r="I25" i="4"/>
  <c r="I26" i="4" s="1"/>
  <c r="H25" i="4"/>
  <c r="G25" i="4"/>
  <c r="G26" i="4" s="1"/>
  <c r="F25" i="4"/>
  <c r="J18" i="4"/>
  <c r="J19" i="4" s="1"/>
  <c r="I18" i="4"/>
  <c r="I19" i="4" s="1"/>
  <c r="H18" i="4"/>
  <c r="G18" i="4"/>
  <c r="G19" i="4" s="1"/>
  <c r="F18" i="4"/>
  <c r="F19" i="4" s="1"/>
  <c r="AB10" i="4"/>
  <c r="AA10" i="4"/>
  <c r="H13" i="4"/>
  <c r="J12" i="4"/>
  <c r="J13" i="4" s="1"/>
  <c r="I12" i="4"/>
  <c r="I13" i="4" s="1"/>
  <c r="H12" i="4"/>
  <c r="G12" i="4"/>
  <c r="G13" i="4" s="1"/>
  <c r="F12" i="4"/>
  <c r="F13" i="4" s="1"/>
  <c r="H6" i="4"/>
  <c r="J5" i="4"/>
  <c r="J6" i="4" s="1"/>
  <c r="I5" i="4"/>
  <c r="I6" i="4" s="1"/>
  <c r="H5" i="4"/>
  <c r="G5" i="4"/>
  <c r="G6" i="4" s="1"/>
  <c r="F5" i="4"/>
  <c r="F6" i="4" s="1"/>
  <c r="AB36" i="2"/>
  <c r="AA36" i="2"/>
  <c r="J38" i="2"/>
  <c r="J39" i="2" s="1"/>
  <c r="I38" i="2"/>
  <c r="I39" i="2" s="1"/>
  <c r="H38" i="2"/>
  <c r="H39" i="2" s="1"/>
  <c r="G38" i="2"/>
  <c r="G39" i="2" s="1"/>
  <c r="F38" i="2"/>
  <c r="F39" i="2" s="1"/>
  <c r="AB30" i="2"/>
  <c r="AA30" i="2"/>
  <c r="H33" i="2"/>
  <c r="J32" i="2"/>
  <c r="J33" i="2" s="1"/>
  <c r="I32" i="2"/>
  <c r="I33" i="2" s="1"/>
  <c r="H32" i="2"/>
  <c r="G32" i="2"/>
  <c r="G33" i="2" s="1"/>
  <c r="F32" i="2"/>
  <c r="F33" i="2" s="1"/>
  <c r="AA24" i="3"/>
  <c r="AB24" i="3" s="1"/>
  <c r="J25" i="3"/>
  <c r="J26" i="3" s="1"/>
  <c r="I25" i="3"/>
  <c r="I26" i="3" s="1"/>
  <c r="H25" i="3"/>
  <c r="H26" i="3" s="1"/>
  <c r="G25" i="3"/>
  <c r="G26" i="3" s="1"/>
  <c r="F25" i="3"/>
  <c r="F26" i="3" s="1"/>
  <c r="J18" i="3"/>
  <c r="J19" i="3" s="1"/>
  <c r="I18" i="3"/>
  <c r="I19" i="3" s="1"/>
  <c r="H18" i="3"/>
  <c r="H19" i="3" s="1"/>
  <c r="G18" i="3"/>
  <c r="G19" i="3" s="1"/>
  <c r="F18" i="3"/>
  <c r="F19" i="3" s="1"/>
  <c r="AA8" i="3"/>
  <c r="AB8" i="3" s="1"/>
  <c r="J12" i="3"/>
  <c r="J13" i="3" s="1"/>
  <c r="I12" i="3"/>
  <c r="I13" i="3" s="1"/>
  <c r="H12" i="3"/>
  <c r="H13" i="3" s="1"/>
  <c r="G12" i="3"/>
  <c r="G13" i="3" s="1"/>
  <c r="F12" i="3"/>
  <c r="F13" i="3" s="1"/>
  <c r="AA4" i="3"/>
  <c r="AB4" i="3" s="1"/>
  <c r="J6" i="3"/>
  <c r="J7" i="3" s="1"/>
  <c r="I6" i="3"/>
  <c r="I7" i="3" s="1"/>
  <c r="H6" i="3"/>
  <c r="H7" i="3" s="1"/>
  <c r="G6" i="3"/>
  <c r="G7" i="3" s="1"/>
  <c r="F6" i="3"/>
  <c r="F7" i="3" s="1"/>
  <c r="AB22" i="2"/>
  <c r="AA22" i="2"/>
  <c r="F25" i="2"/>
  <c r="J24" i="2"/>
  <c r="J25" i="2" s="1"/>
  <c r="I24" i="2"/>
  <c r="I25" i="2" s="1"/>
  <c r="H24" i="2"/>
  <c r="H25" i="2" s="1"/>
  <c r="G24" i="2"/>
  <c r="G25" i="2" s="1"/>
  <c r="F24" i="2"/>
  <c r="AB15" i="2"/>
  <c r="AA15" i="2"/>
  <c r="J17" i="2"/>
  <c r="J18" i="2" s="1"/>
  <c r="I17" i="2"/>
  <c r="I18" i="2" s="1"/>
  <c r="H17" i="2"/>
  <c r="H18" i="2" s="1"/>
  <c r="G17" i="2"/>
  <c r="G18" i="2" s="1"/>
  <c r="F17" i="2"/>
  <c r="F18" i="2" s="1"/>
  <c r="AB8" i="2"/>
  <c r="AA8" i="2"/>
  <c r="J10" i="2"/>
  <c r="J11" i="2" s="1"/>
  <c r="I10" i="2"/>
  <c r="I11" i="2" s="1"/>
  <c r="H10" i="2"/>
  <c r="H11" i="2" s="1"/>
  <c r="G10" i="2"/>
  <c r="G11" i="2" s="1"/>
  <c r="F10" i="2"/>
  <c r="F11" i="2" s="1"/>
  <c r="AB2" i="2"/>
  <c r="AA2" i="2"/>
  <c r="H5" i="2"/>
  <c r="J4" i="2"/>
  <c r="J5" i="2" s="1"/>
  <c r="I4" i="2"/>
  <c r="I5" i="2" s="1"/>
  <c r="H4" i="2"/>
  <c r="G4" i="2"/>
  <c r="G5" i="2" s="1"/>
  <c r="F4" i="2"/>
  <c r="F5" i="2" s="1"/>
  <c r="AB20" i="1"/>
  <c r="AA20" i="1"/>
  <c r="H23" i="1"/>
  <c r="F23" i="1"/>
  <c r="J22" i="1"/>
  <c r="J23" i="1" s="1"/>
  <c r="I22" i="1"/>
  <c r="I23" i="1" s="1"/>
  <c r="H22" i="1"/>
  <c r="G22" i="1"/>
  <c r="G23" i="1" s="1"/>
  <c r="F22" i="1"/>
  <c r="AB14" i="1"/>
  <c r="AA14" i="1"/>
  <c r="H17" i="1"/>
  <c r="J16" i="1"/>
  <c r="J17" i="1" s="1"/>
  <c r="I16" i="1"/>
  <c r="I17" i="1" s="1"/>
  <c r="H16" i="1"/>
  <c r="G16" i="1"/>
  <c r="G17" i="1" s="1"/>
  <c r="F16" i="1"/>
  <c r="F17" i="1" s="1"/>
  <c r="AB8" i="1"/>
  <c r="AA8" i="1"/>
  <c r="AB3" i="1"/>
  <c r="AA3" i="1"/>
  <c r="H11" i="1"/>
  <c r="J10" i="1"/>
  <c r="J11" i="1" s="1"/>
  <c r="I10" i="1"/>
  <c r="I11" i="1" s="1"/>
  <c r="H10" i="1"/>
  <c r="G10" i="1"/>
  <c r="G11" i="1" s="1"/>
  <c r="F10" i="1"/>
  <c r="F11" i="1" s="1"/>
  <c r="H5" i="1"/>
  <c r="K5" i="1"/>
  <c r="G5" i="1"/>
  <c r="I5" i="1"/>
  <c r="J5" i="1"/>
  <c r="F5" i="1"/>
  <c r="G4" i="1"/>
  <c r="H4" i="1"/>
  <c r="I4" i="1"/>
  <c r="J4" i="1"/>
  <c r="F4" i="1"/>
  <c r="K11" i="10" l="1"/>
  <c r="K5" i="10"/>
  <c r="K17" i="7"/>
  <c r="K23" i="7"/>
  <c r="K19" i="3"/>
  <c r="K23" i="9"/>
  <c r="K17" i="9"/>
  <c r="K11" i="9"/>
  <c r="K5" i="9"/>
  <c r="K15" i="8"/>
  <c r="K10" i="8"/>
  <c r="K5" i="8"/>
  <c r="K44" i="4"/>
  <c r="K38" i="4"/>
  <c r="K11" i="7"/>
  <c r="K32" i="4"/>
  <c r="K26" i="4"/>
  <c r="K19" i="4"/>
  <c r="K13" i="4"/>
  <c r="K6" i="4"/>
  <c r="K39" i="2"/>
  <c r="K33" i="2"/>
  <c r="K26" i="3"/>
  <c r="K13" i="3"/>
  <c r="K7" i="3"/>
  <c r="K25" i="2"/>
  <c r="K18" i="2"/>
  <c r="K11" i="2"/>
  <c r="K5" i="2"/>
  <c r="K23" i="1"/>
  <c r="K17" i="1"/>
  <c r="K11" i="1"/>
</calcChain>
</file>

<file path=xl/sharedStrings.xml><?xml version="1.0" encoding="utf-8"?>
<sst xmlns="http://schemas.openxmlformats.org/spreadsheetml/2006/main" count="554" uniqueCount="38">
  <si>
    <t>FECHA</t>
  </si>
  <si>
    <t>PRODUCTO</t>
  </si>
  <si>
    <t>T4</t>
  </si>
  <si>
    <t>T5</t>
  </si>
  <si>
    <t>T10</t>
  </si>
  <si>
    <t>T18</t>
  </si>
  <si>
    <t>B</t>
  </si>
  <si>
    <t>TAMIZ</t>
  </si>
  <si>
    <t>PESO TAMIZ</t>
  </si>
  <si>
    <t>PESO OBTENIDO</t>
  </si>
  <si>
    <t>DIFERENCIA</t>
  </si>
  <si>
    <t xml:space="preserve">BORO </t>
  </si>
  <si>
    <t>PLANTA</t>
  </si>
  <si>
    <t>TURNO</t>
  </si>
  <si>
    <t>RESULTADO</t>
  </si>
  <si>
    <t>NUCLEO 4</t>
  </si>
  <si>
    <t>DUREZA</t>
  </si>
  <si>
    <t>HUMEDAD</t>
  </si>
  <si>
    <t xml:space="preserve">HUMEDAD </t>
  </si>
  <si>
    <t xml:space="preserve">RAIFOS </t>
  </si>
  <si>
    <t>3.34</t>
  </si>
  <si>
    <t>T30</t>
  </si>
  <si>
    <t>T40</t>
  </si>
  <si>
    <t xml:space="preserve">GRANULOMETRIA POLV0S </t>
  </si>
  <si>
    <t>T20 &lt;= 10%</t>
  </si>
  <si>
    <t>T8 &lt;=5%</t>
  </si>
  <si>
    <t>T30+T40+B &gt;=85%</t>
  </si>
  <si>
    <t>SULFATO CALCIO Z</t>
  </si>
  <si>
    <t>MAGNE 3 154</t>
  </si>
  <si>
    <t xml:space="preserve">  </t>
  </si>
  <si>
    <t>558 (SILICIO)</t>
  </si>
  <si>
    <t>FERTIMENORES (161)</t>
  </si>
  <si>
    <t>MAGNE 3</t>
  </si>
  <si>
    <t>161 FERTIMENORES</t>
  </si>
  <si>
    <t>MAX 5%</t>
  </si>
  <si>
    <t>MIN 95%</t>
  </si>
  <si>
    <t>FERTIMENORES</t>
  </si>
  <si>
    <t>155 RAIFOS}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</si>
</sst>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10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5" borderId="6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0" borderId="0" xfId="0" applyFill="1"/>
    <xf numFmtId="9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0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  <color rgb="FFFFCC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80104-8A5C-4AAA-AE1C-7A4D64B7806F}">
  <dimension ref="A1:AC26"/>
  <sheetViews>
    <sheetView tabSelected="1" topLeftCell="E1" workbookViewId="0">
      <selection activeCell="G13" sqref="G13:H13"/>
    </sheetView>
    <sheetView workbookViewId="1">
      <selection activeCell="AB16" sqref="AB16"/>
    </sheetView>
  </sheetViews>
  <sheetFormatPr baseColWidth="10" defaultRowHeight="15" x14ac:dyDescent="0.25"/>
  <cols>
    <col min="5" max="5" width="30" customWidth="1"/>
    <col min="6" max="6" width="11.42578125" style="19"/>
    <col min="7" max="7" width="11.42578125" style="10"/>
    <col min="8" max="8" width="11.42578125" style="16"/>
    <col min="9" max="9" width="11.42578125" style="15"/>
    <col min="10" max="10" width="11.42578125" style="16"/>
    <col min="12" max="27" width="0" hidden="1" customWidth="1"/>
  </cols>
  <sheetData>
    <row r="1" spans="1:29" x14ac:dyDescent="0.25">
      <c r="F1" s="53" t="s">
        <v>35</v>
      </c>
      <c r="G1" s="54"/>
      <c r="H1" s="55"/>
      <c r="I1" s="56" t="s">
        <v>34</v>
      </c>
      <c r="J1" s="57"/>
    </row>
    <row r="2" spans="1:29" ht="15.75" thickBot="1" x14ac:dyDescent="0.3">
      <c r="F2" s="19" t="s">
        <v>34</v>
      </c>
      <c r="G2" s="51">
        <v>0.9</v>
      </c>
      <c r="H2" s="52"/>
      <c r="I2" s="58"/>
      <c r="J2" s="59"/>
    </row>
    <row r="3" spans="1:29" x14ac:dyDescent="0.25">
      <c r="A3" s="1" t="s">
        <v>0</v>
      </c>
      <c r="B3" s="1" t="s">
        <v>1</v>
      </c>
      <c r="C3" s="1" t="s">
        <v>13</v>
      </c>
      <c r="D3" s="1" t="s">
        <v>12</v>
      </c>
      <c r="E3" s="1" t="s">
        <v>7</v>
      </c>
      <c r="F3" s="17" t="s">
        <v>2</v>
      </c>
      <c r="G3" s="22" t="s">
        <v>3</v>
      </c>
      <c r="H3" s="12" t="s">
        <v>4</v>
      </c>
      <c r="I3" s="11" t="s">
        <v>5</v>
      </c>
      <c r="J3" s="12" t="s">
        <v>6</v>
      </c>
      <c r="K3" s="1"/>
      <c r="L3" s="1">
        <v>1</v>
      </c>
      <c r="M3" s="1">
        <v>2</v>
      </c>
      <c r="N3" s="1">
        <v>3</v>
      </c>
      <c r="O3" s="1">
        <v>4</v>
      </c>
      <c r="P3" s="1">
        <v>5</v>
      </c>
      <c r="Q3" s="1">
        <v>6</v>
      </c>
      <c r="R3" s="1">
        <v>7</v>
      </c>
      <c r="S3" s="1">
        <v>8</v>
      </c>
      <c r="T3" s="1">
        <v>9</v>
      </c>
      <c r="U3" s="1">
        <v>10</v>
      </c>
      <c r="V3" s="1">
        <v>11</v>
      </c>
      <c r="W3" s="1">
        <v>12</v>
      </c>
      <c r="X3" s="1">
        <v>13</v>
      </c>
      <c r="Y3" s="1">
        <v>14</v>
      </c>
      <c r="Z3" s="1">
        <v>15</v>
      </c>
      <c r="AB3" t="s">
        <v>16</v>
      </c>
      <c r="AC3" t="s">
        <v>17</v>
      </c>
    </row>
    <row r="4" spans="1:29" x14ac:dyDescent="0.25">
      <c r="A4" s="2">
        <v>45692</v>
      </c>
      <c r="B4" s="1" t="s">
        <v>15</v>
      </c>
      <c r="C4" s="1">
        <v>1</v>
      </c>
      <c r="D4" s="1">
        <v>1</v>
      </c>
      <c r="E4" s="1" t="s">
        <v>8</v>
      </c>
      <c r="F4" s="18">
        <v>458</v>
      </c>
      <c r="G4" s="9">
        <v>417</v>
      </c>
      <c r="H4" s="14">
        <v>421</v>
      </c>
      <c r="I4" s="13">
        <v>365</v>
      </c>
      <c r="J4" s="14">
        <v>255</v>
      </c>
      <c r="K4" s="1"/>
      <c r="L4" s="1">
        <v>2.8</v>
      </c>
      <c r="M4" s="1">
        <v>2.77</v>
      </c>
      <c r="N4" s="1">
        <v>1.93</v>
      </c>
      <c r="O4" s="1">
        <v>2.3199999999999998</v>
      </c>
      <c r="P4" s="1">
        <v>4.0999999999999996</v>
      </c>
      <c r="Q4" s="1">
        <v>1.45</v>
      </c>
      <c r="R4" s="1">
        <v>2.61</v>
      </c>
      <c r="S4" s="1">
        <v>2.5099999999999998</v>
      </c>
      <c r="T4" s="1">
        <v>1.81</v>
      </c>
      <c r="U4" s="1">
        <v>1.62</v>
      </c>
      <c r="V4" s="1">
        <v>1.68</v>
      </c>
      <c r="W4" s="1">
        <v>1.68</v>
      </c>
      <c r="X4" s="1">
        <v>0.85</v>
      </c>
      <c r="Y4" s="1">
        <v>2.52</v>
      </c>
      <c r="Z4" s="1">
        <v>1.36</v>
      </c>
      <c r="AA4">
        <f>SUM(L4:Z4)</f>
        <v>32.010000000000005</v>
      </c>
      <c r="AB4">
        <f>AA4/15</f>
        <v>2.1340000000000003</v>
      </c>
      <c r="AC4" s="1">
        <v>1.54</v>
      </c>
    </row>
    <row r="5" spans="1:29" x14ac:dyDescent="0.25">
      <c r="A5" s="1"/>
      <c r="B5" s="1"/>
      <c r="C5" s="1"/>
      <c r="D5" s="1"/>
      <c r="E5" s="1" t="s">
        <v>9</v>
      </c>
      <c r="F5" s="18">
        <v>463</v>
      </c>
      <c r="G5" s="9">
        <v>447</v>
      </c>
      <c r="H5" s="14">
        <v>579</v>
      </c>
      <c r="I5" s="13">
        <v>373</v>
      </c>
      <c r="J5" s="14">
        <v>256</v>
      </c>
      <c r="K5" s="1"/>
    </row>
    <row r="6" spans="1:29" x14ac:dyDescent="0.25">
      <c r="A6" s="1"/>
      <c r="B6" s="1"/>
      <c r="C6" s="1"/>
      <c r="D6" s="1"/>
      <c r="E6" s="1" t="s">
        <v>10</v>
      </c>
      <c r="F6" s="18">
        <f>F5-F4</f>
        <v>5</v>
      </c>
      <c r="G6" s="9">
        <f t="shared" ref="G6:J6" si="0">G5-G4</f>
        <v>30</v>
      </c>
      <c r="H6" s="14">
        <f t="shared" si="0"/>
        <v>158</v>
      </c>
      <c r="I6" s="13">
        <f t="shared" si="0"/>
        <v>8</v>
      </c>
      <c r="J6" s="14">
        <f t="shared" si="0"/>
        <v>1</v>
      </c>
      <c r="K6" s="1"/>
    </row>
    <row r="7" spans="1:29" x14ac:dyDescent="0.25">
      <c r="A7" s="1"/>
      <c r="B7" s="1"/>
      <c r="C7" s="1"/>
      <c r="D7" s="1"/>
      <c r="E7" s="1" t="s">
        <v>14</v>
      </c>
      <c r="F7" s="29">
        <f>F6/2</f>
        <v>2.5</v>
      </c>
      <c r="G7" s="30">
        <f t="shared" ref="G7:J7" si="1">G6/2</f>
        <v>15</v>
      </c>
      <c r="H7" s="31">
        <f>(H6/2)-1</f>
        <v>78</v>
      </c>
      <c r="I7" s="32">
        <f t="shared" si="1"/>
        <v>4</v>
      </c>
      <c r="J7" s="33">
        <f t="shared" si="1"/>
        <v>0.5</v>
      </c>
      <c r="K7" s="1">
        <f>SUM(F7:J7)</f>
        <v>100</v>
      </c>
      <c r="L7" s="1">
        <v>1</v>
      </c>
      <c r="M7" s="1">
        <v>2</v>
      </c>
      <c r="N7" s="1">
        <v>3</v>
      </c>
      <c r="O7" s="1">
        <v>4</v>
      </c>
      <c r="P7" s="1">
        <v>5</v>
      </c>
      <c r="Q7" s="1">
        <v>6</v>
      </c>
      <c r="R7" s="1">
        <v>7</v>
      </c>
      <c r="S7" s="1">
        <v>8</v>
      </c>
      <c r="T7" s="1">
        <v>9</v>
      </c>
      <c r="U7" s="1">
        <v>10</v>
      </c>
      <c r="V7" s="1">
        <v>11</v>
      </c>
      <c r="W7" s="1">
        <v>12</v>
      </c>
      <c r="X7" s="1">
        <v>13</v>
      </c>
      <c r="Y7" s="1">
        <v>14</v>
      </c>
      <c r="Z7" s="1">
        <v>15</v>
      </c>
      <c r="AB7" t="s">
        <v>16</v>
      </c>
      <c r="AC7" t="s">
        <v>17</v>
      </c>
    </row>
    <row r="8" spans="1:29" x14ac:dyDescent="0.25">
      <c r="L8" s="1">
        <v>2.15</v>
      </c>
      <c r="M8" s="1">
        <v>1.33</v>
      </c>
      <c r="N8" s="1">
        <v>3.76</v>
      </c>
      <c r="O8" s="1">
        <v>3.29</v>
      </c>
      <c r="P8" s="1">
        <v>1.9</v>
      </c>
      <c r="Q8" s="1">
        <v>0.98</v>
      </c>
      <c r="R8" s="1">
        <v>1.94</v>
      </c>
      <c r="S8" s="1">
        <v>3.21</v>
      </c>
      <c r="T8" s="1">
        <v>3.34</v>
      </c>
      <c r="U8" s="1">
        <v>2.75</v>
      </c>
      <c r="V8" s="1">
        <v>1.98</v>
      </c>
      <c r="W8" s="1">
        <v>2.2999999999999998</v>
      </c>
      <c r="X8" s="1">
        <v>3.16</v>
      </c>
      <c r="Y8" s="1">
        <v>2.0099999999999998</v>
      </c>
      <c r="Z8" s="1">
        <v>3.35</v>
      </c>
      <c r="AA8">
        <f>SUM(L8:Z8)</f>
        <v>37.450000000000003</v>
      </c>
      <c r="AB8">
        <f>AA8/15</f>
        <v>2.496666666666667</v>
      </c>
      <c r="AC8" s="1">
        <v>1.5</v>
      </c>
    </row>
    <row r="9" spans="1:29" x14ac:dyDescent="0.25">
      <c r="A9" s="1" t="s">
        <v>0</v>
      </c>
      <c r="B9" s="1" t="s">
        <v>1</v>
      </c>
      <c r="C9" s="1" t="s">
        <v>13</v>
      </c>
      <c r="D9" s="1" t="s">
        <v>12</v>
      </c>
      <c r="E9" s="1" t="s">
        <v>7</v>
      </c>
      <c r="F9" s="18" t="s">
        <v>2</v>
      </c>
      <c r="G9" s="9" t="s">
        <v>3</v>
      </c>
      <c r="H9" s="14" t="s">
        <v>4</v>
      </c>
      <c r="I9" s="13" t="s">
        <v>5</v>
      </c>
      <c r="J9" s="14" t="s">
        <v>6</v>
      </c>
      <c r="K9" s="1"/>
    </row>
    <row r="10" spans="1:29" x14ac:dyDescent="0.25">
      <c r="A10" s="2">
        <v>45692</v>
      </c>
      <c r="B10" s="1" t="s">
        <v>15</v>
      </c>
      <c r="C10" s="1">
        <v>2</v>
      </c>
      <c r="D10" s="1">
        <v>2</v>
      </c>
      <c r="E10" s="1" t="s">
        <v>8</v>
      </c>
      <c r="F10" s="18">
        <v>458</v>
      </c>
      <c r="G10" s="9">
        <v>417</v>
      </c>
      <c r="H10" s="14">
        <v>421</v>
      </c>
      <c r="I10" s="13">
        <v>365</v>
      </c>
      <c r="J10" s="14">
        <v>255</v>
      </c>
      <c r="K10" s="1"/>
    </row>
    <row r="11" spans="1:29" x14ac:dyDescent="0.25">
      <c r="A11" s="1"/>
      <c r="B11" s="1"/>
      <c r="C11" s="1"/>
      <c r="D11" s="1"/>
      <c r="E11" s="1" t="s">
        <v>9</v>
      </c>
      <c r="F11" s="18">
        <v>460</v>
      </c>
      <c r="G11" s="9">
        <v>440</v>
      </c>
      <c r="H11" s="14">
        <v>590</v>
      </c>
      <c r="I11" s="13">
        <v>372</v>
      </c>
      <c r="J11" s="14">
        <v>255</v>
      </c>
      <c r="K11" s="1"/>
    </row>
    <row r="12" spans="1:29" x14ac:dyDescent="0.25">
      <c r="A12" s="1"/>
      <c r="B12" s="1"/>
      <c r="C12" s="1"/>
      <c r="D12" s="1"/>
      <c r="E12" s="1" t="s">
        <v>10</v>
      </c>
      <c r="F12" s="18">
        <f>F11-F10</f>
        <v>2</v>
      </c>
      <c r="G12" s="9">
        <f t="shared" ref="G12" si="2">G11-G10</f>
        <v>23</v>
      </c>
      <c r="H12" s="14">
        <f t="shared" ref="H12" si="3">H11-H10</f>
        <v>169</v>
      </c>
      <c r="I12" s="13">
        <f t="shared" ref="I12" si="4">I11-I10</f>
        <v>7</v>
      </c>
      <c r="J12" s="14">
        <f t="shared" ref="J12" si="5">J11-J10</f>
        <v>0</v>
      </c>
      <c r="K12" s="1"/>
    </row>
    <row r="13" spans="1:29" x14ac:dyDescent="0.25">
      <c r="A13" s="1"/>
      <c r="B13" s="1"/>
      <c r="C13" s="1"/>
      <c r="D13" s="1"/>
      <c r="E13" s="1" t="s">
        <v>14</v>
      </c>
      <c r="F13" s="29">
        <f>F12/2</f>
        <v>1</v>
      </c>
      <c r="G13" s="30">
        <f t="shared" ref="G13" si="6">G12/2</f>
        <v>11.5</v>
      </c>
      <c r="H13" s="31">
        <f>(H12/2)-0.5</f>
        <v>84</v>
      </c>
      <c r="I13" s="32">
        <f t="shared" ref="I13" si="7">I12/2</f>
        <v>3.5</v>
      </c>
      <c r="J13" s="33">
        <f t="shared" ref="J13" si="8">J12/2</f>
        <v>0</v>
      </c>
      <c r="K13" s="1">
        <f>SUM(F13:J13)</f>
        <v>100</v>
      </c>
    </row>
    <row r="15" spans="1:29" x14ac:dyDescent="0.25">
      <c r="A15" s="1" t="s">
        <v>0</v>
      </c>
      <c r="B15" s="1" t="s">
        <v>1</v>
      </c>
      <c r="C15" s="1" t="s">
        <v>13</v>
      </c>
      <c r="D15" s="1" t="s">
        <v>12</v>
      </c>
      <c r="E15" s="1" t="s">
        <v>7</v>
      </c>
      <c r="F15" s="18" t="s">
        <v>2</v>
      </c>
      <c r="G15" s="9" t="s">
        <v>3</v>
      </c>
      <c r="H15" s="14" t="s">
        <v>4</v>
      </c>
      <c r="I15" s="13" t="s">
        <v>5</v>
      </c>
      <c r="J15" s="14" t="s">
        <v>6</v>
      </c>
      <c r="L15" s="1">
        <v>1</v>
      </c>
      <c r="M15" s="1">
        <v>2</v>
      </c>
      <c r="N15" s="1">
        <v>3</v>
      </c>
      <c r="O15" s="1">
        <v>4</v>
      </c>
      <c r="P15" s="1">
        <v>5</v>
      </c>
      <c r="Q15" s="1">
        <v>6</v>
      </c>
      <c r="R15" s="1">
        <v>7</v>
      </c>
      <c r="S15" s="1">
        <v>8</v>
      </c>
      <c r="T15" s="1">
        <v>9</v>
      </c>
      <c r="U15" s="1">
        <v>10</v>
      </c>
      <c r="V15" s="1">
        <v>11</v>
      </c>
      <c r="W15" s="1">
        <v>12</v>
      </c>
      <c r="X15" s="1">
        <v>13</v>
      </c>
      <c r="Y15" s="1">
        <v>14</v>
      </c>
      <c r="Z15" s="1">
        <v>15</v>
      </c>
      <c r="AB15" t="s">
        <v>16</v>
      </c>
      <c r="AC15" t="s">
        <v>17</v>
      </c>
    </row>
    <row r="16" spans="1:29" x14ac:dyDescent="0.25">
      <c r="A16" s="2">
        <v>45692</v>
      </c>
      <c r="B16" s="1" t="s">
        <v>15</v>
      </c>
      <c r="C16" s="1">
        <v>1</v>
      </c>
      <c r="D16" s="1">
        <v>2</v>
      </c>
      <c r="E16" s="1" t="s">
        <v>8</v>
      </c>
      <c r="F16" s="18">
        <v>458</v>
      </c>
      <c r="G16" s="9">
        <v>417</v>
      </c>
      <c r="H16" s="14">
        <v>421</v>
      </c>
      <c r="I16" s="13">
        <v>365</v>
      </c>
      <c r="J16" s="14">
        <v>255</v>
      </c>
      <c r="AB16" s="50">
        <v>1.77</v>
      </c>
      <c r="AC16">
        <v>2.0099999999999998</v>
      </c>
    </row>
    <row r="17" spans="1:29" x14ac:dyDescent="0.25">
      <c r="A17" s="1"/>
      <c r="B17" s="1"/>
      <c r="C17" s="1"/>
      <c r="D17" s="1"/>
      <c r="E17" s="1" t="s">
        <v>9</v>
      </c>
      <c r="F17" s="18">
        <v>458</v>
      </c>
      <c r="G17" s="9">
        <v>420</v>
      </c>
      <c r="H17" s="14">
        <v>600</v>
      </c>
      <c r="I17" s="13">
        <v>384</v>
      </c>
      <c r="J17" s="14">
        <v>256</v>
      </c>
    </row>
    <row r="18" spans="1:29" x14ac:dyDescent="0.25">
      <c r="A18" s="1"/>
      <c r="B18" s="1"/>
      <c r="C18" s="1"/>
      <c r="D18" s="1"/>
      <c r="E18" s="1" t="s">
        <v>10</v>
      </c>
      <c r="F18" s="18">
        <f>F17-F16</f>
        <v>0</v>
      </c>
      <c r="G18" s="9">
        <f t="shared" ref="G18" si="9">G17-G16</f>
        <v>3</v>
      </c>
      <c r="H18" s="14">
        <f t="shared" ref="H18" si="10">H17-H16</f>
        <v>179</v>
      </c>
      <c r="I18" s="13">
        <f t="shared" ref="I18" si="11">I17-I16</f>
        <v>19</v>
      </c>
      <c r="J18" s="14">
        <f t="shared" ref="J18" si="12">J17-J16</f>
        <v>1</v>
      </c>
    </row>
    <row r="19" spans="1:29" x14ac:dyDescent="0.25">
      <c r="A19" s="1"/>
      <c r="B19" s="1"/>
      <c r="C19" s="1"/>
      <c r="D19" s="1"/>
      <c r="E19" s="1" t="s">
        <v>14</v>
      </c>
      <c r="F19" s="29">
        <f>F18/2</f>
        <v>0</v>
      </c>
      <c r="G19" s="30">
        <f t="shared" ref="G19" si="13">G18/2</f>
        <v>1.5</v>
      </c>
      <c r="H19" s="31">
        <f>(H18/2)-1</f>
        <v>88.5</v>
      </c>
      <c r="I19" s="34">
        <f t="shared" ref="I19" si="14">I18/2</f>
        <v>9.5</v>
      </c>
      <c r="J19" s="35">
        <f t="shared" ref="J19" si="15">J18/2</f>
        <v>0.5</v>
      </c>
      <c r="K19" s="1">
        <f>SUM(F19:J19)</f>
        <v>100</v>
      </c>
    </row>
    <row r="22" spans="1:29" x14ac:dyDescent="0.25">
      <c r="A22" s="1" t="s">
        <v>0</v>
      </c>
      <c r="B22" s="1" t="s">
        <v>1</v>
      </c>
      <c r="C22" s="1" t="s">
        <v>13</v>
      </c>
      <c r="D22" s="1" t="s">
        <v>12</v>
      </c>
      <c r="E22" s="1" t="s">
        <v>7</v>
      </c>
      <c r="F22" s="18" t="s">
        <v>2</v>
      </c>
      <c r="G22" s="9" t="s">
        <v>3</v>
      </c>
      <c r="H22" s="14" t="s">
        <v>4</v>
      </c>
      <c r="I22" s="13" t="s">
        <v>5</v>
      </c>
      <c r="J22" s="14" t="s">
        <v>6</v>
      </c>
      <c r="L22" s="1">
        <v>1</v>
      </c>
      <c r="M22" s="1">
        <v>2</v>
      </c>
      <c r="N22" s="1">
        <v>3</v>
      </c>
      <c r="O22" s="1">
        <v>4</v>
      </c>
      <c r="P22" s="1">
        <v>5</v>
      </c>
      <c r="Q22" s="1">
        <v>6</v>
      </c>
      <c r="R22" s="1">
        <v>7</v>
      </c>
      <c r="S22" s="1">
        <v>8</v>
      </c>
      <c r="T22" s="1">
        <v>9</v>
      </c>
      <c r="U22" s="1">
        <v>10</v>
      </c>
      <c r="V22" s="1">
        <v>11</v>
      </c>
      <c r="W22" s="1">
        <v>12</v>
      </c>
      <c r="X22" s="1">
        <v>13</v>
      </c>
      <c r="Y22" s="1">
        <v>14</v>
      </c>
      <c r="Z22" s="1">
        <v>15</v>
      </c>
    </row>
    <row r="23" spans="1:29" x14ac:dyDescent="0.25">
      <c r="A23" s="2">
        <v>45692</v>
      </c>
      <c r="B23" s="1" t="s">
        <v>15</v>
      </c>
      <c r="C23" s="1">
        <v>2</v>
      </c>
      <c r="D23" s="1">
        <v>1</v>
      </c>
      <c r="E23" s="1" t="s">
        <v>8</v>
      </c>
      <c r="F23" s="18">
        <v>458</v>
      </c>
      <c r="G23" s="9">
        <v>417</v>
      </c>
      <c r="H23" s="14">
        <v>421</v>
      </c>
      <c r="I23" s="13">
        <v>365</v>
      </c>
      <c r="J23" s="14">
        <v>255</v>
      </c>
      <c r="AB23" t="s">
        <v>16</v>
      </c>
      <c r="AC23" t="s">
        <v>17</v>
      </c>
    </row>
    <row r="24" spans="1:29" x14ac:dyDescent="0.25">
      <c r="A24" s="1"/>
      <c r="B24" s="1"/>
      <c r="C24" s="1"/>
      <c r="D24" s="1"/>
      <c r="E24" s="1" t="s">
        <v>9</v>
      </c>
      <c r="F24" s="20">
        <v>459</v>
      </c>
      <c r="G24" s="21">
        <v>423</v>
      </c>
      <c r="H24" s="24">
        <v>586</v>
      </c>
      <c r="I24" s="23">
        <v>394</v>
      </c>
      <c r="J24" s="24">
        <v>256</v>
      </c>
      <c r="K24" s="4"/>
      <c r="L24" s="3">
        <v>0.18</v>
      </c>
      <c r="M24" s="3">
        <v>2.4300000000000002</v>
      </c>
      <c r="N24" s="3">
        <v>1.75</v>
      </c>
      <c r="O24" s="3">
        <v>1.1000000000000001</v>
      </c>
      <c r="P24" s="3">
        <v>2.94</v>
      </c>
      <c r="Q24" s="3">
        <v>0.64</v>
      </c>
      <c r="R24" s="3">
        <v>2.2599999999999998</v>
      </c>
      <c r="S24" s="3">
        <v>0.17</v>
      </c>
      <c r="T24" s="3">
        <v>2.5</v>
      </c>
      <c r="U24" s="3">
        <v>2.31</v>
      </c>
      <c r="V24" s="3">
        <v>2.33</v>
      </c>
      <c r="W24" s="3">
        <v>0.28000000000000003</v>
      </c>
      <c r="X24" s="3">
        <v>1.57</v>
      </c>
      <c r="Y24" t="s">
        <v>20</v>
      </c>
      <c r="Z24" s="3">
        <v>1.34</v>
      </c>
      <c r="AA24">
        <f>SUM(L24:Z24)</f>
        <v>21.8</v>
      </c>
      <c r="AB24" s="50">
        <f>AA24/15</f>
        <v>1.4533333333333334</v>
      </c>
      <c r="AC24">
        <v>1.38</v>
      </c>
    </row>
    <row r="25" spans="1:29" x14ac:dyDescent="0.25">
      <c r="A25" s="1"/>
      <c r="B25" s="1"/>
      <c r="C25" s="1"/>
      <c r="D25" s="1"/>
      <c r="E25" s="1" t="s">
        <v>10</v>
      </c>
      <c r="F25" s="18">
        <f>F24-F23</f>
        <v>1</v>
      </c>
      <c r="G25" s="9">
        <f t="shared" ref="G25" si="16">G24-G23</f>
        <v>6</v>
      </c>
      <c r="H25" s="14">
        <f t="shared" ref="H25" si="17">H24-H23</f>
        <v>165</v>
      </c>
      <c r="I25" s="13">
        <f t="shared" ref="I25" si="18">I24-I23</f>
        <v>29</v>
      </c>
      <c r="J25" s="14">
        <f t="shared" ref="J25" si="19">J24-J23</f>
        <v>1</v>
      </c>
    </row>
    <row r="26" spans="1:29" x14ac:dyDescent="0.25">
      <c r="A26" s="1"/>
      <c r="B26" s="1"/>
      <c r="C26" s="1"/>
      <c r="D26" s="1"/>
      <c r="E26" s="1" t="s">
        <v>14</v>
      </c>
      <c r="F26" s="29">
        <f>F25/2</f>
        <v>0.5</v>
      </c>
      <c r="G26" s="36">
        <f t="shared" ref="G26" si="20">G25/2</f>
        <v>3</v>
      </c>
      <c r="H26" s="37">
        <f>(H25/2)-1</f>
        <v>81.5</v>
      </c>
      <c r="I26" s="34">
        <f t="shared" ref="I26" si="21">I25/2</f>
        <v>14.5</v>
      </c>
      <c r="J26" s="35">
        <f t="shared" ref="J26" si="22">J25/2</f>
        <v>0.5</v>
      </c>
      <c r="K26" s="1">
        <f>SUM(F26:J26)</f>
        <v>100</v>
      </c>
    </row>
  </sheetData>
  <mergeCells count="3">
    <mergeCell ref="G2:H2"/>
    <mergeCell ref="F1:H1"/>
    <mergeCell ref="I1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D711-1A23-448E-86D9-FE7B89B9962B}">
  <dimension ref="A1:AC23"/>
  <sheetViews>
    <sheetView workbookViewId="0">
      <selection activeCell="F17" sqref="F17"/>
    </sheetView>
    <sheetView workbookViewId="1">
      <selection activeCell="AB2" sqref="AB2"/>
    </sheetView>
  </sheetViews>
  <sheetFormatPr baseColWidth="10" defaultRowHeight="15" x14ac:dyDescent="0.25"/>
  <cols>
    <col min="2" max="2" width="22.7109375" customWidth="1"/>
    <col min="5" max="5" width="24.85546875" customWidth="1"/>
    <col min="12" max="27" width="0" hidden="1" customWidth="1"/>
  </cols>
  <sheetData>
    <row r="1" spans="1:29" x14ac:dyDescent="0.25">
      <c r="A1" s="1" t="s">
        <v>0</v>
      </c>
      <c r="B1" s="1" t="s">
        <v>1</v>
      </c>
      <c r="C1" s="1" t="s">
        <v>13</v>
      </c>
      <c r="D1" s="1" t="s">
        <v>12</v>
      </c>
      <c r="E1" s="1" t="s">
        <v>7</v>
      </c>
      <c r="F1" s="11" t="s">
        <v>2</v>
      </c>
      <c r="G1" s="12" t="s">
        <v>3</v>
      </c>
      <c r="H1" s="1" t="s">
        <v>4</v>
      </c>
      <c r="I1" s="1" t="s">
        <v>5</v>
      </c>
      <c r="J1" s="17" t="s">
        <v>6</v>
      </c>
      <c r="K1" s="1"/>
      <c r="L1" s="1">
        <v>1</v>
      </c>
      <c r="M1" s="1">
        <v>2</v>
      </c>
      <c r="N1" s="1">
        <v>3</v>
      </c>
      <c r="O1" s="1">
        <v>4</v>
      </c>
      <c r="P1" s="1">
        <v>5</v>
      </c>
      <c r="Q1" s="1">
        <v>6</v>
      </c>
      <c r="R1" s="1">
        <v>7</v>
      </c>
      <c r="S1" s="1">
        <v>8</v>
      </c>
      <c r="T1" s="1">
        <v>9</v>
      </c>
      <c r="U1" s="1">
        <v>10</v>
      </c>
      <c r="V1" s="1">
        <v>11</v>
      </c>
      <c r="W1" s="1">
        <v>12</v>
      </c>
      <c r="X1" s="1">
        <v>13</v>
      </c>
      <c r="Y1" s="1">
        <v>14</v>
      </c>
      <c r="Z1" s="1">
        <v>15</v>
      </c>
      <c r="AB1" t="s">
        <v>16</v>
      </c>
      <c r="AC1" t="s">
        <v>17</v>
      </c>
    </row>
    <row r="2" spans="1:29" x14ac:dyDescent="0.25">
      <c r="A2" s="2">
        <v>45693</v>
      </c>
      <c r="B2" s="1" t="s">
        <v>31</v>
      </c>
      <c r="C2" s="1">
        <v>1</v>
      </c>
      <c r="D2" s="1">
        <v>2</v>
      </c>
      <c r="E2" s="1" t="s">
        <v>8</v>
      </c>
      <c r="F2" s="38">
        <v>458</v>
      </c>
      <c r="G2" s="39">
        <v>417</v>
      </c>
      <c r="H2" s="1">
        <v>421</v>
      </c>
      <c r="I2" s="1">
        <v>365</v>
      </c>
      <c r="J2" s="18">
        <v>255</v>
      </c>
      <c r="K2" s="1"/>
      <c r="L2" s="1">
        <v>1.21</v>
      </c>
      <c r="M2" s="1">
        <v>2.3199999999999998</v>
      </c>
      <c r="N2" s="1">
        <v>1.89</v>
      </c>
      <c r="O2" s="1">
        <v>1.65</v>
      </c>
      <c r="P2" s="1">
        <v>0.2</v>
      </c>
      <c r="Q2" s="1">
        <v>1.37</v>
      </c>
      <c r="R2" s="1">
        <v>0.46</v>
      </c>
      <c r="S2" s="1">
        <v>1.05</v>
      </c>
      <c r="T2" s="1">
        <v>1.28</v>
      </c>
      <c r="U2" s="1">
        <v>2.4300000000000002</v>
      </c>
      <c r="V2" s="1">
        <v>2.77</v>
      </c>
      <c r="W2" s="1">
        <v>1.21</v>
      </c>
      <c r="X2" s="1">
        <v>1.1499999999999999</v>
      </c>
      <c r="Y2" s="1">
        <v>0.63</v>
      </c>
      <c r="Z2" s="1">
        <v>0.79</v>
      </c>
      <c r="AA2">
        <f>SUM(L2:Z2)</f>
        <v>20.41</v>
      </c>
      <c r="AB2" s="50">
        <f>AA2/15</f>
        <v>1.3606666666666667</v>
      </c>
      <c r="AC2" s="1">
        <v>2.04</v>
      </c>
    </row>
    <row r="3" spans="1:29" x14ac:dyDescent="0.25">
      <c r="A3" s="1"/>
      <c r="B3" s="1"/>
      <c r="C3" s="1"/>
      <c r="D3" s="1"/>
      <c r="E3" s="1" t="s">
        <v>9</v>
      </c>
      <c r="F3" s="38">
        <v>459</v>
      </c>
      <c r="G3" s="39">
        <v>425</v>
      </c>
      <c r="H3" s="1">
        <v>594</v>
      </c>
      <c r="I3" s="1">
        <v>381</v>
      </c>
      <c r="J3" s="18">
        <v>258</v>
      </c>
      <c r="K3" s="1"/>
    </row>
    <row r="4" spans="1:29" x14ac:dyDescent="0.25">
      <c r="A4" s="1"/>
      <c r="B4" s="1"/>
      <c r="C4" s="1"/>
      <c r="D4" s="1"/>
      <c r="E4" s="1" t="s">
        <v>10</v>
      </c>
      <c r="F4" s="38">
        <f>F3-F2</f>
        <v>1</v>
      </c>
      <c r="G4" s="39">
        <f t="shared" ref="G4:J4" si="0">G3-G2</f>
        <v>8</v>
      </c>
      <c r="H4" s="1">
        <f t="shared" si="0"/>
        <v>173</v>
      </c>
      <c r="I4" s="1">
        <f t="shared" si="0"/>
        <v>16</v>
      </c>
      <c r="J4" s="18">
        <f t="shared" si="0"/>
        <v>3</v>
      </c>
      <c r="K4" s="1"/>
    </row>
    <row r="5" spans="1:29" x14ac:dyDescent="0.25">
      <c r="A5" s="1"/>
      <c r="B5" s="1"/>
      <c r="C5" s="1"/>
      <c r="D5" s="1"/>
      <c r="E5" s="1" t="s">
        <v>14</v>
      </c>
      <c r="F5" s="29">
        <f>F4/2</f>
        <v>0.5</v>
      </c>
      <c r="G5" s="29">
        <f t="shared" ref="G5:J5" si="1">G4/2</f>
        <v>4</v>
      </c>
      <c r="H5" s="30">
        <f>(H4/2)-0.5</f>
        <v>86</v>
      </c>
      <c r="I5" s="31">
        <f t="shared" si="1"/>
        <v>8</v>
      </c>
      <c r="J5" s="29">
        <f t="shared" si="1"/>
        <v>1.5</v>
      </c>
      <c r="K5" s="1">
        <f>SUM(F5:J5)</f>
        <v>100</v>
      </c>
    </row>
    <row r="6" spans="1:29" ht="15.75" thickBot="1" x14ac:dyDescent="0.3"/>
    <row r="7" spans="1:29" x14ac:dyDescent="0.25">
      <c r="A7" s="1" t="s">
        <v>0</v>
      </c>
      <c r="B7" s="1" t="s">
        <v>1</v>
      </c>
      <c r="C7" s="1" t="s">
        <v>13</v>
      </c>
      <c r="D7" s="1" t="s">
        <v>12</v>
      </c>
      <c r="E7" s="1" t="s">
        <v>7</v>
      </c>
      <c r="F7" s="11" t="s">
        <v>2</v>
      </c>
      <c r="G7" s="12" t="s">
        <v>3</v>
      </c>
      <c r="H7" s="1" t="s">
        <v>4</v>
      </c>
      <c r="I7" s="1" t="s">
        <v>5</v>
      </c>
      <c r="J7" s="17" t="s">
        <v>6</v>
      </c>
      <c r="K7" s="1"/>
      <c r="L7" s="1">
        <v>1</v>
      </c>
      <c r="M7" s="1">
        <v>2</v>
      </c>
      <c r="N7" s="1">
        <v>3</v>
      </c>
      <c r="O7" s="1">
        <v>4</v>
      </c>
      <c r="P7" s="1">
        <v>5</v>
      </c>
      <c r="Q7" s="1">
        <v>6</v>
      </c>
      <c r="R7" s="1">
        <v>7</v>
      </c>
      <c r="S7" s="1">
        <v>8</v>
      </c>
      <c r="T7" s="1">
        <v>9</v>
      </c>
      <c r="U7" s="1">
        <v>10</v>
      </c>
      <c r="V7" s="1">
        <v>11</v>
      </c>
      <c r="W7" s="1">
        <v>12</v>
      </c>
      <c r="X7" s="1">
        <v>13</v>
      </c>
      <c r="Y7" s="1">
        <v>14</v>
      </c>
      <c r="Z7" s="1">
        <v>15</v>
      </c>
      <c r="AB7" t="s">
        <v>16</v>
      </c>
      <c r="AC7" t="s">
        <v>17</v>
      </c>
    </row>
    <row r="8" spans="1:29" x14ac:dyDescent="0.25">
      <c r="A8" s="2">
        <v>45693</v>
      </c>
      <c r="B8" s="1" t="s">
        <v>31</v>
      </c>
      <c r="C8" s="1">
        <v>2</v>
      </c>
      <c r="D8" s="1">
        <v>2</v>
      </c>
      <c r="E8" s="1" t="s">
        <v>8</v>
      </c>
      <c r="F8" s="38">
        <v>458</v>
      </c>
      <c r="G8" s="39">
        <v>417</v>
      </c>
      <c r="H8" s="1">
        <v>421</v>
      </c>
      <c r="I8" s="1">
        <v>365</v>
      </c>
      <c r="J8" s="18">
        <v>255</v>
      </c>
      <c r="K8" s="1"/>
      <c r="L8" s="1">
        <v>1.52</v>
      </c>
      <c r="M8" s="1">
        <v>0.39</v>
      </c>
      <c r="N8" s="1">
        <v>0.62</v>
      </c>
      <c r="O8" s="1">
        <v>0.87</v>
      </c>
      <c r="P8" s="1">
        <v>1.03</v>
      </c>
      <c r="Q8" s="1">
        <v>0.98</v>
      </c>
      <c r="R8" s="1">
        <v>1.1399999999999999</v>
      </c>
      <c r="S8" s="1">
        <v>2.1</v>
      </c>
      <c r="T8" s="1">
        <v>1.1299999999999999</v>
      </c>
      <c r="U8" s="1">
        <v>0.82</v>
      </c>
      <c r="V8" s="1">
        <v>0.72</v>
      </c>
      <c r="W8" s="1">
        <v>0.76</v>
      </c>
      <c r="X8" s="1">
        <v>2</v>
      </c>
      <c r="Y8" s="1">
        <v>1.04</v>
      </c>
      <c r="Z8" s="1">
        <v>0.43</v>
      </c>
      <c r="AA8">
        <f>SUM(L8:Z8)</f>
        <v>15.55</v>
      </c>
      <c r="AB8" s="50">
        <f>AA8/15</f>
        <v>1.0366666666666666</v>
      </c>
      <c r="AC8" s="1">
        <v>1.92</v>
      </c>
    </row>
    <row r="9" spans="1:29" x14ac:dyDescent="0.25">
      <c r="A9" s="1"/>
      <c r="B9" s="1"/>
      <c r="C9" s="1"/>
      <c r="D9" s="1"/>
      <c r="E9" s="1" t="s">
        <v>9</v>
      </c>
      <c r="F9" s="38">
        <v>459</v>
      </c>
      <c r="G9" s="39">
        <v>430</v>
      </c>
      <c r="H9" s="1">
        <v>603</v>
      </c>
      <c r="I9" s="1">
        <v>369</v>
      </c>
      <c r="J9" s="18">
        <v>258</v>
      </c>
      <c r="K9" s="1"/>
    </row>
    <row r="10" spans="1:29" x14ac:dyDescent="0.25">
      <c r="A10" s="1"/>
      <c r="B10" s="1"/>
      <c r="C10" s="1"/>
      <c r="D10" s="1"/>
      <c r="E10" s="1" t="s">
        <v>10</v>
      </c>
      <c r="F10" s="38">
        <f>F9-F8</f>
        <v>1</v>
      </c>
      <c r="G10" s="39">
        <f t="shared" ref="G10:J10" si="2">G9-G8</f>
        <v>13</v>
      </c>
      <c r="H10" s="1">
        <f t="shared" si="2"/>
        <v>182</v>
      </c>
      <c r="I10" s="1">
        <f t="shared" si="2"/>
        <v>4</v>
      </c>
      <c r="J10" s="18">
        <f t="shared" si="2"/>
        <v>3</v>
      </c>
      <c r="K10" s="1"/>
    </row>
    <row r="11" spans="1:29" x14ac:dyDescent="0.25">
      <c r="A11" s="1"/>
      <c r="B11" s="1"/>
      <c r="C11" s="1"/>
      <c r="D11" s="1"/>
      <c r="E11" s="1" t="s">
        <v>14</v>
      </c>
      <c r="F11" s="29">
        <f>F10/2</f>
        <v>0.5</v>
      </c>
      <c r="G11" s="29">
        <f t="shared" ref="G11" si="3">G10/2</f>
        <v>6.5</v>
      </c>
      <c r="H11" s="30">
        <f>(H10/2)-1.5</f>
        <v>89.5</v>
      </c>
      <c r="I11" s="31">
        <f t="shared" ref="I11:J11" si="4">I10/2</f>
        <v>2</v>
      </c>
      <c r="J11" s="29">
        <f t="shared" si="4"/>
        <v>1.5</v>
      </c>
      <c r="K11" s="1">
        <f>SUM(F11:J11)</f>
        <v>100</v>
      </c>
    </row>
    <row r="13" spans="1:29" x14ac:dyDescent="0.25">
      <c r="A13" s="1" t="s">
        <v>0</v>
      </c>
      <c r="B13" s="1" t="s">
        <v>1</v>
      </c>
      <c r="C13" s="1" t="s">
        <v>13</v>
      </c>
      <c r="D13" s="1" t="s">
        <v>12</v>
      </c>
      <c r="E13" s="1" t="s">
        <v>7</v>
      </c>
      <c r="F13" s="1" t="s">
        <v>2</v>
      </c>
      <c r="G13" s="1" t="s">
        <v>3</v>
      </c>
      <c r="H13" s="1" t="s">
        <v>4</v>
      </c>
      <c r="I13" s="1" t="s">
        <v>5</v>
      </c>
      <c r="J13" s="1" t="s">
        <v>6</v>
      </c>
      <c r="K13" s="1"/>
      <c r="L13" s="1">
        <v>1</v>
      </c>
      <c r="M13" s="1">
        <v>2</v>
      </c>
      <c r="N13" s="1">
        <v>3</v>
      </c>
      <c r="O13" s="1">
        <v>4</v>
      </c>
      <c r="P13" s="1">
        <v>5</v>
      </c>
      <c r="Q13" s="1">
        <v>6</v>
      </c>
      <c r="R13" s="1">
        <v>7</v>
      </c>
      <c r="S13" s="1">
        <v>8</v>
      </c>
      <c r="T13" s="1">
        <v>9</v>
      </c>
      <c r="U13" s="1">
        <v>10</v>
      </c>
      <c r="V13" s="1">
        <v>11</v>
      </c>
      <c r="W13" s="1">
        <v>12</v>
      </c>
      <c r="X13" s="1">
        <v>13</v>
      </c>
      <c r="Y13" s="1">
        <v>14</v>
      </c>
      <c r="Z13" s="1">
        <v>15</v>
      </c>
      <c r="AB13" t="s">
        <v>16</v>
      </c>
      <c r="AC13" t="s">
        <v>17</v>
      </c>
    </row>
    <row r="14" spans="1:29" x14ac:dyDescent="0.25">
      <c r="A14" s="2">
        <v>45693</v>
      </c>
      <c r="B14" s="1" t="s">
        <v>15</v>
      </c>
      <c r="C14" s="1">
        <v>1</v>
      </c>
      <c r="D14" s="1">
        <v>1</v>
      </c>
      <c r="E14" s="1" t="s">
        <v>8</v>
      </c>
      <c r="F14" s="1">
        <v>458</v>
      </c>
      <c r="G14" s="1">
        <v>417</v>
      </c>
      <c r="H14" s="1">
        <v>421</v>
      </c>
      <c r="I14" s="1">
        <v>365</v>
      </c>
      <c r="J14" s="1">
        <v>255</v>
      </c>
      <c r="K14" s="1"/>
      <c r="L14" s="1">
        <v>2.1</v>
      </c>
      <c r="M14" s="1">
        <v>2.5099999999999998</v>
      </c>
      <c r="N14" s="1">
        <v>2.5499999999999998</v>
      </c>
      <c r="O14" s="1">
        <v>2.67</v>
      </c>
      <c r="P14" s="1">
        <v>1.3</v>
      </c>
      <c r="Q14" s="1">
        <v>1.8</v>
      </c>
      <c r="R14" s="1">
        <v>3.22</v>
      </c>
      <c r="S14" s="1">
        <v>1.0900000000000001</v>
      </c>
      <c r="T14" s="1">
        <v>3.5</v>
      </c>
      <c r="U14" s="1">
        <v>1.95</v>
      </c>
      <c r="V14" s="1">
        <v>2.2599999999999998</v>
      </c>
      <c r="W14" s="1">
        <v>2.94</v>
      </c>
      <c r="X14" s="1">
        <v>2.4</v>
      </c>
      <c r="Y14" s="1">
        <v>1.4</v>
      </c>
      <c r="Z14" s="1">
        <v>1.55</v>
      </c>
      <c r="AA14">
        <f>SUM(L14:Z14)</f>
        <v>33.239999999999995</v>
      </c>
      <c r="AB14">
        <f>AA14/15</f>
        <v>2.2159999999999997</v>
      </c>
      <c r="AC14" s="1">
        <v>1.3</v>
      </c>
    </row>
    <row r="15" spans="1:29" x14ac:dyDescent="0.25">
      <c r="A15" s="1"/>
      <c r="B15" s="1"/>
      <c r="C15" s="1"/>
      <c r="D15" s="1"/>
      <c r="E15" s="1" t="s">
        <v>9</v>
      </c>
      <c r="F15" s="1">
        <v>464</v>
      </c>
      <c r="G15" s="1">
        <v>466</v>
      </c>
      <c r="H15" s="1">
        <v>567</v>
      </c>
      <c r="I15" s="1">
        <v>367</v>
      </c>
      <c r="J15" s="1">
        <v>257</v>
      </c>
      <c r="K15" s="1"/>
    </row>
    <row r="16" spans="1:29" x14ac:dyDescent="0.25">
      <c r="A16" s="1"/>
      <c r="B16" s="1"/>
      <c r="C16" s="1"/>
      <c r="D16" s="1"/>
      <c r="E16" s="1" t="s">
        <v>10</v>
      </c>
      <c r="F16" s="1">
        <f>F15-F14</f>
        <v>6</v>
      </c>
      <c r="G16" s="1">
        <f t="shared" ref="G16:J16" si="5">G15-G14</f>
        <v>49</v>
      </c>
      <c r="H16" s="1">
        <f t="shared" si="5"/>
        <v>146</v>
      </c>
      <c r="I16" s="1">
        <f t="shared" si="5"/>
        <v>2</v>
      </c>
      <c r="J16" s="1">
        <f t="shared" si="5"/>
        <v>2</v>
      </c>
      <c r="K16" s="1"/>
    </row>
    <row r="17" spans="1:29" x14ac:dyDescent="0.25">
      <c r="A17" s="1"/>
      <c r="B17" s="1"/>
      <c r="C17" s="1"/>
      <c r="D17" s="1"/>
      <c r="E17" s="1" t="s">
        <v>14</v>
      </c>
      <c r="F17" s="29">
        <f>F16/2</f>
        <v>3</v>
      </c>
      <c r="G17" s="30">
        <f t="shared" ref="G17" si="6">G16/2</f>
        <v>24.5</v>
      </c>
      <c r="H17" s="31">
        <f>(H16/2)-2.5</f>
        <v>70.5</v>
      </c>
      <c r="I17" s="32">
        <f t="shared" ref="I17:J17" si="7">I16/2</f>
        <v>1</v>
      </c>
      <c r="J17" s="32">
        <f t="shared" si="7"/>
        <v>1</v>
      </c>
      <c r="K17" s="1">
        <f>SUM(F17:J17)</f>
        <v>100</v>
      </c>
    </row>
    <row r="19" spans="1:29" x14ac:dyDescent="0.25">
      <c r="A19" s="1" t="s">
        <v>0</v>
      </c>
      <c r="B19" s="1" t="s">
        <v>1</v>
      </c>
      <c r="C19" s="1" t="s">
        <v>13</v>
      </c>
      <c r="D19" s="1" t="s">
        <v>12</v>
      </c>
      <c r="E19" s="1" t="s">
        <v>7</v>
      </c>
      <c r="F19" s="1" t="s">
        <v>2</v>
      </c>
      <c r="G19" s="1" t="s">
        <v>3</v>
      </c>
      <c r="H19" s="1" t="s">
        <v>4</v>
      </c>
      <c r="I19" s="1" t="s">
        <v>5</v>
      </c>
      <c r="J19" s="1" t="s">
        <v>6</v>
      </c>
      <c r="K19" s="1"/>
      <c r="L19" s="1">
        <v>1</v>
      </c>
      <c r="M19" s="1">
        <v>2</v>
      </c>
      <c r="N19" s="1">
        <v>3</v>
      </c>
      <c r="O19" s="1">
        <v>4</v>
      </c>
      <c r="P19" s="1">
        <v>5</v>
      </c>
      <c r="Q19" s="1">
        <v>6</v>
      </c>
      <c r="R19" s="1">
        <v>7</v>
      </c>
      <c r="S19" s="1">
        <v>8</v>
      </c>
      <c r="T19" s="1">
        <v>9</v>
      </c>
      <c r="U19" s="1">
        <v>10</v>
      </c>
      <c r="V19" s="1">
        <v>11</v>
      </c>
      <c r="W19" s="1">
        <v>12</v>
      </c>
      <c r="X19" s="1">
        <v>13</v>
      </c>
      <c r="Y19" s="1">
        <v>14</v>
      </c>
      <c r="Z19" s="1">
        <v>15</v>
      </c>
      <c r="AB19" t="s">
        <v>16</v>
      </c>
      <c r="AC19" t="s">
        <v>17</v>
      </c>
    </row>
    <row r="20" spans="1:29" x14ac:dyDescent="0.25">
      <c r="A20" s="2">
        <v>45693</v>
      </c>
      <c r="B20" s="1" t="s">
        <v>15</v>
      </c>
      <c r="C20" s="1">
        <v>1</v>
      </c>
      <c r="D20" s="1">
        <v>2</v>
      </c>
      <c r="E20" s="1" t="s">
        <v>8</v>
      </c>
      <c r="F20" s="1">
        <v>458</v>
      </c>
      <c r="G20" s="1">
        <v>417</v>
      </c>
      <c r="H20" s="1">
        <v>421</v>
      </c>
      <c r="I20" s="1">
        <v>365</v>
      </c>
      <c r="J20" s="1">
        <v>255</v>
      </c>
      <c r="K20" s="1"/>
      <c r="L20" s="1">
        <v>3.39</v>
      </c>
      <c r="M20" s="1">
        <v>4.1100000000000003</v>
      </c>
      <c r="N20" s="1">
        <v>0.86</v>
      </c>
      <c r="O20" s="1">
        <v>0.56999999999999995</v>
      </c>
      <c r="P20" s="1">
        <v>3.23</v>
      </c>
      <c r="Q20" s="1">
        <v>2.33</v>
      </c>
      <c r="R20" s="1">
        <v>3.72</v>
      </c>
      <c r="S20" s="1">
        <v>2.0499999999999998</v>
      </c>
      <c r="T20" s="1">
        <v>1.1200000000000001</v>
      </c>
      <c r="U20" s="1">
        <v>3.84</v>
      </c>
      <c r="V20" s="1">
        <v>2.25</v>
      </c>
      <c r="W20" s="1">
        <v>2.0299999999999998</v>
      </c>
      <c r="X20" s="1">
        <v>3.46</v>
      </c>
      <c r="Y20" s="1">
        <v>3.12</v>
      </c>
      <c r="Z20" s="1">
        <v>2.75</v>
      </c>
      <c r="AA20">
        <f>SUM(L20:Z20)</f>
        <v>38.83</v>
      </c>
      <c r="AB20">
        <f>AA20/15</f>
        <v>2.5886666666666667</v>
      </c>
      <c r="AC20" s="1">
        <v>1.35</v>
      </c>
    </row>
    <row r="21" spans="1:29" x14ac:dyDescent="0.25">
      <c r="A21" s="1"/>
      <c r="B21" s="1"/>
      <c r="C21" s="1"/>
      <c r="D21" s="1"/>
      <c r="E21" s="1" t="s">
        <v>9</v>
      </c>
      <c r="F21" s="1">
        <v>460</v>
      </c>
      <c r="G21" s="1">
        <v>434</v>
      </c>
      <c r="H21" s="1">
        <v>587</v>
      </c>
      <c r="I21" s="1">
        <v>381</v>
      </c>
      <c r="J21" s="1">
        <v>257</v>
      </c>
      <c r="K21" s="1"/>
    </row>
    <row r="22" spans="1:29" x14ac:dyDescent="0.25">
      <c r="A22" s="1"/>
      <c r="B22" s="1"/>
      <c r="C22" s="1"/>
      <c r="D22" s="1"/>
      <c r="E22" s="1" t="s">
        <v>10</v>
      </c>
      <c r="F22" s="1">
        <f>F21-F20</f>
        <v>2</v>
      </c>
      <c r="G22" s="1">
        <f t="shared" ref="G22:J22" si="8">G21-G20</f>
        <v>17</v>
      </c>
      <c r="H22" s="1">
        <f t="shared" si="8"/>
        <v>166</v>
      </c>
      <c r="I22" s="1">
        <f t="shared" si="8"/>
        <v>16</v>
      </c>
      <c r="J22" s="1">
        <f t="shared" si="8"/>
        <v>2</v>
      </c>
      <c r="K22" s="1"/>
    </row>
    <row r="23" spans="1:29" x14ac:dyDescent="0.25">
      <c r="A23" s="1"/>
      <c r="B23" s="1"/>
      <c r="C23" s="1"/>
      <c r="D23" s="1"/>
      <c r="E23" s="1" t="s">
        <v>14</v>
      </c>
      <c r="F23" s="29">
        <f>F22/2</f>
        <v>1</v>
      </c>
      <c r="G23" s="30">
        <f t="shared" ref="G23" si="9">G22/2</f>
        <v>8.5</v>
      </c>
      <c r="H23" s="31">
        <f>(H22/2)-1.5</f>
        <v>81.5</v>
      </c>
      <c r="I23" s="35">
        <f t="shared" ref="I23:J23" si="10">I22/2</f>
        <v>8</v>
      </c>
      <c r="J23" s="35">
        <f t="shared" si="10"/>
        <v>1</v>
      </c>
      <c r="K23" s="1">
        <f>SUM(F23:J23)</f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4FC1-C811-4107-93B4-9A8BAD479363}">
  <dimension ref="A1:AC23"/>
  <sheetViews>
    <sheetView workbookViewId="0">
      <selection activeCell="F23" sqref="F23"/>
    </sheetView>
    <sheetView workbookViewId="1">
      <selection activeCell="AD22" sqref="AD22"/>
    </sheetView>
  </sheetViews>
  <sheetFormatPr baseColWidth="10" defaultRowHeight="15" x14ac:dyDescent="0.25"/>
  <cols>
    <col min="5" max="5" width="14.5703125" customWidth="1"/>
    <col min="12" max="27" width="0" hidden="1" customWidth="1"/>
  </cols>
  <sheetData>
    <row r="1" spans="1:29" x14ac:dyDescent="0.25">
      <c r="A1" s="1" t="s">
        <v>0</v>
      </c>
      <c r="B1" s="1" t="s">
        <v>1</v>
      </c>
      <c r="C1" s="1" t="s">
        <v>13</v>
      </c>
      <c r="D1" s="1" t="s">
        <v>12</v>
      </c>
      <c r="E1" s="1" t="s">
        <v>7</v>
      </c>
      <c r="F1" s="11" t="s">
        <v>2</v>
      </c>
      <c r="G1" s="12" t="s">
        <v>3</v>
      </c>
      <c r="H1" s="1" t="s">
        <v>4</v>
      </c>
      <c r="I1" s="1" t="s">
        <v>5</v>
      </c>
      <c r="J1" s="17" t="s">
        <v>6</v>
      </c>
      <c r="K1" s="1"/>
    </row>
    <row r="2" spans="1:29" x14ac:dyDescent="0.25">
      <c r="A2" s="2">
        <v>45694</v>
      </c>
      <c r="B2" s="1" t="s">
        <v>11</v>
      </c>
      <c r="C2" s="1">
        <v>1</v>
      </c>
      <c r="D2" s="1">
        <v>1</v>
      </c>
      <c r="E2" s="1" t="s">
        <v>8</v>
      </c>
      <c r="F2" s="38">
        <v>458</v>
      </c>
      <c r="G2" s="39">
        <v>417</v>
      </c>
      <c r="H2" s="1">
        <v>421</v>
      </c>
      <c r="I2" s="1">
        <v>365</v>
      </c>
      <c r="J2" s="18">
        <v>255</v>
      </c>
      <c r="K2" s="1"/>
      <c r="L2" s="1">
        <v>1</v>
      </c>
      <c r="M2" s="1">
        <v>2</v>
      </c>
      <c r="N2" s="1">
        <v>3</v>
      </c>
      <c r="O2" s="1">
        <v>4</v>
      </c>
      <c r="P2" s="1">
        <v>5</v>
      </c>
      <c r="Q2" s="1">
        <v>6</v>
      </c>
      <c r="R2" s="1">
        <v>7</v>
      </c>
      <c r="S2" s="1">
        <v>8</v>
      </c>
      <c r="T2" s="1">
        <v>9</v>
      </c>
      <c r="U2" s="1">
        <v>10</v>
      </c>
      <c r="V2" s="1">
        <v>11</v>
      </c>
      <c r="W2" s="1">
        <v>12</v>
      </c>
      <c r="X2" s="1">
        <v>13</v>
      </c>
      <c r="Y2" s="1">
        <v>14</v>
      </c>
      <c r="Z2" s="1">
        <v>15</v>
      </c>
      <c r="AB2" t="s">
        <v>16</v>
      </c>
      <c r="AC2" t="s">
        <v>17</v>
      </c>
    </row>
    <row r="3" spans="1:29" x14ac:dyDescent="0.25">
      <c r="A3" s="1"/>
      <c r="B3" s="1"/>
      <c r="C3" s="1"/>
      <c r="D3" s="1"/>
      <c r="E3" s="1" t="s">
        <v>9</v>
      </c>
      <c r="F3" s="38">
        <v>458</v>
      </c>
      <c r="G3" s="39">
        <v>426</v>
      </c>
      <c r="H3" s="1">
        <v>564</v>
      </c>
      <c r="I3" s="1">
        <v>389</v>
      </c>
      <c r="J3" s="18">
        <v>283</v>
      </c>
      <c r="K3" s="1"/>
      <c r="L3" s="1">
        <v>0.47</v>
      </c>
      <c r="M3" s="1">
        <v>0.44</v>
      </c>
      <c r="N3" s="1">
        <v>0.54</v>
      </c>
      <c r="O3" s="1">
        <v>0.46</v>
      </c>
      <c r="P3" s="1">
        <v>0.17</v>
      </c>
      <c r="Q3" s="1">
        <v>0.39</v>
      </c>
      <c r="R3" s="1">
        <v>0.79</v>
      </c>
      <c r="S3" s="1">
        <v>0.64</v>
      </c>
      <c r="T3" s="1">
        <v>0.72</v>
      </c>
      <c r="U3" s="1">
        <v>1.02</v>
      </c>
      <c r="V3" s="1">
        <v>0.24</v>
      </c>
      <c r="W3" s="1">
        <v>0.54</v>
      </c>
      <c r="X3" s="1">
        <v>0.23</v>
      </c>
      <c r="Y3" s="1">
        <v>0.59</v>
      </c>
      <c r="Z3" s="1">
        <v>0.5</v>
      </c>
      <c r="AA3">
        <f>SUM(L3:Z3)</f>
        <v>7.7400000000000011</v>
      </c>
      <c r="AB3" s="50">
        <f>AA3/15</f>
        <v>0.51600000000000013</v>
      </c>
      <c r="AC3" s="1">
        <v>0.69</v>
      </c>
    </row>
    <row r="4" spans="1:29" x14ac:dyDescent="0.25">
      <c r="A4" s="1"/>
      <c r="B4" s="1"/>
      <c r="C4" s="1"/>
      <c r="D4" s="1"/>
      <c r="E4" s="1" t="s">
        <v>10</v>
      </c>
      <c r="F4" s="38">
        <f>F3-F2</f>
        <v>0</v>
      </c>
      <c r="G4" s="39">
        <f t="shared" ref="G4:J4" si="0">G3-G2</f>
        <v>9</v>
      </c>
      <c r="H4" s="1">
        <f t="shared" si="0"/>
        <v>143</v>
      </c>
      <c r="I4" s="1">
        <f t="shared" si="0"/>
        <v>24</v>
      </c>
      <c r="J4" s="18">
        <f t="shared" si="0"/>
        <v>28</v>
      </c>
      <c r="K4" s="1"/>
    </row>
    <row r="5" spans="1:29" ht="15.75" thickBot="1" x14ac:dyDescent="0.3">
      <c r="A5" s="1"/>
      <c r="B5" s="1"/>
      <c r="C5" s="1"/>
      <c r="D5" s="1"/>
      <c r="E5" s="1" t="s">
        <v>14</v>
      </c>
      <c r="F5" s="46">
        <f>F4/2</f>
        <v>0</v>
      </c>
      <c r="G5" s="47">
        <f t="shared" ref="G5:J5" si="1">G4/2</f>
        <v>4.5</v>
      </c>
      <c r="H5" s="8">
        <f>(H4/2)-2</f>
        <v>69.5</v>
      </c>
      <c r="I5" s="8">
        <f t="shared" si="1"/>
        <v>12</v>
      </c>
      <c r="J5" s="48">
        <f t="shared" si="1"/>
        <v>14</v>
      </c>
      <c r="K5" s="1">
        <f>SUM(F5:J5)</f>
        <v>100</v>
      </c>
    </row>
    <row r="6" spans="1:29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29" x14ac:dyDescent="0.25">
      <c r="A7" s="1" t="s">
        <v>0</v>
      </c>
      <c r="B7" s="1" t="s">
        <v>1</v>
      </c>
      <c r="C7" s="1" t="s">
        <v>13</v>
      </c>
      <c r="D7" s="1" t="s">
        <v>12</v>
      </c>
      <c r="E7" s="1" t="s">
        <v>7</v>
      </c>
      <c r="F7" s="1" t="s">
        <v>2</v>
      </c>
      <c r="G7" s="1" t="s">
        <v>3</v>
      </c>
      <c r="H7" s="1" t="s">
        <v>4</v>
      </c>
      <c r="I7" s="1" t="s">
        <v>5</v>
      </c>
      <c r="J7" s="1" t="s">
        <v>6</v>
      </c>
      <c r="K7" s="1"/>
      <c r="L7" s="1">
        <v>1</v>
      </c>
      <c r="M7" s="1">
        <v>2</v>
      </c>
      <c r="N7" s="1">
        <v>3</v>
      </c>
      <c r="O7" s="1">
        <v>4</v>
      </c>
      <c r="P7" s="1">
        <v>5</v>
      </c>
      <c r="Q7" s="1">
        <v>6</v>
      </c>
      <c r="R7" s="1">
        <v>7</v>
      </c>
      <c r="S7" s="1">
        <v>8</v>
      </c>
      <c r="T7" s="1">
        <v>9</v>
      </c>
      <c r="U7" s="1">
        <v>10</v>
      </c>
      <c r="V7" s="1">
        <v>11</v>
      </c>
      <c r="W7" s="1">
        <v>12</v>
      </c>
      <c r="X7" s="1">
        <v>13</v>
      </c>
      <c r="Y7" s="1">
        <v>14</v>
      </c>
      <c r="Z7" s="1">
        <v>15</v>
      </c>
      <c r="AB7" t="s">
        <v>16</v>
      </c>
      <c r="AC7" t="s">
        <v>17</v>
      </c>
    </row>
    <row r="8" spans="1:29" x14ac:dyDescent="0.25">
      <c r="A8" s="2">
        <v>45694</v>
      </c>
      <c r="B8" s="1" t="s">
        <v>15</v>
      </c>
      <c r="C8" s="1">
        <v>1</v>
      </c>
      <c r="D8" s="1">
        <v>2</v>
      </c>
      <c r="E8" s="1" t="s">
        <v>8</v>
      </c>
      <c r="F8" s="1">
        <v>458</v>
      </c>
      <c r="G8" s="1">
        <v>417</v>
      </c>
      <c r="H8" s="1">
        <v>421</v>
      </c>
      <c r="I8" s="1">
        <v>365</v>
      </c>
      <c r="J8" s="1">
        <v>255</v>
      </c>
      <c r="K8" s="1"/>
      <c r="L8" s="1">
        <v>1.61</v>
      </c>
      <c r="M8" s="1">
        <v>1.55</v>
      </c>
      <c r="N8" s="1">
        <v>1.64</v>
      </c>
      <c r="O8" s="1">
        <v>1.69</v>
      </c>
      <c r="P8" s="1">
        <v>1.73</v>
      </c>
      <c r="Q8" s="1">
        <v>0.87</v>
      </c>
      <c r="R8" s="1">
        <v>1.36</v>
      </c>
      <c r="S8" s="1">
        <v>2.02</v>
      </c>
      <c r="T8" s="1">
        <v>1.65</v>
      </c>
      <c r="U8" s="1">
        <v>2.54</v>
      </c>
      <c r="V8" s="1">
        <v>0.57999999999999996</v>
      </c>
      <c r="W8" s="1">
        <v>1.34</v>
      </c>
      <c r="X8" s="1">
        <v>1.29</v>
      </c>
      <c r="Y8" s="1">
        <v>1.65</v>
      </c>
      <c r="Z8" s="1">
        <v>0.56000000000000005</v>
      </c>
      <c r="AA8">
        <f>SUM(L8:Z8)</f>
        <v>22.079999999999995</v>
      </c>
      <c r="AB8" s="50">
        <f>AA8/15</f>
        <v>1.4719999999999998</v>
      </c>
      <c r="AC8" s="1">
        <v>0.87</v>
      </c>
    </row>
    <row r="9" spans="1:29" x14ac:dyDescent="0.25">
      <c r="A9" s="1"/>
      <c r="B9" s="1"/>
      <c r="C9" s="1"/>
      <c r="D9" s="1"/>
      <c r="E9" s="1" t="s">
        <v>9</v>
      </c>
      <c r="F9" s="1">
        <v>459</v>
      </c>
      <c r="G9" s="1">
        <v>435</v>
      </c>
      <c r="H9" s="1">
        <v>600</v>
      </c>
      <c r="I9" s="1">
        <v>368</v>
      </c>
      <c r="J9" s="1">
        <v>256</v>
      </c>
      <c r="K9" s="1"/>
    </row>
    <row r="10" spans="1:29" x14ac:dyDescent="0.25">
      <c r="A10" s="1"/>
      <c r="B10" s="1"/>
      <c r="C10" s="1"/>
      <c r="D10" s="1"/>
      <c r="E10" s="1" t="s">
        <v>10</v>
      </c>
      <c r="F10" s="1">
        <f>F9-F8</f>
        <v>1</v>
      </c>
      <c r="G10" s="1">
        <f t="shared" ref="G10" si="2">G9-G8</f>
        <v>18</v>
      </c>
      <c r="H10" s="1">
        <f t="shared" ref="H10" si="3">H9-H8</f>
        <v>179</v>
      </c>
      <c r="I10" s="1">
        <f t="shared" ref="I10" si="4">I9-I8</f>
        <v>3</v>
      </c>
      <c r="J10" s="1">
        <f t="shared" ref="J10" si="5">J9-J8</f>
        <v>1</v>
      </c>
      <c r="K10" s="1"/>
    </row>
    <row r="11" spans="1:29" x14ac:dyDescent="0.25">
      <c r="A11" s="1"/>
      <c r="B11" s="1"/>
      <c r="C11" s="1"/>
      <c r="D11" s="1"/>
      <c r="E11" s="1" t="s">
        <v>14</v>
      </c>
      <c r="F11" s="29">
        <f>F10/2</f>
        <v>0.5</v>
      </c>
      <c r="G11" s="30">
        <f t="shared" ref="G11" si="6">G10/2</f>
        <v>9</v>
      </c>
      <c r="H11" s="31">
        <f>(H10/2)-1</f>
        <v>88.5</v>
      </c>
      <c r="I11" s="32">
        <f t="shared" ref="I11" si="7">I10/2</f>
        <v>1.5</v>
      </c>
      <c r="J11" s="33">
        <f t="shared" ref="J11" si="8">J10/2</f>
        <v>0.5</v>
      </c>
      <c r="K11" s="1">
        <f>SUM(F11:J11)</f>
        <v>100</v>
      </c>
    </row>
    <row r="12" spans="1:29" ht="15.75" thickBo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29" x14ac:dyDescent="0.25">
      <c r="A13" s="1" t="s">
        <v>0</v>
      </c>
      <c r="B13" s="1" t="s">
        <v>1</v>
      </c>
      <c r="C13" s="1" t="s">
        <v>13</v>
      </c>
      <c r="D13" s="1" t="s">
        <v>12</v>
      </c>
      <c r="E13" s="1" t="s">
        <v>7</v>
      </c>
      <c r="F13" s="11" t="s">
        <v>2</v>
      </c>
      <c r="G13" s="12" t="s">
        <v>3</v>
      </c>
      <c r="H13" s="1" t="s">
        <v>4</v>
      </c>
      <c r="I13" s="1" t="s">
        <v>5</v>
      </c>
      <c r="J13" s="17" t="s">
        <v>6</v>
      </c>
      <c r="K13" s="1"/>
      <c r="L13" s="1">
        <v>1</v>
      </c>
      <c r="M13" s="1">
        <v>2</v>
      </c>
      <c r="N13" s="1">
        <v>3</v>
      </c>
      <c r="O13" s="1">
        <v>4</v>
      </c>
      <c r="P13" s="1">
        <v>5</v>
      </c>
      <c r="Q13" s="1">
        <v>6</v>
      </c>
      <c r="R13" s="1">
        <v>7</v>
      </c>
      <c r="S13" s="1">
        <v>8</v>
      </c>
      <c r="T13" s="1">
        <v>9</v>
      </c>
      <c r="U13" s="1">
        <v>10</v>
      </c>
      <c r="V13" s="1">
        <v>11</v>
      </c>
      <c r="W13" s="1">
        <v>12</v>
      </c>
      <c r="X13" s="1">
        <v>13</v>
      </c>
      <c r="Y13" s="1">
        <v>14</v>
      </c>
      <c r="Z13" s="1">
        <v>15</v>
      </c>
      <c r="AB13" t="s">
        <v>16</v>
      </c>
      <c r="AC13" t="s">
        <v>17</v>
      </c>
    </row>
    <row r="14" spans="1:29" x14ac:dyDescent="0.25">
      <c r="A14" s="2">
        <v>45694</v>
      </c>
      <c r="B14" s="1" t="s">
        <v>11</v>
      </c>
      <c r="C14" s="1">
        <v>2</v>
      </c>
      <c r="D14" s="1">
        <v>1</v>
      </c>
      <c r="E14" s="1" t="s">
        <v>8</v>
      </c>
      <c r="F14" s="38">
        <v>458</v>
      </c>
      <c r="G14" s="39">
        <v>417</v>
      </c>
      <c r="H14" s="1">
        <v>421</v>
      </c>
      <c r="I14" s="1">
        <v>365</v>
      </c>
      <c r="J14" s="18">
        <v>255</v>
      </c>
      <c r="K14" s="1"/>
      <c r="L14" s="1">
        <v>1.07</v>
      </c>
      <c r="M14" s="1">
        <v>1.74</v>
      </c>
      <c r="N14" s="1">
        <v>1.62</v>
      </c>
      <c r="O14" s="1">
        <v>1.4</v>
      </c>
      <c r="P14" s="1">
        <v>1.1200000000000001</v>
      </c>
      <c r="Q14" s="1">
        <v>1.1399999999999999</v>
      </c>
      <c r="R14" s="1">
        <v>1.62</v>
      </c>
      <c r="S14" s="1">
        <v>1.54</v>
      </c>
      <c r="T14" s="1">
        <v>1.33</v>
      </c>
      <c r="U14" s="1">
        <v>1.72</v>
      </c>
      <c r="V14" s="1">
        <v>1.04</v>
      </c>
      <c r="W14" s="1">
        <v>1.26</v>
      </c>
      <c r="X14" s="1">
        <v>1.27</v>
      </c>
      <c r="Y14" s="1">
        <v>1.76</v>
      </c>
      <c r="Z14" s="1">
        <v>1.77</v>
      </c>
      <c r="AA14">
        <f>SUM(L14:Z14)</f>
        <v>21.400000000000002</v>
      </c>
      <c r="AB14" s="50">
        <f>AA14/15</f>
        <v>1.4266666666666667</v>
      </c>
      <c r="AC14" s="1">
        <v>1.41</v>
      </c>
    </row>
    <row r="15" spans="1:29" x14ac:dyDescent="0.25">
      <c r="A15" s="1"/>
      <c r="B15" s="1"/>
      <c r="C15" s="1"/>
      <c r="D15" s="1"/>
      <c r="E15" s="1" t="s">
        <v>9</v>
      </c>
      <c r="F15" s="38">
        <v>468</v>
      </c>
      <c r="G15" s="39">
        <v>498</v>
      </c>
      <c r="H15" s="1">
        <v>530</v>
      </c>
      <c r="I15" s="1">
        <v>366</v>
      </c>
      <c r="J15" s="18">
        <v>258</v>
      </c>
      <c r="K15" s="1"/>
    </row>
    <row r="16" spans="1:29" x14ac:dyDescent="0.25">
      <c r="A16" s="1"/>
      <c r="B16" s="1"/>
      <c r="C16" s="1"/>
      <c r="D16" s="1"/>
      <c r="E16" s="1" t="s">
        <v>10</v>
      </c>
      <c r="F16" s="38">
        <f>F15-F14</f>
        <v>10</v>
      </c>
      <c r="G16" s="39">
        <f t="shared" ref="G16" si="9">G15-G14</f>
        <v>81</v>
      </c>
      <c r="H16" s="1">
        <f t="shared" ref="H16" si="10">H15-H14</f>
        <v>109</v>
      </c>
      <c r="I16" s="1">
        <f t="shared" ref="I16" si="11">I15-I14</f>
        <v>1</v>
      </c>
      <c r="J16" s="18">
        <f t="shared" ref="J16" si="12">J15-J14</f>
        <v>3</v>
      </c>
      <c r="K16" s="1"/>
    </row>
    <row r="17" spans="1:29" x14ac:dyDescent="0.25">
      <c r="A17" s="1"/>
      <c r="B17" s="1"/>
      <c r="C17" s="1"/>
      <c r="D17" s="1"/>
      <c r="E17" s="1" t="s">
        <v>14</v>
      </c>
      <c r="F17" s="35">
        <f>F16/2</f>
        <v>5</v>
      </c>
      <c r="G17" s="35">
        <f t="shared" ref="G17" si="13">G16/2</f>
        <v>40.5</v>
      </c>
      <c r="H17" s="40">
        <f>(H16/2)-2</f>
        <v>52.5</v>
      </c>
      <c r="I17" s="40">
        <f t="shared" ref="I17" si="14">I16/2</f>
        <v>0.5</v>
      </c>
      <c r="J17" s="35">
        <f t="shared" ref="J17" si="15">J16/2</f>
        <v>1.5</v>
      </c>
      <c r="K17" s="1">
        <f>SUM(F17:J17)</f>
        <v>100</v>
      </c>
    </row>
    <row r="18" spans="1:2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29" x14ac:dyDescent="0.25">
      <c r="A19" s="1" t="s">
        <v>0</v>
      </c>
      <c r="B19" s="1" t="s">
        <v>1</v>
      </c>
      <c r="C19" s="1" t="s">
        <v>13</v>
      </c>
      <c r="D19" s="1" t="s">
        <v>12</v>
      </c>
      <c r="E19" s="1" t="s">
        <v>7</v>
      </c>
      <c r="F19" s="1" t="s">
        <v>2</v>
      </c>
      <c r="G19" s="1" t="s">
        <v>3</v>
      </c>
      <c r="H19" s="1" t="s">
        <v>4</v>
      </c>
      <c r="I19" s="1" t="s">
        <v>5</v>
      </c>
      <c r="J19" s="1" t="s">
        <v>6</v>
      </c>
      <c r="K19" s="1"/>
      <c r="L19" s="1">
        <v>1</v>
      </c>
      <c r="M19" s="1">
        <v>2</v>
      </c>
      <c r="N19" s="1">
        <v>3</v>
      </c>
      <c r="O19" s="1">
        <v>4</v>
      </c>
      <c r="P19" s="1">
        <v>5</v>
      </c>
      <c r="Q19" s="1">
        <v>6</v>
      </c>
      <c r="R19" s="1">
        <v>7</v>
      </c>
      <c r="S19" s="1">
        <v>8</v>
      </c>
      <c r="T19" s="1">
        <v>9</v>
      </c>
      <c r="U19" s="1">
        <v>10</v>
      </c>
      <c r="V19" s="1">
        <v>11</v>
      </c>
      <c r="W19" s="1">
        <v>12</v>
      </c>
      <c r="X19" s="1">
        <v>13</v>
      </c>
      <c r="Y19" s="1">
        <v>14</v>
      </c>
      <c r="Z19" s="1">
        <v>15</v>
      </c>
      <c r="AB19" t="s">
        <v>16</v>
      </c>
      <c r="AC19" t="s">
        <v>18</v>
      </c>
    </row>
    <row r="20" spans="1:29" x14ac:dyDescent="0.25">
      <c r="A20" s="2">
        <v>45694</v>
      </c>
      <c r="B20" s="1" t="s">
        <v>15</v>
      </c>
      <c r="C20" s="1">
        <v>2</v>
      </c>
      <c r="D20" s="1">
        <v>2</v>
      </c>
      <c r="E20" s="1" t="s">
        <v>8</v>
      </c>
      <c r="F20" s="1">
        <v>458</v>
      </c>
      <c r="G20" s="1">
        <v>417</v>
      </c>
      <c r="H20" s="1">
        <v>421</v>
      </c>
      <c r="I20" s="1">
        <v>365</v>
      </c>
      <c r="J20" s="1">
        <v>255</v>
      </c>
      <c r="K20" s="1"/>
      <c r="L20" s="1">
        <v>2.56</v>
      </c>
      <c r="M20" s="1">
        <v>2.73</v>
      </c>
      <c r="N20" s="1">
        <v>1.53</v>
      </c>
      <c r="O20" s="1">
        <v>2.81</v>
      </c>
      <c r="P20" s="1">
        <v>1.1299999999999999</v>
      </c>
      <c r="Q20" s="1">
        <v>1.53</v>
      </c>
      <c r="R20" s="1">
        <v>3.57</v>
      </c>
      <c r="S20" s="1">
        <v>2.98</v>
      </c>
      <c r="T20" s="1">
        <v>1.56</v>
      </c>
      <c r="U20" s="1">
        <v>1.56</v>
      </c>
      <c r="V20" s="1">
        <v>0.62</v>
      </c>
      <c r="W20" s="1">
        <v>2.84</v>
      </c>
      <c r="X20" s="1">
        <v>3.34</v>
      </c>
      <c r="Y20" s="1">
        <v>2.2000000000000002</v>
      </c>
      <c r="Z20" s="1">
        <v>1.93</v>
      </c>
      <c r="AA20">
        <f>SUM(L20:Z20)</f>
        <v>32.89</v>
      </c>
      <c r="AB20">
        <f>AA20/15</f>
        <v>2.1926666666666668</v>
      </c>
      <c r="AC20" s="1">
        <v>1.37</v>
      </c>
    </row>
    <row r="21" spans="1:29" x14ac:dyDescent="0.25">
      <c r="A21" s="1"/>
      <c r="B21" s="1"/>
      <c r="C21" s="1"/>
      <c r="D21" s="1"/>
      <c r="E21" s="1" t="s">
        <v>9</v>
      </c>
      <c r="F21" s="1">
        <v>473</v>
      </c>
      <c r="G21" s="1">
        <v>484</v>
      </c>
      <c r="H21" s="1">
        <v>538</v>
      </c>
      <c r="I21" s="1">
        <v>367</v>
      </c>
      <c r="J21" s="1">
        <v>257</v>
      </c>
      <c r="K21" s="1"/>
    </row>
    <row r="22" spans="1:29" x14ac:dyDescent="0.25">
      <c r="A22" s="1"/>
      <c r="B22" s="1"/>
      <c r="C22" s="1"/>
      <c r="D22" s="1"/>
      <c r="E22" s="1" t="s">
        <v>10</v>
      </c>
      <c r="F22" s="1">
        <f>F21-F20</f>
        <v>15</v>
      </c>
      <c r="G22" s="1">
        <f t="shared" ref="G22" si="16">G21-G20</f>
        <v>67</v>
      </c>
      <c r="H22" s="1">
        <f t="shared" ref="H22" si="17">H21-H20</f>
        <v>117</v>
      </c>
      <c r="I22" s="1">
        <f t="shared" ref="I22" si="18">I21-I20</f>
        <v>2</v>
      </c>
      <c r="J22" s="1">
        <f t="shared" ref="J22" si="19">J21-J20</f>
        <v>2</v>
      </c>
      <c r="K22" s="1"/>
    </row>
    <row r="23" spans="1:29" x14ac:dyDescent="0.25">
      <c r="A23" s="1"/>
      <c r="B23" s="1"/>
      <c r="C23" s="1"/>
      <c r="D23" s="1"/>
      <c r="E23" s="1" t="s">
        <v>14</v>
      </c>
      <c r="F23" s="35">
        <f>F22/2</f>
        <v>7.5</v>
      </c>
      <c r="G23" s="30">
        <f t="shared" ref="G23" si="20">G22/2</f>
        <v>33.5</v>
      </c>
      <c r="H23" s="30">
        <f>(H22/2)-1.5</f>
        <v>57</v>
      </c>
      <c r="I23" s="32">
        <f t="shared" ref="I23" si="21">I22/2</f>
        <v>1</v>
      </c>
      <c r="J23" s="33">
        <f t="shared" ref="J23" si="22">J22/2</f>
        <v>1</v>
      </c>
      <c r="K23" s="1">
        <f>SUM(F23:J23)</f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4AB9D-8770-4083-BF2A-78CF7BC8C006}">
  <dimension ref="A1:AC39"/>
  <sheetViews>
    <sheetView workbookViewId="0">
      <selection activeCell="F5" sqref="F5:G5"/>
    </sheetView>
    <sheetView topLeftCell="A21" workbookViewId="1">
      <selection activeCell="AB36" sqref="AB36"/>
    </sheetView>
  </sheetViews>
  <sheetFormatPr baseColWidth="10" defaultRowHeight="15" x14ac:dyDescent="0.25"/>
  <cols>
    <col min="5" max="5" width="18.42578125" customWidth="1"/>
    <col min="6" max="6" width="11.42578125" style="15"/>
    <col min="7" max="7" width="11.42578125" style="16"/>
    <col min="10" max="10" width="11.42578125" style="19"/>
    <col min="12" max="27" width="0" hidden="1" customWidth="1"/>
  </cols>
  <sheetData>
    <row r="1" spans="1:29" x14ac:dyDescent="0.25">
      <c r="A1" s="1" t="s">
        <v>0</v>
      </c>
      <c r="B1" s="1" t="s">
        <v>1</v>
      </c>
      <c r="C1" s="1" t="s">
        <v>13</v>
      </c>
      <c r="D1" s="1" t="s">
        <v>12</v>
      </c>
      <c r="E1" s="1" t="s">
        <v>7</v>
      </c>
      <c r="F1" s="11" t="s">
        <v>2</v>
      </c>
      <c r="G1" s="12" t="s">
        <v>3</v>
      </c>
      <c r="H1" s="1" t="s">
        <v>4</v>
      </c>
      <c r="I1" s="1" t="s">
        <v>5</v>
      </c>
      <c r="J1" s="17" t="s">
        <v>6</v>
      </c>
      <c r="K1" s="1"/>
      <c r="L1" s="1">
        <v>1</v>
      </c>
      <c r="M1" s="1">
        <v>2</v>
      </c>
      <c r="N1" s="1">
        <v>3</v>
      </c>
      <c r="O1" s="1">
        <v>4</v>
      </c>
      <c r="P1" s="1">
        <v>5</v>
      </c>
      <c r="Q1" s="1">
        <v>6</v>
      </c>
      <c r="R1" s="1">
        <v>7</v>
      </c>
      <c r="S1" s="1">
        <v>8</v>
      </c>
      <c r="T1" s="1">
        <v>9</v>
      </c>
      <c r="U1" s="1">
        <v>10</v>
      </c>
      <c r="V1" s="1">
        <v>11</v>
      </c>
      <c r="W1" s="1">
        <v>12</v>
      </c>
      <c r="X1" s="1">
        <v>13</v>
      </c>
      <c r="Y1" s="1">
        <v>14</v>
      </c>
      <c r="Z1" s="1">
        <v>15</v>
      </c>
      <c r="AB1" t="s">
        <v>16</v>
      </c>
      <c r="AC1" t="s">
        <v>17</v>
      </c>
    </row>
    <row r="2" spans="1:29" x14ac:dyDescent="0.25">
      <c r="A2" s="2">
        <v>45695</v>
      </c>
      <c r="B2" s="1" t="s">
        <v>19</v>
      </c>
      <c r="C2" s="1">
        <v>1</v>
      </c>
      <c r="D2" s="1">
        <v>2</v>
      </c>
      <c r="E2" s="1" t="s">
        <v>8</v>
      </c>
      <c r="F2" s="13">
        <v>458</v>
      </c>
      <c r="G2" s="14">
        <v>417</v>
      </c>
      <c r="H2" s="1">
        <v>421</v>
      </c>
      <c r="I2" s="1">
        <v>365</v>
      </c>
      <c r="J2" s="18">
        <v>255</v>
      </c>
      <c r="K2" s="1"/>
      <c r="L2" s="1">
        <v>0.25</v>
      </c>
      <c r="M2" s="1">
        <v>0.38</v>
      </c>
      <c r="N2" s="1">
        <v>0.2</v>
      </c>
      <c r="O2" s="1">
        <v>0.69</v>
      </c>
      <c r="P2" s="1">
        <v>0.59</v>
      </c>
      <c r="Q2" s="1">
        <v>0.61</v>
      </c>
      <c r="R2" s="1">
        <v>0.37</v>
      </c>
      <c r="S2" s="1">
        <v>0.24</v>
      </c>
      <c r="T2" s="1">
        <v>0.6</v>
      </c>
      <c r="U2" s="1">
        <v>0.75</v>
      </c>
      <c r="V2" s="1">
        <v>0.71</v>
      </c>
      <c r="W2" s="1">
        <v>0.51</v>
      </c>
      <c r="X2" s="1">
        <v>0.69</v>
      </c>
      <c r="Y2" s="1">
        <v>0.61</v>
      </c>
      <c r="Z2" s="1">
        <v>0.27</v>
      </c>
      <c r="AA2">
        <f>SUM(L2:Z2)</f>
        <v>7.4700000000000006</v>
      </c>
      <c r="AB2" s="50">
        <f>AA2/15</f>
        <v>0.49800000000000005</v>
      </c>
      <c r="AC2" s="1">
        <v>1.1100000000000001</v>
      </c>
    </row>
    <row r="3" spans="1:29" x14ac:dyDescent="0.25">
      <c r="A3" s="1"/>
      <c r="B3" s="1"/>
      <c r="C3" s="1"/>
      <c r="D3" s="1"/>
      <c r="E3" s="1" t="s">
        <v>9</v>
      </c>
      <c r="F3" s="13">
        <v>459</v>
      </c>
      <c r="G3" s="14">
        <v>428</v>
      </c>
      <c r="H3" s="1">
        <v>603</v>
      </c>
      <c r="I3" s="1">
        <v>369</v>
      </c>
      <c r="J3" s="18">
        <v>259</v>
      </c>
      <c r="K3" s="1"/>
      <c r="AB3" s="4"/>
    </row>
    <row r="4" spans="1:29" x14ac:dyDescent="0.25">
      <c r="A4" s="1"/>
      <c r="B4" s="1"/>
      <c r="C4" s="1"/>
      <c r="D4" s="1"/>
      <c r="E4" s="1" t="s">
        <v>10</v>
      </c>
      <c r="F4" s="13">
        <f>F3-F2</f>
        <v>1</v>
      </c>
      <c r="G4" s="14">
        <f t="shared" ref="G4:J4" si="0">G3-G2</f>
        <v>11</v>
      </c>
      <c r="H4" s="1">
        <f t="shared" si="0"/>
        <v>182</v>
      </c>
      <c r="I4" s="1">
        <f t="shared" si="0"/>
        <v>4</v>
      </c>
      <c r="J4" s="18">
        <f t="shared" si="0"/>
        <v>4</v>
      </c>
      <c r="K4" s="1"/>
    </row>
    <row r="5" spans="1:29" x14ac:dyDescent="0.25">
      <c r="A5" s="1"/>
      <c r="B5" s="1"/>
      <c r="C5" s="1"/>
      <c r="D5" s="1"/>
      <c r="E5" s="1" t="s">
        <v>14</v>
      </c>
      <c r="F5" s="32">
        <f>F4/2</f>
        <v>0.5</v>
      </c>
      <c r="G5" s="33">
        <f t="shared" ref="G5:J5" si="1">G4/2</f>
        <v>5.5</v>
      </c>
      <c r="H5" s="8">
        <f>(H4/2)-1</f>
        <v>90</v>
      </c>
      <c r="I5" s="8">
        <f t="shared" si="1"/>
        <v>2</v>
      </c>
      <c r="J5" s="45">
        <f t="shared" si="1"/>
        <v>2</v>
      </c>
      <c r="K5" s="1">
        <f>SUM(F5:J5)</f>
        <v>100</v>
      </c>
    </row>
    <row r="6" spans="1:29" x14ac:dyDescent="0.25">
      <c r="A6" s="6"/>
      <c r="B6" s="6"/>
      <c r="C6" s="6"/>
      <c r="D6" s="6"/>
      <c r="E6" s="6"/>
      <c r="F6" s="26"/>
      <c r="G6" s="27"/>
      <c r="H6" s="6"/>
      <c r="I6" s="6"/>
      <c r="J6" s="28"/>
      <c r="K6" s="6"/>
    </row>
    <row r="7" spans="1:29" x14ac:dyDescent="0.25">
      <c r="A7" s="1" t="s">
        <v>0</v>
      </c>
      <c r="B7" s="1" t="s">
        <v>1</v>
      </c>
      <c r="C7" s="1" t="s">
        <v>13</v>
      </c>
      <c r="D7" s="1" t="s">
        <v>12</v>
      </c>
      <c r="E7" s="1" t="s">
        <v>7</v>
      </c>
      <c r="F7" s="13" t="s">
        <v>2</v>
      </c>
      <c r="G7" s="14" t="s">
        <v>3</v>
      </c>
      <c r="H7" s="1" t="s">
        <v>4</v>
      </c>
      <c r="I7" s="1" t="s">
        <v>5</v>
      </c>
      <c r="J7" s="18" t="s">
        <v>6</v>
      </c>
      <c r="K7" s="1"/>
      <c r="L7" s="1">
        <v>1</v>
      </c>
      <c r="M7" s="1">
        <v>2</v>
      </c>
      <c r="N7" s="1">
        <v>3</v>
      </c>
      <c r="O7" s="1">
        <v>4</v>
      </c>
      <c r="P7" s="1">
        <v>5</v>
      </c>
      <c r="Q7" s="1">
        <v>6</v>
      </c>
      <c r="R7" s="1">
        <v>7</v>
      </c>
      <c r="S7" s="1">
        <v>8</v>
      </c>
      <c r="T7" s="1">
        <v>9</v>
      </c>
      <c r="U7" s="1">
        <v>10</v>
      </c>
      <c r="V7" s="1">
        <v>11</v>
      </c>
      <c r="W7" s="1">
        <v>12</v>
      </c>
      <c r="X7" s="1">
        <v>13</v>
      </c>
      <c r="Y7" s="1">
        <v>14</v>
      </c>
      <c r="Z7" s="1">
        <v>15</v>
      </c>
      <c r="AB7" t="s">
        <v>16</v>
      </c>
      <c r="AC7" t="s">
        <v>17</v>
      </c>
    </row>
    <row r="8" spans="1:29" x14ac:dyDescent="0.25">
      <c r="A8" s="2">
        <v>45695</v>
      </c>
      <c r="B8" s="1" t="s">
        <v>19</v>
      </c>
      <c r="C8" s="1">
        <v>1</v>
      </c>
      <c r="D8" s="1">
        <v>1</v>
      </c>
      <c r="E8" s="1" t="s">
        <v>8</v>
      </c>
      <c r="F8" s="13">
        <v>458</v>
      </c>
      <c r="G8" s="14">
        <v>417</v>
      </c>
      <c r="H8" s="1">
        <v>421</v>
      </c>
      <c r="I8" s="1">
        <v>365</v>
      </c>
      <c r="J8" s="18">
        <v>255</v>
      </c>
      <c r="K8" s="1"/>
      <c r="L8" s="1">
        <v>0.83</v>
      </c>
      <c r="M8" s="1">
        <v>0.75</v>
      </c>
      <c r="N8" s="1">
        <v>0.64</v>
      </c>
      <c r="O8" s="1">
        <v>0.22</v>
      </c>
      <c r="P8" s="1">
        <v>0.11</v>
      </c>
      <c r="Q8" s="1">
        <v>0.45</v>
      </c>
      <c r="R8" s="1">
        <v>0.38</v>
      </c>
      <c r="S8" s="1">
        <v>0.44</v>
      </c>
      <c r="T8" s="1">
        <v>0.43</v>
      </c>
      <c r="U8" s="1">
        <v>0.11</v>
      </c>
      <c r="V8" s="1">
        <v>0.36</v>
      </c>
      <c r="W8" s="1">
        <v>0.52</v>
      </c>
      <c r="X8" s="1">
        <v>0.28000000000000003</v>
      </c>
      <c r="Y8" s="1">
        <v>0.37</v>
      </c>
      <c r="Z8" s="1">
        <v>0.6</v>
      </c>
      <c r="AA8">
        <f>SUM(L8:Z8)</f>
        <v>6.49</v>
      </c>
      <c r="AB8" s="50">
        <f>AA8/15</f>
        <v>0.4326666666666667</v>
      </c>
      <c r="AC8" s="1">
        <v>0.71</v>
      </c>
    </row>
    <row r="9" spans="1:29" x14ac:dyDescent="0.25">
      <c r="A9" s="1"/>
      <c r="B9" s="1"/>
      <c r="C9" s="1"/>
      <c r="D9" s="1"/>
      <c r="E9" s="1" t="s">
        <v>9</v>
      </c>
      <c r="F9" s="13">
        <v>459</v>
      </c>
      <c r="G9" s="14">
        <v>423</v>
      </c>
      <c r="H9" s="1">
        <v>572</v>
      </c>
      <c r="I9" s="1">
        <v>381</v>
      </c>
      <c r="J9" s="18">
        <v>283</v>
      </c>
      <c r="K9" s="1"/>
    </row>
    <row r="10" spans="1:29" x14ac:dyDescent="0.25">
      <c r="A10" s="1"/>
      <c r="B10" s="1"/>
      <c r="C10" s="1"/>
      <c r="D10" s="1"/>
      <c r="E10" s="1" t="s">
        <v>10</v>
      </c>
      <c r="F10" s="13">
        <f>F9-F8</f>
        <v>1</v>
      </c>
      <c r="G10" s="14">
        <f t="shared" ref="G10" si="2">G9-G8</f>
        <v>6</v>
      </c>
      <c r="H10" s="1">
        <f t="shared" ref="H10" si="3">H9-H8</f>
        <v>151</v>
      </c>
      <c r="I10" s="1">
        <f t="shared" ref="I10" si="4">I9-I8</f>
        <v>16</v>
      </c>
      <c r="J10" s="18">
        <f t="shared" ref="J10" si="5">J9-J8</f>
        <v>28</v>
      </c>
      <c r="K10" s="1"/>
    </row>
    <row r="11" spans="1:29" x14ac:dyDescent="0.25">
      <c r="A11" s="1"/>
      <c r="B11" s="1"/>
      <c r="C11" s="1"/>
      <c r="D11" s="1"/>
      <c r="E11" s="1" t="s">
        <v>14</v>
      </c>
      <c r="F11" s="32">
        <f>F10/2</f>
        <v>0.5</v>
      </c>
      <c r="G11" s="33">
        <f t="shared" ref="G11" si="6">G10/2</f>
        <v>3</v>
      </c>
      <c r="H11" s="8">
        <f>(H10/2)-1</f>
        <v>74.5</v>
      </c>
      <c r="I11" s="8">
        <f t="shared" ref="I11" si="7">I10/2</f>
        <v>8</v>
      </c>
      <c r="J11" s="45">
        <f t="shared" ref="J11" si="8">J10/2</f>
        <v>14</v>
      </c>
      <c r="K11" s="1">
        <f>SUM(F11:J11)</f>
        <v>100</v>
      </c>
    </row>
    <row r="12" spans="1:29" x14ac:dyDescent="0.25">
      <c r="A12" s="6"/>
      <c r="B12" s="6"/>
      <c r="C12" s="6"/>
      <c r="D12" s="6"/>
      <c r="E12" s="6"/>
      <c r="F12" s="26"/>
      <c r="G12" s="27"/>
      <c r="H12" s="6"/>
      <c r="I12" s="6"/>
      <c r="J12" s="28"/>
      <c r="K12" s="6"/>
    </row>
    <row r="13" spans="1:29" x14ac:dyDescent="0.25">
      <c r="A13" s="6"/>
      <c r="B13" s="6"/>
      <c r="C13" s="6"/>
      <c r="D13" s="6"/>
      <c r="E13" s="6"/>
      <c r="F13" s="26"/>
      <c r="G13" s="27"/>
      <c r="H13" s="6"/>
      <c r="I13" s="6"/>
      <c r="J13" s="28"/>
      <c r="K13" s="6"/>
    </row>
    <row r="14" spans="1:29" x14ac:dyDescent="0.25">
      <c r="A14" s="1" t="s">
        <v>0</v>
      </c>
      <c r="B14" s="1" t="s">
        <v>1</v>
      </c>
      <c r="C14" s="1" t="s">
        <v>13</v>
      </c>
      <c r="D14" s="1" t="s">
        <v>12</v>
      </c>
      <c r="E14" s="1" t="s">
        <v>7</v>
      </c>
      <c r="F14" s="13" t="s">
        <v>2</v>
      </c>
      <c r="G14" s="14" t="s">
        <v>3</v>
      </c>
      <c r="H14" s="1" t="s">
        <v>4</v>
      </c>
      <c r="I14" s="1" t="s">
        <v>5</v>
      </c>
      <c r="J14" s="18" t="s">
        <v>6</v>
      </c>
      <c r="K14" s="1"/>
      <c r="L14" s="1">
        <v>1</v>
      </c>
      <c r="M14" s="1">
        <v>2</v>
      </c>
      <c r="N14" s="1">
        <v>3</v>
      </c>
      <c r="O14" s="1">
        <v>4</v>
      </c>
      <c r="P14" s="1">
        <v>5</v>
      </c>
      <c r="Q14" s="1">
        <v>6</v>
      </c>
      <c r="R14" s="1">
        <v>7</v>
      </c>
      <c r="S14" s="1">
        <v>8</v>
      </c>
      <c r="T14" s="1">
        <v>9</v>
      </c>
      <c r="U14" s="1">
        <v>10</v>
      </c>
      <c r="V14" s="1">
        <v>11</v>
      </c>
      <c r="W14" s="1">
        <v>12</v>
      </c>
      <c r="X14" s="1">
        <v>13</v>
      </c>
      <c r="Y14" s="1">
        <v>14</v>
      </c>
      <c r="Z14" s="1">
        <v>15</v>
      </c>
      <c r="AB14" s="50" t="s">
        <v>16</v>
      </c>
      <c r="AC14" t="s">
        <v>17</v>
      </c>
    </row>
    <row r="15" spans="1:29" x14ac:dyDescent="0.25">
      <c r="A15" s="2">
        <v>45695</v>
      </c>
      <c r="B15" s="1" t="s">
        <v>19</v>
      </c>
      <c r="C15" s="1">
        <v>1</v>
      </c>
      <c r="D15" s="1">
        <v>2</v>
      </c>
      <c r="E15" s="1" t="s">
        <v>8</v>
      </c>
      <c r="F15" s="13">
        <v>458</v>
      </c>
      <c r="G15" s="14">
        <v>417</v>
      </c>
      <c r="H15" s="1">
        <v>421</v>
      </c>
      <c r="I15" s="1">
        <v>365</v>
      </c>
      <c r="J15" s="18">
        <v>255</v>
      </c>
      <c r="K15" s="1"/>
      <c r="L15" s="1">
        <v>0.51</v>
      </c>
      <c r="M15" s="1">
        <v>0.49</v>
      </c>
      <c r="N15" s="1">
        <v>0.83</v>
      </c>
      <c r="O15" s="1">
        <v>0.33</v>
      </c>
      <c r="P15" s="1">
        <v>0.67</v>
      </c>
      <c r="Q15" s="1">
        <v>0.4</v>
      </c>
      <c r="R15" s="1">
        <v>0.7</v>
      </c>
      <c r="S15" s="1">
        <v>0.3</v>
      </c>
      <c r="T15" s="1">
        <v>0.51</v>
      </c>
      <c r="U15" s="1">
        <v>0.51</v>
      </c>
      <c r="V15" s="1">
        <v>0.35</v>
      </c>
      <c r="W15" s="1">
        <v>0.37</v>
      </c>
      <c r="X15" s="1">
        <v>0.14000000000000001</v>
      </c>
      <c r="Y15" s="1">
        <v>0.54</v>
      </c>
      <c r="Z15" s="1">
        <v>0.53</v>
      </c>
      <c r="AA15">
        <f>SUM(L15:Z15)</f>
        <v>7.1799999999999988</v>
      </c>
      <c r="AB15" s="50">
        <f>AA15/15</f>
        <v>0.47866666666666657</v>
      </c>
      <c r="AC15" s="1">
        <v>2.86</v>
      </c>
    </row>
    <row r="16" spans="1:29" x14ac:dyDescent="0.25">
      <c r="A16" s="1"/>
      <c r="B16" s="1"/>
      <c r="C16" s="1"/>
      <c r="D16" s="1"/>
      <c r="E16" s="1" t="s">
        <v>9</v>
      </c>
      <c r="F16" s="13">
        <v>459</v>
      </c>
      <c r="G16" s="14">
        <v>422</v>
      </c>
      <c r="H16" s="1">
        <v>598</v>
      </c>
      <c r="I16" s="1">
        <v>379</v>
      </c>
      <c r="J16" s="18">
        <v>260</v>
      </c>
      <c r="K16" s="1"/>
    </row>
    <row r="17" spans="1:29" x14ac:dyDescent="0.25">
      <c r="A17" s="1"/>
      <c r="B17" s="1"/>
      <c r="C17" s="1"/>
      <c r="D17" s="1"/>
      <c r="E17" s="1" t="s">
        <v>10</v>
      </c>
      <c r="F17" s="13">
        <f>F16-F15</f>
        <v>1</v>
      </c>
      <c r="G17" s="14">
        <f t="shared" ref="G17" si="9">G16-G15</f>
        <v>5</v>
      </c>
      <c r="H17" s="1">
        <f t="shared" ref="H17" si="10">H16-H15</f>
        <v>177</v>
      </c>
      <c r="I17" s="1">
        <f t="shared" ref="I17" si="11">I16-I15</f>
        <v>14</v>
      </c>
      <c r="J17" s="18">
        <f t="shared" ref="J17" si="12">J16-J15</f>
        <v>5</v>
      </c>
      <c r="K17" s="1"/>
    </row>
    <row r="18" spans="1:29" x14ac:dyDescent="0.25">
      <c r="A18" s="1"/>
      <c r="B18" s="1"/>
      <c r="C18" s="1"/>
      <c r="D18" s="1"/>
      <c r="E18" s="1" t="s">
        <v>14</v>
      </c>
      <c r="F18" s="32">
        <f>F17/2</f>
        <v>0.5</v>
      </c>
      <c r="G18" s="33">
        <f t="shared" ref="G18" si="13">G17/2</f>
        <v>2.5</v>
      </c>
      <c r="H18" s="8">
        <f>(H17/2)-1</f>
        <v>87.5</v>
      </c>
      <c r="I18" s="8">
        <f t="shared" ref="I18" si="14">I17/2</f>
        <v>7</v>
      </c>
      <c r="J18" s="45">
        <f t="shared" ref="J18" si="15">J17/2</f>
        <v>2.5</v>
      </c>
      <c r="K18" s="1">
        <f>SUM(F18:J18)</f>
        <v>100</v>
      </c>
    </row>
    <row r="19" spans="1:29" x14ac:dyDescent="0.25">
      <c r="A19" s="6"/>
      <c r="B19" s="6"/>
      <c r="C19" s="6"/>
      <c r="D19" s="6"/>
      <c r="E19" s="6"/>
      <c r="F19" s="26"/>
      <c r="G19" s="27"/>
      <c r="H19" s="6"/>
      <c r="I19" s="6"/>
      <c r="J19" s="28"/>
      <c r="K19" s="6"/>
    </row>
    <row r="20" spans="1:29" x14ac:dyDescent="0.25">
      <c r="A20" s="6"/>
      <c r="B20" s="6"/>
      <c r="C20" s="6"/>
      <c r="D20" s="6"/>
      <c r="E20" s="6"/>
      <c r="F20" s="26"/>
      <c r="G20" s="27"/>
      <c r="H20" s="6"/>
      <c r="I20" s="6"/>
      <c r="J20" s="28"/>
      <c r="K20" s="6"/>
    </row>
    <row r="21" spans="1:29" x14ac:dyDescent="0.25">
      <c r="A21" s="1" t="s">
        <v>0</v>
      </c>
      <c r="B21" s="1" t="s">
        <v>1</v>
      </c>
      <c r="C21" s="1" t="s">
        <v>13</v>
      </c>
      <c r="D21" s="1" t="s">
        <v>12</v>
      </c>
      <c r="E21" s="1" t="s">
        <v>7</v>
      </c>
      <c r="F21" s="13" t="s">
        <v>2</v>
      </c>
      <c r="G21" s="14" t="s">
        <v>3</v>
      </c>
      <c r="H21" s="1" t="s">
        <v>4</v>
      </c>
      <c r="I21" s="1" t="s">
        <v>5</v>
      </c>
      <c r="J21" s="18" t="s">
        <v>6</v>
      </c>
      <c r="K21" s="1"/>
      <c r="L21" s="1">
        <v>1</v>
      </c>
      <c r="M21" s="1">
        <v>2</v>
      </c>
      <c r="N21" s="1">
        <v>3</v>
      </c>
      <c r="O21" s="1">
        <v>4</v>
      </c>
      <c r="P21" s="1">
        <v>5</v>
      </c>
      <c r="Q21" s="1">
        <v>6</v>
      </c>
      <c r="R21" s="1">
        <v>7</v>
      </c>
      <c r="S21" s="1">
        <v>8</v>
      </c>
      <c r="T21" s="1">
        <v>9</v>
      </c>
      <c r="U21" s="1">
        <v>10</v>
      </c>
      <c r="V21" s="1">
        <v>11</v>
      </c>
      <c r="W21" s="1">
        <v>12</v>
      </c>
      <c r="X21" s="1">
        <v>13</v>
      </c>
      <c r="Y21" s="1">
        <v>14</v>
      </c>
      <c r="Z21" s="1">
        <v>15</v>
      </c>
      <c r="AB21" t="s">
        <v>16</v>
      </c>
      <c r="AC21" t="s">
        <v>18</v>
      </c>
    </row>
    <row r="22" spans="1:29" x14ac:dyDescent="0.25">
      <c r="A22" s="2">
        <v>45695</v>
      </c>
      <c r="B22" s="1" t="s">
        <v>19</v>
      </c>
      <c r="C22" s="1">
        <v>1</v>
      </c>
      <c r="D22" s="1">
        <v>1</v>
      </c>
      <c r="E22" s="1" t="s">
        <v>8</v>
      </c>
      <c r="F22" s="13">
        <v>458</v>
      </c>
      <c r="G22" s="14">
        <v>417</v>
      </c>
      <c r="H22" s="1">
        <v>421</v>
      </c>
      <c r="I22" s="1">
        <v>365</v>
      </c>
      <c r="J22" s="18">
        <v>255</v>
      </c>
      <c r="K22" s="1"/>
      <c r="L22" s="1">
        <v>0.25</v>
      </c>
      <c r="M22" s="1">
        <v>0.72</v>
      </c>
      <c r="N22" s="1">
        <v>0.69</v>
      </c>
      <c r="O22" s="1">
        <v>0.47</v>
      </c>
      <c r="P22" s="1">
        <v>0.9</v>
      </c>
      <c r="Q22" s="1">
        <v>0.35</v>
      </c>
      <c r="R22" s="1">
        <v>0.34</v>
      </c>
      <c r="S22" s="1">
        <v>0.19</v>
      </c>
      <c r="T22" s="1">
        <v>0.2</v>
      </c>
      <c r="U22" s="1">
        <v>0.25</v>
      </c>
      <c r="V22">
        <v>0.4</v>
      </c>
      <c r="W22" s="1">
        <v>0.56000000000000005</v>
      </c>
      <c r="X22" s="1">
        <v>0.46</v>
      </c>
      <c r="Y22">
        <v>0.49</v>
      </c>
      <c r="Z22">
        <v>0.42</v>
      </c>
      <c r="AA22">
        <f>SUM(L22:Z22)</f>
        <v>6.69</v>
      </c>
      <c r="AB22" s="50">
        <f>AA22/15</f>
        <v>0.44600000000000001</v>
      </c>
      <c r="AC22">
        <v>0.99</v>
      </c>
    </row>
    <row r="23" spans="1:29" x14ac:dyDescent="0.25">
      <c r="A23" s="1"/>
      <c r="B23" s="1"/>
      <c r="C23" s="1"/>
      <c r="D23" s="1"/>
      <c r="E23" s="1" t="s">
        <v>9</v>
      </c>
      <c r="F23" s="13">
        <v>459</v>
      </c>
      <c r="G23" s="14">
        <v>421</v>
      </c>
      <c r="H23" s="1">
        <v>605</v>
      </c>
      <c r="I23" s="1">
        <v>373</v>
      </c>
      <c r="J23" s="18">
        <v>260</v>
      </c>
      <c r="K23" s="1"/>
    </row>
    <row r="24" spans="1:29" x14ac:dyDescent="0.25">
      <c r="A24" s="1"/>
      <c r="B24" s="1"/>
      <c r="C24" s="1"/>
      <c r="D24" s="1"/>
      <c r="E24" s="1" t="s">
        <v>10</v>
      </c>
      <c r="F24" s="13">
        <f>F23-F22</f>
        <v>1</v>
      </c>
      <c r="G24" s="14">
        <f t="shared" ref="G24" si="16">G23-G22</f>
        <v>4</v>
      </c>
      <c r="H24" s="1">
        <f t="shared" ref="H24" si="17">H23-H22</f>
        <v>184</v>
      </c>
      <c r="I24" s="1">
        <f t="shared" ref="I24" si="18">I23-I22</f>
        <v>8</v>
      </c>
      <c r="J24" s="18">
        <f t="shared" ref="J24" si="19">J23-J22</f>
        <v>5</v>
      </c>
      <c r="K24" s="1"/>
    </row>
    <row r="25" spans="1:29" x14ac:dyDescent="0.25">
      <c r="A25" s="1"/>
      <c r="B25" s="1"/>
      <c r="C25" s="1"/>
      <c r="D25" s="1"/>
      <c r="E25" s="1" t="s">
        <v>14</v>
      </c>
      <c r="F25" s="32">
        <f>F24/2</f>
        <v>0.5</v>
      </c>
      <c r="G25" s="33">
        <f t="shared" ref="G25" si="20">G24/2</f>
        <v>2</v>
      </c>
      <c r="H25" s="8">
        <f>(H24/2)-1</f>
        <v>91</v>
      </c>
      <c r="I25" s="8">
        <f t="shared" ref="I25" si="21">I24/2</f>
        <v>4</v>
      </c>
      <c r="J25" s="45">
        <f t="shared" ref="J25" si="22">J24/2</f>
        <v>2.5</v>
      </c>
      <c r="K25" s="1">
        <f>SUM(F25:J25)</f>
        <v>100</v>
      </c>
    </row>
    <row r="26" spans="1:29" x14ac:dyDescent="0.25">
      <c r="A26" s="6"/>
      <c r="B26" s="6"/>
      <c r="C26" s="6"/>
      <c r="D26" s="6"/>
      <c r="E26" s="6"/>
      <c r="F26" s="26"/>
      <c r="G26" s="27"/>
      <c r="H26" s="6"/>
      <c r="I26" s="6"/>
      <c r="J26" s="28"/>
      <c r="K26" s="6"/>
    </row>
    <row r="27" spans="1:29" x14ac:dyDescent="0.25">
      <c r="A27" s="6"/>
      <c r="B27" s="6"/>
      <c r="C27" s="6"/>
      <c r="D27" s="6"/>
      <c r="E27" s="6"/>
      <c r="F27" s="26"/>
      <c r="G27" s="27"/>
      <c r="H27" s="6"/>
      <c r="I27" s="6"/>
      <c r="J27" s="28"/>
      <c r="K27" s="6"/>
    </row>
    <row r="28" spans="1:29" x14ac:dyDescent="0.25">
      <c r="A28" s="6"/>
      <c r="B28" s="6"/>
      <c r="C28" s="6"/>
      <c r="D28" s="6"/>
      <c r="E28" s="6"/>
      <c r="F28" s="26"/>
      <c r="G28" s="27"/>
      <c r="H28" s="6"/>
      <c r="I28" s="6"/>
      <c r="J28" s="28"/>
      <c r="K28" s="6"/>
    </row>
    <row r="29" spans="1:29" x14ac:dyDescent="0.25">
      <c r="A29" s="1" t="s">
        <v>0</v>
      </c>
      <c r="B29" s="1" t="s">
        <v>1</v>
      </c>
      <c r="C29" s="1" t="s">
        <v>13</v>
      </c>
      <c r="D29" s="1" t="s">
        <v>12</v>
      </c>
      <c r="E29" s="1" t="s">
        <v>7</v>
      </c>
      <c r="F29" s="13" t="s">
        <v>2</v>
      </c>
      <c r="G29" s="14" t="s">
        <v>3</v>
      </c>
      <c r="H29" s="1" t="s">
        <v>4</v>
      </c>
      <c r="I29" s="1" t="s">
        <v>5</v>
      </c>
      <c r="J29" s="18" t="s">
        <v>6</v>
      </c>
      <c r="K29" s="6"/>
      <c r="L29" s="1">
        <v>1</v>
      </c>
      <c r="M29" s="1">
        <v>2</v>
      </c>
      <c r="N29" s="1">
        <v>3</v>
      </c>
      <c r="O29" s="1">
        <v>4</v>
      </c>
      <c r="P29" s="1">
        <v>5</v>
      </c>
      <c r="Q29" s="1">
        <v>6</v>
      </c>
      <c r="R29" s="1">
        <v>7</v>
      </c>
      <c r="S29" s="1">
        <v>8</v>
      </c>
      <c r="T29" s="1">
        <v>9</v>
      </c>
      <c r="U29" s="1">
        <v>10</v>
      </c>
      <c r="V29" s="1">
        <v>11</v>
      </c>
      <c r="W29" s="1">
        <v>12</v>
      </c>
      <c r="X29" s="1">
        <v>13</v>
      </c>
      <c r="Y29" s="1">
        <v>14</v>
      </c>
      <c r="Z29" s="1">
        <v>15</v>
      </c>
      <c r="AB29" t="s">
        <v>16</v>
      </c>
      <c r="AC29" t="s">
        <v>17</v>
      </c>
    </row>
    <row r="30" spans="1:29" x14ac:dyDescent="0.25">
      <c r="A30" s="2">
        <v>45695</v>
      </c>
      <c r="B30" s="1" t="s">
        <v>19</v>
      </c>
      <c r="C30" s="1">
        <v>2</v>
      </c>
      <c r="D30" s="1">
        <v>1</v>
      </c>
      <c r="E30" s="1" t="s">
        <v>8</v>
      </c>
      <c r="F30" s="13">
        <v>458</v>
      </c>
      <c r="G30" s="14">
        <v>417</v>
      </c>
      <c r="H30" s="1">
        <v>421</v>
      </c>
      <c r="I30" s="1">
        <v>365</v>
      </c>
      <c r="J30" s="18">
        <v>255</v>
      </c>
      <c r="K30" s="6"/>
      <c r="L30" s="1">
        <v>1.34</v>
      </c>
      <c r="M30" s="1">
        <v>0.88</v>
      </c>
      <c r="N30" s="1">
        <v>0.78</v>
      </c>
      <c r="O30" s="1">
        <v>1.1200000000000001</v>
      </c>
      <c r="P30" s="1">
        <v>1.1200000000000001</v>
      </c>
      <c r="Q30" s="1">
        <v>1.66</v>
      </c>
      <c r="R30" s="1">
        <v>1.42</v>
      </c>
      <c r="S30" s="1">
        <v>1.35</v>
      </c>
      <c r="T30" s="1">
        <v>0.78</v>
      </c>
      <c r="U30" s="1">
        <v>0.68</v>
      </c>
      <c r="V30" s="1">
        <v>0.93</v>
      </c>
      <c r="W30" s="1">
        <v>1.26</v>
      </c>
      <c r="X30" s="1">
        <v>1.56</v>
      </c>
      <c r="Y30" s="1">
        <v>1.7</v>
      </c>
      <c r="Z30" s="1">
        <v>1.1100000000000001</v>
      </c>
      <c r="AA30">
        <f>SUM(L30:Z30)</f>
        <v>17.689999999999998</v>
      </c>
      <c r="AB30" s="50">
        <f>AA30/15</f>
        <v>1.1793333333333331</v>
      </c>
      <c r="AC30" s="1">
        <v>1.89</v>
      </c>
    </row>
    <row r="31" spans="1:29" x14ac:dyDescent="0.25">
      <c r="A31" s="1"/>
      <c r="B31" s="1"/>
      <c r="C31" s="1"/>
      <c r="D31" s="1"/>
      <c r="E31" s="1" t="s">
        <v>9</v>
      </c>
      <c r="F31" s="13">
        <v>459</v>
      </c>
      <c r="G31" s="14">
        <v>431</v>
      </c>
      <c r="H31" s="1">
        <v>593</v>
      </c>
      <c r="I31" s="1">
        <v>375</v>
      </c>
      <c r="J31" s="18">
        <v>258</v>
      </c>
      <c r="K31" s="6"/>
    </row>
    <row r="32" spans="1:29" x14ac:dyDescent="0.25">
      <c r="A32" s="1"/>
      <c r="B32" s="1"/>
      <c r="C32" s="1"/>
      <c r="D32" s="1"/>
      <c r="E32" s="1" t="s">
        <v>10</v>
      </c>
      <c r="F32" s="13">
        <f>F31-F30</f>
        <v>1</v>
      </c>
      <c r="G32" s="14">
        <f t="shared" ref="G32:J32" si="23">G31-G30</f>
        <v>14</v>
      </c>
      <c r="H32" s="1">
        <f t="shared" si="23"/>
        <v>172</v>
      </c>
      <c r="I32" s="1">
        <f t="shared" si="23"/>
        <v>10</v>
      </c>
      <c r="J32" s="18">
        <f t="shared" si="23"/>
        <v>3</v>
      </c>
      <c r="K32" s="6"/>
    </row>
    <row r="33" spans="1:29" x14ac:dyDescent="0.25">
      <c r="A33" s="1"/>
      <c r="B33" s="1"/>
      <c r="C33" s="1"/>
      <c r="D33" s="1"/>
      <c r="E33" s="1" t="s">
        <v>14</v>
      </c>
      <c r="F33" s="32">
        <f>F32/2</f>
        <v>0.5</v>
      </c>
      <c r="G33" s="33">
        <f t="shared" ref="G33" si="24">G32/2</f>
        <v>7</v>
      </c>
      <c r="H33" s="8">
        <f>(H32/2)</f>
        <v>86</v>
      </c>
      <c r="I33" s="8">
        <f t="shared" ref="I33:J33" si="25">I32/2</f>
        <v>5</v>
      </c>
      <c r="J33" s="45">
        <f t="shared" si="25"/>
        <v>1.5</v>
      </c>
      <c r="K33" s="1">
        <f>SUM(F33:J33)</f>
        <v>100</v>
      </c>
    </row>
    <row r="34" spans="1:29" x14ac:dyDescent="0.25">
      <c r="A34" s="6"/>
      <c r="B34" s="6"/>
      <c r="C34" s="6"/>
      <c r="D34" s="6"/>
      <c r="E34" s="6"/>
      <c r="F34" s="26"/>
      <c r="G34" s="27"/>
      <c r="H34" s="6"/>
      <c r="I34" s="6"/>
      <c r="J34" s="28"/>
      <c r="K34" s="6"/>
    </row>
    <row r="35" spans="1:29" x14ac:dyDescent="0.25">
      <c r="A35" s="1" t="s">
        <v>0</v>
      </c>
      <c r="B35" s="1" t="s">
        <v>1</v>
      </c>
      <c r="C35" s="1" t="s">
        <v>13</v>
      </c>
      <c r="D35" s="1" t="s">
        <v>12</v>
      </c>
      <c r="E35" s="1" t="s">
        <v>7</v>
      </c>
      <c r="F35" s="13" t="s">
        <v>2</v>
      </c>
      <c r="G35" s="14" t="s">
        <v>3</v>
      </c>
      <c r="H35" s="1" t="s">
        <v>4</v>
      </c>
      <c r="I35" s="1" t="s">
        <v>5</v>
      </c>
      <c r="J35" s="18" t="s">
        <v>6</v>
      </c>
      <c r="K35" s="6"/>
      <c r="L35" s="1">
        <v>1</v>
      </c>
      <c r="M35" s="1">
        <v>2</v>
      </c>
      <c r="N35" s="1">
        <v>3</v>
      </c>
      <c r="O35" s="1">
        <v>4</v>
      </c>
      <c r="P35" s="1">
        <v>5</v>
      </c>
      <c r="Q35" s="1">
        <v>6</v>
      </c>
      <c r="R35" s="1">
        <v>7</v>
      </c>
      <c r="S35" s="1">
        <v>8</v>
      </c>
      <c r="T35" s="1">
        <v>9</v>
      </c>
      <c r="U35" s="1">
        <v>10</v>
      </c>
      <c r="V35" s="1">
        <v>11</v>
      </c>
      <c r="W35" s="1">
        <v>12</v>
      </c>
      <c r="X35" s="1">
        <v>13</v>
      </c>
      <c r="Y35" s="1">
        <v>14</v>
      </c>
      <c r="Z35" s="1">
        <v>15</v>
      </c>
      <c r="AB35" t="s">
        <v>16</v>
      </c>
      <c r="AC35" t="s">
        <v>17</v>
      </c>
    </row>
    <row r="36" spans="1:29" x14ac:dyDescent="0.25">
      <c r="A36" s="2">
        <v>45695</v>
      </c>
      <c r="B36" s="1" t="s">
        <v>19</v>
      </c>
      <c r="C36" s="1">
        <v>2</v>
      </c>
      <c r="D36" s="1">
        <v>2</v>
      </c>
      <c r="E36" s="1" t="s">
        <v>8</v>
      </c>
      <c r="F36" s="13">
        <v>458</v>
      </c>
      <c r="G36" s="14">
        <v>417</v>
      </c>
      <c r="H36" s="1">
        <v>421</v>
      </c>
      <c r="I36" s="1">
        <v>365</v>
      </c>
      <c r="J36" s="18">
        <v>255</v>
      </c>
      <c r="K36" s="6"/>
      <c r="L36" s="1">
        <v>0.95</v>
      </c>
      <c r="M36" s="1">
        <v>0.91</v>
      </c>
      <c r="N36" s="1">
        <v>1.89</v>
      </c>
      <c r="O36" s="1">
        <v>1.23</v>
      </c>
      <c r="P36" s="1">
        <v>1.48</v>
      </c>
      <c r="Q36" s="1">
        <v>1.26</v>
      </c>
      <c r="R36" s="1">
        <v>1.59</v>
      </c>
      <c r="S36" s="1">
        <v>1.76</v>
      </c>
      <c r="T36" s="1">
        <v>1.55</v>
      </c>
      <c r="U36" s="1">
        <v>1.4</v>
      </c>
      <c r="V36" s="1">
        <v>1.07</v>
      </c>
      <c r="W36" s="1">
        <v>1.38</v>
      </c>
      <c r="X36" s="1">
        <v>1.3</v>
      </c>
      <c r="Y36" s="1">
        <v>1.56</v>
      </c>
      <c r="Z36" s="1">
        <v>1.8</v>
      </c>
      <c r="AA36">
        <f>SUM(L36:Z36)</f>
        <v>21.130000000000003</v>
      </c>
      <c r="AB36" s="50">
        <f>AA36/15</f>
        <v>1.4086666666666667</v>
      </c>
      <c r="AC36" s="1">
        <v>1.67</v>
      </c>
    </row>
    <row r="37" spans="1:29" x14ac:dyDescent="0.25">
      <c r="A37" s="1"/>
      <c r="B37" s="1"/>
      <c r="C37" s="1"/>
      <c r="D37" s="1"/>
      <c r="E37" s="1" t="s">
        <v>9</v>
      </c>
      <c r="F37" s="13">
        <v>459</v>
      </c>
      <c r="G37" s="14">
        <v>425</v>
      </c>
      <c r="H37" s="1">
        <v>584</v>
      </c>
      <c r="I37" s="1">
        <v>388</v>
      </c>
      <c r="J37" s="18">
        <v>260</v>
      </c>
      <c r="K37" s="6"/>
    </row>
    <row r="38" spans="1:29" x14ac:dyDescent="0.25">
      <c r="A38" s="1"/>
      <c r="B38" s="1"/>
      <c r="C38" s="1"/>
      <c r="D38" s="1"/>
      <c r="E38" s="1" t="s">
        <v>10</v>
      </c>
      <c r="F38" s="13">
        <f>F37-F36</f>
        <v>1</v>
      </c>
      <c r="G38" s="14">
        <f t="shared" ref="G38:J38" si="26">G37-G36</f>
        <v>8</v>
      </c>
      <c r="H38" s="1">
        <f t="shared" si="26"/>
        <v>163</v>
      </c>
      <c r="I38" s="1">
        <f t="shared" si="26"/>
        <v>23</v>
      </c>
      <c r="J38" s="18">
        <f t="shared" si="26"/>
        <v>5</v>
      </c>
      <c r="K38" s="6"/>
    </row>
    <row r="39" spans="1:29" x14ac:dyDescent="0.25">
      <c r="A39" s="1"/>
      <c r="B39" s="1"/>
      <c r="C39" s="1"/>
      <c r="D39" s="1"/>
      <c r="E39" s="1" t="s">
        <v>14</v>
      </c>
      <c r="F39" s="32">
        <f>F38/2</f>
        <v>0.5</v>
      </c>
      <c r="G39" s="33">
        <f t="shared" ref="G39" si="27">G38/2</f>
        <v>4</v>
      </c>
      <c r="H39" s="8">
        <f>(H38/2)</f>
        <v>81.5</v>
      </c>
      <c r="I39" s="8">
        <f t="shared" ref="I39:J39" si="28">I38/2</f>
        <v>11.5</v>
      </c>
      <c r="J39" s="45">
        <f t="shared" si="28"/>
        <v>2.5</v>
      </c>
      <c r="K39" s="1">
        <f>SUM(F39:J39)</f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3AE5-AC12-460B-8EB3-FBE1F7393E9A}">
  <dimension ref="A1:AC44"/>
  <sheetViews>
    <sheetView workbookViewId="0">
      <selection activeCell="J32" sqref="J32"/>
    </sheetView>
    <sheetView topLeftCell="A27" workbookViewId="1">
      <selection activeCell="K27" sqref="K27"/>
    </sheetView>
  </sheetViews>
  <sheetFormatPr baseColWidth="10" defaultRowHeight="15" x14ac:dyDescent="0.25"/>
  <cols>
    <col min="2" max="2" width="23.85546875" customWidth="1"/>
    <col min="5" max="5" width="19.42578125" customWidth="1"/>
    <col min="11" max="11" width="22.28515625" customWidth="1"/>
    <col min="12" max="27" width="0" hidden="1" customWidth="1"/>
  </cols>
  <sheetData>
    <row r="1" spans="1:29" x14ac:dyDescent="0.25">
      <c r="E1" s="60" t="s">
        <v>23</v>
      </c>
      <c r="F1" s="60"/>
      <c r="G1" s="60"/>
      <c r="H1" s="60"/>
      <c r="I1" s="60"/>
      <c r="J1" s="60"/>
    </row>
    <row r="2" spans="1:29" x14ac:dyDescent="0.25">
      <c r="A2" s="1" t="s">
        <v>0</v>
      </c>
      <c r="B2" s="1" t="s">
        <v>1</v>
      </c>
      <c r="C2" s="1" t="s">
        <v>13</v>
      </c>
      <c r="D2" s="1" t="s">
        <v>12</v>
      </c>
      <c r="E2" s="1" t="s">
        <v>7</v>
      </c>
      <c r="F2" s="1" t="s">
        <v>25</v>
      </c>
      <c r="G2" s="1" t="s">
        <v>24</v>
      </c>
      <c r="H2" s="1" t="s">
        <v>21</v>
      </c>
      <c r="I2" s="1" t="s">
        <v>22</v>
      </c>
      <c r="J2" s="1" t="s">
        <v>6</v>
      </c>
      <c r="K2" s="1" t="s">
        <v>26</v>
      </c>
    </row>
    <row r="3" spans="1:29" x14ac:dyDescent="0.25">
      <c r="A3" s="2">
        <v>45696</v>
      </c>
      <c r="B3" s="1" t="s">
        <v>27</v>
      </c>
      <c r="C3" s="1">
        <v>1</v>
      </c>
      <c r="D3" s="1">
        <v>2</v>
      </c>
      <c r="E3" s="1" t="s">
        <v>8</v>
      </c>
      <c r="F3" s="1">
        <v>407</v>
      </c>
      <c r="G3" s="1">
        <v>362</v>
      </c>
      <c r="H3" s="1">
        <v>329</v>
      </c>
      <c r="I3" s="1">
        <v>314</v>
      </c>
      <c r="J3" s="1">
        <v>255</v>
      </c>
      <c r="K3" s="1"/>
      <c r="AB3" s="4"/>
    </row>
    <row r="4" spans="1:29" x14ac:dyDescent="0.25">
      <c r="A4" s="1"/>
      <c r="B4" s="1"/>
      <c r="C4" s="1"/>
      <c r="D4" s="1"/>
      <c r="E4" s="1" t="s">
        <v>9</v>
      </c>
      <c r="F4" s="1">
        <v>407</v>
      </c>
      <c r="G4" s="1">
        <v>373</v>
      </c>
      <c r="H4" s="1">
        <v>344</v>
      </c>
      <c r="I4" s="1">
        <v>347</v>
      </c>
      <c r="J4" s="1">
        <v>394</v>
      </c>
      <c r="K4" s="1"/>
    </row>
    <row r="5" spans="1:29" x14ac:dyDescent="0.25">
      <c r="A5" s="1"/>
      <c r="B5" s="1"/>
      <c r="C5" s="1"/>
      <c r="D5" s="1"/>
      <c r="E5" s="1" t="s">
        <v>10</v>
      </c>
      <c r="F5" s="1">
        <f>F4-F3</f>
        <v>0</v>
      </c>
      <c r="G5" s="1">
        <f t="shared" ref="G5:J5" si="0">G4-G3</f>
        <v>11</v>
      </c>
      <c r="H5" s="1">
        <f t="shared" si="0"/>
        <v>15</v>
      </c>
      <c r="I5" s="1">
        <f t="shared" si="0"/>
        <v>33</v>
      </c>
      <c r="J5" s="1">
        <f t="shared" si="0"/>
        <v>139</v>
      </c>
      <c r="K5" s="1"/>
    </row>
    <row r="6" spans="1:29" x14ac:dyDescent="0.25">
      <c r="A6" s="1"/>
      <c r="B6" s="1"/>
      <c r="C6" s="1"/>
      <c r="D6" s="1"/>
      <c r="E6" s="1" t="s">
        <v>14</v>
      </c>
      <c r="F6" s="8">
        <f>F5/2</f>
        <v>0</v>
      </c>
      <c r="G6" s="8">
        <f t="shared" ref="G6:J6" si="1">G5/2</f>
        <v>5.5</v>
      </c>
      <c r="H6" s="49">
        <f>(H5/2)</f>
        <v>7.5</v>
      </c>
      <c r="I6" s="49">
        <f t="shared" si="1"/>
        <v>16.5</v>
      </c>
      <c r="J6" s="49">
        <f t="shared" si="1"/>
        <v>69.5</v>
      </c>
      <c r="K6" s="1">
        <f>SUM(F6:J6)</f>
        <v>99</v>
      </c>
    </row>
    <row r="8" spans="1:29" x14ac:dyDescent="0.25">
      <c r="AB8" s="4"/>
    </row>
    <row r="9" spans="1:29" x14ac:dyDescent="0.25">
      <c r="A9" s="1" t="s">
        <v>0</v>
      </c>
      <c r="B9" s="1" t="s">
        <v>1</v>
      </c>
      <c r="C9" s="1" t="s">
        <v>13</v>
      </c>
      <c r="D9" s="1" t="s">
        <v>12</v>
      </c>
      <c r="E9" s="1" t="s">
        <v>7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/>
      <c r="L9" s="1">
        <v>1</v>
      </c>
      <c r="M9" s="1">
        <v>2</v>
      </c>
      <c r="N9" s="1">
        <v>3</v>
      </c>
      <c r="O9" s="1">
        <v>4</v>
      </c>
      <c r="P9" s="1">
        <v>5</v>
      </c>
      <c r="Q9" s="1">
        <v>6</v>
      </c>
      <c r="R9" s="1">
        <v>7</v>
      </c>
      <c r="S9" s="1">
        <v>8</v>
      </c>
      <c r="T9" s="1">
        <v>9</v>
      </c>
      <c r="U9" s="1">
        <v>10</v>
      </c>
      <c r="V9" s="1">
        <v>11</v>
      </c>
      <c r="W9" s="1">
        <v>12</v>
      </c>
      <c r="X9" s="1">
        <v>13</v>
      </c>
      <c r="Y9" s="1">
        <v>14</v>
      </c>
      <c r="Z9" s="1">
        <v>15</v>
      </c>
      <c r="AB9" t="s">
        <v>16</v>
      </c>
      <c r="AC9" t="s">
        <v>17</v>
      </c>
    </row>
    <row r="10" spans="1:29" x14ac:dyDescent="0.25">
      <c r="A10" s="2">
        <v>45696</v>
      </c>
      <c r="B10" s="1" t="s">
        <v>15</v>
      </c>
      <c r="C10" s="1">
        <v>1</v>
      </c>
      <c r="D10" s="1">
        <v>1</v>
      </c>
      <c r="E10" s="1" t="s">
        <v>8</v>
      </c>
      <c r="F10" s="1">
        <v>458</v>
      </c>
      <c r="G10" s="1">
        <v>417</v>
      </c>
      <c r="H10" s="1">
        <v>421</v>
      </c>
      <c r="I10" s="1">
        <v>365</v>
      </c>
      <c r="J10" s="1">
        <v>255</v>
      </c>
      <c r="K10" s="1"/>
      <c r="L10" s="1">
        <v>1.69</v>
      </c>
      <c r="M10" s="1">
        <v>1.41</v>
      </c>
      <c r="N10" s="1">
        <v>2.29</v>
      </c>
      <c r="O10" s="1">
        <v>2.21</v>
      </c>
      <c r="P10" s="1">
        <v>1.72</v>
      </c>
      <c r="Q10" s="1">
        <v>1.7</v>
      </c>
      <c r="R10" s="1">
        <v>2.11</v>
      </c>
      <c r="S10" s="1">
        <v>1.73</v>
      </c>
      <c r="T10" s="1">
        <v>1.89</v>
      </c>
      <c r="U10" s="1">
        <v>1.58</v>
      </c>
      <c r="V10" s="1">
        <v>1.67</v>
      </c>
      <c r="W10" s="1">
        <v>2.79</v>
      </c>
      <c r="X10" s="1">
        <v>1.98</v>
      </c>
      <c r="Y10" s="1">
        <v>1.7</v>
      </c>
      <c r="Z10" s="1">
        <v>2.15</v>
      </c>
      <c r="AA10">
        <f>SUM(L10:Z10)</f>
        <v>28.619999999999997</v>
      </c>
      <c r="AB10" s="50">
        <f>AA10/15</f>
        <v>1.9079999999999999</v>
      </c>
      <c r="AC10" s="1">
        <v>0.8</v>
      </c>
    </row>
    <row r="11" spans="1:29" x14ac:dyDescent="0.25">
      <c r="A11" s="1"/>
      <c r="B11" s="1"/>
      <c r="C11" s="1"/>
      <c r="D11" s="1"/>
      <c r="E11" s="1" t="s">
        <v>9</v>
      </c>
      <c r="F11" s="1">
        <v>465</v>
      </c>
      <c r="G11" s="1">
        <v>458</v>
      </c>
      <c r="H11" s="1">
        <v>569</v>
      </c>
      <c r="I11" s="1">
        <v>370</v>
      </c>
      <c r="J11" s="1">
        <v>257</v>
      </c>
      <c r="K11" s="1"/>
    </row>
    <row r="12" spans="1:29" x14ac:dyDescent="0.25">
      <c r="A12" s="1"/>
      <c r="B12" s="1"/>
      <c r="C12" s="1"/>
      <c r="D12" s="1"/>
      <c r="E12" s="1" t="s">
        <v>10</v>
      </c>
      <c r="F12" s="1">
        <f>F11-F10</f>
        <v>7</v>
      </c>
      <c r="G12" s="1">
        <f t="shared" ref="G12:J12" si="2">G11-G10</f>
        <v>41</v>
      </c>
      <c r="H12" s="1">
        <f t="shared" si="2"/>
        <v>148</v>
      </c>
      <c r="I12" s="1">
        <f t="shared" si="2"/>
        <v>5</v>
      </c>
      <c r="J12" s="1">
        <f t="shared" si="2"/>
        <v>2</v>
      </c>
      <c r="K12" s="1"/>
    </row>
    <row r="13" spans="1:29" x14ac:dyDescent="0.25">
      <c r="A13" s="1"/>
      <c r="B13" s="1"/>
      <c r="C13" s="1"/>
      <c r="D13" s="1"/>
      <c r="E13" s="1" t="s">
        <v>14</v>
      </c>
      <c r="F13" s="29">
        <f>F12/2</f>
        <v>3.5</v>
      </c>
      <c r="G13" s="30">
        <f t="shared" ref="G13:J13" si="3">G12/2</f>
        <v>20.5</v>
      </c>
      <c r="H13" s="31">
        <f>(H12/2)-1.5</f>
        <v>72.5</v>
      </c>
      <c r="I13" s="32">
        <f t="shared" si="3"/>
        <v>2.5</v>
      </c>
      <c r="J13" s="33">
        <f t="shared" si="3"/>
        <v>1</v>
      </c>
      <c r="K13" s="1">
        <f>SUM(F13:J13)</f>
        <v>100</v>
      </c>
    </row>
    <row r="14" spans="1:29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AB14" s="50"/>
    </row>
    <row r="15" spans="1:29" x14ac:dyDescent="0.25">
      <c r="A15" s="1" t="s">
        <v>0</v>
      </c>
      <c r="B15" s="1" t="s">
        <v>1</v>
      </c>
      <c r="C15" s="1" t="s">
        <v>13</v>
      </c>
      <c r="D15" s="1" t="s">
        <v>12</v>
      </c>
      <c r="E15" s="1" t="s">
        <v>7</v>
      </c>
      <c r="F15" s="1" t="s">
        <v>2</v>
      </c>
      <c r="G15" s="1" t="s">
        <v>3</v>
      </c>
      <c r="H15" s="1" t="s">
        <v>4</v>
      </c>
      <c r="I15" s="1" t="s">
        <v>5</v>
      </c>
      <c r="J15" s="1" t="s">
        <v>6</v>
      </c>
      <c r="K15" s="1"/>
      <c r="L15" s="1">
        <v>1</v>
      </c>
      <c r="M15" s="1">
        <v>2</v>
      </c>
      <c r="N15" s="1">
        <v>3</v>
      </c>
      <c r="O15" s="1">
        <v>4</v>
      </c>
      <c r="P15" s="1">
        <v>5</v>
      </c>
      <c r="Q15" s="1">
        <v>6</v>
      </c>
      <c r="R15" s="1">
        <v>7</v>
      </c>
      <c r="S15" s="1">
        <v>8</v>
      </c>
      <c r="T15" s="1">
        <v>9</v>
      </c>
      <c r="U15" s="1">
        <v>10</v>
      </c>
      <c r="V15" s="1">
        <v>11</v>
      </c>
      <c r="W15" s="1">
        <v>12</v>
      </c>
      <c r="X15" s="1">
        <v>13</v>
      </c>
      <c r="Y15" s="1">
        <v>14</v>
      </c>
      <c r="Z15" s="1">
        <v>15</v>
      </c>
      <c r="AB15" t="s">
        <v>16</v>
      </c>
      <c r="AC15" t="s">
        <v>17</v>
      </c>
    </row>
    <row r="16" spans="1:29" x14ac:dyDescent="0.25">
      <c r="A16" s="2">
        <v>45696</v>
      </c>
      <c r="B16" s="1" t="s">
        <v>15</v>
      </c>
      <c r="C16" s="1">
        <v>1</v>
      </c>
      <c r="D16" s="1">
        <v>1</v>
      </c>
      <c r="E16" s="1" t="s">
        <v>8</v>
      </c>
      <c r="F16" s="1">
        <v>458</v>
      </c>
      <c r="G16" s="1">
        <v>417</v>
      </c>
      <c r="H16" s="1">
        <v>421</v>
      </c>
      <c r="I16" s="1">
        <v>365</v>
      </c>
      <c r="J16" s="1">
        <v>255</v>
      </c>
      <c r="K16" s="1"/>
      <c r="L16" s="1">
        <v>2.93</v>
      </c>
      <c r="M16" s="1">
        <v>1.81</v>
      </c>
      <c r="N16" s="1">
        <v>1.8</v>
      </c>
      <c r="O16" s="1">
        <v>3.54</v>
      </c>
      <c r="P16" s="1">
        <v>3.02</v>
      </c>
      <c r="Q16" s="1">
        <v>2.89</v>
      </c>
      <c r="R16" s="1">
        <v>2.64</v>
      </c>
      <c r="S16" s="1">
        <v>2.08</v>
      </c>
      <c r="T16" s="1">
        <v>2.93</v>
      </c>
      <c r="U16" s="1">
        <v>3.6</v>
      </c>
      <c r="V16" s="1">
        <v>2.62</v>
      </c>
      <c r="W16" s="1">
        <v>2.2200000000000002</v>
      </c>
      <c r="X16" s="1">
        <v>3.42</v>
      </c>
      <c r="Y16" s="1">
        <v>2.38</v>
      </c>
      <c r="Z16" s="1">
        <v>2.81</v>
      </c>
      <c r="AA16">
        <f>SUM(L16:Z16)</f>
        <v>40.690000000000012</v>
      </c>
      <c r="AB16">
        <f>AA16/15</f>
        <v>2.7126666666666677</v>
      </c>
      <c r="AC16" s="1">
        <v>0.23</v>
      </c>
    </row>
    <row r="17" spans="1:29" x14ac:dyDescent="0.25">
      <c r="A17" s="1"/>
      <c r="B17" s="1"/>
      <c r="C17" s="1"/>
      <c r="D17" s="1"/>
      <c r="E17" s="1" t="s">
        <v>9</v>
      </c>
      <c r="F17" s="1">
        <v>462</v>
      </c>
      <c r="G17" s="1">
        <v>447</v>
      </c>
      <c r="H17" s="1">
        <v>581</v>
      </c>
      <c r="I17" s="1">
        <v>371</v>
      </c>
      <c r="J17" s="1">
        <v>257</v>
      </c>
      <c r="K17" s="1"/>
    </row>
    <row r="18" spans="1:29" x14ac:dyDescent="0.25">
      <c r="A18" s="1"/>
      <c r="B18" s="1"/>
      <c r="C18" s="1"/>
      <c r="D18" s="1"/>
      <c r="E18" s="1" t="s">
        <v>10</v>
      </c>
      <c r="F18" s="1">
        <f>F17-F16</f>
        <v>4</v>
      </c>
      <c r="G18" s="1">
        <f t="shared" ref="G18:J18" si="4">G17-G16</f>
        <v>30</v>
      </c>
      <c r="H18" s="1">
        <f t="shared" si="4"/>
        <v>160</v>
      </c>
      <c r="I18" s="1">
        <f t="shared" si="4"/>
        <v>6</v>
      </c>
      <c r="J18" s="1">
        <f t="shared" si="4"/>
        <v>2</v>
      </c>
      <c r="K18" s="1"/>
    </row>
    <row r="19" spans="1:29" x14ac:dyDescent="0.25">
      <c r="A19" s="1"/>
      <c r="B19" s="1"/>
      <c r="C19" s="1"/>
      <c r="D19" s="1"/>
      <c r="E19" s="1" t="s">
        <v>14</v>
      </c>
      <c r="F19" s="25">
        <f>F18/2</f>
        <v>2</v>
      </c>
      <c r="G19" s="30">
        <f t="shared" ref="G19" si="5">G18/2</f>
        <v>15</v>
      </c>
      <c r="H19" s="31">
        <f>(H18/2)-1</f>
        <v>79</v>
      </c>
      <c r="I19" s="32">
        <f t="shared" ref="I19:J19" si="6">I18/2</f>
        <v>3</v>
      </c>
      <c r="J19" s="33">
        <f t="shared" si="6"/>
        <v>1</v>
      </c>
      <c r="K19" s="1">
        <f>SUM(F19:J19)</f>
        <v>100</v>
      </c>
    </row>
    <row r="20" spans="1:2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2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29" x14ac:dyDescent="0.25">
      <c r="A22" s="1" t="s">
        <v>0</v>
      </c>
      <c r="B22" s="1" t="s">
        <v>1</v>
      </c>
      <c r="C22" s="1" t="s">
        <v>13</v>
      </c>
      <c r="D22" s="1" t="s">
        <v>12</v>
      </c>
      <c r="E22" s="1" t="s">
        <v>7</v>
      </c>
      <c r="F22" s="1" t="s">
        <v>2</v>
      </c>
      <c r="G22" s="1" t="s">
        <v>3</v>
      </c>
      <c r="H22" s="1" t="s">
        <v>4</v>
      </c>
      <c r="I22" s="1" t="s">
        <v>5</v>
      </c>
      <c r="J22" s="1" t="s">
        <v>6</v>
      </c>
      <c r="K22" s="1"/>
      <c r="L22" s="1">
        <v>1</v>
      </c>
      <c r="M22" s="1">
        <v>2</v>
      </c>
      <c r="N22" s="1">
        <v>3</v>
      </c>
      <c r="O22" s="1">
        <v>4</v>
      </c>
      <c r="P22" s="1">
        <v>5</v>
      </c>
      <c r="Q22" s="1">
        <v>6</v>
      </c>
      <c r="R22" s="1">
        <v>7</v>
      </c>
      <c r="S22" s="1">
        <v>8</v>
      </c>
      <c r="T22" s="1">
        <v>9</v>
      </c>
      <c r="U22" s="1">
        <v>10</v>
      </c>
      <c r="V22" s="1">
        <v>11</v>
      </c>
      <c r="W22" s="1">
        <v>12</v>
      </c>
      <c r="X22" s="1">
        <v>13</v>
      </c>
      <c r="Y22" s="1">
        <v>14</v>
      </c>
      <c r="Z22" s="1">
        <v>15</v>
      </c>
      <c r="AB22" t="s">
        <v>16</v>
      </c>
      <c r="AC22" t="s">
        <v>17</v>
      </c>
    </row>
    <row r="23" spans="1:29" x14ac:dyDescent="0.25">
      <c r="A23" s="2">
        <v>45696</v>
      </c>
      <c r="B23" s="1" t="s">
        <v>28</v>
      </c>
      <c r="C23" s="1">
        <v>1</v>
      </c>
      <c r="D23" s="1">
        <v>2</v>
      </c>
      <c r="E23" s="1" t="s">
        <v>8</v>
      </c>
      <c r="F23" s="1">
        <v>458</v>
      </c>
      <c r="G23" s="1">
        <v>417</v>
      </c>
      <c r="H23" s="1">
        <v>421</v>
      </c>
      <c r="I23" s="1">
        <v>365</v>
      </c>
      <c r="J23" s="1">
        <v>255</v>
      </c>
      <c r="K23" s="1"/>
      <c r="L23" s="1">
        <v>1.36</v>
      </c>
      <c r="M23" s="1">
        <v>1.45</v>
      </c>
      <c r="N23" s="1">
        <v>1.69</v>
      </c>
      <c r="O23" s="1">
        <v>2.08</v>
      </c>
      <c r="P23" s="1">
        <v>2.06</v>
      </c>
      <c r="Q23" s="1">
        <v>1.73</v>
      </c>
      <c r="R23" s="1">
        <v>2.31</v>
      </c>
      <c r="S23" s="1">
        <v>1.62</v>
      </c>
      <c r="T23" s="1">
        <v>1.64</v>
      </c>
      <c r="U23" s="1">
        <v>1.44</v>
      </c>
      <c r="V23" s="1">
        <v>2.48</v>
      </c>
      <c r="W23" s="1">
        <v>0.93</v>
      </c>
      <c r="X23" s="1">
        <v>2.1800000000000002</v>
      </c>
      <c r="Y23" s="1">
        <v>2.39</v>
      </c>
      <c r="Z23" s="1">
        <v>1.6</v>
      </c>
      <c r="AA23">
        <f>SUM(L23:Z23)</f>
        <v>26.960000000000004</v>
      </c>
      <c r="AB23">
        <f>AA23/15</f>
        <v>1.7973333333333337</v>
      </c>
      <c r="AC23" s="5">
        <v>1.9099999999999999E-2</v>
      </c>
    </row>
    <row r="24" spans="1:29" x14ac:dyDescent="0.25">
      <c r="A24" s="1"/>
      <c r="B24" s="1"/>
      <c r="C24" s="1"/>
      <c r="D24" s="1"/>
      <c r="E24" s="1" t="s">
        <v>9</v>
      </c>
      <c r="F24" s="1">
        <v>460</v>
      </c>
      <c r="G24" s="1">
        <v>440</v>
      </c>
      <c r="H24" s="1">
        <v>592</v>
      </c>
      <c r="I24" s="1">
        <v>370</v>
      </c>
      <c r="J24" s="1">
        <v>256</v>
      </c>
      <c r="K24" s="1"/>
    </row>
    <row r="25" spans="1:29" x14ac:dyDescent="0.25">
      <c r="A25" s="1"/>
      <c r="B25" s="1"/>
      <c r="C25" s="1"/>
      <c r="D25" s="1"/>
      <c r="E25" s="1" t="s">
        <v>10</v>
      </c>
      <c r="F25" s="1">
        <f>F24-F23</f>
        <v>2</v>
      </c>
      <c r="G25" s="1">
        <f t="shared" ref="G25:J25" si="7">G24-G23</f>
        <v>23</v>
      </c>
      <c r="H25" s="1">
        <f t="shared" si="7"/>
        <v>171</v>
      </c>
      <c r="I25" s="1">
        <f t="shared" si="7"/>
        <v>5</v>
      </c>
      <c r="J25" s="1">
        <f t="shared" si="7"/>
        <v>1</v>
      </c>
      <c r="K25" s="1"/>
    </row>
    <row r="26" spans="1:29" x14ac:dyDescent="0.25">
      <c r="A26" s="1"/>
      <c r="B26" s="1"/>
      <c r="C26" s="1"/>
      <c r="D26" s="1"/>
      <c r="E26" s="1" t="s">
        <v>14</v>
      </c>
      <c r="F26" s="8">
        <f>F25/2</f>
        <v>1</v>
      </c>
      <c r="G26" s="8">
        <f t="shared" ref="G26" si="8">G25/2</f>
        <v>11.5</v>
      </c>
      <c r="H26" s="49">
        <f>(H25/2)-1</f>
        <v>84.5</v>
      </c>
      <c r="I26" s="49">
        <f t="shared" ref="I26:J26" si="9">I25/2</f>
        <v>2.5</v>
      </c>
      <c r="J26" s="8">
        <f t="shared" si="9"/>
        <v>0.5</v>
      </c>
      <c r="K26" s="1">
        <f>SUM(F26:J26)</f>
        <v>100</v>
      </c>
    </row>
    <row r="27" spans="1:2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29" x14ac:dyDescent="0.25">
      <c r="A28" s="1" t="s">
        <v>0</v>
      </c>
      <c r="B28" s="1" t="s">
        <v>1</v>
      </c>
      <c r="C28" s="1" t="s">
        <v>13</v>
      </c>
      <c r="D28" s="1" t="s">
        <v>12</v>
      </c>
      <c r="E28" s="1" t="s">
        <v>7</v>
      </c>
      <c r="F28" s="1" t="s">
        <v>2</v>
      </c>
      <c r="G28" s="1" t="s">
        <v>3</v>
      </c>
      <c r="H28" s="1" t="s">
        <v>4</v>
      </c>
      <c r="I28" s="1" t="s">
        <v>5</v>
      </c>
      <c r="J28" s="1" t="s">
        <v>6</v>
      </c>
      <c r="K28" s="1"/>
      <c r="L28" s="1">
        <v>1</v>
      </c>
      <c r="M28" s="1">
        <v>2</v>
      </c>
      <c r="N28" s="1">
        <v>3</v>
      </c>
      <c r="O28" s="1">
        <v>4</v>
      </c>
      <c r="P28" s="1">
        <v>5</v>
      </c>
      <c r="Q28" s="1">
        <v>6</v>
      </c>
      <c r="R28" s="1">
        <v>7</v>
      </c>
      <c r="S28" s="1">
        <v>8</v>
      </c>
      <c r="T28" s="1">
        <v>9</v>
      </c>
      <c r="U28" s="1">
        <v>10</v>
      </c>
      <c r="V28" s="1">
        <v>11</v>
      </c>
      <c r="W28" s="1">
        <v>12</v>
      </c>
      <c r="X28" s="1">
        <v>13</v>
      </c>
      <c r="Y28" s="1">
        <v>14</v>
      </c>
      <c r="Z28" s="1">
        <v>15</v>
      </c>
      <c r="AB28" t="s">
        <v>16</v>
      </c>
      <c r="AC28" t="s">
        <v>17</v>
      </c>
    </row>
    <row r="29" spans="1:29" x14ac:dyDescent="0.25">
      <c r="A29" s="2">
        <v>45696</v>
      </c>
      <c r="B29" s="1" t="s">
        <v>28</v>
      </c>
      <c r="C29" s="1">
        <v>1</v>
      </c>
      <c r="D29" s="1">
        <v>2</v>
      </c>
      <c r="E29" s="1" t="s">
        <v>8</v>
      </c>
      <c r="F29" s="1">
        <v>458</v>
      </c>
      <c r="G29" s="1">
        <v>417</v>
      </c>
      <c r="H29" s="1">
        <v>421</v>
      </c>
      <c r="I29" s="1">
        <v>365</v>
      </c>
      <c r="J29" s="1">
        <v>255</v>
      </c>
      <c r="K29" s="1"/>
      <c r="L29" s="1">
        <v>1.34</v>
      </c>
      <c r="M29" s="1">
        <v>1.1200000000000001</v>
      </c>
      <c r="N29" s="1">
        <v>1.62</v>
      </c>
      <c r="O29" s="1">
        <v>1.77</v>
      </c>
      <c r="P29" s="1">
        <v>1.93</v>
      </c>
      <c r="Q29" s="1">
        <v>1.47</v>
      </c>
      <c r="R29" s="1">
        <v>1.97</v>
      </c>
      <c r="S29" s="1">
        <v>2.63</v>
      </c>
      <c r="T29" s="1">
        <v>2.56</v>
      </c>
      <c r="U29" s="1">
        <v>2.86</v>
      </c>
      <c r="V29" s="1">
        <v>2.61</v>
      </c>
      <c r="W29" s="1">
        <v>2.63</v>
      </c>
      <c r="X29" s="1">
        <v>1.58</v>
      </c>
      <c r="Y29" s="1">
        <v>1.72</v>
      </c>
      <c r="Z29" s="1">
        <v>2.84</v>
      </c>
      <c r="AA29">
        <f>SUM(L29:Z29)</f>
        <v>30.649999999999995</v>
      </c>
      <c r="AB29">
        <f>AA29/15</f>
        <v>2.043333333333333</v>
      </c>
      <c r="AC29" s="1">
        <v>1.38</v>
      </c>
    </row>
    <row r="30" spans="1:29" x14ac:dyDescent="0.25">
      <c r="A30" s="1"/>
      <c r="B30" s="1"/>
      <c r="C30" s="1"/>
      <c r="D30" s="1"/>
      <c r="E30" s="1" t="s">
        <v>9</v>
      </c>
      <c r="F30" s="1">
        <v>462</v>
      </c>
      <c r="G30" s="1">
        <v>461</v>
      </c>
      <c r="H30" s="1">
        <v>572</v>
      </c>
      <c r="I30" s="1">
        <v>367</v>
      </c>
      <c r="J30" s="1">
        <v>257</v>
      </c>
      <c r="K30" s="1"/>
    </row>
    <row r="31" spans="1:29" x14ac:dyDescent="0.25">
      <c r="A31" s="1"/>
      <c r="B31" s="1"/>
      <c r="C31" s="1"/>
      <c r="D31" s="1"/>
      <c r="E31" s="1" t="s">
        <v>10</v>
      </c>
      <c r="F31" s="1">
        <f>F30-F29</f>
        <v>4</v>
      </c>
      <c r="G31" s="1">
        <f t="shared" ref="G31:J31" si="10">G30-G29</f>
        <v>44</v>
      </c>
      <c r="H31" s="1">
        <f t="shared" si="10"/>
        <v>151</v>
      </c>
      <c r="I31" s="1">
        <f t="shared" si="10"/>
        <v>2</v>
      </c>
      <c r="J31" s="1">
        <f t="shared" si="10"/>
        <v>2</v>
      </c>
      <c r="K31" s="1"/>
    </row>
    <row r="32" spans="1:29" x14ac:dyDescent="0.25">
      <c r="A32" s="1"/>
      <c r="B32" s="1"/>
      <c r="C32" s="1"/>
      <c r="D32" s="1"/>
      <c r="E32" s="1" t="s">
        <v>14</v>
      </c>
      <c r="F32" s="41">
        <f>F31/2</f>
        <v>2</v>
      </c>
      <c r="G32" s="41">
        <f t="shared" ref="G32" si="11">G31/2</f>
        <v>22</v>
      </c>
      <c r="H32" s="40">
        <f>(H31/2)-1.5</f>
        <v>74</v>
      </c>
      <c r="I32" s="40">
        <f t="shared" ref="I32:J32" si="12">I31/2</f>
        <v>1</v>
      </c>
      <c r="J32" s="41">
        <f t="shared" si="12"/>
        <v>1</v>
      </c>
      <c r="K32" s="1">
        <f>SUM(F32:J32)</f>
        <v>100</v>
      </c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1" x14ac:dyDescent="0.25">
      <c r="A34" s="1" t="s">
        <v>0</v>
      </c>
      <c r="B34" s="1" t="s">
        <v>1</v>
      </c>
      <c r="C34" s="1" t="s">
        <v>13</v>
      </c>
      <c r="D34" s="1" t="s">
        <v>12</v>
      </c>
      <c r="E34" s="1" t="s">
        <v>7</v>
      </c>
      <c r="F34" s="1" t="s">
        <v>2</v>
      </c>
      <c r="G34" s="1" t="s">
        <v>3</v>
      </c>
      <c r="H34" s="1" t="s">
        <v>4</v>
      </c>
      <c r="I34" s="1" t="s">
        <v>5</v>
      </c>
      <c r="J34" s="1" t="s">
        <v>6</v>
      </c>
      <c r="K34" s="1"/>
    </row>
    <row r="35" spans="1:11" x14ac:dyDescent="0.25">
      <c r="A35" s="2">
        <v>45696</v>
      </c>
      <c r="B35" s="1"/>
      <c r="C35" s="1">
        <v>2</v>
      </c>
      <c r="D35" s="1">
        <v>1</v>
      </c>
      <c r="E35" s="1" t="s">
        <v>8</v>
      </c>
      <c r="F35" s="1">
        <v>458</v>
      </c>
      <c r="G35" s="1">
        <v>417</v>
      </c>
      <c r="H35" s="1">
        <v>421</v>
      </c>
      <c r="I35" s="1">
        <v>365</v>
      </c>
      <c r="J35" s="1">
        <v>255</v>
      </c>
      <c r="K35" s="1"/>
    </row>
    <row r="36" spans="1:11" x14ac:dyDescent="0.25">
      <c r="A36" s="1"/>
      <c r="B36" s="1"/>
      <c r="C36" s="1"/>
      <c r="D36" s="1"/>
      <c r="E36" s="1" t="s">
        <v>9</v>
      </c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 t="s">
        <v>10</v>
      </c>
      <c r="F37" s="1">
        <f>F36-F35</f>
        <v>-458</v>
      </c>
      <c r="G37" s="1">
        <f t="shared" ref="G37:J37" si="13">G36-G35</f>
        <v>-417</v>
      </c>
      <c r="H37" s="1">
        <f t="shared" si="13"/>
        <v>-421</v>
      </c>
      <c r="I37" s="1">
        <f t="shared" si="13"/>
        <v>-365</v>
      </c>
      <c r="J37" s="1">
        <f t="shared" si="13"/>
        <v>-255</v>
      </c>
      <c r="K37" s="1"/>
    </row>
    <row r="38" spans="1:11" x14ac:dyDescent="0.25">
      <c r="A38" s="1"/>
      <c r="B38" s="1"/>
      <c r="C38" s="1"/>
      <c r="D38" s="1"/>
      <c r="E38" s="1" t="s">
        <v>14</v>
      </c>
      <c r="F38" s="1">
        <f>F37/2</f>
        <v>-229</v>
      </c>
      <c r="G38" s="1">
        <f t="shared" ref="G38" si="14">G37/2</f>
        <v>-208.5</v>
      </c>
      <c r="H38" s="1">
        <f>(H37/2)-1.5</f>
        <v>-212</v>
      </c>
      <c r="I38" s="1">
        <f t="shared" ref="I38:J38" si="15">I37/2</f>
        <v>-182.5</v>
      </c>
      <c r="J38" s="1">
        <f t="shared" si="15"/>
        <v>-127.5</v>
      </c>
      <c r="K38" s="1">
        <f>SUM(F38:J38)</f>
        <v>-959.5</v>
      </c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1" x14ac:dyDescent="0.25">
      <c r="A40" s="1" t="s">
        <v>0</v>
      </c>
      <c r="B40" s="1" t="s">
        <v>1</v>
      </c>
      <c r="C40" s="1" t="s">
        <v>13</v>
      </c>
      <c r="D40" s="1" t="s">
        <v>12</v>
      </c>
      <c r="E40" s="1" t="s">
        <v>7</v>
      </c>
      <c r="F40" s="1" t="s">
        <v>2</v>
      </c>
      <c r="G40" s="1" t="s">
        <v>3</v>
      </c>
      <c r="H40" s="1" t="s">
        <v>4</v>
      </c>
      <c r="I40" s="1" t="s">
        <v>5</v>
      </c>
      <c r="J40" s="1" t="s">
        <v>6</v>
      </c>
      <c r="K40" s="1"/>
    </row>
    <row r="41" spans="1:11" x14ac:dyDescent="0.25">
      <c r="A41" s="2">
        <v>45696</v>
      </c>
      <c r="B41" s="1"/>
      <c r="C41" s="1">
        <v>2</v>
      </c>
      <c r="D41" s="1">
        <v>2</v>
      </c>
      <c r="E41" s="1" t="s">
        <v>8</v>
      </c>
      <c r="F41" s="1">
        <v>458</v>
      </c>
      <c r="G41" s="1">
        <v>417</v>
      </c>
      <c r="H41" s="1">
        <v>421</v>
      </c>
      <c r="I41" s="1">
        <v>365</v>
      </c>
      <c r="J41" s="1">
        <v>255</v>
      </c>
      <c r="K41" s="1"/>
    </row>
    <row r="42" spans="1:11" x14ac:dyDescent="0.25">
      <c r="A42" s="1"/>
      <c r="B42" s="1"/>
      <c r="C42" s="1"/>
      <c r="D42" s="1"/>
      <c r="E42" s="1" t="s">
        <v>9</v>
      </c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 t="s">
        <v>10</v>
      </c>
      <c r="F43" s="1">
        <f>F42-F41</f>
        <v>-458</v>
      </c>
      <c r="G43" s="1">
        <f t="shared" ref="G43:J43" si="16">G42-G41</f>
        <v>-417</v>
      </c>
      <c r="H43" s="1">
        <f t="shared" si="16"/>
        <v>-421</v>
      </c>
      <c r="I43" s="1">
        <f t="shared" si="16"/>
        <v>-365</v>
      </c>
      <c r="J43" s="1">
        <f t="shared" si="16"/>
        <v>-255</v>
      </c>
      <c r="K43" s="1"/>
    </row>
    <row r="44" spans="1:11" x14ac:dyDescent="0.25">
      <c r="A44" s="1"/>
      <c r="B44" s="1"/>
      <c r="C44" s="1"/>
      <c r="D44" s="1"/>
      <c r="E44" s="1" t="s">
        <v>14</v>
      </c>
      <c r="F44" s="1">
        <f>F43/2</f>
        <v>-229</v>
      </c>
      <c r="G44" s="1">
        <f t="shared" ref="G44" si="17">G43/2</f>
        <v>-208.5</v>
      </c>
      <c r="H44" s="1">
        <f>(H43/2)-1.5</f>
        <v>-212</v>
      </c>
      <c r="I44" s="1">
        <f t="shared" ref="I44:J44" si="18">I43/2</f>
        <v>-182.5</v>
      </c>
      <c r="J44" s="1">
        <f t="shared" si="18"/>
        <v>-127.5</v>
      </c>
      <c r="K44" s="1">
        <f>SUM(F44:J44)</f>
        <v>-959.5</v>
      </c>
    </row>
  </sheetData>
  <mergeCells count="1">
    <mergeCell ref="E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B8309-FAFC-4F18-AB8B-0882ED561FF1}">
  <dimension ref="A1:AC34"/>
  <sheetViews>
    <sheetView workbookViewId="0">
      <selection activeCell="G23" sqref="F23:G23"/>
    </sheetView>
    <sheetView workbookViewId="1">
      <selection activeCell="AB8" sqref="AB8"/>
    </sheetView>
  </sheetViews>
  <sheetFormatPr baseColWidth="10" defaultRowHeight="15" x14ac:dyDescent="0.25"/>
  <cols>
    <col min="2" max="2" width="23.140625" customWidth="1"/>
    <col min="5" max="5" width="23.28515625" customWidth="1"/>
    <col min="6" max="6" width="11.42578125" style="15"/>
    <col min="7" max="7" width="11.42578125" style="16"/>
    <col min="10" max="10" width="11.42578125" style="19"/>
    <col min="12" max="27" width="0" hidden="1" customWidth="1"/>
  </cols>
  <sheetData>
    <row r="1" spans="1:29" x14ac:dyDescent="0.25">
      <c r="A1" s="1"/>
      <c r="B1" s="1"/>
      <c r="C1" s="1"/>
      <c r="D1" s="1"/>
      <c r="E1" s="1"/>
      <c r="F1" s="11"/>
      <c r="G1" s="12"/>
      <c r="H1" s="1"/>
      <c r="I1" s="1"/>
      <c r="J1" s="1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9" x14ac:dyDescent="0.25">
      <c r="A2" s="2"/>
      <c r="B2" s="1"/>
      <c r="C2" s="1"/>
      <c r="D2" s="1"/>
      <c r="E2" s="1"/>
      <c r="F2" s="13"/>
      <c r="G2" s="14"/>
      <c r="H2" s="1"/>
      <c r="I2" s="1"/>
      <c r="J2" s="18"/>
      <c r="K2" s="1"/>
    </row>
    <row r="3" spans="1:29" x14ac:dyDescent="0.25">
      <c r="A3" s="1"/>
      <c r="B3" s="1"/>
      <c r="C3" s="1"/>
      <c r="D3" s="1"/>
      <c r="E3" s="1"/>
      <c r="F3" s="13"/>
      <c r="G3" s="14"/>
      <c r="H3" s="1"/>
      <c r="I3" s="1"/>
      <c r="J3" s="18"/>
      <c r="K3" s="1"/>
      <c r="AB3" s="4"/>
    </row>
    <row r="4" spans="1:29" x14ac:dyDescent="0.25">
      <c r="A4" s="1"/>
      <c r="B4" s="1"/>
      <c r="C4" s="1"/>
      <c r="D4" s="1"/>
      <c r="E4" s="1"/>
      <c r="F4" s="13"/>
      <c r="G4" s="14"/>
      <c r="H4" s="1"/>
      <c r="I4" s="1"/>
      <c r="J4" s="18"/>
      <c r="K4" s="1"/>
    </row>
    <row r="5" spans="1:29" x14ac:dyDescent="0.25">
      <c r="A5" s="1"/>
      <c r="B5" s="1"/>
      <c r="C5" s="1"/>
      <c r="D5" s="1"/>
      <c r="E5" s="1"/>
      <c r="F5" s="13"/>
      <c r="G5" s="14"/>
      <c r="H5" s="1"/>
      <c r="I5" s="1"/>
      <c r="J5" s="18"/>
      <c r="K5" s="1"/>
    </row>
    <row r="6" spans="1:29" x14ac:dyDescent="0.25">
      <c r="A6" s="1"/>
      <c r="B6" s="1"/>
      <c r="C6" s="1"/>
      <c r="D6" s="1"/>
      <c r="E6" s="1"/>
      <c r="F6" s="13"/>
      <c r="G6" s="14"/>
      <c r="H6" s="1"/>
      <c r="I6" s="1"/>
      <c r="J6" s="18"/>
      <c r="K6" s="1"/>
    </row>
    <row r="7" spans="1:29" x14ac:dyDescent="0.25">
      <c r="A7" s="1" t="s">
        <v>0</v>
      </c>
      <c r="B7" s="1" t="s">
        <v>1</v>
      </c>
      <c r="C7" s="1" t="s">
        <v>13</v>
      </c>
      <c r="D7" s="1" t="s">
        <v>12</v>
      </c>
      <c r="E7" s="1" t="s">
        <v>7</v>
      </c>
      <c r="F7" s="13" t="s">
        <v>2</v>
      </c>
      <c r="G7" s="14" t="s">
        <v>3</v>
      </c>
      <c r="H7" s="1" t="s">
        <v>4</v>
      </c>
      <c r="I7" s="1" t="s">
        <v>5</v>
      </c>
      <c r="J7" s="18" t="s">
        <v>6</v>
      </c>
      <c r="K7" s="1"/>
      <c r="L7" s="1">
        <v>1</v>
      </c>
      <c r="M7" s="1">
        <v>2</v>
      </c>
      <c r="N7" s="1">
        <v>3</v>
      </c>
      <c r="O7" s="1">
        <v>4</v>
      </c>
      <c r="P7" s="1">
        <v>5</v>
      </c>
      <c r="Q7" s="1">
        <v>6</v>
      </c>
      <c r="R7" s="1">
        <v>7</v>
      </c>
      <c r="S7" s="1">
        <v>8</v>
      </c>
      <c r="T7" s="1">
        <v>9</v>
      </c>
      <c r="U7" s="1">
        <v>10</v>
      </c>
      <c r="V7" s="1">
        <v>11</v>
      </c>
      <c r="W7" s="1">
        <v>12</v>
      </c>
      <c r="X7" s="1">
        <v>13</v>
      </c>
      <c r="Y7" s="1">
        <v>14</v>
      </c>
      <c r="Z7" s="1">
        <v>15</v>
      </c>
    </row>
    <row r="8" spans="1:29" x14ac:dyDescent="0.25">
      <c r="A8" s="2">
        <v>45698</v>
      </c>
      <c r="B8" s="1" t="s">
        <v>33</v>
      </c>
      <c r="C8" s="1">
        <v>1</v>
      </c>
      <c r="D8" s="1">
        <v>2</v>
      </c>
      <c r="E8" s="1" t="s">
        <v>8</v>
      </c>
      <c r="F8" s="13">
        <v>458</v>
      </c>
      <c r="G8" s="14">
        <v>417</v>
      </c>
      <c r="H8" s="1">
        <v>421</v>
      </c>
      <c r="I8" s="1">
        <v>365</v>
      </c>
      <c r="J8" s="18">
        <v>255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>
        <f>SUM(L8:Z8)</f>
        <v>0</v>
      </c>
      <c r="AB8" s="4"/>
      <c r="AC8" s="1"/>
    </row>
    <row r="9" spans="1:29" x14ac:dyDescent="0.25">
      <c r="A9" s="1"/>
      <c r="B9" s="1"/>
      <c r="C9" s="1"/>
      <c r="D9" s="1"/>
      <c r="E9" s="1" t="s">
        <v>9</v>
      </c>
      <c r="F9" s="13"/>
      <c r="G9" s="14"/>
      <c r="H9" s="1"/>
      <c r="I9" s="1"/>
      <c r="J9" s="18"/>
      <c r="K9" s="1"/>
    </row>
    <row r="10" spans="1:29" x14ac:dyDescent="0.25">
      <c r="A10" s="1"/>
      <c r="B10" s="1"/>
      <c r="C10" s="1"/>
      <c r="D10" s="1"/>
      <c r="E10" s="1" t="s">
        <v>10</v>
      </c>
      <c r="F10" s="13">
        <f>(F9-F8)</f>
        <v>-458</v>
      </c>
      <c r="G10" s="14">
        <f t="shared" ref="G10:J10" si="0">G9-G8</f>
        <v>-417</v>
      </c>
      <c r="H10" s="1">
        <f t="shared" si="0"/>
        <v>-421</v>
      </c>
      <c r="I10" s="1">
        <f t="shared" si="0"/>
        <v>-365</v>
      </c>
      <c r="J10" s="18">
        <f t="shared" si="0"/>
        <v>-255</v>
      </c>
      <c r="K10" s="1"/>
    </row>
    <row r="11" spans="1:29" x14ac:dyDescent="0.25">
      <c r="A11" s="1"/>
      <c r="B11" s="1"/>
      <c r="C11" s="1"/>
      <c r="D11" s="1"/>
      <c r="E11" s="1" t="s">
        <v>14</v>
      </c>
      <c r="F11" s="32">
        <f>F10/2</f>
        <v>-229</v>
      </c>
      <c r="G11" s="33">
        <f t="shared" ref="G11" si="1">G10/2</f>
        <v>-208.5</v>
      </c>
      <c r="H11" s="7">
        <f>(H10/2)-1</f>
        <v>-211.5</v>
      </c>
      <c r="I11" s="7">
        <f t="shared" ref="I11:J11" si="2">I10/2</f>
        <v>-182.5</v>
      </c>
      <c r="J11" s="45">
        <f t="shared" si="2"/>
        <v>-127.5</v>
      </c>
      <c r="K11" s="1">
        <f>SUM(F11:J11)</f>
        <v>-959</v>
      </c>
    </row>
    <row r="12" spans="1:29" x14ac:dyDescent="0.25">
      <c r="A12" s="1"/>
      <c r="B12" s="1"/>
      <c r="C12" s="1"/>
      <c r="D12" s="1"/>
      <c r="E12" s="1"/>
      <c r="F12" s="13"/>
      <c r="G12" s="14"/>
      <c r="H12" s="1"/>
      <c r="I12" s="1"/>
      <c r="J12" s="18"/>
      <c r="K12" s="1"/>
    </row>
    <row r="13" spans="1:29" x14ac:dyDescent="0.25">
      <c r="A13" s="1" t="s">
        <v>0</v>
      </c>
      <c r="B13" s="1" t="s">
        <v>1</v>
      </c>
      <c r="C13" s="1" t="s">
        <v>13</v>
      </c>
      <c r="D13" s="1" t="s">
        <v>12</v>
      </c>
      <c r="E13" s="1" t="s">
        <v>7</v>
      </c>
      <c r="F13" s="13" t="s">
        <v>2</v>
      </c>
      <c r="G13" s="14" t="s">
        <v>3</v>
      </c>
      <c r="H13" s="1" t="s">
        <v>4</v>
      </c>
      <c r="I13" s="1" t="s">
        <v>5</v>
      </c>
      <c r="J13" s="18" t="s">
        <v>6</v>
      </c>
      <c r="K13" s="1"/>
      <c r="L13" s="1">
        <v>1</v>
      </c>
      <c r="M13" s="1">
        <v>2</v>
      </c>
      <c r="N13" s="1">
        <v>3</v>
      </c>
      <c r="O13" s="1">
        <v>4</v>
      </c>
      <c r="P13" s="1">
        <v>5</v>
      </c>
      <c r="Q13" s="1">
        <v>6</v>
      </c>
      <c r="R13" s="1">
        <v>7</v>
      </c>
      <c r="S13" s="1">
        <v>8</v>
      </c>
      <c r="T13" s="1">
        <v>9</v>
      </c>
      <c r="U13" s="1">
        <v>10</v>
      </c>
      <c r="V13" s="1">
        <v>11</v>
      </c>
      <c r="W13" s="1">
        <v>12</v>
      </c>
      <c r="X13" s="1">
        <v>13</v>
      </c>
      <c r="Y13" s="1">
        <v>14</v>
      </c>
      <c r="Z13" s="1">
        <v>15</v>
      </c>
      <c r="AB13" t="s">
        <v>16</v>
      </c>
      <c r="AC13" t="s">
        <v>17</v>
      </c>
    </row>
    <row r="14" spans="1:29" x14ac:dyDescent="0.25">
      <c r="A14" s="2">
        <v>45698</v>
      </c>
      <c r="B14" s="1" t="s">
        <v>36</v>
      </c>
      <c r="C14" s="1">
        <v>2</v>
      </c>
      <c r="D14" s="1">
        <v>1</v>
      </c>
      <c r="E14" s="1" t="s">
        <v>8</v>
      </c>
      <c r="F14" s="13">
        <v>458</v>
      </c>
      <c r="G14" s="14">
        <v>417</v>
      </c>
      <c r="H14" s="1">
        <v>421</v>
      </c>
      <c r="I14" s="1">
        <v>365</v>
      </c>
      <c r="J14" s="18">
        <v>255</v>
      </c>
      <c r="K14" s="1"/>
      <c r="L14" s="1">
        <v>1.75</v>
      </c>
      <c r="M14" s="1">
        <v>1.1299999999999999</v>
      </c>
      <c r="N14" s="1">
        <v>2.0699999999999998</v>
      </c>
      <c r="O14" s="1">
        <v>2.57</v>
      </c>
      <c r="P14" s="1">
        <v>1.62</v>
      </c>
      <c r="Q14" s="1">
        <v>1.45</v>
      </c>
      <c r="R14" s="1">
        <v>1.18</v>
      </c>
      <c r="S14" s="1">
        <v>1.57</v>
      </c>
      <c r="T14" s="1">
        <v>1.44</v>
      </c>
      <c r="U14" s="1">
        <v>1.31</v>
      </c>
      <c r="V14" s="1">
        <v>1.54</v>
      </c>
      <c r="W14" s="1">
        <v>1.34</v>
      </c>
      <c r="X14" s="1">
        <v>1.94</v>
      </c>
      <c r="Y14" s="1">
        <v>1.18</v>
      </c>
      <c r="Z14" s="1">
        <v>1.2</v>
      </c>
      <c r="AA14">
        <f>SUM(L14:Z14)</f>
        <v>23.29</v>
      </c>
      <c r="AB14" s="50">
        <f>AA14/15</f>
        <v>1.5526666666666666</v>
      </c>
      <c r="AC14" s="1">
        <v>1.27</v>
      </c>
    </row>
    <row r="15" spans="1:29" x14ac:dyDescent="0.25">
      <c r="A15" s="1"/>
      <c r="B15" s="1"/>
      <c r="C15" s="1"/>
      <c r="D15" s="1"/>
      <c r="E15" s="1" t="s">
        <v>9</v>
      </c>
      <c r="F15" s="13">
        <v>460</v>
      </c>
      <c r="G15" s="14">
        <v>437</v>
      </c>
      <c r="H15" s="1">
        <v>587</v>
      </c>
      <c r="I15" s="1">
        <v>370</v>
      </c>
      <c r="J15" s="18">
        <v>264</v>
      </c>
      <c r="K15" s="1"/>
    </row>
    <row r="16" spans="1:29" x14ac:dyDescent="0.25">
      <c r="A16" s="1"/>
      <c r="B16" s="1"/>
      <c r="C16" s="1"/>
      <c r="D16" s="1"/>
      <c r="E16" s="1" t="s">
        <v>10</v>
      </c>
      <c r="F16" s="13">
        <f>F15-F14</f>
        <v>2</v>
      </c>
      <c r="G16" s="14">
        <f t="shared" ref="G16:J16" si="3">G15-G14</f>
        <v>20</v>
      </c>
      <c r="H16" s="1">
        <f t="shared" si="3"/>
        <v>166</v>
      </c>
      <c r="I16" s="1">
        <f t="shared" si="3"/>
        <v>5</v>
      </c>
      <c r="J16" s="18">
        <f t="shared" si="3"/>
        <v>9</v>
      </c>
      <c r="K16" s="1"/>
    </row>
    <row r="17" spans="1:29" x14ac:dyDescent="0.25">
      <c r="A17" s="1"/>
      <c r="B17" s="1"/>
      <c r="C17" s="1"/>
      <c r="D17" s="1"/>
      <c r="E17" s="1" t="s">
        <v>14</v>
      </c>
      <c r="F17" s="32">
        <f>F16/2</f>
        <v>1</v>
      </c>
      <c r="G17" s="33">
        <f t="shared" ref="G17" si="4">G16/2</f>
        <v>10</v>
      </c>
      <c r="H17" s="7">
        <f>(H16/2)-1</f>
        <v>82</v>
      </c>
      <c r="I17" s="7">
        <f t="shared" ref="I17:J17" si="5">I16/2</f>
        <v>2.5</v>
      </c>
      <c r="J17" s="45">
        <f t="shared" si="5"/>
        <v>4.5</v>
      </c>
      <c r="K17" s="1">
        <f>SUM(F17:J17)</f>
        <v>100</v>
      </c>
    </row>
    <row r="18" spans="1:29" x14ac:dyDescent="0.25">
      <c r="A18" s="1"/>
      <c r="B18" s="1"/>
      <c r="C18" s="1"/>
      <c r="D18" s="1"/>
      <c r="E18" s="1"/>
      <c r="F18" s="13"/>
      <c r="G18" s="14"/>
      <c r="H18" s="1"/>
      <c r="I18" s="1"/>
      <c r="J18" s="18"/>
      <c r="K18" s="1"/>
    </row>
    <row r="19" spans="1:29" x14ac:dyDescent="0.25">
      <c r="A19" s="1" t="s">
        <v>0</v>
      </c>
      <c r="B19" s="1" t="s">
        <v>1</v>
      </c>
      <c r="C19" s="1" t="s">
        <v>13</v>
      </c>
      <c r="D19" s="1" t="s">
        <v>12</v>
      </c>
      <c r="E19" s="1" t="s">
        <v>7</v>
      </c>
      <c r="F19" s="13" t="s">
        <v>2</v>
      </c>
      <c r="G19" s="14" t="s">
        <v>3</v>
      </c>
      <c r="H19" s="1" t="s">
        <v>4</v>
      </c>
      <c r="I19" s="1" t="s">
        <v>5</v>
      </c>
      <c r="J19" s="18" t="s">
        <v>6</v>
      </c>
      <c r="K19" s="1"/>
      <c r="L19" s="1">
        <v>1</v>
      </c>
      <c r="M19" s="1">
        <v>2</v>
      </c>
      <c r="N19" s="1">
        <v>3</v>
      </c>
      <c r="O19" s="1">
        <v>4</v>
      </c>
      <c r="P19" s="1">
        <v>5</v>
      </c>
      <c r="Q19" s="1">
        <v>6</v>
      </c>
      <c r="R19" s="1">
        <v>7</v>
      </c>
      <c r="S19" s="1">
        <v>8</v>
      </c>
      <c r="T19" s="1">
        <v>9</v>
      </c>
      <c r="U19" s="1">
        <v>10</v>
      </c>
      <c r="V19" s="1">
        <v>11</v>
      </c>
      <c r="W19" s="1">
        <v>12</v>
      </c>
      <c r="X19" s="1">
        <v>13</v>
      </c>
      <c r="Y19" s="1">
        <v>14</v>
      </c>
      <c r="Z19" s="1">
        <v>15</v>
      </c>
    </row>
    <row r="20" spans="1:29" x14ac:dyDescent="0.25">
      <c r="A20" s="2">
        <v>45698</v>
      </c>
      <c r="B20" s="1" t="s">
        <v>32</v>
      </c>
      <c r="C20" s="1">
        <v>2</v>
      </c>
      <c r="D20" s="1">
        <v>2</v>
      </c>
      <c r="E20" s="1" t="s">
        <v>8</v>
      </c>
      <c r="F20" s="13">
        <v>458</v>
      </c>
      <c r="G20" s="14">
        <v>417</v>
      </c>
      <c r="H20" s="1">
        <v>421</v>
      </c>
      <c r="I20" s="1">
        <v>365</v>
      </c>
      <c r="J20" s="18">
        <v>255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9" x14ac:dyDescent="0.25">
      <c r="A21" s="1"/>
      <c r="B21" s="1"/>
      <c r="C21" s="1"/>
      <c r="D21" s="1"/>
      <c r="E21" s="1" t="s">
        <v>9</v>
      </c>
      <c r="F21" s="13">
        <v>462</v>
      </c>
      <c r="G21" s="14">
        <v>464</v>
      </c>
      <c r="H21" s="1">
        <v>569</v>
      </c>
      <c r="I21" s="1">
        <v>367</v>
      </c>
      <c r="J21" s="18">
        <v>256</v>
      </c>
      <c r="K21" s="1"/>
      <c r="AB21" t="s">
        <v>16</v>
      </c>
      <c r="AC21" t="s">
        <v>17</v>
      </c>
    </row>
    <row r="22" spans="1:29" x14ac:dyDescent="0.25">
      <c r="A22" s="1"/>
      <c r="B22" s="1"/>
      <c r="C22" s="1"/>
      <c r="D22" s="1"/>
      <c r="E22" s="1" t="s">
        <v>10</v>
      </c>
      <c r="F22" s="13">
        <f>F21-F20</f>
        <v>4</v>
      </c>
      <c r="G22" s="14">
        <f t="shared" ref="G22:J22" si="6">G21-G20</f>
        <v>47</v>
      </c>
      <c r="H22" s="1">
        <f t="shared" si="6"/>
        <v>148</v>
      </c>
      <c r="I22" s="1">
        <f t="shared" si="6"/>
        <v>2</v>
      </c>
      <c r="J22" s="18">
        <f t="shared" si="6"/>
        <v>1</v>
      </c>
      <c r="K22" s="1"/>
      <c r="AA22">
        <f>SUM(L22:Z22)</f>
        <v>0</v>
      </c>
      <c r="AB22">
        <f>AA22/15</f>
        <v>0</v>
      </c>
      <c r="AC22" s="1">
        <v>2.6</v>
      </c>
    </row>
    <row r="23" spans="1:29" x14ac:dyDescent="0.25">
      <c r="A23" s="1"/>
      <c r="B23" s="1"/>
      <c r="C23" s="1"/>
      <c r="D23" s="1"/>
      <c r="E23" s="1" t="s">
        <v>14</v>
      </c>
      <c r="F23" s="42">
        <f>F22/2</f>
        <v>2</v>
      </c>
      <c r="G23" s="43">
        <f t="shared" ref="G23" si="7">G22/2</f>
        <v>23.5</v>
      </c>
      <c r="H23" s="41">
        <f>(H22/2)-1</f>
        <v>73</v>
      </c>
      <c r="I23" s="41">
        <f t="shared" ref="I23:J23" si="8">I22/2</f>
        <v>1</v>
      </c>
      <c r="J23" s="44">
        <f t="shared" si="8"/>
        <v>0.5</v>
      </c>
      <c r="K23" s="1">
        <f>SUM(F23:J23)</f>
        <v>100</v>
      </c>
    </row>
    <row r="34" spans="7:7" x14ac:dyDescent="0.25">
      <c r="G34" s="16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39EA-FBAC-42B9-B38A-F4FC11B3A06A}">
  <dimension ref="A1:AC15"/>
  <sheetViews>
    <sheetView workbookViewId="0">
      <selection activeCell="J15" sqref="J15"/>
    </sheetView>
    <sheetView workbookViewId="1">
      <selection sqref="A1:K5"/>
    </sheetView>
  </sheetViews>
  <sheetFormatPr baseColWidth="10" defaultRowHeight="15" x14ac:dyDescent="0.25"/>
  <cols>
    <col min="2" max="2" width="17.42578125" customWidth="1"/>
    <col min="5" max="5" width="24" customWidth="1"/>
    <col min="6" max="6" width="19.5703125" customWidth="1"/>
    <col min="12" max="27" width="0" hidden="1" customWidth="1"/>
  </cols>
  <sheetData>
    <row r="1" spans="1:29" x14ac:dyDescent="0.25">
      <c r="A1" s="1" t="s">
        <v>0</v>
      </c>
      <c r="B1" s="1" t="s">
        <v>1</v>
      </c>
      <c r="C1" s="1" t="s">
        <v>13</v>
      </c>
      <c r="D1" s="1" t="s">
        <v>12</v>
      </c>
      <c r="E1" s="1" t="s">
        <v>7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/>
      <c r="L1" s="1">
        <v>1</v>
      </c>
      <c r="M1" s="1">
        <v>2</v>
      </c>
      <c r="N1" s="1">
        <v>3</v>
      </c>
      <c r="O1" s="1">
        <v>4</v>
      </c>
      <c r="P1" s="1">
        <v>5</v>
      </c>
      <c r="Q1" s="1">
        <v>6</v>
      </c>
      <c r="R1" s="1">
        <v>7</v>
      </c>
      <c r="S1" s="1">
        <v>8</v>
      </c>
      <c r="T1" s="1">
        <v>9</v>
      </c>
      <c r="U1" s="1">
        <v>10</v>
      </c>
      <c r="V1" s="1">
        <v>11</v>
      </c>
      <c r="W1" s="1">
        <v>12</v>
      </c>
      <c r="X1" s="1">
        <v>13</v>
      </c>
      <c r="Y1" s="1">
        <v>14</v>
      </c>
      <c r="Z1" s="1">
        <v>15</v>
      </c>
      <c r="AB1" t="s">
        <v>16</v>
      </c>
      <c r="AC1" t="s">
        <v>17</v>
      </c>
    </row>
    <row r="2" spans="1:29" x14ac:dyDescent="0.25">
      <c r="A2" s="2">
        <v>45699</v>
      </c>
      <c r="B2" s="1" t="s">
        <v>30</v>
      </c>
      <c r="C2" s="1">
        <v>1</v>
      </c>
      <c r="D2" s="1">
        <v>2</v>
      </c>
      <c r="E2" s="1" t="s">
        <v>8</v>
      </c>
      <c r="F2" s="1">
        <v>458</v>
      </c>
      <c r="G2" s="1">
        <v>417</v>
      </c>
      <c r="H2" s="1">
        <v>421</v>
      </c>
      <c r="I2" s="1">
        <v>365</v>
      </c>
      <c r="J2" s="1">
        <v>255</v>
      </c>
      <c r="K2" s="1"/>
      <c r="L2" s="1">
        <v>3.34</v>
      </c>
      <c r="M2" s="1">
        <v>2.85</v>
      </c>
      <c r="N2" s="1">
        <v>2.42</v>
      </c>
      <c r="O2" s="1">
        <v>3.22</v>
      </c>
      <c r="P2" s="1">
        <v>3.81</v>
      </c>
      <c r="Q2" s="1">
        <v>3.63</v>
      </c>
      <c r="R2" s="1">
        <v>2.09</v>
      </c>
      <c r="S2" s="1">
        <v>4.6500000000000004</v>
      </c>
      <c r="T2" s="1">
        <v>3.62</v>
      </c>
      <c r="U2" s="1">
        <v>3.31</v>
      </c>
      <c r="V2" s="1">
        <v>3.8</v>
      </c>
      <c r="W2" s="1">
        <v>2.89</v>
      </c>
      <c r="X2" s="1">
        <v>2.4300000000000002</v>
      </c>
      <c r="Y2" s="1">
        <v>3.48</v>
      </c>
      <c r="Z2" s="1">
        <v>2.74</v>
      </c>
      <c r="AA2">
        <f>SUM(L2:Z2)</f>
        <v>48.279999999999994</v>
      </c>
      <c r="AB2">
        <f>AA2/15</f>
        <v>3.2186666666666661</v>
      </c>
    </row>
    <row r="3" spans="1:29" x14ac:dyDescent="0.25">
      <c r="A3" s="1"/>
      <c r="B3" s="1"/>
      <c r="C3" s="1"/>
      <c r="D3" s="1"/>
      <c r="E3" s="1" t="s">
        <v>9</v>
      </c>
      <c r="F3" s="1">
        <v>469</v>
      </c>
      <c r="G3" s="1">
        <v>467</v>
      </c>
      <c r="H3" s="1">
        <v>559</v>
      </c>
      <c r="I3" s="1">
        <v>366</v>
      </c>
      <c r="J3" s="1">
        <v>256</v>
      </c>
      <c r="K3" s="1"/>
      <c r="AB3" s="4"/>
    </row>
    <row r="4" spans="1:29" x14ac:dyDescent="0.25">
      <c r="A4" s="1"/>
      <c r="B4" s="1"/>
      <c r="C4" s="1"/>
      <c r="D4" s="1"/>
      <c r="E4" s="1" t="s">
        <v>10</v>
      </c>
      <c r="F4" s="1">
        <f>F3-F2</f>
        <v>11</v>
      </c>
      <c r="G4" s="1">
        <f t="shared" ref="G4:J4" si="0">G3-G2</f>
        <v>50</v>
      </c>
      <c r="H4" s="1">
        <f t="shared" si="0"/>
        <v>138</v>
      </c>
      <c r="I4" s="1">
        <f t="shared" si="0"/>
        <v>1</v>
      </c>
      <c r="J4" s="1">
        <f t="shared" si="0"/>
        <v>1</v>
      </c>
      <c r="K4" s="1"/>
    </row>
    <row r="5" spans="1:29" x14ac:dyDescent="0.25">
      <c r="A5" s="1"/>
      <c r="B5" s="1"/>
      <c r="C5" s="1"/>
      <c r="D5" s="1"/>
      <c r="E5" s="1" t="s">
        <v>14</v>
      </c>
      <c r="F5" s="40">
        <f>F4/2</f>
        <v>5.5</v>
      </c>
      <c r="G5" s="40">
        <f t="shared" ref="G5" si="1">G4/2</f>
        <v>25</v>
      </c>
      <c r="H5" s="41">
        <f>(H4/2)-0.5</f>
        <v>68.5</v>
      </c>
      <c r="I5" s="41">
        <f t="shared" ref="I5:J5" si="2">I4/2</f>
        <v>0.5</v>
      </c>
      <c r="J5" s="40">
        <f t="shared" si="2"/>
        <v>0.5</v>
      </c>
      <c r="K5" s="1">
        <f>SUM(F5:J5)</f>
        <v>100</v>
      </c>
    </row>
    <row r="6" spans="1:29" x14ac:dyDescent="0.25">
      <c r="A6" s="1" t="s">
        <v>0</v>
      </c>
      <c r="B6" s="1" t="s">
        <v>1</v>
      </c>
      <c r="C6" s="1" t="s">
        <v>13</v>
      </c>
      <c r="D6" s="1" t="s">
        <v>12</v>
      </c>
      <c r="E6" s="1" t="s">
        <v>7</v>
      </c>
      <c r="F6" s="1" t="s">
        <v>2</v>
      </c>
      <c r="G6" s="1" t="s">
        <v>3</v>
      </c>
      <c r="H6" s="1" t="s">
        <v>4</v>
      </c>
      <c r="I6" s="1" t="s">
        <v>5</v>
      </c>
      <c r="J6" s="1" t="s">
        <v>6</v>
      </c>
      <c r="K6" s="1"/>
      <c r="L6" s="1">
        <v>1</v>
      </c>
      <c r="M6" s="1">
        <v>2</v>
      </c>
      <c r="N6" s="1">
        <v>3</v>
      </c>
      <c r="O6" s="1">
        <v>4</v>
      </c>
      <c r="P6" s="1">
        <v>5</v>
      </c>
      <c r="Q6" s="1">
        <v>6</v>
      </c>
      <c r="R6" s="1">
        <v>7</v>
      </c>
      <c r="S6" s="1">
        <v>8</v>
      </c>
      <c r="T6" s="1">
        <v>9</v>
      </c>
      <c r="U6" s="1">
        <v>10</v>
      </c>
      <c r="V6" s="1">
        <v>11</v>
      </c>
      <c r="W6" s="1">
        <v>12</v>
      </c>
      <c r="X6" s="1">
        <v>13</v>
      </c>
      <c r="Y6" s="1">
        <v>14</v>
      </c>
      <c r="Z6" s="1">
        <v>15</v>
      </c>
      <c r="AB6" t="s">
        <v>16</v>
      </c>
      <c r="AC6" t="s">
        <v>17</v>
      </c>
    </row>
    <row r="7" spans="1:29" x14ac:dyDescent="0.25">
      <c r="A7" s="2">
        <v>45699</v>
      </c>
      <c r="B7" s="1" t="s">
        <v>30</v>
      </c>
      <c r="C7" s="1">
        <v>1</v>
      </c>
      <c r="D7" s="1">
        <v>2</v>
      </c>
      <c r="E7" s="1" t="s">
        <v>8</v>
      </c>
      <c r="F7" s="1">
        <v>458</v>
      </c>
      <c r="G7" s="1">
        <v>417</v>
      </c>
      <c r="H7" s="1">
        <v>421</v>
      </c>
      <c r="I7" s="1">
        <v>365</v>
      </c>
      <c r="J7" s="1">
        <v>255</v>
      </c>
      <c r="K7" s="1"/>
      <c r="L7" s="1">
        <v>3</v>
      </c>
      <c r="M7" s="1">
        <v>3.73</v>
      </c>
      <c r="N7" s="1">
        <v>2.98</v>
      </c>
      <c r="O7" s="1">
        <v>3.22</v>
      </c>
      <c r="P7" s="1">
        <v>2.9</v>
      </c>
      <c r="Q7" s="1">
        <v>2.37</v>
      </c>
      <c r="R7" s="1">
        <v>2.29</v>
      </c>
      <c r="S7" s="1">
        <v>2.94</v>
      </c>
      <c r="T7" s="1">
        <v>3.1</v>
      </c>
      <c r="U7" s="1">
        <v>3.24</v>
      </c>
      <c r="V7" s="1">
        <v>3.76</v>
      </c>
      <c r="W7" s="1">
        <v>2.39</v>
      </c>
      <c r="X7" s="1">
        <v>3.79</v>
      </c>
      <c r="Y7" s="1">
        <v>3.46</v>
      </c>
      <c r="Z7" s="1">
        <v>2.87</v>
      </c>
      <c r="AA7">
        <f>SUM(L7:Z7)</f>
        <v>46.04</v>
      </c>
      <c r="AB7">
        <f>AA7/15</f>
        <v>3.0693333333333332</v>
      </c>
      <c r="AC7" s="1">
        <v>0.27</v>
      </c>
    </row>
    <row r="8" spans="1:29" x14ac:dyDescent="0.25">
      <c r="A8" s="1"/>
      <c r="B8" s="1"/>
      <c r="C8" s="1"/>
      <c r="D8" s="1"/>
      <c r="E8" s="1" t="s">
        <v>9</v>
      </c>
      <c r="F8" s="1">
        <v>469</v>
      </c>
      <c r="G8" s="1">
        <v>456</v>
      </c>
      <c r="H8" s="1">
        <v>572</v>
      </c>
      <c r="I8" s="1">
        <v>366</v>
      </c>
      <c r="J8" s="1">
        <v>256</v>
      </c>
      <c r="K8" s="1"/>
      <c r="AB8" s="4"/>
    </row>
    <row r="9" spans="1:29" x14ac:dyDescent="0.25">
      <c r="A9" s="1"/>
      <c r="B9" s="1"/>
      <c r="C9" s="1"/>
      <c r="D9" s="1"/>
      <c r="E9" s="1" t="s">
        <v>10</v>
      </c>
      <c r="F9" s="1">
        <f>F8-F7</f>
        <v>11</v>
      </c>
      <c r="G9" s="1">
        <f t="shared" ref="G9:J9" si="3">G8-G7</f>
        <v>39</v>
      </c>
      <c r="H9" s="1">
        <f t="shared" si="3"/>
        <v>151</v>
      </c>
      <c r="I9" s="1">
        <f t="shared" si="3"/>
        <v>1</v>
      </c>
      <c r="J9" s="1">
        <f t="shared" si="3"/>
        <v>1</v>
      </c>
      <c r="K9" s="1"/>
    </row>
    <row r="10" spans="1:29" x14ac:dyDescent="0.25">
      <c r="A10" s="1"/>
      <c r="B10" s="1"/>
      <c r="C10" s="1"/>
      <c r="D10" s="1"/>
      <c r="E10" s="1" t="s">
        <v>14</v>
      </c>
      <c r="F10" s="40">
        <f>F9/2</f>
        <v>5.5</v>
      </c>
      <c r="G10" s="40">
        <f t="shared" ref="G10" si="4">G9/2</f>
        <v>19.5</v>
      </c>
      <c r="H10" s="41">
        <f>(H9/2)-1.5</f>
        <v>74</v>
      </c>
      <c r="I10" s="41">
        <f t="shared" ref="I10:J10" si="5">I9/2</f>
        <v>0.5</v>
      </c>
      <c r="J10" s="40">
        <f t="shared" si="5"/>
        <v>0.5</v>
      </c>
      <c r="K10" s="1">
        <f>SUM(F10:J10)</f>
        <v>100</v>
      </c>
    </row>
    <row r="11" spans="1:29" x14ac:dyDescent="0.25">
      <c r="A11" s="1" t="s">
        <v>0</v>
      </c>
      <c r="B11" s="1" t="s">
        <v>1</v>
      </c>
      <c r="C11" s="1" t="s">
        <v>13</v>
      </c>
      <c r="D11" s="1" t="s">
        <v>12</v>
      </c>
      <c r="E11" s="1" t="s">
        <v>7</v>
      </c>
      <c r="F11" s="1" t="s">
        <v>2</v>
      </c>
      <c r="G11" s="1" t="s">
        <v>3</v>
      </c>
      <c r="H11" s="1" t="s">
        <v>4</v>
      </c>
      <c r="I11" s="1" t="s">
        <v>5</v>
      </c>
      <c r="J11" s="1" t="s">
        <v>6</v>
      </c>
      <c r="K11" s="1"/>
      <c r="L11" s="1">
        <v>1</v>
      </c>
      <c r="M11" s="1">
        <v>2</v>
      </c>
      <c r="N11" s="1">
        <v>3</v>
      </c>
      <c r="O11" s="1">
        <v>4</v>
      </c>
      <c r="P11" s="1">
        <v>5</v>
      </c>
      <c r="Q11" s="1">
        <v>6</v>
      </c>
      <c r="R11" s="1">
        <v>7</v>
      </c>
      <c r="S11" s="1">
        <v>8</v>
      </c>
      <c r="T11" s="1">
        <v>9</v>
      </c>
      <c r="U11" s="1">
        <v>10</v>
      </c>
      <c r="V11" s="1">
        <v>11</v>
      </c>
      <c r="W11" s="1">
        <v>12</v>
      </c>
      <c r="X11" s="1">
        <v>13</v>
      </c>
      <c r="Y11" s="1">
        <v>14</v>
      </c>
      <c r="Z11" s="1">
        <v>15</v>
      </c>
      <c r="AB11" t="s">
        <v>16</v>
      </c>
      <c r="AC11" t="s">
        <v>17</v>
      </c>
    </row>
    <row r="12" spans="1:29" x14ac:dyDescent="0.25">
      <c r="A12" s="2">
        <v>45699</v>
      </c>
      <c r="B12" s="1" t="s">
        <v>30</v>
      </c>
      <c r="C12" s="1">
        <v>1</v>
      </c>
      <c r="D12" s="1">
        <v>1</v>
      </c>
      <c r="E12" s="1" t="s">
        <v>8</v>
      </c>
      <c r="F12" s="1">
        <v>458</v>
      </c>
      <c r="G12" s="1">
        <v>417</v>
      </c>
      <c r="H12" s="1">
        <v>421</v>
      </c>
      <c r="I12" s="1">
        <v>365</v>
      </c>
      <c r="J12" s="1">
        <v>255</v>
      </c>
      <c r="K12" s="1"/>
      <c r="L12" s="1">
        <v>2.85</v>
      </c>
      <c r="M12" s="1">
        <v>3.52</v>
      </c>
      <c r="N12" s="1">
        <v>3.75</v>
      </c>
      <c r="O12" s="1">
        <v>3.02</v>
      </c>
      <c r="P12" s="1">
        <v>2.4900000000000002</v>
      </c>
      <c r="Q12" s="1">
        <v>3.34</v>
      </c>
      <c r="R12" s="1">
        <v>3.25</v>
      </c>
      <c r="S12" s="1">
        <v>2.84</v>
      </c>
      <c r="T12" s="1">
        <v>2.9</v>
      </c>
      <c r="U12" s="1">
        <v>3.35</v>
      </c>
      <c r="V12" s="1">
        <v>3.36</v>
      </c>
      <c r="W12" s="1">
        <v>3.77</v>
      </c>
      <c r="X12" s="1">
        <v>3.39</v>
      </c>
      <c r="Y12" s="1">
        <v>3</v>
      </c>
      <c r="Z12" s="1">
        <v>2.75</v>
      </c>
      <c r="AA12">
        <f>SUM(L12:Z12)</f>
        <v>47.580000000000005</v>
      </c>
      <c r="AB12">
        <f>AA12/15</f>
        <v>3.1720000000000002</v>
      </c>
      <c r="AC12" s="1">
        <v>0.21</v>
      </c>
    </row>
    <row r="13" spans="1:29" x14ac:dyDescent="0.25">
      <c r="A13" s="1"/>
      <c r="B13" s="1"/>
      <c r="C13" s="1"/>
      <c r="D13" s="1"/>
      <c r="E13" s="1" t="s">
        <v>9</v>
      </c>
      <c r="F13" s="1">
        <v>474</v>
      </c>
      <c r="G13" s="1">
        <v>484</v>
      </c>
      <c r="H13" s="1">
        <v>536</v>
      </c>
      <c r="I13" s="1">
        <v>366</v>
      </c>
      <c r="J13" s="1">
        <v>257</v>
      </c>
      <c r="K13" s="1"/>
    </row>
    <row r="14" spans="1:29" x14ac:dyDescent="0.25">
      <c r="A14" s="1"/>
      <c r="B14" s="1"/>
      <c r="C14" s="1"/>
      <c r="D14" s="1"/>
      <c r="E14" s="1" t="s">
        <v>10</v>
      </c>
      <c r="F14" s="1">
        <f>F13-F12</f>
        <v>16</v>
      </c>
      <c r="G14" s="1">
        <f t="shared" ref="G14:J14" si="6">G13-G12</f>
        <v>67</v>
      </c>
      <c r="H14" s="1">
        <f t="shared" si="6"/>
        <v>115</v>
      </c>
      <c r="I14" s="1">
        <f t="shared" si="6"/>
        <v>1</v>
      </c>
      <c r="J14" s="1">
        <f t="shared" si="6"/>
        <v>2</v>
      </c>
      <c r="K14" s="1"/>
      <c r="AB14" s="4"/>
    </row>
    <row r="15" spans="1:29" x14ac:dyDescent="0.25">
      <c r="A15" s="1"/>
      <c r="B15" s="1"/>
      <c r="C15" s="1"/>
      <c r="D15" s="1"/>
      <c r="E15" s="1" t="s">
        <v>14</v>
      </c>
      <c r="F15" s="40">
        <f>F14/2</f>
        <v>8</v>
      </c>
      <c r="G15" s="40">
        <f t="shared" ref="G15" si="7">G14/2</f>
        <v>33.5</v>
      </c>
      <c r="H15" s="41">
        <f>(H14/2)-0.5</f>
        <v>57</v>
      </c>
      <c r="I15" s="41">
        <f t="shared" ref="I15:J15" si="8">I14/2</f>
        <v>0.5</v>
      </c>
      <c r="J15" s="40">
        <f t="shared" si="8"/>
        <v>1</v>
      </c>
      <c r="K15" s="1">
        <f>SUM(F15:J15)</f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9045-CF33-421B-9C9C-102487F42E2A}">
  <dimension ref="A1:AA11"/>
  <sheetViews>
    <sheetView workbookViewId="0"/>
    <sheetView tabSelected="1" topLeftCell="F1" workbookViewId="1">
      <selection activeCell="AB15" sqref="AB15"/>
    </sheetView>
  </sheetViews>
  <sheetFormatPr baseColWidth="10" defaultRowHeight="15" x14ac:dyDescent="0.25"/>
  <cols>
    <col min="2" max="2" width="16.28515625" customWidth="1"/>
    <col min="5" max="5" width="18.42578125" customWidth="1"/>
    <col min="12" max="26" width="0" hidden="1" customWidth="1"/>
  </cols>
  <sheetData>
    <row r="1" spans="1:27" x14ac:dyDescent="0.25">
      <c r="A1" s="1" t="s">
        <v>0</v>
      </c>
      <c r="B1" s="1" t="s">
        <v>1</v>
      </c>
      <c r="C1" s="1" t="s">
        <v>13</v>
      </c>
      <c r="D1" s="1" t="s">
        <v>12</v>
      </c>
      <c r="E1" s="1" t="s">
        <v>7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/>
    </row>
    <row r="2" spans="1:27" x14ac:dyDescent="0.25">
      <c r="A2" s="2">
        <v>45700</v>
      </c>
      <c r="B2" s="1" t="s">
        <v>37</v>
      </c>
      <c r="C2" s="1">
        <v>1</v>
      </c>
      <c r="D2" s="1">
        <v>2</v>
      </c>
      <c r="E2" s="1" t="s">
        <v>8</v>
      </c>
      <c r="F2" s="1">
        <v>458</v>
      </c>
      <c r="G2" s="1">
        <v>417</v>
      </c>
      <c r="H2" s="1">
        <v>421</v>
      </c>
      <c r="I2" s="1">
        <v>365</v>
      </c>
      <c r="J2" s="1">
        <v>255</v>
      </c>
      <c r="K2" s="1"/>
    </row>
    <row r="3" spans="1:27" x14ac:dyDescent="0.25">
      <c r="A3" s="1"/>
      <c r="B3" s="1"/>
      <c r="C3" s="1"/>
      <c r="D3" s="1"/>
      <c r="E3" s="1" t="s">
        <v>9</v>
      </c>
      <c r="F3" s="1">
        <v>460</v>
      </c>
      <c r="G3" s="1">
        <v>435</v>
      </c>
      <c r="H3" s="1">
        <v>600</v>
      </c>
      <c r="I3" s="1">
        <v>368</v>
      </c>
      <c r="J3" s="1">
        <v>256</v>
      </c>
      <c r="K3" s="1"/>
    </row>
    <row r="4" spans="1:27" x14ac:dyDescent="0.25">
      <c r="A4" s="1"/>
      <c r="B4" s="1"/>
      <c r="C4" s="1"/>
      <c r="D4" s="1"/>
      <c r="E4" s="1" t="s">
        <v>10</v>
      </c>
      <c r="F4" s="1">
        <f>F3-F2</f>
        <v>2</v>
      </c>
      <c r="G4" s="1">
        <f t="shared" ref="G4:J4" si="0">G3-G2</f>
        <v>18</v>
      </c>
      <c r="H4" s="1">
        <f t="shared" si="0"/>
        <v>179</v>
      </c>
      <c r="I4" s="1">
        <f t="shared" si="0"/>
        <v>3</v>
      </c>
      <c r="J4" s="1">
        <f t="shared" si="0"/>
        <v>1</v>
      </c>
      <c r="K4" s="1"/>
    </row>
    <row r="5" spans="1:27" x14ac:dyDescent="0.25">
      <c r="A5" s="1"/>
      <c r="B5" s="1"/>
      <c r="C5" s="1"/>
      <c r="D5" s="1"/>
      <c r="E5" s="1" t="s">
        <v>14</v>
      </c>
      <c r="F5" s="49">
        <f>F4/2</f>
        <v>1</v>
      </c>
      <c r="G5" s="49">
        <f t="shared" ref="G5" si="1">G4/2</f>
        <v>9</v>
      </c>
      <c r="H5" s="61">
        <f>(H4/2)-1.5</f>
        <v>88</v>
      </c>
      <c r="I5" s="61">
        <f t="shared" ref="I5:J5" si="2">I4/2</f>
        <v>1.5</v>
      </c>
      <c r="J5" s="62">
        <f t="shared" si="2"/>
        <v>0.5</v>
      </c>
      <c r="K5" s="1">
        <f>SUM(F5:J5)</f>
        <v>100</v>
      </c>
    </row>
    <row r="7" spans="1:27" x14ac:dyDescent="0.25">
      <c r="A7" s="1" t="s">
        <v>0</v>
      </c>
      <c r="B7" s="1" t="s">
        <v>1</v>
      </c>
      <c r="C7" s="1" t="s">
        <v>13</v>
      </c>
      <c r="D7" s="1" t="s">
        <v>12</v>
      </c>
      <c r="E7" s="1" t="s">
        <v>7</v>
      </c>
      <c r="F7" s="1" t="s">
        <v>2</v>
      </c>
      <c r="G7" s="1" t="s">
        <v>3</v>
      </c>
      <c r="H7" s="1" t="s">
        <v>4</v>
      </c>
      <c r="I7" s="1" t="s">
        <v>5</v>
      </c>
      <c r="J7" s="1" t="s">
        <v>6</v>
      </c>
      <c r="K7" s="1"/>
      <c r="L7" s="1">
        <v>1</v>
      </c>
      <c r="M7" s="1">
        <v>2</v>
      </c>
      <c r="N7" s="1">
        <v>3</v>
      </c>
      <c r="O7" s="1">
        <v>4</v>
      </c>
      <c r="P7" s="1">
        <v>5</v>
      </c>
      <c r="Q7" s="1">
        <v>6</v>
      </c>
      <c r="R7" s="1">
        <v>7</v>
      </c>
      <c r="S7" s="1">
        <v>8</v>
      </c>
      <c r="T7" s="1">
        <v>9</v>
      </c>
      <c r="U7" s="1">
        <v>10</v>
      </c>
      <c r="V7" s="1">
        <v>11</v>
      </c>
      <c r="W7" s="1">
        <v>12</v>
      </c>
      <c r="X7" s="1">
        <v>13</v>
      </c>
      <c r="Y7" s="1">
        <v>14</v>
      </c>
      <c r="Z7" s="1">
        <v>15</v>
      </c>
      <c r="AA7" s="1" t="s">
        <v>16</v>
      </c>
    </row>
    <row r="8" spans="1:27" x14ac:dyDescent="0.25">
      <c r="A8" s="2">
        <v>45700</v>
      </c>
      <c r="B8" s="1">
        <v>141</v>
      </c>
      <c r="C8" s="1">
        <v>1</v>
      </c>
      <c r="D8" s="1">
        <v>1</v>
      </c>
      <c r="E8" s="1" t="s">
        <v>8</v>
      </c>
      <c r="F8" s="1">
        <v>458</v>
      </c>
      <c r="G8" s="1">
        <v>417</v>
      </c>
      <c r="H8" s="1">
        <v>421</v>
      </c>
      <c r="I8" s="1">
        <v>365</v>
      </c>
      <c r="J8" s="1">
        <v>255</v>
      </c>
      <c r="K8" s="1"/>
      <c r="L8" s="1">
        <v>1.28</v>
      </c>
      <c r="M8" s="1">
        <v>1.52</v>
      </c>
      <c r="N8" s="1">
        <v>1.21</v>
      </c>
      <c r="O8" s="1">
        <v>1.21</v>
      </c>
      <c r="P8" s="1">
        <v>1.49</v>
      </c>
      <c r="Q8" s="1">
        <v>1.21</v>
      </c>
      <c r="R8" s="1">
        <v>2.0299999999999998</v>
      </c>
      <c r="S8" s="1">
        <v>1.06</v>
      </c>
      <c r="T8" s="1">
        <v>2.36</v>
      </c>
      <c r="U8" s="1">
        <v>1.77</v>
      </c>
      <c r="V8" s="1">
        <v>2.21</v>
      </c>
      <c r="W8" s="1">
        <v>1.35</v>
      </c>
      <c r="X8" s="1">
        <v>1.46</v>
      </c>
      <c r="Y8" s="1">
        <v>0.99</v>
      </c>
      <c r="Z8" s="1">
        <v>1.97</v>
      </c>
      <c r="AA8" s="40">
        <f>AVERAGE(L8:Z8)</f>
        <v>1.5413333333333332</v>
      </c>
    </row>
    <row r="9" spans="1:27" x14ac:dyDescent="0.25">
      <c r="A9" s="1"/>
      <c r="B9" s="1"/>
      <c r="C9" s="1"/>
      <c r="D9" s="1"/>
      <c r="E9" s="1" t="s">
        <v>9</v>
      </c>
      <c r="F9" s="1">
        <v>465</v>
      </c>
      <c r="G9" s="1">
        <v>451</v>
      </c>
      <c r="H9" s="1">
        <v>566</v>
      </c>
      <c r="I9" s="1">
        <v>378</v>
      </c>
      <c r="J9" s="1">
        <v>259</v>
      </c>
      <c r="K9" s="1"/>
    </row>
    <row r="10" spans="1:27" x14ac:dyDescent="0.25">
      <c r="A10" s="1"/>
      <c r="B10" s="1"/>
      <c r="C10" s="1"/>
      <c r="D10" s="1"/>
      <c r="E10" s="1" t="s">
        <v>10</v>
      </c>
      <c r="F10" s="1">
        <f>F9-F8</f>
        <v>7</v>
      </c>
      <c r="G10" s="1">
        <f t="shared" ref="G10:J10" si="3">G9-G8</f>
        <v>34</v>
      </c>
      <c r="H10" s="1">
        <f t="shared" si="3"/>
        <v>145</v>
      </c>
      <c r="I10" s="1">
        <f t="shared" si="3"/>
        <v>13</v>
      </c>
      <c r="J10" s="1">
        <f t="shared" si="3"/>
        <v>4</v>
      </c>
      <c r="K10" s="1"/>
    </row>
    <row r="11" spans="1:27" x14ac:dyDescent="0.25">
      <c r="A11" s="1"/>
      <c r="B11" s="1"/>
      <c r="C11" s="1"/>
      <c r="D11" s="1"/>
      <c r="E11" s="1" t="s">
        <v>14</v>
      </c>
      <c r="F11" s="41">
        <f>F10/2</f>
        <v>3.5</v>
      </c>
      <c r="G11" s="41">
        <f t="shared" ref="G11" si="4">G10/2</f>
        <v>17</v>
      </c>
      <c r="H11" s="40">
        <f>(H10/2)-1.5</f>
        <v>71</v>
      </c>
      <c r="I11" s="40">
        <f t="shared" ref="I11:J11" si="5">I10/2</f>
        <v>6.5</v>
      </c>
      <c r="J11" s="63">
        <f t="shared" si="5"/>
        <v>2</v>
      </c>
      <c r="K11" s="1">
        <f>SUM(F11:J11)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4 FEBRERO 2025</vt:lpstr>
      <vt:lpstr>5 FEBRERO 2025</vt:lpstr>
      <vt:lpstr>6 FEBRERO 2025</vt:lpstr>
      <vt:lpstr>7 FEBRERO 2025</vt:lpstr>
      <vt:lpstr>8 FEBRERO 2025</vt:lpstr>
      <vt:lpstr>10 FEBRERO 2025</vt:lpstr>
      <vt:lpstr>11 FEBRERO 2025</vt:lpstr>
      <vt:lpstr>12 FEBRERO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2025-02-07T20:10:11Z</dcterms:created>
  <dcterms:modified xsi:type="dcterms:W3CDTF">2025-02-12T16:26:43Z</dcterms:modified>
</cp:coreProperties>
</file>