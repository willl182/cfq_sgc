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Escritorio\"/>
    </mc:Choice>
  </mc:AlternateContent>
  <xr:revisionPtr revIDLastSave="0" documentId="8_{A03648F8-2602-4B23-9A72-3DBC2000458F}" xr6:coauthVersionLast="47" xr6:coauthVersionMax="47" xr10:uidLastSave="{00000000-0000-0000-0000-000000000000}"/>
  <bookViews>
    <workbookView xWindow="-120" yWindow="-120" windowWidth="29040" windowHeight="15720" xr2:uid="{9554B439-30CD-4D93-B9D4-9F7CA76D51B7}"/>
  </bookViews>
  <sheets>
    <sheet name="4 FEBRERO 2025" sheetId="3" r:id="rId1"/>
    <sheet name="6 FEBRERO 2025" sheetId="1" r:id="rId2"/>
    <sheet name="7 FEBRERO 2025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2" i="3" l="1"/>
  <c r="AA22" i="3"/>
  <c r="J23" i="3"/>
  <c r="J24" i="3" s="1"/>
  <c r="I23" i="3"/>
  <c r="I24" i="3" s="1"/>
  <c r="H23" i="3"/>
  <c r="H24" i="3" s="1"/>
  <c r="G23" i="3"/>
  <c r="G24" i="3" s="1"/>
  <c r="F23" i="3"/>
  <c r="F24" i="3" s="1"/>
  <c r="K17" i="3"/>
  <c r="J16" i="3"/>
  <c r="J17" i="3" s="1"/>
  <c r="I16" i="3"/>
  <c r="I17" i="3" s="1"/>
  <c r="H16" i="3"/>
  <c r="H17" i="3" s="1"/>
  <c r="G16" i="3"/>
  <c r="G17" i="3" s="1"/>
  <c r="F16" i="3"/>
  <c r="F17" i="3" s="1"/>
  <c r="AB6" i="3"/>
  <c r="AA6" i="3"/>
  <c r="H11" i="3"/>
  <c r="J10" i="3"/>
  <c r="J11" i="3" s="1"/>
  <c r="I10" i="3"/>
  <c r="I11" i="3" s="1"/>
  <c r="H10" i="3"/>
  <c r="G10" i="3"/>
  <c r="G11" i="3" s="1"/>
  <c r="F10" i="3"/>
  <c r="F11" i="3" s="1"/>
  <c r="AA2" i="3"/>
  <c r="AB2" i="3"/>
  <c r="H5" i="3"/>
  <c r="J4" i="3"/>
  <c r="J5" i="3" s="1"/>
  <c r="I4" i="3"/>
  <c r="I5" i="3" s="1"/>
  <c r="H4" i="3"/>
  <c r="G4" i="3"/>
  <c r="G5" i="3" s="1"/>
  <c r="F4" i="3"/>
  <c r="F5" i="3" s="1"/>
  <c r="AB22" i="2"/>
  <c r="AA22" i="2"/>
  <c r="F25" i="2"/>
  <c r="J24" i="2"/>
  <c r="J25" i="2" s="1"/>
  <c r="I24" i="2"/>
  <c r="I25" i="2" s="1"/>
  <c r="H24" i="2"/>
  <c r="H25" i="2" s="1"/>
  <c r="G24" i="2"/>
  <c r="G25" i="2" s="1"/>
  <c r="F24" i="2"/>
  <c r="AB15" i="2"/>
  <c r="AA15" i="2"/>
  <c r="J17" i="2"/>
  <c r="J18" i="2" s="1"/>
  <c r="I17" i="2"/>
  <c r="I18" i="2" s="1"/>
  <c r="H17" i="2"/>
  <c r="H18" i="2" s="1"/>
  <c r="G17" i="2"/>
  <c r="G18" i="2" s="1"/>
  <c r="F17" i="2"/>
  <c r="F18" i="2" s="1"/>
  <c r="AB8" i="2"/>
  <c r="AA8" i="2"/>
  <c r="J10" i="2"/>
  <c r="J11" i="2" s="1"/>
  <c r="I10" i="2"/>
  <c r="I11" i="2" s="1"/>
  <c r="H10" i="2"/>
  <c r="H11" i="2" s="1"/>
  <c r="G10" i="2"/>
  <c r="G11" i="2" s="1"/>
  <c r="F10" i="2"/>
  <c r="F11" i="2" s="1"/>
  <c r="AB2" i="2"/>
  <c r="AA2" i="2"/>
  <c r="H5" i="2"/>
  <c r="J4" i="2"/>
  <c r="J5" i="2" s="1"/>
  <c r="I4" i="2"/>
  <c r="I5" i="2" s="1"/>
  <c r="H4" i="2"/>
  <c r="G4" i="2"/>
  <c r="G5" i="2" s="1"/>
  <c r="F4" i="2"/>
  <c r="F5" i="2" s="1"/>
  <c r="AB20" i="1"/>
  <c r="AA20" i="1"/>
  <c r="H23" i="1"/>
  <c r="F23" i="1"/>
  <c r="J22" i="1"/>
  <c r="J23" i="1" s="1"/>
  <c r="I22" i="1"/>
  <c r="I23" i="1" s="1"/>
  <c r="H22" i="1"/>
  <c r="G22" i="1"/>
  <c r="G23" i="1" s="1"/>
  <c r="F22" i="1"/>
  <c r="AB14" i="1"/>
  <c r="AA14" i="1"/>
  <c r="H17" i="1"/>
  <c r="J16" i="1"/>
  <c r="J17" i="1" s="1"/>
  <c r="I16" i="1"/>
  <c r="I17" i="1" s="1"/>
  <c r="H16" i="1"/>
  <c r="G16" i="1"/>
  <c r="G17" i="1" s="1"/>
  <c r="F16" i="1"/>
  <c r="F17" i="1" s="1"/>
  <c r="AB8" i="1"/>
  <c r="AA8" i="1"/>
  <c r="AB3" i="1"/>
  <c r="AA3" i="1"/>
  <c r="H11" i="1"/>
  <c r="J10" i="1"/>
  <c r="J11" i="1" s="1"/>
  <c r="I10" i="1"/>
  <c r="I11" i="1" s="1"/>
  <c r="H10" i="1"/>
  <c r="G10" i="1"/>
  <c r="G11" i="1" s="1"/>
  <c r="F10" i="1"/>
  <c r="F11" i="1" s="1"/>
  <c r="H5" i="1"/>
  <c r="K5" i="1"/>
  <c r="G5" i="1"/>
  <c r="I5" i="1"/>
  <c r="J5" i="1"/>
  <c r="F5" i="1"/>
  <c r="G4" i="1"/>
  <c r="H4" i="1"/>
  <c r="I4" i="1"/>
  <c r="J4" i="1"/>
  <c r="F4" i="1"/>
  <c r="K24" i="3" l="1"/>
  <c r="K11" i="3"/>
  <c r="K5" i="3"/>
  <c r="K25" i="2"/>
  <c r="K18" i="2"/>
  <c r="K11" i="2"/>
  <c r="K5" i="2"/>
  <c r="K23" i="1"/>
  <c r="K17" i="1"/>
  <c r="K11" i="1"/>
</calcChain>
</file>

<file path=xl/sharedStrings.xml><?xml version="1.0" encoding="utf-8"?>
<sst xmlns="http://schemas.openxmlformats.org/spreadsheetml/2006/main" count="205" uniqueCount="21">
  <si>
    <t>FECHA</t>
  </si>
  <si>
    <t>PRODUCTO</t>
  </si>
  <si>
    <t>T4</t>
  </si>
  <si>
    <t>T5</t>
  </si>
  <si>
    <t>T10</t>
  </si>
  <si>
    <t>T18</t>
  </si>
  <si>
    <t>B</t>
  </si>
  <si>
    <t>TAMIZ</t>
  </si>
  <si>
    <t>PESO TAMIZ</t>
  </si>
  <si>
    <t>PESO OBTENIDO</t>
  </si>
  <si>
    <t>DIFERENCIA</t>
  </si>
  <si>
    <t xml:space="preserve">BORO </t>
  </si>
  <si>
    <t>PLANTA</t>
  </si>
  <si>
    <t>TURNO</t>
  </si>
  <si>
    <t>RESULTADO</t>
  </si>
  <si>
    <t>NUCLEO 4</t>
  </si>
  <si>
    <t>DUREZA</t>
  </si>
  <si>
    <t>HUMEDAD</t>
  </si>
  <si>
    <t xml:space="preserve">HUMEDAD </t>
  </si>
  <si>
    <t xml:space="preserve">RAIFOS </t>
  </si>
  <si>
    <t>3.34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</si>
</sst>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0104-8A5C-4AAA-AE1C-7A4D64B7806F}">
  <dimension ref="A1:AC24"/>
  <sheetViews>
    <sheetView tabSelected="1" workbookViewId="0">
      <selection activeCell="A22" sqref="A22"/>
    </sheetView>
  </sheetViews>
  <sheetFormatPr baseColWidth="10" defaultRowHeight="15" x14ac:dyDescent="0.25"/>
  <cols>
    <col min="5" max="5" width="30" customWidth="1"/>
  </cols>
  <sheetData>
    <row r="1" spans="1:29" x14ac:dyDescent="0.25">
      <c r="A1" s="1" t="s">
        <v>0</v>
      </c>
      <c r="B1" s="1" t="s">
        <v>1</v>
      </c>
      <c r="C1" s="1" t="s">
        <v>13</v>
      </c>
      <c r="D1" s="1" t="s">
        <v>12</v>
      </c>
      <c r="E1" s="1" t="s">
        <v>7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/>
      <c r="L1" s="1">
        <v>1</v>
      </c>
      <c r="M1" s="1">
        <v>2</v>
      </c>
      <c r="N1" s="1">
        <v>3</v>
      </c>
      <c r="O1" s="1">
        <v>4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  <c r="Z1" s="1">
        <v>15</v>
      </c>
      <c r="AB1" t="s">
        <v>16</v>
      </c>
      <c r="AC1" t="s">
        <v>17</v>
      </c>
    </row>
    <row r="2" spans="1:29" x14ac:dyDescent="0.25">
      <c r="A2" s="2">
        <v>45692</v>
      </c>
      <c r="B2" s="1" t="s">
        <v>15</v>
      </c>
      <c r="C2" s="1">
        <v>1</v>
      </c>
      <c r="D2" s="1">
        <v>1</v>
      </c>
      <c r="E2" s="1" t="s">
        <v>8</v>
      </c>
      <c r="F2" s="1">
        <v>458</v>
      </c>
      <c r="G2" s="1">
        <v>417</v>
      </c>
      <c r="H2" s="1">
        <v>421</v>
      </c>
      <c r="I2" s="1">
        <v>365</v>
      </c>
      <c r="J2" s="1">
        <v>255</v>
      </c>
      <c r="K2" s="1"/>
      <c r="L2" s="1">
        <v>2.8</v>
      </c>
      <c r="M2" s="1">
        <v>2.77</v>
      </c>
      <c r="N2" s="1">
        <v>1.93</v>
      </c>
      <c r="O2" s="1">
        <v>2.3199999999999998</v>
      </c>
      <c r="P2" s="1">
        <v>4.0999999999999996</v>
      </c>
      <c r="Q2" s="1">
        <v>1.45</v>
      </c>
      <c r="R2" s="1">
        <v>2.61</v>
      </c>
      <c r="S2" s="1">
        <v>2.5099999999999998</v>
      </c>
      <c r="T2" s="1">
        <v>1.81</v>
      </c>
      <c r="U2" s="1">
        <v>1.62</v>
      </c>
      <c r="V2" s="1">
        <v>1.68</v>
      </c>
      <c r="W2" s="1">
        <v>1.68</v>
      </c>
      <c r="X2" s="1">
        <v>0.85</v>
      </c>
      <c r="Y2" s="1">
        <v>2.52</v>
      </c>
      <c r="Z2" s="1">
        <v>1.36</v>
      </c>
      <c r="AA2">
        <f>SUM(L2:Z2)</f>
        <v>32.010000000000005</v>
      </c>
      <c r="AB2">
        <f>AA2/15</f>
        <v>2.1340000000000003</v>
      </c>
      <c r="AC2" s="1">
        <v>1.54</v>
      </c>
    </row>
    <row r="3" spans="1:29" x14ac:dyDescent="0.25">
      <c r="A3" s="1"/>
      <c r="B3" s="1"/>
      <c r="C3" s="1"/>
      <c r="D3" s="1"/>
      <c r="E3" s="1" t="s">
        <v>9</v>
      </c>
      <c r="F3" s="1">
        <v>463</v>
      </c>
      <c r="G3" s="1">
        <v>447</v>
      </c>
      <c r="H3" s="1">
        <v>579</v>
      </c>
      <c r="I3" s="1">
        <v>373</v>
      </c>
      <c r="J3" s="1">
        <v>256</v>
      </c>
      <c r="K3" s="1"/>
    </row>
    <row r="4" spans="1:29" x14ac:dyDescent="0.25">
      <c r="A4" s="1"/>
      <c r="B4" s="1"/>
      <c r="C4" s="1"/>
      <c r="D4" s="1"/>
      <c r="E4" s="1" t="s">
        <v>10</v>
      </c>
      <c r="F4" s="1">
        <f>F3-F2</f>
        <v>5</v>
      </c>
      <c r="G4" s="1">
        <f t="shared" ref="G4:J4" si="0">G3-G2</f>
        <v>30</v>
      </c>
      <c r="H4" s="1">
        <f t="shared" si="0"/>
        <v>158</v>
      </c>
      <c r="I4" s="1">
        <f t="shared" si="0"/>
        <v>8</v>
      </c>
      <c r="J4" s="1">
        <f t="shared" si="0"/>
        <v>1</v>
      </c>
      <c r="K4" s="1"/>
    </row>
    <row r="5" spans="1:29" x14ac:dyDescent="0.25">
      <c r="A5" s="1"/>
      <c r="B5" s="1"/>
      <c r="C5" s="1"/>
      <c r="D5" s="1"/>
      <c r="E5" s="1" t="s">
        <v>14</v>
      </c>
      <c r="F5" s="1">
        <f>F4/2</f>
        <v>2.5</v>
      </c>
      <c r="G5" s="1">
        <f t="shared" ref="G5:J5" si="1">G4/2</f>
        <v>15</v>
      </c>
      <c r="H5" s="1">
        <f>(H4/2)-1</f>
        <v>78</v>
      </c>
      <c r="I5" s="1">
        <f t="shared" si="1"/>
        <v>4</v>
      </c>
      <c r="J5" s="1">
        <f t="shared" si="1"/>
        <v>0.5</v>
      </c>
      <c r="K5" s="1">
        <f>SUM(F5:J5)</f>
        <v>100</v>
      </c>
      <c r="L5" s="1">
        <v>1</v>
      </c>
      <c r="M5" s="1">
        <v>2</v>
      </c>
      <c r="N5" s="1">
        <v>3</v>
      </c>
      <c r="O5" s="1">
        <v>4</v>
      </c>
      <c r="P5" s="1">
        <v>5</v>
      </c>
      <c r="Q5" s="1">
        <v>6</v>
      </c>
      <c r="R5" s="1">
        <v>7</v>
      </c>
      <c r="S5" s="1">
        <v>8</v>
      </c>
      <c r="T5" s="1">
        <v>9</v>
      </c>
      <c r="U5" s="1">
        <v>10</v>
      </c>
      <c r="V5" s="1">
        <v>11</v>
      </c>
      <c r="W5" s="1">
        <v>12</v>
      </c>
      <c r="X5" s="1">
        <v>13</v>
      </c>
      <c r="Y5" s="1">
        <v>14</v>
      </c>
      <c r="Z5" s="1">
        <v>15</v>
      </c>
      <c r="AB5" t="s">
        <v>16</v>
      </c>
      <c r="AC5" t="s">
        <v>17</v>
      </c>
    </row>
    <row r="6" spans="1:29" x14ac:dyDescent="0.25">
      <c r="L6" s="1">
        <v>2.15</v>
      </c>
      <c r="M6" s="1">
        <v>1.33</v>
      </c>
      <c r="N6" s="1">
        <v>3.76</v>
      </c>
      <c r="O6" s="1">
        <v>3.29</v>
      </c>
      <c r="P6" s="1">
        <v>1.9</v>
      </c>
      <c r="Q6" s="1">
        <v>0.98</v>
      </c>
      <c r="R6" s="1">
        <v>1.94</v>
      </c>
      <c r="S6" s="1">
        <v>3.21</v>
      </c>
      <c r="T6" s="1">
        <v>3.34</v>
      </c>
      <c r="U6" s="1">
        <v>2.75</v>
      </c>
      <c r="V6" s="1">
        <v>1.98</v>
      </c>
      <c r="W6" s="1">
        <v>2.2999999999999998</v>
      </c>
      <c r="X6" s="1">
        <v>3.16</v>
      </c>
      <c r="Y6" s="1">
        <v>2.0099999999999998</v>
      </c>
      <c r="Z6" s="1">
        <v>3.35</v>
      </c>
      <c r="AA6">
        <f>SUM(L6:Z6)</f>
        <v>37.450000000000003</v>
      </c>
      <c r="AB6">
        <f>AA6/15</f>
        <v>2.496666666666667</v>
      </c>
      <c r="AC6" s="1">
        <v>1.5</v>
      </c>
    </row>
    <row r="7" spans="1:29" x14ac:dyDescent="0.25">
      <c r="A7" s="1" t="s">
        <v>0</v>
      </c>
      <c r="B7" s="1" t="s">
        <v>1</v>
      </c>
      <c r="C7" s="1" t="s">
        <v>13</v>
      </c>
      <c r="D7" s="1" t="s">
        <v>12</v>
      </c>
      <c r="E7" s="1" t="s">
        <v>7</v>
      </c>
      <c r="F7" s="1" t="s">
        <v>2</v>
      </c>
      <c r="G7" s="1" t="s">
        <v>3</v>
      </c>
      <c r="H7" s="1" t="s">
        <v>4</v>
      </c>
      <c r="I7" s="1" t="s">
        <v>5</v>
      </c>
      <c r="J7" s="1" t="s">
        <v>6</v>
      </c>
      <c r="K7" s="1"/>
    </row>
    <row r="8" spans="1:29" x14ac:dyDescent="0.25">
      <c r="A8" s="2">
        <v>45692</v>
      </c>
      <c r="B8" s="1" t="s">
        <v>15</v>
      </c>
      <c r="C8" s="1">
        <v>2</v>
      </c>
      <c r="D8" s="1">
        <v>2</v>
      </c>
      <c r="E8" s="1" t="s">
        <v>8</v>
      </c>
      <c r="F8" s="1">
        <v>458</v>
      </c>
      <c r="G8" s="1">
        <v>417</v>
      </c>
      <c r="H8" s="1">
        <v>421</v>
      </c>
      <c r="I8" s="1">
        <v>365</v>
      </c>
      <c r="J8" s="1">
        <v>255</v>
      </c>
      <c r="K8" s="1"/>
    </row>
    <row r="9" spans="1:29" x14ac:dyDescent="0.25">
      <c r="A9" s="1"/>
      <c r="B9" s="1"/>
      <c r="C9" s="1"/>
      <c r="D9" s="1"/>
      <c r="E9" s="1" t="s">
        <v>9</v>
      </c>
      <c r="F9" s="1">
        <v>460</v>
      </c>
      <c r="G9" s="1">
        <v>440</v>
      </c>
      <c r="H9" s="1">
        <v>590</v>
      </c>
      <c r="I9" s="1">
        <v>372</v>
      </c>
      <c r="J9" s="1">
        <v>255</v>
      </c>
      <c r="K9" s="1"/>
    </row>
    <row r="10" spans="1:29" x14ac:dyDescent="0.25">
      <c r="A10" s="1"/>
      <c r="B10" s="1"/>
      <c r="C10" s="1"/>
      <c r="D10" s="1"/>
      <c r="E10" s="1" t="s">
        <v>10</v>
      </c>
      <c r="F10" s="1">
        <f>F9-F8</f>
        <v>2</v>
      </c>
      <c r="G10" s="1">
        <f t="shared" ref="G10" si="2">G9-G8</f>
        <v>23</v>
      </c>
      <c r="H10" s="1">
        <f t="shared" ref="H10" si="3">H9-H8</f>
        <v>169</v>
      </c>
      <c r="I10" s="1">
        <f t="shared" ref="I10" si="4">I9-I8</f>
        <v>7</v>
      </c>
      <c r="J10" s="1">
        <f t="shared" ref="J10" si="5">J9-J8</f>
        <v>0</v>
      </c>
      <c r="K10" s="1"/>
    </row>
    <row r="11" spans="1:29" x14ac:dyDescent="0.25">
      <c r="A11" s="1"/>
      <c r="B11" s="1"/>
      <c r="C11" s="1"/>
      <c r="D11" s="1"/>
      <c r="E11" s="1" t="s">
        <v>14</v>
      </c>
      <c r="F11" s="1">
        <f>F10/2</f>
        <v>1</v>
      </c>
      <c r="G11" s="1">
        <f t="shared" ref="G11" si="6">G10/2</f>
        <v>11.5</v>
      </c>
      <c r="H11" s="1">
        <f>(H10/2)-0.5</f>
        <v>84</v>
      </c>
      <c r="I11" s="1">
        <f t="shared" ref="I11" si="7">I10/2</f>
        <v>3.5</v>
      </c>
      <c r="J11" s="1">
        <f t="shared" ref="J11" si="8">J10/2</f>
        <v>0</v>
      </c>
      <c r="K11" s="1">
        <f>SUM(F11:J11)</f>
        <v>100</v>
      </c>
    </row>
    <row r="13" spans="1:29" x14ac:dyDescent="0.25">
      <c r="A13" s="1" t="s">
        <v>0</v>
      </c>
      <c r="B13" s="1" t="s">
        <v>1</v>
      </c>
      <c r="C13" s="1" t="s">
        <v>13</v>
      </c>
      <c r="D13" s="1" t="s">
        <v>12</v>
      </c>
      <c r="E13" s="1" t="s">
        <v>7</v>
      </c>
      <c r="F13" s="1" t="s">
        <v>2</v>
      </c>
      <c r="G13" s="1" t="s">
        <v>3</v>
      </c>
      <c r="H13" s="1" t="s">
        <v>4</v>
      </c>
      <c r="I13" s="1" t="s">
        <v>5</v>
      </c>
      <c r="J13" s="1" t="s">
        <v>6</v>
      </c>
      <c r="L13" s="1">
        <v>1</v>
      </c>
      <c r="M13" s="1">
        <v>2</v>
      </c>
      <c r="N13" s="1">
        <v>3</v>
      </c>
      <c r="O13" s="1">
        <v>4</v>
      </c>
      <c r="P13" s="1">
        <v>5</v>
      </c>
      <c r="Q13" s="1">
        <v>6</v>
      </c>
      <c r="R13" s="1">
        <v>7</v>
      </c>
      <c r="S13" s="1">
        <v>8</v>
      </c>
      <c r="T13" s="1">
        <v>9</v>
      </c>
      <c r="U13" s="1">
        <v>10</v>
      </c>
      <c r="V13" s="1">
        <v>11</v>
      </c>
      <c r="W13" s="1">
        <v>12</v>
      </c>
      <c r="X13" s="1">
        <v>13</v>
      </c>
      <c r="Y13" s="1">
        <v>14</v>
      </c>
      <c r="Z13" s="1">
        <v>15</v>
      </c>
      <c r="AB13" t="s">
        <v>16</v>
      </c>
      <c r="AC13" t="s">
        <v>17</v>
      </c>
    </row>
    <row r="14" spans="1:29" x14ac:dyDescent="0.25">
      <c r="A14" s="2">
        <v>45692</v>
      </c>
      <c r="B14" s="1" t="s">
        <v>15</v>
      </c>
      <c r="C14" s="1">
        <v>1</v>
      </c>
      <c r="D14" s="1">
        <v>2</v>
      </c>
      <c r="E14" s="1" t="s">
        <v>8</v>
      </c>
      <c r="F14" s="1">
        <v>458</v>
      </c>
      <c r="G14" s="1">
        <v>417</v>
      </c>
      <c r="H14" s="1">
        <v>421</v>
      </c>
      <c r="I14" s="1">
        <v>365</v>
      </c>
      <c r="J14" s="1">
        <v>255</v>
      </c>
      <c r="AB14">
        <v>1.77</v>
      </c>
      <c r="AC14">
        <v>2.0099999999999998</v>
      </c>
    </row>
    <row r="15" spans="1:29" x14ac:dyDescent="0.25">
      <c r="A15" s="1"/>
      <c r="B15" s="1"/>
      <c r="C15" s="1"/>
      <c r="D15" s="1"/>
      <c r="E15" s="1" t="s">
        <v>9</v>
      </c>
      <c r="F15" s="1">
        <v>458</v>
      </c>
      <c r="G15" s="1">
        <v>420</v>
      </c>
      <c r="H15" s="1">
        <v>600</v>
      </c>
      <c r="I15" s="1">
        <v>384</v>
      </c>
      <c r="J15" s="1">
        <v>256</v>
      </c>
    </row>
    <row r="16" spans="1:29" x14ac:dyDescent="0.25">
      <c r="A16" s="1"/>
      <c r="B16" s="1"/>
      <c r="C16" s="1"/>
      <c r="D16" s="1"/>
      <c r="E16" s="1" t="s">
        <v>10</v>
      </c>
      <c r="F16" s="1">
        <f>F15-F14</f>
        <v>0</v>
      </c>
      <c r="G16" s="1">
        <f t="shared" ref="G16" si="9">G15-G14</f>
        <v>3</v>
      </c>
      <c r="H16" s="1">
        <f t="shared" ref="H16" si="10">H15-H14</f>
        <v>179</v>
      </c>
      <c r="I16" s="1">
        <f t="shared" ref="I16" si="11">I15-I14</f>
        <v>19</v>
      </c>
      <c r="J16" s="1">
        <f t="shared" ref="J16" si="12">J15-J14</f>
        <v>1</v>
      </c>
    </row>
    <row r="17" spans="1:29" x14ac:dyDescent="0.25">
      <c r="A17" s="1"/>
      <c r="B17" s="1"/>
      <c r="C17" s="1"/>
      <c r="D17" s="1"/>
      <c r="E17" s="1" t="s">
        <v>14</v>
      </c>
      <c r="F17" s="1">
        <f>F16/2</f>
        <v>0</v>
      </c>
      <c r="G17" s="1">
        <f t="shared" ref="G17" si="13">G16/2</f>
        <v>1.5</v>
      </c>
      <c r="H17" s="1">
        <f>(H16/2)-1</f>
        <v>88.5</v>
      </c>
      <c r="I17" s="1">
        <f t="shared" ref="I17" si="14">I16/2</f>
        <v>9.5</v>
      </c>
      <c r="J17" s="1">
        <f t="shared" ref="J17" si="15">J16/2</f>
        <v>0.5</v>
      </c>
      <c r="K17" s="1">
        <f>SUM(F17:J17)</f>
        <v>100</v>
      </c>
    </row>
    <row r="20" spans="1:29" x14ac:dyDescent="0.25">
      <c r="A20" s="1" t="s">
        <v>0</v>
      </c>
      <c r="B20" s="1" t="s">
        <v>1</v>
      </c>
      <c r="C20" s="1" t="s">
        <v>13</v>
      </c>
      <c r="D20" s="1" t="s">
        <v>12</v>
      </c>
      <c r="E20" s="1" t="s">
        <v>7</v>
      </c>
      <c r="F20" s="1" t="s">
        <v>2</v>
      </c>
      <c r="G20" s="1" t="s">
        <v>3</v>
      </c>
      <c r="H20" s="1" t="s">
        <v>4</v>
      </c>
      <c r="I20" s="1" t="s">
        <v>5</v>
      </c>
      <c r="J20" s="1" t="s">
        <v>6</v>
      </c>
      <c r="L20" s="1">
        <v>1</v>
      </c>
      <c r="M20" s="1">
        <v>2</v>
      </c>
      <c r="N20" s="1">
        <v>3</v>
      </c>
      <c r="O20" s="1">
        <v>4</v>
      </c>
      <c r="P20" s="1">
        <v>5</v>
      </c>
      <c r="Q20" s="1">
        <v>6</v>
      </c>
      <c r="R20" s="1">
        <v>7</v>
      </c>
      <c r="S20" s="1">
        <v>8</v>
      </c>
      <c r="T20" s="1">
        <v>9</v>
      </c>
      <c r="U20" s="1">
        <v>10</v>
      </c>
      <c r="V20" s="1">
        <v>11</v>
      </c>
      <c r="W20" s="1">
        <v>12</v>
      </c>
      <c r="X20" s="1">
        <v>13</v>
      </c>
      <c r="Y20" s="1">
        <v>14</v>
      </c>
      <c r="Z20" s="1">
        <v>15</v>
      </c>
    </row>
    <row r="21" spans="1:29" x14ac:dyDescent="0.25">
      <c r="A21" s="2">
        <v>45692</v>
      </c>
      <c r="B21" s="1" t="s">
        <v>15</v>
      </c>
      <c r="C21" s="1">
        <v>2</v>
      </c>
      <c r="D21" s="1">
        <v>1</v>
      </c>
      <c r="E21" s="1" t="s">
        <v>8</v>
      </c>
      <c r="F21" s="1">
        <v>458</v>
      </c>
      <c r="G21" s="1">
        <v>417</v>
      </c>
      <c r="H21" s="1">
        <v>421</v>
      </c>
      <c r="I21" s="1">
        <v>365</v>
      </c>
      <c r="J21" s="1">
        <v>255</v>
      </c>
      <c r="AB21" t="s">
        <v>16</v>
      </c>
      <c r="AC21" t="s">
        <v>17</v>
      </c>
    </row>
    <row r="22" spans="1:29" x14ac:dyDescent="0.25">
      <c r="A22" s="1"/>
      <c r="B22" s="1"/>
      <c r="C22" s="1"/>
      <c r="D22" s="1"/>
      <c r="E22" s="1" t="s">
        <v>9</v>
      </c>
      <c r="F22" s="3">
        <v>459</v>
      </c>
      <c r="G22" s="3">
        <v>423</v>
      </c>
      <c r="H22" s="3">
        <v>586</v>
      </c>
      <c r="I22" s="3">
        <v>394</v>
      </c>
      <c r="J22" s="3">
        <v>256</v>
      </c>
      <c r="K22" s="4"/>
      <c r="L22" s="3">
        <v>0.18</v>
      </c>
      <c r="M22" s="3">
        <v>2.4300000000000002</v>
      </c>
      <c r="N22" s="3">
        <v>1.75</v>
      </c>
      <c r="O22" s="3">
        <v>1.1000000000000001</v>
      </c>
      <c r="P22" s="3">
        <v>2.94</v>
      </c>
      <c r="Q22" s="3">
        <v>0.64</v>
      </c>
      <c r="R22" s="3">
        <v>2.2599999999999998</v>
      </c>
      <c r="S22" s="3">
        <v>0.17</v>
      </c>
      <c r="T22" s="3">
        <v>2.5</v>
      </c>
      <c r="U22" s="3">
        <v>2.31</v>
      </c>
      <c r="V22" s="3">
        <v>2.33</v>
      </c>
      <c r="W22" s="3">
        <v>0.28000000000000003</v>
      </c>
      <c r="X22" s="3">
        <v>1.57</v>
      </c>
      <c r="Y22" t="s">
        <v>20</v>
      </c>
      <c r="Z22" s="3">
        <v>1.34</v>
      </c>
      <c r="AA22">
        <f>SUM(L22:Z22)</f>
        <v>21.8</v>
      </c>
      <c r="AB22">
        <f>AA22/15</f>
        <v>1.4533333333333334</v>
      </c>
      <c r="AC22">
        <v>1.38</v>
      </c>
    </row>
    <row r="23" spans="1:29" x14ac:dyDescent="0.25">
      <c r="A23" s="1"/>
      <c r="B23" s="1"/>
      <c r="C23" s="1"/>
      <c r="D23" s="1"/>
      <c r="E23" s="1" t="s">
        <v>10</v>
      </c>
      <c r="F23" s="1">
        <f>F22-F21</f>
        <v>1</v>
      </c>
      <c r="G23" s="1">
        <f t="shared" ref="G23" si="16">G22-G21</f>
        <v>6</v>
      </c>
      <c r="H23" s="1">
        <f t="shared" ref="H23" si="17">H22-H21</f>
        <v>165</v>
      </c>
      <c r="I23" s="1">
        <f t="shared" ref="I23" si="18">I22-I21</f>
        <v>29</v>
      </c>
      <c r="J23" s="1">
        <f t="shared" ref="J23" si="19">J22-J21</f>
        <v>1</v>
      </c>
    </row>
    <row r="24" spans="1:29" x14ac:dyDescent="0.25">
      <c r="A24" s="1"/>
      <c r="B24" s="1"/>
      <c r="C24" s="1"/>
      <c r="D24" s="1"/>
      <c r="E24" s="1" t="s">
        <v>14</v>
      </c>
      <c r="F24" s="1">
        <f>F23/2</f>
        <v>0.5</v>
      </c>
      <c r="G24" s="1">
        <f t="shared" ref="G24" si="20">G23/2</f>
        <v>3</v>
      </c>
      <c r="H24" s="1">
        <f>(H23/2)-1</f>
        <v>81.5</v>
      </c>
      <c r="I24" s="1">
        <f t="shared" ref="I24" si="21">I23/2</f>
        <v>14.5</v>
      </c>
      <c r="J24" s="1">
        <f t="shared" ref="J24" si="22">J23/2</f>
        <v>0.5</v>
      </c>
      <c r="K24" s="1">
        <f>SUM(F24:J24)</f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4FC1-C811-4107-93B4-9A8BAD479363}">
  <dimension ref="A1:AC23"/>
  <sheetViews>
    <sheetView topLeftCell="H1" workbookViewId="0">
      <selection activeCell="L2" sqref="L2:Z2"/>
    </sheetView>
  </sheetViews>
  <sheetFormatPr baseColWidth="10" defaultRowHeight="15" x14ac:dyDescent="0.25"/>
  <cols>
    <col min="5" max="5" width="14.5703125" customWidth="1"/>
  </cols>
  <sheetData>
    <row r="1" spans="1:29" x14ac:dyDescent="0.25">
      <c r="A1" s="1" t="s">
        <v>0</v>
      </c>
      <c r="B1" s="1" t="s">
        <v>1</v>
      </c>
      <c r="C1" s="1" t="s">
        <v>13</v>
      </c>
      <c r="D1" s="1" t="s">
        <v>12</v>
      </c>
      <c r="E1" s="1" t="s">
        <v>7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/>
    </row>
    <row r="2" spans="1:29" x14ac:dyDescent="0.25">
      <c r="A2" s="2">
        <v>45694</v>
      </c>
      <c r="B2" s="1" t="s">
        <v>11</v>
      </c>
      <c r="C2" s="1">
        <v>1</v>
      </c>
      <c r="D2" s="1">
        <v>1</v>
      </c>
      <c r="E2" s="1" t="s">
        <v>8</v>
      </c>
      <c r="F2" s="1">
        <v>458</v>
      </c>
      <c r="G2" s="1">
        <v>417</v>
      </c>
      <c r="H2" s="1">
        <v>421</v>
      </c>
      <c r="I2" s="1">
        <v>365</v>
      </c>
      <c r="J2" s="1">
        <v>255</v>
      </c>
      <c r="K2" s="1"/>
      <c r="L2" s="1">
        <v>1</v>
      </c>
      <c r="M2" s="1">
        <v>2</v>
      </c>
      <c r="N2" s="1">
        <v>3</v>
      </c>
      <c r="O2" s="1">
        <v>4</v>
      </c>
      <c r="P2" s="1">
        <v>5</v>
      </c>
      <c r="Q2" s="1">
        <v>6</v>
      </c>
      <c r="R2" s="1">
        <v>7</v>
      </c>
      <c r="S2" s="1">
        <v>8</v>
      </c>
      <c r="T2" s="1">
        <v>9</v>
      </c>
      <c r="U2" s="1">
        <v>10</v>
      </c>
      <c r="V2" s="1">
        <v>11</v>
      </c>
      <c r="W2" s="1">
        <v>12</v>
      </c>
      <c r="X2" s="1">
        <v>13</v>
      </c>
      <c r="Y2" s="1">
        <v>14</v>
      </c>
      <c r="Z2" s="1">
        <v>15</v>
      </c>
      <c r="AB2" t="s">
        <v>16</v>
      </c>
      <c r="AC2" t="s">
        <v>17</v>
      </c>
    </row>
    <row r="3" spans="1:29" x14ac:dyDescent="0.25">
      <c r="A3" s="1"/>
      <c r="B3" s="1"/>
      <c r="C3" s="1"/>
      <c r="D3" s="1"/>
      <c r="E3" s="1" t="s">
        <v>9</v>
      </c>
      <c r="F3" s="1">
        <v>458</v>
      </c>
      <c r="G3" s="1">
        <v>426</v>
      </c>
      <c r="H3" s="1">
        <v>564</v>
      </c>
      <c r="I3" s="1">
        <v>389</v>
      </c>
      <c r="J3" s="1">
        <v>283</v>
      </c>
      <c r="K3" s="1"/>
      <c r="L3" s="1">
        <v>0.47</v>
      </c>
      <c r="M3" s="1">
        <v>0.44</v>
      </c>
      <c r="N3" s="1">
        <v>0.54</v>
      </c>
      <c r="O3" s="1">
        <v>0.46</v>
      </c>
      <c r="P3" s="1">
        <v>0.17</v>
      </c>
      <c r="Q3" s="1">
        <v>0.39</v>
      </c>
      <c r="R3" s="1">
        <v>0.79</v>
      </c>
      <c r="S3" s="1">
        <v>0.64</v>
      </c>
      <c r="T3" s="1">
        <v>0.72</v>
      </c>
      <c r="U3" s="1">
        <v>1.02</v>
      </c>
      <c r="V3" s="1">
        <v>0.24</v>
      </c>
      <c r="W3" s="1">
        <v>0.54</v>
      </c>
      <c r="X3" s="1">
        <v>0.23</v>
      </c>
      <c r="Y3" s="1">
        <v>0.59</v>
      </c>
      <c r="Z3" s="1">
        <v>0.5</v>
      </c>
      <c r="AA3">
        <f>SUM(L3:Z3)</f>
        <v>7.7400000000000011</v>
      </c>
      <c r="AB3">
        <f>AA3/15</f>
        <v>0.51600000000000013</v>
      </c>
      <c r="AC3" s="1">
        <v>0.69</v>
      </c>
    </row>
    <row r="4" spans="1:29" x14ac:dyDescent="0.25">
      <c r="A4" s="1"/>
      <c r="B4" s="1"/>
      <c r="C4" s="1"/>
      <c r="D4" s="1"/>
      <c r="E4" s="1" t="s">
        <v>10</v>
      </c>
      <c r="F4" s="1">
        <f>F3-F2</f>
        <v>0</v>
      </c>
      <c r="G4" s="1">
        <f t="shared" ref="G4:J4" si="0">G3-G2</f>
        <v>9</v>
      </c>
      <c r="H4" s="1">
        <f t="shared" si="0"/>
        <v>143</v>
      </c>
      <c r="I4" s="1">
        <f t="shared" si="0"/>
        <v>24</v>
      </c>
      <c r="J4" s="1">
        <f t="shared" si="0"/>
        <v>28</v>
      </c>
      <c r="K4" s="1"/>
    </row>
    <row r="5" spans="1:29" x14ac:dyDescent="0.25">
      <c r="A5" s="1"/>
      <c r="B5" s="1"/>
      <c r="C5" s="1"/>
      <c r="D5" s="1"/>
      <c r="E5" s="1" t="s">
        <v>14</v>
      </c>
      <c r="F5" s="1">
        <f>F4/2</f>
        <v>0</v>
      </c>
      <c r="G5" s="1">
        <f t="shared" ref="G5:J5" si="1">G4/2</f>
        <v>4.5</v>
      </c>
      <c r="H5" s="1">
        <f>(H4/2)-2</f>
        <v>69.5</v>
      </c>
      <c r="I5" s="1">
        <f t="shared" si="1"/>
        <v>12</v>
      </c>
      <c r="J5" s="1">
        <f t="shared" si="1"/>
        <v>14</v>
      </c>
      <c r="K5" s="1">
        <f>SUM(F5:J5)</f>
        <v>100</v>
      </c>
    </row>
    <row r="7" spans="1:29" x14ac:dyDescent="0.25">
      <c r="A7" s="1" t="s">
        <v>0</v>
      </c>
      <c r="B7" s="1" t="s">
        <v>1</v>
      </c>
      <c r="C7" s="1" t="s">
        <v>13</v>
      </c>
      <c r="D7" s="1" t="s">
        <v>12</v>
      </c>
      <c r="E7" s="1" t="s">
        <v>7</v>
      </c>
      <c r="F7" s="1" t="s">
        <v>2</v>
      </c>
      <c r="G7" s="1" t="s">
        <v>3</v>
      </c>
      <c r="H7" s="1" t="s">
        <v>4</v>
      </c>
      <c r="I7" s="1" t="s">
        <v>5</v>
      </c>
      <c r="J7" s="1" t="s">
        <v>6</v>
      </c>
      <c r="K7" s="1"/>
      <c r="L7" s="1">
        <v>1</v>
      </c>
      <c r="M7" s="1">
        <v>2</v>
      </c>
      <c r="N7" s="1">
        <v>3</v>
      </c>
      <c r="O7" s="1">
        <v>4</v>
      </c>
      <c r="P7" s="1">
        <v>5</v>
      </c>
      <c r="Q7" s="1">
        <v>6</v>
      </c>
      <c r="R7" s="1">
        <v>7</v>
      </c>
      <c r="S7" s="1">
        <v>8</v>
      </c>
      <c r="T7" s="1">
        <v>9</v>
      </c>
      <c r="U7" s="1">
        <v>10</v>
      </c>
      <c r="V7" s="1">
        <v>11</v>
      </c>
      <c r="W7" s="1">
        <v>12</v>
      </c>
      <c r="X7" s="1">
        <v>13</v>
      </c>
      <c r="Y7" s="1">
        <v>14</v>
      </c>
      <c r="Z7" s="1">
        <v>15</v>
      </c>
      <c r="AB7" t="s">
        <v>16</v>
      </c>
      <c r="AC7" t="s">
        <v>17</v>
      </c>
    </row>
    <row r="8" spans="1:29" x14ac:dyDescent="0.25">
      <c r="A8" s="2">
        <v>45694</v>
      </c>
      <c r="B8" s="1" t="s">
        <v>15</v>
      </c>
      <c r="C8" s="1">
        <v>1</v>
      </c>
      <c r="D8" s="1">
        <v>2</v>
      </c>
      <c r="E8" s="1" t="s">
        <v>8</v>
      </c>
      <c r="F8" s="1">
        <v>458</v>
      </c>
      <c r="G8" s="1">
        <v>417</v>
      </c>
      <c r="H8" s="1">
        <v>421</v>
      </c>
      <c r="I8" s="1">
        <v>365</v>
      </c>
      <c r="J8" s="1">
        <v>255</v>
      </c>
      <c r="K8" s="1"/>
      <c r="L8" s="1">
        <v>1.61</v>
      </c>
      <c r="M8" s="1">
        <v>1.55</v>
      </c>
      <c r="N8" s="1">
        <v>1.64</v>
      </c>
      <c r="O8" s="1">
        <v>1.69</v>
      </c>
      <c r="P8" s="1">
        <v>1.73</v>
      </c>
      <c r="Q8" s="1">
        <v>0.87</v>
      </c>
      <c r="R8" s="1">
        <v>1.36</v>
      </c>
      <c r="S8" s="1">
        <v>2.02</v>
      </c>
      <c r="T8" s="1">
        <v>1.65</v>
      </c>
      <c r="U8" s="1">
        <v>2.54</v>
      </c>
      <c r="V8" s="1">
        <v>0.57999999999999996</v>
      </c>
      <c r="W8" s="1">
        <v>1.34</v>
      </c>
      <c r="X8" s="1">
        <v>1.29</v>
      </c>
      <c r="Y8" s="1">
        <v>1.65</v>
      </c>
      <c r="Z8" s="1">
        <v>0.56000000000000005</v>
      </c>
      <c r="AA8">
        <f>SUM(L8:Z8)</f>
        <v>22.079999999999995</v>
      </c>
      <c r="AB8">
        <f>AA8/15</f>
        <v>1.4719999999999998</v>
      </c>
      <c r="AC8" s="1">
        <v>0.87</v>
      </c>
    </row>
    <row r="9" spans="1:29" x14ac:dyDescent="0.25">
      <c r="A9" s="1"/>
      <c r="B9" s="1"/>
      <c r="C9" s="1"/>
      <c r="D9" s="1"/>
      <c r="E9" s="1" t="s">
        <v>9</v>
      </c>
      <c r="F9" s="1">
        <v>459</v>
      </c>
      <c r="G9" s="1">
        <v>435</v>
      </c>
      <c r="H9" s="1">
        <v>600</v>
      </c>
      <c r="I9" s="1">
        <v>368</v>
      </c>
      <c r="J9" s="1">
        <v>256</v>
      </c>
      <c r="K9" s="1"/>
    </row>
    <row r="10" spans="1:29" x14ac:dyDescent="0.25">
      <c r="A10" s="1"/>
      <c r="B10" s="1"/>
      <c r="C10" s="1"/>
      <c r="D10" s="1"/>
      <c r="E10" s="1" t="s">
        <v>10</v>
      </c>
      <c r="F10" s="1">
        <f>F9-F8</f>
        <v>1</v>
      </c>
      <c r="G10" s="1">
        <f t="shared" ref="G10" si="2">G9-G8</f>
        <v>18</v>
      </c>
      <c r="H10" s="1">
        <f t="shared" ref="H10" si="3">H9-H8</f>
        <v>179</v>
      </c>
      <c r="I10" s="1">
        <f t="shared" ref="I10" si="4">I9-I8</f>
        <v>3</v>
      </c>
      <c r="J10" s="1">
        <f t="shared" ref="J10" si="5">J9-J8</f>
        <v>1</v>
      </c>
      <c r="K10" s="1"/>
    </row>
    <row r="11" spans="1:29" x14ac:dyDescent="0.25">
      <c r="A11" s="1"/>
      <c r="B11" s="1"/>
      <c r="C11" s="1"/>
      <c r="D11" s="1"/>
      <c r="E11" s="1" t="s">
        <v>14</v>
      </c>
      <c r="F11" s="1">
        <f>F10/2</f>
        <v>0.5</v>
      </c>
      <c r="G11" s="1">
        <f t="shared" ref="G11" si="6">G10/2</f>
        <v>9</v>
      </c>
      <c r="H11" s="1">
        <f>(H10/2)-1</f>
        <v>88.5</v>
      </c>
      <c r="I11" s="1">
        <f t="shared" ref="I11" si="7">I10/2</f>
        <v>1.5</v>
      </c>
      <c r="J11" s="1">
        <f t="shared" ref="J11" si="8">J10/2</f>
        <v>0.5</v>
      </c>
      <c r="K11" s="1">
        <f>SUM(F11:J11)</f>
        <v>100</v>
      </c>
    </row>
    <row r="13" spans="1:29" x14ac:dyDescent="0.25">
      <c r="A13" s="1" t="s">
        <v>0</v>
      </c>
      <c r="B13" s="1" t="s">
        <v>1</v>
      </c>
      <c r="C13" s="1" t="s">
        <v>13</v>
      </c>
      <c r="D13" s="1" t="s">
        <v>12</v>
      </c>
      <c r="E13" s="1" t="s">
        <v>7</v>
      </c>
      <c r="F13" s="1" t="s">
        <v>2</v>
      </c>
      <c r="G13" s="1" t="s">
        <v>3</v>
      </c>
      <c r="H13" s="1" t="s">
        <v>4</v>
      </c>
      <c r="I13" s="1" t="s">
        <v>5</v>
      </c>
      <c r="J13" s="1" t="s">
        <v>6</v>
      </c>
      <c r="K13" s="1"/>
      <c r="L13" s="1">
        <v>1</v>
      </c>
      <c r="M13" s="1">
        <v>2</v>
      </c>
      <c r="N13" s="1">
        <v>3</v>
      </c>
      <c r="O13" s="1">
        <v>4</v>
      </c>
      <c r="P13" s="1">
        <v>5</v>
      </c>
      <c r="Q13" s="1">
        <v>6</v>
      </c>
      <c r="R13" s="1">
        <v>7</v>
      </c>
      <c r="S13" s="1">
        <v>8</v>
      </c>
      <c r="T13" s="1">
        <v>9</v>
      </c>
      <c r="U13" s="1">
        <v>10</v>
      </c>
      <c r="V13" s="1">
        <v>11</v>
      </c>
      <c r="W13" s="1">
        <v>12</v>
      </c>
      <c r="X13" s="1">
        <v>13</v>
      </c>
      <c r="Y13" s="1">
        <v>14</v>
      </c>
      <c r="Z13" s="1">
        <v>15</v>
      </c>
      <c r="AB13" t="s">
        <v>16</v>
      </c>
      <c r="AC13" t="s">
        <v>17</v>
      </c>
    </row>
    <row r="14" spans="1:29" x14ac:dyDescent="0.25">
      <c r="A14" s="2">
        <v>45694</v>
      </c>
      <c r="B14" s="1" t="s">
        <v>11</v>
      </c>
      <c r="C14" s="1">
        <v>2</v>
      </c>
      <c r="D14" s="1">
        <v>1</v>
      </c>
      <c r="E14" s="1" t="s">
        <v>8</v>
      </c>
      <c r="F14" s="1">
        <v>458</v>
      </c>
      <c r="G14" s="1">
        <v>417</v>
      </c>
      <c r="H14" s="1">
        <v>421</v>
      </c>
      <c r="I14" s="1">
        <v>365</v>
      </c>
      <c r="J14" s="1">
        <v>255</v>
      </c>
      <c r="K14" s="1"/>
      <c r="L14" s="1">
        <v>1.07</v>
      </c>
      <c r="M14" s="1">
        <v>1.74</v>
      </c>
      <c r="N14" s="1">
        <v>1.62</v>
      </c>
      <c r="O14" s="1">
        <v>1.4</v>
      </c>
      <c r="P14" s="1">
        <v>1.1200000000000001</v>
      </c>
      <c r="Q14" s="1">
        <v>1.1399999999999999</v>
      </c>
      <c r="R14" s="1">
        <v>1.62</v>
      </c>
      <c r="S14" s="1">
        <v>1.54</v>
      </c>
      <c r="T14" s="1">
        <v>1.33</v>
      </c>
      <c r="U14" s="1">
        <v>1.72</v>
      </c>
      <c r="V14" s="1">
        <v>1.04</v>
      </c>
      <c r="W14" s="1">
        <v>1.26</v>
      </c>
      <c r="X14" s="1">
        <v>1.27</v>
      </c>
      <c r="Y14" s="1">
        <v>1.76</v>
      </c>
      <c r="Z14" s="1">
        <v>1.77</v>
      </c>
      <c r="AA14">
        <f>SUM(L14:Z14)</f>
        <v>21.400000000000002</v>
      </c>
      <c r="AB14">
        <f>AA14/15</f>
        <v>1.4266666666666667</v>
      </c>
      <c r="AC14" s="1">
        <v>1.41</v>
      </c>
    </row>
    <row r="15" spans="1:29" x14ac:dyDescent="0.25">
      <c r="A15" s="1"/>
      <c r="B15" s="1"/>
      <c r="C15" s="1"/>
      <c r="D15" s="1"/>
      <c r="E15" s="1" t="s">
        <v>9</v>
      </c>
      <c r="F15" s="1">
        <v>468</v>
      </c>
      <c r="G15" s="1">
        <v>498</v>
      </c>
      <c r="H15" s="1">
        <v>530</v>
      </c>
      <c r="I15" s="1">
        <v>366</v>
      </c>
      <c r="J15" s="1">
        <v>258</v>
      </c>
      <c r="K15" s="1"/>
    </row>
    <row r="16" spans="1:29" x14ac:dyDescent="0.25">
      <c r="A16" s="1"/>
      <c r="B16" s="1"/>
      <c r="C16" s="1"/>
      <c r="D16" s="1"/>
      <c r="E16" s="1" t="s">
        <v>10</v>
      </c>
      <c r="F16" s="1">
        <f>F15-F14</f>
        <v>10</v>
      </c>
      <c r="G16" s="1">
        <f t="shared" ref="G16" si="9">G15-G14</f>
        <v>81</v>
      </c>
      <c r="H16" s="1">
        <f t="shared" ref="H16" si="10">H15-H14</f>
        <v>109</v>
      </c>
      <c r="I16" s="1">
        <f t="shared" ref="I16" si="11">I15-I14</f>
        <v>1</v>
      </c>
      <c r="J16" s="1">
        <f t="shared" ref="J16" si="12">J15-J14</f>
        <v>3</v>
      </c>
      <c r="K16" s="1"/>
    </row>
    <row r="17" spans="1:29" x14ac:dyDescent="0.25">
      <c r="A17" s="1"/>
      <c r="B17" s="1"/>
      <c r="C17" s="1"/>
      <c r="D17" s="1"/>
      <c r="E17" s="1" t="s">
        <v>14</v>
      </c>
      <c r="F17" s="1">
        <f>F16/2</f>
        <v>5</v>
      </c>
      <c r="G17" s="1">
        <f t="shared" ref="G17" si="13">G16/2</f>
        <v>40.5</v>
      </c>
      <c r="H17" s="1">
        <f>(H16/2)-2</f>
        <v>52.5</v>
      </c>
      <c r="I17" s="1">
        <f t="shared" ref="I17" si="14">I16/2</f>
        <v>0.5</v>
      </c>
      <c r="J17" s="1">
        <f t="shared" ref="J17" si="15">J16/2</f>
        <v>1.5</v>
      </c>
      <c r="K17" s="1">
        <f>SUM(F17:J17)</f>
        <v>100</v>
      </c>
    </row>
    <row r="19" spans="1:29" x14ac:dyDescent="0.25">
      <c r="A19" s="1" t="s">
        <v>0</v>
      </c>
      <c r="B19" s="1" t="s">
        <v>1</v>
      </c>
      <c r="C19" s="1" t="s">
        <v>13</v>
      </c>
      <c r="D19" s="1" t="s">
        <v>12</v>
      </c>
      <c r="E19" s="1" t="s">
        <v>7</v>
      </c>
      <c r="F19" s="1" t="s">
        <v>2</v>
      </c>
      <c r="G19" s="1" t="s">
        <v>3</v>
      </c>
      <c r="H19" s="1" t="s">
        <v>4</v>
      </c>
      <c r="I19" s="1" t="s">
        <v>5</v>
      </c>
      <c r="J19" s="1" t="s">
        <v>6</v>
      </c>
      <c r="L19" s="1">
        <v>1</v>
      </c>
      <c r="M19" s="1">
        <v>2</v>
      </c>
      <c r="N19" s="1">
        <v>3</v>
      </c>
      <c r="O19" s="1">
        <v>4</v>
      </c>
      <c r="P19" s="1">
        <v>5</v>
      </c>
      <c r="Q19" s="1">
        <v>6</v>
      </c>
      <c r="R19" s="1">
        <v>7</v>
      </c>
      <c r="S19" s="1">
        <v>8</v>
      </c>
      <c r="T19" s="1">
        <v>9</v>
      </c>
      <c r="U19" s="1">
        <v>10</v>
      </c>
      <c r="V19" s="1">
        <v>11</v>
      </c>
      <c r="W19" s="1">
        <v>12</v>
      </c>
      <c r="X19" s="1">
        <v>13</v>
      </c>
      <c r="Y19" s="1">
        <v>14</v>
      </c>
      <c r="Z19" s="1">
        <v>15</v>
      </c>
      <c r="AB19" t="s">
        <v>16</v>
      </c>
      <c r="AC19" t="s">
        <v>18</v>
      </c>
    </row>
    <row r="20" spans="1:29" x14ac:dyDescent="0.25">
      <c r="A20" s="2">
        <v>45694</v>
      </c>
      <c r="B20" s="1" t="s">
        <v>15</v>
      </c>
      <c r="C20" s="1">
        <v>2</v>
      </c>
      <c r="D20" s="1">
        <v>2</v>
      </c>
      <c r="E20" s="1" t="s">
        <v>8</v>
      </c>
      <c r="F20" s="1">
        <v>458</v>
      </c>
      <c r="G20" s="1">
        <v>417</v>
      </c>
      <c r="H20" s="1">
        <v>421</v>
      </c>
      <c r="I20" s="1">
        <v>365</v>
      </c>
      <c r="J20" s="1">
        <v>255</v>
      </c>
      <c r="L20" s="1">
        <v>2.56</v>
      </c>
      <c r="M20" s="1">
        <v>2.73</v>
      </c>
      <c r="N20" s="1">
        <v>1.53</v>
      </c>
      <c r="O20" s="1">
        <v>2.81</v>
      </c>
      <c r="P20" s="1">
        <v>1.1299999999999999</v>
      </c>
      <c r="Q20" s="1">
        <v>1.53</v>
      </c>
      <c r="R20" s="1">
        <v>3.57</v>
      </c>
      <c r="S20" s="1">
        <v>2.98</v>
      </c>
      <c r="T20" s="1">
        <v>1.56</v>
      </c>
      <c r="U20" s="1">
        <v>1.56</v>
      </c>
      <c r="V20" s="1">
        <v>0.62</v>
      </c>
      <c r="W20" s="1">
        <v>2.84</v>
      </c>
      <c r="X20" s="1">
        <v>3.34</v>
      </c>
      <c r="Y20" s="1">
        <v>2.2000000000000002</v>
      </c>
      <c r="Z20" s="1">
        <v>1.93</v>
      </c>
      <c r="AA20">
        <f>SUM(L20:Z20)</f>
        <v>32.89</v>
      </c>
      <c r="AB20">
        <f>AA20/15</f>
        <v>2.1926666666666668</v>
      </c>
      <c r="AC20" s="1">
        <v>1.37</v>
      </c>
    </row>
    <row r="21" spans="1:29" x14ac:dyDescent="0.25">
      <c r="A21" s="1"/>
      <c r="B21" s="1"/>
      <c r="C21" s="1"/>
      <c r="D21" s="1"/>
      <c r="E21" s="1" t="s">
        <v>9</v>
      </c>
      <c r="F21" s="1">
        <v>473</v>
      </c>
      <c r="G21" s="1">
        <v>484</v>
      </c>
      <c r="H21" s="1">
        <v>538</v>
      </c>
      <c r="I21" s="1">
        <v>367</v>
      </c>
      <c r="J21" s="1">
        <v>257</v>
      </c>
    </row>
    <row r="22" spans="1:29" x14ac:dyDescent="0.25">
      <c r="A22" s="1"/>
      <c r="B22" s="1"/>
      <c r="C22" s="1"/>
      <c r="D22" s="1"/>
      <c r="E22" s="1" t="s">
        <v>10</v>
      </c>
      <c r="F22" s="1">
        <f>F21-F20</f>
        <v>15</v>
      </c>
      <c r="G22" s="1">
        <f t="shared" ref="G22" si="16">G21-G20</f>
        <v>67</v>
      </c>
      <c r="H22" s="1">
        <f t="shared" ref="H22" si="17">H21-H20</f>
        <v>117</v>
      </c>
      <c r="I22" s="1">
        <f t="shared" ref="I22" si="18">I21-I20</f>
        <v>2</v>
      </c>
      <c r="J22" s="1">
        <f t="shared" ref="J22" si="19">J21-J20</f>
        <v>2</v>
      </c>
    </row>
    <row r="23" spans="1:29" x14ac:dyDescent="0.25">
      <c r="A23" s="1"/>
      <c r="B23" s="1"/>
      <c r="C23" s="1"/>
      <c r="D23" s="1"/>
      <c r="E23" s="1" t="s">
        <v>14</v>
      </c>
      <c r="F23" s="1">
        <f>F22/2</f>
        <v>7.5</v>
      </c>
      <c r="G23" s="1">
        <f t="shared" ref="G23" si="20">G22/2</f>
        <v>33.5</v>
      </c>
      <c r="H23" s="1">
        <f>(H22/2)-1.5</f>
        <v>57</v>
      </c>
      <c r="I23" s="1">
        <f t="shared" ref="I23" si="21">I22/2</f>
        <v>1</v>
      </c>
      <c r="J23" s="1">
        <f t="shared" ref="J23" si="22">J22/2</f>
        <v>1</v>
      </c>
      <c r="K23" s="1">
        <f>SUM(F23:J23)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AB9D-8770-4083-BF2A-78CF7BC8C006}">
  <dimension ref="A1:AC25"/>
  <sheetViews>
    <sheetView workbookViewId="0">
      <selection activeCell="A28" sqref="A28"/>
    </sheetView>
  </sheetViews>
  <sheetFormatPr baseColWidth="10" defaultRowHeight="15" x14ac:dyDescent="0.25"/>
  <cols>
    <col min="5" max="5" width="18.42578125" customWidth="1"/>
  </cols>
  <sheetData>
    <row r="1" spans="1:29" x14ac:dyDescent="0.25">
      <c r="A1" s="1" t="s">
        <v>0</v>
      </c>
      <c r="B1" s="1" t="s">
        <v>1</v>
      </c>
      <c r="C1" s="1" t="s">
        <v>13</v>
      </c>
      <c r="D1" s="1" t="s">
        <v>12</v>
      </c>
      <c r="E1" s="1" t="s">
        <v>7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/>
      <c r="L1" s="1">
        <v>1</v>
      </c>
      <c r="M1" s="1">
        <v>2</v>
      </c>
      <c r="N1" s="1">
        <v>3</v>
      </c>
      <c r="O1" s="1">
        <v>4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  <c r="Z1" s="1">
        <v>15</v>
      </c>
      <c r="AB1" t="s">
        <v>16</v>
      </c>
      <c r="AC1" t="s">
        <v>17</v>
      </c>
    </row>
    <row r="2" spans="1:29" x14ac:dyDescent="0.25">
      <c r="A2" s="2">
        <v>45695</v>
      </c>
      <c r="B2" s="1" t="s">
        <v>19</v>
      </c>
      <c r="C2" s="1">
        <v>1</v>
      </c>
      <c r="D2" s="1">
        <v>2</v>
      </c>
      <c r="E2" s="1" t="s">
        <v>8</v>
      </c>
      <c r="F2" s="1">
        <v>458</v>
      </c>
      <c r="G2" s="1">
        <v>417</v>
      </c>
      <c r="H2" s="1">
        <v>421</v>
      </c>
      <c r="I2" s="1">
        <v>365</v>
      </c>
      <c r="J2" s="1">
        <v>255</v>
      </c>
      <c r="K2" s="1"/>
      <c r="L2" s="1">
        <v>0.25</v>
      </c>
      <c r="M2" s="1">
        <v>0.38</v>
      </c>
      <c r="N2" s="1">
        <v>0.2</v>
      </c>
      <c r="O2" s="1">
        <v>0.69</v>
      </c>
      <c r="P2" s="1">
        <v>0.59</v>
      </c>
      <c r="Q2" s="1">
        <v>0.61</v>
      </c>
      <c r="R2" s="1">
        <v>0.37</v>
      </c>
      <c r="S2" s="1">
        <v>0.24</v>
      </c>
      <c r="T2" s="1">
        <v>0.6</v>
      </c>
      <c r="U2" s="1">
        <v>0.75</v>
      </c>
      <c r="V2" s="1">
        <v>0.71</v>
      </c>
      <c r="W2" s="1">
        <v>0.51</v>
      </c>
      <c r="X2" s="1">
        <v>0.69</v>
      </c>
      <c r="Y2" s="1">
        <v>0.61</v>
      </c>
      <c r="Z2" s="1">
        <v>0.27</v>
      </c>
      <c r="AA2">
        <f>SUM(L2:Z2)</f>
        <v>7.4700000000000006</v>
      </c>
      <c r="AB2">
        <f>AA2/15</f>
        <v>0.49800000000000005</v>
      </c>
      <c r="AC2" s="1">
        <v>1.1100000000000001</v>
      </c>
    </row>
    <row r="3" spans="1:29" x14ac:dyDescent="0.25">
      <c r="A3" s="1"/>
      <c r="B3" s="1"/>
      <c r="C3" s="1"/>
      <c r="D3" s="1"/>
      <c r="E3" s="1" t="s">
        <v>9</v>
      </c>
      <c r="F3" s="1">
        <v>459</v>
      </c>
      <c r="G3" s="1">
        <v>428</v>
      </c>
      <c r="H3" s="1">
        <v>603</v>
      </c>
      <c r="I3" s="1">
        <v>369</v>
      </c>
      <c r="J3" s="1">
        <v>259</v>
      </c>
      <c r="K3" s="1"/>
    </row>
    <row r="4" spans="1:29" x14ac:dyDescent="0.25">
      <c r="A4" s="1"/>
      <c r="B4" s="1"/>
      <c r="C4" s="1"/>
      <c r="D4" s="1"/>
      <c r="E4" s="1" t="s">
        <v>10</v>
      </c>
      <c r="F4" s="1">
        <f>F3-F2</f>
        <v>1</v>
      </c>
      <c r="G4" s="1">
        <f t="shared" ref="G4:J4" si="0">G3-G2</f>
        <v>11</v>
      </c>
      <c r="H4" s="1">
        <f t="shared" si="0"/>
        <v>182</v>
      </c>
      <c r="I4" s="1">
        <f t="shared" si="0"/>
        <v>4</v>
      </c>
      <c r="J4" s="1">
        <f t="shared" si="0"/>
        <v>4</v>
      </c>
      <c r="K4" s="1"/>
    </row>
    <row r="5" spans="1:29" x14ac:dyDescent="0.25">
      <c r="A5" s="1"/>
      <c r="B5" s="1"/>
      <c r="C5" s="1"/>
      <c r="D5" s="1"/>
      <c r="E5" s="1" t="s">
        <v>14</v>
      </c>
      <c r="F5" s="1">
        <f>F4/2</f>
        <v>0.5</v>
      </c>
      <c r="G5" s="1">
        <f t="shared" ref="G5:J5" si="1">G4/2</f>
        <v>5.5</v>
      </c>
      <c r="H5" s="1">
        <f>(H4/2)-1</f>
        <v>90</v>
      </c>
      <c r="I5" s="1">
        <f t="shared" si="1"/>
        <v>2</v>
      </c>
      <c r="J5" s="1">
        <f t="shared" si="1"/>
        <v>2</v>
      </c>
      <c r="K5" s="1">
        <f>SUM(F5:J5)</f>
        <v>100</v>
      </c>
    </row>
    <row r="7" spans="1:29" x14ac:dyDescent="0.25">
      <c r="A7" s="1" t="s">
        <v>0</v>
      </c>
      <c r="B7" s="1" t="s">
        <v>1</v>
      </c>
      <c r="C7" s="1" t="s">
        <v>13</v>
      </c>
      <c r="D7" s="1" t="s">
        <v>12</v>
      </c>
      <c r="E7" s="1" t="s">
        <v>7</v>
      </c>
      <c r="F7" s="1" t="s">
        <v>2</v>
      </c>
      <c r="G7" s="1" t="s">
        <v>3</v>
      </c>
      <c r="H7" s="1" t="s">
        <v>4</v>
      </c>
      <c r="I7" s="1" t="s">
        <v>5</v>
      </c>
      <c r="J7" s="1" t="s">
        <v>6</v>
      </c>
      <c r="K7" s="1"/>
      <c r="L7" s="1">
        <v>1</v>
      </c>
      <c r="M7" s="1">
        <v>2</v>
      </c>
      <c r="N7" s="1">
        <v>3</v>
      </c>
      <c r="O7" s="1">
        <v>4</v>
      </c>
      <c r="P7" s="1">
        <v>5</v>
      </c>
      <c r="Q7" s="1">
        <v>6</v>
      </c>
      <c r="R7" s="1">
        <v>7</v>
      </c>
      <c r="S7" s="1">
        <v>8</v>
      </c>
      <c r="T7" s="1">
        <v>9</v>
      </c>
      <c r="U7" s="1">
        <v>10</v>
      </c>
      <c r="V7" s="1">
        <v>11</v>
      </c>
      <c r="W7" s="1">
        <v>12</v>
      </c>
      <c r="X7" s="1">
        <v>13</v>
      </c>
      <c r="Y7" s="1">
        <v>14</v>
      </c>
      <c r="Z7" s="1">
        <v>15</v>
      </c>
      <c r="AB7" t="s">
        <v>16</v>
      </c>
      <c r="AC7" t="s">
        <v>17</v>
      </c>
    </row>
    <row r="8" spans="1:29" x14ac:dyDescent="0.25">
      <c r="A8" s="2">
        <v>45695</v>
      </c>
      <c r="B8" s="1" t="s">
        <v>19</v>
      </c>
      <c r="C8" s="1">
        <v>1</v>
      </c>
      <c r="D8" s="1">
        <v>1</v>
      </c>
      <c r="E8" s="1" t="s">
        <v>8</v>
      </c>
      <c r="F8" s="1">
        <v>458</v>
      </c>
      <c r="G8" s="1">
        <v>417</v>
      </c>
      <c r="H8" s="1">
        <v>421</v>
      </c>
      <c r="I8" s="1">
        <v>365</v>
      </c>
      <c r="J8" s="1">
        <v>255</v>
      </c>
      <c r="K8" s="1"/>
      <c r="L8" s="1">
        <v>0.83</v>
      </c>
      <c r="M8" s="1">
        <v>0.75</v>
      </c>
      <c r="N8" s="1">
        <v>0.64</v>
      </c>
      <c r="O8" s="1">
        <v>0.22</v>
      </c>
      <c r="P8" s="1">
        <v>0.11</v>
      </c>
      <c r="Q8" s="1">
        <v>0.45</v>
      </c>
      <c r="R8" s="1">
        <v>0.38</v>
      </c>
      <c r="S8" s="1">
        <v>0.44</v>
      </c>
      <c r="T8" s="1">
        <v>0.43</v>
      </c>
      <c r="U8" s="1">
        <v>0.11</v>
      </c>
      <c r="V8" s="1">
        <v>0.36</v>
      </c>
      <c r="W8" s="1">
        <v>0.52</v>
      </c>
      <c r="X8" s="1">
        <v>0.28000000000000003</v>
      </c>
      <c r="Y8" s="1">
        <v>0.37</v>
      </c>
      <c r="Z8" s="1">
        <v>0.6</v>
      </c>
      <c r="AA8">
        <f>SUM(L8:Z8)</f>
        <v>6.49</v>
      </c>
      <c r="AB8">
        <f>AA8/15</f>
        <v>0.4326666666666667</v>
      </c>
      <c r="AC8" s="1">
        <v>0.71</v>
      </c>
    </row>
    <row r="9" spans="1:29" x14ac:dyDescent="0.25">
      <c r="A9" s="1"/>
      <c r="B9" s="1"/>
      <c r="C9" s="1"/>
      <c r="D9" s="1"/>
      <c r="E9" s="1" t="s">
        <v>9</v>
      </c>
      <c r="F9" s="1">
        <v>459</v>
      </c>
      <c r="G9" s="1">
        <v>423</v>
      </c>
      <c r="H9" s="1">
        <v>572</v>
      </c>
      <c r="I9" s="1">
        <v>381</v>
      </c>
      <c r="J9" s="1">
        <v>283</v>
      </c>
      <c r="K9" s="1"/>
    </row>
    <row r="10" spans="1:29" x14ac:dyDescent="0.25">
      <c r="A10" s="1"/>
      <c r="B10" s="1"/>
      <c r="C10" s="1"/>
      <c r="D10" s="1"/>
      <c r="E10" s="1" t="s">
        <v>10</v>
      </c>
      <c r="F10" s="1">
        <f>F9-F8</f>
        <v>1</v>
      </c>
      <c r="G10" s="1">
        <f t="shared" ref="G10" si="2">G9-G8</f>
        <v>6</v>
      </c>
      <c r="H10" s="1">
        <f t="shared" ref="H10" si="3">H9-H8</f>
        <v>151</v>
      </c>
      <c r="I10" s="1">
        <f t="shared" ref="I10" si="4">I9-I8</f>
        <v>16</v>
      </c>
      <c r="J10" s="1">
        <f t="shared" ref="J10" si="5">J9-J8</f>
        <v>28</v>
      </c>
      <c r="K10" s="1"/>
    </row>
    <row r="11" spans="1:29" x14ac:dyDescent="0.25">
      <c r="A11" s="1"/>
      <c r="B11" s="1"/>
      <c r="C11" s="1"/>
      <c r="D11" s="1"/>
      <c r="E11" s="1" t="s">
        <v>14</v>
      </c>
      <c r="F11" s="1">
        <f>F10/2</f>
        <v>0.5</v>
      </c>
      <c r="G11" s="1">
        <f t="shared" ref="G11" si="6">G10/2</f>
        <v>3</v>
      </c>
      <c r="H11" s="1">
        <f>(H10/2)-1</f>
        <v>74.5</v>
      </c>
      <c r="I11" s="1">
        <f t="shared" ref="I11" si="7">I10/2</f>
        <v>8</v>
      </c>
      <c r="J11" s="1">
        <f t="shared" ref="J11" si="8">J10/2</f>
        <v>14</v>
      </c>
      <c r="K11" s="1">
        <f>SUM(F11:J11)</f>
        <v>100</v>
      </c>
    </row>
    <row r="14" spans="1:29" x14ac:dyDescent="0.25">
      <c r="A14" s="1" t="s">
        <v>0</v>
      </c>
      <c r="B14" s="1" t="s">
        <v>1</v>
      </c>
      <c r="C14" s="1" t="s">
        <v>13</v>
      </c>
      <c r="D14" s="1" t="s">
        <v>12</v>
      </c>
      <c r="E14" s="1" t="s">
        <v>7</v>
      </c>
      <c r="F14" s="1" t="s">
        <v>2</v>
      </c>
      <c r="G14" s="1" t="s">
        <v>3</v>
      </c>
      <c r="H14" s="1" t="s">
        <v>4</v>
      </c>
      <c r="I14" s="1" t="s">
        <v>5</v>
      </c>
      <c r="J14" s="1" t="s">
        <v>6</v>
      </c>
      <c r="K14" s="1"/>
      <c r="L14" s="1">
        <v>1</v>
      </c>
      <c r="M14" s="1">
        <v>2</v>
      </c>
      <c r="N14" s="1">
        <v>3</v>
      </c>
      <c r="O14" s="1">
        <v>4</v>
      </c>
      <c r="P14" s="1">
        <v>5</v>
      </c>
      <c r="Q14" s="1">
        <v>6</v>
      </c>
      <c r="R14" s="1">
        <v>7</v>
      </c>
      <c r="S14" s="1">
        <v>8</v>
      </c>
      <c r="T14" s="1">
        <v>9</v>
      </c>
      <c r="U14" s="1">
        <v>10</v>
      </c>
      <c r="V14" s="1">
        <v>11</v>
      </c>
      <c r="W14" s="1">
        <v>12</v>
      </c>
      <c r="X14" s="1">
        <v>13</v>
      </c>
      <c r="Y14" s="1">
        <v>14</v>
      </c>
      <c r="Z14" s="1">
        <v>15</v>
      </c>
      <c r="AB14" t="s">
        <v>16</v>
      </c>
      <c r="AC14" t="s">
        <v>17</v>
      </c>
    </row>
    <row r="15" spans="1:29" x14ac:dyDescent="0.25">
      <c r="A15" s="2">
        <v>45695</v>
      </c>
      <c r="B15" s="1" t="s">
        <v>19</v>
      </c>
      <c r="C15" s="1">
        <v>1</v>
      </c>
      <c r="D15" s="1">
        <v>2</v>
      </c>
      <c r="E15" s="1" t="s">
        <v>8</v>
      </c>
      <c r="F15" s="1">
        <v>458</v>
      </c>
      <c r="G15" s="1">
        <v>417</v>
      </c>
      <c r="H15" s="1">
        <v>421</v>
      </c>
      <c r="I15" s="1">
        <v>365</v>
      </c>
      <c r="J15" s="1">
        <v>255</v>
      </c>
      <c r="K15" s="1"/>
      <c r="L15" s="1">
        <v>0.51</v>
      </c>
      <c r="M15" s="1">
        <v>0.49</v>
      </c>
      <c r="N15" s="1">
        <v>0.83</v>
      </c>
      <c r="O15" s="1">
        <v>0.33</v>
      </c>
      <c r="P15" s="1">
        <v>0.67</v>
      </c>
      <c r="Q15" s="1">
        <v>0.4</v>
      </c>
      <c r="R15" s="1">
        <v>0.7</v>
      </c>
      <c r="S15" s="1">
        <v>0.3</v>
      </c>
      <c r="T15" s="1">
        <v>0.51</v>
      </c>
      <c r="U15" s="1">
        <v>0.51</v>
      </c>
      <c r="V15" s="1">
        <v>0.35</v>
      </c>
      <c r="W15" s="1">
        <v>0.37</v>
      </c>
      <c r="X15" s="1">
        <v>0.14000000000000001</v>
      </c>
      <c r="Y15" s="1">
        <v>0.54</v>
      </c>
      <c r="Z15" s="1">
        <v>0.53</v>
      </c>
      <c r="AA15">
        <f>SUM(L15:Z15)</f>
        <v>7.1799999999999988</v>
      </c>
      <c r="AB15">
        <f>AA15/15</f>
        <v>0.47866666666666657</v>
      </c>
      <c r="AC15" s="1">
        <v>2.86</v>
      </c>
    </row>
    <row r="16" spans="1:29" x14ac:dyDescent="0.25">
      <c r="A16" s="1"/>
      <c r="B16" s="1"/>
      <c r="C16" s="1"/>
      <c r="D16" s="1"/>
      <c r="E16" s="1" t="s">
        <v>9</v>
      </c>
      <c r="F16" s="1">
        <v>459</v>
      </c>
      <c r="G16" s="1">
        <v>422</v>
      </c>
      <c r="H16" s="1">
        <v>598</v>
      </c>
      <c r="I16" s="1">
        <v>379</v>
      </c>
      <c r="J16" s="1">
        <v>260</v>
      </c>
      <c r="K16" s="1"/>
    </row>
    <row r="17" spans="1:29" x14ac:dyDescent="0.25">
      <c r="A17" s="1"/>
      <c r="B17" s="1"/>
      <c r="C17" s="1"/>
      <c r="D17" s="1"/>
      <c r="E17" s="1" t="s">
        <v>10</v>
      </c>
      <c r="F17" s="1">
        <f>F16-F15</f>
        <v>1</v>
      </c>
      <c r="G17" s="1">
        <f t="shared" ref="G17" si="9">G16-G15</f>
        <v>5</v>
      </c>
      <c r="H17" s="1">
        <f t="shared" ref="H17" si="10">H16-H15</f>
        <v>177</v>
      </c>
      <c r="I17" s="1">
        <f t="shared" ref="I17" si="11">I16-I15</f>
        <v>14</v>
      </c>
      <c r="J17" s="1">
        <f t="shared" ref="J17" si="12">J16-J15</f>
        <v>5</v>
      </c>
      <c r="K17" s="1"/>
    </row>
    <row r="18" spans="1:29" x14ac:dyDescent="0.25">
      <c r="A18" s="1"/>
      <c r="B18" s="1"/>
      <c r="C18" s="1"/>
      <c r="D18" s="1"/>
      <c r="E18" s="1" t="s">
        <v>14</v>
      </c>
      <c r="F18" s="1">
        <f>F17/2</f>
        <v>0.5</v>
      </c>
      <c r="G18" s="1">
        <f t="shared" ref="G18" si="13">G17/2</f>
        <v>2.5</v>
      </c>
      <c r="H18" s="1">
        <f>(H17/2)-1</f>
        <v>87.5</v>
      </c>
      <c r="I18" s="1">
        <f t="shared" ref="I18" si="14">I17/2</f>
        <v>7</v>
      </c>
      <c r="J18" s="1">
        <f t="shared" ref="J18" si="15">J17/2</f>
        <v>2.5</v>
      </c>
      <c r="K18" s="1">
        <f>SUM(F18:J18)</f>
        <v>100</v>
      </c>
    </row>
    <row r="21" spans="1:29" x14ac:dyDescent="0.25">
      <c r="A21" s="1" t="s">
        <v>0</v>
      </c>
      <c r="B21" s="1" t="s">
        <v>1</v>
      </c>
      <c r="C21" s="1" t="s">
        <v>13</v>
      </c>
      <c r="D21" s="1" t="s">
        <v>12</v>
      </c>
      <c r="E21" s="1" t="s">
        <v>7</v>
      </c>
      <c r="F21" s="1" t="s">
        <v>2</v>
      </c>
      <c r="G21" s="1" t="s">
        <v>3</v>
      </c>
      <c r="H21" s="1" t="s">
        <v>4</v>
      </c>
      <c r="I21" s="1" t="s">
        <v>5</v>
      </c>
      <c r="J21" s="1" t="s">
        <v>6</v>
      </c>
      <c r="K21" s="1"/>
      <c r="L21" s="1">
        <v>1</v>
      </c>
      <c r="M21" s="1">
        <v>2</v>
      </c>
      <c r="N21" s="1">
        <v>3</v>
      </c>
      <c r="O21" s="1">
        <v>4</v>
      </c>
      <c r="P21" s="1">
        <v>5</v>
      </c>
      <c r="Q21" s="1">
        <v>6</v>
      </c>
      <c r="R21" s="1">
        <v>7</v>
      </c>
      <c r="S21" s="1">
        <v>8</v>
      </c>
      <c r="T21" s="1">
        <v>9</v>
      </c>
      <c r="U21" s="1">
        <v>10</v>
      </c>
      <c r="V21" s="1">
        <v>11</v>
      </c>
      <c r="W21" s="1">
        <v>12</v>
      </c>
      <c r="X21" s="1">
        <v>13</v>
      </c>
      <c r="Y21" s="1">
        <v>14</v>
      </c>
      <c r="Z21" s="1">
        <v>15</v>
      </c>
      <c r="AB21" t="s">
        <v>16</v>
      </c>
      <c r="AC21" t="s">
        <v>18</v>
      </c>
    </row>
    <row r="22" spans="1:29" x14ac:dyDescent="0.25">
      <c r="A22" s="2">
        <v>45695</v>
      </c>
      <c r="B22" s="1" t="s">
        <v>19</v>
      </c>
      <c r="C22" s="1">
        <v>1</v>
      </c>
      <c r="D22" s="1">
        <v>1</v>
      </c>
      <c r="E22" s="1" t="s">
        <v>8</v>
      </c>
      <c r="F22" s="1">
        <v>458</v>
      </c>
      <c r="G22" s="1">
        <v>417</v>
      </c>
      <c r="H22" s="1">
        <v>421</v>
      </c>
      <c r="I22" s="1">
        <v>365</v>
      </c>
      <c r="J22" s="1">
        <v>255</v>
      </c>
      <c r="K22" s="1"/>
      <c r="L22" s="1">
        <v>0.25</v>
      </c>
      <c r="M22" s="1">
        <v>0.72</v>
      </c>
      <c r="N22" s="1">
        <v>0.69</v>
      </c>
      <c r="O22" s="1">
        <v>0.47</v>
      </c>
      <c r="P22" s="1">
        <v>0.9</v>
      </c>
      <c r="Q22" s="1">
        <v>0.35</v>
      </c>
      <c r="R22" s="1">
        <v>0.34</v>
      </c>
      <c r="S22" s="1">
        <v>0.19</v>
      </c>
      <c r="T22" s="1">
        <v>0.2</v>
      </c>
      <c r="U22" s="1">
        <v>0.25</v>
      </c>
      <c r="V22">
        <v>0.4</v>
      </c>
      <c r="W22" s="1">
        <v>0.56000000000000005</v>
      </c>
      <c r="X22" s="1">
        <v>0.46</v>
      </c>
      <c r="Y22">
        <v>0.49</v>
      </c>
      <c r="Z22">
        <v>0.42</v>
      </c>
      <c r="AA22">
        <f>SUM(L22:Z22)</f>
        <v>6.69</v>
      </c>
      <c r="AB22">
        <f>AA22/15</f>
        <v>0.44600000000000001</v>
      </c>
      <c r="AC22">
        <v>0.99</v>
      </c>
    </row>
    <row r="23" spans="1:29" x14ac:dyDescent="0.25">
      <c r="A23" s="1"/>
      <c r="B23" s="1"/>
      <c r="C23" s="1"/>
      <c r="D23" s="1"/>
      <c r="E23" s="1" t="s">
        <v>9</v>
      </c>
      <c r="F23" s="1">
        <v>459</v>
      </c>
      <c r="G23" s="1">
        <v>421</v>
      </c>
      <c r="H23" s="1">
        <v>605</v>
      </c>
      <c r="I23" s="1">
        <v>373</v>
      </c>
      <c r="J23" s="1">
        <v>260</v>
      </c>
      <c r="K23" s="1"/>
    </row>
    <row r="24" spans="1:29" x14ac:dyDescent="0.25">
      <c r="A24" s="1"/>
      <c r="B24" s="1"/>
      <c r="C24" s="1"/>
      <c r="D24" s="1"/>
      <c r="E24" s="1" t="s">
        <v>10</v>
      </c>
      <c r="F24" s="1">
        <f>F23-F22</f>
        <v>1</v>
      </c>
      <c r="G24" s="1">
        <f t="shared" ref="G24" si="16">G23-G22</f>
        <v>4</v>
      </c>
      <c r="H24" s="1">
        <f t="shared" ref="H24" si="17">H23-H22</f>
        <v>184</v>
      </c>
      <c r="I24" s="1">
        <f t="shared" ref="I24" si="18">I23-I22</f>
        <v>8</v>
      </c>
      <c r="J24" s="1">
        <f t="shared" ref="J24" si="19">J23-J22</f>
        <v>5</v>
      </c>
      <c r="K24" s="1"/>
    </row>
    <row r="25" spans="1:29" x14ac:dyDescent="0.25">
      <c r="A25" s="1"/>
      <c r="B25" s="1"/>
      <c r="C25" s="1"/>
      <c r="D25" s="1"/>
      <c r="E25" s="1" t="s">
        <v>14</v>
      </c>
      <c r="F25" s="1">
        <f>F24/2</f>
        <v>0.5</v>
      </c>
      <c r="G25" s="1">
        <f t="shared" ref="G25" si="20">G24/2</f>
        <v>2</v>
      </c>
      <c r="H25" s="1">
        <f>(H24/2)-1</f>
        <v>91</v>
      </c>
      <c r="I25" s="1">
        <f t="shared" ref="I25" si="21">I24/2</f>
        <v>4</v>
      </c>
      <c r="J25" s="1">
        <f t="shared" ref="J25" si="22">J24/2</f>
        <v>2.5</v>
      </c>
      <c r="K25" s="1">
        <f>SUM(F25:J25)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4 FEBRERO 2025</vt:lpstr>
      <vt:lpstr>6 FEBRERO 2025</vt:lpstr>
      <vt:lpstr>7 FEBRERO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Raquel Ortiz Beltran</cp:lastModifiedBy>
  <dcterms:created xsi:type="dcterms:W3CDTF">2025-02-07T20:10:11Z</dcterms:created>
  <dcterms:modified xsi:type="dcterms:W3CDTF">2025-02-07T21:38:05Z</dcterms:modified>
</cp:coreProperties>
</file>