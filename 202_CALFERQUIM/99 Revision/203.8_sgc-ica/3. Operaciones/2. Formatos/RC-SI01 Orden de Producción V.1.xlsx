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</sheets>
  <definedNames>
    <definedName name="Fertibalance1">#REF!</definedName>
    <definedName name="FertibalanceDefinitivo3">#REF!</definedName>
    <definedName name="fertibance4">#REF!</definedName>
    <definedName name="jghgh">#REF!</definedName>
  </definedNames>
  <calcPr/>
  <extLst>
    <ext uri="GoogleSheetsCustomDataVersion2">
      <go:sheetsCustomData xmlns:go="http://customooxmlschemas.google.com/" r:id="rId5" roundtripDataChecksum="YWLtf205rgtkqqnbiqorCOKMGNT8JPrLE3BCiuxHIxw="/>
    </ext>
  </extLst>
</workbook>
</file>

<file path=xl/sharedStrings.xml><?xml version="1.0" encoding="utf-8"?>
<sst xmlns="http://schemas.openxmlformats.org/spreadsheetml/2006/main" count="39" uniqueCount="35">
  <si>
    <r>
      <rPr>
        <rFont val="Overlock"/>
        <b/>
        <color theme="1"/>
        <sz val="16.0"/>
      </rPr>
      <t>ORDEN DE PRODUCCIÓN</t>
    </r>
    <r>
      <rPr>
        <rFont val="Overlock"/>
        <b/>
        <color theme="1"/>
        <sz val="10.0"/>
      </rPr>
      <t xml:space="preserve">
SISTEMA DE GESTIÓN INTEGRAL</t>
    </r>
  </si>
  <si>
    <t>SC</t>
  </si>
  <si>
    <t>SS</t>
  </si>
  <si>
    <t>CÓDIGO: RC-SI01</t>
  </si>
  <si>
    <t>VERSIÓN: 1</t>
  </si>
  <si>
    <t>PRODUCTO:</t>
  </si>
  <si>
    <t>ORDEN PRODUCCION</t>
  </si>
  <si>
    <t>INICIO DE PRODUCCION:</t>
  </si>
  <si>
    <t>OP001</t>
  </si>
  <si>
    <t>PORCENTAJE DE RENDIMIENTO:</t>
  </si>
  <si>
    <t>LOTE No:</t>
  </si>
  <si>
    <t>FIN DE PRODUCCION:</t>
  </si>
  <si>
    <t>CANTIDAD A PRODUCIR:</t>
  </si>
  <si>
    <t>FECHA</t>
  </si>
  <si>
    <t>ITEM</t>
  </si>
  <si>
    <t>PROVEEDOR</t>
  </si>
  <si>
    <t>MATERIA PRIMA MP</t>
  </si>
  <si>
    <t>CANT. x TM</t>
  </si>
  <si>
    <t>CANT. PEDIDO</t>
  </si>
  <si>
    <t>UM</t>
  </si>
  <si>
    <t>Kg</t>
  </si>
  <si>
    <t>EMPAQUE</t>
  </si>
  <si>
    <t>PRESENTACION KG</t>
  </si>
  <si>
    <t>CANTIDAD TOTAL</t>
  </si>
  <si>
    <t>Unidad</t>
  </si>
  <si>
    <t xml:space="preserve">PLANTA </t>
  </si>
  <si>
    <t>TURNO</t>
  </si>
  <si>
    <t>CERTIFICACIÓN</t>
  </si>
  <si>
    <t>Yo                                                                               , identificado con cédula de ciudadanía N°                          ,</t>
  </si>
  <si>
    <r>
      <rPr>
        <rFont val="Overlock"/>
        <color theme="1"/>
        <sz val="10.0"/>
      </rPr>
      <t>Tarjeta profesional N°</t>
    </r>
    <r>
      <rPr>
        <rFont val="Overlock"/>
        <b/>
        <color theme="1"/>
        <sz val="10.0"/>
        <u/>
      </rPr>
      <t xml:space="preserve">             </t>
    </r>
    <r>
      <rPr>
        <rFont val="Overlock"/>
        <color theme="1"/>
        <sz val="10.0"/>
      </rPr>
      <t xml:space="preserve"> Expedida por el                                                                                                             </t>
    </r>
    <r>
      <rPr>
        <rFont val="Overlock"/>
        <b/>
        <color theme="1"/>
        <sz val="10.0"/>
      </rPr>
      <t>,</t>
    </r>
  </si>
  <si>
    <t xml:space="preserve">actuando como                                   , certifico la formulación del presente producto, </t>
  </si>
  <si>
    <r>
      <rPr>
        <rFont val="Overlock"/>
        <color theme="1"/>
        <sz val="10.0"/>
      </rPr>
      <t xml:space="preserve">cumple con los parámetros registrados ante el </t>
    </r>
    <r>
      <rPr>
        <rFont val="Overlock"/>
        <b/>
        <color theme="1"/>
        <sz val="10.0"/>
        <u/>
      </rPr>
      <t>ICA</t>
    </r>
    <r>
      <rPr>
        <rFont val="Overlock"/>
        <color theme="1"/>
        <sz val="10.0"/>
      </rPr>
      <t>.</t>
    </r>
  </si>
  <si>
    <t>DIRECTOR TECNICO</t>
  </si>
  <si>
    <t>JEFE DE BODEGA</t>
  </si>
  <si>
    <t>JEFE DE 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</si>
</sst>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Calibri"/>
      <scheme val="minor"/>
    </font>
    <font>
      <sz val="10.0"/>
      <color theme="1"/>
      <name val="Overlock"/>
    </font>
    <font>
      <b/>
      <sz val="10.0"/>
      <color theme="1"/>
      <name val="Overlock"/>
    </font>
    <font/>
    <font>
      <b/>
      <sz val="10.0"/>
      <color rgb="FFFEF2CB"/>
      <name val="Overlock"/>
    </font>
    <font>
      <b/>
      <sz val="24.0"/>
      <color theme="1"/>
      <name val="Overlock"/>
    </font>
    <font>
      <b/>
      <u/>
      <sz val="10.0"/>
      <color theme="1"/>
      <name val="Overlock"/>
    </font>
    <font>
      <b/>
      <sz val="9.0"/>
      <color theme="1"/>
      <name val="Overlock"/>
    </font>
    <font>
      <b/>
      <u/>
      <sz val="10.0"/>
      <color theme="1"/>
      <name val="Overlock"/>
    </font>
  </fonts>
  <fills count="1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C5C2C2"/>
        <bgColor rgb="FFC5C2C2"/>
      </patternFill>
    </fill>
    <fill>
      <patternFill patternType="solid">
        <fgColor rgb="FFECECEC"/>
        <bgColor rgb="FFECECEC"/>
      </patternFill>
    </fill>
    <fill>
      <patternFill patternType="solid">
        <fgColor rgb="FFFFE598"/>
        <bgColor rgb="FFFFE598"/>
      </patternFill>
    </fill>
  </fills>
  <borders count="3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top/>
      <bottom style="dotted">
        <color rgb="FF000000"/>
      </bottom>
    </border>
    <border>
      <top/>
      <bottom style="dotted">
        <color rgb="FF000000"/>
      </bottom>
    </border>
    <border>
      <right/>
      <top/>
      <bottom style="dotted">
        <color rgb="FF000000"/>
      </bottom>
    </border>
    <border>
      <left/>
      <right/>
      <top/>
      <bottom/>
    </border>
    <border>
      <left style="thick">
        <color rgb="FF1F3864"/>
      </left>
      <top style="thick">
        <color rgb="FF1F3864"/>
      </top>
      <bottom/>
    </border>
    <border>
      <top style="thick">
        <color rgb="FF1F3864"/>
      </top>
      <bottom/>
    </border>
    <border>
      <right style="thick">
        <color rgb="FF1F3864"/>
      </right>
      <top style="thick">
        <color rgb="FF1F3864"/>
      </top>
      <bottom/>
    </border>
    <border>
      <top/>
      <bottom/>
    </border>
    <border>
      <left/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/>
      <top style="dotted">
        <color rgb="FF000000"/>
      </top>
      <bottom style="dotted">
        <color rgb="FF000000"/>
      </bottom>
    </border>
    <border>
      <left style="thick">
        <color rgb="FF1F3864"/>
      </left>
    </border>
    <border>
      <right style="thick">
        <color rgb="FF1F3864"/>
      </right>
    </border>
    <border>
      <left style="thick">
        <color rgb="FF1F3864"/>
      </left>
      <bottom style="thick">
        <color rgb="FF1F3864"/>
      </bottom>
    </border>
    <border>
      <bottom style="thick">
        <color rgb="FF1F3864"/>
      </bottom>
    </border>
    <border>
      <right style="thick">
        <color rgb="FF1F3864"/>
      </right>
      <bottom style="thick">
        <color rgb="FF1F3864"/>
      </bottom>
    </border>
    <border>
      <left style="thick">
        <color rgb="FF002060"/>
      </left>
      <right/>
      <top/>
      <bottom style="thick">
        <color rgb="FF002060"/>
      </bottom>
    </border>
    <border>
      <bottom style="thick">
        <color rgb="FF002060"/>
      </bottom>
    </border>
    <border>
      <right style="thick">
        <color rgb="FF002060"/>
      </right>
      <bottom style="thick">
        <color rgb="FF00206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left" vertical="top"/>
    </xf>
    <xf borderId="3" fillId="0" fontId="1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5" fillId="0" fontId="1" numFmtId="0" xfId="0" applyBorder="1" applyFont="1"/>
    <xf borderId="0" fillId="0" fontId="1" numFmtId="0" xfId="0" applyAlignment="1" applyFont="1">
      <alignment horizontal="left" vertical="top"/>
    </xf>
    <xf borderId="6" fillId="0" fontId="1" numFmtId="0" xfId="0" applyBorder="1" applyFont="1"/>
    <xf borderId="6" fillId="0" fontId="3" numFmtId="0" xfId="0" applyBorder="1" applyFont="1"/>
    <xf borderId="7" fillId="3" fontId="2" numFmtId="0" xfId="0" applyAlignment="1" applyBorder="1" applyFill="1" applyFont="1">
      <alignment horizontal="center" shrinkToFit="0" vertical="center" wrapText="1"/>
    </xf>
    <xf borderId="8" fillId="0" fontId="1" numFmtId="0" xfId="0" applyBorder="1" applyFont="1"/>
    <xf borderId="9" fillId="0" fontId="1" numFmtId="0" xfId="0" applyAlignment="1" applyBorder="1" applyFont="1">
      <alignment horizontal="left" vertical="top"/>
    </xf>
    <xf borderId="10" fillId="0" fontId="1" numFmtId="0" xfId="0" applyBorder="1" applyFont="1"/>
    <xf borderId="11" fillId="0" fontId="2" numFmtId="0" xfId="0" applyAlignment="1" applyBorder="1" applyFont="1">
      <alignment horizontal="center" vertical="center"/>
    </xf>
    <xf borderId="12" fillId="0" fontId="3" numFmtId="0" xfId="0" applyBorder="1" applyFont="1"/>
    <xf borderId="12" fillId="0" fontId="2" numFmtId="0" xfId="0" applyAlignment="1" applyBorder="1" applyFont="1">
      <alignment horizontal="center" shrinkToFit="0" vertical="center" wrapText="1"/>
    </xf>
    <xf borderId="13" fillId="0" fontId="1" numFmtId="0" xfId="0" applyBorder="1" applyFont="1"/>
    <xf borderId="14" fillId="4" fontId="1" numFmtId="0" xfId="0" applyAlignment="1" applyBorder="1" applyFill="1" applyFont="1">
      <alignment horizontal="left"/>
    </xf>
    <xf borderId="15" fillId="0" fontId="3" numFmtId="0" xfId="0" applyBorder="1" applyFont="1"/>
    <xf borderId="16" fillId="5" fontId="1" numFmtId="0" xfId="0" applyAlignment="1" applyBorder="1" applyFill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19" fillId="5" fontId="1" numFmtId="0" xfId="0" applyBorder="1" applyFont="1"/>
    <xf borderId="20" fillId="6" fontId="4" numFmtId="0" xfId="0" applyAlignment="1" applyBorder="1" applyFill="1" applyFont="1">
      <alignment horizont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5" fontId="1" numFmtId="14" xfId="0" applyAlignment="1" applyBorder="1" applyFont="1" applyNumberFormat="1">
      <alignment horizontal="center"/>
    </xf>
    <xf borderId="25" fillId="0" fontId="3" numFmtId="0" xfId="0" applyBorder="1" applyFont="1"/>
    <xf borderId="26" fillId="0" fontId="3" numFmtId="0" xfId="0" applyBorder="1" applyFont="1"/>
    <xf borderId="19" fillId="5" fontId="1" numFmtId="14" xfId="0" applyAlignment="1" applyBorder="1" applyFont="1" applyNumberFormat="1">
      <alignment horizontal="center"/>
    </xf>
    <xf borderId="27" fillId="0" fontId="5" numFmtId="0" xfId="0" applyAlignment="1" applyBorder="1" applyFont="1">
      <alignment horizontal="center" vertical="center"/>
    </xf>
    <xf borderId="28" fillId="0" fontId="3" numFmtId="0" xfId="0" applyBorder="1" applyFont="1"/>
    <xf borderId="24" fillId="5" fontId="1" numFmtId="0" xfId="0" applyAlignment="1" applyBorder="1" applyFont="1">
      <alignment horizontal="center"/>
    </xf>
    <xf borderId="19" fillId="5" fontId="1" numFmtId="0" xfId="0" applyAlignment="1" applyBorder="1" applyFont="1">
      <alignment horizontal="center"/>
    </xf>
    <xf borderId="27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5" fontId="2" numFmtId="0" xfId="0" applyBorder="1" applyFont="1"/>
    <xf borderId="33" fillId="0" fontId="2" numFmtId="14" xfId="0" applyAlignment="1" applyBorder="1" applyFont="1" applyNumberFormat="1">
      <alignment horizontal="center"/>
    </xf>
    <xf borderId="34" fillId="0" fontId="3" numFmtId="0" xfId="0" applyBorder="1" applyFont="1"/>
    <xf borderId="0" fillId="0" fontId="1" numFmtId="0" xfId="0" applyAlignment="1" applyFont="1">
      <alignment horizontal="left"/>
    </xf>
    <xf borderId="35" fillId="7" fontId="2" numFmtId="0" xfId="0" applyAlignment="1" applyBorder="1" applyFill="1" applyFont="1">
      <alignment horizontal="left"/>
    </xf>
    <xf borderId="11" fillId="7" fontId="2" numFmtId="0" xfId="0" applyAlignment="1" applyBorder="1" applyFont="1">
      <alignment horizontal="center"/>
    </xf>
    <xf borderId="13" fillId="0" fontId="3" numFmtId="0" xfId="0" applyBorder="1" applyFont="1"/>
    <xf borderId="4" fillId="7" fontId="2" numFmtId="0" xfId="0" applyAlignment="1" applyBorder="1" applyFont="1">
      <alignment horizontal="center"/>
    </xf>
    <xf borderId="4" fillId="0" fontId="1" numFmtId="0" xfId="0" applyAlignment="1" applyBorder="1" applyFont="1">
      <alignment horizontal="left"/>
    </xf>
    <xf borderId="11" fillId="0" fontId="1" numFmtId="0" xfId="0" applyAlignment="1" applyBorder="1" applyFont="1">
      <alignment horizontal="left"/>
    </xf>
    <xf borderId="1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left" vertical="center"/>
    </xf>
    <xf borderId="4" fillId="0" fontId="1" numFmtId="0" xfId="0" applyBorder="1" applyFon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35" fillId="7" fontId="2" numFmtId="0" xfId="0" applyAlignment="1" applyBorder="1" applyFont="1">
      <alignment horizontal="center" vertical="center"/>
    </xf>
    <xf borderId="35" fillId="7" fontId="2" numFmtId="0" xfId="0" applyAlignment="1" applyBorder="1" applyFont="1">
      <alignment vertical="center"/>
    </xf>
    <xf borderId="36" fillId="7" fontId="2" numFmtId="0" xfId="0" applyAlignment="1" applyBorder="1" applyFont="1">
      <alignment vertical="center"/>
    </xf>
    <xf borderId="37" fillId="7" fontId="2" numFmtId="0" xfId="0" applyAlignment="1" applyBorder="1" applyFont="1">
      <alignment vertical="center"/>
    </xf>
    <xf borderId="11" fillId="7" fontId="2" numFmtId="0" xfId="0" applyAlignment="1" applyBorder="1" applyFont="1">
      <alignment horizontal="center" shrinkToFit="0" vertical="center" wrapText="1"/>
    </xf>
    <xf borderId="4" fillId="7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center" vertical="top"/>
    </xf>
    <xf borderId="11" fillId="0" fontId="1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14" fillId="8" fontId="7" numFmtId="0" xfId="0" applyAlignment="1" applyBorder="1" applyFill="1" applyFont="1">
      <alignment horizontal="left"/>
    </xf>
    <xf borderId="19" fillId="8" fontId="7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14" fillId="9" fontId="8" numFmtId="0" xfId="0" applyAlignment="1" applyBorder="1" applyFill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top" wrapText="1"/>
    </xf>
    <xf borderId="9" fillId="0" fontId="1" numFmtId="0" xfId="0" applyAlignment="1" applyBorder="1" applyFont="1">
      <alignment horizontal="center" shrinkToFit="0" wrapText="1"/>
    </xf>
    <xf borderId="9" fillId="0" fontId="3" numFmtId="0" xfId="0" applyBorder="1" applyFont="1"/>
    <xf borderId="0" fillId="0" fontId="1" numFmtId="0" xfId="0" applyAlignment="1" applyFont="1">
      <alignment horizontal="center" shrinkToFit="0" wrapText="1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28575</xdr:rowOff>
    </xdr:from>
    <xdr:ext cx="1314450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7.0"/>
    <col customWidth="1" min="3" max="3" width="13.57"/>
    <col customWidth="1" min="4" max="4" width="2.29"/>
    <col customWidth="1" min="5" max="5" width="13.29"/>
    <col customWidth="1" min="6" max="6" width="4.71"/>
    <col customWidth="1" min="7" max="7" width="12.71"/>
    <col customWidth="1" min="8" max="8" width="1.43"/>
    <col customWidth="1" min="9" max="9" width="7.0"/>
    <col customWidth="1" min="10" max="10" width="8.14"/>
    <col customWidth="1" min="11" max="11" width="7.86"/>
    <col customWidth="1" min="12" max="26" width="10.86"/>
  </cols>
  <sheetData>
    <row r="1" ht="16.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6"/>
      <c r="K1" s="7" t="s">
        <v>1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9"/>
      <c r="B2" s="10"/>
      <c r="C2" s="11"/>
      <c r="J2" s="12"/>
      <c r="K2" s="13" t="s">
        <v>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4"/>
      <c r="B3" s="15"/>
      <c r="C3" s="16"/>
      <c r="D3" s="17" t="s">
        <v>3</v>
      </c>
      <c r="E3" s="18"/>
      <c r="F3" s="18"/>
      <c r="G3" s="19" t="s">
        <v>4</v>
      </c>
      <c r="H3" s="18"/>
      <c r="I3" s="18"/>
      <c r="J3" s="18"/>
      <c r="K3" s="20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8"/>
      <c r="B4" s="10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21" t="s">
        <v>5</v>
      </c>
      <c r="B5" s="22"/>
      <c r="C5" s="23"/>
      <c r="D5" s="24"/>
      <c r="E5" s="24"/>
      <c r="F5" s="24"/>
      <c r="G5" s="25"/>
      <c r="H5" s="26"/>
      <c r="I5" s="27" t="s">
        <v>6</v>
      </c>
      <c r="J5" s="28"/>
      <c r="K5" s="2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21" t="s">
        <v>7</v>
      </c>
      <c r="B6" s="30"/>
      <c r="C6" s="22"/>
      <c r="D6" s="31"/>
      <c r="E6" s="32"/>
      <c r="F6" s="32"/>
      <c r="G6" s="33"/>
      <c r="H6" s="34"/>
      <c r="I6" s="35" t="s">
        <v>8</v>
      </c>
      <c r="K6" s="36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21" t="s">
        <v>9</v>
      </c>
      <c r="B7" s="30"/>
      <c r="C7" s="30"/>
      <c r="D7" s="22"/>
      <c r="E7" s="37"/>
      <c r="F7" s="32"/>
      <c r="G7" s="33"/>
      <c r="H7" s="38"/>
      <c r="I7" s="39"/>
      <c r="K7" s="36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21" t="s">
        <v>10</v>
      </c>
      <c r="B8" s="22"/>
      <c r="C8" s="23"/>
      <c r="D8" s="24"/>
      <c r="E8" s="24"/>
      <c r="F8" s="24"/>
      <c r="G8" s="25"/>
      <c r="H8" s="38"/>
      <c r="I8" s="39"/>
      <c r="K8" s="36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21" t="s">
        <v>11</v>
      </c>
      <c r="B9" s="30"/>
      <c r="C9" s="22"/>
      <c r="D9" s="37"/>
      <c r="E9" s="32"/>
      <c r="F9" s="32"/>
      <c r="G9" s="33"/>
      <c r="H9" s="38"/>
      <c r="I9" s="40"/>
      <c r="J9" s="41"/>
      <c r="K9" s="42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21" t="s">
        <v>12</v>
      </c>
      <c r="B10" s="30"/>
      <c r="C10" s="22"/>
      <c r="D10" s="37"/>
      <c r="E10" s="32"/>
      <c r="F10" s="32"/>
      <c r="G10" s="33"/>
      <c r="H10" s="26"/>
      <c r="I10" s="43" t="s">
        <v>13</v>
      </c>
      <c r="J10" s="44">
        <f>TODAY()</f>
        <v>45758</v>
      </c>
      <c r="K10" s="45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8"/>
      <c r="B11" s="10"/>
      <c r="C11" s="8"/>
      <c r="D11" s="8"/>
      <c r="E11" s="46"/>
      <c r="F11" s="8"/>
      <c r="G11" s="8"/>
      <c r="H11" s="8"/>
      <c r="I11" s="4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47" t="s">
        <v>14</v>
      </c>
      <c r="B12" s="48" t="s">
        <v>15</v>
      </c>
      <c r="C12" s="49"/>
      <c r="D12" s="48" t="s">
        <v>16</v>
      </c>
      <c r="E12" s="18"/>
      <c r="F12" s="49"/>
      <c r="G12" s="48" t="s">
        <v>17</v>
      </c>
      <c r="H12" s="49"/>
      <c r="I12" s="48" t="s">
        <v>18</v>
      </c>
      <c r="J12" s="49"/>
      <c r="K12" s="50" t="s">
        <v>19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51"/>
      <c r="B13" s="52"/>
      <c r="C13" s="49"/>
      <c r="D13" s="52"/>
      <c r="E13" s="18"/>
      <c r="F13" s="49"/>
      <c r="G13" s="53"/>
      <c r="H13" s="49"/>
      <c r="I13" s="53" t="str">
        <f>IF(A13="","",+G13*J$7/1000)</f>
        <v/>
      </c>
      <c r="J13" s="49"/>
      <c r="K13" s="54" t="s">
        <v>20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51"/>
      <c r="B14" s="52"/>
      <c r="C14" s="49"/>
      <c r="D14" s="52"/>
      <c r="E14" s="18"/>
      <c r="F14" s="49"/>
      <c r="G14" s="53"/>
      <c r="H14" s="49"/>
      <c r="I14" s="53"/>
      <c r="J14" s="49"/>
      <c r="K14" s="5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51"/>
      <c r="B15" s="52"/>
      <c r="C15" s="49"/>
      <c r="D15" s="52"/>
      <c r="E15" s="18"/>
      <c r="F15" s="49"/>
      <c r="G15" s="53"/>
      <c r="H15" s="49"/>
      <c r="I15" s="53"/>
      <c r="J15" s="49"/>
      <c r="K15" s="54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51"/>
      <c r="B16" s="52"/>
      <c r="C16" s="49"/>
      <c r="D16" s="52"/>
      <c r="E16" s="18"/>
      <c r="F16" s="49"/>
      <c r="G16" s="53"/>
      <c r="H16" s="49"/>
      <c r="I16" s="53"/>
      <c r="J16" s="49"/>
      <c r="K16" s="5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51"/>
      <c r="B17" s="52"/>
      <c r="C17" s="49"/>
      <c r="D17" s="52"/>
      <c r="E17" s="18"/>
      <c r="F17" s="49"/>
      <c r="G17" s="53"/>
      <c r="H17" s="49"/>
      <c r="I17" s="53"/>
      <c r="J17" s="49"/>
      <c r="K17" s="5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51"/>
      <c r="B18" s="52"/>
      <c r="C18" s="49"/>
      <c r="D18" s="52"/>
      <c r="E18" s="18"/>
      <c r="F18" s="49"/>
      <c r="G18" s="53"/>
      <c r="H18" s="49"/>
      <c r="I18" s="53"/>
      <c r="J18" s="49"/>
      <c r="K18" s="54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0" customHeight="1">
      <c r="A19" s="51"/>
      <c r="B19" s="55"/>
      <c r="C19" s="49"/>
      <c r="D19" s="52"/>
      <c r="E19" s="18"/>
      <c r="F19" s="49"/>
      <c r="G19" s="53"/>
      <c r="H19" s="49"/>
      <c r="I19" s="53"/>
      <c r="J19" s="49"/>
      <c r="K19" s="54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0" customHeight="1">
      <c r="A20" s="51"/>
      <c r="B20" s="55"/>
      <c r="C20" s="49"/>
      <c r="D20" s="52"/>
      <c r="E20" s="18"/>
      <c r="F20" s="49"/>
      <c r="G20" s="53"/>
      <c r="H20" s="49"/>
      <c r="I20" s="53"/>
      <c r="J20" s="49"/>
      <c r="K20" s="5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0" customHeight="1">
      <c r="A21" s="56"/>
      <c r="B21" s="53"/>
      <c r="C21" s="49"/>
      <c r="D21" s="52"/>
      <c r="E21" s="18"/>
      <c r="F21" s="49"/>
      <c r="G21" s="53"/>
      <c r="H21" s="49"/>
      <c r="I21" s="53" t="str">
        <f>IF(SUM(I13:I20)=0,"",SUM(I13:J19))</f>
        <v/>
      </c>
      <c r="J21" s="49"/>
      <c r="K21" s="54" t="str">
        <f>IF(I21=J7,"OK","REV")</f>
        <v>OK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0" customHeight="1">
      <c r="A22" s="8"/>
      <c r="B22" s="10"/>
      <c r="C22" s="8"/>
      <c r="D22" s="46"/>
      <c r="E22" s="46"/>
      <c r="F22" s="46"/>
      <c r="G22" s="57"/>
      <c r="H22" s="57"/>
      <c r="I22" s="57"/>
      <c r="J22" s="57"/>
      <c r="K22" s="5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59" t="s">
        <v>14</v>
      </c>
      <c r="B23" s="48" t="s">
        <v>15</v>
      </c>
      <c r="C23" s="49"/>
      <c r="D23" s="60" t="s">
        <v>21</v>
      </c>
      <c r="E23" s="61"/>
      <c r="F23" s="62"/>
      <c r="G23" s="63" t="s">
        <v>22</v>
      </c>
      <c r="H23" s="49"/>
      <c r="I23" s="63" t="s">
        <v>23</v>
      </c>
      <c r="J23" s="49"/>
      <c r="K23" s="64" t="s">
        <v>19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65"/>
      <c r="B24" s="55"/>
      <c r="C24" s="49"/>
      <c r="D24" s="66"/>
      <c r="E24" s="18"/>
      <c r="F24" s="49"/>
      <c r="G24" s="67"/>
      <c r="H24" s="49"/>
      <c r="I24" s="67" t="str">
        <f t="shared" ref="I24:I25" si="1">IF(G24="","",$I$21/G24)</f>
        <v/>
      </c>
      <c r="J24" s="49"/>
      <c r="K24" s="54" t="s">
        <v>24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65"/>
      <c r="B25" s="55"/>
      <c r="C25" s="49"/>
      <c r="D25" s="66"/>
      <c r="E25" s="18"/>
      <c r="F25" s="49"/>
      <c r="G25" s="68"/>
      <c r="H25" s="49"/>
      <c r="I25" s="67" t="str">
        <f t="shared" si="1"/>
        <v/>
      </c>
      <c r="J25" s="49"/>
      <c r="K25" s="54" t="s">
        <v>24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69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70" t="s">
        <v>25</v>
      </c>
      <c r="B27" s="30"/>
      <c r="C27" s="22"/>
      <c r="D27" s="71"/>
      <c r="E27" s="71" t="s">
        <v>26</v>
      </c>
      <c r="F27" s="71"/>
      <c r="G27" s="71"/>
      <c r="H27" s="71"/>
      <c r="I27" s="71"/>
      <c r="J27" s="71"/>
      <c r="K27" s="7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72"/>
      <c r="B28" s="72"/>
      <c r="C28" s="72"/>
      <c r="D28" s="73"/>
      <c r="E28" s="73"/>
      <c r="F28" s="73"/>
      <c r="G28" s="73"/>
      <c r="H28" s="73"/>
      <c r="I28" s="73"/>
      <c r="J28" s="73"/>
      <c r="K28" s="73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74" t="s">
        <v>27</v>
      </c>
      <c r="B29" s="30"/>
      <c r="C29" s="30"/>
      <c r="D29" s="30"/>
      <c r="E29" s="30"/>
      <c r="F29" s="30"/>
      <c r="G29" s="30"/>
      <c r="H29" s="30"/>
      <c r="I29" s="30"/>
      <c r="J29" s="30"/>
      <c r="K29" s="2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5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53" t="s">
        <v>28</v>
      </c>
      <c r="B31" s="18"/>
      <c r="C31" s="18"/>
      <c r="D31" s="18"/>
      <c r="E31" s="18"/>
      <c r="F31" s="18"/>
      <c r="G31" s="18"/>
      <c r="H31" s="18"/>
      <c r="I31" s="18"/>
      <c r="J31" s="18"/>
      <c r="K31" s="49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53" t="s">
        <v>29</v>
      </c>
      <c r="B32" s="18"/>
      <c r="C32" s="18"/>
      <c r="D32" s="18"/>
      <c r="E32" s="18"/>
      <c r="F32" s="18"/>
      <c r="G32" s="18"/>
      <c r="H32" s="18"/>
      <c r="I32" s="18"/>
      <c r="J32" s="18"/>
      <c r="K32" s="49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53" t="s">
        <v>30</v>
      </c>
      <c r="B33" s="18"/>
      <c r="C33" s="18"/>
      <c r="D33" s="18"/>
      <c r="E33" s="18"/>
      <c r="F33" s="18"/>
      <c r="G33" s="18"/>
      <c r="H33" s="18"/>
      <c r="I33" s="18"/>
      <c r="J33" s="18"/>
      <c r="K33" s="49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53" t="s">
        <v>31</v>
      </c>
      <c r="B34" s="18"/>
      <c r="C34" s="18"/>
      <c r="D34" s="18"/>
      <c r="E34" s="18"/>
      <c r="F34" s="18"/>
      <c r="G34" s="18"/>
      <c r="H34" s="18"/>
      <c r="I34" s="18"/>
      <c r="J34" s="18"/>
      <c r="K34" s="49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58"/>
      <c r="B35" s="10"/>
      <c r="C35" s="58"/>
      <c r="D35" s="58"/>
      <c r="E35" s="58"/>
      <c r="F35" s="58"/>
      <c r="G35" s="58"/>
      <c r="H35" s="58"/>
      <c r="I35" s="58"/>
      <c r="J35" s="58"/>
      <c r="K35" s="5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48.0" customHeight="1">
      <c r="A36" s="75"/>
      <c r="B36" s="76"/>
      <c r="C36" s="75"/>
      <c r="D36" s="75"/>
      <c r="E36" s="77"/>
      <c r="F36" s="78"/>
      <c r="G36" s="78"/>
      <c r="H36" s="79"/>
      <c r="I36" s="75"/>
      <c r="J36" s="75"/>
      <c r="K36" s="75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0.25" customHeight="1">
      <c r="A37" s="75"/>
      <c r="B37" s="76"/>
      <c r="C37" s="75"/>
      <c r="D37" s="75"/>
      <c r="E37" s="79" t="s">
        <v>32</v>
      </c>
      <c r="H37" s="79"/>
      <c r="I37" s="75"/>
      <c r="J37" s="75"/>
      <c r="K37" s="75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7.5" customHeight="1">
      <c r="A38" s="77"/>
      <c r="B38" s="78"/>
      <c r="C38" s="78"/>
      <c r="D38" s="78"/>
      <c r="E38" s="8"/>
      <c r="F38" s="8"/>
      <c r="G38" s="8"/>
      <c r="H38" s="79"/>
      <c r="I38" s="77"/>
      <c r="J38" s="78"/>
      <c r="K38" s="7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0" t="s">
        <v>33</v>
      </c>
      <c r="B39" s="5"/>
      <c r="C39" s="5"/>
      <c r="D39" s="5"/>
      <c r="E39" s="8"/>
      <c r="F39" s="46"/>
      <c r="G39" s="8"/>
      <c r="H39" s="8"/>
      <c r="I39" s="81" t="s">
        <v>34</v>
      </c>
      <c r="J39" s="5"/>
      <c r="K39" s="5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0" customHeight="1">
      <c r="A40" s="8"/>
      <c r="B40" s="10"/>
      <c r="C40" s="8"/>
      <c r="D40" s="8"/>
      <c r="E40" s="8"/>
      <c r="F40" s="8"/>
      <c r="G40" s="8"/>
      <c r="H40" s="8"/>
      <c r="I40" s="82"/>
      <c r="J40" s="82"/>
      <c r="K40" s="82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10"/>
      <c r="C41" s="58"/>
      <c r="D41" s="8"/>
      <c r="E41" s="8"/>
      <c r="F41" s="8"/>
      <c r="G41" s="46"/>
      <c r="H41" s="46"/>
      <c r="I41" s="83"/>
      <c r="J41" s="83"/>
      <c r="K41" s="84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10"/>
      <c r="C42" s="8"/>
      <c r="D42" s="8"/>
      <c r="E42" s="8"/>
      <c r="F42" s="8"/>
      <c r="G42" s="8"/>
      <c r="H42" s="8"/>
      <c r="I42" s="84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4.5" customHeight="1">
      <c r="A43" s="8"/>
      <c r="E43" s="8"/>
      <c r="F43" s="8"/>
      <c r="G43" s="8"/>
      <c r="H43" s="8"/>
      <c r="I43" s="82"/>
      <c r="J43" s="82"/>
      <c r="K43" s="82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E44" s="8"/>
      <c r="F44" s="8"/>
      <c r="G44" s="8"/>
      <c r="H44" s="8"/>
      <c r="I44" s="82"/>
      <c r="J44" s="82"/>
      <c r="K44" s="82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E45" s="8"/>
      <c r="F45" s="8"/>
      <c r="G45" s="8"/>
      <c r="H45" s="8"/>
      <c r="I45" s="84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.5" customHeight="1">
      <c r="A46" s="8"/>
      <c r="E46" s="8"/>
      <c r="F46" s="8"/>
      <c r="G46" s="8"/>
      <c r="H46" s="8"/>
      <c r="I46" s="82"/>
      <c r="J46" s="82"/>
      <c r="K46" s="82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E47" s="8"/>
      <c r="F47" s="8"/>
      <c r="G47" s="8"/>
      <c r="H47" s="8"/>
      <c r="I47" s="82"/>
      <c r="J47" s="82"/>
      <c r="K47" s="82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10"/>
      <c r="C48" s="8"/>
      <c r="D48" s="8"/>
      <c r="E48" s="8"/>
      <c r="F48" s="8"/>
      <c r="G48" s="8"/>
      <c r="H48" s="8"/>
      <c r="I48" s="82"/>
      <c r="J48" s="82"/>
      <c r="K48" s="82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10"/>
      <c r="C49" s="8"/>
      <c r="D49" s="8"/>
      <c r="E49" s="8"/>
      <c r="F49" s="8"/>
      <c r="G49" s="8"/>
      <c r="H49" s="8"/>
      <c r="I49" s="84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E50" s="8"/>
      <c r="F50" s="8"/>
      <c r="G50" s="8"/>
      <c r="H50" s="8"/>
      <c r="I50" s="82"/>
      <c r="J50" s="82"/>
      <c r="K50" s="82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E51" s="8"/>
      <c r="F51" s="8"/>
      <c r="G51" s="8"/>
      <c r="H51" s="8"/>
      <c r="I51" s="82"/>
      <c r="J51" s="82"/>
      <c r="K51" s="82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E52" s="8"/>
      <c r="F52" s="8"/>
      <c r="G52" s="8"/>
      <c r="H52" s="8"/>
      <c r="I52" s="82"/>
      <c r="J52" s="82"/>
      <c r="K52" s="82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10"/>
      <c r="C53" s="8"/>
      <c r="D53" s="8"/>
      <c r="E53" s="46"/>
      <c r="F53" s="46"/>
      <c r="G53" s="8"/>
      <c r="H53" s="8"/>
      <c r="I53" s="8"/>
      <c r="J53" s="46"/>
      <c r="K53" s="46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10"/>
      <c r="C54" s="8"/>
      <c r="D54" s="8"/>
      <c r="E54" s="8"/>
      <c r="F54" s="8"/>
      <c r="G54" s="8"/>
      <c r="H54" s="8"/>
      <c r="I54" s="8"/>
      <c r="J54" s="8"/>
      <c r="K54" s="46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1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1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46"/>
      <c r="B57" s="10"/>
      <c r="C57" s="46"/>
      <c r="D57" s="46"/>
      <c r="E57" s="46"/>
      <c r="F57" s="46"/>
      <c r="G57" s="46"/>
      <c r="H57" s="46"/>
      <c r="I57" s="46"/>
      <c r="J57" s="46"/>
      <c r="K57" s="46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1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1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1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1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1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1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1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1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1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1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1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1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1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1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1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1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1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1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1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1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1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1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1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1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1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1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1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1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1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1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1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1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1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1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1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1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1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1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1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1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1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1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1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1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1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1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1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1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1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1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1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1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1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1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1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1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1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1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1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1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1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1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1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1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1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1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1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1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1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1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1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1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1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1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1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1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1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1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1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1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1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1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1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1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1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1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1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1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1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1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1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1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1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1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1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1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1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1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1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1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1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1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1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1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1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1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1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1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1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1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1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1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1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1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1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1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1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1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1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1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1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1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1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1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1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1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1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1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1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1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1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1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1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1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1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1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1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1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1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1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1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1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1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1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1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1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1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1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1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1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1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1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1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1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1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1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1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1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1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1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1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1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1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1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1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1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1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1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1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1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1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1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1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1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1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1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1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1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1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1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1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1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1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1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1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1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1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1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1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1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1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1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1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1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1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1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1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1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1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1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1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1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1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1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1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1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1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1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1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1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1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1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1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1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1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1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1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1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1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1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1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1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1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1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1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1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1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1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1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1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1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1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1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1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1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1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1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1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1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1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1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1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1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1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1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1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1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1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1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1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1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1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1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1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1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1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1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1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1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1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1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1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1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1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1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1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1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1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1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1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1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1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1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1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1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1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1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1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1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1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1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1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1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1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1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1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1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1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1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1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1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1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1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1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1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1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1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1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1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1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1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1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1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1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1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1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1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1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1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1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1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1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1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1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1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1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1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1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1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1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1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1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1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1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1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1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1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1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1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1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1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1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1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1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1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1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1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1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1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1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1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1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1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1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1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1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1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1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1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1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1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1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1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1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1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1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1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1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1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1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1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1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1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1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1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1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1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1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1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1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1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1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1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1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1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1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1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1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1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1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1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1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1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1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1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1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1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1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1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1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1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1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1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1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1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1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1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1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1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1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1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1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1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1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1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1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1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1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1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1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1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1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1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1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1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1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1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1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1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1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1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1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1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1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1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1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1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1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1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1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1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1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1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1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1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1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1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1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1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1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1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1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1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1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1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1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1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1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1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1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1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1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1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1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1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1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1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1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1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1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1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1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1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1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1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1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1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1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1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1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1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1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1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1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1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1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1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1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1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1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1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1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1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1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1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1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1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1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1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1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1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1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1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1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1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1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1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1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1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1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1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1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1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1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1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1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1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1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1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1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1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1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1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1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1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1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1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1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1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1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1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1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1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1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1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1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1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1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1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1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1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1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1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1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1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1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1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1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1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1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1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1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1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1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1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1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1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1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1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1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1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1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1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1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1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1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1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1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1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1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1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1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1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1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1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1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1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1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1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1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1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1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1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1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1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1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1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1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1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1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1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1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1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1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1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1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1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1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1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1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1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1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1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1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1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1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1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1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1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1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1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1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1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1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1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1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1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1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1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1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1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1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1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1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1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1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1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1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1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1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1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1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1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1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1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1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1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1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1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1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1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1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1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1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1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1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1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1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1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1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1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1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1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1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1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1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1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1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1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1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1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1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1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1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1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1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1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1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1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1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1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1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1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1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1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1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1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1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1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1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1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1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1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1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1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1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1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1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1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1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1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1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1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1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1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1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1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1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1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1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1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1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1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1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1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1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1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1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1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1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1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1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1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1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1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1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1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1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1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1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1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1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1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1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1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1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1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1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1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1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1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1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1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1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1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1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1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1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1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1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1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1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1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1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1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1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1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1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1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1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1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1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1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1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1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1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1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1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1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1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1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1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1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1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1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1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1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1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1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1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1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1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1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1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1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1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1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1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1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1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1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1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1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1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1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1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1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1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1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1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1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1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1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1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1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1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1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1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1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1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1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1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1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1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1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1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1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1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1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1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1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1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1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1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1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1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1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1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1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1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1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1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1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1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1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1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1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1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1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1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1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1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1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1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1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1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1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1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1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1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1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1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10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10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10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10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10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10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10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10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10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10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10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10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10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10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10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10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10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10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10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10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10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10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10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10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10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10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10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10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10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10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10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10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10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10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10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10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10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10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10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10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10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10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10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10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10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10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10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10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10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10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10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10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10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10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10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10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10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10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10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10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10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10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10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10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10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10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10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10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10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10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10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10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10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10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10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10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10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10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10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10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10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10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10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10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10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10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10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10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10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10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10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10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10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10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10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10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10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10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10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10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10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10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10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10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10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10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10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10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94">
    <mergeCell ref="B14:C14"/>
    <mergeCell ref="D14:F14"/>
    <mergeCell ref="G14:H14"/>
    <mergeCell ref="I14:J14"/>
    <mergeCell ref="D15:F15"/>
    <mergeCell ref="G15:H15"/>
    <mergeCell ref="I15:J15"/>
    <mergeCell ref="B15:C15"/>
    <mergeCell ref="B16:C16"/>
    <mergeCell ref="D16:F16"/>
    <mergeCell ref="G16:H16"/>
    <mergeCell ref="I16:J16"/>
    <mergeCell ref="B17:C17"/>
    <mergeCell ref="D17:F17"/>
    <mergeCell ref="B18:C18"/>
    <mergeCell ref="D18:F18"/>
    <mergeCell ref="G18:H18"/>
    <mergeCell ref="I18:J18"/>
    <mergeCell ref="D19:F19"/>
    <mergeCell ref="G19:H19"/>
    <mergeCell ref="I19:J19"/>
    <mergeCell ref="B19:C19"/>
    <mergeCell ref="B20:C20"/>
    <mergeCell ref="D20:F20"/>
    <mergeCell ref="G20:H20"/>
    <mergeCell ref="I20:J20"/>
    <mergeCell ref="B21:C21"/>
    <mergeCell ref="D21:F21"/>
    <mergeCell ref="B23:C23"/>
    <mergeCell ref="G23:H23"/>
    <mergeCell ref="I23:J23"/>
    <mergeCell ref="B24:C24"/>
    <mergeCell ref="D24:F24"/>
    <mergeCell ref="G24:H24"/>
    <mergeCell ref="I24:J24"/>
    <mergeCell ref="B25:C25"/>
    <mergeCell ref="D25:F25"/>
    <mergeCell ref="G25:H25"/>
    <mergeCell ref="I25:J25"/>
    <mergeCell ref="A26:K26"/>
    <mergeCell ref="A27:C27"/>
    <mergeCell ref="A29:K29"/>
    <mergeCell ref="A30:K30"/>
    <mergeCell ref="A31:K31"/>
    <mergeCell ref="A32:K32"/>
    <mergeCell ref="A33:K33"/>
    <mergeCell ref="A34:K34"/>
    <mergeCell ref="E36:G36"/>
    <mergeCell ref="E37:G37"/>
    <mergeCell ref="A45:D45"/>
    <mergeCell ref="I45:K45"/>
    <mergeCell ref="A46:D46"/>
    <mergeCell ref="A47:D47"/>
    <mergeCell ref="I49:K49"/>
    <mergeCell ref="A50:D50"/>
    <mergeCell ref="A51:D51"/>
    <mergeCell ref="A52:D52"/>
    <mergeCell ref="A38:D38"/>
    <mergeCell ref="I38:K38"/>
    <mergeCell ref="A39:D39"/>
    <mergeCell ref="I39:K39"/>
    <mergeCell ref="I42:K42"/>
    <mergeCell ref="A43:D43"/>
    <mergeCell ref="A44:D44"/>
    <mergeCell ref="I5:K5"/>
    <mergeCell ref="I6:K9"/>
    <mergeCell ref="J10:K10"/>
    <mergeCell ref="D1:J2"/>
    <mergeCell ref="D3:F3"/>
    <mergeCell ref="G3:J3"/>
    <mergeCell ref="A5:B5"/>
    <mergeCell ref="C5:G5"/>
    <mergeCell ref="A6:C6"/>
    <mergeCell ref="D6:G6"/>
    <mergeCell ref="A7:D7"/>
    <mergeCell ref="E7:G7"/>
    <mergeCell ref="A8:B8"/>
    <mergeCell ref="C8:G8"/>
    <mergeCell ref="A9:C9"/>
    <mergeCell ref="D9:G9"/>
    <mergeCell ref="D10:G10"/>
    <mergeCell ref="G13:H13"/>
    <mergeCell ref="I13:J13"/>
    <mergeCell ref="A10:C10"/>
    <mergeCell ref="B12:C12"/>
    <mergeCell ref="D12:F12"/>
    <mergeCell ref="G12:H12"/>
    <mergeCell ref="I12:J12"/>
    <mergeCell ref="B13:C13"/>
    <mergeCell ref="D13:F13"/>
    <mergeCell ref="G17:H17"/>
    <mergeCell ref="I17:J17"/>
    <mergeCell ref="G21:H21"/>
    <mergeCell ref="I21:J21"/>
  </mergeCells>
  <printOptions/>
  <pageMargins bottom="0.7480314960629921" footer="0.0" header="0.0" left="0.8267716535433072" right="0.2362204724409449" top="0.7480314960629921"/>
  <pageSetup paperSize="9" scale="99" orientation="portrait"/>
  <headerFooter>
    <oddFooter>&amp;LAprobó: GLORIA OREJUELA (Gerente General)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2025-04-10T12:23:49Z</dcterms:created>
  <dc:creator>DIRECCION TECNICA</dc:creator>
</cp:coreProperties>
</file>