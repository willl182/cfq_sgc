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3" sheetId="2" r:id="rId5"/>
  </sheets>
  <definedNames/>
  <calcPr/>
</workbook>
</file>

<file path=xl/sharedStrings.xml><?xml version="1.0" encoding="utf-8"?>
<sst xmlns="http://schemas.openxmlformats.org/spreadsheetml/2006/main" count="488" uniqueCount="159">
  <si>
    <r>
      <rPr>
        <rFont val="Overlock"/>
        <b/>
        <color theme="1"/>
        <sz val="18.0"/>
      </rPr>
      <t>SELECCIÓN DE PROVEEDORES</t>
    </r>
    <r>
      <rPr>
        <rFont val="Overlock"/>
        <b/>
        <color theme="1"/>
      </rPr>
      <t xml:space="preserve">
SISTEMA DE GESTIÓN INTEGRAL</t>
    </r>
  </si>
  <si>
    <t>SC</t>
  </si>
  <si>
    <t>SS</t>
  </si>
  <si>
    <t>CODIGO RC-SI17</t>
  </si>
  <si>
    <t>VERSIÓN: 0</t>
  </si>
  <si>
    <t>NOMBRE PROVEEDOR</t>
  </si>
  <si>
    <t>PRODUCTO O SERVICIO</t>
  </si>
  <si>
    <t>PRECIO</t>
  </si>
  <si>
    <t>TIEMPOS DE ENTREGA</t>
  </si>
  <si>
    <t>FORMA DE PAGO</t>
  </si>
  <si>
    <t>TRANSPORTE</t>
  </si>
  <si>
    <t>CERTIFICADO SGSST</t>
  </si>
  <si>
    <t>PUNTOS</t>
  </si>
  <si>
    <t>SL001</t>
  </si>
  <si>
    <t>Acerias Paz del rio</t>
  </si>
  <si>
    <t>Fertilizantes</t>
  </si>
  <si>
    <t>Buen Precio</t>
  </si>
  <si>
    <t>Es considerable</t>
  </si>
  <si>
    <t>30-60 días</t>
  </si>
  <si>
    <t>No se Incluye</t>
  </si>
  <si>
    <t>No Aporta Certificado</t>
  </si>
  <si>
    <t>SL002</t>
  </si>
  <si>
    <t>Alfa Productos Quimicos Sas</t>
  </si>
  <si>
    <t>Pronta entrega o inmediata</t>
  </si>
  <si>
    <t>Se incluye</t>
  </si>
  <si>
    <t>SL003</t>
  </si>
  <si>
    <t>Alsukar</t>
  </si>
  <si>
    <t>Anticipado</t>
  </si>
  <si>
    <t>Seleccione</t>
  </si>
  <si>
    <t>SL004</t>
  </si>
  <si>
    <t>Arango Jose Anibal</t>
  </si>
  <si>
    <t>Muy Alto</t>
  </si>
  <si>
    <t>SL005</t>
  </si>
  <si>
    <t>Asuagro</t>
  </si>
  <si>
    <t>Aporta certificado</t>
  </si>
  <si>
    <t>SL006</t>
  </si>
  <si>
    <t>Athertua y quimicos</t>
  </si>
  <si>
    <t>SL007</t>
  </si>
  <si>
    <t>Agrocales</t>
  </si>
  <si>
    <t>SL008</t>
  </si>
  <si>
    <t>Almacen la finquita</t>
  </si>
  <si>
    <t>Herramientas</t>
  </si>
  <si>
    <t>Muy demorado</t>
  </si>
  <si>
    <t>SL009</t>
  </si>
  <si>
    <t>C i de azucares y mieles</t>
  </si>
  <si>
    <t>SL010</t>
  </si>
  <si>
    <t>Comerecializadora domeq</t>
  </si>
  <si>
    <t>Tapabocas</t>
  </si>
  <si>
    <t>SL011</t>
  </si>
  <si>
    <t>Comercializadora helvecia</t>
  </si>
  <si>
    <t>SL012</t>
  </si>
  <si>
    <t>Cooperativa multiactiva uniagro</t>
  </si>
  <si>
    <t>Servicio de transporte</t>
  </si>
  <si>
    <t>Contraentrega</t>
  </si>
  <si>
    <t>SL013</t>
  </si>
  <si>
    <t>Henry Coronado</t>
  </si>
  <si>
    <t>Más de 60 dias</t>
  </si>
  <si>
    <t>SL014</t>
  </si>
  <si>
    <t>Disan Agro</t>
  </si>
  <si>
    <t>SL015</t>
  </si>
  <si>
    <t>Empresa de fosfatos del huila</t>
  </si>
  <si>
    <t>SL016</t>
  </si>
  <si>
    <t>Florinsumos LTDA</t>
  </si>
  <si>
    <t>Empaques</t>
  </si>
  <si>
    <t>SL017</t>
  </si>
  <si>
    <t>Gipson</t>
  </si>
  <si>
    <t>Soluble</t>
  </si>
  <si>
    <t>SL018</t>
  </si>
  <si>
    <t>Guantes Tayrona</t>
  </si>
  <si>
    <t>Guantes</t>
  </si>
  <si>
    <t>SL019</t>
  </si>
  <si>
    <t>Hilos y piolas Jaramillo</t>
  </si>
  <si>
    <t>Hilos</t>
  </si>
  <si>
    <t>SL020</t>
  </si>
  <si>
    <t>Hoyos Galindez Didier</t>
  </si>
  <si>
    <t>SL021</t>
  </si>
  <si>
    <t>Manuchar Colombia</t>
  </si>
  <si>
    <t>SL022</t>
  </si>
  <si>
    <t>Nino Zea German</t>
  </si>
  <si>
    <t>SL023</t>
  </si>
  <si>
    <t>Nitrofert</t>
  </si>
  <si>
    <t>SL024</t>
  </si>
  <si>
    <t>Nutricion de plantas</t>
  </si>
  <si>
    <t>SL025</t>
  </si>
  <si>
    <t>Poliplastics</t>
  </si>
  <si>
    <t>SL026</t>
  </si>
  <si>
    <t>Productos quimicos panamericanos</t>
  </si>
  <si>
    <t>SL027</t>
  </si>
  <si>
    <t>Reimpex</t>
  </si>
  <si>
    <t>Bandas</t>
  </si>
  <si>
    <t>SL028</t>
  </si>
  <si>
    <t>Sqm Colombia</t>
  </si>
  <si>
    <t>SL029</t>
  </si>
  <si>
    <t>Saldarriaga Delgado Julian</t>
  </si>
  <si>
    <t>SL030</t>
  </si>
  <si>
    <t>Talanu Chemical</t>
  </si>
  <si>
    <t>SL031</t>
  </si>
  <si>
    <t>Yara Colombia</t>
  </si>
  <si>
    <t>SL032</t>
  </si>
  <si>
    <t>Mercadeo</t>
  </si>
  <si>
    <t>Vinaza</t>
  </si>
  <si>
    <t>SL033</t>
  </si>
  <si>
    <t>Hugo Martinez</t>
  </si>
  <si>
    <t>SL034</t>
  </si>
  <si>
    <t>IMPOSEG INDUSTRIAL S.A.S</t>
  </si>
  <si>
    <t>Elementos de Protección Personal</t>
  </si>
  <si>
    <t>SL035</t>
  </si>
  <si>
    <t>CALZAUNICO S.A.S</t>
  </si>
  <si>
    <t>Botas Pantaneras de Seguridad</t>
  </si>
  <si>
    <t>SL036</t>
  </si>
  <si>
    <t>CBCOL SEGURIDAD INDUSTRIAL S.A.S</t>
  </si>
  <si>
    <t>SL037</t>
  </si>
  <si>
    <t>DISEÑOS ORIANI S.A.S</t>
  </si>
  <si>
    <t>Dotación Jeans</t>
  </si>
  <si>
    <t>SL038</t>
  </si>
  <si>
    <t>SOLUCIONES INTEGRALES EN CONFECCIÓN S.A.S</t>
  </si>
  <si>
    <t xml:space="preserve">Dotación de pantalones oficina, overoles y batas laboratorio </t>
  </si>
  <si>
    <t>SL039</t>
  </si>
  <si>
    <t xml:space="preserve">EPP INDUSTRIAL TULUÁ </t>
  </si>
  <si>
    <t xml:space="preserve">Botas de Seguridad </t>
  </si>
  <si>
    <t>SL040</t>
  </si>
  <si>
    <t>ASESORES EN SEGURIDAD Y PROTECCIÓN DE INCENDIOS</t>
  </si>
  <si>
    <t>Extintores, capacitaciones y señalización</t>
  </si>
  <si>
    <t>SL041</t>
  </si>
  <si>
    <t xml:space="preserve">COMERCIALIZADORA DOMEQ S.A.S </t>
  </si>
  <si>
    <t>Tapabocas KN-95</t>
  </si>
  <si>
    <t>SL042</t>
  </si>
  <si>
    <t xml:space="preserve">CACERES CONSULTARIAS EN ALTURAS Y SEGURIDAD </t>
  </si>
  <si>
    <t>Andamio</t>
  </si>
  <si>
    <t>SL043</t>
  </si>
  <si>
    <t>TECNACEL S.A.S</t>
  </si>
  <si>
    <t>Cursos TSA</t>
  </si>
  <si>
    <t>No se requiere</t>
  </si>
  <si>
    <t>SL044</t>
  </si>
  <si>
    <t>FERRETERIA EL MEYI S.A.S</t>
  </si>
  <si>
    <t>Insumos y herramientas para mantenimiento.</t>
  </si>
  <si>
    <t>SL045</t>
  </si>
  <si>
    <t>SEGURIDAD INDUSTRIAL TULUÁ</t>
  </si>
  <si>
    <t>SL046</t>
  </si>
  <si>
    <t>CALZADO TERRANO S.A.S</t>
  </si>
  <si>
    <t>Calzado de Seguridad</t>
  </si>
  <si>
    <t>SL047</t>
  </si>
  <si>
    <t>UNIFORMES FRANCIA</t>
  </si>
  <si>
    <t>Dotación camisas, polos, busos</t>
  </si>
  <si>
    <t>SL048</t>
  </si>
  <si>
    <t>SL049</t>
  </si>
  <si>
    <t>SL050</t>
  </si>
  <si>
    <t>SL051</t>
  </si>
  <si>
    <t>SL052</t>
  </si>
  <si>
    <t>SL053</t>
  </si>
  <si>
    <t>SL054</t>
  </si>
  <si>
    <t>SL055</t>
  </si>
  <si>
    <t>SL056</t>
  </si>
  <si>
    <t>SL057</t>
  </si>
  <si>
    <t>SL058</t>
  </si>
  <si>
    <t>SL059</t>
  </si>
  <si>
    <t>SGSST</t>
  </si>
  <si>
    <t>Bajo pero confiable</t>
  </si>
  <si>
    <t>Bajo  y sospechoso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</si>
</sst>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Overlock"/>
    </font>
    <font/>
    <font>
      <b/>
      <color theme="1"/>
      <name val="Overlock"/>
    </font>
    <font>
      <b/>
      <sz val="8.0"/>
      <color theme="1"/>
      <name val="Overlock"/>
    </font>
    <font>
      <sz val="7.0"/>
      <color rgb="FFFFFFFF"/>
      <name val="Overlock"/>
    </font>
    <font>
      <b/>
      <sz val="7.0"/>
      <color theme="1"/>
      <name val="Overlock"/>
    </font>
    <font>
      <sz val="7.0"/>
      <color theme="1"/>
      <name val="Overlock"/>
    </font>
    <font>
      <sz val="8.0"/>
      <color theme="1"/>
      <name val="Overlock"/>
    </font>
    <font>
      <color theme="1"/>
      <name val="Arial"/>
      <scheme val="minor"/>
    </font>
    <font>
      <sz val="7.0"/>
      <color theme="1"/>
      <name val="Open Sans"/>
    </font>
  </fonts>
  <fills count="11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B7E1CD"/>
        <bgColor rgb="FFB7E1CD"/>
      </patternFill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</fills>
  <borders count="2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dotted">
        <color rgb="FF000000"/>
      </left>
      <right style="medium">
        <color rgb="FF000000"/>
      </right>
      <top style="medium">
        <color rgb="FF000000"/>
      </top>
    </border>
    <border>
      <left style="medium">
        <color rgb="FFE69138"/>
      </left>
      <right style="medium">
        <color rgb="FFE69138"/>
      </right>
      <top style="medium">
        <color rgb="FFE69138"/>
      </top>
    </border>
    <border>
      <left style="medium">
        <color rgb="FF000000"/>
      </left>
    </border>
    <border>
      <left style="dotted">
        <color rgb="FF000000"/>
      </left>
      <right style="medium">
        <color rgb="FF000000"/>
      </right>
      <top style="thin">
        <color rgb="FF000000"/>
      </top>
    </border>
    <border>
      <left style="medium">
        <color rgb="FFE69138"/>
      </left>
      <right style="medium">
        <color rgb="FFE69138"/>
      </right>
    </border>
    <border>
      <left style="dotted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right style="dotted">
        <color rgb="FF000000"/>
      </right>
    </border>
    <border>
      <left style="medium">
        <color rgb="FFE69138"/>
      </left>
      <right style="medium">
        <color rgb="FFE69138"/>
      </right>
      <bottom style="medium">
        <color rgb="FFE69138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2" fontId="4" numFmtId="0" xfId="0" applyAlignment="1" applyBorder="1" applyFill="1" applyFont="1">
      <alignment horizontal="center" readingOrder="0" vertical="center"/>
    </xf>
    <xf borderId="0" fillId="0" fontId="1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3" fontId="4" numFmtId="0" xfId="0" applyAlignment="1" applyBorder="1" applyFill="1" applyFont="1">
      <alignment horizontal="center" readingOrder="0" vertical="center"/>
    </xf>
    <xf borderId="10" fillId="0" fontId="3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0" fillId="0" fontId="1" numFmtId="0" xfId="0" applyAlignment="1" applyFont="1">
      <alignment readingOrder="0"/>
    </xf>
    <xf borderId="13" fillId="4" fontId="3" numFmtId="0" xfId="0" applyAlignment="1" applyBorder="1" applyFill="1" applyFont="1">
      <alignment horizontal="center" readingOrder="0" vertical="center"/>
    </xf>
    <xf borderId="14" fillId="0" fontId="2" numFmtId="0" xfId="0" applyBorder="1" applyFont="1"/>
    <xf borderId="15" fillId="4" fontId="3" numFmtId="0" xfId="0" applyAlignment="1" applyBorder="1" applyFont="1">
      <alignment horizontal="center" readingOrder="0" vertical="center"/>
    </xf>
    <xf borderId="0" fillId="5" fontId="5" numFmtId="0" xfId="0" applyAlignment="1" applyFill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7" fontId="6" numFmtId="0" xfId="0" applyAlignment="1" applyFill="1" applyFont="1">
      <alignment horizontal="center" readingOrder="0" shrinkToFit="0" vertical="center" wrapText="1"/>
    </xf>
    <xf borderId="0" fillId="8" fontId="6" numFmtId="0" xfId="0" applyAlignment="1" applyFill="1" applyFont="1">
      <alignment horizontal="center" readingOrder="0" shrinkToFit="0" vertical="center" wrapText="1"/>
    </xf>
    <xf borderId="0" fillId="9" fontId="6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6" fillId="10" fontId="6" numFmtId="0" xfId="0" applyAlignment="1" applyBorder="1" applyFill="1" applyFont="1">
      <alignment horizontal="center" readingOrder="0" vertical="center"/>
    </xf>
    <xf borderId="17" fillId="4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3" fillId="0" fontId="1" numFmtId="0" xfId="0" applyBorder="1" applyFont="1"/>
    <xf borderId="18" fillId="0" fontId="1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readingOrder="0"/>
    </xf>
    <xf borderId="19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readingOrder="0"/>
    </xf>
    <xf borderId="20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21" fillId="4" fontId="1" numFmtId="0" xfId="0" applyAlignment="1" applyBorder="1" applyFont="1">
      <alignment horizontal="center" readingOrder="0" vertical="center"/>
    </xf>
    <xf borderId="5" fillId="4" fontId="1" numFmtId="0" xfId="0" applyAlignment="1" applyBorder="1" applyFont="1">
      <alignment horizontal="center" readingOrder="0" vertical="center"/>
    </xf>
    <xf borderId="22" fillId="0" fontId="2" numFmtId="0" xfId="0" applyBorder="1" applyFont="1"/>
    <xf borderId="23" fillId="0" fontId="1" numFmtId="0" xfId="0" applyAlignment="1" applyBorder="1" applyFont="1">
      <alignment horizontal="center" vertical="center"/>
    </xf>
    <xf borderId="0" fillId="0" fontId="7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0075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0.0"/>
    <col customWidth="1" min="3" max="3" width="25.25"/>
    <col customWidth="1" min="4" max="4" width="24.5"/>
    <col customWidth="1" min="5" max="5" width="15.5"/>
    <col customWidth="1" min="6" max="6" width="3.13"/>
    <col customWidth="1" min="8" max="8" width="3.38"/>
    <col customWidth="1" min="10" max="10" width="3.5"/>
    <col customWidth="1" min="12" max="12" width="3.25"/>
    <col customWidth="1" min="14" max="14" width="4.0"/>
    <col customWidth="1" min="15" max="15" width="0.38"/>
    <col customWidth="1" min="16" max="16" width="5.5"/>
  </cols>
  <sheetData>
    <row r="1" ht="23.2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"/>
      <c r="P1" s="5" t="s">
        <v>1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23.25" customHeight="1">
      <c r="A2" s="7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12" t="s">
        <v>2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ht="18.75" customHeight="1">
      <c r="A3" s="9"/>
      <c r="B3" s="11"/>
      <c r="C3" s="13" t="s">
        <v>3</v>
      </c>
      <c r="D3" s="14"/>
      <c r="E3" s="14"/>
      <c r="F3" s="15"/>
      <c r="G3" s="13" t="s">
        <v>4</v>
      </c>
      <c r="H3" s="14"/>
      <c r="I3" s="14"/>
      <c r="J3" s="14"/>
      <c r="K3" s="14"/>
      <c r="L3" s="14"/>
      <c r="M3" s="14"/>
      <c r="N3" s="14"/>
      <c r="O3" s="14"/>
      <c r="P3" s="1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6"/>
      <c r="B4" s="6"/>
      <c r="C4" s="6"/>
      <c r="D4" s="6"/>
      <c r="E4" s="1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17" t="s">
        <v>5</v>
      </c>
      <c r="B5" s="18"/>
      <c r="C5" s="18"/>
      <c r="D5" s="19" t="s">
        <v>6</v>
      </c>
      <c r="E5" s="20" t="s">
        <v>7</v>
      </c>
      <c r="G5" s="21" t="s">
        <v>8</v>
      </c>
      <c r="I5" s="22" t="s">
        <v>9</v>
      </c>
      <c r="K5" s="23" t="s">
        <v>10</v>
      </c>
      <c r="M5" s="24" t="s">
        <v>11</v>
      </c>
      <c r="O5" s="25"/>
      <c r="P5" s="26" t="s">
        <v>12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27" t="s">
        <v>13</v>
      </c>
      <c r="B6" s="28" t="s">
        <v>14</v>
      </c>
      <c r="C6" s="29"/>
      <c r="D6" s="30" t="s">
        <v>15</v>
      </c>
      <c r="E6" s="31" t="s">
        <v>16</v>
      </c>
      <c r="F6" s="32">
        <f>VLOOKUP(E6,'Hoja 3'!A2:B26,2,FALSE)</f>
        <v>20</v>
      </c>
      <c r="G6" s="31" t="s">
        <v>17</v>
      </c>
      <c r="H6" s="33">
        <f>VLOOKUP(G6,'Hoja 3'!A2:B26,2,FALSE)</f>
        <v>25</v>
      </c>
      <c r="I6" s="34" t="s">
        <v>18</v>
      </c>
      <c r="J6" s="33">
        <f>VLOOKUP(I6,'Hoja 3'!A2:B26,2,FALSE)</f>
        <v>20</v>
      </c>
      <c r="K6" s="31" t="s">
        <v>19</v>
      </c>
      <c r="L6" s="33">
        <f>VLOOKUP(K6,'Hoja 3'!A2:B26,2,FALSE)</f>
        <v>1</v>
      </c>
      <c r="M6" s="31" t="s">
        <v>20</v>
      </c>
      <c r="N6" s="33">
        <f>VLOOKUP(M6,'Hoja 3'!A2:B26,2,FALSE)</f>
        <v>1</v>
      </c>
      <c r="O6" s="6"/>
      <c r="P6" s="35">
        <f t="shared" ref="P6:P64" si="1">(F6+H6+J6+L6+N6)</f>
        <v>67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27" t="s">
        <v>21</v>
      </c>
      <c r="B7" s="36" t="s">
        <v>22</v>
      </c>
      <c r="C7" s="6"/>
      <c r="D7" s="37" t="s">
        <v>15</v>
      </c>
      <c r="E7" s="31" t="s">
        <v>16</v>
      </c>
      <c r="F7" s="32">
        <f>VLOOKUP(E7,'Hoja 3'!A3:B27,2,FALSE)</f>
        <v>20</v>
      </c>
      <c r="G7" s="31" t="s">
        <v>23</v>
      </c>
      <c r="H7" s="33">
        <f>VLOOKUP(G7,'Hoja 3'!A3:B27,2,FALSE)</f>
        <v>30</v>
      </c>
      <c r="I7" s="34" t="s">
        <v>18</v>
      </c>
      <c r="J7" s="33">
        <f>VLOOKUP(I7,'Hoja 3'!A3:B27,2,FALSE)</f>
        <v>20</v>
      </c>
      <c r="K7" s="31" t="s">
        <v>24</v>
      </c>
      <c r="L7" s="33">
        <f>VLOOKUP(K7,'Hoja 3'!A3:B27,2,FALSE)</f>
        <v>10</v>
      </c>
      <c r="M7" s="31" t="s">
        <v>20</v>
      </c>
      <c r="N7" s="33">
        <f>VLOOKUP(M7,'Hoja 3'!A3:B27,2,FALSE)</f>
        <v>1</v>
      </c>
      <c r="O7" s="6"/>
      <c r="P7" s="35">
        <f t="shared" si="1"/>
        <v>81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27" t="s">
        <v>25</v>
      </c>
      <c r="B8" s="36" t="s">
        <v>26</v>
      </c>
      <c r="C8" s="6"/>
      <c r="D8" s="37" t="s">
        <v>15</v>
      </c>
      <c r="E8" s="31" t="s">
        <v>16</v>
      </c>
      <c r="F8" s="32">
        <f>VLOOKUP(E8,'Hoja 3'!A4:B28,2,FALSE)</f>
        <v>20</v>
      </c>
      <c r="G8" s="31" t="s">
        <v>17</v>
      </c>
      <c r="H8" s="33">
        <f>VLOOKUP(G8,'Hoja 3'!A4:B28,2,FALSE)</f>
        <v>25</v>
      </c>
      <c r="I8" s="34" t="s">
        <v>27</v>
      </c>
      <c r="J8" s="33">
        <f>VLOOKUP(I8,'Hoja 3'!A4:B28,2,FALSE)</f>
        <v>5</v>
      </c>
      <c r="K8" s="31" t="s">
        <v>19</v>
      </c>
      <c r="L8" s="33">
        <f>VLOOKUP(K8,'Hoja 3'!A4:B28,2,FALSE)</f>
        <v>1</v>
      </c>
      <c r="M8" s="31" t="s">
        <v>28</v>
      </c>
      <c r="N8" s="33">
        <f>VLOOKUP(M8,'Hoja 3'!A4:B28,2,FALSE)</f>
        <v>0</v>
      </c>
      <c r="O8" s="6"/>
      <c r="P8" s="35">
        <f t="shared" si="1"/>
        <v>51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27" t="s">
        <v>29</v>
      </c>
      <c r="B9" s="36" t="s">
        <v>30</v>
      </c>
      <c r="C9" s="6"/>
      <c r="D9" s="37" t="s">
        <v>15</v>
      </c>
      <c r="E9" s="31" t="s">
        <v>31</v>
      </c>
      <c r="F9" s="38">
        <v>10.0</v>
      </c>
      <c r="G9" s="31" t="s">
        <v>17</v>
      </c>
      <c r="H9" s="33">
        <f>VLOOKUP(G9,'Hoja 3'!A5:B29,2,FALSE)</f>
        <v>25</v>
      </c>
      <c r="I9" s="34" t="s">
        <v>18</v>
      </c>
      <c r="J9" s="33">
        <f>VLOOKUP(I9,'Hoja 3'!A5:B29,2,FALSE)</f>
        <v>20</v>
      </c>
      <c r="K9" s="31" t="s">
        <v>24</v>
      </c>
      <c r="L9" s="33">
        <f>VLOOKUP(K9,'Hoja 3'!A5:B29,2,FALSE)</f>
        <v>10</v>
      </c>
      <c r="M9" s="31" t="s">
        <v>20</v>
      </c>
      <c r="N9" s="33">
        <f>VLOOKUP(M9,'Hoja 3'!A5:B29,2,FALSE)</f>
        <v>1</v>
      </c>
      <c r="O9" s="6"/>
      <c r="P9" s="35">
        <f t="shared" si="1"/>
        <v>66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27" t="s">
        <v>32</v>
      </c>
      <c r="B10" s="36" t="s">
        <v>33</v>
      </c>
      <c r="C10" s="6"/>
      <c r="D10" s="37" t="s">
        <v>15</v>
      </c>
      <c r="E10" s="31" t="s">
        <v>16</v>
      </c>
      <c r="F10" s="32">
        <f>VLOOKUP(E10,'Hoja 3'!A2:B27,2,FALSE)</f>
        <v>20</v>
      </c>
      <c r="G10" s="31" t="s">
        <v>17</v>
      </c>
      <c r="H10" s="33">
        <f>VLOOKUP(G10,'Hoja 3'!A6:B30,2,FALSE)</f>
        <v>25</v>
      </c>
      <c r="I10" s="34" t="s">
        <v>18</v>
      </c>
      <c r="J10" s="33">
        <f>VLOOKUP(I10,'Hoja 3'!A6:B30,2,FALSE)</f>
        <v>20</v>
      </c>
      <c r="K10" s="31" t="s">
        <v>24</v>
      </c>
      <c r="L10" s="33">
        <f>VLOOKUP(K10,'Hoja 3'!A6:B30,2,FALSE)</f>
        <v>10</v>
      </c>
      <c r="M10" s="31" t="s">
        <v>34</v>
      </c>
      <c r="N10" s="33">
        <f>VLOOKUP(M10,'Hoja 3'!A6:B30,2,FALSE)</f>
        <v>10</v>
      </c>
      <c r="O10" s="6"/>
      <c r="P10" s="35">
        <f t="shared" si="1"/>
        <v>85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27" t="s">
        <v>35</v>
      </c>
      <c r="B11" s="36" t="s">
        <v>36</v>
      </c>
      <c r="C11" s="6"/>
      <c r="D11" s="37" t="s">
        <v>15</v>
      </c>
      <c r="E11" s="31" t="s">
        <v>16</v>
      </c>
      <c r="F11" s="32">
        <f>VLOOKUP(E11,'Hoja 3'!A2:B27,2,FALSE)</f>
        <v>20</v>
      </c>
      <c r="G11" s="31" t="s">
        <v>23</v>
      </c>
      <c r="H11" s="33">
        <f>VLOOKUP(G11,'Hoja 3'!A7:B31,2,FALSE)</f>
        <v>30</v>
      </c>
      <c r="I11" s="34" t="s">
        <v>18</v>
      </c>
      <c r="J11" s="33">
        <f>VLOOKUP(I11,'Hoja 3'!A7:B31,2,FALSE)</f>
        <v>20</v>
      </c>
      <c r="K11" s="31" t="s">
        <v>24</v>
      </c>
      <c r="L11" s="33">
        <f>VLOOKUP(K11,'Hoja 3'!A7:B31,2,FALSE)</f>
        <v>10</v>
      </c>
      <c r="M11" s="31" t="s">
        <v>34</v>
      </c>
      <c r="N11" s="33">
        <f>VLOOKUP(M11,'Hoja 3'!A7:B31,2,FALSE)</f>
        <v>10</v>
      </c>
      <c r="O11" s="6"/>
      <c r="P11" s="35">
        <f t="shared" si="1"/>
        <v>90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27" t="s">
        <v>37</v>
      </c>
      <c r="B12" s="36" t="s">
        <v>38</v>
      </c>
      <c r="C12" s="6"/>
      <c r="D12" s="37" t="s">
        <v>15</v>
      </c>
      <c r="E12" s="31" t="s">
        <v>16</v>
      </c>
      <c r="F12" s="32">
        <f>VLOOKUP(E12,'Hoja 3'!A2:B26,2,FALSE)</f>
        <v>20</v>
      </c>
      <c r="G12" s="31" t="s">
        <v>17</v>
      </c>
      <c r="H12" s="33">
        <f>VLOOKUP(G12,'Hoja 3'!A2:B26,2,FALSE)</f>
        <v>25</v>
      </c>
      <c r="I12" s="34" t="s">
        <v>18</v>
      </c>
      <c r="J12" s="33">
        <f>VLOOKUP(I12,'Hoja 3'!A2:B26,2,FALSE)</f>
        <v>20</v>
      </c>
      <c r="K12" s="31" t="s">
        <v>19</v>
      </c>
      <c r="L12" s="33">
        <f>VLOOKUP(K12,'Hoja 3'!A2:B26,2,FALSE)</f>
        <v>1</v>
      </c>
      <c r="M12" s="31" t="s">
        <v>20</v>
      </c>
      <c r="N12" s="33">
        <f>VLOOKUP(M12,'Hoja 3'!A2:B26,2,FALSE)</f>
        <v>1</v>
      </c>
      <c r="O12" s="6"/>
      <c r="P12" s="35">
        <f t="shared" si="1"/>
        <v>67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27" t="s">
        <v>39</v>
      </c>
      <c r="B13" s="36" t="s">
        <v>40</v>
      </c>
      <c r="C13" s="6"/>
      <c r="D13" s="37" t="s">
        <v>41</v>
      </c>
      <c r="E13" s="31" t="s">
        <v>16</v>
      </c>
      <c r="F13" s="32">
        <f>VLOOKUP(E13,'Hoja 3'!A3:B27,2,FALSE)</f>
        <v>20</v>
      </c>
      <c r="G13" s="31" t="s">
        <v>42</v>
      </c>
      <c r="H13" s="33">
        <f>VLOOKUP(G13,'Hoja 3'!A3:B27,2,FALSE)</f>
        <v>5</v>
      </c>
      <c r="I13" s="34" t="s">
        <v>18</v>
      </c>
      <c r="J13" s="33">
        <f>VLOOKUP(I13,'Hoja 3'!A3:B27,2,FALSE)</f>
        <v>20</v>
      </c>
      <c r="K13" s="31" t="s">
        <v>24</v>
      </c>
      <c r="L13" s="33">
        <f>VLOOKUP(K13,'Hoja 3'!A3:B27,2,FALSE)</f>
        <v>10</v>
      </c>
      <c r="M13" s="31" t="s">
        <v>34</v>
      </c>
      <c r="N13" s="33">
        <f>VLOOKUP(M13,'Hoja 3'!A3:B27,2,FALSE)</f>
        <v>10</v>
      </c>
      <c r="O13" s="6"/>
      <c r="P13" s="35">
        <f t="shared" si="1"/>
        <v>65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27" t="s">
        <v>43</v>
      </c>
      <c r="B14" s="36" t="s">
        <v>44</v>
      </c>
      <c r="C14" s="6"/>
      <c r="D14" s="37" t="s">
        <v>15</v>
      </c>
      <c r="E14" s="31" t="s">
        <v>16</v>
      </c>
      <c r="F14" s="32">
        <f>VLOOKUP(E14,'Hoja 3'!A2:B26,2,FALSE)</f>
        <v>20</v>
      </c>
      <c r="G14" s="31" t="s">
        <v>17</v>
      </c>
      <c r="H14" s="33">
        <f>VLOOKUP(G14,'Hoja 3'!A4:B28,2,FALSE)</f>
        <v>25</v>
      </c>
      <c r="I14" s="34" t="s">
        <v>18</v>
      </c>
      <c r="J14" s="33">
        <f>VLOOKUP(I14,'Hoja 3'!A4:B28,2,FALSE)</f>
        <v>20</v>
      </c>
      <c r="K14" s="31" t="s">
        <v>19</v>
      </c>
      <c r="L14" s="33">
        <f>VLOOKUP(K14,'Hoja 3'!A4:B28,2,FALSE)</f>
        <v>1</v>
      </c>
      <c r="M14" s="31" t="s">
        <v>20</v>
      </c>
      <c r="N14" s="33">
        <f>VLOOKUP(M14,'Hoja 3'!A4:B28,2,FALSE)</f>
        <v>1</v>
      </c>
      <c r="O14" s="6"/>
      <c r="P14" s="35">
        <f t="shared" si="1"/>
        <v>67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27" t="s">
        <v>45</v>
      </c>
      <c r="B15" s="36" t="s">
        <v>46</v>
      </c>
      <c r="C15" s="6"/>
      <c r="D15" s="37" t="s">
        <v>47</v>
      </c>
      <c r="E15" s="31" t="s">
        <v>16</v>
      </c>
      <c r="F15" s="32">
        <f>VLOOKUP(E15, 'Hoja 3'!$A$2:$B$26, 2, FALSE)</f>
        <v>20</v>
      </c>
      <c r="G15" s="31" t="s">
        <v>23</v>
      </c>
      <c r="H15" s="33">
        <f>VLOOKUP(G15,'Hoja 3'!A5:B29,2,FALSE)</f>
        <v>30</v>
      </c>
      <c r="I15" s="34" t="s">
        <v>27</v>
      </c>
      <c r="J15" s="33">
        <f>VLOOKUP(I15,'Hoja 3'!A5:B29,2,FALSE)</f>
        <v>5</v>
      </c>
      <c r="K15" s="31" t="s">
        <v>24</v>
      </c>
      <c r="L15" s="33">
        <f>VLOOKUP(K15,'Hoja 3'!A5:B29,2,FALSE)</f>
        <v>10</v>
      </c>
      <c r="M15" s="31" t="s">
        <v>20</v>
      </c>
      <c r="N15" s="33">
        <f>VLOOKUP(M15,'Hoja 3'!A5:B29,2,FALSE)</f>
        <v>1</v>
      </c>
      <c r="O15" s="6"/>
      <c r="P15" s="35">
        <f t="shared" si="1"/>
        <v>66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27" t="s">
        <v>48</v>
      </c>
      <c r="B16" s="36" t="s">
        <v>49</v>
      </c>
      <c r="C16" s="6"/>
      <c r="D16" s="37" t="s">
        <v>15</v>
      </c>
      <c r="E16" s="31" t="s">
        <v>31</v>
      </c>
      <c r="F16" s="32">
        <f>VLOOKUP(E16, 'Hoja 3'!$A$2:$B$26, 2, FALSE)</f>
        <v>10</v>
      </c>
      <c r="G16" s="31" t="s">
        <v>17</v>
      </c>
      <c r="H16" s="33">
        <f>VLOOKUP(G16,'Hoja 3'!A6:B30,2,FALSE)</f>
        <v>25</v>
      </c>
      <c r="I16" s="34" t="s">
        <v>18</v>
      </c>
      <c r="J16" s="33">
        <f>VLOOKUP(I16,'Hoja 3'!A6:B30,2,FALSE)</f>
        <v>20</v>
      </c>
      <c r="K16" s="31" t="s">
        <v>19</v>
      </c>
      <c r="L16" s="33">
        <f>VLOOKUP(K16,'Hoja 3'!A6:B30,2,FALSE)</f>
        <v>1</v>
      </c>
      <c r="M16" s="31" t="s">
        <v>34</v>
      </c>
      <c r="N16" s="33">
        <f>VLOOKUP(M16,'Hoja 3'!A6:B30,2,FALSE)</f>
        <v>10</v>
      </c>
      <c r="O16" s="6"/>
      <c r="P16" s="35">
        <f t="shared" si="1"/>
        <v>66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27" t="s">
        <v>50</v>
      </c>
      <c r="B17" s="36" t="s">
        <v>51</v>
      </c>
      <c r="C17" s="6"/>
      <c r="D17" s="37" t="s">
        <v>52</v>
      </c>
      <c r="E17" s="31" t="s">
        <v>16</v>
      </c>
      <c r="F17" s="32">
        <f>VLOOKUP(E17, 'Hoja 3'!$A$2:$B$26, 2, FALSE)</f>
        <v>20</v>
      </c>
      <c r="G17" s="31" t="s">
        <v>23</v>
      </c>
      <c r="H17" s="33">
        <f>VLOOKUP(G17,'Hoja 3'!A7:B31,2,FALSE)</f>
        <v>30</v>
      </c>
      <c r="I17" s="34" t="s">
        <v>53</v>
      </c>
      <c r="J17" s="33">
        <f>VLOOKUP(I17,'Hoja 3'!A7:B31,2,FALSE)</f>
        <v>10</v>
      </c>
      <c r="K17" s="31" t="s">
        <v>24</v>
      </c>
      <c r="L17" s="33">
        <f>VLOOKUP(K17,'Hoja 3'!A7:B31,2,FALSE)</f>
        <v>10</v>
      </c>
      <c r="M17" s="31" t="s">
        <v>20</v>
      </c>
      <c r="N17" s="33">
        <f>VLOOKUP(M17,'Hoja 3'!A7:B31,2,FALSE)</f>
        <v>1</v>
      </c>
      <c r="O17" s="6"/>
      <c r="P17" s="35">
        <f t="shared" si="1"/>
        <v>71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27" t="s">
        <v>54</v>
      </c>
      <c r="B18" s="36" t="s">
        <v>55</v>
      </c>
      <c r="C18" s="6"/>
      <c r="D18" s="37" t="s">
        <v>15</v>
      </c>
      <c r="E18" s="31" t="s">
        <v>16</v>
      </c>
      <c r="F18" s="32">
        <f>VLOOKUP(E18,'Hoja 3'!A2:B26,2,FALSE)</f>
        <v>20</v>
      </c>
      <c r="G18" s="31" t="s">
        <v>42</v>
      </c>
      <c r="H18" s="32">
        <f>VLOOKUP(G18,'Hoja 3'!A2:B26,2,FALSE)</f>
        <v>5</v>
      </c>
      <c r="I18" s="34" t="s">
        <v>56</v>
      </c>
      <c r="J18" s="39">
        <f>VLOOKUP(I18,'Hoja 3'!A2:B26,2,FALSE)</f>
        <v>30</v>
      </c>
      <c r="K18" s="31" t="s">
        <v>19</v>
      </c>
      <c r="L18" s="33">
        <f>VLOOKUP(K18,'Hoja 3'!A2:B26,2,FALSE)</f>
        <v>1</v>
      </c>
      <c r="M18" s="31" t="s">
        <v>20</v>
      </c>
      <c r="N18" s="32">
        <f>VLOOKUP(M18,'Hoja 3'!A2:B26,2,FALSE)</f>
        <v>1</v>
      </c>
      <c r="O18" s="6"/>
      <c r="P18" s="35">
        <f t="shared" si="1"/>
        <v>57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27" t="s">
        <v>57</v>
      </c>
      <c r="B19" s="36" t="s">
        <v>58</v>
      </c>
      <c r="D19" s="37" t="s">
        <v>15</v>
      </c>
      <c r="E19" s="31" t="s">
        <v>31</v>
      </c>
      <c r="F19" s="32">
        <f>VLOOKUP(E19,'Hoja 3'!A3:B27,2,FALSE)</f>
        <v>10</v>
      </c>
      <c r="G19" s="31" t="s">
        <v>23</v>
      </c>
      <c r="H19" s="32">
        <f>VLOOKUP(G19,'Hoja 3'!A3:B27,2,FALSE)</f>
        <v>30</v>
      </c>
      <c r="I19" s="34" t="s">
        <v>18</v>
      </c>
      <c r="J19" s="39">
        <f>VLOOKUP(I19,'Hoja 3'!A3:B27,2,FALSE)</f>
        <v>20</v>
      </c>
      <c r="K19" s="31" t="s">
        <v>19</v>
      </c>
      <c r="L19" s="33">
        <f>VLOOKUP(K19,'Hoja 3'!A3:B27,2,FALSE)</f>
        <v>1</v>
      </c>
      <c r="M19" s="31" t="s">
        <v>34</v>
      </c>
      <c r="N19" s="32">
        <f>VLOOKUP(M19,'Hoja 3'!A3:B27,2,FALSE)</f>
        <v>10</v>
      </c>
      <c r="O19" s="6"/>
      <c r="P19" s="35">
        <f t="shared" si="1"/>
        <v>71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27" t="s">
        <v>59</v>
      </c>
      <c r="B20" s="36" t="s">
        <v>60</v>
      </c>
      <c r="C20" s="6"/>
      <c r="D20" s="37" t="s">
        <v>15</v>
      </c>
      <c r="E20" s="31" t="s">
        <v>16</v>
      </c>
      <c r="F20" s="32">
        <f>VLOOKUP(E20,'Hoja 3'!A2:B26,2,FALSE)</f>
        <v>20</v>
      </c>
      <c r="G20" s="31" t="s">
        <v>23</v>
      </c>
      <c r="H20" s="32">
        <f>VLOOKUP(G20,'Hoja 3'!A4:B28,2,FALSE)</f>
        <v>30</v>
      </c>
      <c r="I20" s="34" t="s">
        <v>18</v>
      </c>
      <c r="J20" s="39">
        <f>VLOOKUP(I20,'Hoja 3'!A4:B28,2,FALSE)</f>
        <v>20</v>
      </c>
      <c r="K20" s="31" t="s">
        <v>19</v>
      </c>
      <c r="L20" s="33">
        <f>VLOOKUP(K20,'Hoja 3'!A4:B28,2,FALSE)</f>
        <v>1</v>
      </c>
      <c r="M20" s="31" t="s">
        <v>34</v>
      </c>
      <c r="N20" s="32">
        <f>VLOOKUP(M20,'Hoja 3'!A4:B28,2,FALSE)</f>
        <v>10</v>
      </c>
      <c r="O20" s="6"/>
      <c r="P20" s="35">
        <f t="shared" si="1"/>
        <v>81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27" t="s">
        <v>61</v>
      </c>
      <c r="B21" s="36" t="s">
        <v>62</v>
      </c>
      <c r="C21" s="6"/>
      <c r="D21" s="37" t="s">
        <v>63</v>
      </c>
      <c r="E21" s="31" t="s">
        <v>16</v>
      </c>
      <c r="F21" s="38">
        <v>20.0</v>
      </c>
      <c r="G21" s="31" t="s">
        <v>17</v>
      </c>
      <c r="H21" s="32">
        <f>VLOOKUP(G21,'Hoja 3'!A5:B29,2,FALSE)</f>
        <v>25</v>
      </c>
      <c r="I21" s="34" t="s">
        <v>18</v>
      </c>
      <c r="J21" s="39">
        <f>VLOOKUP(I21,'Hoja 3'!A5:B29,2,FALSE)</f>
        <v>20</v>
      </c>
      <c r="K21" s="31" t="s">
        <v>24</v>
      </c>
      <c r="L21" s="33">
        <f>VLOOKUP(K21,'Hoja 3'!A5:B29,2,FALSE)</f>
        <v>10</v>
      </c>
      <c r="M21" s="31" t="s">
        <v>20</v>
      </c>
      <c r="N21" s="32">
        <f>VLOOKUP(M21,'Hoja 3'!A5:B29,2,FALSE)</f>
        <v>1</v>
      </c>
      <c r="O21" s="6"/>
      <c r="P21" s="35">
        <f t="shared" si="1"/>
        <v>76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27" t="s">
        <v>64</v>
      </c>
      <c r="B22" s="36" t="s">
        <v>65</v>
      </c>
      <c r="D22" s="37" t="s">
        <v>66</v>
      </c>
      <c r="E22" s="31" t="s">
        <v>16</v>
      </c>
      <c r="F22" s="38">
        <v>20.0</v>
      </c>
      <c r="G22" s="31" t="s">
        <v>17</v>
      </c>
      <c r="H22" s="32">
        <f>VLOOKUP(G22,'Hoja 3'!A6:B30,2,FALSE)</f>
        <v>25</v>
      </c>
      <c r="I22" s="34" t="s">
        <v>27</v>
      </c>
      <c r="J22" s="39">
        <f>VLOOKUP(I22,'Hoja 3'!A6:B30,2,FALSE)</f>
        <v>5</v>
      </c>
      <c r="K22" s="31" t="s">
        <v>24</v>
      </c>
      <c r="L22" s="33">
        <f>VLOOKUP(K22,'Hoja 3'!A6:B30,2,FALSE)</f>
        <v>10</v>
      </c>
      <c r="M22" s="31" t="s">
        <v>20</v>
      </c>
      <c r="N22" s="32">
        <f>VLOOKUP(M22,'Hoja 3'!A6:B30,2,FALSE)</f>
        <v>1</v>
      </c>
      <c r="O22" s="6"/>
      <c r="P22" s="35">
        <f t="shared" si="1"/>
        <v>61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27" t="s">
        <v>67</v>
      </c>
      <c r="B23" s="36" t="s">
        <v>68</v>
      </c>
      <c r="C23" s="6"/>
      <c r="D23" s="37" t="s">
        <v>69</v>
      </c>
      <c r="E23" s="31" t="s">
        <v>16</v>
      </c>
      <c r="F23" s="38">
        <f>VLOOKUP(E23,'Hoja 3'!A2:B26,2,FALSE)</f>
        <v>20</v>
      </c>
      <c r="G23" s="31" t="s">
        <v>17</v>
      </c>
      <c r="H23" s="32">
        <f>VLOOKUP(G23,'Hoja 3'!A7:B31,2,FALSE)</f>
        <v>25</v>
      </c>
      <c r="I23" s="34" t="s">
        <v>27</v>
      </c>
      <c r="J23" s="39">
        <f>VLOOKUP(I23,'Hoja 3'!A7:B31,2,FALSE)</f>
        <v>5</v>
      </c>
      <c r="K23" s="31" t="s">
        <v>24</v>
      </c>
      <c r="L23" s="33">
        <f>VLOOKUP(K23,'Hoja 3'!A7:B31,2,FALSE)</f>
        <v>10</v>
      </c>
      <c r="M23" s="31" t="s">
        <v>20</v>
      </c>
      <c r="N23" s="32">
        <f>VLOOKUP(M23,'Hoja 3'!A7:B31,2,FALSE)</f>
        <v>1</v>
      </c>
      <c r="O23" s="6"/>
      <c r="P23" s="35">
        <f t="shared" si="1"/>
        <v>61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27" t="s">
        <v>70</v>
      </c>
      <c r="B24" s="36" t="s">
        <v>71</v>
      </c>
      <c r="C24" s="6"/>
      <c r="D24" s="37" t="s">
        <v>72</v>
      </c>
      <c r="E24" s="31" t="s">
        <v>16</v>
      </c>
      <c r="F24" s="32">
        <f>VLOOKUP(E24,'Hoja 3'!A2:B26,2,FALSE)</f>
        <v>20</v>
      </c>
      <c r="G24" s="31" t="s">
        <v>23</v>
      </c>
      <c r="H24" s="33">
        <f>VLOOKUP(G24,'Hoja 3'!A2:B26,2,FALSE)</f>
        <v>30</v>
      </c>
      <c r="I24" s="34" t="s">
        <v>18</v>
      </c>
      <c r="J24" s="33">
        <f>VLOOKUP(I24,'Hoja 3'!A2:B26,2,FALSE)</f>
        <v>20</v>
      </c>
      <c r="K24" s="31" t="s">
        <v>24</v>
      </c>
      <c r="L24" s="33">
        <f>VLOOKUP(K24,'Hoja 3'!A2:B26,2,FALSE)</f>
        <v>10</v>
      </c>
      <c r="M24" s="31" t="s">
        <v>34</v>
      </c>
      <c r="N24" s="33">
        <f>VLOOKUP(M24,'Hoja 3'!A2:B26,2,FALSE)</f>
        <v>10</v>
      </c>
      <c r="O24" s="6"/>
      <c r="P24" s="35">
        <f t="shared" si="1"/>
        <v>90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27" t="s">
        <v>73</v>
      </c>
      <c r="B25" s="36" t="s">
        <v>74</v>
      </c>
      <c r="C25" s="6"/>
      <c r="D25" s="37" t="s">
        <v>15</v>
      </c>
      <c r="E25" s="31" t="s">
        <v>16</v>
      </c>
      <c r="F25" s="32">
        <f>VLOOKUP(E25,'Hoja 3'!A3:B27,2,FALSE)</f>
        <v>20</v>
      </c>
      <c r="G25" s="31" t="s">
        <v>23</v>
      </c>
      <c r="H25" s="33">
        <f>VLOOKUP(G25,'Hoja 3'!A3:B27,2,FALSE)</f>
        <v>30</v>
      </c>
      <c r="I25" s="34" t="s">
        <v>18</v>
      </c>
      <c r="J25" s="33">
        <f>VLOOKUP(I25,'Hoja 3'!A3:B27,2,FALSE)</f>
        <v>20</v>
      </c>
      <c r="K25" s="31" t="s">
        <v>24</v>
      </c>
      <c r="L25" s="33">
        <f>VLOOKUP(K25,'Hoja 3'!A3:B27,2,FALSE)</f>
        <v>10</v>
      </c>
      <c r="M25" s="31" t="s">
        <v>20</v>
      </c>
      <c r="N25" s="33">
        <f>VLOOKUP(M25,'Hoja 3'!A3:B27,2,FALSE)</f>
        <v>1</v>
      </c>
      <c r="O25" s="6"/>
      <c r="P25" s="35">
        <f t="shared" si="1"/>
        <v>81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27" t="s">
        <v>75</v>
      </c>
      <c r="B26" s="36" t="s">
        <v>76</v>
      </c>
      <c r="C26" s="6"/>
      <c r="D26" s="37" t="s">
        <v>15</v>
      </c>
      <c r="E26" s="31" t="s">
        <v>16</v>
      </c>
      <c r="F26" s="32">
        <f>VLOOKUP(E26,'Hoja 3'!A4:B28,2,FALSE)</f>
        <v>20</v>
      </c>
      <c r="G26" s="31" t="s">
        <v>17</v>
      </c>
      <c r="H26" s="33">
        <f>VLOOKUP(G26,'Hoja 3'!A4:B28,2,FALSE)</f>
        <v>25</v>
      </c>
      <c r="I26" s="34" t="s">
        <v>18</v>
      </c>
      <c r="J26" s="33">
        <f>VLOOKUP(I26,'Hoja 3'!A4:B28,2,FALSE)</f>
        <v>20</v>
      </c>
      <c r="K26" s="31" t="s">
        <v>19</v>
      </c>
      <c r="L26" s="33">
        <f>VLOOKUP(K26,'Hoja 3'!A4:B28,2,FALSE)</f>
        <v>1</v>
      </c>
      <c r="M26" s="31" t="s">
        <v>34</v>
      </c>
      <c r="N26" s="33">
        <f>VLOOKUP(M26,'Hoja 3'!A4:B28,2,FALSE)</f>
        <v>10</v>
      </c>
      <c r="O26" s="6"/>
      <c r="P26" s="35">
        <f t="shared" si="1"/>
        <v>76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27" t="s">
        <v>77</v>
      </c>
      <c r="B27" s="36" t="s">
        <v>78</v>
      </c>
      <c r="C27" s="6"/>
      <c r="D27" s="37" t="s">
        <v>15</v>
      </c>
      <c r="E27" s="31" t="s">
        <v>31</v>
      </c>
      <c r="F27" s="32">
        <f>VLOOKUP(E27,'Hoja 3'!A2:B26,2,FALSE)</f>
        <v>10</v>
      </c>
      <c r="G27" s="31" t="s">
        <v>42</v>
      </c>
      <c r="H27" s="33">
        <f>VLOOKUP(G27,'Hoja 3'!A5:B29,2,FALSE)</f>
        <v>5</v>
      </c>
      <c r="I27" s="34" t="s">
        <v>18</v>
      </c>
      <c r="J27" s="33">
        <f>VLOOKUP(I27,'Hoja 3'!A5:B29,2,FALSE)</f>
        <v>20</v>
      </c>
      <c r="K27" s="31" t="s">
        <v>19</v>
      </c>
      <c r="L27" s="33">
        <f>VLOOKUP(K27,'Hoja 3'!A5:B29,2,FALSE)</f>
        <v>1</v>
      </c>
      <c r="M27" s="31" t="s">
        <v>20</v>
      </c>
      <c r="N27" s="33">
        <f>VLOOKUP(M27,'Hoja 3'!A5:B29,2,FALSE)</f>
        <v>1</v>
      </c>
      <c r="O27" s="6"/>
      <c r="P27" s="35">
        <f t="shared" si="1"/>
        <v>37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27" t="s">
        <v>79</v>
      </c>
      <c r="B28" s="36" t="s">
        <v>80</v>
      </c>
      <c r="D28" s="37" t="s">
        <v>15</v>
      </c>
      <c r="E28" s="31" t="s">
        <v>16</v>
      </c>
      <c r="F28" s="38">
        <v>20.0</v>
      </c>
      <c r="G28" s="31" t="s">
        <v>17</v>
      </c>
      <c r="H28" s="33">
        <f>VLOOKUP(G28,'Hoja 3'!A6:B30,2,FALSE)</f>
        <v>25</v>
      </c>
      <c r="I28" s="34" t="s">
        <v>18</v>
      </c>
      <c r="J28" s="33">
        <f>VLOOKUP(I28,'Hoja 3'!A6:B30,2,FALSE)</f>
        <v>20</v>
      </c>
      <c r="K28" s="31" t="s">
        <v>19</v>
      </c>
      <c r="L28" s="33">
        <f>VLOOKUP(K28,'Hoja 3'!A6:B30,2,FALSE)</f>
        <v>1</v>
      </c>
      <c r="M28" s="31" t="s">
        <v>20</v>
      </c>
      <c r="N28" s="33">
        <f>VLOOKUP(M28,'Hoja 3'!A6:B30,2,FALSE)</f>
        <v>1</v>
      </c>
      <c r="O28" s="6"/>
      <c r="P28" s="35">
        <f t="shared" si="1"/>
        <v>67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27" t="s">
        <v>81</v>
      </c>
      <c r="B29" s="36" t="s">
        <v>82</v>
      </c>
      <c r="C29" s="6"/>
      <c r="D29" s="37" t="s">
        <v>15</v>
      </c>
      <c r="E29" s="31" t="s">
        <v>16</v>
      </c>
      <c r="F29" s="38">
        <v>20.0</v>
      </c>
      <c r="G29" s="31" t="s">
        <v>17</v>
      </c>
      <c r="H29" s="33">
        <f>VLOOKUP(G29,'Hoja 3'!A7:B31,2,FALSE)</f>
        <v>25</v>
      </c>
      <c r="I29" s="34" t="s">
        <v>18</v>
      </c>
      <c r="J29" s="33">
        <f>VLOOKUP(I29,'Hoja 3'!A7:B31,2,FALSE)</f>
        <v>20</v>
      </c>
      <c r="K29" s="31" t="s">
        <v>19</v>
      </c>
      <c r="L29" s="33">
        <f>VLOOKUP(K29,'Hoja 3'!A7:B31,2,FALSE)</f>
        <v>1</v>
      </c>
      <c r="M29" s="31" t="s">
        <v>20</v>
      </c>
      <c r="N29" s="33">
        <f>VLOOKUP(M29,'Hoja 3'!A7:B31,2,FALSE)</f>
        <v>1</v>
      </c>
      <c r="O29" s="6"/>
      <c r="P29" s="35">
        <f t="shared" si="1"/>
        <v>67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40" t="s">
        <v>83</v>
      </c>
      <c r="B30" s="16" t="s">
        <v>84</v>
      </c>
      <c r="D30" s="37" t="s">
        <v>63</v>
      </c>
      <c r="E30" s="31" t="s">
        <v>16</v>
      </c>
      <c r="F30" s="32">
        <f>VLOOKUP(E30,'Hoja 3'!A1:B7,2,FALSE)</f>
        <v>20</v>
      </c>
      <c r="G30" s="31" t="s">
        <v>42</v>
      </c>
      <c r="H30" s="33">
        <f>VLOOKUP(G30,'Hoja 3'!A8:B11,2,FALSE)</f>
        <v>5</v>
      </c>
      <c r="I30" s="34" t="s">
        <v>27</v>
      </c>
      <c r="J30" s="33">
        <f>VLOOKUP(I30,'Hoja 3'!A13:B17,2,FALSE)</f>
        <v>5</v>
      </c>
      <c r="K30" s="31" t="s">
        <v>24</v>
      </c>
      <c r="L30" s="33">
        <f>VLOOKUP(K30,'Hoja 3'!A8:B32,2,FALSE)</f>
        <v>10</v>
      </c>
      <c r="M30" s="31" t="s">
        <v>34</v>
      </c>
      <c r="N30" s="33">
        <f>VLOOKUP(M30,'Hoja 3'!A8:B32,2,FALSE)</f>
        <v>10</v>
      </c>
      <c r="O30" s="6"/>
      <c r="P30" s="35">
        <f t="shared" si="1"/>
        <v>50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40" t="s">
        <v>85</v>
      </c>
      <c r="B31" s="16" t="s">
        <v>86</v>
      </c>
      <c r="C31" s="6"/>
      <c r="D31" s="37" t="s">
        <v>15</v>
      </c>
      <c r="E31" s="31" t="s">
        <v>16</v>
      </c>
      <c r="F31" s="32">
        <f>VLOOKUP(E31,'Hoja 3'!A2:B8,2,FALSE)</f>
        <v>20</v>
      </c>
      <c r="G31" s="31" t="s">
        <v>17</v>
      </c>
      <c r="H31" s="33">
        <f>VLOOKUP(G31,'Hoja 3'!A9:B33,2,FALSE)</f>
        <v>25</v>
      </c>
      <c r="I31" s="34" t="s">
        <v>18</v>
      </c>
      <c r="J31" s="33">
        <f>VLOOKUP(I31,'Hoja 3'!A9:B33,2,FALSE)</f>
        <v>20</v>
      </c>
      <c r="K31" s="31" t="s">
        <v>24</v>
      </c>
      <c r="L31" s="33">
        <f>VLOOKUP(K31,'Hoja 3'!A9:B33,2,FALSE)</f>
        <v>10</v>
      </c>
      <c r="M31" s="31" t="s">
        <v>34</v>
      </c>
      <c r="N31" s="33">
        <f>VLOOKUP(M31,'Hoja 3'!A9:B33,2,FALSE)</f>
        <v>10</v>
      </c>
      <c r="O31" s="6"/>
      <c r="P31" s="35">
        <f t="shared" si="1"/>
        <v>85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40" t="s">
        <v>87</v>
      </c>
      <c r="B32" s="16" t="s">
        <v>88</v>
      </c>
      <c r="D32" s="37" t="s">
        <v>89</v>
      </c>
      <c r="E32" s="31" t="s">
        <v>16</v>
      </c>
      <c r="F32" s="32">
        <f>VLOOKUP(E32,'Hoja 3'!A3:B9,2,FALSE)</f>
        <v>20</v>
      </c>
      <c r="G32" s="31" t="s">
        <v>23</v>
      </c>
      <c r="H32" s="39">
        <v>30.0</v>
      </c>
      <c r="I32" s="34" t="s">
        <v>27</v>
      </c>
      <c r="J32" s="33">
        <f>VLOOKUP(I32,'Hoja 3'!A10:B34,2,FALSE)</f>
        <v>5</v>
      </c>
      <c r="K32" s="31" t="s">
        <v>24</v>
      </c>
      <c r="L32" s="33">
        <f>VLOOKUP(K32,'Hoja 3'!A10:B34,2,FALSE)</f>
        <v>10</v>
      </c>
      <c r="M32" s="31" t="s">
        <v>34</v>
      </c>
      <c r="N32" s="33">
        <f>VLOOKUP(M32,'Hoja 3'!A10:B34,2,FALSE)</f>
        <v>10</v>
      </c>
      <c r="O32" s="6"/>
      <c r="P32" s="35">
        <f t="shared" si="1"/>
        <v>75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40" t="s">
        <v>90</v>
      </c>
      <c r="B33" s="16" t="s">
        <v>91</v>
      </c>
      <c r="C33" s="6"/>
      <c r="D33" s="37" t="s">
        <v>15</v>
      </c>
      <c r="E33" s="31" t="s">
        <v>16</v>
      </c>
      <c r="F33" s="32">
        <f>VLOOKUP(E33,'Hoja 3'!A4:B10,2,FALSE)</f>
        <v>20</v>
      </c>
      <c r="G33" s="31" t="s">
        <v>17</v>
      </c>
      <c r="H33" s="39">
        <v>25.0</v>
      </c>
      <c r="I33" s="34" t="s">
        <v>18</v>
      </c>
      <c r="J33" s="33">
        <f>VLOOKUP(I33,'Hoja 3'!A11:B35,2,FALSE)</f>
        <v>20</v>
      </c>
      <c r="K33" s="31" t="s">
        <v>19</v>
      </c>
      <c r="L33" s="33">
        <f>VLOOKUP(K33,'Hoja 3'!A11:B35,2,FALSE)</f>
        <v>1</v>
      </c>
      <c r="M33" s="31" t="s">
        <v>34</v>
      </c>
      <c r="N33" s="33">
        <f>VLOOKUP(M33,'Hoja 3'!A11:B35,2,FALSE)</f>
        <v>10</v>
      </c>
      <c r="O33" s="6"/>
      <c r="P33" s="35">
        <f t="shared" si="1"/>
        <v>76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40" t="s">
        <v>92</v>
      </c>
      <c r="B34" s="16" t="s">
        <v>93</v>
      </c>
      <c r="C34" s="6"/>
      <c r="D34" s="37" t="s">
        <v>15</v>
      </c>
      <c r="E34" s="31" t="s">
        <v>16</v>
      </c>
      <c r="F34" s="38">
        <v>20.0</v>
      </c>
      <c r="G34" s="31" t="s">
        <v>23</v>
      </c>
      <c r="H34" s="39">
        <v>30.0</v>
      </c>
      <c r="I34" s="34" t="s">
        <v>18</v>
      </c>
      <c r="J34" s="33">
        <f>VLOOKUP(I34,'Hoja 3'!A12:B36,2,FALSE)</f>
        <v>20</v>
      </c>
      <c r="K34" s="31" t="s">
        <v>24</v>
      </c>
      <c r="L34" s="33">
        <f>VLOOKUP(K34,'Hoja 3'!A12:B36,2,FALSE)</f>
        <v>10</v>
      </c>
      <c r="M34" s="31" t="s">
        <v>20</v>
      </c>
      <c r="N34" s="33">
        <f>VLOOKUP(M34,'Hoja 3'!A12:B36,2,FALSE)</f>
        <v>1</v>
      </c>
      <c r="O34" s="6"/>
      <c r="P34" s="35">
        <f t="shared" si="1"/>
        <v>81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40" t="s">
        <v>94</v>
      </c>
      <c r="B35" s="16" t="s">
        <v>95</v>
      </c>
      <c r="C35" s="6"/>
      <c r="D35" s="37" t="s">
        <v>15</v>
      </c>
      <c r="E35" s="31" t="s">
        <v>16</v>
      </c>
      <c r="F35" s="38">
        <v>20.0</v>
      </c>
      <c r="G35" s="31" t="s">
        <v>17</v>
      </c>
      <c r="H35" s="39">
        <v>25.0</v>
      </c>
      <c r="I35" s="34" t="s">
        <v>27</v>
      </c>
      <c r="J35" s="33">
        <f>VLOOKUP(I35,'Hoja 3'!A13:B37,2,FALSE)</f>
        <v>5</v>
      </c>
      <c r="K35" s="31" t="s">
        <v>24</v>
      </c>
      <c r="L35" s="33">
        <f>VLOOKUP(K35,'Hoja 3'!A13:B37,2,FALSE)</f>
        <v>10</v>
      </c>
      <c r="M35" s="31" t="s">
        <v>34</v>
      </c>
      <c r="N35" s="33">
        <f>VLOOKUP(M35,'Hoja 3'!A13:B37,2,FALSE)</f>
        <v>10</v>
      </c>
      <c r="O35" s="6"/>
      <c r="P35" s="35">
        <f t="shared" si="1"/>
        <v>70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40" t="s">
        <v>96</v>
      </c>
      <c r="B36" s="16" t="s">
        <v>97</v>
      </c>
      <c r="D36" s="37" t="s">
        <v>15</v>
      </c>
      <c r="E36" s="31" t="s">
        <v>16</v>
      </c>
      <c r="F36" s="38">
        <v>20.0</v>
      </c>
      <c r="G36" s="31" t="s">
        <v>23</v>
      </c>
      <c r="H36" s="39">
        <v>30.0</v>
      </c>
      <c r="I36" s="34" t="s">
        <v>18</v>
      </c>
      <c r="J36" s="33">
        <f>VLOOKUP(I36,'Hoja 3'!A14:B38,2,FALSE)</f>
        <v>20</v>
      </c>
      <c r="K36" s="31" t="s">
        <v>24</v>
      </c>
      <c r="L36" s="33">
        <f>VLOOKUP(K36,'Hoja 3'!A14:B38,2,FALSE)</f>
        <v>10</v>
      </c>
      <c r="M36" s="31" t="s">
        <v>20</v>
      </c>
      <c r="N36" s="33">
        <f>VLOOKUP(M36,'Hoja 3'!A14:B38,2,FALSE)</f>
        <v>1</v>
      </c>
      <c r="O36" s="6"/>
      <c r="P36" s="35">
        <f t="shared" si="1"/>
        <v>81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40" t="s">
        <v>98</v>
      </c>
      <c r="B37" s="16" t="s">
        <v>99</v>
      </c>
      <c r="D37" s="37" t="s">
        <v>100</v>
      </c>
      <c r="E37" s="31" t="s">
        <v>31</v>
      </c>
      <c r="F37" s="32">
        <f>VLOOKUP(E37,'Hoja 3'!A2:B7,2,FALSE)</f>
        <v>10</v>
      </c>
      <c r="G37" s="31" t="s">
        <v>23</v>
      </c>
      <c r="H37" s="39">
        <v>30.0</v>
      </c>
      <c r="I37" s="34" t="s">
        <v>18</v>
      </c>
      <c r="J37" s="33">
        <f>VLOOKUP(I37,'Hoja 3'!A15:B39,2,FALSE)</f>
        <v>20</v>
      </c>
      <c r="K37" s="31" t="s">
        <v>19</v>
      </c>
      <c r="L37" s="33">
        <f>VLOOKUP(K37,'Hoja 3'!A15:B39,2,FALSE)</f>
        <v>1</v>
      </c>
      <c r="M37" s="31" t="s">
        <v>34</v>
      </c>
      <c r="N37" s="33">
        <f>VLOOKUP(M37,'Hoja 3'!A15:B39,2,FALSE)</f>
        <v>10</v>
      </c>
      <c r="O37" s="6"/>
      <c r="P37" s="35">
        <f t="shared" si="1"/>
        <v>71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40" t="s">
        <v>101</v>
      </c>
      <c r="B38" s="16" t="s">
        <v>102</v>
      </c>
      <c r="D38" s="37" t="s">
        <v>15</v>
      </c>
      <c r="E38" s="31" t="s">
        <v>16</v>
      </c>
      <c r="F38" s="32">
        <f>VLOOKUP(E38,'Hoja 3'!A3:B8,2,FALSE)</f>
        <v>20</v>
      </c>
      <c r="G38" s="31" t="s">
        <v>23</v>
      </c>
      <c r="H38" s="39">
        <v>30.0</v>
      </c>
      <c r="I38" s="34" t="s">
        <v>18</v>
      </c>
      <c r="J38" s="33">
        <f>VLOOKUP(I38,'Hoja 3'!A16:B40,2,FALSE)</f>
        <v>20</v>
      </c>
      <c r="K38" s="31" t="s">
        <v>24</v>
      </c>
      <c r="L38" s="33">
        <f>VLOOKUP(K38,'Hoja 3'!A16:B40,2,FALSE)</f>
        <v>10</v>
      </c>
      <c r="M38" s="31" t="s">
        <v>20</v>
      </c>
      <c r="N38" s="33">
        <f>VLOOKUP(M38,'Hoja 3'!A16:B40,2,FALSE)</f>
        <v>1</v>
      </c>
      <c r="O38" s="6"/>
      <c r="P38" s="35">
        <f t="shared" si="1"/>
        <v>81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41" t="s">
        <v>103</v>
      </c>
      <c r="B39" s="36" t="s">
        <v>104</v>
      </c>
      <c r="C39" s="42"/>
      <c r="D39" s="37" t="s">
        <v>105</v>
      </c>
      <c r="E39" s="31" t="s">
        <v>16</v>
      </c>
      <c r="F39" s="32">
        <f>VLOOKUP(E39,'Hoja 3'!A4:B9,2,FALSE)</f>
        <v>20</v>
      </c>
      <c r="G39" s="31" t="s">
        <v>23</v>
      </c>
      <c r="H39" s="33" t="str">
        <f>VLOOKUP(G39,'Hoja 3'!A17:B41,2,FALSE)</f>
        <v>#N/A</v>
      </c>
      <c r="I39" s="34" t="s">
        <v>18</v>
      </c>
      <c r="J39" s="33" t="str">
        <f>VLOOKUP(I39,'Hoja 3'!A17:B41,2,FALSE)</f>
        <v>#N/A</v>
      </c>
      <c r="K39" s="31" t="s">
        <v>24</v>
      </c>
      <c r="L39" s="33">
        <f>VLOOKUP(K39,'Hoja 3'!A17:B41,2,FALSE)</f>
        <v>10</v>
      </c>
      <c r="M39" s="31" t="s">
        <v>20</v>
      </c>
      <c r="N39" s="33">
        <f>VLOOKUP(M39,'Hoja 3'!A17:B41,2,FALSE)</f>
        <v>1</v>
      </c>
      <c r="O39" s="6"/>
      <c r="P39" s="35" t="str">
        <f t="shared" si="1"/>
        <v>#N/A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41" t="s">
        <v>106</v>
      </c>
      <c r="B40" s="36" t="s">
        <v>107</v>
      </c>
      <c r="C40" s="42"/>
      <c r="D40" s="37" t="s">
        <v>108</v>
      </c>
      <c r="E40" s="31" t="s">
        <v>16</v>
      </c>
      <c r="F40" s="32" t="str">
        <f>VLOOKUP(E40,'Hoja 3'!A5:B10,2,FALSE)</f>
        <v>#N/A</v>
      </c>
      <c r="G40" s="31" t="s">
        <v>23</v>
      </c>
      <c r="H40" s="33" t="str">
        <f>VLOOKUP(G40,'Hoja 3'!A18:B42,2,FALSE)</f>
        <v>#N/A</v>
      </c>
      <c r="I40" s="34" t="s">
        <v>27</v>
      </c>
      <c r="J40" s="33" t="str">
        <f>VLOOKUP(I40,'Hoja 3'!A18:B42,2,FALSE)</f>
        <v>#N/A</v>
      </c>
      <c r="K40" s="31" t="s">
        <v>24</v>
      </c>
      <c r="L40" s="33">
        <f>VLOOKUP(K40,'Hoja 3'!A18:B42,2,FALSE)</f>
        <v>10</v>
      </c>
      <c r="M40" s="31" t="s">
        <v>20</v>
      </c>
      <c r="N40" s="33">
        <f>VLOOKUP(M40,'Hoja 3'!A18:B42,2,FALSE)</f>
        <v>1</v>
      </c>
      <c r="O40" s="6"/>
      <c r="P40" s="35" t="str">
        <f t="shared" si="1"/>
        <v>#N/A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41" t="s">
        <v>109</v>
      </c>
      <c r="B41" s="36" t="s">
        <v>110</v>
      </c>
      <c r="C41" s="42"/>
      <c r="D41" s="37" t="s">
        <v>69</v>
      </c>
      <c r="E41" s="31" t="s">
        <v>16</v>
      </c>
      <c r="F41" s="32" t="str">
        <f>VLOOKUP(E41,'Hoja 3'!A6:B11,2,FALSE)</f>
        <v>#N/A</v>
      </c>
      <c r="G41" s="31" t="s">
        <v>23</v>
      </c>
      <c r="H41" s="33" t="str">
        <f>VLOOKUP(G41,'Hoja 3'!A19:B43,2,FALSE)</f>
        <v>#N/A</v>
      </c>
      <c r="I41" s="34" t="s">
        <v>27</v>
      </c>
      <c r="J41" s="33" t="str">
        <f>VLOOKUP(I41,'Hoja 3'!A19:B43,2,FALSE)</f>
        <v>#N/A</v>
      </c>
      <c r="K41" s="31" t="s">
        <v>24</v>
      </c>
      <c r="L41" s="33">
        <f>VLOOKUP(K41,'Hoja 3'!A19:B43,2,FALSE)</f>
        <v>10</v>
      </c>
      <c r="M41" s="31" t="s">
        <v>20</v>
      </c>
      <c r="N41" s="33">
        <f>VLOOKUP(M41,'Hoja 3'!A19:B43,2,FALSE)</f>
        <v>1</v>
      </c>
      <c r="O41" s="6"/>
      <c r="P41" s="35" t="str">
        <f t="shared" si="1"/>
        <v>#N/A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41" t="s">
        <v>111</v>
      </c>
      <c r="B42" s="36" t="s">
        <v>112</v>
      </c>
      <c r="C42" s="42"/>
      <c r="D42" s="37" t="s">
        <v>113</v>
      </c>
      <c r="E42" s="31" t="s">
        <v>16</v>
      </c>
      <c r="F42" s="32" t="str">
        <f>VLOOKUP(E42,'Hoja 3'!A7:B12,2,FALSE)</f>
        <v>#N/A</v>
      </c>
      <c r="G42" s="31" t="s">
        <v>23</v>
      </c>
      <c r="H42" s="33" t="str">
        <f>VLOOKUP(G42,'Hoja 3'!A20:B44,2,FALSE)</f>
        <v>#N/A</v>
      </c>
      <c r="I42" s="34" t="s">
        <v>27</v>
      </c>
      <c r="J42" s="33" t="str">
        <f>VLOOKUP(I42,'Hoja 3'!A20:B44,2,FALSE)</f>
        <v>#N/A</v>
      </c>
      <c r="K42" s="31" t="s">
        <v>24</v>
      </c>
      <c r="L42" s="33">
        <f>VLOOKUP(K42,'Hoja 3'!A20:B44,2,FALSE)</f>
        <v>10</v>
      </c>
      <c r="M42" s="31" t="s">
        <v>20</v>
      </c>
      <c r="N42" s="33">
        <f>VLOOKUP(M42,'Hoja 3'!A20:B44,2,FALSE)</f>
        <v>1</v>
      </c>
      <c r="O42" s="6"/>
      <c r="P42" s="35" t="str">
        <f t="shared" si="1"/>
        <v>#N/A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41" t="s">
        <v>114</v>
      </c>
      <c r="B43" s="36" t="s">
        <v>115</v>
      </c>
      <c r="C43" s="42"/>
      <c r="D43" s="37" t="s">
        <v>116</v>
      </c>
      <c r="E43" s="31" t="s">
        <v>16</v>
      </c>
      <c r="F43" s="32" t="str">
        <f>VLOOKUP(E43,'Hoja 3'!A8:B13,2,FALSE)</f>
        <v>#N/A</v>
      </c>
      <c r="G43" s="31" t="s">
        <v>17</v>
      </c>
      <c r="H43" s="33" t="str">
        <f>VLOOKUP(G43,'Hoja 3'!A21:B45,2,FALSE)</f>
        <v>#N/A</v>
      </c>
      <c r="I43" s="34" t="s">
        <v>27</v>
      </c>
      <c r="J43" s="33" t="str">
        <f>VLOOKUP(I43,'Hoja 3'!A21:B45,2,FALSE)</f>
        <v>#N/A</v>
      </c>
      <c r="K43" s="31" t="s">
        <v>24</v>
      </c>
      <c r="L43" s="33" t="str">
        <f>VLOOKUP(K43,'Hoja 3'!A21:B45,2,FALSE)</f>
        <v>#N/A</v>
      </c>
      <c r="M43" s="31" t="s">
        <v>20</v>
      </c>
      <c r="N43" s="33">
        <f>VLOOKUP(M43,'Hoja 3'!A21:B45,2,FALSE)</f>
        <v>1</v>
      </c>
      <c r="O43" s="6"/>
      <c r="P43" s="35" t="str">
        <f t="shared" si="1"/>
        <v>#N/A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41" t="s">
        <v>117</v>
      </c>
      <c r="B44" s="36" t="s">
        <v>118</v>
      </c>
      <c r="C44" s="42"/>
      <c r="D44" s="37" t="s">
        <v>119</v>
      </c>
      <c r="E44" s="31" t="s">
        <v>31</v>
      </c>
      <c r="F44" s="32" t="str">
        <f>VLOOKUP(E44,'Hoja 3'!A9:B14,2,FALSE)</f>
        <v>#N/A</v>
      </c>
      <c r="G44" s="31" t="s">
        <v>23</v>
      </c>
      <c r="H44" s="33" t="str">
        <f>VLOOKUP(G44,'Hoja 3'!A22:B46,2,FALSE)</f>
        <v>#N/A</v>
      </c>
      <c r="I44" s="34" t="s">
        <v>27</v>
      </c>
      <c r="J44" s="33" t="str">
        <f>VLOOKUP(I44,'Hoja 3'!A22:B46,2,FALSE)</f>
        <v>#N/A</v>
      </c>
      <c r="K44" s="31" t="s">
        <v>19</v>
      </c>
      <c r="L44" s="33" t="str">
        <f>VLOOKUP(K44,'Hoja 3'!A22:B46,2,FALSE)</f>
        <v>#N/A</v>
      </c>
      <c r="M44" s="31" t="s">
        <v>20</v>
      </c>
      <c r="N44" s="33">
        <f>VLOOKUP(M44,'Hoja 3'!A22:B46,2,FALSE)</f>
        <v>1</v>
      </c>
      <c r="O44" s="6"/>
      <c r="P44" s="35" t="str">
        <f t="shared" si="1"/>
        <v>#N/A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41" t="s">
        <v>120</v>
      </c>
      <c r="B45" s="36" t="s">
        <v>121</v>
      </c>
      <c r="C45" s="42"/>
      <c r="D45" s="37" t="s">
        <v>122</v>
      </c>
      <c r="E45" s="31" t="s">
        <v>16</v>
      </c>
      <c r="F45" s="32" t="str">
        <f>VLOOKUP(E45,'Hoja 3'!A10:B15,2,FALSE)</f>
        <v>#N/A</v>
      </c>
      <c r="G45" s="31" t="s">
        <v>23</v>
      </c>
      <c r="H45" s="33" t="str">
        <f>VLOOKUP(G45,'Hoja 3'!A23:B47,2,FALSE)</f>
        <v>#N/A</v>
      </c>
      <c r="I45" s="34" t="s">
        <v>27</v>
      </c>
      <c r="J45" s="33" t="str">
        <f>VLOOKUP(I45,'Hoja 3'!A23:B47,2,FALSE)</f>
        <v>#N/A</v>
      </c>
      <c r="K45" s="31" t="s">
        <v>24</v>
      </c>
      <c r="L45" s="33" t="str">
        <f>VLOOKUP(K45,'Hoja 3'!A23:B47,2,FALSE)</f>
        <v>#N/A</v>
      </c>
      <c r="M45" s="31" t="s">
        <v>20</v>
      </c>
      <c r="N45" s="33">
        <f>VLOOKUP(M45,'Hoja 3'!A23:B47,2,FALSE)</f>
        <v>1</v>
      </c>
      <c r="O45" s="6"/>
      <c r="P45" s="35" t="str">
        <f t="shared" si="1"/>
        <v>#N/A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41" t="s">
        <v>123</v>
      </c>
      <c r="B46" s="36" t="s">
        <v>124</v>
      </c>
      <c r="C46" s="42"/>
      <c r="D46" s="37" t="s">
        <v>125</v>
      </c>
      <c r="E46" s="31" t="s">
        <v>16</v>
      </c>
      <c r="F46" s="32" t="str">
        <f>VLOOKUP(E46,'Hoja 3'!A11:B16,2,FALSE)</f>
        <v>#N/A</v>
      </c>
      <c r="G46" s="31" t="s">
        <v>23</v>
      </c>
      <c r="H46" s="33" t="str">
        <f>VLOOKUP(G46,'Hoja 3'!A24:B48,2,FALSE)</f>
        <v>#N/A</v>
      </c>
      <c r="I46" s="34" t="s">
        <v>27</v>
      </c>
      <c r="J46" s="33" t="str">
        <f>VLOOKUP(I46,'Hoja 3'!A24:B48,2,FALSE)</f>
        <v>#N/A</v>
      </c>
      <c r="K46" s="31" t="s">
        <v>24</v>
      </c>
      <c r="L46" s="33" t="str">
        <f>VLOOKUP(K46,'Hoja 3'!A24:B48,2,FALSE)</f>
        <v>#N/A</v>
      </c>
      <c r="M46" s="31" t="s">
        <v>20</v>
      </c>
      <c r="N46" s="33">
        <f>VLOOKUP(M46,'Hoja 3'!A24:B48,2,FALSE)</f>
        <v>1</v>
      </c>
      <c r="O46" s="6"/>
      <c r="P46" s="43" t="str">
        <f t="shared" si="1"/>
        <v>#N/A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41" t="s">
        <v>126</v>
      </c>
      <c r="B47" s="36" t="s">
        <v>127</v>
      </c>
      <c r="C47" s="42"/>
      <c r="D47" s="37" t="s">
        <v>128</v>
      </c>
      <c r="E47" s="31" t="s">
        <v>16</v>
      </c>
      <c r="F47" s="32" t="str">
        <f>VLOOKUP(E47,'Hoja 3'!A12:B17,2,FALSE)</f>
        <v>#N/A</v>
      </c>
      <c r="G47" s="31" t="s">
        <v>23</v>
      </c>
      <c r="H47" s="33" t="str">
        <f>VLOOKUP(G47,'Hoja 3'!A25:B49,2,FALSE)</f>
        <v>#N/A</v>
      </c>
      <c r="I47" s="34" t="s">
        <v>27</v>
      </c>
      <c r="J47" s="33" t="str">
        <f>VLOOKUP(I47,'Hoja 3'!A25:B49,2,FALSE)</f>
        <v>#N/A</v>
      </c>
      <c r="K47" s="31" t="s">
        <v>24</v>
      </c>
      <c r="L47" s="33" t="str">
        <f>VLOOKUP(K47,'Hoja 3'!A25:B49,2,FALSE)</f>
        <v>#N/A</v>
      </c>
      <c r="M47" s="31" t="s">
        <v>20</v>
      </c>
      <c r="N47" s="33">
        <f>VLOOKUP(M47,'Hoja 3'!A25:B49,2,FALSE)</f>
        <v>1</v>
      </c>
      <c r="O47" s="6"/>
      <c r="P47" s="43" t="str">
        <f t="shared" si="1"/>
        <v>#N/A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41" t="s">
        <v>129</v>
      </c>
      <c r="B48" s="36" t="s">
        <v>130</v>
      </c>
      <c r="C48" s="42"/>
      <c r="D48" s="37" t="s">
        <v>131</v>
      </c>
      <c r="E48" s="31" t="s">
        <v>16</v>
      </c>
      <c r="F48" s="32" t="str">
        <f>VLOOKUP(E48,'Hoja 3'!A13:B18,2,FALSE)</f>
        <v>#N/A</v>
      </c>
      <c r="G48" s="31" t="s">
        <v>23</v>
      </c>
      <c r="H48" s="33" t="str">
        <f>VLOOKUP(G48,'Hoja 3'!A26:B50,2,FALSE)</f>
        <v>#N/A</v>
      </c>
      <c r="I48" s="34" t="s">
        <v>27</v>
      </c>
      <c r="J48" s="33" t="str">
        <f>VLOOKUP(I48,'Hoja 3'!A26:B50,2,FALSE)</f>
        <v>#N/A</v>
      </c>
      <c r="K48" s="31" t="s">
        <v>132</v>
      </c>
      <c r="L48" s="33" t="str">
        <f>VLOOKUP(K48,'Hoja 3'!A26:B50,2,FALSE)</f>
        <v>#N/A</v>
      </c>
      <c r="M48" s="31" t="s">
        <v>34</v>
      </c>
      <c r="N48" s="33" t="str">
        <f>VLOOKUP(M48,'Hoja 3'!A26:B50,2,FALSE)</f>
        <v>#N/A</v>
      </c>
      <c r="O48" s="6"/>
      <c r="P48" s="43" t="str">
        <f t="shared" si="1"/>
        <v>#N/A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41" t="s">
        <v>133</v>
      </c>
      <c r="B49" s="36" t="s">
        <v>134</v>
      </c>
      <c r="C49" s="42"/>
      <c r="D49" s="37" t="s">
        <v>135</v>
      </c>
      <c r="E49" s="31" t="s">
        <v>16</v>
      </c>
      <c r="F49" s="32" t="str">
        <f>VLOOKUP(E49,'Hoja 3'!A14:B19,2,FALSE)</f>
        <v>#N/A</v>
      </c>
      <c r="G49" s="31" t="s">
        <v>23</v>
      </c>
      <c r="H49" s="33" t="str">
        <f>VLOOKUP(G49,'Hoja 3'!A27:B51,2,FALSE)</f>
        <v>#N/A</v>
      </c>
      <c r="I49" s="34" t="s">
        <v>18</v>
      </c>
      <c r="J49" s="33" t="str">
        <f>VLOOKUP(I49,'Hoja 3'!A27:B51,2,FALSE)</f>
        <v>#N/A</v>
      </c>
      <c r="K49" s="31" t="s">
        <v>19</v>
      </c>
      <c r="L49" s="33" t="str">
        <f>VLOOKUP(K49,'Hoja 3'!A27:B51,2,FALSE)</f>
        <v>#N/A</v>
      </c>
      <c r="M49" s="31" t="s">
        <v>20</v>
      </c>
      <c r="N49" s="33" t="str">
        <f>VLOOKUP(M49,'Hoja 3'!A27:B51,2,FALSE)</f>
        <v>#N/A</v>
      </c>
      <c r="O49" s="6"/>
      <c r="P49" s="43" t="str">
        <f t="shared" si="1"/>
        <v>#N/A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41" t="s">
        <v>136</v>
      </c>
      <c r="B50" s="36" t="s">
        <v>137</v>
      </c>
      <c r="C50" s="42"/>
      <c r="D50" s="37" t="s">
        <v>105</v>
      </c>
      <c r="E50" s="31" t="s">
        <v>31</v>
      </c>
      <c r="F50" s="32" t="str">
        <f>VLOOKUP(E50,'Hoja 3'!A15:B20,2,FALSE)</f>
        <v>#N/A</v>
      </c>
      <c r="G50" s="31" t="s">
        <v>23</v>
      </c>
      <c r="H50" s="33" t="str">
        <f>VLOOKUP(G50,'Hoja 3'!A28:B52,2,FALSE)</f>
        <v>#N/A</v>
      </c>
      <c r="I50" s="34" t="s">
        <v>27</v>
      </c>
      <c r="J50" s="33" t="str">
        <f>VLOOKUP(I50,'Hoja 3'!A28:B52,2,FALSE)</f>
        <v>#N/A</v>
      </c>
      <c r="K50" s="31" t="s">
        <v>24</v>
      </c>
      <c r="L50" s="33" t="str">
        <f>VLOOKUP(K50,'Hoja 3'!A28:B52,2,FALSE)</f>
        <v>#N/A</v>
      </c>
      <c r="M50" s="31" t="s">
        <v>20</v>
      </c>
      <c r="N50" s="33" t="str">
        <f>VLOOKUP(M50,'Hoja 3'!A28:B52,2,FALSE)</f>
        <v>#N/A</v>
      </c>
      <c r="O50" s="6"/>
      <c r="P50" s="43" t="str">
        <f t="shared" si="1"/>
        <v>#N/A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41" t="s">
        <v>138</v>
      </c>
      <c r="B51" s="36" t="s">
        <v>139</v>
      </c>
      <c r="C51" s="42"/>
      <c r="D51" s="37" t="s">
        <v>140</v>
      </c>
      <c r="E51" s="31" t="s">
        <v>16</v>
      </c>
      <c r="F51" s="32" t="str">
        <f>VLOOKUP(E51,'Hoja 3'!A16:B21,2,FALSE)</f>
        <v>#N/A</v>
      </c>
      <c r="G51" s="31" t="s">
        <v>23</v>
      </c>
      <c r="H51" s="33" t="str">
        <f>VLOOKUP(G51,'Hoja 3'!A29:B53,2,FALSE)</f>
        <v>#N/A</v>
      </c>
      <c r="I51" s="34" t="s">
        <v>27</v>
      </c>
      <c r="J51" s="33" t="str">
        <f>VLOOKUP(I51,'Hoja 3'!A29:B53,2,FALSE)</f>
        <v>#N/A</v>
      </c>
      <c r="K51" s="31" t="s">
        <v>24</v>
      </c>
      <c r="L51" s="33" t="str">
        <f>VLOOKUP(K51,'Hoja 3'!A29:B53,2,FALSE)</f>
        <v>#N/A</v>
      </c>
      <c r="M51" s="31" t="s">
        <v>20</v>
      </c>
      <c r="N51" s="33" t="str">
        <f>VLOOKUP(M51,'Hoja 3'!A29:B53,2,FALSE)</f>
        <v>#N/A</v>
      </c>
      <c r="O51" s="6"/>
      <c r="P51" s="43" t="str">
        <f t="shared" si="1"/>
        <v>#N/A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41" t="s">
        <v>141</v>
      </c>
      <c r="B52" s="36" t="s">
        <v>142</v>
      </c>
      <c r="C52" s="42"/>
      <c r="D52" s="37" t="s">
        <v>143</v>
      </c>
      <c r="E52" s="31" t="s">
        <v>16</v>
      </c>
      <c r="F52" s="32" t="str">
        <f>VLOOKUP(E52,'Hoja 3'!A17:B22,2,FALSE)</f>
        <v>#N/A</v>
      </c>
      <c r="G52" s="31" t="s">
        <v>23</v>
      </c>
      <c r="H52" s="33" t="str">
        <f>VLOOKUP(G52,'Hoja 3'!A30:B54,2,FALSE)</f>
        <v>#N/A</v>
      </c>
      <c r="I52" s="34" t="s">
        <v>27</v>
      </c>
      <c r="J52" s="33" t="str">
        <f>VLOOKUP(I52,'Hoja 3'!A30:B54,2,FALSE)</f>
        <v>#N/A</v>
      </c>
      <c r="K52" s="31" t="s">
        <v>24</v>
      </c>
      <c r="L52" s="33" t="str">
        <f>VLOOKUP(K52,'Hoja 3'!A30:B54,2,FALSE)</f>
        <v>#N/A</v>
      </c>
      <c r="M52" s="31" t="s">
        <v>20</v>
      </c>
      <c r="N52" s="33" t="str">
        <f>VLOOKUP(M52,'Hoja 3'!A30:B54,2,FALSE)</f>
        <v>#N/A</v>
      </c>
      <c r="O52" s="6"/>
      <c r="P52" s="43" t="str">
        <f t="shared" si="1"/>
        <v>#N/A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41" t="s">
        <v>144</v>
      </c>
      <c r="B53" s="36"/>
      <c r="C53" s="42"/>
      <c r="D53" s="37"/>
      <c r="E53" s="31" t="s">
        <v>16</v>
      </c>
      <c r="F53" s="32" t="str">
        <f>VLOOKUP(E53,'Hoja 3'!A18:B23,2,FALSE)</f>
        <v>#N/A</v>
      </c>
      <c r="G53" s="31" t="s">
        <v>23</v>
      </c>
      <c r="H53" s="33" t="str">
        <f>VLOOKUP(G53,'Hoja 3'!A31:B55,2,FALSE)</f>
        <v>#N/A</v>
      </c>
      <c r="I53" s="34" t="s">
        <v>18</v>
      </c>
      <c r="J53" s="33" t="str">
        <f>VLOOKUP(I53,'Hoja 3'!A31:B55,2,FALSE)</f>
        <v>#N/A</v>
      </c>
      <c r="K53" s="31" t="s">
        <v>24</v>
      </c>
      <c r="L53" s="33" t="str">
        <f>VLOOKUP(K53,'Hoja 3'!A31:B55,2,FALSE)</f>
        <v>#N/A</v>
      </c>
      <c r="M53" s="31" t="s">
        <v>20</v>
      </c>
      <c r="N53" s="33" t="str">
        <f>VLOOKUP(M53,'Hoja 3'!A31:B55,2,FALSE)</f>
        <v>#N/A</v>
      </c>
      <c r="O53" s="6"/>
      <c r="P53" s="43" t="str">
        <f t="shared" si="1"/>
        <v>#N/A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41" t="s">
        <v>145</v>
      </c>
      <c r="B54" s="36"/>
      <c r="C54" s="42"/>
      <c r="D54" s="37"/>
      <c r="E54" s="31" t="s">
        <v>16</v>
      </c>
      <c r="F54" s="32" t="str">
        <f>VLOOKUP(E54,'Hoja 3'!A19:B24,2,FALSE)</f>
        <v>#N/A</v>
      </c>
      <c r="G54" s="31" t="s">
        <v>23</v>
      </c>
      <c r="H54" s="33" t="str">
        <f>VLOOKUP(G54,'Hoja 3'!A32:B56,2,FALSE)</f>
        <v>#N/A</v>
      </c>
      <c r="I54" s="34" t="s">
        <v>18</v>
      </c>
      <c r="J54" s="33" t="str">
        <f>VLOOKUP(I54,'Hoja 3'!A32:B56,2,FALSE)</f>
        <v>#N/A</v>
      </c>
      <c r="K54" s="31" t="s">
        <v>24</v>
      </c>
      <c r="L54" s="33" t="str">
        <f>VLOOKUP(K54,'Hoja 3'!A32:B56,2,FALSE)</f>
        <v>#N/A</v>
      </c>
      <c r="M54" s="31" t="s">
        <v>20</v>
      </c>
      <c r="N54" s="33" t="str">
        <f>VLOOKUP(M54,'Hoja 3'!A32:B56,2,FALSE)</f>
        <v>#N/A</v>
      </c>
      <c r="O54" s="6"/>
      <c r="P54" s="43" t="str">
        <f t="shared" si="1"/>
        <v>#N/A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41" t="s">
        <v>146</v>
      </c>
      <c r="B55" s="36"/>
      <c r="C55" s="42"/>
      <c r="D55" s="37"/>
      <c r="E55" s="31" t="s">
        <v>16</v>
      </c>
      <c r="F55" s="32" t="str">
        <f>VLOOKUP(E55,'Hoja 3'!A20:B25,2,FALSE)</f>
        <v>#N/A</v>
      </c>
      <c r="G55" s="31" t="s">
        <v>23</v>
      </c>
      <c r="H55" s="33" t="str">
        <f>VLOOKUP(G55,'Hoja 3'!A33:B57,2,FALSE)</f>
        <v>#N/A</v>
      </c>
      <c r="I55" s="34" t="s">
        <v>18</v>
      </c>
      <c r="J55" s="33" t="str">
        <f>VLOOKUP(I55,'Hoja 3'!A33:B57,2,FALSE)</f>
        <v>#N/A</v>
      </c>
      <c r="K55" s="31" t="s">
        <v>24</v>
      </c>
      <c r="L55" s="33" t="str">
        <f>VLOOKUP(K55,'Hoja 3'!A33:B57,2,FALSE)</f>
        <v>#N/A</v>
      </c>
      <c r="M55" s="31" t="s">
        <v>20</v>
      </c>
      <c r="N55" s="33" t="str">
        <f>VLOOKUP(M55,'Hoja 3'!A33:B57,2,FALSE)</f>
        <v>#N/A</v>
      </c>
      <c r="O55" s="6"/>
      <c r="P55" s="43" t="str">
        <f t="shared" si="1"/>
        <v>#N/A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41" t="s">
        <v>147</v>
      </c>
      <c r="B56" s="36"/>
      <c r="C56" s="42"/>
      <c r="D56" s="37"/>
      <c r="E56" s="31" t="s">
        <v>16</v>
      </c>
      <c r="F56" s="32" t="str">
        <f>VLOOKUP(E56,'Hoja 3'!A21:B26,2,FALSE)</f>
        <v>#N/A</v>
      </c>
      <c r="G56" s="31" t="s">
        <v>23</v>
      </c>
      <c r="H56" s="33" t="str">
        <f>VLOOKUP(G56,'Hoja 3'!A34:B58,2,FALSE)</f>
        <v>#N/A</v>
      </c>
      <c r="I56" s="34" t="s">
        <v>18</v>
      </c>
      <c r="J56" s="33" t="str">
        <f>VLOOKUP(I56,'Hoja 3'!A34:B58,2,FALSE)</f>
        <v>#N/A</v>
      </c>
      <c r="K56" s="31" t="s">
        <v>24</v>
      </c>
      <c r="L56" s="33" t="str">
        <f>VLOOKUP(K56,'Hoja 3'!A34:B58,2,FALSE)</f>
        <v>#N/A</v>
      </c>
      <c r="M56" s="31" t="s">
        <v>20</v>
      </c>
      <c r="N56" s="33" t="str">
        <f>VLOOKUP(M56,'Hoja 3'!A34:B58,2,FALSE)</f>
        <v>#N/A</v>
      </c>
      <c r="O56" s="6"/>
      <c r="P56" s="43" t="str">
        <f t="shared" si="1"/>
        <v>#N/A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41" t="s">
        <v>148</v>
      </c>
      <c r="B57" s="36"/>
      <c r="C57" s="42"/>
      <c r="D57" s="37"/>
      <c r="E57" s="31" t="s">
        <v>16</v>
      </c>
      <c r="F57" s="32" t="str">
        <f>VLOOKUP(E57,'Hoja 3'!A22:B27,2,FALSE)</f>
        <v>#N/A</v>
      </c>
      <c r="G57" s="31" t="s">
        <v>23</v>
      </c>
      <c r="H57" s="33" t="str">
        <f>VLOOKUP(G57,'Hoja 3'!A35:B59,2,FALSE)</f>
        <v>#N/A</v>
      </c>
      <c r="I57" s="34" t="s">
        <v>18</v>
      </c>
      <c r="J57" s="33" t="str">
        <f>VLOOKUP(I57,'Hoja 3'!A35:B59,2,FALSE)</f>
        <v>#N/A</v>
      </c>
      <c r="K57" s="31" t="s">
        <v>24</v>
      </c>
      <c r="L57" s="33" t="str">
        <f>VLOOKUP(K57,'Hoja 3'!A35:B59,2,FALSE)</f>
        <v>#N/A</v>
      </c>
      <c r="M57" s="31" t="s">
        <v>20</v>
      </c>
      <c r="N57" s="33" t="str">
        <f>VLOOKUP(M57,'Hoja 3'!A35:B59,2,FALSE)</f>
        <v>#N/A</v>
      </c>
      <c r="O57" s="6"/>
      <c r="P57" s="43" t="str">
        <f t="shared" si="1"/>
        <v>#N/A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41" t="s">
        <v>149</v>
      </c>
      <c r="B58" s="36"/>
      <c r="C58" s="42"/>
      <c r="D58" s="37"/>
      <c r="E58" s="31" t="s">
        <v>16</v>
      </c>
      <c r="F58" s="32" t="str">
        <f>VLOOKUP(E58,'Hoja 3'!A23:B28,2,FALSE)</f>
        <v>#N/A</v>
      </c>
      <c r="G58" s="31" t="s">
        <v>23</v>
      </c>
      <c r="H58" s="33" t="str">
        <f>VLOOKUP(G58,'Hoja 3'!A36:B60,2,FALSE)</f>
        <v>#N/A</v>
      </c>
      <c r="I58" s="34" t="s">
        <v>18</v>
      </c>
      <c r="J58" s="33" t="str">
        <f>VLOOKUP(I58,'Hoja 3'!A36:B60,2,FALSE)</f>
        <v>#N/A</v>
      </c>
      <c r="K58" s="31" t="s">
        <v>24</v>
      </c>
      <c r="L58" s="33" t="str">
        <f>VLOOKUP(K58,'Hoja 3'!A36:B60,2,FALSE)</f>
        <v>#N/A</v>
      </c>
      <c r="M58" s="31" t="s">
        <v>20</v>
      </c>
      <c r="N58" s="33" t="str">
        <f>VLOOKUP(M58,'Hoja 3'!A36:B60,2,FALSE)</f>
        <v>#N/A</v>
      </c>
      <c r="O58" s="6"/>
      <c r="P58" s="43" t="str">
        <f t="shared" si="1"/>
        <v>#N/A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41" t="s">
        <v>150</v>
      </c>
      <c r="B59" s="36"/>
      <c r="C59" s="42"/>
      <c r="D59" s="37"/>
      <c r="E59" s="31" t="s">
        <v>16</v>
      </c>
      <c r="F59" s="32" t="str">
        <f>VLOOKUP(E59,'Hoja 3'!A24:B29,2,FALSE)</f>
        <v>#N/A</v>
      </c>
      <c r="G59" s="31" t="s">
        <v>23</v>
      </c>
      <c r="H59" s="33" t="str">
        <f>VLOOKUP(G59,'Hoja 3'!A37:B61,2,FALSE)</f>
        <v>#N/A</v>
      </c>
      <c r="I59" s="34" t="s">
        <v>18</v>
      </c>
      <c r="J59" s="33" t="str">
        <f>VLOOKUP(I59,'Hoja 3'!A37:B61,2,FALSE)</f>
        <v>#N/A</v>
      </c>
      <c r="K59" s="31" t="s">
        <v>24</v>
      </c>
      <c r="L59" s="33" t="str">
        <f>VLOOKUP(K59,'Hoja 3'!A37:B61,2,FALSE)</f>
        <v>#N/A</v>
      </c>
      <c r="M59" s="31" t="s">
        <v>20</v>
      </c>
      <c r="N59" s="33" t="str">
        <f>VLOOKUP(M59,'Hoja 3'!A37:B61,2,FALSE)</f>
        <v>#N/A</v>
      </c>
      <c r="O59" s="6"/>
      <c r="P59" s="43" t="str">
        <f t="shared" si="1"/>
        <v>#N/A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41" t="s">
        <v>151</v>
      </c>
      <c r="B60" s="36"/>
      <c r="C60" s="42"/>
      <c r="D60" s="37"/>
      <c r="E60" s="31" t="s">
        <v>16</v>
      </c>
      <c r="F60" s="32" t="str">
        <f>VLOOKUP(E60,'Hoja 3'!A25:B30,2,FALSE)</f>
        <v>#N/A</v>
      </c>
      <c r="G60" s="31" t="s">
        <v>23</v>
      </c>
      <c r="H60" s="33" t="str">
        <f>VLOOKUP(G60,'Hoja 3'!A38:B62,2,FALSE)</f>
        <v>#N/A</v>
      </c>
      <c r="I60" s="34" t="s">
        <v>18</v>
      </c>
      <c r="J60" s="33" t="str">
        <f>VLOOKUP(I60,'Hoja 3'!A38:B62,2,FALSE)</f>
        <v>#N/A</v>
      </c>
      <c r="K60" s="31" t="s">
        <v>24</v>
      </c>
      <c r="L60" s="33" t="str">
        <f>VLOOKUP(K60,'Hoja 3'!A38:B62,2,FALSE)</f>
        <v>#N/A</v>
      </c>
      <c r="M60" s="31" t="s">
        <v>20</v>
      </c>
      <c r="N60" s="33" t="str">
        <f>VLOOKUP(M60,'Hoja 3'!A38:B62,2,FALSE)</f>
        <v>#N/A</v>
      </c>
      <c r="O60" s="6"/>
      <c r="P60" s="43" t="str">
        <f t="shared" si="1"/>
        <v>#N/A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41" t="s">
        <v>152</v>
      </c>
      <c r="B61" s="36"/>
      <c r="C61" s="42"/>
      <c r="D61" s="37"/>
      <c r="E61" s="31" t="s">
        <v>16</v>
      </c>
      <c r="F61" s="32" t="str">
        <f>VLOOKUP(E61,'Hoja 3'!A26:B31,2,FALSE)</f>
        <v>#N/A</v>
      </c>
      <c r="G61" s="31" t="s">
        <v>23</v>
      </c>
      <c r="H61" s="33" t="str">
        <f>VLOOKUP(G61,'Hoja 3'!A39:B63,2,FALSE)</f>
        <v>#N/A</v>
      </c>
      <c r="I61" s="34" t="s">
        <v>18</v>
      </c>
      <c r="J61" s="33" t="str">
        <f>VLOOKUP(I61,'Hoja 3'!A39:B63,2,FALSE)</f>
        <v>#N/A</v>
      </c>
      <c r="K61" s="31" t="s">
        <v>24</v>
      </c>
      <c r="L61" s="33" t="str">
        <f>VLOOKUP(K61,'Hoja 3'!A39:B63,2,FALSE)</f>
        <v>#N/A</v>
      </c>
      <c r="M61" s="31" t="s">
        <v>20</v>
      </c>
      <c r="N61" s="33" t="str">
        <f>VLOOKUP(M61,'Hoja 3'!A39:B63,2,FALSE)</f>
        <v>#N/A</v>
      </c>
      <c r="O61" s="6"/>
      <c r="P61" s="43" t="str">
        <f t="shared" si="1"/>
        <v>#N/A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41" t="s">
        <v>153</v>
      </c>
      <c r="B62" s="36"/>
      <c r="C62" s="42"/>
      <c r="D62" s="37"/>
      <c r="E62" s="31" t="s">
        <v>16</v>
      </c>
      <c r="F62" s="32" t="str">
        <f>VLOOKUP(E62,'Hoja 3'!A27:B32,2,FALSE)</f>
        <v>#N/A</v>
      </c>
      <c r="G62" s="31" t="s">
        <v>23</v>
      </c>
      <c r="H62" s="33" t="str">
        <f>VLOOKUP(G62,'Hoja 3'!A40:B64,2,FALSE)</f>
        <v>#N/A</v>
      </c>
      <c r="I62" s="34" t="s">
        <v>18</v>
      </c>
      <c r="J62" s="33" t="str">
        <f>VLOOKUP(I62,'Hoja 3'!A40:B64,2,FALSE)</f>
        <v>#N/A</v>
      </c>
      <c r="K62" s="31" t="s">
        <v>24</v>
      </c>
      <c r="L62" s="33" t="str">
        <f>VLOOKUP(K62,'Hoja 3'!A40:B64,2,FALSE)</f>
        <v>#N/A</v>
      </c>
      <c r="M62" s="31" t="s">
        <v>20</v>
      </c>
      <c r="N62" s="33" t="str">
        <f>VLOOKUP(M62,'Hoja 3'!A40:B64,2,FALSE)</f>
        <v>#N/A</v>
      </c>
      <c r="O62" s="6"/>
      <c r="P62" s="43" t="str">
        <f t="shared" si="1"/>
        <v>#N/A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41" t="s">
        <v>154</v>
      </c>
      <c r="B63" s="36"/>
      <c r="C63" s="42"/>
      <c r="D63" s="37"/>
      <c r="E63" s="31" t="s">
        <v>16</v>
      </c>
      <c r="F63" s="32" t="str">
        <f>VLOOKUP(E63,'Hoja 3'!A28:B33,2,FALSE)</f>
        <v>#N/A</v>
      </c>
      <c r="G63" s="31" t="s">
        <v>23</v>
      </c>
      <c r="H63" s="33" t="str">
        <f>VLOOKUP(G63,'Hoja 3'!A41:B65,2,FALSE)</f>
        <v>#N/A</v>
      </c>
      <c r="I63" s="34" t="s">
        <v>18</v>
      </c>
      <c r="J63" s="33" t="str">
        <f>VLOOKUP(I63,'Hoja 3'!A41:B65,2,FALSE)</f>
        <v>#N/A</v>
      </c>
      <c r="K63" s="31" t="s">
        <v>24</v>
      </c>
      <c r="L63" s="33" t="str">
        <f>VLOOKUP(K63,'Hoja 3'!A41:B65,2,FALSE)</f>
        <v>#N/A</v>
      </c>
      <c r="M63" s="31" t="s">
        <v>20</v>
      </c>
      <c r="N63" s="33" t="str">
        <f>VLOOKUP(M63,'Hoja 3'!A41:B65,2,FALSE)</f>
        <v>#N/A</v>
      </c>
      <c r="O63" s="6"/>
      <c r="P63" s="43" t="str">
        <f t="shared" si="1"/>
        <v>#N/A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41" t="s">
        <v>155</v>
      </c>
      <c r="B64" s="36"/>
      <c r="C64" s="42"/>
      <c r="D64" s="37"/>
      <c r="E64" s="31" t="s">
        <v>16</v>
      </c>
      <c r="F64" s="32" t="str">
        <f>VLOOKUP(E64,'Hoja 3'!A29:B34,2,FALSE)</f>
        <v>#N/A</v>
      </c>
      <c r="G64" s="31" t="s">
        <v>23</v>
      </c>
      <c r="H64" s="33" t="str">
        <f>VLOOKUP(G64,'Hoja 3'!A42:B66,2,FALSE)</f>
        <v>#N/A</v>
      </c>
      <c r="I64" s="34" t="s">
        <v>18</v>
      </c>
      <c r="J64" s="33" t="str">
        <f>VLOOKUP(I64,'Hoja 3'!A42:B66,2,FALSE)</f>
        <v>#N/A</v>
      </c>
      <c r="K64" s="31" t="s">
        <v>24</v>
      </c>
      <c r="L64" s="33" t="str">
        <f>VLOOKUP(K64,'Hoja 3'!A42:B66,2,FALSE)</f>
        <v>#N/A</v>
      </c>
      <c r="M64" s="31" t="s">
        <v>20</v>
      </c>
      <c r="N64" s="33" t="str">
        <f>VLOOKUP(M64,'Hoja 3'!A42:B66,2,FALSE)</f>
        <v>#N/A</v>
      </c>
      <c r="O64" s="6"/>
      <c r="P64" s="43" t="str">
        <f t="shared" si="1"/>
        <v>#N/A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6"/>
      <c r="B65" s="6"/>
      <c r="D65" s="6"/>
      <c r="E65" s="6"/>
      <c r="F65" s="6"/>
      <c r="G65" s="6"/>
      <c r="H65" s="6"/>
      <c r="I65" s="6"/>
      <c r="J65" s="6"/>
      <c r="K65" s="44"/>
      <c r="L65" s="6"/>
      <c r="M65" s="44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6"/>
      <c r="B66" s="6"/>
      <c r="D66" s="6"/>
      <c r="E66" s="6"/>
      <c r="F66" s="6"/>
      <c r="G66" s="6"/>
      <c r="H66" s="6"/>
      <c r="I66" s="6"/>
      <c r="J66" s="6"/>
      <c r="K66" s="44"/>
      <c r="L66" s="6"/>
      <c r="M66" s="44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6"/>
      <c r="B67" s="6"/>
      <c r="D67" s="6"/>
      <c r="E67" s="6"/>
      <c r="F67" s="6"/>
      <c r="G67" s="6"/>
      <c r="H67" s="6"/>
      <c r="I67" s="6"/>
      <c r="J67" s="6"/>
      <c r="K67" s="6"/>
      <c r="L67" s="6"/>
      <c r="M67" s="44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6"/>
      <c r="B68" s="6"/>
      <c r="D68" s="6"/>
      <c r="E68" s="6"/>
      <c r="F68" s="6"/>
      <c r="G68" s="6"/>
      <c r="H68" s="6"/>
      <c r="I68" s="6"/>
      <c r="J68" s="6"/>
      <c r="K68" s="6"/>
      <c r="L68" s="6"/>
      <c r="M68" s="44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6"/>
      <c r="B69" s="6"/>
      <c r="D69" s="6"/>
      <c r="E69" s="6"/>
      <c r="F69" s="6"/>
      <c r="G69" s="6"/>
      <c r="H69" s="6"/>
      <c r="I69" s="6"/>
      <c r="J69" s="6"/>
      <c r="K69" s="6"/>
      <c r="L69" s="6"/>
      <c r="M69" s="44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44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44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</sheetData>
  <mergeCells count="49">
    <mergeCell ref="A1:B3"/>
    <mergeCell ref="C1:O2"/>
    <mergeCell ref="C3:F3"/>
    <mergeCell ref="G3:P3"/>
    <mergeCell ref="A5:C5"/>
    <mergeCell ref="E5:F5"/>
    <mergeCell ref="G5:H5"/>
    <mergeCell ref="M5:N5"/>
    <mergeCell ref="I5:J5"/>
    <mergeCell ref="K5:L5"/>
    <mergeCell ref="B19:C19"/>
    <mergeCell ref="B22:C22"/>
    <mergeCell ref="B28:C28"/>
    <mergeCell ref="B30:C30"/>
    <mergeCell ref="B32:C32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64:C64"/>
    <mergeCell ref="B65:C65"/>
    <mergeCell ref="B66:C66"/>
    <mergeCell ref="B67:C67"/>
    <mergeCell ref="B68:C68"/>
    <mergeCell ref="B69:C69"/>
    <mergeCell ref="B57:C57"/>
    <mergeCell ref="B58:C58"/>
    <mergeCell ref="B59:C59"/>
    <mergeCell ref="B60:C60"/>
    <mergeCell ref="B61:C61"/>
    <mergeCell ref="B62:C62"/>
    <mergeCell ref="B63:C63"/>
  </mergeCells>
  <conditionalFormatting sqref="P6:P64">
    <cfRule type="cellIs" dxfId="0" priority="1" operator="between">
      <formula>0</formula>
      <formula>59</formula>
    </cfRule>
  </conditionalFormatting>
  <conditionalFormatting sqref="P6:P64">
    <cfRule type="cellIs" dxfId="1" priority="2" operator="between">
      <formula>60</formula>
      <formula>79</formula>
    </cfRule>
  </conditionalFormatting>
  <conditionalFormatting sqref="P6:P64">
    <cfRule type="cellIs" dxfId="2" priority="3" operator="between">
      <formula>80</formula>
      <formula>100</formula>
    </cfRule>
  </conditionalFormatting>
  <dataValidations>
    <dataValidation type="list" allowBlank="1" showErrorMessage="1" sqref="G6:G64">
      <formula1>"Seleccione,Pronta entrega o inmediata,Es considerable,Muy demorado"</formula1>
    </dataValidation>
    <dataValidation type="list" allowBlank="1" showErrorMessage="1" sqref="M6:M64">
      <formula1>"Seleccione,Aporta certificado,No Aporta Certificado"</formula1>
    </dataValidation>
    <dataValidation type="list" allowBlank="1" showErrorMessage="1" sqref="E6:E64">
      <formula1>"Seleccione,Muy Alto,Buen Precio"</formula1>
    </dataValidation>
    <dataValidation type="list" allowBlank="1" showErrorMessage="1" sqref="K6:K64">
      <formula1>"Seleccione,Se incluye,No se Incluye,No se requiere"</formula1>
    </dataValidation>
    <dataValidation type="list" allowBlank="1" showErrorMessage="1" sqref="I6:I64">
      <formula1>"Seleccione,Anticipado,Contraentrega,30-60 días,Más de 60 dias"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2">
      <c r="A2" s="45" t="s">
        <v>7</v>
      </c>
      <c r="E2" s="46">
        <v>20.0</v>
      </c>
      <c r="F2" s="46">
        <v>30.0</v>
      </c>
      <c r="G2" s="46">
        <v>30.0</v>
      </c>
      <c r="H2" s="46">
        <v>10.0</v>
      </c>
      <c r="I2" s="46">
        <v>10.0</v>
      </c>
    </row>
    <row r="3">
      <c r="A3" s="45" t="s">
        <v>31</v>
      </c>
      <c r="B3" s="45">
        <v>10.0</v>
      </c>
      <c r="E3" s="47" t="s">
        <v>7</v>
      </c>
      <c r="F3" s="47" t="s">
        <v>8</v>
      </c>
      <c r="G3" s="47" t="s">
        <v>9</v>
      </c>
      <c r="H3" s="47" t="s">
        <v>10</v>
      </c>
      <c r="I3" s="47" t="s">
        <v>156</v>
      </c>
    </row>
    <row r="4">
      <c r="A4" s="45" t="s">
        <v>16</v>
      </c>
      <c r="B4" s="45">
        <v>20.0</v>
      </c>
    </row>
    <row r="5">
      <c r="A5" s="45" t="s">
        <v>157</v>
      </c>
      <c r="B5" s="45">
        <v>20.0</v>
      </c>
    </row>
    <row r="6">
      <c r="A6" s="45" t="s">
        <v>158</v>
      </c>
      <c r="B6" s="45">
        <v>5.0</v>
      </c>
    </row>
    <row r="7">
      <c r="A7" s="45" t="s">
        <v>28</v>
      </c>
      <c r="B7" s="45">
        <v>0.0</v>
      </c>
    </row>
    <row r="8">
      <c r="A8" s="45" t="s">
        <v>8</v>
      </c>
    </row>
    <row r="9">
      <c r="A9" s="45" t="s">
        <v>23</v>
      </c>
      <c r="B9" s="45">
        <v>30.0</v>
      </c>
    </row>
    <row r="10">
      <c r="A10" s="45" t="s">
        <v>17</v>
      </c>
      <c r="B10" s="45">
        <v>25.0</v>
      </c>
    </row>
    <row r="11">
      <c r="A11" s="45" t="s">
        <v>42</v>
      </c>
      <c r="B11" s="45">
        <v>5.0</v>
      </c>
    </row>
    <row r="13">
      <c r="A13" s="45" t="s">
        <v>9</v>
      </c>
    </row>
    <row r="14">
      <c r="A14" s="45" t="s">
        <v>27</v>
      </c>
      <c r="B14" s="45">
        <v>5.0</v>
      </c>
    </row>
    <row r="15">
      <c r="A15" s="45" t="s">
        <v>53</v>
      </c>
      <c r="B15" s="45">
        <v>10.0</v>
      </c>
    </row>
    <row r="16">
      <c r="A16" s="45" t="s">
        <v>18</v>
      </c>
      <c r="B16" s="45">
        <v>20.0</v>
      </c>
    </row>
    <row r="17">
      <c r="A17" s="45" t="s">
        <v>56</v>
      </c>
      <c r="B17" s="45">
        <v>30.0</v>
      </c>
    </row>
    <row r="19">
      <c r="A19" s="45" t="s">
        <v>10</v>
      </c>
    </row>
    <row r="20">
      <c r="A20" s="45" t="s">
        <v>24</v>
      </c>
      <c r="B20" s="45">
        <v>10.0</v>
      </c>
    </row>
    <row r="21">
      <c r="A21" s="45" t="s">
        <v>19</v>
      </c>
      <c r="B21" s="45">
        <v>1.0</v>
      </c>
    </row>
    <row r="22">
      <c r="A22" s="45" t="s">
        <v>132</v>
      </c>
      <c r="B22" s="45">
        <v>10.0</v>
      </c>
    </row>
    <row r="24">
      <c r="A24" s="45" t="s">
        <v>156</v>
      </c>
    </row>
    <row r="25">
      <c r="A25" s="45" t="s">
        <v>34</v>
      </c>
      <c r="B25" s="45">
        <v>10.0</v>
      </c>
    </row>
    <row r="26">
      <c r="A26" s="45" t="s">
        <v>20</v>
      </c>
      <c r="B26" s="45">
        <v>1.0</v>
      </c>
    </row>
  </sheetData>
  <drawing r:id="rId1"/>
</worksheet>
</file>