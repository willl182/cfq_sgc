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38FCBAD6-3014-4CFD-8013-D1BAB84FE1DC}" xr6:coauthVersionLast="47" xr6:coauthVersionMax="47" xr10:uidLastSave="{00000000-0000-0000-0000-000000000000}"/>
  <bookViews>
    <workbookView xWindow="3240" yWindow="3465" windowWidth="14490" windowHeight="11295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/>
  <c r="H20" i="1"/>
  <c r="H38" i="1" s="1"/>
  <c r="H19" i="1"/>
  <c r="H18" i="1"/>
  <c r="H36" i="1" s="1"/>
  <c r="H17" i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I37" i="1" s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G36" i="1"/>
  <c r="Z35" i="1"/>
  <c r="Y35" i="1"/>
  <c r="W35" i="1"/>
  <c r="V35" i="1"/>
  <c r="T35" i="1"/>
  <c r="S35" i="1"/>
  <c r="R35" i="1"/>
  <c r="O35" i="1"/>
  <c r="N35" i="1"/>
  <c r="M35" i="1"/>
  <c r="K35" i="1"/>
  <c r="J35" i="1"/>
  <c r="I35" i="1"/>
  <c r="Y40" i="1"/>
  <c r="P39" i="1"/>
  <c r="Y38" i="1"/>
  <c r="N37" i="1"/>
  <c r="N36" i="1"/>
  <c r="X35" i="1"/>
  <c r="L35" i="1" l="1"/>
  <c r="L10" i="1" s="1"/>
  <c r="H37" i="1"/>
  <c r="M10" i="1"/>
  <c r="N10" i="1"/>
  <c r="P35" i="1"/>
  <c r="Z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  <c r="H35" i="1" l="1"/>
  <c r="H10" i="1" s="1"/>
</calcChain>
</file>

<file path=xl/sharedStrings.xml><?xml version="1.0" encoding="utf-8"?>
<sst xmlns="http://schemas.openxmlformats.org/spreadsheetml/2006/main" count="100" uniqueCount="52">
  <si>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</si>
  <si>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</si>
  <si>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</si>
  <si>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</si>
  <si>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</si>
  <si>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</si>
  <si>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</si>
  <si>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</si>
  <si>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</si>
  <si>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</si>
  <si>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</si>
  <si>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</si>
  <si>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</si>
  <si>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</si>
  <si>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</si>
  <si>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</si>
  <si>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</si>
  <si>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</si>
  <si>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</si>
  <si>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</si>
  <si>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</si>
  <si>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</si>
  <si>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</si>
  <si>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</si>
  <si>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</si>
  <si>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</si>
  <si>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</si>
  <si>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</si>
  <si>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</si>
  <si>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</si>
  <si>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</si>
  <si>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</si>
  <si>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</si>
  <si>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</si>
  <si>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</si>
  <si>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</si>
  <si>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UREA</t>
  </si>
  <si>
    <t>EVOAGRO</t>
  </si>
  <si>
    <t>CALFERQUIM</t>
  </si>
  <si>
    <t>KCL</t>
  </si>
  <si>
    <t>G</t>
  </si>
  <si>
    <t>PRECISAGRO</t>
  </si>
  <si>
    <t>MAP</t>
  </si>
  <si>
    <t>SQM</t>
  </si>
  <si>
    <t>SAM</t>
  </si>
  <si>
    <t>MF 25-4-14</t>
  </si>
  <si>
    <t>628-091124</t>
  </si>
  <si>
    <t>NUCLEO 4</t>
  </si>
  <si>
    <t>NUCLEO HIERRO</t>
  </si>
  <si>
    <t>CARBONITRO</t>
  </si>
  <si>
    <t>CAMPOFERT</t>
  </si>
  <si>
    <t>NUTRICION DE PLANTAS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</si>
</sst>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9" fontId="0" fillId="2" borderId="0" xfId="0" applyNumberFormat="1" applyFill="1" applyBorder="1"/>
    <xf numFmtId="9" fontId="0" fillId="2" borderId="0" xfId="1" applyFont="1" applyFill="1" applyBorder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J1" zoomScale="85" zoomScaleNormal="85" workbookViewId="0">
      <selection activeCell="N7" sqref="N7:T7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13" width="9" style="2" bestFit="1" customWidth="1"/>
    <col min="14" max="14" width="9" style="2" customWidth="1"/>
    <col min="15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8" t="s">
        <v>27</v>
      </c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9"/>
      <c r="U2" s="69" t="s">
        <v>24</v>
      </c>
      <c r="V2" s="70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9" t="s">
        <v>25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14"/>
      <c r="U3" s="69" t="s">
        <v>24</v>
      </c>
      <c r="V3" s="70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2" t="s">
        <v>34</v>
      </c>
      <c r="H6" s="83"/>
      <c r="I6" s="83"/>
      <c r="J6" s="83"/>
      <c r="K6" s="83"/>
      <c r="L6" s="83"/>
      <c r="M6" s="84"/>
      <c r="N6" s="82" t="s">
        <v>35</v>
      </c>
      <c r="O6" s="83"/>
      <c r="P6" s="83"/>
      <c r="Q6" s="83"/>
      <c r="R6" s="83"/>
      <c r="S6" s="83"/>
      <c r="T6" s="84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0" t="s">
        <v>45</v>
      </c>
      <c r="H7" s="81"/>
      <c r="I7" s="81"/>
      <c r="J7" s="81"/>
      <c r="K7" s="81"/>
      <c r="L7" s="81"/>
      <c r="M7" s="81"/>
      <c r="N7" s="65" t="s">
        <v>46</v>
      </c>
      <c r="O7" s="66"/>
      <c r="P7" s="66"/>
      <c r="Q7" s="66"/>
      <c r="R7" s="66"/>
      <c r="S7" s="66"/>
      <c r="T7" s="67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3" t="s">
        <v>29</v>
      </c>
      <c r="C9" s="74"/>
      <c r="D9" s="74"/>
      <c r="E9" s="74"/>
      <c r="F9" s="74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1" t="s">
        <v>28</v>
      </c>
      <c r="C10" s="72"/>
      <c r="D10" s="72"/>
      <c r="E10" s="72"/>
      <c r="F10" s="72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5" t="s">
        <v>30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7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5" t="s">
        <v>33</v>
      </c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36</v>
      </c>
      <c r="C17" s="44" t="s">
        <v>51</v>
      </c>
      <c r="D17" s="44"/>
      <c r="E17" s="46">
        <v>455</v>
      </c>
      <c r="F17" s="27">
        <f>E17/10</f>
        <v>45.5</v>
      </c>
      <c r="G17" s="56"/>
      <c r="H17" s="64" t="str">
        <f>IF(SUM(I17:L17)=0,"",SUM(I17:L17))</f>
        <v/>
      </c>
      <c r="I17" s="57"/>
      <c r="J17" s="57"/>
      <c r="K17" s="57"/>
      <c r="L17" s="63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44</v>
      </c>
      <c r="C18" s="44" t="s">
        <v>37</v>
      </c>
      <c r="D18" s="44"/>
      <c r="E18" s="46">
        <v>145</v>
      </c>
      <c r="F18" s="27">
        <f t="shared" ref="F18:F31" si="1">E18/10</f>
        <v>14.5</v>
      </c>
      <c r="G18" s="56"/>
      <c r="H18" s="64" t="str">
        <f>IF(SUM(I18:L18)=0,"",SUM(I18:L18))</f>
        <v/>
      </c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47</v>
      </c>
      <c r="C19" s="44" t="s">
        <v>38</v>
      </c>
      <c r="D19" s="44" t="s">
        <v>40</v>
      </c>
      <c r="E19" s="46">
        <v>28</v>
      </c>
      <c r="F19" s="27">
        <f t="shared" si="1"/>
        <v>2.8</v>
      </c>
      <c r="G19" s="56"/>
      <c r="H19" s="64" t="str">
        <f>IF(SUM(I19:L19)=0,"",SUM(I19:L19))</f>
        <v/>
      </c>
      <c r="I19" s="63"/>
      <c r="J19" s="57"/>
      <c r="K19" s="57"/>
      <c r="L19" s="57"/>
      <c r="M19" s="63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42</v>
      </c>
      <c r="C20" s="44" t="s">
        <v>41</v>
      </c>
      <c r="D20" s="44" t="s">
        <v>40</v>
      </c>
      <c r="E20" s="46">
        <v>70</v>
      </c>
      <c r="F20" s="27">
        <f t="shared" si="1"/>
        <v>7</v>
      </c>
      <c r="G20" s="56"/>
      <c r="H20" s="64" t="str">
        <f>IF(SUM(I20:L20)=0,"",SUM(I20:L20))</f>
        <v/>
      </c>
      <c r="I20" s="57"/>
      <c r="J20" s="57"/>
      <c r="K20" s="57"/>
      <c r="L20" s="57"/>
      <c r="M20" s="57"/>
      <c r="N20" s="63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39</v>
      </c>
      <c r="C21" s="44" t="s">
        <v>43</v>
      </c>
      <c r="D21" s="44"/>
      <c r="E21" s="46">
        <v>225</v>
      </c>
      <c r="F21" s="27">
        <f t="shared" si="1"/>
        <v>22.5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 t="s">
        <v>48</v>
      </c>
      <c r="C22" s="44" t="s">
        <v>50</v>
      </c>
      <c r="D22" s="44"/>
      <c r="E22" s="46">
        <v>77</v>
      </c>
      <c r="F22" s="27">
        <f t="shared" si="1"/>
        <v>7.7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 t="s">
        <v>49</v>
      </c>
      <c r="C23" s="44" t="s">
        <v>38</v>
      </c>
      <c r="D23" s="44"/>
      <c r="E23" s="46">
        <v>3</v>
      </c>
      <c r="F23" s="27">
        <f t="shared" si="1"/>
        <v>0.3</v>
      </c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NUTRICION DE PLANTAS</v>
      </c>
      <c r="D35" s="44">
        <f>D17</f>
        <v>0</v>
      </c>
      <c r="E35" s="46">
        <f>E17</f>
        <v>455</v>
      </c>
      <c r="F35" s="62">
        <f t="shared" ref="F35:F40" si="2">E35/10</f>
        <v>45.5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SAM</v>
      </c>
      <c r="C36" s="44" t="str">
        <f t="shared" ref="C36:D49" si="7">C18</f>
        <v>EVOAGRO</v>
      </c>
      <c r="D36" s="44">
        <f t="shared" si="7"/>
        <v>0</v>
      </c>
      <c r="E36" s="46">
        <f t="shared" si="6"/>
        <v>145</v>
      </c>
      <c r="F36" s="46">
        <f t="shared" si="2"/>
        <v>14.5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NUCLEO 4</v>
      </c>
      <c r="C37" s="44" t="str">
        <f t="shared" si="7"/>
        <v>CALFERQUIM</v>
      </c>
      <c r="D37" s="44" t="str">
        <f t="shared" si="7"/>
        <v>G</v>
      </c>
      <c r="E37" s="46">
        <f t="shared" si="6"/>
        <v>28</v>
      </c>
      <c r="F37" s="46">
        <f t="shared" si="2"/>
        <v>2.8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MAP</v>
      </c>
      <c r="C38" s="44" t="str">
        <f t="shared" si="7"/>
        <v>PRECISAGRO</v>
      </c>
      <c r="D38" s="44" t="str">
        <f t="shared" si="7"/>
        <v>G</v>
      </c>
      <c r="E38" s="46">
        <f t="shared" si="6"/>
        <v>70</v>
      </c>
      <c r="F38" s="46">
        <f t="shared" si="2"/>
        <v>7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KCL</v>
      </c>
      <c r="C39" s="44" t="str">
        <f t="shared" si="7"/>
        <v>SQM</v>
      </c>
      <c r="D39" s="44">
        <f t="shared" si="7"/>
        <v>0</v>
      </c>
      <c r="E39" s="46">
        <f t="shared" si="6"/>
        <v>225</v>
      </c>
      <c r="F39" s="46">
        <f t="shared" si="2"/>
        <v>22.5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 t="str">
        <f t="shared" si="6"/>
        <v>NUCLEO HIERRO</v>
      </c>
      <c r="C40" s="44" t="str">
        <f t="shared" si="7"/>
        <v>CAMPOFERT</v>
      </c>
      <c r="D40" s="44">
        <f t="shared" si="7"/>
        <v>0</v>
      </c>
      <c r="E40" s="46">
        <f t="shared" si="6"/>
        <v>77</v>
      </c>
      <c r="F40" s="46">
        <f t="shared" si="2"/>
        <v>7.7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 t="str">
        <f t="shared" si="6"/>
        <v>CARBONITRO</v>
      </c>
      <c r="C41" s="44" t="str">
        <f t="shared" si="7"/>
        <v>CALFERQUIM</v>
      </c>
      <c r="D41" s="44">
        <f t="shared" si="7"/>
        <v>0</v>
      </c>
      <c r="E41" s="46">
        <f t="shared" si="6"/>
        <v>3</v>
      </c>
      <c r="F41" s="46">
        <f t="shared" ref="F41:F49" si="13">E41/10</f>
        <v>0.3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2024-11-13T16:14:43Z</dcterms:modified>
</cp:coreProperties>
</file>