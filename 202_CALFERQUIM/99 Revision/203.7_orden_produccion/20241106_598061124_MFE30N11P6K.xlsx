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7DFA5151-6694-42F7-ABEA-64A93E28C27A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Q34" i="1" s="1"/>
  <c r="I36" i="1"/>
  <c r="F15" i="1"/>
  <c r="Q33" i="1" s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F17" i="1"/>
  <c r="X35" i="1" s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Z35" i="1"/>
  <c r="Y35" i="1"/>
  <c r="W35" i="1"/>
  <c r="V35" i="1"/>
  <c r="U35" i="1"/>
  <c r="T35" i="1"/>
  <c r="S35" i="1"/>
  <c r="R35" i="1"/>
  <c r="O35" i="1"/>
  <c r="M35" i="1"/>
  <c r="L35" i="1"/>
  <c r="K35" i="1"/>
  <c r="J35" i="1"/>
  <c r="I35" i="1"/>
  <c r="G35" i="1"/>
  <c r="Z34" i="1"/>
  <c r="Y34" i="1"/>
  <c r="X34" i="1"/>
  <c r="W34" i="1"/>
  <c r="V34" i="1"/>
  <c r="U34" i="1"/>
  <c r="T34" i="1"/>
  <c r="S34" i="1"/>
  <c r="R34" i="1"/>
  <c r="O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P33" i="1"/>
  <c r="N33" i="1"/>
  <c r="M33" i="1"/>
  <c r="K33" i="1"/>
  <c r="J33" i="1"/>
  <c r="I33" i="1"/>
  <c r="Y38" i="1"/>
  <c r="P37" i="1"/>
  <c r="Y36" i="1"/>
  <c r="N35" i="1"/>
  <c r="N34" i="1"/>
  <c r="X33" i="1"/>
  <c r="H35" i="1" l="1"/>
  <c r="M34" i="1"/>
  <c r="M8" i="1" s="1"/>
  <c r="L33" i="1"/>
  <c r="H33" i="1"/>
  <c r="P34" i="1"/>
  <c r="O33" i="1"/>
  <c r="O8" i="1" s="1"/>
  <c r="N8" i="1"/>
  <c r="Z8" i="1"/>
  <c r="L8" i="1"/>
  <c r="I8" i="1"/>
  <c r="J8" i="1"/>
  <c r="R8" i="1"/>
  <c r="K8" i="1"/>
  <c r="S8" i="1"/>
  <c r="T8" i="1"/>
  <c r="V8" i="1"/>
  <c r="W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Q8" i="1" s="1"/>
  <c r="X37" i="1"/>
  <c r="X8" i="1" s="1"/>
  <c r="H8" i="1" l="1"/>
  <c r="P8" i="1"/>
  <c r="F30" i="1"/>
  <c r="F48" i="1" l="1"/>
  <c r="G33" i="1"/>
  <c r="G8" i="1" s="1"/>
</calcChain>
</file>

<file path=xl/sharedStrings.xml><?xml version="1.0" encoding="utf-8"?>
<sst xmlns="http://schemas.openxmlformats.org/spreadsheetml/2006/main" count="98" uniqueCount="46">
  <si>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</si>
  <si>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</si>
  <si>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</si>
  <si>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</si>
  <si>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</si>
  <si>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</si>
  <si>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</si>
  <si>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</si>
  <si>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</si>
  <si>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</si>
  <si>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</si>
  <si>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</si>
  <si>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</si>
  <si>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</si>
  <si>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</si>
  <si>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</si>
  <si>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</si>
  <si>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</si>
  <si>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</si>
  <si>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</si>
  <si>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</si>
  <si>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</si>
  <si>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</si>
  <si>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</si>
  <si>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</si>
  <si>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</si>
  <si>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</si>
  <si>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</si>
  <si>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</si>
  <si>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</si>
  <si>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</si>
  <si>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</si>
  <si>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</si>
  <si>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</si>
  <si>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Urea</t>
  </si>
  <si>
    <t>Calferquim</t>
  </si>
  <si>
    <t>Evoagro</t>
  </si>
  <si>
    <t>Granulado</t>
  </si>
  <si>
    <t>DAP</t>
  </si>
  <si>
    <t>Ciamsa</t>
  </si>
  <si>
    <t>Boro</t>
  </si>
  <si>
    <t>Calferzinc-p</t>
  </si>
  <si>
    <t>Patenkali</t>
  </si>
  <si>
    <t>Disan</t>
  </si>
  <si>
    <t>Carbonitro</t>
  </si>
  <si>
    <t>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</si>
</sst>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64" fontId="0" fillId="2" borderId="25" xfId="1" applyNumberFormat="1" applyFont="1" applyFill="1" applyBorder="1"/>
    <xf numFmtId="164" fontId="0" fillId="2" borderId="0" xfId="1" applyNumberFormat="1" applyFont="1" applyFill="1" applyBorder="1"/>
    <xf numFmtId="164" fontId="0" fillId="2" borderId="3" xfId="1" applyNumberFormat="1" applyFont="1" applyFill="1" applyBorder="1"/>
    <xf numFmtId="164" fontId="0" fillId="2" borderId="10" xfId="1" applyNumberFormat="1" applyFon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9" dataDxfId="27" headerRowBorderDxfId="28" tableBorderDxfId="26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5">
      <calculatedColumnFormula>B15</calculatedColumnFormula>
    </tableColumn>
    <tableColumn id="25" xr3:uid="{884606E3-7CE2-45C3-97BD-6CF08F8EEA9A}" name="PROVEEDOR" dataDxfId="24">
      <calculatedColumnFormula>C15</calculatedColumnFormula>
    </tableColumn>
    <tableColumn id="24" xr3:uid="{D0ACCF2F-C590-4F61-BFF0-DE4F6960D58D}" name="TIPO" dataDxfId="23">
      <calculatedColumnFormula>D15</calculatedColumnFormula>
    </tableColumn>
    <tableColumn id="2" xr3:uid="{AE74D918-DF3F-499C-8E04-946F506AE009}" name="kg / Ton" dataDxfId="22">
      <calculatedColumnFormula>E15</calculatedColumnFormula>
    </tableColumn>
    <tableColumn id="3" xr3:uid="{9F26846A-CE6E-4CFC-8327-03BEDE1F6186}" name="%/100 kg" dataDxfId="21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I17" sqref="I17"/>
    </sheetView>
  </sheetViews>
  <sheetFormatPr baseColWidth="10" defaultColWidth="8.88671875" defaultRowHeight="19.5" x14ac:dyDescent="0.45"/>
  <cols>
    <col min="1" max="1" width="8.88671875" style="22"/>
    <col min="2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10.33203125" style="2" bestFit="1" customWidth="1"/>
    <col min="8" max="8" width="11.6640625" style="2" bestFit="1" customWidth="1"/>
    <col min="9" max="26" width="10.33203125" style="2" bestFit="1" customWidth="1"/>
    <col min="27" max="27" width="8.88671875" style="23"/>
    <col min="28" max="32" width="5.44140625" style="22" customWidth="1"/>
    <col min="33" max="50" width="5.44140625" style="2" customWidth="1"/>
    <col min="51" max="16384" width="8.88671875" style="2"/>
  </cols>
  <sheetData>
    <row r="1" spans="2:51" x14ac:dyDescent="0.4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2"/>
      <c r="X1" s="22"/>
      <c r="Y1" s="22"/>
      <c r="Z1" s="22"/>
    </row>
    <row r="2" spans="2:51" x14ac:dyDescent="0.45">
      <c r="B2" s="22"/>
      <c r="C2" s="22"/>
      <c r="D2" s="22"/>
      <c r="E2" s="5"/>
      <c r="F2" s="6"/>
      <c r="G2" s="7"/>
      <c r="H2" s="51" t="s">
        <v>27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8"/>
      <c r="U2" s="52" t="s">
        <v>24</v>
      </c>
      <c r="V2" s="53"/>
      <c r="W2" s="22"/>
      <c r="X2" s="22"/>
      <c r="Y2" s="22"/>
      <c r="Z2" s="22"/>
    </row>
    <row r="3" spans="2:51" x14ac:dyDescent="0.45">
      <c r="B3" s="22"/>
      <c r="C3" s="22"/>
      <c r="D3" s="22"/>
      <c r="E3" s="10"/>
      <c r="F3" s="11"/>
      <c r="G3" s="12"/>
      <c r="H3" s="62" t="s">
        <v>25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13"/>
      <c r="U3" s="52" t="s">
        <v>24</v>
      </c>
      <c r="V3" s="53"/>
      <c r="W3" s="22"/>
      <c r="X3" s="22"/>
      <c r="Y3" s="22"/>
      <c r="Z3" s="22"/>
    </row>
    <row r="4" spans="2:51" x14ac:dyDescent="0.45">
      <c r="B4" s="22"/>
      <c r="C4" s="22"/>
      <c r="D4" s="22"/>
      <c r="E4" s="14"/>
      <c r="F4" s="15"/>
      <c r="G4" s="16"/>
      <c r="H4" s="16" t="s">
        <v>26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17"/>
      <c r="U4" s="18"/>
      <c r="V4" s="18"/>
      <c r="W4" s="22"/>
      <c r="X4" s="22"/>
      <c r="Y4" s="22"/>
      <c r="Z4" s="22"/>
    </row>
    <row r="5" spans="2:51" x14ac:dyDescent="0.45"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9"/>
      <c r="W5" s="22"/>
      <c r="X5" s="22"/>
      <c r="Y5" s="22"/>
      <c r="Z5" s="22"/>
    </row>
    <row r="6" spans="2:51" ht="20.25" thickBot="1" x14ac:dyDescent="0.5"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9"/>
      <c r="W6" s="22"/>
      <c r="X6" s="22"/>
      <c r="Y6" s="22"/>
      <c r="Z6" s="22"/>
    </row>
    <row r="7" spans="2:51" ht="27" x14ac:dyDescent="0.6">
      <c r="B7" s="56" t="s">
        <v>29</v>
      </c>
      <c r="C7" s="57"/>
      <c r="D7" s="57"/>
      <c r="E7" s="57"/>
      <c r="F7" s="57"/>
      <c r="G7" s="27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8</v>
      </c>
      <c r="M7" s="28" t="s">
        <v>9</v>
      </c>
      <c r="N7" s="28" t="s">
        <v>10</v>
      </c>
      <c r="O7" s="28" t="s">
        <v>11</v>
      </c>
      <c r="P7" s="28" t="s">
        <v>12</v>
      </c>
      <c r="Q7" s="28" t="s">
        <v>13</v>
      </c>
      <c r="R7" s="28" t="s">
        <v>14</v>
      </c>
      <c r="S7" s="28" t="s">
        <v>15</v>
      </c>
      <c r="T7" s="28" t="s">
        <v>16</v>
      </c>
      <c r="U7" s="28" t="s">
        <v>17</v>
      </c>
      <c r="V7" s="28" t="s">
        <v>18</v>
      </c>
      <c r="W7" s="28" t="s">
        <v>19</v>
      </c>
      <c r="X7" s="28" t="s">
        <v>20</v>
      </c>
      <c r="Y7" s="28" t="s">
        <v>21</v>
      </c>
      <c r="Z7" s="29" t="s">
        <v>22</v>
      </c>
    </row>
    <row r="8" spans="2:51" ht="27.75" thickBot="1" x14ac:dyDescent="0.65">
      <c r="B8" s="54" t="s">
        <v>28</v>
      </c>
      <c r="C8" s="55"/>
      <c r="D8" s="55"/>
      <c r="E8" s="55"/>
      <c r="F8" s="55"/>
      <c r="G8" s="30">
        <f t="shared" ref="G8:Z8" si="0">SUM(G33:G47)</f>
        <v>0</v>
      </c>
      <c r="H8" s="31">
        <f t="shared" si="0"/>
        <v>0</v>
      </c>
      <c r="I8" s="31">
        <f t="shared" si="0"/>
        <v>0</v>
      </c>
      <c r="J8" s="31">
        <f t="shared" si="0"/>
        <v>0</v>
      </c>
      <c r="K8" s="31">
        <f t="shared" si="0"/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  <c r="O8" s="31">
        <f t="shared" si="0"/>
        <v>0</v>
      </c>
      <c r="P8" s="31">
        <f t="shared" si="0"/>
        <v>0</v>
      </c>
      <c r="Q8" s="31">
        <f t="shared" si="0"/>
        <v>0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</v>
      </c>
      <c r="Y8" s="31">
        <f t="shared" si="0"/>
        <v>0</v>
      </c>
      <c r="Z8" s="32">
        <f t="shared" si="0"/>
        <v>0</v>
      </c>
    </row>
    <row r="9" spans="2:51" x14ac:dyDescent="0.45"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9"/>
      <c r="W9" s="22"/>
      <c r="X9" s="22"/>
      <c r="Y9" s="22"/>
      <c r="Z9" s="22"/>
    </row>
    <row r="10" spans="2:51" ht="20.25" thickBot="1" x14ac:dyDescent="0.5"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9"/>
      <c r="W10" s="22"/>
      <c r="X10" s="22"/>
      <c r="Y10" s="22"/>
      <c r="Z10" s="22"/>
    </row>
    <row r="11" spans="2:51" ht="27.75" thickBot="1" x14ac:dyDescent="0.65">
      <c r="B11" s="58" t="s">
        <v>30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60"/>
    </row>
    <row r="12" spans="2:51" s="22" customFormat="1" ht="27.75" thickBot="1" x14ac:dyDescent="0.65">
      <c r="B12" s="33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3"/>
    </row>
    <row r="13" spans="2:51" ht="27.75" thickBot="1" x14ac:dyDescent="0.5">
      <c r="B13" s="23"/>
      <c r="C13" s="23"/>
      <c r="D13" s="23"/>
      <c r="E13" s="23"/>
      <c r="F13" s="23"/>
      <c r="G13" s="48" t="s">
        <v>33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/>
    </row>
    <row r="14" spans="2:51" ht="20.25" thickBot="1" x14ac:dyDescent="0.5">
      <c r="B14" s="40" t="s">
        <v>0</v>
      </c>
      <c r="C14" s="40" t="s">
        <v>31</v>
      </c>
      <c r="D14" s="40" t="s">
        <v>32</v>
      </c>
      <c r="E14" s="45" t="s">
        <v>1</v>
      </c>
      <c r="F14" s="44" t="s">
        <v>2</v>
      </c>
      <c r="G14" s="42" t="s">
        <v>3</v>
      </c>
      <c r="H14" s="43" t="s">
        <v>4</v>
      </c>
      <c r="I14" s="43" t="s">
        <v>5</v>
      </c>
      <c r="J14" s="43" t="s">
        <v>6</v>
      </c>
      <c r="K14" s="43" t="s">
        <v>7</v>
      </c>
      <c r="L14" s="43" t="s">
        <v>8</v>
      </c>
      <c r="M14" s="43" t="s">
        <v>9</v>
      </c>
      <c r="N14" s="43" t="s">
        <v>10</v>
      </c>
      <c r="O14" s="43" t="s">
        <v>11</v>
      </c>
      <c r="P14" s="43" t="s">
        <v>12</v>
      </c>
      <c r="Q14" s="43" t="s">
        <v>13</v>
      </c>
      <c r="R14" s="43" t="s">
        <v>14</v>
      </c>
      <c r="S14" s="43" t="s">
        <v>15</v>
      </c>
      <c r="T14" s="43" t="s">
        <v>16</v>
      </c>
      <c r="U14" s="43" t="s">
        <v>17</v>
      </c>
      <c r="V14" s="43" t="s">
        <v>18</v>
      </c>
      <c r="W14" s="43" t="s">
        <v>19</v>
      </c>
      <c r="X14" s="43" t="s">
        <v>20</v>
      </c>
      <c r="Y14" s="43" t="s">
        <v>21</v>
      </c>
      <c r="Z14" s="44" t="s">
        <v>22</v>
      </c>
      <c r="AA14" s="24"/>
    </row>
    <row r="15" spans="2:51" x14ac:dyDescent="0.45">
      <c r="B15" s="35" t="s">
        <v>34</v>
      </c>
      <c r="C15" s="35" t="s">
        <v>36</v>
      </c>
      <c r="D15" s="35" t="s">
        <v>37</v>
      </c>
      <c r="E15" s="37">
        <v>555</v>
      </c>
      <c r="F15" s="26">
        <f>E15/10</f>
        <v>55.5</v>
      </c>
      <c r="G15" s="63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51" x14ac:dyDescent="0.45">
      <c r="B16" s="35" t="s">
        <v>38</v>
      </c>
      <c r="C16" s="35" t="s">
        <v>39</v>
      </c>
      <c r="D16" s="35" t="s">
        <v>37</v>
      </c>
      <c r="E16" s="37">
        <v>230</v>
      </c>
      <c r="F16" s="26">
        <f t="shared" ref="F16:F29" si="1">E16/10</f>
        <v>23</v>
      </c>
      <c r="G16" s="63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Y16" s="3"/>
    </row>
    <row r="17" spans="2:51" x14ac:dyDescent="0.45">
      <c r="B17" s="35" t="s">
        <v>40</v>
      </c>
      <c r="C17" s="35" t="s">
        <v>35</v>
      </c>
      <c r="D17" s="35" t="s">
        <v>37</v>
      </c>
      <c r="E17" s="37">
        <v>10</v>
      </c>
      <c r="F17" s="26">
        <f t="shared" si="1"/>
        <v>1</v>
      </c>
      <c r="G17" s="63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Y17" s="3"/>
    </row>
    <row r="18" spans="2:51" x14ac:dyDescent="0.45">
      <c r="B18" s="35" t="s">
        <v>41</v>
      </c>
      <c r="C18" s="35" t="s">
        <v>35</v>
      </c>
      <c r="D18" s="35" t="s">
        <v>37</v>
      </c>
      <c r="E18" s="37">
        <v>15</v>
      </c>
      <c r="F18" s="26">
        <f t="shared" si="1"/>
        <v>1.5</v>
      </c>
      <c r="G18" s="63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Y18" s="3"/>
    </row>
    <row r="19" spans="2:51" x14ac:dyDescent="0.45">
      <c r="B19" s="35" t="s">
        <v>42</v>
      </c>
      <c r="C19" s="35" t="s">
        <v>43</v>
      </c>
      <c r="D19" s="35" t="s">
        <v>37</v>
      </c>
      <c r="E19" s="37">
        <v>190</v>
      </c>
      <c r="F19" s="26">
        <f t="shared" si="1"/>
        <v>19</v>
      </c>
      <c r="G19" s="63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Y19" s="3"/>
    </row>
    <row r="20" spans="2:51" x14ac:dyDescent="0.45">
      <c r="B20" s="35" t="s">
        <v>44</v>
      </c>
      <c r="C20" s="35" t="s">
        <v>35</v>
      </c>
      <c r="D20" s="35" t="s">
        <v>45</v>
      </c>
      <c r="E20" s="37">
        <v>3</v>
      </c>
      <c r="F20" s="26">
        <f t="shared" si="1"/>
        <v>0.3</v>
      </c>
      <c r="G20" s="63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Y20" s="3"/>
    </row>
    <row r="21" spans="2:51" x14ac:dyDescent="0.45">
      <c r="B21" s="35"/>
      <c r="C21" s="35"/>
      <c r="D21" s="35"/>
      <c r="E21" s="37"/>
      <c r="F21" s="26">
        <f t="shared" si="1"/>
        <v>0</v>
      </c>
      <c r="G21" s="63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Y21" s="3"/>
    </row>
    <row r="22" spans="2:51" x14ac:dyDescent="0.45">
      <c r="B22" s="35"/>
      <c r="C22" s="35"/>
      <c r="D22" s="35"/>
      <c r="E22" s="37"/>
      <c r="F22" s="26">
        <f t="shared" si="1"/>
        <v>0</v>
      </c>
      <c r="G22" s="63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Y22" s="3"/>
    </row>
    <row r="23" spans="2:51" x14ac:dyDescent="0.45">
      <c r="B23" s="35"/>
      <c r="C23" s="35"/>
      <c r="D23" s="35"/>
      <c r="E23" s="37"/>
      <c r="F23" s="26">
        <f t="shared" si="1"/>
        <v>0</v>
      </c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Y23" s="3"/>
    </row>
    <row r="24" spans="2:51" x14ac:dyDescent="0.45">
      <c r="B24" s="35"/>
      <c r="C24" s="35"/>
      <c r="D24" s="35"/>
      <c r="E24" s="37"/>
      <c r="F24" s="26">
        <f t="shared" si="1"/>
        <v>0</v>
      </c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Y24" s="3"/>
    </row>
    <row r="25" spans="2:51" x14ac:dyDescent="0.45">
      <c r="B25" s="35"/>
      <c r="C25" s="35"/>
      <c r="D25" s="35"/>
      <c r="E25" s="37"/>
      <c r="F25" s="26">
        <f t="shared" si="1"/>
        <v>0</v>
      </c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Y25" s="3"/>
    </row>
    <row r="26" spans="2:51" x14ac:dyDescent="0.45">
      <c r="B26" s="35"/>
      <c r="C26" s="35"/>
      <c r="D26" s="35"/>
      <c r="E26" s="37"/>
      <c r="F26" s="26">
        <f t="shared" si="1"/>
        <v>0</v>
      </c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Y26" s="3"/>
    </row>
    <row r="27" spans="2:51" x14ac:dyDescent="0.45">
      <c r="B27" s="35"/>
      <c r="C27" s="35"/>
      <c r="D27" s="35"/>
      <c r="E27" s="37"/>
      <c r="F27" s="26">
        <f t="shared" si="1"/>
        <v>0</v>
      </c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Y27" s="3"/>
    </row>
    <row r="28" spans="2:51" x14ac:dyDescent="0.45">
      <c r="B28" s="35"/>
      <c r="C28" s="35"/>
      <c r="D28" s="35"/>
      <c r="E28" s="37"/>
      <c r="F28" s="26">
        <f t="shared" si="1"/>
        <v>0</v>
      </c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5"/>
      <c r="AY28" s="3"/>
    </row>
    <row r="29" spans="2:51" ht="20.25" thickBot="1" x14ac:dyDescent="0.5">
      <c r="B29" s="36"/>
      <c r="C29" s="36"/>
      <c r="D29" s="36"/>
      <c r="E29" s="38"/>
      <c r="F29" s="39">
        <f t="shared" si="1"/>
        <v>0</v>
      </c>
      <c r="G29" s="6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8"/>
      <c r="AY29" s="3"/>
    </row>
    <row r="30" spans="2:51" s="22" customFormat="1" x14ac:dyDescent="0.45">
      <c r="B30" s="22" t="s">
        <v>23</v>
      </c>
      <c r="E30" s="24">
        <v>1000</v>
      </c>
      <c r="F30" s="24">
        <f>$E30/10</f>
        <v>100</v>
      </c>
      <c r="AA30" s="23"/>
      <c r="AY30" s="25"/>
    </row>
    <row r="31" spans="2:51" s="22" customFormat="1" ht="20.25" thickBot="1" x14ac:dyDescent="0.5">
      <c r="E31" s="24"/>
      <c r="F31" s="24"/>
      <c r="AA31" s="23"/>
      <c r="AY31" s="25"/>
    </row>
    <row r="32" spans="2:51" ht="20.25" thickBot="1" x14ac:dyDescent="0.5">
      <c r="B32" s="46" t="s">
        <v>0</v>
      </c>
      <c r="C32" s="40" t="s">
        <v>31</v>
      </c>
      <c r="D32" s="40" t="s">
        <v>32</v>
      </c>
      <c r="E32" s="45" t="s">
        <v>1</v>
      </c>
      <c r="F32" s="41" t="s">
        <v>2</v>
      </c>
      <c r="G32" s="42" t="s">
        <v>3</v>
      </c>
      <c r="H32" s="43" t="s">
        <v>4</v>
      </c>
      <c r="I32" s="43" t="s">
        <v>5</v>
      </c>
      <c r="J32" s="43" t="s">
        <v>6</v>
      </c>
      <c r="K32" s="43" t="s">
        <v>7</v>
      </c>
      <c r="L32" s="43" t="s">
        <v>8</v>
      </c>
      <c r="M32" s="43" t="s">
        <v>9</v>
      </c>
      <c r="N32" s="43" t="s">
        <v>10</v>
      </c>
      <c r="O32" s="43" t="s">
        <v>11</v>
      </c>
      <c r="P32" s="43" t="s">
        <v>12</v>
      </c>
      <c r="Q32" s="43" t="s">
        <v>13</v>
      </c>
      <c r="R32" s="43" t="s">
        <v>14</v>
      </c>
      <c r="S32" s="43" t="s">
        <v>15</v>
      </c>
      <c r="T32" s="43" t="s">
        <v>16</v>
      </c>
      <c r="U32" s="43" t="s">
        <v>17</v>
      </c>
      <c r="V32" s="43" t="s">
        <v>18</v>
      </c>
      <c r="W32" s="43" t="s">
        <v>19</v>
      </c>
      <c r="X32" s="43" t="s">
        <v>20</v>
      </c>
      <c r="Y32" s="43" t="s">
        <v>21</v>
      </c>
      <c r="Z32" s="44" t="s">
        <v>22</v>
      </c>
    </row>
    <row r="33" spans="1:51" customFormat="1" x14ac:dyDescent="0.45">
      <c r="A33" s="23"/>
      <c r="B33" s="21" t="str">
        <f>B15</f>
        <v>Urea</v>
      </c>
      <c r="C33" s="35" t="str">
        <f>C15</f>
        <v>Evoagro</v>
      </c>
      <c r="D33" s="35" t="str">
        <f>D15</f>
        <v>Granulado</v>
      </c>
      <c r="E33" s="37">
        <f>E15</f>
        <v>555</v>
      </c>
      <c r="F33" s="47">
        <f t="shared" ref="F33:F38" si="2">E33/10</f>
        <v>55.5</v>
      </c>
      <c r="G33" s="69" t="str">
        <f t="shared" ref="G33:G47" si="3">IF(G15="","",G15*$F15/$F$30)</f>
        <v/>
      </c>
      <c r="H33" s="70" t="str">
        <f t="shared" ref="H33:H47" si="4">IF(H15="","",SUM(I33:L33))</f>
        <v/>
      </c>
      <c r="I33" s="70" t="str">
        <f t="shared" ref="I33:Z33" si="5">IF(I15="","",I15*$F15/$F$30)</f>
        <v/>
      </c>
      <c r="J33" s="70" t="str">
        <f t="shared" si="5"/>
        <v/>
      </c>
      <c r="K33" s="70" t="str">
        <f t="shared" si="5"/>
        <v/>
      </c>
      <c r="L33" s="70" t="str">
        <f t="shared" si="5"/>
        <v/>
      </c>
      <c r="M33" s="70" t="str">
        <f t="shared" si="5"/>
        <v/>
      </c>
      <c r="N33" s="70" t="str">
        <f t="shared" si="5"/>
        <v/>
      </c>
      <c r="O33" s="70" t="str">
        <f t="shared" si="5"/>
        <v/>
      </c>
      <c r="P33" s="70" t="str">
        <f t="shared" si="5"/>
        <v/>
      </c>
      <c r="Q33" s="70" t="str">
        <f t="shared" si="5"/>
        <v/>
      </c>
      <c r="R33" s="70" t="str">
        <f t="shared" si="5"/>
        <v/>
      </c>
      <c r="S33" s="70" t="str">
        <f t="shared" si="5"/>
        <v/>
      </c>
      <c r="T33" s="70" t="str">
        <f t="shared" si="5"/>
        <v/>
      </c>
      <c r="U33" s="70" t="str">
        <f t="shared" si="5"/>
        <v/>
      </c>
      <c r="V33" s="70" t="str">
        <f t="shared" si="5"/>
        <v/>
      </c>
      <c r="W33" s="70" t="str">
        <f t="shared" si="5"/>
        <v/>
      </c>
      <c r="X33" s="70" t="str">
        <f t="shared" si="5"/>
        <v/>
      </c>
      <c r="Y33" s="70" t="str">
        <f t="shared" si="5"/>
        <v/>
      </c>
      <c r="Z33" s="71" t="str">
        <f t="shared" si="5"/>
        <v/>
      </c>
      <c r="AA33" s="23"/>
      <c r="AB33" s="22"/>
      <c r="AC33" s="22"/>
      <c r="AD33" s="22"/>
      <c r="AE33" s="2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3"/>
      <c r="B34" s="21" t="str">
        <f t="shared" ref="B34:E47" si="6">B16</f>
        <v>DAP</v>
      </c>
      <c r="C34" s="35" t="str">
        <f t="shared" ref="C34:D47" si="7">C16</f>
        <v>Ciamsa</v>
      </c>
      <c r="D34" s="35" t="str">
        <f t="shared" si="7"/>
        <v>Granulado</v>
      </c>
      <c r="E34" s="37">
        <f t="shared" si="6"/>
        <v>230</v>
      </c>
      <c r="F34" s="37">
        <f t="shared" si="2"/>
        <v>23</v>
      </c>
      <c r="G34" s="72" t="str">
        <f t="shared" si="3"/>
        <v/>
      </c>
      <c r="H34" s="73" t="str">
        <f t="shared" si="4"/>
        <v/>
      </c>
      <c r="I34" s="73" t="str">
        <f t="shared" ref="I34:Z34" si="8">IF(I16="","",I16*$F16/$F$30)</f>
        <v/>
      </c>
      <c r="J34" s="73" t="str">
        <f t="shared" si="8"/>
        <v/>
      </c>
      <c r="K34" s="73" t="str">
        <f t="shared" si="8"/>
        <v/>
      </c>
      <c r="L34" s="73" t="str">
        <f t="shared" si="8"/>
        <v/>
      </c>
      <c r="M34" s="73" t="str">
        <f t="shared" si="8"/>
        <v/>
      </c>
      <c r="N34" s="73" t="str">
        <f t="shared" si="8"/>
        <v/>
      </c>
      <c r="O34" s="73" t="str">
        <f t="shared" si="8"/>
        <v/>
      </c>
      <c r="P34" s="73" t="str">
        <f t="shared" si="8"/>
        <v/>
      </c>
      <c r="Q34" s="73" t="str">
        <f t="shared" si="8"/>
        <v/>
      </c>
      <c r="R34" s="73" t="str">
        <f t="shared" si="8"/>
        <v/>
      </c>
      <c r="S34" s="73" t="str">
        <f t="shared" si="8"/>
        <v/>
      </c>
      <c r="T34" s="73" t="str">
        <f t="shared" si="8"/>
        <v/>
      </c>
      <c r="U34" s="73" t="str">
        <f t="shared" si="8"/>
        <v/>
      </c>
      <c r="V34" s="73" t="str">
        <f t="shared" si="8"/>
        <v/>
      </c>
      <c r="W34" s="73" t="str">
        <f t="shared" si="8"/>
        <v/>
      </c>
      <c r="X34" s="73" t="str">
        <f t="shared" si="8"/>
        <v/>
      </c>
      <c r="Y34" s="73" t="str">
        <f t="shared" si="8"/>
        <v/>
      </c>
      <c r="Z34" s="74" t="str">
        <f t="shared" si="8"/>
        <v/>
      </c>
      <c r="AA34" s="23"/>
      <c r="AB34" s="22"/>
      <c r="AC34" s="22"/>
      <c r="AD34" s="22"/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3"/>
      <c r="B35" s="21" t="str">
        <f t="shared" si="6"/>
        <v>Boro</v>
      </c>
      <c r="C35" s="35" t="str">
        <f t="shared" si="7"/>
        <v>Calferquim</v>
      </c>
      <c r="D35" s="35" t="str">
        <f t="shared" si="7"/>
        <v>Granulado</v>
      </c>
      <c r="E35" s="37">
        <f t="shared" si="6"/>
        <v>10</v>
      </c>
      <c r="F35" s="37">
        <f t="shared" si="2"/>
        <v>1</v>
      </c>
      <c r="G35" s="72" t="str">
        <f t="shared" si="3"/>
        <v/>
      </c>
      <c r="H35" s="73" t="str">
        <f t="shared" si="4"/>
        <v/>
      </c>
      <c r="I35" s="73" t="str">
        <f t="shared" ref="I35:Z35" si="9">IF(I17="","",I17*$F17/$F$30)</f>
        <v/>
      </c>
      <c r="J35" s="73" t="str">
        <f t="shared" si="9"/>
        <v/>
      </c>
      <c r="K35" s="73" t="str">
        <f t="shared" si="9"/>
        <v/>
      </c>
      <c r="L35" s="73" t="str">
        <f t="shared" si="9"/>
        <v/>
      </c>
      <c r="M35" s="73" t="str">
        <f t="shared" si="9"/>
        <v/>
      </c>
      <c r="N35" s="73" t="str">
        <f t="shared" si="9"/>
        <v/>
      </c>
      <c r="O35" s="73" t="str">
        <f t="shared" si="9"/>
        <v/>
      </c>
      <c r="P35" s="73" t="str">
        <f t="shared" si="9"/>
        <v/>
      </c>
      <c r="Q35" s="73" t="str">
        <f t="shared" si="9"/>
        <v/>
      </c>
      <c r="R35" s="73" t="str">
        <f t="shared" si="9"/>
        <v/>
      </c>
      <c r="S35" s="73" t="str">
        <f t="shared" si="9"/>
        <v/>
      </c>
      <c r="T35" s="73" t="str">
        <f t="shared" si="9"/>
        <v/>
      </c>
      <c r="U35" s="73" t="str">
        <f t="shared" si="9"/>
        <v/>
      </c>
      <c r="V35" s="73" t="str">
        <f t="shared" si="9"/>
        <v/>
      </c>
      <c r="W35" s="73" t="str">
        <f t="shared" si="9"/>
        <v/>
      </c>
      <c r="X35" s="73" t="str">
        <f t="shared" si="9"/>
        <v/>
      </c>
      <c r="Y35" s="73" t="str">
        <f t="shared" si="9"/>
        <v/>
      </c>
      <c r="Z35" s="74" t="str">
        <f t="shared" si="9"/>
        <v/>
      </c>
      <c r="AA35" s="23"/>
      <c r="AB35" s="22"/>
      <c r="AC35" s="22"/>
      <c r="AD35" s="22"/>
      <c r="AE35" s="22"/>
      <c r="AF35" s="2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3"/>
      <c r="B36" s="21" t="str">
        <f t="shared" si="6"/>
        <v>Calferzinc-p</v>
      </c>
      <c r="C36" s="35" t="str">
        <f t="shared" si="7"/>
        <v>Calferquim</v>
      </c>
      <c r="D36" s="35" t="str">
        <f t="shared" si="7"/>
        <v>Granulado</v>
      </c>
      <c r="E36" s="37">
        <f t="shared" si="6"/>
        <v>15</v>
      </c>
      <c r="F36" s="37">
        <f t="shared" si="2"/>
        <v>1.5</v>
      </c>
      <c r="G36" s="72" t="str">
        <f t="shared" si="3"/>
        <v/>
      </c>
      <c r="H36" s="73" t="str">
        <f t="shared" si="4"/>
        <v/>
      </c>
      <c r="I36" s="73" t="str">
        <f>IF(I18="","",I18*$F18/$F$30)</f>
        <v/>
      </c>
      <c r="J36" s="73" t="str">
        <f t="shared" ref="J36:Z36" si="10">IF(J18="","",J18*$F18/$F$30)</f>
        <v/>
      </c>
      <c r="K36" s="73" t="str">
        <f t="shared" si="10"/>
        <v/>
      </c>
      <c r="L36" s="73" t="str">
        <f t="shared" si="10"/>
        <v/>
      </c>
      <c r="M36" s="73" t="str">
        <f t="shared" si="10"/>
        <v/>
      </c>
      <c r="N36" s="73" t="str">
        <f t="shared" si="10"/>
        <v/>
      </c>
      <c r="O36" s="73" t="str">
        <f t="shared" si="10"/>
        <v/>
      </c>
      <c r="P36" s="73" t="str">
        <f t="shared" si="10"/>
        <v/>
      </c>
      <c r="Q36" s="73" t="str">
        <f t="shared" si="10"/>
        <v/>
      </c>
      <c r="R36" s="73" t="str">
        <f t="shared" si="10"/>
        <v/>
      </c>
      <c r="S36" s="73" t="str">
        <f t="shared" si="10"/>
        <v/>
      </c>
      <c r="T36" s="73" t="str">
        <f t="shared" si="10"/>
        <v/>
      </c>
      <c r="U36" s="73" t="str">
        <f t="shared" si="10"/>
        <v/>
      </c>
      <c r="V36" s="73" t="str">
        <f t="shared" si="10"/>
        <v/>
      </c>
      <c r="W36" s="73" t="str">
        <f t="shared" si="10"/>
        <v/>
      </c>
      <c r="X36" s="73" t="str">
        <f t="shared" si="10"/>
        <v/>
      </c>
      <c r="Y36" s="73" t="str">
        <f t="shared" si="10"/>
        <v/>
      </c>
      <c r="Z36" s="74" t="str">
        <f t="shared" si="10"/>
        <v/>
      </c>
      <c r="AA36" s="23"/>
      <c r="AB36" s="22"/>
      <c r="AC36" s="22"/>
      <c r="AD36" s="22"/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3"/>
      <c r="B37" s="21" t="str">
        <f t="shared" si="6"/>
        <v>Patenkali</v>
      </c>
      <c r="C37" s="35" t="str">
        <f t="shared" si="7"/>
        <v>Disan</v>
      </c>
      <c r="D37" s="35" t="str">
        <f t="shared" si="7"/>
        <v>Granulado</v>
      </c>
      <c r="E37" s="37">
        <f t="shared" si="6"/>
        <v>190</v>
      </c>
      <c r="F37" s="37">
        <f t="shared" si="2"/>
        <v>19</v>
      </c>
      <c r="G37" s="72" t="str">
        <f t="shared" si="3"/>
        <v/>
      </c>
      <c r="H37" s="73" t="str">
        <f t="shared" si="4"/>
        <v/>
      </c>
      <c r="I37" s="73" t="str">
        <f t="shared" ref="I37:Z37" si="11">IF(I19="","",I19*$F19/$F$30)</f>
        <v/>
      </c>
      <c r="J37" s="73" t="str">
        <f t="shared" si="11"/>
        <v/>
      </c>
      <c r="K37" s="73" t="str">
        <f t="shared" si="11"/>
        <v/>
      </c>
      <c r="L37" s="73" t="str">
        <f t="shared" si="11"/>
        <v/>
      </c>
      <c r="M37" s="73" t="str">
        <f t="shared" si="11"/>
        <v/>
      </c>
      <c r="N37" s="73" t="str">
        <f t="shared" si="11"/>
        <v/>
      </c>
      <c r="O37" s="73" t="str">
        <f t="shared" si="11"/>
        <v/>
      </c>
      <c r="P37" s="73" t="str">
        <f t="shared" si="11"/>
        <v/>
      </c>
      <c r="Q37" s="73" t="str">
        <f t="shared" si="11"/>
        <v/>
      </c>
      <c r="R37" s="73" t="str">
        <f t="shared" si="11"/>
        <v/>
      </c>
      <c r="S37" s="73" t="str">
        <f t="shared" si="11"/>
        <v/>
      </c>
      <c r="T37" s="73" t="str">
        <f t="shared" si="11"/>
        <v/>
      </c>
      <c r="U37" s="73" t="str">
        <f t="shared" si="11"/>
        <v/>
      </c>
      <c r="V37" s="73" t="str">
        <f t="shared" si="11"/>
        <v/>
      </c>
      <c r="W37" s="73" t="str">
        <f t="shared" si="11"/>
        <v/>
      </c>
      <c r="X37" s="73" t="str">
        <f t="shared" si="11"/>
        <v/>
      </c>
      <c r="Y37" s="73" t="str">
        <f t="shared" si="11"/>
        <v/>
      </c>
      <c r="Z37" s="74" t="str">
        <f t="shared" si="11"/>
        <v/>
      </c>
      <c r="AA37" s="23"/>
      <c r="AB37" s="22"/>
      <c r="AC37" s="22"/>
      <c r="AD37" s="22"/>
      <c r="AE37" s="22"/>
      <c r="AF37" s="2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3"/>
      <c r="B38" s="21" t="str">
        <f t="shared" si="6"/>
        <v>Carbonitro</v>
      </c>
      <c r="C38" s="35" t="str">
        <f t="shared" si="7"/>
        <v>Calferquim</v>
      </c>
      <c r="D38" s="35" t="str">
        <f t="shared" si="7"/>
        <v>Liquido</v>
      </c>
      <c r="E38" s="37">
        <f t="shared" si="6"/>
        <v>3</v>
      </c>
      <c r="F38" s="37">
        <f t="shared" si="2"/>
        <v>0.3</v>
      </c>
      <c r="G38" s="72" t="str">
        <f t="shared" si="3"/>
        <v/>
      </c>
      <c r="H38" s="73" t="str">
        <f t="shared" si="4"/>
        <v/>
      </c>
      <c r="I38" s="73" t="str">
        <f t="shared" ref="I38:Z38" si="12">IF(I20="","",I20*$F20/$F$30)</f>
        <v/>
      </c>
      <c r="J38" s="73" t="str">
        <f t="shared" si="12"/>
        <v/>
      </c>
      <c r="K38" s="73" t="str">
        <f t="shared" si="12"/>
        <v/>
      </c>
      <c r="L38" s="73" t="str">
        <f t="shared" si="12"/>
        <v/>
      </c>
      <c r="M38" s="73" t="str">
        <f t="shared" si="12"/>
        <v/>
      </c>
      <c r="N38" s="73" t="str">
        <f t="shared" si="12"/>
        <v/>
      </c>
      <c r="O38" s="73" t="str">
        <f t="shared" si="12"/>
        <v/>
      </c>
      <c r="P38" s="73" t="str">
        <f t="shared" si="12"/>
        <v/>
      </c>
      <c r="Q38" s="73" t="str">
        <f t="shared" si="12"/>
        <v/>
      </c>
      <c r="R38" s="73" t="str">
        <f t="shared" si="12"/>
        <v/>
      </c>
      <c r="S38" s="73" t="str">
        <f t="shared" si="12"/>
        <v/>
      </c>
      <c r="T38" s="73" t="str">
        <f t="shared" si="12"/>
        <v/>
      </c>
      <c r="U38" s="73" t="str">
        <f t="shared" si="12"/>
        <v/>
      </c>
      <c r="V38" s="73" t="str">
        <f t="shared" si="12"/>
        <v/>
      </c>
      <c r="W38" s="73" t="str">
        <f t="shared" si="12"/>
        <v/>
      </c>
      <c r="X38" s="73" t="str">
        <f t="shared" si="12"/>
        <v/>
      </c>
      <c r="Y38" s="73" t="str">
        <f t="shared" si="12"/>
        <v/>
      </c>
      <c r="Z38" s="74" t="str">
        <f t="shared" si="12"/>
        <v/>
      </c>
      <c r="AA38" s="23"/>
      <c r="AB38" s="22"/>
      <c r="AC38" s="22"/>
      <c r="AD38" s="22"/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3"/>
      <c r="B39" s="21">
        <f t="shared" si="6"/>
        <v>0</v>
      </c>
      <c r="C39" s="35">
        <f t="shared" si="7"/>
        <v>0</v>
      </c>
      <c r="D39" s="35">
        <f t="shared" si="7"/>
        <v>0</v>
      </c>
      <c r="E39" s="37">
        <f t="shared" si="6"/>
        <v>0</v>
      </c>
      <c r="F39" s="37">
        <f t="shared" ref="F39:F47" si="13">E39/10</f>
        <v>0</v>
      </c>
      <c r="G39" s="72" t="str">
        <f t="shared" si="3"/>
        <v/>
      </c>
      <c r="H39" s="73" t="str">
        <f t="shared" si="4"/>
        <v/>
      </c>
      <c r="I39" s="73" t="str">
        <f t="shared" ref="I39:Z39" si="14">IF(I21="","",I21*$F21/$F$30)</f>
        <v/>
      </c>
      <c r="J39" s="73" t="str">
        <f t="shared" si="14"/>
        <v/>
      </c>
      <c r="K39" s="73" t="str">
        <f t="shared" si="14"/>
        <v/>
      </c>
      <c r="L39" s="73" t="str">
        <f t="shared" si="14"/>
        <v/>
      </c>
      <c r="M39" s="73" t="str">
        <f t="shared" si="14"/>
        <v/>
      </c>
      <c r="N39" s="73" t="str">
        <f t="shared" si="14"/>
        <v/>
      </c>
      <c r="O39" s="73" t="str">
        <f t="shared" si="14"/>
        <v/>
      </c>
      <c r="P39" s="73" t="str">
        <f t="shared" si="14"/>
        <v/>
      </c>
      <c r="Q39" s="73" t="str">
        <f t="shared" si="14"/>
        <v/>
      </c>
      <c r="R39" s="73" t="str">
        <f t="shared" si="14"/>
        <v/>
      </c>
      <c r="S39" s="73" t="str">
        <f t="shared" si="14"/>
        <v/>
      </c>
      <c r="T39" s="73" t="str">
        <f t="shared" si="14"/>
        <v/>
      </c>
      <c r="U39" s="73" t="str">
        <f t="shared" si="14"/>
        <v/>
      </c>
      <c r="V39" s="73" t="str">
        <f t="shared" si="14"/>
        <v/>
      </c>
      <c r="W39" s="73" t="str">
        <f t="shared" si="14"/>
        <v/>
      </c>
      <c r="X39" s="73" t="str">
        <f t="shared" si="14"/>
        <v/>
      </c>
      <c r="Y39" s="73" t="str">
        <f t="shared" si="14"/>
        <v/>
      </c>
      <c r="Z39" s="74" t="str">
        <f t="shared" si="14"/>
        <v/>
      </c>
      <c r="AA39" s="23"/>
      <c r="AB39" s="22"/>
      <c r="AC39" s="22"/>
      <c r="AD39" s="22"/>
      <c r="AE39" s="22"/>
      <c r="AF39" s="2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3"/>
      <c r="B40" s="21">
        <f t="shared" si="6"/>
        <v>0</v>
      </c>
      <c r="C40" s="35">
        <f t="shared" si="7"/>
        <v>0</v>
      </c>
      <c r="D40" s="35">
        <f t="shared" si="7"/>
        <v>0</v>
      </c>
      <c r="E40" s="37">
        <f t="shared" si="6"/>
        <v>0</v>
      </c>
      <c r="F40" s="37">
        <f t="shared" si="13"/>
        <v>0</v>
      </c>
      <c r="G40" s="72" t="str">
        <f t="shared" si="3"/>
        <v/>
      </c>
      <c r="H40" s="73" t="str">
        <f t="shared" si="4"/>
        <v/>
      </c>
      <c r="I40" s="73" t="str">
        <f t="shared" ref="I40:Z40" si="15">IF(I22="","",I22*$F22/$F$30)</f>
        <v/>
      </c>
      <c r="J40" s="73" t="str">
        <f t="shared" si="15"/>
        <v/>
      </c>
      <c r="K40" s="73" t="str">
        <f t="shared" si="15"/>
        <v/>
      </c>
      <c r="L40" s="73" t="str">
        <f t="shared" si="15"/>
        <v/>
      </c>
      <c r="M40" s="73" t="str">
        <f t="shared" si="15"/>
        <v/>
      </c>
      <c r="N40" s="73" t="str">
        <f t="shared" si="15"/>
        <v/>
      </c>
      <c r="O40" s="73" t="str">
        <f t="shared" si="15"/>
        <v/>
      </c>
      <c r="P40" s="73" t="str">
        <f t="shared" si="15"/>
        <v/>
      </c>
      <c r="Q40" s="73" t="str">
        <f t="shared" si="15"/>
        <v/>
      </c>
      <c r="R40" s="73" t="str">
        <f t="shared" si="15"/>
        <v/>
      </c>
      <c r="S40" s="73" t="str">
        <f t="shared" si="15"/>
        <v/>
      </c>
      <c r="T40" s="73" t="str">
        <f t="shared" si="15"/>
        <v/>
      </c>
      <c r="U40" s="73" t="str">
        <f t="shared" si="15"/>
        <v/>
      </c>
      <c r="V40" s="73" t="str">
        <f t="shared" si="15"/>
        <v/>
      </c>
      <c r="W40" s="73" t="str">
        <f t="shared" si="15"/>
        <v/>
      </c>
      <c r="X40" s="73" t="str">
        <f t="shared" si="15"/>
        <v/>
      </c>
      <c r="Y40" s="73" t="str">
        <f t="shared" si="15"/>
        <v/>
      </c>
      <c r="Z40" s="74" t="str">
        <f t="shared" si="15"/>
        <v/>
      </c>
      <c r="AA40" s="23"/>
      <c r="AB40" s="22"/>
      <c r="AC40" s="22"/>
      <c r="AD40" s="22"/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3"/>
      <c r="B41" s="21">
        <f t="shared" si="6"/>
        <v>0</v>
      </c>
      <c r="C41" s="35">
        <f t="shared" si="7"/>
        <v>0</v>
      </c>
      <c r="D41" s="35">
        <f t="shared" si="7"/>
        <v>0</v>
      </c>
      <c r="E41" s="37">
        <f t="shared" si="6"/>
        <v>0</v>
      </c>
      <c r="F41" s="37">
        <f t="shared" si="13"/>
        <v>0</v>
      </c>
      <c r="G41" s="72" t="str">
        <f t="shared" si="3"/>
        <v/>
      </c>
      <c r="H41" s="73" t="str">
        <f t="shared" si="4"/>
        <v/>
      </c>
      <c r="I41" s="73" t="str">
        <f t="shared" ref="I41:Z41" si="16">IF(I23="","",I23*$F23/$F$30)</f>
        <v/>
      </c>
      <c r="J41" s="73" t="str">
        <f t="shared" si="16"/>
        <v/>
      </c>
      <c r="K41" s="73" t="str">
        <f t="shared" si="16"/>
        <v/>
      </c>
      <c r="L41" s="73" t="str">
        <f t="shared" si="16"/>
        <v/>
      </c>
      <c r="M41" s="73" t="str">
        <f t="shared" si="16"/>
        <v/>
      </c>
      <c r="N41" s="73" t="str">
        <f t="shared" si="16"/>
        <v/>
      </c>
      <c r="O41" s="73" t="str">
        <f t="shared" si="16"/>
        <v/>
      </c>
      <c r="P41" s="73" t="str">
        <f t="shared" si="16"/>
        <v/>
      </c>
      <c r="Q41" s="73" t="str">
        <f t="shared" si="16"/>
        <v/>
      </c>
      <c r="R41" s="73" t="str">
        <f t="shared" si="16"/>
        <v/>
      </c>
      <c r="S41" s="73" t="str">
        <f t="shared" si="16"/>
        <v/>
      </c>
      <c r="T41" s="73" t="str">
        <f t="shared" si="16"/>
        <v/>
      </c>
      <c r="U41" s="73" t="str">
        <f t="shared" si="16"/>
        <v/>
      </c>
      <c r="V41" s="73" t="str">
        <f t="shared" si="16"/>
        <v/>
      </c>
      <c r="W41" s="73" t="str">
        <f t="shared" si="16"/>
        <v/>
      </c>
      <c r="X41" s="73" t="str">
        <f t="shared" si="16"/>
        <v/>
      </c>
      <c r="Y41" s="73" t="str">
        <f t="shared" si="16"/>
        <v/>
      </c>
      <c r="Z41" s="74" t="str">
        <f t="shared" si="16"/>
        <v/>
      </c>
      <c r="AA41" s="23"/>
      <c r="AB41" s="22"/>
      <c r="AC41" s="22"/>
      <c r="AD41" s="22"/>
      <c r="AE41" s="22"/>
      <c r="AF41" s="2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3"/>
      <c r="B42" s="21">
        <f t="shared" si="6"/>
        <v>0</v>
      </c>
      <c r="C42" s="35">
        <f t="shared" si="7"/>
        <v>0</v>
      </c>
      <c r="D42" s="35">
        <f t="shared" si="7"/>
        <v>0</v>
      </c>
      <c r="E42" s="37">
        <f t="shared" si="6"/>
        <v>0</v>
      </c>
      <c r="F42" s="37">
        <f t="shared" si="13"/>
        <v>0</v>
      </c>
      <c r="G42" s="72" t="str">
        <f t="shared" si="3"/>
        <v/>
      </c>
      <c r="H42" s="73" t="str">
        <f t="shared" si="4"/>
        <v/>
      </c>
      <c r="I42" s="73" t="str">
        <f t="shared" ref="I42:Z42" si="17">IF(I24="","",I24*$F24/$F$30)</f>
        <v/>
      </c>
      <c r="J42" s="73" t="str">
        <f t="shared" si="17"/>
        <v/>
      </c>
      <c r="K42" s="73" t="str">
        <f t="shared" si="17"/>
        <v/>
      </c>
      <c r="L42" s="73" t="str">
        <f t="shared" si="17"/>
        <v/>
      </c>
      <c r="M42" s="73" t="str">
        <f t="shared" si="17"/>
        <v/>
      </c>
      <c r="N42" s="73" t="str">
        <f t="shared" si="17"/>
        <v/>
      </c>
      <c r="O42" s="73" t="str">
        <f t="shared" si="17"/>
        <v/>
      </c>
      <c r="P42" s="73" t="str">
        <f t="shared" si="17"/>
        <v/>
      </c>
      <c r="Q42" s="73" t="str">
        <f t="shared" si="17"/>
        <v/>
      </c>
      <c r="R42" s="73" t="str">
        <f t="shared" si="17"/>
        <v/>
      </c>
      <c r="S42" s="73" t="str">
        <f t="shared" si="17"/>
        <v/>
      </c>
      <c r="T42" s="73" t="str">
        <f t="shared" si="17"/>
        <v/>
      </c>
      <c r="U42" s="73" t="str">
        <f t="shared" si="17"/>
        <v/>
      </c>
      <c r="V42" s="73" t="str">
        <f t="shared" si="17"/>
        <v/>
      </c>
      <c r="W42" s="73" t="str">
        <f t="shared" si="17"/>
        <v/>
      </c>
      <c r="X42" s="73" t="str">
        <f t="shared" si="17"/>
        <v/>
      </c>
      <c r="Y42" s="73" t="str">
        <f t="shared" si="17"/>
        <v/>
      </c>
      <c r="Z42" s="74" t="str">
        <f t="shared" si="17"/>
        <v/>
      </c>
      <c r="AA42" s="23"/>
      <c r="AB42" s="22"/>
      <c r="AC42" s="22"/>
      <c r="AD42" s="22"/>
      <c r="AE42" s="22"/>
      <c r="AF42" s="2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3"/>
      <c r="B43" s="21">
        <f t="shared" si="6"/>
        <v>0</v>
      </c>
      <c r="C43" s="35">
        <f t="shared" si="7"/>
        <v>0</v>
      </c>
      <c r="D43" s="35">
        <f t="shared" si="7"/>
        <v>0</v>
      </c>
      <c r="E43" s="37">
        <f t="shared" si="6"/>
        <v>0</v>
      </c>
      <c r="F43" s="37">
        <f t="shared" si="13"/>
        <v>0</v>
      </c>
      <c r="G43" s="72" t="str">
        <f t="shared" si="3"/>
        <v/>
      </c>
      <c r="H43" s="73" t="str">
        <f t="shared" si="4"/>
        <v/>
      </c>
      <c r="I43" s="73" t="str">
        <f t="shared" ref="I43:Z43" si="18">IF(I25="","",I25*$F25/$F$30)</f>
        <v/>
      </c>
      <c r="J43" s="73" t="str">
        <f t="shared" si="18"/>
        <v/>
      </c>
      <c r="K43" s="73" t="str">
        <f t="shared" si="18"/>
        <v/>
      </c>
      <c r="L43" s="73" t="str">
        <f t="shared" si="18"/>
        <v/>
      </c>
      <c r="M43" s="73" t="str">
        <f t="shared" si="18"/>
        <v/>
      </c>
      <c r="N43" s="73" t="str">
        <f t="shared" si="18"/>
        <v/>
      </c>
      <c r="O43" s="73" t="str">
        <f t="shared" si="18"/>
        <v/>
      </c>
      <c r="P43" s="73" t="str">
        <f t="shared" si="18"/>
        <v/>
      </c>
      <c r="Q43" s="73" t="str">
        <f t="shared" si="18"/>
        <v/>
      </c>
      <c r="R43" s="73" t="str">
        <f t="shared" si="18"/>
        <v/>
      </c>
      <c r="S43" s="73" t="str">
        <f t="shared" si="18"/>
        <v/>
      </c>
      <c r="T43" s="73" t="str">
        <f t="shared" si="18"/>
        <v/>
      </c>
      <c r="U43" s="73" t="str">
        <f t="shared" si="18"/>
        <v/>
      </c>
      <c r="V43" s="73" t="str">
        <f t="shared" si="18"/>
        <v/>
      </c>
      <c r="W43" s="73" t="str">
        <f t="shared" si="18"/>
        <v/>
      </c>
      <c r="X43" s="73" t="str">
        <f t="shared" si="18"/>
        <v/>
      </c>
      <c r="Y43" s="73" t="str">
        <f t="shared" si="18"/>
        <v/>
      </c>
      <c r="Z43" s="74" t="str">
        <f t="shared" si="18"/>
        <v/>
      </c>
      <c r="AA43" s="23"/>
      <c r="AB43" s="22"/>
      <c r="AC43" s="22"/>
      <c r="AD43" s="22"/>
      <c r="AE43" s="22"/>
      <c r="AF43" s="2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3"/>
      <c r="B44" s="21">
        <f t="shared" si="6"/>
        <v>0</v>
      </c>
      <c r="C44" s="35">
        <f t="shared" si="7"/>
        <v>0</v>
      </c>
      <c r="D44" s="35">
        <f t="shared" si="7"/>
        <v>0</v>
      </c>
      <c r="E44" s="37">
        <f t="shared" si="6"/>
        <v>0</v>
      </c>
      <c r="F44" s="37">
        <f t="shared" si="13"/>
        <v>0</v>
      </c>
      <c r="G44" s="72" t="str">
        <f t="shared" si="3"/>
        <v/>
      </c>
      <c r="H44" s="73" t="str">
        <f t="shared" si="4"/>
        <v/>
      </c>
      <c r="I44" s="73" t="str">
        <f t="shared" ref="I44:Z44" si="19">IF(I26="","",I26*$F26/$F$30)</f>
        <v/>
      </c>
      <c r="J44" s="73" t="str">
        <f t="shared" si="19"/>
        <v/>
      </c>
      <c r="K44" s="73" t="str">
        <f t="shared" si="19"/>
        <v/>
      </c>
      <c r="L44" s="73" t="str">
        <f t="shared" si="19"/>
        <v/>
      </c>
      <c r="M44" s="73" t="str">
        <f t="shared" si="19"/>
        <v/>
      </c>
      <c r="N44" s="73" t="str">
        <f t="shared" si="19"/>
        <v/>
      </c>
      <c r="O44" s="73" t="str">
        <f t="shared" si="19"/>
        <v/>
      </c>
      <c r="P44" s="73" t="str">
        <f t="shared" si="19"/>
        <v/>
      </c>
      <c r="Q44" s="73" t="str">
        <f t="shared" si="19"/>
        <v/>
      </c>
      <c r="R44" s="73" t="str">
        <f t="shared" si="19"/>
        <v/>
      </c>
      <c r="S44" s="73" t="str">
        <f t="shared" si="19"/>
        <v/>
      </c>
      <c r="T44" s="73" t="str">
        <f t="shared" si="19"/>
        <v/>
      </c>
      <c r="U44" s="73" t="str">
        <f t="shared" si="19"/>
        <v/>
      </c>
      <c r="V44" s="73" t="str">
        <f t="shared" si="19"/>
        <v/>
      </c>
      <c r="W44" s="73" t="str">
        <f t="shared" si="19"/>
        <v/>
      </c>
      <c r="X44" s="73" t="str">
        <f t="shared" si="19"/>
        <v/>
      </c>
      <c r="Y44" s="73" t="str">
        <f t="shared" si="19"/>
        <v/>
      </c>
      <c r="Z44" s="74" t="str">
        <f t="shared" si="19"/>
        <v/>
      </c>
      <c r="AA44" s="23"/>
      <c r="AB44" s="22"/>
      <c r="AC44" s="22"/>
      <c r="AD44" s="22"/>
      <c r="AE44" s="22"/>
      <c r="AF44" s="2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3"/>
      <c r="B45" s="21">
        <f t="shared" si="6"/>
        <v>0</v>
      </c>
      <c r="C45" s="35">
        <f t="shared" si="7"/>
        <v>0</v>
      </c>
      <c r="D45" s="35">
        <f t="shared" si="7"/>
        <v>0</v>
      </c>
      <c r="E45" s="37">
        <f t="shared" si="6"/>
        <v>0</v>
      </c>
      <c r="F45" s="37">
        <f t="shared" si="13"/>
        <v>0</v>
      </c>
      <c r="G45" s="72" t="str">
        <f t="shared" si="3"/>
        <v/>
      </c>
      <c r="H45" s="73" t="str">
        <f t="shared" si="4"/>
        <v/>
      </c>
      <c r="I45" s="73" t="str">
        <f t="shared" ref="I45:Z45" si="20">IF(I27="","",I27*$F27/$F$30)</f>
        <v/>
      </c>
      <c r="J45" s="73" t="str">
        <f t="shared" si="20"/>
        <v/>
      </c>
      <c r="K45" s="73" t="str">
        <f t="shared" si="20"/>
        <v/>
      </c>
      <c r="L45" s="73" t="str">
        <f t="shared" si="20"/>
        <v/>
      </c>
      <c r="M45" s="73" t="str">
        <f t="shared" si="20"/>
        <v/>
      </c>
      <c r="N45" s="73" t="str">
        <f t="shared" si="20"/>
        <v/>
      </c>
      <c r="O45" s="73" t="str">
        <f t="shared" si="20"/>
        <v/>
      </c>
      <c r="P45" s="73" t="str">
        <f t="shared" si="20"/>
        <v/>
      </c>
      <c r="Q45" s="73" t="str">
        <f t="shared" si="20"/>
        <v/>
      </c>
      <c r="R45" s="73" t="str">
        <f t="shared" si="20"/>
        <v/>
      </c>
      <c r="S45" s="73" t="str">
        <f t="shared" si="20"/>
        <v/>
      </c>
      <c r="T45" s="73" t="str">
        <f t="shared" si="20"/>
        <v/>
      </c>
      <c r="U45" s="73" t="str">
        <f t="shared" si="20"/>
        <v/>
      </c>
      <c r="V45" s="73" t="str">
        <f t="shared" si="20"/>
        <v/>
      </c>
      <c r="W45" s="73" t="str">
        <f t="shared" si="20"/>
        <v/>
      </c>
      <c r="X45" s="73" t="str">
        <f t="shared" si="20"/>
        <v/>
      </c>
      <c r="Y45" s="73" t="str">
        <f t="shared" si="20"/>
        <v/>
      </c>
      <c r="Z45" s="74" t="str">
        <f t="shared" si="20"/>
        <v/>
      </c>
      <c r="AA45" s="23"/>
      <c r="AB45" s="22"/>
      <c r="AC45" s="22"/>
      <c r="AD45" s="22"/>
      <c r="AE45" s="22"/>
      <c r="AF45" s="2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3"/>
      <c r="B46" s="21">
        <f t="shared" si="6"/>
        <v>0</v>
      </c>
      <c r="C46" s="35">
        <f t="shared" si="7"/>
        <v>0</v>
      </c>
      <c r="D46" s="35">
        <f t="shared" si="7"/>
        <v>0</v>
      </c>
      <c r="E46" s="37">
        <f t="shared" si="6"/>
        <v>0</v>
      </c>
      <c r="F46" s="37">
        <f t="shared" si="13"/>
        <v>0</v>
      </c>
      <c r="G46" s="72" t="str">
        <f t="shared" si="3"/>
        <v/>
      </c>
      <c r="H46" s="73" t="str">
        <f t="shared" si="4"/>
        <v/>
      </c>
      <c r="I46" s="73" t="str">
        <f t="shared" ref="I46:Z46" si="21">IF(I28="","",I28*$F28/$F$30)</f>
        <v/>
      </c>
      <c r="J46" s="73" t="str">
        <f t="shared" si="21"/>
        <v/>
      </c>
      <c r="K46" s="73" t="str">
        <f t="shared" si="21"/>
        <v/>
      </c>
      <c r="L46" s="73" t="str">
        <f t="shared" si="21"/>
        <v/>
      </c>
      <c r="M46" s="73" t="str">
        <f t="shared" si="21"/>
        <v/>
      </c>
      <c r="N46" s="73" t="str">
        <f t="shared" si="21"/>
        <v/>
      </c>
      <c r="O46" s="73" t="str">
        <f t="shared" si="21"/>
        <v/>
      </c>
      <c r="P46" s="73" t="str">
        <f t="shared" si="21"/>
        <v/>
      </c>
      <c r="Q46" s="73" t="str">
        <f t="shared" si="21"/>
        <v/>
      </c>
      <c r="R46" s="73" t="str">
        <f t="shared" si="21"/>
        <v/>
      </c>
      <c r="S46" s="73" t="str">
        <f t="shared" si="21"/>
        <v/>
      </c>
      <c r="T46" s="73" t="str">
        <f t="shared" si="21"/>
        <v/>
      </c>
      <c r="U46" s="73" t="str">
        <f t="shared" si="21"/>
        <v/>
      </c>
      <c r="V46" s="73" t="str">
        <f t="shared" si="21"/>
        <v/>
      </c>
      <c r="W46" s="73" t="str">
        <f t="shared" si="21"/>
        <v/>
      </c>
      <c r="X46" s="73" t="str">
        <f t="shared" si="21"/>
        <v/>
      </c>
      <c r="Y46" s="73" t="str">
        <f t="shared" si="21"/>
        <v/>
      </c>
      <c r="Z46" s="74" t="str">
        <f t="shared" si="21"/>
        <v/>
      </c>
      <c r="AA46" s="23"/>
      <c r="AB46" s="22"/>
      <c r="AC46" s="22"/>
      <c r="AD46" s="22"/>
      <c r="AE46" s="22"/>
      <c r="AF46" s="2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3"/>
      <c r="B47" s="21">
        <f t="shared" si="6"/>
        <v>0</v>
      </c>
      <c r="C47" s="36">
        <f t="shared" si="7"/>
        <v>0</v>
      </c>
      <c r="D47" s="36">
        <f t="shared" si="7"/>
        <v>0</v>
      </c>
      <c r="E47" s="38">
        <f t="shared" si="6"/>
        <v>0</v>
      </c>
      <c r="F47" s="38">
        <f t="shared" si="13"/>
        <v>0</v>
      </c>
      <c r="G47" s="75" t="str">
        <f t="shared" si="3"/>
        <v/>
      </c>
      <c r="H47" s="76" t="str">
        <f t="shared" si="4"/>
        <v/>
      </c>
      <c r="I47" s="76" t="str">
        <f t="shared" ref="I47:Z47" si="22">IF(I29="","",I29*$F29/$F$30)</f>
        <v/>
      </c>
      <c r="J47" s="76" t="str">
        <f t="shared" si="22"/>
        <v/>
      </c>
      <c r="K47" s="76" t="str">
        <f t="shared" si="22"/>
        <v/>
      </c>
      <c r="L47" s="76" t="str">
        <f t="shared" si="22"/>
        <v/>
      </c>
      <c r="M47" s="76" t="str">
        <f t="shared" si="22"/>
        <v/>
      </c>
      <c r="N47" s="76" t="str">
        <f t="shared" si="22"/>
        <v/>
      </c>
      <c r="O47" s="76" t="str">
        <f t="shared" si="22"/>
        <v/>
      </c>
      <c r="P47" s="76" t="str">
        <f t="shared" si="22"/>
        <v/>
      </c>
      <c r="Q47" s="76" t="str">
        <f t="shared" si="22"/>
        <v/>
      </c>
      <c r="R47" s="76" t="str">
        <f t="shared" si="22"/>
        <v/>
      </c>
      <c r="S47" s="76" t="str">
        <f t="shared" si="22"/>
        <v/>
      </c>
      <c r="T47" s="76" t="str">
        <f t="shared" si="22"/>
        <v/>
      </c>
      <c r="U47" s="76" t="str">
        <f t="shared" si="22"/>
        <v/>
      </c>
      <c r="V47" s="76" t="str">
        <f t="shared" si="22"/>
        <v/>
      </c>
      <c r="W47" s="76" t="str">
        <f t="shared" si="22"/>
        <v/>
      </c>
      <c r="X47" s="76" t="str">
        <f t="shared" si="22"/>
        <v/>
      </c>
      <c r="Y47" s="76" t="str">
        <f t="shared" si="22"/>
        <v/>
      </c>
      <c r="Z47" s="77" t="str">
        <f t="shared" si="22"/>
        <v/>
      </c>
      <c r="AA47" s="23"/>
      <c r="AB47" s="22"/>
      <c r="AC47" s="22"/>
      <c r="AD47" s="22"/>
      <c r="AE47" s="22"/>
      <c r="AF47" s="2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3"/>
      <c r="B48" s="22" t="str">
        <f>B30</f>
        <v>SUMA</v>
      </c>
      <c r="C48" s="22"/>
      <c r="D48" s="22"/>
      <c r="E48" s="22">
        <f>E30</f>
        <v>1000</v>
      </c>
      <c r="F48" s="22">
        <f t="shared" ref="F48" si="23">F30</f>
        <v>100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3"/>
      <c r="B49" s="22"/>
      <c r="C49" s="22"/>
      <c r="D49" s="22"/>
      <c r="E49" s="24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2"/>
      <c r="C50" s="22"/>
      <c r="D50" s="22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51" x14ac:dyDescent="0.45">
      <c r="B51" s="22"/>
      <c r="C51" s="22"/>
      <c r="D51" s="22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51" x14ac:dyDescent="0.45">
      <c r="B52" s="22"/>
      <c r="C52" s="22"/>
      <c r="D52" s="22"/>
      <c r="E52" s="24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51" x14ac:dyDescent="0.45">
      <c r="B53" s="22"/>
      <c r="C53" s="22"/>
      <c r="D53" s="22"/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51" x14ac:dyDescent="0.45">
      <c r="B54" s="22"/>
      <c r="C54" s="22"/>
      <c r="D54" s="22"/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51" x14ac:dyDescent="0.45">
      <c r="B55" s="22"/>
      <c r="C55" s="22"/>
      <c r="D55" s="22"/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51" x14ac:dyDescent="0.45">
      <c r="B56" s="22"/>
      <c r="C56" s="22"/>
      <c r="D56" s="22"/>
      <c r="E56" s="24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51" x14ac:dyDescent="0.45">
      <c r="B57" s="22"/>
      <c r="C57" s="22"/>
      <c r="D57" s="22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51" x14ac:dyDescent="0.45">
      <c r="B58" s="22"/>
      <c r="C58" s="22"/>
      <c r="D58" s="22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51" x14ac:dyDescent="0.45">
      <c r="B59" s="22"/>
      <c r="C59" s="22"/>
      <c r="D59" s="22"/>
      <c r="E59" s="24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51" x14ac:dyDescent="0.45">
      <c r="B60" s="22"/>
      <c r="C60" s="22"/>
      <c r="D60" s="22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51" x14ac:dyDescent="0.45">
      <c r="B61" s="22"/>
      <c r="C61" s="22"/>
      <c r="D61" s="22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51" x14ac:dyDescent="0.45">
      <c r="B62" s="22"/>
      <c r="C62" s="22"/>
      <c r="D62" s="22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51" x14ac:dyDescent="0.45">
      <c r="B63" s="22"/>
      <c r="C63" s="22"/>
      <c r="D63" s="22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51" x14ac:dyDescent="0.45">
      <c r="B64" s="22"/>
      <c r="C64" s="22"/>
      <c r="D64" s="22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2:26" x14ac:dyDescent="0.45">
      <c r="B65" s="22"/>
      <c r="C65" s="22"/>
      <c r="D65" s="22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2:26" x14ac:dyDescent="0.45">
      <c r="B66" s="22"/>
      <c r="C66" s="22"/>
      <c r="D66" s="22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2:26" x14ac:dyDescent="0.45">
      <c r="B67" s="22"/>
      <c r="C67" s="22"/>
      <c r="D67" s="22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2:26" x14ac:dyDescent="0.45">
      <c r="B68" s="22"/>
      <c r="C68" s="22"/>
      <c r="D68" s="22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2:26" x14ac:dyDescent="0.45">
      <c r="B69" s="22"/>
      <c r="C69" s="22"/>
      <c r="D69" s="22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2:26" x14ac:dyDescent="0.45">
      <c r="B70" s="22"/>
      <c r="C70" s="22"/>
      <c r="D70" s="22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2:26" x14ac:dyDescent="0.45">
      <c r="B71" s="22"/>
      <c r="C71" s="22"/>
      <c r="D71" s="22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2:26" x14ac:dyDescent="0.45">
      <c r="B72" s="22"/>
      <c r="C72" s="22"/>
      <c r="D72" s="22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2:26" x14ac:dyDescent="0.45">
      <c r="B73" s="22"/>
      <c r="C73" s="22"/>
      <c r="D73" s="22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2:26" x14ac:dyDescent="0.45">
      <c r="B74" s="22"/>
      <c r="C74" s="22"/>
      <c r="D74" s="22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2:26" x14ac:dyDescent="0.45">
      <c r="B75" s="22"/>
      <c r="C75" s="22"/>
      <c r="D75" s="22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2:26" x14ac:dyDescent="0.45">
      <c r="B76" s="22"/>
      <c r="C76" s="22"/>
      <c r="D76" s="22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2:26" x14ac:dyDescent="0.45">
      <c r="B77" s="22"/>
      <c r="C77" s="22"/>
      <c r="D77" s="22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2:26" x14ac:dyDescent="0.45">
      <c r="B78" s="22"/>
      <c r="C78" s="22"/>
      <c r="D78" s="22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2:26" x14ac:dyDescent="0.45">
      <c r="B79" s="22"/>
      <c r="C79" s="22"/>
      <c r="D79" s="22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2:26" x14ac:dyDescent="0.45">
      <c r="B80" s="22"/>
      <c r="C80" s="22"/>
      <c r="D80" s="22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2:26" x14ac:dyDescent="0.45">
      <c r="B81" s="22"/>
      <c r="C81" s="22"/>
      <c r="D81" s="22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2:26" x14ac:dyDescent="0.45">
      <c r="B82" s="22"/>
      <c r="C82" s="22"/>
      <c r="D82" s="22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2:26" x14ac:dyDescent="0.45">
      <c r="B83" s="22"/>
      <c r="C83" s="22"/>
      <c r="D83" s="22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2:26" x14ac:dyDescent="0.45">
      <c r="B84" s="22"/>
      <c r="C84" s="22"/>
      <c r="D84" s="22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2:26" x14ac:dyDescent="0.45">
      <c r="B85" s="22"/>
      <c r="C85" s="22"/>
      <c r="D85" s="22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2:26" x14ac:dyDescent="0.45">
      <c r="B86" s="22"/>
      <c r="C86" s="22"/>
      <c r="D86" s="22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0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2024-11-06T13:09:28Z</cp:lastPrinted>
  <dcterms:created xsi:type="dcterms:W3CDTF">2024-11-02T13:07:30Z</dcterms:created>
  <dcterms:modified xsi:type="dcterms:W3CDTF">2024-11-06T14:54:16Z</dcterms:modified>
</cp:coreProperties>
</file>